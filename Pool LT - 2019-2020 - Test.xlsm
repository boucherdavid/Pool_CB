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Persos\"/>
    </mc:Choice>
  </mc:AlternateContent>
  <bookViews>
    <workbookView xWindow="-120" yWindow="-120" windowWidth="24240" windowHeight="13140" tabRatio="599" firstSheet="3" activeTab="3"/>
  </bookViews>
  <sheets>
    <sheet name="Règlements" sheetId="23" r:id="rId1"/>
    <sheet name="Recrues (Repêchage)" sheetId="15" r:id="rId2"/>
    <sheet name="Calcul Masse Salariale" sheetId="3" r:id="rId3"/>
    <sheet name="Données" sheetId="1" r:id="rId4"/>
    <sheet name="Sébastien_FAU" sheetId="24" r:id="rId5"/>
    <sheet name="Jérôme" sheetId="17" r:id="rId6"/>
    <sheet name="Nicolas" sheetId="18" r:id="rId7"/>
    <sheet name="Sébastien_STL" sheetId="19" r:id="rId8"/>
    <sheet name="Paule" sheetId="22" r:id="rId9"/>
    <sheet name="Steve" sheetId="16" r:id="rId10"/>
    <sheet name="David" sheetId="21" r:id="rId11"/>
    <sheet name="Vincent" sheetId="20" r:id="rId12"/>
    <sheet name="Vincent (2)" sheetId="29" r:id="rId13"/>
    <sheet name="Sommaire Agents libres" sheetId="28" r:id="rId14"/>
    <sheet name="CapFriendly" sheetId="27" r:id="rId15"/>
    <sheet name="Validation" sheetId="12" r:id="rId16"/>
    <sheet name="NHL Numbers" sheetId="26" state="hidden" r:id="rId17"/>
  </sheets>
  <definedNames>
    <definedName name="_xlnm._FilterDatabase" localSheetId="3" hidden="1">Données!$E$2:$W$1479</definedName>
    <definedName name="DDVince1">'Vincent (2)'!#REF!:INDEX('Vincent (2)'!#REF!,MAX('Vincent (2)'!#REF!),1)</definedName>
    <definedName name="DDVince2">'Vincent (2)'!#REF!:INDEX('Vincent (2)'!#REF!,MAX('Vincent (2)'!#REF!),1)</definedName>
    <definedName name="DDVince3">'Vincent (2)'!#REF!:INDEX('Vincent (2)'!#REF!,MAX('Vincent (2)'!#REF!),1)</definedName>
    <definedName name="Liste_joueurs">OFFSET(Données!$AE$3,,,COUNTIF(Données!$AE:$AE,"*?")-1)</definedName>
    <definedName name="roundDisplay" localSheetId="1">'Recrues (Repêchage)'!#REF!</definedName>
  </definedNames>
  <calcPr calcId="152511"/>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B3" i="1" l="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B979" i="1"/>
  <c r="AB980" i="1"/>
  <c r="AB981" i="1"/>
  <c r="AB982" i="1"/>
  <c r="AB983" i="1"/>
  <c r="AB984" i="1"/>
  <c r="AB985" i="1"/>
  <c r="AB986" i="1"/>
  <c r="AB987" i="1"/>
  <c r="AB988" i="1"/>
  <c r="AB989" i="1"/>
  <c r="AB990" i="1"/>
  <c r="AB991" i="1"/>
  <c r="AB992" i="1"/>
  <c r="AB993" i="1"/>
  <c r="AB994" i="1"/>
  <c r="AB995" i="1"/>
  <c r="AB996" i="1"/>
  <c r="AB997" i="1"/>
  <c r="AB998" i="1"/>
  <c r="AB999" i="1"/>
  <c r="AB1000" i="1"/>
  <c r="AB1001" i="1"/>
  <c r="AB1002" i="1"/>
  <c r="AB1003" i="1"/>
  <c r="AB1004" i="1"/>
  <c r="AB1005" i="1"/>
  <c r="AB1006" i="1"/>
  <c r="AB1007" i="1"/>
  <c r="AB1008" i="1"/>
  <c r="AB1009" i="1"/>
  <c r="AB1010" i="1"/>
  <c r="AB1011" i="1"/>
  <c r="AB1012" i="1"/>
  <c r="AB1013" i="1"/>
  <c r="AB1014" i="1"/>
  <c r="AB1015" i="1"/>
  <c r="AB1016" i="1"/>
  <c r="AB1017" i="1"/>
  <c r="AB1018" i="1"/>
  <c r="AB1019" i="1"/>
  <c r="AB1020" i="1"/>
  <c r="AB1021" i="1"/>
  <c r="AB1022" i="1"/>
  <c r="AB1023" i="1"/>
  <c r="AB1024" i="1"/>
  <c r="AB1025" i="1"/>
  <c r="AB1026" i="1"/>
  <c r="AB1027" i="1"/>
  <c r="AB1028" i="1"/>
  <c r="AB1029" i="1"/>
  <c r="AB1030" i="1"/>
  <c r="AB1031" i="1"/>
  <c r="AB1032" i="1"/>
  <c r="AB1033" i="1"/>
  <c r="AB1034" i="1"/>
  <c r="AB1035" i="1"/>
  <c r="AB1036" i="1"/>
  <c r="AB1037" i="1"/>
  <c r="AB1038" i="1"/>
  <c r="AB1039" i="1"/>
  <c r="AB1040" i="1"/>
  <c r="AB1041" i="1"/>
  <c r="AB1042" i="1"/>
  <c r="AB1043" i="1"/>
  <c r="AB1044" i="1"/>
  <c r="AB1045" i="1"/>
  <c r="AB1046" i="1"/>
  <c r="AB1047" i="1"/>
  <c r="AB1048" i="1"/>
  <c r="AB1049" i="1"/>
  <c r="AB1050" i="1"/>
  <c r="AB1051" i="1"/>
  <c r="AB1052" i="1"/>
  <c r="AB1053" i="1"/>
  <c r="AB1054" i="1"/>
  <c r="AB1055" i="1"/>
  <c r="AB1056" i="1"/>
  <c r="AB1057" i="1"/>
  <c r="AB1058" i="1"/>
  <c r="AB1059" i="1"/>
  <c r="AB1060" i="1"/>
  <c r="AB1061" i="1"/>
  <c r="AB1062" i="1"/>
  <c r="AB1063" i="1"/>
  <c r="AB1064" i="1"/>
  <c r="AB1065" i="1"/>
  <c r="AB1066" i="1"/>
  <c r="AB1067" i="1"/>
  <c r="AB1068" i="1"/>
  <c r="AB1069" i="1"/>
  <c r="AB1070" i="1"/>
  <c r="AB1071" i="1"/>
  <c r="AB1072" i="1"/>
  <c r="AB1073" i="1"/>
  <c r="AB1074" i="1"/>
  <c r="AB1075" i="1"/>
  <c r="AB1076" i="1"/>
  <c r="AB1077" i="1"/>
  <c r="AB1078" i="1"/>
  <c r="AB1079" i="1"/>
  <c r="AB1080" i="1"/>
  <c r="AB1081" i="1"/>
  <c r="AB1082" i="1"/>
  <c r="AB1083" i="1"/>
  <c r="AB1084" i="1"/>
  <c r="AB1085" i="1"/>
  <c r="AB1086" i="1"/>
  <c r="AB1087" i="1"/>
  <c r="AB1088" i="1"/>
  <c r="AB1089" i="1"/>
  <c r="AB1090" i="1"/>
  <c r="AB1091" i="1"/>
  <c r="AB1092" i="1"/>
  <c r="AB1093" i="1"/>
  <c r="AB1094" i="1"/>
  <c r="AB1095" i="1"/>
  <c r="AB1096" i="1"/>
  <c r="AB1097" i="1"/>
  <c r="AB1098" i="1"/>
  <c r="AB1099" i="1"/>
  <c r="AB1100" i="1"/>
  <c r="AB1101" i="1"/>
  <c r="AB1102" i="1"/>
  <c r="AB1103" i="1"/>
  <c r="AB1104" i="1"/>
  <c r="AB1105" i="1"/>
  <c r="AB1106" i="1"/>
  <c r="AB1107" i="1"/>
  <c r="AB1108" i="1"/>
  <c r="AB1109" i="1"/>
  <c r="AB1110" i="1"/>
  <c r="AB1111" i="1"/>
  <c r="AB1112" i="1"/>
  <c r="AB1113" i="1"/>
  <c r="AB1114" i="1"/>
  <c r="AB1115" i="1"/>
  <c r="AB1116" i="1"/>
  <c r="AB1117" i="1"/>
  <c r="AB1118" i="1"/>
  <c r="AB1119" i="1"/>
  <c r="AB1120" i="1"/>
  <c r="AB1121" i="1"/>
  <c r="AB1122" i="1"/>
  <c r="AB1123" i="1"/>
  <c r="AB1124" i="1"/>
  <c r="AB1125" i="1"/>
  <c r="AB1126" i="1"/>
  <c r="AB1127" i="1"/>
  <c r="AB1128" i="1"/>
  <c r="AB1129" i="1"/>
  <c r="AB1130" i="1"/>
  <c r="AB1131" i="1"/>
  <c r="AB1132" i="1"/>
  <c r="AB1133" i="1"/>
  <c r="AB1134" i="1"/>
  <c r="AB1135" i="1"/>
  <c r="AB1136" i="1"/>
  <c r="AB1137" i="1"/>
  <c r="AB1138" i="1"/>
  <c r="AB1139" i="1"/>
  <c r="AB1140" i="1"/>
  <c r="AB1141" i="1"/>
  <c r="AB1142" i="1"/>
  <c r="AB1143" i="1"/>
  <c r="AB1144" i="1"/>
  <c r="AB1145" i="1"/>
  <c r="AB1146" i="1"/>
  <c r="AB1147" i="1"/>
  <c r="AB1148" i="1"/>
  <c r="AB1149" i="1"/>
  <c r="AB1150" i="1"/>
  <c r="AB1151" i="1"/>
  <c r="AB1152" i="1"/>
  <c r="AB1153" i="1"/>
  <c r="AB1154" i="1"/>
  <c r="AB1155" i="1"/>
  <c r="AB1156" i="1"/>
  <c r="AB1157" i="1"/>
  <c r="AB1158" i="1"/>
  <c r="AB1159" i="1"/>
  <c r="AB1160" i="1"/>
  <c r="AB1161" i="1"/>
  <c r="AB1162" i="1"/>
  <c r="AB1163" i="1"/>
  <c r="AB1164" i="1"/>
  <c r="AB1165" i="1"/>
  <c r="AB1166" i="1"/>
  <c r="AB1167" i="1"/>
  <c r="AB1168" i="1"/>
  <c r="AB1169" i="1"/>
  <c r="AB1170" i="1"/>
  <c r="AB1171" i="1"/>
  <c r="AB1172" i="1"/>
  <c r="AB1173" i="1"/>
  <c r="AB1174" i="1"/>
  <c r="AB1175" i="1"/>
  <c r="AB1176" i="1"/>
  <c r="AB1177" i="1"/>
  <c r="AB1178" i="1"/>
  <c r="AB1179" i="1"/>
  <c r="AB1180" i="1"/>
  <c r="AB1181" i="1"/>
  <c r="AB1182" i="1"/>
  <c r="AB1183" i="1"/>
  <c r="AB1184" i="1"/>
  <c r="AB1185" i="1"/>
  <c r="AB1186" i="1"/>
  <c r="AB1187" i="1"/>
  <c r="AB1188" i="1"/>
  <c r="AB1189" i="1"/>
  <c r="AB1190" i="1"/>
  <c r="AB1191" i="1"/>
  <c r="AB1192" i="1"/>
  <c r="AB1193" i="1"/>
  <c r="AB1194" i="1"/>
  <c r="AB1195" i="1"/>
  <c r="AB1196" i="1"/>
  <c r="AB1197" i="1"/>
  <c r="AB1198" i="1"/>
  <c r="AB1199" i="1"/>
  <c r="AB1200" i="1"/>
  <c r="AB1201" i="1"/>
  <c r="AB1202" i="1"/>
  <c r="AB1203" i="1"/>
  <c r="AB1204" i="1"/>
  <c r="AB1205" i="1"/>
  <c r="AB1206" i="1"/>
  <c r="AB1207" i="1"/>
  <c r="AB1208" i="1"/>
  <c r="AB1209" i="1"/>
  <c r="AB1210" i="1"/>
  <c r="AB1211" i="1"/>
  <c r="AB1212" i="1"/>
  <c r="AB1213" i="1"/>
  <c r="AB1214" i="1"/>
  <c r="AB1215" i="1"/>
  <c r="AB1216" i="1"/>
  <c r="AB1217" i="1"/>
  <c r="AB1218" i="1"/>
  <c r="AB1219" i="1"/>
  <c r="AB1220" i="1"/>
  <c r="AB1221" i="1"/>
  <c r="AB1222" i="1"/>
  <c r="AB1223" i="1"/>
  <c r="AB1224" i="1"/>
  <c r="AB1225" i="1"/>
  <c r="AB1226" i="1"/>
  <c r="AB1227" i="1"/>
  <c r="AB1228" i="1"/>
  <c r="AB1229" i="1"/>
  <c r="AB1230" i="1"/>
  <c r="AB1231" i="1"/>
  <c r="AB1232" i="1"/>
  <c r="AB1233" i="1"/>
  <c r="AB1234" i="1"/>
  <c r="AB1235" i="1"/>
  <c r="AB1236" i="1"/>
  <c r="AB1237" i="1"/>
  <c r="AB1238" i="1"/>
  <c r="AB1239" i="1"/>
  <c r="AB1240" i="1"/>
  <c r="AB1241" i="1"/>
  <c r="AB1242" i="1"/>
  <c r="AB1243" i="1"/>
  <c r="AB1244" i="1"/>
  <c r="AB1245" i="1"/>
  <c r="AB1246" i="1"/>
  <c r="AB1247" i="1"/>
  <c r="AB1248" i="1"/>
  <c r="AB1249" i="1"/>
  <c r="AB1250" i="1"/>
  <c r="AB1251" i="1"/>
  <c r="AB1252" i="1"/>
  <c r="AB1253" i="1"/>
  <c r="AB1254" i="1"/>
  <c r="AB1255" i="1"/>
  <c r="AB1256" i="1"/>
  <c r="AB1257" i="1"/>
  <c r="AB1258" i="1"/>
  <c r="AB1259" i="1"/>
  <c r="AB1260" i="1"/>
  <c r="AB1261" i="1"/>
  <c r="AB1262" i="1"/>
  <c r="AB1263" i="1"/>
  <c r="AB1264" i="1"/>
  <c r="AB1265" i="1"/>
  <c r="AB1266" i="1"/>
  <c r="AB1267" i="1"/>
  <c r="AB1268" i="1"/>
  <c r="AB1269" i="1"/>
  <c r="AB1270" i="1"/>
  <c r="AB1271" i="1"/>
  <c r="AB1272" i="1"/>
  <c r="AB1273" i="1"/>
  <c r="AB1274" i="1"/>
  <c r="AB1275" i="1"/>
  <c r="AB1276" i="1"/>
  <c r="AB1277" i="1"/>
  <c r="AB1278" i="1"/>
  <c r="AB1279" i="1"/>
  <c r="AB1280" i="1"/>
  <c r="AB1281" i="1"/>
  <c r="AB1282" i="1"/>
  <c r="AB1283" i="1"/>
  <c r="AB1284" i="1"/>
  <c r="AB1285" i="1"/>
  <c r="AB1286" i="1"/>
  <c r="AB1287" i="1"/>
  <c r="AB1288" i="1"/>
  <c r="AB1289" i="1"/>
  <c r="AB1290" i="1"/>
  <c r="AB1291" i="1"/>
  <c r="AB1292" i="1"/>
  <c r="AB1293" i="1"/>
  <c r="AB1294" i="1"/>
  <c r="AB1295" i="1"/>
  <c r="AB1296" i="1"/>
  <c r="AB1297" i="1"/>
  <c r="AB1298" i="1"/>
  <c r="AB1299" i="1"/>
  <c r="AB1300" i="1"/>
  <c r="AB1301" i="1"/>
  <c r="AB1302" i="1"/>
  <c r="AB1303" i="1"/>
  <c r="AB1304" i="1"/>
  <c r="AB1305" i="1"/>
  <c r="AB1306" i="1"/>
  <c r="AB1307" i="1"/>
  <c r="AB1308" i="1"/>
  <c r="AB1309" i="1"/>
  <c r="AB1310" i="1"/>
  <c r="AB1311" i="1"/>
  <c r="AB1312" i="1"/>
  <c r="AB1313" i="1"/>
  <c r="AB1314" i="1"/>
  <c r="AB1315" i="1"/>
  <c r="AB1316" i="1"/>
  <c r="AB1317" i="1"/>
  <c r="AB1318" i="1"/>
  <c r="AB1319" i="1"/>
  <c r="AB1320" i="1"/>
  <c r="AB1321" i="1"/>
  <c r="AB1322" i="1"/>
  <c r="AB1323" i="1"/>
  <c r="AB1324" i="1"/>
  <c r="AB1325" i="1"/>
  <c r="AB1326" i="1"/>
  <c r="AB1327" i="1"/>
  <c r="AB1328" i="1"/>
  <c r="AB1329" i="1"/>
  <c r="AB1330" i="1"/>
  <c r="AB1331" i="1"/>
  <c r="AB1332" i="1"/>
  <c r="AB1333" i="1"/>
  <c r="AB1334" i="1"/>
  <c r="AB1335" i="1"/>
  <c r="AB1336" i="1"/>
  <c r="AB1337" i="1"/>
  <c r="AB1338" i="1"/>
  <c r="AB1339" i="1"/>
  <c r="AB1340" i="1"/>
  <c r="AB1341" i="1"/>
  <c r="AB1342" i="1"/>
  <c r="AB1343" i="1"/>
  <c r="AB1344" i="1"/>
  <c r="AB1345" i="1"/>
  <c r="AB1346" i="1"/>
  <c r="AB1347" i="1"/>
  <c r="AB1348" i="1"/>
  <c r="AB1349" i="1"/>
  <c r="AB1350" i="1"/>
  <c r="AB1351" i="1"/>
  <c r="AB1352" i="1"/>
  <c r="AB1353" i="1"/>
  <c r="AB1354" i="1"/>
  <c r="AB1355" i="1"/>
  <c r="AB1356" i="1"/>
  <c r="AB1357" i="1"/>
  <c r="AB1358" i="1"/>
  <c r="AB1359" i="1"/>
  <c r="AB1360" i="1"/>
  <c r="AB1361" i="1"/>
  <c r="AB1362" i="1"/>
  <c r="AB1363" i="1"/>
  <c r="AB1364" i="1"/>
  <c r="AB1365" i="1"/>
  <c r="AB1366" i="1"/>
  <c r="AB1367" i="1"/>
  <c r="AB1368" i="1"/>
  <c r="AB1369" i="1"/>
  <c r="AB1370" i="1"/>
  <c r="AB1371" i="1"/>
  <c r="AB1372" i="1"/>
  <c r="AB1373" i="1"/>
  <c r="AB1374" i="1"/>
  <c r="AB1375" i="1"/>
  <c r="AB1376" i="1"/>
  <c r="AB1377" i="1"/>
  <c r="AB1378" i="1"/>
  <c r="AB1379" i="1"/>
  <c r="AB1380" i="1"/>
  <c r="AB1381" i="1"/>
  <c r="AB1382" i="1"/>
  <c r="AB1383" i="1"/>
  <c r="AB1384" i="1"/>
  <c r="AB1385" i="1"/>
  <c r="AB1386" i="1"/>
  <c r="AB1387" i="1"/>
  <c r="AB1388" i="1"/>
  <c r="AB1389" i="1"/>
  <c r="AB1390" i="1"/>
  <c r="AB1391" i="1"/>
  <c r="AB1392" i="1"/>
  <c r="AB1393" i="1"/>
  <c r="AB1394" i="1"/>
  <c r="AB1395" i="1"/>
  <c r="AB1396" i="1"/>
  <c r="AB1397" i="1"/>
  <c r="AB1398" i="1"/>
  <c r="AB1399" i="1"/>
  <c r="AB1400" i="1"/>
  <c r="AB1401" i="1"/>
  <c r="AB1402" i="1"/>
  <c r="AB1403" i="1"/>
  <c r="AB1404" i="1"/>
  <c r="AB1405" i="1"/>
  <c r="AB1406" i="1"/>
  <c r="AB1407" i="1"/>
  <c r="AB1408" i="1"/>
  <c r="AB1409" i="1"/>
  <c r="AB1410" i="1"/>
  <c r="AB1411" i="1"/>
  <c r="AB1412" i="1"/>
  <c r="AB1413" i="1"/>
  <c r="AB1414" i="1"/>
  <c r="AB1415" i="1"/>
  <c r="AB1416" i="1"/>
  <c r="AB1417" i="1"/>
  <c r="AB1418" i="1"/>
  <c r="AB1419" i="1"/>
  <c r="AB1420" i="1"/>
  <c r="AB1421" i="1"/>
  <c r="AB1422" i="1"/>
  <c r="AB1423" i="1"/>
  <c r="AB1424" i="1"/>
  <c r="AB1425" i="1"/>
  <c r="AB1426" i="1"/>
  <c r="AB1427" i="1"/>
  <c r="AB1428" i="1"/>
  <c r="AB1429" i="1"/>
  <c r="AB1430" i="1"/>
  <c r="AB1431" i="1"/>
  <c r="AB1432" i="1"/>
  <c r="AB1433" i="1"/>
  <c r="AB1434" i="1"/>
  <c r="AB1435" i="1"/>
  <c r="AB1436" i="1"/>
  <c r="AB1437" i="1"/>
  <c r="AB1438" i="1"/>
  <c r="AB1439" i="1"/>
  <c r="AB1440" i="1"/>
  <c r="AB1441" i="1"/>
  <c r="AB1442" i="1"/>
  <c r="AB1443" i="1"/>
  <c r="AB1444" i="1"/>
  <c r="AB1445" i="1"/>
  <c r="AB1446" i="1"/>
  <c r="AB1447" i="1"/>
  <c r="AB1448" i="1"/>
  <c r="AB1449" i="1"/>
  <c r="AB1450" i="1"/>
  <c r="AB1451" i="1"/>
  <c r="AB1452" i="1"/>
  <c r="AB1453" i="1"/>
  <c r="AB1454" i="1"/>
  <c r="AB1455" i="1"/>
  <c r="AB1456" i="1"/>
  <c r="AB1457" i="1"/>
  <c r="AB1458" i="1"/>
  <c r="AB1459" i="1"/>
  <c r="AB1460" i="1"/>
  <c r="AB1461" i="1"/>
  <c r="AB1462" i="1"/>
  <c r="AB1463" i="1"/>
  <c r="AB1464" i="1"/>
  <c r="AB1465" i="1"/>
  <c r="AB1466" i="1"/>
  <c r="AB1467" i="1"/>
  <c r="AB1468" i="1"/>
  <c r="AB1469" i="1"/>
  <c r="AB1470" i="1"/>
  <c r="AB1471" i="1"/>
  <c r="AB1472" i="1"/>
  <c r="AB1473" i="1"/>
  <c r="AB1474" i="1"/>
  <c r="AB1475" i="1"/>
  <c r="AB1476" i="1"/>
  <c r="AB1477" i="1"/>
  <c r="AB1478" i="1"/>
  <c r="AB1479" i="1"/>
  <c r="D40" i="12"/>
  <c r="D41" i="12"/>
  <c r="D42" i="12"/>
  <c r="D43" i="12"/>
  <c r="D44" i="12"/>
  <c r="D45" i="12"/>
  <c r="D46" i="12"/>
  <c r="D47" i="12"/>
  <c r="D48" i="12"/>
  <c r="D49" i="12"/>
  <c r="D50" i="12"/>
  <c r="D51" i="12"/>
  <c r="D52" i="12"/>
  <c r="D53"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H30" i="29" l="1"/>
  <c r="G30" i="29"/>
  <c r="E30" i="29"/>
  <c r="D30" i="29"/>
  <c r="C30" i="29"/>
  <c r="H29" i="29"/>
  <c r="G29" i="29"/>
  <c r="E29" i="29"/>
  <c r="D29" i="29"/>
  <c r="C29" i="29"/>
  <c r="H28" i="29"/>
  <c r="G28" i="29"/>
  <c r="E28" i="29"/>
  <c r="D28" i="29"/>
  <c r="C28" i="29"/>
  <c r="H27" i="29"/>
  <c r="G27" i="29"/>
  <c r="E27" i="29"/>
  <c r="D27" i="29"/>
  <c r="C27" i="29"/>
  <c r="H26" i="29"/>
  <c r="G26" i="29"/>
  <c r="E26" i="29"/>
  <c r="D26" i="29"/>
  <c r="C26" i="29"/>
  <c r="H25" i="29"/>
  <c r="G25" i="29"/>
  <c r="E25" i="29"/>
  <c r="D25" i="29"/>
  <c r="C25" i="29"/>
  <c r="H24" i="29"/>
  <c r="G24" i="29"/>
  <c r="E24" i="29"/>
  <c r="D24" i="29"/>
  <c r="C24" i="29"/>
  <c r="H23" i="29"/>
  <c r="G23" i="29"/>
  <c r="E23" i="29"/>
  <c r="D23" i="29"/>
  <c r="C23" i="29"/>
  <c r="H22" i="29"/>
  <c r="G22" i="29"/>
  <c r="E22" i="29"/>
  <c r="D22" i="29"/>
  <c r="C22" i="29"/>
  <c r="H21" i="29"/>
  <c r="G21" i="29"/>
  <c r="E21" i="29"/>
  <c r="D21" i="29"/>
  <c r="C21" i="29"/>
  <c r="H20" i="29"/>
  <c r="G20" i="29"/>
  <c r="E20" i="29"/>
  <c r="D20" i="29"/>
  <c r="C20" i="29"/>
  <c r="H19" i="29"/>
  <c r="G19" i="29"/>
  <c r="E19" i="29"/>
  <c r="D19" i="29"/>
  <c r="C19" i="29"/>
  <c r="H18" i="29"/>
  <c r="G18" i="29"/>
  <c r="E18" i="29"/>
  <c r="D18" i="29"/>
  <c r="C18" i="29"/>
  <c r="H17" i="29"/>
  <c r="G17" i="29"/>
  <c r="E17" i="29"/>
  <c r="D17" i="29"/>
  <c r="C17" i="29"/>
  <c r="H16" i="29"/>
  <c r="G16" i="29"/>
  <c r="E16" i="29"/>
  <c r="D16" i="29"/>
  <c r="C16" i="29"/>
  <c r="H15" i="29"/>
  <c r="G15" i="29"/>
  <c r="E15" i="29"/>
  <c r="D15" i="29"/>
  <c r="C15" i="29"/>
  <c r="H14" i="29"/>
  <c r="G14" i="29"/>
  <c r="E14" i="29"/>
  <c r="D14" i="29"/>
  <c r="C14" i="29"/>
  <c r="H13" i="29"/>
  <c r="G13" i="29"/>
  <c r="E13" i="29"/>
  <c r="D13" i="29"/>
  <c r="C13" i="29"/>
  <c r="H12" i="29"/>
  <c r="G12" i="29"/>
  <c r="E12" i="29"/>
  <c r="D12" i="29"/>
  <c r="C12" i="29"/>
  <c r="H11" i="29"/>
  <c r="G11" i="29"/>
  <c r="E11" i="29"/>
  <c r="D11" i="29"/>
  <c r="C11" i="29"/>
  <c r="H10" i="29"/>
  <c r="G10" i="29"/>
  <c r="E10" i="29"/>
  <c r="D10" i="29"/>
  <c r="C10" i="29"/>
  <c r="H9" i="29"/>
  <c r="G9" i="29"/>
  <c r="E9" i="29"/>
  <c r="D9" i="29"/>
  <c r="C9" i="29"/>
  <c r="H8" i="29"/>
  <c r="G8" i="29"/>
  <c r="E8" i="29"/>
  <c r="D8" i="29"/>
  <c r="C8" i="29"/>
  <c r="H7" i="29"/>
  <c r="G7" i="29"/>
  <c r="E7" i="29"/>
  <c r="D7" i="29"/>
  <c r="C7" i="29"/>
  <c r="H6" i="29"/>
  <c r="G6" i="29"/>
  <c r="E6" i="29"/>
  <c r="D6" i="29"/>
  <c r="C6" i="29"/>
  <c r="H5" i="29"/>
  <c r="G5" i="29"/>
  <c r="E5" i="29"/>
  <c r="D5" i="29"/>
  <c r="C5" i="29"/>
  <c r="H4" i="29"/>
  <c r="G4" i="29"/>
  <c r="E4" i="29"/>
  <c r="D4" i="29"/>
  <c r="C4" i="29"/>
  <c r="D3" i="29"/>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3" i="1"/>
  <c r="F74" i="29" l="1"/>
  <c r="H73" i="29"/>
  <c r="F73" i="29" s="1"/>
  <c r="H72" i="29"/>
  <c r="F72" i="29" s="1"/>
  <c r="H71" i="29"/>
  <c r="F71" i="29" s="1"/>
  <c r="H70" i="29"/>
  <c r="F70" i="29" s="1"/>
  <c r="H69" i="29"/>
  <c r="F69" i="29" s="1"/>
  <c r="H68" i="29"/>
  <c r="F68" i="29" s="1"/>
  <c r="H67" i="29"/>
  <c r="F67" i="29" s="1"/>
  <c r="H66" i="29"/>
  <c r="F66" i="29" s="1"/>
  <c r="H65" i="29"/>
  <c r="F65" i="29" s="1"/>
  <c r="H64" i="29"/>
  <c r="F64" i="29" s="1"/>
  <c r="H63" i="29"/>
  <c r="F63" i="29" s="1"/>
  <c r="H62" i="29"/>
  <c r="F62" i="29" s="1"/>
  <c r="H61" i="29"/>
  <c r="F61" i="29" s="1"/>
  <c r="H60" i="29"/>
  <c r="F60" i="29" s="1"/>
  <c r="H59" i="29"/>
  <c r="F59" i="29" s="1"/>
  <c r="H58" i="29"/>
  <c r="F58" i="29" s="1"/>
  <c r="H57" i="29"/>
  <c r="F57" i="29" s="1"/>
  <c r="H56" i="29"/>
  <c r="F56" i="29" s="1"/>
  <c r="H55" i="29"/>
  <c r="F55" i="29" s="1"/>
  <c r="H54" i="29"/>
  <c r="F54" i="29" s="1"/>
  <c r="H53" i="29"/>
  <c r="F53" i="29" s="1"/>
  <c r="H52" i="29"/>
  <c r="F52" i="29" s="1"/>
  <c r="H51" i="29"/>
  <c r="F51" i="29" s="1"/>
  <c r="H50" i="29"/>
  <c r="F50" i="29" s="1"/>
  <c r="H49" i="29"/>
  <c r="F49" i="29" s="1"/>
  <c r="H48" i="29"/>
  <c r="F48" i="29" s="1"/>
  <c r="H47" i="29"/>
  <c r="F47" i="29" s="1"/>
  <c r="H46" i="29"/>
  <c r="F46" i="29" s="1"/>
  <c r="H45" i="29"/>
  <c r="F45" i="29" s="1"/>
  <c r="H44" i="29"/>
  <c r="F44" i="29" s="1"/>
  <c r="H43" i="29"/>
  <c r="F43" i="29" s="1"/>
  <c r="H42" i="29"/>
  <c r="F42" i="29" s="1"/>
  <c r="H41" i="29"/>
  <c r="F41" i="29" s="1"/>
  <c r="H40" i="29"/>
  <c r="F40" i="29" s="1"/>
  <c r="H39" i="29"/>
  <c r="F39" i="29" s="1"/>
  <c r="Q37" i="29"/>
  <c r="Q36" i="29"/>
  <c r="F36" i="29"/>
  <c r="Q35" i="29"/>
  <c r="H35" i="29"/>
  <c r="Q34" i="29"/>
  <c r="Q33" i="29"/>
  <c r="Q32" i="29"/>
  <c r="Q31" i="29"/>
  <c r="Q30" i="29"/>
  <c r="Q29" i="29"/>
  <c r="Q28" i="29"/>
  <c r="Q27" i="29"/>
  <c r="Q26" i="29"/>
  <c r="Q25" i="29"/>
  <c r="Q24" i="29"/>
  <c r="Q23" i="29"/>
  <c r="Q22" i="29"/>
  <c r="Q21" i="29"/>
  <c r="Q20" i="29"/>
  <c r="Q19" i="29"/>
  <c r="Q18" i="29"/>
  <c r="Q17" i="29"/>
  <c r="Q16" i="29"/>
  <c r="Q15" i="29"/>
  <c r="Q14" i="29"/>
  <c r="Q13" i="29"/>
  <c r="Q12" i="29"/>
  <c r="Q11" i="29"/>
  <c r="Q10" i="29"/>
  <c r="Q9" i="29"/>
  <c r="Q8" i="29"/>
  <c r="Q7" i="29"/>
  <c r="Q6" i="29"/>
  <c r="Q5" i="29"/>
  <c r="Q4" i="29"/>
  <c r="Q3" i="29"/>
  <c r="W1391" i="1" l="1"/>
  <c r="X1391" i="1"/>
  <c r="W1392" i="1"/>
  <c r="X1392" i="1"/>
  <c r="W1393" i="1"/>
  <c r="X1393" i="1"/>
  <c r="W1394" i="1"/>
  <c r="X1394" i="1"/>
  <c r="W1395" i="1"/>
  <c r="X1395" i="1"/>
  <c r="W1396" i="1"/>
  <c r="X1396" i="1"/>
  <c r="W1397" i="1"/>
  <c r="X1397" i="1"/>
  <c r="C374" i="1" l="1"/>
  <c r="C403" i="1"/>
  <c r="C786" i="1"/>
  <c r="C1438" i="1"/>
  <c r="C995" i="1"/>
  <c r="C825" i="1"/>
  <c r="C1361" i="1"/>
  <c r="C49" i="1"/>
  <c r="C1132" i="1"/>
  <c r="C882" i="1"/>
  <c r="C787" i="1"/>
  <c r="C1041" i="1"/>
  <c r="C1436" i="1"/>
  <c r="C388" i="1"/>
  <c r="C1283" i="1"/>
  <c r="C173" i="1"/>
  <c r="C1396" i="1"/>
  <c r="C1241" i="1"/>
  <c r="C974" i="1"/>
  <c r="C1275" i="1"/>
  <c r="C1321" i="1"/>
  <c r="C231" i="1"/>
  <c r="C818" i="1"/>
  <c r="C883" i="1"/>
  <c r="C1038" i="1"/>
  <c r="C539" i="1"/>
  <c r="C1212" i="1"/>
  <c r="C570" i="1"/>
  <c r="C252" i="1"/>
  <c r="C1119" i="1"/>
  <c r="C850" i="1"/>
  <c r="C490" i="1"/>
  <c r="C385" i="1"/>
  <c r="C260" i="1"/>
  <c r="C952" i="1"/>
  <c r="C808" i="1"/>
  <c r="C1026" i="1"/>
  <c r="C267" i="1"/>
  <c r="C117" i="1"/>
  <c r="C472" i="1"/>
  <c r="C832" i="1"/>
  <c r="C904" i="1"/>
  <c r="C666" i="1"/>
  <c r="C668" i="1"/>
  <c r="C1388" i="1"/>
  <c r="I40" i="24" l="1"/>
  <c r="I41" i="24"/>
  <c r="I42" i="24"/>
  <c r="I43" i="24"/>
  <c r="I44" i="24"/>
  <c r="I45" i="24"/>
  <c r="I46" i="24"/>
  <c r="I47" i="24"/>
  <c r="I48" i="24"/>
  <c r="I49" i="24"/>
  <c r="I50" i="24"/>
  <c r="I51" i="24"/>
  <c r="I52" i="24"/>
  <c r="I53" i="24"/>
  <c r="I54" i="24"/>
  <c r="I55" i="24"/>
  <c r="I56" i="24"/>
  <c r="I57" i="24"/>
  <c r="I58" i="24"/>
  <c r="I59" i="24"/>
  <c r="I60" i="24"/>
  <c r="I61" i="24"/>
  <c r="I62" i="24"/>
  <c r="I63" i="24"/>
  <c r="I64" i="24"/>
  <c r="I65" i="24"/>
  <c r="I66" i="24"/>
  <c r="I67" i="24"/>
  <c r="I68" i="24"/>
  <c r="I69" i="24"/>
  <c r="I70" i="24"/>
  <c r="I71" i="24"/>
  <c r="I72" i="24"/>
  <c r="I73" i="24"/>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40" i="19"/>
  <c r="I41" i="19"/>
  <c r="I42" i="19"/>
  <c r="I43" i="19"/>
  <c r="I44" i="19"/>
  <c r="I45" i="19"/>
  <c r="I46" i="19"/>
  <c r="I47" i="19"/>
  <c r="I48" i="19"/>
  <c r="I49" i="19"/>
  <c r="I50" i="19"/>
  <c r="I51" i="19"/>
  <c r="I52" i="19"/>
  <c r="I53" i="19"/>
  <c r="I54" i="19"/>
  <c r="I55" i="19"/>
  <c r="I56" i="19"/>
  <c r="I57" i="19"/>
  <c r="I58" i="19"/>
  <c r="I59" i="19"/>
  <c r="I60" i="19"/>
  <c r="I61" i="19"/>
  <c r="I62" i="19"/>
  <c r="I63" i="19"/>
  <c r="I64" i="19"/>
  <c r="I65" i="19"/>
  <c r="I66" i="19"/>
  <c r="I67" i="19"/>
  <c r="I68" i="19"/>
  <c r="I69" i="19"/>
  <c r="I70" i="19"/>
  <c r="I71" i="19"/>
  <c r="I72" i="19"/>
  <c r="I73" i="19"/>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40" i="18"/>
  <c r="I41" i="18"/>
  <c r="I42" i="18"/>
  <c r="I43" i="18"/>
  <c r="I44" i="18"/>
  <c r="I45" i="18"/>
  <c r="I46" i="18"/>
  <c r="I47" i="18"/>
  <c r="I48" i="18"/>
  <c r="I49" i="18"/>
  <c r="I50" i="18"/>
  <c r="I51" i="18"/>
  <c r="I52" i="18"/>
  <c r="I53" i="18"/>
  <c r="I54" i="18"/>
  <c r="I55" i="18"/>
  <c r="I56" i="18"/>
  <c r="I57" i="18"/>
  <c r="I58" i="18"/>
  <c r="I59" i="18"/>
  <c r="I60" i="18"/>
  <c r="I61" i="18"/>
  <c r="I62" i="18"/>
  <c r="I63" i="18"/>
  <c r="I64" i="18"/>
  <c r="I65" i="18"/>
  <c r="I66" i="18"/>
  <c r="I67" i="18"/>
  <c r="I68" i="18"/>
  <c r="I69" i="18"/>
  <c r="I70" i="18"/>
  <c r="I71" i="18"/>
  <c r="I72" i="18"/>
  <c r="I73" i="18"/>
  <c r="I39" i="24"/>
  <c r="I39" i="17"/>
  <c r="I39" i="19"/>
  <c r="I39" i="22"/>
  <c r="I39" i="16"/>
  <c r="I39" i="20"/>
  <c r="I39" i="21"/>
  <c r="I39" i="18"/>
  <c r="G74" i="19"/>
  <c r="G74" i="22"/>
  <c r="G74" i="16"/>
  <c r="G74" i="20"/>
  <c r="G74" i="21"/>
  <c r="G74" i="17"/>
  <c r="D1284" i="1"/>
  <c r="D588" i="1"/>
  <c r="D977" i="1"/>
  <c r="D582" i="1"/>
  <c r="D1065" i="1"/>
  <c r="D1281" i="1"/>
  <c r="D1082" i="1"/>
  <c r="D875" i="1"/>
  <c r="D193" i="1"/>
  <c r="D748" i="1"/>
  <c r="D1164" i="1"/>
  <c r="D1417" i="1"/>
  <c r="D788" i="1"/>
  <c r="D1153" i="1"/>
  <c r="D1066" i="1"/>
  <c r="D1067" i="1"/>
  <c r="D968" i="1"/>
  <c r="D414" i="1"/>
  <c r="D717" i="1"/>
  <c r="D654" i="1"/>
  <c r="D706" i="1"/>
  <c r="D1251" i="1"/>
  <c r="D949" i="1"/>
  <c r="D826" i="1"/>
  <c r="D405" i="1"/>
  <c r="D340" i="1"/>
  <c r="D624" i="1"/>
  <c r="D639" i="1"/>
  <c r="D130" i="1"/>
  <c r="D917" i="1"/>
  <c r="D263" i="1"/>
  <c r="D1028" i="1"/>
  <c r="D592" i="1"/>
  <c r="D1068" i="1"/>
  <c r="D951" i="1"/>
  <c r="D1466" i="1"/>
  <c r="D540" i="1"/>
  <c r="D724" i="1"/>
  <c r="D767" i="1"/>
  <c r="D175" i="1"/>
  <c r="D1063" i="1"/>
  <c r="D483" i="1"/>
  <c r="D327" i="1"/>
  <c r="D1031" i="1"/>
  <c r="D1341" i="1"/>
  <c r="D105" i="1"/>
  <c r="D241" i="1"/>
  <c r="D1393" i="1"/>
  <c r="D842" i="1"/>
  <c r="D1308" i="1"/>
  <c r="D75" i="1"/>
  <c r="D857" i="1"/>
  <c r="D1336" i="1"/>
  <c r="D589" i="1"/>
  <c r="D969" i="1"/>
  <c r="D1191" i="1"/>
  <c r="D754" i="1"/>
  <c r="D392" i="1"/>
  <c r="D888" i="1"/>
  <c r="D694" i="1"/>
  <c r="D571" i="1"/>
  <c r="D1227" i="1"/>
  <c r="D1258" i="1"/>
  <c r="D410" i="1"/>
  <c r="D697" i="1"/>
  <c r="D870" i="1"/>
  <c r="D835" i="1"/>
  <c r="D986" i="1"/>
  <c r="D464" i="1"/>
  <c r="D1309" i="1"/>
  <c r="D210" i="1"/>
  <c r="D556" i="1"/>
  <c r="D980" i="1"/>
  <c r="D300" i="1"/>
  <c r="D1455" i="1"/>
  <c r="D897" i="1"/>
  <c r="D707" i="1"/>
  <c r="D590" i="1"/>
  <c r="D913" i="1"/>
  <c r="D390" i="1"/>
  <c r="D1079" i="1"/>
  <c r="D871" i="1"/>
  <c r="D709" i="1"/>
  <c r="D755" i="1"/>
  <c r="D341" i="1"/>
  <c r="D421" i="1"/>
  <c r="D1312" i="1"/>
  <c r="D90" i="1"/>
  <c r="D250" i="1"/>
  <c r="D532" i="1"/>
  <c r="D22" i="1"/>
  <c r="D553" i="1"/>
  <c r="D1465" i="1"/>
  <c r="D102" i="1"/>
  <c r="D1111" i="1"/>
  <c r="D484" i="1"/>
  <c r="D493" i="1"/>
  <c r="D1032" i="1"/>
  <c r="D1142" i="1"/>
  <c r="D1332" i="1"/>
  <c r="D1033" i="1"/>
  <c r="D1410" i="1"/>
  <c r="D1152" i="1"/>
  <c r="D86" i="1"/>
  <c r="D1380" i="1"/>
  <c r="D425" i="1"/>
  <c r="D228" i="1"/>
  <c r="D1469" i="1"/>
  <c r="D686" i="1"/>
  <c r="D361" i="1"/>
  <c r="D121" i="1"/>
  <c r="D1069" i="1"/>
  <c r="D339" i="1"/>
  <c r="D629" i="1"/>
  <c r="D1051" i="1"/>
  <c r="D800" i="1"/>
  <c r="D834" i="1"/>
  <c r="D1175" i="1"/>
  <c r="D1083" i="1"/>
  <c r="D1130" i="1"/>
  <c r="D139" i="1"/>
  <c r="D1077" i="1"/>
  <c r="D568" i="1"/>
  <c r="D953" i="1"/>
  <c r="D1343" i="1"/>
  <c r="D151" i="1"/>
  <c r="D1162" i="1"/>
  <c r="D769" i="1"/>
  <c r="D223" i="1"/>
  <c r="D295" i="1"/>
  <c r="D827" i="1"/>
  <c r="D176" i="1"/>
  <c r="D1181" i="1"/>
  <c r="D585" i="1"/>
  <c r="D967" i="1"/>
  <c r="D1160" i="1"/>
  <c r="D534" i="1"/>
  <c r="D1334" i="1"/>
  <c r="D690" i="1"/>
  <c r="D1155" i="1"/>
  <c r="D465" i="1"/>
  <c r="D397" i="1"/>
  <c r="D499" i="1"/>
  <c r="D852" i="1"/>
  <c r="D1425" i="1"/>
  <c r="D50" i="1"/>
  <c r="D1151" i="1"/>
  <c r="D1261" i="1"/>
  <c r="D965" i="1"/>
  <c r="D836" i="1"/>
  <c r="D1003" i="1"/>
  <c r="D1040" i="1"/>
  <c r="D655" i="1"/>
  <c r="D1328" i="1"/>
  <c r="D533" i="1"/>
  <c r="D244" i="1"/>
  <c r="D671" i="1"/>
  <c r="D538" i="1"/>
  <c r="D1135" i="1"/>
  <c r="D742" i="1"/>
  <c r="D1262" i="1"/>
  <c r="D1451" i="1"/>
  <c r="D959" i="1"/>
  <c r="D616" i="1"/>
  <c r="D705" i="1"/>
  <c r="D610" i="1"/>
  <c r="D962" i="1"/>
  <c r="D1383" i="1"/>
  <c r="D177" i="1"/>
  <c r="D911" i="1"/>
  <c r="D1027" i="1"/>
  <c r="D88" i="1"/>
  <c r="D384" i="1"/>
  <c r="D76" i="1"/>
  <c r="D1095" i="1"/>
  <c r="D892" i="1"/>
  <c r="D817" i="1"/>
  <c r="D1439" i="1"/>
  <c r="D382" i="1"/>
  <c r="D721" i="1"/>
  <c r="D459" i="1"/>
  <c r="D297" i="1"/>
  <c r="D445" i="1"/>
  <c r="D947" i="1"/>
  <c r="D387" i="1"/>
  <c r="D849" i="1"/>
  <c r="D660" i="1"/>
  <c r="D83" i="1"/>
  <c r="D990" i="1"/>
  <c r="D140" i="1"/>
  <c r="D145" i="1"/>
  <c r="D1391" i="1"/>
  <c r="D356" i="1"/>
  <c r="D305" i="1"/>
  <c r="D876" i="1"/>
  <c r="D301" i="1"/>
  <c r="D794" i="1"/>
  <c r="D820" i="1"/>
  <c r="D44" i="1"/>
  <c r="D1136" i="1"/>
  <c r="D798" i="1"/>
  <c r="D1379" i="1"/>
  <c r="D618" i="1"/>
  <c r="D565" i="1"/>
  <c r="D443" i="1"/>
  <c r="D1253" i="1"/>
  <c r="D141" i="1"/>
  <c r="D1224" i="1"/>
  <c r="D966" i="1"/>
  <c r="D99" i="1"/>
  <c r="D107" i="1"/>
  <c r="D1333" i="1"/>
  <c r="D1120" i="1"/>
  <c r="D719" i="1"/>
  <c r="D530" i="1"/>
  <c r="D1456" i="1"/>
  <c r="D975" i="1"/>
  <c r="D1110" i="1"/>
  <c r="D508" i="1"/>
  <c r="D59" i="1"/>
  <c r="D918" i="1"/>
  <c r="D1211" i="1"/>
  <c r="D860" i="1"/>
  <c r="D640" i="1"/>
  <c r="D1418" i="1"/>
  <c r="D1250" i="1"/>
  <c r="D369" i="1"/>
  <c r="D627" i="1"/>
  <c r="D137" i="1"/>
  <c r="D859" i="1"/>
  <c r="D1204" i="1"/>
  <c r="D1381" i="1"/>
  <c r="D429" i="1"/>
  <c r="D379" i="1"/>
  <c r="D819" i="1"/>
  <c r="D348" i="1"/>
  <c r="D1213" i="1"/>
  <c r="D432" i="1"/>
  <c r="D381" i="1"/>
  <c r="D1477" i="1"/>
  <c r="D23" i="1"/>
  <c r="D1229" i="1"/>
  <c r="D1201" i="1"/>
  <c r="D393" i="1"/>
  <c r="D578" i="1"/>
  <c r="D1478" i="1"/>
  <c r="D1408" i="1"/>
  <c r="D1449" i="1"/>
  <c r="D889" i="1"/>
  <c r="D841" i="1"/>
  <c r="D1372" i="1"/>
  <c r="D736" i="1"/>
  <c r="D1096" i="1"/>
  <c r="D1002" i="1"/>
  <c r="D108" i="1"/>
  <c r="D165" i="1"/>
  <c r="D782" i="1"/>
  <c r="D1084" i="1"/>
  <c r="D283" i="1"/>
  <c r="D931" i="1"/>
  <c r="D1034" i="1"/>
  <c r="D1045" i="1"/>
  <c r="D601" i="1"/>
  <c r="D69" i="1"/>
  <c r="D564" i="1"/>
  <c r="D254" i="1"/>
  <c r="D1085" i="1"/>
  <c r="D970" i="1"/>
  <c r="D291" i="1"/>
  <c r="D577" i="1"/>
  <c r="D1112" i="1"/>
  <c r="D155" i="1"/>
  <c r="D321" i="1"/>
  <c r="D898" i="1"/>
  <c r="D482" i="1"/>
  <c r="D364" i="1"/>
  <c r="D453" i="1"/>
  <c r="D723" i="1"/>
  <c r="D362" i="1"/>
  <c r="D1387" i="1"/>
  <c r="D795" i="1"/>
  <c r="D271" i="1"/>
  <c r="D978" i="1"/>
  <c r="D778" i="1"/>
  <c r="D558" i="1"/>
  <c r="D928" i="1"/>
  <c r="D287" i="1"/>
  <c r="D507" i="1"/>
  <c r="D38" i="1"/>
  <c r="D187" i="1"/>
  <c r="D944" i="1"/>
  <c r="D320" i="1"/>
  <c r="D115" i="1"/>
  <c r="D476" i="1"/>
  <c r="D39" i="1"/>
  <c r="D302" i="1"/>
  <c r="D1104" i="1"/>
  <c r="D441" i="1"/>
  <c r="D973" i="1"/>
  <c r="D62" i="1"/>
  <c r="D1322" i="1"/>
  <c r="D1277" i="1"/>
  <c r="D1272" i="1"/>
  <c r="D1137" i="1"/>
  <c r="D19" i="1"/>
  <c r="D1060" i="1"/>
  <c r="D51" i="1"/>
  <c r="D606" i="1"/>
  <c r="D681" i="1"/>
  <c r="D939" i="1"/>
  <c r="D440" i="1"/>
  <c r="D395" i="1"/>
  <c r="D1102" i="1"/>
  <c r="D81" i="1"/>
  <c r="D1086" i="1"/>
  <c r="D1327" i="1"/>
  <c r="D1407" i="1"/>
  <c r="D446" i="1"/>
  <c r="D869" i="1"/>
  <c r="D722" i="1"/>
  <c r="D1209" i="1"/>
  <c r="D1210" i="1"/>
  <c r="D676" i="1"/>
  <c r="D801" i="1"/>
  <c r="D380" i="1"/>
  <c r="D1080" i="1"/>
  <c r="D24" i="1"/>
  <c r="D25" i="1"/>
  <c r="D1182" i="1"/>
  <c r="D613" i="1"/>
  <c r="D1428" i="1"/>
  <c r="D457" i="1"/>
  <c r="D519" i="1"/>
  <c r="D596" i="1"/>
  <c r="D411" i="1"/>
  <c r="D714" i="1"/>
  <c r="D1070" i="1"/>
  <c r="D262" i="1"/>
  <c r="D328" i="1"/>
  <c r="D670" i="1"/>
  <c r="D336" i="1"/>
  <c r="D760" i="1"/>
  <c r="D960" i="1"/>
  <c r="D682" i="1"/>
  <c r="D1365" i="1"/>
  <c r="D665" i="1"/>
  <c r="D698" i="1"/>
  <c r="D1052" i="1"/>
  <c r="D1172" i="1"/>
  <c r="D886" i="1"/>
  <c r="D632" i="1"/>
  <c r="D1274" i="1"/>
  <c r="D60" i="1"/>
  <c r="D203" i="1"/>
  <c r="D1355" i="1"/>
  <c r="D887" i="1"/>
  <c r="D12" i="1"/>
  <c r="D854" i="1"/>
  <c r="D991" i="1"/>
  <c r="D1297" i="1"/>
  <c r="D1156" i="1"/>
  <c r="D1442" i="1"/>
  <c r="D501" i="1"/>
  <c r="D147" i="1"/>
  <c r="D569" i="1"/>
  <c r="D771" i="1"/>
  <c r="D52" i="1"/>
  <c r="D188" i="1"/>
  <c r="D1330" i="1"/>
  <c r="D1398" i="1"/>
  <c r="D1007" i="1"/>
  <c r="D762" i="1"/>
  <c r="D921" i="1"/>
  <c r="D512" i="1"/>
  <c r="D1367" i="1"/>
  <c r="D1124" i="1"/>
  <c r="D1360" i="1"/>
  <c r="D992" i="1"/>
  <c r="D1263" i="1"/>
  <c r="D982" i="1"/>
  <c r="D319" i="1"/>
  <c r="D478" i="1"/>
  <c r="D710" i="1"/>
  <c r="D33" i="1"/>
  <c r="D1298" i="1"/>
  <c r="D1242" i="1"/>
  <c r="D732" i="1"/>
  <c r="D633" i="1"/>
  <c r="D1171" i="1"/>
  <c r="D776" i="1"/>
  <c r="D634" i="1"/>
  <c r="D435" i="1"/>
  <c r="D704" i="1"/>
  <c r="D1331" i="1"/>
  <c r="D1009" i="1"/>
  <c r="D89" i="1"/>
  <c r="D914" i="1"/>
  <c r="D199" i="1"/>
  <c r="D460" i="1"/>
  <c r="D1419" i="1"/>
  <c r="D447" i="1"/>
  <c r="D1378" i="1"/>
  <c r="D1307" i="1"/>
  <c r="D1107" i="1"/>
  <c r="D711" i="1"/>
  <c r="D485" i="1"/>
  <c r="D95" i="1"/>
  <c r="D73" i="1"/>
  <c r="D178" i="1"/>
  <c r="D142" i="1"/>
  <c r="D1170" i="1"/>
  <c r="D349" i="1"/>
  <c r="D743" i="1"/>
  <c r="D218" i="1"/>
  <c r="D1346" i="1"/>
  <c r="D219" i="1"/>
  <c r="D940" i="1"/>
  <c r="D1165" i="1"/>
  <c r="D674" i="1"/>
  <c r="D329" i="1"/>
  <c r="D745" i="1"/>
  <c r="D936" i="1"/>
  <c r="D1206" i="1"/>
  <c r="D1214" i="1"/>
  <c r="D621" i="1"/>
  <c r="D976" i="1"/>
  <c r="D222" i="1"/>
  <c r="D763" i="1"/>
  <c r="D217" i="1"/>
  <c r="D1221" i="1"/>
  <c r="D350" i="1"/>
  <c r="D324" i="1"/>
  <c r="D783" i="1"/>
  <c r="D345" i="1"/>
  <c r="D5" i="1"/>
  <c r="D915" i="1"/>
  <c r="D398" i="1"/>
  <c r="D479" i="1"/>
  <c r="D120" i="1"/>
  <c r="D1025" i="1"/>
  <c r="D890" i="1"/>
  <c r="D656" i="1"/>
  <c r="D272" i="1"/>
  <c r="D245" i="1"/>
  <c r="D1020" i="1"/>
  <c r="D511" i="1"/>
  <c r="D948" i="1"/>
  <c r="D1035" i="1"/>
  <c r="D1329" i="1"/>
  <c r="D528" i="1"/>
  <c r="D1050" i="1"/>
  <c r="D718" i="1"/>
  <c r="D1131" i="1"/>
  <c r="D560" i="1"/>
  <c r="D1138" i="1"/>
  <c r="D448" i="1"/>
  <c r="D87" i="1"/>
  <c r="D1285" i="1"/>
  <c r="D1317" i="1"/>
  <c r="D804" i="1"/>
  <c r="D237" i="1"/>
  <c r="D143" i="1"/>
  <c r="D1230" i="1"/>
  <c r="D1292" i="1"/>
  <c r="D211" i="1"/>
  <c r="D344" i="1"/>
  <c r="D1463" i="1"/>
  <c r="D255" i="1"/>
  <c r="D220" i="1"/>
  <c r="D1424" i="1"/>
  <c r="D922" i="1"/>
  <c r="D372" i="1"/>
  <c r="D1430" i="1"/>
  <c r="D937" i="1"/>
  <c r="D3" i="1"/>
  <c r="D227" i="1"/>
  <c r="D893" i="1"/>
  <c r="D6" i="1"/>
  <c r="D833" i="1"/>
  <c r="D306" i="1"/>
  <c r="D268" i="1"/>
  <c r="D189" i="1"/>
  <c r="D238" i="1"/>
  <c r="D399" i="1"/>
  <c r="D166" i="1"/>
  <c r="D996" i="1"/>
  <c r="D1359" i="1"/>
  <c r="D456" i="1"/>
  <c r="D487" i="1"/>
  <c r="D1344" i="1"/>
  <c r="D56" i="1"/>
  <c r="D983" i="1"/>
  <c r="D1113" i="1"/>
  <c r="D691" i="1"/>
  <c r="D1001" i="1"/>
  <c r="D1384" i="1"/>
  <c r="D1197" i="1"/>
  <c r="D63" i="1"/>
  <c r="D1295" i="1"/>
  <c r="D536" i="1"/>
  <c r="D765" i="1"/>
  <c r="D45" i="1"/>
  <c r="D1337" i="1"/>
  <c r="D1286" i="1"/>
  <c r="D412" i="1"/>
  <c r="D607" i="1"/>
  <c r="D1461" i="1"/>
  <c r="D473" i="1"/>
  <c r="D809" i="1"/>
  <c r="D680" i="1"/>
  <c r="D413" i="1"/>
  <c r="D1123" i="1"/>
  <c r="D861" i="1"/>
  <c r="D1470" i="1"/>
  <c r="D781" i="1"/>
  <c r="D840" i="1"/>
  <c r="D930" i="1"/>
  <c r="D796" i="1"/>
  <c r="D66" i="1"/>
  <c r="D383" i="1"/>
  <c r="D979" i="1"/>
  <c r="D635" i="1"/>
  <c r="D113" i="1"/>
  <c r="D1404" i="1"/>
  <c r="D1053" i="1"/>
  <c r="D1047" i="1"/>
  <c r="D32" i="1"/>
  <c r="D1158" i="1"/>
  <c r="D439" i="1"/>
  <c r="D813" i="1"/>
  <c r="D1457" i="1"/>
  <c r="D298" i="1"/>
  <c r="D972" i="1"/>
  <c r="D535" i="1"/>
  <c r="D307" i="1"/>
  <c r="D1400" i="1"/>
  <c r="D1010" i="1"/>
  <c r="D1091" i="1"/>
  <c r="D1369" i="1"/>
  <c r="D954" i="1"/>
  <c r="D929" i="1"/>
  <c r="D36" i="1"/>
  <c r="D308" i="1"/>
  <c r="D110" i="1"/>
  <c r="D1114" i="1"/>
  <c r="D806" i="1"/>
  <c r="D1064" i="1"/>
  <c r="D779" i="1"/>
  <c r="D195" i="1"/>
  <c r="D190" i="1"/>
  <c r="D246" i="1"/>
  <c r="D242" i="1"/>
  <c r="D466" i="1"/>
  <c r="D365" i="1"/>
  <c r="D426" i="1"/>
  <c r="D1458" i="1"/>
  <c r="D1282" i="1"/>
  <c r="D342" i="1"/>
  <c r="D1021" i="1"/>
  <c r="D677" i="1"/>
  <c r="D1405" i="1"/>
  <c r="D205" i="1"/>
  <c r="D595" i="1"/>
  <c r="D838" i="1"/>
  <c r="D998" i="1"/>
  <c r="D64" i="1"/>
  <c r="D467" i="1"/>
  <c r="D543" i="1"/>
  <c r="D1194" i="1"/>
  <c r="D1109" i="1"/>
  <c r="D109" i="1"/>
  <c r="D1452" i="1"/>
  <c r="D428" i="1"/>
  <c r="D894" i="1"/>
  <c r="D1440" i="1"/>
  <c r="D480" i="1"/>
  <c r="D221" i="1"/>
  <c r="D7" i="1"/>
  <c r="D404" i="1"/>
  <c r="D581" i="1"/>
  <c r="D1101" i="1"/>
  <c r="D513" i="1"/>
  <c r="D179" i="1"/>
  <c r="D863" i="1"/>
  <c r="D309" i="1"/>
  <c r="D94" i="1"/>
  <c r="D70" i="1"/>
  <c r="D449" i="1"/>
  <c r="D494" i="1"/>
  <c r="D815" i="1"/>
  <c r="D57" i="1"/>
  <c r="D1426" i="1"/>
  <c r="D1166" i="1"/>
  <c r="D574" i="1"/>
  <c r="D993" i="1"/>
  <c r="D1358" i="1"/>
  <c r="D1293" i="1"/>
  <c r="D1276" i="1"/>
  <c r="D877" i="1"/>
  <c r="D1394" i="1"/>
  <c r="D37" i="1"/>
  <c r="D470" i="1"/>
  <c r="D1049" i="1"/>
  <c r="D1249" i="1"/>
  <c r="D1300" i="1"/>
  <c r="D899" i="1"/>
  <c r="D475" i="1"/>
  <c r="D932" i="1"/>
  <c r="D504" i="1"/>
  <c r="D572" i="1"/>
  <c r="D746" i="1"/>
  <c r="D124" i="1"/>
  <c r="D816" i="1"/>
  <c r="D1315" i="1"/>
  <c r="D699" i="1"/>
  <c r="D603" i="1"/>
  <c r="D1215" i="1"/>
  <c r="D163" i="1"/>
  <c r="D923" i="1"/>
  <c r="D1183" i="1"/>
  <c r="D1287" i="1"/>
  <c r="D161" i="1"/>
  <c r="D878" i="1"/>
  <c r="D1259" i="1"/>
  <c r="D622" i="1"/>
  <c r="D652" i="1"/>
  <c r="D784" i="1"/>
  <c r="D802" i="1"/>
  <c r="D843" i="1"/>
  <c r="D251" i="1"/>
  <c r="D434" i="1"/>
  <c r="D774" i="1"/>
  <c r="D981" i="1"/>
  <c r="D1092" i="1"/>
  <c r="D1325" i="1"/>
  <c r="D793" i="1"/>
  <c r="D77" i="1"/>
  <c r="D335" i="1"/>
  <c r="D1402" i="1"/>
  <c r="D885" i="1"/>
  <c r="D1411" i="1"/>
  <c r="D761" i="1"/>
  <c r="D180" i="1"/>
  <c r="D152" i="1"/>
  <c r="D433" i="1"/>
  <c r="D1087" i="1"/>
  <c r="D376" i="1"/>
  <c r="D1058" i="1"/>
  <c r="D700" i="1"/>
  <c r="D310" i="1"/>
  <c r="D1198" i="1"/>
  <c r="D1256" i="1"/>
  <c r="D872" i="1"/>
  <c r="D171" i="1"/>
  <c r="D1375" i="1"/>
  <c r="D555" i="1"/>
  <c r="D1100" i="1"/>
  <c r="D34" i="1"/>
  <c r="D331" i="1"/>
  <c r="D1423" i="1"/>
  <c r="D1219" i="1"/>
  <c r="D1062" i="1"/>
  <c r="D1167" i="1"/>
  <c r="D770" i="1"/>
  <c r="D391" i="1"/>
  <c r="D1313" i="1"/>
  <c r="D559" i="1"/>
  <c r="D735" i="1"/>
  <c r="D378" i="1"/>
  <c r="D683" i="1"/>
  <c r="D1054" i="1"/>
  <c r="D910" i="1"/>
  <c r="D78" i="1"/>
  <c r="D1373" i="1"/>
  <c r="D406" i="1"/>
  <c r="D303" i="1"/>
  <c r="D135" i="1"/>
  <c r="D1097" i="1"/>
  <c r="D280" i="1"/>
  <c r="D1257" i="1"/>
  <c r="D1094" i="1"/>
  <c r="D1103" i="1"/>
  <c r="D1350" i="1"/>
  <c r="D1024" i="1"/>
  <c r="D13" i="1"/>
  <c r="D488" i="1"/>
  <c r="D1294" i="1"/>
  <c r="D1176" i="1"/>
  <c r="D531" i="1"/>
  <c r="D1222" i="1"/>
  <c r="D394" i="1"/>
  <c r="D924" i="1"/>
  <c r="D586" i="1"/>
  <c r="D646" i="1"/>
  <c r="D285" i="1"/>
  <c r="D67" i="1"/>
  <c r="D1115" i="1"/>
  <c r="D988" i="1"/>
  <c r="D662" i="1"/>
  <c r="D657" i="1"/>
  <c r="D1403" i="1"/>
  <c r="D1255" i="1"/>
  <c r="D461" i="1"/>
  <c r="D4" i="1"/>
  <c r="D53" i="1"/>
  <c r="D138" i="1"/>
  <c r="D537" i="1"/>
  <c r="D684" i="1"/>
  <c r="D431" i="1"/>
  <c r="D1319" i="1"/>
  <c r="D1199" i="1"/>
  <c r="D728" i="1"/>
  <c r="D273" i="1"/>
  <c r="D1264" i="1"/>
  <c r="D450" i="1"/>
  <c r="D347" i="1"/>
  <c r="D523" i="1"/>
  <c r="D994" i="1"/>
  <c r="D427" i="1"/>
  <c r="D46" i="1"/>
  <c r="D304" i="1"/>
  <c r="D1116" i="1"/>
  <c r="D1125" i="1"/>
  <c r="D311" i="1"/>
  <c r="D667" i="1"/>
  <c r="D879" i="1"/>
  <c r="D1366" i="1"/>
  <c r="D862" i="1"/>
  <c r="D1042" i="1"/>
  <c r="D29" i="1"/>
  <c r="D614" i="1"/>
  <c r="D128" i="1"/>
  <c r="D1134" i="1"/>
  <c r="D346" i="1"/>
  <c r="D1265" i="1"/>
  <c r="D522" i="1"/>
  <c r="D1288" i="1"/>
  <c r="D1163" i="1"/>
  <c r="D720" i="1"/>
  <c r="D1126" i="1"/>
  <c r="D1459" i="1"/>
  <c r="D615" i="1"/>
  <c r="D916" i="1"/>
  <c r="D906" i="1"/>
  <c r="D100" i="1"/>
  <c r="D106" i="1"/>
  <c r="D312" i="1"/>
  <c r="D294" i="1"/>
  <c r="D1192" i="1"/>
  <c r="D65" i="1"/>
  <c r="D495" i="1"/>
  <c r="D136" i="1"/>
  <c r="D884" i="1"/>
  <c r="D366" i="1"/>
  <c r="D727" i="1"/>
  <c r="D1444" i="1"/>
  <c r="D678" i="1"/>
  <c r="D215" i="1"/>
  <c r="D630" i="1"/>
  <c r="D118" i="1"/>
  <c r="D313" i="1"/>
  <c r="D1392" i="1"/>
  <c r="D264" i="1"/>
  <c r="D1173" i="1"/>
  <c r="D1108" i="1"/>
  <c r="D1022" i="1"/>
  <c r="D855" i="1"/>
  <c r="D643" i="1"/>
  <c r="D1071" i="1"/>
  <c r="D144" i="1"/>
  <c r="D557" i="1"/>
  <c r="D1479" i="1"/>
  <c r="D985" i="1"/>
  <c r="D1190" i="1"/>
  <c r="D377" i="1"/>
  <c r="D299" i="1"/>
  <c r="D1184" i="1"/>
  <c r="D471" i="1"/>
  <c r="D1072" i="1"/>
  <c r="D524" i="1"/>
  <c r="D497" i="1"/>
  <c r="D31" i="1"/>
  <c r="D167" i="1"/>
  <c r="D514" i="1"/>
  <c r="D1006" i="1"/>
  <c r="D131" i="1"/>
  <c r="D132" i="1"/>
  <c r="D191" i="1"/>
  <c r="D1412" i="1"/>
  <c r="D856" i="1"/>
  <c r="D851" i="1"/>
  <c r="D933" i="1"/>
  <c r="D725" i="1"/>
  <c r="D286" i="1"/>
  <c r="D1431" i="1"/>
  <c r="D1316" i="1"/>
  <c r="D945" i="1"/>
  <c r="D256" i="1"/>
  <c r="D1385" i="1"/>
  <c r="D1364" i="1"/>
  <c r="D739" i="1"/>
  <c r="D462" i="1"/>
  <c r="D1046" i="1"/>
  <c r="D1471" i="1"/>
  <c r="D941" i="1"/>
  <c r="D1139" i="1"/>
  <c r="D1437" i="1"/>
  <c r="D623" i="1"/>
  <c r="D415" i="1"/>
  <c r="D708" i="1"/>
  <c r="D351" i="1"/>
  <c r="D1260" i="1"/>
  <c r="D1320" i="1"/>
  <c r="D1011" i="1"/>
  <c r="D424" i="1"/>
  <c r="D750" i="1"/>
  <c r="D1266" i="1"/>
  <c r="D920" i="1"/>
  <c r="D409" i="1"/>
  <c r="D243" i="1"/>
  <c r="D9" i="1"/>
  <c r="D134" i="1"/>
  <c r="D502" i="1"/>
  <c r="D229" i="1"/>
  <c r="D1225" i="1"/>
  <c r="D1472" i="1"/>
  <c r="D1443" i="1"/>
  <c r="D628" i="1"/>
  <c r="D688" i="1"/>
  <c r="D1216" i="1"/>
  <c r="D274" i="1"/>
  <c r="D226" i="1"/>
  <c r="D895" i="1"/>
  <c r="D566" i="1"/>
  <c r="D1448" i="1"/>
  <c r="D608" i="1"/>
  <c r="D1073" i="1"/>
  <c r="D1267" i="1"/>
  <c r="D240" i="1"/>
  <c r="D659" i="1"/>
  <c r="D26" i="1"/>
  <c r="D901" i="1"/>
  <c r="D212" i="1"/>
  <c r="D1467" i="1"/>
  <c r="D184" i="1"/>
  <c r="D1029" i="1"/>
  <c r="D85" i="1"/>
  <c r="D288" i="1"/>
  <c r="D950" i="1"/>
  <c r="D661" i="1"/>
  <c r="D407" i="1"/>
  <c r="D1178" i="1"/>
  <c r="D1323" i="1"/>
  <c r="D357" i="1"/>
  <c r="D375" i="1"/>
  <c r="D79" i="1"/>
  <c r="D233" i="1"/>
  <c r="D790" i="1"/>
  <c r="D30" i="1"/>
  <c r="D1432" i="1"/>
  <c r="D386" i="1"/>
  <c r="D551" i="1"/>
  <c r="D1427" i="1"/>
  <c r="D612" i="1"/>
  <c r="D1044" i="1"/>
  <c r="D561" i="1"/>
  <c r="D828" i="1"/>
  <c r="D278" i="1"/>
  <c r="D529" i="1"/>
  <c r="D10" i="1"/>
  <c r="D481" i="1"/>
  <c r="D544" i="1"/>
  <c r="D104" i="1"/>
  <c r="D1352" i="1"/>
  <c r="D1268" i="1"/>
  <c r="D1289" i="1"/>
  <c r="D1059" i="1"/>
  <c r="D1306" i="1"/>
  <c r="D234" i="1"/>
  <c r="D1296" i="1"/>
  <c r="D541" i="1"/>
  <c r="D1231" i="1"/>
  <c r="D864" i="1"/>
  <c r="D1232" i="1"/>
  <c r="D620" i="1"/>
  <c r="D208" i="1"/>
  <c r="D40" i="1"/>
  <c r="D1233" i="1"/>
  <c r="D599" i="1"/>
  <c r="D575" i="1"/>
  <c r="D213" i="1"/>
  <c r="D1246" i="1"/>
  <c r="D868" i="1"/>
  <c r="D701" i="1"/>
  <c r="D93" i="1"/>
  <c r="D160" i="1"/>
  <c r="D1061" i="1"/>
  <c r="D756" i="1"/>
  <c r="D230" i="1"/>
  <c r="D609" i="1"/>
  <c r="D518" i="1"/>
  <c r="D1195" i="1"/>
  <c r="D1207" i="1"/>
  <c r="D207" i="1"/>
  <c r="D1122" i="1"/>
  <c r="D515" i="1"/>
  <c r="D1338" i="1"/>
  <c r="D506" i="1"/>
  <c r="D935" i="1"/>
  <c r="D1376" i="1"/>
  <c r="D1468" i="1"/>
  <c r="D235" i="1"/>
  <c r="D822" i="1"/>
  <c r="D545" i="1"/>
  <c r="D1413" i="1"/>
  <c r="D1357" i="1"/>
  <c r="D753" i="1"/>
  <c r="D1386" i="1"/>
  <c r="D416" i="1"/>
  <c r="D1099" i="1"/>
  <c r="D451" i="1"/>
  <c r="D400" i="1"/>
  <c r="D696" i="1"/>
  <c r="D74" i="1"/>
  <c r="D1106" i="1"/>
  <c r="D146" i="1"/>
  <c r="D455" i="1"/>
  <c r="D844" i="1"/>
  <c r="D1362" i="1"/>
  <c r="D469" i="1"/>
  <c r="D358" i="1"/>
  <c r="D919" i="1"/>
  <c r="D744" i="1"/>
  <c r="D1133" i="1"/>
  <c r="D91" i="1"/>
  <c r="D1269" i="1"/>
  <c r="D1168" i="1"/>
  <c r="D359" i="1"/>
  <c r="D1081" i="1"/>
  <c r="D154" i="1"/>
  <c r="D1301" i="1"/>
  <c r="D112" i="1"/>
  <c r="D14" i="1"/>
  <c r="D168" i="1"/>
  <c r="D239" i="1"/>
  <c r="D605" i="1"/>
  <c r="D158" i="1"/>
  <c r="D111" i="1"/>
  <c r="D1278" i="1"/>
  <c r="D21" i="1"/>
  <c r="D1036" i="1"/>
  <c r="D648" i="1"/>
  <c r="D1446" i="1"/>
  <c r="D1324" i="1"/>
  <c r="D653" i="1"/>
  <c r="D204" i="1"/>
  <c r="D1234" i="1"/>
  <c r="D821" i="1"/>
  <c r="D290" i="1"/>
  <c r="D1055" i="1"/>
  <c r="D333" i="1"/>
  <c r="D1254" i="1"/>
  <c r="D1039" i="1"/>
  <c r="D1299" i="1"/>
  <c r="D908" i="1"/>
  <c r="D1414" i="1"/>
  <c r="D337" i="1"/>
  <c r="D521" i="1"/>
  <c r="D209" i="1"/>
  <c r="D225" i="1"/>
  <c r="D853" i="1"/>
  <c r="D185" i="1"/>
  <c r="D486" i="1"/>
  <c r="D92" i="1"/>
  <c r="D1244" i="1"/>
  <c r="D925" i="1"/>
  <c r="D198" i="1"/>
  <c r="D261" i="1"/>
  <c r="D474" i="1"/>
  <c r="D389" i="1"/>
  <c r="D942" i="1"/>
  <c r="D1460" i="1"/>
  <c r="D958" i="1"/>
  <c r="D325" i="1"/>
  <c r="D1000" i="1"/>
  <c r="D314" i="1"/>
  <c r="D591" i="1"/>
  <c r="D1473" i="1"/>
  <c r="D1185" i="1"/>
  <c r="D122" i="1"/>
  <c r="D961" i="1"/>
  <c r="D1363" i="1"/>
  <c r="D520" i="1"/>
  <c r="D527" i="1"/>
  <c r="D338" i="1"/>
  <c r="D458" i="1"/>
  <c r="D546" i="1"/>
  <c r="D296" i="1"/>
  <c r="D1248" i="1"/>
  <c r="D330" i="1"/>
  <c r="D1433" i="1"/>
  <c r="D396" i="1"/>
  <c r="D71" i="1"/>
  <c r="D442" i="1"/>
  <c r="D181" i="1"/>
  <c r="D149" i="1"/>
  <c r="D436" i="1"/>
  <c r="D792" i="1"/>
  <c r="D757" i="1"/>
  <c r="D182" i="1"/>
  <c r="D1074" i="1"/>
  <c r="D943" i="1"/>
  <c r="D1144" i="1"/>
  <c r="D1397" i="1"/>
  <c r="D1395" i="1"/>
  <c r="D758" i="1"/>
  <c r="D1390" i="1"/>
  <c r="D1347" i="1"/>
  <c r="D956" i="1"/>
  <c r="D1196" i="1"/>
  <c r="D812" i="1"/>
  <c r="D1326" i="1"/>
  <c r="D1075" i="1"/>
  <c r="D900" i="1"/>
  <c r="D1401" i="1"/>
  <c r="D1205" i="1"/>
  <c r="D1148" i="1"/>
  <c r="D663" i="1"/>
  <c r="D257" i="1"/>
  <c r="D103" i="1"/>
  <c r="D675" i="1"/>
  <c r="D1004" i="1"/>
  <c r="D987" i="1"/>
  <c r="D422" i="1"/>
  <c r="D503" i="1"/>
  <c r="D1305" i="1"/>
  <c r="D734" i="1"/>
  <c r="D97" i="1"/>
  <c r="D343" i="1"/>
  <c r="D174" i="1"/>
  <c r="D866" i="1"/>
  <c r="D326" i="1"/>
  <c r="D1445" i="1"/>
  <c r="D1154" i="1"/>
  <c r="D1335" i="1"/>
  <c r="D430" i="1"/>
  <c r="D542" i="1"/>
  <c r="D200" i="1"/>
  <c r="D1279" i="1"/>
  <c r="D642" i="1"/>
  <c r="D715" i="1"/>
  <c r="D1304" i="1"/>
  <c r="D1093" i="1"/>
  <c r="D751" i="1"/>
  <c r="D644" i="1"/>
  <c r="D269" i="1"/>
  <c r="D258" i="1"/>
  <c r="D509" i="1"/>
  <c r="D41" i="1"/>
  <c r="D1146" i="1"/>
  <c r="D1421" i="1"/>
  <c r="D169" i="1"/>
  <c r="D1434" i="1"/>
  <c r="D1447" i="1"/>
  <c r="D1374" i="1"/>
  <c r="D785" i="1"/>
  <c r="D1013" i="1"/>
  <c r="D730" i="1"/>
  <c r="D1177" i="1"/>
  <c r="D1243" i="1"/>
  <c r="D452" i="1"/>
  <c r="D438" i="1"/>
  <c r="D1179" i="1"/>
  <c r="D1464" i="1"/>
  <c r="D492" i="1"/>
  <c r="D266" i="1"/>
  <c r="D47" i="1"/>
  <c r="D1186" i="1"/>
  <c r="D367" i="1"/>
  <c r="D712" i="1"/>
  <c r="D738" i="1"/>
  <c r="D214" i="1"/>
  <c r="D625" i="1"/>
  <c r="D1037" i="1"/>
  <c r="D80" i="1"/>
  <c r="D1415" i="1"/>
  <c r="D1127" i="1"/>
  <c r="D1043" i="1"/>
  <c r="D602" i="1"/>
  <c r="D593" i="1"/>
  <c r="D516" i="1"/>
  <c r="D567" i="1"/>
  <c r="D865" i="1"/>
  <c r="D579" i="1"/>
  <c r="D880" i="1"/>
  <c r="D322" i="1"/>
  <c r="D617" i="1"/>
  <c r="D270" i="1"/>
  <c r="D1382" i="1"/>
  <c r="D61" i="1"/>
  <c r="D938" i="1"/>
  <c r="D1223" i="1"/>
  <c r="D1140" i="1"/>
  <c r="D423" i="1"/>
  <c r="D1339" i="1"/>
  <c r="D1008" i="1"/>
  <c r="D11" i="1"/>
  <c r="D419" i="1"/>
  <c r="D101" i="1"/>
  <c r="D672" i="1"/>
  <c r="D491" i="1"/>
  <c r="D1023" i="1"/>
  <c r="D702" i="1"/>
  <c r="D1245" i="1"/>
  <c r="D1356" i="1"/>
  <c r="D649" i="1"/>
  <c r="D27" i="1"/>
  <c r="D729" i="1"/>
  <c r="D202" i="1"/>
  <c r="D156" i="1"/>
  <c r="D1180" i="1"/>
  <c r="D641" i="1"/>
  <c r="D417" i="1"/>
  <c r="D600" i="1"/>
  <c r="D926" i="1"/>
  <c r="D799" i="1"/>
  <c r="D72" i="1"/>
  <c r="D1252" i="1"/>
  <c r="D1076" i="1"/>
  <c r="D766" i="1"/>
  <c r="D150" i="1"/>
  <c r="D123" i="1"/>
  <c r="D16" i="1"/>
  <c r="D248" i="1"/>
  <c r="D454" i="1"/>
  <c r="D275" i="1"/>
  <c r="D360" i="1"/>
  <c r="D679" i="1"/>
  <c r="D989" i="1"/>
  <c r="D547" i="1"/>
  <c r="D164" i="1"/>
  <c r="D1368" i="1"/>
  <c r="D934" i="1"/>
  <c r="D845" i="1"/>
  <c r="D408" i="1"/>
  <c r="D1453" i="1"/>
  <c r="D1310" i="1"/>
  <c r="D18" i="1"/>
  <c r="D1121" i="1"/>
  <c r="D597" i="1"/>
  <c r="D658" i="1"/>
  <c r="D1371" i="1"/>
  <c r="D1012" i="1"/>
  <c r="D1088" i="1"/>
  <c r="D183" i="1"/>
  <c r="D525" i="1"/>
  <c r="D562" i="1"/>
  <c r="D96" i="1"/>
  <c r="D1056" i="1"/>
  <c r="D1208" i="1"/>
  <c r="D265" i="1"/>
  <c r="D946" i="1"/>
  <c r="D247" i="1"/>
  <c r="D651" i="1"/>
  <c r="D927" i="1"/>
  <c r="D650" i="1"/>
  <c r="D284" i="1"/>
  <c r="D318" i="1"/>
  <c r="D500" i="1"/>
  <c r="D552" i="1"/>
  <c r="D791" i="1"/>
  <c r="D554" i="1"/>
  <c r="D1406" i="1"/>
  <c r="D1271" i="1"/>
  <c r="D1014" i="1"/>
  <c r="D1159" i="1"/>
  <c r="D1005" i="1"/>
  <c r="D777" i="1"/>
  <c r="D775" i="1"/>
  <c r="D1342" i="1"/>
  <c r="D334" i="1"/>
  <c r="D153" i="1"/>
  <c r="D468" i="1"/>
  <c r="D587" i="1"/>
  <c r="D1314" i="1"/>
  <c r="D1441" i="1"/>
  <c r="D604" i="1"/>
  <c r="D1150" i="1"/>
  <c r="D1235" i="1"/>
  <c r="D1474" i="1"/>
  <c r="D1290" i="1"/>
  <c r="D55" i="1"/>
  <c r="D1349" i="1"/>
  <c r="D82" i="1"/>
  <c r="D807" i="1"/>
  <c r="D277" i="1"/>
  <c r="D1389" i="1"/>
  <c r="D1048" i="1"/>
  <c r="D1149" i="1"/>
  <c r="D1270" i="1"/>
  <c r="D370" i="1"/>
  <c r="D282" i="1"/>
  <c r="D695" i="1"/>
  <c r="D420" i="1"/>
  <c r="D489" i="1"/>
  <c r="D437" i="1"/>
  <c r="D216" i="1"/>
  <c r="D236" i="1"/>
  <c r="D837" i="1"/>
  <c r="D829" i="1"/>
  <c r="D116" i="1"/>
  <c r="D1203" i="1"/>
  <c r="D814" i="1"/>
  <c r="D1435" i="1"/>
  <c r="D830" i="1"/>
  <c r="D1202" i="1"/>
  <c r="D289" i="1"/>
  <c r="D1475" i="1"/>
  <c r="D685" i="1"/>
  <c r="D159" i="1"/>
  <c r="D125" i="1"/>
  <c r="D126" i="1"/>
  <c r="D28" i="1"/>
  <c r="D363" i="1"/>
  <c r="D909" i="1"/>
  <c r="D15" i="1"/>
  <c r="D1280" i="1"/>
  <c r="D1117" i="1"/>
  <c r="D401" i="1"/>
  <c r="D20" i="1"/>
  <c r="D1422" i="1"/>
  <c r="D48" i="1"/>
  <c r="D323" i="1"/>
  <c r="D8" i="1"/>
  <c r="D1143" i="1"/>
  <c r="D810" i="1"/>
  <c r="D1078" i="1"/>
  <c r="D373" i="1"/>
  <c r="D847" i="1"/>
  <c r="D773" i="1"/>
  <c r="D874" i="1"/>
  <c r="D148" i="1"/>
  <c r="D548" i="1"/>
  <c r="D905" i="1"/>
  <c r="D740" i="1"/>
  <c r="D197" i="1"/>
  <c r="D224" i="1"/>
  <c r="D98" i="1"/>
  <c r="D907" i="1"/>
  <c r="D192" i="1"/>
  <c r="D768" i="1"/>
  <c r="D1236" i="1"/>
  <c r="D505" i="1"/>
  <c r="D526" i="1"/>
  <c r="D1353" i="1"/>
  <c r="D823" i="1"/>
  <c r="D293" i="1"/>
  <c r="D1416" i="1"/>
  <c r="D157" i="1"/>
  <c r="D58" i="1"/>
  <c r="D645" i="1"/>
  <c r="D315" i="1"/>
  <c r="D881" i="1"/>
  <c r="D68" i="1"/>
  <c r="D689" i="1"/>
  <c r="D371" i="1"/>
  <c r="D1226" i="1"/>
  <c r="D1105" i="1"/>
  <c r="D1228" i="1"/>
  <c r="D693" i="1"/>
  <c r="D1462" i="1"/>
  <c r="D1377" i="1"/>
  <c r="D824" i="1"/>
  <c r="D1220" i="1"/>
  <c r="D1291" i="1"/>
  <c r="D42" i="1"/>
  <c r="D669" i="1"/>
  <c r="D896" i="1"/>
  <c r="D673" i="1"/>
  <c r="D194" i="1"/>
  <c r="D903" i="1"/>
  <c r="D692" i="1"/>
  <c r="D1193" i="1"/>
  <c r="D1454" i="1"/>
  <c r="D563" i="1"/>
  <c r="D1348" i="1"/>
  <c r="D1311" i="1"/>
  <c r="D35" i="1"/>
  <c r="D1147" i="1"/>
  <c r="D127" i="1"/>
  <c r="D84" i="1"/>
  <c r="D352" i="1"/>
  <c r="D54" i="1"/>
  <c r="D186" i="1"/>
  <c r="D1218" i="1"/>
  <c r="D1409" i="1"/>
  <c r="D1187" i="1"/>
  <c r="D594" i="1"/>
  <c r="D43" i="1"/>
  <c r="D1345" i="1"/>
  <c r="D848" i="1"/>
  <c r="D573" i="1"/>
  <c r="D636" i="1"/>
  <c r="D839" i="1"/>
  <c r="D292" i="1"/>
  <c r="D1018" i="1"/>
  <c r="D912" i="1"/>
  <c r="D831" i="1"/>
  <c r="D133" i="1"/>
  <c r="D687" i="1"/>
  <c r="D971" i="1"/>
  <c r="D1370" i="1"/>
  <c r="D805" i="1"/>
  <c r="D1476" i="1"/>
  <c r="D1118" i="1"/>
  <c r="D1157" i="1"/>
  <c r="D1141" i="1"/>
  <c r="D1019" i="1"/>
  <c r="D664" i="1"/>
  <c r="D1303" i="1"/>
  <c r="D1420" i="1"/>
  <c r="D733" i="1"/>
  <c r="D201" i="1"/>
  <c r="D498" i="1"/>
  <c r="D984" i="1"/>
  <c r="D249" i="1"/>
  <c r="D1057" i="1"/>
  <c r="D1302" i="1"/>
  <c r="D1145" i="1"/>
  <c r="D353" i="1"/>
  <c r="D716" i="1"/>
  <c r="D1247" i="1"/>
  <c r="D747" i="1"/>
  <c r="D846" i="1"/>
  <c r="D196" i="1"/>
  <c r="D517" i="1"/>
  <c r="D17" i="1"/>
  <c r="D1340" i="1"/>
  <c r="D354" i="1"/>
  <c r="D1351" i="1"/>
  <c r="D637" i="1"/>
  <c r="D1237" i="1"/>
  <c r="D1161" i="1"/>
  <c r="D737" i="1"/>
  <c r="D611" i="1"/>
  <c r="D172" i="1"/>
  <c r="D963" i="1"/>
  <c r="D368" i="1"/>
  <c r="D957" i="1"/>
  <c r="D1273" i="1"/>
  <c r="D402" i="1"/>
  <c r="D797" i="1"/>
  <c r="D584" i="1"/>
  <c r="D955" i="1"/>
  <c r="D279" i="1"/>
  <c r="D891" i="1"/>
  <c r="D281" i="1"/>
  <c r="D619" i="1"/>
  <c r="D772" i="1"/>
  <c r="D598" i="1"/>
  <c r="D1174" i="1"/>
  <c r="D789" i="1"/>
  <c r="D576" i="1"/>
  <c r="D1089" i="1"/>
  <c r="D902" i="1"/>
  <c r="D1128" i="1"/>
  <c r="D1129" i="1"/>
  <c r="D1354" i="1"/>
  <c r="D444" i="1"/>
  <c r="D510" i="1"/>
  <c r="D764" i="1"/>
  <c r="D259" i="1"/>
  <c r="D316" i="1"/>
  <c r="D1015" i="1"/>
  <c r="D418" i="1"/>
  <c r="D170" i="1"/>
  <c r="D1016" i="1"/>
  <c r="D114" i="1"/>
  <c r="D463" i="1"/>
  <c r="D276" i="1"/>
  <c r="D253" i="1"/>
  <c r="D999" i="1"/>
  <c r="D206" i="1"/>
  <c r="D873" i="1"/>
  <c r="D1429" i="1"/>
  <c r="D858" i="1"/>
  <c r="D759" i="1"/>
  <c r="D1200" i="1"/>
  <c r="D811" i="1"/>
  <c r="D580" i="1"/>
  <c r="D1188" i="1"/>
  <c r="D355" i="1"/>
  <c r="D741" i="1"/>
  <c r="D496" i="1"/>
  <c r="D749" i="1"/>
  <c r="D1238" i="1"/>
  <c r="D964" i="1"/>
  <c r="D1450" i="1"/>
  <c r="D162" i="1"/>
  <c r="D549" i="1"/>
  <c r="D626" i="1"/>
  <c r="D631" i="1"/>
  <c r="D1318" i="1"/>
  <c r="D129" i="1"/>
  <c r="D1098" i="1"/>
  <c r="D1217" i="1"/>
  <c r="D997" i="1"/>
  <c r="D1017" i="1"/>
  <c r="D1399" i="1"/>
  <c r="D638" i="1"/>
  <c r="D119" i="1"/>
  <c r="D867" i="1"/>
  <c r="D752" i="1"/>
  <c r="D1239" i="1"/>
  <c r="D1189" i="1"/>
  <c r="D647" i="1"/>
  <c r="D232" i="1"/>
  <c r="D1169" i="1"/>
  <c r="D703" i="1"/>
  <c r="D1090" i="1"/>
  <c r="D780" i="1"/>
  <c r="D731" i="1"/>
  <c r="D713" i="1"/>
  <c r="D803" i="1"/>
  <c r="D1240" i="1"/>
  <c r="D317" i="1"/>
  <c r="D583" i="1"/>
  <c r="D726" i="1"/>
  <c r="D1030" i="1"/>
  <c r="D550" i="1"/>
  <c r="D332" i="1"/>
  <c r="D374" i="1"/>
  <c r="D403" i="1"/>
  <c r="D786" i="1"/>
  <c r="D1438" i="1"/>
  <c r="D995" i="1"/>
  <c r="D825" i="1"/>
  <c r="D1361" i="1"/>
  <c r="D49" i="1"/>
  <c r="D1132" i="1"/>
  <c r="D882" i="1"/>
  <c r="D787" i="1"/>
  <c r="D1041" i="1"/>
  <c r="D1436" i="1"/>
  <c r="D388" i="1"/>
  <c r="D1283" i="1"/>
  <c r="D173" i="1"/>
  <c r="D1396" i="1"/>
  <c r="D1241" i="1"/>
  <c r="D974" i="1"/>
  <c r="D1275" i="1"/>
  <c r="D1321" i="1"/>
  <c r="D231" i="1"/>
  <c r="D818" i="1"/>
  <c r="D883" i="1"/>
  <c r="D1038" i="1"/>
  <c r="D539" i="1"/>
  <c r="D1212" i="1"/>
  <c r="D570" i="1"/>
  <c r="D252" i="1"/>
  <c r="D1119" i="1"/>
  <c r="D850" i="1"/>
  <c r="D490" i="1"/>
  <c r="D385" i="1"/>
  <c r="D260" i="1"/>
  <c r="D952" i="1"/>
  <c r="D808" i="1"/>
  <c r="D1026" i="1"/>
  <c r="D267" i="1"/>
  <c r="D117" i="1"/>
  <c r="D472" i="1"/>
  <c r="D832" i="1"/>
  <c r="D904" i="1"/>
  <c r="D666" i="1"/>
  <c r="D668" i="1"/>
  <c r="D1388" i="1"/>
  <c r="D477" i="1"/>
  <c r="C477" i="1"/>
  <c r="C1284" i="1"/>
  <c r="C588" i="1"/>
  <c r="C977" i="1"/>
  <c r="C582" i="1"/>
  <c r="C1065" i="1"/>
  <c r="C1281" i="1"/>
  <c r="C1082" i="1"/>
  <c r="C875" i="1"/>
  <c r="C193" i="1"/>
  <c r="C748" i="1"/>
  <c r="C1164" i="1"/>
  <c r="C1417" i="1"/>
  <c r="C788" i="1"/>
  <c r="C1153" i="1"/>
  <c r="C1066" i="1"/>
  <c r="C1067" i="1"/>
  <c r="C968" i="1"/>
  <c r="C414" i="1"/>
  <c r="C717" i="1"/>
  <c r="C654" i="1"/>
  <c r="C706" i="1"/>
  <c r="C1251" i="1"/>
  <c r="C949" i="1"/>
  <c r="C826" i="1"/>
  <c r="C405" i="1"/>
  <c r="C340" i="1"/>
  <c r="C624" i="1"/>
  <c r="C639" i="1"/>
  <c r="C130" i="1"/>
  <c r="C917" i="1"/>
  <c r="C263" i="1"/>
  <c r="C1028" i="1"/>
  <c r="C592" i="1"/>
  <c r="C1068" i="1"/>
  <c r="C951" i="1"/>
  <c r="C1466" i="1"/>
  <c r="C540" i="1"/>
  <c r="C724" i="1"/>
  <c r="C767" i="1"/>
  <c r="C175" i="1"/>
  <c r="C1063" i="1"/>
  <c r="C483" i="1"/>
  <c r="C327" i="1"/>
  <c r="C1031" i="1"/>
  <c r="C1341" i="1"/>
  <c r="C105" i="1"/>
  <c r="C241" i="1"/>
  <c r="C1393" i="1"/>
  <c r="C842" i="1"/>
  <c r="C1308" i="1"/>
  <c r="C75" i="1"/>
  <c r="C857" i="1"/>
  <c r="C1336" i="1"/>
  <c r="C589" i="1"/>
  <c r="C969" i="1"/>
  <c r="C1191" i="1"/>
  <c r="C754" i="1"/>
  <c r="C392" i="1"/>
  <c r="C888" i="1"/>
  <c r="C694" i="1"/>
  <c r="C571" i="1"/>
  <c r="C1227" i="1"/>
  <c r="C1258" i="1"/>
  <c r="C410" i="1"/>
  <c r="C697" i="1"/>
  <c r="C870" i="1"/>
  <c r="C835" i="1"/>
  <c r="C986" i="1"/>
  <c r="C464" i="1"/>
  <c r="C1309" i="1"/>
  <c r="C210" i="1"/>
  <c r="C556" i="1"/>
  <c r="C980" i="1"/>
  <c r="C300" i="1"/>
  <c r="C1455" i="1"/>
  <c r="C897" i="1"/>
  <c r="C707" i="1"/>
  <c r="C590" i="1"/>
  <c r="C913" i="1"/>
  <c r="C390" i="1"/>
  <c r="C1079" i="1"/>
  <c r="C871" i="1"/>
  <c r="C709" i="1"/>
  <c r="C755" i="1"/>
  <c r="C341" i="1"/>
  <c r="C421" i="1"/>
  <c r="C1312" i="1"/>
  <c r="C90" i="1"/>
  <c r="C250" i="1"/>
  <c r="C532" i="1"/>
  <c r="C22" i="1"/>
  <c r="C553" i="1"/>
  <c r="C1465" i="1"/>
  <c r="C102" i="1"/>
  <c r="C1111" i="1"/>
  <c r="C484" i="1"/>
  <c r="C493" i="1"/>
  <c r="C1032" i="1"/>
  <c r="C1142" i="1"/>
  <c r="C1332" i="1"/>
  <c r="C1033" i="1"/>
  <c r="C1410" i="1"/>
  <c r="C1152" i="1"/>
  <c r="C86" i="1"/>
  <c r="C1380" i="1"/>
  <c r="C425" i="1"/>
  <c r="C228" i="1"/>
  <c r="C1469" i="1"/>
  <c r="C686" i="1"/>
  <c r="C361" i="1"/>
  <c r="C121" i="1"/>
  <c r="C1069" i="1"/>
  <c r="C339" i="1"/>
  <c r="C629" i="1"/>
  <c r="C1051" i="1"/>
  <c r="C800" i="1"/>
  <c r="C834" i="1"/>
  <c r="C1175" i="1"/>
  <c r="C1083" i="1"/>
  <c r="C1130" i="1"/>
  <c r="C139" i="1"/>
  <c r="C1077" i="1"/>
  <c r="C568" i="1"/>
  <c r="C953" i="1"/>
  <c r="C1343" i="1"/>
  <c r="C151" i="1"/>
  <c r="C1162" i="1"/>
  <c r="C769" i="1"/>
  <c r="C223" i="1"/>
  <c r="C295" i="1"/>
  <c r="C827" i="1"/>
  <c r="C176" i="1"/>
  <c r="C1181" i="1"/>
  <c r="C585" i="1"/>
  <c r="C967" i="1"/>
  <c r="C1160" i="1"/>
  <c r="C534" i="1"/>
  <c r="C1334" i="1"/>
  <c r="C690" i="1"/>
  <c r="C1155" i="1"/>
  <c r="C465" i="1"/>
  <c r="C397" i="1"/>
  <c r="C499" i="1"/>
  <c r="C852" i="1"/>
  <c r="C1425" i="1"/>
  <c r="C50" i="1"/>
  <c r="C1151" i="1"/>
  <c r="C1261" i="1"/>
  <c r="C965" i="1"/>
  <c r="C836" i="1"/>
  <c r="C1003" i="1"/>
  <c r="C1040" i="1"/>
  <c r="C655" i="1"/>
  <c r="C1328" i="1"/>
  <c r="C533" i="1"/>
  <c r="C244" i="1"/>
  <c r="C671" i="1"/>
  <c r="C538" i="1"/>
  <c r="C1135" i="1"/>
  <c r="C742" i="1"/>
  <c r="C1262" i="1"/>
  <c r="C1451" i="1"/>
  <c r="C959" i="1"/>
  <c r="C616" i="1"/>
  <c r="C705" i="1"/>
  <c r="C610" i="1"/>
  <c r="C962" i="1"/>
  <c r="C1383" i="1"/>
  <c r="C177" i="1"/>
  <c r="C911" i="1"/>
  <c r="C1027" i="1"/>
  <c r="C88" i="1"/>
  <c r="C384" i="1"/>
  <c r="C76" i="1"/>
  <c r="C1095" i="1"/>
  <c r="C892" i="1"/>
  <c r="C817" i="1"/>
  <c r="C1439" i="1"/>
  <c r="C382" i="1"/>
  <c r="C721" i="1"/>
  <c r="C459" i="1"/>
  <c r="C297" i="1"/>
  <c r="C445" i="1"/>
  <c r="C947" i="1"/>
  <c r="C387" i="1"/>
  <c r="C849" i="1"/>
  <c r="C660" i="1"/>
  <c r="C83" i="1"/>
  <c r="C990" i="1"/>
  <c r="C140" i="1"/>
  <c r="C145" i="1"/>
  <c r="C1391" i="1"/>
  <c r="C356" i="1"/>
  <c r="C305" i="1"/>
  <c r="C876" i="1"/>
  <c r="C301" i="1"/>
  <c r="C794" i="1"/>
  <c r="C820" i="1"/>
  <c r="C44" i="1"/>
  <c r="C1136" i="1"/>
  <c r="C798" i="1"/>
  <c r="C1379" i="1"/>
  <c r="C618" i="1"/>
  <c r="C565" i="1"/>
  <c r="C443" i="1"/>
  <c r="C1253" i="1"/>
  <c r="C141" i="1"/>
  <c r="C1224" i="1"/>
  <c r="C966" i="1"/>
  <c r="C99" i="1"/>
  <c r="C107" i="1"/>
  <c r="C1333" i="1"/>
  <c r="C1120" i="1"/>
  <c r="C719" i="1"/>
  <c r="C530" i="1"/>
  <c r="C1456" i="1"/>
  <c r="C975" i="1"/>
  <c r="C1110" i="1"/>
  <c r="C508" i="1"/>
  <c r="C59" i="1"/>
  <c r="C918" i="1"/>
  <c r="C1211" i="1"/>
  <c r="C860" i="1"/>
  <c r="C640" i="1"/>
  <c r="C1418" i="1"/>
  <c r="C1250" i="1"/>
  <c r="C369" i="1"/>
  <c r="C627" i="1"/>
  <c r="C137" i="1"/>
  <c r="C859" i="1"/>
  <c r="C1204" i="1"/>
  <c r="C1381" i="1"/>
  <c r="C429" i="1"/>
  <c r="C379" i="1"/>
  <c r="C819" i="1"/>
  <c r="C348" i="1"/>
  <c r="C1213" i="1"/>
  <c r="C432" i="1"/>
  <c r="C381" i="1"/>
  <c r="C1477" i="1"/>
  <c r="C23" i="1"/>
  <c r="C1229" i="1"/>
  <c r="C1201" i="1"/>
  <c r="C393" i="1"/>
  <c r="C578" i="1"/>
  <c r="C1478" i="1"/>
  <c r="C1408" i="1"/>
  <c r="C1449" i="1"/>
  <c r="C889" i="1"/>
  <c r="C841" i="1"/>
  <c r="C1372" i="1"/>
  <c r="C736" i="1"/>
  <c r="C1096" i="1"/>
  <c r="C1002" i="1"/>
  <c r="C108" i="1"/>
  <c r="C165" i="1"/>
  <c r="C782" i="1"/>
  <c r="C1084" i="1"/>
  <c r="C283" i="1"/>
  <c r="C931" i="1"/>
  <c r="C1034" i="1"/>
  <c r="C1045" i="1"/>
  <c r="C601" i="1"/>
  <c r="C69" i="1"/>
  <c r="C564" i="1"/>
  <c r="C254" i="1"/>
  <c r="C1085" i="1"/>
  <c r="C970" i="1"/>
  <c r="C291" i="1"/>
  <c r="C577" i="1"/>
  <c r="C1112" i="1"/>
  <c r="C155" i="1"/>
  <c r="C321" i="1"/>
  <c r="C898" i="1"/>
  <c r="C482" i="1"/>
  <c r="C364" i="1"/>
  <c r="C453" i="1"/>
  <c r="C723" i="1"/>
  <c r="C362" i="1"/>
  <c r="C1387" i="1"/>
  <c r="C795" i="1"/>
  <c r="C271" i="1"/>
  <c r="C978" i="1"/>
  <c r="C778" i="1"/>
  <c r="C558" i="1"/>
  <c r="C928" i="1"/>
  <c r="C287" i="1"/>
  <c r="C507" i="1"/>
  <c r="C38" i="1"/>
  <c r="C187" i="1"/>
  <c r="C944" i="1"/>
  <c r="C320" i="1"/>
  <c r="C115" i="1"/>
  <c r="C476" i="1"/>
  <c r="C39" i="1"/>
  <c r="C302" i="1"/>
  <c r="C1104" i="1"/>
  <c r="C441" i="1"/>
  <c r="C973" i="1"/>
  <c r="C62" i="1"/>
  <c r="C1322" i="1"/>
  <c r="C1277" i="1"/>
  <c r="C1272" i="1"/>
  <c r="C1137" i="1"/>
  <c r="C19" i="1"/>
  <c r="C1060" i="1"/>
  <c r="C51" i="1"/>
  <c r="C606" i="1"/>
  <c r="C681" i="1"/>
  <c r="C939" i="1"/>
  <c r="C440" i="1"/>
  <c r="C395" i="1"/>
  <c r="C1102" i="1"/>
  <c r="C81" i="1"/>
  <c r="C1086" i="1"/>
  <c r="C1327" i="1"/>
  <c r="C1407" i="1"/>
  <c r="C446" i="1"/>
  <c r="C869" i="1"/>
  <c r="C722" i="1"/>
  <c r="C1209" i="1"/>
  <c r="C1210" i="1"/>
  <c r="C676" i="1"/>
  <c r="C801" i="1"/>
  <c r="C380" i="1"/>
  <c r="C1080" i="1"/>
  <c r="C24" i="1"/>
  <c r="C25" i="1"/>
  <c r="C1182" i="1"/>
  <c r="C613" i="1"/>
  <c r="C1428" i="1"/>
  <c r="C457" i="1"/>
  <c r="C519" i="1"/>
  <c r="C596" i="1"/>
  <c r="C411" i="1"/>
  <c r="C714" i="1"/>
  <c r="C1070" i="1"/>
  <c r="C262" i="1"/>
  <c r="C328" i="1"/>
  <c r="C670" i="1"/>
  <c r="C336" i="1"/>
  <c r="C760" i="1"/>
  <c r="C960" i="1"/>
  <c r="C682" i="1"/>
  <c r="C1365" i="1"/>
  <c r="C665" i="1"/>
  <c r="C698" i="1"/>
  <c r="C1052" i="1"/>
  <c r="C1172" i="1"/>
  <c r="C886" i="1"/>
  <c r="C632" i="1"/>
  <c r="C1274" i="1"/>
  <c r="C60" i="1"/>
  <c r="C203" i="1"/>
  <c r="C1355" i="1"/>
  <c r="C887" i="1"/>
  <c r="C12" i="1"/>
  <c r="C854" i="1"/>
  <c r="C991" i="1"/>
  <c r="C1297" i="1"/>
  <c r="C1156" i="1"/>
  <c r="C1442" i="1"/>
  <c r="C501" i="1"/>
  <c r="C147" i="1"/>
  <c r="C569" i="1"/>
  <c r="C771" i="1"/>
  <c r="C52" i="1"/>
  <c r="C188" i="1"/>
  <c r="C1330" i="1"/>
  <c r="C1398" i="1"/>
  <c r="C1007" i="1"/>
  <c r="C762" i="1"/>
  <c r="C921" i="1"/>
  <c r="C512" i="1"/>
  <c r="C1367" i="1"/>
  <c r="C1124" i="1"/>
  <c r="C1360" i="1"/>
  <c r="C992" i="1"/>
  <c r="C1263" i="1"/>
  <c r="C982" i="1"/>
  <c r="C319" i="1"/>
  <c r="C478" i="1"/>
  <c r="C710" i="1"/>
  <c r="C33" i="1"/>
  <c r="C1298" i="1"/>
  <c r="C1242" i="1"/>
  <c r="C732" i="1"/>
  <c r="C633" i="1"/>
  <c r="C1171" i="1"/>
  <c r="C776" i="1"/>
  <c r="C634" i="1"/>
  <c r="C435" i="1"/>
  <c r="C704" i="1"/>
  <c r="C1331" i="1"/>
  <c r="C1009" i="1"/>
  <c r="C89" i="1"/>
  <c r="C914" i="1"/>
  <c r="C199" i="1"/>
  <c r="C460" i="1"/>
  <c r="C1419" i="1"/>
  <c r="C447" i="1"/>
  <c r="C1378" i="1"/>
  <c r="C1307" i="1"/>
  <c r="C1107" i="1"/>
  <c r="C711" i="1"/>
  <c r="C485" i="1"/>
  <c r="C95" i="1"/>
  <c r="C73" i="1"/>
  <c r="C178" i="1"/>
  <c r="C142" i="1"/>
  <c r="C1170" i="1"/>
  <c r="C349" i="1"/>
  <c r="C743" i="1"/>
  <c r="C218" i="1"/>
  <c r="C1346" i="1"/>
  <c r="C219" i="1"/>
  <c r="C940" i="1"/>
  <c r="C1165" i="1"/>
  <c r="C674" i="1"/>
  <c r="C329" i="1"/>
  <c r="C745" i="1"/>
  <c r="C936" i="1"/>
  <c r="C1206" i="1"/>
  <c r="C1214" i="1"/>
  <c r="C621" i="1"/>
  <c r="C976" i="1"/>
  <c r="C222" i="1"/>
  <c r="C763" i="1"/>
  <c r="C217" i="1"/>
  <c r="C1221" i="1"/>
  <c r="C350" i="1"/>
  <c r="C324" i="1"/>
  <c r="C783" i="1"/>
  <c r="C345" i="1"/>
  <c r="C5" i="1"/>
  <c r="C915" i="1"/>
  <c r="C398" i="1"/>
  <c r="C479" i="1"/>
  <c r="C120" i="1"/>
  <c r="C1025" i="1"/>
  <c r="C890" i="1"/>
  <c r="C656" i="1"/>
  <c r="C272" i="1"/>
  <c r="C245" i="1"/>
  <c r="C1020" i="1"/>
  <c r="C511" i="1"/>
  <c r="C948" i="1"/>
  <c r="C1035" i="1"/>
  <c r="C1329" i="1"/>
  <c r="C528" i="1"/>
  <c r="C1050" i="1"/>
  <c r="C718" i="1"/>
  <c r="C1131" i="1"/>
  <c r="C560" i="1"/>
  <c r="C1138" i="1"/>
  <c r="C448" i="1"/>
  <c r="C87" i="1"/>
  <c r="C1285" i="1"/>
  <c r="C1317" i="1"/>
  <c r="C804" i="1"/>
  <c r="C237" i="1"/>
  <c r="C143" i="1"/>
  <c r="C1230" i="1"/>
  <c r="C1292" i="1"/>
  <c r="C211" i="1"/>
  <c r="C344" i="1"/>
  <c r="C1463" i="1"/>
  <c r="C255" i="1"/>
  <c r="C220" i="1"/>
  <c r="C1424" i="1"/>
  <c r="C922" i="1"/>
  <c r="C372" i="1"/>
  <c r="C1430" i="1"/>
  <c r="C937" i="1"/>
  <c r="C3" i="1"/>
  <c r="B3" i="1" s="1"/>
  <c r="C227" i="1"/>
  <c r="C893" i="1"/>
  <c r="C6" i="1"/>
  <c r="C833" i="1"/>
  <c r="C306" i="1"/>
  <c r="C268" i="1"/>
  <c r="C189" i="1"/>
  <c r="C238" i="1"/>
  <c r="C399" i="1"/>
  <c r="C166" i="1"/>
  <c r="C996" i="1"/>
  <c r="C1359" i="1"/>
  <c r="C456" i="1"/>
  <c r="C487" i="1"/>
  <c r="C1344" i="1"/>
  <c r="C56" i="1"/>
  <c r="C983" i="1"/>
  <c r="C1113" i="1"/>
  <c r="C691" i="1"/>
  <c r="C1001" i="1"/>
  <c r="C1384" i="1"/>
  <c r="C1197" i="1"/>
  <c r="C63" i="1"/>
  <c r="C1295" i="1"/>
  <c r="C536" i="1"/>
  <c r="C765" i="1"/>
  <c r="C45" i="1"/>
  <c r="C1337" i="1"/>
  <c r="C1286" i="1"/>
  <c r="C412" i="1"/>
  <c r="C607" i="1"/>
  <c r="C1461" i="1"/>
  <c r="C473" i="1"/>
  <c r="C809" i="1"/>
  <c r="C680" i="1"/>
  <c r="C413" i="1"/>
  <c r="C1123" i="1"/>
  <c r="C861" i="1"/>
  <c r="C1470" i="1"/>
  <c r="C781" i="1"/>
  <c r="C840" i="1"/>
  <c r="C930" i="1"/>
  <c r="C796" i="1"/>
  <c r="C66" i="1"/>
  <c r="C383" i="1"/>
  <c r="C979" i="1"/>
  <c r="C635" i="1"/>
  <c r="C113" i="1"/>
  <c r="C1404" i="1"/>
  <c r="C1053" i="1"/>
  <c r="C1047" i="1"/>
  <c r="C32" i="1"/>
  <c r="C1158" i="1"/>
  <c r="C439" i="1"/>
  <c r="C813" i="1"/>
  <c r="C1457" i="1"/>
  <c r="C298" i="1"/>
  <c r="C972" i="1"/>
  <c r="C535" i="1"/>
  <c r="C307" i="1"/>
  <c r="C1400" i="1"/>
  <c r="C1010" i="1"/>
  <c r="C1091" i="1"/>
  <c r="C1369" i="1"/>
  <c r="C954" i="1"/>
  <c r="C929" i="1"/>
  <c r="C36" i="1"/>
  <c r="C308" i="1"/>
  <c r="C110" i="1"/>
  <c r="C1114" i="1"/>
  <c r="C806" i="1"/>
  <c r="C1064" i="1"/>
  <c r="C779" i="1"/>
  <c r="C195" i="1"/>
  <c r="C190" i="1"/>
  <c r="C246" i="1"/>
  <c r="C242" i="1"/>
  <c r="C466" i="1"/>
  <c r="C365" i="1"/>
  <c r="C426" i="1"/>
  <c r="C1458" i="1"/>
  <c r="C1282" i="1"/>
  <c r="C342" i="1"/>
  <c r="C1021" i="1"/>
  <c r="C677" i="1"/>
  <c r="C1405" i="1"/>
  <c r="C205" i="1"/>
  <c r="C595" i="1"/>
  <c r="C838" i="1"/>
  <c r="C998" i="1"/>
  <c r="C64" i="1"/>
  <c r="C467" i="1"/>
  <c r="C543" i="1"/>
  <c r="C1194" i="1"/>
  <c r="C1109" i="1"/>
  <c r="C109" i="1"/>
  <c r="C1452" i="1"/>
  <c r="C428" i="1"/>
  <c r="C894" i="1"/>
  <c r="C1440" i="1"/>
  <c r="C480" i="1"/>
  <c r="C221" i="1"/>
  <c r="C7" i="1"/>
  <c r="C404" i="1"/>
  <c r="C581" i="1"/>
  <c r="C1101" i="1"/>
  <c r="C513" i="1"/>
  <c r="C179" i="1"/>
  <c r="C863" i="1"/>
  <c r="C309" i="1"/>
  <c r="C94" i="1"/>
  <c r="C70" i="1"/>
  <c r="C449" i="1"/>
  <c r="C494" i="1"/>
  <c r="C815" i="1"/>
  <c r="C57" i="1"/>
  <c r="C1426" i="1"/>
  <c r="C1166" i="1"/>
  <c r="C574" i="1"/>
  <c r="C993" i="1"/>
  <c r="C1358" i="1"/>
  <c r="C1293" i="1"/>
  <c r="C1276" i="1"/>
  <c r="C877" i="1"/>
  <c r="C1394" i="1"/>
  <c r="C37" i="1"/>
  <c r="C470" i="1"/>
  <c r="C1049" i="1"/>
  <c r="C1249" i="1"/>
  <c r="C1300" i="1"/>
  <c r="C899" i="1"/>
  <c r="C475" i="1"/>
  <c r="C932" i="1"/>
  <c r="C504" i="1"/>
  <c r="C572" i="1"/>
  <c r="C746" i="1"/>
  <c r="C124" i="1"/>
  <c r="C816" i="1"/>
  <c r="C1315" i="1"/>
  <c r="C699" i="1"/>
  <c r="C603" i="1"/>
  <c r="C1215" i="1"/>
  <c r="C163" i="1"/>
  <c r="C923" i="1"/>
  <c r="C1183" i="1"/>
  <c r="C1287" i="1"/>
  <c r="C161" i="1"/>
  <c r="C878" i="1"/>
  <c r="C1259" i="1"/>
  <c r="C622" i="1"/>
  <c r="C652" i="1"/>
  <c r="C784" i="1"/>
  <c r="C802" i="1"/>
  <c r="C843" i="1"/>
  <c r="C251" i="1"/>
  <c r="C434" i="1"/>
  <c r="C774" i="1"/>
  <c r="C981" i="1"/>
  <c r="C1092" i="1"/>
  <c r="C1325" i="1"/>
  <c r="C793" i="1"/>
  <c r="C77" i="1"/>
  <c r="C335" i="1"/>
  <c r="C1402" i="1"/>
  <c r="C885" i="1"/>
  <c r="C1411" i="1"/>
  <c r="C761" i="1"/>
  <c r="C180" i="1"/>
  <c r="C152" i="1"/>
  <c r="C433" i="1"/>
  <c r="C1087" i="1"/>
  <c r="C376" i="1"/>
  <c r="C1058" i="1"/>
  <c r="C700" i="1"/>
  <c r="C310" i="1"/>
  <c r="C1198" i="1"/>
  <c r="C1256" i="1"/>
  <c r="C872" i="1"/>
  <c r="C171" i="1"/>
  <c r="C1375" i="1"/>
  <c r="C555" i="1"/>
  <c r="C1100" i="1"/>
  <c r="C34" i="1"/>
  <c r="C331" i="1"/>
  <c r="C1423" i="1"/>
  <c r="C1219" i="1"/>
  <c r="C1062" i="1"/>
  <c r="C1167" i="1"/>
  <c r="C770" i="1"/>
  <c r="C391" i="1"/>
  <c r="C1313" i="1"/>
  <c r="C559" i="1"/>
  <c r="C735" i="1"/>
  <c r="C378" i="1"/>
  <c r="C683" i="1"/>
  <c r="C1054" i="1"/>
  <c r="C910" i="1"/>
  <c r="C78" i="1"/>
  <c r="C1373" i="1"/>
  <c r="C406" i="1"/>
  <c r="C303" i="1"/>
  <c r="C135" i="1"/>
  <c r="C1097" i="1"/>
  <c r="C280" i="1"/>
  <c r="C1257" i="1"/>
  <c r="C1094" i="1"/>
  <c r="C1103" i="1"/>
  <c r="C1350" i="1"/>
  <c r="C1024" i="1"/>
  <c r="C13" i="1"/>
  <c r="C488" i="1"/>
  <c r="C1294" i="1"/>
  <c r="C1176" i="1"/>
  <c r="C531" i="1"/>
  <c r="C1222" i="1"/>
  <c r="C394" i="1"/>
  <c r="C924" i="1"/>
  <c r="C586" i="1"/>
  <c r="C646" i="1"/>
  <c r="C285" i="1"/>
  <c r="C67" i="1"/>
  <c r="C1115" i="1"/>
  <c r="C988" i="1"/>
  <c r="C662" i="1"/>
  <c r="C657" i="1"/>
  <c r="C1403" i="1"/>
  <c r="C1255" i="1"/>
  <c r="C461" i="1"/>
  <c r="C4" i="1"/>
  <c r="C53" i="1"/>
  <c r="C138" i="1"/>
  <c r="C537" i="1"/>
  <c r="C684" i="1"/>
  <c r="C431" i="1"/>
  <c r="C1319" i="1"/>
  <c r="C1199" i="1"/>
  <c r="C728" i="1"/>
  <c r="C273" i="1"/>
  <c r="C1264" i="1"/>
  <c r="C450" i="1"/>
  <c r="C347" i="1"/>
  <c r="C523" i="1"/>
  <c r="C994" i="1"/>
  <c r="C427" i="1"/>
  <c r="C46" i="1"/>
  <c r="C304" i="1"/>
  <c r="C1116" i="1"/>
  <c r="C1125" i="1"/>
  <c r="C311" i="1"/>
  <c r="C667" i="1"/>
  <c r="C879" i="1"/>
  <c r="C1366" i="1"/>
  <c r="C862" i="1"/>
  <c r="C1042" i="1"/>
  <c r="C29" i="1"/>
  <c r="C614" i="1"/>
  <c r="C128" i="1"/>
  <c r="C1134" i="1"/>
  <c r="C346" i="1"/>
  <c r="C1265" i="1"/>
  <c r="C522" i="1"/>
  <c r="C1288" i="1"/>
  <c r="C1163" i="1"/>
  <c r="C720" i="1"/>
  <c r="C1126" i="1"/>
  <c r="C1459" i="1"/>
  <c r="C615" i="1"/>
  <c r="C916" i="1"/>
  <c r="C906" i="1"/>
  <c r="C100" i="1"/>
  <c r="C106" i="1"/>
  <c r="C312" i="1"/>
  <c r="C294" i="1"/>
  <c r="C1192" i="1"/>
  <c r="C65" i="1"/>
  <c r="C495" i="1"/>
  <c r="C136" i="1"/>
  <c r="C884" i="1"/>
  <c r="C366" i="1"/>
  <c r="C727" i="1"/>
  <c r="C1444" i="1"/>
  <c r="C678" i="1"/>
  <c r="C215" i="1"/>
  <c r="C630" i="1"/>
  <c r="C118" i="1"/>
  <c r="C313" i="1"/>
  <c r="C1392" i="1"/>
  <c r="C264" i="1"/>
  <c r="C1173" i="1"/>
  <c r="C1108" i="1"/>
  <c r="C1022" i="1"/>
  <c r="C855" i="1"/>
  <c r="C643" i="1"/>
  <c r="C1071" i="1"/>
  <c r="C144" i="1"/>
  <c r="C557" i="1"/>
  <c r="C1479" i="1"/>
  <c r="C985" i="1"/>
  <c r="C1190" i="1"/>
  <c r="C377" i="1"/>
  <c r="C299" i="1"/>
  <c r="C1184" i="1"/>
  <c r="C471" i="1"/>
  <c r="C1072" i="1"/>
  <c r="C524" i="1"/>
  <c r="C497" i="1"/>
  <c r="C31" i="1"/>
  <c r="C167" i="1"/>
  <c r="C514" i="1"/>
  <c r="C1006" i="1"/>
  <c r="C131" i="1"/>
  <c r="C132" i="1"/>
  <c r="C191" i="1"/>
  <c r="C1412" i="1"/>
  <c r="C856" i="1"/>
  <c r="C851" i="1"/>
  <c r="C933" i="1"/>
  <c r="C725" i="1"/>
  <c r="C286" i="1"/>
  <c r="C1431" i="1"/>
  <c r="C1316" i="1"/>
  <c r="C945" i="1"/>
  <c r="C256" i="1"/>
  <c r="C1385" i="1"/>
  <c r="C1364" i="1"/>
  <c r="C739" i="1"/>
  <c r="C462" i="1"/>
  <c r="C1046" i="1"/>
  <c r="C1471" i="1"/>
  <c r="C941" i="1"/>
  <c r="C1139" i="1"/>
  <c r="C1437" i="1"/>
  <c r="C623" i="1"/>
  <c r="C415" i="1"/>
  <c r="C708" i="1"/>
  <c r="C351" i="1"/>
  <c r="C1260" i="1"/>
  <c r="C1320" i="1"/>
  <c r="C1011" i="1"/>
  <c r="C424" i="1"/>
  <c r="C750" i="1"/>
  <c r="C1266" i="1"/>
  <c r="C920" i="1"/>
  <c r="C409" i="1"/>
  <c r="C243" i="1"/>
  <c r="C9" i="1"/>
  <c r="C134" i="1"/>
  <c r="C502" i="1"/>
  <c r="C229" i="1"/>
  <c r="C1225" i="1"/>
  <c r="C1472" i="1"/>
  <c r="C1443" i="1"/>
  <c r="C628" i="1"/>
  <c r="C688" i="1"/>
  <c r="C1216" i="1"/>
  <c r="C274" i="1"/>
  <c r="C226" i="1"/>
  <c r="C895" i="1"/>
  <c r="C566" i="1"/>
  <c r="C1448" i="1"/>
  <c r="C608" i="1"/>
  <c r="C1073" i="1"/>
  <c r="C1267" i="1"/>
  <c r="C240" i="1"/>
  <c r="C659" i="1"/>
  <c r="C26" i="1"/>
  <c r="C901" i="1"/>
  <c r="C212" i="1"/>
  <c r="C1467" i="1"/>
  <c r="C184" i="1"/>
  <c r="C1029" i="1"/>
  <c r="C85" i="1"/>
  <c r="C288" i="1"/>
  <c r="C950" i="1"/>
  <c r="C661" i="1"/>
  <c r="C407" i="1"/>
  <c r="C1178" i="1"/>
  <c r="C1323" i="1"/>
  <c r="C357" i="1"/>
  <c r="C375" i="1"/>
  <c r="C79" i="1"/>
  <c r="C233" i="1"/>
  <c r="C790" i="1"/>
  <c r="C30" i="1"/>
  <c r="C1432" i="1"/>
  <c r="C386" i="1"/>
  <c r="C551" i="1"/>
  <c r="C1427" i="1"/>
  <c r="C612" i="1"/>
  <c r="C1044" i="1"/>
  <c r="C561" i="1"/>
  <c r="C828" i="1"/>
  <c r="C278" i="1"/>
  <c r="C529" i="1"/>
  <c r="C10" i="1"/>
  <c r="C481" i="1"/>
  <c r="C544" i="1"/>
  <c r="C104" i="1"/>
  <c r="C1352" i="1"/>
  <c r="C1268" i="1"/>
  <c r="C1289" i="1"/>
  <c r="C1059" i="1"/>
  <c r="C1306" i="1"/>
  <c r="C234" i="1"/>
  <c r="C1296" i="1"/>
  <c r="C541" i="1"/>
  <c r="C1231" i="1"/>
  <c r="C864" i="1"/>
  <c r="C1232" i="1"/>
  <c r="C620" i="1"/>
  <c r="C208" i="1"/>
  <c r="C40" i="1"/>
  <c r="C1233" i="1"/>
  <c r="C599" i="1"/>
  <c r="C575" i="1"/>
  <c r="C213" i="1"/>
  <c r="C1246" i="1"/>
  <c r="C868" i="1"/>
  <c r="C701" i="1"/>
  <c r="C93" i="1"/>
  <c r="C160" i="1"/>
  <c r="C1061" i="1"/>
  <c r="C756" i="1"/>
  <c r="C230" i="1"/>
  <c r="C609" i="1"/>
  <c r="C518" i="1"/>
  <c r="C1195" i="1"/>
  <c r="C1207" i="1"/>
  <c r="C207" i="1"/>
  <c r="C1122" i="1"/>
  <c r="C515" i="1"/>
  <c r="C1338" i="1"/>
  <c r="C506" i="1"/>
  <c r="C935" i="1"/>
  <c r="C1376" i="1"/>
  <c r="C1468" i="1"/>
  <c r="C235" i="1"/>
  <c r="C822" i="1"/>
  <c r="C545" i="1"/>
  <c r="C1413" i="1"/>
  <c r="C1357" i="1"/>
  <c r="C753" i="1"/>
  <c r="C1386" i="1"/>
  <c r="C416" i="1"/>
  <c r="C1099" i="1"/>
  <c r="C451" i="1"/>
  <c r="C400" i="1"/>
  <c r="C696" i="1"/>
  <c r="C74" i="1"/>
  <c r="C1106" i="1"/>
  <c r="C146" i="1"/>
  <c r="C455" i="1"/>
  <c r="C844" i="1"/>
  <c r="C1362" i="1"/>
  <c r="C469" i="1"/>
  <c r="C358" i="1"/>
  <c r="C919" i="1"/>
  <c r="C744" i="1"/>
  <c r="C1133" i="1"/>
  <c r="C91" i="1"/>
  <c r="C1269" i="1"/>
  <c r="C1168" i="1"/>
  <c r="C359" i="1"/>
  <c r="C1081" i="1"/>
  <c r="C154" i="1"/>
  <c r="C1301" i="1"/>
  <c r="C112" i="1"/>
  <c r="C14" i="1"/>
  <c r="C168" i="1"/>
  <c r="C239" i="1"/>
  <c r="C605" i="1"/>
  <c r="C158" i="1"/>
  <c r="C111" i="1"/>
  <c r="C1278" i="1"/>
  <c r="C21" i="1"/>
  <c r="C1036" i="1"/>
  <c r="C648" i="1"/>
  <c r="C1446" i="1"/>
  <c r="C1324" i="1"/>
  <c r="C653" i="1"/>
  <c r="C204" i="1"/>
  <c r="C1234" i="1"/>
  <c r="C821" i="1"/>
  <c r="C290" i="1"/>
  <c r="C1055" i="1"/>
  <c r="C333" i="1"/>
  <c r="C1254" i="1"/>
  <c r="C1039" i="1"/>
  <c r="C1299" i="1"/>
  <c r="C908" i="1"/>
  <c r="C1414" i="1"/>
  <c r="C337" i="1"/>
  <c r="C521" i="1"/>
  <c r="C209" i="1"/>
  <c r="C225" i="1"/>
  <c r="C853" i="1"/>
  <c r="C185" i="1"/>
  <c r="C486" i="1"/>
  <c r="C92" i="1"/>
  <c r="C1244" i="1"/>
  <c r="C925" i="1"/>
  <c r="C198" i="1"/>
  <c r="C261" i="1"/>
  <c r="C474" i="1"/>
  <c r="C389" i="1"/>
  <c r="C942" i="1"/>
  <c r="C1460" i="1"/>
  <c r="C958" i="1"/>
  <c r="C325" i="1"/>
  <c r="C1000" i="1"/>
  <c r="C314" i="1"/>
  <c r="C591" i="1"/>
  <c r="C1473" i="1"/>
  <c r="C1185" i="1"/>
  <c r="C122" i="1"/>
  <c r="C961" i="1"/>
  <c r="C1363" i="1"/>
  <c r="C520" i="1"/>
  <c r="C527" i="1"/>
  <c r="C338" i="1"/>
  <c r="C458" i="1"/>
  <c r="C546" i="1"/>
  <c r="C296" i="1"/>
  <c r="C1248" i="1"/>
  <c r="C330" i="1"/>
  <c r="C1433" i="1"/>
  <c r="C396" i="1"/>
  <c r="C71" i="1"/>
  <c r="C442" i="1"/>
  <c r="C181" i="1"/>
  <c r="C149" i="1"/>
  <c r="C436" i="1"/>
  <c r="C792" i="1"/>
  <c r="C757" i="1"/>
  <c r="C182" i="1"/>
  <c r="C1074" i="1"/>
  <c r="C943" i="1"/>
  <c r="C1144" i="1"/>
  <c r="C1397" i="1"/>
  <c r="C1395" i="1"/>
  <c r="C758" i="1"/>
  <c r="C1390" i="1"/>
  <c r="C1347" i="1"/>
  <c r="C956" i="1"/>
  <c r="C1196" i="1"/>
  <c r="C812" i="1"/>
  <c r="C1326" i="1"/>
  <c r="C1075" i="1"/>
  <c r="C900" i="1"/>
  <c r="C1401" i="1"/>
  <c r="C1205" i="1"/>
  <c r="C1148" i="1"/>
  <c r="C663" i="1"/>
  <c r="C257" i="1"/>
  <c r="C103" i="1"/>
  <c r="C675" i="1"/>
  <c r="C1004" i="1"/>
  <c r="C987" i="1"/>
  <c r="C422" i="1"/>
  <c r="C503" i="1"/>
  <c r="C1305" i="1"/>
  <c r="C734" i="1"/>
  <c r="C97" i="1"/>
  <c r="C343" i="1"/>
  <c r="C174" i="1"/>
  <c r="C866" i="1"/>
  <c r="C326" i="1"/>
  <c r="C1445" i="1"/>
  <c r="C1154" i="1"/>
  <c r="C1335" i="1"/>
  <c r="C430" i="1"/>
  <c r="C542" i="1"/>
  <c r="C200" i="1"/>
  <c r="C1279" i="1"/>
  <c r="C642" i="1"/>
  <c r="C715" i="1"/>
  <c r="C1304" i="1"/>
  <c r="C1093" i="1"/>
  <c r="C751" i="1"/>
  <c r="C644" i="1"/>
  <c r="C269" i="1"/>
  <c r="C258" i="1"/>
  <c r="C509" i="1"/>
  <c r="C41" i="1"/>
  <c r="C1146" i="1"/>
  <c r="C1421" i="1"/>
  <c r="C169" i="1"/>
  <c r="C1434" i="1"/>
  <c r="C1447" i="1"/>
  <c r="C1374" i="1"/>
  <c r="C785" i="1"/>
  <c r="C1013" i="1"/>
  <c r="C730" i="1"/>
  <c r="C1177" i="1"/>
  <c r="C1243" i="1"/>
  <c r="C452" i="1"/>
  <c r="C438" i="1"/>
  <c r="C1179" i="1"/>
  <c r="C1464" i="1"/>
  <c r="C492" i="1"/>
  <c r="C266" i="1"/>
  <c r="C47" i="1"/>
  <c r="C1186" i="1"/>
  <c r="C367" i="1"/>
  <c r="C712" i="1"/>
  <c r="C738" i="1"/>
  <c r="C214" i="1"/>
  <c r="C625" i="1"/>
  <c r="C1037" i="1"/>
  <c r="C80" i="1"/>
  <c r="C1415" i="1"/>
  <c r="C1127" i="1"/>
  <c r="C1043" i="1"/>
  <c r="C602" i="1"/>
  <c r="C593" i="1"/>
  <c r="C516" i="1"/>
  <c r="C567" i="1"/>
  <c r="C865" i="1"/>
  <c r="C579" i="1"/>
  <c r="C880" i="1"/>
  <c r="C322" i="1"/>
  <c r="C617" i="1"/>
  <c r="C270" i="1"/>
  <c r="C1382" i="1"/>
  <c r="C61" i="1"/>
  <c r="C938" i="1"/>
  <c r="C1223" i="1"/>
  <c r="C1140" i="1"/>
  <c r="C423" i="1"/>
  <c r="C1339" i="1"/>
  <c r="C1008" i="1"/>
  <c r="C11" i="1"/>
  <c r="C419" i="1"/>
  <c r="C101" i="1"/>
  <c r="C672" i="1"/>
  <c r="C491" i="1"/>
  <c r="C1023" i="1"/>
  <c r="C702" i="1"/>
  <c r="C1245" i="1"/>
  <c r="C1356" i="1"/>
  <c r="C649" i="1"/>
  <c r="C27" i="1"/>
  <c r="C729" i="1"/>
  <c r="C202" i="1"/>
  <c r="C156" i="1"/>
  <c r="C1180" i="1"/>
  <c r="C641" i="1"/>
  <c r="C417" i="1"/>
  <c r="C600" i="1"/>
  <c r="C926" i="1"/>
  <c r="C799" i="1"/>
  <c r="C72" i="1"/>
  <c r="C1252" i="1"/>
  <c r="C1076" i="1"/>
  <c r="C766" i="1"/>
  <c r="C150" i="1"/>
  <c r="C123" i="1"/>
  <c r="C16" i="1"/>
  <c r="C248" i="1"/>
  <c r="C454" i="1"/>
  <c r="C275" i="1"/>
  <c r="C360" i="1"/>
  <c r="C679" i="1"/>
  <c r="C989" i="1"/>
  <c r="C547" i="1"/>
  <c r="C164" i="1"/>
  <c r="C1368" i="1"/>
  <c r="C934" i="1"/>
  <c r="C845" i="1"/>
  <c r="C408" i="1"/>
  <c r="C1453" i="1"/>
  <c r="C1310" i="1"/>
  <c r="C18" i="1"/>
  <c r="C1121" i="1"/>
  <c r="C597" i="1"/>
  <c r="C658" i="1"/>
  <c r="C1371" i="1"/>
  <c r="C1012" i="1"/>
  <c r="C1088" i="1"/>
  <c r="C183" i="1"/>
  <c r="C525" i="1"/>
  <c r="C562" i="1"/>
  <c r="C96" i="1"/>
  <c r="C1056" i="1"/>
  <c r="C1208" i="1"/>
  <c r="C265" i="1"/>
  <c r="C946" i="1"/>
  <c r="C247" i="1"/>
  <c r="C651" i="1"/>
  <c r="C927" i="1"/>
  <c r="C650" i="1"/>
  <c r="C284" i="1"/>
  <c r="C318" i="1"/>
  <c r="C500" i="1"/>
  <c r="C552" i="1"/>
  <c r="C791" i="1"/>
  <c r="C554" i="1"/>
  <c r="C1406" i="1"/>
  <c r="C1271" i="1"/>
  <c r="C1014" i="1"/>
  <c r="C1159" i="1"/>
  <c r="C1005" i="1"/>
  <c r="C777" i="1"/>
  <c r="C775" i="1"/>
  <c r="C1342" i="1"/>
  <c r="C334" i="1"/>
  <c r="C153" i="1"/>
  <c r="C468" i="1"/>
  <c r="C587" i="1"/>
  <c r="C1314" i="1"/>
  <c r="C1441" i="1"/>
  <c r="C604" i="1"/>
  <c r="C1150" i="1"/>
  <c r="C1235" i="1"/>
  <c r="C1474" i="1"/>
  <c r="C1290" i="1"/>
  <c r="C55" i="1"/>
  <c r="C1349" i="1"/>
  <c r="C82" i="1"/>
  <c r="C807" i="1"/>
  <c r="C277" i="1"/>
  <c r="C1389" i="1"/>
  <c r="C1048" i="1"/>
  <c r="C1149" i="1"/>
  <c r="C1270" i="1"/>
  <c r="C370" i="1"/>
  <c r="C282" i="1"/>
  <c r="C695" i="1"/>
  <c r="C420" i="1"/>
  <c r="C489" i="1"/>
  <c r="C437" i="1"/>
  <c r="C216" i="1"/>
  <c r="C236" i="1"/>
  <c r="C837" i="1"/>
  <c r="C829" i="1"/>
  <c r="C116" i="1"/>
  <c r="C1203" i="1"/>
  <c r="C814" i="1"/>
  <c r="C1435" i="1"/>
  <c r="C830" i="1"/>
  <c r="C1202" i="1"/>
  <c r="C289" i="1"/>
  <c r="C1475" i="1"/>
  <c r="C685" i="1"/>
  <c r="C159" i="1"/>
  <c r="C125" i="1"/>
  <c r="C126" i="1"/>
  <c r="C28" i="1"/>
  <c r="C363" i="1"/>
  <c r="C909" i="1"/>
  <c r="C15" i="1"/>
  <c r="C1280" i="1"/>
  <c r="C1117" i="1"/>
  <c r="C401" i="1"/>
  <c r="C20" i="1"/>
  <c r="C1422" i="1"/>
  <c r="C48" i="1"/>
  <c r="C323" i="1"/>
  <c r="C8" i="1"/>
  <c r="C1143" i="1"/>
  <c r="C810" i="1"/>
  <c r="C1078" i="1"/>
  <c r="C373" i="1"/>
  <c r="C847" i="1"/>
  <c r="C773" i="1"/>
  <c r="C874" i="1"/>
  <c r="C148" i="1"/>
  <c r="C548" i="1"/>
  <c r="C905" i="1"/>
  <c r="C740" i="1"/>
  <c r="C197" i="1"/>
  <c r="C224" i="1"/>
  <c r="C98" i="1"/>
  <c r="C907" i="1"/>
  <c r="C192" i="1"/>
  <c r="C768" i="1"/>
  <c r="C1236" i="1"/>
  <c r="C505" i="1"/>
  <c r="C526" i="1"/>
  <c r="C1353" i="1"/>
  <c r="C823" i="1"/>
  <c r="C293" i="1"/>
  <c r="C1416" i="1"/>
  <c r="C157" i="1"/>
  <c r="C58" i="1"/>
  <c r="C645" i="1"/>
  <c r="C315" i="1"/>
  <c r="C881" i="1"/>
  <c r="C68" i="1"/>
  <c r="C689" i="1"/>
  <c r="C371" i="1"/>
  <c r="C1226" i="1"/>
  <c r="C1105" i="1"/>
  <c r="C1228" i="1"/>
  <c r="C693" i="1"/>
  <c r="C1462" i="1"/>
  <c r="C1377" i="1"/>
  <c r="C824" i="1"/>
  <c r="C1220" i="1"/>
  <c r="C1291" i="1"/>
  <c r="C42" i="1"/>
  <c r="C669" i="1"/>
  <c r="C896" i="1"/>
  <c r="C673" i="1"/>
  <c r="C194" i="1"/>
  <c r="C903" i="1"/>
  <c r="C692" i="1"/>
  <c r="C1193" i="1"/>
  <c r="C1454" i="1"/>
  <c r="C563" i="1"/>
  <c r="C1348" i="1"/>
  <c r="C1311" i="1"/>
  <c r="C35" i="1"/>
  <c r="C1147" i="1"/>
  <c r="C127" i="1"/>
  <c r="C84" i="1"/>
  <c r="C352" i="1"/>
  <c r="C54" i="1"/>
  <c r="C186" i="1"/>
  <c r="C1218" i="1"/>
  <c r="C1409" i="1"/>
  <c r="C1187" i="1"/>
  <c r="C594" i="1"/>
  <c r="C43" i="1"/>
  <c r="C1345" i="1"/>
  <c r="C848" i="1"/>
  <c r="C573" i="1"/>
  <c r="C636" i="1"/>
  <c r="C839" i="1"/>
  <c r="C292" i="1"/>
  <c r="C1018" i="1"/>
  <c r="C912" i="1"/>
  <c r="C831" i="1"/>
  <c r="C133" i="1"/>
  <c r="C687" i="1"/>
  <c r="C971" i="1"/>
  <c r="C1370" i="1"/>
  <c r="C805" i="1"/>
  <c r="C1476" i="1"/>
  <c r="C1118" i="1"/>
  <c r="C1157" i="1"/>
  <c r="C1141" i="1"/>
  <c r="C1019" i="1"/>
  <c r="C664" i="1"/>
  <c r="C1303" i="1"/>
  <c r="C1420" i="1"/>
  <c r="C733" i="1"/>
  <c r="C201" i="1"/>
  <c r="C498" i="1"/>
  <c r="C984" i="1"/>
  <c r="C249" i="1"/>
  <c r="C1057" i="1"/>
  <c r="C1302" i="1"/>
  <c r="C1145" i="1"/>
  <c r="C353" i="1"/>
  <c r="C716" i="1"/>
  <c r="C1247" i="1"/>
  <c r="C747" i="1"/>
  <c r="C846" i="1"/>
  <c r="C196" i="1"/>
  <c r="C517" i="1"/>
  <c r="C17" i="1"/>
  <c r="C1340" i="1"/>
  <c r="C354" i="1"/>
  <c r="C1351" i="1"/>
  <c r="C637" i="1"/>
  <c r="C1237" i="1"/>
  <c r="C1161" i="1"/>
  <c r="C737" i="1"/>
  <c r="C611" i="1"/>
  <c r="C172" i="1"/>
  <c r="C963" i="1"/>
  <c r="C368" i="1"/>
  <c r="C957" i="1"/>
  <c r="C1273" i="1"/>
  <c r="C402" i="1"/>
  <c r="C797" i="1"/>
  <c r="C584" i="1"/>
  <c r="C955" i="1"/>
  <c r="C279" i="1"/>
  <c r="C891" i="1"/>
  <c r="C281" i="1"/>
  <c r="C619" i="1"/>
  <c r="C772" i="1"/>
  <c r="C598" i="1"/>
  <c r="C1174" i="1"/>
  <c r="C789" i="1"/>
  <c r="C576" i="1"/>
  <c r="C1089" i="1"/>
  <c r="C902" i="1"/>
  <c r="C1128" i="1"/>
  <c r="C1129" i="1"/>
  <c r="C1354" i="1"/>
  <c r="C444" i="1"/>
  <c r="C510" i="1"/>
  <c r="C764" i="1"/>
  <c r="C259" i="1"/>
  <c r="C316" i="1"/>
  <c r="C1015" i="1"/>
  <c r="C418" i="1"/>
  <c r="C170" i="1"/>
  <c r="C1016" i="1"/>
  <c r="C114" i="1"/>
  <c r="C463" i="1"/>
  <c r="C276" i="1"/>
  <c r="C253" i="1"/>
  <c r="C999" i="1"/>
  <c r="C206" i="1"/>
  <c r="C873" i="1"/>
  <c r="C1429" i="1"/>
  <c r="C858" i="1"/>
  <c r="C759" i="1"/>
  <c r="C1200" i="1"/>
  <c r="C811" i="1"/>
  <c r="C580" i="1"/>
  <c r="C1188" i="1"/>
  <c r="C355" i="1"/>
  <c r="C741" i="1"/>
  <c r="C496" i="1"/>
  <c r="C749" i="1"/>
  <c r="C1238" i="1"/>
  <c r="C964" i="1"/>
  <c r="C1450" i="1"/>
  <c r="C162" i="1"/>
  <c r="C549" i="1"/>
  <c r="C626" i="1"/>
  <c r="C631" i="1"/>
  <c r="C1318" i="1"/>
  <c r="C129" i="1"/>
  <c r="C1098" i="1"/>
  <c r="C1217" i="1"/>
  <c r="C997" i="1"/>
  <c r="C1017" i="1"/>
  <c r="C1399" i="1"/>
  <c r="C638" i="1"/>
  <c r="C119" i="1"/>
  <c r="C867" i="1"/>
  <c r="C752" i="1"/>
  <c r="C1239" i="1"/>
  <c r="C1189" i="1"/>
  <c r="C647" i="1"/>
  <c r="C232" i="1"/>
  <c r="C1169" i="1"/>
  <c r="C703" i="1"/>
  <c r="C1090" i="1"/>
  <c r="C780" i="1"/>
  <c r="C731" i="1"/>
  <c r="C713" i="1"/>
  <c r="C803" i="1"/>
  <c r="C1240" i="1"/>
  <c r="C317" i="1"/>
  <c r="C583" i="1"/>
  <c r="C726" i="1"/>
  <c r="C1030" i="1"/>
  <c r="C550" i="1"/>
  <c r="C332" i="1"/>
  <c r="R25" i="21" l="1"/>
  <c r="R26" i="21"/>
  <c r="R27" i="21"/>
  <c r="R28" i="21"/>
  <c r="R29" i="21"/>
  <c r="R30" i="21"/>
  <c r="R31" i="21"/>
  <c r="R32" i="21"/>
  <c r="R33" i="21"/>
  <c r="R34" i="21"/>
  <c r="R35" i="21"/>
  <c r="R36" i="21"/>
  <c r="R37" i="21"/>
  <c r="R38" i="21"/>
  <c r="C72" i="29" l="1"/>
  <c r="E71" i="29"/>
  <c r="G70" i="29"/>
  <c r="C69" i="29"/>
  <c r="C66" i="29"/>
  <c r="E65" i="29"/>
  <c r="G64" i="29"/>
  <c r="C63" i="29"/>
  <c r="E60" i="29"/>
  <c r="G59" i="29"/>
  <c r="C57" i="29"/>
  <c r="E53" i="29"/>
  <c r="E35" i="29"/>
  <c r="G73" i="29"/>
  <c r="E72" i="29"/>
  <c r="G71" i="29"/>
  <c r="C70" i="29"/>
  <c r="E69" i="29"/>
  <c r="G68" i="29"/>
  <c r="E66" i="29"/>
  <c r="G65" i="29"/>
  <c r="C64" i="29"/>
  <c r="E63" i="29"/>
  <c r="G62" i="29"/>
  <c r="C61" i="29"/>
  <c r="C58" i="29"/>
  <c r="G56" i="29"/>
  <c r="C55" i="29"/>
  <c r="E74" i="29"/>
  <c r="E73" i="29"/>
  <c r="G72" i="29"/>
  <c r="C71" i="29"/>
  <c r="E68" i="29"/>
  <c r="G67" i="29"/>
  <c r="C65" i="29"/>
  <c r="E62" i="29"/>
  <c r="G61" i="29"/>
  <c r="C60" i="29"/>
  <c r="E59" i="29"/>
  <c r="G58" i="29"/>
  <c r="E56" i="29"/>
  <c r="G55" i="29"/>
  <c r="C53" i="29"/>
  <c r="D35" i="29"/>
  <c r="C73" i="29"/>
  <c r="E70" i="29"/>
  <c r="G69" i="29"/>
  <c r="C68" i="29"/>
  <c r="E67" i="29"/>
  <c r="G66" i="29"/>
  <c r="E64" i="29"/>
  <c r="G63" i="29"/>
  <c r="C62" i="29"/>
  <c r="E61" i="29"/>
  <c r="G60" i="29"/>
  <c r="C59" i="29"/>
  <c r="E58" i="29"/>
  <c r="G57" i="29"/>
  <c r="C56" i="29"/>
  <c r="E55" i="29"/>
  <c r="G35" i="29"/>
  <c r="C35" i="29"/>
  <c r="C67" i="29"/>
  <c r="E57" i="29"/>
  <c r="G53" i="29"/>
  <c r="D44" i="17"/>
  <c r="D48" i="17"/>
  <c r="D52" i="17"/>
  <c r="D56" i="17"/>
  <c r="D60" i="17"/>
  <c r="D64" i="17"/>
  <c r="D68" i="17"/>
  <c r="D72" i="17"/>
  <c r="D54" i="18"/>
  <c r="D58" i="18"/>
  <c r="D62" i="18"/>
  <c r="D66" i="18"/>
  <c r="D70" i="18"/>
  <c r="D56" i="19"/>
  <c r="D60" i="19"/>
  <c r="D64" i="19"/>
  <c r="D68" i="19"/>
  <c r="D72" i="19"/>
  <c r="D50" i="22"/>
  <c r="D54" i="22"/>
  <c r="D58" i="22"/>
  <c r="D62" i="22"/>
  <c r="D66" i="22"/>
  <c r="D70" i="22"/>
  <c r="D40" i="16"/>
  <c r="D52" i="16"/>
  <c r="D56" i="16"/>
  <c r="D60" i="16"/>
  <c r="D64" i="16"/>
  <c r="D68" i="16"/>
  <c r="D72" i="16"/>
  <c r="D46" i="21"/>
  <c r="D54" i="21"/>
  <c r="D58" i="21"/>
  <c r="D62" i="21"/>
  <c r="D66" i="21"/>
  <c r="D70" i="21"/>
  <c r="D56" i="20"/>
  <c r="D60" i="20"/>
  <c r="D64" i="20"/>
  <c r="D68" i="20"/>
  <c r="D72" i="20"/>
  <c r="D50" i="24"/>
  <c r="D54" i="24"/>
  <c r="D58" i="24"/>
  <c r="D62" i="24"/>
  <c r="D66" i="24"/>
  <c r="D70" i="24"/>
  <c r="D39" i="17"/>
  <c r="D30" i="20"/>
  <c r="D30" i="21"/>
  <c r="D51" i="17"/>
  <c r="D57" i="17"/>
  <c r="D62" i="17"/>
  <c r="D67" i="17"/>
  <c r="D73" i="17"/>
  <c r="D55" i="18"/>
  <c r="D60" i="18"/>
  <c r="D65" i="18"/>
  <c r="D71" i="18"/>
  <c r="D47" i="19"/>
  <c r="D58" i="19"/>
  <c r="D63" i="19"/>
  <c r="D69" i="19"/>
  <c r="D51" i="22"/>
  <c r="D56" i="22"/>
  <c r="D61" i="22"/>
  <c r="D67" i="22"/>
  <c r="D72" i="22"/>
  <c r="D54" i="16"/>
  <c r="D59" i="16"/>
  <c r="D65" i="16"/>
  <c r="D70" i="16"/>
  <c r="D52" i="21"/>
  <c r="D57" i="21"/>
  <c r="D63" i="21"/>
  <c r="D68" i="21"/>
  <c r="D73" i="21"/>
  <c r="D55" i="20"/>
  <c r="D61" i="20"/>
  <c r="D66" i="20"/>
  <c r="D71" i="20"/>
  <c r="D53" i="24"/>
  <c r="D59" i="24"/>
  <c r="D64" i="24"/>
  <c r="D69" i="24"/>
  <c r="D27" i="20"/>
  <c r="D28" i="21"/>
  <c r="D27" i="22"/>
  <c r="D27" i="19"/>
  <c r="D15" i="19"/>
  <c r="D27" i="18"/>
  <c r="D27" i="17"/>
  <c r="D59" i="17"/>
  <c r="D65" i="17"/>
  <c r="D52" i="18"/>
  <c r="D63" i="18"/>
  <c r="D73" i="18"/>
  <c r="D61" i="19"/>
  <c r="D71" i="19"/>
  <c r="D48" i="22"/>
  <c r="D64" i="22"/>
  <c r="D41" i="16"/>
  <c r="D51" i="16"/>
  <c r="D57" i="16"/>
  <c r="D67" i="16"/>
  <c r="D55" i="21"/>
  <c r="D65" i="21"/>
  <c r="D58" i="20"/>
  <c r="D63" i="20"/>
  <c r="D56" i="24"/>
  <c r="D67" i="24"/>
  <c r="D29" i="16"/>
  <c r="D29" i="22"/>
  <c r="D21" i="22"/>
  <c r="D29" i="18"/>
  <c r="D29" i="24"/>
  <c r="D53" i="17"/>
  <c r="D58" i="17"/>
  <c r="D63" i="17"/>
  <c r="D69" i="17"/>
  <c r="D40" i="18"/>
  <c r="D51" i="18"/>
  <c r="D56" i="18"/>
  <c r="D61" i="18"/>
  <c r="D67" i="18"/>
  <c r="D72" i="18"/>
  <c r="D59" i="19"/>
  <c r="D65" i="19"/>
  <c r="D70" i="19"/>
  <c r="D52" i="22"/>
  <c r="D57" i="22"/>
  <c r="D63" i="22"/>
  <c r="D68" i="22"/>
  <c r="D73" i="22"/>
  <c r="D55" i="16"/>
  <c r="D61" i="16"/>
  <c r="D66" i="16"/>
  <c r="D71" i="16"/>
  <c r="D53" i="21"/>
  <c r="D59" i="21"/>
  <c r="D64" i="21"/>
  <c r="D69" i="21"/>
  <c r="D57" i="20"/>
  <c r="D62" i="20"/>
  <c r="D67" i="20"/>
  <c r="D73" i="20"/>
  <c r="D49" i="24"/>
  <c r="D55" i="24"/>
  <c r="D60" i="24"/>
  <c r="D65" i="24"/>
  <c r="D71" i="24"/>
  <c r="D27" i="21"/>
  <c r="D30" i="16"/>
  <c r="D30" i="22"/>
  <c r="D26" i="22"/>
  <c r="D30" i="19"/>
  <c r="D30" i="18"/>
  <c r="D6" i="18"/>
  <c r="D30" i="17"/>
  <c r="D26" i="17"/>
  <c r="D28" i="24"/>
  <c r="D54" i="17"/>
  <c r="D70" i="17"/>
  <c r="D57" i="18"/>
  <c r="D68" i="18"/>
  <c r="D55" i="19"/>
  <c r="D66" i="19"/>
  <c r="D53" i="22"/>
  <c r="D59" i="22"/>
  <c r="D69" i="22"/>
  <c r="D62" i="16"/>
  <c r="D73" i="16"/>
  <c r="D49" i="21"/>
  <c r="D60" i="21"/>
  <c r="D71" i="21"/>
  <c r="D53" i="20"/>
  <c r="D69" i="20"/>
  <c r="D51" i="24"/>
  <c r="D61" i="24"/>
  <c r="D72" i="24"/>
  <c r="D29" i="20"/>
  <c r="D29" i="19"/>
  <c r="D29" i="17"/>
  <c r="D55" i="17"/>
  <c r="D61" i="17"/>
  <c r="D66" i="17"/>
  <c r="D71" i="17"/>
  <c r="D53" i="18"/>
  <c r="D59" i="18"/>
  <c r="D64" i="18"/>
  <c r="D69" i="18"/>
  <c r="D52" i="24"/>
  <c r="D28" i="22"/>
  <c r="D57" i="24"/>
  <c r="D28" i="16"/>
  <c r="D28" i="17"/>
  <c r="D65" i="22"/>
  <c r="D62" i="19"/>
  <c r="D49" i="22"/>
  <c r="D71" i="22"/>
  <c r="D58" i="16"/>
  <c r="D67" i="21"/>
  <c r="D63" i="24"/>
  <c r="D28" i="20"/>
  <c r="D28" i="18"/>
  <c r="D24" i="17"/>
  <c r="D30" i="24"/>
  <c r="D67" i="19"/>
  <c r="D55" i="22"/>
  <c r="D63" i="16"/>
  <c r="D72" i="21"/>
  <c r="D59" i="20"/>
  <c r="D68" i="24"/>
  <c r="D29" i="21"/>
  <c r="D28" i="19"/>
  <c r="D73" i="19"/>
  <c r="D60" i="22"/>
  <c r="D69" i="16"/>
  <c r="D56" i="21"/>
  <c r="D65" i="20"/>
  <c r="D73" i="24"/>
  <c r="D57" i="19"/>
  <c r="D53" i="16"/>
  <c r="D61" i="21"/>
  <c r="D70" i="20"/>
  <c r="E7" i="20"/>
  <c r="I26" i="22"/>
  <c r="E5" i="16"/>
  <c r="F60" i="18"/>
  <c r="C25" i="16"/>
  <c r="E15" i="19"/>
  <c r="C22" i="20"/>
  <c r="C23" i="20"/>
  <c r="I29" i="20"/>
  <c r="C13" i="20"/>
  <c r="F29" i="17"/>
  <c r="I30" i="16"/>
  <c r="F64" i="20"/>
  <c r="E28" i="17"/>
  <c r="C28" i="16"/>
  <c r="I15" i="19"/>
  <c r="F72" i="22"/>
  <c r="F73" i="21"/>
  <c r="C15" i="18"/>
  <c r="C28" i="18"/>
  <c r="F26" i="17"/>
  <c r="H30" i="21"/>
  <c r="E28" i="22"/>
  <c r="H35" i="21"/>
  <c r="E22" i="21"/>
  <c r="F30" i="22"/>
  <c r="H28" i="18"/>
  <c r="F28" i="18"/>
  <c r="E30" i="20"/>
  <c r="C28" i="19"/>
  <c r="F28" i="16"/>
  <c r="F71" i="18"/>
  <c r="C18" i="17"/>
  <c r="C40" i="20"/>
  <c r="C44" i="20"/>
  <c r="C48" i="20"/>
  <c r="C52" i="20"/>
  <c r="C40" i="17"/>
  <c r="C44" i="17"/>
  <c r="C48" i="17"/>
  <c r="C52" i="17"/>
  <c r="C56" i="17"/>
  <c r="C60" i="17"/>
  <c r="C64" i="17"/>
  <c r="C68" i="17"/>
  <c r="C72" i="17"/>
  <c r="C42" i="18"/>
  <c r="C46" i="18"/>
  <c r="C50" i="18"/>
  <c r="C54" i="18"/>
  <c r="C58" i="18"/>
  <c r="C62" i="18"/>
  <c r="C66" i="18"/>
  <c r="C70" i="18"/>
  <c r="C40" i="19"/>
  <c r="C44" i="19"/>
  <c r="C48" i="19"/>
  <c r="C52" i="19"/>
  <c r="C56" i="19"/>
  <c r="C60" i="19"/>
  <c r="C64" i="19"/>
  <c r="C68" i="19"/>
  <c r="C72" i="19"/>
  <c r="C42" i="22"/>
  <c r="C46" i="22"/>
  <c r="C50" i="22"/>
  <c r="C54" i="22"/>
  <c r="C58" i="22"/>
  <c r="C62" i="22"/>
  <c r="C66" i="22"/>
  <c r="C70" i="22"/>
  <c r="C40" i="16"/>
  <c r="C44" i="16"/>
  <c r="C48" i="16"/>
  <c r="C52" i="16"/>
  <c r="C56" i="16"/>
  <c r="C60" i="16"/>
  <c r="C64" i="16"/>
  <c r="C68" i="16"/>
  <c r="C72" i="16"/>
  <c r="C42" i="21"/>
  <c r="C46" i="21"/>
  <c r="C50" i="21"/>
  <c r="C54" i="21"/>
  <c r="C58" i="21"/>
  <c r="C62" i="21"/>
  <c r="C66" i="21"/>
  <c r="C70" i="21"/>
  <c r="C56" i="20"/>
  <c r="C60" i="20"/>
  <c r="C64" i="20"/>
  <c r="C68" i="20"/>
  <c r="C72" i="20"/>
  <c r="C42" i="24"/>
  <c r="C46" i="24"/>
  <c r="C50" i="24"/>
  <c r="C54" i="24"/>
  <c r="C58" i="24"/>
  <c r="C62" i="24"/>
  <c r="C66" i="24"/>
  <c r="C70" i="24"/>
  <c r="H44" i="17"/>
  <c r="H48" i="17"/>
  <c r="H52" i="17"/>
  <c r="H56" i="17"/>
  <c r="H60" i="17"/>
  <c r="H64" i="17"/>
  <c r="H68" i="17"/>
  <c r="H72" i="17"/>
  <c r="H54" i="18"/>
  <c r="H58" i="18"/>
  <c r="H62" i="18"/>
  <c r="H66" i="18"/>
  <c r="H70" i="18"/>
  <c r="C41" i="20"/>
  <c r="C45" i="20"/>
  <c r="C49" i="20"/>
  <c r="C53" i="20"/>
  <c r="C41" i="17"/>
  <c r="C45" i="17"/>
  <c r="C49" i="17"/>
  <c r="C53" i="17"/>
  <c r="C57" i="17"/>
  <c r="C61" i="17"/>
  <c r="C65" i="17"/>
  <c r="C69" i="17"/>
  <c r="C73" i="17"/>
  <c r="C43" i="18"/>
  <c r="C47" i="18"/>
  <c r="C51" i="18"/>
  <c r="C55" i="18"/>
  <c r="C59" i="18"/>
  <c r="C63" i="18"/>
  <c r="C67" i="18"/>
  <c r="C71" i="18"/>
  <c r="C41" i="19"/>
  <c r="C45" i="19"/>
  <c r="C49" i="19"/>
  <c r="C53" i="19"/>
  <c r="C57" i="19"/>
  <c r="C61" i="19"/>
  <c r="C65" i="19"/>
  <c r="C69" i="19"/>
  <c r="C73" i="19"/>
  <c r="C43" i="22"/>
  <c r="C47" i="22"/>
  <c r="C51" i="22"/>
  <c r="C55" i="22"/>
  <c r="C59" i="22"/>
  <c r="C63" i="22"/>
  <c r="C67" i="22"/>
  <c r="C71" i="22"/>
  <c r="C41" i="16"/>
  <c r="C45" i="16"/>
  <c r="C49" i="16"/>
  <c r="C53" i="16"/>
  <c r="C57" i="16"/>
  <c r="C61" i="16"/>
  <c r="C65" i="16"/>
  <c r="C69" i="16"/>
  <c r="C73" i="16"/>
  <c r="C43" i="21"/>
  <c r="C47" i="21"/>
  <c r="C51" i="21"/>
  <c r="C55" i="21"/>
  <c r="C59" i="21"/>
  <c r="C63" i="21"/>
  <c r="C67" i="21"/>
  <c r="C71" i="21"/>
  <c r="C57" i="20"/>
  <c r="C61" i="20"/>
  <c r="C65" i="20"/>
  <c r="C69" i="20"/>
  <c r="C73" i="20"/>
  <c r="C43" i="24"/>
  <c r="C47" i="24"/>
  <c r="C51" i="24"/>
  <c r="C55" i="24"/>
  <c r="C59" i="24"/>
  <c r="C63" i="24"/>
  <c r="C67" i="24"/>
  <c r="C71" i="24"/>
  <c r="H53" i="17"/>
  <c r="H57" i="17"/>
  <c r="H61" i="17"/>
  <c r="H65" i="17"/>
  <c r="H69" i="17"/>
  <c r="H73" i="17"/>
  <c r="H51" i="18"/>
  <c r="H55" i="18"/>
  <c r="H59" i="18"/>
  <c r="H63" i="18"/>
  <c r="H67" i="18"/>
  <c r="H71" i="18"/>
  <c r="C42" i="20"/>
  <c r="C46" i="20"/>
  <c r="C50" i="20"/>
  <c r="C54" i="20"/>
  <c r="C42" i="17"/>
  <c r="C46" i="17"/>
  <c r="C50" i="17"/>
  <c r="C54" i="17"/>
  <c r="C58" i="17"/>
  <c r="C62" i="17"/>
  <c r="C66" i="17"/>
  <c r="C70" i="17"/>
  <c r="C40" i="18"/>
  <c r="C44" i="18"/>
  <c r="C48" i="18"/>
  <c r="C52" i="18"/>
  <c r="C56" i="18"/>
  <c r="C60" i="18"/>
  <c r="C64" i="18"/>
  <c r="C68" i="18"/>
  <c r="C72" i="18"/>
  <c r="C42" i="19"/>
  <c r="C46" i="19"/>
  <c r="C50" i="19"/>
  <c r="C54" i="19"/>
  <c r="C58" i="19"/>
  <c r="C62" i="19"/>
  <c r="C66" i="19"/>
  <c r="C70" i="19"/>
  <c r="C40" i="22"/>
  <c r="C44" i="22"/>
  <c r="C48" i="22"/>
  <c r="C52" i="22"/>
  <c r="C56" i="22"/>
  <c r="C60" i="22"/>
  <c r="C64" i="22"/>
  <c r="C68" i="22"/>
  <c r="C72" i="22"/>
  <c r="C42" i="16"/>
  <c r="C46" i="16"/>
  <c r="C50" i="16"/>
  <c r="C54" i="16"/>
  <c r="C58" i="16"/>
  <c r="C62" i="16"/>
  <c r="C66" i="16"/>
  <c r="C70" i="16"/>
  <c r="C40" i="21"/>
  <c r="C44" i="21"/>
  <c r="C48" i="21"/>
  <c r="C52" i="21"/>
  <c r="C56" i="21"/>
  <c r="C60" i="21"/>
  <c r="C64" i="21"/>
  <c r="C68" i="21"/>
  <c r="C72" i="21"/>
  <c r="C58" i="20"/>
  <c r="C62" i="20"/>
  <c r="C66" i="20"/>
  <c r="C70" i="20"/>
  <c r="C40" i="24"/>
  <c r="C44" i="24"/>
  <c r="C48" i="24"/>
  <c r="C52" i="24"/>
  <c r="C56" i="24"/>
  <c r="C60" i="24"/>
  <c r="C64" i="24"/>
  <c r="C68" i="24"/>
  <c r="C72" i="24"/>
  <c r="H54" i="17"/>
  <c r="H58" i="17"/>
  <c r="H62" i="17"/>
  <c r="H66" i="17"/>
  <c r="H70" i="17"/>
  <c r="H52" i="18"/>
  <c r="H56" i="18"/>
  <c r="H60" i="18"/>
  <c r="H64" i="18"/>
  <c r="H68" i="18"/>
  <c r="H72" i="18"/>
  <c r="C43" i="20"/>
  <c r="C43" i="17"/>
  <c r="C59" i="17"/>
  <c r="C41" i="18"/>
  <c r="C57" i="18"/>
  <c r="C73" i="18"/>
  <c r="C55" i="19"/>
  <c r="C71" i="19"/>
  <c r="C53" i="22"/>
  <c r="C69" i="22"/>
  <c r="C51" i="16"/>
  <c r="C67" i="16"/>
  <c r="C49" i="21"/>
  <c r="C65" i="21"/>
  <c r="C63" i="20"/>
  <c r="C45" i="24"/>
  <c r="C61" i="24"/>
  <c r="H59" i="17"/>
  <c r="H57" i="18"/>
  <c r="H73" i="18"/>
  <c r="H47" i="19"/>
  <c r="H59" i="19"/>
  <c r="H63" i="19"/>
  <c r="H67" i="19"/>
  <c r="H71" i="19"/>
  <c r="H49" i="22"/>
  <c r="H53" i="22"/>
  <c r="H57" i="22"/>
  <c r="H61" i="22"/>
  <c r="H65" i="22"/>
  <c r="H69" i="22"/>
  <c r="H73" i="22"/>
  <c r="H51" i="16"/>
  <c r="H55" i="16"/>
  <c r="H59" i="16"/>
  <c r="H63" i="16"/>
  <c r="H67" i="16"/>
  <c r="H71" i="16"/>
  <c r="H49" i="21"/>
  <c r="H53" i="21"/>
  <c r="H57" i="21"/>
  <c r="H61" i="21"/>
  <c r="H65" i="21"/>
  <c r="H69" i="21"/>
  <c r="H73" i="21"/>
  <c r="H55" i="20"/>
  <c r="H59" i="20"/>
  <c r="H63" i="20"/>
  <c r="H67" i="20"/>
  <c r="H71" i="20"/>
  <c r="H49" i="24"/>
  <c r="H53" i="24"/>
  <c r="H61" i="24"/>
  <c r="H69" i="24"/>
  <c r="H56" i="16"/>
  <c r="H64" i="16"/>
  <c r="H58" i="21"/>
  <c r="H70" i="21"/>
  <c r="H56" i="20"/>
  <c r="H64" i="20"/>
  <c r="H72" i="20"/>
  <c r="H58" i="24"/>
  <c r="H70" i="24"/>
  <c r="C47" i="20"/>
  <c r="C47" i="17"/>
  <c r="C63" i="17"/>
  <c r="C45" i="18"/>
  <c r="C61" i="18"/>
  <c r="C43" i="19"/>
  <c r="C59" i="19"/>
  <c r="C41" i="22"/>
  <c r="C57" i="22"/>
  <c r="C73" i="22"/>
  <c r="C55" i="16"/>
  <c r="C71" i="16"/>
  <c r="C53" i="21"/>
  <c r="C69" i="21"/>
  <c r="C67" i="20"/>
  <c r="C49" i="24"/>
  <c r="C65" i="24"/>
  <c r="H63" i="17"/>
  <c r="H61" i="18"/>
  <c r="H56" i="19"/>
  <c r="H60" i="19"/>
  <c r="H64" i="19"/>
  <c r="H68" i="19"/>
  <c r="H72" i="19"/>
  <c r="H50" i="22"/>
  <c r="H54" i="22"/>
  <c r="H58" i="22"/>
  <c r="H62" i="22"/>
  <c r="H66" i="22"/>
  <c r="H70" i="22"/>
  <c r="H52" i="16"/>
  <c r="H60" i="16"/>
  <c r="H68" i="16"/>
  <c r="H46" i="21"/>
  <c r="H54" i="21"/>
  <c r="H66" i="21"/>
  <c r="H60" i="20"/>
  <c r="H54" i="24"/>
  <c r="H66" i="24"/>
  <c r="H27" i="17"/>
  <c r="C51" i="20"/>
  <c r="C51" i="17"/>
  <c r="C67" i="17"/>
  <c r="C49" i="18"/>
  <c r="C65" i="18"/>
  <c r="C47" i="19"/>
  <c r="C63" i="19"/>
  <c r="C45" i="22"/>
  <c r="C61" i="22"/>
  <c r="C43" i="16"/>
  <c r="C59" i="16"/>
  <c r="C41" i="21"/>
  <c r="C57" i="21"/>
  <c r="C73" i="21"/>
  <c r="C71" i="20"/>
  <c r="C53" i="24"/>
  <c r="C69" i="24"/>
  <c r="H51" i="17"/>
  <c r="H67" i="17"/>
  <c r="H65" i="18"/>
  <c r="H57" i="19"/>
  <c r="H61" i="19"/>
  <c r="H65" i="19"/>
  <c r="H69" i="19"/>
  <c r="H73" i="19"/>
  <c r="H51" i="22"/>
  <c r="H55" i="22"/>
  <c r="H59" i="22"/>
  <c r="H63" i="22"/>
  <c r="H67" i="22"/>
  <c r="H71" i="22"/>
  <c r="H41" i="16"/>
  <c r="H53" i="16"/>
  <c r="H57" i="16"/>
  <c r="H61" i="16"/>
  <c r="H65" i="16"/>
  <c r="H69" i="16"/>
  <c r="H73" i="16"/>
  <c r="H55" i="21"/>
  <c r="H59" i="21"/>
  <c r="H63" i="21"/>
  <c r="H67" i="21"/>
  <c r="H71" i="21"/>
  <c r="H53" i="20"/>
  <c r="H57" i="20"/>
  <c r="H61" i="20"/>
  <c r="H65" i="20"/>
  <c r="H69" i="20"/>
  <c r="H73" i="20"/>
  <c r="H51" i="24"/>
  <c r="H55" i="24"/>
  <c r="H59" i="24"/>
  <c r="H63" i="24"/>
  <c r="H67" i="24"/>
  <c r="H71" i="24"/>
  <c r="H27" i="18"/>
  <c r="H27" i="21"/>
  <c r="C55" i="20"/>
  <c r="C55" i="17"/>
  <c r="C71" i="17"/>
  <c r="C53" i="18"/>
  <c r="C69" i="18"/>
  <c r="C51" i="19"/>
  <c r="C67" i="19"/>
  <c r="C49" i="22"/>
  <c r="C65" i="22"/>
  <c r="C47" i="16"/>
  <c r="C63" i="16"/>
  <c r="C45" i="21"/>
  <c r="C61" i="21"/>
  <c r="C59" i="20"/>
  <c r="C41" i="24"/>
  <c r="C57" i="24"/>
  <c r="C73" i="24"/>
  <c r="H55" i="17"/>
  <c r="H71" i="17"/>
  <c r="H53" i="18"/>
  <c r="H69" i="18"/>
  <c r="H58" i="19"/>
  <c r="H62" i="19"/>
  <c r="H66" i="19"/>
  <c r="H70" i="19"/>
  <c r="H48" i="22"/>
  <c r="H52" i="22"/>
  <c r="H56" i="22"/>
  <c r="H60" i="22"/>
  <c r="H64" i="22"/>
  <c r="H68" i="22"/>
  <c r="H72" i="22"/>
  <c r="H54" i="16"/>
  <c r="H58" i="16"/>
  <c r="H62" i="16"/>
  <c r="H66" i="16"/>
  <c r="H70" i="16"/>
  <c r="H52" i="21"/>
  <c r="H56" i="21"/>
  <c r="H60" i="21"/>
  <c r="H64" i="21"/>
  <c r="H68" i="21"/>
  <c r="H72" i="21"/>
  <c r="H58" i="20"/>
  <c r="H62" i="20"/>
  <c r="H66" i="20"/>
  <c r="H70" i="20"/>
  <c r="H52" i="24"/>
  <c r="H56" i="24"/>
  <c r="H60" i="24"/>
  <c r="H64" i="24"/>
  <c r="H68" i="24"/>
  <c r="H72" i="24"/>
  <c r="H27" i="19"/>
  <c r="H27" i="20"/>
  <c r="H57" i="24"/>
  <c r="H65" i="24"/>
  <c r="H73" i="24"/>
  <c r="H27" i="22"/>
  <c r="H72" i="16"/>
  <c r="H62" i="21"/>
  <c r="H68" i="20"/>
  <c r="H50" i="24"/>
  <c r="H62" i="24"/>
  <c r="H39" i="17"/>
  <c r="I30" i="17"/>
  <c r="F29" i="19"/>
  <c r="I30" i="21"/>
  <c r="C30" i="21"/>
  <c r="H29" i="20"/>
  <c r="E22" i="20"/>
  <c r="C22" i="16"/>
  <c r="E27" i="19"/>
  <c r="F28" i="21"/>
  <c r="F27" i="20"/>
  <c r="C15" i="19"/>
  <c r="C14" i="19"/>
  <c r="F62" i="24"/>
  <c r="F62" i="16"/>
  <c r="F46" i="21"/>
  <c r="F64" i="18"/>
  <c r="F69" i="21"/>
  <c r="H28" i="17"/>
  <c r="C12" i="18"/>
  <c r="C20" i="20"/>
  <c r="E9" i="21"/>
  <c r="E26" i="19"/>
  <c r="C39" i="24"/>
  <c r="C21" i="17"/>
  <c r="C22" i="24"/>
  <c r="E22" i="24"/>
  <c r="E14" i="21"/>
  <c r="C14" i="24"/>
  <c r="E15" i="17"/>
  <c r="E13" i="20"/>
  <c r="E20" i="22"/>
  <c r="E14" i="22"/>
  <c r="C26" i="24"/>
  <c r="C9" i="22"/>
  <c r="C18" i="19"/>
  <c r="C4" i="22"/>
  <c r="C6" i="16"/>
  <c r="E13" i="19"/>
  <c r="E4" i="22"/>
  <c r="C6" i="19"/>
  <c r="C19" i="22"/>
  <c r="E18" i="22"/>
  <c r="C16" i="16"/>
  <c r="C18" i="20"/>
  <c r="E17" i="21"/>
  <c r="C17" i="17"/>
  <c r="E4" i="24"/>
  <c r="E17" i="16"/>
  <c r="C11" i="20"/>
  <c r="E12" i="21"/>
  <c r="C3" i="20"/>
  <c r="E17" i="24"/>
  <c r="E16" i="16"/>
  <c r="E14" i="20"/>
  <c r="E6" i="21"/>
  <c r="C19" i="17"/>
  <c r="C15" i="24"/>
  <c r="E20" i="20"/>
  <c r="C20" i="17"/>
  <c r="C8" i="24"/>
  <c r="C26" i="18"/>
  <c r="E20" i="24"/>
  <c r="C17" i="18"/>
  <c r="E23" i="24"/>
  <c r="E11" i="18"/>
  <c r="E14" i="18"/>
  <c r="F27" i="18"/>
  <c r="E29" i="22"/>
  <c r="C29" i="24"/>
  <c r="F56" i="22"/>
  <c r="E29" i="20"/>
  <c r="C27" i="19"/>
  <c r="H29" i="21"/>
  <c r="C29" i="19"/>
  <c r="F55" i="24"/>
  <c r="F65" i="17"/>
  <c r="F49" i="22"/>
  <c r="F55" i="16"/>
  <c r="F61" i="20"/>
  <c r="F71" i="21"/>
  <c r="H35" i="22"/>
  <c r="D35" i="21"/>
  <c r="F56" i="24"/>
  <c r="F66" i="17"/>
  <c r="F54" i="22"/>
  <c r="F60" i="16"/>
  <c r="F52" i="21"/>
  <c r="F62" i="18"/>
  <c r="C39" i="16"/>
  <c r="E7" i="24"/>
  <c r="E19" i="18"/>
  <c r="C19" i="18"/>
  <c r="C8" i="19"/>
  <c r="C18" i="21"/>
  <c r="E13" i="18"/>
  <c r="E15" i="16"/>
  <c r="E19" i="24"/>
  <c r="C7" i="16"/>
  <c r="C17" i="22"/>
  <c r="E17" i="19"/>
  <c r="E7" i="16"/>
  <c r="E24" i="18"/>
  <c r="E8" i="20"/>
  <c r="E9" i="22"/>
  <c r="C4" i="19"/>
  <c r="E7" i="22"/>
  <c r="E9" i="16"/>
  <c r="E16" i="19"/>
  <c r="E5" i="22"/>
  <c r="E19" i="19"/>
  <c r="C25" i="22"/>
  <c r="C21" i="22"/>
  <c r="C17" i="16"/>
  <c r="E21" i="20"/>
  <c r="C16" i="19"/>
  <c r="C19" i="21"/>
  <c r="E20" i="17"/>
  <c r="E8" i="24"/>
  <c r="C19" i="16"/>
  <c r="C12" i="20"/>
  <c r="C22" i="21"/>
  <c r="E3" i="16"/>
  <c r="C18" i="24"/>
  <c r="E19" i="16"/>
  <c r="C16" i="20"/>
  <c r="E7" i="21"/>
  <c r="E22" i="17"/>
  <c r="E18" i="24"/>
  <c r="C17" i="21"/>
  <c r="C25" i="17"/>
  <c r="E11" i="24"/>
  <c r="E25" i="18"/>
  <c r="E21" i="24"/>
  <c r="E16" i="18"/>
  <c r="E27" i="24"/>
  <c r="C25" i="24"/>
  <c r="C11" i="18"/>
  <c r="E29" i="18"/>
  <c r="E30" i="19"/>
  <c r="E29" i="17"/>
  <c r="C29" i="18"/>
  <c r="I28" i="17"/>
  <c r="H15" i="19"/>
  <c r="F52" i="18"/>
  <c r="C27" i="21"/>
  <c r="F59" i="24"/>
  <c r="F69" i="17"/>
  <c r="F53" i="22"/>
  <c r="F59" i="16"/>
  <c r="F65" i="20"/>
  <c r="F53" i="18"/>
  <c r="H35" i="18"/>
  <c r="C35" i="18"/>
  <c r="F60" i="24"/>
  <c r="F70" i="17"/>
  <c r="F58" i="22"/>
  <c r="F64" i="16"/>
  <c r="F56" i="21"/>
  <c r="F66" i="18"/>
  <c r="C35" i="21"/>
  <c r="C39" i="21"/>
  <c r="E17" i="20"/>
  <c r="E24" i="19"/>
  <c r="C9" i="19"/>
  <c r="C15" i="20"/>
  <c r="E5" i="24"/>
  <c r="E18" i="16"/>
  <c r="E12" i="16"/>
  <c r="C20" i="22"/>
  <c r="C12" i="16"/>
  <c r="C10" i="18"/>
  <c r="E5" i="21"/>
  <c r="E17" i="22"/>
  <c r="E12" i="19"/>
  <c r="E11" i="22"/>
  <c r="C10" i="16"/>
  <c r="C20" i="19"/>
  <c r="E6" i="22"/>
  <c r="E20" i="19"/>
  <c r="C4" i="16"/>
  <c r="C22" i="22"/>
  <c r="E23" i="16"/>
  <c r="C24" i="20"/>
  <c r="C7" i="22"/>
  <c r="E20" i="21"/>
  <c r="E25" i="17"/>
  <c r="E12" i="24"/>
  <c r="C21" i="16"/>
  <c r="C25" i="20"/>
  <c r="C26" i="21"/>
  <c r="C3" i="17"/>
  <c r="E21" i="16"/>
  <c r="C19" i="20"/>
  <c r="E8" i="21"/>
  <c r="C3" i="16"/>
  <c r="C6" i="22"/>
  <c r="E23" i="21"/>
  <c r="E3" i="21"/>
  <c r="C12" i="24"/>
  <c r="C22" i="18"/>
  <c r="C23" i="24"/>
  <c r="E12" i="18"/>
  <c r="C3" i="24"/>
  <c r="C3" i="18"/>
  <c r="E5" i="18"/>
  <c r="C30" i="24"/>
  <c r="I24" i="17"/>
  <c r="I30" i="18"/>
  <c r="F27" i="17"/>
  <c r="E23" i="20"/>
  <c r="C7" i="19"/>
  <c r="E6" i="18"/>
  <c r="H28" i="20"/>
  <c r="F63" i="24"/>
  <c r="F73" i="17"/>
  <c r="F57" i="22"/>
  <c r="F63" i="16"/>
  <c r="F69" i="20"/>
  <c r="F57" i="18"/>
  <c r="F35" i="22"/>
  <c r="F64" i="24"/>
  <c r="F56" i="19"/>
  <c r="F62" i="22"/>
  <c r="F68" i="16"/>
  <c r="F60" i="21"/>
  <c r="F70" i="18"/>
  <c r="E4" i="20"/>
  <c r="E13" i="21"/>
  <c r="E21" i="21"/>
  <c r="C17" i="20"/>
  <c r="E21" i="17"/>
  <c r="E18" i="21"/>
  <c r="C13" i="21"/>
  <c r="C9" i="24"/>
  <c r="C24" i="18"/>
  <c r="E18" i="17"/>
  <c r="E26" i="24"/>
  <c r="C39" i="20"/>
  <c r="E35" i="16"/>
  <c r="E22" i="19"/>
  <c r="E23" i="22"/>
  <c r="E23" i="19"/>
  <c r="C10" i="22"/>
  <c r="C8" i="16"/>
  <c r="E6" i="19"/>
  <c r="E25" i="22"/>
  <c r="E9" i="20"/>
  <c r="C11" i="21"/>
  <c r="C26" i="16"/>
  <c r="E12" i="17"/>
  <c r="C3" i="19"/>
  <c r="C17" i="24"/>
  <c r="E25" i="16"/>
  <c r="C8" i="21"/>
  <c r="C14" i="17"/>
  <c r="C6" i="24"/>
  <c r="E21" i="22"/>
  <c r="E10" i="20"/>
  <c r="E24" i="20"/>
  <c r="E26" i="21"/>
  <c r="E6" i="24"/>
  <c r="E16" i="20"/>
  <c r="C12" i="17"/>
  <c r="C20" i="24"/>
  <c r="E17" i="18"/>
  <c r="C25" i="18"/>
  <c r="E3" i="18"/>
  <c r="C16" i="18"/>
  <c r="E22" i="18"/>
  <c r="H30" i="24"/>
  <c r="C10" i="17"/>
  <c r="C28" i="24"/>
  <c r="E28" i="18"/>
  <c r="H26" i="22"/>
  <c r="E10" i="21"/>
  <c r="C6" i="17"/>
  <c r="H28" i="22"/>
  <c r="E27" i="17"/>
  <c r="E30" i="16"/>
  <c r="F53" i="17"/>
  <c r="F63" i="19"/>
  <c r="F69" i="22"/>
  <c r="F59" i="21"/>
  <c r="F69" i="18"/>
  <c r="D35" i="19"/>
  <c r="F54" i="17"/>
  <c r="F68" i="19"/>
  <c r="F62" i="20"/>
  <c r="F72" i="21"/>
  <c r="E35" i="24"/>
  <c r="C16" i="21"/>
  <c r="E16" i="21"/>
  <c r="C25" i="21"/>
  <c r="E25" i="21"/>
  <c r="E8" i="19"/>
  <c r="C24" i="21"/>
  <c r="C15" i="17"/>
  <c r="E18" i="19"/>
  <c r="C24" i="24"/>
  <c r="C7" i="18"/>
  <c r="E9" i="24"/>
  <c r="E11" i="19"/>
  <c r="E4" i="18"/>
  <c r="C23" i="19"/>
  <c r="C24" i="22"/>
  <c r="E10" i="19"/>
  <c r="C25" i="19"/>
  <c r="C11" i="22"/>
  <c r="C9" i="16"/>
  <c r="E10" i="22"/>
  <c r="E4" i="16"/>
  <c r="C10" i="20"/>
  <c r="E19" i="21"/>
  <c r="C27" i="16"/>
  <c r="C13" i="17"/>
  <c r="E3" i="17"/>
  <c r="E5" i="19"/>
  <c r="E26" i="16"/>
  <c r="C9" i="21"/>
  <c r="E17" i="17"/>
  <c r="C10" i="24"/>
  <c r="C11" i="16"/>
  <c r="E11" i="20"/>
  <c r="E25" i="20"/>
  <c r="C11" i="17"/>
  <c r="E10" i="24"/>
  <c r="E18" i="20"/>
  <c r="C16" i="17"/>
  <c r="C21" i="24"/>
  <c r="C14" i="18"/>
  <c r="C21" i="18"/>
  <c r="C8" i="18"/>
  <c r="E15" i="18"/>
  <c r="E18" i="18"/>
  <c r="I28" i="24"/>
  <c r="H30" i="17"/>
  <c r="E27" i="20"/>
  <c r="E30" i="21"/>
  <c r="C26" i="22"/>
  <c r="C26" i="17"/>
  <c r="H30" i="22"/>
  <c r="F57" i="17"/>
  <c r="F67" i="19"/>
  <c r="F73" i="22"/>
  <c r="F53" i="20"/>
  <c r="F63" i="21"/>
  <c r="F73" i="18"/>
  <c r="C35" i="22"/>
  <c r="F58" i="17"/>
  <c r="F72" i="19"/>
  <c r="F52" i="16"/>
  <c r="F66" i="20"/>
  <c r="F54" i="18"/>
  <c r="C7" i="24"/>
  <c r="C15" i="16"/>
  <c r="E23" i="17"/>
  <c r="C19" i="24"/>
  <c r="E7" i="18"/>
  <c r="E13" i="16"/>
  <c r="C26" i="19"/>
  <c r="E6" i="16"/>
  <c r="C24" i="16"/>
  <c r="C12" i="21"/>
  <c r="E16" i="24"/>
  <c r="E8" i="17"/>
  <c r="C13" i="16"/>
  <c r="C23" i="21"/>
  <c r="C7" i="17"/>
  <c r="E25" i="24"/>
  <c r="E8" i="18"/>
  <c r="E5" i="20"/>
  <c r="E28" i="21"/>
  <c r="C28" i="22"/>
  <c r="F59" i="19"/>
  <c r="F73" i="20"/>
  <c r="E35" i="20"/>
  <c r="F66" i="22"/>
  <c r="F58" i="18"/>
  <c r="F73" i="24"/>
  <c r="F69" i="19"/>
  <c r="F59" i="20"/>
  <c r="F50" i="24"/>
  <c r="F52" i="22"/>
  <c r="F54" i="21"/>
  <c r="F57" i="19"/>
  <c r="F69" i="16"/>
  <c r="E35" i="18"/>
  <c r="F54" i="24"/>
  <c r="F35" i="19"/>
  <c r="F70" i="16"/>
  <c r="D35" i="24"/>
  <c r="C12" i="22"/>
  <c r="E16" i="22"/>
  <c r="C5" i="17"/>
  <c r="C39" i="22"/>
  <c r="E10" i="16"/>
  <c r="E27" i="16"/>
  <c r="E7" i="17"/>
  <c r="C10" i="19"/>
  <c r="E13" i="17"/>
  <c r="E6" i="20"/>
  <c r="E14" i="17"/>
  <c r="E11" i="17"/>
  <c r="E21" i="18"/>
  <c r="C5" i="18"/>
  <c r="E27" i="18"/>
  <c r="C29" i="16"/>
  <c r="F71" i="19"/>
  <c r="F55" i="21"/>
  <c r="F52" i="24"/>
  <c r="F70" i="22"/>
  <c r="H35" i="24"/>
  <c r="F44" i="17"/>
  <c r="F51" i="22"/>
  <c r="F67" i="20"/>
  <c r="C35" i="24"/>
  <c r="F58" i="24"/>
  <c r="F60" i="22"/>
  <c r="F62" i="21"/>
  <c r="C35" i="17"/>
  <c r="F65" i="19"/>
  <c r="F55" i="20"/>
  <c r="F51" i="18"/>
  <c r="F59" i="17"/>
  <c r="D35" i="18"/>
  <c r="E24" i="21"/>
  <c r="C4" i="20"/>
  <c r="E15" i="20"/>
  <c r="C39" i="18"/>
  <c r="C17" i="19"/>
  <c r="C13" i="19"/>
  <c r="C35" i="16"/>
  <c r="C14" i="20"/>
  <c r="C8" i="17"/>
  <c r="C23" i="16"/>
  <c r="C22" i="17"/>
  <c r="C9" i="20"/>
  <c r="E3" i="22"/>
  <c r="E19" i="17"/>
  <c r="C18" i="18"/>
  <c r="E23" i="18"/>
  <c r="C6" i="18"/>
  <c r="I6" i="18"/>
  <c r="F61" i="22"/>
  <c r="F67" i="21"/>
  <c r="F68" i="24"/>
  <c r="F56" i="16"/>
  <c r="F35" i="24"/>
  <c r="F48" i="17"/>
  <c r="F59" i="22"/>
  <c r="F53" i="21"/>
  <c r="D35" i="22"/>
  <c r="F66" i="24"/>
  <c r="F68" i="22"/>
  <c r="F70" i="21"/>
  <c r="E35" i="21"/>
  <c r="F53" i="24"/>
  <c r="F73" i="19"/>
  <c r="F63" i="20"/>
  <c r="F59" i="18"/>
  <c r="F58" i="19"/>
  <c r="F68" i="18"/>
  <c r="E7" i="19"/>
  <c r="E9" i="19"/>
  <c r="C9" i="17"/>
  <c r="E5" i="17"/>
  <c r="C14" i="22"/>
  <c r="C23" i="17"/>
  <c r="C19" i="19"/>
  <c r="E4" i="19"/>
  <c r="C5" i="19"/>
  <c r="C6" i="21"/>
  <c r="E16" i="17"/>
  <c r="E24" i="16"/>
  <c r="E12" i="20"/>
  <c r="C3" i="22"/>
  <c r="E9" i="18"/>
  <c r="C20" i="18"/>
  <c r="I30" i="24"/>
  <c r="H24" i="17"/>
  <c r="C30" i="17"/>
  <c r="F51" i="24"/>
  <c r="F65" i="22"/>
  <c r="F61" i="18"/>
  <c r="F72" i="24"/>
  <c r="F72" i="16"/>
  <c r="D35" i="17"/>
  <c r="F52" i="17"/>
  <c r="F67" i="22"/>
  <c r="F61" i="21"/>
  <c r="C35" i="20"/>
  <c r="F55" i="17"/>
  <c r="F58" i="16"/>
  <c r="F56" i="18"/>
  <c r="F61" i="24"/>
  <c r="F55" i="22"/>
  <c r="F71" i="20"/>
  <c r="F67" i="18"/>
  <c r="F64" i="22"/>
  <c r="C21" i="21"/>
  <c r="E9" i="17"/>
  <c r="C8" i="20"/>
  <c r="C39" i="19"/>
  <c r="E15" i="22"/>
  <c r="C12" i="19"/>
  <c r="E25" i="19"/>
  <c r="C23" i="22"/>
  <c r="C20" i="21"/>
  <c r="E3" i="20"/>
  <c r="C4" i="21"/>
  <c r="E13" i="24"/>
  <c r="C21" i="20"/>
  <c r="E22" i="22"/>
  <c r="C4" i="24"/>
  <c r="E3" i="24"/>
  <c r="E26" i="18"/>
  <c r="C30" i="20"/>
  <c r="E28" i="16"/>
  <c r="F71" i="24"/>
  <c r="F67" i="16"/>
  <c r="C39" i="17"/>
  <c r="F60" i="19"/>
  <c r="F70" i="20"/>
  <c r="F49" i="24"/>
  <c r="F68" i="17"/>
  <c r="F57" i="16"/>
  <c r="F55" i="18"/>
  <c r="F71" i="17"/>
  <c r="F60" i="20"/>
  <c r="F72" i="18"/>
  <c r="F56" i="17"/>
  <c r="F71" i="22"/>
  <c r="F57" i="21"/>
  <c r="F35" i="17"/>
  <c r="F74" i="22"/>
  <c r="F72" i="20"/>
  <c r="F67" i="17"/>
  <c r="F74" i="20"/>
  <c r="F70" i="24"/>
  <c r="E8" i="22"/>
  <c r="C24" i="19"/>
  <c r="E14" i="24"/>
  <c r="E10" i="18"/>
  <c r="C5" i="21"/>
  <c r="C18" i="16"/>
  <c r="E19" i="22"/>
  <c r="C21" i="19"/>
  <c r="C18" i="22"/>
  <c r="E24" i="22"/>
  <c r="C15" i="22"/>
  <c r="C7" i="21"/>
  <c r="C5" i="22"/>
  <c r="E4" i="21"/>
  <c r="E11" i="16"/>
  <c r="E15" i="24"/>
  <c r="E20" i="18"/>
  <c r="C23" i="18"/>
  <c r="C30" i="18"/>
  <c r="E20" i="16"/>
  <c r="C26" i="20"/>
  <c r="F61" i="17"/>
  <c r="F71" i="16"/>
  <c r="F35" i="18"/>
  <c r="F64" i="19"/>
  <c r="F64" i="21"/>
  <c r="F57" i="24"/>
  <c r="F65" i="16"/>
  <c r="F63" i="18"/>
  <c r="F62" i="19"/>
  <c r="F68" i="20"/>
  <c r="H35" i="17"/>
  <c r="F74" i="19"/>
  <c r="F64" i="17"/>
  <c r="F53" i="16"/>
  <c r="F65" i="21"/>
  <c r="F35" i="21"/>
  <c r="F74" i="17"/>
  <c r="F66" i="21"/>
  <c r="F66" i="19"/>
  <c r="F48" i="22"/>
  <c r="C28" i="20"/>
  <c r="C27" i="18"/>
  <c r="I29" i="22"/>
  <c r="E28" i="19"/>
  <c r="H30" i="20"/>
  <c r="E28" i="24"/>
  <c r="H6" i="18"/>
  <c r="F28" i="20"/>
  <c r="F29" i="16"/>
  <c r="I28" i="19"/>
  <c r="F30" i="17"/>
  <c r="I29" i="18"/>
  <c r="C27" i="17"/>
  <c r="E29" i="21"/>
  <c r="C29" i="20"/>
  <c r="C7" i="20"/>
  <c r="C20" i="16"/>
  <c r="C27" i="22"/>
  <c r="I27" i="21"/>
  <c r="I30" i="22"/>
  <c r="F30" i="19"/>
  <c r="F61" i="16"/>
  <c r="F49" i="21"/>
  <c r="F73" i="16"/>
  <c r="E35" i="17"/>
  <c r="H29" i="19"/>
  <c r="C9" i="18"/>
  <c r="E13" i="22"/>
  <c r="E8" i="16"/>
  <c r="C15" i="21"/>
  <c r="H28" i="24"/>
  <c r="I29" i="17"/>
  <c r="E26" i="17"/>
  <c r="C5" i="20"/>
  <c r="E14" i="19"/>
  <c r="F39" i="17"/>
  <c r="I29" i="19"/>
  <c r="F51" i="17"/>
  <c r="C35" i="19"/>
  <c r="C30" i="22"/>
  <c r="C29" i="21"/>
  <c r="F29" i="24"/>
  <c r="F29" i="21"/>
  <c r="I27" i="22"/>
  <c r="F27" i="19"/>
  <c r="F27" i="21"/>
  <c r="F30" i="24"/>
  <c r="I35" i="18"/>
  <c r="E24" i="17"/>
  <c r="C28" i="21"/>
  <c r="H30" i="16"/>
  <c r="C14" i="16"/>
  <c r="H30" i="19"/>
  <c r="F58" i="21"/>
  <c r="I30" i="20"/>
  <c r="F29" i="22"/>
  <c r="F74" i="16"/>
  <c r="F72" i="17"/>
  <c r="F70" i="19"/>
  <c r="F61" i="19"/>
  <c r="F68" i="21"/>
  <c r="F57" i="20"/>
  <c r="C28" i="17"/>
  <c r="C16" i="24"/>
  <c r="E11" i="21"/>
  <c r="C5" i="16"/>
  <c r="C4" i="18"/>
  <c r="E12" i="22"/>
  <c r="E29" i="24"/>
  <c r="I28" i="16"/>
  <c r="F30" i="18"/>
  <c r="F41" i="16"/>
  <c r="C27" i="24"/>
  <c r="C13" i="18"/>
  <c r="E14" i="16"/>
  <c r="C24" i="17"/>
  <c r="H30" i="18"/>
  <c r="E30" i="24"/>
  <c r="F15" i="19"/>
  <c r="F28" i="17"/>
  <c r="F6" i="18"/>
  <c r="I29" i="24"/>
  <c r="E30" i="17"/>
  <c r="E10" i="17"/>
  <c r="E27" i="21"/>
  <c r="C27" i="20"/>
  <c r="C30" i="16"/>
  <c r="E30" i="22"/>
  <c r="C30" i="19"/>
  <c r="F54" i="16"/>
  <c r="F30" i="16"/>
  <c r="I28" i="22"/>
  <c r="F28" i="19"/>
  <c r="F69" i="24"/>
  <c r="F63" i="17"/>
  <c r="F60" i="17"/>
  <c r="F58" i="20"/>
  <c r="F51" i="16"/>
  <c r="C4" i="17"/>
  <c r="E3" i="19"/>
  <c r="C6" i="20"/>
  <c r="E21" i="19"/>
  <c r="C5" i="24"/>
  <c r="C14" i="21"/>
  <c r="E27" i="22"/>
  <c r="I27" i="20"/>
  <c r="I28" i="21"/>
  <c r="E28" i="20"/>
  <c r="F66" i="16"/>
  <c r="C13" i="22"/>
  <c r="E22" i="16"/>
  <c r="H29" i="18"/>
  <c r="F26" i="22"/>
  <c r="I27" i="17"/>
  <c r="H29" i="17"/>
  <c r="E6" i="17"/>
  <c r="E15" i="21"/>
  <c r="E26" i="20"/>
  <c r="E29" i="16"/>
  <c r="H29" i="22"/>
  <c r="E29" i="19"/>
  <c r="F30" i="21"/>
  <c r="F29" i="20"/>
  <c r="I29" i="16"/>
  <c r="I27" i="19"/>
  <c r="E35" i="19"/>
  <c r="F74" i="21"/>
  <c r="F65" i="24"/>
  <c r="F50" i="22"/>
  <c r="F47" i="19"/>
  <c r="H29" i="24"/>
  <c r="E19" i="20"/>
  <c r="C13" i="24"/>
  <c r="C22" i="19"/>
  <c r="E24" i="24"/>
  <c r="C16" i="22"/>
  <c r="F24" i="17"/>
  <c r="F28" i="22"/>
  <c r="H28" i="21"/>
  <c r="E26" i="22"/>
  <c r="F63" i="22"/>
  <c r="F65" i="18"/>
  <c r="I26" i="17"/>
  <c r="E30" i="18"/>
  <c r="H29" i="16"/>
  <c r="I28" i="18"/>
  <c r="F29" i="18"/>
  <c r="F30" i="20"/>
  <c r="I30" i="19"/>
  <c r="E35" i="22"/>
  <c r="I27" i="18"/>
  <c r="F28" i="24"/>
  <c r="C29" i="17"/>
  <c r="E4" i="17"/>
  <c r="C10" i="21"/>
  <c r="H28" i="16"/>
  <c r="C29" i="22"/>
  <c r="H28" i="19"/>
  <c r="I29" i="21"/>
  <c r="I28" i="20"/>
  <c r="F27" i="22"/>
  <c r="F56" i="20"/>
  <c r="H35" i="19"/>
  <c r="F62" i="17"/>
  <c r="F67" i="24"/>
  <c r="H26" i="17"/>
  <c r="C11" i="24"/>
  <c r="C3" i="21"/>
  <c r="C11" i="19"/>
  <c r="C8" i="22"/>
  <c r="D4" i="28"/>
  <c r="E4" i="28"/>
  <c r="G4" i="28"/>
  <c r="F4" i="28"/>
  <c r="F3" i="28"/>
  <c r="C7" i="28" l="1"/>
  <c r="M1389" i="1" l="1"/>
  <c r="R31" i="20" l="1"/>
  <c r="R32" i="20"/>
  <c r="R33" i="20"/>
  <c r="R34" i="20"/>
  <c r="R35" i="20"/>
  <c r="R36" i="20"/>
  <c r="R37" i="20"/>
  <c r="G73" i="18" l="1"/>
  <c r="G43" i="16" l="1"/>
  <c r="G71" i="20" l="1"/>
  <c r="G72" i="20"/>
  <c r="G73" i="20"/>
  <c r="G69" i="20" l="1"/>
  <c r="G70" i="20"/>
  <c r="G8" i="28" l="1"/>
  <c r="E8" i="28"/>
  <c r="G45" i="17" l="1"/>
  <c r="G73" i="21"/>
  <c r="G72" i="21"/>
  <c r="R19" i="20" l="1"/>
  <c r="G36" i="24" l="1"/>
  <c r="G36" i="17"/>
  <c r="G36" i="19"/>
  <c r="G36" i="22"/>
  <c r="G36" i="16"/>
  <c r="G36" i="20"/>
  <c r="G36" i="21"/>
  <c r="G36" i="18"/>
  <c r="U722" i="1" l="1"/>
  <c r="M427" i="1"/>
  <c r="L427" i="1"/>
  <c r="W914" i="1"/>
  <c r="G71" i="21" l="1"/>
  <c r="G70" i="21"/>
  <c r="G69" i="21"/>
  <c r="G68" i="21"/>
  <c r="G67" i="21"/>
  <c r="G66" i="21"/>
  <c r="G65" i="21"/>
  <c r="G64" i="21"/>
  <c r="G63" i="21"/>
  <c r="G62" i="21"/>
  <c r="G61" i="21"/>
  <c r="G60" i="21"/>
  <c r="G59" i="21"/>
  <c r="G58" i="21"/>
  <c r="G57" i="21"/>
  <c r="G56" i="21"/>
  <c r="G55" i="21"/>
  <c r="G54" i="21"/>
  <c r="G53" i="21"/>
  <c r="R7" i="22" l="1"/>
  <c r="G73" i="24" l="1"/>
  <c r="G72" i="24"/>
  <c r="G71" i="24"/>
  <c r="G70" i="24"/>
  <c r="G69" i="24"/>
  <c r="G68" i="24"/>
  <c r="G67" i="24"/>
  <c r="G66" i="24"/>
  <c r="G65" i="24"/>
  <c r="G64" i="24"/>
  <c r="G63" i="24"/>
  <c r="G62" i="24"/>
  <c r="G61" i="24"/>
  <c r="G60" i="24"/>
  <c r="G59" i="24"/>
  <c r="G58" i="24"/>
  <c r="G57" i="24"/>
  <c r="G56" i="24"/>
  <c r="G55" i="24"/>
  <c r="G54" i="24"/>
  <c r="G53" i="24"/>
  <c r="G52" i="24"/>
  <c r="G51" i="24"/>
  <c r="G50" i="24"/>
  <c r="G49" i="24"/>
  <c r="C74" i="16" l="1"/>
  <c r="E10" i="28"/>
  <c r="D3" i="28"/>
  <c r="G10" i="28"/>
  <c r="G9" i="28"/>
  <c r="G7" i="28"/>
  <c r="G6" i="28"/>
  <c r="G5" i="28"/>
  <c r="F10" i="28"/>
  <c r="F9" i="28"/>
  <c r="F8" i="28"/>
  <c r="F7" i="28"/>
  <c r="F6" i="28"/>
  <c r="F5" i="28"/>
  <c r="G3" i="28"/>
  <c r="D10" i="28"/>
  <c r="E9" i="28"/>
  <c r="D9" i="28"/>
  <c r="D8" i="28"/>
  <c r="C9" i="28"/>
  <c r="B9" i="28"/>
  <c r="E7" i="28"/>
  <c r="D7" i="28"/>
  <c r="B7" i="28"/>
  <c r="D6" i="28"/>
  <c r="E6" i="28"/>
  <c r="E5" i="28"/>
  <c r="D5" i="28"/>
  <c r="E3" i="28"/>
  <c r="C10" i="28" l="1"/>
  <c r="C8" i="28"/>
  <c r="C6" i="28"/>
  <c r="C5" i="28"/>
  <c r="C4" i="28"/>
  <c r="B5" i="28"/>
  <c r="B4" i="28"/>
  <c r="C3" i="28"/>
  <c r="B10" i="28"/>
  <c r="B8" i="28"/>
  <c r="B6" i="28"/>
  <c r="B3" i="28"/>
  <c r="R7" i="20" l="1"/>
  <c r="R3" i="18" l="1"/>
  <c r="R3" i="21"/>
  <c r="R3" i="20"/>
  <c r="R3" i="16"/>
  <c r="R3" i="22"/>
  <c r="R3" i="19"/>
  <c r="R3" i="17"/>
  <c r="R3" i="24"/>
  <c r="R4" i="24"/>
  <c r="R5" i="24"/>
  <c r="R6" i="24"/>
  <c r="R8" i="24"/>
  <c r="R9" i="24"/>
  <c r="R10" i="24"/>
  <c r="R11" i="24"/>
  <c r="R12" i="24"/>
  <c r="R13" i="24"/>
  <c r="R14" i="24"/>
  <c r="R15" i="24"/>
  <c r="R16" i="24"/>
  <c r="R17" i="24"/>
  <c r="R18" i="24"/>
  <c r="R19" i="24"/>
  <c r="R20" i="24"/>
  <c r="R21" i="24"/>
  <c r="R22" i="24"/>
  <c r="R23" i="24"/>
  <c r="R24" i="24"/>
  <c r="R25" i="24"/>
  <c r="R26" i="24"/>
  <c r="R27" i="24"/>
  <c r="R28" i="24"/>
  <c r="R29" i="24"/>
  <c r="R30" i="24"/>
  <c r="R31" i="24"/>
  <c r="R4" i="17"/>
  <c r="R5" i="17"/>
  <c r="R6" i="17"/>
  <c r="R7" i="17"/>
  <c r="R8" i="17"/>
  <c r="R9" i="17"/>
  <c r="R10" i="17"/>
  <c r="R11" i="17"/>
  <c r="R12" i="17"/>
  <c r="R13" i="17"/>
  <c r="R14" i="17"/>
  <c r="R15" i="17"/>
  <c r="R16" i="17"/>
  <c r="R17" i="17"/>
  <c r="R18" i="17"/>
  <c r="R19" i="17"/>
  <c r="R20" i="17"/>
  <c r="R21" i="17"/>
  <c r="R22" i="17"/>
  <c r="R23" i="17"/>
  <c r="R24" i="17"/>
  <c r="R25" i="17"/>
  <c r="R26" i="17"/>
  <c r="R27" i="17"/>
  <c r="R28" i="17"/>
  <c r="R29" i="17"/>
  <c r="R30" i="17"/>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4" i="22"/>
  <c r="R5" i="22"/>
  <c r="R6" i="22"/>
  <c r="R8" i="22"/>
  <c r="R9" i="22"/>
  <c r="R10" i="22"/>
  <c r="R11" i="22"/>
  <c r="R12" i="22"/>
  <c r="R13" i="22"/>
  <c r="R14" i="22"/>
  <c r="R15" i="22"/>
  <c r="R16" i="22"/>
  <c r="R17" i="22"/>
  <c r="R18" i="22"/>
  <c r="R19" i="22"/>
  <c r="R20" i="22"/>
  <c r="R21" i="22"/>
  <c r="R22" i="22"/>
  <c r="R23" i="22"/>
  <c r="R24" i="22"/>
  <c r="R25" i="22"/>
  <c r="R26" i="22"/>
  <c r="R27" i="22"/>
  <c r="R28" i="22"/>
  <c r="R29" i="22"/>
  <c r="R30" i="22"/>
  <c r="R31" i="22"/>
  <c r="R4" i="16"/>
  <c r="R5" i="16"/>
  <c r="R6" i="16"/>
  <c r="R7" i="16"/>
  <c r="R8" i="16"/>
  <c r="R9" i="16"/>
  <c r="R10" i="16"/>
  <c r="R11" i="16"/>
  <c r="R12" i="16"/>
  <c r="R13" i="16"/>
  <c r="R14" i="16"/>
  <c r="R15" i="16"/>
  <c r="R16" i="16"/>
  <c r="R17" i="16"/>
  <c r="R18" i="16"/>
  <c r="R19" i="16"/>
  <c r="R20" i="16"/>
  <c r="R21" i="16"/>
  <c r="R22" i="16"/>
  <c r="R23" i="16"/>
  <c r="R24" i="16"/>
  <c r="R25" i="16"/>
  <c r="R26" i="16"/>
  <c r="R27" i="16"/>
  <c r="R28" i="16"/>
  <c r="R29" i="16"/>
  <c r="R30" i="16"/>
  <c r="R4" i="20"/>
  <c r="R5" i="20"/>
  <c r="R6" i="20"/>
  <c r="R8" i="20"/>
  <c r="R9" i="20"/>
  <c r="R10" i="20"/>
  <c r="R11" i="20"/>
  <c r="R12" i="20"/>
  <c r="R13" i="20"/>
  <c r="R14" i="20"/>
  <c r="R15" i="20"/>
  <c r="R16" i="20"/>
  <c r="R17" i="20"/>
  <c r="R18" i="20"/>
  <c r="R20" i="20"/>
  <c r="R21" i="20"/>
  <c r="R22" i="20"/>
  <c r="R23" i="20"/>
  <c r="R24" i="20"/>
  <c r="R25" i="20"/>
  <c r="R26" i="20"/>
  <c r="R27" i="20"/>
  <c r="R28" i="20"/>
  <c r="R29" i="20"/>
  <c r="R30" i="20"/>
  <c r="R4" i="21"/>
  <c r="R5" i="21"/>
  <c r="R6" i="21"/>
  <c r="R7" i="21"/>
  <c r="R8" i="21"/>
  <c r="R9" i="21"/>
  <c r="R10" i="21"/>
  <c r="R11" i="21"/>
  <c r="R12" i="21"/>
  <c r="R13" i="21"/>
  <c r="R14" i="21"/>
  <c r="R15" i="21"/>
  <c r="R16" i="21"/>
  <c r="R17" i="21"/>
  <c r="R18" i="21"/>
  <c r="R19" i="21"/>
  <c r="R20" i="21"/>
  <c r="R21" i="21"/>
  <c r="R22" i="21"/>
  <c r="R23" i="21"/>
  <c r="R24" i="21"/>
  <c r="R4" i="18"/>
  <c r="R5" i="18"/>
  <c r="R6" i="18"/>
  <c r="R7" i="18"/>
  <c r="R8" i="18"/>
  <c r="R9" i="18"/>
  <c r="R10" i="18"/>
  <c r="R11" i="18"/>
  <c r="R12" i="18"/>
  <c r="R13" i="18"/>
  <c r="R14" i="18"/>
  <c r="R15" i="18"/>
  <c r="R16" i="18"/>
  <c r="R17" i="18"/>
  <c r="R18" i="18"/>
  <c r="R19" i="18"/>
  <c r="R20" i="18"/>
  <c r="R21" i="18"/>
  <c r="R22" i="18"/>
  <c r="R23" i="18"/>
  <c r="R24" i="18"/>
  <c r="R25" i="18"/>
  <c r="R26" i="18"/>
  <c r="R27" i="18"/>
  <c r="R28" i="18"/>
  <c r="R29" i="18"/>
  <c r="R30" i="18"/>
  <c r="L152" i="1" l="1"/>
  <c r="U1310" i="1" l="1"/>
  <c r="U1312" i="1"/>
  <c r="U1314" i="1"/>
  <c r="U1317" i="1"/>
  <c r="U1318" i="1"/>
  <c r="U1319" i="1"/>
  <c r="U1320" i="1"/>
  <c r="U1046" i="1"/>
  <c r="U1326" i="1"/>
  <c r="U1335" i="1"/>
  <c r="U1337" i="1"/>
  <c r="U1339" i="1"/>
  <c r="U1346" i="1"/>
  <c r="U1313" i="1"/>
  <c r="U1316" i="1"/>
  <c r="U1321" i="1"/>
  <c r="U1322" i="1"/>
  <c r="U1325" i="1"/>
  <c r="U1311" i="1"/>
  <c r="U1349" i="1"/>
  <c r="U1315" i="1"/>
  <c r="U1323" i="1"/>
  <c r="U1331" i="1"/>
  <c r="U1327" i="1"/>
  <c r="U1330" i="1"/>
  <c r="U1328" i="1"/>
  <c r="U1334" i="1"/>
  <c r="U1336" i="1"/>
  <c r="U1333" i="1"/>
  <c r="U1341" i="1"/>
  <c r="U1329" i="1"/>
  <c r="U1342" i="1"/>
  <c r="U1343" i="1"/>
  <c r="U1324" i="1"/>
  <c r="U1332" i="1"/>
  <c r="U1340" i="1"/>
  <c r="U1344" i="1"/>
  <c r="U1345" i="1"/>
  <c r="U1350" i="1"/>
  <c r="U1351" i="1"/>
  <c r="U1338" i="1"/>
  <c r="U1347" i="1"/>
  <c r="U48" i="1"/>
  <c r="U49" i="1"/>
  <c r="U50" i="1"/>
  <c r="U54" i="1"/>
  <c r="U56" i="1"/>
  <c r="U59" i="1"/>
  <c r="U64" i="1"/>
  <c r="U1348" i="1"/>
  <c r="U65" i="1"/>
  <c r="U67" i="1"/>
  <c r="U63" i="1"/>
  <c r="U68" i="1"/>
  <c r="U82" i="1"/>
  <c r="U47" i="1"/>
  <c r="U51" i="1"/>
  <c r="U53" i="1"/>
  <c r="U55" i="1"/>
  <c r="U58" i="1"/>
  <c r="U66" i="1"/>
  <c r="U80" i="1"/>
  <c r="U57" i="1"/>
  <c r="U61" i="1"/>
  <c r="U52" i="1"/>
  <c r="U91" i="1"/>
  <c r="U70" i="1"/>
  <c r="U60" i="1"/>
  <c r="U69" i="1"/>
  <c r="U71" i="1"/>
  <c r="U77" i="1"/>
  <c r="U79" i="1"/>
  <c r="U83" i="1"/>
  <c r="U84" i="1"/>
  <c r="U86" i="1"/>
  <c r="U88" i="1"/>
  <c r="U90" i="1"/>
  <c r="U92" i="1"/>
  <c r="U93" i="1"/>
  <c r="U94" i="1"/>
  <c r="U62" i="1"/>
  <c r="U72" i="1"/>
  <c r="U81" i="1"/>
  <c r="U78" i="1"/>
  <c r="U76" i="1"/>
  <c r="U85" i="1"/>
  <c r="U87" i="1"/>
  <c r="U89" i="1"/>
  <c r="U95" i="1"/>
  <c r="U73" i="1"/>
  <c r="U74" i="1"/>
  <c r="U75" i="1"/>
  <c r="U96" i="1"/>
  <c r="U272" i="1"/>
  <c r="U273" i="1"/>
  <c r="U275" i="1"/>
  <c r="U279" i="1"/>
  <c r="U282" i="1"/>
  <c r="U287" i="1"/>
  <c r="U292" i="1"/>
  <c r="U293" i="1"/>
  <c r="U284" i="1"/>
  <c r="U311" i="1"/>
  <c r="U317" i="1"/>
  <c r="U274" i="1"/>
  <c r="U277" i="1"/>
  <c r="U280" i="1"/>
  <c r="U281" i="1"/>
  <c r="U283" i="1"/>
  <c r="U289" i="1"/>
  <c r="U312" i="1"/>
  <c r="U276" i="1"/>
  <c r="U278" i="1"/>
  <c r="U294" i="1"/>
  <c r="U297" i="1"/>
  <c r="U285" i="1"/>
  <c r="U298" i="1"/>
  <c r="U299" i="1"/>
  <c r="U300" i="1"/>
  <c r="U301" i="1"/>
  <c r="U302" i="1"/>
  <c r="U310" i="1"/>
  <c r="U303" i="1"/>
  <c r="U304" i="1"/>
  <c r="U309" i="1"/>
  <c r="U313" i="1"/>
  <c r="U314" i="1"/>
  <c r="U295" i="1"/>
  <c r="U315" i="1"/>
  <c r="U316" i="1"/>
  <c r="U318" i="1"/>
  <c r="U305" i="1"/>
  <c r="U288" i="1"/>
  <c r="U291" i="1"/>
  <c r="U286" i="1"/>
  <c r="U306" i="1"/>
  <c r="U307" i="1"/>
  <c r="U308" i="1"/>
  <c r="U290" i="1"/>
  <c r="U1027" i="1"/>
  <c r="U1028" i="1"/>
  <c r="U1030" i="1"/>
  <c r="U1032" i="1"/>
  <c r="U1033" i="1"/>
  <c r="U1034" i="1"/>
  <c r="U1039" i="1"/>
  <c r="U1040" i="1"/>
  <c r="U1042" i="1"/>
  <c r="U1037" i="1"/>
  <c r="U1058" i="1"/>
  <c r="U1072" i="1"/>
  <c r="U1073" i="1"/>
  <c r="U1029" i="1"/>
  <c r="U1031" i="1"/>
  <c r="U1035" i="1"/>
  <c r="U1036" i="1"/>
  <c r="U1041" i="1"/>
  <c r="U1057" i="1"/>
  <c r="U1062" i="1"/>
  <c r="U1063" i="1"/>
  <c r="U1074" i="1"/>
  <c r="U1043" i="1"/>
  <c r="U1047" i="1"/>
  <c r="U1048" i="1"/>
  <c r="U1049" i="1"/>
  <c r="U1050" i="1"/>
  <c r="U1051" i="1"/>
  <c r="U1045" i="1"/>
  <c r="U1052" i="1"/>
  <c r="U1053" i="1"/>
  <c r="U1059" i="1"/>
  <c r="U1061" i="1"/>
  <c r="U1064" i="1"/>
  <c r="U1065" i="1"/>
  <c r="U1066" i="1"/>
  <c r="U1067" i="1"/>
  <c r="U1070" i="1"/>
  <c r="U1075" i="1"/>
  <c r="U1044" i="1"/>
  <c r="U1054" i="1"/>
  <c r="U1055" i="1"/>
  <c r="U1068" i="1"/>
  <c r="U1069" i="1"/>
  <c r="U1056" i="1"/>
  <c r="U1060" i="1"/>
  <c r="U1071" i="1"/>
  <c r="U413" i="1"/>
  <c r="U414" i="1"/>
  <c r="U415" i="1"/>
  <c r="U416" i="1"/>
  <c r="U419" i="1"/>
  <c r="U421" i="1"/>
  <c r="U423" i="1"/>
  <c r="U425" i="1"/>
  <c r="U426" i="1"/>
  <c r="U429" i="1"/>
  <c r="U444" i="1"/>
  <c r="U449" i="1"/>
  <c r="U461" i="1"/>
  <c r="U1038" i="1"/>
  <c r="U417" i="1"/>
  <c r="U420" i="1"/>
  <c r="I17" i="21" s="1"/>
  <c r="U427" i="1"/>
  <c r="U428" i="1"/>
  <c r="U430" i="1"/>
  <c r="U441" i="1"/>
  <c r="U452" i="1"/>
  <c r="U462" i="1"/>
  <c r="U418" i="1"/>
  <c r="U422" i="1"/>
  <c r="U424" i="1"/>
  <c r="U456" i="1"/>
  <c r="U431" i="1"/>
  <c r="U432" i="1"/>
  <c r="U433" i="1"/>
  <c r="U434" i="1"/>
  <c r="U435" i="1"/>
  <c r="U440" i="1"/>
  <c r="U442" i="1"/>
  <c r="U443" i="1"/>
  <c r="U445" i="1"/>
  <c r="U446" i="1"/>
  <c r="U447" i="1"/>
  <c r="U451" i="1"/>
  <c r="U453" i="1"/>
  <c r="U454" i="1"/>
  <c r="U460" i="1"/>
  <c r="U436" i="1"/>
  <c r="U437" i="1"/>
  <c r="U448" i="1"/>
  <c r="U450" i="1"/>
  <c r="U455" i="1"/>
  <c r="U457" i="1"/>
  <c r="U458" i="1"/>
  <c r="U463" i="1"/>
  <c r="U464" i="1"/>
  <c r="U465" i="1"/>
  <c r="U438" i="1"/>
  <c r="U439" i="1"/>
  <c r="U459" i="1"/>
  <c r="U513" i="1"/>
  <c r="U515" i="1"/>
  <c r="U516" i="1"/>
  <c r="U517" i="1"/>
  <c r="U524" i="1"/>
  <c r="U526" i="1"/>
  <c r="U527" i="1"/>
  <c r="U531" i="1"/>
  <c r="U532" i="1"/>
  <c r="U537" i="1"/>
  <c r="U552" i="1"/>
  <c r="U559" i="1"/>
  <c r="U561" i="1"/>
  <c r="U519" i="1"/>
  <c r="U533" i="1"/>
  <c r="U520" i="1"/>
  <c r="U521" i="1"/>
  <c r="U523" i="1"/>
  <c r="U525" i="1"/>
  <c r="U528" i="1"/>
  <c r="U535" i="1"/>
  <c r="U518" i="1"/>
  <c r="U522" i="1"/>
  <c r="U562" i="1"/>
  <c r="U563" i="1"/>
  <c r="U564" i="1"/>
  <c r="U530" i="1"/>
  <c r="U536" i="1"/>
  <c r="U534" i="1"/>
  <c r="U538" i="1"/>
  <c r="U539" i="1"/>
  <c r="U547" i="1"/>
  <c r="U545" i="1"/>
  <c r="U546" i="1"/>
  <c r="U540" i="1"/>
  <c r="U554" i="1"/>
  <c r="U555" i="1"/>
  <c r="U556" i="1"/>
  <c r="U558" i="1"/>
  <c r="U514" i="1"/>
  <c r="U529" i="1"/>
  <c r="U541" i="1"/>
  <c r="U548" i="1"/>
  <c r="U553" i="1"/>
  <c r="U551" i="1"/>
  <c r="U549" i="1"/>
  <c r="U550" i="1"/>
  <c r="U560" i="1"/>
  <c r="U542" i="1"/>
  <c r="U543" i="1"/>
  <c r="U544" i="1"/>
  <c r="U557" i="1"/>
  <c r="U1352" i="1"/>
  <c r="U1354" i="1"/>
  <c r="U1355" i="1"/>
  <c r="U1356" i="1"/>
  <c r="U1357" i="1"/>
  <c r="U1359" i="1"/>
  <c r="U1360" i="1"/>
  <c r="U1361" i="1"/>
  <c r="U1365" i="1"/>
  <c r="U1380" i="1"/>
  <c r="U1383" i="1"/>
  <c r="U1385" i="1"/>
  <c r="U1392" i="1"/>
  <c r="U1393" i="1"/>
  <c r="U1353" i="1"/>
  <c r="U1358" i="1"/>
  <c r="U1364" i="1"/>
  <c r="U1362" i="1"/>
  <c r="U1363" i="1"/>
  <c r="U1377" i="1"/>
  <c r="U1394" i="1"/>
  <c r="U1367" i="1"/>
  <c r="U1368" i="1"/>
  <c r="U1378" i="1"/>
  <c r="U1372" i="1"/>
  <c r="U1373" i="1"/>
  <c r="U1376" i="1"/>
  <c r="U1382" i="1"/>
  <c r="U1386" i="1"/>
  <c r="U1387" i="1"/>
  <c r="U1388" i="1"/>
  <c r="U1389" i="1"/>
  <c r="U1390" i="1"/>
  <c r="U1369" i="1"/>
  <c r="U1370" i="1"/>
  <c r="U1374" i="1"/>
  <c r="U1375" i="1"/>
  <c r="U1371" i="1"/>
  <c r="U1379" i="1"/>
  <c r="U1381" i="1"/>
  <c r="U1391" i="1"/>
  <c r="U1395" i="1"/>
  <c r="U1366" i="1"/>
  <c r="U1384" i="1"/>
  <c r="U752" i="1"/>
  <c r="U753" i="1"/>
  <c r="U755" i="1"/>
  <c r="U757" i="1"/>
  <c r="U759" i="1"/>
  <c r="U760" i="1"/>
  <c r="U761" i="1"/>
  <c r="U765" i="1"/>
  <c r="U771" i="1"/>
  <c r="U781" i="1"/>
  <c r="U794" i="1"/>
  <c r="U795" i="1"/>
  <c r="U796" i="1"/>
  <c r="U754" i="1"/>
  <c r="U762" i="1"/>
  <c r="U763" i="1"/>
  <c r="U770" i="1"/>
  <c r="U767" i="1"/>
  <c r="U790" i="1"/>
  <c r="U791" i="1"/>
  <c r="U758" i="1"/>
  <c r="U766" i="1"/>
  <c r="U772" i="1"/>
  <c r="U773" i="1"/>
  <c r="U774" i="1"/>
  <c r="U764" i="1"/>
  <c r="U780" i="1"/>
  <c r="U779" i="1"/>
  <c r="U782" i="1"/>
  <c r="U783" i="1"/>
  <c r="U784" i="1"/>
  <c r="U785" i="1"/>
  <c r="U788" i="1"/>
  <c r="U792" i="1"/>
  <c r="U769" i="1"/>
  <c r="U775" i="1"/>
  <c r="U778" i="1"/>
  <c r="U786" i="1"/>
  <c r="U789" i="1"/>
  <c r="U793" i="1"/>
  <c r="U776" i="1"/>
  <c r="U777" i="1"/>
  <c r="U787" i="1"/>
  <c r="U466" i="1"/>
  <c r="U469" i="1"/>
  <c r="U472" i="1"/>
  <c r="U475" i="1"/>
  <c r="U476" i="1"/>
  <c r="U478" i="1"/>
  <c r="U479" i="1"/>
  <c r="U482" i="1"/>
  <c r="U487" i="1"/>
  <c r="U501" i="1"/>
  <c r="U485" i="1"/>
  <c r="U492" i="1"/>
  <c r="U468" i="1"/>
  <c r="U471" i="1"/>
  <c r="U473" i="1"/>
  <c r="U477" i="1"/>
  <c r="U480" i="1"/>
  <c r="U470" i="1"/>
  <c r="U481" i="1"/>
  <c r="U503" i="1"/>
  <c r="U467" i="1"/>
  <c r="U474" i="1"/>
  <c r="U486" i="1"/>
  <c r="U488" i="1"/>
  <c r="U489" i="1"/>
  <c r="U490" i="1"/>
  <c r="U484" i="1"/>
  <c r="U495" i="1"/>
  <c r="U496" i="1"/>
  <c r="U498" i="1"/>
  <c r="U505" i="1"/>
  <c r="U508" i="1"/>
  <c r="U509" i="1"/>
  <c r="U510" i="1"/>
  <c r="U483" i="1"/>
  <c r="U502" i="1"/>
  <c r="U500" i="1"/>
  <c r="U497" i="1"/>
  <c r="U499" i="1"/>
  <c r="U506" i="1"/>
  <c r="U507" i="1"/>
  <c r="U494" i="1"/>
  <c r="U511" i="1"/>
  <c r="U491" i="1"/>
  <c r="U504" i="1"/>
  <c r="U512" i="1"/>
  <c r="U568" i="1"/>
  <c r="U569" i="1"/>
  <c r="U571" i="1"/>
  <c r="U573" i="1"/>
  <c r="U574" i="1"/>
  <c r="U575" i="1"/>
  <c r="U577" i="1"/>
  <c r="U579" i="1"/>
  <c r="U583" i="1"/>
  <c r="U581" i="1"/>
  <c r="U599" i="1"/>
  <c r="U566" i="1"/>
  <c r="U567" i="1"/>
  <c r="U570" i="1"/>
  <c r="U572" i="1"/>
  <c r="U576" i="1"/>
  <c r="U600" i="1"/>
  <c r="U601" i="1"/>
  <c r="U565" i="1"/>
  <c r="U602" i="1"/>
  <c r="U578" i="1"/>
  <c r="U584" i="1"/>
  <c r="U580" i="1"/>
  <c r="U585" i="1"/>
  <c r="U586" i="1"/>
  <c r="U588" i="1"/>
  <c r="U589" i="1"/>
  <c r="U592" i="1"/>
  <c r="U595" i="1"/>
  <c r="U598" i="1"/>
  <c r="U603" i="1"/>
  <c r="U604" i="1"/>
  <c r="U605" i="1"/>
  <c r="U606" i="1"/>
  <c r="U607" i="1"/>
  <c r="U608" i="1"/>
  <c r="U582" i="1"/>
  <c r="U590" i="1"/>
  <c r="U593" i="1"/>
  <c r="U594" i="1"/>
  <c r="U609" i="1"/>
  <c r="U591" i="1"/>
  <c r="U587" i="1"/>
  <c r="U596" i="1"/>
  <c r="U1077" i="1"/>
  <c r="U1079" i="1"/>
  <c r="U1081" i="1"/>
  <c r="U1083" i="1"/>
  <c r="U1085" i="1"/>
  <c r="U1086" i="1"/>
  <c r="U1091" i="1"/>
  <c r="U1115" i="1"/>
  <c r="U1116" i="1"/>
  <c r="U1118" i="1"/>
  <c r="U1119" i="1"/>
  <c r="U1076" i="1"/>
  <c r="U1078" i="1"/>
  <c r="U1080" i="1"/>
  <c r="U1084" i="1"/>
  <c r="U1089" i="1"/>
  <c r="U1107" i="1"/>
  <c r="U1113" i="1"/>
  <c r="U1082" i="1"/>
  <c r="U1092" i="1"/>
  <c r="U1093" i="1"/>
  <c r="U1094" i="1"/>
  <c r="U1095" i="1"/>
  <c r="U1111" i="1"/>
  <c r="U1108" i="1"/>
  <c r="U1090" i="1"/>
  <c r="U1100" i="1"/>
  <c r="U1102" i="1"/>
  <c r="U1106" i="1"/>
  <c r="U1103" i="1"/>
  <c r="U1109" i="1"/>
  <c r="U1096" i="1"/>
  <c r="U1112" i="1"/>
  <c r="U1110" i="1"/>
  <c r="U1121" i="1"/>
  <c r="U1088" i="1"/>
  <c r="U1087" i="1"/>
  <c r="U1097" i="1"/>
  <c r="U1101" i="1"/>
  <c r="U1098" i="1"/>
  <c r="U1104" i="1"/>
  <c r="U1122" i="1"/>
  <c r="U1123" i="1"/>
  <c r="U1099" i="1"/>
  <c r="U1105" i="1"/>
  <c r="U1114" i="1"/>
  <c r="U1117" i="1"/>
  <c r="U1263" i="1"/>
  <c r="U1266" i="1"/>
  <c r="I9" i="18" s="1"/>
  <c r="U1267" i="1"/>
  <c r="U1269" i="1"/>
  <c r="U1271" i="1"/>
  <c r="U1273" i="1"/>
  <c r="U1274" i="1"/>
  <c r="U1275" i="1"/>
  <c r="U1279" i="1"/>
  <c r="U1282" i="1"/>
  <c r="U1288" i="1"/>
  <c r="U1270" i="1"/>
  <c r="U1281" i="1"/>
  <c r="U1302" i="1"/>
  <c r="U1303" i="1"/>
  <c r="U1304" i="1"/>
  <c r="U1264" i="1"/>
  <c r="U1265" i="1"/>
  <c r="U1268" i="1"/>
  <c r="U1277" i="1"/>
  <c r="U1280" i="1"/>
  <c r="U1294" i="1"/>
  <c r="U1296" i="1"/>
  <c r="U1292" i="1"/>
  <c r="U1300" i="1"/>
  <c r="U1305" i="1"/>
  <c r="U1306" i="1"/>
  <c r="U1272" i="1"/>
  <c r="U1286" i="1"/>
  <c r="U1284" i="1"/>
  <c r="U1289" i="1"/>
  <c r="U1287" i="1"/>
  <c r="U1290" i="1"/>
  <c r="U1293" i="1"/>
  <c r="U1298" i="1"/>
  <c r="U1307" i="1"/>
  <c r="U1308" i="1"/>
  <c r="U1285" i="1"/>
  <c r="U1278" i="1"/>
  <c r="U1295" i="1"/>
  <c r="U1297" i="1"/>
  <c r="U1283" i="1"/>
  <c r="U1291" i="1"/>
  <c r="U1299" i="1"/>
  <c r="U1301" i="1"/>
  <c r="U1170" i="1"/>
  <c r="U1171" i="1"/>
  <c r="U1175" i="1"/>
  <c r="U1176" i="1"/>
  <c r="U1177" i="1"/>
  <c r="U1178" i="1"/>
  <c r="U1186" i="1"/>
  <c r="U1194" i="1"/>
  <c r="U1212" i="1"/>
  <c r="U1213" i="1"/>
  <c r="U1214" i="1"/>
  <c r="U1215" i="1"/>
  <c r="U1172" i="1"/>
  <c r="I15" i="18" s="1"/>
  <c r="U1276" i="1"/>
  <c r="U1173" i="1"/>
  <c r="U1181" i="1"/>
  <c r="U1183" i="1"/>
  <c r="U1180" i="1"/>
  <c r="U1204" i="1"/>
  <c r="U1205" i="1"/>
  <c r="U1199" i="1"/>
  <c r="U1179" i="1"/>
  <c r="U1184" i="1"/>
  <c r="U1185" i="1"/>
  <c r="U1174" i="1"/>
  <c r="U1188" i="1"/>
  <c r="U1189" i="1"/>
  <c r="U1193" i="1"/>
  <c r="U1197" i="1"/>
  <c r="U1198" i="1"/>
  <c r="U1190" i="1"/>
  <c r="U1196" i="1"/>
  <c r="U1191" i="1"/>
  <c r="U1192" i="1"/>
  <c r="U1201" i="1"/>
  <c r="U1202" i="1"/>
  <c r="U1200" i="1"/>
  <c r="U1187" i="1"/>
  <c r="U1206" i="1"/>
  <c r="U1207" i="1"/>
  <c r="U1216" i="1"/>
  <c r="U1182" i="1"/>
  <c r="U1195" i="1"/>
  <c r="U1203" i="1"/>
  <c r="U1208" i="1"/>
  <c r="U1209" i="1"/>
  <c r="U1217" i="1"/>
  <c r="U1218" i="1"/>
  <c r="U1210" i="1"/>
  <c r="U1211" i="1"/>
  <c r="U889" i="1"/>
  <c r="I3" i="16" s="1"/>
  <c r="U894" i="1"/>
  <c r="U896" i="1"/>
  <c r="U898" i="1"/>
  <c r="U901" i="1"/>
  <c r="U902" i="1"/>
  <c r="U903" i="1"/>
  <c r="U907" i="1"/>
  <c r="U906" i="1"/>
  <c r="U921" i="1"/>
  <c r="U924" i="1"/>
  <c r="U928" i="1"/>
  <c r="U930" i="1"/>
  <c r="U900" i="1"/>
  <c r="U892" i="1"/>
  <c r="U893" i="1"/>
  <c r="U895" i="1"/>
  <c r="U897" i="1"/>
  <c r="U904" i="1"/>
  <c r="U943" i="1"/>
  <c r="U918" i="1"/>
  <c r="U891" i="1"/>
  <c r="U931" i="1"/>
  <c r="U890" i="1"/>
  <c r="U910" i="1"/>
  <c r="U908" i="1"/>
  <c r="U905" i="1"/>
  <c r="U911" i="1"/>
  <c r="U919" i="1"/>
  <c r="U912" i="1"/>
  <c r="U923" i="1"/>
  <c r="U922" i="1"/>
  <c r="U925" i="1"/>
  <c r="U926" i="1"/>
  <c r="U929" i="1"/>
  <c r="U932" i="1"/>
  <c r="U888" i="1"/>
  <c r="U913" i="1"/>
  <c r="U909" i="1"/>
  <c r="U914" i="1"/>
  <c r="U915" i="1"/>
  <c r="U920" i="1"/>
  <c r="U917" i="1"/>
  <c r="U927" i="1"/>
  <c r="U916" i="1"/>
  <c r="U899" i="1"/>
  <c r="U841" i="1"/>
  <c r="I25" i="16" s="1"/>
  <c r="U842" i="1"/>
  <c r="U844" i="1"/>
  <c r="U845" i="1"/>
  <c r="U847" i="1"/>
  <c r="U849" i="1"/>
  <c r="U850" i="1"/>
  <c r="U852" i="1"/>
  <c r="U853" i="1"/>
  <c r="U862" i="1"/>
  <c r="U860" i="1"/>
  <c r="U873" i="1"/>
  <c r="U877" i="1"/>
  <c r="U885" i="1"/>
  <c r="U253" i="1"/>
  <c r="U886" i="1"/>
  <c r="U843" i="1"/>
  <c r="U846" i="1"/>
  <c r="U854" i="1"/>
  <c r="U855" i="1"/>
  <c r="I19" i="22" s="1"/>
  <c r="U856" i="1"/>
  <c r="U858" i="1"/>
  <c r="U296" i="1"/>
  <c r="U878" i="1"/>
  <c r="U848" i="1"/>
  <c r="U851" i="1"/>
  <c r="U861" i="1"/>
  <c r="U865" i="1"/>
  <c r="U874" i="1"/>
  <c r="U866" i="1"/>
  <c r="U875" i="1"/>
  <c r="U876" i="1"/>
  <c r="U879" i="1"/>
  <c r="U880" i="1"/>
  <c r="U881" i="1"/>
  <c r="U887" i="1"/>
  <c r="I23" i="19" s="1"/>
  <c r="U867" i="1"/>
  <c r="U859" i="1"/>
  <c r="U871" i="1"/>
  <c r="U868" i="1"/>
  <c r="U869" i="1"/>
  <c r="U872" i="1"/>
  <c r="U863" i="1"/>
  <c r="U882" i="1"/>
  <c r="U883" i="1"/>
  <c r="U870" i="1"/>
  <c r="U864" i="1"/>
  <c r="U884" i="1"/>
  <c r="U3" i="1"/>
  <c r="U4" i="1"/>
  <c r="U7" i="1"/>
  <c r="U8" i="1"/>
  <c r="U11" i="1"/>
  <c r="U12" i="1"/>
  <c r="U13" i="1"/>
  <c r="U15" i="1"/>
  <c r="U16" i="1"/>
  <c r="U18" i="1"/>
  <c r="U19" i="1"/>
  <c r="U17" i="1"/>
  <c r="U37" i="1"/>
  <c r="U39" i="1"/>
  <c r="U5" i="1"/>
  <c r="U9" i="1"/>
  <c r="U10" i="1"/>
  <c r="U36" i="1"/>
  <c r="U32" i="1"/>
  <c r="U6" i="1"/>
  <c r="U14" i="1"/>
  <c r="U38" i="1"/>
  <c r="U22" i="1"/>
  <c r="U23" i="1"/>
  <c r="U34" i="1"/>
  <c r="U35" i="1"/>
  <c r="U24" i="1"/>
  <c r="U21" i="1"/>
  <c r="U25" i="1"/>
  <c r="U29" i="1"/>
  <c r="U20" i="1"/>
  <c r="U40" i="1"/>
  <c r="U41" i="1"/>
  <c r="U42" i="1"/>
  <c r="U45" i="1"/>
  <c r="U46" i="1"/>
  <c r="U31" i="1"/>
  <c r="U26" i="1"/>
  <c r="U30" i="1"/>
  <c r="U43" i="1"/>
  <c r="U27" i="1"/>
  <c r="U28" i="1"/>
  <c r="U33" i="1"/>
  <c r="U44" i="1"/>
  <c r="U227" i="1"/>
  <c r="U229" i="1"/>
  <c r="U230" i="1"/>
  <c r="U231" i="1"/>
  <c r="U233" i="1"/>
  <c r="U235" i="1"/>
  <c r="U238" i="1"/>
  <c r="U240" i="1"/>
  <c r="U243" i="1"/>
  <c r="U251" i="1"/>
  <c r="U259" i="1"/>
  <c r="U265" i="1"/>
  <c r="U266" i="1"/>
  <c r="I7" i="18" s="1"/>
  <c r="U267" i="1"/>
  <c r="U228" i="1"/>
  <c r="U232" i="1"/>
  <c r="U234" i="1"/>
  <c r="U236" i="1"/>
  <c r="U237" i="1"/>
  <c r="U242" i="1"/>
  <c r="U252" i="1"/>
  <c r="U239" i="1"/>
  <c r="U257" i="1"/>
  <c r="U268" i="1"/>
  <c r="U244" i="1"/>
  <c r="U254" i="1"/>
  <c r="U255" i="1"/>
  <c r="U256" i="1"/>
  <c r="U246" i="1"/>
  <c r="U258" i="1"/>
  <c r="U857" i="1"/>
  <c r="U260" i="1"/>
  <c r="U261" i="1"/>
  <c r="U262" i="1"/>
  <c r="U269" i="1"/>
  <c r="U270" i="1"/>
  <c r="U247" i="1"/>
  <c r="U241" i="1"/>
  <c r="U263" i="1"/>
  <c r="U250" i="1"/>
  <c r="U271" i="1"/>
  <c r="U248" i="1"/>
  <c r="U628" i="1"/>
  <c r="U249" i="1"/>
  <c r="U264" i="1"/>
  <c r="U97" i="1"/>
  <c r="U99" i="1"/>
  <c r="I8" i="19" s="1"/>
  <c r="U100" i="1"/>
  <c r="I25" i="21" s="1"/>
  <c r="U101" i="1"/>
  <c r="U102" i="1"/>
  <c r="U105" i="1"/>
  <c r="U114" i="1"/>
  <c r="U115" i="1"/>
  <c r="U118" i="1"/>
  <c r="U119" i="1"/>
  <c r="U111" i="1"/>
  <c r="U129" i="1"/>
  <c r="U131" i="1"/>
  <c r="U139" i="1"/>
  <c r="U103" i="1"/>
  <c r="H3" i="29" s="1"/>
  <c r="U106" i="1"/>
  <c r="U108" i="1"/>
  <c r="U104" i="1"/>
  <c r="U109" i="1"/>
  <c r="U130" i="1"/>
  <c r="U132" i="1"/>
  <c r="U140" i="1"/>
  <c r="I15" i="16" s="1"/>
  <c r="U141" i="1"/>
  <c r="U98" i="1"/>
  <c r="I22" i="24" s="1"/>
  <c r="U107" i="1"/>
  <c r="U116" i="1"/>
  <c r="U117" i="1"/>
  <c r="U112" i="1"/>
  <c r="U121" i="1"/>
  <c r="U125" i="1"/>
  <c r="U128" i="1"/>
  <c r="U123" i="1"/>
  <c r="U134" i="1"/>
  <c r="U135" i="1"/>
  <c r="U136" i="1"/>
  <c r="U137" i="1"/>
  <c r="U142" i="1"/>
  <c r="U143" i="1"/>
  <c r="U110" i="1"/>
  <c r="U113" i="1"/>
  <c r="U126" i="1"/>
  <c r="U122" i="1"/>
  <c r="U127" i="1"/>
  <c r="U133" i="1"/>
  <c r="U124" i="1"/>
  <c r="U138" i="1"/>
  <c r="U1219" i="1"/>
  <c r="U1220" i="1"/>
  <c r="I11" i="20" s="1"/>
  <c r="U1221" i="1"/>
  <c r="U1225" i="1"/>
  <c r="U1226" i="1"/>
  <c r="U1228" i="1"/>
  <c r="I5" i="19" s="1"/>
  <c r="U1247" i="1"/>
  <c r="U1248" i="1"/>
  <c r="U1249" i="1"/>
  <c r="U1252" i="1"/>
  <c r="U1253" i="1"/>
  <c r="U1260" i="1"/>
  <c r="U1261" i="1"/>
  <c r="U1222" i="1"/>
  <c r="I20" i="20" s="1"/>
  <c r="U1224" i="1"/>
  <c r="U1227" i="1"/>
  <c r="U120" i="1"/>
  <c r="U1241" i="1"/>
  <c r="U1251" i="1"/>
  <c r="U1254" i="1"/>
  <c r="U1255" i="1"/>
  <c r="U1258" i="1"/>
  <c r="U1262" i="1"/>
  <c r="U1223" i="1"/>
  <c r="U1256" i="1"/>
  <c r="U1230" i="1"/>
  <c r="U1231" i="1"/>
  <c r="U1232" i="1"/>
  <c r="U1233" i="1"/>
  <c r="U1246" i="1"/>
  <c r="U1234" i="1"/>
  <c r="U1235" i="1"/>
  <c r="U1236" i="1"/>
  <c r="U1242" i="1"/>
  <c r="U1240" i="1"/>
  <c r="U1229" i="1"/>
  <c r="U1243" i="1"/>
  <c r="U1245" i="1"/>
  <c r="U1237" i="1"/>
  <c r="U1238" i="1"/>
  <c r="U1257" i="1"/>
  <c r="U1239" i="1"/>
  <c r="U1244" i="1"/>
  <c r="U1250" i="1"/>
  <c r="U1259" i="1"/>
  <c r="U708" i="1"/>
  <c r="U710" i="1"/>
  <c r="U712" i="1"/>
  <c r="U714" i="1"/>
  <c r="U715" i="1"/>
  <c r="U716" i="1"/>
  <c r="U717" i="1"/>
  <c r="U725" i="1"/>
  <c r="U727" i="1"/>
  <c r="U713" i="1"/>
  <c r="U721" i="1"/>
  <c r="U743" i="1"/>
  <c r="U748" i="1"/>
  <c r="U749" i="1"/>
  <c r="U750" i="1"/>
  <c r="U707" i="1"/>
  <c r="U709" i="1"/>
  <c r="U711" i="1"/>
  <c r="U718" i="1"/>
  <c r="U720" i="1"/>
  <c r="U726" i="1"/>
  <c r="U735" i="1"/>
  <c r="U734" i="1"/>
  <c r="U706" i="1"/>
  <c r="U719" i="1"/>
  <c r="U381" i="1"/>
  <c r="U739" i="1"/>
  <c r="U597" i="1"/>
  <c r="U723" i="1"/>
  <c r="U724" i="1"/>
  <c r="U729" i="1"/>
  <c r="U736" i="1"/>
  <c r="U737" i="1"/>
  <c r="U738" i="1"/>
  <c r="U740" i="1"/>
  <c r="U741" i="1"/>
  <c r="U744" i="1"/>
  <c r="U745" i="1"/>
  <c r="U751" i="1"/>
  <c r="U730" i="1"/>
  <c r="U731" i="1"/>
  <c r="U732" i="1"/>
  <c r="U733" i="1"/>
  <c r="U746" i="1"/>
  <c r="U747" i="1"/>
  <c r="U728" i="1"/>
  <c r="U742" i="1"/>
  <c r="U188" i="1"/>
  <c r="U189" i="1"/>
  <c r="U191" i="1"/>
  <c r="I7" i="19" s="1"/>
  <c r="U193" i="1"/>
  <c r="U199" i="1"/>
  <c r="I24" i="18" s="1"/>
  <c r="U201" i="1"/>
  <c r="U196" i="1"/>
  <c r="U202" i="1"/>
  <c r="U210" i="1"/>
  <c r="U218" i="1"/>
  <c r="U219" i="1"/>
  <c r="U220" i="1"/>
  <c r="U190" i="1"/>
  <c r="I15" i="17" s="1"/>
  <c r="U192" i="1"/>
  <c r="U194" i="1"/>
  <c r="U195" i="1"/>
  <c r="U200" i="1"/>
  <c r="U221" i="1"/>
  <c r="U197" i="1"/>
  <c r="U198" i="1"/>
  <c r="U205" i="1"/>
  <c r="U204" i="1"/>
  <c r="U756" i="1"/>
  <c r="U206" i="1"/>
  <c r="U208" i="1"/>
  <c r="U207" i="1"/>
  <c r="U211" i="1"/>
  <c r="U213" i="1"/>
  <c r="U216" i="1"/>
  <c r="U222" i="1"/>
  <c r="U203" i="1"/>
  <c r="U209" i="1"/>
  <c r="U217" i="1"/>
  <c r="U768" i="1"/>
  <c r="U223" i="1"/>
  <c r="U224" i="1"/>
  <c r="U225" i="1"/>
  <c r="U212" i="1"/>
  <c r="U214" i="1"/>
  <c r="U215" i="1"/>
  <c r="U226" i="1"/>
  <c r="U657" i="1"/>
  <c r="U659" i="1"/>
  <c r="U661" i="1"/>
  <c r="U662" i="1"/>
  <c r="U666" i="1"/>
  <c r="U667" i="1"/>
  <c r="U668" i="1"/>
  <c r="U670" i="1"/>
  <c r="I24" i="16" s="1"/>
  <c r="U695" i="1"/>
  <c r="U699" i="1"/>
  <c r="U700" i="1"/>
  <c r="U658" i="1"/>
  <c r="U660" i="1"/>
  <c r="I25" i="22" s="1"/>
  <c r="U663" i="1"/>
  <c r="I20" i="24" s="1"/>
  <c r="U665" i="1"/>
  <c r="U669" i="1"/>
  <c r="U686" i="1"/>
  <c r="U688" i="1"/>
  <c r="U664" i="1"/>
  <c r="U684" i="1"/>
  <c r="U674" i="1"/>
  <c r="U671" i="1"/>
  <c r="U673" i="1"/>
  <c r="U675" i="1"/>
  <c r="U676" i="1"/>
  <c r="U679" i="1"/>
  <c r="U677" i="1"/>
  <c r="U681" i="1"/>
  <c r="U680" i="1"/>
  <c r="U689" i="1"/>
  <c r="U690" i="1"/>
  <c r="U691" i="1"/>
  <c r="U692" i="1"/>
  <c r="U696" i="1"/>
  <c r="U697" i="1"/>
  <c r="U698" i="1"/>
  <c r="U245" i="1"/>
  <c r="U701" i="1"/>
  <c r="U702" i="1"/>
  <c r="U683" i="1"/>
  <c r="U682" i="1"/>
  <c r="U687" i="1"/>
  <c r="U693" i="1"/>
  <c r="U694" i="1"/>
  <c r="U703" i="1"/>
  <c r="U704" i="1"/>
  <c r="U705" i="1"/>
  <c r="U672" i="1"/>
  <c r="U678" i="1"/>
  <c r="U685" i="1"/>
  <c r="U611" i="1"/>
  <c r="U612" i="1"/>
  <c r="U613" i="1"/>
  <c r="U615" i="1"/>
  <c r="U616" i="1"/>
  <c r="U619" i="1"/>
  <c r="U623" i="1"/>
  <c r="U624" i="1"/>
  <c r="U627" i="1"/>
  <c r="U650" i="1"/>
  <c r="U651" i="1"/>
  <c r="U610" i="1"/>
  <c r="U617" i="1"/>
  <c r="U618" i="1"/>
  <c r="U635" i="1"/>
  <c r="U639" i="1"/>
  <c r="U643" i="1"/>
  <c r="U648" i="1"/>
  <c r="U652" i="1"/>
  <c r="U614" i="1"/>
  <c r="U649" i="1"/>
  <c r="U620" i="1"/>
  <c r="U625" i="1"/>
  <c r="U622" i="1"/>
  <c r="U629" i="1"/>
  <c r="U630" i="1"/>
  <c r="U637" i="1"/>
  <c r="U633" i="1"/>
  <c r="U640" i="1"/>
  <c r="U641" i="1"/>
  <c r="U644" i="1"/>
  <c r="U646" i="1"/>
  <c r="U653" i="1"/>
  <c r="U647" i="1"/>
  <c r="U654" i="1"/>
  <c r="U621" i="1"/>
  <c r="U631" i="1"/>
  <c r="U636" i="1"/>
  <c r="U1449" i="1"/>
  <c r="U632" i="1"/>
  <c r="U642" i="1"/>
  <c r="U645" i="1"/>
  <c r="U493" i="1"/>
  <c r="I17" i="16" s="1"/>
  <c r="U655" i="1"/>
  <c r="U626" i="1"/>
  <c r="U638" i="1"/>
  <c r="U656" i="1"/>
  <c r="U144" i="1"/>
  <c r="U145" i="1"/>
  <c r="U146" i="1"/>
  <c r="U152" i="1"/>
  <c r="I5" i="17" s="1"/>
  <c r="U153" i="1"/>
  <c r="U155" i="1"/>
  <c r="U157" i="1"/>
  <c r="U163" i="1"/>
  <c r="U160" i="1"/>
  <c r="U182" i="1"/>
  <c r="U183" i="1"/>
  <c r="U184" i="1"/>
  <c r="U147" i="1"/>
  <c r="U148" i="1"/>
  <c r="U149" i="1"/>
  <c r="U150" i="1"/>
  <c r="I16" i="21" s="1"/>
  <c r="U154" i="1"/>
  <c r="U158" i="1"/>
  <c r="U151" i="1"/>
  <c r="I19" i="18" s="1"/>
  <c r="U175" i="1"/>
  <c r="U185" i="1"/>
  <c r="U156" i="1"/>
  <c r="U186" i="1"/>
  <c r="U165" i="1"/>
  <c r="U166" i="1"/>
  <c r="U162" i="1"/>
  <c r="U159" i="1"/>
  <c r="U167" i="1"/>
  <c r="U164" i="1"/>
  <c r="U168" i="1"/>
  <c r="U177" i="1"/>
  <c r="U178" i="1"/>
  <c r="U179" i="1"/>
  <c r="U187" i="1"/>
  <c r="U161" i="1"/>
  <c r="U169" i="1"/>
  <c r="U170" i="1"/>
  <c r="U171" i="1"/>
  <c r="U172" i="1"/>
  <c r="U176" i="1"/>
  <c r="U180" i="1"/>
  <c r="U174" i="1"/>
  <c r="U173" i="1"/>
  <c r="U181" i="1"/>
  <c r="U1124" i="1"/>
  <c r="I7" i="21" s="1"/>
  <c r="U1125" i="1"/>
  <c r="U1127" i="1"/>
  <c r="U1129" i="1"/>
  <c r="I3" i="17" s="1"/>
  <c r="U1130" i="1"/>
  <c r="I24" i="22" s="1"/>
  <c r="U1131" i="1"/>
  <c r="U1133" i="1"/>
  <c r="U1137" i="1"/>
  <c r="I25" i="20" s="1"/>
  <c r="U1148" i="1"/>
  <c r="U1151" i="1"/>
  <c r="U1162" i="1"/>
  <c r="U1163" i="1"/>
  <c r="U1164" i="1"/>
  <c r="U1165" i="1"/>
  <c r="U1126" i="1"/>
  <c r="I15" i="22" s="1"/>
  <c r="U1128" i="1"/>
  <c r="U1134" i="1"/>
  <c r="U1135" i="1"/>
  <c r="U1136" i="1"/>
  <c r="U1145" i="1"/>
  <c r="U1153" i="1"/>
  <c r="U1154" i="1"/>
  <c r="U1166" i="1"/>
  <c r="U1132" i="1"/>
  <c r="I21" i="24" s="1"/>
  <c r="U1167" i="1"/>
  <c r="I27" i="16" s="1"/>
  <c r="U1140" i="1"/>
  <c r="U1138" i="1"/>
  <c r="U1139" i="1"/>
  <c r="U1147" i="1"/>
  <c r="U1146" i="1"/>
  <c r="U1152" i="1"/>
  <c r="U1150" i="1"/>
  <c r="U1149" i="1"/>
  <c r="U1155" i="1"/>
  <c r="U1156" i="1"/>
  <c r="U1157" i="1"/>
  <c r="U1158" i="1"/>
  <c r="U1159" i="1"/>
  <c r="U1141" i="1"/>
  <c r="U1142" i="1"/>
  <c r="U1160" i="1"/>
  <c r="U1161" i="1"/>
  <c r="U1168" i="1"/>
  <c r="U1143" i="1"/>
  <c r="U1144" i="1"/>
  <c r="U1169" i="1"/>
  <c r="U981" i="1"/>
  <c r="I5" i="16" s="1"/>
  <c r="U982" i="1"/>
  <c r="U983" i="1"/>
  <c r="U984" i="1"/>
  <c r="U987" i="1"/>
  <c r="I13" i="16" s="1"/>
  <c r="U990" i="1"/>
  <c r="U995" i="1"/>
  <c r="U993" i="1"/>
  <c r="U1013" i="1"/>
  <c r="U1023" i="1"/>
  <c r="U1024" i="1"/>
  <c r="I11" i="16" s="1"/>
  <c r="U985" i="1"/>
  <c r="U986" i="1"/>
  <c r="I18" i="20" s="1"/>
  <c r="U988" i="1"/>
  <c r="U992" i="1"/>
  <c r="U1014" i="1"/>
  <c r="U1020" i="1"/>
  <c r="U1025" i="1"/>
  <c r="I16" i="20" s="1"/>
  <c r="U989" i="1"/>
  <c r="U1010" i="1"/>
  <c r="U1002" i="1"/>
  <c r="I23" i="22" s="1"/>
  <c r="U991" i="1"/>
  <c r="U994" i="1"/>
  <c r="U1003" i="1"/>
  <c r="U996" i="1"/>
  <c r="U1004" i="1"/>
  <c r="U1005" i="1"/>
  <c r="U997" i="1"/>
  <c r="U1000" i="1"/>
  <c r="U1001" i="1"/>
  <c r="U1006" i="1"/>
  <c r="U1011" i="1"/>
  <c r="U1009" i="1"/>
  <c r="U1015" i="1"/>
  <c r="U1026" i="1"/>
  <c r="U1008" i="1"/>
  <c r="U1012" i="1"/>
  <c r="U1007" i="1"/>
  <c r="U1016" i="1"/>
  <c r="U1017" i="1"/>
  <c r="U1018" i="1"/>
  <c r="U1021" i="1"/>
  <c r="U1022" i="1"/>
  <c r="U998" i="1"/>
  <c r="U999" i="1"/>
  <c r="U1019" i="1"/>
  <c r="U319" i="1"/>
  <c r="I10" i="18" s="1"/>
  <c r="U320" i="1"/>
  <c r="U321" i="1"/>
  <c r="U322" i="1"/>
  <c r="U324" i="1"/>
  <c r="U327" i="1"/>
  <c r="U329" i="1"/>
  <c r="U331" i="1"/>
  <c r="I14" i="22" s="1"/>
  <c r="U332" i="1"/>
  <c r="U328" i="1"/>
  <c r="U348" i="1"/>
  <c r="U352" i="1"/>
  <c r="U361" i="1"/>
  <c r="U323" i="1"/>
  <c r="I18" i="19" s="1"/>
  <c r="U325" i="1"/>
  <c r="U326" i="1"/>
  <c r="U330" i="1"/>
  <c r="U354" i="1"/>
  <c r="U357" i="1"/>
  <c r="U362" i="1"/>
  <c r="U363" i="1"/>
  <c r="U337" i="1"/>
  <c r="U349" i="1"/>
  <c r="U333" i="1"/>
  <c r="U339" i="1"/>
  <c r="U336" i="1"/>
  <c r="U340" i="1"/>
  <c r="U341" i="1"/>
  <c r="U342" i="1"/>
  <c r="U343" i="1"/>
  <c r="U353" i="1"/>
  <c r="U350" i="1"/>
  <c r="U356" i="1"/>
  <c r="U351" i="1"/>
  <c r="U359" i="1"/>
  <c r="U364" i="1"/>
  <c r="U365" i="1"/>
  <c r="U366" i="1"/>
  <c r="U335" i="1"/>
  <c r="U334" i="1"/>
  <c r="U347" i="1"/>
  <c r="U344" i="1"/>
  <c r="U355" i="1"/>
  <c r="U360" i="1"/>
  <c r="U345" i="1"/>
  <c r="U338" i="1"/>
  <c r="U346" i="1"/>
  <c r="U798" i="1"/>
  <c r="I25" i="17" s="1"/>
  <c r="U800" i="1"/>
  <c r="U801" i="1"/>
  <c r="U804" i="1"/>
  <c r="U807" i="1"/>
  <c r="U808" i="1"/>
  <c r="U806" i="1"/>
  <c r="I10" i="24" s="1"/>
  <c r="U825" i="1"/>
  <c r="U823" i="1"/>
  <c r="I3" i="18" s="1"/>
  <c r="U829" i="1"/>
  <c r="U835" i="1"/>
  <c r="U797" i="1"/>
  <c r="U802" i="1"/>
  <c r="U803" i="1"/>
  <c r="U805" i="1"/>
  <c r="I18" i="24" s="1"/>
  <c r="U836" i="1"/>
  <c r="U837" i="1"/>
  <c r="I16" i="24" s="1"/>
  <c r="U838" i="1"/>
  <c r="U799" i="1"/>
  <c r="U821" i="1"/>
  <c r="U813" i="1"/>
  <c r="U814" i="1"/>
  <c r="U809" i="1"/>
  <c r="U815" i="1"/>
  <c r="U816" i="1"/>
  <c r="U817" i="1"/>
  <c r="U818" i="1"/>
  <c r="U824" i="1"/>
  <c r="U826" i="1"/>
  <c r="U811" i="1"/>
  <c r="U822" i="1"/>
  <c r="U820" i="1"/>
  <c r="U830" i="1"/>
  <c r="U839" i="1"/>
  <c r="U810" i="1"/>
  <c r="U827" i="1"/>
  <c r="U812" i="1"/>
  <c r="U831" i="1"/>
  <c r="U832" i="1"/>
  <c r="U833" i="1"/>
  <c r="U834" i="1"/>
  <c r="U840" i="1"/>
  <c r="U358" i="1"/>
  <c r="U819" i="1"/>
  <c r="U828" i="1"/>
  <c r="U933" i="1"/>
  <c r="U938" i="1"/>
  <c r="U941" i="1"/>
  <c r="U634" i="1"/>
  <c r="U942" i="1"/>
  <c r="U946" i="1"/>
  <c r="U947" i="1"/>
  <c r="U950" i="1"/>
  <c r="U940" i="1"/>
  <c r="U967" i="1"/>
  <c r="U978" i="1"/>
  <c r="U937" i="1"/>
  <c r="U939" i="1"/>
  <c r="U953" i="1"/>
  <c r="U959" i="1"/>
  <c r="U952" i="1"/>
  <c r="I19" i="17" s="1"/>
  <c r="U966" i="1"/>
  <c r="U979" i="1"/>
  <c r="U935" i="1"/>
  <c r="U944" i="1"/>
  <c r="U945" i="1"/>
  <c r="U934" i="1"/>
  <c r="U936" i="1"/>
  <c r="U948" i="1"/>
  <c r="U949" i="1"/>
  <c r="U964" i="1"/>
  <c r="U968" i="1"/>
  <c r="U963" i="1"/>
  <c r="U954" i="1"/>
  <c r="U965" i="1"/>
  <c r="U955" i="1"/>
  <c r="U972" i="1"/>
  <c r="U961" i="1"/>
  <c r="U971" i="1"/>
  <c r="U962" i="1"/>
  <c r="U960" i="1"/>
  <c r="U973" i="1"/>
  <c r="U974" i="1"/>
  <c r="U975" i="1"/>
  <c r="U980" i="1"/>
  <c r="U951" i="1"/>
  <c r="U956" i="1"/>
  <c r="U969" i="1"/>
  <c r="U970" i="1"/>
  <c r="I17" i="24" s="1"/>
  <c r="U976" i="1"/>
  <c r="U957" i="1"/>
  <c r="U958" i="1"/>
  <c r="U977" i="1"/>
  <c r="U1396" i="1"/>
  <c r="U1398" i="1"/>
  <c r="U1399" i="1"/>
  <c r="U1401" i="1"/>
  <c r="U1403" i="1"/>
  <c r="U1406" i="1"/>
  <c r="U1429" i="1"/>
  <c r="U1430" i="1"/>
  <c r="U1431" i="1"/>
  <c r="U1400" i="1"/>
  <c r="U1402" i="1"/>
  <c r="U1408" i="1"/>
  <c r="U1413" i="1"/>
  <c r="U1417" i="1"/>
  <c r="U1432" i="1"/>
  <c r="U1397" i="1"/>
  <c r="I22" i="16" s="1"/>
  <c r="U1405" i="1"/>
  <c r="U1433" i="1"/>
  <c r="U1404" i="1"/>
  <c r="U1409" i="1"/>
  <c r="U1410" i="1"/>
  <c r="U1411" i="1"/>
  <c r="U1415" i="1"/>
  <c r="U1419" i="1"/>
  <c r="U1420" i="1"/>
  <c r="U1421" i="1"/>
  <c r="U1422" i="1"/>
  <c r="U1423" i="1"/>
  <c r="U1424" i="1"/>
  <c r="U1425" i="1"/>
  <c r="U1426" i="1"/>
  <c r="U1407" i="1"/>
  <c r="U1416" i="1"/>
  <c r="U1412" i="1"/>
  <c r="U1414" i="1"/>
  <c r="U1427" i="1"/>
  <c r="U1428" i="1"/>
  <c r="U1434" i="1"/>
  <c r="U1418" i="1"/>
  <c r="U367" i="1"/>
  <c r="I13" i="20" s="1"/>
  <c r="U369" i="1"/>
  <c r="I5" i="24" s="1"/>
  <c r="U370" i="1"/>
  <c r="U372" i="1"/>
  <c r="U375" i="1"/>
  <c r="U376" i="1"/>
  <c r="U377" i="1"/>
  <c r="U378" i="1"/>
  <c r="I7" i="20"/>
  <c r="U379" i="1"/>
  <c r="I23" i="17" s="1"/>
  <c r="U402" i="1"/>
  <c r="U403" i="1"/>
  <c r="U404" i="1"/>
  <c r="U405" i="1"/>
  <c r="U368" i="1"/>
  <c r="U371" i="1"/>
  <c r="U380" i="1"/>
  <c r="U374" i="1"/>
  <c r="U394" i="1"/>
  <c r="U387" i="1"/>
  <c r="U406" i="1"/>
  <c r="U407" i="1"/>
  <c r="U373" i="1"/>
  <c r="U386" i="1"/>
  <c r="U408" i="1"/>
  <c r="I17" i="18" s="1"/>
  <c r="U383" i="1"/>
  <c r="U385" i="1"/>
  <c r="U384" i="1"/>
  <c r="U382" i="1"/>
  <c r="U392" i="1"/>
  <c r="U388" i="1"/>
  <c r="U396" i="1"/>
  <c r="U398" i="1"/>
  <c r="U399" i="1"/>
  <c r="U400" i="1"/>
  <c r="U409" i="1"/>
  <c r="U410" i="1"/>
  <c r="U389" i="1"/>
  <c r="U390" i="1"/>
  <c r="U393" i="1"/>
  <c r="U395" i="1"/>
  <c r="U397" i="1"/>
  <c r="U401" i="1"/>
  <c r="U411" i="1"/>
  <c r="U412" i="1"/>
  <c r="U391" i="1"/>
  <c r="U1435" i="1"/>
  <c r="U1436" i="1"/>
  <c r="U1437" i="1"/>
  <c r="U1438" i="1"/>
  <c r="U1439" i="1"/>
  <c r="U1440" i="1"/>
  <c r="U1441" i="1"/>
  <c r="U1442" i="1"/>
  <c r="U1443" i="1"/>
  <c r="U1444" i="1"/>
  <c r="U1445" i="1"/>
  <c r="U1446" i="1"/>
  <c r="U1447" i="1"/>
  <c r="U1448" i="1"/>
  <c r="U1450" i="1"/>
  <c r="U1451" i="1"/>
  <c r="U1452" i="1"/>
  <c r="U1453" i="1"/>
  <c r="U1454" i="1"/>
  <c r="U1455" i="1"/>
  <c r="U1456" i="1"/>
  <c r="U1457" i="1"/>
  <c r="U1458" i="1"/>
  <c r="U1120" i="1"/>
  <c r="U1459" i="1"/>
  <c r="U1460" i="1"/>
  <c r="U1461" i="1"/>
  <c r="U1462" i="1"/>
  <c r="U1463" i="1"/>
  <c r="U1464" i="1"/>
  <c r="U1465" i="1"/>
  <c r="U1466" i="1"/>
  <c r="U1467" i="1"/>
  <c r="U1468" i="1"/>
  <c r="U1469" i="1"/>
  <c r="U1470" i="1"/>
  <c r="U1471" i="1"/>
  <c r="U1472" i="1"/>
  <c r="U1473" i="1"/>
  <c r="U1474" i="1"/>
  <c r="U1475" i="1"/>
  <c r="U1476" i="1"/>
  <c r="U1477" i="1"/>
  <c r="U1478" i="1"/>
  <c r="U1479" i="1"/>
  <c r="I23" i="20" l="1"/>
  <c r="I26" i="20"/>
  <c r="I22" i="20"/>
  <c r="I17" i="19"/>
  <c r="I24" i="24"/>
  <c r="I21" i="22"/>
  <c r="I4" i="22"/>
  <c r="I14" i="17"/>
  <c r="I12" i="18"/>
  <c r="I5" i="20"/>
  <c r="I13" i="21"/>
  <c r="I15" i="24"/>
  <c r="I11" i="22"/>
  <c r="I14" i="19"/>
  <c r="I17" i="20"/>
  <c r="I10" i="21"/>
  <c r="I9" i="17"/>
  <c r="I19" i="24"/>
  <c r="I5" i="21"/>
  <c r="I19" i="20"/>
  <c r="I11" i="18"/>
  <c r="I8" i="18"/>
  <c r="I16" i="17"/>
  <c r="I12" i="20"/>
  <c r="I16" i="18"/>
  <c r="I14" i="18"/>
  <c r="I7" i="17"/>
  <c r="I6" i="16"/>
  <c r="I9" i="16"/>
  <c r="I3" i="19"/>
  <c r="I18" i="21"/>
  <c r="I16" i="16"/>
  <c r="I26" i="21"/>
  <c r="I10" i="16"/>
  <c r="I23" i="18"/>
  <c r="I7" i="16"/>
  <c r="I19" i="21"/>
  <c r="I22" i="17"/>
  <c r="I16" i="19"/>
  <c r="I19" i="19"/>
  <c r="I14" i="21"/>
  <c r="I13" i="24"/>
  <c r="I4" i="21"/>
  <c r="I20" i="21"/>
  <c r="I5" i="18"/>
  <c r="I22" i="22"/>
  <c r="I3" i="20"/>
  <c r="I9" i="22"/>
  <c r="I26" i="18"/>
  <c r="I21" i="16"/>
  <c r="I14" i="16"/>
  <c r="I8" i="22"/>
  <c r="I10" i="17"/>
  <c r="I27" i="24"/>
  <c r="I11" i="21"/>
  <c r="I4" i="16"/>
  <c r="I16" i="22"/>
  <c r="I10" i="19"/>
  <c r="I20" i="18"/>
  <c r="I22" i="19"/>
  <c r="I12" i="19"/>
  <c r="I7" i="24"/>
  <c r="I6" i="21"/>
  <c r="I22" i="18"/>
  <c r="I6" i="22"/>
  <c r="I4" i="17"/>
  <c r="I6" i="20"/>
  <c r="I20" i="16"/>
  <c r="I15" i="21"/>
  <c r="I6" i="17"/>
  <c r="I19" i="16"/>
  <c r="I3" i="24"/>
  <c r="I24" i="20"/>
  <c r="I6" i="19"/>
  <c r="I22" i="21"/>
  <c r="I25" i="24"/>
  <c r="I15" i="20"/>
  <c r="I25" i="19"/>
  <c r="I25" i="18"/>
  <c r="I6" i="24"/>
  <c r="I24" i="19"/>
  <c r="I9" i="19"/>
  <c r="I18" i="17"/>
  <c r="I14" i="20"/>
  <c r="I20" i="17"/>
  <c r="I23" i="16"/>
  <c r="I3" i="21"/>
  <c r="I10" i="20"/>
  <c r="I5" i="22"/>
  <c r="I10" i="22"/>
  <c r="I8" i="20"/>
  <c r="I21" i="17"/>
  <c r="I12" i="22"/>
  <c r="I21" i="18"/>
  <c r="I17" i="17"/>
  <c r="I12" i="24"/>
  <c r="I8" i="17"/>
  <c r="I18" i="18"/>
  <c r="I26" i="16"/>
  <c r="I8" i="16"/>
  <c r="I13" i="22"/>
  <c r="I26" i="19"/>
  <c r="I20" i="19"/>
  <c r="I12" i="21"/>
  <c r="I20" i="22"/>
  <c r="I4" i="18"/>
  <c r="I24" i="21"/>
  <c r="D74" i="16"/>
  <c r="I4" i="19"/>
  <c r="I18" i="16"/>
  <c r="I12" i="16"/>
  <c r="I13" i="18"/>
  <c r="I9" i="20"/>
  <c r="I8" i="24"/>
  <c r="I8" i="21"/>
  <c r="I13" i="19"/>
  <c r="I13" i="17"/>
  <c r="I7" i="22"/>
  <c r="I4" i="24"/>
  <c r="I23" i="21"/>
  <c r="I18" i="22"/>
  <c r="I4" i="20"/>
  <c r="I9" i="21"/>
  <c r="I26" i="24"/>
  <c r="I9" i="24"/>
  <c r="I21" i="20"/>
  <c r="I23" i="24"/>
  <c r="I17" i="22"/>
  <c r="I21" i="21"/>
  <c r="I14" i="24"/>
  <c r="I11" i="24"/>
  <c r="I3" i="22"/>
  <c r="I21" i="19"/>
  <c r="I12" i="17"/>
  <c r="I11" i="19"/>
  <c r="I11" i="17"/>
  <c r="B64" i="12"/>
  <c r="C64" i="12"/>
  <c r="D64" i="12"/>
  <c r="F64" i="12"/>
  <c r="G64" i="12"/>
  <c r="B55" i="12"/>
  <c r="D55" i="12"/>
  <c r="F55" i="12"/>
  <c r="G55" i="12"/>
  <c r="B56" i="12"/>
  <c r="D56" i="12"/>
  <c r="F56" i="12"/>
  <c r="G56" i="12"/>
  <c r="B57" i="12"/>
  <c r="D57" i="12"/>
  <c r="F57" i="12"/>
  <c r="G57" i="12"/>
  <c r="B58" i="12"/>
  <c r="D58" i="12"/>
  <c r="F58" i="12"/>
  <c r="G58" i="12"/>
  <c r="B59" i="12"/>
  <c r="D59" i="12"/>
  <c r="F59" i="12"/>
  <c r="G59" i="12"/>
  <c r="B60" i="12"/>
  <c r="C60" i="12"/>
  <c r="D60" i="12"/>
  <c r="F60" i="12"/>
  <c r="G60" i="12"/>
  <c r="B61" i="12"/>
  <c r="C61" i="12"/>
  <c r="D61" i="12"/>
  <c r="F61" i="12"/>
  <c r="G61" i="12"/>
  <c r="B62" i="12"/>
  <c r="C62" i="12"/>
  <c r="D62" i="12"/>
  <c r="F62" i="12"/>
  <c r="G62" i="12"/>
  <c r="B63" i="12"/>
  <c r="C63" i="12"/>
  <c r="D63" i="12"/>
  <c r="F63" i="12"/>
  <c r="G63" i="12"/>
  <c r="B32" i="12"/>
  <c r="D32" i="12"/>
  <c r="F32" i="12"/>
  <c r="G32" i="12"/>
  <c r="H32" i="12"/>
  <c r="B33" i="12"/>
  <c r="D33" i="12"/>
  <c r="F33" i="12"/>
  <c r="G33" i="12"/>
  <c r="B34" i="12"/>
  <c r="D34" i="12"/>
  <c r="F34" i="12"/>
  <c r="G34" i="12"/>
  <c r="B35" i="12"/>
  <c r="D35" i="12"/>
  <c r="F35" i="12"/>
  <c r="G35" i="12"/>
  <c r="B36" i="12"/>
  <c r="D36" i="12"/>
  <c r="F36" i="12"/>
  <c r="G36" i="12"/>
  <c r="B37" i="12"/>
  <c r="D37" i="12"/>
  <c r="F37" i="12"/>
  <c r="G37" i="12"/>
  <c r="B38" i="12"/>
  <c r="D38" i="12"/>
  <c r="F38" i="12"/>
  <c r="G38" i="12"/>
  <c r="B39" i="12"/>
  <c r="D39" i="12"/>
  <c r="F39" i="12"/>
  <c r="G39" i="12"/>
  <c r="B40" i="12"/>
  <c r="F40" i="12"/>
  <c r="G40" i="12"/>
  <c r="B41" i="12"/>
  <c r="F41" i="12"/>
  <c r="G41" i="12"/>
  <c r="B42" i="12"/>
  <c r="F42" i="12"/>
  <c r="G42" i="12"/>
  <c r="B43" i="12"/>
  <c r="F43" i="12"/>
  <c r="G43" i="12"/>
  <c r="B44" i="12"/>
  <c r="F44" i="12"/>
  <c r="G44" i="12"/>
  <c r="B45" i="12"/>
  <c r="F45" i="12"/>
  <c r="G45" i="12"/>
  <c r="B46" i="12"/>
  <c r="F46" i="12"/>
  <c r="G46" i="12"/>
  <c r="B47" i="12"/>
  <c r="F47" i="12"/>
  <c r="G47" i="12"/>
  <c r="B48" i="12"/>
  <c r="F48" i="12"/>
  <c r="G48" i="12"/>
  <c r="B49" i="12"/>
  <c r="F49" i="12"/>
  <c r="G49" i="12"/>
  <c r="B50" i="12"/>
  <c r="F50" i="12"/>
  <c r="G50" i="12"/>
  <c r="B51" i="12"/>
  <c r="F51" i="12"/>
  <c r="G51" i="12"/>
  <c r="B52" i="12"/>
  <c r="F52" i="12"/>
  <c r="G52" i="12"/>
  <c r="B53" i="12"/>
  <c r="F53" i="12"/>
  <c r="G53" i="12"/>
  <c r="B54" i="12"/>
  <c r="D54" i="12"/>
  <c r="F54" i="12"/>
  <c r="G54" i="12"/>
  <c r="B31" i="12"/>
  <c r="C31" i="12"/>
  <c r="D31" i="12"/>
  <c r="F31" i="12"/>
  <c r="G31" i="12"/>
  <c r="H31" i="12"/>
  <c r="H30" i="12"/>
  <c r="G30" i="12"/>
  <c r="F30" i="12"/>
  <c r="D30" i="12"/>
  <c r="C30" i="12"/>
  <c r="B30" i="12"/>
  <c r="A30" i="12"/>
  <c r="A29" i="12"/>
  <c r="H29" i="12"/>
  <c r="G28" i="12"/>
  <c r="G29" i="12"/>
  <c r="F28" i="12"/>
  <c r="F29" i="12"/>
  <c r="D29" i="12"/>
  <c r="C28" i="12"/>
  <c r="C29" i="12"/>
  <c r="B28" i="12"/>
  <c r="B29" i="12"/>
  <c r="A28" i="12"/>
  <c r="G42" i="24" l="1"/>
  <c r="G43" i="24"/>
  <c r="G45" i="24"/>
  <c r="G46" i="24"/>
  <c r="G47" i="24"/>
  <c r="G41" i="17"/>
  <c r="G44" i="17"/>
  <c r="G46" i="17"/>
  <c r="G47" i="17"/>
  <c r="G49" i="17"/>
  <c r="G50" i="17"/>
  <c r="G51" i="17"/>
  <c r="G53" i="17"/>
  <c r="G54" i="17"/>
  <c r="G55" i="17"/>
  <c r="G58" i="17"/>
  <c r="G61" i="17"/>
  <c r="G62" i="17"/>
  <c r="G63" i="17"/>
  <c r="G65" i="17"/>
  <c r="G66" i="17"/>
  <c r="G67" i="17"/>
  <c r="G68" i="17"/>
  <c r="G69" i="17"/>
  <c r="G70" i="17"/>
  <c r="G71" i="17"/>
  <c r="G73" i="17"/>
  <c r="H74" i="17"/>
  <c r="I74" i="17" s="1"/>
  <c r="G40" i="19"/>
  <c r="G42" i="19"/>
  <c r="G43" i="19"/>
  <c r="G44" i="19"/>
  <c r="G47" i="19"/>
  <c r="G48" i="19"/>
  <c r="G50" i="19"/>
  <c r="G51" i="19"/>
  <c r="G52" i="19"/>
  <c r="G55" i="19"/>
  <c r="G56" i="19"/>
  <c r="G58" i="19"/>
  <c r="G59" i="19"/>
  <c r="G60" i="19"/>
  <c r="G63" i="19"/>
  <c r="G64" i="19"/>
  <c r="G66" i="19"/>
  <c r="G67" i="19"/>
  <c r="G68" i="19"/>
  <c r="G73" i="19"/>
  <c r="G40" i="22"/>
  <c r="G41" i="22"/>
  <c r="G42" i="22"/>
  <c r="G46" i="22"/>
  <c r="G48" i="22"/>
  <c r="G49" i="22"/>
  <c r="G50" i="22"/>
  <c r="G53" i="22"/>
  <c r="G54" i="22"/>
  <c r="G55" i="22"/>
  <c r="G56" i="22"/>
  <c r="G57" i="22"/>
  <c r="G58" i="22"/>
  <c r="G61" i="22"/>
  <c r="G62" i="22"/>
  <c r="G63" i="22"/>
  <c r="G64" i="22"/>
  <c r="G65" i="22"/>
  <c r="G66" i="22"/>
  <c r="G69" i="22"/>
  <c r="G70" i="22"/>
  <c r="G72" i="22"/>
  <c r="G73" i="22"/>
  <c r="G46" i="16"/>
  <c r="G47" i="16"/>
  <c r="G48" i="16"/>
  <c r="G49" i="16"/>
  <c r="G52" i="16"/>
  <c r="G53" i="16"/>
  <c r="G54" i="16"/>
  <c r="G55" i="16"/>
  <c r="G56" i="16"/>
  <c r="G57" i="16"/>
  <c r="G60" i="16"/>
  <c r="G61" i="16"/>
  <c r="G62" i="16"/>
  <c r="G63" i="16"/>
  <c r="G64" i="16"/>
  <c r="G65" i="16"/>
  <c r="G68" i="16"/>
  <c r="G69" i="16"/>
  <c r="G70" i="16"/>
  <c r="G71" i="16"/>
  <c r="G72" i="16"/>
  <c r="G73" i="16"/>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40" i="21"/>
  <c r="G41" i="21"/>
  <c r="G42" i="21"/>
  <c r="G43" i="21"/>
  <c r="G44" i="21"/>
  <c r="G45" i="21"/>
  <c r="G46" i="21"/>
  <c r="G48" i="21"/>
  <c r="G49" i="21"/>
  <c r="G50" i="21"/>
  <c r="G51" i="21"/>
  <c r="G52" i="21"/>
  <c r="G40" i="18"/>
  <c r="G41" i="18"/>
  <c r="G42" i="18"/>
  <c r="G43" i="18"/>
  <c r="G44" i="18"/>
  <c r="G48" i="18"/>
  <c r="G49" i="18"/>
  <c r="G50" i="18"/>
  <c r="G51" i="18"/>
  <c r="G52" i="18"/>
  <c r="G55" i="18"/>
  <c r="G56" i="18"/>
  <c r="G57" i="18"/>
  <c r="G58" i="18"/>
  <c r="G59" i="18"/>
  <c r="G60" i="18"/>
  <c r="G62" i="18"/>
  <c r="G63" i="18"/>
  <c r="G64" i="18"/>
  <c r="G65" i="18"/>
  <c r="G66" i="18"/>
  <c r="G67" i="18"/>
  <c r="G68" i="18"/>
  <c r="G70" i="18"/>
  <c r="G71" i="18"/>
  <c r="G72" i="18"/>
  <c r="G39" i="24"/>
  <c r="G39" i="17"/>
  <c r="G39" i="19"/>
  <c r="G39" i="22"/>
  <c r="G39" i="16"/>
  <c r="G39" i="21"/>
  <c r="G39" i="18"/>
  <c r="G69" i="18"/>
  <c r="G61" i="18"/>
  <c r="G54" i="18"/>
  <c r="G53" i="18"/>
  <c r="D74" i="17"/>
  <c r="C74" i="17"/>
  <c r="G72" i="17"/>
  <c r="G64" i="17"/>
  <c r="G60" i="17"/>
  <c r="G59" i="17"/>
  <c r="G57" i="17"/>
  <c r="G56" i="17"/>
  <c r="G72" i="19"/>
  <c r="G71" i="19"/>
  <c r="G70" i="19"/>
  <c r="G69" i="19"/>
  <c r="G65" i="19"/>
  <c r="G62" i="19"/>
  <c r="G61" i="19"/>
  <c r="G57" i="19"/>
  <c r="G54" i="19"/>
  <c r="G53" i="19"/>
  <c r="G71" i="22"/>
  <c r="G68" i="22"/>
  <c r="G67" i="22"/>
  <c r="G60" i="22"/>
  <c r="G59" i="22"/>
  <c r="G67" i="16"/>
  <c r="G66" i="16"/>
  <c r="G59" i="16"/>
  <c r="G58" i="16"/>
  <c r="G52" i="17"/>
  <c r="G48" i="17"/>
  <c r="G43" i="17"/>
  <c r="G42" i="17"/>
  <c r="G40" i="17"/>
  <c r="G49" i="19"/>
  <c r="G46" i="19"/>
  <c r="G45" i="19"/>
  <c r="G41" i="19"/>
  <c r="G52" i="22"/>
  <c r="G51" i="22"/>
  <c r="G47" i="22"/>
  <c r="G45" i="22"/>
  <c r="G44" i="22"/>
  <c r="G43" i="22"/>
  <c r="G51" i="16"/>
  <c r="G50" i="16"/>
  <c r="G45" i="16"/>
  <c r="G44" i="16"/>
  <c r="G42" i="16"/>
  <c r="G41" i="16"/>
  <c r="G40" i="16"/>
  <c r="G40" i="20"/>
  <c r="G39" i="20"/>
  <c r="G47" i="21"/>
  <c r="G48" i="24"/>
  <c r="G44" i="24"/>
  <c r="G41" i="24"/>
  <c r="G40" i="24"/>
  <c r="G45" i="18"/>
  <c r="G46" i="18"/>
  <c r="G47" i="18"/>
  <c r="I35" i="24"/>
  <c r="I35" i="17"/>
  <c r="I35" i="19"/>
  <c r="I35" i="22"/>
  <c r="I35" i="16"/>
  <c r="I35" i="20"/>
  <c r="I35" i="21"/>
  <c r="L1426" i="1"/>
  <c r="M1426" i="1"/>
  <c r="L993" i="1"/>
  <c r="M993" i="1"/>
  <c r="L1394" i="1"/>
  <c r="M1394" i="1"/>
  <c r="L37" i="1"/>
  <c r="M37" i="1"/>
  <c r="L470" i="1"/>
  <c r="M470" i="1"/>
  <c r="G39" i="29" s="1"/>
  <c r="L1049" i="1"/>
  <c r="M1049" i="1"/>
  <c r="L1249" i="1"/>
  <c r="M1249" i="1"/>
  <c r="L1300" i="1"/>
  <c r="M1300" i="1"/>
  <c r="L404" i="1"/>
  <c r="M404" i="1"/>
  <c r="L70" i="1"/>
  <c r="M70" i="1"/>
  <c r="L815" i="1"/>
  <c r="M815" i="1"/>
  <c r="L57" i="1"/>
  <c r="M57" i="1"/>
  <c r="L899" i="1"/>
  <c r="M899" i="1"/>
  <c r="L449" i="1"/>
  <c r="M449" i="1"/>
  <c r="L863" i="1"/>
  <c r="M863" i="1"/>
  <c r="L1166" i="1"/>
  <c r="M1166" i="1"/>
  <c r="L1464" i="1"/>
  <c r="M1464" i="1"/>
  <c r="H8" i="18" s="1"/>
  <c r="L266" i="1"/>
  <c r="M266" i="1"/>
  <c r="L1186" i="1"/>
  <c r="M1186" i="1"/>
  <c r="L712" i="1"/>
  <c r="M712" i="1"/>
  <c r="L214" i="1"/>
  <c r="M214" i="1"/>
  <c r="L625" i="1"/>
  <c r="M625" i="1"/>
  <c r="L1043" i="1"/>
  <c r="M1043" i="1"/>
  <c r="L1023" i="1"/>
  <c r="M1023" i="1"/>
  <c r="L702" i="1"/>
  <c r="M702" i="1"/>
  <c r="L1356" i="1"/>
  <c r="M1356" i="1"/>
  <c r="L649" i="1"/>
  <c r="M649" i="1"/>
  <c r="L1179" i="1"/>
  <c r="M1179" i="1"/>
  <c r="L492" i="1"/>
  <c r="M492" i="1"/>
  <c r="L47" i="1"/>
  <c r="M47" i="1"/>
  <c r="L738" i="1"/>
  <c r="M738" i="1"/>
  <c r="L1415" i="1"/>
  <c r="M1415" i="1"/>
  <c r="L423" i="1"/>
  <c r="M423" i="1"/>
  <c r="L672" i="1"/>
  <c r="M672" i="1"/>
  <c r="L367" i="1"/>
  <c r="M367" i="1"/>
  <c r="L602" i="1"/>
  <c r="M602" i="1"/>
  <c r="L593" i="1"/>
  <c r="M593" i="1"/>
  <c r="L516" i="1"/>
  <c r="M516" i="1"/>
  <c r="L567" i="1"/>
  <c r="M567" i="1"/>
  <c r="L419" i="1"/>
  <c r="M419" i="1"/>
  <c r="L1339" i="1"/>
  <c r="M1339" i="1"/>
  <c r="L1127" i="1"/>
  <c r="M1127" i="1"/>
  <c r="L617" i="1"/>
  <c r="M617" i="1"/>
  <c r="L1382" i="1"/>
  <c r="M1382" i="1"/>
  <c r="L1140" i="1"/>
  <c r="M1140" i="1"/>
  <c r="L61" i="1"/>
  <c r="M61" i="1"/>
  <c r="L1008" i="1"/>
  <c r="M1008" i="1"/>
  <c r="L865" i="1"/>
  <c r="M865" i="1"/>
  <c r="L101" i="1"/>
  <c r="M101" i="1"/>
  <c r="L11" i="1"/>
  <c r="M11" i="1"/>
  <c r="L729" i="1"/>
  <c r="M729" i="1"/>
  <c r="L80" i="1"/>
  <c r="M80" i="1"/>
  <c r="L1037" i="1"/>
  <c r="M1037" i="1"/>
  <c r="H40" i="24" s="1"/>
  <c r="L579" i="1"/>
  <c r="M579" i="1"/>
  <c r="L270" i="1"/>
  <c r="M270" i="1"/>
  <c r="L880" i="1"/>
  <c r="M880" i="1"/>
  <c r="L938" i="1"/>
  <c r="M938" i="1"/>
  <c r="L202" i="1"/>
  <c r="M202" i="1"/>
  <c r="L156" i="1"/>
  <c r="M156" i="1"/>
  <c r="L322" i="1"/>
  <c r="M322" i="1"/>
  <c r="L1223" i="1"/>
  <c r="M1223" i="1"/>
  <c r="L491" i="1"/>
  <c r="M491" i="1"/>
  <c r="L1245" i="1"/>
  <c r="M1245" i="1"/>
  <c r="L58" i="1"/>
  <c r="M58" i="1"/>
  <c r="L881" i="1"/>
  <c r="M881" i="1"/>
  <c r="H9" i="18" s="1"/>
  <c r="L68" i="1"/>
  <c r="M68" i="1"/>
  <c r="L371" i="1"/>
  <c r="M371" i="1"/>
  <c r="L1105" i="1"/>
  <c r="M1105" i="1"/>
  <c r="L693" i="1"/>
  <c r="M693" i="1"/>
  <c r="L1462" i="1"/>
  <c r="M1462" i="1"/>
  <c r="L1377" i="1"/>
  <c r="M1377" i="1"/>
  <c r="L42" i="1"/>
  <c r="M42" i="1"/>
  <c r="L673" i="1"/>
  <c r="M673" i="1"/>
  <c r="L563" i="1"/>
  <c r="M563" i="1"/>
  <c r="L1226" i="1"/>
  <c r="M1226" i="1"/>
  <c r="L896" i="1"/>
  <c r="M896" i="1"/>
  <c r="L43" i="1"/>
  <c r="M43" i="1"/>
  <c r="L1345" i="1"/>
  <c r="M1345" i="1"/>
  <c r="L848" i="1"/>
  <c r="M848" i="1"/>
  <c r="L645" i="1"/>
  <c r="M645" i="1"/>
  <c r="L315" i="1"/>
  <c r="M315" i="1"/>
  <c r="L689" i="1"/>
  <c r="M689" i="1"/>
  <c r="L1220" i="1"/>
  <c r="M1220" i="1"/>
  <c r="L669" i="1"/>
  <c r="M669" i="1"/>
  <c r="L84" i="1"/>
  <c r="M84" i="1"/>
  <c r="L54" i="1"/>
  <c r="M54" i="1"/>
  <c r="L1147" i="1"/>
  <c r="M1147" i="1"/>
  <c r="L1187" i="1"/>
  <c r="M1187" i="1"/>
  <c r="L573" i="1"/>
  <c r="M573" i="1"/>
  <c r="L636" i="1"/>
  <c r="M636" i="1"/>
  <c r="L1228" i="1"/>
  <c r="M1228" i="1"/>
  <c r="L1193" i="1"/>
  <c r="M1193" i="1"/>
  <c r="L903" i="1"/>
  <c r="M903" i="1"/>
  <c r="L1348" i="1"/>
  <c r="M1348" i="1"/>
  <c r="L1454" i="1"/>
  <c r="M1454" i="1"/>
  <c r="L1311" i="1"/>
  <c r="M1311" i="1"/>
  <c r="L127" i="1"/>
  <c r="M127" i="1"/>
  <c r="L1218" i="1"/>
  <c r="M1218" i="1"/>
  <c r="L839" i="1"/>
  <c r="M839" i="1"/>
  <c r="L292" i="1"/>
  <c r="M292" i="1"/>
  <c r="L692" i="1"/>
  <c r="M692" i="1"/>
  <c r="L1291" i="1"/>
  <c r="M1291" i="1"/>
  <c r="L352" i="1"/>
  <c r="M352" i="1"/>
  <c r="L186" i="1"/>
  <c r="M186" i="1"/>
  <c r="L194" i="1"/>
  <c r="M194" i="1"/>
  <c r="L35" i="1"/>
  <c r="M35" i="1"/>
  <c r="L1409" i="1"/>
  <c r="M1409" i="1"/>
  <c r="L594" i="1"/>
  <c r="M594" i="1"/>
  <c r="L284" i="1"/>
  <c r="M284" i="1"/>
  <c r="L318" i="1"/>
  <c r="M318" i="1"/>
  <c r="H4" i="22" s="1"/>
  <c r="L554" i="1"/>
  <c r="M554" i="1"/>
  <c r="L1406" i="1"/>
  <c r="M1406" i="1"/>
  <c r="L1271" i="1"/>
  <c r="M1271" i="1"/>
  <c r="G54" i="29" s="1"/>
  <c r="L1014" i="1"/>
  <c r="M1014" i="1"/>
  <c r="L468" i="1"/>
  <c r="M468" i="1"/>
  <c r="L1290" i="1"/>
  <c r="M1290" i="1"/>
  <c r="L837" i="1"/>
  <c r="M837" i="1"/>
  <c r="L829" i="1"/>
  <c r="M829" i="1"/>
  <c r="L116" i="1"/>
  <c r="M116" i="1"/>
  <c r="L1203" i="1"/>
  <c r="M1203" i="1"/>
  <c r="L500" i="1"/>
  <c r="M500" i="1"/>
  <c r="L824" i="1"/>
  <c r="M824" i="1"/>
  <c r="H18" i="18" s="1"/>
  <c r="L552" i="1"/>
  <c r="M552" i="1"/>
  <c r="H20" i="17" s="1"/>
  <c r="L777" i="1"/>
  <c r="M777" i="1"/>
  <c r="L1342" i="1"/>
  <c r="M1342" i="1"/>
  <c r="L1005" i="1"/>
  <c r="M1005" i="1"/>
  <c r="L370" i="1"/>
  <c r="M370" i="1"/>
  <c r="L282" i="1"/>
  <c r="M282" i="1"/>
  <c r="L277" i="1"/>
  <c r="M277" i="1"/>
  <c r="L1159" i="1"/>
  <c r="M1159" i="1"/>
  <c r="L334" i="1"/>
  <c r="M334" i="1"/>
  <c r="L153" i="1"/>
  <c r="M153" i="1"/>
  <c r="L791" i="1"/>
  <c r="M791" i="1"/>
  <c r="L1314" i="1"/>
  <c r="M1314" i="1"/>
  <c r="L1441" i="1"/>
  <c r="M1441" i="1"/>
  <c r="L1474" i="1"/>
  <c r="M1474" i="1"/>
  <c r="L82" i="1"/>
  <c r="M82" i="1"/>
  <c r="L807" i="1"/>
  <c r="M807" i="1"/>
  <c r="L604" i="1"/>
  <c r="M604" i="1"/>
  <c r="L1349" i="1"/>
  <c r="M1349" i="1"/>
  <c r="L1150" i="1"/>
  <c r="M1150" i="1"/>
  <c r="L1235" i="1"/>
  <c r="M1235" i="1"/>
  <c r="L1048" i="1"/>
  <c r="M1048" i="1"/>
  <c r="L1149" i="1"/>
  <c r="M1149" i="1"/>
  <c r="L1389" i="1"/>
  <c r="L587" i="1"/>
  <c r="M587" i="1"/>
  <c r="L695" i="1"/>
  <c r="M695" i="1"/>
  <c r="L420" i="1"/>
  <c r="M420" i="1"/>
  <c r="L814" i="1"/>
  <c r="M814" i="1"/>
  <c r="L775" i="1"/>
  <c r="M775" i="1"/>
  <c r="L55" i="1"/>
  <c r="M55" i="1"/>
  <c r="L1270" i="1"/>
  <c r="M1270" i="1"/>
  <c r="L489" i="1"/>
  <c r="M489" i="1"/>
  <c r="L437" i="1"/>
  <c r="M437" i="1"/>
  <c r="L1435" i="1"/>
  <c r="M1435" i="1"/>
  <c r="L830" i="1"/>
  <c r="M830" i="1"/>
  <c r="L216" i="1"/>
  <c r="M216" i="1"/>
  <c r="L236" i="1"/>
  <c r="M236" i="1"/>
  <c r="L208" i="1"/>
  <c r="M208" i="1"/>
  <c r="L575" i="1"/>
  <c r="M575" i="1"/>
  <c r="L1246" i="1"/>
  <c r="M1246" i="1"/>
  <c r="L701" i="1"/>
  <c r="M701" i="1"/>
  <c r="L160" i="1"/>
  <c r="M160" i="1"/>
  <c r="L1061" i="1"/>
  <c r="M1061" i="1"/>
  <c r="L756" i="1"/>
  <c r="M756" i="1"/>
  <c r="L1195" i="1"/>
  <c r="M1195" i="1"/>
  <c r="L518" i="1"/>
  <c r="M518" i="1"/>
  <c r="L1357" i="1"/>
  <c r="M1357" i="1"/>
  <c r="L416" i="1"/>
  <c r="M416" i="1"/>
  <c r="L696" i="1"/>
  <c r="M696" i="1"/>
  <c r="L1106" i="1"/>
  <c r="M1106" i="1"/>
  <c r="L146" i="1"/>
  <c r="M146" i="1"/>
  <c r="L1233" i="1"/>
  <c r="M1233" i="1"/>
  <c r="L599" i="1"/>
  <c r="M599" i="1"/>
  <c r="L213" i="1"/>
  <c r="M213" i="1"/>
  <c r="L868" i="1"/>
  <c r="M868" i="1"/>
  <c r="L230" i="1"/>
  <c r="M230" i="1"/>
  <c r="L154" i="1"/>
  <c r="M154" i="1"/>
  <c r="L822" i="1"/>
  <c r="M822" i="1"/>
  <c r="L455" i="1"/>
  <c r="M455" i="1"/>
  <c r="L844" i="1"/>
  <c r="M844" i="1"/>
  <c r="L40" i="1"/>
  <c r="M40" i="1"/>
  <c r="L1122" i="1"/>
  <c r="M1122" i="1"/>
  <c r="L1207" i="1"/>
  <c r="M1207" i="1"/>
  <c r="L609" i="1"/>
  <c r="M609" i="1"/>
  <c r="L515" i="1"/>
  <c r="M515" i="1"/>
  <c r="L545" i="1"/>
  <c r="M545" i="1"/>
  <c r="L1338" i="1"/>
  <c r="M1338" i="1"/>
  <c r="L1386" i="1"/>
  <c r="M1386" i="1"/>
  <c r="L753" i="1"/>
  <c r="M753" i="1"/>
  <c r="L1099" i="1"/>
  <c r="M1099" i="1"/>
  <c r="L451" i="1"/>
  <c r="M451" i="1"/>
  <c r="L74" i="1"/>
  <c r="M74" i="1"/>
  <c r="L1362" i="1"/>
  <c r="M1362" i="1"/>
  <c r="L620" i="1"/>
  <c r="M620" i="1"/>
  <c r="L506" i="1"/>
  <c r="M506" i="1"/>
  <c r="L207" i="1"/>
  <c r="M207" i="1"/>
  <c r="L935" i="1"/>
  <c r="M935" i="1"/>
  <c r="L1376" i="1"/>
  <c r="M1376" i="1"/>
  <c r="L1413" i="1"/>
  <c r="M1413" i="1"/>
  <c r="L235" i="1"/>
  <c r="M235" i="1"/>
  <c r="L400" i="1"/>
  <c r="M400" i="1"/>
  <c r="L1468" i="1"/>
  <c r="M1468" i="1"/>
  <c r="L93" i="1"/>
  <c r="M93" i="1"/>
  <c r="L1267" i="1"/>
  <c r="M1267" i="1"/>
  <c r="L240" i="1"/>
  <c r="M240" i="1"/>
  <c r="L26" i="1"/>
  <c r="M26" i="1"/>
  <c r="L901" i="1"/>
  <c r="M901" i="1"/>
  <c r="L1467" i="1"/>
  <c r="M1467" i="1"/>
  <c r="L1029" i="1"/>
  <c r="M1029" i="1"/>
  <c r="L85" i="1"/>
  <c r="M85" i="1"/>
  <c r="L950" i="1"/>
  <c r="M950" i="1"/>
  <c r="L661" i="1"/>
  <c r="M661" i="1"/>
  <c r="L30" i="1"/>
  <c r="M30" i="1"/>
  <c r="L233" i="1"/>
  <c r="M233" i="1"/>
  <c r="L10" i="1"/>
  <c r="M10" i="1"/>
  <c r="L1352" i="1"/>
  <c r="M1352" i="1"/>
  <c r="L1231" i="1"/>
  <c r="M1231" i="1"/>
  <c r="L841" i="1"/>
  <c r="M841" i="1"/>
  <c r="L864" i="1"/>
  <c r="M864" i="1"/>
  <c r="L659" i="1"/>
  <c r="M659" i="1"/>
  <c r="L212" i="1"/>
  <c r="M212" i="1"/>
  <c r="L407" i="1"/>
  <c r="M407" i="1"/>
  <c r="L1178" i="1"/>
  <c r="M1178" i="1"/>
  <c r="L1323" i="1"/>
  <c r="M1323" i="1"/>
  <c r="L375" i="1"/>
  <c r="M375" i="1"/>
  <c r="L115" i="1"/>
  <c r="M115" i="1"/>
  <c r="L1268" i="1"/>
  <c r="M1268" i="1"/>
  <c r="L184" i="1"/>
  <c r="M184" i="1"/>
  <c r="L288" i="1"/>
  <c r="M288" i="1"/>
  <c r="L790" i="1"/>
  <c r="M790" i="1"/>
  <c r="L551" i="1"/>
  <c r="M551" i="1"/>
  <c r="L481" i="1"/>
  <c r="M481" i="1"/>
  <c r="L1427" i="1"/>
  <c r="M1427" i="1"/>
  <c r="L544" i="1"/>
  <c r="M544" i="1"/>
  <c r="L104" i="1"/>
  <c r="M104" i="1"/>
  <c r="L1289" i="1"/>
  <c r="M1289" i="1"/>
  <c r="L1059" i="1"/>
  <c r="M1059" i="1"/>
  <c r="L1306" i="1"/>
  <c r="M1306" i="1"/>
  <c r="L1232" i="1"/>
  <c r="M1232" i="1"/>
  <c r="L612" i="1"/>
  <c r="M612" i="1"/>
  <c r="L79" i="1"/>
  <c r="M79" i="1"/>
  <c r="L278" i="1"/>
  <c r="M278" i="1"/>
  <c r="L1044" i="1"/>
  <c r="M1044" i="1"/>
  <c r="L561" i="1"/>
  <c r="M561" i="1"/>
  <c r="L529" i="1"/>
  <c r="M529" i="1"/>
  <c r="L1432" i="1"/>
  <c r="M1432" i="1"/>
  <c r="L234" i="1"/>
  <c r="M234" i="1"/>
  <c r="L1296" i="1"/>
  <c r="M1296" i="1"/>
  <c r="L828" i="1"/>
  <c r="M828" i="1"/>
  <c r="L386" i="1"/>
  <c r="M386" i="1"/>
  <c r="L541" i="1"/>
  <c r="M541" i="1"/>
  <c r="L477" i="1"/>
  <c r="M477" i="1"/>
  <c r="L1284" i="1"/>
  <c r="M1284" i="1"/>
  <c r="L582" i="1"/>
  <c r="M582" i="1"/>
  <c r="L1065" i="1"/>
  <c r="M1065" i="1"/>
  <c r="L875" i="1"/>
  <c r="M875" i="1"/>
  <c r="L193" i="1"/>
  <c r="M193" i="1"/>
  <c r="L748" i="1"/>
  <c r="M748" i="1"/>
  <c r="L1417" i="1"/>
  <c r="M1417" i="1"/>
  <c r="L788" i="1"/>
  <c r="M788" i="1"/>
  <c r="L1066" i="1"/>
  <c r="M1066" i="1"/>
  <c r="L1067" i="1"/>
  <c r="M1067" i="1"/>
  <c r="L1153" i="1"/>
  <c r="M1153" i="1"/>
  <c r="L1068" i="1"/>
  <c r="M1068" i="1"/>
  <c r="L1466" i="1"/>
  <c r="M1466" i="1"/>
  <c r="L588" i="1"/>
  <c r="M588" i="1"/>
  <c r="L1281" i="1"/>
  <c r="M1281" i="1"/>
  <c r="L1082" i="1"/>
  <c r="M1082" i="1"/>
  <c r="L592" i="1"/>
  <c r="M592" i="1"/>
  <c r="L130" i="1"/>
  <c r="M130" i="1"/>
  <c r="L977" i="1"/>
  <c r="M977" i="1"/>
  <c r="L1164" i="1"/>
  <c r="M1164" i="1"/>
  <c r="L951" i="1"/>
  <c r="M951" i="1"/>
  <c r="L717" i="1"/>
  <c r="M717" i="1"/>
  <c r="L654" i="1"/>
  <c r="M654" i="1"/>
  <c r="L263" i="1"/>
  <c r="M263" i="1"/>
  <c r="L1028" i="1"/>
  <c r="M1028" i="1"/>
  <c r="L706" i="1"/>
  <c r="M706" i="1"/>
  <c r="L414" i="1"/>
  <c r="M414" i="1"/>
  <c r="L1251" i="1"/>
  <c r="M1251" i="1"/>
  <c r="L340" i="1"/>
  <c r="M340" i="1"/>
  <c r="L968" i="1"/>
  <c r="M968" i="1"/>
  <c r="L540" i="1"/>
  <c r="M540" i="1"/>
  <c r="L724" i="1"/>
  <c r="M724" i="1"/>
  <c r="L767" i="1"/>
  <c r="M767" i="1"/>
  <c r="L483" i="1"/>
  <c r="M483" i="1"/>
  <c r="L327" i="1"/>
  <c r="M327" i="1"/>
  <c r="L639" i="1"/>
  <c r="M639" i="1"/>
  <c r="L949" i="1"/>
  <c r="M949" i="1"/>
  <c r="L624" i="1"/>
  <c r="M624" i="1"/>
  <c r="L175" i="1"/>
  <c r="M175" i="1"/>
  <c r="L826" i="1"/>
  <c r="M826" i="1"/>
  <c r="L405" i="1"/>
  <c r="M405" i="1"/>
  <c r="L917" i="1"/>
  <c r="M917" i="1"/>
  <c r="L1063" i="1"/>
  <c r="M1063" i="1"/>
  <c r="L640" i="1"/>
  <c r="M640" i="1"/>
  <c r="L1250" i="1"/>
  <c r="M1250" i="1"/>
  <c r="L369" i="1"/>
  <c r="M369" i="1"/>
  <c r="L627" i="1"/>
  <c r="M627" i="1"/>
  <c r="L859" i="1"/>
  <c r="M859" i="1"/>
  <c r="L1381" i="1"/>
  <c r="M1381" i="1"/>
  <c r="L819" i="1"/>
  <c r="M819" i="1"/>
  <c r="L1213" i="1"/>
  <c r="M1213" i="1"/>
  <c r="L1477" i="1"/>
  <c r="M1477" i="1"/>
  <c r="L1449" i="1"/>
  <c r="M1449" i="1"/>
  <c r="L165" i="1"/>
  <c r="M165" i="1"/>
  <c r="L1045" i="1"/>
  <c r="M1045" i="1"/>
  <c r="L601" i="1"/>
  <c r="M601" i="1"/>
  <c r="L69" i="1"/>
  <c r="M69" i="1"/>
  <c r="G45" i="29" s="1"/>
  <c r="L1418" i="1"/>
  <c r="M1418" i="1"/>
  <c r="L137" i="1"/>
  <c r="M137" i="1"/>
  <c r="L1204" i="1"/>
  <c r="M1204" i="1"/>
  <c r="L429" i="1"/>
  <c r="M429" i="1"/>
  <c r="L379" i="1"/>
  <c r="M379" i="1"/>
  <c r="L381" i="1"/>
  <c r="M381" i="1"/>
  <c r="L889" i="1"/>
  <c r="M889" i="1"/>
  <c r="L348" i="1"/>
  <c r="M348" i="1"/>
  <c r="L1002" i="1"/>
  <c r="M1002" i="1"/>
  <c r="L564" i="1"/>
  <c r="M564" i="1"/>
  <c r="L23" i="1"/>
  <c r="M23" i="1"/>
  <c r="L1372" i="1"/>
  <c r="M1372" i="1"/>
  <c r="L736" i="1"/>
  <c r="M736" i="1"/>
  <c r="L1096" i="1"/>
  <c r="M1096" i="1"/>
  <c r="L1201" i="1"/>
  <c r="M1201" i="1"/>
  <c r="L108" i="1"/>
  <c r="M108" i="1"/>
  <c r="L357" i="1"/>
  <c r="M357" i="1"/>
  <c r="L782" i="1"/>
  <c r="M782" i="1"/>
  <c r="L1084" i="1"/>
  <c r="M1084" i="1"/>
  <c r="L283" i="1"/>
  <c r="M283" i="1"/>
  <c r="L254" i="1"/>
  <c r="M254" i="1"/>
  <c r="L1085" i="1"/>
  <c r="M1085" i="1"/>
  <c r="L393" i="1"/>
  <c r="M393" i="1"/>
  <c r="L432" i="1"/>
  <c r="M432" i="1"/>
  <c r="L931" i="1"/>
  <c r="M931" i="1"/>
  <c r="L1408" i="1"/>
  <c r="M1408" i="1"/>
  <c r="L970" i="1"/>
  <c r="M970" i="1"/>
  <c r="L578" i="1"/>
  <c r="M578" i="1"/>
  <c r="L622" i="1"/>
  <c r="M622" i="1"/>
  <c r="L1478" i="1"/>
  <c r="M1478" i="1"/>
  <c r="G40" i="29" s="1"/>
  <c r="L1034" i="1"/>
  <c r="M1034" i="1"/>
  <c r="L102" i="1"/>
  <c r="M102" i="1"/>
  <c r="H48" i="24" s="1"/>
  <c r="L484" i="1"/>
  <c r="M484" i="1"/>
  <c r="L493" i="1"/>
  <c r="M493" i="1"/>
  <c r="L1032" i="1"/>
  <c r="M1032" i="1"/>
  <c r="L1142" i="1"/>
  <c r="M1142" i="1"/>
  <c r="L1410" i="1"/>
  <c r="M1410" i="1"/>
  <c r="L121" i="1"/>
  <c r="M121" i="1"/>
  <c r="L1069" i="1"/>
  <c r="M1069" i="1"/>
  <c r="L1051" i="1"/>
  <c r="M1051" i="1"/>
  <c r="L800" i="1"/>
  <c r="M800" i="1"/>
  <c r="L1469" i="1"/>
  <c r="M1469" i="1"/>
  <c r="L151" i="1"/>
  <c r="M151" i="1"/>
  <c r="L769" i="1"/>
  <c r="M769" i="1"/>
  <c r="L1160" i="1"/>
  <c r="M1160" i="1"/>
  <c r="L1332" i="1"/>
  <c r="M1332" i="1"/>
  <c r="L1152" i="1"/>
  <c r="M1152" i="1"/>
  <c r="L1380" i="1"/>
  <c r="M1380" i="1"/>
  <c r="L1033" i="1"/>
  <c r="M1033" i="1"/>
  <c r="L425" i="1"/>
  <c r="M425" i="1"/>
  <c r="L1162" i="1"/>
  <c r="M1162" i="1"/>
  <c r="G52" i="29" s="1"/>
  <c r="L223" i="1"/>
  <c r="M223" i="1"/>
  <c r="L534" i="1"/>
  <c r="M534" i="1"/>
  <c r="H15" i="16" s="1"/>
  <c r="L1334" i="1"/>
  <c r="M1334" i="1"/>
  <c r="L1111" i="1"/>
  <c r="M1111" i="1"/>
  <c r="L86" i="1"/>
  <c r="M86" i="1"/>
  <c r="L339" i="1"/>
  <c r="M339" i="1"/>
  <c r="L629" i="1"/>
  <c r="M629" i="1"/>
  <c r="L686" i="1"/>
  <c r="M686" i="1"/>
  <c r="L1175" i="1"/>
  <c r="M1175" i="1"/>
  <c r="L1077" i="1"/>
  <c r="M1077" i="1"/>
  <c r="L1343" i="1"/>
  <c r="M1343" i="1"/>
  <c r="L1130" i="1"/>
  <c r="M1130" i="1"/>
  <c r="L827" i="1"/>
  <c r="M827" i="1"/>
  <c r="L176" i="1"/>
  <c r="M176" i="1"/>
  <c r="L1181" i="1"/>
  <c r="M1181" i="1"/>
  <c r="L585" i="1"/>
  <c r="M585" i="1"/>
  <c r="H45" i="19" s="1"/>
  <c r="L690" i="1"/>
  <c r="M690" i="1"/>
  <c r="L1155" i="1"/>
  <c r="M1155" i="1"/>
  <c r="L228" i="1"/>
  <c r="M228" i="1"/>
  <c r="L361" i="1"/>
  <c r="M361" i="1"/>
  <c r="L568" i="1"/>
  <c r="M568" i="1"/>
  <c r="L1083" i="1"/>
  <c r="M1083" i="1"/>
  <c r="L953" i="1"/>
  <c r="M953" i="1"/>
  <c r="L295" i="1"/>
  <c r="M295" i="1"/>
  <c r="L139" i="1"/>
  <c r="M139" i="1"/>
  <c r="L967" i="1"/>
  <c r="M967" i="1"/>
  <c r="L1202" i="1"/>
  <c r="M1202" i="1"/>
  <c r="L289" i="1"/>
  <c r="M289" i="1"/>
  <c r="L1475" i="1"/>
  <c r="M1475" i="1"/>
  <c r="L126" i="1"/>
  <c r="M126" i="1"/>
  <c r="L28" i="1"/>
  <c r="M28" i="1"/>
  <c r="L909" i="1"/>
  <c r="M909" i="1"/>
  <c r="L905" i="1"/>
  <c r="M905" i="1"/>
  <c r="L740" i="1"/>
  <c r="M740" i="1"/>
  <c r="L197" i="1"/>
  <c r="M197" i="1"/>
  <c r="L907" i="1"/>
  <c r="M907" i="1"/>
  <c r="L192" i="1"/>
  <c r="M192" i="1"/>
  <c r="L293" i="1"/>
  <c r="M293" i="1"/>
  <c r="L1416" i="1"/>
  <c r="M1416" i="1"/>
  <c r="L685" i="1"/>
  <c r="M685" i="1"/>
  <c r="L125" i="1"/>
  <c r="M125" i="1"/>
  <c r="L363" i="1"/>
  <c r="M363" i="1"/>
  <c r="L834" i="1"/>
  <c r="M834" i="1"/>
  <c r="L373" i="1"/>
  <c r="M373" i="1"/>
  <c r="L98" i="1"/>
  <c r="M98" i="1"/>
  <c r="L768" i="1"/>
  <c r="M768" i="1"/>
  <c r="L1236" i="1"/>
  <c r="M1236" i="1"/>
  <c r="L1353" i="1"/>
  <c r="M1353" i="1"/>
  <c r="L157" i="1"/>
  <c r="M157" i="1"/>
  <c r="L159" i="1"/>
  <c r="M159" i="1"/>
  <c r="L505" i="1"/>
  <c r="M505" i="1"/>
  <c r="L1280" i="1"/>
  <c r="M1280" i="1"/>
  <c r="L1117" i="1"/>
  <c r="M1117" i="1"/>
  <c r="L401" i="1"/>
  <c r="M401" i="1"/>
  <c r="L20" i="1"/>
  <c r="M20" i="1"/>
  <c r="L548" i="1"/>
  <c r="M548" i="1"/>
  <c r="L1422" i="1"/>
  <c r="M1422" i="1"/>
  <c r="L48" i="1"/>
  <c r="M48" i="1"/>
  <c r="L323" i="1"/>
  <c r="M323" i="1"/>
  <c r="L847" i="1"/>
  <c r="M847" i="1"/>
  <c r="L1078" i="1"/>
  <c r="M1078" i="1"/>
  <c r="L15" i="1"/>
  <c r="M15" i="1"/>
  <c r="L773" i="1"/>
  <c r="M773" i="1"/>
  <c r="L148" i="1"/>
  <c r="M148" i="1"/>
  <c r="L8" i="1"/>
  <c r="M8" i="1"/>
  <c r="L1143" i="1"/>
  <c r="M1143" i="1"/>
  <c r="L526" i="1"/>
  <c r="M526" i="1"/>
  <c r="L810" i="1"/>
  <c r="M810" i="1"/>
  <c r="L874" i="1"/>
  <c r="M874" i="1"/>
  <c r="L224" i="1"/>
  <c r="M224" i="1"/>
  <c r="L823" i="1"/>
  <c r="M823" i="1"/>
  <c r="L53" i="1"/>
  <c r="M53" i="1"/>
  <c r="L537" i="1"/>
  <c r="M537" i="1"/>
  <c r="L431" i="1"/>
  <c r="M431" i="1"/>
  <c r="L1199" i="1"/>
  <c r="M1199" i="1"/>
  <c r="L728" i="1"/>
  <c r="M728" i="1"/>
  <c r="L273" i="1"/>
  <c r="M273" i="1"/>
  <c r="L1264" i="1"/>
  <c r="M1264" i="1"/>
  <c r="L1116" i="1"/>
  <c r="M1116" i="1"/>
  <c r="L311" i="1"/>
  <c r="M311" i="1"/>
  <c r="L1319" i="1"/>
  <c r="M1319" i="1"/>
  <c r="L994" i="1"/>
  <c r="M994" i="1"/>
  <c r="L1126" i="1"/>
  <c r="M1126" i="1"/>
  <c r="L100" i="1"/>
  <c r="M100" i="1"/>
  <c r="L106" i="1"/>
  <c r="M106" i="1"/>
  <c r="L312" i="1"/>
  <c r="M312" i="1"/>
  <c r="L4" i="1"/>
  <c r="M4" i="1"/>
  <c r="L138" i="1"/>
  <c r="M138" i="1"/>
  <c r="L684" i="1"/>
  <c r="M684" i="1"/>
  <c r="L450" i="1"/>
  <c r="M450" i="1"/>
  <c r="L523" i="1"/>
  <c r="M523" i="1"/>
  <c r="L1125" i="1"/>
  <c r="M1125" i="1"/>
  <c r="L128" i="1"/>
  <c r="M128" i="1"/>
  <c r="H50" i="19" s="1"/>
  <c r="L614" i="1"/>
  <c r="M614" i="1"/>
  <c r="L461" i="1"/>
  <c r="M461" i="1"/>
  <c r="L347" i="1"/>
  <c r="M347" i="1"/>
  <c r="L992" i="1"/>
  <c r="M992" i="1"/>
  <c r="L522" i="1"/>
  <c r="M522" i="1"/>
  <c r="L574" i="1"/>
  <c r="M574" i="1"/>
  <c r="L46" i="1"/>
  <c r="M46" i="1"/>
  <c r="L304" i="1"/>
  <c r="M304" i="1"/>
  <c r="L879" i="1"/>
  <c r="M879" i="1"/>
  <c r="L1134" i="1"/>
  <c r="M1134" i="1"/>
  <c r="L346" i="1"/>
  <c r="M346" i="1"/>
  <c r="L1265" i="1"/>
  <c r="M1265" i="1"/>
  <c r="L1288" i="1"/>
  <c r="M1288" i="1"/>
  <c r="L1163" i="1"/>
  <c r="M1163" i="1"/>
  <c r="L1459" i="1"/>
  <c r="M1459" i="1"/>
  <c r="L615" i="1"/>
  <c r="M615" i="1"/>
  <c r="L294" i="1"/>
  <c r="M294" i="1"/>
  <c r="L1366" i="1"/>
  <c r="M1366" i="1"/>
  <c r="L862" i="1"/>
  <c r="M862" i="1"/>
  <c r="L1042" i="1"/>
  <c r="M1042" i="1"/>
  <c r="L29" i="1"/>
  <c r="M29" i="1"/>
  <c r="L916" i="1"/>
  <c r="M916" i="1"/>
  <c r="G50" i="29" s="1"/>
  <c r="L906" i="1"/>
  <c r="M906" i="1"/>
  <c r="L667" i="1"/>
  <c r="M667" i="1"/>
  <c r="L720" i="1"/>
  <c r="M720" i="1"/>
  <c r="G51" i="29" s="1"/>
  <c r="L387" i="1"/>
  <c r="M387" i="1"/>
  <c r="L849" i="1"/>
  <c r="M849" i="1"/>
  <c r="L83" i="1"/>
  <c r="M83" i="1"/>
  <c r="L140" i="1"/>
  <c r="M140" i="1"/>
  <c r="L301" i="1"/>
  <c r="M301" i="1"/>
  <c r="L820" i="1"/>
  <c r="M820" i="1"/>
  <c r="L356" i="1"/>
  <c r="M356" i="1"/>
  <c r="L44" i="1"/>
  <c r="M44" i="1"/>
  <c r="L141" i="1"/>
  <c r="M141" i="1"/>
  <c r="L530" i="1"/>
  <c r="M530" i="1"/>
  <c r="L1456" i="1"/>
  <c r="M1456" i="1"/>
  <c r="L975" i="1"/>
  <c r="M975" i="1"/>
  <c r="L660" i="1"/>
  <c r="M660" i="1"/>
  <c r="L990" i="1"/>
  <c r="M990" i="1"/>
  <c r="L145" i="1"/>
  <c r="M145" i="1"/>
  <c r="L1391" i="1"/>
  <c r="M1391" i="1"/>
  <c r="L794" i="1"/>
  <c r="M794" i="1"/>
  <c r="L1110" i="1"/>
  <c r="M1110" i="1"/>
  <c r="L305" i="1"/>
  <c r="M305" i="1"/>
  <c r="L876" i="1"/>
  <c r="M876" i="1"/>
  <c r="L1379" i="1"/>
  <c r="M1379" i="1"/>
  <c r="L798" i="1"/>
  <c r="M798" i="1"/>
  <c r="L884" i="1"/>
  <c r="M884" i="1"/>
  <c r="L618" i="1"/>
  <c r="M618" i="1"/>
  <c r="L443" i="1"/>
  <c r="M443" i="1"/>
  <c r="H45" i="20" s="1"/>
  <c r="L565" i="1"/>
  <c r="M565" i="1"/>
  <c r="L1224" i="1"/>
  <c r="M1224" i="1"/>
  <c r="L99" i="1"/>
  <c r="M99" i="1"/>
  <c r="L1120" i="1"/>
  <c r="M1120" i="1"/>
  <c r="L508" i="1"/>
  <c r="M508" i="1"/>
  <c r="L1136" i="1"/>
  <c r="M1136" i="1"/>
  <c r="L1253" i="1"/>
  <c r="M1253" i="1"/>
  <c r="L719" i="1"/>
  <c r="M719" i="1"/>
  <c r="L1108" i="1"/>
  <c r="M1108" i="1"/>
  <c r="L59" i="1"/>
  <c r="M59" i="1"/>
  <c r="L918" i="1"/>
  <c r="M918" i="1"/>
  <c r="L1211" i="1"/>
  <c r="M1211" i="1"/>
  <c r="L966" i="1"/>
  <c r="M966" i="1"/>
  <c r="L107" i="1"/>
  <c r="M107" i="1"/>
  <c r="L1333" i="1"/>
  <c r="M1333" i="1"/>
  <c r="L860" i="1"/>
  <c r="M860" i="1"/>
  <c r="L171" i="1"/>
  <c r="M171" i="1"/>
  <c r="L555" i="1"/>
  <c r="M555" i="1"/>
  <c r="L34" i="1"/>
  <c r="M34" i="1"/>
  <c r="L331" i="1"/>
  <c r="M331" i="1"/>
  <c r="L1167" i="1"/>
  <c r="M1167" i="1"/>
  <c r="L770" i="1"/>
  <c r="M770" i="1"/>
  <c r="L391" i="1"/>
  <c r="M391" i="1"/>
  <c r="L559" i="1"/>
  <c r="M559" i="1"/>
  <c r="L924" i="1"/>
  <c r="M924" i="1"/>
  <c r="L67" i="1"/>
  <c r="M67" i="1"/>
  <c r="L1115" i="1"/>
  <c r="M1115" i="1"/>
  <c r="L1375" i="1"/>
  <c r="M1375" i="1"/>
  <c r="L1100" i="1"/>
  <c r="M1100" i="1"/>
  <c r="L1423" i="1"/>
  <c r="M1423" i="1"/>
  <c r="L1062" i="1"/>
  <c r="M1062" i="1"/>
  <c r="L1313" i="1"/>
  <c r="M1313" i="1"/>
  <c r="L1350" i="1"/>
  <c r="M1350" i="1"/>
  <c r="L13" i="1"/>
  <c r="M13" i="1"/>
  <c r="L1219" i="1"/>
  <c r="M1219" i="1"/>
  <c r="L1094" i="1"/>
  <c r="M1094" i="1"/>
  <c r="L1054" i="1"/>
  <c r="M1054" i="1"/>
  <c r="L735" i="1"/>
  <c r="M735" i="1"/>
  <c r="L683" i="1"/>
  <c r="M683" i="1"/>
  <c r="L910" i="1"/>
  <c r="M910" i="1"/>
  <c r="L78" i="1"/>
  <c r="M78" i="1"/>
  <c r="L303" i="1"/>
  <c r="M303" i="1"/>
  <c r="L1373" i="1"/>
  <c r="M1373" i="1"/>
  <c r="L1097" i="1"/>
  <c r="M1097" i="1"/>
  <c r="L135" i="1"/>
  <c r="M135" i="1"/>
  <c r="L488" i="1"/>
  <c r="M488" i="1"/>
  <c r="L1294" i="1"/>
  <c r="M1294" i="1"/>
  <c r="L1176" i="1"/>
  <c r="M1176" i="1"/>
  <c r="L531" i="1"/>
  <c r="M531" i="1"/>
  <c r="L586" i="1"/>
  <c r="M586" i="1"/>
  <c r="L646" i="1"/>
  <c r="M646" i="1"/>
  <c r="L285" i="1"/>
  <c r="M285" i="1"/>
  <c r="L1229" i="1"/>
  <c r="M1229" i="1"/>
  <c r="L988" i="1"/>
  <c r="M988" i="1"/>
  <c r="L662" i="1"/>
  <c r="M662" i="1"/>
  <c r="L1257" i="1"/>
  <c r="M1257" i="1"/>
  <c r="L280" i="1"/>
  <c r="M280" i="1"/>
  <c r="L1024" i="1"/>
  <c r="M1024" i="1"/>
  <c r="L1222" i="1"/>
  <c r="M1222" i="1"/>
  <c r="L394" i="1"/>
  <c r="M394" i="1"/>
  <c r="L657" i="1"/>
  <c r="M657" i="1"/>
  <c r="L1403" i="1"/>
  <c r="M1403" i="1"/>
  <c r="L1255" i="1"/>
  <c r="M1255" i="1"/>
  <c r="L378" i="1"/>
  <c r="M378" i="1"/>
  <c r="L406" i="1"/>
  <c r="M406" i="1"/>
  <c r="L1103" i="1"/>
  <c r="M1103" i="1"/>
  <c r="L932" i="1"/>
  <c r="M932" i="1"/>
  <c r="L504" i="1"/>
  <c r="M504" i="1"/>
  <c r="L572" i="1"/>
  <c r="M572" i="1"/>
  <c r="L124" i="1"/>
  <c r="M124" i="1"/>
  <c r="L816" i="1"/>
  <c r="M816" i="1"/>
  <c r="L603" i="1"/>
  <c r="M603" i="1"/>
  <c r="L1183" i="1"/>
  <c r="M1183" i="1"/>
  <c r="L1287" i="1"/>
  <c r="M1287" i="1"/>
  <c r="L1259" i="1"/>
  <c r="M1259" i="1"/>
  <c r="L376" i="1"/>
  <c r="M376" i="1"/>
  <c r="L1058" i="1"/>
  <c r="M1058" i="1"/>
  <c r="L475" i="1"/>
  <c r="M475" i="1"/>
  <c r="L1315" i="1"/>
  <c r="M1315" i="1"/>
  <c r="L699" i="1"/>
  <c r="M699" i="1"/>
  <c r="L774" i="1"/>
  <c r="M774" i="1"/>
  <c r="L793" i="1"/>
  <c r="M793" i="1"/>
  <c r="L885" i="1"/>
  <c r="M885" i="1"/>
  <c r="L433" i="1"/>
  <c r="M433" i="1"/>
  <c r="L700" i="1"/>
  <c r="M700" i="1"/>
  <c r="L746" i="1"/>
  <c r="M746" i="1"/>
  <c r="L1087" i="1"/>
  <c r="M1087" i="1"/>
  <c r="L1215" i="1"/>
  <c r="M1215" i="1"/>
  <c r="L161" i="1"/>
  <c r="M161" i="1"/>
  <c r="L923" i="1"/>
  <c r="M923" i="1"/>
  <c r="L652" i="1"/>
  <c r="M652" i="1"/>
  <c r="L784" i="1"/>
  <c r="M784" i="1"/>
  <c r="L1092" i="1"/>
  <c r="M1092" i="1"/>
  <c r="H40" i="19" s="1"/>
  <c r="L251" i="1"/>
  <c r="M251" i="1"/>
  <c r="L77" i="1"/>
  <c r="M77" i="1"/>
  <c r="L335" i="1"/>
  <c r="M335" i="1"/>
  <c r="L1411" i="1"/>
  <c r="M1411" i="1"/>
  <c r="L180" i="1"/>
  <c r="M180" i="1"/>
  <c r="L310" i="1"/>
  <c r="M310" i="1"/>
  <c r="M152" i="1"/>
  <c r="L1198" i="1"/>
  <c r="M1198" i="1"/>
  <c r="L163" i="1"/>
  <c r="M163" i="1"/>
  <c r="L802" i="1"/>
  <c r="M802" i="1"/>
  <c r="L981" i="1"/>
  <c r="M981" i="1"/>
  <c r="L1283" i="1"/>
  <c r="M1283" i="1"/>
  <c r="L843" i="1"/>
  <c r="M843" i="1"/>
  <c r="L1402" i="1"/>
  <c r="M1402" i="1"/>
  <c r="L761" i="1"/>
  <c r="M761" i="1"/>
  <c r="L1344" i="1"/>
  <c r="M1344" i="1"/>
  <c r="L1256" i="1"/>
  <c r="M1256" i="1"/>
  <c r="L878" i="1"/>
  <c r="M878" i="1"/>
  <c r="L1325" i="1"/>
  <c r="M1325" i="1"/>
  <c r="L872" i="1"/>
  <c r="M872" i="1"/>
  <c r="L465" i="1"/>
  <c r="M465" i="1"/>
  <c r="L397" i="1"/>
  <c r="M397" i="1"/>
  <c r="H8" i="22" s="1"/>
  <c r="L499" i="1"/>
  <c r="M499" i="1"/>
  <c r="L965" i="1"/>
  <c r="M965" i="1"/>
  <c r="G47" i="29" s="1"/>
  <c r="L836" i="1"/>
  <c r="M836" i="1"/>
  <c r="L1040" i="1"/>
  <c r="M1040" i="1"/>
  <c r="L1328" i="1"/>
  <c r="M1328" i="1"/>
  <c r="L742" i="1"/>
  <c r="M742" i="1"/>
  <c r="L671" i="1"/>
  <c r="M671" i="1"/>
  <c r="L382" i="1"/>
  <c r="M382" i="1"/>
  <c r="L721" i="1"/>
  <c r="M721" i="1"/>
  <c r="L459" i="1"/>
  <c r="M459" i="1"/>
  <c r="L852" i="1"/>
  <c r="M852" i="1"/>
  <c r="L1425" i="1"/>
  <c r="M1425" i="1"/>
  <c r="L50" i="1"/>
  <c r="M50" i="1"/>
  <c r="L1151" i="1"/>
  <c r="M1151" i="1"/>
  <c r="H16" i="21" s="1"/>
  <c r="L1003" i="1"/>
  <c r="M1003" i="1"/>
  <c r="L533" i="1"/>
  <c r="M533" i="1"/>
  <c r="L1261" i="1"/>
  <c r="M1261" i="1"/>
  <c r="L88" i="1"/>
  <c r="M88" i="1"/>
  <c r="L297" i="1"/>
  <c r="M297" i="1"/>
  <c r="L655" i="1"/>
  <c r="M655" i="1"/>
  <c r="L445" i="1"/>
  <c r="M445" i="1"/>
  <c r="L1451" i="1"/>
  <c r="M1451" i="1"/>
  <c r="L959" i="1"/>
  <c r="M959" i="1"/>
  <c r="L1135" i="1"/>
  <c r="M1135" i="1"/>
  <c r="L244" i="1"/>
  <c r="M244" i="1"/>
  <c r="L616" i="1"/>
  <c r="M616" i="1"/>
  <c r="L1262" i="1"/>
  <c r="M1262" i="1"/>
  <c r="L705" i="1"/>
  <c r="M705" i="1"/>
  <c r="L76" i="1"/>
  <c r="M76" i="1"/>
  <c r="L1095" i="1"/>
  <c r="M1095" i="1"/>
  <c r="L892" i="1"/>
  <c r="M892" i="1"/>
  <c r="L947" i="1"/>
  <c r="M947" i="1"/>
  <c r="L538" i="1"/>
  <c r="M538" i="1"/>
  <c r="L610" i="1"/>
  <c r="M610" i="1"/>
  <c r="L962" i="1"/>
  <c r="M962" i="1"/>
  <c r="L1383" i="1"/>
  <c r="M1383" i="1"/>
  <c r="L177" i="1"/>
  <c r="M177" i="1"/>
  <c r="L384" i="1"/>
  <c r="M384" i="1"/>
  <c r="L817" i="1"/>
  <c r="M817" i="1"/>
  <c r="L1027" i="1"/>
  <c r="M1027" i="1"/>
  <c r="L911" i="1"/>
  <c r="M911" i="1"/>
  <c r="L1439" i="1"/>
  <c r="M1439" i="1"/>
  <c r="L1180" i="1"/>
  <c r="M1180" i="1"/>
  <c r="L641" i="1"/>
  <c r="M641" i="1"/>
  <c r="L600" i="1"/>
  <c r="M600" i="1"/>
  <c r="L799" i="1"/>
  <c r="M799" i="1"/>
  <c r="L72" i="1"/>
  <c r="M72" i="1"/>
  <c r="L1252" i="1"/>
  <c r="M1252" i="1"/>
  <c r="L766" i="1"/>
  <c r="M766" i="1"/>
  <c r="L248" i="1"/>
  <c r="M248" i="1"/>
  <c r="L408" i="1"/>
  <c r="M408" i="1"/>
  <c r="L18" i="1"/>
  <c r="M18" i="1"/>
  <c r="L1056" i="1"/>
  <c r="M1056" i="1"/>
  <c r="L1208" i="1"/>
  <c r="M1208" i="1"/>
  <c r="L265" i="1"/>
  <c r="M265" i="1"/>
  <c r="L946" i="1"/>
  <c r="M946" i="1"/>
  <c r="L417" i="1"/>
  <c r="M417" i="1"/>
  <c r="L926" i="1"/>
  <c r="M926" i="1"/>
  <c r="L150" i="1"/>
  <c r="M150" i="1"/>
  <c r="L123" i="1"/>
  <c r="M123" i="1"/>
  <c r="L16" i="1"/>
  <c r="M16" i="1"/>
  <c r="L1368" i="1"/>
  <c r="M1368" i="1"/>
  <c r="L597" i="1"/>
  <c r="M597" i="1"/>
  <c r="L658" i="1"/>
  <c r="M658" i="1"/>
  <c r="L247" i="1"/>
  <c r="M247" i="1"/>
  <c r="L1076" i="1"/>
  <c r="M1076" i="1"/>
  <c r="L651" i="1"/>
  <c r="M651" i="1"/>
  <c r="L360" i="1"/>
  <c r="M360" i="1"/>
  <c r="L454" i="1"/>
  <c r="M454" i="1"/>
  <c r="L275" i="1"/>
  <c r="M275" i="1"/>
  <c r="H49" i="18" s="1"/>
  <c r="L845" i="1"/>
  <c r="M845" i="1"/>
  <c r="L934" i="1"/>
  <c r="M934" i="1"/>
  <c r="L1121" i="1"/>
  <c r="M1121" i="1"/>
  <c r="L1310" i="1"/>
  <c r="M1310" i="1"/>
  <c r="H43" i="16" s="1"/>
  <c r="L1453" i="1"/>
  <c r="M1453" i="1"/>
  <c r="L1371" i="1"/>
  <c r="M1371" i="1"/>
  <c r="L1012" i="1"/>
  <c r="M1012" i="1"/>
  <c r="G44" i="29" s="1"/>
  <c r="L1088" i="1"/>
  <c r="M1088" i="1"/>
  <c r="L183" i="1"/>
  <c r="M183" i="1"/>
  <c r="L525" i="1"/>
  <c r="M525" i="1"/>
  <c r="L679" i="1"/>
  <c r="M679" i="1"/>
  <c r="L989" i="1"/>
  <c r="M989" i="1"/>
  <c r="L562" i="1"/>
  <c r="M562" i="1"/>
  <c r="L96" i="1"/>
  <c r="M96" i="1"/>
  <c r="L927" i="1"/>
  <c r="M927" i="1"/>
  <c r="L547" i="1"/>
  <c r="M547" i="1"/>
  <c r="L164" i="1"/>
  <c r="M164" i="1"/>
  <c r="L650" i="1"/>
  <c r="M650" i="1"/>
  <c r="L261" i="1"/>
  <c r="M261" i="1"/>
  <c r="L474" i="1"/>
  <c r="M474" i="1"/>
  <c r="L389" i="1"/>
  <c r="M389" i="1"/>
  <c r="L942" i="1"/>
  <c r="M942" i="1"/>
  <c r="L325" i="1"/>
  <c r="M325" i="1"/>
  <c r="H13" i="16" s="1"/>
  <c r="L591" i="1"/>
  <c r="M591" i="1"/>
  <c r="L1363" i="1"/>
  <c r="M1363" i="1"/>
  <c r="L122" i="1"/>
  <c r="M122" i="1"/>
  <c r="L182" i="1"/>
  <c r="M182" i="1"/>
  <c r="L1196" i="1"/>
  <c r="M1196" i="1"/>
  <c r="L812" i="1"/>
  <c r="M812" i="1"/>
  <c r="H11" i="16" s="1"/>
  <c r="L1460" i="1"/>
  <c r="M1460" i="1"/>
  <c r="L958" i="1"/>
  <c r="M958" i="1"/>
  <c r="L1000" i="1"/>
  <c r="M1000" i="1"/>
  <c r="L1185" i="1"/>
  <c r="M1185" i="1"/>
  <c r="L1074" i="1"/>
  <c r="M1074" i="1"/>
  <c r="L1390" i="1"/>
  <c r="M1390" i="1"/>
  <c r="L1326" i="1"/>
  <c r="M1326" i="1"/>
  <c r="H16" i="20" s="1"/>
  <c r="L314" i="1"/>
  <c r="M314" i="1"/>
  <c r="L436" i="1"/>
  <c r="M436" i="1"/>
  <c r="L1248" i="1"/>
  <c r="M1248" i="1"/>
  <c r="L1473" i="1"/>
  <c r="M1473" i="1"/>
  <c r="H42" i="21" s="1"/>
  <c r="L961" i="1"/>
  <c r="M961" i="1"/>
  <c r="L330" i="1"/>
  <c r="M330" i="1"/>
  <c r="L520" i="1"/>
  <c r="M520" i="1"/>
  <c r="L1433" i="1"/>
  <c r="M1433" i="1"/>
  <c r="L396" i="1"/>
  <c r="M396" i="1"/>
  <c r="L527" i="1"/>
  <c r="M527" i="1"/>
  <c r="L546" i="1"/>
  <c r="M546" i="1"/>
  <c r="L296" i="1"/>
  <c r="M296" i="1"/>
  <c r="L71" i="1"/>
  <c r="M71" i="1"/>
  <c r="L792" i="1"/>
  <c r="M792" i="1"/>
  <c r="L149" i="1"/>
  <c r="M149" i="1"/>
  <c r="L943" i="1"/>
  <c r="M943" i="1"/>
  <c r="L1075" i="1"/>
  <c r="M1075" i="1"/>
  <c r="L181" i="1"/>
  <c r="M181" i="1"/>
  <c r="L757" i="1"/>
  <c r="M757" i="1"/>
  <c r="L442" i="1"/>
  <c r="M442" i="1"/>
  <c r="L1144" i="1"/>
  <c r="M1144" i="1"/>
  <c r="L1397" i="1"/>
  <c r="M1397" i="1"/>
  <c r="L1395" i="1"/>
  <c r="M1395" i="1"/>
  <c r="L1347" i="1"/>
  <c r="M1347" i="1"/>
  <c r="L956" i="1"/>
  <c r="M956" i="1"/>
  <c r="L338" i="1"/>
  <c r="M338" i="1"/>
  <c r="L458" i="1"/>
  <c r="M458" i="1"/>
  <c r="L758" i="1"/>
  <c r="M758" i="1"/>
  <c r="L1327" i="1"/>
  <c r="M1327" i="1"/>
  <c r="H10" i="18" s="1"/>
  <c r="L1407" i="1"/>
  <c r="M1407" i="1"/>
  <c r="L446" i="1"/>
  <c r="M446" i="1"/>
  <c r="L869" i="1"/>
  <c r="M869" i="1"/>
  <c r="L1209" i="1"/>
  <c r="M1209" i="1"/>
  <c r="L801" i="1"/>
  <c r="M801" i="1"/>
  <c r="L1080" i="1"/>
  <c r="M1080" i="1"/>
  <c r="L25" i="1"/>
  <c r="M25" i="1"/>
  <c r="L1182" i="1"/>
  <c r="M1182" i="1"/>
  <c r="L380" i="1"/>
  <c r="M380" i="1"/>
  <c r="L1365" i="1"/>
  <c r="M1365" i="1"/>
  <c r="L1172" i="1"/>
  <c r="M1172" i="1"/>
  <c r="L854" i="1"/>
  <c r="M854" i="1"/>
  <c r="L722" i="1"/>
  <c r="M722" i="1"/>
  <c r="H18" i="19" s="1"/>
  <c r="L1210" i="1"/>
  <c r="M1210" i="1"/>
  <c r="L676" i="1"/>
  <c r="M676" i="1"/>
  <c r="H50" i="20" s="1"/>
  <c r="L24" i="1"/>
  <c r="M24" i="1"/>
  <c r="L632" i="1"/>
  <c r="M632" i="1"/>
  <c r="L203" i="1"/>
  <c r="M203" i="1"/>
  <c r="L991" i="1"/>
  <c r="M991" i="1"/>
  <c r="L1297" i="1"/>
  <c r="M1297" i="1"/>
  <c r="L596" i="1"/>
  <c r="M596" i="1"/>
  <c r="L665" i="1"/>
  <c r="M665" i="1"/>
  <c r="L613" i="1"/>
  <c r="M613" i="1"/>
  <c r="L714" i="1"/>
  <c r="M714" i="1"/>
  <c r="L519" i="1"/>
  <c r="M519" i="1"/>
  <c r="L1070" i="1"/>
  <c r="M1070" i="1"/>
  <c r="L262" i="1"/>
  <c r="M262" i="1"/>
  <c r="L328" i="1"/>
  <c r="M328" i="1"/>
  <c r="L670" i="1"/>
  <c r="M670" i="1"/>
  <c r="L886" i="1"/>
  <c r="M886" i="1"/>
  <c r="L698" i="1"/>
  <c r="M698" i="1"/>
  <c r="L60" i="1"/>
  <c r="M60" i="1"/>
  <c r="L1052" i="1"/>
  <c r="M1052" i="1"/>
  <c r="L887" i="1"/>
  <c r="M887" i="1"/>
  <c r="L1156" i="1"/>
  <c r="M1156" i="1"/>
  <c r="L1442" i="1"/>
  <c r="M1442" i="1"/>
  <c r="L501" i="1"/>
  <c r="M501" i="1"/>
  <c r="L457" i="1"/>
  <c r="M457" i="1"/>
  <c r="L1428" i="1"/>
  <c r="M1428" i="1"/>
  <c r="L682" i="1"/>
  <c r="M682" i="1"/>
  <c r="L336" i="1"/>
  <c r="M336" i="1"/>
  <c r="L1274" i="1"/>
  <c r="M1274" i="1"/>
  <c r="L12" i="1"/>
  <c r="M12" i="1"/>
  <c r="L760" i="1"/>
  <c r="M760" i="1"/>
  <c r="L411" i="1"/>
  <c r="M411" i="1"/>
  <c r="L960" i="1"/>
  <c r="M960" i="1"/>
  <c r="L1431" i="1"/>
  <c r="M1431" i="1"/>
  <c r="L945" i="1"/>
  <c r="M945" i="1"/>
  <c r="L256" i="1"/>
  <c r="M256" i="1"/>
  <c r="L739" i="1"/>
  <c r="M739" i="1"/>
  <c r="L1471" i="1"/>
  <c r="M1471" i="1"/>
  <c r="L941" i="1"/>
  <c r="M941" i="1"/>
  <c r="L1046" i="1"/>
  <c r="M1046" i="1"/>
  <c r="L134" i="1"/>
  <c r="M134" i="1"/>
  <c r="L243" i="1"/>
  <c r="M243" i="1"/>
  <c r="L1472" i="1"/>
  <c r="M1472" i="1"/>
  <c r="L226" i="1"/>
  <c r="M226" i="1"/>
  <c r="L286" i="1"/>
  <c r="M286" i="1"/>
  <c r="L1385" i="1"/>
  <c r="M1385" i="1"/>
  <c r="L1364" i="1"/>
  <c r="M1364" i="1"/>
  <c r="L462" i="1"/>
  <c r="M462" i="1"/>
  <c r="H18" i="24" s="1"/>
  <c r="L895" i="1"/>
  <c r="M895" i="1"/>
  <c r="L566" i="1"/>
  <c r="M566" i="1"/>
  <c r="L1448" i="1"/>
  <c r="M1448" i="1"/>
  <c r="L1316" i="1"/>
  <c r="M1316" i="1"/>
  <c r="L920" i="1"/>
  <c r="M920" i="1"/>
  <c r="L708" i="1"/>
  <c r="M708" i="1"/>
  <c r="L351" i="1"/>
  <c r="M351" i="1"/>
  <c r="L1139" i="1"/>
  <c r="M1139" i="1"/>
  <c r="L1260" i="1"/>
  <c r="M1260" i="1"/>
  <c r="G48" i="29" s="1"/>
  <c r="L1320" i="1"/>
  <c r="M1320" i="1"/>
  <c r="L1011" i="1"/>
  <c r="M1011" i="1"/>
  <c r="L424" i="1"/>
  <c r="M424" i="1"/>
  <c r="L9" i="1"/>
  <c r="M9" i="1"/>
  <c r="L502" i="1"/>
  <c r="M502" i="1"/>
  <c r="L623" i="1"/>
  <c r="M623" i="1"/>
  <c r="H54" i="19" s="1"/>
  <c r="L409" i="1"/>
  <c r="M409" i="1"/>
  <c r="L1266" i="1"/>
  <c r="M1266" i="1"/>
  <c r="L1443" i="1"/>
  <c r="M1443" i="1"/>
  <c r="L608" i="1"/>
  <c r="M608" i="1"/>
  <c r="L1437" i="1"/>
  <c r="M1437" i="1"/>
  <c r="L229" i="1"/>
  <c r="M229" i="1"/>
  <c r="L415" i="1"/>
  <c r="M415" i="1"/>
  <c r="L628" i="1"/>
  <c r="M628" i="1"/>
  <c r="L688" i="1"/>
  <c r="M688" i="1"/>
  <c r="L1216" i="1"/>
  <c r="M1216" i="1"/>
  <c r="L274" i="1"/>
  <c r="M274" i="1"/>
  <c r="L1073" i="1"/>
  <c r="M1073" i="1"/>
  <c r="L1355" i="1"/>
  <c r="M1355" i="1"/>
  <c r="L750" i="1"/>
  <c r="M750" i="1"/>
  <c r="L1225" i="1"/>
  <c r="M1225" i="1"/>
  <c r="L469" i="1"/>
  <c r="M469" i="1"/>
  <c r="L91" i="1"/>
  <c r="M91" i="1"/>
  <c r="L359" i="1"/>
  <c r="M359" i="1"/>
  <c r="L434" i="1"/>
  <c r="M434" i="1"/>
  <c r="L1081" i="1"/>
  <c r="M1081" i="1"/>
  <c r="L14" i="1"/>
  <c r="M14" i="1"/>
  <c r="L168" i="1"/>
  <c r="M168" i="1"/>
  <c r="L158" i="1"/>
  <c r="M158" i="1"/>
  <c r="L1168" i="1"/>
  <c r="M1168" i="1"/>
  <c r="L1299" i="1"/>
  <c r="M1299" i="1"/>
  <c r="L1244" i="1"/>
  <c r="M1244" i="1"/>
  <c r="L1133" i="1"/>
  <c r="M1133" i="1"/>
  <c r="L1269" i="1"/>
  <c r="M1269" i="1"/>
  <c r="L21" i="1"/>
  <c r="M21" i="1"/>
  <c r="L204" i="1"/>
  <c r="M204" i="1"/>
  <c r="L1278" i="1"/>
  <c r="M1278" i="1"/>
  <c r="L1039" i="1"/>
  <c r="M1039" i="1"/>
  <c r="L925" i="1"/>
  <c r="M925" i="1"/>
  <c r="L919" i="1"/>
  <c r="M919" i="1"/>
  <c r="L1301" i="1"/>
  <c r="M1301" i="1"/>
  <c r="L112" i="1"/>
  <c r="M112" i="1"/>
  <c r="L358" i="1"/>
  <c r="M358" i="1"/>
  <c r="L744" i="1"/>
  <c r="M744" i="1"/>
  <c r="L239" i="1"/>
  <c r="M239" i="1"/>
  <c r="L605" i="1"/>
  <c r="M605" i="1"/>
  <c r="L333" i="1"/>
  <c r="M333" i="1"/>
  <c r="L908" i="1"/>
  <c r="M908" i="1"/>
  <c r="L1055" i="1"/>
  <c r="M1055" i="1"/>
  <c r="L1036" i="1"/>
  <c r="M1036" i="1"/>
  <c r="L1254" i="1"/>
  <c r="M1254" i="1"/>
  <c r="L648" i="1"/>
  <c r="M648" i="1"/>
  <c r="L209" i="1"/>
  <c r="M209" i="1"/>
  <c r="L821" i="1"/>
  <c r="M821" i="1"/>
  <c r="L521" i="1"/>
  <c r="M521" i="1"/>
  <c r="L290" i="1"/>
  <c r="M290" i="1"/>
  <c r="L1234" i="1"/>
  <c r="M1234" i="1"/>
  <c r="L225" i="1"/>
  <c r="M225" i="1"/>
  <c r="L853" i="1"/>
  <c r="M853" i="1"/>
  <c r="L185" i="1"/>
  <c r="M185" i="1"/>
  <c r="L198" i="1"/>
  <c r="M198" i="1"/>
  <c r="L111" i="1"/>
  <c r="M111" i="1"/>
  <c r="L1446" i="1"/>
  <c r="M1446" i="1"/>
  <c r="L1414" i="1"/>
  <c r="M1414" i="1"/>
  <c r="L337" i="1"/>
  <c r="M337" i="1"/>
  <c r="L486" i="1"/>
  <c r="M486" i="1"/>
  <c r="L1324" i="1"/>
  <c r="M1324" i="1"/>
  <c r="L653" i="1"/>
  <c r="M653" i="1"/>
  <c r="L92" i="1"/>
  <c r="M92" i="1"/>
  <c r="H39" i="16" s="1"/>
  <c r="L741" i="1"/>
  <c r="M741" i="1"/>
  <c r="L749" i="1"/>
  <c r="M749" i="1"/>
  <c r="L1238" i="1"/>
  <c r="M1238" i="1"/>
  <c r="L1450" i="1"/>
  <c r="M1450" i="1"/>
  <c r="L549" i="1"/>
  <c r="M549" i="1"/>
  <c r="L1318" i="1"/>
  <c r="M1318" i="1"/>
  <c r="L317" i="1"/>
  <c r="M317" i="1"/>
  <c r="L583" i="1"/>
  <c r="M583" i="1"/>
  <c r="H48" i="18" s="1"/>
  <c r="L726" i="1"/>
  <c r="M726" i="1"/>
  <c r="L964" i="1"/>
  <c r="M964" i="1"/>
  <c r="L162" i="1"/>
  <c r="M162" i="1"/>
  <c r="L1098" i="1"/>
  <c r="M1098" i="1"/>
  <c r="L638" i="1"/>
  <c r="M638" i="1"/>
  <c r="L1239" i="1"/>
  <c r="M1239" i="1"/>
  <c r="L1030" i="1"/>
  <c r="M1030" i="1"/>
  <c r="L496" i="1"/>
  <c r="M496" i="1"/>
  <c r="L631" i="1"/>
  <c r="M631" i="1"/>
  <c r="L550" i="1"/>
  <c r="M550" i="1"/>
  <c r="L626" i="1"/>
  <c r="M626" i="1"/>
  <c r="L1217" i="1"/>
  <c r="M1217" i="1"/>
  <c r="L997" i="1"/>
  <c r="M997" i="1"/>
  <c r="L1017" i="1"/>
  <c r="M1017" i="1"/>
  <c r="L867" i="1"/>
  <c r="M867" i="1"/>
  <c r="L647" i="1"/>
  <c r="M647" i="1"/>
  <c r="L232" i="1"/>
  <c r="M232" i="1"/>
  <c r="L1169" i="1"/>
  <c r="M1169" i="1"/>
  <c r="L703" i="1"/>
  <c r="M703" i="1"/>
  <c r="L1090" i="1"/>
  <c r="M1090" i="1"/>
  <c r="L780" i="1"/>
  <c r="M780" i="1"/>
  <c r="H43" i="17" s="1"/>
  <c r="L731" i="1"/>
  <c r="M731" i="1"/>
  <c r="L713" i="1"/>
  <c r="M713" i="1"/>
  <c r="L129" i="1"/>
  <c r="M129" i="1"/>
  <c r="L752" i="1"/>
  <c r="M752" i="1"/>
  <c r="L1399" i="1"/>
  <c r="M1399" i="1"/>
  <c r="L119" i="1"/>
  <c r="M119" i="1"/>
  <c r="L803" i="1"/>
  <c r="M803" i="1"/>
  <c r="L1240" i="1"/>
  <c r="M1240" i="1"/>
  <c r="L332" i="1"/>
  <c r="M332" i="1"/>
  <c r="L1189" i="1"/>
  <c r="M1189" i="1"/>
  <c r="L147" i="1"/>
  <c r="M147" i="1"/>
  <c r="H13" i="20" s="1"/>
  <c r="L771" i="1"/>
  <c r="M771" i="1"/>
  <c r="L52" i="1"/>
  <c r="M52" i="1"/>
  <c r="L1330" i="1"/>
  <c r="M1330" i="1"/>
  <c r="L762" i="1"/>
  <c r="M762" i="1"/>
  <c r="L921" i="1"/>
  <c r="M921" i="1"/>
  <c r="L512" i="1"/>
  <c r="M512" i="1"/>
  <c r="L1367" i="1"/>
  <c r="M1367" i="1"/>
  <c r="L1124" i="1"/>
  <c r="M1124" i="1"/>
  <c r="H23" i="17" s="1"/>
  <c r="L460" i="1"/>
  <c r="M460" i="1"/>
  <c r="L1419" i="1"/>
  <c r="M1419" i="1"/>
  <c r="L447" i="1"/>
  <c r="M447" i="1"/>
  <c r="L1378" i="1"/>
  <c r="M1378" i="1"/>
  <c r="H6" i="20" s="1"/>
  <c r="L569" i="1"/>
  <c r="M569" i="1"/>
  <c r="L188" i="1"/>
  <c r="M188" i="1"/>
  <c r="L1360" i="1"/>
  <c r="M1360" i="1"/>
  <c r="L1007" i="1"/>
  <c r="M1007" i="1"/>
  <c r="L634" i="1"/>
  <c r="M634" i="1"/>
  <c r="L33" i="1"/>
  <c r="M33" i="1"/>
  <c r="L1307" i="1"/>
  <c r="M1307" i="1"/>
  <c r="L1107" i="1"/>
  <c r="M1107" i="1"/>
  <c r="L1398" i="1"/>
  <c r="M1398" i="1"/>
  <c r="L710" i="1"/>
  <c r="M710" i="1"/>
  <c r="L711" i="1"/>
  <c r="M711" i="1"/>
  <c r="L982" i="1"/>
  <c r="M982" i="1"/>
  <c r="L478" i="1"/>
  <c r="M478" i="1"/>
  <c r="L319" i="1"/>
  <c r="M319" i="1"/>
  <c r="L1263" i="1"/>
  <c r="M1263" i="1"/>
  <c r="L1171" i="1"/>
  <c r="M1171" i="1"/>
  <c r="L1298" i="1"/>
  <c r="M1298" i="1"/>
  <c r="L704" i="1"/>
  <c r="M704" i="1"/>
  <c r="L1009" i="1"/>
  <c r="M1009" i="1"/>
  <c r="L89" i="1"/>
  <c r="M89" i="1"/>
  <c r="L914" i="1"/>
  <c r="M914" i="1"/>
  <c r="L485" i="1"/>
  <c r="M485" i="1"/>
  <c r="L95" i="1"/>
  <c r="M95" i="1"/>
  <c r="L1242" i="1"/>
  <c r="M1242" i="1"/>
  <c r="L732" i="1"/>
  <c r="M732" i="1"/>
  <c r="L776" i="1"/>
  <c r="M776" i="1"/>
  <c r="L435" i="1"/>
  <c r="M435" i="1"/>
  <c r="L1331" i="1"/>
  <c r="M1331" i="1"/>
  <c r="L199" i="1"/>
  <c r="M199" i="1"/>
  <c r="L73" i="1"/>
  <c r="M73" i="1"/>
  <c r="L178" i="1"/>
  <c r="M178" i="1"/>
  <c r="L633" i="1"/>
  <c r="M633" i="1"/>
  <c r="L374" i="1"/>
  <c r="M374" i="1"/>
  <c r="L403" i="1"/>
  <c r="M403" i="1"/>
  <c r="L786" i="1"/>
  <c r="M786" i="1"/>
  <c r="L1438" i="1"/>
  <c r="M1438" i="1"/>
  <c r="L995" i="1"/>
  <c r="M995" i="1"/>
  <c r="G42" i="29" s="1"/>
  <c r="L825" i="1"/>
  <c r="M825" i="1"/>
  <c r="L1361" i="1"/>
  <c r="M1361" i="1"/>
  <c r="L49" i="1"/>
  <c r="M49" i="1"/>
  <c r="L1132" i="1"/>
  <c r="M1132" i="1"/>
  <c r="L882" i="1"/>
  <c r="M882" i="1"/>
  <c r="L787" i="1"/>
  <c r="M787" i="1"/>
  <c r="L1041" i="1"/>
  <c r="M1041" i="1"/>
  <c r="L1436" i="1"/>
  <c r="M1436" i="1"/>
  <c r="L388" i="1"/>
  <c r="M388" i="1"/>
  <c r="L173" i="1"/>
  <c r="M173" i="1"/>
  <c r="L1396" i="1"/>
  <c r="M1396" i="1"/>
  <c r="L1241" i="1"/>
  <c r="M1241" i="1"/>
  <c r="L974" i="1"/>
  <c r="M974" i="1"/>
  <c r="L1275" i="1"/>
  <c r="M1275" i="1"/>
  <c r="L1321" i="1"/>
  <c r="M1321" i="1"/>
  <c r="L231" i="1"/>
  <c r="M231" i="1"/>
  <c r="L818" i="1"/>
  <c r="M818" i="1"/>
  <c r="L883" i="1"/>
  <c r="M883" i="1"/>
  <c r="L27" i="1"/>
  <c r="M27" i="1"/>
  <c r="L1038" i="1"/>
  <c r="M1038" i="1"/>
  <c r="L539" i="1"/>
  <c r="M539" i="1"/>
  <c r="H40" i="20" s="1"/>
  <c r="L1212" i="1"/>
  <c r="M1212" i="1"/>
  <c r="L570" i="1"/>
  <c r="M570" i="1"/>
  <c r="L252" i="1"/>
  <c r="M252" i="1"/>
  <c r="L1119" i="1"/>
  <c r="M1119" i="1"/>
  <c r="L850" i="1"/>
  <c r="M850" i="1"/>
  <c r="L490" i="1"/>
  <c r="M490" i="1"/>
  <c r="L385" i="1"/>
  <c r="M385" i="1"/>
  <c r="L260" i="1"/>
  <c r="M260" i="1"/>
  <c r="L952" i="1"/>
  <c r="M952" i="1"/>
  <c r="L808" i="1"/>
  <c r="M808" i="1"/>
  <c r="L1026" i="1"/>
  <c r="M1026" i="1"/>
  <c r="L267" i="1"/>
  <c r="M267" i="1"/>
  <c r="L117" i="1"/>
  <c r="M117" i="1"/>
  <c r="L472" i="1"/>
  <c r="M472" i="1"/>
  <c r="L832" i="1"/>
  <c r="M832" i="1"/>
  <c r="L904" i="1"/>
  <c r="M904" i="1"/>
  <c r="L666" i="1"/>
  <c r="M666" i="1"/>
  <c r="L668" i="1"/>
  <c r="M668" i="1"/>
  <c r="L1388" i="1"/>
  <c r="M1388" i="1"/>
  <c r="L912" i="1"/>
  <c r="M912" i="1"/>
  <c r="L133" i="1"/>
  <c r="M133" i="1"/>
  <c r="L971" i="1"/>
  <c r="M971" i="1"/>
  <c r="L1476" i="1"/>
  <c r="M1476" i="1"/>
  <c r="L1118" i="1"/>
  <c r="M1118" i="1"/>
  <c r="H11" i="17" s="1"/>
  <c r="L1157" i="1"/>
  <c r="M1157" i="1"/>
  <c r="L1141" i="1"/>
  <c r="M1141" i="1"/>
  <c r="H42" i="20" s="1"/>
  <c r="L1445" i="1"/>
  <c r="M1445" i="1"/>
  <c r="L201" i="1"/>
  <c r="M201" i="1"/>
  <c r="L1247" i="1"/>
  <c r="M1247" i="1"/>
  <c r="L846" i="1"/>
  <c r="M846" i="1"/>
  <c r="L517" i="1"/>
  <c r="M517" i="1"/>
  <c r="L1161" i="1"/>
  <c r="M1161" i="1"/>
  <c r="L687" i="1"/>
  <c r="M687" i="1"/>
  <c r="L805" i="1"/>
  <c r="M805" i="1"/>
  <c r="L1019" i="1"/>
  <c r="M1019" i="1"/>
  <c r="L664" i="1"/>
  <c r="M664" i="1"/>
  <c r="L733" i="1"/>
  <c r="M733" i="1"/>
  <c r="L831" i="1"/>
  <c r="M831" i="1"/>
  <c r="L172" i="1"/>
  <c r="M172" i="1"/>
  <c r="L1370" i="1"/>
  <c r="M1370" i="1"/>
  <c r="L1303" i="1"/>
  <c r="M1303" i="1"/>
  <c r="L1302" i="1"/>
  <c r="M1302" i="1"/>
  <c r="L498" i="1"/>
  <c r="M498" i="1"/>
  <c r="L1057" i="1"/>
  <c r="M1057" i="1"/>
  <c r="L984" i="1"/>
  <c r="M984" i="1"/>
  <c r="L716" i="1"/>
  <c r="M716" i="1"/>
  <c r="L747" i="1"/>
  <c r="M747" i="1"/>
  <c r="L353" i="1"/>
  <c r="M353" i="1"/>
  <c r="L1340" i="1"/>
  <c r="M1340" i="1"/>
  <c r="L249" i="1"/>
  <c r="M249" i="1"/>
  <c r="L354" i="1"/>
  <c r="M354" i="1"/>
  <c r="L1351" i="1"/>
  <c r="M1351" i="1"/>
  <c r="L1420" i="1"/>
  <c r="M1420" i="1"/>
  <c r="L1145" i="1"/>
  <c r="M1145" i="1"/>
  <c r="L17" i="1"/>
  <c r="M17" i="1"/>
  <c r="L637" i="1"/>
  <c r="M637" i="1"/>
  <c r="L1237" i="1"/>
  <c r="M1237" i="1"/>
  <c r="L963" i="1"/>
  <c r="M963" i="1"/>
  <c r="L368" i="1"/>
  <c r="M368" i="1"/>
  <c r="L196" i="1"/>
  <c r="M196" i="1"/>
  <c r="L737" i="1"/>
  <c r="M737" i="1"/>
  <c r="L1341" i="1"/>
  <c r="M1341" i="1"/>
  <c r="H12" i="22" s="1"/>
  <c r="L105" i="1"/>
  <c r="M105" i="1"/>
  <c r="L241" i="1"/>
  <c r="M241" i="1"/>
  <c r="L75" i="1"/>
  <c r="M75" i="1"/>
  <c r="L1336" i="1"/>
  <c r="M1336" i="1"/>
  <c r="L1191" i="1"/>
  <c r="M1191" i="1"/>
  <c r="L571" i="1"/>
  <c r="M571" i="1"/>
  <c r="L611" i="1"/>
  <c r="M611" i="1"/>
  <c r="L1227" i="1"/>
  <c r="M1227" i="1"/>
  <c r="L410" i="1"/>
  <c r="M410" i="1"/>
  <c r="L694" i="1"/>
  <c r="M694" i="1"/>
  <c r="H4" i="20" s="1"/>
  <c r="L697" i="1"/>
  <c r="M697" i="1"/>
  <c r="H24" i="21" s="1"/>
  <c r="L913" i="1"/>
  <c r="M913" i="1"/>
  <c r="L1031" i="1"/>
  <c r="F17" i="20" s="1"/>
  <c r="M1031" i="1"/>
  <c r="L1393" i="1"/>
  <c r="M1393" i="1"/>
  <c r="L1308" i="1"/>
  <c r="M1308" i="1"/>
  <c r="L857" i="1"/>
  <c r="M857" i="1"/>
  <c r="L969" i="1"/>
  <c r="M969" i="1"/>
  <c r="L1258" i="1"/>
  <c r="M1258" i="1"/>
  <c r="L707" i="1"/>
  <c r="M707" i="1"/>
  <c r="L589" i="1"/>
  <c r="M589" i="1"/>
  <c r="H21" i="17" s="1"/>
  <c r="L392" i="1"/>
  <c r="M392" i="1"/>
  <c r="L842" i="1"/>
  <c r="M842" i="1"/>
  <c r="L90" i="1"/>
  <c r="M90" i="1"/>
  <c r="L835" i="1"/>
  <c r="M835" i="1"/>
  <c r="L754" i="1"/>
  <c r="M754" i="1"/>
  <c r="L870" i="1"/>
  <c r="M870" i="1"/>
  <c r="L986" i="1"/>
  <c r="M986" i="1"/>
  <c r="L300" i="1"/>
  <c r="M300" i="1"/>
  <c r="L897" i="1"/>
  <c r="M897" i="1"/>
  <c r="L390" i="1"/>
  <c r="M390" i="1"/>
  <c r="L1079" i="1"/>
  <c r="M1079" i="1"/>
  <c r="L709" i="1"/>
  <c r="M709" i="1"/>
  <c r="L341" i="1"/>
  <c r="M341" i="1"/>
  <c r="L1312" i="1"/>
  <c r="M1312" i="1"/>
  <c r="L250" i="1"/>
  <c r="M250" i="1"/>
  <c r="L532" i="1"/>
  <c r="M532" i="1"/>
  <c r="L22" i="1"/>
  <c r="M22" i="1"/>
  <c r="L888" i="1"/>
  <c r="M888" i="1"/>
  <c r="L464" i="1"/>
  <c r="M464" i="1"/>
  <c r="L590" i="1"/>
  <c r="M590" i="1"/>
  <c r="L1455" i="1"/>
  <c r="M1455" i="1"/>
  <c r="L980" i="1"/>
  <c r="M980" i="1"/>
  <c r="L871" i="1"/>
  <c r="M871" i="1"/>
  <c r="L755" i="1"/>
  <c r="M755" i="1"/>
  <c r="L421" i="1"/>
  <c r="M421" i="1"/>
  <c r="L553" i="1"/>
  <c r="M553" i="1"/>
  <c r="L1309" i="1"/>
  <c r="M1309" i="1"/>
  <c r="L210" i="1"/>
  <c r="M210" i="1"/>
  <c r="L556" i="1"/>
  <c r="M556" i="1"/>
  <c r="L1465" i="1"/>
  <c r="M1465" i="1"/>
  <c r="H42" i="17" s="1"/>
  <c r="L291" i="1"/>
  <c r="M291" i="1"/>
  <c r="H4" i="18" s="1"/>
  <c r="L577" i="1"/>
  <c r="M577" i="1"/>
  <c r="L155" i="1"/>
  <c r="M155" i="1"/>
  <c r="L364" i="1"/>
  <c r="M364" i="1"/>
  <c r="L362" i="1"/>
  <c r="M362" i="1"/>
  <c r="L778" i="1"/>
  <c r="M778" i="1"/>
  <c r="L38" i="1"/>
  <c r="M38" i="1"/>
  <c r="L187" i="1"/>
  <c r="M187" i="1"/>
  <c r="L795" i="1"/>
  <c r="M795" i="1"/>
  <c r="L606" i="1"/>
  <c r="M606" i="1"/>
  <c r="L81" i="1"/>
  <c r="M81" i="1"/>
  <c r="L1112" i="1"/>
  <c r="M1112" i="1"/>
  <c r="L898" i="1"/>
  <c r="M898" i="1"/>
  <c r="L453" i="1"/>
  <c r="M453" i="1"/>
  <c r="L723" i="1"/>
  <c r="M723" i="1"/>
  <c r="L1387" i="1"/>
  <c r="M1387" i="1"/>
  <c r="H42" i="24" s="1"/>
  <c r="L928" i="1"/>
  <c r="M928" i="1"/>
  <c r="L681" i="1"/>
  <c r="M681" i="1"/>
  <c r="H45" i="18" s="1"/>
  <c r="L321" i="1"/>
  <c r="M321" i="1"/>
  <c r="L482" i="1"/>
  <c r="M482" i="1"/>
  <c r="L944" i="1"/>
  <c r="M944" i="1"/>
  <c r="L476" i="1"/>
  <c r="M476" i="1"/>
  <c r="L271" i="1"/>
  <c r="M271" i="1"/>
  <c r="L39" i="1"/>
  <c r="M39" i="1"/>
  <c r="L302" i="1"/>
  <c r="M302" i="1"/>
  <c r="L1104" i="1"/>
  <c r="M1104" i="1"/>
  <c r="L441" i="1"/>
  <c r="M441" i="1"/>
  <c r="L973" i="1"/>
  <c r="M973" i="1"/>
  <c r="L51" i="1"/>
  <c r="M51" i="1"/>
  <c r="L62" i="1"/>
  <c r="M62" i="1"/>
  <c r="L1322" i="1"/>
  <c r="M1322" i="1"/>
  <c r="L1060" i="1"/>
  <c r="M1060" i="1"/>
  <c r="L939" i="1"/>
  <c r="M939" i="1"/>
  <c r="L440" i="1"/>
  <c r="M440" i="1"/>
  <c r="L320" i="1"/>
  <c r="M320" i="1"/>
  <c r="L395" i="1"/>
  <c r="M395" i="1"/>
  <c r="L1102" i="1"/>
  <c r="M1102" i="1"/>
  <c r="L1086" i="1"/>
  <c r="M1086" i="1"/>
  <c r="L1277" i="1"/>
  <c r="M1277" i="1"/>
  <c r="L558" i="1"/>
  <c r="M558" i="1"/>
  <c r="L507" i="1"/>
  <c r="M507" i="1"/>
  <c r="L978" i="1"/>
  <c r="M978" i="1"/>
  <c r="L1272" i="1"/>
  <c r="M1272" i="1"/>
  <c r="L1137" i="1"/>
  <c r="M1137" i="1"/>
  <c r="L19" i="1"/>
  <c r="M19" i="1"/>
  <c r="L287" i="1"/>
  <c r="M287" i="1"/>
  <c r="L900" i="1"/>
  <c r="M900" i="1"/>
  <c r="L1401" i="1"/>
  <c r="M1401" i="1"/>
  <c r="H3" i="19" s="1"/>
  <c r="L1148" i="1"/>
  <c r="M1148" i="1"/>
  <c r="L257" i="1"/>
  <c r="M257" i="1"/>
  <c r="L103" i="1"/>
  <c r="M103" i="1"/>
  <c r="L675" i="1"/>
  <c r="M675" i="1"/>
  <c r="L1305" i="1"/>
  <c r="M1305" i="1"/>
  <c r="H42" i="22" s="1"/>
  <c r="L734" i="1"/>
  <c r="M734" i="1"/>
  <c r="L343" i="1"/>
  <c r="M343" i="1"/>
  <c r="L422" i="1"/>
  <c r="M422" i="1"/>
  <c r="L644" i="1"/>
  <c r="M644" i="1"/>
  <c r="L1177" i="1"/>
  <c r="M1177" i="1"/>
  <c r="L1243" i="1"/>
  <c r="M1243" i="1"/>
  <c r="L1205" i="1"/>
  <c r="M1205" i="1"/>
  <c r="L663" i="1"/>
  <c r="M663" i="1"/>
  <c r="H20" i="19" s="1"/>
  <c r="L1004" i="1"/>
  <c r="M1004" i="1"/>
  <c r="L987" i="1"/>
  <c r="M987" i="1"/>
  <c r="L97" i="1"/>
  <c r="M97" i="1"/>
  <c r="L751" i="1"/>
  <c r="M751" i="1"/>
  <c r="L41" i="1"/>
  <c r="M41" i="1"/>
  <c r="L1146" i="1"/>
  <c r="M1146" i="1"/>
  <c r="L452" i="1"/>
  <c r="M452" i="1"/>
  <c r="H39" i="22" s="1"/>
  <c r="L174" i="1"/>
  <c r="M174" i="1"/>
  <c r="L1154" i="1"/>
  <c r="M1154" i="1"/>
  <c r="L1335" i="1"/>
  <c r="M1335" i="1"/>
  <c r="L430" i="1"/>
  <c r="M430" i="1"/>
  <c r="L542" i="1"/>
  <c r="M542" i="1"/>
  <c r="H47" i="24" s="1"/>
  <c r="L200" i="1"/>
  <c r="M200" i="1"/>
  <c r="H49" i="17" s="1"/>
  <c r="L326" i="1"/>
  <c r="M326" i="1"/>
  <c r="L1279" i="1"/>
  <c r="M1279" i="1"/>
  <c r="G43" i="29" s="1"/>
  <c r="L642" i="1"/>
  <c r="M642" i="1"/>
  <c r="L269" i="1"/>
  <c r="M269" i="1"/>
  <c r="L509" i="1"/>
  <c r="M509" i="1"/>
  <c r="L1421" i="1"/>
  <c r="M1421" i="1"/>
  <c r="L169" i="1"/>
  <c r="M169" i="1"/>
  <c r="L1434" i="1"/>
  <c r="M1434" i="1"/>
  <c r="L1447" i="1"/>
  <c r="M1447" i="1"/>
  <c r="L1013" i="1"/>
  <c r="M1013" i="1"/>
  <c r="L438" i="1"/>
  <c r="M438" i="1"/>
  <c r="L866" i="1"/>
  <c r="M866" i="1"/>
  <c r="L715" i="1"/>
  <c r="M715" i="1"/>
  <c r="L1304" i="1"/>
  <c r="M1304" i="1"/>
  <c r="L1374" i="1"/>
  <c r="M1374" i="1"/>
  <c r="L785" i="1"/>
  <c r="M785" i="1"/>
  <c r="L1093" i="1"/>
  <c r="M1093" i="1"/>
  <c r="L258" i="1"/>
  <c r="M258" i="1"/>
  <c r="L730" i="1"/>
  <c r="M730" i="1"/>
  <c r="L142" i="1"/>
  <c r="M142" i="1"/>
  <c r="L1170" i="1"/>
  <c r="M1170" i="1"/>
  <c r="L349" i="1"/>
  <c r="M349" i="1"/>
  <c r="L743" i="1"/>
  <c r="M743" i="1"/>
  <c r="L219" i="1"/>
  <c r="M219" i="1"/>
  <c r="L1165" i="1"/>
  <c r="M1165" i="1"/>
  <c r="L329" i="1"/>
  <c r="M329" i="1"/>
  <c r="L936" i="1"/>
  <c r="M936" i="1"/>
  <c r="L1206" i="1"/>
  <c r="M1206" i="1"/>
  <c r="H43" i="24" s="1"/>
  <c r="L976" i="1"/>
  <c r="M976" i="1"/>
  <c r="L890" i="1"/>
  <c r="M890" i="1"/>
  <c r="L511" i="1"/>
  <c r="M511" i="1"/>
  <c r="L1285" i="1"/>
  <c r="M1285" i="1"/>
  <c r="L503" i="1"/>
  <c r="M503" i="1"/>
  <c r="L218" i="1"/>
  <c r="M218" i="1"/>
  <c r="L940" i="1"/>
  <c r="M940" i="1"/>
  <c r="H17" i="21" s="1"/>
  <c r="L1214" i="1"/>
  <c r="M1214" i="1"/>
  <c r="L621" i="1"/>
  <c r="M621" i="1"/>
  <c r="L222" i="1"/>
  <c r="M222" i="1"/>
  <c r="L479" i="1"/>
  <c r="M479" i="1"/>
  <c r="L1329" i="1"/>
  <c r="M1329" i="1"/>
  <c r="L1317" i="1"/>
  <c r="M1317" i="1"/>
  <c r="H27" i="16" s="1"/>
  <c r="L1346" i="1"/>
  <c r="M1346" i="1"/>
  <c r="H23" i="21" s="1"/>
  <c r="L674" i="1"/>
  <c r="M674" i="1"/>
  <c r="L745" i="1"/>
  <c r="M745" i="1"/>
  <c r="L1131" i="1"/>
  <c r="M1131" i="1"/>
  <c r="L763" i="1"/>
  <c r="M763" i="1"/>
  <c r="L217" i="1"/>
  <c r="M217" i="1"/>
  <c r="L1221" i="1"/>
  <c r="M1221" i="1"/>
  <c r="L350" i="1"/>
  <c r="M350" i="1"/>
  <c r="L324" i="1"/>
  <c r="M324" i="1"/>
  <c r="L398" i="1"/>
  <c r="M398" i="1"/>
  <c r="L120" i="1"/>
  <c r="M120" i="1"/>
  <c r="L1025" i="1"/>
  <c r="M1025" i="1"/>
  <c r="L656" i="1"/>
  <c r="M656" i="1"/>
  <c r="L272" i="1"/>
  <c r="M272" i="1"/>
  <c r="L245" i="1"/>
  <c r="M245" i="1"/>
  <c r="L1035" i="1"/>
  <c r="M1035" i="1"/>
  <c r="L528" i="1"/>
  <c r="M528" i="1"/>
  <c r="L1050" i="1"/>
  <c r="M1050" i="1"/>
  <c r="L87" i="1"/>
  <c r="M87" i="1"/>
  <c r="L783" i="1"/>
  <c r="M783" i="1"/>
  <c r="L345" i="1"/>
  <c r="M345" i="1"/>
  <c r="L1020" i="1"/>
  <c r="M1020" i="1"/>
  <c r="L948" i="1"/>
  <c r="M948" i="1"/>
  <c r="L718" i="1"/>
  <c r="M718" i="1"/>
  <c r="L560" i="1"/>
  <c r="M560" i="1"/>
  <c r="L1138" i="1"/>
  <c r="M1138" i="1"/>
  <c r="L804" i="1"/>
  <c r="M804" i="1"/>
  <c r="L237" i="1"/>
  <c r="M237" i="1"/>
  <c r="L143" i="1"/>
  <c r="M143" i="1"/>
  <c r="H52" i="20" s="1"/>
  <c r="L5" i="1"/>
  <c r="M5" i="1"/>
  <c r="L915" i="1"/>
  <c r="M915" i="1"/>
  <c r="L448" i="1"/>
  <c r="M448" i="1"/>
  <c r="L680" i="1"/>
  <c r="M680" i="1"/>
  <c r="L1123" i="1"/>
  <c r="M1123" i="1"/>
  <c r="L861" i="1"/>
  <c r="M861" i="1"/>
  <c r="L1470" i="1"/>
  <c r="M1470" i="1"/>
  <c r="H11" i="22" s="1"/>
  <c r="L979" i="1"/>
  <c r="M979" i="1"/>
  <c r="L113" i="1"/>
  <c r="M113" i="1"/>
  <c r="L1404" i="1"/>
  <c r="M1404" i="1"/>
  <c r="L1158" i="1"/>
  <c r="M1158" i="1"/>
  <c r="L439" i="1"/>
  <c r="M439" i="1"/>
  <c r="L535" i="1"/>
  <c r="M535" i="1"/>
  <c r="L195" i="1"/>
  <c r="M195" i="1"/>
  <c r="L1458" i="1"/>
  <c r="M1458" i="1"/>
  <c r="L342" i="1"/>
  <c r="M342" i="1"/>
  <c r="H44" i="24" s="1"/>
  <c r="L840" i="1"/>
  <c r="M840" i="1"/>
  <c r="L813" i="1"/>
  <c r="M813" i="1"/>
  <c r="L930" i="1"/>
  <c r="M930" i="1"/>
  <c r="L796" i="1"/>
  <c r="M796" i="1"/>
  <c r="L383" i="1"/>
  <c r="M383" i="1"/>
  <c r="L635" i="1"/>
  <c r="M635" i="1"/>
  <c r="L1053" i="1"/>
  <c r="M1053" i="1"/>
  <c r="L298" i="1"/>
  <c r="M298" i="1"/>
  <c r="L781" i="1"/>
  <c r="M781" i="1"/>
  <c r="L66" i="1"/>
  <c r="M66" i="1"/>
  <c r="L1021" i="1"/>
  <c r="M1021" i="1"/>
  <c r="L677" i="1"/>
  <c r="M677" i="1"/>
  <c r="L1405" i="1"/>
  <c r="M1405" i="1"/>
  <c r="L32" i="1"/>
  <c r="M32" i="1"/>
  <c r="L972" i="1"/>
  <c r="M972" i="1"/>
  <c r="L1457" i="1"/>
  <c r="M1457" i="1"/>
  <c r="L307" i="1"/>
  <c r="M307" i="1"/>
  <c r="L1400" i="1"/>
  <c r="M1400" i="1"/>
  <c r="L110" i="1"/>
  <c r="M110" i="1"/>
  <c r="L36" i="1"/>
  <c r="M36" i="1"/>
  <c r="L308" i="1"/>
  <c r="M308" i="1"/>
  <c r="L1010" i="1"/>
  <c r="M1010" i="1"/>
  <c r="L246" i="1"/>
  <c r="M246" i="1"/>
  <c r="L242" i="1"/>
  <c r="M242" i="1"/>
  <c r="L466" i="1"/>
  <c r="M466" i="1"/>
  <c r="L426" i="1"/>
  <c r="M426" i="1"/>
  <c r="L413" i="1"/>
  <c r="M413" i="1"/>
  <c r="L1047" i="1"/>
  <c r="M1047" i="1"/>
  <c r="L1091" i="1"/>
  <c r="M1091" i="1"/>
  <c r="L1114" i="1"/>
  <c r="M1114" i="1"/>
  <c r="L190" i="1"/>
  <c r="M190" i="1"/>
  <c r="L779" i="1"/>
  <c r="M779" i="1"/>
  <c r="L806" i="1"/>
  <c r="M806" i="1"/>
  <c r="L1064" i="1"/>
  <c r="M1064" i="1"/>
  <c r="H27" i="24" s="1"/>
  <c r="L1282" i="1"/>
  <c r="M1282" i="1"/>
  <c r="L1369" i="1"/>
  <c r="M1369" i="1"/>
  <c r="L954" i="1"/>
  <c r="M954" i="1"/>
  <c r="L929" i="1"/>
  <c r="M929" i="1"/>
  <c r="L365" i="1"/>
  <c r="M365" i="1"/>
  <c r="L957" i="1"/>
  <c r="M957" i="1"/>
  <c r="L402" i="1"/>
  <c r="M402" i="1"/>
  <c r="L797" i="1"/>
  <c r="M797" i="1"/>
  <c r="H5" i="20" s="1"/>
  <c r="L584" i="1"/>
  <c r="M584" i="1"/>
  <c r="L955" i="1"/>
  <c r="M955" i="1"/>
  <c r="L891" i="1"/>
  <c r="M891" i="1"/>
  <c r="L281" i="1"/>
  <c r="M281" i="1"/>
  <c r="L619" i="1"/>
  <c r="M619" i="1"/>
  <c r="L789" i="1"/>
  <c r="M789" i="1"/>
  <c r="L1016" i="1"/>
  <c r="M1016" i="1"/>
  <c r="L276" i="1"/>
  <c r="M276" i="1"/>
  <c r="L999" i="1"/>
  <c r="M999" i="1"/>
  <c r="L811" i="1"/>
  <c r="M811" i="1"/>
  <c r="L580" i="1"/>
  <c r="M580" i="1"/>
  <c r="L1273" i="1"/>
  <c r="M1273" i="1"/>
  <c r="L279" i="1"/>
  <c r="M279" i="1"/>
  <c r="L1174" i="1"/>
  <c r="M1174" i="1"/>
  <c r="L772" i="1"/>
  <c r="M772" i="1"/>
  <c r="L598" i="1"/>
  <c r="M598" i="1"/>
  <c r="L1015" i="1"/>
  <c r="M1015" i="1"/>
  <c r="L1188" i="1"/>
  <c r="M1188" i="1"/>
  <c r="H22" i="20"/>
  <c r="L1089" i="1"/>
  <c r="M1089" i="1"/>
  <c r="L902" i="1"/>
  <c r="M902" i="1"/>
  <c r="L418" i="1"/>
  <c r="M418" i="1"/>
  <c r="L444" i="1"/>
  <c r="M444" i="1"/>
  <c r="L510" i="1"/>
  <c r="M510" i="1"/>
  <c r="L316" i="1"/>
  <c r="M316" i="1"/>
  <c r="L463" i="1"/>
  <c r="M463" i="1"/>
  <c r="L206" i="1"/>
  <c r="M206" i="1"/>
  <c r="L873" i="1"/>
  <c r="M873" i="1"/>
  <c r="L1429" i="1"/>
  <c r="M1429" i="1"/>
  <c r="L858" i="1"/>
  <c r="M858" i="1"/>
  <c r="L759" i="1"/>
  <c r="M759" i="1"/>
  <c r="L1128" i="1"/>
  <c r="M1128" i="1"/>
  <c r="L1129" i="1"/>
  <c r="M1129" i="1"/>
  <c r="L764" i="1"/>
  <c r="M764" i="1"/>
  <c r="L259" i="1"/>
  <c r="M259" i="1"/>
  <c r="L1354" i="1"/>
  <c r="M1354" i="1"/>
  <c r="L170" i="1"/>
  <c r="M170" i="1"/>
  <c r="L114" i="1"/>
  <c r="M114" i="1"/>
  <c r="G49" i="29" s="1"/>
  <c r="L1200" i="1"/>
  <c r="Y1391" i="1" s="1"/>
  <c r="M1200" i="1"/>
  <c r="L355" i="1"/>
  <c r="Y1395" i="1" s="1"/>
  <c r="M355" i="1"/>
  <c r="L576" i="1"/>
  <c r="M576" i="1"/>
  <c r="L253" i="1"/>
  <c r="M253" i="1"/>
  <c r="H47" i="18" s="1"/>
  <c r="L1192" i="1"/>
  <c r="M1192" i="1"/>
  <c r="L65" i="1"/>
  <c r="M65" i="1"/>
  <c r="L136" i="1"/>
  <c r="M136" i="1"/>
  <c r="L366" i="1"/>
  <c r="M366" i="1"/>
  <c r="L1444" i="1"/>
  <c r="M1444" i="1"/>
  <c r="L678" i="1"/>
  <c r="M678" i="1"/>
  <c r="L215" i="1"/>
  <c r="M215" i="1"/>
  <c r="L1392" i="1"/>
  <c r="M1392" i="1"/>
  <c r="L643" i="1"/>
  <c r="M643" i="1"/>
  <c r="L471" i="1"/>
  <c r="M471" i="1"/>
  <c r="L851" i="1"/>
  <c r="M851" i="1"/>
  <c r="L933" i="1"/>
  <c r="M933" i="1"/>
  <c r="L725" i="1"/>
  <c r="M725" i="1"/>
  <c r="L495" i="1"/>
  <c r="F16" i="18" s="1"/>
  <c r="M495" i="1"/>
  <c r="L630" i="1"/>
  <c r="M630" i="1"/>
  <c r="H19" i="20" s="1"/>
  <c r="L118" i="1"/>
  <c r="F15" i="24" s="1"/>
  <c r="M118" i="1"/>
  <c r="L855" i="1"/>
  <c r="M855" i="1"/>
  <c r="L1173" i="1"/>
  <c r="M1173" i="1"/>
  <c r="L132" i="1"/>
  <c r="M132" i="1"/>
  <c r="L191" i="1"/>
  <c r="M191" i="1"/>
  <c r="L727" i="1"/>
  <c r="M727" i="1"/>
  <c r="H22" i="22" s="1"/>
  <c r="L264" i="1"/>
  <c r="M264" i="1"/>
  <c r="H22" i="17" s="1"/>
  <c r="L1071" i="1"/>
  <c r="M1071" i="1"/>
  <c r="L144" i="1"/>
  <c r="M144" i="1"/>
  <c r="L557" i="1"/>
  <c r="M557" i="1"/>
  <c r="H41" i="19" s="1"/>
  <c r="L313" i="1"/>
  <c r="M313" i="1"/>
  <c r="L1184" i="1"/>
  <c r="M1184" i="1"/>
  <c r="L299" i="1"/>
  <c r="M299" i="1"/>
  <c r="L1072" i="1"/>
  <c r="M1072" i="1"/>
  <c r="L524" i="1"/>
  <c r="M524" i="1"/>
  <c r="L497" i="1"/>
  <c r="M497" i="1"/>
  <c r="L31" i="1"/>
  <c r="M31" i="1"/>
  <c r="L1006" i="1"/>
  <c r="M1006" i="1"/>
  <c r="L1412" i="1"/>
  <c r="M1412" i="1"/>
  <c r="L1022" i="1"/>
  <c r="M1022" i="1"/>
  <c r="L1479" i="1"/>
  <c r="M1479" i="1"/>
  <c r="L377" i="1"/>
  <c r="M377" i="1"/>
  <c r="L167" i="1"/>
  <c r="M167" i="1"/>
  <c r="L131" i="1"/>
  <c r="M131" i="1"/>
  <c r="L856" i="1"/>
  <c r="M856" i="1"/>
  <c r="L985" i="1"/>
  <c r="M985" i="1"/>
  <c r="L1190" i="1"/>
  <c r="M1190" i="1"/>
  <c r="L514" i="1"/>
  <c r="M514" i="1"/>
  <c r="L1230" i="1"/>
  <c r="M1230" i="1"/>
  <c r="L344" i="1"/>
  <c r="M344" i="1"/>
  <c r="L220" i="1"/>
  <c r="M220" i="1"/>
  <c r="L372" i="1"/>
  <c r="M372" i="1"/>
  <c r="L1430" i="1"/>
  <c r="M1430" i="1"/>
  <c r="H13" i="17" s="1"/>
  <c r="L3" i="1"/>
  <c r="M3" i="1"/>
  <c r="L227" i="1"/>
  <c r="M227" i="1"/>
  <c r="L833" i="1"/>
  <c r="M833" i="1"/>
  <c r="L399" i="1"/>
  <c r="M399" i="1"/>
  <c r="L63" i="1"/>
  <c r="M63" i="1"/>
  <c r="L189" i="1"/>
  <c r="M189" i="1"/>
  <c r="L487" i="1"/>
  <c r="M487" i="1"/>
  <c r="L211" i="1"/>
  <c r="M211" i="1"/>
  <c r="L255" i="1"/>
  <c r="M255" i="1"/>
  <c r="L1424" i="1"/>
  <c r="M1424" i="1"/>
  <c r="L937" i="1"/>
  <c r="M937" i="1"/>
  <c r="L893" i="1"/>
  <c r="M893" i="1"/>
  <c r="L1463" i="1"/>
  <c r="M1463" i="1"/>
  <c r="L6" i="1"/>
  <c r="M6" i="1"/>
  <c r="L536" i="1"/>
  <c r="M536" i="1"/>
  <c r="L1292" i="1"/>
  <c r="M1292" i="1"/>
  <c r="L922" i="1"/>
  <c r="M922" i="1"/>
  <c r="L238" i="1"/>
  <c r="M238" i="1"/>
  <c r="L166" i="1"/>
  <c r="M166" i="1"/>
  <c r="L996" i="1"/>
  <c r="M996" i="1"/>
  <c r="L1359" i="1"/>
  <c r="M1359" i="1"/>
  <c r="L268" i="1"/>
  <c r="M268" i="1"/>
  <c r="L983" i="1"/>
  <c r="M983" i="1"/>
  <c r="L1113" i="1"/>
  <c r="M1113" i="1"/>
  <c r="L1001" i="1"/>
  <c r="M1001" i="1"/>
  <c r="L45" i="1"/>
  <c r="M45" i="1"/>
  <c r="L412" i="1"/>
  <c r="M412" i="1"/>
  <c r="L607" i="1"/>
  <c r="M607" i="1"/>
  <c r="L1461" i="1"/>
  <c r="M1461" i="1"/>
  <c r="L306" i="1"/>
  <c r="M306" i="1"/>
  <c r="L1295" i="1"/>
  <c r="M1295" i="1"/>
  <c r="L1197" i="1"/>
  <c r="M1197" i="1"/>
  <c r="L691" i="1"/>
  <c r="M691" i="1"/>
  <c r="L1384" i="1"/>
  <c r="M1384" i="1"/>
  <c r="L1337" i="1"/>
  <c r="M1337" i="1"/>
  <c r="L1286" i="1"/>
  <c r="M1286" i="1"/>
  <c r="L56" i="1"/>
  <c r="M56" i="1"/>
  <c r="L473" i="1"/>
  <c r="M473" i="1"/>
  <c r="L456" i="1"/>
  <c r="M456" i="1"/>
  <c r="L765" i="1"/>
  <c r="M765" i="1"/>
  <c r="L809" i="1"/>
  <c r="M809" i="1"/>
  <c r="L998" i="1"/>
  <c r="M998" i="1"/>
  <c r="H12" i="20" s="1"/>
  <c r="L64" i="1"/>
  <c r="M64" i="1"/>
  <c r="L543" i="1"/>
  <c r="M543" i="1"/>
  <c r="L1109" i="1"/>
  <c r="M1109" i="1"/>
  <c r="L109" i="1"/>
  <c r="M109" i="1"/>
  <c r="L1452" i="1"/>
  <c r="M1452" i="1"/>
  <c r="L894" i="1"/>
  <c r="M894" i="1"/>
  <c r="L480" i="1"/>
  <c r="M480" i="1"/>
  <c r="L581" i="1"/>
  <c r="M581" i="1"/>
  <c r="L7" i="1"/>
  <c r="M7" i="1"/>
  <c r="L1358" i="1"/>
  <c r="M1358" i="1"/>
  <c r="L595" i="1"/>
  <c r="M595" i="1"/>
  <c r="L838" i="1"/>
  <c r="M838" i="1"/>
  <c r="L467" i="1"/>
  <c r="M467" i="1"/>
  <c r="L1194" i="1"/>
  <c r="M1194" i="1"/>
  <c r="L428" i="1"/>
  <c r="M428" i="1"/>
  <c r="G46" i="29" s="1"/>
  <c r="L1293" i="1"/>
  <c r="M1293" i="1"/>
  <c r="L1276" i="1"/>
  <c r="M1276" i="1"/>
  <c r="L205" i="1"/>
  <c r="M205" i="1"/>
  <c r="L877" i="1"/>
  <c r="M877" i="1"/>
  <c r="L1440" i="1"/>
  <c r="M1440" i="1"/>
  <c r="L1101" i="1"/>
  <c r="M1101" i="1"/>
  <c r="L221" i="1"/>
  <c r="M221" i="1"/>
  <c r="L513" i="1"/>
  <c r="M513" i="1"/>
  <c r="L179" i="1"/>
  <c r="M179" i="1"/>
  <c r="L309" i="1"/>
  <c r="M309" i="1"/>
  <c r="L94" i="1"/>
  <c r="M94" i="1"/>
  <c r="H14" i="16" s="1"/>
  <c r="L494" i="1"/>
  <c r="M494" i="1"/>
  <c r="M1018" i="1"/>
  <c r="W459" i="1"/>
  <c r="X459" i="1"/>
  <c r="E3" i="29" l="1"/>
  <c r="G3" i="29"/>
  <c r="H8" i="16"/>
  <c r="F23" i="20"/>
  <c r="H9" i="24"/>
  <c r="H14" i="17"/>
  <c r="H12" i="18"/>
  <c r="H55" i="19"/>
  <c r="Y1393" i="1"/>
  <c r="Y1397" i="1"/>
  <c r="H10" i="21"/>
  <c r="H41" i="20"/>
  <c r="G41" i="29"/>
  <c r="H7" i="21"/>
  <c r="H7" i="20"/>
  <c r="H16" i="17"/>
  <c r="Y1394" i="1"/>
  <c r="Y1392" i="1"/>
  <c r="Y1396" i="1"/>
  <c r="H42" i="18"/>
  <c r="H7" i="24"/>
  <c r="H13" i="21"/>
  <c r="H8" i="19"/>
  <c r="H23" i="20"/>
  <c r="H16" i="18"/>
  <c r="H50" i="16"/>
  <c r="H5" i="16"/>
  <c r="H15" i="22"/>
  <c r="H44" i="16"/>
  <c r="H19" i="18"/>
  <c r="H16" i="22"/>
  <c r="H9" i="17"/>
  <c r="H39" i="24"/>
  <c r="H17" i="20"/>
  <c r="H11" i="20"/>
  <c r="H7" i="18"/>
  <c r="H25" i="16"/>
  <c r="H25" i="17"/>
  <c r="H18" i="22"/>
  <c r="H49" i="16"/>
  <c r="H4" i="19"/>
  <c r="H19" i="24"/>
  <c r="H14" i="18"/>
  <c r="H5" i="21"/>
  <c r="H7" i="17"/>
  <c r="H18" i="21"/>
  <c r="H15" i="18"/>
  <c r="H44" i="20"/>
  <c r="H47" i="16"/>
  <c r="H50" i="17"/>
  <c r="H42" i="16"/>
  <c r="H35" i="20"/>
  <c r="H26" i="20"/>
  <c r="H46" i="24"/>
  <c r="H40" i="22"/>
  <c r="H4" i="24"/>
  <c r="H45" i="16"/>
  <c r="H17" i="18"/>
  <c r="H26" i="24"/>
  <c r="H16" i="24"/>
  <c r="H41" i="22"/>
  <c r="H41" i="17"/>
  <c r="H25" i="22"/>
  <c r="H50" i="18"/>
  <c r="H10" i="19"/>
  <c r="H5" i="19"/>
  <c r="H26" i="18"/>
  <c r="H22" i="24"/>
  <c r="H24" i="19"/>
  <c r="H7" i="16"/>
  <c r="H12" i="16"/>
  <c r="H54" i="20"/>
  <c r="H43" i="20"/>
  <c r="H52" i="19"/>
  <c r="H46" i="17"/>
  <c r="H39" i="21"/>
  <c r="H39" i="18"/>
  <c r="H10" i="16"/>
  <c r="H5" i="17"/>
  <c r="H47" i="20"/>
  <c r="H17" i="16"/>
  <c r="H21" i="22"/>
  <c r="H43" i="22"/>
  <c r="H48" i="21"/>
  <c r="H45" i="17"/>
  <c r="H3" i="20"/>
  <c r="H45" i="24"/>
  <c r="H26" i="19"/>
  <c r="H12" i="17"/>
  <c r="H12" i="21"/>
  <c r="H20" i="22"/>
  <c r="H41" i="21"/>
  <c r="H11" i="19"/>
  <c r="H45" i="22"/>
  <c r="H43" i="18"/>
  <c r="H41" i="24"/>
  <c r="H39" i="19"/>
  <c r="H42" i="19"/>
  <c r="H23" i="22"/>
  <c r="H18" i="20"/>
  <c r="H44" i="19"/>
  <c r="H44" i="22"/>
  <c r="H49" i="19"/>
  <c r="H51" i="20"/>
  <c r="H6" i="21"/>
  <c r="H11" i="21"/>
  <c r="H40" i="21"/>
  <c r="H24" i="18"/>
  <c r="H7" i="19"/>
  <c r="H46" i="19"/>
  <c r="H13" i="24"/>
  <c r="H51" i="19"/>
  <c r="H15" i="20"/>
  <c r="H44" i="21"/>
  <c r="H25" i="21"/>
  <c r="H39" i="20"/>
  <c r="H46" i="20"/>
  <c r="H48" i="20"/>
  <c r="H41" i="18"/>
  <c r="H43" i="19"/>
  <c r="H46" i="16"/>
  <c r="H49" i="20"/>
  <c r="H13" i="22"/>
  <c r="H15" i="21"/>
  <c r="H6" i="17"/>
  <c r="H22" i="19"/>
  <c r="H25" i="18"/>
  <c r="H6" i="24"/>
  <c r="H16" i="16"/>
  <c r="H4" i="16"/>
  <c r="H12" i="19"/>
  <c r="H13" i="19"/>
  <c r="H35" i="16"/>
  <c r="H22" i="16"/>
  <c r="H4" i="17"/>
  <c r="H10" i="17"/>
  <c r="H5" i="22"/>
  <c r="H16" i="19"/>
  <c r="H21" i="18"/>
  <c r="H9" i="21"/>
  <c r="H22" i="21"/>
  <c r="H25" i="24"/>
  <c r="H11" i="18"/>
  <c r="H44" i="18"/>
  <c r="H6" i="16"/>
  <c r="H47" i="21"/>
  <c r="H20" i="18"/>
  <c r="H6" i="19"/>
  <c r="H21" i="19"/>
  <c r="H46" i="22"/>
  <c r="H14" i="19"/>
  <c r="H40" i="18"/>
  <c r="H17" i="19"/>
  <c r="H24" i="24"/>
  <c r="H24" i="22"/>
  <c r="F40" i="16"/>
  <c r="H9" i="20"/>
  <c r="H23" i="16"/>
  <c r="H8" i="24"/>
  <c r="H8" i="21"/>
  <c r="H3" i="21"/>
  <c r="H10" i="20"/>
  <c r="H19" i="21"/>
  <c r="H7" i="22"/>
  <c r="H45" i="21"/>
  <c r="H15" i="24"/>
  <c r="H40" i="17"/>
  <c r="F40" i="18"/>
  <c r="H25" i="19"/>
  <c r="H15" i="17"/>
  <c r="H14" i="21"/>
  <c r="H18" i="16"/>
  <c r="H9" i="19"/>
  <c r="H13" i="18"/>
  <c r="H18" i="17"/>
  <c r="H14" i="20"/>
  <c r="H3" i="16"/>
  <c r="H10" i="22"/>
  <c r="H53" i="19"/>
  <c r="H8" i="20"/>
  <c r="H43" i="21"/>
  <c r="H17" i="17"/>
  <c r="H47" i="17"/>
  <c r="H5" i="24"/>
  <c r="H46" i="18"/>
  <c r="H20" i="16"/>
  <c r="H50" i="21"/>
  <c r="H17" i="24"/>
  <c r="H19" i="17"/>
  <c r="H3" i="18"/>
  <c r="H10" i="24"/>
  <c r="H9" i="22"/>
  <c r="H14" i="22"/>
  <c r="H21" i="24"/>
  <c r="H51" i="21"/>
  <c r="H19" i="19"/>
  <c r="H23" i="18"/>
  <c r="H25" i="20"/>
  <c r="H47" i="22"/>
  <c r="H3" i="17"/>
  <c r="H24" i="20"/>
  <c r="H11" i="24"/>
  <c r="H26" i="16"/>
  <c r="H21" i="16"/>
  <c r="H20" i="21"/>
  <c r="H3" i="22"/>
  <c r="H5" i="18"/>
  <c r="H9" i="16"/>
  <c r="H48" i="19"/>
  <c r="H21" i="20"/>
  <c r="H20" i="24"/>
  <c r="H24" i="16"/>
  <c r="H48" i="16"/>
  <c r="H23" i="24"/>
  <c r="H12" i="24"/>
  <c r="H8" i="17"/>
  <c r="H22" i="18"/>
  <c r="H19" i="16"/>
  <c r="H20" i="20"/>
  <c r="H40" i="16"/>
  <c r="H3" i="24"/>
  <c r="H6" i="22"/>
  <c r="H17" i="22"/>
  <c r="H21" i="21"/>
  <c r="H14" i="24"/>
  <c r="H23" i="19"/>
  <c r="H19" i="22"/>
  <c r="H4" i="21"/>
  <c r="H26" i="21"/>
  <c r="Y459" i="1"/>
  <c r="U1309" i="1"/>
  <c r="L1018" i="1"/>
  <c r="H31" i="18" l="1"/>
  <c r="H31" i="19"/>
  <c r="H31" i="24"/>
  <c r="H31" i="20"/>
  <c r="H31" i="16"/>
  <c r="H31" i="22"/>
  <c r="H31" i="21"/>
  <c r="H31" i="17"/>
  <c r="Y109" i="1"/>
  <c r="Y111" i="1"/>
  <c r="Y112" i="1"/>
  <c r="Y113" i="1"/>
  <c r="Y124" i="1"/>
  <c r="Y126" i="1"/>
  <c r="Y129" i="1"/>
  <c r="Y128" i="1"/>
  <c r="Y119" i="1"/>
  <c r="Y130" i="1"/>
  <c r="Y121" i="1"/>
  <c r="Y146" i="1"/>
  <c r="Y114" i="1"/>
  <c r="Y110" i="1"/>
  <c r="Y115" i="1"/>
  <c r="Y117" i="1"/>
  <c r="Y118" i="1"/>
  <c r="Y125" i="1"/>
  <c r="Y140" i="1"/>
  <c r="Y150" i="1"/>
  <c r="Y108" i="1"/>
  <c r="Y116" i="1"/>
  <c r="Y120" i="1"/>
  <c r="Y127" i="1"/>
  <c r="Y131" i="1"/>
  <c r="Y122" i="1"/>
  <c r="Y123" i="1"/>
  <c r="Y132" i="1"/>
  <c r="Y141" i="1"/>
  <c r="Y133" i="1"/>
  <c r="Y134" i="1"/>
  <c r="Y135" i="1"/>
  <c r="Y136" i="1"/>
  <c r="Y138" i="1"/>
  <c r="Y144" i="1"/>
  <c r="Y143" i="1"/>
  <c r="Y137" i="1"/>
  <c r="Y142" i="1"/>
  <c r="Y139" i="1"/>
  <c r="Y145" i="1"/>
  <c r="Y147" i="1"/>
  <c r="Y148" i="1"/>
  <c r="Y149" i="1"/>
  <c r="Y151" i="1"/>
  <c r="Y152" i="1"/>
  <c r="Y153" i="1"/>
  <c r="Y154" i="1"/>
  <c r="Y155" i="1"/>
  <c r="Y156" i="1"/>
  <c r="Y157" i="1"/>
  <c r="Y158" i="1"/>
  <c r="Y159" i="1"/>
  <c r="Y164" i="1"/>
  <c r="Y166" i="1"/>
  <c r="Y167" i="1"/>
  <c r="Y172" i="1"/>
  <c r="Y175" i="1"/>
  <c r="Y178" i="1"/>
  <c r="Y177" i="1"/>
  <c r="Y174" i="1"/>
  <c r="Y199" i="1"/>
  <c r="Y204" i="1"/>
  <c r="Y160" i="1"/>
  <c r="Y161" i="1"/>
  <c r="Y163" i="1"/>
  <c r="Y169" i="1"/>
  <c r="Y170" i="1"/>
  <c r="Y173" i="1"/>
  <c r="Y165" i="1"/>
  <c r="Y168" i="1"/>
  <c r="Y194" i="1"/>
  <c r="Y162" i="1"/>
  <c r="Y179" i="1"/>
  <c r="Y176" i="1"/>
  <c r="Y180" i="1"/>
  <c r="Y188" i="1"/>
  <c r="Y189" i="1"/>
  <c r="Y181" i="1"/>
  <c r="Y171" i="1"/>
  <c r="Y182" i="1"/>
  <c r="Y190" i="1"/>
  <c r="Y183" i="1"/>
  <c r="Y191" i="1"/>
  <c r="Y192" i="1"/>
  <c r="Y184" i="1"/>
  <c r="Y185" i="1"/>
  <c r="Y193" i="1"/>
  <c r="Y186" i="1"/>
  <c r="Y195" i="1"/>
  <c r="Y197" i="1"/>
  <c r="Y187" i="1"/>
  <c r="Y196" i="1"/>
  <c r="Y198" i="1"/>
  <c r="Y200" i="1"/>
  <c r="Y201" i="1"/>
  <c r="Y202" i="1"/>
  <c r="Y203" i="1"/>
  <c r="Y487" i="1"/>
  <c r="Y488" i="1"/>
  <c r="Y491" i="1"/>
  <c r="Y493" i="1"/>
  <c r="Y495" i="1"/>
  <c r="Y497" i="1"/>
  <c r="Y498" i="1"/>
  <c r="Y499" i="1"/>
  <c r="Y501" i="1"/>
  <c r="Y502" i="1"/>
  <c r="Y504" i="1"/>
  <c r="Y508" i="1"/>
  <c r="Y510" i="1"/>
  <c r="Y523" i="1"/>
  <c r="Y489" i="1"/>
  <c r="Y492" i="1"/>
  <c r="Y494" i="1"/>
  <c r="Y496" i="1"/>
  <c r="Y500" i="1"/>
  <c r="Y522" i="1"/>
  <c r="Y490" i="1"/>
  <c r="Y503" i="1"/>
  <c r="Y507" i="1"/>
  <c r="Y512" i="1"/>
  <c r="Y505" i="1"/>
  <c r="Y521" i="1"/>
  <c r="Y506" i="1"/>
  <c r="Y513" i="1"/>
  <c r="Y509" i="1"/>
  <c r="Y514" i="1"/>
  <c r="Y515" i="1"/>
  <c r="Y516" i="1"/>
  <c r="Y524" i="1"/>
  <c r="Y525" i="1"/>
  <c r="Y518" i="1"/>
  <c r="Y519" i="1"/>
  <c r="Y511" i="1"/>
  <c r="Y520" i="1"/>
  <c r="Y517" i="1"/>
  <c r="Y526" i="1"/>
  <c r="Y527" i="1"/>
  <c r="Y528" i="1"/>
  <c r="Y529" i="1"/>
  <c r="Y530" i="1"/>
  <c r="Y531" i="1"/>
  <c r="Y532" i="1"/>
  <c r="Y585" i="1"/>
  <c r="Y586" i="1"/>
  <c r="Y587" i="1"/>
  <c r="Y589" i="1"/>
  <c r="Y591" i="1"/>
  <c r="Y592" i="1"/>
  <c r="Y594" i="1"/>
  <c r="Y599" i="1"/>
  <c r="Y602" i="1"/>
  <c r="Y603" i="1"/>
  <c r="Y605" i="1"/>
  <c r="Y598" i="1"/>
  <c r="Y618" i="1"/>
  <c r="Y619" i="1"/>
  <c r="Y623" i="1"/>
  <c r="Y583" i="1"/>
  <c r="Y584" i="1"/>
  <c r="Y588" i="1"/>
  <c r="Y595" i="1"/>
  <c r="Y596" i="1"/>
  <c r="Y604" i="1"/>
  <c r="Y616" i="1"/>
  <c r="Y590" i="1"/>
  <c r="Y593" i="1"/>
  <c r="Y601" i="1"/>
  <c r="Y606" i="1"/>
  <c r="Y607" i="1"/>
  <c r="Y600" i="1"/>
  <c r="Y608" i="1"/>
  <c r="Y609" i="1"/>
  <c r="Y610" i="1"/>
  <c r="Y617" i="1"/>
  <c r="Y611" i="1"/>
  <c r="Y620" i="1"/>
  <c r="Y615" i="1"/>
  <c r="Y597" i="1"/>
  <c r="Y621" i="1"/>
  <c r="Y612" i="1"/>
  <c r="Y613" i="1"/>
  <c r="Y614" i="1"/>
  <c r="Y622" i="1"/>
  <c r="Y624" i="1"/>
  <c r="Y625" i="1"/>
  <c r="Y626" i="1"/>
  <c r="Y627" i="1"/>
  <c r="Y726" i="1"/>
  <c r="Y728" i="1"/>
  <c r="Y730" i="1"/>
  <c r="Y731" i="1"/>
  <c r="Y734" i="1"/>
  <c r="Y735" i="1"/>
  <c r="Y732" i="1"/>
  <c r="Y737" i="1"/>
  <c r="Y740" i="1"/>
  <c r="Y741" i="1"/>
  <c r="Y745" i="1"/>
  <c r="Y752" i="1"/>
  <c r="Y743" i="1"/>
  <c r="Y747" i="1"/>
  <c r="Y768" i="1"/>
  <c r="Y725" i="1"/>
  <c r="Y727" i="1"/>
  <c r="Y729" i="1"/>
  <c r="Y736" i="1"/>
  <c r="Y742" i="1"/>
  <c r="Y744" i="1"/>
  <c r="Y754" i="1"/>
  <c r="Y761" i="1"/>
  <c r="Y764" i="1"/>
  <c r="Y724" i="1"/>
  <c r="Y746" i="1"/>
  <c r="Y748" i="1"/>
  <c r="Y749" i="1"/>
  <c r="Y733" i="1"/>
  <c r="Y739" i="1"/>
  <c r="Y738" i="1"/>
  <c r="Y753" i="1"/>
  <c r="Y751" i="1"/>
  <c r="Y750" i="1"/>
  <c r="Y756" i="1"/>
  <c r="Y757" i="1"/>
  <c r="Y758" i="1"/>
  <c r="Y759" i="1"/>
  <c r="Y760" i="1"/>
  <c r="Y762" i="1"/>
  <c r="Y765" i="1"/>
  <c r="Y766" i="1"/>
  <c r="Y767" i="1"/>
  <c r="Y763" i="1"/>
  <c r="Y755" i="1"/>
  <c r="Y769" i="1"/>
  <c r="Y770" i="1"/>
  <c r="Y771" i="1"/>
  <c r="Y772" i="1"/>
  <c r="Y963" i="1"/>
  <c r="Y964" i="1"/>
  <c r="Y965" i="1"/>
  <c r="Y966" i="1"/>
  <c r="Y968" i="1"/>
  <c r="Y970" i="1"/>
  <c r="Y972" i="1"/>
  <c r="Y973" i="1"/>
  <c r="Y974" i="1"/>
  <c r="Y976" i="1"/>
  <c r="Y980" i="1"/>
  <c r="Y977" i="1"/>
  <c r="Y1000" i="1"/>
  <c r="Y1004" i="1"/>
  <c r="Y969" i="1"/>
  <c r="Y979" i="1"/>
  <c r="Y981" i="1"/>
  <c r="Y982" i="1"/>
  <c r="Y988" i="1"/>
  <c r="Y978" i="1"/>
  <c r="Y997" i="1"/>
  <c r="Y967" i="1"/>
  <c r="Y975" i="1"/>
  <c r="Y971" i="1"/>
  <c r="Y992" i="1"/>
  <c r="Y983" i="1"/>
  <c r="Y984" i="1"/>
  <c r="Y985" i="1"/>
  <c r="Y986" i="1"/>
  <c r="Y993" i="1"/>
  <c r="Y989" i="1"/>
  <c r="Y987" i="1"/>
  <c r="Y996" i="1"/>
  <c r="Y995" i="1"/>
  <c r="Y990" i="1"/>
  <c r="Y998" i="1"/>
  <c r="Y991" i="1"/>
  <c r="Y994" i="1"/>
  <c r="Y999" i="1"/>
  <c r="Y1001" i="1"/>
  <c r="Y1002" i="1"/>
  <c r="Y1003" i="1"/>
  <c r="Y1005" i="1"/>
  <c r="Y1006" i="1"/>
  <c r="Y1007" i="1"/>
  <c r="Y1008" i="1"/>
  <c r="Y1009" i="1"/>
  <c r="Y1207" i="1"/>
  <c r="Y1209" i="1"/>
  <c r="Y1210" i="1"/>
  <c r="Y1211" i="1"/>
  <c r="Y1212" i="1"/>
  <c r="Y1213" i="1"/>
  <c r="Y1216" i="1"/>
  <c r="Y1223" i="1"/>
  <c r="Y1224" i="1"/>
  <c r="Y1241" i="1"/>
  <c r="Y1230" i="1"/>
  <c r="Y1247" i="1"/>
  <c r="Y1248" i="1"/>
  <c r="Y1208" i="1"/>
  <c r="Y1214" i="1"/>
  <c r="Y1215" i="1"/>
  <c r="Y1217" i="1"/>
  <c r="Y1219" i="1"/>
  <c r="Y1220" i="1"/>
  <c r="Y1239" i="1"/>
  <c r="Y1240" i="1"/>
  <c r="Y1218" i="1"/>
  <c r="Y1222" i="1"/>
  <c r="Y1221" i="1"/>
  <c r="Y1227" i="1"/>
  <c r="Y1231" i="1"/>
  <c r="Y1235" i="1"/>
  <c r="Y1236" i="1"/>
  <c r="Y1234" i="1"/>
  <c r="Y1237" i="1"/>
  <c r="Y1228" i="1"/>
  <c r="Y1242" i="1"/>
  <c r="Y1243" i="1"/>
  <c r="Y1229" i="1"/>
  <c r="Y1225" i="1"/>
  <c r="Y1232" i="1"/>
  <c r="Y1226" i="1"/>
  <c r="Y1233" i="1"/>
  <c r="Y1244" i="1"/>
  <c r="Y1245" i="1"/>
  <c r="Y1238" i="1"/>
  <c r="Y1246" i="1"/>
  <c r="Y1249" i="1"/>
  <c r="Y1250" i="1"/>
  <c r="Y1251" i="1"/>
  <c r="Y1252" i="1"/>
  <c r="Y1253" i="1"/>
  <c r="Y1254" i="1"/>
  <c r="Y1255" i="1"/>
  <c r="Y1256" i="1"/>
  <c r="Y1257" i="1"/>
  <c r="Y1260" i="1"/>
  <c r="Y1265" i="1"/>
  <c r="Y1266" i="1"/>
  <c r="Y1276" i="1"/>
  <c r="Y1263" i="1"/>
  <c r="Y1267" i="1"/>
  <c r="Y1272" i="1"/>
  <c r="Y1285" i="1"/>
  <c r="Y1291" i="1"/>
  <c r="Y1297" i="1"/>
  <c r="Y1302" i="1"/>
  <c r="Y1258" i="1"/>
  <c r="Y1261" i="1"/>
  <c r="Y1262" i="1"/>
  <c r="Y1264" i="1"/>
  <c r="Y1273" i="1"/>
  <c r="Y1286" i="1"/>
  <c r="Y1293" i="1"/>
  <c r="Y1259" i="1"/>
  <c r="Y1294" i="1"/>
  <c r="Y1268" i="1"/>
  <c r="Y1275" i="1"/>
  <c r="Y1269" i="1"/>
  <c r="Y1277" i="1"/>
  <c r="Y1270" i="1"/>
  <c r="Y1271" i="1"/>
  <c r="Y1278" i="1"/>
  <c r="Y1279" i="1"/>
  <c r="Y1274" i="1"/>
  <c r="Y1287" i="1"/>
  <c r="Y1280" i="1"/>
  <c r="Y1289" i="1"/>
  <c r="Y1290" i="1"/>
  <c r="Y1281" i="1"/>
  <c r="Y1282" i="1"/>
  <c r="Y1283" i="1"/>
  <c r="Y1292" i="1"/>
  <c r="Y1284" i="1"/>
  <c r="Y1288" i="1"/>
  <c r="Y1295" i="1"/>
  <c r="Y1296" i="1"/>
  <c r="Y1298" i="1"/>
  <c r="Y1299" i="1"/>
  <c r="Y1300" i="1"/>
  <c r="Y1301" i="1"/>
  <c r="Y205" i="1"/>
  <c r="Y210" i="1"/>
  <c r="Y213" i="1"/>
  <c r="Y215" i="1"/>
  <c r="Y217" i="1"/>
  <c r="Y219" i="1"/>
  <c r="Y218" i="1"/>
  <c r="Y214" i="1"/>
  <c r="Y231" i="1"/>
  <c r="Y238" i="1"/>
  <c r="Y246" i="1"/>
  <c r="Y206" i="1"/>
  <c r="Y207" i="1"/>
  <c r="Y208" i="1"/>
  <c r="Y209" i="1"/>
  <c r="Y212" i="1"/>
  <c r="Y216" i="1"/>
  <c r="Y220" i="1"/>
  <c r="Y211" i="1"/>
  <c r="Y221" i="1"/>
  <c r="Y224" i="1"/>
  <c r="Y222" i="1"/>
  <c r="Y225" i="1"/>
  <c r="Y223" i="1"/>
  <c r="Y228" i="1"/>
  <c r="Y230" i="1"/>
  <c r="Y233" i="1"/>
  <c r="Y235" i="1"/>
  <c r="Y227" i="1"/>
  <c r="Y234" i="1"/>
  <c r="Y229" i="1"/>
  <c r="Y226" i="1"/>
  <c r="Y236" i="1"/>
  <c r="Y237" i="1"/>
  <c r="Y239" i="1"/>
  <c r="Y240" i="1"/>
  <c r="Y232" i="1"/>
  <c r="Y241" i="1"/>
  <c r="Y244" i="1"/>
  <c r="Y245" i="1"/>
  <c r="Y242" i="1"/>
  <c r="Y243" i="1"/>
  <c r="Y247" i="1"/>
  <c r="Y248" i="1"/>
  <c r="Y249" i="1"/>
  <c r="Y344" i="1"/>
  <c r="Y345" i="1"/>
  <c r="Y346" i="1"/>
  <c r="Y347" i="1"/>
  <c r="Y349" i="1"/>
  <c r="Y351" i="1"/>
  <c r="Y354" i="1"/>
  <c r="Y356" i="1"/>
  <c r="Y357" i="1"/>
  <c r="Y352" i="1"/>
  <c r="Y360" i="1"/>
  <c r="Y376" i="1"/>
  <c r="Y379" i="1"/>
  <c r="Y385" i="1"/>
  <c r="Y389" i="1"/>
  <c r="Y348" i="1"/>
  <c r="Y350" i="1"/>
  <c r="Y353" i="1"/>
  <c r="Y355" i="1"/>
  <c r="Y358" i="1"/>
  <c r="Y380" i="1"/>
  <c r="Y386" i="1"/>
  <c r="Y343" i="1"/>
  <c r="Y370" i="1"/>
  <c r="Y391" i="1"/>
  <c r="Y392" i="1"/>
  <c r="Y362" i="1"/>
  <c r="Y363" i="1"/>
  <c r="Y359" i="1"/>
  <c r="Y361" i="1"/>
  <c r="Y364" i="1"/>
  <c r="Y372" i="1"/>
  <c r="Y365" i="1"/>
  <c r="Y366" i="1"/>
  <c r="Y371" i="1"/>
  <c r="Y375" i="1"/>
  <c r="Y367" i="1"/>
  <c r="Y368" i="1"/>
  <c r="Y374" i="1"/>
  <c r="Y373" i="1"/>
  <c r="Y378" i="1"/>
  <c r="Y381" i="1"/>
  <c r="Y382" i="1"/>
  <c r="Y383" i="1"/>
  <c r="Y384" i="1"/>
  <c r="Y369" i="1"/>
  <c r="Y377" i="1"/>
  <c r="Y387" i="1"/>
  <c r="Y388" i="1"/>
  <c r="Y390" i="1"/>
  <c r="Y819" i="1"/>
  <c r="Y821" i="1"/>
  <c r="Y824" i="1"/>
  <c r="Y825" i="1"/>
  <c r="Y829" i="1"/>
  <c r="Y831" i="1"/>
  <c r="Y833" i="1"/>
  <c r="Y827" i="1"/>
  <c r="Y840" i="1"/>
  <c r="Y832" i="1"/>
  <c r="Y852" i="1"/>
  <c r="Y861" i="1"/>
  <c r="Y865" i="1"/>
  <c r="Y822" i="1"/>
  <c r="Y823" i="1"/>
  <c r="Y826" i="1"/>
  <c r="Y830" i="1"/>
  <c r="Y834" i="1"/>
  <c r="Y828" i="1"/>
  <c r="Y851" i="1"/>
  <c r="Y820" i="1"/>
  <c r="Y837" i="1"/>
  <c r="Y862" i="1"/>
  <c r="Y866" i="1"/>
  <c r="Y867" i="1"/>
  <c r="Y841" i="1"/>
  <c r="Y836" i="1"/>
  <c r="Y850" i="1"/>
  <c r="Y835" i="1"/>
  <c r="Y849" i="1"/>
  <c r="Y842" i="1"/>
  <c r="Y843" i="1"/>
  <c r="Y844" i="1"/>
  <c r="Y853" i="1"/>
  <c r="Y838" i="1"/>
  <c r="Y839" i="1"/>
  <c r="Y845" i="1"/>
  <c r="Y848" i="1"/>
  <c r="Y846" i="1"/>
  <c r="Y854" i="1"/>
  <c r="Y855" i="1"/>
  <c r="Y856" i="1"/>
  <c r="Y847" i="1"/>
  <c r="Y857" i="1"/>
  <c r="Y858" i="1"/>
  <c r="Y859" i="1"/>
  <c r="Y860" i="1"/>
  <c r="Y863" i="1"/>
  <c r="Y864" i="1"/>
  <c r="Y868" i="1"/>
  <c r="Y870" i="1"/>
  <c r="Y872" i="1"/>
  <c r="Y873" i="1"/>
  <c r="Y874" i="1"/>
  <c r="Y875" i="1"/>
  <c r="Y876" i="1"/>
  <c r="Y879" i="1"/>
  <c r="Y880" i="1"/>
  <c r="Y881" i="1"/>
  <c r="Y883" i="1"/>
  <c r="Y894" i="1"/>
  <c r="Y891" i="1"/>
  <c r="Y890" i="1"/>
  <c r="Y903" i="1"/>
  <c r="Y869" i="1"/>
  <c r="Y871" i="1"/>
  <c r="Y882" i="1"/>
  <c r="Y884" i="1"/>
  <c r="Y885" i="1"/>
  <c r="Y888" i="1"/>
  <c r="Y877" i="1"/>
  <c r="Y886" i="1"/>
  <c r="Y889" i="1"/>
  <c r="Y887" i="1"/>
  <c r="Y892" i="1"/>
  <c r="Y893" i="1"/>
  <c r="Y878" i="1"/>
  <c r="Y896" i="1"/>
  <c r="Y897" i="1"/>
  <c r="Y898" i="1"/>
  <c r="Y899" i="1"/>
  <c r="Y900" i="1"/>
  <c r="Y901" i="1"/>
  <c r="Y895" i="1"/>
  <c r="Y902" i="1"/>
  <c r="Y904" i="1"/>
  <c r="Y905" i="1"/>
  <c r="Y906" i="1"/>
  <c r="Y907" i="1"/>
  <c r="Y908" i="1"/>
  <c r="Y909" i="1"/>
  <c r="Y910" i="1"/>
  <c r="Y911" i="1"/>
  <c r="Y912" i="1"/>
  <c r="Y913" i="1"/>
  <c r="Y918" i="1"/>
  <c r="Y920" i="1"/>
  <c r="Y921" i="1"/>
  <c r="Y922" i="1"/>
  <c r="Y924" i="1"/>
  <c r="Y925" i="1"/>
  <c r="Y927" i="1"/>
  <c r="Y928" i="1"/>
  <c r="Y929" i="1"/>
  <c r="Y937" i="1"/>
  <c r="Y952" i="1"/>
  <c r="Y958" i="1"/>
  <c r="Y916" i="1"/>
  <c r="Y917" i="1"/>
  <c r="Y919" i="1"/>
  <c r="Y923" i="1"/>
  <c r="Y926" i="1"/>
  <c r="Y946" i="1"/>
  <c r="Y933" i="1"/>
  <c r="Y957" i="1"/>
  <c r="Y915" i="1"/>
  <c r="Y959" i="1"/>
  <c r="Y938" i="1"/>
  <c r="Y939" i="1"/>
  <c r="Y930" i="1"/>
  <c r="Y935" i="1"/>
  <c r="Y936" i="1"/>
  <c r="Y931" i="1"/>
  <c r="Y934" i="1"/>
  <c r="Y932" i="1"/>
  <c r="Y947" i="1"/>
  <c r="Y949" i="1"/>
  <c r="Y944" i="1"/>
  <c r="Y945" i="1"/>
  <c r="Y940" i="1"/>
  <c r="Y943" i="1"/>
  <c r="Y948" i="1"/>
  <c r="Y941" i="1"/>
  <c r="Y942" i="1"/>
  <c r="Y951" i="1"/>
  <c r="Y950" i="1"/>
  <c r="Y953" i="1"/>
  <c r="Y954" i="1"/>
  <c r="Y955" i="1"/>
  <c r="Y956" i="1"/>
  <c r="Y960" i="1"/>
  <c r="Y961" i="1"/>
  <c r="Y962" i="1"/>
  <c r="Y1010" i="1"/>
  <c r="Y1011" i="1"/>
  <c r="Y1012" i="1"/>
  <c r="Y1014" i="1"/>
  <c r="Y1016" i="1"/>
  <c r="Y1017" i="1"/>
  <c r="Y1022" i="1"/>
  <c r="Y1023" i="1"/>
  <c r="Y1024" i="1"/>
  <c r="Y1031" i="1"/>
  <c r="Y1018" i="1"/>
  <c r="Y1028" i="1"/>
  <c r="Y1029" i="1"/>
  <c r="Y1050" i="1"/>
  <c r="Y1013" i="1"/>
  <c r="Y1015" i="1"/>
  <c r="Y1019" i="1"/>
  <c r="Y1027" i="1"/>
  <c r="Y1025" i="1"/>
  <c r="Y1026" i="1"/>
  <c r="Y1045" i="1"/>
  <c r="Y1020" i="1"/>
  <c r="Y1021" i="1"/>
  <c r="Y1037" i="1"/>
  <c r="Y1038" i="1"/>
  <c r="Y1030" i="1"/>
  <c r="Y1039" i="1"/>
  <c r="Y1035" i="1"/>
  <c r="Y1036" i="1"/>
  <c r="Y1032" i="1"/>
  <c r="Y1033" i="1"/>
  <c r="Y1041" i="1"/>
  <c r="Y1034" i="1"/>
  <c r="Y1043" i="1"/>
  <c r="Y1047" i="1"/>
  <c r="Y1048" i="1"/>
  <c r="Y1044" i="1"/>
  <c r="Y1046" i="1"/>
  <c r="Y1042" i="1"/>
  <c r="Y1051" i="1"/>
  <c r="Y1052" i="1"/>
  <c r="Y1053" i="1"/>
  <c r="Y1040" i="1"/>
  <c r="Y1054" i="1"/>
  <c r="Y1055" i="1"/>
  <c r="Y1049" i="1"/>
  <c r="Y1056" i="1"/>
  <c r="Y1057" i="1"/>
  <c r="Y1058" i="1"/>
  <c r="Y1059" i="1"/>
  <c r="Y1060" i="1"/>
  <c r="Y1061" i="1"/>
  <c r="Y1062" i="1"/>
  <c r="Y1064" i="1"/>
  <c r="Y1066" i="1"/>
  <c r="Y1073" i="1"/>
  <c r="Y1069" i="1"/>
  <c r="Y1071" i="1"/>
  <c r="Y1075" i="1"/>
  <c r="Y1086" i="1"/>
  <c r="Y1087" i="1"/>
  <c r="Y1077" i="1"/>
  <c r="Y1093" i="1"/>
  <c r="Y1094" i="1"/>
  <c r="Y1095" i="1"/>
  <c r="Y1063" i="1"/>
  <c r="Y1065" i="1"/>
  <c r="Y1067" i="1"/>
  <c r="Y1068" i="1"/>
  <c r="Y1072" i="1"/>
  <c r="Y1074" i="1"/>
  <c r="Y1096" i="1"/>
  <c r="Y1070" i="1"/>
  <c r="Y1091" i="1"/>
  <c r="Y1078" i="1"/>
  <c r="Y1079" i="1"/>
  <c r="Y1076" i="1"/>
  <c r="Y1080" i="1"/>
  <c r="Y1081" i="1"/>
  <c r="Y1082" i="1"/>
  <c r="Y1083" i="1"/>
  <c r="Y1084" i="1"/>
  <c r="Y1085" i="1"/>
  <c r="Y1088" i="1"/>
  <c r="Y1089" i="1"/>
  <c r="Y1090" i="1"/>
  <c r="Y1092" i="1"/>
  <c r="Y1097" i="1"/>
  <c r="Y1098" i="1"/>
  <c r="Y1099" i="1"/>
  <c r="Y1100" i="1"/>
  <c r="Y1101" i="1"/>
  <c r="Y1102" i="1"/>
  <c r="Y1103" i="1"/>
  <c r="Y1104" i="1"/>
  <c r="Y1105" i="1"/>
  <c r="Y1106" i="1"/>
  <c r="Y1107" i="1"/>
  <c r="Y1440" i="1"/>
  <c r="Y1442" i="1"/>
  <c r="Y1443" i="1"/>
  <c r="Y1445" i="1"/>
  <c r="Y1447" i="1"/>
  <c r="Y1449" i="1"/>
  <c r="Y1450" i="1"/>
  <c r="Y1452" i="1"/>
  <c r="Y1457" i="1"/>
  <c r="Y1455" i="1"/>
  <c r="Y1473" i="1"/>
  <c r="Y1479" i="1"/>
  <c r="Y1441" i="1"/>
  <c r="Y1446" i="1"/>
  <c r="Y1448" i="1"/>
  <c r="Y1451" i="1"/>
  <c r="Y1453" i="1"/>
  <c r="Y1458" i="1"/>
  <c r="Y1444" i="1"/>
  <c r="Y1459" i="1"/>
  <c r="Y1456" i="1"/>
  <c r="Y1460" i="1"/>
  <c r="Y1461" i="1"/>
  <c r="Y1454" i="1"/>
  <c r="Y1462" i="1"/>
  <c r="Y1463" i="1"/>
  <c r="Y1464" i="1"/>
  <c r="Y1472" i="1"/>
  <c r="Y1465" i="1"/>
  <c r="Y1466" i="1"/>
  <c r="Y1470" i="1"/>
  <c r="Y1467" i="1"/>
  <c r="Y1476" i="1"/>
  <c r="Y1468" i="1"/>
  <c r="Y1475" i="1"/>
  <c r="Y1474" i="1"/>
  <c r="Y1471" i="1"/>
  <c r="Y1469" i="1"/>
  <c r="Y1477" i="1"/>
  <c r="Y1478" i="1"/>
  <c r="Y295" i="1"/>
  <c r="Y296" i="1"/>
  <c r="Y298" i="1"/>
  <c r="Y301" i="1"/>
  <c r="Y305" i="1"/>
  <c r="Y315" i="1"/>
  <c r="Y309" i="1"/>
  <c r="Y310" i="1"/>
  <c r="Y317" i="1"/>
  <c r="Y318" i="1"/>
  <c r="Y334" i="1"/>
  <c r="Y335" i="1"/>
  <c r="Y339" i="1"/>
  <c r="Y340" i="1"/>
  <c r="Y297" i="1"/>
  <c r="Y300" i="1"/>
  <c r="Y302" i="1"/>
  <c r="Y306" i="1"/>
  <c r="Y307" i="1"/>
  <c r="Y312" i="1"/>
  <c r="Y299" i="1"/>
  <c r="Y304" i="1"/>
  <c r="Y319" i="1"/>
  <c r="Y303" i="1"/>
  <c r="Y313" i="1"/>
  <c r="Y314" i="1"/>
  <c r="Y320" i="1"/>
  <c r="Y311" i="1"/>
  <c r="Y308" i="1"/>
  <c r="Y321" i="1"/>
  <c r="Y322" i="1"/>
  <c r="Y323" i="1"/>
  <c r="Y324" i="1"/>
  <c r="Y325" i="1"/>
  <c r="Y326" i="1"/>
  <c r="Y327" i="1"/>
  <c r="Y328" i="1"/>
  <c r="Y329" i="1"/>
  <c r="Y330" i="1"/>
  <c r="Y336" i="1"/>
  <c r="Y331" i="1"/>
  <c r="Y337" i="1"/>
  <c r="Y316" i="1"/>
  <c r="Y332" i="1"/>
  <c r="Y333" i="1"/>
  <c r="Y338" i="1"/>
  <c r="Y341" i="1"/>
  <c r="Y342" i="1"/>
  <c r="Y393" i="1"/>
  <c r="Y396" i="1"/>
  <c r="Y398" i="1"/>
  <c r="Y400" i="1"/>
  <c r="Y402" i="1"/>
  <c r="Y405" i="1"/>
  <c r="Y409" i="1"/>
  <c r="Y415" i="1"/>
  <c r="Y417" i="1"/>
  <c r="Y411" i="1"/>
  <c r="Y414" i="1"/>
  <c r="Y407" i="1"/>
  <c r="Y406" i="1"/>
  <c r="Y394" i="1"/>
  <c r="Y397" i="1"/>
  <c r="Y399" i="1"/>
  <c r="Y403" i="1"/>
  <c r="Y404" i="1"/>
  <c r="Y408" i="1"/>
  <c r="Y416" i="1"/>
  <c r="Y418" i="1"/>
  <c r="Y395" i="1"/>
  <c r="Y401" i="1"/>
  <c r="Y419" i="1"/>
  <c r="Y412" i="1"/>
  <c r="Y410" i="1"/>
  <c r="Y420" i="1"/>
  <c r="Y413" i="1"/>
  <c r="Y421" i="1"/>
  <c r="Y423" i="1"/>
  <c r="Y422" i="1"/>
  <c r="Y425" i="1"/>
  <c r="Y426" i="1"/>
  <c r="Y427" i="1"/>
  <c r="Y424" i="1"/>
  <c r="Y428" i="1"/>
  <c r="Y429" i="1"/>
  <c r="Y430" i="1"/>
  <c r="Y431" i="1"/>
  <c r="Y432" i="1"/>
  <c r="Y433" i="1"/>
  <c r="Y434" i="1"/>
  <c r="Y435" i="1"/>
  <c r="Y436" i="1"/>
  <c r="Y437" i="1"/>
  <c r="Y438" i="1"/>
  <c r="Y439" i="1"/>
  <c r="Y440" i="1"/>
  <c r="Y441" i="1"/>
  <c r="Y442" i="1"/>
  <c r="Y443" i="1"/>
  <c r="Y446" i="1"/>
  <c r="Y449" i="1"/>
  <c r="Y451" i="1"/>
  <c r="Y453" i="1"/>
  <c r="Y454" i="1"/>
  <c r="Y455" i="1"/>
  <c r="Y457" i="1"/>
  <c r="Y462" i="1"/>
  <c r="Y477" i="1"/>
  <c r="Y445" i="1"/>
  <c r="Y447" i="1"/>
  <c r="Y452" i="1"/>
  <c r="Y456" i="1"/>
  <c r="Y461" i="1"/>
  <c r="Y460" i="1"/>
  <c r="Y444" i="1"/>
  <c r="Y450" i="1"/>
  <c r="Y463" i="1"/>
  <c r="Y464" i="1"/>
  <c r="Y448" i="1"/>
  <c r="Y458" i="1"/>
  <c r="Y470" i="1"/>
  <c r="Y465" i="1"/>
  <c r="Y466" i="1"/>
  <c r="Y469" i="1"/>
  <c r="Y467" i="1"/>
  <c r="Y471" i="1"/>
  <c r="Y468" i="1"/>
  <c r="Y472" i="1"/>
  <c r="Y473" i="1"/>
  <c r="Y474" i="1"/>
  <c r="Y475" i="1"/>
  <c r="Y478" i="1"/>
  <c r="Y476" i="1"/>
  <c r="Y479" i="1"/>
  <c r="Y480" i="1"/>
  <c r="Y481" i="1"/>
  <c r="Y482" i="1"/>
  <c r="Y483" i="1"/>
  <c r="Y484" i="1"/>
  <c r="Y485" i="1"/>
  <c r="Y486" i="1"/>
  <c r="Y676" i="1"/>
  <c r="Y679" i="1"/>
  <c r="Y680" i="1"/>
  <c r="Y681" i="1"/>
  <c r="Y682" i="1"/>
  <c r="Y686" i="1"/>
  <c r="Y687" i="1"/>
  <c r="Y688" i="1"/>
  <c r="Y693" i="1"/>
  <c r="Y691" i="1"/>
  <c r="Y692" i="1"/>
  <c r="Y709" i="1"/>
  <c r="Y713" i="1"/>
  <c r="Y677" i="1"/>
  <c r="Y678" i="1"/>
  <c r="Y683" i="1"/>
  <c r="Y685" i="1"/>
  <c r="Y689" i="1"/>
  <c r="Y706" i="1"/>
  <c r="Y707" i="1"/>
  <c r="Y717" i="1"/>
  <c r="Y684" i="1"/>
  <c r="Y718" i="1"/>
  <c r="Y694" i="1"/>
  <c r="Y695" i="1"/>
  <c r="Y690" i="1"/>
  <c r="Y696" i="1"/>
  <c r="Y697" i="1"/>
  <c r="Y698" i="1"/>
  <c r="Y700" i="1"/>
  <c r="Y699" i="1"/>
  <c r="Y701" i="1"/>
  <c r="Y704" i="1"/>
  <c r="Y705" i="1"/>
  <c r="Y702" i="1"/>
  <c r="Y708" i="1"/>
  <c r="Y710" i="1"/>
  <c r="Y711" i="1"/>
  <c r="Y712" i="1"/>
  <c r="Y714" i="1"/>
  <c r="Y703" i="1"/>
  <c r="Y715" i="1"/>
  <c r="Y716" i="1"/>
  <c r="Y719" i="1"/>
  <c r="Y720" i="1"/>
  <c r="Y721" i="1"/>
  <c r="Y722" i="1"/>
  <c r="Y723" i="1"/>
  <c r="Y774" i="1"/>
  <c r="Y776" i="1"/>
  <c r="Y777" i="1"/>
  <c r="Y778" i="1"/>
  <c r="Y779" i="1"/>
  <c r="Y780" i="1"/>
  <c r="Y785" i="1"/>
  <c r="Y783" i="1"/>
  <c r="Y799" i="1"/>
  <c r="Y787" i="1"/>
  <c r="Y802" i="1"/>
  <c r="Y818" i="1"/>
  <c r="Y773" i="1"/>
  <c r="Y781" i="1"/>
  <c r="Y782" i="1"/>
  <c r="Y784" i="1"/>
  <c r="Y788" i="1"/>
  <c r="Y807" i="1"/>
  <c r="Y808" i="1"/>
  <c r="Y811" i="1"/>
  <c r="Y775" i="1"/>
  <c r="Y786" i="1"/>
  <c r="Y789" i="1"/>
  <c r="Y790" i="1"/>
  <c r="Y791" i="1"/>
  <c r="Y792" i="1"/>
  <c r="Y793" i="1"/>
  <c r="Y801" i="1"/>
  <c r="Y794" i="1"/>
  <c r="Y798" i="1"/>
  <c r="Y800" i="1"/>
  <c r="Y803" i="1"/>
  <c r="Y795" i="1"/>
  <c r="Y796" i="1"/>
  <c r="Y804" i="1"/>
  <c r="Y797" i="1"/>
  <c r="Y805" i="1"/>
  <c r="Y806" i="1"/>
  <c r="Y809" i="1"/>
  <c r="Y810" i="1"/>
  <c r="Y812" i="1"/>
  <c r="Y813" i="1"/>
  <c r="Y814" i="1"/>
  <c r="Y815" i="1"/>
  <c r="Y816" i="1"/>
  <c r="Y817" i="1"/>
  <c r="Y1157" i="1"/>
  <c r="Y1158" i="1"/>
  <c r="Y1160" i="1"/>
  <c r="Y1163" i="1"/>
  <c r="Y1164" i="1"/>
  <c r="Y1165" i="1"/>
  <c r="Y1167" i="1"/>
  <c r="Y1170" i="1"/>
  <c r="Y1176" i="1"/>
  <c r="Y1178" i="1"/>
  <c r="Y1187" i="1"/>
  <c r="Y1193" i="1"/>
  <c r="Y1190" i="1"/>
  <c r="Y1197" i="1"/>
  <c r="Y1201" i="1"/>
  <c r="Y1159" i="1"/>
  <c r="Y1161" i="1"/>
  <c r="Y1162" i="1"/>
  <c r="Y1168" i="1"/>
  <c r="Y1169" i="1"/>
  <c r="Y1188" i="1"/>
  <c r="Y1173" i="1"/>
  <c r="Y1198" i="1"/>
  <c r="Y1166" i="1"/>
  <c r="Y1171" i="1"/>
  <c r="Y1179" i="1"/>
  <c r="Y1180" i="1"/>
  <c r="Y1174" i="1"/>
  <c r="Y1181" i="1"/>
  <c r="Y1175" i="1"/>
  <c r="Y1172" i="1"/>
  <c r="Y1182" i="1"/>
  <c r="Y1183" i="1"/>
  <c r="Y1184" i="1"/>
  <c r="Y1185" i="1"/>
  <c r="Y1186" i="1"/>
  <c r="Y1189" i="1"/>
  <c r="Y1194" i="1"/>
  <c r="Y1192" i="1"/>
  <c r="Y1191" i="1"/>
  <c r="Y1195" i="1"/>
  <c r="Y1199" i="1"/>
  <c r="Y1177" i="1"/>
  <c r="Y1200" i="1"/>
  <c r="Y1196" i="1"/>
  <c r="Y1202" i="1"/>
  <c r="Y1203" i="1"/>
  <c r="Y1204" i="1"/>
  <c r="Y1205" i="1"/>
  <c r="Y1206" i="1"/>
  <c r="Y1400" i="1"/>
  <c r="Y1401" i="1"/>
  <c r="Y1402" i="1"/>
  <c r="Y1405" i="1"/>
  <c r="Y1407" i="1"/>
  <c r="Y1410" i="1"/>
  <c r="Y1414" i="1"/>
  <c r="Y1418" i="1"/>
  <c r="Y1408" i="1"/>
  <c r="Y1411" i="1"/>
  <c r="Y1415" i="1"/>
  <c r="Y1426" i="1"/>
  <c r="Y1398" i="1"/>
  <c r="Y1403" i="1"/>
  <c r="Y1404" i="1"/>
  <c r="Y1406" i="1"/>
  <c r="Y1409" i="1"/>
  <c r="Y1413" i="1"/>
  <c r="Y1419" i="1"/>
  <c r="Y1427" i="1"/>
  <c r="Y1399" i="1"/>
  <c r="Y1433" i="1"/>
  <c r="Y1412" i="1"/>
  <c r="Y1423" i="1"/>
  <c r="Y1416" i="1"/>
  <c r="Y1417" i="1"/>
  <c r="Y1420" i="1"/>
  <c r="Y1422" i="1"/>
  <c r="Y1421" i="1"/>
  <c r="Y1429" i="1"/>
  <c r="Y1425" i="1"/>
  <c r="Y1424" i="1"/>
  <c r="Y1430" i="1"/>
  <c r="Y1431" i="1"/>
  <c r="Y1432" i="1"/>
  <c r="Y1428" i="1"/>
  <c r="Y1434" i="1"/>
  <c r="Y1435" i="1"/>
  <c r="Y1436" i="1"/>
  <c r="Y1437" i="1"/>
  <c r="Y1438" i="1"/>
  <c r="Y1439" i="1"/>
  <c r="Y3" i="1"/>
  <c r="Y4" i="1"/>
  <c r="Y5" i="1"/>
  <c r="Y9" i="1"/>
  <c r="Y10" i="1"/>
  <c r="Y11" i="1"/>
  <c r="Y13" i="1"/>
  <c r="Y14" i="1"/>
  <c r="Y15" i="1"/>
  <c r="Y20" i="1"/>
  <c r="Y21" i="1"/>
  <c r="Y54" i="1"/>
  <c r="Y6" i="1"/>
  <c r="Y7" i="1"/>
  <c r="Y8" i="1"/>
  <c r="Y12" i="1"/>
  <c r="Y19" i="1"/>
  <c r="Y33" i="1"/>
  <c r="Y41" i="1"/>
  <c r="Y16" i="1"/>
  <c r="Y17" i="1"/>
  <c r="Y23" i="1"/>
  <c r="Y24" i="1"/>
  <c r="Y18" i="1"/>
  <c r="Y35" i="1"/>
  <c r="Y38" i="1"/>
  <c r="Y39" i="1"/>
  <c r="Y40" i="1"/>
  <c r="Y25" i="1"/>
  <c r="Y26" i="1"/>
  <c r="Y27" i="1"/>
  <c r="Y28" i="1"/>
  <c r="Y34" i="1"/>
  <c r="Y29" i="1"/>
  <c r="Y37" i="1"/>
  <c r="Y30" i="1"/>
  <c r="Y42" i="1"/>
  <c r="Y43" i="1"/>
  <c r="Y31" i="1"/>
  <c r="Y32" i="1"/>
  <c r="Y36" i="1"/>
  <c r="Y22" i="1"/>
  <c r="Y44" i="1"/>
  <c r="Y45" i="1"/>
  <c r="Y46" i="1"/>
  <c r="Y47" i="1"/>
  <c r="Y48" i="1"/>
  <c r="Y49" i="1"/>
  <c r="Y50" i="1"/>
  <c r="Y51" i="1"/>
  <c r="Y52" i="1"/>
  <c r="Y53" i="1"/>
  <c r="Y55" i="1"/>
  <c r="Y56" i="1"/>
  <c r="Y59" i="1"/>
  <c r="Y60" i="1"/>
  <c r="Y64" i="1"/>
  <c r="Y66" i="1"/>
  <c r="Y73" i="1"/>
  <c r="Y78" i="1"/>
  <c r="Y83" i="1"/>
  <c r="Y72" i="1"/>
  <c r="Y71" i="1"/>
  <c r="Y79" i="1"/>
  <c r="Y65" i="1"/>
  <c r="Y75" i="1"/>
  <c r="Y81" i="1"/>
  <c r="Y103" i="1"/>
  <c r="Y57" i="1"/>
  <c r="Y58" i="1"/>
  <c r="Y63" i="1"/>
  <c r="Y62" i="1"/>
  <c r="Y74" i="1"/>
  <c r="Y76" i="1"/>
  <c r="Y104" i="1"/>
  <c r="Y61" i="1"/>
  <c r="Y68" i="1"/>
  <c r="Y69" i="1"/>
  <c r="Y77" i="1"/>
  <c r="Y67" i="1"/>
  <c r="Y70" i="1"/>
  <c r="Y84" i="1"/>
  <c r="Y80" i="1"/>
  <c r="Y92" i="1"/>
  <c r="Y82" i="1"/>
  <c r="Y96" i="1"/>
  <c r="Y91" i="1"/>
  <c r="Y85" i="1"/>
  <c r="Y86" i="1"/>
  <c r="Y87" i="1"/>
  <c r="Y90" i="1"/>
  <c r="Y89" i="1"/>
  <c r="Y88" i="1"/>
  <c r="Y97" i="1"/>
  <c r="Y98" i="1"/>
  <c r="Y94" i="1"/>
  <c r="Y99" i="1"/>
  <c r="Y100" i="1"/>
  <c r="Y101" i="1"/>
  <c r="Y102" i="1"/>
  <c r="Y93" i="1"/>
  <c r="Y95" i="1"/>
  <c r="Y105" i="1"/>
  <c r="Y106" i="1"/>
  <c r="Y250" i="1"/>
  <c r="Y252" i="1"/>
  <c r="Y253" i="1"/>
  <c r="Y254" i="1"/>
  <c r="Y256" i="1"/>
  <c r="Y258" i="1"/>
  <c r="Y262" i="1"/>
  <c r="Y263" i="1"/>
  <c r="Y266" i="1"/>
  <c r="Y268" i="1"/>
  <c r="Y269" i="1"/>
  <c r="Y264" i="1"/>
  <c r="Y279" i="1"/>
  <c r="Y251" i="1"/>
  <c r="Y255" i="1"/>
  <c r="Y257" i="1"/>
  <c r="Y260" i="1"/>
  <c r="Y261" i="1"/>
  <c r="Y274" i="1"/>
  <c r="Y280" i="1"/>
  <c r="Y259" i="1"/>
  <c r="Y284" i="1"/>
  <c r="Y265" i="1"/>
  <c r="Y267" i="1"/>
  <c r="Y270" i="1"/>
  <c r="Y275" i="1"/>
  <c r="Y281" i="1"/>
  <c r="Y273" i="1"/>
  <c r="Y271" i="1"/>
  <c r="Y272" i="1"/>
  <c r="Y277" i="1"/>
  <c r="Y285" i="1"/>
  <c r="Y278" i="1"/>
  <c r="Y282" i="1"/>
  <c r="Y286" i="1"/>
  <c r="Y276" i="1"/>
  <c r="Y287" i="1"/>
  <c r="Y283" i="1"/>
  <c r="Y288" i="1"/>
  <c r="Y289" i="1"/>
  <c r="Y290" i="1"/>
  <c r="Y291" i="1"/>
  <c r="Y292" i="1"/>
  <c r="Y293" i="1"/>
  <c r="Y294" i="1"/>
  <c r="Y533" i="1"/>
  <c r="Y534" i="1"/>
  <c r="Y535" i="1"/>
  <c r="Y536" i="1"/>
  <c r="Y543" i="1"/>
  <c r="Y545" i="1"/>
  <c r="Y546" i="1"/>
  <c r="Y550" i="1"/>
  <c r="Y551" i="1"/>
  <c r="Y542" i="1"/>
  <c r="Y568" i="1"/>
  <c r="Y578" i="1"/>
  <c r="Y580" i="1"/>
  <c r="Y537" i="1"/>
  <c r="Y538" i="1"/>
  <c r="Y540" i="1"/>
  <c r="Y541" i="1"/>
  <c r="Y547" i="1"/>
  <c r="Y554" i="1"/>
  <c r="Y572" i="1"/>
  <c r="Y582" i="1"/>
  <c r="Y539" i="1"/>
  <c r="Y544" i="1"/>
  <c r="Y553" i="1"/>
  <c r="Y548" i="1"/>
  <c r="Y555" i="1"/>
  <c r="Y549" i="1"/>
  <c r="Y552" i="1"/>
  <c r="Y556" i="1"/>
  <c r="Y562" i="1"/>
  <c r="Y557" i="1"/>
  <c r="Y558" i="1"/>
  <c r="Y565" i="1"/>
  <c r="Y559" i="1"/>
  <c r="Y563" i="1"/>
  <c r="Y564" i="1"/>
  <c r="Y560" i="1"/>
  <c r="Y561" i="1"/>
  <c r="Y570" i="1"/>
  <c r="Y566" i="1"/>
  <c r="Y571" i="1"/>
  <c r="Y567" i="1"/>
  <c r="Y569" i="1"/>
  <c r="Y573" i="1"/>
  <c r="Y574" i="1"/>
  <c r="Y575" i="1"/>
  <c r="Y576" i="1"/>
  <c r="Y577" i="1"/>
  <c r="Y579" i="1"/>
  <c r="Y581" i="1"/>
  <c r="Y628" i="1"/>
  <c r="Y630" i="1"/>
  <c r="Y631" i="1"/>
  <c r="Y633" i="1"/>
  <c r="Y635" i="1"/>
  <c r="Y638" i="1"/>
  <c r="Y640" i="1"/>
  <c r="Y642" i="1"/>
  <c r="Y643" i="1"/>
  <c r="Y644" i="1"/>
  <c r="Y648" i="1"/>
  <c r="Y657" i="1"/>
  <c r="Y629" i="1"/>
  <c r="Y634" i="1"/>
  <c r="Y636" i="1"/>
  <c r="Y637" i="1"/>
  <c r="Y639" i="1"/>
  <c r="Y645" i="1"/>
  <c r="Y632" i="1"/>
  <c r="Y647" i="1"/>
  <c r="Y670" i="1"/>
  <c r="Y649" i="1"/>
  <c r="Y646" i="1"/>
  <c r="Y641" i="1"/>
  <c r="Y650" i="1"/>
  <c r="Y651" i="1"/>
  <c r="Y659" i="1"/>
  <c r="Y652" i="1"/>
  <c r="Y658" i="1"/>
  <c r="Y653" i="1"/>
  <c r="Y654" i="1"/>
  <c r="Y661" i="1"/>
  <c r="Y662" i="1"/>
  <c r="Y656" i="1"/>
  <c r="Y663" i="1"/>
  <c r="Y664" i="1"/>
  <c r="Y665" i="1"/>
  <c r="Y655" i="1"/>
  <c r="Y666" i="1"/>
  <c r="Y667" i="1"/>
  <c r="Y660" i="1"/>
  <c r="Y668" i="1"/>
  <c r="Y669" i="1"/>
  <c r="Y671" i="1"/>
  <c r="Y672" i="1"/>
  <c r="Y673" i="1"/>
  <c r="Y674" i="1"/>
  <c r="Y675" i="1"/>
  <c r="Y1109" i="1"/>
  <c r="Y1112" i="1"/>
  <c r="Y1113" i="1"/>
  <c r="Y1115" i="1"/>
  <c r="Y1116" i="1"/>
  <c r="Y1118" i="1"/>
  <c r="Y1119" i="1"/>
  <c r="Y1125" i="1"/>
  <c r="Y1121" i="1"/>
  <c r="Y1126" i="1"/>
  <c r="Y1127" i="1"/>
  <c r="Y1148" i="1"/>
  <c r="Y1152" i="1"/>
  <c r="Y1108" i="1"/>
  <c r="Y1110" i="1"/>
  <c r="Y1111" i="1"/>
  <c r="Y1117" i="1"/>
  <c r="Y1153" i="1"/>
  <c r="Y1154" i="1"/>
  <c r="Y1114" i="1"/>
  <c r="Y1120" i="1"/>
  <c r="Y1122" i="1"/>
  <c r="Y1128" i="1"/>
  <c r="Y1123" i="1"/>
  <c r="Y1124" i="1"/>
  <c r="Y1137" i="1"/>
  <c r="Y1129" i="1"/>
  <c r="Y1130" i="1"/>
  <c r="Y1131" i="1"/>
  <c r="Y1136" i="1"/>
  <c r="Y1139" i="1"/>
  <c r="Y1132" i="1"/>
  <c r="Y1140" i="1"/>
  <c r="Y1141" i="1"/>
  <c r="Y1133" i="1"/>
  <c r="Y1144" i="1"/>
  <c r="Y1145" i="1"/>
  <c r="Y1142" i="1"/>
  <c r="Y1146" i="1"/>
  <c r="Y1147" i="1"/>
  <c r="Y1134" i="1"/>
  <c r="Y1135" i="1"/>
  <c r="Y1143" i="1"/>
  <c r="Y1149" i="1"/>
  <c r="Y1150" i="1"/>
  <c r="Y1138" i="1"/>
  <c r="Y1151" i="1"/>
  <c r="Y1155" i="1"/>
  <c r="Y1156" i="1"/>
  <c r="Y1303" i="1"/>
  <c r="Y1304" i="1"/>
  <c r="Y1307" i="1"/>
  <c r="Y1311" i="1"/>
  <c r="Y1312" i="1"/>
  <c r="Y1313" i="1"/>
  <c r="Y1314" i="1"/>
  <c r="Y1318" i="1"/>
  <c r="Y1321" i="1"/>
  <c r="Y1324" i="1"/>
  <c r="Y1325" i="1"/>
  <c r="Y1322" i="1"/>
  <c r="Y1323" i="1"/>
  <c r="Y1340" i="1"/>
  <c r="Y1347" i="1"/>
  <c r="Y1305" i="1"/>
  <c r="Y1306" i="1"/>
  <c r="Y1308" i="1"/>
  <c r="Y1315" i="1"/>
  <c r="Y1317" i="1"/>
  <c r="Y1320" i="1"/>
  <c r="Y1327" i="1"/>
  <c r="Y1338" i="1"/>
  <c r="Y1310" i="1"/>
  <c r="Y1319" i="1"/>
  <c r="Y1330" i="1"/>
  <c r="Y1316" i="1"/>
  <c r="Y1309" i="1"/>
  <c r="Y1331" i="1"/>
  <c r="Y1326" i="1"/>
  <c r="Y1328" i="1"/>
  <c r="Y1332" i="1"/>
  <c r="Y1329" i="1"/>
  <c r="Y1333" i="1"/>
  <c r="Y1334" i="1"/>
  <c r="Y1335" i="1"/>
  <c r="Y1336" i="1"/>
  <c r="Y1339" i="1"/>
  <c r="Y1341" i="1"/>
  <c r="Y1342" i="1"/>
  <c r="Y1337" i="1"/>
  <c r="Y1343" i="1"/>
  <c r="Y1344" i="1"/>
  <c r="Y1345" i="1"/>
  <c r="Y1346" i="1"/>
  <c r="Y1348" i="1"/>
  <c r="Y1349" i="1"/>
  <c r="Y1351" i="1"/>
  <c r="Y1352" i="1"/>
  <c r="Y1353" i="1"/>
  <c r="Y1361" i="1"/>
  <c r="Y1354" i="1"/>
  <c r="Y1355" i="1"/>
  <c r="Y1356" i="1"/>
  <c r="Y1357" i="1"/>
  <c r="Y1358" i="1"/>
  <c r="Y1364" i="1"/>
  <c r="Y1366" i="1"/>
  <c r="Y1370" i="1"/>
  <c r="Y1368" i="1"/>
  <c r="Y1381" i="1"/>
  <c r="Y1387" i="1"/>
  <c r="Y1359" i="1"/>
  <c r="Y1362" i="1"/>
  <c r="Y1360" i="1"/>
  <c r="Y1367" i="1"/>
  <c r="Y1388" i="1"/>
  <c r="Y1350" i="1"/>
  <c r="Y1389" i="1"/>
  <c r="Y1365" i="1"/>
  <c r="Y1369" i="1"/>
  <c r="Y1363" i="1"/>
  <c r="Y1371" i="1"/>
  <c r="Y1376" i="1"/>
  <c r="Y1377" i="1"/>
  <c r="Y1372" i="1"/>
  <c r="Y1375" i="1"/>
  <c r="Y1373" i="1"/>
  <c r="Y1378" i="1"/>
  <c r="Y1379" i="1"/>
  <c r="Y1380" i="1"/>
  <c r="Y1382" i="1"/>
  <c r="Y1383" i="1"/>
  <c r="Y1384" i="1"/>
  <c r="Y1374" i="1"/>
  <c r="Y1385" i="1"/>
  <c r="Y1386" i="1"/>
  <c r="Y1390" i="1"/>
  <c r="Y107" i="1"/>
  <c r="B3" i="26" l="1"/>
  <c r="C3" i="26" s="1"/>
  <c r="B4" i="26"/>
  <c r="C4" i="26" s="1"/>
  <c r="B5" i="26"/>
  <c r="C5" i="26" s="1"/>
  <c r="B6" i="26"/>
  <c r="C6" i="26" s="1"/>
  <c r="B7" i="26"/>
  <c r="C7" i="26" s="1"/>
  <c r="B8" i="26"/>
  <c r="C8" i="26" s="1"/>
  <c r="B9" i="26"/>
  <c r="C9" i="26" s="1"/>
  <c r="B10" i="26"/>
  <c r="C10" i="26" s="1"/>
  <c r="B11" i="26"/>
  <c r="C11" i="26" s="1"/>
  <c r="B12" i="26"/>
  <c r="C12" i="26" s="1"/>
  <c r="B13" i="26"/>
  <c r="C13" i="26" s="1"/>
  <c r="B14" i="26"/>
  <c r="C14" i="26" s="1"/>
  <c r="B15" i="26"/>
  <c r="C15" i="26" s="1"/>
  <c r="B16" i="26"/>
  <c r="B17" i="26"/>
  <c r="C17" i="26" s="1"/>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B65" i="26"/>
  <c r="B66" i="26"/>
  <c r="B67" i="26"/>
  <c r="B68" i="26"/>
  <c r="B69" i="26"/>
  <c r="B70" i="26"/>
  <c r="B71" i="26"/>
  <c r="B72" i="26"/>
  <c r="B73" i="26"/>
  <c r="B74" i="26"/>
  <c r="B75" i="26"/>
  <c r="B76" i="26"/>
  <c r="B77" i="26"/>
  <c r="B78" i="26"/>
  <c r="B79" i="26"/>
  <c r="B80" i="26"/>
  <c r="B81" i="26"/>
  <c r="B82" i="26"/>
  <c r="B83" i="26"/>
  <c r="B84" i="26"/>
  <c r="B85" i="26"/>
  <c r="B86" i="26"/>
  <c r="B87" i="26"/>
  <c r="B88" i="26"/>
  <c r="B89" i="26"/>
  <c r="B90" i="26"/>
  <c r="B91" i="26"/>
  <c r="B92" i="26"/>
  <c r="B93" i="26"/>
  <c r="B94" i="26"/>
  <c r="B95" i="26"/>
  <c r="B96" i="26"/>
  <c r="B97" i="26"/>
  <c r="B98" i="26"/>
  <c r="B99" i="26"/>
  <c r="B100" i="26"/>
  <c r="B101" i="26"/>
  <c r="B102" i="26"/>
  <c r="B103" i="26"/>
  <c r="B104" i="26"/>
  <c r="B105" i="26"/>
  <c r="B106" i="26"/>
  <c r="B107" i="26"/>
  <c r="B108" i="26"/>
  <c r="B109" i="26"/>
  <c r="B110" i="26"/>
  <c r="B111" i="26"/>
  <c r="B112" i="26"/>
  <c r="B113" i="26"/>
  <c r="B114" i="26"/>
  <c r="B115" i="26"/>
  <c r="B116" i="26"/>
  <c r="B117" i="26"/>
  <c r="B118" i="26"/>
  <c r="B119" i="26"/>
  <c r="B120" i="26"/>
  <c r="B121" i="26"/>
  <c r="B122" i="26"/>
  <c r="D122" i="26" s="1"/>
  <c r="B123" i="26"/>
  <c r="B124" i="26"/>
  <c r="B125" i="26"/>
  <c r="D125" i="26" s="1"/>
  <c r="B126" i="26"/>
  <c r="D126" i="26" s="1"/>
  <c r="B127" i="26"/>
  <c r="B128" i="26"/>
  <c r="B129" i="26"/>
  <c r="D129" i="26" s="1"/>
  <c r="B130" i="26"/>
  <c r="D130" i="26" s="1"/>
  <c r="B131" i="26"/>
  <c r="D131" i="26" s="1"/>
  <c r="B132" i="26"/>
  <c r="D132" i="26" s="1"/>
  <c r="B133" i="26"/>
  <c r="D133" i="26" s="1"/>
  <c r="B134" i="26"/>
  <c r="D134" i="26" s="1"/>
  <c r="B135" i="26"/>
  <c r="D135" i="26" s="1"/>
  <c r="B136" i="26"/>
  <c r="D136" i="26" s="1"/>
  <c r="B137" i="26"/>
  <c r="D137" i="26" s="1"/>
  <c r="B138" i="26"/>
  <c r="D138" i="26" s="1"/>
  <c r="B139" i="26"/>
  <c r="D139" i="26" s="1"/>
  <c r="B140" i="26"/>
  <c r="B141" i="26"/>
  <c r="D141" i="26" s="1"/>
  <c r="B142" i="26"/>
  <c r="D142" i="26" s="1"/>
  <c r="B143" i="26"/>
  <c r="B144" i="26"/>
  <c r="D144" i="26" s="1"/>
  <c r="B145" i="26"/>
  <c r="D145" i="26" s="1"/>
  <c r="B146" i="26"/>
  <c r="D146" i="26" s="1"/>
  <c r="B147" i="26"/>
  <c r="D147" i="26" s="1"/>
  <c r="B148" i="26"/>
  <c r="D148" i="26" s="1"/>
  <c r="B149" i="26"/>
  <c r="D149" i="26" s="1"/>
  <c r="B150" i="26"/>
  <c r="D150" i="26" s="1"/>
  <c r="B151" i="26"/>
  <c r="D151" i="26" s="1"/>
  <c r="B152" i="26"/>
  <c r="D152" i="26" s="1"/>
  <c r="B153" i="26"/>
  <c r="D153" i="26" s="1"/>
  <c r="B154" i="26"/>
  <c r="D154" i="26" s="1"/>
  <c r="B155" i="26"/>
  <c r="D155" i="26" s="1"/>
  <c r="B156" i="26"/>
  <c r="B157" i="26"/>
  <c r="D157" i="26" s="1"/>
  <c r="B158" i="26"/>
  <c r="D158" i="26" s="1"/>
  <c r="B159" i="26"/>
  <c r="B160" i="26"/>
  <c r="D160" i="26" s="1"/>
  <c r="B161" i="26"/>
  <c r="D161" i="26" s="1"/>
  <c r="B162" i="26"/>
  <c r="D162" i="26" s="1"/>
  <c r="B163" i="26"/>
  <c r="D163" i="26" s="1"/>
  <c r="B164" i="26"/>
  <c r="D164" i="26" s="1"/>
  <c r="B165" i="26"/>
  <c r="D165" i="26" s="1"/>
  <c r="B166" i="26"/>
  <c r="D166" i="26" s="1"/>
  <c r="B167" i="26"/>
  <c r="D167" i="26" s="1"/>
  <c r="B168" i="26"/>
  <c r="D168" i="26" s="1"/>
  <c r="B169" i="26"/>
  <c r="D169" i="26" s="1"/>
  <c r="B170" i="26"/>
  <c r="B171" i="26"/>
  <c r="D171" i="26" s="1"/>
  <c r="B172" i="26"/>
  <c r="B173" i="26"/>
  <c r="C173" i="26" s="1"/>
  <c r="B174" i="26"/>
  <c r="B175" i="26"/>
  <c r="B176" i="26"/>
  <c r="B177" i="26"/>
  <c r="B178" i="26"/>
  <c r="B179" i="26"/>
  <c r="B180" i="26"/>
  <c r="B181" i="26"/>
  <c r="B182" i="26"/>
  <c r="B183" i="26"/>
  <c r="B184" i="26"/>
  <c r="B185" i="26"/>
  <c r="B186" i="26"/>
  <c r="B187" i="26"/>
  <c r="B188" i="26"/>
  <c r="B189" i="26"/>
  <c r="B190" i="26"/>
  <c r="B191" i="26"/>
  <c r="B192" i="26"/>
  <c r="B193" i="26"/>
  <c r="B194" i="26"/>
  <c r="B195" i="26"/>
  <c r="B196" i="26"/>
  <c r="B197" i="26"/>
  <c r="B198" i="26"/>
  <c r="B199" i="26"/>
  <c r="B200" i="26"/>
  <c r="B201" i="26"/>
  <c r="B202" i="26"/>
  <c r="B203" i="26"/>
  <c r="B204" i="26"/>
  <c r="B205" i="26"/>
  <c r="B206" i="26"/>
  <c r="B207" i="26"/>
  <c r="B208"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D268" i="26" s="1"/>
  <c r="B269" i="26"/>
  <c r="D269" i="26" s="1"/>
  <c r="B270" i="26"/>
  <c r="B271" i="26"/>
  <c r="C271" i="26" s="1"/>
  <c r="B272" i="26"/>
  <c r="C272" i="26" s="1"/>
  <c r="B273" i="26"/>
  <c r="C273" i="26" s="1"/>
  <c r="B274" i="26"/>
  <c r="D274" i="26" s="1"/>
  <c r="B275" i="26"/>
  <c r="B276" i="26"/>
  <c r="C276" i="26" s="1"/>
  <c r="B277" i="26"/>
  <c r="C277" i="26" s="1"/>
  <c r="B278" i="26"/>
  <c r="D278" i="26" s="1"/>
  <c r="B279" i="26"/>
  <c r="B280" i="26"/>
  <c r="C280" i="26" s="1"/>
  <c r="B281" i="26"/>
  <c r="D281" i="26" s="1"/>
  <c r="B282" i="26"/>
  <c r="B283" i="26"/>
  <c r="D283" i="26" s="1"/>
  <c r="B284" i="26"/>
  <c r="D284" i="26" s="1"/>
  <c r="B285" i="26"/>
  <c r="C285" i="26" s="1"/>
  <c r="B286" i="26"/>
  <c r="C286" i="26" s="1"/>
  <c r="B287" i="26"/>
  <c r="C287" i="26" s="1"/>
  <c r="B288" i="26"/>
  <c r="B289" i="26"/>
  <c r="B290" i="26"/>
  <c r="D290" i="26" s="1"/>
  <c r="B291" i="26"/>
  <c r="C291" i="26" s="1"/>
  <c r="B292" i="26"/>
  <c r="C292" i="26" s="1"/>
  <c r="B293" i="26"/>
  <c r="B294" i="26"/>
  <c r="C294" i="26" s="1"/>
  <c r="B295" i="26"/>
  <c r="B296" i="26"/>
  <c r="C296" i="26" s="1"/>
  <c r="B297" i="26"/>
  <c r="D297" i="26" s="1"/>
  <c r="B298" i="26"/>
  <c r="B299" i="26"/>
  <c r="C299" i="26" s="1"/>
  <c r="B300" i="26"/>
  <c r="C300" i="26" s="1"/>
  <c r="B301" i="26"/>
  <c r="C301" i="26" s="1"/>
  <c r="B302" i="26"/>
  <c r="C302" i="26" s="1"/>
  <c r="B303" i="26"/>
  <c r="C303" i="26" s="1"/>
  <c r="B304" i="26"/>
  <c r="C304" i="26" s="1"/>
  <c r="B305" i="26"/>
  <c r="B306" i="26"/>
  <c r="C306" i="26" s="1"/>
  <c r="B307" i="26"/>
  <c r="C307" i="26" s="1"/>
  <c r="B308" i="26"/>
  <c r="C308" i="26" s="1"/>
  <c r="B309" i="26"/>
  <c r="C309" i="26" s="1"/>
  <c r="B310" i="26"/>
  <c r="C310" i="26" s="1"/>
  <c r="B311" i="26"/>
  <c r="C311" i="26" s="1"/>
  <c r="B312" i="26"/>
  <c r="D312" i="26" s="1"/>
  <c r="B313" i="26"/>
  <c r="B314" i="26"/>
  <c r="C314" i="26" s="1"/>
  <c r="B315" i="26"/>
  <c r="C315" i="26" s="1"/>
  <c r="B316" i="26"/>
  <c r="C316" i="26" s="1"/>
  <c r="B317" i="26"/>
  <c r="B318" i="26"/>
  <c r="C318" i="26" s="1"/>
  <c r="B319" i="26"/>
  <c r="C319" i="26" s="1"/>
  <c r="B320" i="26"/>
  <c r="D320" i="26" s="1"/>
  <c r="B321" i="26"/>
  <c r="B322" i="26"/>
  <c r="C322" i="26" s="1"/>
  <c r="B323" i="26"/>
  <c r="C323" i="26" s="1"/>
  <c r="B324" i="26"/>
  <c r="C324" i="26" s="1"/>
  <c r="B325" i="26"/>
  <c r="B326" i="26"/>
  <c r="C326" i="26" s="1"/>
  <c r="B327" i="26"/>
  <c r="C327" i="26" s="1"/>
  <c r="B328" i="26"/>
  <c r="D328" i="26" s="1"/>
  <c r="B329" i="26"/>
  <c r="B330" i="26"/>
  <c r="C330" i="26" s="1"/>
  <c r="B331" i="26"/>
  <c r="C331" i="26" s="1"/>
  <c r="B332" i="26"/>
  <c r="C332" i="26" s="1"/>
  <c r="B333" i="26"/>
  <c r="B334" i="26"/>
  <c r="C334" i="26" s="1"/>
  <c r="B335" i="26"/>
  <c r="C335" i="26" s="1"/>
  <c r="B336" i="26"/>
  <c r="D336" i="26" s="1"/>
  <c r="B337" i="26"/>
  <c r="B338" i="26"/>
  <c r="C338" i="26" s="1"/>
  <c r="B339" i="26"/>
  <c r="C339" i="26" s="1"/>
  <c r="B340" i="26"/>
  <c r="C340" i="26" s="1"/>
  <c r="B341" i="26"/>
  <c r="B342" i="26"/>
  <c r="C342" i="26" s="1"/>
  <c r="B343" i="26"/>
  <c r="C343" i="26" s="1"/>
  <c r="B344" i="26"/>
  <c r="D344" i="26" s="1"/>
  <c r="B345" i="26"/>
  <c r="B346" i="26"/>
  <c r="C346" i="26" s="1"/>
  <c r="B347" i="26"/>
  <c r="C347" i="26" s="1"/>
  <c r="B348" i="26"/>
  <c r="C348" i="26" s="1"/>
  <c r="B349" i="26"/>
  <c r="B350" i="26"/>
  <c r="C350" i="26" s="1"/>
  <c r="B351" i="26"/>
  <c r="C351" i="26" s="1"/>
  <c r="B352" i="26"/>
  <c r="D352" i="26" s="1"/>
  <c r="B353" i="26"/>
  <c r="B354" i="26"/>
  <c r="C354" i="26" s="1"/>
  <c r="B355" i="26"/>
  <c r="C355" i="26" s="1"/>
  <c r="B356" i="26"/>
  <c r="C356" i="26" s="1"/>
  <c r="B357" i="26"/>
  <c r="B358" i="26"/>
  <c r="C358" i="26" s="1"/>
  <c r="B359" i="26"/>
  <c r="C359" i="26" s="1"/>
  <c r="B360" i="26"/>
  <c r="D360" i="26" s="1"/>
  <c r="B361" i="26"/>
  <c r="B362" i="26"/>
  <c r="C362" i="26" s="1"/>
  <c r="B363" i="26"/>
  <c r="C363" i="26" s="1"/>
  <c r="B364" i="26"/>
  <c r="C364" i="26" s="1"/>
  <c r="B365" i="26"/>
  <c r="B366" i="26"/>
  <c r="C366" i="26" s="1"/>
  <c r="B367" i="26"/>
  <c r="C367" i="26" s="1"/>
  <c r="B368" i="26"/>
  <c r="D368" i="26" s="1"/>
  <c r="B369" i="26"/>
  <c r="B370" i="26"/>
  <c r="C370" i="26" s="1"/>
  <c r="B371" i="26"/>
  <c r="C371" i="26" s="1"/>
  <c r="B372" i="26"/>
  <c r="C372" i="26" s="1"/>
  <c r="B373" i="26"/>
  <c r="C373" i="26" s="1"/>
  <c r="B374" i="26"/>
  <c r="D374" i="26" s="1"/>
  <c r="B375" i="26"/>
  <c r="C375" i="26" s="1"/>
  <c r="B376" i="26"/>
  <c r="D376" i="26" s="1"/>
  <c r="B377" i="26"/>
  <c r="B378" i="26"/>
  <c r="D378" i="26" s="1"/>
  <c r="B379" i="26"/>
  <c r="C379" i="26" s="1"/>
  <c r="B380" i="26"/>
  <c r="C380" i="26" s="1"/>
  <c r="B381" i="26"/>
  <c r="C381" i="26" s="1"/>
  <c r="B382" i="26"/>
  <c r="B383" i="26"/>
  <c r="C383" i="26" s="1"/>
  <c r="B384" i="26"/>
  <c r="B385" i="26"/>
  <c r="C385" i="26" s="1"/>
  <c r="B386" i="26"/>
  <c r="C386" i="26" s="1"/>
  <c r="B387" i="26"/>
  <c r="B388" i="26"/>
  <c r="C388" i="26" s="1"/>
  <c r="B389" i="26"/>
  <c r="C389" i="26" s="1"/>
  <c r="B390" i="26"/>
  <c r="B391" i="26"/>
  <c r="C391" i="26" s="1"/>
  <c r="B392" i="26"/>
  <c r="C392" i="26" s="1"/>
  <c r="B393" i="26"/>
  <c r="B394" i="26"/>
  <c r="B395" i="26"/>
  <c r="C395" i="26" s="1"/>
  <c r="B396" i="26"/>
  <c r="D396" i="26" s="1"/>
  <c r="B397" i="26"/>
  <c r="C397" i="26" s="1"/>
  <c r="B398" i="26"/>
  <c r="C398" i="26" s="1"/>
  <c r="B399" i="26"/>
  <c r="C399" i="26" s="1"/>
  <c r="B400" i="26"/>
  <c r="D400" i="26" s="1"/>
  <c r="B401" i="26"/>
  <c r="C401" i="26" s="1"/>
  <c r="B402" i="26"/>
  <c r="C402" i="26" s="1"/>
  <c r="B403" i="26"/>
  <c r="B404" i="26"/>
  <c r="B405" i="26"/>
  <c r="C405" i="26" s="1"/>
  <c r="B406" i="26"/>
  <c r="C406" i="26" s="1"/>
  <c r="B407" i="26"/>
  <c r="B408" i="26"/>
  <c r="C408" i="26" s="1"/>
  <c r="B409" i="26"/>
  <c r="D409" i="26" s="1"/>
  <c r="B410" i="26"/>
  <c r="B411" i="26"/>
  <c r="C411" i="26" s="1"/>
  <c r="B412" i="26"/>
  <c r="D412" i="26" s="1"/>
  <c r="B413" i="26"/>
  <c r="C413" i="26" s="1"/>
  <c r="B414" i="26"/>
  <c r="B415" i="26"/>
  <c r="C415" i="26" s="1"/>
  <c r="B416" i="26"/>
  <c r="D416" i="26" s="1"/>
  <c r="B417" i="26"/>
  <c r="C417" i="26" s="1"/>
  <c r="B418" i="26"/>
  <c r="C418" i="26" s="1"/>
  <c r="B419" i="26"/>
  <c r="B420" i="26"/>
  <c r="C420" i="26" s="1"/>
  <c r="B421" i="26"/>
  <c r="D421" i="26" s="1"/>
  <c r="B422" i="26"/>
  <c r="C422" i="26" s="1"/>
  <c r="B423" i="26"/>
  <c r="C423" i="26" s="1"/>
  <c r="B424" i="26"/>
  <c r="C424" i="26" s="1"/>
  <c r="B425" i="26"/>
  <c r="D425" i="26" s="1"/>
  <c r="B426" i="26"/>
  <c r="B427" i="26"/>
  <c r="C427" i="26" s="1"/>
  <c r="B428" i="26"/>
  <c r="C428" i="26" s="1"/>
  <c r="B429" i="26"/>
  <c r="C429" i="26" s="1"/>
  <c r="B430" i="26"/>
  <c r="C430" i="26" s="1"/>
  <c r="B431" i="26"/>
  <c r="B432" i="26"/>
  <c r="D432" i="26" s="1"/>
  <c r="B433" i="26"/>
  <c r="B434" i="26"/>
  <c r="B435" i="26"/>
  <c r="D435" i="26" s="1"/>
  <c r="B436" i="26"/>
  <c r="D436" i="26" s="1"/>
  <c r="B437" i="26"/>
  <c r="D437" i="26" s="1"/>
  <c r="B438" i="26"/>
  <c r="B439" i="26"/>
  <c r="C439" i="26" s="1"/>
  <c r="B440" i="26"/>
  <c r="C440" i="26" s="1"/>
  <c r="B441" i="26"/>
  <c r="C441" i="26" s="1"/>
  <c r="B442" i="26"/>
  <c r="D442" i="26" s="1"/>
  <c r="B443" i="26"/>
  <c r="D443" i="26" s="1"/>
  <c r="B444" i="26"/>
  <c r="C444" i="26" s="1"/>
  <c r="B445" i="26"/>
  <c r="D445" i="26" s="1"/>
  <c r="B446" i="26"/>
  <c r="B447" i="26"/>
  <c r="C447" i="26" s="1"/>
  <c r="B448" i="26"/>
  <c r="C448" i="26" s="1"/>
  <c r="B449" i="26"/>
  <c r="C449" i="26" s="1"/>
  <c r="B450" i="26"/>
  <c r="D450" i="26" s="1"/>
  <c r="B451" i="26"/>
  <c r="D451" i="26" s="1"/>
  <c r="B452" i="26"/>
  <c r="C452" i="26" s="1"/>
  <c r="B453" i="26"/>
  <c r="D453" i="26" s="1"/>
  <c r="B454" i="26"/>
  <c r="B455" i="26"/>
  <c r="C455" i="26" s="1"/>
  <c r="B456" i="26"/>
  <c r="C456" i="26" s="1"/>
  <c r="B457" i="26"/>
  <c r="C457" i="26" s="1"/>
  <c r="B458" i="26"/>
  <c r="D458" i="26" s="1"/>
  <c r="B459" i="26"/>
  <c r="D459" i="26" s="1"/>
  <c r="B460" i="26"/>
  <c r="C460" i="26" s="1"/>
  <c r="B461" i="26"/>
  <c r="D461" i="26" s="1"/>
  <c r="B462" i="26"/>
  <c r="B463" i="26"/>
  <c r="D463" i="26" s="1"/>
  <c r="B464" i="26"/>
  <c r="D464" i="26" s="1"/>
  <c r="B465" i="26"/>
  <c r="C465" i="26" s="1"/>
  <c r="B466" i="26"/>
  <c r="D466" i="26" s="1"/>
  <c r="B467" i="26"/>
  <c r="D467" i="26" s="1"/>
  <c r="B468" i="26"/>
  <c r="D468" i="26" s="1"/>
  <c r="B469" i="26"/>
  <c r="D469" i="26" s="1"/>
  <c r="B470" i="26"/>
  <c r="B471" i="26"/>
  <c r="C471" i="26" s="1"/>
  <c r="B472" i="26"/>
  <c r="D472" i="26" s="1"/>
  <c r="B473" i="26"/>
  <c r="D473" i="26" s="1"/>
  <c r="B474" i="26"/>
  <c r="D474" i="26" s="1"/>
  <c r="B475" i="26"/>
  <c r="C475" i="26" s="1"/>
  <c r="B476" i="26"/>
  <c r="D476" i="26" s="1"/>
  <c r="B477" i="26"/>
  <c r="C477" i="26" s="1"/>
  <c r="B478" i="26"/>
  <c r="D478" i="26" s="1"/>
  <c r="B479" i="26"/>
  <c r="C479" i="26" s="1"/>
  <c r="B480" i="26"/>
  <c r="D480" i="26" s="1"/>
  <c r="B481" i="26"/>
  <c r="C481" i="26" s="1"/>
  <c r="B482" i="26"/>
  <c r="D482" i="26" s="1"/>
  <c r="B483" i="26"/>
  <c r="D483" i="26" s="1"/>
  <c r="B484" i="26"/>
  <c r="B485" i="26"/>
  <c r="C485" i="26" s="1"/>
  <c r="B486" i="26"/>
  <c r="D486" i="26" s="1"/>
  <c r="B487" i="26"/>
  <c r="D487" i="26" s="1"/>
  <c r="B488" i="26"/>
  <c r="D488" i="26" s="1"/>
  <c r="B489" i="26"/>
  <c r="C489" i="26" s="1"/>
  <c r="B490" i="26"/>
  <c r="D490" i="26" s="1"/>
  <c r="B491" i="26"/>
  <c r="B492" i="26"/>
  <c r="D492" i="26" s="1"/>
  <c r="B493" i="26"/>
  <c r="C493" i="26" s="1"/>
  <c r="B494" i="26"/>
  <c r="B495" i="26"/>
  <c r="D495" i="26" s="1"/>
  <c r="B496" i="26"/>
  <c r="D496" i="26" s="1"/>
  <c r="B497" i="26"/>
  <c r="C497" i="26" s="1"/>
  <c r="B498" i="26"/>
  <c r="D498" i="26" s="1"/>
  <c r="B499" i="26"/>
  <c r="D499" i="26" s="1"/>
  <c r="B500" i="26"/>
  <c r="D500" i="26" s="1"/>
  <c r="B501" i="26"/>
  <c r="C501" i="26" s="1"/>
  <c r="B502" i="26"/>
  <c r="B503" i="26"/>
  <c r="D503" i="26" s="1"/>
  <c r="B504" i="26"/>
  <c r="D504" i="26" s="1"/>
  <c r="B505" i="26"/>
  <c r="D505" i="26" s="1"/>
  <c r="B506" i="26"/>
  <c r="D506" i="26" s="1"/>
  <c r="B507" i="26"/>
  <c r="B508" i="26"/>
  <c r="D508" i="26" s="1"/>
  <c r="B509" i="26"/>
  <c r="C509" i="26" s="1"/>
  <c r="B510" i="26"/>
  <c r="B511" i="26"/>
  <c r="C511" i="26" s="1"/>
  <c r="B512" i="26"/>
  <c r="D512" i="26" s="1"/>
  <c r="B513" i="26"/>
  <c r="D513" i="26" s="1"/>
  <c r="B514" i="26"/>
  <c r="D514" i="26" s="1"/>
  <c r="B515" i="26"/>
  <c r="D515" i="26" s="1"/>
  <c r="B516" i="26"/>
  <c r="D516" i="26" s="1"/>
  <c r="B517" i="26"/>
  <c r="C517" i="26" s="1"/>
  <c r="B518" i="26"/>
  <c r="D518" i="26" s="1"/>
  <c r="B519" i="26"/>
  <c r="C519" i="26" s="1"/>
  <c r="B520" i="26"/>
  <c r="D520" i="26" s="1"/>
  <c r="B521" i="26"/>
  <c r="D521" i="26" s="1"/>
  <c r="B522" i="26"/>
  <c r="D522" i="26" s="1"/>
  <c r="B523" i="26"/>
  <c r="B524" i="26"/>
  <c r="D524" i="26" s="1"/>
  <c r="B525" i="26"/>
  <c r="C525" i="26" s="1"/>
  <c r="B526" i="26"/>
  <c r="B527" i="26"/>
  <c r="D527" i="26" s="1"/>
  <c r="B528" i="26"/>
  <c r="D528" i="26" s="1"/>
  <c r="B529" i="26"/>
  <c r="C529" i="26" s="1"/>
  <c r="B530" i="26"/>
  <c r="D530" i="26" s="1"/>
  <c r="B531" i="26"/>
  <c r="D531" i="26" s="1"/>
  <c r="B532" i="26"/>
  <c r="D532" i="26" s="1"/>
  <c r="B533" i="26"/>
  <c r="C533" i="26" s="1"/>
  <c r="B534" i="26"/>
  <c r="D534" i="26" s="1"/>
  <c r="B535" i="26"/>
  <c r="C535" i="26" s="1"/>
  <c r="B536" i="26"/>
  <c r="D536" i="26" s="1"/>
  <c r="B537" i="26"/>
  <c r="C537" i="26" s="1"/>
  <c r="B538" i="26"/>
  <c r="D538" i="26" s="1"/>
  <c r="B539" i="26"/>
  <c r="B540" i="26"/>
  <c r="D540" i="26" s="1"/>
  <c r="B541" i="26"/>
  <c r="C541" i="26" s="1"/>
  <c r="B542" i="26"/>
  <c r="B543" i="26"/>
  <c r="D543" i="26" s="1"/>
  <c r="B544" i="26"/>
  <c r="D544" i="26" s="1"/>
  <c r="B545" i="26"/>
  <c r="C545" i="26" s="1"/>
  <c r="B546" i="26"/>
  <c r="D546" i="26" s="1"/>
  <c r="B547" i="26"/>
  <c r="D547" i="26" s="1"/>
  <c r="B548" i="26"/>
  <c r="D548" i="26" s="1"/>
  <c r="B549" i="26"/>
  <c r="C549" i="26" s="1"/>
  <c r="B550" i="26"/>
  <c r="D550" i="26" s="1"/>
  <c r="B551" i="26"/>
  <c r="D551" i="26" s="1"/>
  <c r="B552" i="26"/>
  <c r="D552" i="26" s="1"/>
  <c r="B553" i="26"/>
  <c r="C553" i="26" s="1"/>
  <c r="B554" i="26"/>
  <c r="D554" i="26" s="1"/>
  <c r="B555" i="26"/>
  <c r="B556" i="26"/>
  <c r="D556" i="26" s="1"/>
  <c r="B557" i="26"/>
  <c r="D557" i="26" s="1"/>
  <c r="B558" i="26"/>
  <c r="D558" i="26" s="1"/>
  <c r="B559" i="26"/>
  <c r="C559" i="26" s="1"/>
  <c r="B560" i="26"/>
  <c r="C560" i="26" s="1"/>
  <c r="B561" i="26"/>
  <c r="C561" i="26" s="1"/>
  <c r="B562" i="26"/>
  <c r="B563" i="26"/>
  <c r="D563" i="26" s="1"/>
  <c r="B564" i="26"/>
  <c r="C564" i="26" s="1"/>
  <c r="B565" i="26"/>
  <c r="C565" i="26" s="1"/>
  <c r="B566" i="26"/>
  <c r="C566" i="26" s="1"/>
  <c r="B567" i="26"/>
  <c r="C567" i="26" s="1"/>
  <c r="B568" i="26"/>
  <c r="C568" i="26" s="1"/>
  <c r="B569" i="26"/>
  <c r="C569" i="26" s="1"/>
  <c r="B570" i="26"/>
  <c r="D570" i="26" s="1"/>
  <c r="B571" i="26"/>
  <c r="B572" i="26"/>
  <c r="C572" i="26" s="1"/>
  <c r="B573" i="26"/>
  <c r="C573" i="26" s="1"/>
  <c r="B574" i="26"/>
  <c r="D574" i="26" s="1"/>
  <c r="B575" i="26"/>
  <c r="D575" i="26" s="1"/>
  <c r="B576" i="26"/>
  <c r="C576" i="26" s="1"/>
  <c r="B577" i="26"/>
  <c r="B578" i="26"/>
  <c r="B579" i="26"/>
  <c r="D579" i="26" s="1"/>
  <c r="B580" i="26"/>
  <c r="C580" i="26" s="1"/>
  <c r="B581" i="26"/>
  <c r="D581" i="26" s="1"/>
  <c r="B582" i="26"/>
  <c r="C582" i="26" s="1"/>
  <c r="B583" i="26"/>
  <c r="C583" i="26" s="1"/>
  <c r="B584" i="26"/>
  <c r="B585" i="26"/>
  <c r="C585" i="26" s="1"/>
  <c r="B586" i="26"/>
  <c r="D586" i="26" s="1"/>
  <c r="B587" i="26"/>
  <c r="B588" i="26"/>
  <c r="D588" i="26" s="1"/>
  <c r="B589" i="26"/>
  <c r="D589" i="26" s="1"/>
  <c r="B590" i="26"/>
  <c r="C590" i="26" s="1"/>
  <c r="B591" i="26"/>
  <c r="C591" i="26" s="1"/>
  <c r="B592" i="26"/>
  <c r="C592" i="26" s="1"/>
  <c r="B593" i="26"/>
  <c r="B594" i="26"/>
  <c r="D594" i="26" s="1"/>
  <c r="B595" i="26"/>
  <c r="D595" i="26" s="1"/>
  <c r="B596" i="26"/>
  <c r="C596" i="26" s="1"/>
  <c r="B597" i="26"/>
  <c r="C597" i="26" s="1"/>
  <c r="B598" i="26"/>
  <c r="C598" i="26" s="1"/>
  <c r="B599" i="26"/>
  <c r="D599" i="26" s="1"/>
  <c r="B600" i="26"/>
  <c r="B601" i="26"/>
  <c r="B602" i="26"/>
  <c r="D602" i="26" s="1"/>
  <c r="B603" i="26"/>
  <c r="D603" i="26" s="1"/>
  <c r="B604" i="26"/>
  <c r="D604" i="26" s="1"/>
  <c r="B605" i="26"/>
  <c r="C605" i="26" s="1"/>
  <c r="B606" i="26"/>
  <c r="C606" i="26" s="1"/>
  <c r="B607" i="26"/>
  <c r="C607" i="26" s="1"/>
  <c r="B608" i="26"/>
  <c r="B609" i="26"/>
  <c r="B610" i="26"/>
  <c r="D610" i="26" s="1"/>
  <c r="B611" i="26"/>
  <c r="D611" i="26" s="1"/>
  <c r="B612" i="26"/>
  <c r="C612" i="26" s="1"/>
  <c r="B613" i="26"/>
  <c r="C613" i="26" s="1"/>
  <c r="B614" i="26"/>
  <c r="C614" i="26" s="1"/>
  <c r="D614" i="26"/>
  <c r="B615" i="26"/>
  <c r="D615" i="26" s="1"/>
  <c r="B616" i="26"/>
  <c r="B617" i="26"/>
  <c r="C617" i="26" s="1"/>
  <c r="B618" i="26"/>
  <c r="D618" i="26" s="1"/>
  <c r="B619" i="26"/>
  <c r="D619" i="26" s="1"/>
  <c r="B620" i="26"/>
  <c r="B621" i="26"/>
  <c r="D621" i="26" s="1"/>
  <c r="B622" i="26"/>
  <c r="D622" i="26" s="1"/>
  <c r="B623" i="26"/>
  <c r="D623" i="26" s="1"/>
  <c r="B624" i="26"/>
  <c r="C624" i="26" s="1"/>
  <c r="B625" i="26"/>
  <c r="B626" i="26"/>
  <c r="D626" i="26" s="1"/>
  <c r="B627" i="26"/>
  <c r="D627" i="26" s="1"/>
  <c r="B628" i="26"/>
  <c r="D628" i="26" s="1"/>
  <c r="B629" i="26"/>
  <c r="C629" i="26" s="1"/>
  <c r="B630" i="26"/>
  <c r="C630" i="26" s="1"/>
  <c r="B631" i="26"/>
  <c r="D631" i="26" s="1"/>
  <c r="B632" i="26"/>
  <c r="C632" i="26" s="1"/>
  <c r="D632" i="26"/>
  <c r="B633" i="26"/>
  <c r="C633" i="26" s="1"/>
  <c r="B634" i="26"/>
  <c r="B635" i="26"/>
  <c r="D635" i="26" s="1"/>
  <c r="B636" i="26"/>
  <c r="D636" i="26" s="1"/>
  <c r="B637" i="26"/>
  <c r="B638" i="26"/>
  <c r="C638" i="26" s="1"/>
  <c r="B639" i="26"/>
  <c r="C639" i="26" s="1"/>
  <c r="B640" i="26"/>
  <c r="C640" i="26" s="1"/>
  <c r="B641" i="26"/>
  <c r="C641" i="26" s="1"/>
  <c r="B642" i="26"/>
  <c r="D642" i="26" s="1"/>
  <c r="B643" i="26"/>
  <c r="D643" i="26" s="1"/>
  <c r="B644" i="26"/>
  <c r="C644" i="26" s="1"/>
  <c r="B645" i="26"/>
  <c r="D645" i="26" s="1"/>
  <c r="B646" i="26"/>
  <c r="C646" i="26" s="1"/>
  <c r="B647" i="26"/>
  <c r="C647" i="26" s="1"/>
  <c r="B648" i="26"/>
  <c r="C648" i="26" s="1"/>
  <c r="B649" i="26"/>
  <c r="B650" i="26"/>
  <c r="D650" i="26" s="1"/>
  <c r="B651" i="26"/>
  <c r="D651" i="26" s="1"/>
  <c r="B652" i="26"/>
  <c r="D652" i="26" s="1"/>
  <c r="B653" i="26"/>
  <c r="C653" i="26" s="1"/>
  <c r="B654" i="26"/>
  <c r="D654" i="26" s="1"/>
  <c r="B655" i="26"/>
  <c r="D655" i="26" s="1"/>
  <c r="B656" i="26"/>
  <c r="B657" i="26"/>
  <c r="C657" i="26" s="1"/>
  <c r="B658" i="26"/>
  <c r="D658" i="26" s="1"/>
  <c r="B659" i="26"/>
  <c r="B660" i="26"/>
  <c r="C660" i="26" s="1"/>
  <c r="B661" i="26"/>
  <c r="D661" i="26" s="1"/>
  <c r="C661" i="26"/>
  <c r="E661" i="26" s="1"/>
  <c r="B662" i="26"/>
  <c r="D662" i="26" s="1"/>
  <c r="B663" i="26"/>
  <c r="D663" i="26" s="1"/>
  <c r="B664" i="26"/>
  <c r="C664" i="26" s="1"/>
  <c r="B665" i="26"/>
  <c r="C665" i="26" s="1"/>
  <c r="B666" i="26"/>
  <c r="B667" i="26"/>
  <c r="D667" i="26" s="1"/>
  <c r="B668" i="26"/>
  <c r="C668" i="26" s="1"/>
  <c r="B669" i="26"/>
  <c r="B670" i="26"/>
  <c r="D670" i="26" s="1"/>
  <c r="B671" i="26"/>
  <c r="C671" i="26" s="1"/>
  <c r="B672" i="26"/>
  <c r="C672" i="26" s="1"/>
  <c r="B673" i="26"/>
  <c r="B674" i="26"/>
  <c r="D674" i="26" s="1"/>
  <c r="B675" i="26"/>
  <c r="B676" i="26"/>
  <c r="D676" i="26" s="1"/>
  <c r="B677" i="26"/>
  <c r="C677" i="26" s="1"/>
  <c r="B678" i="26"/>
  <c r="C678" i="26" s="1"/>
  <c r="B679" i="26"/>
  <c r="D679" i="26" s="1"/>
  <c r="B680" i="26"/>
  <c r="C680" i="26" s="1"/>
  <c r="B681" i="26"/>
  <c r="C681" i="26" s="1"/>
  <c r="B682" i="26"/>
  <c r="D682" i="26" s="1"/>
  <c r="B683" i="26"/>
  <c r="D683" i="26" s="1"/>
  <c r="B684" i="26"/>
  <c r="C684" i="26" s="1"/>
  <c r="B685" i="26"/>
  <c r="C685" i="26" s="1"/>
  <c r="B686" i="26"/>
  <c r="C686" i="26" s="1"/>
  <c r="B687" i="26"/>
  <c r="C687" i="26" s="1"/>
  <c r="B688" i="26"/>
  <c r="C688" i="26" s="1"/>
  <c r="B689" i="26"/>
  <c r="C689" i="26" s="1"/>
  <c r="B690" i="26"/>
  <c r="C690" i="26" s="1"/>
  <c r="B691" i="26"/>
  <c r="B692" i="26"/>
  <c r="C692" i="26" s="1"/>
  <c r="B693" i="26"/>
  <c r="C693" i="26" s="1"/>
  <c r="B694" i="26"/>
  <c r="D694" i="26" s="1"/>
  <c r="B695" i="26"/>
  <c r="C695" i="26" s="1"/>
  <c r="B696" i="26"/>
  <c r="B697" i="26"/>
  <c r="D697" i="26" s="1"/>
  <c r="B698" i="26"/>
  <c r="B699" i="26"/>
  <c r="C699" i="26" s="1"/>
  <c r="B700" i="26"/>
  <c r="C700" i="26" s="1"/>
  <c r="B701" i="26"/>
  <c r="D701" i="26" s="1"/>
  <c r="B702" i="26"/>
  <c r="D702" i="26" s="1"/>
  <c r="B703" i="26"/>
  <c r="C703" i="26" s="1"/>
  <c r="B704" i="26"/>
  <c r="D704" i="26" s="1"/>
  <c r="B705" i="26"/>
  <c r="D705" i="26" s="1"/>
  <c r="B706" i="26"/>
  <c r="D706" i="26" s="1"/>
  <c r="B707" i="26"/>
  <c r="C707" i="26" s="1"/>
  <c r="B708" i="26"/>
  <c r="C708" i="26" s="1"/>
  <c r="B709" i="26"/>
  <c r="D709" i="26" s="1"/>
  <c r="B710" i="26"/>
  <c r="D710" i="26" s="1"/>
  <c r="B711" i="26"/>
  <c r="C711" i="26" s="1"/>
  <c r="B712" i="26"/>
  <c r="C712" i="26" s="1"/>
  <c r="B713" i="26"/>
  <c r="D713" i="26" s="1"/>
  <c r="B714" i="26"/>
  <c r="C714" i="26" s="1"/>
  <c r="B715" i="26"/>
  <c r="C715" i="26" s="1"/>
  <c r="B716" i="26"/>
  <c r="C716" i="26" s="1"/>
  <c r="B717" i="26"/>
  <c r="D717" i="26" s="1"/>
  <c r="B718" i="26"/>
  <c r="D718" i="26" s="1"/>
  <c r="B719" i="26"/>
  <c r="C719" i="26" s="1"/>
  <c r="B720" i="26"/>
  <c r="C720" i="26" s="1"/>
  <c r="B721" i="26"/>
  <c r="D721" i="26" s="1"/>
  <c r="B722" i="26"/>
  <c r="C722" i="26" s="1"/>
  <c r="B723" i="26"/>
  <c r="C723" i="26" s="1"/>
  <c r="B724" i="26"/>
  <c r="C724" i="26" s="1"/>
  <c r="B725" i="26"/>
  <c r="D725" i="26" s="1"/>
  <c r="B726" i="26"/>
  <c r="D726" i="26" s="1"/>
  <c r="B727" i="26"/>
  <c r="C727" i="26" s="1"/>
  <c r="B728" i="26"/>
  <c r="C728" i="26" s="1"/>
  <c r="B729" i="26"/>
  <c r="D729" i="26" s="1"/>
  <c r="B730" i="26"/>
  <c r="C730" i="26" s="1"/>
  <c r="B731" i="26"/>
  <c r="C731" i="26" s="1"/>
  <c r="B732" i="26"/>
  <c r="C732" i="26" s="1"/>
  <c r="B733" i="26"/>
  <c r="D733" i="26" s="1"/>
  <c r="B734" i="26"/>
  <c r="D734" i="26" s="1"/>
  <c r="B735" i="26"/>
  <c r="C735" i="26" s="1"/>
  <c r="B736" i="26"/>
  <c r="C736" i="26" s="1"/>
  <c r="B737" i="26"/>
  <c r="C737" i="26" s="1"/>
  <c r="B738" i="26"/>
  <c r="C738" i="26" s="1"/>
  <c r="B739" i="26"/>
  <c r="D739" i="26" s="1"/>
  <c r="B740" i="26"/>
  <c r="C740" i="26" s="1"/>
  <c r="B741" i="26"/>
  <c r="C741" i="26" s="1"/>
  <c r="B742" i="26"/>
  <c r="D742" i="26" s="1"/>
  <c r="B743" i="26"/>
  <c r="C743" i="26" s="1"/>
  <c r="B744" i="26"/>
  <c r="C744" i="26" s="1"/>
  <c r="B745" i="26"/>
  <c r="C745" i="26" s="1"/>
  <c r="B746" i="26"/>
  <c r="C746" i="26" s="1"/>
  <c r="B747" i="26"/>
  <c r="D747" i="26" s="1"/>
  <c r="B748" i="26"/>
  <c r="C748" i="26" s="1"/>
  <c r="B749" i="26"/>
  <c r="C749" i="26" s="1"/>
  <c r="B750" i="26"/>
  <c r="D750" i="26" s="1"/>
  <c r="B751" i="26"/>
  <c r="C751" i="26" s="1"/>
  <c r="B752" i="26"/>
  <c r="C752" i="26" s="1"/>
  <c r="B753" i="26"/>
  <c r="C753" i="26" s="1"/>
  <c r="B754" i="26"/>
  <c r="C754" i="26" s="1"/>
  <c r="B755" i="26"/>
  <c r="C755" i="26" s="1"/>
  <c r="B756" i="26"/>
  <c r="C756" i="26" s="1"/>
  <c r="B757" i="26"/>
  <c r="C757" i="26" s="1"/>
  <c r="B758" i="26"/>
  <c r="D758" i="26" s="1"/>
  <c r="B759" i="26"/>
  <c r="C759" i="26" s="1"/>
  <c r="B760" i="26"/>
  <c r="C760" i="26" s="1"/>
  <c r="B761" i="26"/>
  <c r="C761" i="26" s="1"/>
  <c r="B762" i="26"/>
  <c r="C762" i="26" s="1"/>
  <c r="B763" i="26"/>
  <c r="C763" i="26" s="1"/>
  <c r="B764" i="26"/>
  <c r="C764" i="26" s="1"/>
  <c r="B765" i="26"/>
  <c r="C765" i="26" s="1"/>
  <c r="B766" i="26"/>
  <c r="D766" i="26" s="1"/>
  <c r="B767" i="26"/>
  <c r="C767" i="26" s="1"/>
  <c r="B768" i="26"/>
  <c r="C768" i="26" s="1"/>
  <c r="B769" i="26"/>
  <c r="C769" i="26" s="1"/>
  <c r="B770" i="26"/>
  <c r="C770" i="26" s="1"/>
  <c r="B771" i="26"/>
  <c r="C771" i="26" s="1"/>
  <c r="B772" i="26"/>
  <c r="C772" i="26" s="1"/>
  <c r="B773" i="26"/>
  <c r="C773" i="26" s="1"/>
  <c r="B774" i="26"/>
  <c r="D774" i="26" s="1"/>
  <c r="B775" i="26"/>
  <c r="C775" i="26" s="1"/>
  <c r="B776" i="26"/>
  <c r="C776" i="26" s="1"/>
  <c r="B777" i="26"/>
  <c r="C777" i="26" s="1"/>
  <c r="B778" i="26"/>
  <c r="D778" i="26" s="1"/>
  <c r="B779" i="26"/>
  <c r="D779" i="26" s="1"/>
  <c r="B780" i="26"/>
  <c r="C780" i="26" s="1"/>
  <c r="B781" i="26"/>
  <c r="C781" i="26" s="1"/>
  <c r="B782" i="26"/>
  <c r="D782" i="26" s="1"/>
  <c r="B783" i="26"/>
  <c r="C783" i="26" s="1"/>
  <c r="B784" i="26"/>
  <c r="C784" i="26" s="1"/>
  <c r="B785" i="26"/>
  <c r="C785" i="26" s="1"/>
  <c r="B786" i="26"/>
  <c r="C786" i="26" s="1"/>
  <c r="B787" i="26"/>
  <c r="C787" i="26" s="1"/>
  <c r="B788" i="26"/>
  <c r="C788" i="26" s="1"/>
  <c r="B789" i="26"/>
  <c r="C789" i="26" s="1"/>
  <c r="B790" i="26"/>
  <c r="D790" i="26" s="1"/>
  <c r="B791" i="26"/>
  <c r="C791" i="26" s="1"/>
  <c r="B792" i="26"/>
  <c r="C792" i="26" s="1"/>
  <c r="B793" i="26"/>
  <c r="C793" i="26" s="1"/>
  <c r="B794" i="26"/>
  <c r="C794" i="26" s="1"/>
  <c r="B795" i="26"/>
  <c r="C795" i="26" s="1"/>
  <c r="B796" i="26"/>
  <c r="C796" i="26" s="1"/>
  <c r="B797" i="26"/>
  <c r="C797" i="26" s="1"/>
  <c r="B798" i="26"/>
  <c r="D798" i="26" s="1"/>
  <c r="B799" i="26"/>
  <c r="C799" i="26" s="1"/>
  <c r="B800" i="26"/>
  <c r="C800" i="26" s="1"/>
  <c r="B801" i="26"/>
  <c r="C801" i="26" s="1"/>
  <c r="B802" i="26"/>
  <c r="D802" i="26" s="1"/>
  <c r="B803" i="26"/>
  <c r="C803" i="26" s="1"/>
  <c r="B804" i="26"/>
  <c r="C804" i="26" s="1"/>
  <c r="B805" i="26"/>
  <c r="C805" i="26" s="1"/>
  <c r="B806" i="26"/>
  <c r="D806" i="26" s="1"/>
  <c r="B807" i="26"/>
  <c r="C807" i="26" s="1"/>
  <c r="B808" i="26"/>
  <c r="C808" i="26" s="1"/>
  <c r="B809" i="26"/>
  <c r="C809" i="26" s="1"/>
  <c r="B810" i="26"/>
  <c r="C810" i="26" s="1"/>
  <c r="B811" i="26"/>
  <c r="D811" i="26" s="1"/>
  <c r="B812" i="26"/>
  <c r="C812" i="26" s="1"/>
  <c r="B813" i="26"/>
  <c r="C813" i="26" s="1"/>
  <c r="B814" i="26"/>
  <c r="D814" i="26" s="1"/>
  <c r="B815" i="26"/>
  <c r="C815" i="26" s="1"/>
  <c r="B816" i="26"/>
  <c r="C816" i="26" s="1"/>
  <c r="B817" i="26"/>
  <c r="C817" i="26" s="1"/>
  <c r="B818" i="26"/>
  <c r="C818" i="26" s="1"/>
  <c r="B819" i="26"/>
  <c r="C819" i="26" s="1"/>
  <c r="B820" i="26"/>
  <c r="C820" i="26" s="1"/>
  <c r="B821" i="26"/>
  <c r="C821" i="26" s="1"/>
  <c r="B822" i="26"/>
  <c r="D822" i="26" s="1"/>
  <c r="B823" i="26"/>
  <c r="C823" i="26" s="1"/>
  <c r="B824" i="26"/>
  <c r="C824" i="26" s="1"/>
  <c r="B825" i="26"/>
  <c r="C825" i="26" s="1"/>
  <c r="B826" i="26"/>
  <c r="C826" i="26" s="1"/>
  <c r="B827" i="26"/>
  <c r="C827" i="26" s="1"/>
  <c r="B828" i="26"/>
  <c r="C828" i="26" s="1"/>
  <c r="B829" i="26"/>
  <c r="C829" i="26" s="1"/>
  <c r="B830" i="26"/>
  <c r="D830" i="26" s="1"/>
  <c r="B831" i="26"/>
  <c r="C831" i="26" s="1"/>
  <c r="B832" i="26"/>
  <c r="C832" i="26" s="1"/>
  <c r="B833" i="26"/>
  <c r="C833" i="26" s="1"/>
  <c r="B834" i="26"/>
  <c r="C834" i="26" s="1"/>
  <c r="B835" i="26"/>
  <c r="C835" i="26" s="1"/>
  <c r="B836" i="26"/>
  <c r="C836" i="26" s="1"/>
  <c r="B837" i="26"/>
  <c r="C837" i="26" s="1"/>
  <c r="B838" i="26"/>
  <c r="D838" i="26" s="1"/>
  <c r="B839" i="26"/>
  <c r="C839" i="26" s="1"/>
  <c r="B840" i="26"/>
  <c r="C840" i="26" s="1"/>
  <c r="B841" i="26"/>
  <c r="C841" i="26" s="1"/>
  <c r="B842" i="26"/>
  <c r="C842" i="26" s="1"/>
  <c r="B843" i="26"/>
  <c r="D843" i="26" s="1"/>
  <c r="B2" i="26"/>
  <c r="D2" i="26" s="1"/>
  <c r="D738" i="26" l="1"/>
  <c r="C717" i="26"/>
  <c r="E717" i="26" s="1"/>
  <c r="D449" i="26"/>
  <c r="D815" i="26"/>
  <c r="C806" i="26"/>
  <c r="E806" i="26" s="1"/>
  <c r="C802" i="26"/>
  <c r="D795" i="26"/>
  <c r="D460" i="26"/>
  <c r="E460" i="26" s="1"/>
  <c r="D465" i="26"/>
  <c r="C750" i="26"/>
  <c r="E750" i="26" s="1"/>
  <c r="D681" i="26"/>
  <c r="D440" i="26"/>
  <c r="C297" i="26"/>
  <c r="E297" i="26" s="1"/>
  <c r="C154" i="26"/>
  <c r="E154" i="26" s="1"/>
  <c r="C814" i="26"/>
  <c r="E814" i="26" s="1"/>
  <c r="D770" i="26"/>
  <c r="E770" i="26" s="1"/>
  <c r="C704" i="26"/>
  <c r="C697" i="26"/>
  <c r="E697" i="26" s="1"/>
  <c r="C522" i="26"/>
  <c r="E522" i="26" s="1"/>
  <c r="D441" i="26"/>
  <c r="C543" i="26"/>
  <c r="E543" i="26" s="1"/>
  <c r="D299" i="26"/>
  <c r="D751" i="26"/>
  <c r="D641" i="26"/>
  <c r="C548" i="26"/>
  <c r="E548" i="26" s="1"/>
  <c r="D511" i="26"/>
  <c r="C480" i="26"/>
  <c r="E480" i="26" s="1"/>
  <c r="C360" i="26"/>
  <c r="E360" i="26" s="1"/>
  <c r="D714" i="26"/>
  <c r="E714" i="26" s="1"/>
  <c r="C662" i="26"/>
  <c r="C458" i="26"/>
  <c r="E458" i="26" s="1"/>
  <c r="D406" i="26"/>
  <c r="C312" i="26"/>
  <c r="E312" i="26" s="1"/>
  <c r="D810" i="26"/>
  <c r="D783" i="26"/>
  <c r="C778" i="26"/>
  <c r="C655" i="26"/>
  <c r="E655" i="26" s="1"/>
  <c r="C554" i="26"/>
  <c r="E554" i="26" s="1"/>
  <c r="C467" i="26"/>
  <c r="E467" i="26" s="1"/>
  <c r="C436" i="26"/>
  <c r="D429" i="26"/>
  <c r="C284" i="26"/>
  <c r="D277" i="26"/>
  <c r="C166" i="26"/>
  <c r="E166" i="26" s="1"/>
  <c r="C782" i="26"/>
  <c r="E782" i="26" s="1"/>
  <c r="D719" i="26"/>
  <c r="D685" i="26"/>
  <c r="C674" i="26"/>
  <c r="E674" i="26" s="1"/>
  <c r="C588" i="26"/>
  <c r="C581" i="26"/>
  <c r="C575" i="26"/>
  <c r="D428" i="26"/>
  <c r="D834" i="26"/>
  <c r="D678" i="26"/>
  <c r="D420" i="26"/>
  <c r="C149" i="26"/>
  <c r="E149" i="26" s="1"/>
  <c r="C134" i="26"/>
  <c r="E134" i="26" s="1"/>
  <c r="D827" i="26"/>
  <c r="D746" i="26"/>
  <c r="D732" i="26"/>
  <c r="C622" i="26"/>
  <c r="E622" i="26" s="1"/>
  <c r="D580" i="26"/>
  <c r="E580" i="26" s="1"/>
  <c r="C445" i="26"/>
  <c r="E445" i="26" s="1"/>
  <c r="C376" i="26"/>
  <c r="E376" i="26" s="1"/>
  <c r="D301" i="26"/>
  <c r="D397" i="26"/>
  <c r="C838" i="26"/>
  <c r="E838" i="26" s="1"/>
  <c r="D677" i="26"/>
  <c r="C599" i="26"/>
  <c r="E599" i="26" s="1"/>
  <c r="C505" i="26"/>
  <c r="C482" i="26"/>
  <c r="E482" i="26" s="1"/>
  <c r="C468" i="26"/>
  <c r="E468" i="26" s="1"/>
  <c r="C328" i="26"/>
  <c r="E328" i="26" s="1"/>
  <c r="D306" i="26"/>
  <c r="E746" i="26"/>
  <c r="D573" i="26"/>
  <c r="E573" i="26" s="1"/>
  <c r="C527" i="26"/>
  <c r="C521" i="26"/>
  <c r="C515" i="26"/>
  <c r="E515" i="26" s="1"/>
  <c r="C503" i="26"/>
  <c r="E503" i="26" s="1"/>
  <c r="D489" i="26"/>
  <c r="C483" i="26"/>
  <c r="E483" i="26" s="1"/>
  <c r="C461" i="26"/>
  <c r="C450" i="26"/>
  <c r="E450" i="26" s="1"/>
  <c r="D415" i="26"/>
  <c r="C396" i="26"/>
  <c r="D389" i="26"/>
  <c r="E389" i="26" s="1"/>
  <c r="D300" i="26"/>
  <c r="C139" i="26"/>
  <c r="E139" i="26" s="1"/>
  <c r="D763" i="26"/>
  <c r="C713" i="26"/>
  <c r="C706" i="26"/>
  <c r="D664" i="26"/>
  <c r="D653" i="26"/>
  <c r="E653" i="26" s="1"/>
  <c r="C558" i="26"/>
  <c r="E558" i="26" s="1"/>
  <c r="C532" i="26"/>
  <c r="E532" i="26" s="1"/>
  <c r="D375" i="26"/>
  <c r="D304" i="26"/>
  <c r="E304" i="26" s="1"/>
  <c r="D294" i="26"/>
  <c r="C165" i="26"/>
  <c r="E165" i="26" s="1"/>
  <c r="C133" i="26"/>
  <c r="E133" i="26" s="1"/>
  <c r="C138" i="26"/>
  <c r="E138" i="26" s="1"/>
  <c r="C811" i="26"/>
  <c r="E811" i="26" s="1"/>
  <c r="C779" i="26"/>
  <c r="E779" i="26" s="1"/>
  <c r="C774" i="26"/>
  <c r="E774" i="26" s="1"/>
  <c r="C742" i="26"/>
  <c r="E742" i="26" s="1"/>
  <c r="D699" i="26"/>
  <c r="E699" i="26" s="1"/>
  <c r="C694" i="26"/>
  <c r="C652" i="26"/>
  <c r="C645" i="26"/>
  <c r="C557" i="26"/>
  <c r="E557" i="26" s="1"/>
  <c r="C551" i="26"/>
  <c r="C531" i="26"/>
  <c r="E531" i="26" s="1"/>
  <c r="C506" i="26"/>
  <c r="E506" i="26" s="1"/>
  <c r="C487" i="26"/>
  <c r="E487" i="26" s="1"/>
  <c r="C476" i="26"/>
  <c r="E476" i="26" s="1"/>
  <c r="C442" i="26"/>
  <c r="C425" i="26"/>
  <c r="E425" i="26" s="1"/>
  <c r="C374" i="26"/>
  <c r="C352" i="26"/>
  <c r="E352" i="26" s="1"/>
  <c r="D315" i="26"/>
  <c r="D285" i="26"/>
  <c r="E285" i="26" s="1"/>
  <c r="C150" i="26"/>
  <c r="E150" i="26" s="1"/>
  <c r="E810" i="26"/>
  <c r="C747" i="26"/>
  <c r="E747" i="26" s="1"/>
  <c r="C721" i="26"/>
  <c r="E721" i="26" s="1"/>
  <c r="D680" i="26"/>
  <c r="C623" i="26"/>
  <c r="C518" i="26"/>
  <c r="E518" i="26" s="1"/>
  <c r="C500" i="26"/>
  <c r="E500" i="26" s="1"/>
  <c r="D481" i="26"/>
  <c r="C464" i="26"/>
  <c r="C453" i="26"/>
  <c r="D405" i="26"/>
  <c r="E405" i="26" s="1"/>
  <c r="C378" i="26"/>
  <c r="E378" i="26" s="1"/>
  <c r="C344" i="26"/>
  <c r="E344" i="26" s="1"/>
  <c r="D302" i="26"/>
  <c r="C168" i="26"/>
  <c r="E168" i="26" s="1"/>
  <c r="C155" i="26"/>
  <c r="E155" i="26" s="1"/>
  <c r="E575" i="26"/>
  <c r="D803" i="26"/>
  <c r="E803" i="26" s="1"/>
  <c r="E827" i="26"/>
  <c r="D791" i="26"/>
  <c r="E763" i="26"/>
  <c r="C739" i="26"/>
  <c r="E739" i="26" s="1"/>
  <c r="C705" i="26"/>
  <c r="E705" i="26" s="1"/>
  <c r="D689" i="26"/>
  <c r="E689" i="26" s="1"/>
  <c r="C683" i="26"/>
  <c r="E683" i="26" s="1"/>
  <c r="C679" i="26"/>
  <c r="E679" i="26" s="1"/>
  <c r="C663" i="26"/>
  <c r="E663" i="26" s="1"/>
  <c r="C654" i="26"/>
  <c r="E654" i="26" s="1"/>
  <c r="C636" i="26"/>
  <c r="E636" i="26" s="1"/>
  <c r="C631" i="26"/>
  <c r="E631" i="26" s="1"/>
  <c r="C621" i="26"/>
  <c r="E621" i="26" s="1"/>
  <c r="C615" i="26"/>
  <c r="E615" i="26" s="1"/>
  <c r="C589" i="26"/>
  <c r="C574" i="26"/>
  <c r="E574" i="26" s="1"/>
  <c r="C556" i="26"/>
  <c r="E556" i="26" s="1"/>
  <c r="C516" i="26"/>
  <c r="E516" i="26" s="1"/>
  <c r="C495" i="26"/>
  <c r="E495" i="26" s="1"/>
  <c r="C478" i="26"/>
  <c r="E478" i="26" s="1"/>
  <c r="C473" i="26"/>
  <c r="E473" i="26" s="1"/>
  <c r="C469" i="26"/>
  <c r="E469" i="26" s="1"/>
  <c r="C466" i="26"/>
  <c r="C463" i="26"/>
  <c r="C421" i="26"/>
  <c r="E421" i="26" s="1"/>
  <c r="C416" i="26"/>
  <c r="E416" i="26" s="1"/>
  <c r="D398" i="26"/>
  <c r="E398" i="26" s="1"/>
  <c r="D379" i="26"/>
  <c r="E379" i="26" s="1"/>
  <c r="C368" i="26"/>
  <c r="E368" i="26" s="1"/>
  <c r="D319" i="26"/>
  <c r="E294" i="26"/>
  <c r="C283" i="26"/>
  <c r="E283" i="26" s="1"/>
  <c r="C278" i="26"/>
  <c r="E278" i="26" s="1"/>
  <c r="C157" i="26"/>
  <c r="E157" i="26" s="1"/>
  <c r="C152" i="26"/>
  <c r="E152" i="26" s="1"/>
  <c r="E302" i="26"/>
  <c r="D771" i="26"/>
  <c r="E771" i="26" s="1"/>
  <c r="E704" i="26"/>
  <c r="E662" i="26"/>
  <c r="E588" i="26"/>
  <c r="D535" i="26"/>
  <c r="D471" i="26"/>
  <c r="E471" i="26" s="1"/>
  <c r="D452" i="26"/>
  <c r="E452" i="26" s="1"/>
  <c r="D444" i="26"/>
  <c r="E444" i="26" s="1"/>
  <c r="E436" i="26"/>
  <c r="E397" i="26"/>
  <c r="E306" i="26"/>
  <c r="E778" i="26"/>
  <c r="D835" i="26"/>
  <c r="E835" i="26" s="1"/>
  <c r="D823" i="26"/>
  <c r="E823" i="26" s="1"/>
  <c r="E795" i="26"/>
  <c r="D759" i="26"/>
  <c r="C628" i="26"/>
  <c r="C514" i="26"/>
  <c r="E514" i="26" s="1"/>
  <c r="C498" i="26"/>
  <c r="E498" i="26" s="1"/>
  <c r="E481" i="26"/>
  <c r="D457" i="26"/>
  <c r="E457" i="26" s="1"/>
  <c r="E449" i="26"/>
  <c r="D423" i="26"/>
  <c r="E423" i="26" s="1"/>
  <c r="C336" i="26"/>
  <c r="E336" i="26" s="1"/>
  <c r="D310" i="26"/>
  <c r="E310" i="26" s="1"/>
  <c r="D296" i="26"/>
  <c r="E296" i="26" s="1"/>
  <c r="D280" i="26"/>
  <c r="E280" i="26" s="1"/>
  <c r="D276" i="26"/>
  <c r="E276" i="26" s="1"/>
  <c r="C269" i="26"/>
  <c r="E713" i="26"/>
  <c r="E652" i="26"/>
  <c r="C729" i="26"/>
  <c r="D690" i="26"/>
  <c r="E690" i="26" s="1"/>
  <c r="E677" i="26"/>
  <c r="C670" i="26"/>
  <c r="E670" i="26" s="1"/>
  <c r="C604" i="26"/>
  <c r="E604" i="26" s="1"/>
  <c r="C546" i="26"/>
  <c r="E546" i="26" s="1"/>
  <c r="C534" i="26"/>
  <c r="E534" i="26" s="1"/>
  <c r="C513" i="26"/>
  <c r="E513" i="26" s="1"/>
  <c r="C474" i="26"/>
  <c r="E474" i="26" s="1"/>
  <c r="C451" i="26"/>
  <c r="E451" i="26" s="1"/>
  <c r="D447" i="26"/>
  <c r="C443" i="26"/>
  <c r="E443" i="26" s="1"/>
  <c r="D422" i="26"/>
  <c r="E422" i="26" s="1"/>
  <c r="C412" i="26"/>
  <c r="E412" i="26" s="1"/>
  <c r="D399" i="26"/>
  <c r="C320" i="26"/>
  <c r="E320" i="26" s="1"/>
  <c r="D309" i="26"/>
  <c r="C141" i="26"/>
  <c r="E141" i="26" s="1"/>
  <c r="C136" i="26"/>
  <c r="E136" i="26" s="1"/>
  <c r="E694" i="26"/>
  <c r="D819" i="26"/>
  <c r="E819" i="26" s="1"/>
  <c r="E802" i="26"/>
  <c r="D787" i="26"/>
  <c r="E787" i="26" s="1"/>
  <c r="D755" i="26"/>
  <c r="E755" i="26" s="1"/>
  <c r="E738" i="26"/>
  <c r="E678" i="26"/>
  <c r="E664" i="26"/>
  <c r="D647" i="26"/>
  <c r="E647" i="26" s="1"/>
  <c r="D639" i="26"/>
  <c r="E639" i="26" s="1"/>
  <c r="E614" i="26"/>
  <c r="D606" i="26"/>
  <c r="E606" i="26" s="1"/>
  <c r="D596" i="26"/>
  <c r="E596" i="26" s="1"/>
  <c r="D591" i="26"/>
  <c r="E591" i="26" s="1"/>
  <c r="D583" i="26"/>
  <c r="E583" i="26" s="1"/>
  <c r="D565" i="26"/>
  <c r="E565" i="26" s="1"/>
  <c r="D537" i="26"/>
  <c r="E537" i="26" s="1"/>
  <c r="D529" i="26"/>
  <c r="E529" i="26" s="1"/>
  <c r="E466" i="26"/>
  <c r="E463" i="26"/>
  <c r="D456" i="26"/>
  <c r="E456" i="26" s="1"/>
  <c r="E442" i="26"/>
  <c r="C438" i="26"/>
  <c r="D438" i="26"/>
  <c r="E428" i="26"/>
  <c r="C349" i="26"/>
  <c r="D349" i="26"/>
  <c r="E300" i="26"/>
  <c r="C275" i="26"/>
  <c r="D275" i="26"/>
  <c r="D123" i="26"/>
  <c r="C123" i="26"/>
  <c r="E551" i="26"/>
  <c r="C357" i="26"/>
  <c r="D357" i="26"/>
  <c r="E834" i="26"/>
  <c r="C843" i="26"/>
  <c r="E843" i="26" s="1"/>
  <c r="E815" i="26"/>
  <c r="E783" i="26"/>
  <c r="E751" i="26"/>
  <c r="E732" i="26"/>
  <c r="D728" i="26"/>
  <c r="E728" i="26" s="1"/>
  <c r="D723" i="26"/>
  <c r="E723" i="26" s="1"/>
  <c r="C710" i="26"/>
  <c r="E710" i="26" s="1"/>
  <c r="C701" i="26"/>
  <c r="E701" i="26" s="1"/>
  <c r="D693" i="26"/>
  <c r="E693" i="26" s="1"/>
  <c r="E685" i="26"/>
  <c r="E681" i="26"/>
  <c r="D660" i="26"/>
  <c r="E660" i="26" s="1"/>
  <c r="C635" i="26"/>
  <c r="E635" i="26" s="1"/>
  <c r="C610" i="26"/>
  <c r="E610" i="26" s="1"/>
  <c r="C603" i="26"/>
  <c r="E603" i="26" s="1"/>
  <c r="C550" i="26"/>
  <c r="E550" i="26" s="1"/>
  <c r="C524" i="26"/>
  <c r="E524" i="26" s="1"/>
  <c r="E489" i="26"/>
  <c r="D484" i="26"/>
  <c r="C484" i="26"/>
  <c r="C472" i="26"/>
  <c r="E472" i="26" s="1"/>
  <c r="C459" i="26"/>
  <c r="E459" i="26" s="1"/>
  <c r="C437" i="26"/>
  <c r="E437" i="26" s="1"/>
  <c r="C432" i="26"/>
  <c r="E432" i="26" s="1"/>
  <c r="C341" i="26"/>
  <c r="D341" i="26"/>
  <c r="E729" i="26"/>
  <c r="E589" i="26"/>
  <c r="E521" i="26"/>
  <c r="D687" i="26"/>
  <c r="E687" i="26" s="1"/>
  <c r="D684" i="26"/>
  <c r="E684" i="26" s="1"/>
  <c r="D630" i="26"/>
  <c r="E630" i="26" s="1"/>
  <c r="D613" i="26"/>
  <c r="E613" i="26" s="1"/>
  <c r="D598" i="26"/>
  <c r="E598" i="26" s="1"/>
  <c r="D572" i="26"/>
  <c r="E572" i="26" s="1"/>
  <c r="D567" i="26"/>
  <c r="E567" i="26" s="1"/>
  <c r="D553" i="26"/>
  <c r="E553" i="26" s="1"/>
  <c r="D545" i="26"/>
  <c r="E545" i="26" s="1"/>
  <c r="D519" i="26"/>
  <c r="E519" i="26" s="1"/>
  <c r="D502" i="26"/>
  <c r="C502" i="26"/>
  <c r="D497" i="26"/>
  <c r="E497" i="26" s="1"/>
  <c r="D479" i="26"/>
  <c r="E479" i="26" s="1"/>
  <c r="D475" i="26"/>
  <c r="E475" i="26" s="1"/>
  <c r="C462" i="26"/>
  <c r="D462" i="26"/>
  <c r="C333" i="26"/>
  <c r="D333" i="26"/>
  <c r="D170" i="26"/>
  <c r="C170" i="26"/>
  <c r="D818" i="26"/>
  <c r="E818" i="26" s="1"/>
  <c r="E791" i="26"/>
  <c r="D786" i="26"/>
  <c r="E786" i="26" s="1"/>
  <c r="E759" i="26"/>
  <c r="D754" i="26"/>
  <c r="E754" i="26" s="1"/>
  <c r="D730" i="26"/>
  <c r="E730" i="26" s="1"/>
  <c r="D722" i="26"/>
  <c r="E722" i="26" s="1"/>
  <c r="E719" i="26"/>
  <c r="D695" i="26"/>
  <c r="E695" i="26" s="1"/>
  <c r="E680" i="26"/>
  <c r="D671" i="26"/>
  <c r="E671" i="26" s="1"/>
  <c r="C667" i="26"/>
  <c r="E667" i="26" s="1"/>
  <c r="D646" i="26"/>
  <c r="E646" i="26" s="1"/>
  <c r="C642" i="26"/>
  <c r="E642" i="26" s="1"/>
  <c r="D638" i="26"/>
  <c r="E638" i="26" s="1"/>
  <c r="D605" i="26"/>
  <c r="E605" i="26" s="1"/>
  <c r="C602" i="26"/>
  <c r="E602" i="26" s="1"/>
  <c r="D590" i="26"/>
  <c r="E590" i="26" s="1"/>
  <c r="D582" i="26"/>
  <c r="E582" i="26" s="1"/>
  <c r="D564" i="26"/>
  <c r="E564" i="26" s="1"/>
  <c r="D559" i="26"/>
  <c r="E559" i="26" s="1"/>
  <c r="C540" i="26"/>
  <c r="E540" i="26" s="1"/>
  <c r="E511" i="26"/>
  <c r="C492" i="26"/>
  <c r="E492" i="26" s="1"/>
  <c r="E465" i="26"/>
  <c r="D455" i="26"/>
  <c r="E455" i="26" s="1"/>
  <c r="D448" i="26"/>
  <c r="E448" i="26" s="1"/>
  <c r="E441" i="26"/>
  <c r="C431" i="26"/>
  <c r="D431" i="26"/>
  <c r="C404" i="26"/>
  <c r="D404" i="26"/>
  <c r="D393" i="26"/>
  <c r="C393" i="26"/>
  <c r="C325" i="26"/>
  <c r="D325" i="26"/>
  <c r="C293" i="26"/>
  <c r="D293" i="26"/>
  <c r="D128" i="26"/>
  <c r="C128" i="26"/>
  <c r="E623" i="26"/>
  <c r="D831" i="26"/>
  <c r="E831" i="26" s="1"/>
  <c r="C822" i="26"/>
  <c r="E822" i="26" s="1"/>
  <c r="D799" i="26"/>
  <c r="E799" i="26" s="1"/>
  <c r="C790" i="26"/>
  <c r="E790" i="26" s="1"/>
  <c r="D767" i="26"/>
  <c r="E767" i="26" s="1"/>
  <c r="C758" i="26"/>
  <c r="E758" i="26" s="1"/>
  <c r="D735" i="26"/>
  <c r="E735" i="26" s="1"/>
  <c r="C726" i="26"/>
  <c r="E726" i="26" s="1"/>
  <c r="C658" i="26"/>
  <c r="E658" i="26" s="1"/>
  <c r="D624" i="26"/>
  <c r="E624" i="26" s="1"/>
  <c r="C594" i="26"/>
  <c r="E594" i="26" s="1"/>
  <c r="C579" i="26"/>
  <c r="E579" i="26" s="1"/>
  <c r="E505" i="26"/>
  <c r="E461" i="26"/>
  <c r="E706" i="26"/>
  <c r="E453" i="26"/>
  <c r="D794" i="26"/>
  <c r="E794" i="26" s="1"/>
  <c r="D762" i="26"/>
  <c r="E762" i="26" s="1"/>
  <c r="D612" i="26"/>
  <c r="E612" i="26" s="1"/>
  <c r="D607" i="26"/>
  <c r="E607" i="26" s="1"/>
  <c r="D597" i="26"/>
  <c r="E597" i="26" s="1"/>
  <c r="D566" i="26"/>
  <c r="E566" i="26" s="1"/>
  <c r="E535" i="26"/>
  <c r="E527" i="26"/>
  <c r="E464" i="26"/>
  <c r="C454" i="26"/>
  <c r="D454" i="26"/>
  <c r="E440" i="26"/>
  <c r="E420" i="26"/>
  <c r="E415" i="26"/>
  <c r="D384" i="26"/>
  <c r="C384" i="26"/>
  <c r="C317" i="26"/>
  <c r="D317" i="26"/>
  <c r="E277" i="26"/>
  <c r="C270" i="26"/>
  <c r="D270" i="26"/>
  <c r="E645" i="26"/>
  <c r="E628" i="26"/>
  <c r="E581" i="26"/>
  <c r="C446" i="26"/>
  <c r="D446" i="26"/>
  <c r="C382" i="26"/>
  <c r="D382" i="26"/>
  <c r="D826" i="26"/>
  <c r="E826" i="26" s="1"/>
  <c r="D686" i="26"/>
  <c r="E686" i="26" s="1"/>
  <c r="D839" i="26"/>
  <c r="E839" i="26" s="1"/>
  <c r="C830" i="26"/>
  <c r="E830" i="26" s="1"/>
  <c r="D807" i="26"/>
  <c r="E807" i="26" s="1"/>
  <c r="C798" i="26"/>
  <c r="E798" i="26" s="1"/>
  <c r="D775" i="26"/>
  <c r="E775" i="26" s="1"/>
  <c r="C766" i="26"/>
  <c r="E766" i="26" s="1"/>
  <c r="D743" i="26"/>
  <c r="E743" i="26" s="1"/>
  <c r="C725" i="26"/>
  <c r="E725" i="26" s="1"/>
  <c r="D657" i="26"/>
  <c r="E657" i="26" s="1"/>
  <c r="E641" i="26"/>
  <c r="E632" i="26"/>
  <c r="C570" i="26"/>
  <c r="E570" i="26" s="1"/>
  <c r="C563" i="26"/>
  <c r="E563" i="26" s="1"/>
  <c r="C547" i="26"/>
  <c r="E547" i="26" s="1"/>
  <c r="C538" i="26"/>
  <c r="E538" i="26" s="1"/>
  <c r="C530" i="26"/>
  <c r="E530" i="26" s="1"/>
  <c r="C508" i="26"/>
  <c r="E508" i="26" s="1"/>
  <c r="C499" i="26"/>
  <c r="E499" i="26" s="1"/>
  <c r="C490" i="26"/>
  <c r="E490" i="26" s="1"/>
  <c r="C486" i="26"/>
  <c r="E486" i="26" s="1"/>
  <c r="D470" i="26"/>
  <c r="C470" i="26"/>
  <c r="E447" i="26"/>
  <c r="D439" i="26"/>
  <c r="E439" i="26" s="1"/>
  <c r="E429" i="26"/>
  <c r="C414" i="26"/>
  <c r="D414" i="26"/>
  <c r="C407" i="26"/>
  <c r="D407" i="26"/>
  <c r="C390" i="26"/>
  <c r="D390" i="26"/>
  <c r="C365" i="26"/>
  <c r="D365" i="26"/>
  <c r="D307" i="26"/>
  <c r="E307" i="26" s="1"/>
  <c r="D292" i="26"/>
  <c r="E292" i="26" s="1"/>
  <c r="C169" i="26"/>
  <c r="E169" i="26" s="1"/>
  <c r="C158" i="26"/>
  <c r="E158" i="26" s="1"/>
  <c r="C142" i="26"/>
  <c r="E142" i="26" s="1"/>
  <c r="C122" i="26"/>
  <c r="E122" i="26" s="1"/>
  <c r="E406" i="26"/>
  <c r="D371" i="26"/>
  <c r="E371" i="26" s="1"/>
  <c r="D367" i="26"/>
  <c r="E367" i="26" s="1"/>
  <c r="D363" i="26"/>
  <c r="E363" i="26" s="1"/>
  <c r="D359" i="26"/>
  <c r="E359" i="26" s="1"/>
  <c r="D355" i="26"/>
  <c r="E355" i="26" s="1"/>
  <c r="D351" i="26"/>
  <c r="E351" i="26" s="1"/>
  <c r="D347" i="26"/>
  <c r="E347" i="26" s="1"/>
  <c r="D343" i="26"/>
  <c r="E343" i="26" s="1"/>
  <c r="D339" i="26"/>
  <c r="E339" i="26" s="1"/>
  <c r="D335" i="26"/>
  <c r="E335" i="26" s="1"/>
  <c r="D331" i="26"/>
  <c r="E331" i="26" s="1"/>
  <c r="D327" i="26"/>
  <c r="E327" i="26" s="1"/>
  <c r="D323" i="26"/>
  <c r="E323" i="26" s="1"/>
  <c r="D287" i="26"/>
  <c r="E287" i="26" s="1"/>
  <c r="E269" i="26"/>
  <c r="C126" i="26"/>
  <c r="E126" i="26" s="1"/>
  <c r="E319" i="26"/>
  <c r="E315" i="26"/>
  <c r="E284" i="26"/>
  <c r="D430" i="26"/>
  <c r="E430" i="26" s="1"/>
  <c r="D413" i="26"/>
  <c r="E413" i="26" s="1"/>
  <c r="C409" i="26"/>
  <c r="E409" i="26" s="1"/>
  <c r="C400" i="26"/>
  <c r="E400" i="26" s="1"/>
  <c r="D388" i="26"/>
  <c r="E388" i="26" s="1"/>
  <c r="D383" i="26"/>
  <c r="E383" i="26" s="1"/>
  <c r="E375" i="26"/>
  <c r="D370" i="26"/>
  <c r="E370" i="26" s="1"/>
  <c r="D366" i="26"/>
  <c r="E366" i="26" s="1"/>
  <c r="D362" i="26"/>
  <c r="E362" i="26" s="1"/>
  <c r="D358" i="26"/>
  <c r="E358" i="26" s="1"/>
  <c r="D354" i="26"/>
  <c r="E354" i="26" s="1"/>
  <c r="D350" i="26"/>
  <c r="E350" i="26" s="1"/>
  <c r="D346" i="26"/>
  <c r="E346" i="26" s="1"/>
  <c r="D342" i="26"/>
  <c r="E342" i="26" s="1"/>
  <c r="D338" i="26"/>
  <c r="E338" i="26" s="1"/>
  <c r="D334" i="26"/>
  <c r="E334" i="26" s="1"/>
  <c r="D330" i="26"/>
  <c r="E330" i="26" s="1"/>
  <c r="D326" i="26"/>
  <c r="E326" i="26" s="1"/>
  <c r="D322" i="26"/>
  <c r="E322" i="26" s="1"/>
  <c r="D318" i="26"/>
  <c r="E318" i="26" s="1"/>
  <c r="D314" i="26"/>
  <c r="E314" i="26" s="1"/>
  <c r="E299" i="26"/>
  <c r="D291" i="26"/>
  <c r="E291" i="26" s="1"/>
  <c r="D286" i="26"/>
  <c r="E286" i="26" s="1"/>
  <c r="D271" i="26"/>
  <c r="E271" i="26" s="1"/>
  <c r="C162" i="26"/>
  <c r="E162" i="26" s="1"/>
  <c r="C146" i="26"/>
  <c r="E146" i="26" s="1"/>
  <c r="C130" i="26"/>
  <c r="E130" i="26" s="1"/>
  <c r="C125" i="26"/>
  <c r="E125" i="26" s="1"/>
  <c r="D391" i="26"/>
  <c r="E391" i="26" s="1"/>
  <c r="C171" i="26"/>
  <c r="E171" i="26" s="1"/>
  <c r="E396" i="26"/>
  <c r="E374" i="26"/>
  <c r="E399" i="26"/>
  <c r="E309" i="26"/>
  <c r="E301" i="26"/>
  <c r="D698" i="26"/>
  <c r="C698" i="26"/>
  <c r="D675" i="26"/>
  <c r="C675" i="26"/>
  <c r="D666" i="26"/>
  <c r="C666" i="26"/>
  <c r="D634" i="26"/>
  <c r="C634" i="26"/>
  <c r="C625" i="26"/>
  <c r="D625" i="26"/>
  <c r="C616" i="26"/>
  <c r="D616" i="26"/>
  <c r="C539" i="26"/>
  <c r="D539" i="26"/>
  <c r="D510" i="26"/>
  <c r="C510" i="26"/>
  <c r="C255" i="26"/>
  <c r="D255" i="26"/>
  <c r="D840" i="26"/>
  <c r="E840" i="26" s="1"/>
  <c r="D832" i="26"/>
  <c r="E832" i="26" s="1"/>
  <c r="D824" i="26"/>
  <c r="E824" i="26" s="1"/>
  <c r="D816" i="26"/>
  <c r="E816" i="26" s="1"/>
  <c r="D808" i="26"/>
  <c r="E808" i="26" s="1"/>
  <c r="D800" i="26"/>
  <c r="E800" i="26" s="1"/>
  <c r="D792" i="26"/>
  <c r="E792" i="26" s="1"/>
  <c r="D784" i="26"/>
  <c r="E784" i="26" s="1"/>
  <c r="D776" i="26"/>
  <c r="E776" i="26" s="1"/>
  <c r="D768" i="26"/>
  <c r="E768" i="26" s="1"/>
  <c r="D760" i="26"/>
  <c r="E760" i="26" s="1"/>
  <c r="D752" i="26"/>
  <c r="E752" i="26" s="1"/>
  <c r="D744" i="26"/>
  <c r="E744" i="26" s="1"/>
  <c r="D736" i="26"/>
  <c r="E736" i="26" s="1"/>
  <c r="D691" i="26"/>
  <c r="C691" i="26"/>
  <c r="D842" i="26"/>
  <c r="E842" i="26" s="1"/>
  <c r="D837" i="26"/>
  <c r="E837" i="26" s="1"/>
  <c r="D829" i="26"/>
  <c r="E829" i="26" s="1"/>
  <c r="D821" i="26"/>
  <c r="E821" i="26" s="1"/>
  <c r="D813" i="26"/>
  <c r="E813" i="26" s="1"/>
  <c r="D805" i="26"/>
  <c r="E805" i="26" s="1"/>
  <c r="D797" i="26"/>
  <c r="E797" i="26" s="1"/>
  <c r="D789" i="26"/>
  <c r="E789" i="26" s="1"/>
  <c r="D781" i="26"/>
  <c r="E781" i="26" s="1"/>
  <c r="D773" i="26"/>
  <c r="E773" i="26" s="1"/>
  <c r="D765" i="26"/>
  <c r="E765" i="26" s="1"/>
  <c r="D757" i="26"/>
  <c r="E757" i="26" s="1"/>
  <c r="D749" i="26"/>
  <c r="E749" i="26" s="1"/>
  <c r="D741" i="26"/>
  <c r="E741" i="26" s="1"/>
  <c r="C733" i="26"/>
  <c r="E733" i="26" s="1"/>
  <c r="D727" i="26"/>
  <c r="E727" i="26" s="1"/>
  <c r="D724" i="26"/>
  <c r="E724" i="26" s="1"/>
  <c r="C718" i="26"/>
  <c r="E718" i="26" s="1"/>
  <c r="D715" i="26"/>
  <c r="E715" i="26" s="1"/>
  <c r="D700" i="26"/>
  <c r="E700" i="26" s="1"/>
  <c r="D712" i="26"/>
  <c r="E712" i="26" s="1"/>
  <c r="C709" i="26"/>
  <c r="E709" i="26" s="1"/>
  <c r="D703" i="26"/>
  <c r="E703" i="26" s="1"/>
  <c r="C673" i="26"/>
  <c r="D673" i="26"/>
  <c r="C656" i="26"/>
  <c r="D656" i="26"/>
  <c r="C649" i="26"/>
  <c r="D649" i="26"/>
  <c r="C637" i="26"/>
  <c r="D637" i="26"/>
  <c r="C696" i="26"/>
  <c r="D696" i="26"/>
  <c r="C669" i="26"/>
  <c r="D669" i="26"/>
  <c r="C620" i="26"/>
  <c r="D620" i="26"/>
  <c r="D836" i="26"/>
  <c r="E836" i="26" s="1"/>
  <c r="D828" i="26"/>
  <c r="E828" i="26" s="1"/>
  <c r="D820" i="26"/>
  <c r="E820" i="26" s="1"/>
  <c r="D812" i="26"/>
  <c r="E812" i="26" s="1"/>
  <c r="D804" i="26"/>
  <c r="E804" i="26" s="1"/>
  <c r="D796" i="26"/>
  <c r="E796" i="26" s="1"/>
  <c r="D788" i="26"/>
  <c r="E788" i="26" s="1"/>
  <c r="D780" i="26"/>
  <c r="E780" i="26" s="1"/>
  <c r="D772" i="26"/>
  <c r="E772" i="26" s="1"/>
  <c r="D764" i="26"/>
  <c r="E764" i="26" s="1"/>
  <c r="D756" i="26"/>
  <c r="E756" i="26" s="1"/>
  <c r="D748" i="26"/>
  <c r="E748" i="26" s="1"/>
  <c r="D740" i="26"/>
  <c r="E740" i="26" s="1"/>
  <c r="D720" i="26"/>
  <c r="E720" i="26" s="1"/>
  <c r="D711" i="26"/>
  <c r="E711" i="26" s="1"/>
  <c r="D708" i="26"/>
  <c r="E708" i="26" s="1"/>
  <c r="C702" i="26"/>
  <c r="E702" i="26" s="1"/>
  <c r="C600" i="26"/>
  <c r="D600" i="26"/>
  <c r="D841" i="26"/>
  <c r="E841" i="26" s="1"/>
  <c r="D833" i="26"/>
  <c r="E833" i="26" s="1"/>
  <c r="D825" i="26"/>
  <c r="E825" i="26" s="1"/>
  <c r="D817" i="26"/>
  <c r="E817" i="26" s="1"/>
  <c r="D809" i="26"/>
  <c r="E809" i="26" s="1"/>
  <c r="D801" i="26"/>
  <c r="E801" i="26" s="1"/>
  <c r="D793" i="26"/>
  <c r="E793" i="26" s="1"/>
  <c r="D785" i="26"/>
  <c r="E785" i="26" s="1"/>
  <c r="D777" i="26"/>
  <c r="E777" i="26" s="1"/>
  <c r="D769" i="26"/>
  <c r="E769" i="26" s="1"/>
  <c r="D761" i="26"/>
  <c r="E761" i="26" s="1"/>
  <c r="D753" i="26"/>
  <c r="E753" i="26" s="1"/>
  <c r="D745" i="26"/>
  <c r="E745" i="26" s="1"/>
  <c r="D737" i="26"/>
  <c r="E737" i="26" s="1"/>
  <c r="D692" i="26"/>
  <c r="E692" i="26" s="1"/>
  <c r="D688" i="26"/>
  <c r="E688" i="26" s="1"/>
  <c r="C676" i="26"/>
  <c r="E676" i="26" s="1"/>
  <c r="D659" i="26"/>
  <c r="C659" i="26"/>
  <c r="C734" i="26"/>
  <c r="E734" i="26" s="1"/>
  <c r="D731" i="26"/>
  <c r="E731" i="26" s="1"/>
  <c r="D716" i="26"/>
  <c r="E716" i="26" s="1"/>
  <c r="D707" i="26"/>
  <c r="E707" i="26" s="1"/>
  <c r="D672" i="26"/>
  <c r="E672" i="26" s="1"/>
  <c r="C650" i="26"/>
  <c r="E650" i="26" s="1"/>
  <c r="D633" i="26"/>
  <c r="E633" i="26" s="1"/>
  <c r="C619" i="26"/>
  <c r="E619" i="26" s="1"/>
  <c r="D644" i="26"/>
  <c r="E644" i="26" s="1"/>
  <c r="C609" i="26"/>
  <c r="D609" i="26"/>
  <c r="C593" i="26"/>
  <c r="D593" i="26"/>
  <c r="C587" i="26"/>
  <c r="D587" i="26"/>
  <c r="C562" i="26"/>
  <c r="D562" i="26"/>
  <c r="C555" i="26"/>
  <c r="D555" i="26"/>
  <c r="D526" i="26"/>
  <c r="C526" i="26"/>
  <c r="C491" i="26"/>
  <c r="D491" i="26"/>
  <c r="C627" i="26"/>
  <c r="E627" i="26" s="1"/>
  <c r="C618" i="26"/>
  <c r="E618" i="26" s="1"/>
  <c r="C586" i="26"/>
  <c r="E586" i="26" s="1"/>
  <c r="C608" i="26"/>
  <c r="D608" i="26"/>
  <c r="D542" i="26"/>
  <c r="C542" i="26"/>
  <c r="C507" i="26"/>
  <c r="D507" i="26"/>
  <c r="C682" i="26"/>
  <c r="E682" i="26" s="1"/>
  <c r="D668" i="26"/>
  <c r="E668" i="26" s="1"/>
  <c r="D665" i="26"/>
  <c r="E665" i="26" s="1"/>
  <c r="C643" i="26"/>
  <c r="E643" i="26" s="1"/>
  <c r="D640" i="26"/>
  <c r="E640" i="26" s="1"/>
  <c r="D629" i="26"/>
  <c r="E629" i="26" s="1"/>
  <c r="D617" i="26"/>
  <c r="E617" i="26" s="1"/>
  <c r="C651" i="26"/>
  <c r="E651" i="26" s="1"/>
  <c r="D648" i="26"/>
  <c r="E648" i="26" s="1"/>
  <c r="C626" i="26"/>
  <c r="E626" i="26" s="1"/>
  <c r="C611" i="26"/>
  <c r="E611" i="26" s="1"/>
  <c r="C601" i="26"/>
  <c r="D601" i="26"/>
  <c r="C595" i="26"/>
  <c r="E595" i="26" s="1"/>
  <c r="C578" i="26"/>
  <c r="D578" i="26"/>
  <c r="C571" i="26"/>
  <c r="D571" i="26"/>
  <c r="C523" i="26"/>
  <c r="D523" i="26"/>
  <c r="D494" i="26"/>
  <c r="C494" i="26"/>
  <c r="C584" i="26"/>
  <c r="D584" i="26"/>
  <c r="C577" i="26"/>
  <c r="D577" i="26"/>
  <c r="D568" i="26"/>
  <c r="E568" i="26" s="1"/>
  <c r="D561" i="26"/>
  <c r="E561" i="26" s="1"/>
  <c r="D541" i="26"/>
  <c r="E541" i="26" s="1"/>
  <c r="D525" i="26"/>
  <c r="E525" i="26" s="1"/>
  <c r="D509" i="26"/>
  <c r="E509" i="26" s="1"/>
  <c r="D493" i="26"/>
  <c r="E493" i="26" s="1"/>
  <c r="D477" i="26"/>
  <c r="E477" i="26" s="1"/>
  <c r="C544" i="26"/>
  <c r="E544" i="26" s="1"/>
  <c r="C528" i="26"/>
  <c r="E528" i="26" s="1"/>
  <c r="C512" i="26"/>
  <c r="E512" i="26" s="1"/>
  <c r="C496" i="26"/>
  <c r="E496" i="26" s="1"/>
  <c r="C387" i="26"/>
  <c r="D387" i="26"/>
  <c r="C305" i="26"/>
  <c r="D305" i="26"/>
  <c r="C435" i="26"/>
  <c r="E435" i="26" s="1"/>
  <c r="C403" i="26"/>
  <c r="D403" i="26"/>
  <c r="C369" i="26"/>
  <c r="D369" i="26"/>
  <c r="C361" i="26"/>
  <c r="D361" i="26"/>
  <c r="C353" i="26"/>
  <c r="D353" i="26"/>
  <c r="C345" i="26"/>
  <c r="D345" i="26"/>
  <c r="C337" i="26"/>
  <c r="D337" i="26"/>
  <c r="C329" i="26"/>
  <c r="D329" i="26"/>
  <c r="C321" i="26"/>
  <c r="D321" i="26"/>
  <c r="C313" i="26"/>
  <c r="D313" i="26"/>
  <c r="C279" i="26"/>
  <c r="D279" i="26"/>
  <c r="C419" i="26"/>
  <c r="D419" i="26"/>
  <c r="C394" i="26"/>
  <c r="D394" i="26"/>
  <c r="C377" i="26"/>
  <c r="D377" i="26"/>
  <c r="D592" i="26"/>
  <c r="E592" i="26" s="1"/>
  <c r="D585" i="26"/>
  <c r="E585" i="26" s="1"/>
  <c r="D576" i="26"/>
  <c r="E576" i="26" s="1"/>
  <c r="D569" i="26"/>
  <c r="E569" i="26" s="1"/>
  <c r="D560" i="26"/>
  <c r="E560" i="26" s="1"/>
  <c r="D549" i="26"/>
  <c r="E549" i="26" s="1"/>
  <c r="D533" i="26"/>
  <c r="E533" i="26" s="1"/>
  <c r="D517" i="26"/>
  <c r="E517" i="26" s="1"/>
  <c r="D501" i="26"/>
  <c r="E501" i="26" s="1"/>
  <c r="D485" i="26"/>
  <c r="E485" i="26" s="1"/>
  <c r="C434" i="26"/>
  <c r="D434" i="26"/>
  <c r="C410" i="26"/>
  <c r="D410" i="26"/>
  <c r="C289" i="26"/>
  <c r="D289" i="26"/>
  <c r="C552" i="26"/>
  <c r="E552" i="26" s="1"/>
  <c r="C536" i="26"/>
  <c r="E536" i="26" s="1"/>
  <c r="C520" i="26"/>
  <c r="E520" i="26" s="1"/>
  <c r="C504" i="26"/>
  <c r="E504" i="26" s="1"/>
  <c r="C488" i="26"/>
  <c r="E488" i="26" s="1"/>
  <c r="C433" i="26"/>
  <c r="D433" i="26"/>
  <c r="C426" i="26"/>
  <c r="D426" i="26"/>
  <c r="C295" i="26"/>
  <c r="D295" i="26"/>
  <c r="C288" i="26"/>
  <c r="D288" i="26"/>
  <c r="D427" i="26"/>
  <c r="E427" i="26" s="1"/>
  <c r="D418" i="26"/>
  <c r="E418" i="26" s="1"/>
  <c r="D411" i="26"/>
  <c r="E411" i="26" s="1"/>
  <c r="D402" i="26"/>
  <c r="E402" i="26" s="1"/>
  <c r="D395" i="26"/>
  <c r="E395" i="26" s="1"/>
  <c r="D386" i="26"/>
  <c r="E386" i="26" s="1"/>
  <c r="D381" i="26"/>
  <c r="E381" i="26" s="1"/>
  <c r="D373" i="26"/>
  <c r="E373" i="26" s="1"/>
  <c r="C282" i="26"/>
  <c r="D282" i="26"/>
  <c r="C40" i="26"/>
  <c r="D40" i="26"/>
  <c r="C298" i="26"/>
  <c r="D298" i="26"/>
  <c r="C281" i="26"/>
  <c r="E281" i="26" s="1"/>
  <c r="C260" i="26"/>
  <c r="D260" i="26"/>
  <c r="D311" i="26"/>
  <c r="E311" i="26" s="1"/>
  <c r="D303" i="26"/>
  <c r="E303" i="26" s="1"/>
  <c r="D424" i="26"/>
  <c r="E424" i="26" s="1"/>
  <c r="D417" i="26"/>
  <c r="E417" i="26" s="1"/>
  <c r="D408" i="26"/>
  <c r="E408" i="26" s="1"/>
  <c r="D401" i="26"/>
  <c r="E401" i="26" s="1"/>
  <c r="D392" i="26"/>
  <c r="E392" i="26" s="1"/>
  <c r="D385" i="26"/>
  <c r="E385" i="26" s="1"/>
  <c r="D380" i="26"/>
  <c r="E380" i="26" s="1"/>
  <c r="D372" i="26"/>
  <c r="E372" i="26" s="1"/>
  <c r="D364" i="26"/>
  <c r="E364" i="26" s="1"/>
  <c r="D356" i="26"/>
  <c r="E356" i="26" s="1"/>
  <c r="D348" i="26"/>
  <c r="E348" i="26" s="1"/>
  <c r="D340" i="26"/>
  <c r="E340" i="26" s="1"/>
  <c r="D332" i="26"/>
  <c r="E332" i="26" s="1"/>
  <c r="D324" i="26"/>
  <c r="E324" i="26" s="1"/>
  <c r="D316" i="26"/>
  <c r="E316" i="26" s="1"/>
  <c r="D308" i="26"/>
  <c r="E308" i="26" s="1"/>
  <c r="C274" i="26"/>
  <c r="E274" i="26" s="1"/>
  <c r="C93" i="26"/>
  <c r="D93" i="26"/>
  <c r="C290" i="26"/>
  <c r="E290" i="26" s="1"/>
  <c r="C248" i="26"/>
  <c r="D248" i="26"/>
  <c r="C240" i="26"/>
  <c r="D240" i="26"/>
  <c r="C232" i="26"/>
  <c r="D232" i="26"/>
  <c r="C224" i="26"/>
  <c r="D224" i="26"/>
  <c r="C216" i="26"/>
  <c r="D216" i="26"/>
  <c r="C208" i="26"/>
  <c r="D208" i="26"/>
  <c r="C200" i="26"/>
  <c r="D200" i="26"/>
  <c r="C192" i="26"/>
  <c r="D192" i="26"/>
  <c r="C184" i="26"/>
  <c r="D184" i="26"/>
  <c r="C176" i="26"/>
  <c r="D176" i="26"/>
  <c r="C265" i="26"/>
  <c r="D265" i="26"/>
  <c r="C254" i="26"/>
  <c r="D254" i="26"/>
  <c r="C247" i="26"/>
  <c r="D247" i="26"/>
  <c r="C239" i="26"/>
  <c r="D239" i="26"/>
  <c r="C231" i="26"/>
  <c r="D231" i="26"/>
  <c r="C223" i="26"/>
  <c r="D223" i="26"/>
  <c r="C215" i="26"/>
  <c r="D215" i="26"/>
  <c r="C207" i="26"/>
  <c r="D207" i="26"/>
  <c r="C199" i="26"/>
  <c r="D199" i="26"/>
  <c r="C191" i="26"/>
  <c r="D191" i="26"/>
  <c r="C183" i="26"/>
  <c r="D183" i="26"/>
  <c r="C175" i="26"/>
  <c r="D175" i="26"/>
  <c r="D159" i="26"/>
  <c r="C159" i="26"/>
  <c r="D140" i="26"/>
  <c r="C140" i="26"/>
  <c r="C77" i="26"/>
  <c r="D77" i="26"/>
  <c r="C24" i="26"/>
  <c r="D24" i="26"/>
  <c r="D273" i="26"/>
  <c r="E273" i="26" s="1"/>
  <c r="C264" i="26"/>
  <c r="D264" i="26"/>
  <c r="C259" i="26"/>
  <c r="D259" i="26"/>
  <c r="C246" i="26"/>
  <c r="D246" i="26"/>
  <c r="C238" i="26"/>
  <c r="D238" i="26"/>
  <c r="C230" i="26"/>
  <c r="D230" i="26"/>
  <c r="C222" i="26"/>
  <c r="D222" i="26"/>
  <c r="C214" i="26"/>
  <c r="D214" i="26"/>
  <c r="C206" i="26"/>
  <c r="D206" i="26"/>
  <c r="C198" i="26"/>
  <c r="D198" i="26"/>
  <c r="C190" i="26"/>
  <c r="D190" i="26"/>
  <c r="C182" i="26"/>
  <c r="D182" i="26"/>
  <c r="C174" i="26"/>
  <c r="D174" i="26"/>
  <c r="C61" i="26"/>
  <c r="D61" i="26"/>
  <c r="C268" i="26"/>
  <c r="E268" i="26" s="1"/>
  <c r="C258" i="26"/>
  <c r="D258" i="26"/>
  <c r="C253" i="26"/>
  <c r="D253" i="26"/>
  <c r="C245" i="26"/>
  <c r="D245" i="26"/>
  <c r="C237" i="26"/>
  <c r="D237" i="26"/>
  <c r="C229" i="26"/>
  <c r="D229" i="26"/>
  <c r="C221" i="26"/>
  <c r="D221" i="26"/>
  <c r="C213" i="26"/>
  <c r="D213" i="26"/>
  <c r="C205" i="26"/>
  <c r="D205" i="26"/>
  <c r="C197" i="26"/>
  <c r="D197" i="26"/>
  <c r="C189" i="26"/>
  <c r="D189" i="26"/>
  <c r="C181" i="26"/>
  <c r="D181" i="26"/>
  <c r="D143" i="26"/>
  <c r="C143" i="26"/>
  <c r="C120" i="26"/>
  <c r="D120" i="26"/>
  <c r="C45" i="26"/>
  <c r="D45" i="26"/>
  <c r="C263" i="26"/>
  <c r="D263" i="26"/>
  <c r="C252" i="26"/>
  <c r="D252" i="26"/>
  <c r="C244" i="26"/>
  <c r="D244" i="26"/>
  <c r="C236" i="26"/>
  <c r="D236" i="26"/>
  <c r="C228" i="26"/>
  <c r="D228" i="26"/>
  <c r="C220" i="26"/>
  <c r="D220" i="26"/>
  <c r="C212" i="26"/>
  <c r="D212" i="26"/>
  <c r="C204" i="26"/>
  <c r="D204" i="26"/>
  <c r="C196" i="26"/>
  <c r="D196" i="26"/>
  <c r="C188" i="26"/>
  <c r="D188" i="26"/>
  <c r="C180" i="26"/>
  <c r="D180" i="26"/>
  <c r="C172" i="26"/>
  <c r="D172" i="26"/>
  <c r="C104" i="26"/>
  <c r="D104" i="26"/>
  <c r="C29" i="26"/>
  <c r="D29" i="26"/>
  <c r="D272" i="26"/>
  <c r="E272" i="26" s="1"/>
  <c r="C262" i="26"/>
  <c r="D262" i="26"/>
  <c r="C257" i="26"/>
  <c r="D257" i="26"/>
  <c r="C251" i="26"/>
  <c r="D251" i="26"/>
  <c r="C243" i="26"/>
  <c r="D243" i="26"/>
  <c r="C235" i="26"/>
  <c r="D235" i="26"/>
  <c r="C227" i="26"/>
  <c r="D227" i="26"/>
  <c r="C219" i="26"/>
  <c r="D219" i="26"/>
  <c r="C211" i="26"/>
  <c r="D211" i="26"/>
  <c r="C203" i="26"/>
  <c r="D203" i="26"/>
  <c r="C195" i="26"/>
  <c r="D195" i="26"/>
  <c r="C187" i="26"/>
  <c r="D187" i="26"/>
  <c r="C179" i="26"/>
  <c r="D179" i="26"/>
  <c r="D124" i="26"/>
  <c r="C124" i="26"/>
  <c r="C88" i="26"/>
  <c r="D88" i="26"/>
  <c r="C267" i="26"/>
  <c r="D267" i="26"/>
  <c r="C256" i="26"/>
  <c r="D256" i="26"/>
  <c r="C250" i="26"/>
  <c r="D250" i="26"/>
  <c r="C242" i="26"/>
  <c r="D242" i="26"/>
  <c r="C234" i="26"/>
  <c r="D234" i="26"/>
  <c r="C226" i="26"/>
  <c r="D226" i="26"/>
  <c r="C218" i="26"/>
  <c r="D218" i="26"/>
  <c r="C210" i="26"/>
  <c r="D210" i="26"/>
  <c r="C202" i="26"/>
  <c r="D202" i="26"/>
  <c r="C194" i="26"/>
  <c r="D194" i="26"/>
  <c r="C186" i="26"/>
  <c r="D186" i="26"/>
  <c r="C178" i="26"/>
  <c r="D178" i="26"/>
  <c r="C72" i="26"/>
  <c r="D72" i="26"/>
  <c r="C266" i="26"/>
  <c r="D266" i="26"/>
  <c r="C261" i="26"/>
  <c r="D261" i="26"/>
  <c r="C249" i="26"/>
  <c r="D249" i="26"/>
  <c r="C241" i="26"/>
  <c r="D241" i="26"/>
  <c r="C233" i="26"/>
  <c r="D233" i="26"/>
  <c r="C225" i="26"/>
  <c r="D225" i="26"/>
  <c r="C217" i="26"/>
  <c r="D217" i="26"/>
  <c r="C209" i="26"/>
  <c r="D209" i="26"/>
  <c r="C201" i="26"/>
  <c r="D201" i="26"/>
  <c r="C193" i="26"/>
  <c r="D193" i="26"/>
  <c r="C185" i="26"/>
  <c r="D185" i="26"/>
  <c r="C177" i="26"/>
  <c r="D177" i="26"/>
  <c r="D156" i="26"/>
  <c r="C156" i="26"/>
  <c r="D127" i="26"/>
  <c r="C127" i="26"/>
  <c r="C109" i="26"/>
  <c r="D109" i="26"/>
  <c r="C56" i="26"/>
  <c r="D56" i="26"/>
  <c r="C119" i="26"/>
  <c r="D119" i="26"/>
  <c r="C114" i="26"/>
  <c r="D114" i="26"/>
  <c r="C103" i="26"/>
  <c r="D103" i="26"/>
  <c r="C98" i="26"/>
  <c r="D98" i="26"/>
  <c r="C87" i="26"/>
  <c r="D87" i="26"/>
  <c r="C82" i="26"/>
  <c r="D82" i="26"/>
  <c r="C71" i="26"/>
  <c r="D71" i="26"/>
  <c r="C66" i="26"/>
  <c r="D66" i="26"/>
  <c r="C55" i="26"/>
  <c r="D55" i="26"/>
  <c r="C50" i="26"/>
  <c r="D50" i="26"/>
  <c r="C39" i="26"/>
  <c r="D39" i="26"/>
  <c r="C34" i="26"/>
  <c r="D34" i="26"/>
  <c r="C23" i="26"/>
  <c r="D23" i="26"/>
  <c r="C18" i="26"/>
  <c r="D18" i="26"/>
  <c r="D173" i="26"/>
  <c r="E173" i="26" s="1"/>
  <c r="C161" i="26"/>
  <c r="E161" i="26" s="1"/>
  <c r="C145" i="26"/>
  <c r="E145" i="26" s="1"/>
  <c r="C129" i="26"/>
  <c r="E129" i="26" s="1"/>
  <c r="C113" i="26"/>
  <c r="D113" i="26"/>
  <c r="C108" i="26"/>
  <c r="D108" i="26"/>
  <c r="C97" i="26"/>
  <c r="D97" i="26"/>
  <c r="C92" i="26"/>
  <c r="D92" i="26"/>
  <c r="C81" i="26"/>
  <c r="D81" i="26"/>
  <c r="C76" i="26"/>
  <c r="D76" i="26"/>
  <c r="C65" i="26"/>
  <c r="D65" i="26"/>
  <c r="C60" i="26"/>
  <c r="D60" i="26"/>
  <c r="C49" i="26"/>
  <c r="D49" i="26"/>
  <c r="C44" i="26"/>
  <c r="D44" i="26"/>
  <c r="C33" i="26"/>
  <c r="D33" i="26"/>
  <c r="C28" i="26"/>
  <c r="D28" i="26"/>
  <c r="C167" i="26"/>
  <c r="E167" i="26" s="1"/>
  <c r="C164" i="26"/>
  <c r="E164" i="26" s="1"/>
  <c r="C151" i="26"/>
  <c r="E151" i="26" s="1"/>
  <c r="C148" i="26"/>
  <c r="E148" i="26" s="1"/>
  <c r="C135" i="26"/>
  <c r="E135" i="26" s="1"/>
  <c r="C132" i="26"/>
  <c r="E132" i="26" s="1"/>
  <c r="C118" i="26"/>
  <c r="D118" i="26"/>
  <c r="C107" i="26"/>
  <c r="D107" i="26"/>
  <c r="C102" i="26"/>
  <c r="D102" i="26"/>
  <c r="C91" i="26"/>
  <c r="D91" i="26"/>
  <c r="C86" i="26"/>
  <c r="D86" i="26"/>
  <c r="C75" i="26"/>
  <c r="D75" i="26"/>
  <c r="C70" i="26"/>
  <c r="D70" i="26"/>
  <c r="C59" i="26"/>
  <c r="D59" i="26"/>
  <c r="C54" i="26"/>
  <c r="D54" i="26"/>
  <c r="C43" i="26"/>
  <c r="D43" i="26"/>
  <c r="C38" i="26"/>
  <c r="D38" i="26"/>
  <c r="C27" i="26"/>
  <c r="D27" i="26"/>
  <c r="C22" i="26"/>
  <c r="D22" i="26"/>
  <c r="C117" i="26"/>
  <c r="D117" i="26"/>
  <c r="C112" i="26"/>
  <c r="D112" i="26"/>
  <c r="C101" i="26"/>
  <c r="D101" i="26"/>
  <c r="C96" i="26"/>
  <c r="D96" i="26"/>
  <c r="C85" i="26"/>
  <c r="D85" i="26"/>
  <c r="C80" i="26"/>
  <c r="D80" i="26"/>
  <c r="C69" i="26"/>
  <c r="D69" i="26"/>
  <c r="C64" i="26"/>
  <c r="D64" i="26"/>
  <c r="C53" i="26"/>
  <c r="D53" i="26"/>
  <c r="C48" i="26"/>
  <c r="D48" i="26"/>
  <c r="C37" i="26"/>
  <c r="D37" i="26"/>
  <c r="C32" i="26"/>
  <c r="D32" i="26"/>
  <c r="C21" i="26"/>
  <c r="D21" i="26"/>
  <c r="C16" i="26"/>
  <c r="D16" i="26"/>
  <c r="C163" i="26"/>
  <c r="E163" i="26" s="1"/>
  <c r="C160" i="26"/>
  <c r="E160" i="26" s="1"/>
  <c r="C147" i="26"/>
  <c r="E147" i="26" s="1"/>
  <c r="C144" i="26"/>
  <c r="E144" i="26" s="1"/>
  <c r="C131" i="26"/>
  <c r="E131" i="26" s="1"/>
  <c r="C111" i="26"/>
  <c r="D111" i="26"/>
  <c r="C106" i="26"/>
  <c r="D106" i="26"/>
  <c r="C95" i="26"/>
  <c r="D95" i="26"/>
  <c r="C90" i="26"/>
  <c r="D90" i="26"/>
  <c r="C79" i="26"/>
  <c r="D79" i="26"/>
  <c r="C74" i="26"/>
  <c r="D74" i="26"/>
  <c r="C63" i="26"/>
  <c r="D63" i="26"/>
  <c r="C58" i="26"/>
  <c r="D58" i="26"/>
  <c r="C47" i="26"/>
  <c r="D47" i="26"/>
  <c r="C42" i="26"/>
  <c r="D42" i="26"/>
  <c r="C31" i="26"/>
  <c r="D31" i="26"/>
  <c r="C26" i="26"/>
  <c r="D26" i="26"/>
  <c r="C153" i="26"/>
  <c r="E153" i="26" s="1"/>
  <c r="C137" i="26"/>
  <c r="E137" i="26" s="1"/>
  <c r="C121" i="26"/>
  <c r="D121" i="26"/>
  <c r="C116" i="26"/>
  <c r="D116" i="26"/>
  <c r="C105" i="26"/>
  <c r="D105" i="26"/>
  <c r="C100" i="26"/>
  <c r="D100" i="26"/>
  <c r="C89" i="26"/>
  <c r="D89" i="26"/>
  <c r="C84" i="26"/>
  <c r="D84" i="26"/>
  <c r="C73" i="26"/>
  <c r="D73" i="26"/>
  <c r="C68" i="26"/>
  <c r="D68" i="26"/>
  <c r="C57" i="26"/>
  <c r="D57" i="26"/>
  <c r="C52" i="26"/>
  <c r="D52" i="26"/>
  <c r="C41" i="26"/>
  <c r="D41" i="26"/>
  <c r="C36" i="26"/>
  <c r="D36" i="26"/>
  <c r="C25" i="26"/>
  <c r="D25" i="26"/>
  <c r="C20" i="26"/>
  <c r="D20" i="26"/>
  <c r="C115" i="26"/>
  <c r="D115" i="26"/>
  <c r="C110" i="26"/>
  <c r="D110" i="26"/>
  <c r="C99" i="26"/>
  <c r="D99" i="26"/>
  <c r="C94" i="26"/>
  <c r="D94" i="26"/>
  <c r="C83" i="26"/>
  <c r="D83" i="26"/>
  <c r="C78" i="26"/>
  <c r="D78" i="26"/>
  <c r="C67" i="26"/>
  <c r="D67" i="26"/>
  <c r="C62" i="26"/>
  <c r="D62" i="26"/>
  <c r="C51" i="26"/>
  <c r="D51" i="26"/>
  <c r="C46" i="26"/>
  <c r="D46" i="26"/>
  <c r="C35" i="26"/>
  <c r="D35" i="26"/>
  <c r="C30" i="26"/>
  <c r="D30" i="26"/>
  <c r="C19" i="26"/>
  <c r="D19" i="26"/>
  <c r="D14" i="26"/>
  <c r="E14" i="26" s="1"/>
  <c r="D12" i="26"/>
  <c r="E12" i="26" s="1"/>
  <c r="D10" i="26"/>
  <c r="E10" i="26" s="1"/>
  <c r="D8" i="26"/>
  <c r="E8" i="26" s="1"/>
  <c r="D6" i="26"/>
  <c r="E6" i="26" s="1"/>
  <c r="D4" i="26"/>
  <c r="E4" i="26" s="1"/>
  <c r="D17" i="26"/>
  <c r="E17" i="26" s="1"/>
  <c r="D15" i="26"/>
  <c r="E15" i="26" s="1"/>
  <c r="D13" i="26"/>
  <c r="E13" i="26" s="1"/>
  <c r="D11" i="26"/>
  <c r="E11" i="26" s="1"/>
  <c r="D9" i="26"/>
  <c r="E9" i="26" s="1"/>
  <c r="D7" i="26"/>
  <c r="E7" i="26" s="1"/>
  <c r="D5" i="26"/>
  <c r="E5" i="26" s="1"/>
  <c r="D3" i="26"/>
  <c r="E3" i="26" s="1"/>
  <c r="C2" i="26"/>
  <c r="E2" i="26" s="1"/>
  <c r="X109" i="1"/>
  <c r="D23" i="21" s="1"/>
  <c r="X111" i="1"/>
  <c r="X112" i="1"/>
  <c r="X113" i="1"/>
  <c r="X124" i="1"/>
  <c r="X126" i="1"/>
  <c r="D22" i="21" s="1"/>
  <c r="X129" i="1"/>
  <c r="X128" i="1"/>
  <c r="D3" i="21" s="1"/>
  <c r="X119" i="1"/>
  <c r="X130" i="1"/>
  <c r="X121" i="1"/>
  <c r="X146" i="1"/>
  <c r="D17" i="16" s="1"/>
  <c r="X114" i="1"/>
  <c r="X110" i="1"/>
  <c r="X115" i="1"/>
  <c r="X118" i="1"/>
  <c r="X125" i="1"/>
  <c r="X140" i="1"/>
  <c r="D47" i="21" s="1"/>
  <c r="X123" i="1"/>
  <c r="X132" i="1"/>
  <c r="X117" i="1"/>
  <c r="X134" i="1"/>
  <c r="X120" i="1"/>
  <c r="X144" i="1"/>
  <c r="X136" i="1"/>
  <c r="X135" i="1"/>
  <c r="X131" i="1"/>
  <c r="X150" i="1"/>
  <c r="X137" i="1"/>
  <c r="D45" i="19" s="1"/>
  <c r="X142" i="1"/>
  <c r="X108" i="1"/>
  <c r="X138" i="1"/>
  <c r="X141" i="1"/>
  <c r="X139" i="1"/>
  <c r="X122" i="1"/>
  <c r="X145" i="1"/>
  <c r="D48" i="18" s="1"/>
  <c r="X147" i="1"/>
  <c r="X116" i="1"/>
  <c r="D14" i="22" s="1"/>
  <c r="X127" i="1"/>
  <c r="X143" i="1"/>
  <c r="X133" i="1"/>
  <c r="D48" i="16" s="1"/>
  <c r="X148" i="1"/>
  <c r="X149" i="1"/>
  <c r="X151" i="1"/>
  <c r="X152" i="1"/>
  <c r="X156" i="1"/>
  <c r="X153" i="1"/>
  <c r="D3" i="18" s="1"/>
  <c r="X154" i="1"/>
  <c r="X158" i="1"/>
  <c r="X157" i="1"/>
  <c r="X155" i="1"/>
  <c r="X159" i="1"/>
  <c r="D18" i="16" s="1"/>
  <c r="X164" i="1"/>
  <c r="X167" i="1"/>
  <c r="X166" i="1"/>
  <c r="X172" i="1"/>
  <c r="X175" i="1"/>
  <c r="X178" i="1"/>
  <c r="D19" i="21" s="1"/>
  <c r="X174" i="1"/>
  <c r="X199" i="1"/>
  <c r="X177" i="1"/>
  <c r="X204" i="1"/>
  <c r="X161" i="1"/>
  <c r="X163" i="1"/>
  <c r="X165" i="1"/>
  <c r="X168" i="1"/>
  <c r="X179" i="1"/>
  <c r="X189" i="1"/>
  <c r="X162" i="1"/>
  <c r="X183" i="1"/>
  <c r="D14" i="18" s="1"/>
  <c r="X191" i="1"/>
  <c r="X184" i="1"/>
  <c r="X169" i="1"/>
  <c r="X192" i="1"/>
  <c r="X173" i="1"/>
  <c r="D4" i="21" s="1"/>
  <c r="X193" i="1"/>
  <c r="X170" i="1"/>
  <c r="D43" i="18" s="1"/>
  <c r="X186" i="1"/>
  <c r="X160" i="1"/>
  <c r="X194" i="1"/>
  <c r="X176" i="1"/>
  <c r="X188" i="1"/>
  <c r="X180" i="1"/>
  <c r="D16" i="24" s="1"/>
  <c r="X196" i="1"/>
  <c r="X198" i="1"/>
  <c r="X181" i="1"/>
  <c r="X200" i="1"/>
  <c r="X171" i="1"/>
  <c r="X185" i="1"/>
  <c r="X182" i="1"/>
  <c r="X190" i="1"/>
  <c r="X201" i="1"/>
  <c r="X202" i="1"/>
  <c r="X197" i="1"/>
  <c r="X487" i="1"/>
  <c r="D41" i="24" s="1"/>
  <c r="X203" i="1"/>
  <c r="X488" i="1"/>
  <c r="X491" i="1"/>
  <c r="X195" i="1"/>
  <c r="D16" i="19" s="1"/>
  <c r="X187" i="1"/>
  <c r="X493" i="1"/>
  <c r="D26" i="16" s="1"/>
  <c r="X497" i="1"/>
  <c r="X495" i="1"/>
  <c r="X498" i="1"/>
  <c r="X499" i="1"/>
  <c r="X501" i="1"/>
  <c r="X502" i="1"/>
  <c r="X504" i="1"/>
  <c r="D4" i="24" s="1"/>
  <c r="X508" i="1"/>
  <c r="X510" i="1"/>
  <c r="X523" i="1"/>
  <c r="D26" i="24" s="1"/>
  <c r="X489" i="1"/>
  <c r="D5" i="16" s="1"/>
  <c r="X492" i="1"/>
  <c r="X494" i="1"/>
  <c r="X496" i="1"/>
  <c r="X500" i="1"/>
  <c r="D11" i="24" s="1"/>
  <c r="X522" i="1"/>
  <c r="X505" i="1"/>
  <c r="X506" i="1"/>
  <c r="X509" i="1"/>
  <c r="X513" i="1"/>
  <c r="X503" i="1"/>
  <c r="X518" i="1"/>
  <c r="X521" i="1"/>
  <c r="X516" i="1"/>
  <c r="X490" i="1"/>
  <c r="D46" i="18" s="1"/>
  <c r="X514" i="1"/>
  <c r="X512" i="1"/>
  <c r="X517" i="1"/>
  <c r="X507" i="1"/>
  <c r="X526" i="1"/>
  <c r="X524" i="1"/>
  <c r="X515" i="1"/>
  <c r="X527" i="1"/>
  <c r="X520" i="1"/>
  <c r="X525" i="1"/>
  <c r="X528" i="1"/>
  <c r="X529" i="1"/>
  <c r="D12" i="21" s="1"/>
  <c r="X530" i="1"/>
  <c r="X531" i="1"/>
  <c r="X532" i="1"/>
  <c r="X519" i="1"/>
  <c r="X511" i="1"/>
  <c r="X585" i="1"/>
  <c r="X586" i="1"/>
  <c r="X587" i="1"/>
  <c r="X589" i="1"/>
  <c r="X591" i="1"/>
  <c r="X592" i="1"/>
  <c r="X603" i="1"/>
  <c r="X594" i="1"/>
  <c r="X599" i="1"/>
  <c r="X602" i="1"/>
  <c r="X605" i="1"/>
  <c r="X598" i="1"/>
  <c r="X618" i="1"/>
  <c r="X619" i="1"/>
  <c r="X623" i="1"/>
  <c r="X583" i="1"/>
  <c r="X584" i="1"/>
  <c r="D5" i="18" s="1"/>
  <c r="X588" i="1"/>
  <c r="X595" i="1"/>
  <c r="X596" i="1"/>
  <c r="X604" i="1"/>
  <c r="X616" i="1"/>
  <c r="X590" i="1"/>
  <c r="X593" i="1"/>
  <c r="D10" i="24" s="1"/>
  <c r="X601" i="1"/>
  <c r="X607" i="1"/>
  <c r="X600" i="1"/>
  <c r="X608" i="1"/>
  <c r="D9" i="18" s="1"/>
  <c r="X610" i="1"/>
  <c r="X609" i="1"/>
  <c r="D23" i="19" s="1"/>
  <c r="X597" i="1"/>
  <c r="D13" i="19" s="1"/>
  <c r="X620" i="1"/>
  <c r="X612" i="1"/>
  <c r="X615" i="1"/>
  <c r="X621" i="1"/>
  <c r="X614" i="1"/>
  <c r="X613" i="1"/>
  <c r="X622" i="1"/>
  <c r="X606" i="1"/>
  <c r="X625" i="1"/>
  <c r="X626" i="1"/>
  <c r="X627" i="1"/>
  <c r="D5" i="19" s="1"/>
  <c r="X726" i="1"/>
  <c r="X728" i="1"/>
  <c r="X730" i="1"/>
  <c r="X617" i="1"/>
  <c r="D46" i="17" s="1"/>
  <c r="X734" i="1"/>
  <c r="X731" i="1"/>
  <c r="X611" i="1"/>
  <c r="D45" i="18" s="1"/>
  <c r="X735" i="1"/>
  <c r="X737" i="1"/>
  <c r="X624" i="1"/>
  <c r="X732" i="1"/>
  <c r="D11" i="16" s="1"/>
  <c r="X740" i="1"/>
  <c r="X741" i="1"/>
  <c r="D45" i="21" s="1"/>
  <c r="X743" i="1"/>
  <c r="X745" i="1"/>
  <c r="X752" i="1"/>
  <c r="D8" i="21" s="1"/>
  <c r="X747" i="1"/>
  <c r="X768" i="1"/>
  <c r="D3" i="22" s="1"/>
  <c r="X725" i="1"/>
  <c r="X727" i="1"/>
  <c r="X729" i="1"/>
  <c r="X736" i="1"/>
  <c r="X742" i="1"/>
  <c r="X744" i="1"/>
  <c r="X754" i="1"/>
  <c r="X761" i="1"/>
  <c r="X764" i="1"/>
  <c r="X724" i="1"/>
  <c r="X746" i="1"/>
  <c r="X749" i="1"/>
  <c r="X739" i="1"/>
  <c r="X748" i="1"/>
  <c r="X757" i="1"/>
  <c r="X756" i="1"/>
  <c r="X762" i="1"/>
  <c r="D51" i="21" s="1"/>
  <c r="X765" i="1"/>
  <c r="X733" i="1"/>
  <c r="X753" i="1"/>
  <c r="X738" i="1"/>
  <c r="X759" i="1"/>
  <c r="X751" i="1"/>
  <c r="X763" i="1"/>
  <c r="X755" i="1"/>
  <c r="X760" i="1"/>
  <c r="D46" i="19" s="1"/>
  <c r="X771" i="1"/>
  <c r="X766" i="1"/>
  <c r="D18" i="17" s="1"/>
  <c r="X758" i="1"/>
  <c r="X750" i="1"/>
  <c r="X770" i="1"/>
  <c r="X769" i="1"/>
  <c r="X772" i="1"/>
  <c r="X963" i="1"/>
  <c r="D21" i="19" s="1"/>
  <c r="X767" i="1"/>
  <c r="X964" i="1"/>
  <c r="X968" i="1"/>
  <c r="X966" i="1"/>
  <c r="X965" i="1"/>
  <c r="D16" i="16" s="1"/>
  <c r="X970" i="1"/>
  <c r="X972" i="1"/>
  <c r="D45" i="17" s="1"/>
  <c r="X973" i="1"/>
  <c r="X976" i="1"/>
  <c r="X974" i="1"/>
  <c r="X979" i="1"/>
  <c r="X980" i="1"/>
  <c r="X977" i="1"/>
  <c r="X1000" i="1"/>
  <c r="X969" i="1"/>
  <c r="X981" i="1"/>
  <c r="X982" i="1"/>
  <c r="X988" i="1"/>
  <c r="X1004" i="1"/>
  <c r="X978" i="1"/>
  <c r="X997" i="1"/>
  <c r="D20" i="18" s="1"/>
  <c r="X967" i="1"/>
  <c r="X975" i="1"/>
  <c r="X992" i="1"/>
  <c r="X983" i="1"/>
  <c r="X984" i="1"/>
  <c r="X971" i="1"/>
  <c r="X993" i="1"/>
  <c r="X996" i="1"/>
  <c r="D11" i="22" s="1"/>
  <c r="X985" i="1"/>
  <c r="X998" i="1"/>
  <c r="D24" i="24" s="1"/>
  <c r="X989" i="1"/>
  <c r="X999" i="1"/>
  <c r="X994" i="1"/>
  <c r="X1001" i="1"/>
  <c r="D39" i="24" s="1"/>
  <c r="X986" i="1"/>
  <c r="X995" i="1"/>
  <c r="X1002" i="1"/>
  <c r="D3" i="24" s="1"/>
  <c r="X1003" i="1"/>
  <c r="X990" i="1"/>
  <c r="X1005" i="1"/>
  <c r="X1006" i="1"/>
  <c r="X987" i="1"/>
  <c r="X1007" i="1"/>
  <c r="X991" i="1"/>
  <c r="X1207" i="1"/>
  <c r="D11" i="18" s="1"/>
  <c r="X1209" i="1"/>
  <c r="X1008" i="1"/>
  <c r="X1009" i="1"/>
  <c r="X1210" i="1"/>
  <c r="X1211" i="1"/>
  <c r="X1212" i="1"/>
  <c r="X1213" i="1"/>
  <c r="X1216" i="1"/>
  <c r="D18" i="24" s="1"/>
  <c r="X1223" i="1"/>
  <c r="X1241" i="1"/>
  <c r="X1224" i="1"/>
  <c r="X1230" i="1"/>
  <c r="X1247" i="1"/>
  <c r="X1248" i="1"/>
  <c r="X1208" i="1"/>
  <c r="X1214" i="1"/>
  <c r="X1215" i="1"/>
  <c r="X1217" i="1"/>
  <c r="X1239" i="1"/>
  <c r="X1240" i="1"/>
  <c r="X1219" i="1"/>
  <c r="X1232" i="1"/>
  <c r="X1244" i="1"/>
  <c r="X1233" i="1"/>
  <c r="X1226" i="1"/>
  <c r="X1229" i="1"/>
  <c r="D14" i="24" s="1"/>
  <c r="X1225" i="1"/>
  <c r="X1238" i="1"/>
  <c r="X1220" i="1"/>
  <c r="X1246" i="1"/>
  <c r="X1237" i="1"/>
  <c r="X1218" i="1"/>
  <c r="X1234" i="1"/>
  <c r="X1250" i="1"/>
  <c r="X1249" i="1"/>
  <c r="X1227" i="1"/>
  <c r="X1221" i="1"/>
  <c r="X1243" i="1"/>
  <c r="D13" i="22" s="1"/>
  <c r="X1251" i="1"/>
  <c r="X1242" i="1"/>
  <c r="X1236" i="1"/>
  <c r="X1245" i="1"/>
  <c r="D8" i="22" s="1"/>
  <c r="X1253" i="1"/>
  <c r="X1252" i="1"/>
  <c r="X1231" i="1"/>
  <c r="X1254" i="1"/>
  <c r="X1228" i="1"/>
  <c r="X1222" i="1"/>
  <c r="X1235" i="1"/>
  <c r="X1255" i="1"/>
  <c r="X1256" i="1"/>
  <c r="X1260" i="1"/>
  <c r="X1257" i="1"/>
  <c r="X1265" i="1"/>
  <c r="X1266" i="1"/>
  <c r="X1276" i="1"/>
  <c r="X1263" i="1"/>
  <c r="X1267" i="1"/>
  <c r="X1272" i="1"/>
  <c r="X1285" i="1"/>
  <c r="X1291" i="1"/>
  <c r="D42" i="21" s="1"/>
  <c r="X1297" i="1"/>
  <c r="X1258" i="1"/>
  <c r="X1261" i="1"/>
  <c r="X1262" i="1"/>
  <c r="X1264" i="1"/>
  <c r="X1273" i="1"/>
  <c r="X1286" i="1"/>
  <c r="D4" i="22" s="1"/>
  <c r="X1279" i="1"/>
  <c r="D39" i="16" s="1"/>
  <c r="X1294" i="1"/>
  <c r="X1278" i="1"/>
  <c r="X1271" i="1"/>
  <c r="X1274" i="1"/>
  <c r="X1287" i="1"/>
  <c r="X1302" i="1"/>
  <c r="X1270" i="1"/>
  <c r="X1268" i="1"/>
  <c r="X1269" i="1"/>
  <c r="X1293" i="1"/>
  <c r="X1281" i="1"/>
  <c r="X1280" i="1"/>
  <c r="D20" i="24" s="1"/>
  <c r="X1283" i="1"/>
  <c r="X1275" i="1"/>
  <c r="X1277" i="1"/>
  <c r="X1290" i="1"/>
  <c r="D18" i="18" s="1"/>
  <c r="X1259" i="1"/>
  <c r="D48" i="21" s="1"/>
  <c r="X1295" i="1"/>
  <c r="X1288" i="1"/>
  <c r="X1292" i="1"/>
  <c r="X1284" i="1"/>
  <c r="X1296" i="1"/>
  <c r="X1298" i="1"/>
  <c r="X1299" i="1"/>
  <c r="X1289" i="1"/>
  <c r="X1282" i="1"/>
  <c r="D11" i="21" s="1"/>
  <c r="X205" i="1"/>
  <c r="X1300" i="1"/>
  <c r="X1301" i="1"/>
  <c r="X210" i="1"/>
  <c r="X215" i="1"/>
  <c r="X213" i="1"/>
  <c r="X217" i="1"/>
  <c r="X219" i="1"/>
  <c r="X218" i="1"/>
  <c r="X214" i="1"/>
  <c r="X231" i="1"/>
  <c r="X238" i="1"/>
  <c r="X246" i="1"/>
  <c r="X206" i="1"/>
  <c r="X207" i="1"/>
  <c r="X208" i="1"/>
  <c r="X209" i="1"/>
  <c r="X212" i="1"/>
  <c r="D19" i="17" s="1"/>
  <c r="X216" i="1"/>
  <c r="X224" i="1"/>
  <c r="D26" i="21" s="1"/>
  <c r="X222" i="1"/>
  <c r="D40" i="17" s="1"/>
  <c r="X228" i="1"/>
  <c r="X235" i="1"/>
  <c r="X225" i="1"/>
  <c r="D23" i="16" s="1"/>
  <c r="X223" i="1"/>
  <c r="D40" i="21" s="1"/>
  <c r="X237" i="1"/>
  <c r="X236" i="1"/>
  <c r="X229" i="1"/>
  <c r="X234" i="1"/>
  <c r="X226" i="1"/>
  <c r="X221" i="1"/>
  <c r="X211" i="1"/>
  <c r="X233" i="1"/>
  <c r="X239" i="1"/>
  <c r="X232" i="1"/>
  <c r="X240" i="1"/>
  <c r="X220" i="1"/>
  <c r="X241" i="1"/>
  <c r="X244" i="1"/>
  <c r="X230" i="1"/>
  <c r="X245" i="1"/>
  <c r="X227" i="1"/>
  <c r="D43" i="16" s="1"/>
  <c r="X242" i="1"/>
  <c r="X243" i="1"/>
  <c r="X247" i="1"/>
  <c r="X248" i="1"/>
  <c r="X249" i="1"/>
  <c r="X344" i="1"/>
  <c r="D9" i="22" s="1"/>
  <c r="X346" i="1"/>
  <c r="X351" i="1"/>
  <c r="X349" i="1"/>
  <c r="D25" i="22" s="1"/>
  <c r="X345" i="1"/>
  <c r="D10" i="22" s="1"/>
  <c r="X347" i="1"/>
  <c r="X354" i="1"/>
  <c r="X356" i="1"/>
  <c r="X357" i="1"/>
  <c r="D14" i="16" s="1"/>
  <c r="X352" i="1"/>
  <c r="D19" i="19" s="1"/>
  <c r="X360" i="1"/>
  <c r="X376" i="1"/>
  <c r="X379" i="1"/>
  <c r="X385" i="1"/>
  <c r="X348" i="1"/>
  <c r="X350" i="1"/>
  <c r="X353" i="1"/>
  <c r="X355" i="1"/>
  <c r="X380" i="1"/>
  <c r="X358" i="1"/>
  <c r="X386" i="1"/>
  <c r="X343" i="1"/>
  <c r="D22" i="19" s="1"/>
  <c r="X370" i="1"/>
  <c r="X362" i="1"/>
  <c r="X363" i="1"/>
  <c r="X364" i="1"/>
  <c r="X372" i="1"/>
  <c r="X389" i="1"/>
  <c r="X391" i="1"/>
  <c r="X365" i="1"/>
  <c r="D10" i="17" s="1"/>
  <c r="X392" i="1"/>
  <c r="D23" i="18" s="1"/>
  <c r="X366" i="1"/>
  <c r="X359" i="1"/>
  <c r="X371" i="1"/>
  <c r="X375" i="1"/>
  <c r="D16" i="18" s="1"/>
  <c r="X361" i="1"/>
  <c r="X368" i="1"/>
  <c r="X367" i="1"/>
  <c r="D9" i="17" s="1"/>
  <c r="X374" i="1"/>
  <c r="X373" i="1"/>
  <c r="X381" i="1"/>
  <c r="X382" i="1"/>
  <c r="X378" i="1"/>
  <c r="X383" i="1"/>
  <c r="X384" i="1"/>
  <c r="X369" i="1"/>
  <c r="D15" i="24" s="1"/>
  <c r="X377" i="1"/>
  <c r="X387" i="1"/>
  <c r="X819" i="1"/>
  <c r="X390" i="1"/>
  <c r="X388" i="1"/>
  <c r="X821" i="1"/>
  <c r="X824" i="1"/>
  <c r="X825" i="1"/>
  <c r="X829" i="1"/>
  <c r="X831" i="1"/>
  <c r="X833" i="1"/>
  <c r="X827" i="1"/>
  <c r="X840" i="1"/>
  <c r="X832" i="1"/>
  <c r="X861" i="1"/>
  <c r="X852" i="1"/>
  <c r="X865" i="1"/>
  <c r="X822" i="1"/>
  <c r="X823" i="1"/>
  <c r="D7" i="16" s="1"/>
  <c r="X826" i="1"/>
  <c r="X830" i="1"/>
  <c r="X828" i="1"/>
  <c r="X834" i="1"/>
  <c r="X851" i="1"/>
  <c r="X837" i="1"/>
  <c r="X866" i="1"/>
  <c r="X843" i="1"/>
  <c r="X849" i="1"/>
  <c r="X842" i="1"/>
  <c r="X850" i="1"/>
  <c r="X820" i="1"/>
  <c r="X836" i="1"/>
  <c r="X862" i="1"/>
  <c r="X853" i="1"/>
  <c r="X838" i="1"/>
  <c r="X839" i="1"/>
  <c r="X835" i="1"/>
  <c r="X845" i="1"/>
  <c r="X848" i="1"/>
  <c r="X846" i="1"/>
  <c r="X841" i="1"/>
  <c r="X867" i="1"/>
  <c r="X854" i="1"/>
  <c r="X855" i="1"/>
  <c r="X844" i="1"/>
  <c r="X856" i="1"/>
  <c r="X859" i="1"/>
  <c r="X847" i="1"/>
  <c r="X857" i="1"/>
  <c r="X858" i="1"/>
  <c r="X860" i="1"/>
  <c r="X863" i="1"/>
  <c r="X864" i="1"/>
  <c r="D43" i="17" s="1"/>
  <c r="X868" i="1"/>
  <c r="D14" i="19" s="1"/>
  <c r="X872" i="1"/>
  <c r="X870" i="1"/>
  <c r="X873" i="1"/>
  <c r="X874" i="1"/>
  <c r="D13" i="17" s="1"/>
  <c r="X875" i="1"/>
  <c r="X876" i="1"/>
  <c r="D13" i="21" s="1"/>
  <c r="X879" i="1"/>
  <c r="X881" i="1"/>
  <c r="X883" i="1"/>
  <c r="D4" i="16" s="1"/>
  <c r="X894" i="1"/>
  <c r="D25" i="24" s="1"/>
  <c r="X891" i="1"/>
  <c r="D42" i="24" s="1"/>
  <c r="X890" i="1"/>
  <c r="X903" i="1"/>
  <c r="X871" i="1"/>
  <c r="X882" i="1"/>
  <c r="X884" i="1"/>
  <c r="X880" i="1"/>
  <c r="X889" i="1"/>
  <c r="X892" i="1"/>
  <c r="X887" i="1"/>
  <c r="X869" i="1"/>
  <c r="X888" i="1"/>
  <c r="X886" i="1"/>
  <c r="X885" i="1"/>
  <c r="X878" i="1"/>
  <c r="X893" i="1"/>
  <c r="X896" i="1"/>
  <c r="D6" i="22" s="1"/>
  <c r="X898" i="1"/>
  <c r="X901" i="1"/>
  <c r="X900" i="1"/>
  <c r="D15" i="16" s="1"/>
  <c r="X895" i="1"/>
  <c r="X877" i="1"/>
  <c r="D11" i="17" s="1"/>
  <c r="X902" i="1"/>
  <c r="X904" i="1"/>
  <c r="X905" i="1"/>
  <c r="X897" i="1"/>
  <c r="X899" i="1"/>
  <c r="X909" i="1"/>
  <c r="X906" i="1"/>
  <c r="D9" i="16" s="1"/>
  <c r="X908" i="1"/>
  <c r="X907" i="1"/>
  <c r="D20" i="17" s="1"/>
  <c r="X910" i="1"/>
  <c r="X911" i="1"/>
  <c r="X912" i="1"/>
  <c r="X913" i="1"/>
  <c r="X920" i="1"/>
  <c r="X918" i="1"/>
  <c r="D40" i="24" s="1"/>
  <c r="X921" i="1"/>
  <c r="X922" i="1"/>
  <c r="X924" i="1"/>
  <c r="X925" i="1"/>
  <c r="D41" i="19" s="1"/>
  <c r="X928" i="1"/>
  <c r="X929" i="1"/>
  <c r="X937" i="1"/>
  <c r="X927" i="1"/>
  <c r="X952" i="1"/>
  <c r="X958" i="1"/>
  <c r="X916" i="1"/>
  <c r="X917" i="1"/>
  <c r="X919" i="1"/>
  <c r="X923" i="1"/>
  <c r="X946" i="1"/>
  <c r="X957" i="1"/>
  <c r="X915" i="1"/>
  <c r="X959" i="1"/>
  <c r="X949" i="1"/>
  <c r="X947" i="1"/>
  <c r="D44" i="21" s="1"/>
  <c r="X938" i="1"/>
  <c r="X944" i="1"/>
  <c r="X932" i="1"/>
  <c r="X933" i="1"/>
  <c r="X945" i="1"/>
  <c r="X926" i="1"/>
  <c r="X940" i="1"/>
  <c r="X935" i="1"/>
  <c r="X943" i="1"/>
  <c r="D16" i="21" s="1"/>
  <c r="X948" i="1"/>
  <c r="D5" i="21" s="1"/>
  <c r="X941" i="1"/>
  <c r="X936" i="1"/>
  <c r="D23" i="24" s="1"/>
  <c r="X942" i="1"/>
  <c r="X934" i="1"/>
  <c r="X951" i="1"/>
  <c r="X930" i="1"/>
  <c r="D54" i="19" s="1"/>
  <c r="X931" i="1"/>
  <c r="X939" i="1"/>
  <c r="X950" i="1"/>
  <c r="D16" i="22" s="1"/>
  <c r="X953" i="1"/>
  <c r="X954" i="1"/>
  <c r="X955" i="1"/>
  <c r="X956" i="1"/>
  <c r="D15" i="21" s="1"/>
  <c r="X960" i="1"/>
  <c r="X961" i="1"/>
  <c r="X1010" i="1"/>
  <c r="X1011" i="1"/>
  <c r="X1012" i="1"/>
  <c r="X1014" i="1"/>
  <c r="X1016" i="1"/>
  <c r="X962" i="1"/>
  <c r="X1017" i="1"/>
  <c r="X1023" i="1"/>
  <c r="X1022" i="1"/>
  <c r="X1024" i="1"/>
  <c r="X1031" i="1"/>
  <c r="X1018" i="1"/>
  <c r="X1028" i="1"/>
  <c r="X1029" i="1"/>
  <c r="X1050" i="1"/>
  <c r="X1020" i="1"/>
  <c r="X1045" i="1"/>
  <c r="D11" i="19" s="1"/>
  <c r="X1038" i="1"/>
  <c r="X1027" i="1"/>
  <c r="D3" i="16" s="1"/>
  <c r="X1021" i="1"/>
  <c r="X1037" i="1"/>
  <c r="X1030" i="1"/>
  <c r="X1013" i="1"/>
  <c r="X1039" i="1"/>
  <c r="X1035" i="1"/>
  <c r="D43" i="22" s="1"/>
  <c r="X1032" i="1"/>
  <c r="X1015" i="1"/>
  <c r="X1025" i="1"/>
  <c r="X1026" i="1"/>
  <c r="X1041" i="1"/>
  <c r="X1033" i="1"/>
  <c r="D25" i="21" s="1"/>
  <c r="X1019" i="1"/>
  <c r="X1034" i="1"/>
  <c r="X1043" i="1"/>
  <c r="X1047" i="1"/>
  <c r="X1048" i="1"/>
  <c r="X1044" i="1"/>
  <c r="X1036" i="1"/>
  <c r="X1046" i="1"/>
  <c r="X1042" i="1"/>
  <c r="X1052" i="1"/>
  <c r="X1051" i="1"/>
  <c r="X1054" i="1"/>
  <c r="X1053" i="1"/>
  <c r="X1055" i="1"/>
  <c r="X1040" i="1"/>
  <c r="X1049" i="1"/>
  <c r="X1056" i="1"/>
  <c r="X1057" i="1"/>
  <c r="X1058" i="1"/>
  <c r="X1060" i="1"/>
  <c r="X1059" i="1"/>
  <c r="X1061" i="1"/>
  <c r="X1062" i="1"/>
  <c r="X1064" i="1"/>
  <c r="X1066" i="1"/>
  <c r="X1073" i="1"/>
  <c r="X1069" i="1"/>
  <c r="X1071" i="1"/>
  <c r="X1075" i="1"/>
  <c r="X1077" i="1"/>
  <c r="X1093" i="1"/>
  <c r="X1095" i="1"/>
  <c r="X1086" i="1"/>
  <c r="X1094" i="1"/>
  <c r="X1063" i="1"/>
  <c r="D15" i="22" s="1"/>
  <c r="X1087" i="1"/>
  <c r="X1068" i="1"/>
  <c r="X1067" i="1"/>
  <c r="D20" i="16" s="1"/>
  <c r="X1074" i="1"/>
  <c r="X1096" i="1"/>
  <c r="D19" i="22" s="1"/>
  <c r="X1070" i="1"/>
  <c r="X1091" i="1"/>
  <c r="X1076" i="1"/>
  <c r="X1079" i="1"/>
  <c r="X1078" i="1"/>
  <c r="X1065" i="1"/>
  <c r="X1080" i="1"/>
  <c r="X1083" i="1"/>
  <c r="X1082" i="1"/>
  <c r="X1081" i="1"/>
  <c r="X1084" i="1"/>
  <c r="X1085" i="1"/>
  <c r="X1072" i="1"/>
  <c r="X1088" i="1"/>
  <c r="X1089" i="1"/>
  <c r="X1090" i="1"/>
  <c r="X1092" i="1"/>
  <c r="X1097" i="1"/>
  <c r="X1099" i="1"/>
  <c r="X1098" i="1"/>
  <c r="X1100" i="1"/>
  <c r="X1101" i="1"/>
  <c r="X1102" i="1"/>
  <c r="X1103" i="1"/>
  <c r="D21" i="17" s="1"/>
  <c r="X1104" i="1"/>
  <c r="X1105" i="1"/>
  <c r="X1106" i="1"/>
  <c r="X1107" i="1"/>
  <c r="X1440" i="1"/>
  <c r="X1442" i="1"/>
  <c r="X1443" i="1"/>
  <c r="X1445" i="1"/>
  <c r="X1447" i="1"/>
  <c r="X1449" i="1"/>
  <c r="X1450" i="1"/>
  <c r="X1452" i="1"/>
  <c r="X1457" i="1"/>
  <c r="X1473" i="1"/>
  <c r="D39" i="21" s="1"/>
  <c r="X1479" i="1"/>
  <c r="X1441" i="1"/>
  <c r="X1446" i="1"/>
  <c r="X1451" i="1"/>
  <c r="X1453" i="1"/>
  <c r="X1458" i="1"/>
  <c r="X1444" i="1"/>
  <c r="D49" i="17" s="1"/>
  <c r="X1448" i="1"/>
  <c r="X1456" i="1"/>
  <c r="X1460" i="1"/>
  <c r="D44" i="24" s="1"/>
  <c r="X1461" i="1"/>
  <c r="X1454" i="1"/>
  <c r="X1462" i="1"/>
  <c r="D16" i="17" s="1"/>
  <c r="X1463" i="1"/>
  <c r="X1464" i="1"/>
  <c r="X1472" i="1"/>
  <c r="X1465" i="1"/>
  <c r="D39" i="22" s="1"/>
  <c r="X1455" i="1"/>
  <c r="X1470" i="1"/>
  <c r="X1467" i="1"/>
  <c r="X1468" i="1"/>
  <c r="X1466" i="1"/>
  <c r="D53" i="19" s="1"/>
  <c r="X1459" i="1"/>
  <c r="X1475" i="1"/>
  <c r="X1469" i="1"/>
  <c r="X1476" i="1"/>
  <c r="D7" i="17" s="1"/>
  <c r="X1474" i="1"/>
  <c r="X1471" i="1"/>
  <c r="X1477" i="1"/>
  <c r="X1478" i="1"/>
  <c r="X295" i="1"/>
  <c r="X296" i="1"/>
  <c r="D41" i="18" s="1"/>
  <c r="X298" i="1"/>
  <c r="X305" i="1"/>
  <c r="X315" i="1"/>
  <c r="X309" i="1"/>
  <c r="D26" i="19" s="1"/>
  <c r="X317" i="1"/>
  <c r="X318" i="1"/>
  <c r="X301" i="1"/>
  <c r="D49" i="16" s="1"/>
  <c r="X297" i="1"/>
  <c r="X310" i="1"/>
  <c r="X300" i="1"/>
  <c r="X302" i="1"/>
  <c r="X306" i="1"/>
  <c r="D19" i="16" s="1"/>
  <c r="X307" i="1"/>
  <c r="X312" i="1"/>
  <c r="X299" i="1"/>
  <c r="X335" i="1"/>
  <c r="X339" i="1"/>
  <c r="D8" i="17" s="1"/>
  <c r="X340" i="1"/>
  <c r="X304" i="1"/>
  <c r="X334" i="1"/>
  <c r="X319" i="1"/>
  <c r="X303" i="1"/>
  <c r="X313" i="1"/>
  <c r="X321" i="1"/>
  <c r="X308" i="1"/>
  <c r="X314" i="1"/>
  <c r="X320" i="1"/>
  <c r="X311" i="1"/>
  <c r="X322" i="1"/>
  <c r="D47" i="24" s="1"/>
  <c r="X329" i="1"/>
  <c r="X326" i="1"/>
  <c r="X323" i="1"/>
  <c r="D12" i="24" s="1"/>
  <c r="X327" i="1"/>
  <c r="X325" i="1"/>
  <c r="X324" i="1"/>
  <c r="X328" i="1"/>
  <c r="X330" i="1"/>
  <c r="X414" i="1"/>
  <c r="X336" i="1"/>
  <c r="D6" i="19" s="1"/>
  <c r="X331" i="1"/>
  <c r="X337" i="1"/>
  <c r="X316" i="1"/>
  <c r="X332" i="1"/>
  <c r="X333" i="1"/>
  <c r="X338" i="1"/>
  <c r="X341" i="1"/>
  <c r="X396" i="1"/>
  <c r="X398" i="1"/>
  <c r="D50" i="17" s="1"/>
  <c r="X400" i="1"/>
  <c r="X405" i="1"/>
  <c r="X417" i="1"/>
  <c r="D40" i="22" s="1"/>
  <c r="X415" i="1"/>
  <c r="X393" i="1"/>
  <c r="D44" i="18" s="1"/>
  <c r="X404" i="1"/>
  <c r="X342" i="1"/>
  <c r="X408" i="1"/>
  <c r="D6" i="21" s="1"/>
  <c r="X403" i="1"/>
  <c r="X402" i="1"/>
  <c r="X407" i="1"/>
  <c r="X409" i="1"/>
  <c r="X401" i="1"/>
  <c r="D19" i="24" s="1"/>
  <c r="X395" i="1"/>
  <c r="X412" i="1"/>
  <c r="X410" i="1"/>
  <c r="X420" i="1"/>
  <c r="X413" i="1"/>
  <c r="X419" i="1"/>
  <c r="X399" i="1"/>
  <c r="X394" i="1"/>
  <c r="X406" i="1"/>
  <c r="X411" i="1"/>
  <c r="D24" i="21" s="1"/>
  <c r="X397" i="1"/>
  <c r="X421" i="1"/>
  <c r="X423" i="1"/>
  <c r="X416" i="1"/>
  <c r="X418" i="1"/>
  <c r="D21" i="18" s="1"/>
  <c r="X427" i="1"/>
  <c r="X422" i="1"/>
  <c r="X425" i="1"/>
  <c r="X426" i="1"/>
  <c r="D43" i="24" s="1"/>
  <c r="X424" i="1"/>
  <c r="X430" i="1"/>
  <c r="X429" i="1"/>
  <c r="X428" i="1"/>
  <c r="X432" i="1"/>
  <c r="X431" i="1"/>
  <c r="D12" i="18" s="1"/>
  <c r="X434" i="1"/>
  <c r="X433" i="1"/>
  <c r="X435" i="1"/>
  <c r="X436" i="1"/>
  <c r="X437" i="1"/>
  <c r="D50" i="16" s="1"/>
  <c r="X438" i="1"/>
  <c r="X439" i="1"/>
  <c r="X440" i="1"/>
  <c r="X442" i="1"/>
  <c r="X443" i="1"/>
  <c r="X446" i="1"/>
  <c r="X449" i="1"/>
  <c r="X453" i="1"/>
  <c r="X451" i="1"/>
  <c r="X455" i="1"/>
  <c r="X457" i="1"/>
  <c r="X462" i="1"/>
  <c r="X456" i="1"/>
  <c r="X461" i="1"/>
  <c r="X460" i="1"/>
  <c r="X447" i="1"/>
  <c r="X445" i="1"/>
  <c r="X477" i="1"/>
  <c r="X452" i="1"/>
  <c r="D52" i="19" s="1"/>
  <c r="X441" i="1"/>
  <c r="X450" i="1"/>
  <c r="X463" i="1"/>
  <c r="X464" i="1"/>
  <c r="D12" i="16" s="1"/>
  <c r="X448" i="1"/>
  <c r="D47" i="16" s="1"/>
  <c r="X454" i="1"/>
  <c r="D12" i="17" s="1"/>
  <c r="X444" i="1"/>
  <c r="X458" i="1"/>
  <c r="X470" i="1"/>
  <c r="X465" i="1"/>
  <c r="X466" i="1"/>
  <c r="X469" i="1"/>
  <c r="X472" i="1"/>
  <c r="D44" i="22" s="1"/>
  <c r="X473" i="1"/>
  <c r="X467" i="1"/>
  <c r="X471" i="1"/>
  <c r="X468" i="1"/>
  <c r="D41" i="17" s="1"/>
  <c r="X475" i="1"/>
  <c r="X474" i="1"/>
  <c r="X478" i="1"/>
  <c r="X476" i="1"/>
  <c r="X479" i="1"/>
  <c r="X480" i="1"/>
  <c r="X481" i="1"/>
  <c r="D21" i="21" s="1"/>
  <c r="X482" i="1"/>
  <c r="X483" i="1"/>
  <c r="X484" i="1"/>
  <c r="X485" i="1"/>
  <c r="X486" i="1"/>
  <c r="X679" i="1"/>
  <c r="X676" i="1"/>
  <c r="X681" i="1"/>
  <c r="X680" i="1"/>
  <c r="X682" i="1"/>
  <c r="D4" i="18" s="1"/>
  <c r="X713" i="1"/>
  <c r="X677" i="1"/>
  <c r="X691" i="1"/>
  <c r="X689" i="1"/>
  <c r="X683" i="1"/>
  <c r="D13" i="24" s="1"/>
  <c r="X685" i="1"/>
  <c r="X686" i="1"/>
  <c r="D4" i="19" s="1"/>
  <c r="X688" i="1"/>
  <c r="D9" i="19" s="1"/>
  <c r="X687" i="1"/>
  <c r="X717" i="1"/>
  <c r="X684" i="1"/>
  <c r="D20" i="21" s="1"/>
  <c r="X693" i="1"/>
  <c r="X718" i="1"/>
  <c r="X694" i="1"/>
  <c r="D50" i="21" s="1"/>
  <c r="X706" i="1"/>
  <c r="X678" i="1"/>
  <c r="X707" i="1"/>
  <c r="X690" i="1"/>
  <c r="X692" i="1"/>
  <c r="X709" i="1"/>
  <c r="X696" i="1"/>
  <c r="X697" i="1"/>
  <c r="X695" i="1"/>
  <c r="X700" i="1"/>
  <c r="X698" i="1"/>
  <c r="X699" i="1"/>
  <c r="X701" i="1"/>
  <c r="X704" i="1"/>
  <c r="X705" i="1"/>
  <c r="D10" i="19" s="1"/>
  <c r="X708" i="1"/>
  <c r="D12" i="22" s="1"/>
  <c r="X710" i="1"/>
  <c r="X702" i="1"/>
  <c r="D25" i="19" s="1"/>
  <c r="X711" i="1"/>
  <c r="X712" i="1"/>
  <c r="X714" i="1"/>
  <c r="X703" i="1"/>
  <c r="X715" i="1"/>
  <c r="X716" i="1"/>
  <c r="X719" i="1"/>
  <c r="X720" i="1"/>
  <c r="D27" i="24" s="1"/>
  <c r="X721" i="1"/>
  <c r="X722" i="1"/>
  <c r="D17" i="21" s="1"/>
  <c r="X723" i="1"/>
  <c r="X774" i="1"/>
  <c r="X776" i="1"/>
  <c r="D17" i="24" s="1"/>
  <c r="X777" i="1"/>
  <c r="X778" i="1"/>
  <c r="D5" i="24" s="1"/>
  <c r="X785" i="1"/>
  <c r="X783" i="1"/>
  <c r="X799" i="1"/>
  <c r="X781" i="1"/>
  <c r="D7" i="22" s="1"/>
  <c r="X782" i="1"/>
  <c r="X784" i="1"/>
  <c r="X788" i="1"/>
  <c r="X780" i="1"/>
  <c r="X779" i="1"/>
  <c r="X811" i="1"/>
  <c r="X818" i="1"/>
  <c r="D18" i="22" s="1"/>
  <c r="X789" i="1"/>
  <c r="X802" i="1"/>
  <c r="X790" i="1"/>
  <c r="X775" i="1"/>
  <c r="D6" i="17" s="1"/>
  <c r="X773" i="1"/>
  <c r="X792" i="1"/>
  <c r="X791" i="1"/>
  <c r="X793" i="1"/>
  <c r="X807" i="1"/>
  <c r="X794" i="1"/>
  <c r="D25" i="16" s="1"/>
  <c r="X801" i="1"/>
  <c r="X808" i="1"/>
  <c r="X786" i="1"/>
  <c r="X798" i="1"/>
  <c r="X787" i="1"/>
  <c r="X800" i="1"/>
  <c r="X795" i="1"/>
  <c r="X803" i="1"/>
  <c r="X796" i="1"/>
  <c r="D25" i="18" s="1"/>
  <c r="X804" i="1"/>
  <c r="X805" i="1"/>
  <c r="X809" i="1"/>
  <c r="X797" i="1"/>
  <c r="X810" i="1"/>
  <c r="X806" i="1"/>
  <c r="X812" i="1"/>
  <c r="X813" i="1"/>
  <c r="X814" i="1"/>
  <c r="X815" i="1"/>
  <c r="X816" i="1"/>
  <c r="D46" i="16" s="1"/>
  <c r="X817" i="1"/>
  <c r="X1157" i="1"/>
  <c r="X1158" i="1"/>
  <c r="X1163" i="1"/>
  <c r="X1164" i="1"/>
  <c r="X1165" i="1"/>
  <c r="X1170" i="1"/>
  <c r="X1167" i="1"/>
  <c r="X1176" i="1"/>
  <c r="X1193" i="1"/>
  <c r="X1159" i="1"/>
  <c r="X1160" i="1"/>
  <c r="X1190" i="1"/>
  <c r="X1173" i="1"/>
  <c r="X1201" i="1"/>
  <c r="D20" i="19" s="1"/>
  <c r="X1178" i="1"/>
  <c r="X1162" i="1"/>
  <c r="X1197" i="1"/>
  <c r="X1187" i="1"/>
  <c r="X1169" i="1"/>
  <c r="X1171" i="1"/>
  <c r="X1166" i="1"/>
  <c r="X1180" i="1"/>
  <c r="X1174" i="1"/>
  <c r="X1168" i="1"/>
  <c r="X1161" i="1"/>
  <c r="X1181" i="1"/>
  <c r="X1175" i="1"/>
  <c r="X1172" i="1"/>
  <c r="X1182" i="1"/>
  <c r="D22" i="17" s="1"/>
  <c r="X1198" i="1"/>
  <c r="X1179" i="1"/>
  <c r="X1188" i="1"/>
  <c r="X1184" i="1"/>
  <c r="X1185" i="1"/>
  <c r="X1186" i="1"/>
  <c r="X1189" i="1"/>
  <c r="X1194" i="1"/>
  <c r="X1192" i="1"/>
  <c r="X1195" i="1"/>
  <c r="X1183" i="1"/>
  <c r="X1191" i="1"/>
  <c r="D24" i="22" s="1"/>
  <c r="X1177" i="1"/>
  <c r="X1200" i="1"/>
  <c r="X1199" i="1"/>
  <c r="X1196" i="1"/>
  <c r="X1202" i="1"/>
  <c r="D3" i="17" s="1"/>
  <c r="X1203" i="1"/>
  <c r="X1205" i="1"/>
  <c r="X1204" i="1"/>
  <c r="X1206" i="1"/>
  <c r="X1400" i="1"/>
  <c r="X1402" i="1"/>
  <c r="X1405" i="1"/>
  <c r="X1407" i="1"/>
  <c r="X1410" i="1"/>
  <c r="D10" i="16" s="1"/>
  <c r="X1414" i="1"/>
  <c r="X1418" i="1"/>
  <c r="X1401" i="1"/>
  <c r="X1408" i="1"/>
  <c r="X1411" i="1"/>
  <c r="X1404" i="1"/>
  <c r="D44" i="16" s="1"/>
  <c r="X1415" i="1"/>
  <c r="D46" i="22" s="1"/>
  <c r="X1406" i="1"/>
  <c r="D39" i="19" s="1"/>
  <c r="X1409" i="1"/>
  <c r="X1419" i="1"/>
  <c r="X1413" i="1"/>
  <c r="X1427" i="1"/>
  <c r="X1399" i="1"/>
  <c r="X1433" i="1"/>
  <c r="X1412" i="1"/>
  <c r="X1403" i="1"/>
  <c r="X1426" i="1"/>
  <c r="X1398" i="1"/>
  <c r="X1416" i="1"/>
  <c r="X1423" i="1"/>
  <c r="X1417" i="1"/>
  <c r="X1420" i="1"/>
  <c r="X1422" i="1"/>
  <c r="X1434" i="1"/>
  <c r="X1437" i="1"/>
  <c r="X3" i="1"/>
  <c r="X1425" i="1"/>
  <c r="X1435" i="1"/>
  <c r="D17" i="19" s="1"/>
  <c r="X1432" i="1"/>
  <c r="X1421" i="1"/>
  <c r="X1439" i="1"/>
  <c r="X1438" i="1"/>
  <c r="D10" i="21" s="1"/>
  <c r="X1430" i="1"/>
  <c r="X1436" i="1"/>
  <c r="X1431" i="1"/>
  <c r="X1424" i="1"/>
  <c r="X1429" i="1"/>
  <c r="X1428" i="1"/>
  <c r="X4" i="1"/>
  <c r="X9" i="1"/>
  <c r="X5" i="1"/>
  <c r="X10" i="1"/>
  <c r="X11" i="1"/>
  <c r="D14" i="21" s="1"/>
  <c r="X13" i="1"/>
  <c r="X14" i="1"/>
  <c r="X15" i="1"/>
  <c r="D48" i="24" s="1"/>
  <c r="X20" i="1"/>
  <c r="X21" i="1"/>
  <c r="X54" i="1"/>
  <c r="X6" i="1"/>
  <c r="X7" i="1"/>
  <c r="X8" i="1"/>
  <c r="X39" i="1"/>
  <c r="X35" i="1"/>
  <c r="X33" i="1"/>
  <c r="D43" i="21" s="1"/>
  <c r="X40" i="1"/>
  <c r="X38" i="1"/>
  <c r="X25" i="1"/>
  <c r="D22" i="18" s="1"/>
  <c r="X12" i="1"/>
  <c r="X27" i="1"/>
  <c r="X28" i="1"/>
  <c r="X23" i="1"/>
  <c r="X41" i="1"/>
  <c r="X34" i="1"/>
  <c r="X29" i="1"/>
  <c r="X37" i="1"/>
  <c r="X24" i="1"/>
  <c r="X30" i="1"/>
  <c r="X42" i="1"/>
  <c r="D5" i="22" s="1"/>
  <c r="X19" i="1"/>
  <c r="X43" i="1"/>
  <c r="X31" i="1"/>
  <c r="D49" i="18" s="1"/>
  <c r="X32" i="1"/>
  <c r="X36" i="1"/>
  <c r="X22" i="1"/>
  <c r="X44" i="1"/>
  <c r="X17" i="1"/>
  <c r="D21" i="24" s="1"/>
  <c r="X16" i="1"/>
  <c r="X18" i="1"/>
  <c r="X45" i="1"/>
  <c r="D8" i="16" s="1"/>
  <c r="X47" i="1"/>
  <c r="X46" i="1"/>
  <c r="D10" i="18" s="1"/>
  <c r="X26" i="1"/>
  <c r="X48" i="1"/>
  <c r="X52" i="1"/>
  <c r="X51" i="1"/>
  <c r="X49" i="1"/>
  <c r="X50" i="1"/>
  <c r="X53" i="1"/>
  <c r="X55" i="1"/>
  <c r="X56" i="1"/>
  <c r="X59" i="1"/>
  <c r="X60" i="1"/>
  <c r="X64" i="1"/>
  <c r="D14" i="17" s="1"/>
  <c r="X66" i="1"/>
  <c r="D17" i="18" s="1"/>
  <c r="X73" i="1"/>
  <c r="X78" i="1"/>
  <c r="X83" i="1"/>
  <c r="X72" i="1"/>
  <c r="X71" i="1"/>
  <c r="X79" i="1"/>
  <c r="D42" i="19" s="1"/>
  <c r="X65" i="1"/>
  <c r="X75" i="1"/>
  <c r="X81" i="1"/>
  <c r="X103" i="1"/>
  <c r="C3" i="29" s="1"/>
  <c r="X58" i="1"/>
  <c r="X62" i="1"/>
  <c r="X69" i="1"/>
  <c r="X77" i="1"/>
  <c r="X61" i="1"/>
  <c r="X70" i="1"/>
  <c r="D42" i="16" s="1"/>
  <c r="X67" i="1"/>
  <c r="X84" i="1"/>
  <c r="X63" i="1"/>
  <c r="X57" i="1"/>
  <c r="X92" i="1"/>
  <c r="D39" i="18" s="1"/>
  <c r="X76" i="1"/>
  <c r="X85" i="1"/>
  <c r="D42" i="22" s="1"/>
  <c r="X91" i="1"/>
  <c r="X86" i="1"/>
  <c r="X68" i="1"/>
  <c r="X104" i="1"/>
  <c r="X90" i="1"/>
  <c r="X82" i="1"/>
  <c r="X89" i="1"/>
  <c r="X96" i="1"/>
  <c r="X80" i="1"/>
  <c r="X98" i="1"/>
  <c r="X87" i="1"/>
  <c r="X97" i="1"/>
  <c r="D8" i="19" s="1"/>
  <c r="X74" i="1"/>
  <c r="D44" i="19" s="1"/>
  <c r="X94" i="1"/>
  <c r="X88" i="1"/>
  <c r="X101" i="1"/>
  <c r="X100" i="1"/>
  <c r="X93" i="1"/>
  <c r="X102" i="1"/>
  <c r="X99" i="1"/>
  <c r="X95" i="1"/>
  <c r="X105" i="1"/>
  <c r="X106" i="1"/>
  <c r="D27" i="16" s="1"/>
  <c r="X250" i="1"/>
  <c r="X252" i="1"/>
  <c r="X253" i="1"/>
  <c r="X254" i="1"/>
  <c r="X256" i="1"/>
  <c r="D8" i="18" s="1"/>
  <c r="X258" i="1"/>
  <c r="D7" i="24" s="1"/>
  <c r="X262" i="1"/>
  <c r="X263" i="1"/>
  <c r="X266" i="1"/>
  <c r="X268" i="1"/>
  <c r="X269" i="1"/>
  <c r="X279" i="1"/>
  <c r="X251" i="1"/>
  <c r="X255" i="1"/>
  <c r="X267" i="1"/>
  <c r="X264" i="1"/>
  <c r="X273" i="1"/>
  <c r="D12" i="19" s="1"/>
  <c r="X265" i="1"/>
  <c r="D3" i="19" s="1"/>
  <c r="X260" i="1"/>
  <c r="X259" i="1"/>
  <c r="X257" i="1"/>
  <c r="D13" i="16" s="1"/>
  <c r="X271" i="1"/>
  <c r="X275" i="1"/>
  <c r="D19" i="18" s="1"/>
  <c r="X272" i="1"/>
  <c r="X277" i="1"/>
  <c r="X285" i="1"/>
  <c r="X278" i="1"/>
  <c r="X282" i="1"/>
  <c r="X280" i="1"/>
  <c r="X274" i="1"/>
  <c r="X286" i="1"/>
  <c r="X284" i="1"/>
  <c r="X261" i="1"/>
  <c r="X276" i="1"/>
  <c r="X287" i="1"/>
  <c r="X270" i="1"/>
  <c r="X283" i="1"/>
  <c r="X281" i="1"/>
  <c r="D6" i="24" s="1"/>
  <c r="X288" i="1"/>
  <c r="X290" i="1"/>
  <c r="X534" i="1"/>
  <c r="X291" i="1"/>
  <c r="X289" i="1"/>
  <c r="X294" i="1"/>
  <c r="D41" i="22" s="1"/>
  <c r="X292" i="1"/>
  <c r="X533" i="1"/>
  <c r="X293" i="1"/>
  <c r="X535" i="1"/>
  <c r="D20" i="22" s="1"/>
  <c r="X536" i="1"/>
  <c r="X543" i="1"/>
  <c r="X545" i="1"/>
  <c r="X546" i="1"/>
  <c r="X550" i="1"/>
  <c r="X568" i="1"/>
  <c r="X542" i="1"/>
  <c r="X578" i="1"/>
  <c r="D22" i="16" s="1"/>
  <c r="X537" i="1"/>
  <c r="X538" i="1"/>
  <c r="X540" i="1"/>
  <c r="X582" i="1"/>
  <c r="X552" i="1"/>
  <c r="D15" i="17" s="1"/>
  <c r="X580" i="1"/>
  <c r="X549" i="1"/>
  <c r="D25" i="17" s="1"/>
  <c r="X541" i="1"/>
  <c r="X539" i="1"/>
  <c r="X556" i="1"/>
  <c r="X562" i="1"/>
  <c r="D23" i="22" s="1"/>
  <c r="X557" i="1"/>
  <c r="X547" i="1"/>
  <c r="X555" i="1"/>
  <c r="D17" i="22" s="1"/>
  <c r="X548" i="1"/>
  <c r="X554" i="1"/>
  <c r="X572" i="1"/>
  <c r="D15" i="18" s="1"/>
  <c r="X559" i="1"/>
  <c r="X565" i="1"/>
  <c r="D24" i="18" s="1"/>
  <c r="X563" i="1"/>
  <c r="D24" i="16" s="1"/>
  <c r="X544" i="1"/>
  <c r="X560" i="1"/>
  <c r="X561" i="1"/>
  <c r="X570" i="1"/>
  <c r="X566" i="1"/>
  <c r="X571" i="1"/>
  <c r="X553" i="1"/>
  <c r="X567" i="1"/>
  <c r="X558" i="1"/>
  <c r="X564" i="1"/>
  <c r="X573" i="1"/>
  <c r="X575" i="1"/>
  <c r="X574" i="1"/>
  <c r="D24" i="19" s="1"/>
  <c r="X569" i="1"/>
  <c r="D50" i="18" s="1"/>
  <c r="X551" i="1"/>
  <c r="X579" i="1"/>
  <c r="X581" i="1"/>
  <c r="X576" i="1"/>
  <c r="X577" i="1"/>
  <c r="X628" i="1"/>
  <c r="X630" i="1"/>
  <c r="X631" i="1"/>
  <c r="X633" i="1"/>
  <c r="X635" i="1"/>
  <c r="X638" i="1"/>
  <c r="X640" i="1"/>
  <c r="X642" i="1"/>
  <c r="X643" i="1"/>
  <c r="X657" i="1"/>
  <c r="D51" i="19" s="1"/>
  <c r="X648" i="1"/>
  <c r="X644" i="1"/>
  <c r="D42" i="17" s="1"/>
  <c r="X634" i="1"/>
  <c r="X636" i="1"/>
  <c r="X637" i="1"/>
  <c r="X639" i="1"/>
  <c r="X645" i="1"/>
  <c r="X670" i="1"/>
  <c r="X649" i="1"/>
  <c r="X646" i="1"/>
  <c r="X632" i="1"/>
  <c r="X659" i="1"/>
  <c r="X629" i="1"/>
  <c r="X653" i="1"/>
  <c r="X658" i="1"/>
  <c r="X647" i="1"/>
  <c r="X654" i="1"/>
  <c r="D8" i="24" s="1"/>
  <c r="X641" i="1"/>
  <c r="X662" i="1"/>
  <c r="D18" i="19" s="1"/>
  <c r="X656" i="1"/>
  <c r="X650" i="1"/>
  <c r="X651" i="1"/>
  <c r="X663" i="1"/>
  <c r="X664" i="1"/>
  <c r="X665" i="1"/>
  <c r="X652" i="1"/>
  <c r="X655" i="1"/>
  <c r="D26" i="18" s="1"/>
  <c r="X667" i="1"/>
  <c r="X666" i="1"/>
  <c r="X660" i="1"/>
  <c r="D21" i="16" s="1"/>
  <c r="X661" i="1"/>
  <c r="X668" i="1"/>
  <c r="D23" i="17" s="1"/>
  <c r="X671" i="1"/>
  <c r="D42" i="18" s="1"/>
  <c r="X669" i="1"/>
  <c r="D43" i="19" s="1"/>
  <c r="X672" i="1"/>
  <c r="D9" i="24" s="1"/>
  <c r="X673" i="1"/>
  <c r="X674" i="1"/>
  <c r="X675" i="1"/>
  <c r="X1109" i="1"/>
  <c r="X1112" i="1"/>
  <c r="D22" i="24" s="1"/>
  <c r="X1113" i="1"/>
  <c r="X1116" i="1"/>
  <c r="X1115" i="1"/>
  <c r="X1118" i="1"/>
  <c r="X1119" i="1"/>
  <c r="X1125" i="1"/>
  <c r="X1121" i="1"/>
  <c r="X1126" i="1"/>
  <c r="X1127" i="1"/>
  <c r="X1148" i="1"/>
  <c r="X1152" i="1"/>
  <c r="X1108" i="1"/>
  <c r="X1111" i="1"/>
  <c r="X1117" i="1"/>
  <c r="X1154" i="1"/>
  <c r="X1120" i="1"/>
  <c r="X1114" i="1"/>
  <c r="D50" i="19" s="1"/>
  <c r="X1124" i="1"/>
  <c r="X1129" i="1"/>
  <c r="X1110" i="1"/>
  <c r="D13" i="18" s="1"/>
  <c r="X1153" i="1"/>
  <c r="X1123" i="1"/>
  <c r="D5" i="17" s="1"/>
  <c r="X1128" i="1"/>
  <c r="X1130" i="1"/>
  <c r="X1131" i="1"/>
  <c r="X1136" i="1"/>
  <c r="X1122" i="1"/>
  <c r="X1132" i="1"/>
  <c r="X1139" i="1"/>
  <c r="X1140" i="1"/>
  <c r="X1133" i="1"/>
  <c r="D22" i="22" s="1"/>
  <c r="X1144" i="1"/>
  <c r="X1141" i="1"/>
  <c r="X1145" i="1"/>
  <c r="X1137" i="1"/>
  <c r="X1142" i="1"/>
  <c r="X1146" i="1"/>
  <c r="X1134" i="1"/>
  <c r="D18" i="21" s="1"/>
  <c r="X1143" i="1"/>
  <c r="X1135" i="1"/>
  <c r="X1149" i="1"/>
  <c r="D4" i="17" s="1"/>
  <c r="X1304" i="1"/>
  <c r="X1303" i="1"/>
  <c r="X1150" i="1"/>
  <c r="X1156" i="1"/>
  <c r="X1151" i="1"/>
  <c r="X1138" i="1"/>
  <c r="D45" i="22" s="1"/>
  <c r="X1155" i="1"/>
  <c r="X1147" i="1"/>
  <c r="X1307" i="1"/>
  <c r="X1311" i="1"/>
  <c r="X1312" i="1"/>
  <c r="X1313" i="1"/>
  <c r="X1314" i="1"/>
  <c r="X1318" i="1"/>
  <c r="X1321" i="1"/>
  <c r="X1324" i="1"/>
  <c r="X1325" i="1"/>
  <c r="D49" i="19" s="1"/>
  <c r="X1322" i="1"/>
  <c r="X1323" i="1"/>
  <c r="X1340" i="1"/>
  <c r="X1347" i="1"/>
  <c r="X1308" i="1"/>
  <c r="D40" i="19" s="1"/>
  <c r="X1315" i="1"/>
  <c r="X1306" i="1"/>
  <c r="X1330" i="1"/>
  <c r="X1320" i="1"/>
  <c r="X1319" i="1"/>
  <c r="X1316" i="1"/>
  <c r="X1317" i="1"/>
  <c r="X1338" i="1"/>
  <c r="D7" i="19" s="1"/>
  <c r="X1309" i="1"/>
  <c r="X1305" i="1"/>
  <c r="X1328" i="1"/>
  <c r="X1332" i="1"/>
  <c r="D7" i="21" s="1"/>
  <c r="X1329" i="1"/>
  <c r="X1334" i="1"/>
  <c r="X1327" i="1"/>
  <c r="X1336" i="1"/>
  <c r="X1310" i="1"/>
  <c r="X1333" i="1"/>
  <c r="X1335" i="1"/>
  <c r="X1331" i="1"/>
  <c r="X1326" i="1"/>
  <c r="D46" i="24" s="1"/>
  <c r="X1339" i="1"/>
  <c r="X1341" i="1"/>
  <c r="X1346" i="1"/>
  <c r="X1344" i="1"/>
  <c r="D47" i="22" s="1"/>
  <c r="X1337" i="1"/>
  <c r="X1343" i="1"/>
  <c r="D17" i="17" s="1"/>
  <c r="X1342" i="1"/>
  <c r="X1352" i="1"/>
  <c r="X1351" i="1"/>
  <c r="X1348" i="1"/>
  <c r="X1349" i="1"/>
  <c r="X1345" i="1"/>
  <c r="X1361" i="1"/>
  <c r="X1353" i="1"/>
  <c r="X1355" i="1"/>
  <c r="X1354" i="1"/>
  <c r="D45" i="16" s="1"/>
  <c r="X1356" i="1"/>
  <c r="D48" i="19" s="1"/>
  <c r="X1357" i="1"/>
  <c r="D47" i="17" s="1"/>
  <c r="X1358" i="1"/>
  <c r="D7" i="18" s="1"/>
  <c r="X1364" i="1"/>
  <c r="X1366" i="1"/>
  <c r="D6" i="16" s="1"/>
  <c r="X1368" i="1"/>
  <c r="X1370" i="1"/>
  <c r="X1381" i="1"/>
  <c r="X1387" i="1"/>
  <c r="X1362" i="1"/>
  <c r="D45" i="24" s="1"/>
  <c r="X1367" i="1"/>
  <c r="X1388" i="1"/>
  <c r="X1365" i="1"/>
  <c r="X1369" i="1"/>
  <c r="X1359" i="1"/>
  <c r="X1360" i="1"/>
  <c r="X1350" i="1"/>
  <c r="X1376" i="1"/>
  <c r="X1389" i="1"/>
  <c r="X1375" i="1"/>
  <c r="X1373" i="1"/>
  <c r="X1378" i="1"/>
  <c r="X1371" i="1"/>
  <c r="D9" i="21" s="1"/>
  <c r="X1363" i="1"/>
  <c r="X1382" i="1"/>
  <c r="X1377" i="1"/>
  <c r="X1372" i="1"/>
  <c r="D41" i="21" s="1"/>
  <c r="X1380" i="1"/>
  <c r="X1383" i="1"/>
  <c r="X1384" i="1"/>
  <c r="D47" i="18" s="1"/>
  <c r="X1379" i="1"/>
  <c r="X1385" i="1"/>
  <c r="X1374" i="1"/>
  <c r="X1390" i="1"/>
  <c r="X1386" i="1"/>
  <c r="X107" i="1"/>
  <c r="D11" i="20" l="1"/>
  <c r="C45" i="29"/>
  <c r="D45" i="20"/>
  <c r="D14" i="20"/>
  <c r="D15" i="20"/>
  <c r="D44" i="20"/>
  <c r="C44" i="29"/>
  <c r="D20" i="20"/>
  <c r="D6" i="20"/>
  <c r="D46" i="20"/>
  <c r="C46" i="29"/>
  <c r="C42" i="29"/>
  <c r="D42" i="20"/>
  <c r="C54" i="29"/>
  <c r="D54" i="20"/>
  <c r="C48" i="29"/>
  <c r="D48" i="20"/>
  <c r="D8" i="20"/>
  <c r="D16" i="20"/>
  <c r="D9" i="20"/>
  <c r="D10" i="20"/>
  <c r="C43" i="29"/>
  <c r="D43" i="20"/>
  <c r="D50" i="20"/>
  <c r="C50" i="29"/>
  <c r="D39" i="20"/>
  <c r="C39" i="29"/>
  <c r="D22" i="20"/>
  <c r="C52" i="29"/>
  <c r="D52" i="20"/>
  <c r="C49" i="29"/>
  <c r="D49" i="20"/>
  <c r="D19" i="20"/>
  <c r="D5" i="20"/>
  <c r="D4" i="20"/>
  <c r="D21" i="20"/>
  <c r="D23" i="20"/>
  <c r="D13" i="20"/>
  <c r="D40" i="20"/>
  <c r="C40" i="29"/>
  <c r="D3" i="20"/>
  <c r="C47" i="29"/>
  <c r="D47" i="20"/>
  <c r="D25" i="20"/>
  <c r="C41" i="29"/>
  <c r="D41" i="20"/>
  <c r="D7" i="20"/>
  <c r="D26" i="20"/>
  <c r="D17" i="20"/>
  <c r="D24" i="20"/>
  <c r="C51" i="29"/>
  <c r="D51" i="20"/>
  <c r="D12" i="20"/>
  <c r="D18" i="20"/>
  <c r="E143" i="26"/>
  <c r="E140" i="26"/>
  <c r="E382" i="26"/>
  <c r="E454" i="26"/>
  <c r="E128" i="26"/>
  <c r="E365" i="26"/>
  <c r="E431" i="26"/>
  <c r="E333" i="26"/>
  <c r="E325" i="26"/>
  <c r="E117" i="26"/>
  <c r="E81" i="26"/>
  <c r="E201" i="26"/>
  <c r="E256" i="26"/>
  <c r="E53" i="26"/>
  <c r="E107" i="26"/>
  <c r="E55" i="26"/>
  <c r="E233" i="26"/>
  <c r="E211" i="26"/>
  <c r="E179" i="26"/>
  <c r="E32" i="26"/>
  <c r="E64" i="26"/>
  <c r="E96" i="26"/>
  <c r="E22" i="26"/>
  <c r="E54" i="26"/>
  <c r="E86" i="26"/>
  <c r="E118" i="26"/>
  <c r="E28" i="26"/>
  <c r="E60" i="26"/>
  <c r="E92" i="26"/>
  <c r="E34" i="26"/>
  <c r="E66" i="26"/>
  <c r="E98" i="26"/>
  <c r="E56" i="26"/>
  <c r="E177" i="26"/>
  <c r="E209" i="26"/>
  <c r="E241" i="26"/>
  <c r="E72" i="26"/>
  <c r="E202" i="26"/>
  <c r="E234" i="26"/>
  <c r="E267" i="26"/>
  <c r="E187" i="26"/>
  <c r="E219" i="26"/>
  <c r="E251" i="26"/>
  <c r="E61" i="26"/>
  <c r="E198" i="26"/>
  <c r="E230" i="26"/>
  <c r="E264" i="26"/>
  <c r="E93" i="26"/>
  <c r="E298" i="26"/>
  <c r="E295" i="26"/>
  <c r="E387" i="26"/>
  <c r="E491" i="26"/>
  <c r="E587" i="26"/>
  <c r="E616" i="26"/>
  <c r="E407" i="26"/>
  <c r="E270" i="26"/>
  <c r="E21" i="26"/>
  <c r="E75" i="26"/>
  <c r="E23" i="26"/>
  <c r="E266" i="26"/>
  <c r="E123" i="26"/>
  <c r="E85" i="26"/>
  <c r="E49" i="26"/>
  <c r="E87" i="26"/>
  <c r="E194" i="26"/>
  <c r="E243" i="26"/>
  <c r="E43" i="26"/>
  <c r="E113" i="26"/>
  <c r="E119" i="26"/>
  <c r="E226" i="26"/>
  <c r="E446" i="26"/>
  <c r="E196" i="26"/>
  <c r="E199" i="26"/>
  <c r="E232" i="26"/>
  <c r="E170" i="26"/>
  <c r="E484" i="26"/>
  <c r="E263" i="26"/>
  <c r="E265" i="26"/>
  <c r="E279" i="26"/>
  <c r="E369" i="26"/>
  <c r="E37" i="26"/>
  <c r="E69" i="26"/>
  <c r="E101" i="26"/>
  <c r="E27" i="26"/>
  <c r="E59" i="26"/>
  <c r="E91" i="26"/>
  <c r="E33" i="26"/>
  <c r="E65" i="26"/>
  <c r="E97" i="26"/>
  <c r="E39" i="26"/>
  <c r="E71" i="26"/>
  <c r="E103" i="26"/>
  <c r="E109" i="26"/>
  <c r="E185" i="26"/>
  <c r="E217" i="26"/>
  <c r="E249" i="26"/>
  <c r="E178" i="26"/>
  <c r="E210" i="26"/>
  <c r="E242" i="26"/>
  <c r="E88" i="26"/>
  <c r="E195" i="26"/>
  <c r="E227" i="26"/>
  <c r="E257" i="26"/>
  <c r="E174" i="26"/>
  <c r="E206" i="26"/>
  <c r="E238" i="26"/>
  <c r="E40" i="26"/>
  <c r="E426" i="26"/>
  <c r="E601" i="26"/>
  <c r="E593" i="26"/>
  <c r="E600" i="26"/>
  <c r="E255" i="26"/>
  <c r="E625" i="26"/>
  <c r="E502" i="26"/>
  <c r="E341" i="26"/>
  <c r="E349" i="26"/>
  <c r="E245" i="26"/>
  <c r="E200" i="26"/>
  <c r="E181" i="26"/>
  <c r="E337" i="26"/>
  <c r="E16" i="26"/>
  <c r="E48" i="26"/>
  <c r="E80" i="26"/>
  <c r="E112" i="26"/>
  <c r="E38" i="26"/>
  <c r="E70" i="26"/>
  <c r="E102" i="26"/>
  <c r="E44" i="26"/>
  <c r="E76" i="26"/>
  <c r="E108" i="26"/>
  <c r="E18" i="26"/>
  <c r="E50" i="26"/>
  <c r="E82" i="26"/>
  <c r="E114" i="26"/>
  <c r="E193" i="26"/>
  <c r="E225" i="26"/>
  <c r="E261" i="26"/>
  <c r="E186" i="26"/>
  <c r="E218" i="26"/>
  <c r="E250" i="26"/>
  <c r="E203" i="26"/>
  <c r="E235" i="26"/>
  <c r="E262" i="26"/>
  <c r="E182" i="26"/>
  <c r="E214" i="26"/>
  <c r="E246" i="26"/>
  <c r="E282" i="26"/>
  <c r="E433" i="26"/>
  <c r="E555" i="26"/>
  <c r="E609" i="26"/>
  <c r="E104" i="26"/>
  <c r="E213" i="26"/>
  <c r="E673" i="26"/>
  <c r="E666" i="26"/>
  <c r="E228" i="26"/>
  <c r="E231" i="26"/>
  <c r="E696" i="26"/>
  <c r="E659" i="26"/>
  <c r="E275" i="26"/>
  <c r="E438" i="26"/>
  <c r="E35" i="26"/>
  <c r="E67" i="26"/>
  <c r="E99" i="26"/>
  <c r="E25" i="26"/>
  <c r="E57" i="26"/>
  <c r="E89" i="26"/>
  <c r="E121" i="26"/>
  <c r="E42" i="26"/>
  <c r="E74" i="26"/>
  <c r="E106" i="26"/>
  <c r="E127" i="26"/>
  <c r="E124" i="26"/>
  <c r="E172" i="26"/>
  <c r="E204" i="26"/>
  <c r="E236" i="26"/>
  <c r="E45" i="26"/>
  <c r="E189" i="26"/>
  <c r="E221" i="26"/>
  <c r="E253" i="26"/>
  <c r="E24" i="26"/>
  <c r="E175" i="26"/>
  <c r="E207" i="26"/>
  <c r="E239" i="26"/>
  <c r="E176" i="26"/>
  <c r="E208" i="26"/>
  <c r="E240" i="26"/>
  <c r="E289" i="26"/>
  <c r="E377" i="26"/>
  <c r="E313" i="26"/>
  <c r="E345" i="26"/>
  <c r="E403" i="26"/>
  <c r="E523" i="26"/>
  <c r="E608" i="26"/>
  <c r="E637" i="26"/>
  <c r="E510" i="26"/>
  <c r="E634" i="26"/>
  <c r="E414" i="26"/>
  <c r="E393" i="26"/>
  <c r="E46" i="26"/>
  <c r="E78" i="26"/>
  <c r="E110" i="26"/>
  <c r="E36" i="26"/>
  <c r="E68" i="26"/>
  <c r="E100" i="26"/>
  <c r="E47" i="26"/>
  <c r="E79" i="26"/>
  <c r="E111" i="26"/>
  <c r="E156" i="26"/>
  <c r="E180" i="26"/>
  <c r="E212" i="26"/>
  <c r="E244" i="26"/>
  <c r="E120" i="26"/>
  <c r="E197" i="26"/>
  <c r="E229" i="26"/>
  <c r="E258" i="26"/>
  <c r="E77" i="26"/>
  <c r="E183" i="26"/>
  <c r="E215" i="26"/>
  <c r="E247" i="26"/>
  <c r="E184" i="26"/>
  <c r="E216" i="26"/>
  <c r="E248" i="26"/>
  <c r="E260" i="26"/>
  <c r="E410" i="26"/>
  <c r="E394" i="26"/>
  <c r="E321" i="26"/>
  <c r="E353" i="26"/>
  <c r="E577" i="26"/>
  <c r="E571" i="26"/>
  <c r="E620" i="26"/>
  <c r="E649" i="26"/>
  <c r="E317" i="26"/>
  <c r="E190" i="26"/>
  <c r="E222" i="26"/>
  <c r="E259" i="26"/>
  <c r="E288" i="26"/>
  <c r="E305" i="26"/>
  <c r="E562" i="26"/>
  <c r="E539" i="26"/>
  <c r="E390" i="26"/>
  <c r="E19" i="26"/>
  <c r="E51" i="26"/>
  <c r="E83" i="26"/>
  <c r="E115" i="26"/>
  <c r="E41" i="26"/>
  <c r="E73" i="26"/>
  <c r="E105" i="26"/>
  <c r="E26" i="26"/>
  <c r="E58" i="26"/>
  <c r="E90" i="26"/>
  <c r="E29" i="26"/>
  <c r="E188" i="26"/>
  <c r="E220" i="26"/>
  <c r="E252" i="26"/>
  <c r="E205" i="26"/>
  <c r="E237" i="26"/>
  <c r="E191" i="26"/>
  <c r="E223" i="26"/>
  <c r="E254" i="26"/>
  <c r="E192" i="26"/>
  <c r="E224" i="26"/>
  <c r="E434" i="26"/>
  <c r="E419" i="26"/>
  <c r="E329" i="26"/>
  <c r="E361" i="26"/>
  <c r="E584" i="26"/>
  <c r="E578" i="26"/>
  <c r="E507" i="26"/>
  <c r="E669" i="26"/>
  <c r="E656" i="26"/>
  <c r="E675" i="26"/>
  <c r="E470" i="26"/>
  <c r="E293" i="26"/>
  <c r="E404" i="26"/>
  <c r="E462" i="26"/>
  <c r="E357" i="26"/>
  <c r="E159" i="26"/>
  <c r="E494" i="26"/>
  <c r="E542" i="26"/>
  <c r="E30" i="26"/>
  <c r="E62" i="26"/>
  <c r="E94" i="26"/>
  <c r="E20" i="26"/>
  <c r="E52" i="26"/>
  <c r="E84" i="26"/>
  <c r="E116" i="26"/>
  <c r="E31" i="26"/>
  <c r="E63" i="26"/>
  <c r="E95" i="26"/>
  <c r="E526" i="26"/>
  <c r="E691" i="26"/>
  <c r="E698" i="26"/>
  <c r="E384" i="26"/>
  <c r="B16" i="3" l="1"/>
  <c r="W699" i="1" l="1"/>
  <c r="W1170" i="1" l="1"/>
  <c r="F23" i="12" l="1"/>
  <c r="G23" i="12"/>
  <c r="H23" i="12"/>
  <c r="F24" i="12"/>
  <c r="G24" i="12"/>
  <c r="H24" i="12"/>
  <c r="F25" i="12"/>
  <c r="G25" i="12"/>
  <c r="H25" i="12"/>
  <c r="F26" i="12"/>
  <c r="G26" i="12"/>
  <c r="H26" i="12"/>
  <c r="F27" i="12"/>
  <c r="G27" i="12"/>
  <c r="H27" i="12"/>
  <c r="H28" i="12"/>
  <c r="E23" i="12"/>
  <c r="E24" i="12"/>
  <c r="E25" i="12"/>
  <c r="E26" i="12"/>
  <c r="E27" i="12"/>
  <c r="E28" i="12"/>
  <c r="D23" i="12"/>
  <c r="D24" i="12"/>
  <c r="D25" i="12"/>
  <c r="D26" i="12"/>
  <c r="D27" i="12"/>
  <c r="D28" i="12"/>
  <c r="C23" i="12"/>
  <c r="C24" i="12"/>
  <c r="C25" i="12"/>
  <c r="C26" i="12"/>
  <c r="C27" i="12"/>
  <c r="B23" i="12"/>
  <c r="B24" i="12"/>
  <c r="B25" i="12"/>
  <c r="B26" i="12"/>
  <c r="B27" i="12"/>
  <c r="A27" i="12"/>
  <c r="A24" i="12"/>
  <c r="A25" i="12"/>
  <c r="A26" i="12"/>
  <c r="A23" i="12"/>
  <c r="A22" i="12"/>
  <c r="W109" i="1" l="1"/>
  <c r="W111" i="1"/>
  <c r="W112" i="1"/>
  <c r="W113" i="1"/>
  <c r="W124" i="1"/>
  <c r="W126" i="1"/>
  <c r="W129" i="1"/>
  <c r="W128" i="1"/>
  <c r="W119" i="1"/>
  <c r="W130" i="1"/>
  <c r="W121" i="1"/>
  <c r="W146" i="1"/>
  <c r="W114" i="1"/>
  <c r="W110" i="1"/>
  <c r="W115" i="1"/>
  <c r="W118" i="1"/>
  <c r="W125" i="1"/>
  <c r="W140" i="1"/>
  <c r="W123" i="1"/>
  <c r="W132" i="1"/>
  <c r="W117" i="1"/>
  <c r="W134" i="1"/>
  <c r="W120" i="1"/>
  <c r="W144" i="1"/>
  <c r="W136" i="1"/>
  <c r="W135" i="1"/>
  <c r="W157" i="1"/>
  <c r="W131" i="1"/>
  <c r="W150" i="1"/>
  <c r="W137" i="1"/>
  <c r="W142" i="1"/>
  <c r="W108" i="1"/>
  <c r="W138" i="1"/>
  <c r="W141" i="1"/>
  <c r="W139" i="1"/>
  <c r="W122" i="1"/>
  <c r="W145" i="1"/>
  <c r="W147" i="1"/>
  <c r="W116" i="1"/>
  <c r="W127" i="1"/>
  <c r="W143" i="1"/>
  <c r="W133" i="1"/>
  <c r="W148" i="1"/>
  <c r="W149" i="1"/>
  <c r="W151" i="1"/>
  <c r="W152" i="1"/>
  <c r="W156" i="1"/>
  <c r="W153" i="1"/>
  <c r="W154" i="1"/>
  <c r="W158" i="1"/>
  <c r="W155" i="1"/>
  <c r="W159" i="1"/>
  <c r="W164" i="1"/>
  <c r="W167" i="1"/>
  <c r="W166" i="1"/>
  <c r="W172" i="1"/>
  <c r="W175" i="1"/>
  <c r="W178" i="1"/>
  <c r="W174" i="1"/>
  <c r="W199" i="1"/>
  <c r="W177" i="1"/>
  <c r="W204" i="1"/>
  <c r="W161" i="1"/>
  <c r="W163" i="1"/>
  <c r="W165" i="1"/>
  <c r="W168" i="1"/>
  <c r="W179" i="1"/>
  <c r="W189" i="1"/>
  <c r="W162" i="1"/>
  <c r="W183" i="1"/>
  <c r="W191" i="1"/>
  <c r="W184" i="1"/>
  <c r="W169" i="1"/>
  <c r="W192" i="1"/>
  <c r="W173" i="1"/>
  <c r="W193" i="1"/>
  <c r="W170" i="1"/>
  <c r="W186" i="1"/>
  <c r="W160" i="1"/>
  <c r="W194" i="1"/>
  <c r="W176" i="1"/>
  <c r="W188" i="1"/>
  <c r="W180" i="1"/>
  <c r="W196" i="1"/>
  <c r="W198" i="1"/>
  <c r="W181" i="1"/>
  <c r="W200" i="1"/>
  <c r="W171" i="1"/>
  <c r="W185" i="1"/>
  <c r="W182" i="1"/>
  <c r="W190" i="1"/>
  <c r="W201" i="1"/>
  <c r="W202" i="1"/>
  <c r="W197" i="1"/>
  <c r="W487" i="1"/>
  <c r="W203" i="1"/>
  <c r="W488" i="1"/>
  <c r="W491" i="1"/>
  <c r="W195" i="1"/>
  <c r="W187" i="1"/>
  <c r="W493" i="1"/>
  <c r="W497" i="1"/>
  <c r="W495" i="1"/>
  <c r="W498" i="1"/>
  <c r="W499" i="1"/>
  <c r="W501" i="1"/>
  <c r="W502" i="1"/>
  <c r="W504" i="1"/>
  <c r="W508" i="1"/>
  <c r="W510" i="1"/>
  <c r="W523" i="1"/>
  <c r="W489" i="1"/>
  <c r="W492" i="1"/>
  <c r="W494" i="1"/>
  <c r="W496" i="1"/>
  <c r="W500" i="1"/>
  <c r="W522" i="1"/>
  <c r="W505" i="1"/>
  <c r="W506" i="1"/>
  <c r="W513" i="1"/>
  <c r="W503" i="1"/>
  <c r="W518" i="1"/>
  <c r="W521" i="1"/>
  <c r="W516" i="1"/>
  <c r="W490" i="1"/>
  <c r="W514" i="1"/>
  <c r="W512" i="1"/>
  <c r="W517" i="1"/>
  <c r="W507" i="1"/>
  <c r="W526" i="1"/>
  <c r="W524" i="1"/>
  <c r="W515" i="1"/>
  <c r="W527" i="1"/>
  <c r="W520" i="1"/>
  <c r="W525" i="1"/>
  <c r="W528" i="1"/>
  <c r="W529" i="1"/>
  <c r="W530" i="1"/>
  <c r="W531" i="1"/>
  <c r="W532" i="1"/>
  <c r="W519" i="1"/>
  <c r="W511" i="1"/>
  <c r="W585" i="1"/>
  <c r="W586" i="1"/>
  <c r="W587" i="1"/>
  <c r="W589" i="1"/>
  <c r="W591" i="1"/>
  <c r="W592" i="1"/>
  <c r="W603" i="1"/>
  <c r="W594" i="1"/>
  <c r="W599" i="1"/>
  <c r="W602" i="1"/>
  <c r="W605" i="1"/>
  <c r="W598" i="1"/>
  <c r="W618" i="1"/>
  <c r="W619" i="1"/>
  <c r="W623" i="1"/>
  <c r="W583" i="1"/>
  <c r="W584" i="1"/>
  <c r="W588" i="1"/>
  <c r="W509" i="1"/>
  <c r="W595" i="1"/>
  <c r="W596" i="1"/>
  <c r="W604" i="1"/>
  <c r="W616" i="1"/>
  <c r="W590" i="1"/>
  <c r="W593" i="1"/>
  <c r="W601" i="1"/>
  <c r="W607" i="1"/>
  <c r="W600" i="1"/>
  <c r="W608" i="1"/>
  <c r="W610" i="1"/>
  <c r="W609" i="1"/>
  <c r="W597" i="1"/>
  <c r="W620" i="1"/>
  <c r="W612" i="1"/>
  <c r="W615" i="1"/>
  <c r="W621" i="1"/>
  <c r="W614" i="1"/>
  <c r="W613" i="1"/>
  <c r="W622" i="1"/>
  <c r="W606" i="1"/>
  <c r="W625" i="1"/>
  <c r="W626" i="1"/>
  <c r="W627" i="1"/>
  <c r="W726" i="1"/>
  <c r="W728" i="1"/>
  <c r="W730" i="1"/>
  <c r="W617" i="1"/>
  <c r="W734" i="1"/>
  <c r="W731" i="1"/>
  <c r="W611" i="1"/>
  <c r="W735" i="1"/>
  <c r="W737" i="1"/>
  <c r="W624" i="1"/>
  <c r="W732" i="1"/>
  <c r="W740" i="1"/>
  <c r="W741" i="1"/>
  <c r="W743" i="1"/>
  <c r="W745" i="1"/>
  <c r="W752" i="1"/>
  <c r="W747" i="1"/>
  <c r="W768" i="1"/>
  <c r="W725" i="1"/>
  <c r="W727" i="1"/>
  <c r="W729" i="1"/>
  <c r="W736" i="1"/>
  <c r="W742" i="1"/>
  <c r="W744" i="1"/>
  <c r="W754" i="1"/>
  <c r="W761" i="1"/>
  <c r="W764" i="1"/>
  <c r="W724" i="1"/>
  <c r="W746" i="1"/>
  <c r="W749" i="1"/>
  <c r="W739" i="1"/>
  <c r="W748" i="1"/>
  <c r="W757" i="1"/>
  <c r="W756" i="1"/>
  <c r="W762" i="1"/>
  <c r="W765" i="1"/>
  <c r="W733" i="1"/>
  <c r="W753" i="1"/>
  <c r="W738" i="1"/>
  <c r="W759" i="1"/>
  <c r="W751" i="1"/>
  <c r="W763" i="1"/>
  <c r="W755" i="1"/>
  <c r="W760" i="1"/>
  <c r="W771" i="1"/>
  <c r="W766" i="1"/>
  <c r="W758" i="1"/>
  <c r="W750" i="1"/>
  <c r="W770" i="1"/>
  <c r="W769" i="1"/>
  <c r="W772" i="1"/>
  <c r="W963" i="1"/>
  <c r="W767" i="1"/>
  <c r="W964" i="1"/>
  <c r="W968" i="1"/>
  <c r="W966" i="1"/>
  <c r="W965" i="1"/>
  <c r="W970" i="1"/>
  <c r="W972" i="1"/>
  <c r="W973" i="1"/>
  <c r="W976" i="1"/>
  <c r="W974" i="1"/>
  <c r="W979" i="1"/>
  <c r="W980" i="1"/>
  <c r="W977" i="1"/>
  <c r="W1000" i="1"/>
  <c r="W969" i="1"/>
  <c r="W981" i="1"/>
  <c r="W982" i="1"/>
  <c r="W988" i="1"/>
  <c r="W1004" i="1"/>
  <c r="W978" i="1"/>
  <c r="W997" i="1"/>
  <c r="W967" i="1"/>
  <c r="W975" i="1"/>
  <c r="W992" i="1"/>
  <c r="W983" i="1"/>
  <c r="W984" i="1"/>
  <c r="W971" i="1"/>
  <c r="W993" i="1"/>
  <c r="W996" i="1"/>
  <c r="W985" i="1"/>
  <c r="W998" i="1"/>
  <c r="W989" i="1"/>
  <c r="W999" i="1"/>
  <c r="W994" i="1"/>
  <c r="W1001" i="1"/>
  <c r="W986" i="1"/>
  <c r="W995" i="1"/>
  <c r="W1002" i="1"/>
  <c r="W1003" i="1"/>
  <c r="W990" i="1"/>
  <c r="W1005" i="1"/>
  <c r="W987" i="1"/>
  <c r="W1007" i="1"/>
  <c r="W991" i="1"/>
  <c r="W1006" i="1"/>
  <c r="W1207" i="1"/>
  <c r="W1209" i="1"/>
  <c r="W1008" i="1"/>
  <c r="W1009" i="1"/>
  <c r="W1211" i="1"/>
  <c r="W1212" i="1"/>
  <c r="W1213" i="1"/>
  <c r="W1216" i="1"/>
  <c r="W1223" i="1"/>
  <c r="W1241" i="1"/>
  <c r="W1210" i="1"/>
  <c r="W1224" i="1"/>
  <c r="W1230" i="1"/>
  <c r="W1247" i="1"/>
  <c r="W1248" i="1"/>
  <c r="W1208" i="1"/>
  <c r="W1214" i="1"/>
  <c r="W1215" i="1"/>
  <c r="W1217" i="1"/>
  <c r="W1239" i="1"/>
  <c r="W1240" i="1"/>
  <c r="W1219" i="1"/>
  <c r="W1232" i="1"/>
  <c r="W1244" i="1"/>
  <c r="W1233" i="1"/>
  <c r="W1226" i="1"/>
  <c r="W1229" i="1"/>
  <c r="W1225" i="1"/>
  <c r="W1238" i="1"/>
  <c r="W1220" i="1"/>
  <c r="W1246" i="1"/>
  <c r="W1237" i="1"/>
  <c r="W1218" i="1"/>
  <c r="W1234" i="1"/>
  <c r="W1250" i="1"/>
  <c r="W1249" i="1"/>
  <c r="W1227" i="1"/>
  <c r="W1221" i="1"/>
  <c r="W1243" i="1"/>
  <c r="W1251" i="1"/>
  <c r="W1242" i="1"/>
  <c r="W1236" i="1"/>
  <c r="W1245" i="1"/>
  <c r="W1253" i="1"/>
  <c r="W1252" i="1"/>
  <c r="W1231" i="1"/>
  <c r="W1254" i="1"/>
  <c r="W1228" i="1"/>
  <c r="W1222" i="1"/>
  <c r="W1235" i="1"/>
  <c r="W1255" i="1"/>
  <c r="W1256" i="1"/>
  <c r="W1260" i="1"/>
  <c r="W1257" i="1"/>
  <c r="W1265" i="1"/>
  <c r="W1266" i="1"/>
  <c r="W1276" i="1"/>
  <c r="W1263" i="1"/>
  <c r="W1267" i="1"/>
  <c r="W1272" i="1"/>
  <c r="W1285" i="1"/>
  <c r="W1291" i="1"/>
  <c r="W1297" i="1"/>
  <c r="W1258" i="1"/>
  <c r="W1287" i="1"/>
  <c r="W1261" i="1"/>
  <c r="W1262" i="1"/>
  <c r="W1264" i="1"/>
  <c r="W1273" i="1"/>
  <c r="W1286" i="1"/>
  <c r="W1279" i="1"/>
  <c r="W1294" i="1"/>
  <c r="W1278" i="1"/>
  <c r="W1271" i="1"/>
  <c r="W1274" i="1"/>
  <c r="W1302" i="1"/>
  <c r="W1270" i="1"/>
  <c r="W1268" i="1"/>
  <c r="W1269" i="1"/>
  <c r="W1293" i="1"/>
  <c r="W1281" i="1"/>
  <c r="W1280" i="1"/>
  <c r="W1283" i="1"/>
  <c r="W1275" i="1"/>
  <c r="W1277" i="1"/>
  <c r="W1290" i="1"/>
  <c r="W1259" i="1"/>
  <c r="W1295" i="1"/>
  <c r="W1288" i="1"/>
  <c r="W1292" i="1"/>
  <c r="W1284" i="1"/>
  <c r="W1296" i="1"/>
  <c r="W1298" i="1"/>
  <c r="W1299" i="1"/>
  <c r="W1289" i="1"/>
  <c r="W1282" i="1"/>
  <c r="W205" i="1"/>
  <c r="W1300" i="1"/>
  <c r="W1301" i="1"/>
  <c r="W210" i="1"/>
  <c r="W215" i="1"/>
  <c r="W213" i="1"/>
  <c r="W217" i="1"/>
  <c r="W219" i="1"/>
  <c r="W218" i="1"/>
  <c r="W214" i="1"/>
  <c r="W231" i="1"/>
  <c r="W238" i="1"/>
  <c r="W246" i="1"/>
  <c r="W206" i="1"/>
  <c r="W207" i="1"/>
  <c r="W208" i="1"/>
  <c r="W209" i="1"/>
  <c r="W212" i="1"/>
  <c r="W216" i="1"/>
  <c r="W224" i="1"/>
  <c r="W222" i="1"/>
  <c r="W228" i="1"/>
  <c r="W235" i="1"/>
  <c r="W225" i="1"/>
  <c r="W223" i="1"/>
  <c r="W237" i="1"/>
  <c r="W236" i="1"/>
  <c r="W229" i="1"/>
  <c r="W234" i="1"/>
  <c r="W226" i="1"/>
  <c r="W221" i="1"/>
  <c r="W211" i="1"/>
  <c r="W233" i="1"/>
  <c r="W239" i="1"/>
  <c r="W232" i="1"/>
  <c r="W240" i="1"/>
  <c r="W220" i="1"/>
  <c r="W241" i="1"/>
  <c r="W244" i="1"/>
  <c r="W230" i="1"/>
  <c r="W245" i="1"/>
  <c r="W227" i="1"/>
  <c r="W242" i="1"/>
  <c r="W243" i="1"/>
  <c r="W247" i="1"/>
  <c r="W248" i="1"/>
  <c r="W249" i="1"/>
  <c r="W344" i="1"/>
  <c r="W346" i="1"/>
  <c r="W351" i="1"/>
  <c r="W349" i="1"/>
  <c r="W345" i="1"/>
  <c r="W347" i="1"/>
  <c r="W354" i="1"/>
  <c r="W356" i="1"/>
  <c r="W357" i="1"/>
  <c r="W352" i="1"/>
  <c r="W360" i="1"/>
  <c r="W376" i="1"/>
  <c r="W379" i="1"/>
  <c r="W385" i="1"/>
  <c r="W348" i="1"/>
  <c r="W350" i="1"/>
  <c r="W353" i="1"/>
  <c r="W355" i="1"/>
  <c r="W380" i="1"/>
  <c r="W358" i="1"/>
  <c r="W343" i="1"/>
  <c r="W370" i="1"/>
  <c r="W362" i="1"/>
  <c r="W363" i="1"/>
  <c r="W364" i="1"/>
  <c r="W386" i="1"/>
  <c r="W372" i="1"/>
  <c r="W389" i="1"/>
  <c r="W391" i="1"/>
  <c r="W365" i="1"/>
  <c r="W392" i="1"/>
  <c r="W366" i="1"/>
  <c r="W359" i="1"/>
  <c r="W371" i="1"/>
  <c r="W375" i="1"/>
  <c r="W361" i="1"/>
  <c r="W368" i="1"/>
  <c r="W367" i="1"/>
  <c r="W374" i="1"/>
  <c r="W373" i="1"/>
  <c r="W381" i="1"/>
  <c r="W382" i="1"/>
  <c r="W378" i="1"/>
  <c r="W383" i="1"/>
  <c r="W384" i="1"/>
  <c r="W369" i="1"/>
  <c r="W377" i="1"/>
  <c r="W387" i="1"/>
  <c r="W819" i="1"/>
  <c r="W390" i="1"/>
  <c r="W388" i="1"/>
  <c r="W821" i="1"/>
  <c r="W824" i="1"/>
  <c r="W825" i="1"/>
  <c r="W829" i="1"/>
  <c r="W831" i="1"/>
  <c r="W833" i="1"/>
  <c r="W827" i="1"/>
  <c r="W840" i="1"/>
  <c r="W832" i="1"/>
  <c r="W861" i="1"/>
  <c r="W852" i="1"/>
  <c r="W865" i="1"/>
  <c r="W822" i="1"/>
  <c r="W823" i="1"/>
  <c r="W826" i="1"/>
  <c r="W830" i="1"/>
  <c r="W828" i="1"/>
  <c r="W834" i="1"/>
  <c r="W851" i="1"/>
  <c r="W837" i="1"/>
  <c r="W866" i="1"/>
  <c r="W843" i="1"/>
  <c r="W849" i="1"/>
  <c r="W842" i="1"/>
  <c r="W850" i="1"/>
  <c r="W820" i="1"/>
  <c r="W836" i="1"/>
  <c r="W862" i="1"/>
  <c r="W853" i="1"/>
  <c r="W838" i="1"/>
  <c r="W839" i="1"/>
  <c r="W835" i="1"/>
  <c r="W845" i="1"/>
  <c r="W848" i="1"/>
  <c r="W846" i="1"/>
  <c r="W841" i="1"/>
  <c r="W867" i="1"/>
  <c r="W854" i="1"/>
  <c r="W855" i="1"/>
  <c r="W844" i="1"/>
  <c r="W856" i="1"/>
  <c r="W859" i="1"/>
  <c r="W847" i="1"/>
  <c r="W857" i="1"/>
  <c r="W858" i="1"/>
  <c r="W860" i="1"/>
  <c r="W863" i="1"/>
  <c r="W864" i="1"/>
  <c r="W868" i="1"/>
  <c r="W872" i="1"/>
  <c r="W870" i="1"/>
  <c r="W873" i="1"/>
  <c r="W874" i="1"/>
  <c r="W875" i="1"/>
  <c r="W876" i="1"/>
  <c r="W879" i="1"/>
  <c r="W881" i="1"/>
  <c r="W883" i="1"/>
  <c r="W894" i="1"/>
  <c r="W891" i="1"/>
  <c r="W890" i="1"/>
  <c r="W903" i="1"/>
  <c r="W871" i="1"/>
  <c r="W882" i="1"/>
  <c r="W884" i="1"/>
  <c r="W880" i="1"/>
  <c r="W889" i="1"/>
  <c r="W892" i="1"/>
  <c r="W887" i="1"/>
  <c r="W869" i="1"/>
  <c r="W888" i="1"/>
  <c r="W886" i="1"/>
  <c r="W885" i="1"/>
  <c r="W878" i="1"/>
  <c r="W893" i="1"/>
  <c r="W896" i="1"/>
  <c r="W898" i="1"/>
  <c r="W901" i="1"/>
  <c r="W900" i="1"/>
  <c r="W895" i="1"/>
  <c r="W877" i="1"/>
  <c r="W902" i="1"/>
  <c r="W904" i="1"/>
  <c r="W905" i="1"/>
  <c r="W897" i="1"/>
  <c r="W899" i="1"/>
  <c r="W909" i="1"/>
  <c r="W906" i="1"/>
  <c r="W908" i="1"/>
  <c r="W907" i="1"/>
  <c r="W910" i="1"/>
  <c r="W911" i="1"/>
  <c r="W912" i="1"/>
  <c r="W913" i="1"/>
  <c r="W920" i="1"/>
  <c r="W918" i="1"/>
  <c r="W921" i="1"/>
  <c r="W922" i="1"/>
  <c r="W924" i="1"/>
  <c r="W925" i="1"/>
  <c r="W928" i="1"/>
  <c r="W929" i="1"/>
  <c r="W937" i="1"/>
  <c r="W927" i="1"/>
  <c r="W952" i="1"/>
  <c r="W958" i="1"/>
  <c r="W916" i="1"/>
  <c r="W917" i="1"/>
  <c r="W919" i="1"/>
  <c r="W923" i="1"/>
  <c r="W946" i="1"/>
  <c r="W957" i="1"/>
  <c r="W915" i="1"/>
  <c r="W959" i="1"/>
  <c r="W949" i="1"/>
  <c r="W947" i="1"/>
  <c r="W938" i="1"/>
  <c r="W944" i="1"/>
  <c r="W932" i="1"/>
  <c r="W933" i="1"/>
  <c r="W945" i="1"/>
  <c r="W926" i="1"/>
  <c r="W940" i="1"/>
  <c r="W935" i="1"/>
  <c r="W943" i="1"/>
  <c r="W948" i="1"/>
  <c r="W941" i="1"/>
  <c r="W936" i="1"/>
  <c r="W942" i="1"/>
  <c r="W951" i="1"/>
  <c r="W930" i="1"/>
  <c r="W931" i="1"/>
  <c r="W939" i="1"/>
  <c r="W934" i="1"/>
  <c r="W950" i="1"/>
  <c r="W953" i="1"/>
  <c r="W954" i="1"/>
  <c r="W955" i="1"/>
  <c r="W956" i="1"/>
  <c r="W960" i="1"/>
  <c r="W961" i="1"/>
  <c r="W1010" i="1"/>
  <c r="W1011" i="1"/>
  <c r="W1012" i="1"/>
  <c r="W1014" i="1"/>
  <c r="W1016" i="1"/>
  <c r="W962" i="1"/>
  <c r="W1017" i="1"/>
  <c r="W1023" i="1"/>
  <c r="W1022" i="1"/>
  <c r="W1024" i="1"/>
  <c r="W1031" i="1"/>
  <c r="W1018" i="1"/>
  <c r="W1028" i="1"/>
  <c r="W1029" i="1"/>
  <c r="W1050" i="1"/>
  <c r="W1020" i="1"/>
  <c r="W1045" i="1"/>
  <c r="W1038" i="1"/>
  <c r="W1027" i="1"/>
  <c r="W1021" i="1"/>
  <c r="W1037" i="1"/>
  <c r="W1030" i="1"/>
  <c r="W1013" i="1"/>
  <c r="W1039" i="1"/>
  <c r="W1035" i="1"/>
  <c r="W1032" i="1"/>
  <c r="W1015" i="1"/>
  <c r="W1025" i="1"/>
  <c r="W1026" i="1"/>
  <c r="W1041" i="1"/>
  <c r="W1033" i="1"/>
  <c r="W1019" i="1"/>
  <c r="W1034" i="1"/>
  <c r="W1043" i="1"/>
  <c r="W1047" i="1"/>
  <c r="W1048" i="1"/>
  <c r="W1044" i="1"/>
  <c r="W1036" i="1"/>
  <c r="W1046" i="1"/>
  <c r="W1042" i="1"/>
  <c r="W1052" i="1"/>
  <c r="W1051" i="1"/>
  <c r="W1054" i="1"/>
  <c r="W1055" i="1"/>
  <c r="W1053" i="1"/>
  <c r="W1040" i="1"/>
  <c r="W1049" i="1"/>
  <c r="W1056" i="1"/>
  <c r="W1057" i="1"/>
  <c r="W1058" i="1"/>
  <c r="W1060" i="1"/>
  <c r="W1059" i="1"/>
  <c r="W1061" i="1"/>
  <c r="W1062" i="1"/>
  <c r="W1064" i="1"/>
  <c r="W1066" i="1"/>
  <c r="W1073" i="1"/>
  <c r="W1069" i="1"/>
  <c r="W1071" i="1"/>
  <c r="W1075" i="1"/>
  <c r="W1077" i="1"/>
  <c r="W1093" i="1"/>
  <c r="W1095" i="1"/>
  <c r="W1086" i="1"/>
  <c r="W1094" i="1"/>
  <c r="W1063" i="1"/>
  <c r="W1087" i="1"/>
  <c r="W1068" i="1"/>
  <c r="W1067" i="1"/>
  <c r="W1074" i="1"/>
  <c r="W1096" i="1"/>
  <c r="W1070" i="1"/>
  <c r="W1091" i="1"/>
  <c r="W1076" i="1"/>
  <c r="W1079" i="1"/>
  <c r="W1078" i="1"/>
  <c r="W1065" i="1"/>
  <c r="W1080" i="1"/>
  <c r="W1083" i="1"/>
  <c r="W1082" i="1"/>
  <c r="W1081" i="1"/>
  <c r="W1084" i="1"/>
  <c r="W1085" i="1"/>
  <c r="W1072" i="1"/>
  <c r="W1088" i="1"/>
  <c r="W1089" i="1"/>
  <c r="W1090" i="1"/>
  <c r="W1092" i="1"/>
  <c r="W1097" i="1"/>
  <c r="W1099" i="1"/>
  <c r="W1098" i="1"/>
  <c r="W1100" i="1"/>
  <c r="W1101" i="1"/>
  <c r="W1102" i="1"/>
  <c r="W1103" i="1"/>
  <c r="W1104" i="1"/>
  <c r="W1105" i="1"/>
  <c r="W1106" i="1"/>
  <c r="W1107" i="1"/>
  <c r="W1440" i="1"/>
  <c r="W1442" i="1"/>
  <c r="W1443" i="1"/>
  <c r="W1445" i="1"/>
  <c r="W1447" i="1"/>
  <c r="W1449" i="1"/>
  <c r="W1450" i="1"/>
  <c r="W1452" i="1"/>
  <c r="W1457" i="1"/>
  <c r="W1473" i="1"/>
  <c r="W1479" i="1"/>
  <c r="W1441" i="1"/>
  <c r="W1446" i="1"/>
  <c r="W1451" i="1"/>
  <c r="W1453" i="1"/>
  <c r="W1458" i="1"/>
  <c r="W1444" i="1"/>
  <c r="W1448" i="1"/>
  <c r="W1456" i="1"/>
  <c r="W1460" i="1"/>
  <c r="W1461" i="1"/>
  <c r="W1454" i="1"/>
  <c r="W1462" i="1"/>
  <c r="W1463" i="1"/>
  <c r="W1464" i="1"/>
  <c r="W1472" i="1"/>
  <c r="W1465" i="1"/>
  <c r="W1455" i="1"/>
  <c r="W1470" i="1"/>
  <c r="W1467" i="1"/>
  <c r="W1468" i="1"/>
  <c r="W1466" i="1"/>
  <c r="W1459" i="1"/>
  <c r="W1475" i="1"/>
  <c r="W1469" i="1"/>
  <c r="W1476" i="1"/>
  <c r="W1474" i="1"/>
  <c r="W1471" i="1"/>
  <c r="W1477" i="1"/>
  <c r="W1478" i="1"/>
  <c r="W295" i="1"/>
  <c r="W296" i="1"/>
  <c r="W298" i="1"/>
  <c r="W305" i="1"/>
  <c r="W315" i="1"/>
  <c r="W309" i="1"/>
  <c r="W317" i="1"/>
  <c r="W318" i="1"/>
  <c r="W301" i="1"/>
  <c r="W297" i="1"/>
  <c r="W310" i="1"/>
  <c r="W300" i="1"/>
  <c r="W302" i="1"/>
  <c r="W306" i="1"/>
  <c r="W307" i="1"/>
  <c r="W312" i="1"/>
  <c r="W299" i="1"/>
  <c r="W335" i="1"/>
  <c r="W339" i="1"/>
  <c r="W340" i="1"/>
  <c r="W304" i="1"/>
  <c r="W334" i="1"/>
  <c r="W319" i="1"/>
  <c r="W303" i="1"/>
  <c r="W313" i="1"/>
  <c r="W321" i="1"/>
  <c r="W308" i="1"/>
  <c r="W314" i="1"/>
  <c r="W320" i="1"/>
  <c r="W311" i="1"/>
  <c r="W322" i="1"/>
  <c r="W329" i="1"/>
  <c r="W326" i="1"/>
  <c r="W323" i="1"/>
  <c r="W327" i="1"/>
  <c r="W325" i="1"/>
  <c r="W324" i="1"/>
  <c r="W328" i="1"/>
  <c r="W330" i="1"/>
  <c r="W414" i="1"/>
  <c r="W336" i="1"/>
  <c r="W331" i="1"/>
  <c r="W337" i="1"/>
  <c r="W316" i="1"/>
  <c r="W332" i="1"/>
  <c r="W333" i="1"/>
  <c r="W338" i="1"/>
  <c r="W341" i="1"/>
  <c r="W396" i="1"/>
  <c r="W398" i="1"/>
  <c r="W400" i="1"/>
  <c r="W405" i="1"/>
  <c r="W417" i="1"/>
  <c r="W415" i="1"/>
  <c r="W393" i="1"/>
  <c r="W404" i="1"/>
  <c r="W342" i="1"/>
  <c r="W408" i="1"/>
  <c r="W403" i="1"/>
  <c r="W402" i="1"/>
  <c r="W407" i="1"/>
  <c r="W409" i="1"/>
  <c r="W401" i="1"/>
  <c r="W395" i="1"/>
  <c r="W412" i="1"/>
  <c r="W410" i="1"/>
  <c r="W420" i="1"/>
  <c r="W413" i="1"/>
  <c r="W419" i="1"/>
  <c r="W399" i="1"/>
  <c r="W394" i="1"/>
  <c r="W406" i="1"/>
  <c r="W411" i="1"/>
  <c r="W397" i="1"/>
  <c r="W421" i="1"/>
  <c r="W423" i="1"/>
  <c r="W416" i="1"/>
  <c r="W418" i="1"/>
  <c r="W427" i="1"/>
  <c r="W422" i="1"/>
  <c r="W425" i="1"/>
  <c r="W426" i="1"/>
  <c r="W424" i="1"/>
  <c r="W430" i="1"/>
  <c r="W429" i="1"/>
  <c r="W428" i="1"/>
  <c r="W432" i="1"/>
  <c r="W431" i="1"/>
  <c r="W434" i="1"/>
  <c r="W433" i="1"/>
  <c r="W435" i="1"/>
  <c r="W436" i="1"/>
  <c r="W437" i="1"/>
  <c r="W438" i="1"/>
  <c r="W439" i="1"/>
  <c r="W440" i="1"/>
  <c r="W442" i="1"/>
  <c r="W443" i="1"/>
  <c r="W446" i="1"/>
  <c r="W449" i="1"/>
  <c r="W453" i="1"/>
  <c r="W451" i="1"/>
  <c r="W455" i="1"/>
  <c r="W457" i="1"/>
  <c r="W462" i="1"/>
  <c r="W456" i="1"/>
  <c r="W461" i="1"/>
  <c r="W460" i="1"/>
  <c r="W447" i="1"/>
  <c r="W445" i="1"/>
  <c r="W477" i="1"/>
  <c r="W452" i="1"/>
  <c r="W441" i="1"/>
  <c r="W463" i="1"/>
  <c r="W464" i="1"/>
  <c r="W448" i="1"/>
  <c r="W454" i="1"/>
  <c r="W444" i="1"/>
  <c r="W458" i="1"/>
  <c r="W470" i="1"/>
  <c r="W465" i="1"/>
  <c r="W466" i="1"/>
  <c r="W469" i="1"/>
  <c r="W472" i="1"/>
  <c r="W473" i="1"/>
  <c r="W467" i="1"/>
  <c r="W471" i="1"/>
  <c r="W468" i="1"/>
  <c r="W475" i="1"/>
  <c r="W474" i="1"/>
  <c r="W478" i="1"/>
  <c r="W476" i="1"/>
  <c r="W479" i="1"/>
  <c r="W480" i="1"/>
  <c r="W481" i="1"/>
  <c r="W482" i="1"/>
  <c r="W483" i="1"/>
  <c r="W484" i="1"/>
  <c r="W485" i="1"/>
  <c r="W486" i="1"/>
  <c r="W679" i="1"/>
  <c r="W676" i="1"/>
  <c r="W681" i="1"/>
  <c r="W680" i="1"/>
  <c r="W682" i="1"/>
  <c r="W713" i="1"/>
  <c r="W677" i="1"/>
  <c r="W691" i="1"/>
  <c r="W689" i="1"/>
  <c r="W683" i="1"/>
  <c r="W685" i="1"/>
  <c r="W686" i="1"/>
  <c r="W688" i="1"/>
  <c r="W687" i="1"/>
  <c r="W717" i="1"/>
  <c r="W684" i="1"/>
  <c r="W693" i="1"/>
  <c r="W718" i="1"/>
  <c r="W694" i="1"/>
  <c r="W706" i="1"/>
  <c r="W678" i="1"/>
  <c r="W707" i="1"/>
  <c r="W690" i="1"/>
  <c r="W692" i="1"/>
  <c r="W709" i="1"/>
  <c r="W696" i="1"/>
  <c r="W697" i="1"/>
  <c r="W700" i="1"/>
  <c r="W698" i="1"/>
  <c r="W701" i="1"/>
  <c r="W704" i="1"/>
  <c r="W705" i="1"/>
  <c r="W708" i="1"/>
  <c r="W710" i="1"/>
  <c r="W702" i="1"/>
  <c r="W711" i="1"/>
  <c r="W712" i="1"/>
  <c r="W714" i="1"/>
  <c r="W703" i="1"/>
  <c r="W715" i="1"/>
  <c r="W716" i="1"/>
  <c r="W719" i="1"/>
  <c r="W720" i="1"/>
  <c r="W721" i="1"/>
  <c r="W722" i="1"/>
  <c r="W723" i="1"/>
  <c r="W774" i="1"/>
  <c r="W776" i="1"/>
  <c r="W777" i="1"/>
  <c r="W778" i="1"/>
  <c r="W785" i="1"/>
  <c r="W783" i="1"/>
  <c r="W799" i="1"/>
  <c r="W781" i="1"/>
  <c r="W782" i="1"/>
  <c r="W784" i="1"/>
  <c r="W788" i="1"/>
  <c r="W780" i="1"/>
  <c r="W779" i="1"/>
  <c r="W811" i="1"/>
  <c r="W818" i="1"/>
  <c r="W789" i="1"/>
  <c r="W802" i="1"/>
  <c r="W790" i="1"/>
  <c r="W775" i="1"/>
  <c r="W773" i="1"/>
  <c r="W792" i="1"/>
  <c r="W791" i="1"/>
  <c r="W793" i="1"/>
  <c r="W807" i="1"/>
  <c r="W695" i="1"/>
  <c r="W794" i="1"/>
  <c r="W801" i="1"/>
  <c r="W808" i="1"/>
  <c r="W786" i="1"/>
  <c r="W798" i="1"/>
  <c r="W787" i="1"/>
  <c r="W800" i="1"/>
  <c r="W795" i="1"/>
  <c r="W803" i="1"/>
  <c r="W796" i="1"/>
  <c r="W804" i="1"/>
  <c r="W805" i="1"/>
  <c r="W809" i="1"/>
  <c r="W797" i="1"/>
  <c r="W810" i="1"/>
  <c r="W806" i="1"/>
  <c r="W812" i="1"/>
  <c r="W813" i="1"/>
  <c r="W814" i="1"/>
  <c r="W815" i="1"/>
  <c r="W816" i="1"/>
  <c r="W817" i="1"/>
  <c r="W1157" i="1"/>
  <c r="W1158" i="1"/>
  <c r="W1163" i="1"/>
  <c r="W1164" i="1"/>
  <c r="W1165" i="1"/>
  <c r="W1167" i="1"/>
  <c r="W1176" i="1"/>
  <c r="W1193" i="1"/>
  <c r="W1159" i="1"/>
  <c r="W1160" i="1"/>
  <c r="W1190" i="1"/>
  <c r="W1173" i="1"/>
  <c r="W1201" i="1"/>
  <c r="W1178" i="1"/>
  <c r="W1162" i="1"/>
  <c r="W1197" i="1"/>
  <c r="W1187" i="1"/>
  <c r="W1169" i="1"/>
  <c r="W1171" i="1"/>
  <c r="W1166" i="1"/>
  <c r="W1180" i="1"/>
  <c r="W1174" i="1"/>
  <c r="W1168" i="1"/>
  <c r="W1161" i="1"/>
  <c r="W1181" i="1"/>
  <c r="W1175" i="1"/>
  <c r="W1172" i="1"/>
  <c r="W1182" i="1"/>
  <c r="W1198" i="1"/>
  <c r="W1179" i="1"/>
  <c r="W1188" i="1"/>
  <c r="W1184" i="1"/>
  <c r="W1185" i="1"/>
  <c r="W1186" i="1"/>
  <c r="W1189" i="1"/>
  <c r="W1194" i="1"/>
  <c r="W1192" i="1"/>
  <c r="W1195" i="1"/>
  <c r="W1183" i="1"/>
  <c r="W1191" i="1"/>
  <c r="W1177" i="1"/>
  <c r="W1200" i="1"/>
  <c r="W1199" i="1"/>
  <c r="W1196" i="1"/>
  <c r="W1202" i="1"/>
  <c r="W1203" i="1"/>
  <c r="W1205" i="1"/>
  <c r="W1204" i="1"/>
  <c r="W1206" i="1"/>
  <c r="W1400" i="1"/>
  <c r="W1402" i="1"/>
  <c r="W1405" i="1"/>
  <c r="W1407" i="1"/>
  <c r="W1410" i="1"/>
  <c r="W1414" i="1"/>
  <c r="W1418" i="1"/>
  <c r="W1401" i="1"/>
  <c r="W1408" i="1"/>
  <c r="W1411" i="1"/>
  <c r="W1404" i="1"/>
  <c r="W1415" i="1"/>
  <c r="W1406" i="1"/>
  <c r="W1409" i="1"/>
  <c r="W1419" i="1"/>
  <c r="W1413" i="1"/>
  <c r="W1427" i="1"/>
  <c r="W1399" i="1"/>
  <c r="W1433" i="1"/>
  <c r="W1412" i="1"/>
  <c r="W1403" i="1"/>
  <c r="W1426" i="1"/>
  <c r="W1398" i="1"/>
  <c r="W1416" i="1"/>
  <c r="W1423" i="1"/>
  <c r="W1417" i="1"/>
  <c r="W1420" i="1"/>
  <c r="W1422" i="1"/>
  <c r="W1434" i="1"/>
  <c r="W1437" i="1"/>
  <c r="W3" i="1"/>
  <c r="W1425" i="1"/>
  <c r="W1435" i="1"/>
  <c r="W1432" i="1"/>
  <c r="W1421" i="1"/>
  <c r="W1439" i="1"/>
  <c r="W1438" i="1"/>
  <c r="W1430" i="1"/>
  <c r="W1436" i="1"/>
  <c r="W1431" i="1"/>
  <c r="W1424" i="1"/>
  <c r="W1429" i="1"/>
  <c r="W1428" i="1"/>
  <c r="W4" i="1"/>
  <c r="W9" i="1"/>
  <c r="W5" i="1"/>
  <c r="W10" i="1"/>
  <c r="W11" i="1"/>
  <c r="W13" i="1"/>
  <c r="W14" i="1"/>
  <c r="W15" i="1"/>
  <c r="W20" i="1"/>
  <c r="W21" i="1"/>
  <c r="W54" i="1"/>
  <c r="W450" i="1"/>
  <c r="W6" i="1"/>
  <c r="W7" i="1"/>
  <c r="W8" i="1"/>
  <c r="W39" i="1"/>
  <c r="W35" i="1"/>
  <c r="W33" i="1"/>
  <c r="W40" i="1"/>
  <c r="W38" i="1"/>
  <c r="W25" i="1"/>
  <c r="W12" i="1"/>
  <c r="W27" i="1"/>
  <c r="W28" i="1"/>
  <c r="W23" i="1"/>
  <c r="W41" i="1"/>
  <c r="W34" i="1"/>
  <c r="W29" i="1"/>
  <c r="W37" i="1"/>
  <c r="W24" i="1"/>
  <c r="W30" i="1"/>
  <c r="W42" i="1"/>
  <c r="W19" i="1"/>
  <c r="W43" i="1"/>
  <c r="W31" i="1"/>
  <c r="W32" i="1"/>
  <c r="W36" i="1"/>
  <c r="W22" i="1"/>
  <c r="W44" i="1"/>
  <c r="W17" i="1"/>
  <c r="W16" i="1"/>
  <c r="W18" i="1"/>
  <c r="W45" i="1"/>
  <c r="W47" i="1"/>
  <c r="W46" i="1"/>
  <c r="W26" i="1"/>
  <c r="W48" i="1"/>
  <c r="W52" i="1"/>
  <c r="W51" i="1"/>
  <c r="W49" i="1"/>
  <c r="W50" i="1"/>
  <c r="W53" i="1"/>
  <c r="W55" i="1"/>
  <c r="W56" i="1"/>
  <c r="W59" i="1"/>
  <c r="W60" i="1"/>
  <c r="W64" i="1"/>
  <c r="W66" i="1"/>
  <c r="W73" i="1"/>
  <c r="W78" i="1"/>
  <c r="W83" i="1"/>
  <c r="W72" i="1"/>
  <c r="W71" i="1"/>
  <c r="W79" i="1"/>
  <c r="W65" i="1"/>
  <c r="W75" i="1"/>
  <c r="W81" i="1"/>
  <c r="W103" i="1"/>
  <c r="W58" i="1"/>
  <c r="W62" i="1"/>
  <c r="W69" i="1"/>
  <c r="W77" i="1"/>
  <c r="W61" i="1"/>
  <c r="W70" i="1"/>
  <c r="W67" i="1"/>
  <c r="W84" i="1"/>
  <c r="W63" i="1"/>
  <c r="W57" i="1"/>
  <c r="W92" i="1"/>
  <c r="W76" i="1"/>
  <c r="W85" i="1"/>
  <c r="W91" i="1"/>
  <c r="W86" i="1"/>
  <c r="W68" i="1"/>
  <c r="W104" i="1"/>
  <c r="W90" i="1"/>
  <c r="W82" i="1"/>
  <c r="W89" i="1"/>
  <c r="W96" i="1"/>
  <c r="W80" i="1"/>
  <c r="W98" i="1"/>
  <c r="W87" i="1"/>
  <c r="W97" i="1"/>
  <c r="W74" i="1"/>
  <c r="W94" i="1"/>
  <c r="W88" i="1"/>
  <c r="W101" i="1"/>
  <c r="W100" i="1"/>
  <c r="W93" i="1"/>
  <c r="W102" i="1"/>
  <c r="W99" i="1"/>
  <c r="W95" i="1"/>
  <c r="W105" i="1"/>
  <c r="W106" i="1"/>
  <c r="W250" i="1"/>
  <c r="W252" i="1"/>
  <c r="W253" i="1"/>
  <c r="W254" i="1"/>
  <c r="W256" i="1"/>
  <c r="W258" i="1"/>
  <c r="W262" i="1"/>
  <c r="W263" i="1"/>
  <c r="W266" i="1"/>
  <c r="W268" i="1"/>
  <c r="W269" i="1"/>
  <c r="W279" i="1"/>
  <c r="W251" i="1"/>
  <c r="W267" i="1"/>
  <c r="W255" i="1"/>
  <c r="W264" i="1"/>
  <c r="W273" i="1"/>
  <c r="W265" i="1"/>
  <c r="W260" i="1"/>
  <c r="W259" i="1"/>
  <c r="W257" i="1"/>
  <c r="W271" i="1"/>
  <c r="W275" i="1"/>
  <c r="W272" i="1"/>
  <c r="W277" i="1"/>
  <c r="W285" i="1"/>
  <c r="W278" i="1"/>
  <c r="W282" i="1"/>
  <c r="W280" i="1"/>
  <c r="W274" i="1"/>
  <c r="W286" i="1"/>
  <c r="W284" i="1"/>
  <c r="W261" i="1"/>
  <c r="W276" i="1"/>
  <c r="W287" i="1"/>
  <c r="W270" i="1"/>
  <c r="W283" i="1"/>
  <c r="W281" i="1"/>
  <c r="W288" i="1"/>
  <c r="W290" i="1"/>
  <c r="W534" i="1"/>
  <c r="W291" i="1"/>
  <c r="W289" i="1"/>
  <c r="W294" i="1"/>
  <c r="W292" i="1"/>
  <c r="W533" i="1"/>
  <c r="W293" i="1"/>
  <c r="W535" i="1"/>
  <c r="W536" i="1"/>
  <c r="W543" i="1"/>
  <c r="W545" i="1"/>
  <c r="W546" i="1"/>
  <c r="W550" i="1"/>
  <c r="W568" i="1"/>
  <c r="W542" i="1"/>
  <c r="W578" i="1"/>
  <c r="W537" i="1"/>
  <c r="W538" i="1"/>
  <c r="W540" i="1"/>
  <c r="W582" i="1"/>
  <c r="W552" i="1"/>
  <c r="W580" i="1"/>
  <c r="W549" i="1"/>
  <c r="W541" i="1"/>
  <c r="W539" i="1"/>
  <c r="W556" i="1"/>
  <c r="W562" i="1"/>
  <c r="W557" i="1"/>
  <c r="W547" i="1"/>
  <c r="W555" i="1"/>
  <c r="W548" i="1"/>
  <c r="W554" i="1"/>
  <c r="W572" i="1"/>
  <c r="W559" i="1"/>
  <c r="W565" i="1"/>
  <c r="W563" i="1"/>
  <c r="W544" i="1"/>
  <c r="W560" i="1"/>
  <c r="W561" i="1"/>
  <c r="W570" i="1"/>
  <c r="W566" i="1"/>
  <c r="W571" i="1"/>
  <c r="W553" i="1"/>
  <c r="W567" i="1"/>
  <c r="W558" i="1"/>
  <c r="W564" i="1"/>
  <c r="W573" i="1"/>
  <c r="W575" i="1"/>
  <c r="W574" i="1"/>
  <c r="W569" i="1"/>
  <c r="W551" i="1"/>
  <c r="W579" i="1"/>
  <c r="W581" i="1"/>
  <c r="W576" i="1"/>
  <c r="W577" i="1"/>
  <c r="W628" i="1"/>
  <c r="W630" i="1"/>
  <c r="W631" i="1"/>
  <c r="W633" i="1"/>
  <c r="W635" i="1"/>
  <c r="W638" i="1"/>
  <c r="W640" i="1"/>
  <c r="W642" i="1"/>
  <c r="W643" i="1"/>
  <c r="W657" i="1"/>
  <c r="W648" i="1"/>
  <c r="W644" i="1"/>
  <c r="W634" i="1"/>
  <c r="W636" i="1"/>
  <c r="W637" i="1"/>
  <c r="W639" i="1"/>
  <c r="W645" i="1"/>
  <c r="W670" i="1"/>
  <c r="W649" i="1"/>
  <c r="W646" i="1"/>
  <c r="W632" i="1"/>
  <c r="W659" i="1"/>
  <c r="D35" i="16" s="1"/>
  <c r="W629" i="1"/>
  <c r="W653" i="1"/>
  <c r="W658" i="1"/>
  <c r="W647" i="1"/>
  <c r="W654" i="1"/>
  <c r="W641" i="1"/>
  <c r="W662" i="1"/>
  <c r="W656" i="1"/>
  <c r="W650" i="1"/>
  <c r="W651" i="1"/>
  <c r="W663" i="1"/>
  <c r="W664" i="1"/>
  <c r="W665" i="1"/>
  <c r="W652" i="1"/>
  <c r="W655" i="1"/>
  <c r="W667" i="1"/>
  <c r="W666" i="1"/>
  <c r="W660" i="1"/>
  <c r="W661" i="1"/>
  <c r="W668" i="1"/>
  <c r="W671" i="1"/>
  <c r="W669" i="1"/>
  <c r="W672" i="1"/>
  <c r="W673" i="1"/>
  <c r="W674" i="1"/>
  <c r="W675" i="1"/>
  <c r="W1109" i="1"/>
  <c r="W1112" i="1"/>
  <c r="W1113" i="1"/>
  <c r="W1116" i="1"/>
  <c r="W1115" i="1"/>
  <c r="W1118" i="1"/>
  <c r="W1119" i="1"/>
  <c r="W1125" i="1"/>
  <c r="W1121" i="1"/>
  <c r="W1126" i="1"/>
  <c r="W1127" i="1"/>
  <c r="W1148" i="1"/>
  <c r="W1152" i="1"/>
  <c r="W1108" i="1"/>
  <c r="W1111" i="1"/>
  <c r="W1117" i="1"/>
  <c r="W1154" i="1"/>
  <c r="W1120" i="1"/>
  <c r="W1114" i="1"/>
  <c r="W1124" i="1"/>
  <c r="W1129" i="1"/>
  <c r="W1110" i="1"/>
  <c r="W1153" i="1"/>
  <c r="W1123" i="1"/>
  <c r="W1128" i="1"/>
  <c r="W1130" i="1"/>
  <c r="W1131" i="1"/>
  <c r="W1136" i="1"/>
  <c r="W1122" i="1"/>
  <c r="W1132" i="1"/>
  <c r="W1139" i="1"/>
  <c r="W1140" i="1"/>
  <c r="W1133" i="1"/>
  <c r="W1144" i="1"/>
  <c r="W1141" i="1"/>
  <c r="W1145" i="1"/>
  <c r="W1137" i="1"/>
  <c r="W1142" i="1"/>
  <c r="W1146" i="1"/>
  <c r="W1134" i="1"/>
  <c r="W1143" i="1"/>
  <c r="W1135" i="1"/>
  <c r="W1149" i="1"/>
  <c r="W1304" i="1"/>
  <c r="W1303" i="1"/>
  <c r="W1150" i="1"/>
  <c r="W1156" i="1"/>
  <c r="W1151" i="1"/>
  <c r="W1138" i="1"/>
  <c r="W1155" i="1"/>
  <c r="W1147" i="1"/>
  <c r="W1307" i="1"/>
  <c r="W1311" i="1"/>
  <c r="W1312" i="1"/>
  <c r="W1313" i="1"/>
  <c r="W1314" i="1"/>
  <c r="W1318" i="1"/>
  <c r="W1321" i="1"/>
  <c r="W1324" i="1"/>
  <c r="W1325" i="1"/>
  <c r="W1322" i="1"/>
  <c r="W1323" i="1"/>
  <c r="W1340" i="1"/>
  <c r="W1347" i="1"/>
  <c r="W1308" i="1"/>
  <c r="W1315" i="1"/>
  <c r="W1306" i="1"/>
  <c r="W1330" i="1"/>
  <c r="W1320" i="1"/>
  <c r="W1319" i="1"/>
  <c r="W1316" i="1"/>
  <c r="W1317" i="1"/>
  <c r="W1338" i="1"/>
  <c r="W1309" i="1"/>
  <c r="W1305" i="1"/>
  <c r="W1328" i="1"/>
  <c r="W1332" i="1"/>
  <c r="W1329" i="1"/>
  <c r="W1334" i="1"/>
  <c r="W1327" i="1"/>
  <c r="W1336" i="1"/>
  <c r="W1310" i="1"/>
  <c r="W1333" i="1"/>
  <c r="W1335" i="1"/>
  <c r="W1331" i="1"/>
  <c r="W1326" i="1"/>
  <c r="W1339" i="1"/>
  <c r="W1341" i="1"/>
  <c r="W1346" i="1"/>
  <c r="W1344" i="1"/>
  <c r="W1337" i="1"/>
  <c r="W1343" i="1"/>
  <c r="W1342" i="1"/>
  <c r="W1352" i="1"/>
  <c r="W1351" i="1"/>
  <c r="W1348" i="1"/>
  <c r="W1349" i="1"/>
  <c r="W1345" i="1"/>
  <c r="W1361" i="1"/>
  <c r="W1353" i="1"/>
  <c r="W1355" i="1"/>
  <c r="W1354" i="1"/>
  <c r="W1356" i="1"/>
  <c r="W1357" i="1"/>
  <c r="W1358" i="1"/>
  <c r="W1364" i="1"/>
  <c r="W1366" i="1"/>
  <c r="W1368" i="1"/>
  <c r="W1370" i="1"/>
  <c r="W1381" i="1"/>
  <c r="W1387" i="1"/>
  <c r="W1362" i="1"/>
  <c r="W1367" i="1"/>
  <c r="W1388" i="1"/>
  <c r="W1365" i="1"/>
  <c r="W1369" i="1"/>
  <c r="W1359" i="1"/>
  <c r="W1360" i="1"/>
  <c r="W1350" i="1"/>
  <c r="W1376" i="1"/>
  <c r="W1389" i="1"/>
  <c r="W1375" i="1"/>
  <c r="W1373" i="1"/>
  <c r="W1378" i="1"/>
  <c r="W1371" i="1"/>
  <c r="W1363" i="1"/>
  <c r="W1382" i="1"/>
  <c r="W1377" i="1"/>
  <c r="W1372" i="1"/>
  <c r="W1380" i="1"/>
  <c r="W1383" i="1"/>
  <c r="W1384" i="1"/>
  <c r="W1379" i="1"/>
  <c r="W1385" i="1"/>
  <c r="W1374" i="1"/>
  <c r="W1390" i="1"/>
  <c r="W1386" i="1"/>
  <c r="W107" i="1"/>
  <c r="D35" i="20" l="1"/>
  <c r="H3" i="12"/>
  <c r="H4" i="12"/>
  <c r="H5" i="12"/>
  <c r="H6" i="12"/>
  <c r="H7" i="12"/>
  <c r="H8" i="12"/>
  <c r="H9" i="12"/>
  <c r="H10" i="12"/>
  <c r="H11" i="12"/>
  <c r="H12" i="12"/>
  <c r="H13" i="12"/>
  <c r="H14" i="12"/>
  <c r="H15" i="12"/>
  <c r="H16" i="12"/>
  <c r="H17" i="12"/>
  <c r="H18" i="12"/>
  <c r="H19" i="12"/>
  <c r="H20" i="12"/>
  <c r="H21" i="12"/>
  <c r="H22" i="12"/>
  <c r="H2" i="12"/>
  <c r="G3" i="12"/>
  <c r="G4" i="12"/>
  <c r="G5" i="12"/>
  <c r="G6" i="12"/>
  <c r="G7" i="12"/>
  <c r="G8" i="12"/>
  <c r="G9" i="12"/>
  <c r="G10" i="12"/>
  <c r="G11" i="12"/>
  <c r="G12" i="12"/>
  <c r="G13" i="12"/>
  <c r="G14" i="12"/>
  <c r="G15" i="12"/>
  <c r="G16" i="12"/>
  <c r="G17" i="12"/>
  <c r="G18" i="12"/>
  <c r="G19" i="12"/>
  <c r="G20" i="12"/>
  <c r="G21" i="12"/>
  <c r="G22" i="12"/>
  <c r="F3" i="12"/>
  <c r="F4" i="12"/>
  <c r="F5" i="12"/>
  <c r="F6" i="12"/>
  <c r="F7" i="12"/>
  <c r="F8" i="12"/>
  <c r="F9" i="12"/>
  <c r="F10" i="12"/>
  <c r="F11" i="12"/>
  <c r="F12" i="12"/>
  <c r="F13" i="12"/>
  <c r="F14" i="12"/>
  <c r="F15" i="12"/>
  <c r="F16" i="12"/>
  <c r="F17" i="12"/>
  <c r="F18" i="12"/>
  <c r="F19" i="12"/>
  <c r="F20" i="12"/>
  <c r="F21" i="12"/>
  <c r="F22" i="12"/>
  <c r="E3" i="12"/>
  <c r="E4" i="12"/>
  <c r="E5" i="12"/>
  <c r="E6" i="12"/>
  <c r="E7" i="12"/>
  <c r="E8" i="12"/>
  <c r="E9" i="12"/>
  <c r="E10" i="12"/>
  <c r="E11" i="12"/>
  <c r="E12" i="12"/>
  <c r="E13" i="12"/>
  <c r="E14" i="12"/>
  <c r="E15" i="12"/>
  <c r="E16" i="12"/>
  <c r="E17" i="12"/>
  <c r="E18" i="12"/>
  <c r="E19" i="12"/>
  <c r="E20" i="12"/>
  <c r="E21" i="12"/>
  <c r="E22" i="12"/>
  <c r="E29" i="12"/>
  <c r="D3" i="12"/>
  <c r="D4" i="12"/>
  <c r="D5" i="12"/>
  <c r="D6" i="12"/>
  <c r="D7" i="12"/>
  <c r="D8" i="12"/>
  <c r="D9" i="12"/>
  <c r="D10" i="12"/>
  <c r="D11" i="12"/>
  <c r="D12" i="12"/>
  <c r="D13" i="12"/>
  <c r="D14" i="12"/>
  <c r="D15" i="12"/>
  <c r="D16" i="12"/>
  <c r="D17" i="12"/>
  <c r="D18" i="12"/>
  <c r="D19" i="12"/>
  <c r="D20" i="12"/>
  <c r="D21" i="12"/>
  <c r="D22" i="12"/>
  <c r="C3" i="12"/>
  <c r="C4" i="12"/>
  <c r="C5" i="12"/>
  <c r="C6" i="12"/>
  <c r="C7" i="12"/>
  <c r="C8" i="12"/>
  <c r="C9" i="12"/>
  <c r="C10" i="12"/>
  <c r="C11" i="12"/>
  <c r="C12" i="12"/>
  <c r="C13" i="12"/>
  <c r="C14" i="12"/>
  <c r="C15" i="12"/>
  <c r="C16" i="12"/>
  <c r="C17" i="12"/>
  <c r="C18" i="12"/>
  <c r="C19" i="12"/>
  <c r="C20" i="12"/>
  <c r="C21" i="12"/>
  <c r="C22" i="12"/>
  <c r="B3" i="12"/>
  <c r="B4" i="12"/>
  <c r="B5" i="12"/>
  <c r="B6" i="12"/>
  <c r="B7" i="12"/>
  <c r="B8" i="12"/>
  <c r="B9" i="12"/>
  <c r="B10" i="12"/>
  <c r="B11" i="12"/>
  <c r="B12" i="12"/>
  <c r="B13" i="12"/>
  <c r="B14" i="12"/>
  <c r="B15" i="12"/>
  <c r="B16" i="12"/>
  <c r="B17" i="12"/>
  <c r="B18" i="12"/>
  <c r="B19" i="12"/>
  <c r="B20" i="12"/>
  <c r="B21" i="12"/>
  <c r="B22" i="12"/>
  <c r="A13" i="12"/>
  <c r="B13" i="3" l="1"/>
  <c r="G2" i="12" l="1"/>
  <c r="F2" i="12"/>
  <c r="E2" i="12"/>
  <c r="D2" i="12"/>
  <c r="C2" i="12"/>
  <c r="B2" i="12"/>
  <c r="A2" i="12"/>
  <c r="A3" i="12"/>
  <c r="A4" i="12"/>
  <c r="A5" i="12"/>
  <c r="A6" i="12"/>
  <c r="A7" i="12"/>
  <c r="A8" i="12"/>
  <c r="A9" i="12"/>
  <c r="A10" i="12"/>
  <c r="A11" i="12"/>
  <c r="A12" i="12"/>
  <c r="A14" i="12"/>
  <c r="A15" i="12"/>
  <c r="A16" i="12"/>
  <c r="A17" i="12"/>
  <c r="A18" i="12"/>
  <c r="A19" i="12"/>
  <c r="A20" i="12"/>
  <c r="A21" i="12"/>
  <c r="F29" i="29" l="1"/>
  <c r="F27" i="29"/>
  <c r="F25" i="29"/>
  <c r="F23" i="29"/>
  <c r="F21" i="29"/>
  <c r="F19" i="29"/>
  <c r="F17" i="29"/>
  <c r="F15" i="29"/>
  <c r="F13" i="29"/>
  <c r="F11" i="29"/>
  <c r="F9" i="29"/>
  <c r="F7" i="29"/>
  <c r="F5" i="29"/>
  <c r="F30" i="29"/>
  <c r="F28" i="29"/>
  <c r="F26" i="29"/>
  <c r="F24" i="29"/>
  <c r="F22" i="29"/>
  <c r="F20" i="29"/>
  <c r="F18" i="29"/>
  <c r="F16" i="29"/>
  <c r="F14" i="29"/>
  <c r="F12" i="29"/>
  <c r="F10" i="29"/>
  <c r="F8" i="29"/>
  <c r="F6" i="29"/>
  <c r="F4" i="29"/>
  <c r="F3" i="29"/>
  <c r="F35" i="29"/>
  <c r="G4" i="19"/>
  <c r="G14" i="16"/>
  <c r="G24" i="21"/>
  <c r="G8" i="22"/>
  <c r="G18" i="20"/>
  <c r="G28" i="17"/>
  <c r="G12" i="16"/>
  <c r="G22" i="21"/>
  <c r="G6" i="22"/>
  <c r="G24" i="20"/>
  <c r="G10" i="17"/>
  <c r="G13" i="22"/>
  <c r="G23" i="20"/>
  <c r="G7" i="19"/>
  <c r="G17" i="16"/>
  <c r="G27" i="21"/>
  <c r="G11" i="22"/>
  <c r="G21" i="20"/>
  <c r="G5" i="19"/>
  <c r="G15" i="16"/>
  <c r="G26" i="17"/>
  <c r="G28" i="19"/>
  <c r="G11" i="20"/>
  <c r="G21" i="17"/>
  <c r="G5" i="16"/>
  <c r="G15" i="21"/>
  <c r="G26" i="19"/>
  <c r="G9" i="20"/>
  <c r="G19" i="17"/>
  <c r="G30" i="22"/>
  <c r="G9" i="21"/>
  <c r="G10" i="16"/>
  <c r="G20" i="21"/>
  <c r="G4" i="22"/>
  <c r="G14" i="20"/>
  <c r="G24" i="17"/>
  <c r="G8" i="16"/>
  <c r="G18" i="21"/>
  <c r="G29" i="19"/>
  <c r="G16" i="20"/>
  <c r="G29" i="21"/>
  <c r="G20" i="19"/>
  <c r="G30" i="16"/>
  <c r="G13" i="17"/>
  <c r="G24" i="22"/>
  <c r="G7" i="21"/>
  <c r="G18" i="19"/>
  <c r="G28" i="16"/>
  <c r="G11" i="17"/>
  <c r="G22" i="22"/>
  <c r="G21" i="21"/>
  <c r="G30" i="17"/>
  <c r="G29" i="22"/>
  <c r="G12" i="21"/>
  <c r="G23" i="19"/>
  <c r="G6" i="20"/>
  <c r="G16" i="17"/>
  <c r="G27" i="22"/>
  <c r="G10" i="21"/>
  <c r="G21" i="19"/>
  <c r="G4" i="20"/>
  <c r="G5" i="21"/>
  <c r="G17" i="22"/>
  <c r="G27" i="20"/>
  <c r="G11" i="19"/>
  <c r="G21" i="16"/>
  <c r="G4" i="17"/>
  <c r="G15" i="22"/>
  <c r="G25" i="20"/>
  <c r="G9" i="19"/>
  <c r="G19" i="16"/>
  <c r="G16" i="19"/>
  <c r="G26" i="16"/>
  <c r="G9" i="17"/>
  <c r="G30" i="20"/>
  <c r="G24" i="16"/>
  <c r="G18" i="22"/>
  <c r="G6" i="17"/>
  <c r="G9" i="22"/>
  <c r="G19" i="20"/>
  <c r="G29" i="17"/>
  <c r="G13" i="16"/>
  <c r="G23" i="21"/>
  <c r="G7" i="22"/>
  <c r="G17" i="20"/>
  <c r="G27" i="17"/>
  <c r="G11" i="16"/>
  <c r="G18" i="17"/>
  <c r="G8" i="19"/>
  <c r="G18" i="16"/>
  <c r="G28" i="21"/>
  <c r="G12" i="22"/>
  <c r="G22" i="20"/>
  <c r="G6" i="19"/>
  <c r="G16" i="16"/>
  <c r="G26" i="21"/>
  <c r="G10" i="22"/>
  <c r="G28" i="20"/>
  <c r="G22" i="17"/>
  <c r="G6" i="16"/>
  <c r="G16" i="21"/>
  <c r="G27" i="19"/>
  <c r="G10" i="20"/>
  <c r="G20" i="17"/>
  <c r="G4" i="16"/>
  <c r="G14" i="21"/>
  <c r="G25" i="19"/>
  <c r="G8" i="20"/>
  <c r="G5" i="22"/>
  <c r="G15" i="20"/>
  <c r="G25" i="17"/>
  <c r="G9" i="16"/>
  <c r="G19" i="21"/>
  <c r="G30" i="19"/>
  <c r="G13" i="20"/>
  <c r="G23" i="17"/>
  <c r="G7" i="16"/>
  <c r="G14" i="17"/>
  <c r="G14" i="19"/>
  <c r="G17" i="21"/>
  <c r="G25" i="22"/>
  <c r="G8" i="21"/>
  <c r="G19" i="19"/>
  <c r="G29" i="16"/>
  <c r="G12" i="17"/>
  <c r="G23" i="22"/>
  <c r="G6" i="21"/>
  <c r="G17" i="19"/>
  <c r="G27" i="16"/>
  <c r="G20" i="20"/>
  <c r="G24" i="19"/>
  <c r="G7" i="20"/>
  <c r="G17" i="17"/>
  <c r="G28" i="22"/>
  <c r="G11" i="21"/>
  <c r="G22" i="19"/>
  <c r="G5" i="20"/>
  <c r="G15" i="17"/>
  <c r="G26" i="22"/>
  <c r="G25" i="21"/>
  <c r="G12" i="19"/>
  <c r="G22" i="16"/>
  <c r="G5" i="17"/>
  <c r="G16" i="22"/>
  <c r="G26" i="20"/>
  <c r="G10" i="19"/>
  <c r="G20" i="16"/>
  <c r="G30" i="21"/>
  <c r="G14" i="22"/>
  <c r="G13" i="21"/>
  <c r="G21" i="22"/>
  <c r="G4" i="21"/>
  <c r="G15" i="19"/>
  <c r="G25" i="16"/>
  <c r="G8" i="17"/>
  <c r="G19" i="22"/>
  <c r="G29" i="20"/>
  <c r="G13" i="19"/>
  <c r="G23" i="16"/>
  <c r="G12" i="20"/>
  <c r="G20" i="22"/>
  <c r="G7" i="17"/>
  <c r="G3" i="16"/>
  <c r="G3" i="20"/>
  <c r="G3" i="17"/>
  <c r="G3" i="21"/>
  <c r="G3" i="19"/>
  <c r="G3" i="22"/>
  <c r="G4" i="24"/>
  <c r="G20" i="24"/>
  <c r="G7" i="24"/>
  <c r="G23" i="24"/>
  <c r="G6" i="24"/>
  <c r="G22" i="24"/>
  <c r="G9" i="24"/>
  <c r="G28" i="18"/>
  <c r="G12" i="18"/>
  <c r="G25" i="18"/>
  <c r="G9" i="18"/>
  <c r="G23" i="18"/>
  <c r="G30" i="18"/>
  <c r="G14" i="18"/>
  <c r="G19" i="24"/>
  <c r="G29" i="24"/>
  <c r="G16" i="18"/>
  <c r="G11" i="18"/>
  <c r="G8" i="24"/>
  <c r="G24" i="24"/>
  <c r="G11" i="24"/>
  <c r="G27" i="24"/>
  <c r="G10" i="24"/>
  <c r="G26" i="24"/>
  <c r="G17" i="24"/>
  <c r="G24" i="18"/>
  <c r="G8" i="18"/>
  <c r="G21" i="18"/>
  <c r="G5" i="18"/>
  <c r="G19" i="18"/>
  <c r="G26" i="18"/>
  <c r="G6" i="18"/>
  <c r="G22" i="18"/>
  <c r="G16" i="24"/>
  <c r="G3" i="24"/>
  <c r="G18" i="24"/>
  <c r="G29" i="18"/>
  <c r="G13" i="18"/>
  <c r="G18" i="18"/>
  <c r="G12" i="24"/>
  <c r="G28" i="24"/>
  <c r="G15" i="24"/>
  <c r="G25" i="24"/>
  <c r="G14" i="24"/>
  <c r="G30" i="24"/>
  <c r="G21" i="24"/>
  <c r="G20" i="18"/>
  <c r="G4" i="18"/>
  <c r="G17" i="18"/>
  <c r="G10" i="18"/>
  <c r="G15" i="18"/>
  <c r="G7" i="18"/>
  <c r="G13" i="24"/>
  <c r="G5" i="24"/>
  <c r="G27" i="18"/>
  <c r="K427" i="1"/>
  <c r="F17" i="21" s="1"/>
  <c r="G3" i="18"/>
  <c r="K1426" i="1"/>
  <c r="G35" i="19"/>
  <c r="G35" i="17"/>
  <c r="G35" i="24"/>
  <c r="G35" i="18"/>
  <c r="G35" i="21"/>
  <c r="G35" i="16"/>
  <c r="G35" i="20"/>
  <c r="G35" i="22"/>
  <c r="K325" i="1"/>
  <c r="K1112" i="1"/>
  <c r="K476" i="1"/>
  <c r="K973" i="1"/>
  <c r="K1277" i="1"/>
  <c r="K1137" i="1"/>
  <c r="K395" i="1"/>
  <c r="K663" i="1"/>
  <c r="K269" i="1"/>
  <c r="K452" i="1"/>
  <c r="K430" i="1"/>
  <c r="K509" i="1"/>
  <c r="K1304" i="1"/>
  <c r="K47" i="1"/>
  <c r="K567" i="1"/>
  <c r="K672" i="1"/>
  <c r="K1037" i="1"/>
  <c r="K938" i="1"/>
  <c r="K1105" i="1"/>
  <c r="K1005" i="1"/>
  <c r="K1235" i="1"/>
  <c r="K282" i="1"/>
  <c r="K695" i="1"/>
  <c r="K1435" i="1"/>
  <c r="K518" i="1"/>
  <c r="F9" i="16" s="1"/>
  <c r="K717" i="1"/>
  <c r="K175" i="1"/>
  <c r="K540" i="1"/>
  <c r="K327" i="1"/>
  <c r="F10" i="18" s="1"/>
  <c r="K369" i="1"/>
  <c r="K949" i="1"/>
  <c r="K618" i="1"/>
  <c r="K107" i="1"/>
  <c r="K910" i="1"/>
  <c r="K59" i="1"/>
  <c r="F40" i="21" s="1"/>
  <c r="K1423" i="1"/>
  <c r="K78" i="1"/>
  <c r="K135" i="1"/>
  <c r="K1365" i="1"/>
  <c r="K519" i="1"/>
  <c r="F6" i="19" s="1"/>
  <c r="K1172" i="1"/>
  <c r="F19" i="19" s="1"/>
  <c r="K1156" i="1"/>
  <c r="K1428" i="1"/>
  <c r="K1274" i="1"/>
  <c r="K134" i="1"/>
  <c r="K256" i="1"/>
  <c r="K462" i="1"/>
  <c r="K1260" i="1"/>
  <c r="K1320" i="1"/>
  <c r="F46" i="16" s="1"/>
  <c r="K1073" i="1"/>
  <c r="K87" i="1"/>
  <c r="K1131" i="1"/>
  <c r="K718" i="1"/>
  <c r="K783" i="1"/>
  <c r="K5" i="1"/>
  <c r="K1392" i="1"/>
  <c r="K1022" i="1"/>
  <c r="K855" i="1"/>
  <c r="K1430" i="1"/>
  <c r="K191" i="1"/>
  <c r="K1190" i="1"/>
  <c r="K1162" i="1"/>
  <c r="K1343" i="1"/>
  <c r="K629" i="1"/>
  <c r="K1475" i="1"/>
  <c r="K295" i="1"/>
  <c r="F48" i="16" s="1"/>
  <c r="K197" i="1"/>
  <c r="K768" i="1"/>
  <c r="K323" i="1"/>
  <c r="K15" i="1"/>
  <c r="F14" i="24" s="1"/>
  <c r="K773" i="1"/>
  <c r="F13" i="22" s="1"/>
  <c r="K20" i="1"/>
  <c r="K312" i="1"/>
  <c r="K522" i="1"/>
  <c r="K1456" i="1"/>
  <c r="K1125" i="1"/>
  <c r="K140" i="1"/>
  <c r="K387" i="1"/>
  <c r="K660" i="1"/>
  <c r="K586" i="1"/>
  <c r="K453" i="1"/>
  <c r="K939" i="1"/>
  <c r="K1272" i="1"/>
  <c r="F19" i="16" s="1"/>
  <c r="K1086" i="1"/>
  <c r="K978" i="1"/>
  <c r="K103" i="1"/>
  <c r="F25" i="21" s="1"/>
  <c r="K1205" i="1"/>
  <c r="K169" i="1"/>
  <c r="K1335" i="1"/>
  <c r="K1170" i="1"/>
  <c r="K1093" i="1"/>
  <c r="K438" i="1"/>
  <c r="K423" i="1"/>
  <c r="K1339" i="1"/>
  <c r="K367" i="1"/>
  <c r="K617" i="1"/>
  <c r="K1008" i="1"/>
  <c r="K693" i="1"/>
  <c r="K370" i="1"/>
  <c r="K1389" i="1"/>
  <c r="K1441" i="1"/>
  <c r="K1349" i="1"/>
  <c r="K1246" i="1"/>
  <c r="F6" i="22" s="1"/>
  <c r="K1466" i="1"/>
  <c r="K263" i="1"/>
  <c r="K483" i="1"/>
  <c r="F8" i="16" s="1"/>
  <c r="K405" i="1"/>
  <c r="K640" i="1"/>
  <c r="F43" i="16" s="1"/>
  <c r="K624" i="1"/>
  <c r="K69" i="1"/>
  <c r="K884" i="1"/>
  <c r="K918" i="1"/>
  <c r="F26" i="21" s="1"/>
  <c r="K1211" i="1"/>
  <c r="F23" i="16" s="1"/>
  <c r="K1120" i="1"/>
  <c r="K1054" i="1"/>
  <c r="K303" i="1"/>
  <c r="K956" i="1"/>
  <c r="K24" i="1"/>
  <c r="K1070" i="1"/>
  <c r="K714" i="1"/>
  <c r="F8" i="17" s="1"/>
  <c r="K722" i="1"/>
  <c r="F12" i="24" s="1"/>
  <c r="K457" i="1"/>
  <c r="K760" i="1"/>
  <c r="F10" i="22" s="1"/>
  <c r="K1385" i="1"/>
  <c r="K1471" i="1"/>
  <c r="K1355" i="1"/>
  <c r="K895" i="1"/>
  <c r="K415" i="1"/>
  <c r="K479" i="1"/>
  <c r="K1138" i="1"/>
  <c r="K1025" i="1"/>
  <c r="K528" i="1"/>
  <c r="K237" i="1"/>
  <c r="F12" i="16" s="1"/>
  <c r="K915" i="1"/>
  <c r="K366" i="1"/>
  <c r="K167" i="1"/>
  <c r="K65" i="1"/>
  <c r="K227" i="1"/>
  <c r="K1184" i="1"/>
  <c r="K514" i="1"/>
  <c r="K1334" i="1"/>
  <c r="K1416" i="1"/>
  <c r="K827" i="1"/>
  <c r="K425" i="1"/>
  <c r="F23" i="21" s="1"/>
  <c r="K1202" i="1"/>
  <c r="K159" i="1"/>
  <c r="K1078" i="1"/>
  <c r="K48" i="1"/>
  <c r="K548" i="1"/>
  <c r="K311" i="1"/>
  <c r="K106" i="1"/>
  <c r="K574" i="1"/>
  <c r="F13" i="19" s="1"/>
  <c r="K794" i="1"/>
  <c r="K1110" i="1"/>
  <c r="K1134" i="1"/>
  <c r="K1366" i="1"/>
  <c r="K990" i="1"/>
  <c r="K285" i="1"/>
  <c r="K378" i="1"/>
  <c r="F9" i="24" s="1"/>
  <c r="K1183" i="1"/>
  <c r="K723" i="1"/>
  <c r="F6" i="24" s="1"/>
  <c r="K39" i="1"/>
  <c r="K1104" i="1"/>
  <c r="K440" i="1"/>
  <c r="K302" i="1"/>
  <c r="K675" i="1"/>
  <c r="K1177" i="1"/>
  <c r="K642" i="1"/>
  <c r="K1434" i="1"/>
  <c r="K1279" i="1"/>
  <c r="K1447" i="1"/>
  <c r="F20" i="16" s="1"/>
  <c r="K730" i="1"/>
  <c r="K219" i="1"/>
  <c r="K1127" i="1"/>
  <c r="K602" i="1"/>
  <c r="K202" i="1"/>
  <c r="K68" i="1"/>
  <c r="K1462" i="1"/>
  <c r="K277" i="1"/>
  <c r="K807" i="1"/>
  <c r="K1474" i="1"/>
  <c r="K420" i="1"/>
  <c r="F11" i="18" s="1"/>
  <c r="K437" i="1"/>
  <c r="K1281" i="1"/>
  <c r="K1061" i="1"/>
  <c r="K1045" i="1"/>
  <c r="F3" i="19" s="1"/>
  <c r="K859" i="1"/>
  <c r="K1063" i="1"/>
  <c r="K819" i="1"/>
  <c r="K601" i="1"/>
  <c r="K99" i="1"/>
  <c r="K391" i="1"/>
  <c r="F23" i="17" s="1"/>
  <c r="K1350" i="1"/>
  <c r="F4" i="19" s="1"/>
  <c r="K1100" i="1"/>
  <c r="F21" i="16" s="1"/>
  <c r="K331" i="1"/>
  <c r="F18" i="19" s="1"/>
  <c r="K1167" i="1"/>
  <c r="K338" i="1"/>
  <c r="F24" i="24" s="1"/>
  <c r="K1052" i="1"/>
  <c r="K801" i="1"/>
  <c r="K1080" i="1"/>
  <c r="K25" i="1"/>
  <c r="K632" i="1"/>
  <c r="K1431" i="1"/>
  <c r="K1011" i="1"/>
  <c r="K1364" i="1"/>
  <c r="K226" i="1"/>
  <c r="K1448" i="1"/>
  <c r="K688" i="1"/>
  <c r="K745" i="1"/>
  <c r="K1123" i="1"/>
  <c r="K398" i="1"/>
  <c r="K1020" i="1"/>
  <c r="F47" i="16" s="1"/>
  <c r="K350" i="1"/>
  <c r="K861" i="1"/>
  <c r="K678" i="1"/>
  <c r="F46" i="19" s="1"/>
  <c r="K1230" i="1"/>
  <c r="K1072" i="1"/>
  <c r="K144" i="1"/>
  <c r="K313" i="1"/>
  <c r="K299" i="1"/>
  <c r="K1111" i="1"/>
  <c r="K28" i="1"/>
  <c r="K126" i="1"/>
  <c r="K1181" i="1"/>
  <c r="K139" i="1"/>
  <c r="K967" i="1"/>
  <c r="K1353" i="1"/>
  <c r="K53" i="1"/>
  <c r="F12" i="22" s="1"/>
  <c r="K526" i="1"/>
  <c r="K823" i="1"/>
  <c r="F48" i="21" s="1"/>
  <c r="K994" i="1"/>
  <c r="K138" i="1"/>
  <c r="K304" i="1"/>
  <c r="K128" i="1"/>
  <c r="K44" i="1"/>
  <c r="K667" i="1"/>
  <c r="K530" i="1"/>
  <c r="K145" i="1"/>
  <c r="K1379" i="1"/>
  <c r="K1387" i="1"/>
  <c r="K1148" i="1"/>
  <c r="K320" i="1"/>
  <c r="K1305" i="1"/>
  <c r="K1401" i="1"/>
  <c r="K734" i="1"/>
  <c r="K1004" i="1"/>
  <c r="F43" i="22" s="1"/>
  <c r="K1206" i="1"/>
  <c r="F43" i="24" s="1"/>
  <c r="K258" i="1"/>
  <c r="K349" i="1"/>
  <c r="K1165" i="1"/>
  <c r="K890" i="1"/>
  <c r="K785" i="1"/>
  <c r="K1382" i="1"/>
  <c r="K419" i="1"/>
  <c r="K1223" i="1"/>
  <c r="K58" i="1"/>
  <c r="K1377" i="1"/>
  <c r="K334" i="1"/>
  <c r="K236" i="1"/>
  <c r="K1149" i="1"/>
  <c r="F3" i="17" s="1"/>
  <c r="K775" i="1"/>
  <c r="F22" i="17" s="1"/>
  <c r="K489" i="1"/>
  <c r="K592" i="1"/>
  <c r="K977" i="1"/>
  <c r="K1068" i="1"/>
  <c r="K1213" i="1"/>
  <c r="K1381" i="1"/>
  <c r="K917" i="1"/>
  <c r="F43" i="21" s="1"/>
  <c r="K137" i="1"/>
  <c r="K508" i="1"/>
  <c r="F40" i="17" s="1"/>
  <c r="K1094" i="1"/>
  <c r="F20" i="21" s="1"/>
  <c r="K443" i="1"/>
  <c r="K1313" i="1"/>
  <c r="F43" i="19" s="1"/>
  <c r="K770" i="1"/>
  <c r="K1373" i="1"/>
  <c r="K458" i="1"/>
  <c r="K887" i="1"/>
  <c r="K203" i="1"/>
  <c r="K60" i="1"/>
  <c r="K670" i="1"/>
  <c r="F22" i="19" s="1"/>
  <c r="K682" i="1"/>
  <c r="K12" i="1"/>
  <c r="K1266" i="1"/>
  <c r="K424" i="1"/>
  <c r="F18" i="22" s="1"/>
  <c r="K243" i="1"/>
  <c r="F7" i="16" s="1"/>
  <c r="K409" i="1"/>
  <c r="K1216" i="1"/>
  <c r="K1346" i="1"/>
  <c r="F21" i="18" s="1"/>
  <c r="K940" i="1"/>
  <c r="K1035" i="1"/>
  <c r="K272" i="1"/>
  <c r="K143" i="1"/>
  <c r="K1470" i="1"/>
  <c r="K725" i="1"/>
  <c r="F25" i="18" s="1"/>
  <c r="K215" i="1"/>
  <c r="K727" i="1"/>
  <c r="K833" i="1"/>
  <c r="K1006" i="1"/>
  <c r="K1479" i="1"/>
  <c r="F6" i="17" s="1"/>
  <c r="K686" i="1"/>
  <c r="K834" i="1"/>
  <c r="K585" i="1"/>
  <c r="F45" i="19" s="1"/>
  <c r="K685" i="1"/>
  <c r="K361" i="1"/>
  <c r="K907" i="1"/>
  <c r="K505" i="1"/>
  <c r="K874" i="1"/>
  <c r="K224" i="1"/>
  <c r="K431" i="1"/>
  <c r="K1126" i="1"/>
  <c r="K684" i="1"/>
  <c r="K879" i="1"/>
  <c r="K614" i="1"/>
  <c r="K820" i="1"/>
  <c r="K862" i="1"/>
  <c r="K1163" i="1"/>
  <c r="F45" i="21" s="1"/>
  <c r="K305" i="1"/>
  <c r="K1229" i="1"/>
  <c r="K746" i="1"/>
  <c r="K531" i="1"/>
  <c r="K572" i="1"/>
  <c r="K793" i="1"/>
  <c r="K700" i="1"/>
  <c r="K152" i="1"/>
  <c r="K441" i="1"/>
  <c r="F49" i="16" s="1"/>
  <c r="K928" i="1"/>
  <c r="K482" i="1"/>
  <c r="K558" i="1"/>
  <c r="K257" i="1"/>
  <c r="K343" i="1"/>
  <c r="K1146" i="1"/>
  <c r="F15" i="22" s="1"/>
  <c r="K1421" i="1"/>
  <c r="K751" i="1"/>
  <c r="K542" i="1"/>
  <c r="K936" i="1"/>
  <c r="K511" i="1"/>
  <c r="K865" i="1"/>
  <c r="F19" i="22" s="1"/>
  <c r="K491" i="1"/>
  <c r="F50" i="19" s="1"/>
  <c r="K880" i="1"/>
  <c r="K270" i="1"/>
  <c r="K42" i="1"/>
  <c r="F39" i="16" s="1"/>
  <c r="K153" i="1"/>
  <c r="K208" i="1"/>
  <c r="K830" i="1"/>
  <c r="K814" i="1"/>
  <c r="F18" i="24" s="1"/>
  <c r="K701" i="1"/>
  <c r="K216" i="1"/>
  <c r="K414" i="1"/>
  <c r="K588" i="1"/>
  <c r="K1153" i="1"/>
  <c r="F21" i="24" s="1"/>
  <c r="K1477" i="1"/>
  <c r="K627" i="1"/>
  <c r="K1136" i="1"/>
  <c r="K1224" i="1"/>
  <c r="K719" i="1"/>
  <c r="K34" i="1"/>
  <c r="K1062" i="1"/>
  <c r="K1115" i="1"/>
  <c r="K758" i="1"/>
  <c r="K1395" i="1"/>
  <c r="K886" i="1"/>
  <c r="K613" i="1"/>
  <c r="K501" i="1"/>
  <c r="K1210" i="1"/>
  <c r="K941" i="1"/>
  <c r="K628" i="1"/>
  <c r="K920" i="1"/>
  <c r="K1472" i="1"/>
  <c r="K960" i="1"/>
  <c r="K623" i="1"/>
  <c r="K763" i="1"/>
  <c r="F12" i="18" s="1"/>
  <c r="K1214" i="1"/>
  <c r="K948" i="1"/>
  <c r="K324" i="1"/>
  <c r="K448" i="1"/>
  <c r="K979" i="1"/>
  <c r="K630" i="1"/>
  <c r="F51" i="21" s="1"/>
  <c r="K643" i="1"/>
  <c r="K264" i="1"/>
  <c r="F18" i="17" s="1"/>
  <c r="K557" i="1"/>
  <c r="K31" i="1"/>
  <c r="K220" i="1"/>
  <c r="F44" i="22" s="1"/>
  <c r="K1077" i="1"/>
  <c r="K223" i="1"/>
  <c r="K373" i="1"/>
  <c r="K909" i="1"/>
  <c r="K98" i="1"/>
  <c r="K192" i="1"/>
  <c r="K1280" i="1"/>
  <c r="K810" i="1"/>
  <c r="K8" i="1"/>
  <c r="K728" i="1"/>
  <c r="K1199" i="1"/>
  <c r="K450" i="1"/>
  <c r="K1265" i="1"/>
  <c r="K347" i="1"/>
  <c r="K916" i="1"/>
  <c r="K849" i="1"/>
  <c r="K1459" i="1"/>
  <c r="K1060" i="1"/>
  <c r="F26" i="19" s="1"/>
  <c r="K681" i="1"/>
  <c r="K271" i="1"/>
  <c r="K81" i="1"/>
  <c r="K62" i="1"/>
  <c r="K422" i="1"/>
  <c r="K174" i="1"/>
  <c r="K97" i="1"/>
  <c r="K142" i="1"/>
  <c r="K987" i="1"/>
  <c r="K976" i="1"/>
  <c r="K492" i="1"/>
  <c r="K1245" i="1"/>
  <c r="K61" i="1"/>
  <c r="F21" i="17" s="1"/>
  <c r="K579" i="1"/>
  <c r="K322" i="1"/>
  <c r="K729" i="1"/>
  <c r="K1314" i="1"/>
  <c r="K552" i="1"/>
  <c r="K791" i="1"/>
  <c r="K575" i="1"/>
  <c r="F25" i="24" s="1"/>
  <c r="K756" i="1"/>
  <c r="K130" i="1"/>
  <c r="K968" i="1"/>
  <c r="K654" i="1"/>
  <c r="K639" i="1"/>
  <c r="F49" i="18" s="1"/>
  <c r="K826" i="1"/>
  <c r="K1449" i="1"/>
  <c r="K798" i="1"/>
  <c r="K1253" i="1"/>
  <c r="K860" i="1"/>
  <c r="K171" i="1"/>
  <c r="F51" i="19" s="1"/>
  <c r="K924" i="1"/>
  <c r="K683" i="1"/>
  <c r="K1347" i="1"/>
  <c r="K380" i="1"/>
  <c r="K1407" i="1"/>
  <c r="K854" i="1"/>
  <c r="K1297" i="1"/>
  <c r="K665" i="1"/>
  <c r="F25" i="22" s="1"/>
  <c r="K596" i="1"/>
  <c r="K566" i="1"/>
  <c r="K9" i="1"/>
  <c r="K1316" i="1"/>
  <c r="K351" i="1"/>
  <c r="K502" i="1"/>
  <c r="K218" i="1"/>
  <c r="F40" i="22" s="1"/>
  <c r="K217" i="1"/>
  <c r="K222" i="1"/>
  <c r="K120" i="1"/>
  <c r="K345" i="1"/>
  <c r="F50" i="16" s="1"/>
  <c r="K680" i="1"/>
  <c r="K1444" i="1"/>
  <c r="K851" i="1"/>
  <c r="F25" i="16" s="1"/>
  <c r="K495" i="1"/>
  <c r="K344" i="1"/>
  <c r="K524" i="1"/>
  <c r="K985" i="1"/>
  <c r="F17" i="24" s="1"/>
  <c r="K3" i="1"/>
  <c r="K339" i="1"/>
  <c r="F14" i="22" s="1"/>
  <c r="K86" i="1"/>
  <c r="K289" i="1"/>
  <c r="K1155" i="1"/>
  <c r="K740" i="1"/>
  <c r="K125" i="1"/>
  <c r="K401" i="1"/>
  <c r="K157" i="1"/>
  <c r="K1143" i="1"/>
  <c r="K1264" i="1"/>
  <c r="K4" i="1"/>
  <c r="K992" i="1"/>
  <c r="K29" i="1"/>
  <c r="K301" i="1"/>
  <c r="K615" i="1"/>
  <c r="K720" i="1"/>
  <c r="K141" i="1"/>
  <c r="K1294" i="1"/>
  <c r="K394" i="1"/>
  <c r="F50" i="21" s="1"/>
  <c r="K51" i="1"/>
  <c r="K321" i="1"/>
  <c r="K866" i="1"/>
  <c r="K593" i="1"/>
  <c r="K371" i="1"/>
  <c r="K1159" i="1"/>
  <c r="K1251" i="1"/>
  <c r="F22" i="18" s="1"/>
  <c r="K1418" i="1"/>
  <c r="K1375" i="1"/>
  <c r="K446" i="1"/>
  <c r="K328" i="1"/>
  <c r="K1437" i="1"/>
  <c r="K1221" i="1"/>
  <c r="K1050" i="1"/>
  <c r="F12" i="17" s="1"/>
  <c r="K1071" i="1"/>
  <c r="K1130" i="1"/>
  <c r="K905" i="1"/>
  <c r="K1236" i="1"/>
  <c r="K1288" i="1"/>
  <c r="K906" i="1"/>
  <c r="K988" i="1"/>
  <c r="K1259" i="1"/>
  <c r="F5" i="19" s="1"/>
  <c r="K124" i="1"/>
  <c r="K1087" i="1"/>
  <c r="K335" i="1"/>
  <c r="K878" i="1"/>
  <c r="K981" i="1"/>
  <c r="K465" i="1"/>
  <c r="K742" i="1"/>
  <c r="K655" i="1"/>
  <c r="K76" i="1"/>
  <c r="K974" i="1"/>
  <c r="K1275" i="1"/>
  <c r="K1212" i="1"/>
  <c r="K231" i="1"/>
  <c r="K904" i="1"/>
  <c r="F7" i="17" s="1"/>
  <c r="K1188" i="1"/>
  <c r="K276" i="1"/>
  <c r="K1089" i="1"/>
  <c r="K444" i="1"/>
  <c r="F41" i="21" s="1"/>
  <c r="K759" i="1"/>
  <c r="K1200" i="1"/>
  <c r="F21" i="22" s="1"/>
  <c r="K399" i="1"/>
  <c r="F41" i="24" s="1"/>
  <c r="K893" i="1"/>
  <c r="K63" i="1"/>
  <c r="K473" i="1"/>
  <c r="K64" i="1"/>
  <c r="F50" i="18" s="1"/>
  <c r="K581" i="1"/>
  <c r="K179" i="1"/>
  <c r="K1186" i="1"/>
  <c r="K494" i="1"/>
  <c r="K899" i="1"/>
  <c r="F23" i="19" s="1"/>
  <c r="K1043" i="1"/>
  <c r="K659" i="1"/>
  <c r="K1323" i="1"/>
  <c r="K1427" i="1"/>
  <c r="K1289" i="1"/>
  <c r="K828" i="1"/>
  <c r="K748" i="1"/>
  <c r="K348" i="1"/>
  <c r="K564" i="1"/>
  <c r="K1204" i="1"/>
  <c r="K108" i="1"/>
  <c r="F7" i="24" s="1"/>
  <c r="K1032" i="1"/>
  <c r="K1160" i="1"/>
  <c r="K474" i="1"/>
  <c r="K1460" i="1"/>
  <c r="K122" i="1"/>
  <c r="K958" i="1"/>
  <c r="K527" i="1"/>
  <c r="F20" i="18" s="1"/>
  <c r="K181" i="1"/>
  <c r="K1107" i="1"/>
  <c r="K1007" i="1"/>
  <c r="K569" i="1"/>
  <c r="K633" i="1"/>
  <c r="K1438" i="1"/>
  <c r="F10" i="21" s="1"/>
  <c r="K1157" i="1"/>
  <c r="K664" i="1"/>
  <c r="K353" i="1"/>
  <c r="K637" i="1"/>
  <c r="F47" i="22" s="1"/>
  <c r="K963" i="1"/>
  <c r="K687" i="1"/>
  <c r="K241" i="1"/>
  <c r="K707" i="1"/>
  <c r="K1322" i="1"/>
  <c r="K287" i="1"/>
  <c r="K715" i="1"/>
  <c r="K516" i="1"/>
  <c r="K881" i="1"/>
  <c r="K1150" i="1"/>
  <c r="F24" i="22" s="1"/>
  <c r="K724" i="1"/>
  <c r="K1250" i="1"/>
  <c r="K555" i="1"/>
  <c r="K262" i="1"/>
  <c r="K698" i="1"/>
  <c r="K286" i="1"/>
  <c r="K674" i="1"/>
  <c r="K245" i="1"/>
  <c r="K497" i="1"/>
  <c r="K228" i="1"/>
  <c r="K953" i="1"/>
  <c r="K148" i="1"/>
  <c r="F8" i="22" s="1"/>
  <c r="K346" i="1"/>
  <c r="K975" i="1"/>
  <c r="K406" i="1"/>
  <c r="K816" i="1"/>
  <c r="K1315" i="1"/>
  <c r="F46" i="17" s="1"/>
  <c r="K923" i="1"/>
  <c r="K77" i="1"/>
  <c r="K872" i="1"/>
  <c r="K802" i="1"/>
  <c r="K1198" i="1"/>
  <c r="F8" i="24" s="1"/>
  <c r="K761" i="1"/>
  <c r="K1451" i="1"/>
  <c r="K825" i="1"/>
  <c r="K883" i="1"/>
  <c r="K27" i="1"/>
  <c r="K1321" i="1"/>
  <c r="K808" i="1"/>
  <c r="K472" i="1"/>
  <c r="K279" i="1"/>
  <c r="F7" i="18" s="1"/>
  <c r="K281" i="1"/>
  <c r="K858" i="1"/>
  <c r="K1001" i="1"/>
  <c r="K253" i="1"/>
  <c r="F47" i="18" s="1"/>
  <c r="K536" i="1"/>
  <c r="K189" i="1"/>
  <c r="K922" i="1"/>
  <c r="K691" i="1"/>
  <c r="K998" i="1"/>
  <c r="K7" i="1"/>
  <c r="K94" i="1"/>
  <c r="K1101" i="1"/>
  <c r="F5" i="18" s="1"/>
  <c r="K57" i="1"/>
  <c r="K70" i="1"/>
  <c r="K1023" i="1"/>
  <c r="K898" i="1"/>
  <c r="K1243" i="1"/>
  <c r="K1374" i="1"/>
  <c r="K11" i="1"/>
  <c r="F13" i="18" s="1"/>
  <c r="K156" i="1"/>
  <c r="F5" i="17" s="1"/>
  <c r="K82" i="1"/>
  <c r="K1082" i="1"/>
  <c r="K165" i="1"/>
  <c r="K13" i="1"/>
  <c r="F9" i="19" s="1"/>
  <c r="K1327" i="1"/>
  <c r="K1182" i="1"/>
  <c r="K608" i="1"/>
  <c r="K621" i="1"/>
  <c r="K136" i="1"/>
  <c r="K1173" i="1"/>
  <c r="K534" i="1"/>
  <c r="F47" i="21" s="1"/>
  <c r="K293" i="1"/>
  <c r="K1116" i="1"/>
  <c r="K46" i="1"/>
  <c r="K876" i="1"/>
  <c r="K1257" i="1"/>
  <c r="F13" i="24" s="1"/>
  <c r="K504" i="1"/>
  <c r="K885" i="1"/>
  <c r="K161" i="1"/>
  <c r="K1411" i="1"/>
  <c r="F42" i="17" s="1"/>
  <c r="K1003" i="1"/>
  <c r="K1256" i="1"/>
  <c r="F26" i="18" s="1"/>
  <c r="K499" i="1"/>
  <c r="F17" i="16" s="1"/>
  <c r="K459" i="1"/>
  <c r="K959" i="1"/>
  <c r="K49" i="1"/>
  <c r="K117" i="1"/>
  <c r="F39" i="21" s="1"/>
  <c r="K882" i="1"/>
  <c r="F49" i="17" s="1"/>
  <c r="K570" i="1"/>
  <c r="F16" i="17" s="1"/>
  <c r="K385" i="1"/>
  <c r="K1026" i="1"/>
  <c r="K929" i="1"/>
  <c r="K955" i="1"/>
  <c r="F47" i="17" s="1"/>
  <c r="K797" i="1"/>
  <c r="K1174" i="1"/>
  <c r="K206" i="1"/>
  <c r="K170" i="1"/>
  <c r="K487" i="1"/>
  <c r="K1192" i="1"/>
  <c r="F8" i="21" s="1"/>
  <c r="K983" i="1"/>
  <c r="K268" i="1"/>
  <c r="K1286" i="1"/>
  <c r="K1109" i="1"/>
  <c r="K595" i="1"/>
  <c r="K37" i="1"/>
  <c r="K1358" i="1"/>
  <c r="K1249" i="1"/>
  <c r="K1464" i="1"/>
  <c r="K702" i="1"/>
  <c r="K212" i="1"/>
  <c r="K1268" i="1"/>
  <c r="K1231" i="1"/>
  <c r="K1232" i="1"/>
  <c r="K386" i="1"/>
  <c r="F43" i="17" s="1"/>
  <c r="K788" i="1"/>
  <c r="K736" i="1"/>
  <c r="K800" i="1"/>
  <c r="K254" i="1"/>
  <c r="K357" i="1"/>
  <c r="K970" i="1"/>
  <c r="K1152" i="1"/>
  <c r="F27" i="16" s="1"/>
  <c r="K1433" i="1"/>
  <c r="K296" i="1"/>
  <c r="F39" i="24" s="1"/>
  <c r="K96" i="1"/>
  <c r="K1390" i="1"/>
  <c r="K330" i="1"/>
  <c r="K757" i="1"/>
  <c r="K1171" i="1"/>
  <c r="F23" i="18" s="1"/>
  <c r="K1298" i="1"/>
  <c r="K1124" i="1"/>
  <c r="K1018" i="1"/>
  <c r="K403" i="1"/>
  <c r="K1141" i="1"/>
  <c r="K877" i="1"/>
  <c r="K1420" i="1"/>
  <c r="K944" i="1"/>
  <c r="F41" i="22" s="1"/>
  <c r="K644" i="1"/>
  <c r="K743" i="1"/>
  <c r="K738" i="1"/>
  <c r="K1342" i="1"/>
  <c r="K1270" i="1"/>
  <c r="K340" i="1"/>
  <c r="K565" i="1"/>
  <c r="K1219" i="1"/>
  <c r="K869" i="1"/>
  <c r="F47" i="24" s="1"/>
  <c r="K336" i="1"/>
  <c r="F9" i="22" s="1"/>
  <c r="K708" i="1"/>
  <c r="K1317" i="1"/>
  <c r="K471" i="1"/>
  <c r="F7" i="22" s="1"/>
  <c r="K1412" i="1"/>
  <c r="K1175" i="1"/>
  <c r="K363" i="1"/>
  <c r="K537" i="1"/>
  <c r="K1391" i="1"/>
  <c r="F16" i="19" s="1"/>
  <c r="K488" i="1"/>
  <c r="K774" i="1"/>
  <c r="K646" i="1"/>
  <c r="K433" i="1"/>
  <c r="K652" i="1"/>
  <c r="K180" i="1"/>
  <c r="K1261" i="1"/>
  <c r="K88" i="1"/>
  <c r="K1040" i="1"/>
  <c r="K852" i="1"/>
  <c r="K1135" i="1"/>
  <c r="K1132" i="1"/>
  <c r="K1388" i="1"/>
  <c r="K260" i="1"/>
  <c r="K666" i="1"/>
  <c r="F35" i="16" s="1"/>
  <c r="K365" i="1"/>
  <c r="K957" i="1"/>
  <c r="K1354" i="1"/>
  <c r="F9" i="21" s="1"/>
  <c r="K418" i="1"/>
  <c r="K510" i="1"/>
  <c r="K1128" i="1"/>
  <c r="K255" i="1"/>
  <c r="K166" i="1"/>
  <c r="K1359" i="1"/>
  <c r="F46" i="18" s="1"/>
  <c r="K211" i="1"/>
  <c r="F41" i="17" s="1"/>
  <c r="K56" i="1"/>
  <c r="K543" i="1"/>
  <c r="K838" i="1"/>
  <c r="K309" i="1"/>
  <c r="K470" i="1"/>
  <c r="K1300" i="1"/>
  <c r="F9" i="18" s="1"/>
  <c r="K1166" i="1"/>
  <c r="K1356" i="1"/>
  <c r="K477" i="1"/>
  <c r="K115" i="1"/>
  <c r="F41" i="18" s="1"/>
  <c r="K1432" i="1"/>
  <c r="K1059" i="1"/>
  <c r="K541" i="1"/>
  <c r="K1066" i="1"/>
  <c r="K622" i="1"/>
  <c r="K1380" i="1"/>
  <c r="K393" i="1"/>
  <c r="K1478" i="1"/>
  <c r="K1051" i="1"/>
  <c r="K525" i="1"/>
  <c r="K989" i="1"/>
  <c r="K436" i="1"/>
  <c r="K1000" i="1"/>
  <c r="K1326" i="1"/>
  <c r="K812" i="1"/>
  <c r="K1144" i="1"/>
  <c r="K447" i="1"/>
  <c r="K711" i="1"/>
  <c r="F6" i="21" s="1"/>
  <c r="K319" i="1"/>
  <c r="K95" i="1"/>
  <c r="K199" i="1"/>
  <c r="F19" i="24" s="1"/>
  <c r="K971" i="1"/>
  <c r="K1370" i="1"/>
  <c r="K1351" i="1"/>
  <c r="F17" i="17" s="1"/>
  <c r="K354" i="1"/>
  <c r="K1102" i="1"/>
  <c r="K1154" i="1"/>
  <c r="K1013" i="1"/>
  <c r="K1140" i="1"/>
  <c r="K1048" i="1"/>
  <c r="F20" i="19" s="1"/>
  <c r="K587" i="1"/>
  <c r="K767" i="1"/>
  <c r="F5" i="22" s="1"/>
  <c r="K1108" i="1"/>
  <c r="F3" i="22" s="1"/>
  <c r="K735" i="1"/>
  <c r="F42" i="18" s="1"/>
  <c r="K991" i="1"/>
  <c r="K1046" i="1"/>
  <c r="K229" i="1"/>
  <c r="K656" i="1"/>
  <c r="K118" i="1"/>
  <c r="K856" i="1"/>
  <c r="K1083" i="1"/>
  <c r="K1117" i="1"/>
  <c r="K273" i="1"/>
  <c r="K83" i="1"/>
  <c r="K1176" i="1"/>
  <c r="K1287" i="1"/>
  <c r="K657" i="1"/>
  <c r="K699" i="1"/>
  <c r="K376" i="1"/>
  <c r="K163" i="1"/>
  <c r="K382" i="1"/>
  <c r="K843" i="1"/>
  <c r="K671" i="1"/>
  <c r="K1425" i="1"/>
  <c r="K244" i="1"/>
  <c r="F18" i="16" s="1"/>
  <c r="K787" i="1"/>
  <c r="K1361" i="1"/>
  <c r="K252" i="1"/>
  <c r="K490" i="1"/>
  <c r="F53" i="19" s="1"/>
  <c r="K668" i="1"/>
  <c r="K402" i="1"/>
  <c r="F45" i="16" s="1"/>
  <c r="K580" i="1"/>
  <c r="K355" i="1"/>
  <c r="K999" i="1"/>
  <c r="K873" i="1"/>
  <c r="K114" i="1"/>
  <c r="K937" i="1"/>
  <c r="K6" i="1"/>
  <c r="F21" i="21" s="1"/>
  <c r="K1295" i="1"/>
  <c r="K1197" i="1"/>
  <c r="F11" i="24" s="1"/>
  <c r="K1337" i="1"/>
  <c r="K109" i="1"/>
  <c r="F24" i="19" s="1"/>
  <c r="K428" i="1"/>
  <c r="K1394" i="1"/>
  <c r="K1049" i="1"/>
  <c r="K815" i="1"/>
  <c r="F10" i="24" s="1"/>
  <c r="K712" i="1"/>
  <c r="K649" i="1"/>
  <c r="K1352" i="1"/>
  <c r="F11" i="17" s="1"/>
  <c r="K875" i="1"/>
  <c r="F14" i="21" s="1"/>
  <c r="K288" i="1"/>
  <c r="K612" i="1"/>
  <c r="K1284" i="1"/>
  <c r="K1067" i="1"/>
  <c r="K23" i="1"/>
  <c r="K1084" i="1"/>
  <c r="K1410" i="1"/>
  <c r="K931" i="1"/>
  <c r="K900" i="1"/>
  <c r="F3" i="16" s="1"/>
  <c r="K326" i="1"/>
  <c r="F11" i="19" s="1"/>
  <c r="K200" i="1"/>
  <c r="K101" i="1"/>
  <c r="F22" i="24" s="1"/>
  <c r="K604" i="1"/>
  <c r="K1195" i="1"/>
  <c r="F20" i="17" s="1"/>
  <c r="K706" i="1"/>
  <c r="K966" i="1"/>
  <c r="F19" i="17" s="1"/>
  <c r="K67" i="1"/>
  <c r="K676" i="1"/>
  <c r="K739" i="1"/>
  <c r="K1443" i="1"/>
  <c r="K560" i="1"/>
  <c r="K132" i="1"/>
  <c r="K377" i="1"/>
  <c r="F5" i="24" s="1"/>
  <c r="K568" i="1"/>
  <c r="F22" i="21" s="1"/>
  <c r="K1422" i="1"/>
  <c r="K100" i="1"/>
  <c r="K294" i="1"/>
  <c r="K1222" i="1"/>
  <c r="K1255" i="1"/>
  <c r="F10" i="19" s="1"/>
  <c r="K1403" i="1"/>
  <c r="K603" i="1"/>
  <c r="K784" i="1"/>
  <c r="K1344" i="1"/>
  <c r="F26" i="16" s="1"/>
  <c r="K533" i="1"/>
  <c r="K50" i="1"/>
  <c r="K836" i="1"/>
  <c r="F3" i="18" s="1"/>
  <c r="K1151" i="1"/>
  <c r="K616" i="1"/>
  <c r="K1436" i="1"/>
  <c r="K1041" i="1"/>
  <c r="K388" i="1"/>
  <c r="K1119" i="1"/>
  <c r="K1038" i="1"/>
  <c r="K789" i="1"/>
  <c r="K584" i="1"/>
  <c r="F48" i="19" s="1"/>
  <c r="K576" i="1"/>
  <c r="F6" i="16" s="1"/>
  <c r="K772" i="1"/>
  <c r="F45" i="24" s="1"/>
  <c r="K463" i="1"/>
  <c r="K1015" i="1"/>
  <c r="K1292" i="1"/>
  <c r="K1463" i="1"/>
  <c r="K1113" i="1"/>
  <c r="K1384" i="1"/>
  <c r="K809" i="1"/>
  <c r="K1452" i="1"/>
  <c r="K205" i="1"/>
  <c r="F24" i="18" s="1"/>
  <c r="K993" i="1"/>
  <c r="K1276" i="1"/>
  <c r="K449" i="1"/>
  <c r="K266" i="1"/>
  <c r="K1179" i="1"/>
  <c r="K790" i="1"/>
  <c r="K1178" i="1"/>
  <c r="K551" i="1"/>
  <c r="K1044" i="1"/>
  <c r="F14" i="19" s="1"/>
  <c r="K278" i="1"/>
  <c r="K429" i="1"/>
  <c r="K1372" i="1"/>
  <c r="K102" i="1"/>
  <c r="F8" i="19" s="1"/>
  <c r="K432" i="1"/>
  <c r="K484" i="1"/>
  <c r="K1469" i="1"/>
  <c r="K547" i="1"/>
  <c r="K961" i="1"/>
  <c r="K591" i="1"/>
  <c r="K1363" i="1"/>
  <c r="K1473" i="1"/>
  <c r="K792" i="1"/>
  <c r="K1378" i="1"/>
  <c r="K1398" i="1"/>
  <c r="K460" i="1"/>
  <c r="K1263" i="1"/>
  <c r="K73" i="1"/>
  <c r="F24" i="21" s="1"/>
  <c r="K435" i="1"/>
  <c r="K1247" i="1"/>
  <c r="K1118" i="1"/>
  <c r="K1302" i="1"/>
  <c r="K984" i="1"/>
  <c r="K368" i="1"/>
  <c r="K19" i="1"/>
  <c r="K503" i="1"/>
  <c r="K329" i="1"/>
  <c r="K1415" i="1"/>
  <c r="K160" i="1"/>
  <c r="K951" i="1"/>
  <c r="K1164" i="1"/>
  <c r="K1333" i="1"/>
  <c r="K1397" i="1"/>
  <c r="K1209" i="1"/>
  <c r="K411" i="1"/>
  <c r="K1139" i="1"/>
  <c r="K1329" i="1"/>
  <c r="F52" i="19" s="1"/>
  <c r="K933" i="1"/>
  <c r="K1033" i="1"/>
  <c r="K690" i="1"/>
  <c r="K1319" i="1"/>
  <c r="K523" i="1"/>
  <c r="F27" i="24" s="1"/>
  <c r="K356" i="1"/>
  <c r="K1024" i="1"/>
  <c r="K280" i="1"/>
  <c r="F4" i="18" s="1"/>
  <c r="K1058" i="1"/>
  <c r="K475" i="1"/>
  <c r="K1092" i="1"/>
  <c r="K1283" i="1"/>
  <c r="K310" i="1"/>
  <c r="K1325" i="1"/>
  <c r="K965" i="1"/>
  <c r="K297" i="1"/>
  <c r="K1262" i="1"/>
  <c r="K173" i="1"/>
  <c r="K818" i="1"/>
  <c r="K267" i="1"/>
  <c r="K832" i="1"/>
  <c r="K598" i="1"/>
  <c r="K891" i="1"/>
  <c r="K619" i="1"/>
  <c r="K902" i="1"/>
  <c r="K316" i="1"/>
  <c r="K1129" i="1"/>
  <c r="K607" i="1"/>
  <c r="K238" i="1"/>
  <c r="K306" i="1"/>
  <c r="K412" i="1"/>
  <c r="K765" i="1"/>
  <c r="F4" i="24" s="1"/>
  <c r="K894" i="1"/>
  <c r="K221" i="1"/>
  <c r="K1293" i="1"/>
  <c r="K513" i="1"/>
  <c r="K863" i="1"/>
  <c r="K214" i="1"/>
  <c r="K841" i="1"/>
  <c r="K184" i="1"/>
  <c r="K481" i="1"/>
  <c r="F13" i="17" s="1"/>
  <c r="K1296" i="1"/>
  <c r="F4" i="16" s="1"/>
  <c r="K561" i="1"/>
  <c r="K582" i="1"/>
  <c r="K381" i="1"/>
  <c r="K1096" i="1"/>
  <c r="F8" i="18" s="1"/>
  <c r="K283" i="1"/>
  <c r="K1034" i="1"/>
  <c r="K1408" i="1"/>
  <c r="K151" i="1"/>
  <c r="K164" i="1"/>
  <c r="K261" i="1"/>
  <c r="K1185" i="1"/>
  <c r="K396" i="1"/>
  <c r="K546" i="1"/>
  <c r="K1360" i="1"/>
  <c r="K188" i="1"/>
  <c r="K178" i="1"/>
  <c r="K704" i="1"/>
  <c r="K1009" i="1"/>
  <c r="F50" i="17" s="1"/>
  <c r="K776" i="1"/>
  <c r="F44" i="18" s="1"/>
  <c r="K846" i="1"/>
  <c r="K1145" i="1"/>
  <c r="F7" i="21" s="1"/>
  <c r="K498" i="1"/>
  <c r="K1237" i="1"/>
  <c r="K1161" i="1"/>
  <c r="K1191" i="1"/>
  <c r="K1031" i="1"/>
  <c r="K709" i="1"/>
  <c r="K507" i="1"/>
  <c r="K1097" i="1"/>
  <c r="K847" i="1"/>
  <c r="K1402" i="1"/>
  <c r="K539" i="1"/>
  <c r="F44" i="24" s="1"/>
  <c r="K1429" i="1"/>
  <c r="K1440" i="1"/>
  <c r="F22" i="16" s="1"/>
  <c r="K375" i="1"/>
  <c r="K1417" i="1"/>
  <c r="F48" i="24" s="1"/>
  <c r="K578" i="1"/>
  <c r="K1196" i="1"/>
  <c r="K71" i="1"/>
  <c r="K1419" i="1"/>
  <c r="K1242" i="1"/>
  <c r="K912" i="1"/>
  <c r="K1445" i="1"/>
  <c r="K733" i="1"/>
  <c r="F49" i="19" s="1"/>
  <c r="K75" i="1"/>
  <c r="K532" i="1"/>
  <c r="K1308" i="1"/>
  <c r="K694" i="1"/>
  <c r="K871" i="1"/>
  <c r="F42" i="22" s="1"/>
  <c r="K986" i="1"/>
  <c r="K210" i="1"/>
  <c r="F44" i="19" s="1"/>
  <c r="K840" i="1"/>
  <c r="K195" i="1"/>
  <c r="F15" i="17" s="1"/>
  <c r="K32" i="1"/>
  <c r="K307" i="1"/>
  <c r="K242" i="1"/>
  <c r="F17" i="22" s="1"/>
  <c r="K673" i="1"/>
  <c r="F11" i="21" s="1"/>
  <c r="K594" i="1"/>
  <c r="K1203" i="1"/>
  <c r="K1454" i="1"/>
  <c r="K292" i="1"/>
  <c r="F40" i="19" s="1"/>
  <c r="K186" i="1"/>
  <c r="K1290" i="1"/>
  <c r="K455" i="1"/>
  <c r="F42" i="24" s="1"/>
  <c r="K230" i="1"/>
  <c r="K416" i="1"/>
  <c r="K753" i="1"/>
  <c r="K240" i="1"/>
  <c r="K30" i="1"/>
  <c r="K1439" i="1"/>
  <c r="K538" i="1"/>
  <c r="K947" i="1"/>
  <c r="K265" i="1"/>
  <c r="K247" i="1"/>
  <c r="K1121" i="1"/>
  <c r="K158" i="1"/>
  <c r="F16" i="22" s="1"/>
  <c r="K1301" i="1"/>
  <c r="K204" i="1"/>
  <c r="K1036" i="1"/>
  <c r="K1055" i="1"/>
  <c r="F21" i="19" s="1"/>
  <c r="K185" i="1"/>
  <c r="K1450" i="1"/>
  <c r="K626" i="1"/>
  <c r="F44" i="16" s="1"/>
  <c r="K550" i="1"/>
  <c r="K1017" i="1"/>
  <c r="K129" i="1"/>
  <c r="K147" i="1"/>
  <c r="F9" i="17" s="1"/>
  <c r="K41" i="1"/>
  <c r="K1442" i="1"/>
  <c r="F10" i="17" s="1"/>
  <c r="K461" i="1"/>
  <c r="K721" i="1"/>
  <c r="F14" i="18" s="1"/>
  <c r="K850" i="1"/>
  <c r="F39" i="22" s="1"/>
  <c r="K764" i="1"/>
  <c r="K1194" i="1"/>
  <c r="F15" i="18" s="1"/>
  <c r="K193" i="1"/>
  <c r="K889" i="1"/>
  <c r="K493" i="1"/>
  <c r="K562" i="1"/>
  <c r="K1248" i="1"/>
  <c r="F3" i="24" s="1"/>
  <c r="K634" i="1"/>
  <c r="K914" i="1"/>
  <c r="K133" i="1"/>
  <c r="K831" i="1"/>
  <c r="K517" i="1"/>
  <c r="K571" i="1"/>
  <c r="F14" i="17" s="1"/>
  <c r="K754" i="1"/>
  <c r="K842" i="1"/>
  <c r="K421" i="1"/>
  <c r="K250" i="1"/>
  <c r="F39" i="18" s="1"/>
  <c r="K1309" i="1"/>
  <c r="K187" i="1"/>
  <c r="K383" i="1"/>
  <c r="F26" i="24" s="1"/>
  <c r="K66" i="1"/>
  <c r="K1400" i="1"/>
  <c r="K1091" i="1"/>
  <c r="K190" i="1"/>
  <c r="K1369" i="1"/>
  <c r="K689" i="1"/>
  <c r="K573" i="1"/>
  <c r="K1187" i="1"/>
  <c r="K692" i="1"/>
  <c r="K1271" i="1"/>
  <c r="K837" i="1"/>
  <c r="K40" i="1"/>
  <c r="K822" i="1"/>
  <c r="F40" i="24" s="1"/>
  <c r="K74" i="1"/>
  <c r="K1099" i="1"/>
  <c r="F41" i="19" s="1"/>
  <c r="K1413" i="1"/>
  <c r="K233" i="1"/>
  <c r="K1252" i="1"/>
  <c r="K817" i="1"/>
  <c r="F16" i="24" s="1"/>
  <c r="K1371" i="1"/>
  <c r="K1368" i="1"/>
  <c r="K454" i="1"/>
  <c r="F45" i="22" s="1"/>
  <c r="K183" i="1"/>
  <c r="K1168" i="1"/>
  <c r="K225" i="1"/>
  <c r="K1133" i="1"/>
  <c r="K333" i="1"/>
  <c r="K744" i="1"/>
  <c r="F23" i="24" s="1"/>
  <c r="K741" i="1"/>
  <c r="K1238" i="1"/>
  <c r="K731" i="1"/>
  <c r="K726" i="1"/>
  <c r="K703" i="1"/>
  <c r="K752" i="1"/>
  <c r="K606" i="1"/>
  <c r="K1285" i="1"/>
  <c r="K945" i="1"/>
  <c r="K1042" i="1"/>
  <c r="F11" i="16" s="1"/>
  <c r="K397" i="1"/>
  <c r="F48" i="18" s="1"/>
  <c r="K952" i="1"/>
  <c r="K45" i="1"/>
  <c r="K467" i="1"/>
  <c r="K529" i="1"/>
  <c r="K1201" i="1"/>
  <c r="K1069" i="1"/>
  <c r="K943" i="1"/>
  <c r="K314" i="1"/>
  <c r="K982" i="1"/>
  <c r="K89" i="1"/>
  <c r="K201" i="1"/>
  <c r="F46" i="24" s="1"/>
  <c r="K1340" i="1"/>
  <c r="K196" i="1"/>
  <c r="F7" i="19" s="1"/>
  <c r="K1227" i="1"/>
  <c r="K835" i="1"/>
  <c r="F42" i="16" s="1"/>
  <c r="K390" i="1"/>
  <c r="K897" i="1"/>
  <c r="F42" i="19" s="1"/>
  <c r="K980" i="1"/>
  <c r="K1455" i="1"/>
  <c r="K795" i="1"/>
  <c r="K635" i="1"/>
  <c r="K1053" i="1"/>
  <c r="K972" i="1"/>
  <c r="K413" i="1"/>
  <c r="K806" i="1"/>
  <c r="F25" i="17" s="1"/>
  <c r="K1226" i="1"/>
  <c r="K829" i="1"/>
  <c r="K315" i="1"/>
  <c r="K1348" i="1"/>
  <c r="K318" i="1"/>
  <c r="K468" i="1"/>
  <c r="K1357" i="1"/>
  <c r="K1122" i="1"/>
  <c r="K609" i="1"/>
  <c r="K935" i="1"/>
  <c r="K1468" i="1"/>
  <c r="K235" i="1"/>
  <c r="K892" i="1"/>
  <c r="K641" i="1"/>
  <c r="K1027" i="1"/>
  <c r="K799" i="1"/>
  <c r="K597" i="1"/>
  <c r="K417" i="1"/>
  <c r="K1310" i="1"/>
  <c r="K1299" i="1"/>
  <c r="K337" i="1"/>
  <c r="K1269" i="1"/>
  <c r="K648" i="1"/>
  <c r="K1234" i="1"/>
  <c r="K92" i="1"/>
  <c r="K1318" i="1"/>
  <c r="F39" i="19" s="1"/>
  <c r="K803" i="1"/>
  <c r="K1217" i="1"/>
  <c r="K1090" i="1"/>
  <c r="K80" i="1"/>
  <c r="K274" i="1"/>
  <c r="K932" i="1"/>
  <c r="F45" i="18" s="1"/>
  <c r="K1328" i="1"/>
  <c r="K996" i="1"/>
  <c r="F5" i="16" s="1"/>
  <c r="K404" i="1"/>
  <c r="K104" i="1"/>
  <c r="F13" i="21" s="1"/>
  <c r="K782" i="1"/>
  <c r="K1142" i="1"/>
  <c r="K927" i="1"/>
  <c r="K520" i="1"/>
  <c r="F11" i="22" s="1"/>
  <c r="K33" i="1"/>
  <c r="K786" i="1"/>
  <c r="K1019" i="1"/>
  <c r="K1057" i="1"/>
  <c r="K1341" i="1"/>
  <c r="K410" i="1"/>
  <c r="K1258" i="1"/>
  <c r="F17" i="18" s="1"/>
  <c r="K1393" i="1"/>
  <c r="K888" i="1"/>
  <c r="K556" i="1"/>
  <c r="K364" i="1"/>
  <c r="K113" i="1"/>
  <c r="K781" i="1"/>
  <c r="K1457" i="1"/>
  <c r="K36" i="1"/>
  <c r="K796" i="1"/>
  <c r="K563" i="1"/>
  <c r="K896" i="1"/>
  <c r="K43" i="1"/>
  <c r="K848" i="1"/>
  <c r="K1406" i="1"/>
  <c r="K35" i="1"/>
  <c r="F42" i="21" s="1"/>
  <c r="K1014" i="1"/>
  <c r="K696" i="1"/>
  <c r="K207" i="1"/>
  <c r="K1029" i="1"/>
  <c r="K545" i="1"/>
  <c r="K93" i="1"/>
  <c r="K901" i="1"/>
  <c r="K610" i="1"/>
  <c r="K766" i="1"/>
  <c r="F22" i="22" s="1"/>
  <c r="K1012" i="1"/>
  <c r="K408" i="1"/>
  <c r="K946" i="1"/>
  <c r="K1076" i="1"/>
  <c r="K16" i="1"/>
  <c r="K21" i="1"/>
  <c r="K434" i="1"/>
  <c r="K290" i="1"/>
  <c r="K239" i="1"/>
  <c r="F5" i="21" s="1"/>
  <c r="K853" i="1"/>
  <c r="K486" i="1"/>
  <c r="K549" i="1"/>
  <c r="K777" i="1"/>
  <c r="K804" i="1"/>
  <c r="K1103" i="1"/>
  <c r="K445" i="1"/>
  <c r="K811" i="1"/>
  <c r="K1424" i="1"/>
  <c r="K625" i="1"/>
  <c r="K544" i="1"/>
  <c r="K1002" i="1"/>
  <c r="F13" i="16" s="1"/>
  <c r="K769" i="1"/>
  <c r="K942" i="1"/>
  <c r="K1074" i="1"/>
  <c r="K478" i="1"/>
  <c r="K374" i="1"/>
  <c r="F17" i="19" s="1"/>
  <c r="K611" i="1"/>
  <c r="K172" i="1"/>
  <c r="K737" i="1"/>
  <c r="K913" i="1"/>
  <c r="K300" i="1"/>
  <c r="K90" i="1"/>
  <c r="K755" i="1"/>
  <c r="K341" i="1"/>
  <c r="K155" i="1"/>
  <c r="F19" i="18" s="1"/>
  <c r="K1158" i="1"/>
  <c r="K1021" i="1"/>
  <c r="F23" i="22" s="1"/>
  <c r="K298" i="1"/>
  <c r="F20" i="22" s="1"/>
  <c r="K1047" i="1"/>
  <c r="F12" i="21" s="1"/>
  <c r="K110" i="1"/>
  <c r="K1064" i="1"/>
  <c r="K1220" i="1"/>
  <c r="K1345" i="1"/>
  <c r="K1311" i="1"/>
  <c r="F18" i="18" s="1"/>
  <c r="K839" i="1"/>
  <c r="K554" i="1"/>
  <c r="K284" i="1"/>
  <c r="K1106" i="1"/>
  <c r="F54" i="19" s="1"/>
  <c r="K1338" i="1"/>
  <c r="K1386" i="1"/>
  <c r="K1362" i="1"/>
  <c r="K1267" i="1"/>
  <c r="K85" i="1"/>
  <c r="K962" i="1"/>
  <c r="F43" i="18" s="1"/>
  <c r="K248" i="1"/>
  <c r="K1180" i="1"/>
  <c r="K1056" i="1"/>
  <c r="K651" i="1"/>
  <c r="K926" i="1"/>
  <c r="K1088" i="1"/>
  <c r="K925" i="1"/>
  <c r="K1244" i="1"/>
  <c r="K1081" i="1"/>
  <c r="K821" i="1"/>
  <c r="K1414" i="1"/>
  <c r="K1324" i="1"/>
  <c r="K583" i="1"/>
  <c r="K162" i="1"/>
  <c r="K232" i="1"/>
  <c r="K713" i="1"/>
  <c r="K867" i="1"/>
  <c r="F46" i="22" s="1"/>
  <c r="K55" i="1"/>
  <c r="K131" i="1"/>
  <c r="K662" i="1"/>
  <c r="F25" i="19" s="1"/>
  <c r="K705" i="1"/>
  <c r="K1016" i="1"/>
  <c r="K1461" i="1"/>
  <c r="K10" i="1"/>
  <c r="K234" i="1"/>
  <c r="K379" i="1"/>
  <c r="K1332" i="1"/>
  <c r="K149" i="1"/>
  <c r="K1307" i="1"/>
  <c r="K995" i="1"/>
  <c r="K1476" i="1"/>
  <c r="K805" i="1"/>
  <c r="K1303" i="1"/>
  <c r="K969" i="1"/>
  <c r="K1312" i="1"/>
  <c r="K589" i="1"/>
  <c r="K464" i="1"/>
  <c r="K291" i="1"/>
  <c r="K553" i="1"/>
  <c r="K439" i="1"/>
  <c r="K677" i="1"/>
  <c r="F24" i="16" s="1"/>
  <c r="K930" i="1"/>
  <c r="K308" i="1"/>
  <c r="K1114" i="1"/>
  <c r="K779" i="1"/>
  <c r="K84" i="1"/>
  <c r="K645" i="1"/>
  <c r="K1291" i="1"/>
  <c r="K194" i="1"/>
  <c r="K903" i="1"/>
  <c r="K1228" i="1"/>
  <c r="K1233" i="1"/>
  <c r="K1207" i="1"/>
  <c r="K515" i="1"/>
  <c r="K844" i="1"/>
  <c r="K451" i="1"/>
  <c r="K1467" i="1"/>
  <c r="K384" i="1"/>
  <c r="K845" i="1"/>
  <c r="K1383" i="1"/>
  <c r="K1208" i="1"/>
  <c r="K658" i="1"/>
  <c r="K934" i="1"/>
  <c r="K275" i="1"/>
  <c r="K112" i="1"/>
  <c r="K91" i="1"/>
  <c r="K469" i="1"/>
  <c r="K14" i="1"/>
  <c r="K111" i="1"/>
  <c r="K1446" i="1"/>
  <c r="F15" i="21" s="1"/>
  <c r="K638" i="1"/>
  <c r="K496" i="1"/>
  <c r="F55" i="19" s="1"/>
  <c r="K1169" i="1"/>
  <c r="K1189" i="1"/>
  <c r="K1028" i="1"/>
  <c r="K372" i="1"/>
  <c r="K1215" i="1"/>
  <c r="K1396" i="1"/>
  <c r="K259" i="1"/>
  <c r="K456" i="1"/>
  <c r="K864" i="1"/>
  <c r="K79" i="1"/>
  <c r="K1085" i="1"/>
  <c r="K679" i="1"/>
  <c r="K389" i="1"/>
  <c r="K1075" i="1"/>
  <c r="K732" i="1"/>
  <c r="K1331" i="1"/>
  <c r="K249" i="1"/>
  <c r="K716" i="1"/>
  <c r="K105" i="1"/>
  <c r="K870" i="1"/>
  <c r="K778" i="1"/>
  <c r="K22" i="1"/>
  <c r="K392" i="1"/>
  <c r="K590" i="1"/>
  <c r="K362" i="1"/>
  <c r="K535" i="1"/>
  <c r="K1010" i="1"/>
  <c r="K813" i="1"/>
  <c r="K466" i="1"/>
  <c r="K1405" i="1"/>
  <c r="K954" i="1"/>
  <c r="K54" i="1"/>
  <c r="K824" i="1"/>
  <c r="K127" i="1"/>
  <c r="K352" i="1"/>
  <c r="K1409" i="1"/>
  <c r="K116" i="1"/>
  <c r="K213" i="1"/>
  <c r="K599" i="1"/>
  <c r="K146" i="1"/>
  <c r="F15" i="16" s="1"/>
  <c r="K400" i="1"/>
  <c r="K620" i="1"/>
  <c r="K950" i="1"/>
  <c r="K177" i="1"/>
  <c r="K1453" i="1"/>
  <c r="F4" i="17" s="1"/>
  <c r="K72" i="1"/>
  <c r="K150" i="1"/>
  <c r="F18" i="21" s="1"/>
  <c r="K360" i="1"/>
  <c r="K1225" i="1"/>
  <c r="K359" i="1"/>
  <c r="K358" i="1"/>
  <c r="K908" i="1"/>
  <c r="K605" i="1"/>
  <c r="K1254" i="1"/>
  <c r="F16" i="16" s="1"/>
  <c r="K521" i="1"/>
  <c r="K964" i="1"/>
  <c r="K1030" i="1"/>
  <c r="K1240" i="1"/>
  <c r="K332" i="1"/>
  <c r="K997" i="1"/>
  <c r="F10" i="16" s="1"/>
  <c r="K119" i="1"/>
  <c r="K559" i="1"/>
  <c r="K121" i="1"/>
  <c r="K1336" i="1"/>
  <c r="K1404" i="1"/>
  <c r="K669" i="1"/>
  <c r="F20" i="24" s="1"/>
  <c r="K661" i="1"/>
  <c r="K919" i="1"/>
  <c r="K1239" i="1"/>
  <c r="K857" i="1"/>
  <c r="K18" i="1"/>
  <c r="K1458" i="1"/>
  <c r="K176" i="1"/>
  <c r="K650" i="1"/>
  <c r="K1079" i="1"/>
  <c r="K342" i="1"/>
  <c r="K1218" i="1"/>
  <c r="K911" i="1"/>
  <c r="F4" i="21" s="1"/>
  <c r="K1278" i="1"/>
  <c r="K653" i="1"/>
  <c r="K1241" i="1"/>
  <c r="K426" i="1"/>
  <c r="K209" i="1"/>
  <c r="F45" i="17" s="1"/>
  <c r="K1147" i="1"/>
  <c r="K251" i="1"/>
  <c r="K182" i="1"/>
  <c r="K697" i="1"/>
  <c r="K246" i="1"/>
  <c r="K500" i="1"/>
  <c r="K1095" i="1"/>
  <c r="F19" i="21" s="1"/>
  <c r="K1039" i="1"/>
  <c r="K647" i="1"/>
  <c r="K442" i="1"/>
  <c r="K154" i="1"/>
  <c r="F16" i="21" s="1"/>
  <c r="K1098" i="1"/>
  <c r="K747" i="1"/>
  <c r="K168" i="1"/>
  <c r="F44" i="21" s="1"/>
  <c r="K1273" i="1"/>
  <c r="K710" i="1"/>
  <c r="K38" i="1"/>
  <c r="K1282" i="1"/>
  <c r="K868" i="1"/>
  <c r="K600" i="1"/>
  <c r="K198" i="1"/>
  <c r="K780" i="1"/>
  <c r="K17" i="1"/>
  <c r="K1193" i="1"/>
  <c r="F4" i="22" s="1"/>
  <c r="K750" i="1"/>
  <c r="K1065" i="1"/>
  <c r="K631" i="1"/>
  <c r="K480" i="1"/>
  <c r="K485" i="1"/>
  <c r="K1465" i="1"/>
  <c r="K636" i="1"/>
  <c r="K1376" i="1"/>
  <c r="K123" i="1"/>
  <c r="K749" i="1"/>
  <c r="K1399" i="1"/>
  <c r="K407" i="1"/>
  <c r="K577" i="1"/>
  <c r="F12" i="19" s="1"/>
  <c r="K506" i="1"/>
  <c r="K317" i="1"/>
  <c r="K26" i="1"/>
  <c r="F3" i="21" l="1"/>
  <c r="F14" i="16"/>
  <c r="F41" i="20"/>
  <c r="E41" i="29"/>
  <c r="F24" i="20"/>
  <c r="F13" i="20"/>
  <c r="F47" i="20"/>
  <c r="E47" i="29"/>
  <c r="F11" i="20"/>
  <c r="F22" i="20"/>
  <c r="F49" i="20"/>
  <c r="E49" i="29"/>
  <c r="F39" i="20"/>
  <c r="E39" i="29"/>
  <c r="F51" i="20"/>
  <c r="E51" i="29"/>
  <c r="F19" i="20"/>
  <c r="F6" i="20"/>
  <c r="F8" i="20"/>
  <c r="F43" i="20"/>
  <c r="E43" i="29"/>
  <c r="F45" i="20"/>
  <c r="E45" i="29"/>
  <c r="F52" i="20"/>
  <c r="E52" i="29"/>
  <c r="F14" i="20"/>
  <c r="F20" i="20"/>
  <c r="F54" i="20"/>
  <c r="E54" i="29"/>
  <c r="F4" i="20"/>
  <c r="F46" i="20"/>
  <c r="E46" i="29"/>
  <c r="F9" i="20"/>
  <c r="F50" i="20"/>
  <c r="E50" i="29"/>
  <c r="F12" i="20"/>
  <c r="F7" i="20"/>
  <c r="F10" i="20"/>
  <c r="F44" i="20"/>
  <c r="E44" i="29"/>
  <c r="F5" i="20"/>
  <c r="F21" i="20"/>
  <c r="F3" i="20"/>
  <c r="F48" i="20"/>
  <c r="E48" i="29"/>
  <c r="F42" i="20"/>
  <c r="E42" i="29"/>
  <c r="F25" i="20"/>
  <c r="F40" i="20"/>
  <c r="E40" i="29"/>
  <c r="F18" i="20"/>
  <c r="F16" i="20"/>
  <c r="F15" i="20"/>
  <c r="F31" i="16"/>
  <c r="F31" i="19"/>
  <c r="F31" i="22"/>
  <c r="F31" i="17"/>
  <c r="F35" i="20"/>
  <c r="F26" i="20"/>
  <c r="F31" i="21"/>
  <c r="F31" i="24"/>
  <c r="F31" i="18"/>
  <c r="F1" i="17"/>
  <c r="F1" i="19"/>
  <c r="G31" i="29" l="1"/>
  <c r="G32" i="29" s="1"/>
  <c r="F31" i="20"/>
  <c r="F32" i="20" s="1"/>
  <c r="H1" i="20" s="1"/>
  <c r="E31" i="29"/>
  <c r="E32" i="29" s="1"/>
  <c r="G1" i="29" s="1"/>
  <c r="E1" i="29"/>
  <c r="F1" i="20"/>
  <c r="F1" i="24"/>
  <c r="F1" i="21"/>
  <c r="F1" i="16"/>
  <c r="F1" i="18"/>
  <c r="F1" i="22"/>
  <c r="F32" i="16"/>
  <c r="H1" i="16" s="1"/>
  <c r="F32" i="21"/>
  <c r="H1" i="21" s="1"/>
  <c r="F32" i="18"/>
  <c r="H1" i="18" s="1"/>
  <c r="F32" i="19"/>
  <c r="H1" i="19" s="1"/>
  <c r="F32" i="22"/>
  <c r="H1" i="22" s="1"/>
  <c r="F32" i="24"/>
  <c r="H1" i="24" s="1"/>
  <c r="F32" i="17"/>
  <c r="H1" i="17" s="1"/>
  <c r="H32" i="18"/>
  <c r="H32" i="16"/>
  <c r="H32" i="20"/>
  <c r="H32" i="19"/>
  <c r="H32" i="24"/>
  <c r="H32" i="17"/>
  <c r="H32" i="21"/>
  <c r="H32" i="22"/>
  <c r="AD4" i="1" l="1"/>
  <c r="AC361" i="1"/>
  <c r="AD361" i="1"/>
  <c r="AC631" i="1"/>
  <c r="AD631" i="1"/>
  <c r="AC122" i="1"/>
  <c r="AD122" i="1"/>
  <c r="AC86" i="1"/>
  <c r="AD86" i="1"/>
  <c r="AC137" i="1"/>
  <c r="AD137" i="1"/>
  <c r="AC524" i="1"/>
  <c r="AD524" i="1"/>
  <c r="AC234" i="1"/>
  <c r="AD234" i="1"/>
  <c r="AC441" i="1"/>
  <c r="AD441" i="1"/>
  <c r="AC487" i="1"/>
  <c r="AD487" i="1"/>
  <c r="AC291" i="1"/>
  <c r="AD291" i="1"/>
  <c r="AC222" i="1"/>
  <c r="AD222" i="1"/>
  <c r="AC886" i="1"/>
  <c r="AD886" i="1"/>
  <c r="AC1194" i="1"/>
  <c r="AD1194" i="1"/>
  <c r="AC918" i="1"/>
  <c r="AD918" i="1"/>
  <c r="AC697" i="1"/>
  <c r="AD697" i="1"/>
  <c r="AC704" i="1"/>
  <c r="AD704" i="1"/>
  <c r="AC588" i="1"/>
  <c r="AD588" i="1"/>
  <c r="AC1125" i="1"/>
  <c r="AD1125" i="1"/>
  <c r="AC1407" i="1"/>
  <c r="AD1407" i="1"/>
  <c r="AC868" i="1"/>
  <c r="AD868" i="1"/>
  <c r="AC1092" i="1"/>
  <c r="AD1092" i="1"/>
  <c r="AC437" i="1"/>
  <c r="AD437" i="1"/>
  <c r="AC161" i="1"/>
  <c r="AD161" i="1"/>
  <c r="AC597" i="1"/>
  <c r="AD597" i="1"/>
  <c r="AC32" i="1"/>
  <c r="AD32" i="1"/>
  <c r="AC482" i="1"/>
  <c r="AD482" i="1"/>
  <c r="AC327" i="1"/>
  <c r="AD327" i="1"/>
  <c r="AC63" i="1"/>
  <c r="AD63" i="1"/>
  <c r="AC263" i="1"/>
  <c r="AD263" i="1"/>
  <c r="AC354" i="1"/>
  <c r="AD354" i="1"/>
  <c r="AC667" i="1"/>
  <c r="AD667" i="1"/>
  <c r="AC218" i="1"/>
  <c r="AD218" i="1"/>
  <c r="AC1121" i="1"/>
  <c r="AD1121" i="1"/>
  <c r="AC452" i="1"/>
  <c r="AD452" i="1"/>
  <c r="AC1298" i="1"/>
  <c r="AD1298" i="1"/>
  <c r="AC126" i="1"/>
  <c r="AD126" i="1"/>
  <c r="AC1189" i="1"/>
  <c r="AD1189" i="1"/>
  <c r="AC417" i="1"/>
  <c r="AD417" i="1"/>
  <c r="AC1331" i="1"/>
  <c r="AD1331" i="1"/>
  <c r="AC1320" i="1"/>
  <c r="AD1320" i="1"/>
  <c r="AC724" i="1"/>
  <c r="AD724" i="1"/>
  <c r="AC1446" i="1"/>
  <c r="AD1446" i="1"/>
  <c r="AC265" i="1"/>
  <c r="AD265" i="1"/>
  <c r="AC363" i="1"/>
  <c r="AD363" i="1"/>
  <c r="AC167" i="1"/>
  <c r="AD167" i="1"/>
  <c r="AC106" i="1"/>
  <c r="AD106" i="1"/>
  <c r="AC514" i="1"/>
  <c r="AD514" i="1"/>
  <c r="AC807" i="1"/>
  <c r="AD807" i="1"/>
  <c r="AC1210" i="1"/>
  <c r="AD1210" i="1"/>
  <c r="AC461" i="1"/>
  <c r="AD461" i="1"/>
  <c r="AC410" i="1"/>
  <c r="AD410" i="1"/>
  <c r="AC288" i="1"/>
  <c r="AD288" i="1"/>
  <c r="AC212" i="1"/>
  <c r="AD212" i="1"/>
  <c r="AC476" i="1"/>
  <c r="AD476" i="1"/>
  <c r="AC47" i="1"/>
  <c r="AD47" i="1"/>
  <c r="AC927" i="1"/>
  <c r="AD927" i="1"/>
  <c r="AC347" i="1"/>
  <c r="AD347" i="1"/>
  <c r="AC261" i="1"/>
  <c r="AD261" i="1"/>
  <c r="AC510" i="1"/>
  <c r="AD510" i="1"/>
  <c r="AC1115" i="1"/>
  <c r="AD1115" i="1"/>
  <c r="AC1300" i="1"/>
  <c r="AD1300" i="1"/>
  <c r="AC662" i="1"/>
  <c r="AD662" i="1"/>
  <c r="AC880" i="1"/>
  <c r="AD880" i="1"/>
  <c r="AC214" i="1"/>
  <c r="AD214" i="1"/>
  <c r="AC40" i="1"/>
  <c r="AD40" i="1"/>
  <c r="AC153" i="1"/>
  <c r="AD153" i="1"/>
  <c r="AC204" i="1"/>
  <c r="AD204" i="1"/>
  <c r="AC951" i="1"/>
  <c r="AD951" i="1"/>
  <c r="AC1150" i="1"/>
  <c r="AD1150" i="1"/>
  <c r="AC316" i="1"/>
  <c r="AD316" i="1"/>
  <c r="AC1046" i="1"/>
  <c r="AD1046" i="1"/>
  <c r="AC331" i="1"/>
  <c r="AD331" i="1"/>
  <c r="AC305" i="1"/>
  <c r="AD305" i="1"/>
  <c r="AC948" i="1"/>
  <c r="AD948" i="1"/>
  <c r="AC826" i="1"/>
  <c r="AD826" i="1"/>
  <c r="AC268" i="1"/>
  <c r="AD268" i="1"/>
  <c r="AC1233" i="1"/>
  <c r="AD1233" i="1"/>
  <c r="AC493" i="1"/>
  <c r="AD493" i="1"/>
  <c r="AC894" i="1"/>
  <c r="AD894" i="1"/>
  <c r="AC1011" i="1"/>
  <c r="AD1011" i="1"/>
  <c r="AC494" i="1"/>
  <c r="AD494" i="1"/>
  <c r="AC258" i="1"/>
  <c r="AD258" i="1"/>
  <c r="AC353" i="1"/>
  <c r="AD353" i="1"/>
  <c r="AC525" i="1"/>
  <c r="AD525" i="1"/>
  <c r="AC60" i="1"/>
  <c r="AD60" i="1"/>
  <c r="AC23" i="1"/>
  <c r="AD23" i="1"/>
  <c r="AC954" i="1"/>
  <c r="AD954" i="1"/>
  <c r="AC483" i="1"/>
  <c r="AD483" i="1"/>
  <c r="AC68" i="1"/>
  <c r="AD68" i="1"/>
  <c r="AC796" i="1"/>
  <c r="AD796" i="1"/>
  <c r="AC550" i="1"/>
  <c r="AD550" i="1"/>
  <c r="AC505" i="1"/>
  <c r="AD505" i="1"/>
  <c r="AC155" i="1"/>
  <c r="AD155" i="1"/>
  <c r="AC186" i="1"/>
  <c r="AD186" i="1"/>
  <c r="AC246" i="1"/>
  <c r="AD246" i="1"/>
  <c r="AC491" i="1"/>
  <c r="AD491" i="1"/>
  <c r="AC979" i="1"/>
  <c r="AD979" i="1"/>
  <c r="AC607" i="1"/>
  <c r="AD607" i="1"/>
  <c r="AC1412" i="1"/>
  <c r="AD1412" i="1"/>
  <c r="AC1052" i="1"/>
  <c r="AD1052" i="1"/>
  <c r="AC678" i="1"/>
  <c r="AD678" i="1"/>
  <c r="AC1013" i="1"/>
  <c r="AD1013" i="1"/>
  <c r="AC961" i="1"/>
  <c r="AD961" i="1"/>
  <c r="AC750" i="1"/>
  <c r="AD750" i="1"/>
  <c r="AC658" i="1"/>
  <c r="AD658" i="1"/>
  <c r="AC1001" i="1"/>
  <c r="AD1001" i="1"/>
  <c r="AC134" i="1"/>
  <c r="AD134" i="1"/>
  <c r="AC125" i="1"/>
  <c r="AD125" i="1"/>
  <c r="AC64" i="1"/>
  <c r="AD64" i="1"/>
  <c r="AC213" i="1"/>
  <c r="AD213" i="1"/>
  <c r="AC843" i="1"/>
  <c r="AD843" i="1"/>
  <c r="AC187" i="1"/>
  <c r="AD187" i="1"/>
  <c r="AC517" i="1"/>
  <c r="AD517" i="1"/>
  <c r="AC356" i="1"/>
  <c r="AD356" i="1"/>
  <c r="AC349" i="1"/>
  <c r="AD349" i="1"/>
  <c r="AC116" i="1"/>
  <c r="AD116" i="1"/>
  <c r="AC112" i="1"/>
  <c r="AD112" i="1"/>
  <c r="AC74" i="1"/>
  <c r="AD74" i="1"/>
  <c r="AC188" i="1"/>
  <c r="AD188" i="1"/>
  <c r="AC1337" i="1"/>
  <c r="AD1337" i="1"/>
  <c r="AC1416" i="1"/>
  <c r="AD1416" i="1"/>
  <c r="AC587" i="1"/>
  <c r="AD587" i="1"/>
  <c r="AC1158" i="1"/>
  <c r="AD1158" i="1"/>
  <c r="AC90" i="1"/>
  <c r="AD90" i="1"/>
  <c r="AC715" i="1"/>
  <c r="AD715" i="1"/>
  <c r="AC152" i="1"/>
  <c r="AD152" i="1"/>
  <c r="AC549" i="1"/>
  <c r="AD549" i="1"/>
  <c r="AC1146" i="1"/>
  <c r="AD1146" i="1"/>
  <c r="AC200" i="1"/>
  <c r="AD200" i="1"/>
  <c r="AC245" i="1"/>
  <c r="AD245" i="1"/>
  <c r="AC191" i="1"/>
  <c r="AD191" i="1"/>
  <c r="AC73" i="1"/>
  <c r="AD73" i="1"/>
  <c r="AC247" i="1"/>
  <c r="AD247" i="1"/>
  <c r="AC537" i="1"/>
  <c r="AD537" i="1"/>
  <c r="AC135" i="1"/>
  <c r="AD135" i="1"/>
  <c r="AC643" i="1"/>
  <c r="AD643" i="1"/>
  <c r="AC225" i="1"/>
  <c r="AD225" i="1"/>
  <c r="AC869" i="1"/>
  <c r="AD869" i="1"/>
  <c r="AC1315" i="1"/>
  <c r="AD1315" i="1"/>
  <c r="AC641" i="1"/>
  <c r="AD641" i="1"/>
  <c r="AC941" i="1"/>
  <c r="AD941" i="1"/>
  <c r="AC201" i="1"/>
  <c r="AD201" i="1"/>
  <c r="AC1296" i="1"/>
  <c r="AD1296" i="1"/>
  <c r="AC118" i="1"/>
  <c r="AD118" i="1"/>
  <c r="AC1007" i="1"/>
  <c r="AD1007" i="1"/>
  <c r="AC1225" i="1"/>
  <c r="AD1225" i="1"/>
  <c r="AC576" i="1"/>
  <c r="AD576" i="1"/>
  <c r="AC303" i="1"/>
  <c r="AD303" i="1"/>
  <c r="AC37" i="1"/>
  <c r="AD37" i="1"/>
  <c r="AC470" i="1"/>
  <c r="AD470" i="1"/>
  <c r="AC97" i="1"/>
  <c r="AD97" i="1"/>
  <c r="AC668" i="1"/>
  <c r="AD668" i="1"/>
  <c r="AC224" i="1"/>
  <c r="AD224" i="1"/>
  <c r="AC237" i="1"/>
  <c r="AD237" i="1"/>
  <c r="AC504" i="1"/>
  <c r="AD504" i="1"/>
  <c r="AC634" i="1"/>
  <c r="AD634" i="1"/>
  <c r="AC473" i="1"/>
  <c r="AD473" i="1"/>
  <c r="AC1072" i="1"/>
  <c r="AD1072" i="1"/>
  <c r="AC516" i="1"/>
  <c r="AD516" i="1"/>
  <c r="AC325" i="1"/>
  <c r="AD325" i="1"/>
  <c r="AC453" i="1"/>
  <c r="AD453" i="1"/>
  <c r="AC1082" i="1"/>
  <c r="AD1082" i="1"/>
  <c r="AC1049" i="1"/>
  <c r="AD1049" i="1"/>
  <c r="AC1076" i="1"/>
  <c r="AD1076" i="1"/>
  <c r="AC1273" i="1"/>
  <c r="AD1273" i="1"/>
  <c r="AC414" i="1"/>
  <c r="AD414" i="1"/>
  <c r="AC706" i="1"/>
  <c r="AD706" i="1"/>
  <c r="AC1462" i="1"/>
  <c r="AD1462" i="1"/>
  <c r="AC1426" i="1"/>
  <c r="AD1426" i="1"/>
  <c r="AC329" i="1"/>
  <c r="AD329" i="1"/>
  <c r="AC1280" i="1"/>
  <c r="AD1280" i="1"/>
  <c r="AC433" i="1"/>
  <c r="AD433" i="1"/>
  <c r="AC220" i="1"/>
  <c r="AD220" i="1"/>
  <c r="AC9" i="1"/>
  <c r="AD9" i="1"/>
  <c r="AC515" i="1"/>
  <c r="AD515" i="1"/>
  <c r="AC646" i="1"/>
  <c r="AD646" i="1"/>
  <c r="AC1045" i="1"/>
  <c r="AD1045" i="1"/>
  <c r="AC217" i="1"/>
  <c r="AD217" i="1"/>
  <c r="AC512" i="1"/>
  <c r="AD512" i="1"/>
  <c r="AC242" i="1"/>
  <c r="AD242" i="1"/>
  <c r="AC39" i="1"/>
  <c r="AD39" i="1"/>
  <c r="AC764" i="1"/>
  <c r="AD764" i="1"/>
  <c r="AC1271" i="1"/>
  <c r="AD1271" i="1"/>
  <c r="AC466" i="1"/>
  <c r="AD466" i="1"/>
  <c r="AC523" i="1"/>
  <c r="AD523" i="1"/>
  <c r="AC674" i="1"/>
  <c r="AD674" i="1"/>
  <c r="AC1095" i="1"/>
  <c r="AD1095" i="1"/>
  <c r="AC232" i="1"/>
  <c r="AD232" i="1"/>
  <c r="AC310" i="1"/>
  <c r="AD310" i="1"/>
  <c r="AC887" i="1"/>
  <c r="AD887" i="1"/>
  <c r="AC666" i="1"/>
  <c r="AD666" i="1"/>
  <c r="AC273" i="1"/>
  <c r="AD273" i="1"/>
  <c r="AC278" i="1"/>
  <c r="AD278" i="1"/>
  <c r="AC113" i="1"/>
  <c r="AD113" i="1"/>
  <c r="AC117" i="1"/>
  <c r="AD117" i="1"/>
  <c r="AC616" i="1"/>
  <c r="AD616" i="1"/>
  <c r="AC721" i="1"/>
  <c r="AD721" i="1"/>
  <c r="AC696" i="1"/>
  <c r="AD696" i="1"/>
  <c r="AC255" i="1"/>
  <c r="AD255" i="1"/>
  <c r="AC109" i="1"/>
  <c r="AD109" i="1"/>
  <c r="AC344" i="1"/>
  <c r="AD344" i="1"/>
  <c r="AC1162" i="1"/>
  <c r="AD1162" i="1"/>
  <c r="AC978" i="1"/>
  <c r="AD978" i="1"/>
  <c r="AC823" i="1"/>
  <c r="AD823" i="1"/>
  <c r="AC1159" i="1"/>
  <c r="AD1159" i="1"/>
  <c r="AC585" i="1"/>
  <c r="AD585" i="1"/>
  <c r="AC921" i="1"/>
  <c r="AD921" i="1"/>
  <c r="AC1303" i="1"/>
  <c r="AD1303" i="1"/>
  <c r="AC1021" i="1"/>
  <c r="AD1021" i="1"/>
  <c r="AC93" i="1"/>
  <c r="AD93" i="1"/>
  <c r="AC388" i="1"/>
  <c r="AD388" i="1"/>
  <c r="AC251" i="1"/>
  <c r="AD251" i="1"/>
  <c r="AC1410" i="1"/>
  <c r="AD1410" i="1"/>
  <c r="AC478" i="1"/>
  <c r="AD478" i="1"/>
  <c r="AC720" i="1"/>
  <c r="AD720" i="1"/>
  <c r="AC596" i="1"/>
  <c r="AD596" i="1"/>
  <c r="AC13" i="1"/>
  <c r="AD13" i="1"/>
  <c r="AC1385" i="1"/>
  <c r="AD1385" i="1"/>
  <c r="AC397" i="1"/>
  <c r="AD397" i="1"/>
  <c r="AC6" i="1"/>
  <c r="AD6" i="1"/>
  <c r="AC815" i="1"/>
  <c r="AD815" i="1"/>
  <c r="AC65" i="1"/>
  <c r="AD65" i="1"/>
  <c r="AC100" i="1"/>
  <c r="AD100" i="1"/>
  <c r="AC52" i="1"/>
  <c r="AD52" i="1"/>
  <c r="AC136" i="1"/>
  <c r="AD136" i="1"/>
  <c r="AC528" i="1"/>
  <c r="AD528" i="1"/>
  <c r="AC548" i="1"/>
  <c r="AD548" i="1"/>
  <c r="AC78" i="1"/>
  <c r="AD78" i="1"/>
  <c r="AC159" i="1"/>
  <c r="AD159" i="1"/>
  <c r="AC158" i="1"/>
  <c r="AD158" i="1"/>
  <c r="AC11" i="1"/>
  <c r="AD11" i="1"/>
  <c r="AC1400" i="1"/>
  <c r="AD1400" i="1"/>
  <c r="AC1177" i="1"/>
  <c r="AD1177" i="1"/>
  <c r="AC1457" i="1"/>
  <c r="AD1457" i="1"/>
  <c r="AC732" i="1"/>
  <c r="AD732" i="1"/>
  <c r="AC871" i="1"/>
  <c r="AD871" i="1"/>
  <c r="AC617" i="1"/>
  <c r="AD617" i="1"/>
  <c r="AC1119" i="1"/>
  <c r="AD1119" i="1"/>
  <c r="AC401" i="1"/>
  <c r="AD401" i="1"/>
  <c r="AC92" i="1"/>
  <c r="AD92" i="1"/>
  <c r="AC743" i="1"/>
  <c r="AD743" i="1"/>
  <c r="AC169" i="1"/>
  <c r="AD169" i="1"/>
  <c r="AC276" i="1"/>
  <c r="AD276" i="1"/>
  <c r="AC890" i="1"/>
  <c r="AD890" i="1"/>
  <c r="AC322" i="1"/>
  <c r="AD322" i="1"/>
  <c r="AC610" i="1"/>
  <c r="AD610" i="1"/>
  <c r="AC207" i="1"/>
  <c r="AD207" i="1"/>
  <c r="AC250" i="1"/>
  <c r="AD250" i="1"/>
  <c r="AC365" i="1"/>
  <c r="AD365" i="1"/>
  <c r="AC243" i="1"/>
  <c r="AD243" i="1"/>
  <c r="AC107" i="1"/>
  <c r="AD107" i="1"/>
  <c r="AC1316" i="1"/>
  <c r="AD1316" i="1"/>
  <c r="AC343" i="1"/>
  <c r="AD343" i="1"/>
  <c r="AC380" i="1"/>
  <c r="AD380" i="1"/>
  <c r="AC791" i="1"/>
  <c r="AD791" i="1"/>
  <c r="AC35" i="1"/>
  <c r="AD35" i="1"/>
  <c r="AC673" i="1"/>
  <c r="AD673" i="1"/>
  <c r="AC1374" i="1"/>
  <c r="AD1374" i="1"/>
  <c r="AC1237" i="1"/>
  <c r="AD1237" i="1"/>
  <c r="AC763" i="1"/>
  <c r="AD763" i="1"/>
  <c r="AC286" i="1"/>
  <c r="AD286" i="1"/>
  <c r="AC1290" i="1"/>
  <c r="AD1290" i="1"/>
  <c r="AC230" i="1"/>
  <c r="AD230" i="1"/>
  <c r="AC177" i="1"/>
  <c r="AD177" i="1"/>
  <c r="AC355" i="1"/>
  <c r="AD355" i="1"/>
  <c r="AC753" i="1"/>
  <c r="AD753" i="1"/>
  <c r="AC735" i="1"/>
  <c r="AD735" i="1"/>
  <c r="AC307" i="1"/>
  <c r="AD307" i="1"/>
  <c r="AC382" i="1"/>
  <c r="AD382" i="1"/>
  <c r="AC540" i="1"/>
  <c r="AD540" i="1"/>
  <c r="AC110" i="1"/>
  <c r="AD110" i="1"/>
  <c r="AC1147" i="1"/>
  <c r="AD1147" i="1"/>
  <c r="AC1175" i="1"/>
  <c r="AD1175" i="1"/>
  <c r="AC1111" i="1"/>
  <c r="AD1111" i="1"/>
  <c r="AC855" i="1"/>
  <c r="AD855" i="1"/>
  <c r="AC1208" i="1"/>
  <c r="AD1208" i="1"/>
  <c r="AC1130" i="1"/>
  <c r="AD1130" i="1"/>
  <c r="AC1226" i="1"/>
  <c r="AD1226" i="1"/>
  <c r="AC176" i="1"/>
  <c r="AD176" i="1"/>
  <c r="AC982" i="1"/>
  <c r="AD982" i="1"/>
  <c r="AC88" i="1"/>
  <c r="AD88" i="1"/>
  <c r="AC1392" i="1"/>
  <c r="AD1392" i="1"/>
  <c r="AC559" i="1"/>
  <c r="AD559" i="1"/>
  <c r="AC392" i="1"/>
  <c r="AD392" i="1"/>
  <c r="AC435" i="1"/>
  <c r="AD435" i="1"/>
  <c r="AC95" i="1"/>
  <c r="AD95" i="1"/>
  <c r="AC1016" i="1"/>
  <c r="AD1016" i="1"/>
  <c r="AC687" i="1"/>
  <c r="AD687" i="1"/>
  <c r="AC1250" i="1"/>
  <c r="AD1250" i="1"/>
  <c r="AC702" i="1"/>
  <c r="AD702" i="1"/>
  <c r="AC96" i="1"/>
  <c r="AD96" i="1"/>
  <c r="AC17" i="1"/>
  <c r="AD17" i="1"/>
  <c r="AC997" i="1"/>
  <c r="AD997" i="1"/>
  <c r="AC1335" i="1"/>
  <c r="AD1335" i="1"/>
  <c r="AC1239" i="1"/>
  <c r="AD1239" i="1"/>
  <c r="AC448" i="1"/>
  <c r="AD448" i="1"/>
  <c r="AC615" i="1"/>
  <c r="AD615" i="1"/>
  <c r="AC1017" i="1"/>
  <c r="AD1017" i="1"/>
  <c r="AC614" i="1"/>
  <c r="AD614" i="1"/>
  <c r="AC283" i="1"/>
  <c r="AD283" i="1"/>
  <c r="AC1197" i="1"/>
  <c r="AD1197" i="1"/>
  <c r="AC572" i="1"/>
  <c r="AD572" i="1"/>
  <c r="AC259" i="1"/>
  <c r="AD259" i="1"/>
  <c r="AC215" i="1"/>
  <c r="AD215" i="1"/>
  <c r="AC449" i="1"/>
  <c r="AD449" i="1"/>
  <c r="AC1375" i="1"/>
  <c r="AD1375" i="1"/>
  <c r="AC233" i="1"/>
  <c r="AD233" i="1"/>
  <c r="AC1180" i="1"/>
  <c r="AD1180" i="1"/>
  <c r="AC773" i="1"/>
  <c r="AD773" i="1"/>
  <c r="AC314" i="1"/>
  <c r="AD314" i="1"/>
  <c r="AC847" i="1"/>
  <c r="AD847" i="1"/>
  <c r="AC413" i="1"/>
  <c r="AD413" i="1"/>
  <c r="AC55" i="1"/>
  <c r="AD55" i="1"/>
  <c r="AC170" i="1"/>
  <c r="AD170" i="1"/>
  <c r="AC1395" i="1"/>
  <c r="AD1395" i="1"/>
  <c r="AC1324" i="1"/>
  <c r="AD1324" i="1"/>
  <c r="AC46" i="1"/>
  <c r="AD46" i="1"/>
  <c r="AC1037" i="1"/>
  <c r="AD1037" i="1"/>
  <c r="AC642" i="1"/>
  <c r="AD642" i="1"/>
  <c r="AC119" i="1"/>
  <c r="AD119" i="1"/>
  <c r="AC425" i="1"/>
  <c r="AD425" i="1"/>
  <c r="AC581" i="1"/>
  <c r="AD581" i="1"/>
  <c r="AC490" i="1"/>
  <c r="AD490" i="1"/>
  <c r="AC29" i="1"/>
  <c r="AD29" i="1"/>
  <c r="AC415" i="1"/>
  <c r="AD415" i="1"/>
  <c r="AC184" i="1"/>
  <c r="AD184" i="1"/>
  <c r="AC788" i="1"/>
  <c r="AD788" i="1"/>
  <c r="AC1358" i="1"/>
  <c r="AD1358" i="1"/>
  <c r="AC569" i="1"/>
  <c r="AD569" i="1"/>
  <c r="AC1472" i="1"/>
  <c r="AD1472" i="1"/>
  <c r="AC690" i="1"/>
  <c r="AD690" i="1"/>
  <c r="AC933" i="1"/>
  <c r="AD933" i="1"/>
  <c r="AC59" i="1"/>
  <c r="AD59" i="1"/>
  <c r="AC533" i="1"/>
  <c r="AD533" i="1"/>
  <c r="AC427" i="1"/>
  <c r="AD427" i="1"/>
  <c r="AC577" i="1"/>
  <c r="AD577" i="1"/>
  <c r="AC1417" i="1"/>
  <c r="AD1417" i="1"/>
  <c r="AC1435" i="1"/>
  <c r="AD1435" i="1"/>
  <c r="AC1232" i="1"/>
  <c r="AD1232" i="1"/>
  <c r="AC737" i="1"/>
  <c r="AD737" i="1"/>
  <c r="AC654" i="1"/>
  <c r="AD654" i="1"/>
  <c r="AC561" i="1"/>
  <c r="AD561" i="1"/>
  <c r="AC688" i="1"/>
  <c r="AD688" i="1"/>
  <c r="AC1070" i="1"/>
  <c r="AD1070" i="1"/>
  <c r="AC1038" i="1"/>
  <c r="AD1038" i="1"/>
  <c r="AC756" i="1"/>
  <c r="AD756" i="1"/>
  <c r="AC147" i="1"/>
  <c r="AD147" i="1"/>
  <c r="AC141" i="1"/>
  <c r="AD141" i="1"/>
  <c r="AC422" i="1"/>
  <c r="AD422" i="1"/>
  <c r="AC480" i="1"/>
  <c r="AD480" i="1"/>
  <c r="AC1279" i="1"/>
  <c r="AD1279" i="1"/>
  <c r="AC1310" i="1"/>
  <c r="AD1310" i="1"/>
  <c r="AC148" i="1"/>
  <c r="AD148" i="1"/>
  <c r="AC1473" i="1"/>
  <c r="AD1473" i="1"/>
  <c r="AC1172" i="1"/>
  <c r="AD1172" i="1"/>
  <c r="AC244" i="1"/>
  <c r="AD244" i="1"/>
  <c r="AC50" i="1"/>
  <c r="AD50" i="1"/>
  <c r="AC648" i="1"/>
  <c r="AD648" i="1"/>
  <c r="AC1014" i="1"/>
  <c r="AD1014" i="1"/>
  <c r="AC1087" i="1"/>
  <c r="AD1087" i="1"/>
  <c r="AC26" i="1"/>
  <c r="AD26" i="1"/>
  <c r="AC1069" i="1"/>
  <c r="AD1069" i="1"/>
  <c r="AC383" i="1"/>
  <c r="AD383" i="1"/>
  <c r="AC1439" i="1"/>
  <c r="AD1439" i="1"/>
  <c r="AC1083" i="1"/>
  <c r="AD1083" i="1"/>
  <c r="AC328" i="1"/>
  <c r="AD328" i="1"/>
  <c r="AC1061" i="1"/>
  <c r="AD1061" i="1"/>
  <c r="AC1135" i="1"/>
  <c r="AD1135" i="1"/>
  <c r="AC700" i="1"/>
  <c r="AD700" i="1"/>
  <c r="AC228" i="1"/>
  <c r="AD228" i="1"/>
  <c r="AC1452" i="1"/>
  <c r="AD1452" i="1"/>
  <c r="AC488" i="1"/>
  <c r="AD488" i="1"/>
  <c r="AC975" i="1"/>
  <c r="AD975" i="1"/>
  <c r="AC399" i="1"/>
  <c r="AD399" i="1"/>
  <c r="AC817" i="1"/>
  <c r="AD817" i="1"/>
  <c r="AC536" i="1"/>
  <c r="AD536" i="1"/>
  <c r="AC1044" i="1"/>
  <c r="AD1044" i="1"/>
  <c r="AC790" i="1"/>
  <c r="AD790" i="1"/>
  <c r="AC729" i="1"/>
  <c r="AD729" i="1"/>
  <c r="AC324" i="1"/>
  <c r="AD324" i="1"/>
  <c r="AC919" i="1"/>
  <c r="AD919" i="1"/>
  <c r="AC1114" i="1"/>
  <c r="AD1114" i="1"/>
  <c r="AC655" i="1"/>
  <c r="AD655" i="1"/>
  <c r="AC638" i="1"/>
  <c r="AD638" i="1"/>
  <c r="AC1291" i="1"/>
  <c r="AD1291" i="1"/>
  <c r="AC1394" i="1"/>
  <c r="AD1394" i="1"/>
  <c r="AC775" i="1"/>
  <c r="AD775" i="1"/>
  <c r="AC1243" i="1"/>
  <c r="AD1243" i="1"/>
  <c r="AC845" i="1"/>
  <c r="AD845" i="1"/>
  <c r="AC381" i="1"/>
  <c r="AD381" i="1"/>
  <c r="AC178" i="1"/>
  <c r="AD178" i="1"/>
  <c r="AC1403" i="1"/>
  <c r="AD1403" i="1"/>
  <c r="AC819" i="1"/>
  <c r="AD819" i="1"/>
  <c r="AC408" i="1"/>
  <c r="AD408" i="1"/>
  <c r="AC1141" i="1"/>
  <c r="AD1141" i="1"/>
  <c r="AC58" i="1"/>
  <c r="AD58" i="1"/>
  <c r="AC1221" i="1"/>
  <c r="AD1221" i="1"/>
  <c r="AC1161" i="1"/>
  <c r="AD1161" i="1"/>
  <c r="AC602" i="1"/>
  <c r="AD602" i="1"/>
  <c r="AC1168" i="1"/>
  <c r="AD1168" i="1"/>
  <c r="AC1206" i="1"/>
  <c r="AD1206" i="1"/>
  <c r="AC1351" i="1"/>
  <c r="AD1351" i="1"/>
  <c r="AC1255" i="1"/>
  <c r="AD1255" i="1"/>
  <c r="AC926" i="1"/>
  <c r="AD926" i="1"/>
  <c r="AC1078" i="1"/>
  <c r="AD1078" i="1"/>
  <c r="AC936" i="1"/>
  <c r="AD936" i="1"/>
  <c r="AC1203" i="1"/>
  <c r="AD1203" i="1"/>
  <c r="AC660" i="1"/>
  <c r="AD660" i="1"/>
  <c r="AC885" i="1"/>
  <c r="AD885" i="1"/>
  <c r="AC538" i="1"/>
  <c r="AD538" i="1"/>
  <c r="AC400" i="1"/>
  <c r="AD400" i="1"/>
  <c r="AC661" i="1"/>
  <c r="AD661" i="1"/>
  <c r="AC45" i="1"/>
  <c r="AD45" i="1"/>
  <c r="AC889" i="1"/>
  <c r="AD889" i="1"/>
  <c r="AC1441" i="1"/>
  <c r="AD1441" i="1"/>
  <c r="AC1116" i="1"/>
  <c r="AD1116" i="1"/>
  <c r="AC727" i="1"/>
  <c r="AD727" i="1"/>
  <c r="AC172" i="1"/>
  <c r="AD172" i="1"/>
  <c r="AC1287" i="1"/>
  <c r="AD1287" i="1"/>
  <c r="AC686" i="1"/>
  <c r="AD686" i="1"/>
  <c r="AC995" i="1"/>
  <c r="AD995" i="1"/>
  <c r="AC1042" i="1"/>
  <c r="AD1042" i="1"/>
  <c r="AC734" i="1"/>
  <c r="AD734" i="1"/>
  <c r="AC206" i="1"/>
  <c r="AD206" i="1"/>
  <c r="AC698" i="1"/>
  <c r="AD698" i="1"/>
  <c r="AC1085" i="1"/>
  <c r="AD1085" i="1"/>
  <c r="AC198" i="1"/>
  <c r="AD198" i="1"/>
  <c r="AC1185" i="1"/>
  <c r="AD1185" i="1"/>
  <c r="AC339" i="1"/>
  <c r="AD339" i="1"/>
  <c r="AC1174" i="1"/>
  <c r="AD1174" i="1"/>
  <c r="AC627" i="1"/>
  <c r="AD627" i="1"/>
  <c r="AC527" i="1"/>
  <c r="AD527" i="1"/>
  <c r="AC612" i="1"/>
  <c r="AD612" i="1"/>
  <c r="AC254" i="1"/>
  <c r="AD254" i="1"/>
  <c r="AC853" i="1"/>
  <c r="AD853" i="1"/>
  <c r="AC181" i="1"/>
  <c r="AD181" i="1"/>
  <c r="AC1474" i="1"/>
  <c r="AD1474" i="1"/>
  <c r="AC507" i="1"/>
  <c r="AD507" i="1"/>
  <c r="AC665" i="1"/>
  <c r="AD665" i="1"/>
  <c r="AC824" i="1"/>
  <c r="AD824" i="1"/>
  <c r="AC1050" i="1"/>
  <c r="AD1050" i="1"/>
  <c r="AC1338" i="1"/>
  <c r="AD1338" i="1"/>
  <c r="AC477" i="1"/>
  <c r="AD477" i="1"/>
  <c r="AC138" i="1"/>
  <c r="AD138" i="1"/>
  <c r="AC745" i="1"/>
  <c r="AD745" i="1"/>
  <c r="AC563" i="1"/>
  <c r="AD563" i="1"/>
  <c r="AC751" i="1"/>
  <c r="AD751" i="1"/>
  <c r="AC969" i="1"/>
  <c r="AD969" i="1"/>
  <c r="AC833" i="1"/>
  <c r="AD833" i="1"/>
  <c r="AC280" i="1"/>
  <c r="AD280" i="1"/>
  <c r="AC1059" i="1"/>
  <c r="AD1059" i="1"/>
  <c r="AC1012" i="1"/>
  <c r="AD1012" i="1"/>
  <c r="AC275" i="1"/>
  <c r="AD275" i="1"/>
  <c r="AC1319" i="1"/>
  <c r="AD1319" i="1"/>
  <c r="AC1294" i="1"/>
  <c r="AD1294" i="1"/>
  <c r="AC1405" i="1"/>
  <c r="AD1405" i="1"/>
  <c r="AC145" i="1"/>
  <c r="AD145" i="1"/>
  <c r="AC836" i="1"/>
  <c r="AD836" i="1"/>
  <c r="AC866" i="1"/>
  <c r="AD866" i="1"/>
  <c r="AC522" i="1"/>
  <c r="AD522" i="1"/>
  <c r="AC970" i="1"/>
  <c r="AD970" i="1"/>
  <c r="AC1433" i="1"/>
  <c r="AD1433" i="1"/>
  <c r="AC130" i="1"/>
  <c r="AD130" i="1"/>
  <c r="AC80" i="1"/>
  <c r="AD80" i="1"/>
  <c r="AC1314" i="1"/>
  <c r="AD1314" i="1"/>
  <c r="AC66" i="1"/>
  <c r="AD66" i="1"/>
  <c r="AC82" i="1"/>
  <c r="AD82" i="1"/>
  <c r="AC1097" i="1"/>
  <c r="AD1097" i="1"/>
  <c r="AC486" i="1"/>
  <c r="AD486" i="1"/>
  <c r="AC194" i="1"/>
  <c r="AD194" i="1"/>
  <c r="AC485" i="1"/>
  <c r="AD485" i="1"/>
  <c r="AC313" i="1"/>
  <c r="AD313" i="1"/>
  <c r="AC1238" i="1"/>
  <c r="AD1238" i="1"/>
  <c r="AC1387" i="1"/>
  <c r="AD1387" i="1"/>
  <c r="AC1149" i="1"/>
  <c r="AD1149" i="1"/>
  <c r="AC992" i="1"/>
  <c r="AD992" i="1"/>
  <c r="AC406" i="1"/>
  <c r="AD406" i="1"/>
  <c r="AC980" i="1"/>
  <c r="AD980" i="1"/>
  <c r="AC1057" i="1"/>
  <c r="AD1057" i="1"/>
  <c r="AC502" i="1"/>
  <c r="AD502" i="1"/>
  <c r="AC636" i="1"/>
  <c r="AD636" i="1"/>
  <c r="AC335" i="1"/>
  <c r="AD335" i="1"/>
  <c r="AC1345" i="1"/>
  <c r="AD1345" i="1"/>
  <c r="AC864" i="1"/>
  <c r="AD864" i="1"/>
  <c r="AC1268" i="1"/>
  <c r="AD1268" i="1"/>
  <c r="AC1034" i="1"/>
  <c r="AD1034" i="1"/>
  <c r="AC1213" i="1"/>
  <c r="AD1213" i="1"/>
  <c r="AC1266" i="1"/>
  <c r="AD1266" i="1"/>
  <c r="AC738" i="1"/>
  <c r="AD738" i="1"/>
  <c r="AC562" i="1"/>
  <c r="AD562" i="1"/>
  <c r="AC598" i="1"/>
  <c r="AD598" i="1"/>
  <c r="AC1257" i="1"/>
  <c r="AD1257" i="1"/>
  <c r="AC1220" i="1"/>
  <c r="AD1220" i="1"/>
  <c r="AC934" i="1"/>
  <c r="AD934" i="1"/>
  <c r="AC1182" i="1"/>
  <c r="AD1182" i="1"/>
  <c r="AC892" i="1"/>
  <c r="AD892" i="1"/>
  <c r="AC1305" i="1"/>
  <c r="AD1305" i="1"/>
  <c r="AC180" i="1"/>
  <c r="AD180" i="1"/>
  <c r="AC814" i="1"/>
  <c r="AD814" i="1"/>
  <c r="AC1207" i="1"/>
  <c r="AD1207" i="1"/>
  <c r="AC653" i="1"/>
  <c r="AD653" i="1"/>
  <c r="AC1460" i="1"/>
  <c r="AD1460" i="1"/>
  <c r="AC108" i="1"/>
  <c r="AD108" i="1"/>
  <c r="AC501" i="1"/>
  <c r="AD501" i="1"/>
  <c r="AC87" i="1"/>
  <c r="AD87" i="1"/>
  <c r="AC226" i="1"/>
  <c r="AD226" i="1"/>
  <c r="AC1173" i="1"/>
  <c r="AD1173" i="1"/>
  <c r="AC925" i="1"/>
  <c r="AD925" i="1"/>
  <c r="AC369" i="1"/>
  <c r="AD369" i="1"/>
  <c r="AC1339" i="1"/>
  <c r="AD1339" i="1"/>
  <c r="AC1262" i="1"/>
  <c r="AD1262" i="1"/>
  <c r="AC299" i="1"/>
  <c r="AD299" i="1"/>
  <c r="AC1427" i="1"/>
  <c r="AD1427" i="1"/>
  <c r="AC195" i="1"/>
  <c r="AD195" i="1"/>
  <c r="AC551" i="1"/>
  <c r="AD551" i="1"/>
  <c r="AC1390" i="1"/>
  <c r="AD1390" i="1"/>
  <c r="AC292" i="1"/>
  <c r="AD292" i="1"/>
  <c r="AC484" i="1"/>
  <c r="AD484" i="1"/>
  <c r="AC1396" i="1"/>
  <c r="AD1396" i="1"/>
  <c r="AC1468" i="1"/>
  <c r="AD1468" i="1"/>
  <c r="AC54" i="1"/>
  <c r="AD54" i="1"/>
  <c r="AC741" i="1"/>
  <c r="AD741" i="1"/>
  <c r="AC924" i="1"/>
  <c r="AD924" i="1"/>
  <c r="AC784" i="1"/>
  <c r="AD784" i="1"/>
  <c r="AC910" i="1"/>
  <c r="AD910" i="1"/>
  <c r="AC776" i="1"/>
  <c r="AD776" i="1"/>
  <c r="AC371" i="1"/>
  <c r="AD371" i="1"/>
  <c r="AC405" i="1"/>
  <c r="AD405" i="1"/>
  <c r="AC854" i="1"/>
  <c r="AD854" i="1"/>
  <c r="AC712" i="1"/>
  <c r="AD712" i="1"/>
  <c r="AC249" i="1"/>
  <c r="AD249" i="1"/>
  <c r="AC629" i="1"/>
  <c r="AD629" i="1"/>
  <c r="AC1293" i="1"/>
  <c r="AD1293" i="1"/>
  <c r="AC1118" i="1"/>
  <c r="AD1118" i="1"/>
  <c r="AC782" i="1"/>
  <c r="AD782" i="1"/>
  <c r="AC879" i="1"/>
  <c r="AD879" i="1"/>
  <c r="AC1444" i="1"/>
  <c r="AD1444" i="1"/>
  <c r="AC931" i="1"/>
  <c r="AD931" i="1"/>
  <c r="AC210" i="1"/>
  <c r="AD210" i="1"/>
  <c r="AC671" i="1"/>
  <c r="AD671" i="1"/>
  <c r="AC567" i="1"/>
  <c r="AD567" i="1"/>
  <c r="AC1234" i="1"/>
  <c r="AD1234" i="1"/>
  <c r="AC988" i="1"/>
  <c r="AD988" i="1"/>
  <c r="AC358" i="1"/>
  <c r="AD358" i="1"/>
  <c r="AC991" i="1"/>
  <c r="AD991" i="1"/>
  <c r="AC694" i="1"/>
  <c r="AD694" i="1"/>
  <c r="AC722" i="1"/>
  <c r="AD722" i="1"/>
  <c r="AC163" i="1"/>
  <c r="AD163" i="1"/>
  <c r="AC1024" i="1"/>
  <c r="AD1024" i="1"/>
  <c r="AC683" i="1"/>
  <c r="AD683" i="1"/>
  <c r="AC1103" i="1"/>
  <c r="AD1103" i="1"/>
  <c r="AC1383" i="1"/>
  <c r="AD1383" i="1"/>
  <c r="AC36" i="1"/>
  <c r="AD36" i="1"/>
  <c r="AC426" i="1"/>
  <c r="AD426" i="1"/>
  <c r="AC1134" i="1"/>
  <c r="AD1134" i="1"/>
  <c r="AC430" i="1"/>
  <c r="AD430" i="1"/>
  <c r="AC1347" i="1"/>
  <c r="AD1347" i="1"/>
  <c r="AC471" i="1"/>
  <c r="AD471" i="1"/>
  <c r="AC386" i="1"/>
  <c r="AD386" i="1"/>
  <c r="AC1283" i="1"/>
  <c r="AD1283" i="1"/>
  <c r="AC166" i="1"/>
  <c r="AD166" i="1"/>
  <c r="AC1354" i="1"/>
  <c r="AD1354" i="1"/>
  <c r="AC1160" i="1"/>
  <c r="AD1160" i="1"/>
  <c r="AC223" i="1"/>
  <c r="AD223" i="1"/>
  <c r="AC589" i="1"/>
  <c r="AD589" i="1"/>
  <c r="AC1286" i="1"/>
  <c r="AD1286" i="1"/>
  <c r="AC876" i="1"/>
  <c r="AD876" i="1"/>
  <c r="AC162" i="1"/>
  <c r="AD162" i="1"/>
  <c r="AC330" i="1"/>
  <c r="AD330" i="1"/>
  <c r="AC1429" i="1"/>
  <c r="AD1429" i="1"/>
  <c r="AC20" i="1"/>
  <c r="AD20" i="1"/>
  <c r="AC359" i="1"/>
  <c r="AD359" i="1"/>
  <c r="AC451" i="1"/>
  <c r="AD451" i="1"/>
  <c r="AC366" i="1"/>
  <c r="AD366" i="1"/>
  <c r="AC987" i="1"/>
  <c r="AD987" i="1"/>
  <c r="AC173" i="1"/>
  <c r="AD173" i="1"/>
  <c r="AC976" i="1"/>
  <c r="AD976" i="1"/>
  <c r="AC746" i="1"/>
  <c r="AD746" i="1"/>
  <c r="AC1325" i="1"/>
  <c r="AD1325" i="1"/>
  <c r="AC326" i="1"/>
  <c r="AD326" i="1"/>
  <c r="AC77" i="1"/>
  <c r="AD77" i="1"/>
  <c r="AC632" i="1"/>
  <c r="AD632" i="1"/>
  <c r="AC439" i="1"/>
  <c r="AD439" i="1"/>
  <c r="AC1215" i="1"/>
  <c r="AD1215" i="1"/>
  <c r="AC1450" i="1"/>
  <c r="AD1450" i="1"/>
  <c r="AC199" i="1"/>
  <c r="AD199" i="1"/>
  <c r="AC733" i="1"/>
  <c r="AD733" i="1"/>
  <c r="AC1157" i="1"/>
  <c r="AD1157" i="1"/>
  <c r="AC1027" i="1"/>
  <c r="AD1027" i="1"/>
  <c r="AC1230" i="1"/>
  <c r="AD1230" i="1"/>
  <c r="AC91" i="1"/>
  <c r="AD91" i="1"/>
  <c r="AC197" i="1"/>
  <c r="AD197" i="1"/>
  <c r="AC1031" i="1"/>
  <c r="AD1031" i="1"/>
  <c r="AC102" i="1"/>
  <c r="AD102" i="1"/>
  <c r="AC901" i="1"/>
  <c r="AD901" i="1"/>
  <c r="AC1190" i="1"/>
  <c r="AD1190" i="1"/>
  <c r="AC539" i="1"/>
  <c r="AD539" i="1"/>
  <c r="AC336" i="1"/>
  <c r="AD336" i="1"/>
  <c r="AC469" i="1"/>
  <c r="AD469" i="1"/>
  <c r="AC156" i="1"/>
  <c r="AD156" i="1"/>
  <c r="AC519" i="1"/>
  <c r="AD519" i="1"/>
  <c r="AC1166" i="1"/>
  <c r="AD1166" i="1"/>
  <c r="AC424" i="1"/>
  <c r="AD424" i="1"/>
  <c r="AC1464" i="1"/>
  <c r="AD1464" i="1"/>
  <c r="AC1432" i="1"/>
  <c r="AD1432" i="1"/>
  <c r="AC521" i="1"/>
  <c r="AD521" i="1"/>
  <c r="AC387" i="1"/>
  <c r="AD387" i="1"/>
  <c r="AC468" i="1"/>
  <c r="AD468" i="1"/>
  <c r="AC1063" i="1"/>
  <c r="AD1063" i="1"/>
  <c r="AC10" i="1"/>
  <c r="AD10" i="1"/>
  <c r="AC739" i="1"/>
  <c r="AD739" i="1"/>
  <c r="AC1321" i="1"/>
  <c r="AD1321" i="1"/>
  <c r="AC1366" i="1"/>
  <c r="AD1366" i="1"/>
  <c r="AC895" i="1"/>
  <c r="AD895" i="1"/>
  <c r="AC1244" i="1"/>
  <c r="AD1244" i="1"/>
  <c r="AC974" i="1"/>
  <c r="AD974" i="1"/>
  <c r="AC884" i="1"/>
  <c r="AD884" i="1"/>
  <c r="AC575" i="1"/>
  <c r="AD575" i="1"/>
  <c r="AC1204" i="1"/>
  <c r="AD1204" i="1"/>
  <c r="AC541" i="1"/>
  <c r="AD541" i="1"/>
  <c r="AC306" i="1"/>
  <c r="AD306" i="1"/>
  <c r="AC584" i="1"/>
  <c r="AD584" i="1"/>
  <c r="AC840" i="1"/>
  <c r="AD840" i="1"/>
  <c r="AC83" i="1"/>
  <c r="AD83" i="1"/>
  <c r="AC379" i="1"/>
  <c r="AD379" i="1"/>
  <c r="AC1259" i="1"/>
  <c r="AD1259" i="1"/>
  <c r="AC872" i="1"/>
  <c r="AD872" i="1"/>
  <c r="AC535" i="1"/>
  <c r="AD535" i="1"/>
  <c r="AC1411" i="1"/>
  <c r="AD1411" i="1"/>
  <c r="AC1030" i="1"/>
  <c r="AD1030" i="1"/>
  <c r="AC888" i="1"/>
  <c r="AD888" i="1"/>
  <c r="AC846" i="1"/>
  <c r="AD846" i="1"/>
  <c r="AC41" i="1"/>
  <c r="AD41" i="1"/>
  <c r="AC464" i="1"/>
  <c r="AD464" i="1"/>
  <c r="AC903" i="1"/>
  <c r="AD903" i="1"/>
  <c r="AC622" i="1"/>
  <c r="AD622" i="1"/>
  <c r="AC337" i="1"/>
  <c r="AD337" i="1"/>
  <c r="AC781" i="1"/>
  <c r="AD781" i="1"/>
  <c r="AC1099" i="1"/>
  <c r="AD1099" i="1"/>
  <c r="AC1306" i="1"/>
  <c r="AD1306" i="1"/>
  <c r="AC1009" i="1"/>
  <c r="AD1009" i="1"/>
  <c r="AC1330" i="1"/>
  <c r="AD1330" i="1"/>
  <c r="AC24" i="1"/>
  <c r="AD24" i="1"/>
  <c r="AC1202" i="1"/>
  <c r="AD1202" i="1"/>
  <c r="AC652" i="1"/>
  <c r="AD652" i="1"/>
  <c r="AC772" i="1"/>
  <c r="AD772" i="1"/>
  <c r="AC1178" i="1"/>
  <c r="AD1178" i="1"/>
  <c r="AC635" i="1"/>
  <c r="AD635" i="1"/>
  <c r="AC731" i="1"/>
  <c r="AD731" i="1"/>
  <c r="AC1047" i="1"/>
  <c r="AD1047" i="1"/>
  <c r="AC503" i="1"/>
  <c r="AD503" i="1"/>
  <c r="AC334" i="1"/>
  <c r="AD334" i="1"/>
  <c r="AC1380" i="1"/>
  <c r="AD1380" i="1"/>
  <c r="AC238" i="1"/>
  <c r="AD238" i="1"/>
  <c r="AC131" i="1"/>
  <c r="AD131" i="1"/>
  <c r="AC900" i="1"/>
  <c r="AD900" i="1"/>
  <c r="AC71" i="1"/>
  <c r="AD71" i="1"/>
  <c r="AC952" i="1"/>
  <c r="AD952" i="1"/>
  <c r="AC766" i="1"/>
  <c r="AD766" i="1"/>
  <c r="AC870" i="1"/>
  <c r="AD870" i="1"/>
  <c r="AC565" i="1"/>
  <c r="AD565" i="1"/>
  <c r="AC1363" i="1"/>
  <c r="AD1363" i="1"/>
  <c r="AC1241" i="1"/>
  <c r="AD1241" i="1"/>
  <c r="AC1304" i="1"/>
  <c r="AD1304" i="1"/>
  <c r="AC809" i="1"/>
  <c r="AD809" i="1"/>
  <c r="AC1389" i="1"/>
  <c r="AD1389" i="1"/>
  <c r="AC618" i="1"/>
  <c r="AD618" i="1"/>
  <c r="AC1126" i="1"/>
  <c r="AD1126" i="1"/>
  <c r="AC803" i="1"/>
  <c r="AD803" i="1"/>
  <c r="AC917" i="1"/>
  <c r="AD917" i="1"/>
  <c r="AC857" i="1"/>
  <c r="AD857" i="1"/>
  <c r="AC626" i="1"/>
  <c r="AD626" i="1"/>
  <c r="AC459" i="1"/>
  <c r="AD459" i="1"/>
  <c r="AC462" i="1"/>
  <c r="AD462" i="1"/>
  <c r="AC1404" i="1"/>
  <c r="AD1404" i="1"/>
  <c r="AC190" i="1"/>
  <c r="AD190" i="1"/>
  <c r="AC881" i="1"/>
  <c r="AD881" i="1"/>
  <c r="AC1131" i="1"/>
  <c r="AD1131" i="1"/>
  <c r="AC592" i="1"/>
  <c r="AD592" i="1"/>
  <c r="AC831" i="1"/>
  <c r="AD831" i="1"/>
  <c r="AC85" i="1"/>
  <c r="AD85" i="1"/>
  <c r="AC270" i="1"/>
  <c r="AD270" i="1"/>
  <c r="AC1133" i="1"/>
  <c r="AD1133" i="1"/>
  <c r="AC241" i="1"/>
  <c r="AD241" i="1"/>
  <c r="AC398" i="1"/>
  <c r="AD398" i="1"/>
  <c r="AC499" i="1"/>
  <c r="AD499" i="1"/>
  <c r="AC757" i="1"/>
  <c r="AD757" i="1"/>
  <c r="AC1248" i="1"/>
  <c r="AD1248" i="1"/>
  <c r="AC825" i="1"/>
  <c r="AD825" i="1"/>
  <c r="AC725" i="1"/>
  <c r="AD725" i="1"/>
  <c r="AC681" i="1"/>
  <c r="AD681" i="1"/>
  <c r="AC818" i="1"/>
  <c r="AD818" i="1"/>
  <c r="AC749" i="1"/>
  <c r="AD749" i="1"/>
  <c r="AC1274" i="1"/>
  <c r="AD1274" i="1"/>
  <c r="AC297" i="1"/>
  <c r="AD297" i="1"/>
  <c r="AC174" i="1"/>
  <c r="AD174" i="1"/>
  <c r="AC105" i="1"/>
  <c r="AD105" i="1"/>
  <c r="AC440" i="1"/>
  <c r="AD440" i="1"/>
  <c r="AC684" i="1"/>
  <c r="AD684" i="1"/>
  <c r="AC377" i="1"/>
  <c r="AD377" i="1"/>
  <c r="AC1261" i="1"/>
  <c r="AD1261" i="1"/>
  <c r="AC1453" i="1"/>
  <c r="AD1453" i="1"/>
  <c r="AC1350" i="1"/>
  <c r="AD1350" i="1"/>
  <c r="AC436" i="1"/>
  <c r="AD436" i="1"/>
  <c r="AC1120" i="1"/>
  <c r="AD1120" i="1"/>
  <c r="AC1117" i="1"/>
  <c r="AD1117" i="1"/>
  <c r="AC394" i="1"/>
  <c r="AD394" i="1"/>
  <c r="AC637" i="1"/>
  <c r="AD637" i="1"/>
  <c r="AC726" i="1"/>
  <c r="AD726" i="1"/>
  <c r="AC904" i="1"/>
  <c r="AD904" i="1"/>
  <c r="AC1214" i="1"/>
  <c r="AD1214" i="1"/>
  <c r="AC128" i="1"/>
  <c r="AD128" i="1"/>
  <c r="AC1289" i="1"/>
  <c r="AD1289" i="1"/>
  <c r="AC998" i="1"/>
  <c r="AD998" i="1"/>
  <c r="AC624" i="1"/>
  <c r="AD624" i="1"/>
  <c r="AC957" i="1"/>
  <c r="AD957" i="1"/>
  <c r="AC943" i="1"/>
  <c r="AD943" i="1"/>
  <c r="AC61" i="1"/>
  <c r="AD61" i="1"/>
  <c r="AC133" i="1"/>
  <c r="AD133" i="1"/>
  <c r="AC260" i="1"/>
  <c r="AD260" i="1"/>
  <c r="AC916" i="1"/>
  <c r="AD916" i="1"/>
  <c r="AC94" i="1"/>
  <c r="AD94" i="1"/>
  <c r="AC1382" i="1"/>
  <c r="AD1382" i="1"/>
  <c r="AC546" i="1"/>
  <c r="AD546" i="1"/>
  <c r="AC792" i="1"/>
  <c r="AD792" i="1"/>
  <c r="AC692" i="1"/>
  <c r="AD692" i="1"/>
  <c r="AC474" i="1"/>
  <c r="AD474" i="1"/>
  <c r="AC902" i="1"/>
  <c r="AD902" i="1"/>
  <c r="AC262" i="1"/>
  <c r="AD262" i="1"/>
  <c r="AC384" i="1"/>
  <c r="AD384" i="1"/>
  <c r="AC31" i="1"/>
  <c r="AD31" i="1"/>
  <c r="AC472" i="1"/>
  <c r="AD472" i="1"/>
  <c r="AC611" i="1"/>
  <c r="AD611" i="1"/>
  <c r="AC797" i="1"/>
  <c r="AD797" i="1"/>
  <c r="AC1419" i="1"/>
  <c r="AD1419" i="1"/>
  <c r="AC385" i="1"/>
  <c r="AD385" i="1"/>
  <c r="AC1122" i="1"/>
  <c r="AD1122" i="1"/>
  <c r="AC573" i="1"/>
  <c r="AD573" i="1"/>
  <c r="AC1301" i="1"/>
  <c r="AD1301" i="1"/>
  <c r="AC165" i="1"/>
  <c r="AD165" i="1"/>
  <c r="AC1169" i="1"/>
  <c r="AD1169" i="1"/>
  <c r="AC689" i="1"/>
  <c r="AD689" i="1"/>
  <c r="AC248" i="1"/>
  <c r="AD248" i="1"/>
  <c r="AC816" i="1"/>
  <c r="AD816" i="1"/>
  <c r="AC57" i="1"/>
  <c r="AD57" i="1"/>
  <c r="AC829" i="1"/>
  <c r="AD829" i="1"/>
  <c r="AC1311" i="1"/>
  <c r="AD1311" i="1"/>
  <c r="AC695" i="1"/>
  <c r="AD695" i="1"/>
  <c r="AC1181" i="1"/>
  <c r="AD1181" i="1"/>
  <c r="AC960" i="1"/>
  <c r="AD960" i="1"/>
  <c r="AC950" i="1"/>
  <c r="AD950" i="1"/>
  <c r="AC1288" i="1"/>
  <c r="AD1288" i="1"/>
  <c r="AC1254" i="1"/>
  <c r="AD1254" i="1"/>
  <c r="AC859" i="1"/>
  <c r="AD859" i="1"/>
  <c r="AC33" i="1"/>
  <c r="AD33" i="1"/>
  <c r="AC532" i="1"/>
  <c r="AD532" i="1"/>
  <c r="AC1211" i="1"/>
  <c r="AD1211" i="1"/>
  <c r="AC389" i="1"/>
  <c r="AD389" i="1"/>
  <c r="AC1033" i="1"/>
  <c r="AD1033" i="1"/>
  <c r="AC939" i="1"/>
  <c r="AD939" i="1"/>
  <c r="AC315" i="1"/>
  <c r="AD315" i="1"/>
  <c r="AC1326" i="1"/>
  <c r="AD1326" i="1"/>
  <c r="AC923" i="1"/>
  <c r="AD923" i="1"/>
  <c r="AC49" i="1"/>
  <c r="AD49" i="1"/>
  <c r="AC75" i="1"/>
  <c r="AD75" i="1"/>
  <c r="AC1064" i="1"/>
  <c r="AD1064" i="1"/>
  <c r="AC296" i="1"/>
  <c r="AD296" i="1"/>
  <c r="AC409" i="1"/>
  <c r="AD409" i="1"/>
  <c r="AC239" i="1"/>
  <c r="AD239" i="1"/>
  <c r="AC748" i="1"/>
  <c r="AD748" i="1"/>
  <c r="AC716" i="1"/>
  <c r="AD716" i="1"/>
  <c r="AC1343" i="1"/>
  <c r="AD1343" i="1"/>
  <c r="AC56" i="1"/>
  <c r="AD56" i="1"/>
  <c r="AC103" i="1"/>
  <c r="AD103" i="1"/>
  <c r="AC883" i="1"/>
  <c r="AD883" i="1"/>
  <c r="AC458" i="1"/>
  <c r="AD458" i="1"/>
  <c r="AC594" i="1"/>
  <c r="AD594" i="1"/>
  <c r="AC860" i="1"/>
  <c r="AD860" i="1"/>
  <c r="AC236" i="1"/>
  <c r="AD236" i="1"/>
  <c r="AC378" i="1"/>
  <c r="AD378" i="1"/>
  <c r="AC1228" i="1"/>
  <c r="AD1228" i="1"/>
  <c r="AC1094" i="1"/>
  <c r="AD1094" i="1"/>
  <c r="AC311" i="1"/>
  <c r="AD311" i="1"/>
  <c r="AC1388" i="1"/>
  <c r="AD1388" i="1"/>
  <c r="AC672" i="1"/>
  <c r="AD672" i="1"/>
  <c r="AC1428" i="1"/>
  <c r="AD1428" i="1"/>
  <c r="AC114" i="1"/>
  <c r="AD114" i="1"/>
  <c r="AC994" i="1"/>
  <c r="AD994" i="1"/>
  <c r="AC1102" i="1"/>
  <c r="AD1102" i="1"/>
  <c r="AC185" i="1"/>
  <c r="AD185" i="1"/>
  <c r="AC1075" i="1"/>
  <c r="AD1075" i="1"/>
  <c r="AC269" i="1"/>
  <c r="AD269" i="1"/>
  <c r="AC70" i="1"/>
  <c r="AD70" i="1"/>
  <c r="AC1010" i="1"/>
  <c r="AD1010" i="1"/>
  <c r="AC513" i="1"/>
  <c r="AD513" i="1"/>
  <c r="AC640" i="1"/>
  <c r="AD640" i="1"/>
  <c r="AC789" i="1"/>
  <c r="AD789" i="1"/>
  <c r="AC1152" i="1"/>
  <c r="AD1152" i="1"/>
  <c r="AC294" i="1"/>
  <c r="AD294" i="1"/>
  <c r="AC28" i="1"/>
  <c r="AD28" i="1"/>
  <c r="AC758" i="1"/>
  <c r="AD758" i="1"/>
  <c r="AC282" i="1"/>
  <c r="AD282" i="1"/>
  <c r="AC1028" i="1"/>
  <c r="AD1028" i="1"/>
  <c r="AC1051" i="1"/>
  <c r="AD1051" i="1"/>
  <c r="AC928" i="1"/>
  <c r="AD928" i="1"/>
  <c r="AC1353" i="1"/>
  <c r="AD1353" i="1"/>
  <c r="AC1018" i="1"/>
  <c r="AD1018" i="1"/>
  <c r="AC423" i="1"/>
  <c r="AD423" i="1"/>
  <c r="AC874" i="1"/>
  <c r="AD874" i="1"/>
  <c r="AC1260" i="1"/>
  <c r="AD1260" i="1"/>
  <c r="AC124" i="1"/>
  <c r="AD124" i="1"/>
  <c r="AC526" i="1"/>
  <c r="AD526" i="1"/>
  <c r="AC630" i="1"/>
  <c r="AD630" i="1"/>
  <c r="AC1438" i="1"/>
  <c r="AD1438" i="1"/>
  <c r="AC434" i="1"/>
  <c r="AD434" i="1"/>
  <c r="AC196" i="1"/>
  <c r="AD196" i="1"/>
  <c r="AC1040" i="1"/>
  <c r="AD1040" i="1"/>
  <c r="AC835" i="1"/>
  <c r="AD835" i="1"/>
  <c r="AC719" i="1"/>
  <c r="AD719" i="1"/>
  <c r="AC770" i="1"/>
  <c r="AD770" i="1"/>
  <c r="AC1336" i="1"/>
  <c r="AD1336" i="1"/>
  <c r="AC736" i="1"/>
  <c r="AD736" i="1"/>
  <c r="AC508" i="1"/>
  <c r="AD508" i="1"/>
  <c r="AC44" i="1"/>
  <c r="AD44" i="1"/>
  <c r="AC830" i="1"/>
  <c r="AD830" i="1"/>
  <c r="AC1138" i="1"/>
  <c r="AD1138" i="1"/>
  <c r="AC395" i="1"/>
  <c r="AD395" i="1"/>
  <c r="AC1367" i="1"/>
  <c r="AD1367" i="1"/>
  <c r="AC944" i="1"/>
  <c r="AD944" i="1"/>
  <c r="AC403" i="1"/>
  <c r="AD403" i="1"/>
  <c r="AC277" i="1"/>
  <c r="AD277" i="1"/>
  <c r="AC754" i="1"/>
  <c r="AD754" i="1"/>
  <c r="AC986" i="1"/>
  <c r="AD986" i="1"/>
  <c r="AC851" i="1"/>
  <c r="AD851" i="1"/>
  <c r="AC1231" i="1"/>
  <c r="AD1231" i="1"/>
  <c r="AC1384" i="1"/>
  <c r="AD1384" i="1"/>
  <c r="AC1420" i="1"/>
  <c r="AD1420" i="1"/>
  <c r="AC240" i="1"/>
  <c r="AD240" i="1"/>
  <c r="AC257" i="1"/>
  <c r="AD257" i="1"/>
  <c r="AC1179" i="1"/>
  <c r="AD1179" i="1"/>
  <c r="AC580" i="1"/>
  <c r="AD580" i="1"/>
  <c r="AC811" i="1"/>
  <c r="AD811" i="1"/>
  <c r="AC1041" i="1"/>
  <c r="AD1041" i="1"/>
  <c r="AC940" i="1"/>
  <c r="AD940" i="1"/>
  <c r="AC1035" i="1"/>
  <c r="AD1035" i="1"/>
  <c r="AC832" i="1"/>
  <c r="AD832" i="1"/>
  <c r="AC821" i="1"/>
  <c r="AD821" i="1"/>
  <c r="AC820" i="1"/>
  <c r="AD820" i="1"/>
  <c r="AC873" i="1"/>
  <c r="AD873" i="1"/>
  <c r="AC411" i="1"/>
  <c r="AD411" i="1"/>
  <c r="AC1434" i="1"/>
  <c r="AD1434" i="1"/>
  <c r="AC1019" i="1"/>
  <c r="AD1019" i="1"/>
  <c r="AC500" i="1"/>
  <c r="AD500" i="1"/>
  <c r="AC553" i="1"/>
  <c r="AD553" i="1"/>
  <c r="AC1276" i="1"/>
  <c r="AD1276" i="1"/>
  <c r="AC774" i="1"/>
  <c r="AD774" i="1"/>
  <c r="AC81" i="1"/>
  <c r="AD81" i="1"/>
  <c r="AC625" i="1"/>
  <c r="AD625" i="1"/>
  <c r="AC154" i="1"/>
  <c r="AD154" i="1"/>
  <c r="AC1275" i="1"/>
  <c r="AD1275" i="1"/>
  <c r="AC1270" i="1"/>
  <c r="AD1270" i="1"/>
  <c r="AC1025" i="1"/>
  <c r="AD1025" i="1"/>
  <c r="AC1222" i="1"/>
  <c r="AD1222" i="1"/>
  <c r="AC360" i="1"/>
  <c r="AD360" i="1"/>
  <c r="AC1000" i="1"/>
  <c r="AD1000" i="1"/>
  <c r="AC101" i="1"/>
  <c r="AD101" i="1"/>
  <c r="AC1167" i="1"/>
  <c r="AD1167" i="1"/>
  <c r="AC604" i="1"/>
  <c r="AD604" i="1"/>
  <c r="AC497" i="1"/>
  <c r="AD497" i="1"/>
  <c r="AC1086" i="1"/>
  <c r="AD1086" i="1"/>
  <c r="AC374" i="1"/>
  <c r="AD374" i="1"/>
  <c r="AC1423" i="1"/>
  <c r="AD1423" i="1"/>
  <c r="AC1469" i="1"/>
  <c r="AD1469" i="1"/>
  <c r="AC1409" i="1"/>
  <c r="AD1409" i="1"/>
  <c r="AC1081" i="1"/>
  <c r="AD1081" i="1"/>
  <c r="AC1327" i="1"/>
  <c r="AD1327" i="1"/>
  <c r="AC175" i="1"/>
  <c r="AD175" i="1"/>
  <c r="AC115" i="1"/>
  <c r="AD115" i="1"/>
  <c r="AC1148" i="1"/>
  <c r="AD1148" i="1"/>
  <c r="AC1112" i="1"/>
  <c r="AD1112" i="1"/>
  <c r="AC1054" i="1"/>
  <c r="AD1054" i="1"/>
  <c r="AC460" i="1"/>
  <c r="AD460" i="1"/>
  <c r="AC309" i="1"/>
  <c r="AD309" i="1"/>
  <c r="AC850" i="1"/>
  <c r="AD850" i="1"/>
  <c r="AC202" i="1"/>
  <c r="AD202" i="1"/>
  <c r="AC1055" i="1"/>
  <c r="AD1055" i="1"/>
  <c r="AC53" i="1"/>
  <c r="AD53" i="1"/>
  <c r="AC1022" i="1"/>
  <c r="AD1022" i="1"/>
  <c r="AC342" i="1"/>
  <c r="AD342" i="1"/>
  <c r="AC810" i="1"/>
  <c r="AD810" i="1"/>
  <c r="AC1088" i="1"/>
  <c r="AD1088" i="1"/>
  <c r="AC318" i="1"/>
  <c r="AD318" i="1"/>
  <c r="AC1393" i="1"/>
  <c r="AD1393" i="1"/>
  <c r="AC1184" i="1"/>
  <c r="AD1184" i="1"/>
  <c r="AC12" i="1"/>
  <c r="AD12" i="1"/>
  <c r="AC570" i="1"/>
  <c r="AD570" i="1"/>
  <c r="AC1329" i="1"/>
  <c r="AD1329" i="1"/>
  <c r="AC416" i="1"/>
  <c r="AD416" i="1"/>
  <c r="AC209" i="1"/>
  <c r="AD209" i="1"/>
  <c r="AC542" i="1"/>
  <c r="AD542" i="1"/>
  <c r="AC25" i="1"/>
  <c r="AD25" i="1"/>
  <c r="AC670" i="1"/>
  <c r="AD670" i="1"/>
  <c r="AC723" i="1"/>
  <c r="AD723" i="1"/>
  <c r="AC1318" i="1"/>
  <c r="AD1318" i="1"/>
  <c r="AC1240" i="1"/>
  <c r="AD1240" i="1"/>
  <c r="AC351" i="1"/>
  <c r="AD351" i="1"/>
  <c r="AC21" i="1"/>
  <c r="AD21" i="1"/>
  <c r="AC1170" i="1"/>
  <c r="AD1170" i="1"/>
  <c r="AC1376" i="1"/>
  <c r="AD1376" i="1"/>
  <c r="AC812" i="1"/>
  <c r="AD812" i="1"/>
  <c r="AC150" i="1"/>
  <c r="AD150" i="1"/>
  <c r="AC183" i="1"/>
  <c r="AD183" i="1"/>
  <c r="AC728" i="1"/>
  <c r="AD728" i="1"/>
  <c r="AC877" i="1"/>
  <c r="AD877" i="1"/>
  <c r="AC182" i="1"/>
  <c r="AD182" i="1"/>
  <c r="AC808" i="1"/>
  <c r="AD808" i="1"/>
  <c r="AC844" i="1"/>
  <c r="AD844" i="1"/>
  <c r="AC1370" i="1"/>
  <c r="AD1370" i="1"/>
  <c r="AC794" i="1"/>
  <c r="AD794" i="1"/>
  <c r="AC1340" i="1"/>
  <c r="AD1340" i="1"/>
  <c r="AC848" i="1"/>
  <c r="AD848" i="1"/>
  <c r="AC221" i="1"/>
  <c r="AD221" i="1"/>
  <c r="AC828" i="1"/>
  <c r="AD828" i="1"/>
  <c r="AC568" i="1"/>
  <c r="AD568" i="1"/>
  <c r="AC1084" i="1"/>
  <c r="AD1084" i="1"/>
  <c r="AC1139" i="1"/>
  <c r="AD1139" i="1"/>
  <c r="AC1378" i="1"/>
  <c r="AD1378" i="1"/>
  <c r="AC518" i="1"/>
  <c r="AD518" i="1"/>
  <c r="AC913" i="1"/>
  <c r="AD913" i="1"/>
  <c r="AC51" i="1"/>
  <c r="AD51" i="1"/>
  <c r="AC990" i="1"/>
  <c r="AD990" i="1"/>
  <c r="AC1476" i="1"/>
  <c r="AD1476" i="1"/>
  <c r="AC759" i="1"/>
  <c r="AD759" i="1"/>
  <c r="AC620" i="1"/>
  <c r="AD620" i="1"/>
  <c r="AC1430" i="1"/>
  <c r="AD1430" i="1"/>
  <c r="AC1269" i="1"/>
  <c r="AD1269" i="1"/>
  <c r="AC341" i="1"/>
  <c r="AD341" i="1"/>
  <c r="AC1391" i="1"/>
  <c r="AD1391" i="1"/>
  <c r="AC714" i="1"/>
  <c r="AD714" i="1"/>
  <c r="AC767" i="1"/>
  <c r="AD767" i="1"/>
  <c r="AC849" i="1"/>
  <c r="AD849" i="1"/>
  <c r="AC72" i="1"/>
  <c r="AD72" i="1"/>
  <c r="AC402" i="1"/>
  <c r="AD402" i="1"/>
  <c r="AC1043" i="1"/>
  <c r="AD1043" i="1"/>
  <c r="AC971" i="1"/>
  <c r="AD971" i="1"/>
  <c r="AC281" i="1"/>
  <c r="AD281" i="1"/>
  <c r="AC111" i="1"/>
  <c r="AD111" i="1"/>
  <c r="AC465" i="1"/>
  <c r="AD465" i="1"/>
  <c r="AC1443" i="1"/>
  <c r="AD1443" i="1"/>
  <c r="AC1414" i="1"/>
  <c r="AD1414" i="1"/>
  <c r="AC799" i="1"/>
  <c r="AD799" i="1"/>
  <c r="AC621" i="1"/>
  <c r="AD621" i="1"/>
  <c r="AC813" i="1"/>
  <c r="AD813" i="1"/>
  <c r="AC1247" i="1"/>
  <c r="AD1247" i="1"/>
  <c r="AC289" i="1"/>
  <c r="AD289" i="1"/>
  <c r="AC1164" i="1"/>
  <c r="AD1164" i="1"/>
  <c r="AC839" i="1"/>
  <c r="AD839" i="1"/>
  <c r="AC300" i="1"/>
  <c r="AD300" i="1"/>
  <c r="AC955" i="1"/>
  <c r="AD955" i="1"/>
  <c r="AC530" i="1"/>
  <c r="AD530" i="1"/>
  <c r="AC1397" i="1"/>
  <c r="AD1397" i="1"/>
  <c r="AC76" i="1"/>
  <c r="AD76" i="1"/>
  <c r="AC842" i="1"/>
  <c r="AD842" i="1"/>
  <c r="AC682" i="1"/>
  <c r="AD682" i="1"/>
  <c r="AC582" i="1"/>
  <c r="AD582" i="1"/>
  <c r="AC146" i="1"/>
  <c r="AD146" i="1"/>
  <c r="AC391" i="1"/>
  <c r="AD391" i="1"/>
  <c r="AC981" i="1"/>
  <c r="AD981" i="1"/>
  <c r="AC127" i="1"/>
  <c r="AD127" i="1"/>
  <c r="AC1187" i="1"/>
  <c r="AD1187" i="1"/>
  <c r="AC838" i="1"/>
  <c r="AD838" i="1"/>
  <c r="AC492" i="1"/>
  <c r="AD492" i="1"/>
  <c r="AC972" i="1"/>
  <c r="AD972" i="1"/>
  <c r="AC489" i="1"/>
  <c r="AD489" i="1"/>
  <c r="AC1124" i="1"/>
  <c r="AD1124" i="1"/>
  <c r="AC608" i="1"/>
  <c r="AD608" i="1"/>
  <c r="AC1145" i="1"/>
  <c r="AD1145" i="1"/>
  <c r="AC1098" i="1"/>
  <c r="AD1098" i="1"/>
  <c r="AC1284" i="1"/>
  <c r="AD1284" i="1"/>
  <c r="AC18" i="1"/>
  <c r="AD18" i="1"/>
  <c r="AC1067" i="1"/>
  <c r="AD1067" i="1"/>
  <c r="AC554" i="1"/>
  <c r="AD554" i="1"/>
  <c r="AC84" i="1"/>
  <c r="AD84" i="1"/>
  <c r="AC1032" i="1"/>
  <c r="AD1032" i="1"/>
  <c r="AC558" i="1"/>
  <c r="AD558" i="1"/>
  <c r="AC691" i="1"/>
  <c r="AD691" i="1"/>
  <c r="AC219" i="1"/>
  <c r="AD219" i="1"/>
  <c r="AC579" i="1"/>
  <c r="AD579" i="1"/>
  <c r="AC1015" i="1"/>
  <c r="AD1015" i="1"/>
  <c r="AC308" i="1"/>
  <c r="AD308" i="1"/>
  <c r="AC1295" i="1"/>
  <c r="AD1295" i="1"/>
  <c r="AC777" i="1"/>
  <c r="AD777" i="1"/>
  <c r="AC783" i="1"/>
  <c r="AD783" i="1"/>
  <c r="AC143" i="1"/>
  <c r="AD143" i="1"/>
  <c r="AC1307" i="1"/>
  <c r="AD1307" i="1"/>
  <c r="AC1036" i="1"/>
  <c r="AD1036" i="1"/>
  <c r="AC1312" i="1"/>
  <c r="AD1312" i="1"/>
  <c r="AC104" i="1"/>
  <c r="AD104" i="1"/>
  <c r="AC506" i="1"/>
  <c r="AD506" i="1"/>
  <c r="AC1371" i="1"/>
  <c r="AD1371" i="1"/>
  <c r="AC938" i="1"/>
  <c r="AD938" i="1"/>
  <c r="AC256" i="1"/>
  <c r="AD256" i="1"/>
  <c r="AC1101" i="1"/>
  <c r="AD1101" i="1"/>
  <c r="AC99" i="1"/>
  <c r="AD99" i="1"/>
  <c r="AC340" i="1"/>
  <c r="AD340" i="1"/>
  <c r="AC98" i="1"/>
  <c r="AD98" i="1"/>
  <c r="AC42" i="1"/>
  <c r="AD42" i="1"/>
  <c r="AC613" i="1"/>
  <c r="AD613" i="1"/>
  <c r="AC675" i="1"/>
  <c r="AD675" i="1"/>
  <c r="AC1299" i="1"/>
  <c r="AD1299" i="1"/>
  <c r="AC323" i="1"/>
  <c r="AD323" i="1"/>
  <c r="AC1475" i="1"/>
  <c r="AD1475" i="1"/>
  <c r="AC897" i="1"/>
  <c r="AD897" i="1"/>
  <c r="AC806" i="1"/>
  <c r="AD806" i="1"/>
  <c r="AC603" i="1"/>
  <c r="AD603" i="1"/>
  <c r="AC1401" i="1"/>
  <c r="AD1401" i="1"/>
  <c r="AC1355" i="1"/>
  <c r="AD1355" i="1"/>
  <c r="AC1137" i="1"/>
  <c r="AD1137" i="1"/>
  <c r="AC129" i="1"/>
  <c r="AD129" i="1"/>
  <c r="AC267" i="1"/>
  <c r="AD267" i="1"/>
  <c r="AC475" i="1"/>
  <c r="AD475" i="1"/>
  <c r="AC827" i="1"/>
  <c r="AD827" i="1"/>
  <c r="AC977" i="1"/>
  <c r="AD977" i="1"/>
  <c r="AC69" i="1"/>
  <c r="AD69" i="1"/>
  <c r="AC679" i="1"/>
  <c r="AD679" i="1"/>
  <c r="AC1297" i="1"/>
  <c r="AD1297" i="1"/>
  <c r="AC601" i="1"/>
  <c r="AD601" i="1"/>
  <c r="AC1199" i="1"/>
  <c r="AD1199" i="1"/>
  <c r="AC1478" i="1"/>
  <c r="AD1478" i="1"/>
  <c r="AC1437" i="1"/>
  <c r="AD1437" i="1"/>
  <c r="AC15" i="1"/>
  <c r="AD15" i="1"/>
  <c r="AC1074" i="1"/>
  <c r="AD1074" i="1"/>
  <c r="AC703" i="1"/>
  <c r="AD703" i="1"/>
  <c r="AC645" i="1"/>
  <c r="AD645" i="1"/>
  <c r="AC443" i="1"/>
  <c r="AD443" i="1"/>
  <c r="AC432" i="1"/>
  <c r="AD432" i="1"/>
  <c r="AC1352" i="1"/>
  <c r="AD1352" i="1"/>
  <c r="AC905" i="1"/>
  <c r="AD905" i="1"/>
  <c r="AC1192" i="1"/>
  <c r="AD1192" i="1"/>
  <c r="AC1454" i="1"/>
  <c r="AD1454" i="1"/>
  <c r="AC1198" i="1"/>
  <c r="AD1198" i="1"/>
  <c r="AC760" i="1"/>
  <c r="AD760" i="1"/>
  <c r="AC1171" i="1"/>
  <c r="AD1171" i="1"/>
  <c r="AC467" i="1"/>
  <c r="AD467" i="1"/>
  <c r="AC1333" i="1"/>
  <c r="AD1333" i="1"/>
  <c r="AC1108" i="1"/>
  <c r="AD1108" i="1"/>
  <c r="AC1193" i="1"/>
  <c r="AD1193" i="1"/>
  <c r="AC168" i="1"/>
  <c r="AD168" i="1"/>
  <c r="AC942" i="1"/>
  <c r="AD942" i="1"/>
  <c r="AC647" i="1"/>
  <c r="AD647" i="1"/>
  <c r="AC710" i="1"/>
  <c r="AD710" i="1"/>
  <c r="AC973" i="1"/>
  <c r="AD973" i="1"/>
  <c r="AC1377" i="1"/>
  <c r="AD1377" i="1"/>
  <c r="AC1026" i="1"/>
  <c r="AD1026" i="1"/>
  <c r="AC321" i="1"/>
  <c r="AD321" i="1"/>
  <c r="AC1096" i="1"/>
  <c r="AD1096" i="1"/>
  <c r="AC428" i="1"/>
  <c r="AD428" i="1"/>
  <c r="AC1073" i="1"/>
  <c r="AD1073" i="1"/>
  <c r="AC967" i="1"/>
  <c r="AD967" i="1"/>
  <c r="AC189" i="1"/>
  <c r="AD189" i="1"/>
  <c r="AC420" i="1"/>
  <c r="AD420" i="1"/>
  <c r="AC606" i="1"/>
  <c r="AD606" i="1"/>
  <c r="AC705" i="1"/>
  <c r="AD705" i="1"/>
  <c r="AC983" i="1"/>
  <c r="AD983" i="1"/>
  <c r="AC1217" i="1"/>
  <c r="AD1217" i="1"/>
  <c r="AC996" i="1"/>
  <c r="AD996" i="1"/>
  <c r="AC1465" i="1"/>
  <c r="AD1465" i="1"/>
  <c r="AC1224" i="1"/>
  <c r="AD1224" i="1"/>
  <c r="AC708" i="1"/>
  <c r="AD708" i="1"/>
  <c r="AC1080" i="1"/>
  <c r="AD1080" i="1"/>
  <c r="AC1127" i="1"/>
  <c r="AD1127" i="1"/>
  <c r="AC1442" i="1"/>
  <c r="AD1442" i="1"/>
  <c r="AC179" i="1"/>
  <c r="AD179" i="1"/>
  <c r="AC935" i="1"/>
  <c r="AD935" i="1"/>
  <c r="AC793" i="1"/>
  <c r="AD793" i="1"/>
  <c r="AC1323" i="1"/>
  <c r="AD1323" i="1"/>
  <c r="AC211" i="1"/>
  <c r="AD211" i="1"/>
  <c r="AC1267" i="1"/>
  <c r="AD1267" i="1"/>
  <c r="AC1328" i="1"/>
  <c r="AD1328" i="1"/>
  <c r="AC802" i="1"/>
  <c r="AD802" i="1"/>
  <c r="AC431" i="1"/>
  <c r="AD431" i="1"/>
  <c r="AC1029" i="1"/>
  <c r="AD1029" i="1"/>
  <c r="AC121" i="1"/>
  <c r="AD121" i="1"/>
  <c r="AC804" i="1"/>
  <c r="AD804" i="1"/>
  <c r="AC780" i="1"/>
  <c r="AD780" i="1"/>
  <c r="AC968" i="1"/>
  <c r="AD968" i="1"/>
  <c r="AC740" i="1"/>
  <c r="AD740" i="1"/>
  <c r="AC1362" i="1"/>
  <c r="AD1362" i="1"/>
  <c r="AC1205" i="1"/>
  <c r="AD1205" i="1"/>
  <c r="AC1209" i="1"/>
  <c r="AD1209" i="1"/>
  <c r="AC769" i="1"/>
  <c r="AD769" i="1"/>
  <c r="AC229" i="1"/>
  <c r="AD229" i="1"/>
  <c r="AC1357" i="1"/>
  <c r="AD1357" i="1"/>
  <c r="AC67" i="1"/>
  <c r="AD67" i="1"/>
  <c r="AC560" i="1"/>
  <c r="AD560" i="1"/>
  <c r="AC419" i="1"/>
  <c r="AD419" i="1"/>
  <c r="AC1183" i="1"/>
  <c r="AD1183" i="1"/>
  <c r="AC1200" i="1"/>
  <c r="AD1200" i="1"/>
  <c r="AC396" i="1"/>
  <c r="AD396" i="1"/>
  <c r="AC375" i="1"/>
  <c r="AD375" i="1"/>
  <c r="AC1218" i="1"/>
  <c r="AD1218" i="1"/>
  <c r="AC946" i="1"/>
  <c r="AD946" i="1"/>
  <c r="AC456" i="1"/>
  <c r="AD456" i="1"/>
  <c r="AC1359" i="1"/>
  <c r="AD1359" i="1"/>
  <c r="AC1277" i="1"/>
  <c r="AD1277" i="1"/>
  <c r="AC937" i="1"/>
  <c r="AD937" i="1"/>
  <c r="AC1212" i="1"/>
  <c r="AD1212" i="1"/>
  <c r="AC744" i="1"/>
  <c r="AD744" i="1"/>
  <c r="AC302" i="1"/>
  <c r="AD302" i="1"/>
  <c r="AC1449" i="1"/>
  <c r="AD1449" i="1"/>
  <c r="AC669" i="1"/>
  <c r="AD669" i="1"/>
  <c r="AC1399" i="1"/>
  <c r="AD1399" i="1"/>
  <c r="AC1313" i="1"/>
  <c r="AD1313" i="1"/>
  <c r="AC1398" i="1"/>
  <c r="AD1398" i="1"/>
  <c r="AC1379" i="1"/>
  <c r="AD1379" i="1"/>
  <c r="AC1156" i="1"/>
  <c r="AD1156" i="1"/>
  <c r="AC164" i="1"/>
  <c r="AD164" i="1"/>
  <c r="AC404" i="1"/>
  <c r="AD404" i="1"/>
  <c r="AC1455" i="1"/>
  <c r="AD1455" i="1"/>
  <c r="AC235" i="1"/>
  <c r="AD235" i="1"/>
  <c r="AC1129" i="1"/>
  <c r="AD1129" i="1"/>
  <c r="AC1425" i="1"/>
  <c r="AD1425" i="1"/>
  <c r="AC1062" i="1"/>
  <c r="AD1062" i="1"/>
  <c r="AC368" i="1"/>
  <c r="AD368" i="1"/>
  <c r="AC590" i="1"/>
  <c r="AD590" i="1"/>
  <c r="AC333" i="1"/>
  <c r="AD333" i="1"/>
  <c r="AC412" i="1"/>
  <c r="AD412" i="1"/>
  <c r="AC544" i="1"/>
  <c r="AD544" i="1"/>
  <c r="AC920" i="1"/>
  <c r="AD920" i="1"/>
  <c r="AC930" i="1"/>
  <c r="AD930" i="1"/>
  <c r="AC301" i="1"/>
  <c r="AD301" i="1"/>
  <c r="AC205" i="1"/>
  <c r="AD205" i="1"/>
  <c r="AC27" i="1"/>
  <c r="AD27" i="1"/>
  <c r="AC345" i="1"/>
  <c r="AD345" i="1"/>
  <c r="AC1467" i="1"/>
  <c r="AD1467" i="1"/>
  <c r="AC953" i="1"/>
  <c r="AD953" i="1"/>
  <c r="AC1246" i="1"/>
  <c r="AD1246" i="1"/>
  <c r="AC157" i="1"/>
  <c r="AD157" i="1"/>
  <c r="AC989" i="1"/>
  <c r="AD989" i="1"/>
  <c r="AC1402" i="1"/>
  <c r="AD1402" i="1"/>
  <c r="AC531" i="1"/>
  <c r="AD531" i="1"/>
  <c r="AC785" i="1"/>
  <c r="AD785" i="1"/>
  <c r="AC1322" i="1"/>
  <c r="AD1322" i="1"/>
  <c r="AC271" i="1"/>
  <c r="AD271" i="1"/>
  <c r="AC1422" i="1"/>
  <c r="AD1422" i="1"/>
  <c r="AC1408" i="1"/>
  <c r="AD1408" i="1"/>
  <c r="AC312" i="1"/>
  <c r="AD312" i="1"/>
  <c r="AC1154" i="1"/>
  <c r="AD1154" i="1"/>
  <c r="AC231" i="1"/>
  <c r="AD231" i="1"/>
  <c r="AC685" i="1"/>
  <c r="AD685" i="1"/>
  <c r="AC911" i="1"/>
  <c r="AD911" i="1"/>
  <c r="AC1348" i="1"/>
  <c r="AD1348" i="1"/>
  <c r="AC578" i="1"/>
  <c r="AD578" i="1"/>
  <c r="AC151" i="1"/>
  <c r="AD151" i="1"/>
  <c r="AC1373" i="1"/>
  <c r="AD1373" i="1"/>
  <c r="AC649" i="1"/>
  <c r="AD649" i="1"/>
  <c r="AC1004" i="1"/>
  <c r="AD1004" i="1"/>
  <c r="AC1249" i="1"/>
  <c r="AD1249" i="1"/>
  <c r="AC1317" i="1"/>
  <c r="AD1317" i="1"/>
  <c r="AC1256" i="1"/>
  <c r="AD1256" i="1"/>
  <c r="AC752" i="1"/>
  <c r="AD752" i="1"/>
  <c r="AC1242" i="1"/>
  <c r="AD1242" i="1"/>
  <c r="AC142" i="1"/>
  <c r="AD142" i="1"/>
  <c r="AC676" i="1"/>
  <c r="AD676" i="1"/>
  <c r="AC595" i="1"/>
  <c r="AD595" i="1"/>
  <c r="AC1415" i="1"/>
  <c r="AD1415" i="1"/>
  <c r="AC22" i="1"/>
  <c r="AD22" i="1"/>
  <c r="AC264" i="1"/>
  <c r="AD264" i="1"/>
  <c r="AC841" i="1"/>
  <c r="AD841" i="1"/>
  <c r="AC547" i="1"/>
  <c r="AD547" i="1"/>
  <c r="AC1292" i="1"/>
  <c r="AD1292" i="1"/>
  <c r="AC1265" i="1"/>
  <c r="AD1265" i="1"/>
  <c r="AC511" i="1"/>
  <c r="AD511" i="1"/>
  <c r="AC1107" i="1"/>
  <c r="AD1107" i="1"/>
  <c r="AC863" i="1"/>
  <c r="AD863" i="1"/>
  <c r="AC1039" i="1"/>
  <c r="AD1039" i="1"/>
  <c r="AC755" i="1"/>
  <c r="AD755" i="1"/>
  <c r="AC48" i="1"/>
  <c r="AD48" i="1"/>
  <c r="AC1281" i="1"/>
  <c r="AD1281" i="1"/>
  <c r="AC633" i="1"/>
  <c r="AD633" i="1"/>
  <c r="AC252" i="1"/>
  <c r="AD252" i="1"/>
  <c r="AC529" i="1"/>
  <c r="AD529" i="1"/>
  <c r="AC1302" i="1"/>
  <c r="AD1302" i="1"/>
  <c r="AC284" i="1"/>
  <c r="AD284" i="1"/>
  <c r="AC822" i="1"/>
  <c r="AD822" i="1"/>
  <c r="AC768" i="1"/>
  <c r="AD768" i="1"/>
  <c r="AC699" i="1"/>
  <c r="AD699" i="1"/>
  <c r="AC771" i="1"/>
  <c r="AD771" i="1"/>
  <c r="AC787" i="1"/>
  <c r="AD787" i="1"/>
  <c r="AC320" i="1"/>
  <c r="AD320" i="1"/>
  <c r="AC858" i="1"/>
  <c r="AD858" i="1"/>
  <c r="AC290" i="1"/>
  <c r="AD290" i="1"/>
  <c r="AC1236" i="1"/>
  <c r="AD1236" i="1"/>
  <c r="AC438" i="1"/>
  <c r="AD438" i="1"/>
  <c r="AC446" i="1"/>
  <c r="AD446" i="1"/>
  <c r="AC1332" i="1"/>
  <c r="AD1332" i="1"/>
  <c r="AC896" i="1"/>
  <c r="AD896" i="1"/>
  <c r="AC1223" i="1"/>
  <c r="AD1223" i="1"/>
  <c r="AC1227" i="1"/>
  <c r="AD1227" i="1"/>
  <c r="AC304" i="1"/>
  <c r="AD304" i="1"/>
  <c r="AC985" i="1"/>
  <c r="AD985" i="1"/>
  <c r="AC1079" i="1"/>
  <c r="AD1079" i="1"/>
  <c r="AC747" i="1"/>
  <c r="AD747" i="1"/>
  <c r="AC1264" i="1"/>
  <c r="AD1264" i="1"/>
  <c r="AC445" i="1"/>
  <c r="AD445" i="1"/>
  <c r="AC534" i="1"/>
  <c r="AD534" i="1"/>
  <c r="AC1451" i="1"/>
  <c r="AD1451" i="1"/>
  <c r="AC1006" i="1"/>
  <c r="AD1006" i="1"/>
  <c r="AC1341" i="1"/>
  <c r="AD1341" i="1"/>
  <c r="AC600" i="1"/>
  <c r="AD600" i="1"/>
  <c r="AC701" i="1"/>
  <c r="AD701" i="1"/>
  <c r="AC1360" i="1"/>
  <c r="AD1360" i="1"/>
  <c r="AC43" i="1"/>
  <c r="AD43" i="1"/>
  <c r="AC1048" i="1"/>
  <c r="AD1048" i="1"/>
  <c r="AC1263" i="1"/>
  <c r="AD1263" i="1"/>
  <c r="AC639" i="1"/>
  <c r="AD639" i="1"/>
  <c r="AC893" i="1"/>
  <c r="AD893" i="1"/>
  <c r="AC765" i="1"/>
  <c r="AD765" i="1"/>
  <c r="AC1229" i="1"/>
  <c r="AD1229" i="1"/>
  <c r="AC713" i="1"/>
  <c r="AD713" i="1"/>
  <c r="AC915" i="1"/>
  <c r="AD915" i="1"/>
  <c r="AC1093" i="1"/>
  <c r="AD1093" i="1"/>
  <c r="AC1440" i="1"/>
  <c r="AD1440" i="1"/>
  <c r="AC1477" i="1"/>
  <c r="AD1477" i="1"/>
  <c r="AC338" i="1"/>
  <c r="AD338" i="1"/>
  <c r="AC1066" i="1"/>
  <c r="AD1066" i="1"/>
  <c r="AC1110" i="1"/>
  <c r="AD1110" i="1"/>
  <c r="AC586" i="1"/>
  <c r="AD586" i="1"/>
  <c r="AC454" i="1"/>
  <c r="AD454" i="1"/>
  <c r="AC709" i="1"/>
  <c r="AD709" i="1"/>
  <c r="AC956" i="1"/>
  <c r="AD956" i="1"/>
  <c r="AC1470" i="1"/>
  <c r="AD1470" i="1"/>
  <c r="AC1068" i="1"/>
  <c r="AD1068" i="1"/>
  <c r="AC574" i="1"/>
  <c r="AD574" i="1"/>
  <c r="AC1308" i="1"/>
  <c r="AD1308" i="1"/>
  <c r="AC346" i="1"/>
  <c r="AD346" i="1"/>
  <c r="AC1020" i="1"/>
  <c r="AD1020" i="1"/>
  <c r="AC1100" i="1"/>
  <c r="AD1100" i="1"/>
  <c r="AC1023" i="1"/>
  <c r="AD1023" i="1"/>
  <c r="AC171" i="1"/>
  <c r="AD171" i="1"/>
  <c r="AC1091" i="1"/>
  <c r="AD1091" i="1"/>
  <c r="AC348" i="1"/>
  <c r="AD348" i="1"/>
  <c r="AC730" i="1"/>
  <c r="AD730" i="1"/>
  <c r="AC203" i="1"/>
  <c r="AD203" i="1"/>
  <c r="AC761" i="1"/>
  <c r="AD761" i="1"/>
  <c r="AC1195" i="1"/>
  <c r="AD1195" i="1"/>
  <c r="AC1479" i="1"/>
  <c r="AD1479" i="1"/>
  <c r="AC1005" i="1"/>
  <c r="AD1005" i="1"/>
  <c r="AC742" i="1"/>
  <c r="AD742" i="1"/>
  <c r="AC908" i="1"/>
  <c r="AD908" i="1"/>
  <c r="AC1458" i="1"/>
  <c r="AD1458" i="1"/>
  <c r="AC798" i="1"/>
  <c r="AD798" i="1"/>
  <c r="AC1201" i="1"/>
  <c r="AD1201" i="1"/>
  <c r="AC1251" i="1"/>
  <c r="AD1251" i="1"/>
  <c r="AC227" i="1"/>
  <c r="AD227" i="1"/>
  <c r="AC1151" i="1"/>
  <c r="AD1151" i="1"/>
  <c r="AC298" i="1"/>
  <c r="AD298" i="1"/>
  <c r="AC479" i="1"/>
  <c r="AD479" i="1"/>
  <c r="AC1104" i="1"/>
  <c r="AD1104" i="1"/>
  <c r="AC463" i="1"/>
  <c r="AD463" i="1"/>
  <c r="AC1368" i="1"/>
  <c r="AD1368" i="1"/>
  <c r="AC962" i="1"/>
  <c r="AD962" i="1"/>
  <c r="AC779" i="1"/>
  <c r="AD779" i="1"/>
  <c r="AC1278" i="1"/>
  <c r="AD1278" i="1"/>
  <c r="AC1188" i="1"/>
  <c r="AD1188" i="1"/>
  <c r="AC1342" i="1"/>
  <c r="AD1342" i="1"/>
  <c r="AC591" i="1"/>
  <c r="AD591" i="1"/>
  <c r="AC393" i="1"/>
  <c r="AD393" i="1"/>
  <c r="AC1285" i="1"/>
  <c r="AD1285" i="1"/>
  <c r="AC1113" i="1"/>
  <c r="AD1113" i="1"/>
  <c r="AC805" i="1"/>
  <c r="AD805" i="1"/>
  <c r="AC1344" i="1"/>
  <c r="AD1344" i="1"/>
  <c r="AC1105" i="1"/>
  <c r="AD1105" i="1"/>
  <c r="AC899" i="1"/>
  <c r="AD899" i="1"/>
  <c r="AC993" i="1"/>
  <c r="AD993" i="1"/>
  <c r="AC192" i="1"/>
  <c r="AD192" i="1"/>
  <c r="AC444" i="1"/>
  <c r="AD444" i="1"/>
  <c r="AC1349" i="1"/>
  <c r="AD1349" i="1"/>
  <c r="AC1346" i="1"/>
  <c r="AD1346" i="1"/>
  <c r="AC447" i="1"/>
  <c r="AD447" i="1"/>
  <c r="AC650" i="1"/>
  <c r="AD650" i="1"/>
  <c r="AC543" i="1"/>
  <c r="AD543" i="1"/>
  <c r="AC875" i="1"/>
  <c r="AD875" i="1"/>
  <c r="AC1461" i="1"/>
  <c r="AD1461" i="1"/>
  <c r="AC372" i="1"/>
  <c r="AD372" i="1"/>
  <c r="AC878" i="1"/>
  <c r="AD878" i="1"/>
  <c r="AC1334" i="1"/>
  <c r="AD1334" i="1"/>
  <c r="AC7" i="1"/>
  <c r="AD7" i="1"/>
  <c r="AC457" i="1"/>
  <c r="AD457" i="1"/>
  <c r="AC285" i="1"/>
  <c r="AD285" i="1"/>
  <c r="AC593" i="1"/>
  <c r="AD593" i="1"/>
  <c r="AC332" i="1"/>
  <c r="AD332" i="1"/>
  <c r="AC834" i="1"/>
  <c r="AD834" i="1"/>
  <c r="AC160" i="1"/>
  <c r="AD160" i="1"/>
  <c r="AC149" i="1"/>
  <c r="AD149" i="1"/>
  <c r="AC932" i="1"/>
  <c r="AD932" i="1"/>
  <c r="AC966" i="1"/>
  <c r="AD966" i="1"/>
  <c r="AC1421" i="1"/>
  <c r="AD1421" i="1"/>
  <c r="AC1176" i="1"/>
  <c r="AD1176" i="1"/>
  <c r="AC1235" i="1"/>
  <c r="AD1235" i="1"/>
  <c r="AC144" i="1"/>
  <c r="AD144" i="1"/>
  <c r="AC139" i="1"/>
  <c r="AD139" i="1"/>
  <c r="AC1140" i="1"/>
  <c r="AD1140" i="1"/>
  <c r="AC964" i="1"/>
  <c r="AD964" i="1"/>
  <c r="AC1406" i="1"/>
  <c r="AD1406" i="1"/>
  <c r="AC1245" i="1"/>
  <c r="AD1245" i="1"/>
  <c r="AC5" i="1"/>
  <c r="AD5" i="1"/>
  <c r="AC1381" i="1"/>
  <c r="AD1381" i="1"/>
  <c r="AC1272" i="1"/>
  <c r="AD1272" i="1"/>
  <c r="AC1065" i="1"/>
  <c r="AD1065" i="1"/>
  <c r="AC656" i="1"/>
  <c r="AD656" i="1"/>
  <c r="AC1002" i="1"/>
  <c r="AD1002" i="1"/>
  <c r="AC38" i="1"/>
  <c r="AD38" i="1"/>
  <c r="AC958" i="1"/>
  <c r="AD958" i="1"/>
  <c r="AC1418" i="1"/>
  <c r="AD1418" i="1"/>
  <c r="AC266" i="1"/>
  <c r="AD266" i="1"/>
  <c r="AC79" i="1"/>
  <c r="AD79" i="1"/>
  <c r="AC295" i="1"/>
  <c r="AD295" i="1"/>
  <c r="AC16" i="1"/>
  <c r="AD16" i="1"/>
  <c r="AC1361" i="1"/>
  <c r="AD1361" i="1"/>
  <c r="AC1219" i="1"/>
  <c r="AD1219" i="1"/>
  <c r="AC1144" i="1"/>
  <c r="AD1144" i="1"/>
  <c r="AC865" i="1"/>
  <c r="AD865" i="1"/>
  <c r="AC14" i="1"/>
  <c r="AD14" i="1"/>
  <c r="AC947" i="1"/>
  <c r="AD947" i="1"/>
  <c r="AC677" i="1"/>
  <c r="AD677" i="1"/>
  <c r="AC357" i="1"/>
  <c r="AD357" i="1"/>
  <c r="AC693" i="1"/>
  <c r="AD693" i="1"/>
  <c r="AC557" i="1"/>
  <c r="AD557" i="1"/>
  <c r="AC1471" i="1"/>
  <c r="AD1471" i="1"/>
  <c r="AC1309" i="1"/>
  <c r="AD1309" i="1"/>
  <c r="AC317" i="1"/>
  <c r="AD317" i="1"/>
  <c r="AC922" i="1"/>
  <c r="AD922" i="1"/>
  <c r="AC1090" i="1"/>
  <c r="AD1090" i="1"/>
  <c r="AC657" i="1"/>
  <c r="AD657" i="1"/>
  <c r="AC1003" i="1"/>
  <c r="AD1003" i="1"/>
  <c r="AC1445" i="1"/>
  <c r="AD1445" i="1"/>
  <c r="AC852" i="1"/>
  <c r="AD852" i="1"/>
  <c r="AC945" i="1"/>
  <c r="AD945" i="1"/>
  <c r="AC1424" i="1"/>
  <c r="AD1424" i="1"/>
  <c r="AC352" i="1"/>
  <c r="AD352" i="1"/>
  <c r="AC1089" i="1"/>
  <c r="AD1089" i="1"/>
  <c r="AC1459" i="1"/>
  <c r="AD1459" i="1"/>
  <c r="AC984" i="1"/>
  <c r="AD984" i="1"/>
  <c r="AC717" i="1"/>
  <c r="AD717" i="1"/>
  <c r="AC556" i="1"/>
  <c r="AD556" i="1"/>
  <c r="AC481" i="1"/>
  <c r="AD481" i="1"/>
  <c r="AC599" i="1"/>
  <c r="AD599" i="1"/>
  <c r="AC605" i="1"/>
  <c r="AD605" i="1"/>
  <c r="AC279" i="1"/>
  <c r="AD279" i="1"/>
  <c r="AC929" i="1"/>
  <c r="AD929" i="1"/>
  <c r="AC718" i="1"/>
  <c r="AD718" i="1"/>
  <c r="AC8" i="1"/>
  <c r="AD8" i="1"/>
  <c r="AC564" i="1"/>
  <c r="AD564" i="1"/>
  <c r="AC566" i="1"/>
  <c r="AD566" i="1"/>
  <c r="AC999" i="1"/>
  <c r="AD999" i="1"/>
  <c r="AC34" i="1"/>
  <c r="AD34" i="1"/>
  <c r="AC644" i="1"/>
  <c r="AD644" i="1"/>
  <c r="AC418" i="1"/>
  <c r="AD418" i="1"/>
  <c r="AC907" i="1"/>
  <c r="AD907" i="1"/>
  <c r="AC442" i="1"/>
  <c r="AD442" i="1"/>
  <c r="AC1456" i="1"/>
  <c r="AD1456" i="1"/>
  <c r="AC1258" i="1"/>
  <c r="AD1258" i="1"/>
  <c r="AC862" i="1"/>
  <c r="AD862" i="1"/>
  <c r="AC1191" i="1"/>
  <c r="AD1191" i="1"/>
  <c r="AC1165" i="1"/>
  <c r="AD1165" i="1"/>
  <c r="AC1364" i="1"/>
  <c r="AD1364" i="1"/>
  <c r="AC1056" i="1"/>
  <c r="AD1056" i="1"/>
  <c r="AC120" i="1"/>
  <c r="AD120" i="1"/>
  <c r="AC1008" i="1"/>
  <c r="AD1008" i="1"/>
  <c r="AC132" i="1"/>
  <c r="AD132" i="1"/>
  <c r="AC293" i="1"/>
  <c r="AD293" i="1"/>
  <c r="AC429" i="1"/>
  <c r="AD429" i="1"/>
  <c r="AC1463" i="1"/>
  <c r="AD1463" i="1"/>
  <c r="AC778" i="1"/>
  <c r="AD778" i="1"/>
  <c r="AC1448" i="1"/>
  <c r="AD1448" i="1"/>
  <c r="AC1436" i="1"/>
  <c r="AD1436" i="1"/>
  <c r="AC450" i="1"/>
  <c r="AD450" i="1"/>
  <c r="AC1386" i="1"/>
  <c r="AD1386" i="1"/>
  <c r="AC801" i="1"/>
  <c r="AD801" i="1"/>
  <c r="AC861" i="1"/>
  <c r="AD861" i="1"/>
  <c r="AC496" i="1"/>
  <c r="AD496" i="1"/>
  <c r="AC272" i="1"/>
  <c r="AD272" i="1"/>
  <c r="AC376" i="1"/>
  <c r="AD376" i="1"/>
  <c r="AC123" i="1"/>
  <c r="AD123" i="1"/>
  <c r="AC1253" i="1"/>
  <c r="AD1253" i="1"/>
  <c r="AC1058" i="1"/>
  <c r="AD1058" i="1"/>
  <c r="AC1369" i="1"/>
  <c r="AD1369" i="1"/>
  <c r="AC1109" i="1"/>
  <c r="AD1109" i="1"/>
  <c r="AC1252" i="1"/>
  <c r="AD1252" i="1"/>
  <c r="AC571" i="1"/>
  <c r="AD571" i="1"/>
  <c r="AC707" i="1"/>
  <c r="AD707" i="1"/>
  <c r="AC1053" i="1"/>
  <c r="AD1053" i="1"/>
  <c r="AC1372" i="1"/>
  <c r="AD1372" i="1"/>
  <c r="AC1155" i="1"/>
  <c r="AD1155" i="1"/>
  <c r="AC680" i="1"/>
  <c r="AD680" i="1"/>
  <c r="AC623" i="1"/>
  <c r="AD623" i="1"/>
  <c r="AC1196" i="1"/>
  <c r="AD1196" i="1"/>
  <c r="AC1431" i="1"/>
  <c r="AD1431" i="1"/>
  <c r="AC914" i="1"/>
  <c r="AD914" i="1"/>
  <c r="AC856" i="1"/>
  <c r="AD856" i="1"/>
  <c r="AC1365" i="1"/>
  <c r="AD1365" i="1"/>
  <c r="AC1356" i="1"/>
  <c r="AD1356" i="1"/>
  <c r="AC664" i="1"/>
  <c r="AD664" i="1"/>
  <c r="AC912" i="1"/>
  <c r="AD912" i="1"/>
  <c r="AC274" i="1"/>
  <c r="AD274" i="1"/>
  <c r="AC520" i="1"/>
  <c r="AD520" i="1"/>
  <c r="AC1216" i="1"/>
  <c r="AD1216" i="1"/>
  <c r="AC1071" i="1"/>
  <c r="AD1071" i="1"/>
  <c r="AC1153" i="1"/>
  <c r="AD1153" i="1"/>
  <c r="AC965" i="1"/>
  <c r="AD965" i="1"/>
  <c r="AC1143" i="1"/>
  <c r="AD1143" i="1"/>
  <c r="AC711" i="1"/>
  <c r="AD711" i="1"/>
  <c r="AC208" i="1"/>
  <c r="AD208" i="1"/>
  <c r="AC959" i="1"/>
  <c r="AD959" i="1"/>
  <c r="AC350" i="1"/>
  <c r="AD350" i="1"/>
  <c r="AC609" i="1"/>
  <c r="AD609" i="1"/>
  <c r="AC89" i="1"/>
  <c r="AD89" i="1"/>
  <c r="AC795" i="1"/>
  <c r="AD795" i="1"/>
  <c r="AC583" i="1"/>
  <c r="AD583" i="1"/>
  <c r="AC62" i="1"/>
  <c r="AD62" i="1"/>
  <c r="AC216" i="1"/>
  <c r="AD216" i="1"/>
  <c r="AC19" i="1"/>
  <c r="AD19" i="1"/>
  <c r="AC1413" i="1"/>
  <c r="AD1413" i="1"/>
  <c r="AC287" i="1"/>
  <c r="AD287" i="1"/>
  <c r="AC319" i="1"/>
  <c r="AD319" i="1"/>
  <c r="AC882" i="1"/>
  <c r="AD882" i="1"/>
  <c r="AC1060" i="1"/>
  <c r="AD1060" i="1"/>
  <c r="AC1136" i="1"/>
  <c r="AD1136" i="1"/>
  <c r="AC1128" i="1"/>
  <c r="AD1128" i="1"/>
  <c r="AC651" i="1"/>
  <c r="AD651" i="1"/>
  <c r="AC909" i="1"/>
  <c r="AD909" i="1"/>
  <c r="AC663" i="1"/>
  <c r="AD663" i="1"/>
  <c r="AC421" i="1"/>
  <c r="AD421" i="1"/>
  <c r="AC963" i="1"/>
  <c r="AD963" i="1"/>
  <c r="AC837" i="1"/>
  <c r="AD837" i="1"/>
  <c r="AC370" i="1"/>
  <c r="AD370" i="1"/>
  <c r="AC1466" i="1"/>
  <c r="AD1466" i="1"/>
  <c r="AC1123" i="1"/>
  <c r="AD1123" i="1"/>
  <c r="AC509" i="1"/>
  <c r="AD509" i="1"/>
  <c r="AC390" i="1"/>
  <c r="AD390" i="1"/>
  <c r="AC628" i="1"/>
  <c r="AD628" i="1"/>
  <c r="AC1447" i="1"/>
  <c r="AD1447" i="1"/>
  <c r="AC552" i="1"/>
  <c r="AD552" i="1"/>
  <c r="AC498" i="1"/>
  <c r="AD498" i="1"/>
  <c r="AC367" i="1"/>
  <c r="AD367" i="1"/>
  <c r="AC1132" i="1"/>
  <c r="AD1132" i="1"/>
  <c r="AC253" i="1"/>
  <c r="AD253" i="1"/>
  <c r="AC898" i="1"/>
  <c r="AD898" i="1"/>
  <c r="AC140" i="1"/>
  <c r="AD140" i="1"/>
  <c r="AC30" i="1"/>
  <c r="AD30" i="1"/>
  <c r="AC373" i="1"/>
  <c r="AD373" i="1"/>
  <c r="AC364" i="1"/>
  <c r="AD364" i="1"/>
  <c r="AC867" i="1"/>
  <c r="AD867" i="1"/>
  <c r="AC891" i="1"/>
  <c r="AD891" i="1"/>
  <c r="AC1186" i="1"/>
  <c r="AD1186" i="1"/>
  <c r="AC1282" i="1"/>
  <c r="AD1282" i="1"/>
  <c r="AC949" i="1"/>
  <c r="AD949" i="1"/>
  <c r="AC619" i="1"/>
  <c r="AD619" i="1"/>
  <c r="AC362" i="1"/>
  <c r="AD362" i="1"/>
  <c r="AC407" i="1"/>
  <c r="AD407" i="1"/>
  <c r="AC1077" i="1"/>
  <c r="AD1077" i="1"/>
  <c r="AC455" i="1"/>
  <c r="AD455" i="1"/>
  <c r="AC906" i="1"/>
  <c r="AD906" i="1"/>
  <c r="AC800" i="1"/>
  <c r="AD800" i="1"/>
  <c r="AC1163" i="1"/>
  <c r="AD1163" i="1"/>
  <c r="AC193" i="1"/>
  <c r="AD193" i="1"/>
  <c r="AC555" i="1"/>
  <c r="AD555" i="1"/>
  <c r="AC659" i="1"/>
  <c r="AD659" i="1"/>
  <c r="AC1142" i="1"/>
  <c r="AD1142" i="1"/>
  <c r="AC786" i="1"/>
  <c r="AD786" i="1"/>
  <c r="AC545" i="1"/>
  <c r="AD545" i="1"/>
  <c r="AC1106" i="1"/>
  <c r="AD1106" i="1"/>
  <c r="AC495" i="1"/>
  <c r="AD495" i="1"/>
  <c r="AC762" i="1"/>
  <c r="AD762" i="1"/>
  <c r="AE91" i="1"/>
  <c r="AE842" i="1"/>
  <c r="AE1400" i="1"/>
  <c r="AE209" i="1"/>
  <c r="AE164" i="1"/>
  <c r="AE263" i="1"/>
  <c r="AE746" i="1"/>
  <c r="AE798" i="1"/>
  <c r="AE1222" i="1"/>
  <c r="AE1258" i="1"/>
  <c r="AE699" i="1"/>
  <c r="AE299" i="1"/>
  <c r="AE1311" i="1"/>
  <c r="AE820" i="1"/>
  <c r="AE1397" i="1"/>
  <c r="AE1439" i="1"/>
  <c r="AE1240" i="1"/>
  <c r="AE520" i="1"/>
  <c r="AE337" i="1"/>
  <c r="AE1179" i="1"/>
  <c r="AE332" i="1"/>
  <c r="AE48" i="1"/>
  <c r="AE604" i="1"/>
  <c r="AE312" i="1"/>
  <c r="AE178" i="1"/>
  <c r="AE961" i="1"/>
  <c r="AE951" i="1"/>
  <c r="AE49" i="1"/>
  <c r="AE892" i="1"/>
  <c r="AE22" i="1"/>
  <c r="AE298" i="1"/>
  <c r="AE1251" i="1"/>
  <c r="AE363" i="1"/>
  <c r="AE1412" i="1"/>
  <c r="AE1063" i="1"/>
  <c r="AE411" i="1"/>
  <c r="AE1239" i="1"/>
  <c r="AE1106" i="1"/>
  <c r="AE870" i="1"/>
  <c r="AE1082" i="1"/>
  <c r="AE1305" i="1"/>
  <c r="AE898" i="1"/>
  <c r="AE1142" i="1"/>
  <c r="AE718" i="1"/>
  <c r="AE67" i="1"/>
  <c r="AE1248" i="1"/>
  <c r="AE766" i="1"/>
  <c r="AE1293" i="1"/>
  <c r="AE1191" i="1"/>
  <c r="AE554" i="1"/>
  <c r="AE36" i="1"/>
  <c r="AE1108" i="1"/>
  <c r="AE1127" i="1"/>
  <c r="AE213" i="1"/>
  <c r="AE938" i="1"/>
  <c r="AE592" i="1"/>
  <c r="AE1016" i="1"/>
  <c r="AE1210" i="1"/>
  <c r="AE921" i="1"/>
  <c r="AE1316" i="1"/>
  <c r="AE201" i="1"/>
  <c r="AE362" i="1"/>
  <c r="AE675" i="1"/>
  <c r="AE216" i="1"/>
  <c r="AE1427" i="1"/>
  <c r="AE662" i="1"/>
  <c r="AE224" i="1"/>
  <c r="AE1006" i="1"/>
  <c r="AE510" i="1"/>
  <c r="AE318" i="1"/>
  <c r="AE1007" i="1"/>
  <c r="AE693" i="1"/>
  <c r="AE223" i="1"/>
  <c r="AE288" i="1"/>
  <c r="AE976" i="1"/>
  <c r="AE562" i="1"/>
  <c r="AE971" i="1"/>
  <c r="AE1147" i="1"/>
  <c r="AE324" i="1"/>
  <c r="AE1459" i="1"/>
  <c r="AE560" i="1"/>
  <c r="AE1356" i="1"/>
  <c r="AE614" i="1"/>
  <c r="AE1226" i="1"/>
  <c r="AE125" i="1"/>
  <c r="AE904" i="1"/>
  <c r="AE282" i="1"/>
  <c r="AE822" i="1"/>
  <c r="AE517" i="1"/>
  <c r="AE1193" i="1"/>
  <c r="AE311" i="1"/>
  <c r="AE434" i="1"/>
  <c r="AE1174" i="1"/>
  <c r="AE1178" i="1"/>
  <c r="AE1257" i="1"/>
  <c r="AE1443" i="1"/>
  <c r="AE320" i="1"/>
  <c r="AE1204" i="1"/>
  <c r="AE1307" i="1"/>
  <c r="AE381" i="1"/>
  <c r="AE1424" i="1"/>
  <c r="AE123" i="1"/>
  <c r="AE984" i="1"/>
  <c r="AE437" i="1"/>
  <c r="AE1194" i="1"/>
  <c r="AE371" i="1"/>
  <c r="AE977" i="1"/>
  <c r="AE913" i="1"/>
  <c r="AE108" i="1"/>
  <c r="AE415" i="1"/>
  <c r="AE92" i="1"/>
  <c r="AE297" i="1"/>
  <c r="AE1094" i="1"/>
  <c r="AE333" i="1"/>
  <c r="AE903" i="1"/>
  <c r="AE24" i="1"/>
  <c r="AE1369" i="1"/>
  <c r="AE1040" i="1"/>
  <c r="AE537" i="1"/>
  <c r="AE1372" i="1"/>
  <c r="AE336" i="1"/>
  <c r="AE772" i="1"/>
  <c r="AE553" i="1"/>
  <c r="AE352" i="1"/>
  <c r="AE777" i="1"/>
  <c r="AE1297" i="1"/>
  <c r="AE439" i="1"/>
  <c r="AE71" i="1"/>
  <c r="AE810" i="1"/>
  <c r="AE626" i="1"/>
  <c r="AE1154" i="1"/>
  <c r="AE1132" i="1"/>
  <c r="AE871" i="1"/>
  <c r="AE1089" i="1"/>
  <c r="AE93" i="1"/>
  <c r="AE489" i="1"/>
  <c r="AE418" i="1"/>
  <c r="AE1146" i="1"/>
  <c r="AE724" i="1"/>
  <c r="AE291" i="1"/>
  <c r="AE850" i="1"/>
  <c r="AE1117" i="1"/>
  <c r="AE1078" i="1"/>
  <c r="AE1223" i="1"/>
  <c r="AE503" i="1"/>
  <c r="AE335" i="1"/>
  <c r="AE968" i="1"/>
  <c r="AE402" i="1"/>
  <c r="AE64" i="1"/>
  <c r="AE1043" i="1"/>
  <c r="AE776" i="1"/>
  <c r="AE398" i="1"/>
  <c r="AE170" i="1"/>
  <c r="AE319" i="1"/>
  <c r="AE1103" i="1"/>
  <c r="AE908" i="1"/>
  <c r="AE851" i="1"/>
  <c r="AE300" i="1"/>
  <c r="AE909" i="1"/>
  <c r="AE690" i="1"/>
  <c r="AE406" i="1"/>
  <c r="AE779" i="1"/>
  <c r="AE1109" i="1"/>
  <c r="AE142" i="1"/>
  <c r="AE285" i="1"/>
  <c r="AE177" i="1"/>
  <c r="AE197" i="1"/>
  <c r="AE1189" i="1"/>
  <c r="AE425" i="1"/>
  <c r="AE516" i="1"/>
  <c r="AE657" i="1"/>
  <c r="AE37" i="1"/>
  <c r="AE786" i="1"/>
  <c r="AE1100" i="1"/>
  <c r="AE366" i="1"/>
  <c r="AE150" i="1"/>
  <c r="AE241" i="1"/>
  <c r="AE44" i="1"/>
  <c r="AE1387" i="1"/>
  <c r="AE525" i="1"/>
  <c r="AE767" i="1"/>
  <c r="AE240" i="1"/>
  <c r="AE130" i="1"/>
  <c r="AE1050" i="1"/>
  <c r="AE189" i="1"/>
  <c r="AE219" i="1"/>
  <c r="AE1212" i="1"/>
  <c r="AE255" i="1"/>
  <c r="AE1133" i="1"/>
  <c r="AE272" i="1"/>
  <c r="AE1310" i="1"/>
  <c r="AE12" i="1"/>
  <c r="AE1366" i="1"/>
  <c r="AE628" i="1"/>
  <c r="AE1247" i="1"/>
  <c r="AE1245" i="1"/>
  <c r="AE1408" i="1"/>
  <c r="AE1364" i="1"/>
  <c r="AE349" i="1"/>
  <c r="AE1423" i="1"/>
  <c r="AE911" i="1"/>
  <c r="AE65" i="1"/>
  <c r="AE430" i="1"/>
  <c r="AE20" i="1"/>
  <c r="AE416" i="1"/>
  <c r="AE499" i="1"/>
  <c r="AE558" i="1"/>
  <c r="AE1238" i="1"/>
  <c r="AE210" i="1"/>
  <c r="AE1075" i="1"/>
  <c r="AE105" i="1"/>
  <c r="AE384" i="1"/>
  <c r="AE296" i="1"/>
  <c r="AE796" i="1"/>
  <c r="AE627" i="1"/>
  <c r="AE829" i="1"/>
  <c r="AE374" i="1"/>
  <c r="AE991" i="1"/>
  <c r="AE63" i="1"/>
  <c r="AE404" i="1"/>
  <c r="AE1171" i="1"/>
  <c r="AE868" i="1"/>
  <c r="AE569" i="1"/>
  <c r="AE917" i="1"/>
  <c r="AE26" i="1"/>
  <c r="AE836" i="1"/>
  <c r="AE390" i="1"/>
  <c r="AE75" i="1"/>
  <c r="AE451" i="1"/>
  <c r="AE694" i="1"/>
  <c r="AE595" i="1"/>
  <c r="AE1161" i="1"/>
  <c r="AE1122" i="1"/>
  <c r="AE405" i="1"/>
  <c r="AE548" i="1"/>
  <c r="AE160" i="1"/>
  <c r="AE606" i="1"/>
  <c r="AE9" i="1"/>
  <c r="AE237" i="1"/>
  <c r="AE1215" i="1"/>
  <c r="AE1207" i="1"/>
  <c r="AE438" i="1"/>
  <c r="AE544" i="1"/>
  <c r="AE712" i="1"/>
  <c r="AE741" i="1"/>
  <c r="AE391" i="1"/>
  <c r="AE512" i="1"/>
  <c r="AE76" i="1"/>
  <c r="AE603" i="1"/>
  <c r="AE230" i="1"/>
  <c r="AE960" i="1"/>
  <c r="AE492" i="1"/>
  <c r="AE770" i="1"/>
  <c r="AE359" i="1"/>
  <c r="AE192" i="1"/>
  <c r="AE545" i="1"/>
  <c r="AE636" i="1"/>
  <c r="AE341" i="1"/>
  <c r="AE356" i="1"/>
  <c r="AE524" i="1"/>
  <c r="AE999" i="1"/>
  <c r="AE21" i="1"/>
  <c r="AE927" i="1"/>
  <c r="AE574" i="1"/>
  <c r="AE399" i="1"/>
  <c r="AE704" i="1"/>
  <c r="AE579" i="1"/>
  <c r="AE759" i="1"/>
  <c r="AE410" i="1"/>
  <c r="AE720" i="1"/>
  <c r="AE1388" i="1"/>
  <c r="AE194" i="1"/>
  <c r="AE580" i="1"/>
  <c r="AE1336" i="1"/>
  <c r="AE286" i="1"/>
  <c r="AE1379" i="1"/>
  <c r="AE364" i="1"/>
  <c r="AE1438" i="1"/>
  <c r="AE1004" i="1"/>
  <c r="AE1421" i="1"/>
  <c r="AE1046" i="1"/>
  <c r="AE1318" i="1"/>
  <c r="AE257" i="1"/>
  <c r="AE639" i="1"/>
  <c r="AE180" i="1"/>
  <c r="AE1019" i="1"/>
  <c r="AE15" i="1"/>
  <c r="AE367" i="1"/>
  <c r="AE515" i="1"/>
  <c r="AE462" i="1"/>
  <c r="AE198" i="1"/>
  <c r="AE277" i="1"/>
  <c r="AE1378" i="1"/>
  <c r="AE923" i="1"/>
  <c r="AE867" i="1"/>
  <c r="AE1295" i="1"/>
  <c r="AE802" i="1"/>
  <c r="AE463" i="1"/>
  <c r="AE252" i="1"/>
  <c r="AE1414" i="1"/>
  <c r="AE782" i="1"/>
  <c r="AE121" i="1"/>
  <c r="AE717" i="1"/>
  <c r="AE616" i="1"/>
  <c r="AE275" i="1"/>
  <c r="AE147" i="1"/>
  <c r="AE1113" i="1"/>
  <c r="AE1436" i="1"/>
  <c r="AE600" i="1"/>
  <c r="AE401" i="1"/>
  <c r="AE295" i="1"/>
  <c r="AE161" i="1"/>
  <c r="AE114" i="1"/>
  <c r="AE926" i="1"/>
  <c r="AE14" i="1"/>
  <c r="AE331" i="1"/>
  <c r="AE397" i="1"/>
  <c r="AE539" i="1"/>
  <c r="AE530" i="1"/>
  <c r="AE585" i="1"/>
  <c r="AE611" i="1"/>
  <c r="AE155" i="1"/>
  <c r="AE156" i="1"/>
  <c r="AE56" i="1"/>
  <c r="AE969" i="1"/>
  <c r="AE686" i="1"/>
  <c r="AE1286" i="1"/>
  <c r="AE1097" i="1"/>
  <c r="AE824" i="1"/>
  <c r="AE304" i="1"/>
  <c r="AE880" i="1"/>
  <c r="AE218" i="1"/>
  <c r="AE540" i="1"/>
  <c r="AE1013" i="1"/>
  <c r="AE450" i="1"/>
  <c r="AE472" i="1"/>
  <c r="AE283" i="1"/>
  <c r="AE308" i="1"/>
  <c r="AE459" i="1"/>
  <c r="AE1363" i="1"/>
  <c r="AE482" i="1"/>
  <c r="AE1107" i="1"/>
  <c r="AE1072" i="1"/>
  <c r="AE166" i="1"/>
  <c r="AE805" i="1"/>
  <c r="AE171" i="1"/>
  <c r="AE478" i="1"/>
  <c r="AE647" i="1"/>
  <c r="AE958" i="1"/>
  <c r="AE572" i="1"/>
  <c r="AE669" i="1"/>
  <c r="AE997" i="1"/>
  <c r="AE43" i="1"/>
  <c r="AE570" i="1"/>
  <c r="AE787" i="1"/>
  <c r="AE271" i="1"/>
  <c r="AE758" i="1"/>
  <c r="AE1393" i="1"/>
  <c r="AE966" i="1"/>
  <c r="AE715" i="1"/>
  <c r="AE32" i="1"/>
  <c r="AE348" i="1"/>
  <c r="AE613" i="1"/>
  <c r="AE236" i="1"/>
  <c r="AE1116" i="1"/>
  <c r="AE821" i="1"/>
  <c r="AE775" i="1"/>
  <c r="AE30" i="1"/>
  <c r="AE869" i="1"/>
  <c r="AE596" i="1"/>
  <c r="AE289" i="1"/>
  <c r="AE1267" i="1"/>
  <c r="AE672" i="1"/>
  <c r="AE757" i="1"/>
  <c r="AE379" i="1"/>
  <c r="AE906" i="1"/>
  <c r="AE292" i="1"/>
  <c r="AE1374" i="1"/>
  <c r="AE922" i="1"/>
  <c r="AE242" i="1"/>
  <c r="AE59" i="1"/>
  <c r="AE365" i="1"/>
  <c r="AE83" i="1"/>
  <c r="AE1273" i="1"/>
  <c r="AE1000" i="1"/>
  <c r="AE129" i="1"/>
  <c r="AE711" i="1"/>
  <c r="AE1361" i="1"/>
  <c r="AE1398" i="1"/>
  <c r="AE1288" i="1"/>
  <c r="AE1278" i="1"/>
  <c r="AE1118" i="1"/>
  <c r="AE1353" i="1"/>
  <c r="AE887" i="1"/>
  <c r="AE905" i="1"/>
  <c r="AE700" i="1"/>
  <c r="AE33" i="1"/>
  <c r="AE956" i="1"/>
  <c r="AE532" i="1"/>
  <c r="AE1402" i="1"/>
  <c r="AE1129" i="1"/>
  <c r="AE564" i="1"/>
  <c r="AE1139" i="1"/>
  <c r="AE141" i="1"/>
  <c r="AE327" i="1"/>
  <c r="AE322" i="1"/>
  <c r="AE1270" i="1"/>
  <c r="AE1260" i="1"/>
  <c r="AE794" i="1"/>
  <c r="AE697" i="1"/>
  <c r="AE661" i="1"/>
  <c r="AE1362" i="1"/>
  <c r="AE400" i="1"/>
  <c r="AE408" i="1"/>
  <c r="AE17" i="1"/>
  <c r="AE447" i="1"/>
  <c r="AE377" i="1"/>
  <c r="AE521" i="1"/>
  <c r="AE487" i="1"/>
  <c r="AE653" i="1"/>
  <c r="AE1166" i="1"/>
  <c r="AE702" i="1"/>
  <c r="AE812" i="1"/>
  <c r="AE1095" i="1"/>
  <c r="AE703" i="1"/>
  <c r="AE1186" i="1"/>
  <c r="AE1425" i="1"/>
  <c r="AE73" i="1"/>
  <c r="AE281" i="1"/>
  <c r="AE591" i="1"/>
  <c r="AE983" i="1"/>
  <c r="AE764" i="1"/>
  <c r="AE200" i="1"/>
  <c r="AE811" i="1"/>
  <c r="AE573" i="1"/>
  <c r="AE249" i="1"/>
  <c r="AE1033" i="1"/>
  <c r="AE1180" i="1"/>
  <c r="AE29" i="1"/>
  <c r="AE1263" i="1"/>
  <c r="AE40" i="1"/>
  <c r="AE395" i="1"/>
  <c r="AE843" i="1"/>
  <c r="AE124" i="1"/>
  <c r="AE442" i="1"/>
  <c r="AE987" i="1"/>
  <c r="AE833" i="1"/>
  <c r="AE314" i="1"/>
  <c r="AE1457" i="1"/>
  <c r="AE933" i="1"/>
  <c r="AE1068" i="1"/>
  <c r="AE1229" i="1"/>
  <c r="AE409" i="1"/>
  <c r="AE1250" i="1"/>
  <c r="AE13" i="1"/>
  <c r="AE900" i="1"/>
  <c r="AE443" i="1"/>
  <c r="AE154" i="1"/>
  <c r="AE1086" i="1"/>
  <c r="AE1071" i="1"/>
  <c r="AE1384" i="1"/>
  <c r="AE1329" i="1"/>
  <c r="AE152" i="1"/>
  <c r="AE68" i="1"/>
  <c r="AE1404" i="1"/>
  <c r="AE748" i="1"/>
  <c r="AE309" i="1"/>
  <c r="AE529" i="1"/>
  <c r="AE559" i="1"/>
  <c r="AE353" i="1"/>
  <c r="AE203" i="1"/>
  <c r="AE276" i="1"/>
  <c r="AE598" i="1"/>
  <c r="AE1465" i="1"/>
  <c r="AE226" i="1"/>
  <c r="AE670" i="1"/>
  <c r="AE1381" i="1"/>
  <c r="AE947" i="1"/>
  <c r="AE1055" i="1"/>
  <c r="AE460" i="1"/>
  <c r="AE378" i="1"/>
  <c r="AE1447" i="1"/>
  <c r="AE784" i="1"/>
  <c r="AE1390" i="1"/>
  <c r="AE773" i="1"/>
  <c r="AE536" i="1"/>
  <c r="AE1292" i="1"/>
  <c r="AE1001" i="1"/>
  <c r="AE1432" i="1"/>
  <c r="AE566" i="1"/>
  <c r="AE1367" i="1"/>
  <c r="AE1148" i="1"/>
  <c r="AE681" i="1"/>
  <c r="AE866" i="1"/>
  <c r="AE1225" i="1"/>
  <c r="AE1252" i="1"/>
  <c r="AE231" i="1"/>
  <c r="AE27" i="1"/>
  <c r="AE266" i="1"/>
  <c r="AE895" i="1"/>
  <c r="AE1303" i="1"/>
  <c r="AE262" i="1"/>
  <c r="AE476" i="1"/>
  <c r="AE1182" i="1"/>
  <c r="AE792" i="1"/>
  <c r="AE248" i="1"/>
  <c r="AE615" i="1"/>
  <c r="AE575" i="1"/>
  <c r="AE651" i="1"/>
  <c r="AE145" i="1"/>
  <c r="AE153" i="1"/>
  <c r="AE789" i="1"/>
  <c r="AE799" i="1"/>
  <c r="AE208" i="1"/>
  <c r="AE158" i="1"/>
  <c r="AE278" i="1"/>
  <c r="AE60" i="1"/>
  <c r="AE809" i="1"/>
  <c r="AE273" i="1"/>
  <c r="AE534" i="1"/>
  <c r="AE293" i="1"/>
  <c r="AE1080" i="1"/>
  <c r="AE66" i="1"/>
  <c r="AE119" i="1"/>
  <c r="AE1096" i="1"/>
  <c r="AE325" i="1"/>
  <c r="AE78" i="1"/>
  <c r="AE790" i="1"/>
  <c r="AE1145" i="1"/>
  <c r="AE1021" i="1"/>
  <c r="AE103" i="1"/>
  <c r="AE970" i="1"/>
  <c r="AE1077" i="1"/>
  <c r="AE853" i="1"/>
  <c r="AE838" i="1"/>
  <c r="AE485" i="1"/>
  <c r="AE1385" i="1"/>
  <c r="AE1331" i="1"/>
  <c r="AE751" i="1"/>
  <c r="AE844" i="1"/>
  <c r="AE466" i="1"/>
  <c r="AE685" i="1"/>
  <c r="AE1216" i="1"/>
  <c r="AE556" i="1"/>
  <c r="AE1272" i="1"/>
  <c r="AE1429" i="1"/>
  <c r="AE735" i="1"/>
  <c r="AE594" i="1"/>
  <c r="AE245" i="1"/>
  <c r="AE174" i="1"/>
  <c r="AE313" i="1"/>
  <c r="AE151" i="1"/>
  <c r="AE1143" i="1"/>
  <c r="AE1164" i="1"/>
  <c r="AE258" i="1"/>
  <c r="AE1054" i="1"/>
  <c r="AE1473" i="1"/>
  <c r="AE1163" i="1"/>
  <c r="AE864" i="1"/>
  <c r="AE1371" i="1"/>
  <c r="AE217" i="1"/>
  <c r="AE1059" i="1"/>
  <c r="AE667" i="1"/>
  <c r="AE954" i="1"/>
  <c r="AE1415" i="1"/>
  <c r="AE440" i="1"/>
  <c r="AE1136" i="1"/>
  <c r="AE541" i="1"/>
  <c r="AE1321" i="1"/>
  <c r="AE1320" i="1"/>
  <c r="AE1099" i="1"/>
  <c r="AE1061" i="1"/>
  <c r="AE1401" i="1"/>
  <c r="AE1442" i="1"/>
  <c r="AE80" i="1"/>
  <c r="AE980" i="1"/>
  <c r="AE1462" i="1"/>
  <c r="AE1209" i="1"/>
  <c r="AE423" i="1"/>
  <c r="AE673" i="1"/>
  <c r="AE501" i="1"/>
  <c r="AE1047" i="1"/>
  <c r="AE1418" i="1"/>
  <c r="AE215" i="1"/>
  <c r="AE916" i="1"/>
  <c r="AE1277" i="1"/>
  <c r="AE918" i="1"/>
  <c r="AE188" i="1"/>
  <c r="AE565" i="1"/>
  <c r="AE1449" i="1"/>
  <c r="AE1342" i="1"/>
  <c r="AE728" i="1"/>
  <c r="AE709" i="1"/>
  <c r="AE1409" i="1"/>
  <c r="AE664" i="1"/>
  <c r="AE608" i="1"/>
  <c r="AE172" i="1"/>
  <c r="AE259" i="1"/>
  <c r="AE465" i="1"/>
  <c r="AE5" i="1"/>
  <c r="AE1435" i="1"/>
  <c r="AE1177" i="1"/>
  <c r="AE195" i="1"/>
  <c r="AE708" i="1"/>
  <c r="AE89" i="1"/>
  <c r="AE122" i="1"/>
  <c r="AE692" i="1"/>
  <c r="AE183" i="1"/>
  <c r="AE157" i="1"/>
  <c r="AE894" i="1"/>
  <c r="AE1411" i="1"/>
  <c r="AE128" i="1"/>
  <c r="AE879" i="1"/>
  <c r="AE688" i="1"/>
  <c r="AE251" i="1"/>
  <c r="AE1218" i="1"/>
  <c r="AE1028" i="1"/>
  <c r="AE581" i="1"/>
  <c r="AE771" i="1"/>
  <c r="AE500" i="1"/>
  <c r="AE679" i="1"/>
  <c r="AE1405" i="1"/>
  <c r="AE344" i="1"/>
  <c r="AE1155" i="1"/>
  <c r="AE321" i="1"/>
  <c r="AE578" i="1"/>
  <c r="AE284" i="1"/>
  <c r="AE370" i="1"/>
  <c r="AE817" i="1"/>
  <c r="AE638" i="1"/>
  <c r="AE528" i="1"/>
  <c r="AE424" i="1"/>
  <c r="AE496" i="1"/>
  <c r="AE426" i="1"/>
  <c r="AE535" i="1"/>
  <c r="AE168" i="1"/>
  <c r="AE1183" i="1"/>
  <c r="AE584" i="1"/>
  <c r="AE264" i="1"/>
  <c r="AE372" i="1"/>
  <c r="AE747" i="1"/>
  <c r="AE847" i="1"/>
  <c r="AE832" i="1"/>
  <c r="AE338" i="1"/>
  <c r="AE684" i="1"/>
  <c r="AE813" i="1"/>
  <c r="AE176" i="1"/>
  <c r="AE722" i="1"/>
  <c r="AE774" i="1"/>
  <c r="AE1351" i="1"/>
  <c r="AE467" i="1"/>
  <c r="AE1395" i="1"/>
  <c r="AE421" i="1"/>
  <c r="AE768" i="1"/>
  <c r="AE1232" i="1"/>
  <c r="AE1306" i="1"/>
  <c r="AE135" i="1"/>
  <c r="AE254" i="1"/>
  <c r="AE1451" i="1"/>
  <c r="AE306" i="1"/>
  <c r="AE1454" i="1"/>
  <c r="AE1057" i="1"/>
  <c r="AE819" i="1"/>
  <c r="AE470" i="1"/>
  <c r="AE35" i="1"/>
  <c r="AE1111" i="1"/>
  <c r="AE211" i="1"/>
  <c r="AE899" i="1"/>
  <c r="AE85" i="1"/>
  <c r="AE1125" i="1"/>
  <c r="AE1031" i="1"/>
  <c r="AE461" i="1"/>
  <c r="AE705" i="1"/>
  <c r="AE920" i="1"/>
  <c r="AE912" i="1"/>
  <c r="AE742" i="1"/>
  <c r="AE110" i="1"/>
  <c r="AE1048" i="1"/>
  <c r="AE1470" i="1"/>
  <c r="AE1359" i="1"/>
  <c r="AE497" i="1"/>
  <c r="AE1064" i="1"/>
  <c r="AE432" i="1"/>
  <c r="AE952" i="1"/>
  <c r="AE244" i="1"/>
  <c r="AE1158" i="1"/>
  <c r="AE1085" i="1"/>
  <c r="AE1317" i="1"/>
  <c r="AE1460" i="1"/>
  <c r="AE1192" i="1"/>
  <c r="AE1289" i="1"/>
  <c r="AE403" i="1"/>
  <c r="AE854" i="1"/>
  <c r="AE1098" i="1"/>
  <c r="AE755" i="1"/>
  <c r="AE1352" i="1"/>
  <c r="AE131" i="1"/>
  <c r="AE1281" i="1"/>
  <c r="AE1217" i="1"/>
  <c r="AE625" i="1"/>
  <c r="AE1101" i="1"/>
  <c r="AE509" i="1"/>
  <c r="AE635" i="1"/>
  <c r="AE1049" i="1"/>
  <c r="AE1081" i="1"/>
  <c r="AE749" i="1"/>
  <c r="AE1195" i="1"/>
  <c r="AE274" i="1"/>
  <c r="AE806" i="1"/>
  <c r="AE58" i="1"/>
  <c r="AE902" i="1"/>
  <c r="AE888" i="1"/>
  <c r="AE618" i="1"/>
  <c r="AE159" i="1"/>
  <c r="AE373" i="1"/>
  <c r="AE1120" i="1"/>
  <c r="AE859" i="1"/>
  <c r="AE1084" i="1"/>
  <c r="AE620" i="1"/>
  <c r="AE1090" i="1"/>
  <c r="AE185" i="1"/>
  <c r="AE243" i="1"/>
  <c r="AE307" i="1"/>
  <c r="AE140" i="1"/>
  <c r="AE934" i="1"/>
  <c r="AE1135" i="1"/>
  <c r="AE1474" i="1"/>
  <c r="AE910" i="1"/>
  <c r="AE645" i="1"/>
  <c r="AE1302" i="1"/>
  <c r="AE261" i="1"/>
  <c r="AE354" i="1"/>
  <c r="AE1300" i="1"/>
  <c r="AE23" i="1"/>
  <c r="AE1162" i="1"/>
  <c r="AE1190" i="1"/>
  <c r="AE1441" i="1"/>
  <c r="AE1261" i="1"/>
  <c r="AE39" i="1"/>
  <c r="AE351" i="1"/>
  <c r="AE783" i="1"/>
  <c r="AE486" i="1"/>
  <c r="AE800" i="1"/>
  <c r="AE1110" i="1"/>
  <c r="AE678" i="1"/>
  <c r="AE979" i="1"/>
  <c r="AE972" i="1"/>
  <c r="AE567" i="1"/>
  <c r="AE1334" i="1"/>
  <c r="AE120" i="1"/>
  <c r="AE731" i="1"/>
  <c r="AE691" i="1"/>
  <c r="AE1224" i="1"/>
  <c r="AE835" i="1"/>
  <c r="AE1067" i="1"/>
  <c r="AE791" i="1"/>
  <c r="AE1274" i="1"/>
  <c r="AE495" i="1"/>
  <c r="AE143" i="1"/>
  <c r="AE1426" i="1"/>
  <c r="AE436" i="1"/>
  <c r="AE729" i="1"/>
  <c r="AE220" i="1"/>
  <c r="AE1014" i="1"/>
  <c r="AE445" i="1"/>
  <c r="AE605" i="1"/>
  <c r="AE1339" i="1"/>
  <c r="AE1201" i="1"/>
  <c r="AE386" i="1"/>
  <c r="AE246" i="1"/>
  <c r="AE477" i="1"/>
  <c r="AE1338" i="1"/>
  <c r="AE115" i="1"/>
  <c r="AE937" i="1"/>
  <c r="AE597" i="1"/>
  <c r="AE342" i="1"/>
  <c r="AE81" i="1"/>
  <c r="AE163" i="1"/>
  <c r="AE25" i="1"/>
  <c r="AE637" i="1"/>
  <c r="AE1167" i="1"/>
  <c r="AE1468" i="1"/>
  <c r="AE1029" i="1"/>
  <c r="AE375" i="1"/>
  <c r="AE682" i="1"/>
  <c r="AE265" i="1"/>
  <c r="AE655" i="1"/>
  <c r="AE1350" i="1"/>
  <c r="AE1187" i="1"/>
  <c r="AE886" i="1"/>
  <c r="AE827" i="1"/>
  <c r="AE1041" i="1"/>
  <c r="AE396" i="1"/>
  <c r="AE1360" i="1"/>
  <c r="AE1294" i="1"/>
  <c r="AE526" i="1"/>
  <c r="AE45" i="1"/>
  <c r="AE1003" i="1"/>
  <c r="AE1137" i="1"/>
  <c r="AE676" i="1"/>
  <c r="AE1008" i="1"/>
  <c r="AE1198" i="1"/>
  <c r="AE360" i="1"/>
  <c r="AE736" i="1"/>
  <c r="AE502" i="1"/>
  <c r="AE82" i="1"/>
  <c r="AE738" i="1"/>
  <c r="AE1382" i="1"/>
  <c r="AE1088" i="1"/>
  <c r="AE1074" i="1"/>
  <c r="AE1069" i="1"/>
  <c r="AE1181" i="1"/>
  <c r="AE1373" i="1"/>
  <c r="AE671" i="1"/>
  <c r="AE752" i="1"/>
  <c r="AE303" i="1"/>
  <c r="AE207" i="1"/>
  <c r="AE51" i="1"/>
  <c r="AE380" i="1"/>
  <c r="AE222" i="1"/>
  <c r="AE828" i="1"/>
  <c r="AE413" i="1"/>
  <c r="AE137" i="1"/>
  <c r="AE1173" i="1"/>
  <c r="AE1202" i="1"/>
  <c r="AE72" i="1"/>
  <c r="AE433" i="1"/>
  <c r="AE1271" i="1"/>
  <c r="AE1253" i="1"/>
  <c r="AE329" i="1"/>
  <c r="AE855" i="1"/>
  <c r="AE707" i="1"/>
  <c r="AE1141" i="1"/>
  <c r="AE1315" i="1"/>
  <c r="AE458" i="1"/>
  <c r="AE1093" i="1"/>
  <c r="AE346" i="1"/>
  <c r="AE305" i="1"/>
  <c r="AE1399" i="1"/>
  <c r="AE1017" i="1"/>
  <c r="AE1230" i="1"/>
  <c r="AE1045" i="1"/>
  <c r="AE1347" i="1"/>
  <c r="AE102" i="1"/>
  <c r="AE1324" i="1"/>
  <c r="AE253" i="1"/>
  <c r="AE740" i="1"/>
  <c r="AE1346" i="1"/>
  <c r="AE643" i="1"/>
  <c r="AE483" i="1"/>
  <c r="AE361" i="1"/>
  <c r="AE1124" i="1"/>
  <c r="AE1058" i="1"/>
  <c r="AE607" i="1"/>
  <c r="AE149" i="1"/>
  <c r="AE302" i="1"/>
  <c r="AE1227" i="1"/>
  <c r="AE101" i="1"/>
  <c r="AE287" i="1"/>
  <c r="AE1188" i="1"/>
  <c r="AE602" i="1"/>
  <c r="AE1407" i="1"/>
  <c r="AE1458" i="1"/>
  <c r="AE469" i="1"/>
  <c r="AE1341" i="1"/>
  <c r="AE464" i="1"/>
  <c r="AE1355" i="1"/>
  <c r="AE420" i="1"/>
  <c r="AE967" i="1"/>
  <c r="AE929" i="1"/>
  <c r="AE744" i="1"/>
  <c r="AE1325" i="1"/>
  <c r="AE518" i="1"/>
  <c r="AE877" i="1"/>
  <c r="AE369" i="1"/>
  <c r="AE1105" i="1"/>
  <c r="AE1469" i="1"/>
  <c r="AE412" i="1"/>
  <c r="AE698" i="1"/>
  <c r="AE935" i="1"/>
  <c r="AE1391" i="1"/>
  <c r="AE256" i="1"/>
  <c r="AE1159" i="1"/>
  <c r="AE196" i="1"/>
  <c r="AE723" i="1"/>
  <c r="AE290" i="1"/>
  <c r="AE990" i="1"/>
  <c r="AE427" i="1"/>
  <c r="AE1380" i="1"/>
  <c r="AE1052" i="1"/>
  <c r="AE814" i="1"/>
  <c r="AE841" i="1"/>
  <c r="AE1437" i="1"/>
  <c r="AE1304" i="1"/>
  <c r="AE18" i="1"/>
  <c r="AE677" i="1"/>
  <c r="AE1005" i="1"/>
  <c r="AE270" i="1"/>
  <c r="AE1152" i="1"/>
  <c r="AE199" i="1"/>
  <c r="AE232" i="1"/>
  <c r="AE945" i="1"/>
  <c r="AE350" i="1"/>
  <c r="AE1121" i="1"/>
  <c r="AE368" i="1"/>
  <c r="AE454" i="1"/>
  <c r="AE1172" i="1"/>
  <c r="AE1428" i="1"/>
  <c r="AE455" i="1"/>
  <c r="AE1170" i="1"/>
  <c r="AE914" i="1"/>
  <c r="AE1126" i="1"/>
  <c r="AE815" i="1"/>
  <c r="AE347" i="1"/>
  <c r="AE1205" i="1"/>
  <c r="AE1285" i="1"/>
  <c r="AE561" i="1"/>
  <c r="AE831" i="1"/>
  <c r="AE1344" i="1"/>
  <c r="AE950" i="1"/>
  <c r="AE1370" i="1"/>
  <c r="AE162" i="1"/>
  <c r="AE944" i="1"/>
  <c r="AE228" i="1"/>
  <c r="AE175" i="1"/>
  <c r="AE1157" i="1"/>
  <c r="AE441" i="1"/>
  <c r="AE915" i="1"/>
  <c r="AE1024" i="1"/>
  <c r="AE924" i="1"/>
  <c r="AE663" i="1"/>
  <c r="AE1070" i="1"/>
  <c r="AE577" i="1"/>
  <c r="AE1287" i="1"/>
  <c r="AE527" i="1"/>
  <c r="AE1343" i="1"/>
  <c r="AE848" i="1"/>
  <c r="AE431" i="1"/>
  <c r="AE7" i="1"/>
  <c r="AE1010" i="1"/>
  <c r="AE1319" i="1"/>
  <c r="AE860" i="1"/>
  <c r="AE506" i="1"/>
  <c r="AE202" i="1"/>
  <c r="AE1440" i="1"/>
  <c r="AE582" i="1"/>
  <c r="AE646" i="1"/>
  <c r="AE448" i="1"/>
  <c r="AE982" i="1"/>
  <c r="AE1214" i="1"/>
  <c r="AE86" i="1"/>
  <c r="AE1368" i="1"/>
  <c r="AE890" i="1"/>
  <c r="AE126" i="1"/>
  <c r="AE834" i="1"/>
  <c r="AE1389" i="1"/>
  <c r="AE1280" i="1"/>
  <c r="AE233" i="1"/>
  <c r="AE1477" i="1"/>
  <c r="AE719" i="1"/>
  <c r="AE267" i="1"/>
  <c r="AE876" i="1"/>
  <c r="AE1015" i="1"/>
  <c r="AE456" i="1"/>
  <c r="AE803" i="1"/>
  <c r="AE687" i="1"/>
  <c r="AE852" i="1"/>
  <c r="AE550" i="1"/>
  <c r="AE986" i="1"/>
  <c r="AE897" i="1"/>
  <c r="AE1241" i="1"/>
  <c r="AE1455" i="1"/>
  <c r="AE644" i="1"/>
  <c r="AE1150" i="1"/>
  <c r="AE863" i="1"/>
  <c r="AE1299" i="1"/>
  <c r="AE1236" i="1"/>
  <c r="AE144" i="1"/>
  <c r="AE583" i="1"/>
  <c r="AE549" i="1"/>
  <c r="AE874" i="1"/>
  <c r="AE695" i="1"/>
  <c r="AE1279" i="1"/>
  <c r="AE235" i="1"/>
  <c r="AE1290" i="1"/>
  <c r="AE212" i="1"/>
  <c r="AE743" i="1"/>
  <c r="AE1419" i="1"/>
  <c r="AE621" i="1"/>
  <c r="AE652" i="1"/>
  <c r="AE714" i="1"/>
  <c r="AE797" i="1"/>
  <c r="AE238" i="1"/>
  <c r="AE1119" i="1"/>
  <c r="AE689" i="1"/>
  <c r="AE818" i="1"/>
  <c r="AE875" i="1"/>
  <c r="AE69" i="1"/>
  <c r="AE1476" i="1"/>
  <c r="AE1291" i="1"/>
  <c r="AE648" i="1"/>
  <c r="AE407" i="1"/>
  <c r="AE10" i="1"/>
  <c r="AE542" i="1"/>
  <c r="AE330" i="1"/>
  <c r="AE1053" i="1"/>
  <c r="AE268" i="1"/>
  <c r="AE1406" i="1"/>
  <c r="AE100" i="1"/>
  <c r="AE1233" i="1"/>
  <c r="AE649" i="1"/>
  <c r="AE1430" i="1"/>
  <c r="AE1326" i="1"/>
  <c r="AE113" i="1"/>
  <c r="AE1446" i="1"/>
  <c r="AE1200" i="1"/>
  <c r="AE660" i="1"/>
  <c r="AE475" i="1"/>
  <c r="AE1422" i="1"/>
  <c r="AE127" i="1"/>
  <c r="AE112" i="1"/>
  <c r="AE227" i="1"/>
  <c r="AE656" i="1"/>
  <c r="AE555" i="1"/>
  <c r="AE1450" i="1"/>
  <c r="AE116" i="1"/>
  <c r="AE884" i="1"/>
  <c r="AE546" i="1"/>
  <c r="AE111" i="1"/>
  <c r="AE1461" i="1"/>
  <c r="AE1023" i="1"/>
  <c r="AE1206" i="1"/>
  <c r="AE612" i="1"/>
  <c r="AE659" i="1"/>
  <c r="AE939" i="1"/>
  <c r="AE507" i="1"/>
  <c r="AE317" i="1"/>
  <c r="AE206" i="1"/>
  <c r="AE949" i="1"/>
  <c r="AE959" i="1"/>
  <c r="AE955" i="1"/>
  <c r="AE1466" i="1"/>
  <c r="AE830" i="1"/>
  <c r="AE193" i="1"/>
  <c r="AE1475" i="1"/>
  <c r="AE301" i="1"/>
  <c r="AE179" i="1"/>
  <c r="AE315" i="1"/>
  <c r="AE654" i="1"/>
  <c r="AE780" i="1"/>
  <c r="AE957" i="1"/>
  <c r="AE1243" i="1"/>
  <c r="AE1348" i="1"/>
  <c r="AE1345" i="1"/>
  <c r="AE1042" i="1"/>
  <c r="AE788" i="1"/>
  <c r="AE1262" i="1"/>
  <c r="AE1434" i="1"/>
  <c r="AE1337" i="1"/>
  <c r="AE508" i="1"/>
  <c r="AE629" i="1"/>
  <c r="AE1479" i="1"/>
  <c r="AE1144" i="1"/>
  <c r="AE1464" i="1"/>
  <c r="AE1128" i="1"/>
  <c r="AE385" i="1"/>
  <c r="AE994" i="1"/>
  <c r="AE940" i="1"/>
  <c r="AE394" i="1"/>
  <c r="AE978" i="1"/>
  <c r="AE765" i="1"/>
  <c r="AE1169" i="1"/>
  <c r="AE355" i="1"/>
  <c r="AE1011" i="1"/>
  <c r="AE343" i="1"/>
  <c r="AE665" i="1"/>
  <c r="AE610" i="1"/>
  <c r="AE1153" i="1"/>
  <c r="AE617" i="1"/>
  <c r="AE1020" i="1"/>
  <c r="AE973" i="1"/>
  <c r="AE47" i="1"/>
  <c r="AE109" i="1"/>
  <c r="AE1036" i="1"/>
  <c r="AE925" i="1"/>
  <c r="AE576" i="1"/>
  <c r="AE630" i="1"/>
  <c r="AE858" i="1"/>
  <c r="AE930" i="1"/>
  <c r="AE1102" i="1"/>
  <c r="AE547" i="1"/>
  <c r="AE523" i="1"/>
  <c r="AE1332" i="1"/>
  <c r="AE593" i="1"/>
  <c r="AE1160" i="1"/>
  <c r="AE334" i="1"/>
  <c r="AE932" i="1"/>
  <c r="AE1431" i="1"/>
  <c r="AE1349" i="1"/>
  <c r="AE1313" i="1"/>
  <c r="AE893" i="1"/>
  <c r="AE683" i="1"/>
  <c r="AE345" i="1"/>
  <c r="AE948" i="1"/>
  <c r="AE1114" i="1"/>
  <c r="AE793" i="1"/>
  <c r="AE34" i="1"/>
  <c r="AE16" i="1"/>
  <c r="AE622" i="1"/>
  <c r="AE90" i="1"/>
  <c r="AE998" i="1"/>
  <c r="AE139" i="1"/>
  <c r="AE323" i="1"/>
  <c r="AE1254" i="1"/>
  <c r="AE889" i="1"/>
  <c r="AE1467" i="1"/>
  <c r="AE28" i="1"/>
  <c r="AE88" i="1"/>
  <c r="AE340" i="1"/>
  <c r="AE11" i="1"/>
  <c r="AE588" i="1"/>
  <c r="AE1051" i="1"/>
  <c r="AE1234" i="1"/>
  <c r="AE41" i="1"/>
  <c r="AE50" i="1"/>
  <c r="AE1259" i="1"/>
  <c r="AE725" i="1"/>
  <c r="AE1282" i="1"/>
  <c r="AE962" i="1"/>
  <c r="AE1104" i="1"/>
  <c r="AE98" i="1"/>
  <c r="AE601" i="1"/>
  <c r="AE328" i="1"/>
  <c r="AE1284" i="1"/>
  <c r="AE247" i="1"/>
  <c r="AE1471" i="1"/>
  <c r="AE543" i="1"/>
  <c r="AE57" i="1"/>
  <c r="AE839" i="1"/>
  <c r="AE94" i="1"/>
  <c r="AE1376" i="1"/>
  <c r="AE1445" i="1"/>
  <c r="AE1026" i="1"/>
  <c r="AE710" i="1"/>
  <c r="AE737" i="1"/>
  <c r="AE878" i="1"/>
  <c r="AE1012" i="1"/>
  <c r="AE552" i="1"/>
  <c r="AE1246" i="1"/>
  <c r="AE781" i="1"/>
  <c r="AE1256" i="1"/>
  <c r="AE446" i="1"/>
  <c r="AE658" i="1"/>
  <c r="AE1264" i="1"/>
  <c r="AE393" i="1"/>
  <c r="AE716" i="1"/>
  <c r="AE1255" i="1"/>
  <c r="AE713" i="1"/>
  <c r="AE435" i="1"/>
  <c r="AE167" i="1"/>
  <c r="AE624" i="1"/>
  <c r="AE187" i="1"/>
  <c r="AE885" i="1"/>
  <c r="AE666" i="1"/>
  <c r="AE6" i="1"/>
  <c r="AE1392" i="1"/>
  <c r="AE1022" i="1"/>
  <c r="AE184" i="1"/>
  <c r="AE632" i="1"/>
  <c r="AE1185" i="1"/>
  <c r="AE826" i="1"/>
  <c r="AE1416" i="1"/>
  <c r="AE964" i="1"/>
  <c r="AE191" i="1"/>
  <c r="AE1463" i="1"/>
  <c r="AE1296" i="1"/>
  <c r="AE504" i="1"/>
  <c r="AE1211" i="1"/>
  <c r="AE234" i="1"/>
  <c r="AE1328" i="1"/>
  <c r="AE74" i="1"/>
  <c r="AE1208" i="1"/>
  <c r="AE1268" i="1"/>
  <c r="AE388" i="1"/>
  <c r="AE1083" i="1"/>
  <c r="AE706" i="1"/>
  <c r="AE840" i="1"/>
  <c r="AE1156" i="1"/>
  <c r="AE941" i="1"/>
  <c r="AE449" i="1"/>
  <c r="AE204" i="1"/>
  <c r="AE1219" i="1"/>
  <c r="AE104" i="1"/>
  <c r="AE1065" i="1"/>
  <c r="AE993" i="1"/>
  <c r="AE642" i="1"/>
  <c r="AE963" i="1"/>
  <c r="AE1453" i="1"/>
  <c r="AE804" i="1"/>
  <c r="AE1340" i="1"/>
  <c r="AE1358" i="1"/>
  <c r="AE1199" i="1"/>
  <c r="AE239" i="1"/>
  <c r="AE1309" i="1"/>
  <c r="AE1308" i="1"/>
  <c r="AE974" i="1"/>
  <c r="AE389" i="1"/>
  <c r="AE1035" i="1"/>
  <c r="AE54" i="1"/>
  <c r="AE1018" i="1"/>
  <c r="AE31" i="1"/>
  <c r="AE1044" i="1"/>
  <c r="AE1034" i="1"/>
  <c r="AE474" i="1"/>
  <c r="AE1140" i="1"/>
  <c r="AE1357" i="1"/>
  <c r="AE1298" i="1"/>
  <c r="AE414" i="1"/>
  <c r="AE1333" i="1"/>
  <c r="AE1066" i="1"/>
  <c r="AE733" i="1"/>
  <c r="AE260" i="1"/>
  <c r="AE975" i="1"/>
  <c r="AE1335" i="1"/>
  <c r="AE491" i="1"/>
  <c r="AE1386" i="1"/>
  <c r="AE1220" i="1"/>
  <c r="AE1394" i="1"/>
  <c r="AE481" i="1"/>
  <c r="AE1221" i="1"/>
  <c r="AE62" i="1"/>
  <c r="AE988" i="1"/>
  <c r="AE1266" i="1"/>
  <c r="AE619" i="1"/>
  <c r="AE931" i="1"/>
  <c r="AE726" i="1"/>
  <c r="AE1327" i="1"/>
  <c r="AE1413" i="1"/>
  <c r="AE444" i="1"/>
  <c r="AE1130" i="1"/>
  <c r="AE1456" i="1"/>
  <c r="AE754" i="1"/>
  <c r="AE383" i="1"/>
  <c r="AE229" i="1"/>
  <c r="AE357" i="1"/>
  <c r="AE730" i="1"/>
  <c r="AE551" i="1"/>
  <c r="AE587" i="1"/>
  <c r="AE1242" i="1"/>
  <c r="AE511" i="1"/>
  <c r="AE182" i="1"/>
  <c r="AE650" i="1"/>
  <c r="AE857" i="1"/>
  <c r="AE1249" i="1"/>
  <c r="AE745" i="1"/>
  <c r="AE753" i="1"/>
  <c r="AE1149" i="1"/>
  <c r="AE3" i="1"/>
  <c r="AE942" i="1"/>
  <c r="AE571" i="1"/>
  <c r="AE1301" i="1"/>
  <c r="AE891" i="1"/>
  <c r="AE750" i="1"/>
  <c r="AE989" i="1"/>
  <c r="AE727" i="1"/>
  <c r="AE846" i="1"/>
  <c r="AE631" i="1"/>
  <c r="AE849" i="1"/>
  <c r="AE883" i="1"/>
  <c r="AE756" i="1"/>
  <c r="AE1032" i="1"/>
  <c r="AE316" i="1"/>
  <c r="AE896" i="1"/>
  <c r="AE1354" i="1"/>
  <c r="AE778" i="1"/>
  <c r="AE801" i="1"/>
  <c r="AE514" i="1"/>
  <c r="AE1134" i="1"/>
  <c r="AE701" i="1"/>
  <c r="AE471" i="1"/>
  <c r="AE136" i="1"/>
  <c r="AE106" i="1"/>
  <c r="AE936" i="1"/>
  <c r="AE376" i="1"/>
  <c r="AE468" i="1"/>
  <c r="AE1322" i="1"/>
  <c r="AE118" i="1"/>
  <c r="AE519" i="1"/>
  <c r="AE1314" i="1"/>
  <c r="AE873" i="1"/>
  <c r="AE953" i="1"/>
  <c r="AE1420" i="1"/>
  <c r="AE563" i="1"/>
  <c r="AE133" i="1"/>
  <c r="AE488" i="1"/>
  <c r="AE1452" i="1"/>
  <c r="AE38" i="1"/>
  <c r="AE169" i="1"/>
  <c r="AE225" i="1"/>
  <c r="AE1030" i="1"/>
  <c r="AE280" i="1"/>
  <c r="AE808" i="1"/>
  <c r="AE881" i="1"/>
  <c r="AE865" i="1"/>
  <c r="AE1138" i="1"/>
  <c r="AE1184" i="1"/>
  <c r="AE589" i="1"/>
  <c r="AE680" i="1"/>
  <c r="AE1330" i="1"/>
  <c r="AE1403" i="1"/>
  <c r="AE856" i="1"/>
  <c r="AE1244" i="1"/>
  <c r="AE981" i="1"/>
  <c r="AE1213" i="1"/>
  <c r="AE1009" i="1"/>
  <c r="AE992" i="1"/>
  <c r="AE1276" i="1"/>
  <c r="AE1027" i="1"/>
  <c r="AE107" i="1"/>
  <c r="AE1228" i="1"/>
  <c r="AE490" i="1"/>
  <c r="AE457" i="1"/>
  <c r="AE97" i="1"/>
  <c r="AE382" i="1"/>
  <c r="AE1176" i="1"/>
  <c r="AE1025" i="1"/>
  <c r="AE586" i="1"/>
  <c r="AE1123" i="1"/>
  <c r="AE1076" i="1"/>
  <c r="AE1168" i="1"/>
  <c r="AE269" i="1"/>
  <c r="AE1283" i="1"/>
  <c r="AE928" i="1"/>
  <c r="AE479" i="1"/>
  <c r="AE190" i="1"/>
  <c r="AE557" i="1"/>
  <c r="AE1151" i="1"/>
  <c r="AE181" i="1"/>
  <c r="AE640" i="1"/>
  <c r="AE599" i="1"/>
  <c r="AE1375" i="1"/>
  <c r="AE473" i="1"/>
  <c r="AE1444" i="1"/>
  <c r="AE452" i="1"/>
  <c r="AE1377" i="1"/>
  <c r="AE1323" i="1"/>
  <c r="AE1410" i="1"/>
  <c r="AE1237" i="1"/>
  <c r="AE99" i="1"/>
  <c r="AE339" i="1"/>
  <c r="AE8" i="1"/>
  <c r="AE633" i="1"/>
  <c r="AE862" i="1"/>
  <c r="AE387" i="1"/>
  <c r="AE453" i="1"/>
  <c r="AE42" i="1"/>
  <c r="AE522" i="1"/>
  <c r="AE79" i="1"/>
  <c r="AE429" i="1"/>
  <c r="AE77" i="1"/>
  <c r="AE358" i="1"/>
  <c r="AE1448" i="1"/>
  <c r="AE668" i="1"/>
  <c r="AE795" i="1"/>
  <c r="AE494" i="1"/>
  <c r="AE760" i="1"/>
  <c r="AE1417" i="1"/>
  <c r="AE609" i="1"/>
  <c r="AE1312" i="1"/>
  <c r="AE533" i="1"/>
  <c r="AE901" i="1"/>
  <c r="AE96" i="1"/>
  <c r="AE1265" i="1"/>
  <c r="AE907" i="1"/>
  <c r="AE1396" i="1"/>
  <c r="AE807" i="1"/>
  <c r="AE1196" i="1"/>
  <c r="AE146" i="1"/>
  <c r="AE1365" i="1"/>
  <c r="AE1115" i="1"/>
  <c r="AE214" i="1"/>
  <c r="AE985" i="1"/>
  <c r="AE1131" i="1"/>
  <c r="AE825" i="1"/>
  <c r="AE837" i="1"/>
  <c r="AE505" i="1"/>
  <c r="AE513" i="1"/>
  <c r="AE1002" i="1"/>
  <c r="AE769" i="1"/>
  <c r="AE279" i="1"/>
  <c r="AE995" i="1"/>
  <c r="AE326" i="1"/>
  <c r="AE1165" i="1"/>
  <c r="AE95" i="1"/>
  <c r="AE785" i="1"/>
  <c r="AE148" i="1"/>
  <c r="AE1472" i="1"/>
  <c r="AE221" i="1"/>
  <c r="AE721" i="1"/>
  <c r="AE419" i="1"/>
  <c r="AE882" i="1"/>
  <c r="AE4" i="1"/>
  <c r="AE134" i="1"/>
  <c r="AE46" i="1"/>
  <c r="AE845" i="1"/>
  <c r="AE623" i="1"/>
  <c r="AE52" i="1"/>
  <c r="AE484" i="1"/>
  <c r="AE734" i="1"/>
  <c r="AE1203" i="1"/>
  <c r="AE732" i="1"/>
  <c r="AE919" i="1"/>
  <c r="AE861" i="1"/>
  <c r="AE1269" i="1"/>
  <c r="AE392" i="1"/>
  <c r="AE761" i="1"/>
  <c r="AE1235" i="1"/>
  <c r="AE165" i="1"/>
  <c r="AE53" i="1"/>
  <c r="AE816" i="1"/>
  <c r="AE498" i="1"/>
  <c r="AE739" i="1"/>
  <c r="AE634" i="1"/>
  <c r="AE1060" i="1"/>
  <c r="AE641" i="1"/>
  <c r="AE1062" i="1"/>
  <c r="AE763" i="1"/>
  <c r="AE1091" i="1"/>
  <c r="AE422" i="1"/>
  <c r="AE132" i="1"/>
  <c r="AE250" i="1"/>
  <c r="AE872" i="1"/>
  <c r="AE1175" i="1"/>
  <c r="AE493" i="1"/>
  <c r="AE294" i="1"/>
  <c r="AE1087" i="1"/>
  <c r="AE480" i="1"/>
  <c r="AE84" i="1"/>
  <c r="AE762" i="1"/>
  <c r="AE1092" i="1"/>
  <c r="AE696" i="1"/>
  <c r="AE70" i="1"/>
  <c r="AE87" i="1"/>
  <c r="AE1478" i="1"/>
  <c r="AE1039" i="1"/>
  <c r="AE943" i="1"/>
  <c r="AE823" i="1"/>
  <c r="AE186" i="1"/>
  <c r="AE1112" i="1"/>
  <c r="AE310" i="1"/>
  <c r="AE1037" i="1"/>
  <c r="AE1056" i="1"/>
  <c r="AE138" i="1"/>
  <c r="AE1038" i="1"/>
  <c r="AE117" i="1"/>
  <c r="AE590" i="1"/>
  <c r="AE965" i="1"/>
  <c r="AE428" i="1"/>
  <c r="AE946" i="1"/>
  <c r="AE55" i="1"/>
  <c r="AE1231" i="1"/>
  <c r="AE674" i="1"/>
  <c r="AE205" i="1"/>
  <c r="AE19" i="1"/>
  <c r="AE996" i="1"/>
  <c r="AE1073" i="1"/>
  <c r="AE417" i="1"/>
  <c r="AE1197" i="1"/>
  <c r="AE1433" i="1"/>
  <c r="AE1079" i="1"/>
  <c r="AE173" i="1"/>
  <c r="AE61" i="1"/>
  <c r="AE568" i="1"/>
  <c r="AE1275" i="1"/>
  <c r="AE538" i="1"/>
  <c r="AE1383" i="1"/>
  <c r="AE531" i="1"/>
  <c r="AC4" i="1"/>
  <c r="AC3" i="1"/>
  <c r="AD3" i="1"/>
</calcChain>
</file>

<file path=xl/sharedStrings.xml><?xml version="1.0" encoding="utf-8"?>
<sst xmlns="http://schemas.openxmlformats.org/spreadsheetml/2006/main" count="21187" uniqueCount="3024">
  <si>
    <t>Année en cours :</t>
  </si>
  <si>
    <t>Années de protection restantes</t>
  </si>
  <si>
    <t xml:space="preserve">Années de protection </t>
  </si>
  <si>
    <t>Cap Number</t>
  </si>
  <si>
    <t>Salary</t>
  </si>
  <si>
    <t>Position</t>
  </si>
  <si>
    <t>ANA</t>
  </si>
  <si>
    <t>UFA</t>
  </si>
  <si>
    <t>RFA</t>
  </si>
  <si>
    <t>BOS</t>
  </si>
  <si>
    <t>BUF</t>
  </si>
  <si>
    <t>CAR</t>
  </si>
  <si>
    <t>CGY</t>
  </si>
  <si>
    <t>CHI</t>
  </si>
  <si>
    <t>CLB</t>
  </si>
  <si>
    <t>COL</t>
  </si>
  <si>
    <t>DAL</t>
  </si>
  <si>
    <t>DET</t>
  </si>
  <si>
    <t>EDM</t>
  </si>
  <si>
    <t>FLA</t>
  </si>
  <si>
    <t>LAK</t>
  </si>
  <si>
    <t>MIN</t>
  </si>
  <si>
    <t>MTL</t>
  </si>
  <si>
    <t>NAS</t>
  </si>
  <si>
    <t>NJD</t>
  </si>
  <si>
    <t>NYI</t>
  </si>
  <si>
    <t>NYR</t>
  </si>
  <si>
    <t>OTT</t>
  </si>
  <si>
    <t>PHI</t>
  </si>
  <si>
    <t>PIT</t>
  </si>
  <si>
    <t>SJS</t>
  </si>
  <si>
    <t>STL</t>
  </si>
  <si>
    <t>TBL</t>
  </si>
  <si>
    <t>TOR</t>
  </si>
  <si>
    <t>VAN</t>
  </si>
  <si>
    <t>WPG</t>
  </si>
  <si>
    <t>Nom</t>
  </si>
  <si>
    <t>TOTAL</t>
  </si>
  <si>
    <t>Attaquants</t>
  </si>
  <si>
    <t>Défenseurs</t>
  </si>
  <si>
    <t>Gardiens</t>
  </si>
  <si>
    <t>Actifs</t>
  </si>
  <si>
    <t>Réserviste</t>
  </si>
  <si>
    <t>Recrues</t>
  </si>
  <si>
    <t>Masse salariale restante</t>
  </si>
  <si>
    <t>Historique des changements :</t>
  </si>
  <si>
    <t>Date</t>
  </si>
  <si>
    <t>David</t>
  </si>
  <si>
    <t>Jérôme</t>
  </si>
  <si>
    <t>Steve</t>
  </si>
  <si>
    <t>Nicolas</t>
  </si>
  <si>
    <t>Vincent</t>
  </si>
  <si>
    <t>Équipe</t>
  </si>
  <si>
    <t>Joueur</t>
  </si>
  <si>
    <t>Minimum de jour pour échange Actif-Réserviste</t>
  </si>
  <si>
    <t>Jusqu'à</t>
  </si>
  <si>
    <t>Calcul Plafond Salarial</t>
  </si>
  <si>
    <t>Fictif année suivante</t>
  </si>
  <si>
    <t>Réel année suivante</t>
  </si>
  <si>
    <t>Choix acquis</t>
  </si>
  <si>
    <t>Choix restants</t>
  </si>
  <si>
    <t>Années</t>
  </si>
  <si>
    <t>Ronde</t>
  </si>
  <si>
    <t>ARI</t>
  </si>
  <si>
    <t>Round: 1</t>
  </si>
  <si>
    <t>Rnd</t>
  </si>
  <si>
    <t>Pick</t>
  </si>
  <si>
    <t>Overall</t>
  </si>
  <si>
    <t>Team</t>
  </si>
  <si>
    <t>Pos</t>
  </si>
  <si>
    <t>Country</t>
  </si>
  <si>
    <t>Amateur League</t>
  </si>
  <si>
    <t>Amateur Team</t>
  </si>
  <si>
    <t>C</t>
  </si>
  <si>
    <t>CAN</t>
  </si>
  <si>
    <t>6' 0"</t>
  </si>
  <si>
    <t>OHL</t>
  </si>
  <si>
    <t>USA</t>
  </si>
  <si>
    <t>6' 2"</t>
  </si>
  <si>
    <t>H-EAST</t>
  </si>
  <si>
    <t>6' 3"</t>
  </si>
  <si>
    <t>5' 11"</t>
  </si>
  <si>
    <t>D</t>
  </si>
  <si>
    <t>CZE</t>
  </si>
  <si>
    <t>RUS</t>
  </si>
  <si>
    <t>WHL</t>
  </si>
  <si>
    <t>CBJ</t>
  </si>
  <si>
    <t>BIG10</t>
  </si>
  <si>
    <t>RW</t>
  </si>
  <si>
    <t>6' 1"</t>
  </si>
  <si>
    <t>QMJHL</t>
  </si>
  <si>
    <t>FIN</t>
  </si>
  <si>
    <t>FINLAND</t>
  </si>
  <si>
    <t>LW</t>
  </si>
  <si>
    <t>6' 4"</t>
  </si>
  <si>
    <t>RUSSIA-JR.</t>
  </si>
  <si>
    <t>USHL</t>
  </si>
  <si>
    <t>SWE</t>
  </si>
  <si>
    <t>SWEDEN</t>
  </si>
  <si>
    <t>USA U-18</t>
  </si>
  <si>
    <t>5' 9"</t>
  </si>
  <si>
    <t>SWEDEN-JR.</t>
  </si>
  <si>
    <t>5' 10"</t>
  </si>
  <si>
    <t>Round: 2</t>
  </si>
  <si>
    <t>6' 5"</t>
  </si>
  <si>
    <t>6' 6"</t>
  </si>
  <si>
    <t>SWEDEN-2</t>
  </si>
  <si>
    <t>Paule</t>
  </si>
  <si>
    <t>Joueur activé/acquis</t>
  </si>
  <si>
    <t>Joueur désactivé/échangé</t>
  </si>
  <si>
    <t>Dans le cas d'une expansion :</t>
  </si>
  <si>
    <t>Le rang de sélection des joueurs autonomes et des recrues varie selon le classement de l'année précédente. Celui qui fini dernier repêche en premier et ainsi de suite.</t>
  </si>
  <si>
    <t>Type</t>
  </si>
  <si>
    <t>La personne repêche première pour les joueurs autonomes et les joueurs ballotés au cours de la saison</t>
  </si>
  <si>
    <t>Ballotage :</t>
  </si>
  <si>
    <t>Une fois que la personne a dit qu'elle ne prenait pas un joueur, celle-ci ne peut revenir sur son idée. Si elle veut aller chercher le joueur par la suite, elle doit utiliser un de ses échanges.</t>
  </si>
  <si>
    <t>L'ordre est basé sur le classement de l'année précédente (même que pour le repêchage des recrues)</t>
  </si>
  <si>
    <t>On accorde un délai de 3 jours pour que les gens se prononcent sur un joueur balloté. S'il n'y a pas de réponse, la personne passe son tour et la parole va au suivant.</t>
  </si>
  <si>
    <t>Général</t>
  </si>
  <si>
    <t>Un joueur qui n'est pas signé avant le début de la saison peut être échangé sans pénalité, avant le premier match de la saison.</t>
  </si>
  <si>
    <t>Une recrue activée pour compléter l'alignement de début de saison pourra être désactivé si elle est retourné dans le junior avant le match d'ouverture. La personne pourra aller chercher un joueur autonome sans pénalité.</t>
  </si>
  <si>
    <t>Le bris d'égalité pour décider du gagnant de la saison est la moyenne de point/match global.</t>
  </si>
  <si>
    <t>La personne qui intègre le pool repêche dernière pour les recrues.</t>
  </si>
  <si>
    <t>La personne a priorité sur les joueurs libérés par les poolers lors du repêchage de début de saison.</t>
  </si>
  <si>
    <t>FINLAND-JR.</t>
  </si>
  <si>
    <t>RUSSIA</t>
  </si>
  <si>
    <t>5' 7"</t>
  </si>
  <si>
    <t>G</t>
  </si>
  <si>
    <t>CZREP</t>
  </si>
  <si>
    <t>NCHC</t>
  </si>
  <si>
    <t xml:space="preserve"> L'ordre de choix est lui qui fini dernier qui choisi en premier et ce, pour toutes les rondes.</t>
  </si>
  <si>
    <t>Sébastien STL</t>
  </si>
  <si>
    <t>Sébastien F</t>
  </si>
  <si>
    <t>Lorsqu'on désactive un joueur, on doit attendre 7 jours avant de le réactiver</t>
  </si>
  <si>
    <t>Cap Hit 18-19</t>
  </si>
  <si>
    <t>VGK</t>
  </si>
  <si>
    <t>Nico Hischier</t>
  </si>
  <si>
    <t>Nolan Patrick</t>
  </si>
  <si>
    <t>Miro Heiskanen</t>
  </si>
  <si>
    <t>Cale Makar</t>
  </si>
  <si>
    <t>AJHL</t>
  </si>
  <si>
    <t>Elias Pettersson</t>
  </si>
  <si>
    <t>Cody Glass</t>
  </si>
  <si>
    <t>Lias Andersson</t>
  </si>
  <si>
    <t>HV 71</t>
  </si>
  <si>
    <t>Casey Mittelstadt</t>
  </si>
  <si>
    <t>Michael Rasmussen</t>
  </si>
  <si>
    <t>Owen Tippett</t>
  </si>
  <si>
    <t>Gabriel Vilardi</t>
  </si>
  <si>
    <t>Martin Necas</t>
  </si>
  <si>
    <t>Nick Suzuki</t>
  </si>
  <si>
    <t>Erik Brannstrom</t>
  </si>
  <si>
    <t>Juuso Valimaki</t>
  </si>
  <si>
    <t>Timothy Liljegren</t>
  </si>
  <si>
    <t>Urho Vaakanainen</t>
  </si>
  <si>
    <t>NTDP</t>
  </si>
  <si>
    <t>Robert Thomas</t>
  </si>
  <si>
    <t>Filip Chytil</t>
  </si>
  <si>
    <t>Kailer Yamamoto</t>
  </si>
  <si>
    <t>MIN-ARI</t>
  </si>
  <si>
    <t>Morgan Frost</t>
  </si>
  <si>
    <t>Shane Bowers</t>
  </si>
  <si>
    <t>Henri Jokiharju</t>
  </si>
  <si>
    <t>Eeli Tolvanen</t>
  </si>
  <si>
    <t>Klim Kostin</t>
  </si>
  <si>
    <t>From</t>
  </si>
  <si>
    <t>Height</t>
  </si>
  <si>
    <t>Weight</t>
  </si>
  <si>
    <t>Conor Timmins</t>
  </si>
  <si>
    <t>Kole Lind</t>
  </si>
  <si>
    <t>Nicolas Hague</t>
  </si>
  <si>
    <t>Isaac Ratcliffe</t>
  </si>
  <si>
    <t>Jason Robertson</t>
  </si>
  <si>
    <t>Jaret Anderson-Dolan</t>
  </si>
  <si>
    <t>Alex Formenton</t>
  </si>
  <si>
    <t>Alexander Volkov</t>
  </si>
  <si>
    <t>Jack Studnicka</t>
  </si>
  <si>
    <t>Jonah Gadjovich</t>
  </si>
  <si>
    <t>Joni Ikonen</t>
  </si>
  <si>
    <t>Round: 3</t>
  </si>
  <si>
    <t>ARI-FLA</t>
  </si>
  <si>
    <t>Morgan Geekie</t>
  </si>
  <si>
    <t>Alexei Lipanov</t>
  </si>
  <si>
    <t>Reilly Walsh</t>
  </si>
  <si>
    <t>HIGH-NH</t>
  </si>
  <si>
    <t>Dmitri Samorukov</t>
  </si>
  <si>
    <t>Présence en double</t>
  </si>
  <si>
    <t>Total :</t>
  </si>
  <si>
    <t>Restant :</t>
  </si>
  <si>
    <t>Disponibilité</t>
  </si>
  <si>
    <t>Années contrat restantes</t>
  </si>
  <si>
    <t>1ere</t>
  </si>
  <si>
    <t>2e</t>
  </si>
  <si>
    <t>3e</t>
  </si>
  <si>
    <t>4e</t>
  </si>
  <si>
    <t>Statut</t>
  </si>
  <si>
    <t>À changer pour simulation</t>
  </si>
  <si>
    <t>Réel année courante</t>
  </si>
  <si>
    <t>Fictif année courante</t>
  </si>
  <si>
    <t>Pourcentage de la masse réelle : Déterminé avec ratio de le première saison du Pool LT :</t>
  </si>
  <si>
    <t>Christian Dvorak</t>
  </si>
  <si>
    <t>Steven Stamkos</t>
  </si>
  <si>
    <t>T.J. Oshie</t>
  </si>
  <si>
    <t>Viktor Arvidsson</t>
  </si>
  <si>
    <t>Brayden Schenn</t>
  </si>
  <si>
    <t>Auston Matthews</t>
  </si>
  <si>
    <t>Jake Guentzel</t>
  </si>
  <si>
    <t>Matt Duchene</t>
  </si>
  <si>
    <t>Joe Pavelski</t>
  </si>
  <si>
    <t>Derick Brassard</t>
  </si>
  <si>
    <t>Dylan Larkin</t>
  </si>
  <si>
    <t>Alex Pietrangelo</t>
  </si>
  <si>
    <t>Rasmus Ristolainen</t>
  </si>
  <si>
    <t>Justin Faulk</t>
  </si>
  <si>
    <t>Noah Hanifin</t>
  </si>
  <si>
    <t>Esa Lindell</t>
  </si>
  <si>
    <t>Andrei Vasilevskiy</t>
  </si>
  <si>
    <t>Pekka Rinne</t>
  </si>
  <si>
    <t>Ryan Pulock</t>
  </si>
  <si>
    <t>Duncan Keith</t>
  </si>
  <si>
    <t>William Nylander</t>
  </si>
  <si>
    <t>David Pastrnak</t>
  </si>
  <si>
    <t>Sean Monahan</t>
  </si>
  <si>
    <t>Pavel Buchnevich</t>
  </si>
  <si>
    <t>Nikita Kucherov</t>
  </si>
  <si>
    <t>Alexander Radulov</t>
  </si>
  <si>
    <t>Blake Wheeler</t>
  </si>
  <si>
    <t>Vladimir Tarasenko</t>
  </si>
  <si>
    <t>Vincent Trocheck</t>
  </si>
  <si>
    <t>Kevin Fiala</t>
  </si>
  <si>
    <t>Sebastian Aho</t>
  </si>
  <si>
    <t>Brandon Montour</t>
  </si>
  <si>
    <t>John Klingberg</t>
  </si>
  <si>
    <t>Brent Burns</t>
  </si>
  <si>
    <t>Erik Karlsson</t>
  </si>
  <si>
    <t>Cam Talbot</t>
  </si>
  <si>
    <t>Ben Bishop</t>
  </si>
  <si>
    <t>John Gibson</t>
  </si>
  <si>
    <t>Nick Schmaltz</t>
  </si>
  <si>
    <t>Danton Heinen</t>
  </si>
  <si>
    <t>Sidney Crosby</t>
  </si>
  <si>
    <t>William Karlsson</t>
  </si>
  <si>
    <t>Leon Draisaitl</t>
  </si>
  <si>
    <t>Teuvo Teravainen</t>
  </si>
  <si>
    <t>Jamie Benn</t>
  </si>
  <si>
    <t>Josh Bailey</t>
  </si>
  <si>
    <t>Evgeni Dadonov</t>
  </si>
  <si>
    <t>Mike Hoffman</t>
  </si>
  <si>
    <t>Max Domi</t>
  </si>
  <si>
    <t>Jake Gardiner</t>
  </si>
  <si>
    <t>John Carlson</t>
  </si>
  <si>
    <t>Zachary Werenski</t>
  </si>
  <si>
    <t>Seth Jones</t>
  </si>
  <si>
    <t>Colton Parayko</t>
  </si>
  <si>
    <t>Justin Schultz</t>
  </si>
  <si>
    <t>Matt Murray</t>
  </si>
  <si>
    <t>Devan Dubnyk</t>
  </si>
  <si>
    <t>Joshua Ho-Sang</t>
  </si>
  <si>
    <t>Conor Sheary</t>
  </si>
  <si>
    <t>Wayne Simmonds</t>
  </si>
  <si>
    <t>Jaden Schwartz</t>
  </si>
  <si>
    <t>Patrik Laine</t>
  </si>
  <si>
    <t>Kyle Palmieri</t>
  </si>
  <si>
    <t>Jonathan Drouin</t>
  </si>
  <si>
    <t>Taylor Hall</t>
  </si>
  <si>
    <t>Nikolaj Ehlers</t>
  </si>
  <si>
    <t>Jonathan Marchessault</t>
  </si>
  <si>
    <t>Anthony Mantha</t>
  </si>
  <si>
    <t>Brad Marchand</t>
  </si>
  <si>
    <t>Aleksander Barkov</t>
  </si>
  <si>
    <t>Dougie Hamilton</t>
  </si>
  <si>
    <t>Kevin Shattenkirk</t>
  </si>
  <si>
    <t>Morgan Rielly</t>
  </si>
  <si>
    <t>Ryan Mcdonagh</t>
  </si>
  <si>
    <t>Corey Crawford</t>
  </si>
  <si>
    <t>Jake Allen</t>
  </si>
  <si>
    <t>Alex Galchenyuk</t>
  </si>
  <si>
    <t>Sam Reinhart</t>
  </si>
  <si>
    <t>Artemi Panarin</t>
  </si>
  <si>
    <t>Mitchell Marner</t>
  </si>
  <si>
    <t>Claude Giroux</t>
  </si>
  <si>
    <t>Brock Boeser</t>
  </si>
  <si>
    <t>Brandon Saad</t>
  </si>
  <si>
    <t>Jesse Puljujarvi</t>
  </si>
  <si>
    <t>Connor Mcdavid</t>
  </si>
  <si>
    <t>Jakub Voracek</t>
  </si>
  <si>
    <t>Ryan Hartman</t>
  </si>
  <si>
    <t>Johnny Gaudreau</t>
  </si>
  <si>
    <t>Mats Zuccarello</t>
  </si>
  <si>
    <t>Anders Lee</t>
  </si>
  <si>
    <t>Charlie Mcavoy</t>
  </si>
  <si>
    <t>Shea Weber</t>
  </si>
  <si>
    <t>Torey Krug</t>
  </si>
  <si>
    <t>Dustin Byfuglien</t>
  </si>
  <si>
    <t>Martin Jones</t>
  </si>
  <si>
    <t>Connor Hellebuyck</t>
  </si>
  <si>
    <t>Nate Schmidt</t>
  </si>
  <si>
    <t>Devin Shore</t>
  </si>
  <si>
    <t>Sean Couturier</t>
  </si>
  <si>
    <t>Rickard Rakell</t>
  </si>
  <si>
    <t>Nicklas Backstrom</t>
  </si>
  <si>
    <t>Mikko Rantanen</t>
  </si>
  <si>
    <t>Mark Scheifele</t>
  </si>
  <si>
    <t>Jonathan Huberdeau</t>
  </si>
  <si>
    <t>Brayden Point</t>
  </si>
  <si>
    <t>Alexander Wennberg</t>
  </si>
  <si>
    <t>John Tavares</t>
  </si>
  <si>
    <t>Travis Konecny</t>
  </si>
  <si>
    <t>Nathan Mackinnon</t>
  </si>
  <si>
    <t>Mathew Barzal</t>
  </si>
  <si>
    <t>Mikhail Sergachev</t>
  </si>
  <si>
    <t>Ivan Provorov</t>
  </si>
  <si>
    <t>Oliver Ekman-Larsson</t>
  </si>
  <si>
    <t>Shayne Gostisbehere</t>
  </si>
  <si>
    <t>Roman Josi</t>
  </si>
  <si>
    <t>P.K. Subban</t>
  </si>
  <si>
    <t>Jonathan Quick</t>
  </si>
  <si>
    <t>Braden Holtby</t>
  </si>
  <si>
    <t>Shea Theodore</t>
  </si>
  <si>
    <t>Antti Raanta</t>
  </si>
  <si>
    <t>Alex Debrincat</t>
  </si>
  <si>
    <t>Clayton Keller</t>
  </si>
  <si>
    <t>Jesper Bratt</t>
  </si>
  <si>
    <t>Patrick Kane</t>
  </si>
  <si>
    <t>Tomas Hertl</t>
  </si>
  <si>
    <t>Patrick Maroon</t>
  </si>
  <si>
    <t>Matthew Tkachuk</t>
  </si>
  <si>
    <t>Logan Couture</t>
  </si>
  <si>
    <t>Bo Horvat</t>
  </si>
  <si>
    <t>Tyler Seguin</t>
  </si>
  <si>
    <t>Filip Forsberg</t>
  </si>
  <si>
    <t>Tyler Toffoli</t>
  </si>
  <si>
    <t>Paul Byron</t>
  </si>
  <si>
    <t>Victor Hedman</t>
  </si>
  <si>
    <t>Tyson Barrie</t>
  </si>
  <si>
    <t>Troy Stecher</t>
  </si>
  <si>
    <t>Nikita Zaitsev</t>
  </si>
  <si>
    <t>Frederik Andersen</t>
  </si>
  <si>
    <t>Robby Fabbri</t>
  </si>
  <si>
    <t>Ryan Ellis</t>
  </si>
  <si>
    <t>Artturi Lehkonen</t>
  </si>
  <si>
    <t>Cam Atkinson</t>
  </si>
  <si>
    <t>Erik Haula</t>
  </si>
  <si>
    <t>Eric Staal</t>
  </si>
  <si>
    <t>Mikael Granlund</t>
  </si>
  <si>
    <t>Tanner Pearson</t>
  </si>
  <si>
    <t>Phillip Danault</t>
  </si>
  <si>
    <t>Charlie Coyle</t>
  </si>
  <si>
    <t>Tyler Johnson</t>
  </si>
  <si>
    <t>Nazem Kadri</t>
  </si>
  <si>
    <t>Max Pacioretty</t>
  </si>
  <si>
    <t>Mattias Ekholm</t>
  </si>
  <si>
    <t>Will Butcher</t>
  </si>
  <si>
    <t>Michael Matheson</t>
  </si>
  <si>
    <t>Damon Severson</t>
  </si>
  <si>
    <t>Nick Leddy</t>
  </si>
  <si>
    <t>Sergei Bobrovsky</t>
  </si>
  <si>
    <t>Cory Schneider</t>
  </si>
  <si>
    <t>Victor Rask</t>
  </si>
  <si>
    <t>Oscar Klefbom</t>
  </si>
  <si>
    <t>Nathan Beaulieu</t>
  </si>
  <si>
    <t>Victor Mete</t>
  </si>
  <si>
    <t>Yanni Gourde</t>
  </si>
  <si>
    <t>2019-20</t>
  </si>
  <si>
    <t>2020-21</t>
  </si>
  <si>
    <t>2021-22</t>
  </si>
  <si>
    <t>2022-23</t>
  </si>
  <si>
    <t>2023-24</t>
  </si>
  <si>
    <t>2024-25</t>
  </si>
  <si>
    <t>Frans Nielsen</t>
  </si>
  <si>
    <t>M-NTCNMC</t>
  </si>
  <si>
    <t>Gustav Nyquist</t>
  </si>
  <si>
    <t>NTC</t>
  </si>
  <si>
    <t>Johan Franzen</t>
  </si>
  <si>
    <t>IR </t>
  </si>
  <si>
    <t>Darren Helm</t>
  </si>
  <si>
    <t>Andreas Athanasiou</t>
  </si>
  <si>
    <t>Luke Glendening</t>
  </si>
  <si>
    <t>Luke Witkowski</t>
  </si>
  <si>
    <t>RD</t>
  </si>
  <si>
    <t>LD</t>
  </si>
  <si>
    <t>M-NTC</t>
  </si>
  <si>
    <t>Jonathan Ericsson</t>
  </si>
  <si>
    <t>Trevor Daley</t>
  </si>
  <si>
    <t>Nick Jensen</t>
  </si>
  <si>
    <t>Jimmy Howard</t>
  </si>
  <si>
    <t>ELC </t>
  </si>
  <si>
    <t>Filip Zadina</t>
  </si>
  <si>
    <t>ELC  </t>
  </si>
  <si>
    <t>Junior</t>
  </si>
  <si>
    <t>Dennis Cholowski</t>
  </si>
  <si>
    <t>Dylan Sadowy</t>
  </si>
  <si>
    <t>Evgeny Svechnikov</t>
  </si>
  <si>
    <t>Christoffer Ehn</t>
  </si>
  <si>
    <t>Filip Hronek</t>
  </si>
  <si>
    <t>Givani Smith</t>
  </si>
  <si>
    <t>Dominic Turgeon</t>
  </si>
  <si>
    <t>Dylan McIlrath</t>
  </si>
  <si>
    <t>Brian Lashoff</t>
  </si>
  <si>
    <t>Joe Hicketts</t>
  </si>
  <si>
    <t>Ryan O'Reilly</t>
  </si>
  <si>
    <t>Chris Thorburn</t>
  </si>
  <si>
    <t>Ivan Barbashev</t>
  </si>
  <si>
    <t>ELC</t>
  </si>
  <si>
    <t>Jay Bouwmeester</t>
  </si>
  <si>
    <t>Carl Gunnarsson</t>
  </si>
  <si>
    <t>Robert Bortuzzo</t>
  </si>
  <si>
    <t>Vince Dunn</t>
  </si>
  <si>
    <t>Jake Walman</t>
  </si>
  <si>
    <t>Dominik Bokk</t>
  </si>
  <si>
    <t>Ville Husso</t>
  </si>
  <si>
    <t>Evan Fitzpatrick</t>
  </si>
  <si>
    <t>Jordan Kyrou</t>
  </si>
  <si>
    <t>Adam Musil</t>
  </si>
  <si>
    <t>Conner Bleackley</t>
  </si>
  <si>
    <t>Luke Opilka</t>
  </si>
  <si>
    <t>Samuel Blais</t>
  </si>
  <si>
    <t>Jordan Binnington</t>
  </si>
  <si>
    <t>Chris Butler</t>
  </si>
  <si>
    <t>Dmitrii Sergeev</t>
  </si>
  <si>
    <t>NMC</t>
  </si>
  <si>
    <t>Phil Kessel</t>
  </si>
  <si>
    <t>Carl Hagelin</t>
  </si>
  <si>
    <t>Daniel Sprong</t>
  </si>
  <si>
    <t>Brian Dumoulin</t>
  </si>
  <si>
    <t>Chad Ruhwedel</t>
  </si>
  <si>
    <t>Casey DeSmith</t>
  </si>
  <si>
    <t>Adam Johnson</t>
  </si>
  <si>
    <t>Zach Aston-Reese</t>
  </si>
  <si>
    <t>Frederik Tiffels</t>
  </si>
  <si>
    <t>Jeff Taylor</t>
  </si>
  <si>
    <t>Alex D'Orio</t>
  </si>
  <si>
    <t>Jordy Bellerive</t>
  </si>
  <si>
    <t>Sam Miletic</t>
  </si>
  <si>
    <t>Garrett Wilson</t>
  </si>
  <si>
    <t>Chris Summers</t>
  </si>
  <si>
    <t>Evgeny Kuznetsov</t>
  </si>
  <si>
    <t>Brett Connolly</t>
  </si>
  <si>
    <t>Chandler Stephenson</t>
  </si>
  <si>
    <t>Nathan Walker</t>
  </si>
  <si>
    <t>Matt Niskanen</t>
  </si>
  <si>
    <t>Madison Bowey</t>
  </si>
  <si>
    <t>Christian Djoos</t>
  </si>
  <si>
    <t>Pheonix Copley</t>
  </si>
  <si>
    <t>Lucas Johansen</t>
  </si>
  <si>
    <t>Mason Mitchell</t>
  </si>
  <si>
    <t>Hampus Gustafsson</t>
  </si>
  <si>
    <t>Kris Bindulis</t>
  </si>
  <si>
    <t>Colby Williams</t>
  </si>
  <si>
    <t>Garrett Pilon</t>
  </si>
  <si>
    <t>Beck Malenstyn</t>
  </si>
  <si>
    <t>Connor Hobbs</t>
  </si>
  <si>
    <t>Vitek Vanecek</t>
  </si>
  <si>
    <t>Jonas Siegenthaler</t>
  </si>
  <si>
    <t>Nino Niederreiter</t>
  </si>
  <si>
    <t>Marcus Foligno</t>
  </si>
  <si>
    <t>Joel Eriksson Ek</t>
  </si>
  <si>
    <t>Matt Dumba</t>
  </si>
  <si>
    <t>Jared Spurgeon</t>
  </si>
  <si>
    <t>Jonas Brodin</t>
  </si>
  <si>
    <t>Gustav Olofsson</t>
  </si>
  <si>
    <t>Nate Prosser</t>
  </si>
  <si>
    <t>Alex Stalock</t>
  </si>
  <si>
    <t>Carson Soucy</t>
  </si>
  <si>
    <t>Luke Kunin</t>
  </si>
  <si>
    <t>Dante Salituro</t>
  </si>
  <si>
    <t>Gustav Bouramman</t>
  </si>
  <si>
    <t>Brennan Menell</t>
  </si>
  <si>
    <t>Cal O'Reilly</t>
  </si>
  <si>
    <t>Landon Ferraro</t>
  </si>
  <si>
    <t>Chase Lang</t>
  </si>
  <si>
    <t>Pavel Jenys</t>
  </si>
  <si>
    <t>Hunter Warner</t>
  </si>
  <si>
    <t>Nick Bjugstad</t>
  </si>
  <si>
    <t>Jamie McGinn</t>
  </si>
  <si>
    <t>Micheal Haley</t>
  </si>
  <si>
    <t>Maxim Mamin</t>
  </si>
  <si>
    <t>Denis Malgin</t>
  </si>
  <si>
    <t>Keith Yandle</t>
  </si>
  <si>
    <t>Mark Pysyk</t>
  </si>
  <si>
    <t>Ian McCoshen</t>
  </si>
  <si>
    <t>Roberto Luongo</t>
  </si>
  <si>
    <t>James Reimer</t>
  </si>
  <si>
    <t>Henrik Haapala</t>
  </si>
  <si>
    <t>Michael Downing</t>
  </si>
  <si>
    <t>Dryden Hunt</t>
  </si>
  <si>
    <t>Jonathan Ang</t>
  </si>
  <si>
    <t>Samuel Montembeault</t>
  </si>
  <si>
    <t>Juho Lammikko</t>
  </si>
  <si>
    <t>Thomas Schemitsch</t>
  </si>
  <si>
    <t>Dustin Brown</t>
  </si>
  <si>
    <t>Trevor Lewis</t>
  </si>
  <si>
    <t>Nate Thompson</t>
  </si>
  <si>
    <t>Kyle Clifford</t>
  </si>
  <si>
    <t>Alex Iafallo</t>
  </si>
  <si>
    <t>Adrian Kempe</t>
  </si>
  <si>
    <t>Dion Phaneuf</t>
  </si>
  <si>
    <t>Alec Martinez</t>
  </si>
  <si>
    <t>Jake Muzzin</t>
  </si>
  <si>
    <t>Peter Budaj</t>
  </si>
  <si>
    <t>Cal Petersen</t>
  </si>
  <si>
    <t>Rasmus Kupari</t>
  </si>
  <si>
    <t>Matt Roy</t>
  </si>
  <si>
    <t>Kale Clague</t>
  </si>
  <si>
    <t>Austin Wagner</t>
  </si>
  <si>
    <t>Austin Strand</t>
  </si>
  <si>
    <t>Chaz Reddekopp</t>
  </si>
  <si>
    <t>Bokondji Imama</t>
  </si>
  <si>
    <t>Jacob Moverare</t>
  </si>
  <si>
    <t>Spencer Watson</t>
  </si>
  <si>
    <t>Stepan Falkovsky</t>
  </si>
  <si>
    <t>Matt Luff</t>
  </si>
  <si>
    <t>Jonny Brodzinski</t>
  </si>
  <si>
    <t>Ondrej Palat</t>
  </si>
  <si>
    <t>Alex Killorn</t>
  </si>
  <si>
    <t>Andy Andreoff</t>
  </si>
  <si>
    <t>Cory Conacher</t>
  </si>
  <si>
    <t>Ryan McDonagh</t>
  </si>
  <si>
    <t>Braydon Coburn</t>
  </si>
  <si>
    <t>Dan Girardi</t>
  </si>
  <si>
    <t>Jake Dotchin</t>
  </si>
  <si>
    <t>Cal Foote</t>
  </si>
  <si>
    <t>Mitchell Stephens</t>
  </si>
  <si>
    <t>Boris Katchouk</t>
  </si>
  <si>
    <t>Taylor Raddysh</t>
  </si>
  <si>
    <t>Dominik Masin</t>
  </si>
  <si>
    <t>Connor Ingram</t>
  </si>
  <si>
    <t>Dennis Yan</t>
  </si>
  <si>
    <t>Anthony Cirelli</t>
  </si>
  <si>
    <t>Mathieu Joseph</t>
  </si>
  <si>
    <t>Oleg Sosunov</t>
  </si>
  <si>
    <t>Jonne Tammela</t>
  </si>
  <si>
    <t>Erik Cernak</t>
  </si>
  <si>
    <t>Ben Thomas</t>
  </si>
  <si>
    <t>Gabriel Dumont</t>
  </si>
  <si>
    <t>David Backes</t>
  </si>
  <si>
    <t>Anders Bjork</t>
  </si>
  <si>
    <t>Ryan Donato</t>
  </si>
  <si>
    <t>Jake DeBrusk</t>
  </si>
  <si>
    <t>Noel Acciari</t>
  </si>
  <si>
    <t>Adam McQuaid</t>
  </si>
  <si>
    <t>Kevan Miller</t>
  </si>
  <si>
    <t>Charlie McAvoy</t>
  </si>
  <si>
    <t>Brandon Carlo</t>
  </si>
  <si>
    <t>Tuukka Rask</t>
  </si>
  <si>
    <t>Jakob Forsbacka Karlsson</t>
  </si>
  <si>
    <t>Jakub Zboril</t>
  </si>
  <si>
    <t>Axel Andersson</t>
  </si>
  <si>
    <t>Ryan Fitzgerald</t>
  </si>
  <si>
    <t>Emil Johansson</t>
  </si>
  <si>
    <t>Jesse Gabrielle</t>
  </si>
  <si>
    <t>Daniel Vladar</t>
  </si>
  <si>
    <t>Zane McIntyre</t>
  </si>
  <si>
    <t>Jordan Szwarz</t>
  </si>
  <si>
    <t>Zack Kassian</t>
  </si>
  <si>
    <t>Ty Rattie</t>
  </si>
  <si>
    <t>Jujhar Khaira</t>
  </si>
  <si>
    <t>Andrej Sekera</t>
  </si>
  <si>
    <t>Kris Russell</t>
  </si>
  <si>
    <t>Darnell Nurse</t>
  </si>
  <si>
    <t>Al Montoya</t>
  </si>
  <si>
    <t>Evan Bouchard</t>
  </si>
  <si>
    <t>Ryan Mantha</t>
  </si>
  <si>
    <t>Shane Starrett</t>
  </si>
  <si>
    <t>Tyler Benson</t>
  </si>
  <si>
    <t>Dylan Wells</t>
  </si>
  <si>
    <t>Joseph Gambardella</t>
  </si>
  <si>
    <t>Caleb Jones</t>
  </si>
  <si>
    <t>Ethan Bear</t>
  </si>
  <si>
    <t>Ryan Stanton</t>
  </si>
  <si>
    <t>Mitch Callahan</t>
  </si>
  <si>
    <t>Brad Malone</t>
  </si>
  <si>
    <t>Melker Karlsson</t>
  </si>
  <si>
    <t>Joonas Donskoi</t>
  </si>
  <si>
    <t>Timo Meier</t>
  </si>
  <si>
    <t>Kevin Labanc</t>
  </si>
  <si>
    <t>Barclay Goodrow</t>
  </si>
  <si>
    <t>Justin Braun</t>
  </si>
  <si>
    <t>Brenden Dillon</t>
  </si>
  <si>
    <t>Joakim Ryan</t>
  </si>
  <si>
    <t>Tim Heed</t>
  </si>
  <si>
    <t>Ryan Merkley</t>
  </si>
  <si>
    <t>Jonathon Martin</t>
  </si>
  <si>
    <t>Michael Brodzinski</t>
  </si>
  <si>
    <t>Filip Sandberg</t>
  </si>
  <si>
    <t>Rudolfs Balcers</t>
  </si>
  <si>
    <t>Manuel Wiederer</t>
  </si>
  <si>
    <t>Kyle Wood</t>
  </si>
  <si>
    <t>Alex Schoenborn</t>
  </si>
  <si>
    <t>Rourke Chartier</t>
  </si>
  <si>
    <t>Cavan Fitzgerald</t>
  </si>
  <si>
    <t>Tim Clifton</t>
  </si>
  <si>
    <t>Cody Donaghey</t>
  </si>
  <si>
    <t>Martin Hanzal</t>
  </si>
  <si>
    <t>Radek Faksa</t>
  </si>
  <si>
    <t>Brett Ritchie</t>
  </si>
  <si>
    <t>Tyler Pitlick</t>
  </si>
  <si>
    <t>Marc Methot</t>
  </si>
  <si>
    <t>Julius Honka</t>
  </si>
  <si>
    <t>Gavin Bayreuther</t>
  </si>
  <si>
    <t>Denis Gurianov</t>
  </si>
  <si>
    <t>Roope Hintz</t>
  </si>
  <si>
    <t>Adam Mascherin</t>
  </si>
  <si>
    <t>Niklas Hansson</t>
  </si>
  <si>
    <t>John Nyberg</t>
  </si>
  <si>
    <t>Nicholas Caamano</t>
  </si>
  <si>
    <t>Chris Martenet</t>
  </si>
  <si>
    <t>Ondrej Vala</t>
  </si>
  <si>
    <t>Landon Bow</t>
  </si>
  <si>
    <t>Justin Dowling</t>
  </si>
  <si>
    <t>Artem Anisimov</t>
  </si>
  <si>
    <t>Victor Ejdsell</t>
  </si>
  <si>
    <t>Alex DeBrincat</t>
  </si>
  <si>
    <t>Jordan Schroeder</t>
  </si>
  <si>
    <t>Connor Murphy</t>
  </si>
  <si>
    <t>Erik Gustafsson</t>
  </si>
  <si>
    <t>Adam Boqvist</t>
  </si>
  <si>
    <t>Gustav Forsling</t>
  </si>
  <si>
    <t>Jordan Maletta</t>
  </si>
  <si>
    <t>Matthew Highmore</t>
  </si>
  <si>
    <t>Nathan Noel</t>
  </si>
  <si>
    <t>Anthony Louis</t>
  </si>
  <si>
    <t>Collin Delia</t>
  </si>
  <si>
    <t>Luc Snuggerud</t>
  </si>
  <si>
    <t>Anton Forsberg</t>
  </si>
  <si>
    <t>Matheson Iacopelli</t>
  </si>
  <si>
    <t>Graham Knott</t>
  </si>
  <si>
    <t>Robin Norell</t>
  </si>
  <si>
    <t>Luke Johnson</t>
  </si>
  <si>
    <t>Alexandre Fortin</t>
  </si>
  <si>
    <t>Andrew Campbell</t>
  </si>
  <si>
    <t>Brandon Dubinsky</t>
  </si>
  <si>
    <t>Oliver Bjorkstrand</t>
  </si>
  <si>
    <t>Josh Anderson</t>
  </si>
  <si>
    <t>Pierre-Luc Dubois</t>
  </si>
  <si>
    <t>Sonny Milano</t>
  </si>
  <si>
    <t>Lukas Sedlak</t>
  </si>
  <si>
    <t>David Savard</t>
  </si>
  <si>
    <t>Markus Nutivaara</t>
  </si>
  <si>
    <t>Scott Harrington</t>
  </si>
  <si>
    <t>Joonas Korpisalo</t>
  </si>
  <si>
    <t>Sam Vigneault</t>
  </si>
  <si>
    <t>Liam Foudy</t>
  </si>
  <si>
    <t>Gabriel Carlsson</t>
  </si>
  <si>
    <t>Ryan Collins</t>
  </si>
  <si>
    <t>Kevin Stenlund</t>
  </si>
  <si>
    <t>Ryan MacInnis</t>
  </si>
  <si>
    <t>Maxime Fortier</t>
  </si>
  <si>
    <t>Justin Scott</t>
  </si>
  <si>
    <t>Paul Bittner</t>
  </si>
  <si>
    <t>Vitaly Abramov</t>
  </si>
  <si>
    <t>Doyle Somerby</t>
  </si>
  <si>
    <t>Zac Dalpe</t>
  </si>
  <si>
    <t>Blake Siebenaler</t>
  </si>
  <si>
    <t>Kole Sherwood</t>
  </si>
  <si>
    <t>Mika Zibanejad</t>
  </si>
  <si>
    <t>Chris Kreider</t>
  </si>
  <si>
    <t>Matt Beleskey</t>
  </si>
  <si>
    <t>Jesper Fast</t>
  </si>
  <si>
    <t>Peter Holland</t>
  </si>
  <si>
    <t>Brendan Smith</t>
  </si>
  <si>
    <t>Henrik Lundqvist</t>
  </si>
  <si>
    <t>Chris Nell</t>
  </si>
  <si>
    <t>Vinni Lettieri</t>
  </si>
  <si>
    <t>Neal Pionk</t>
  </si>
  <si>
    <t>Brett Howden</t>
  </si>
  <si>
    <t>Ryan Gropp</t>
  </si>
  <si>
    <t>Alexandar Georgiev</t>
  </si>
  <si>
    <t>Brandon Halverson</t>
  </si>
  <si>
    <t>Vince Pedrie</t>
  </si>
  <si>
    <t>Sean Day</t>
  </si>
  <si>
    <t>Dawson Leedahl</t>
  </si>
  <si>
    <t>Gabriel Fontaine</t>
  </si>
  <si>
    <t>Tim Gettinger</t>
  </si>
  <si>
    <t>Cole Schneider</t>
  </si>
  <si>
    <t>Bobby Ryan</t>
  </si>
  <si>
    <t>Clarke MacArthur</t>
  </si>
  <si>
    <t>Mikkel Boedker</t>
  </si>
  <si>
    <t>Zack Smith</t>
  </si>
  <si>
    <t>Jean-Gabriel Pageau</t>
  </si>
  <si>
    <t>Ryan Dzingel</t>
  </si>
  <si>
    <t>Tom Pyatt</t>
  </si>
  <si>
    <t>Colin White</t>
  </si>
  <si>
    <t>Max McCormick</t>
  </si>
  <si>
    <t>Thomas Chabot</t>
  </si>
  <si>
    <t>Mike Condon</t>
  </si>
  <si>
    <t>Brady Tkachuk</t>
  </si>
  <si>
    <t>Logan Brown</t>
  </si>
  <si>
    <t>Andreas Englund</t>
  </si>
  <si>
    <t>Filip Gustavsson</t>
  </si>
  <si>
    <t>Christian Jaros</t>
  </si>
  <si>
    <t>Parker Kelly</t>
  </si>
  <si>
    <t>Filip Chlapik</t>
  </si>
  <si>
    <t>Ben Sexton</t>
  </si>
  <si>
    <t>Julius Bergman</t>
  </si>
  <si>
    <t>Maxime Lajoie</t>
  </si>
  <si>
    <t>Jack Rodewald</t>
  </si>
  <si>
    <t>Francis Perron</t>
  </si>
  <si>
    <t>Macoy Erkamps</t>
  </si>
  <si>
    <t>Erik Burgdoerfer</t>
  </si>
  <si>
    <t>Jim O'Brien</t>
  </si>
  <si>
    <t>Adam Henrique</t>
  </si>
  <si>
    <t>Jakob Silfverberg</t>
  </si>
  <si>
    <t>Patrick Eaves</t>
  </si>
  <si>
    <t>Ondrej Kase</t>
  </si>
  <si>
    <t>Hampus Lindholm</t>
  </si>
  <si>
    <t>Korbinian Holzer</t>
  </si>
  <si>
    <t>Ryan Miller</t>
  </si>
  <si>
    <t>Jacob Larsson</t>
  </si>
  <si>
    <t>Max Jones</t>
  </si>
  <si>
    <t>Sam Steel</t>
  </si>
  <si>
    <t>Angus Redmond</t>
  </si>
  <si>
    <t>Mitch Hults</t>
  </si>
  <si>
    <t>Keaton Thompson</t>
  </si>
  <si>
    <t>Marcus Pettersson</t>
  </si>
  <si>
    <t>Alex Dostie</t>
  </si>
  <si>
    <t>Josh Mahura</t>
  </si>
  <si>
    <t>Jack Kopacka</t>
  </si>
  <si>
    <t>Julius Nattinen</t>
  </si>
  <si>
    <t>Deven Sideroff</t>
  </si>
  <si>
    <t>Giovanni Fiore</t>
  </si>
  <si>
    <t>Joseph Blandisi</t>
  </si>
  <si>
    <t>Sam Carrick</t>
  </si>
  <si>
    <t>Jaycob Megna</t>
  </si>
  <si>
    <t>Jeff Skinner</t>
  </si>
  <si>
    <t>Jason Pominville</t>
  </si>
  <si>
    <t>Patrik Berglund</t>
  </si>
  <si>
    <t>Zemgus Girgensons</t>
  </si>
  <si>
    <t>Johan Larsson</t>
  </si>
  <si>
    <t>Tage Thompson</t>
  </si>
  <si>
    <t>Evan Rodrigues</t>
  </si>
  <si>
    <t>Marco Scandella</t>
  </si>
  <si>
    <t>Matt Hunwick</t>
  </si>
  <si>
    <t>Jake McCabe</t>
  </si>
  <si>
    <t>Rasmus Dahlin</t>
  </si>
  <si>
    <t>Linus Ullmark</t>
  </si>
  <si>
    <t>Matt Moulson</t>
  </si>
  <si>
    <t>Alexander Nylander</t>
  </si>
  <si>
    <t>Jonas Johansson</t>
  </si>
  <si>
    <t>Devante Stephens</t>
  </si>
  <si>
    <t>Eric Cornel</t>
  </si>
  <si>
    <t>Brendan Guhle</t>
  </si>
  <si>
    <t>Vaclav Karabacek</t>
  </si>
  <si>
    <t>Brycen Martin</t>
  </si>
  <si>
    <t>Kyle Criscuolo</t>
  </si>
  <si>
    <t>Taylor Fedun</t>
  </si>
  <si>
    <t>Matt Tennyson</t>
  </si>
  <si>
    <t>Kevin Porter</t>
  </si>
  <si>
    <t>Elias Lindholm</t>
  </si>
  <si>
    <t>Sam Bennett</t>
  </si>
  <si>
    <t>Curtis Lazar</t>
  </si>
  <si>
    <t>TJ Brodie</t>
  </si>
  <si>
    <t>Travis Hamonic</t>
  </si>
  <si>
    <t>Michael Stone</t>
  </si>
  <si>
    <t>Mike Smith</t>
  </si>
  <si>
    <t>Spencer Foo</t>
  </si>
  <si>
    <t>Josh Healey</t>
  </si>
  <si>
    <t>Mason McDonald</t>
  </si>
  <si>
    <t>Glenn Gawdin</t>
  </si>
  <si>
    <t>Tyler Parsons</t>
  </si>
  <si>
    <t>Rasmus Andersson</t>
  </si>
  <si>
    <t>Oliver Kylington</t>
  </si>
  <si>
    <t>Brett Pollock</t>
  </si>
  <si>
    <t>Ryan Lomberg</t>
  </si>
  <si>
    <t>Andrew Mangiapane</t>
  </si>
  <si>
    <t>Nick Schneider</t>
  </si>
  <si>
    <t>Craig Smith</t>
  </si>
  <si>
    <t>Nick Bonino</t>
  </si>
  <si>
    <t>Austin Watson</t>
  </si>
  <si>
    <t>Colton Sissons</t>
  </si>
  <si>
    <t>Juuse Saros</t>
  </si>
  <si>
    <t>Tyler Moy</t>
  </si>
  <si>
    <t>Emil Pettersson</t>
  </si>
  <si>
    <t>Joonas Lyytinen</t>
  </si>
  <si>
    <t>Yakov Trenin</t>
  </si>
  <si>
    <t>Justin Kirkland</t>
  </si>
  <si>
    <t>Alexandre Carrier</t>
  </si>
  <si>
    <t>Anthony Richard</t>
  </si>
  <si>
    <t>Troy Grosenick</t>
  </si>
  <si>
    <t>Andrew Shaw</t>
  </si>
  <si>
    <t>Nikita Scherbak</t>
  </si>
  <si>
    <t>Charles Hudon</t>
  </si>
  <si>
    <t>Jeff Petry</t>
  </si>
  <si>
    <t>Karl Alzner</t>
  </si>
  <si>
    <t>David Schlemko</t>
  </si>
  <si>
    <t>Jordie Benn</t>
  </si>
  <si>
    <t>Noah Juulsen</t>
  </si>
  <si>
    <t>Mike Reilly</t>
  </si>
  <si>
    <t>Xavier Ouellet</t>
  </si>
  <si>
    <t>Jesperi Kotkaniemi</t>
  </si>
  <si>
    <t>Antoine Waked</t>
  </si>
  <si>
    <t>Jeremiah Addison</t>
  </si>
  <si>
    <t>Daniel Audette</t>
  </si>
  <si>
    <t>Michael McNiven</t>
  </si>
  <si>
    <t>Brett Lernout</t>
  </si>
  <si>
    <t>Matt Taormina</t>
  </si>
  <si>
    <t>Byron Froese</t>
  </si>
  <si>
    <t>Tomas Tatar</t>
  </si>
  <si>
    <t>David Clarkson</t>
  </si>
  <si>
    <t>Cody Eakin</t>
  </si>
  <si>
    <t>Oscar Lindberg</t>
  </si>
  <si>
    <t>Pierre-Édouard Bellemare</t>
  </si>
  <si>
    <t>Alex Tuch</t>
  </si>
  <si>
    <t>Ryan Carpenter</t>
  </si>
  <si>
    <t>Brad Hunt</t>
  </si>
  <si>
    <t>Malcolm Subban</t>
  </si>
  <si>
    <t>Jake Bischoff</t>
  </si>
  <si>
    <t>Griffin Reinhart</t>
  </si>
  <si>
    <t>Reid Duke</t>
  </si>
  <si>
    <t>Dylan Ferguson</t>
  </si>
  <si>
    <t>Dylan Coghlan</t>
  </si>
  <si>
    <t>Keegan Kolesar</t>
  </si>
  <si>
    <t>T.J. Tynan</t>
  </si>
  <si>
    <t>Loui Eriksson</t>
  </si>
  <si>
    <t>Brandon Sutter</t>
  </si>
  <si>
    <t>Sam Gagner</t>
  </si>
  <si>
    <t>Derek Dorsett</t>
  </si>
  <si>
    <t>Jake Virtanen</t>
  </si>
  <si>
    <t>Adam Gaudette</t>
  </si>
  <si>
    <t>Brendan Gaunce</t>
  </si>
  <si>
    <t>Brendan Leipsic</t>
  </si>
  <si>
    <t>Alexander Edler</t>
  </si>
  <si>
    <t>Michael Del Zotto</t>
  </si>
  <si>
    <t>Ben Hutton</t>
  </si>
  <si>
    <t>Alex Biega</t>
  </si>
  <si>
    <t>Anders Nilsson</t>
  </si>
  <si>
    <t>Tyler Motte</t>
  </si>
  <si>
    <t>Thatcher Demko</t>
  </si>
  <si>
    <t>Nikolay Goldobin</t>
  </si>
  <si>
    <t>Olli Juolevi</t>
  </si>
  <si>
    <t>Zack MacEwen</t>
  </si>
  <si>
    <t>Yan-Pavel Laplante</t>
  </si>
  <si>
    <t>Jalen Chatfield</t>
  </si>
  <si>
    <t>Tanner Kero</t>
  </si>
  <si>
    <t>Guillaume Brisebois</t>
  </si>
  <si>
    <t>Michael Carcone</t>
  </si>
  <si>
    <t>Evan McEneny</t>
  </si>
  <si>
    <t>Dave Bolland</t>
  </si>
  <si>
    <t>Nick Cousins</t>
  </si>
  <si>
    <t>Lawson Crouse</t>
  </si>
  <si>
    <t>Dylan Strome</t>
  </si>
  <si>
    <t>Brendan Perlini</t>
  </si>
  <si>
    <t>Christian Fischer</t>
  </si>
  <si>
    <t>Josh Archibald</t>
  </si>
  <si>
    <t>Jason Demers</t>
  </si>
  <si>
    <t>Jakob Chychrun</t>
  </si>
  <si>
    <t>Jordan Oesterle</t>
  </si>
  <si>
    <t>Barrett Hayton</t>
  </si>
  <si>
    <t>Hunter Miska</t>
  </si>
  <si>
    <t>Nick Merkley</t>
  </si>
  <si>
    <t>Jens Looke</t>
  </si>
  <si>
    <t>Jacob Graves</t>
  </si>
  <si>
    <t>Kyle Capobianco</t>
  </si>
  <si>
    <t>Cam Dineen</t>
  </si>
  <si>
    <t>Adin Hill</t>
  </si>
  <si>
    <t>Adam Helewka</t>
  </si>
  <si>
    <t>Lane Pederson</t>
  </si>
  <si>
    <t>Jalen Smereck</t>
  </si>
  <si>
    <t>Conor Garland</t>
  </si>
  <si>
    <t>Dysin Mayo</t>
  </si>
  <si>
    <t>Robbie Russo</t>
  </si>
  <si>
    <t>Mathieu Perreault</t>
  </si>
  <si>
    <t>Andrew Copp</t>
  </si>
  <si>
    <t>Kyle Connor</t>
  </si>
  <si>
    <t>Jack Roslovic</t>
  </si>
  <si>
    <t>Tyler Myers</t>
  </si>
  <si>
    <t>Dmitry Kulikov</t>
  </si>
  <si>
    <t>Ben Chiarot</t>
  </si>
  <si>
    <t>Nicolas Petan</t>
  </si>
  <si>
    <t>Logan Stanley</t>
  </si>
  <si>
    <t>Brendan Lemieux</t>
  </si>
  <si>
    <t>Sami Niku</t>
  </si>
  <si>
    <t>Jansen Harkins</t>
  </si>
  <si>
    <t>Michael Spacek</t>
  </si>
  <si>
    <t>Luke Green</t>
  </si>
  <si>
    <t>Mason Appleton</t>
  </si>
  <si>
    <t>Simon Bourque</t>
  </si>
  <si>
    <t>Nelson Nogier</t>
  </si>
  <si>
    <t>Dale Weise</t>
  </si>
  <si>
    <t>Michael Raffl</t>
  </si>
  <si>
    <t>Jordan Weal</t>
  </si>
  <si>
    <t>Scott Laughton</t>
  </si>
  <si>
    <t>Oskar Lindblom</t>
  </si>
  <si>
    <t>Radko Gudas</t>
  </si>
  <si>
    <t>Travis Sanheim</t>
  </si>
  <si>
    <t>Brian Elliott</t>
  </si>
  <si>
    <t>Michal Neuvirth</t>
  </si>
  <si>
    <t>Michael Vecchione</t>
  </si>
  <si>
    <t>German Rubtsov</t>
  </si>
  <si>
    <t>Mikhail Vorobyov</t>
  </si>
  <si>
    <t>Pascal Laberge</t>
  </si>
  <si>
    <t>Mark Friedman</t>
  </si>
  <si>
    <t>Connor Bunnaman</t>
  </si>
  <si>
    <t>Carter Hart</t>
  </si>
  <si>
    <t>Radel Fazleev</t>
  </si>
  <si>
    <t>Corban Knight</t>
  </si>
  <si>
    <t>Cole Bardreau</t>
  </si>
  <si>
    <t>Greg Carey</t>
  </si>
  <si>
    <t>Casey Cizikas</t>
  </si>
  <si>
    <t>Matt Martin</t>
  </si>
  <si>
    <t>Anthony Beauvillier</t>
  </si>
  <si>
    <t>Johnny Boychuk</t>
  </si>
  <si>
    <t>Adam Pelech</t>
  </si>
  <si>
    <t>Thomas Greiss</t>
  </si>
  <si>
    <t>Noah Dobson</t>
  </si>
  <si>
    <t>Kieffer Bellows</t>
  </si>
  <si>
    <t>Michael Dal Colle</t>
  </si>
  <si>
    <t>Jakub Skarek</t>
  </si>
  <si>
    <t>Parker Wotherspoon</t>
  </si>
  <si>
    <t>John Stevens</t>
  </si>
  <si>
    <t>Steve Bernier</t>
  </si>
  <si>
    <t>Colin Wilson</t>
  </si>
  <si>
    <t>Sven Andrighetto</t>
  </si>
  <si>
    <t>Dominic Toninato</t>
  </si>
  <si>
    <t>Alexander Kerfoot</t>
  </si>
  <si>
    <t>Tyson Jost</t>
  </si>
  <si>
    <t>Nikita Zadorov</t>
  </si>
  <si>
    <t>Samuel Girard</t>
  </si>
  <si>
    <t>Anton Lindholm</t>
  </si>
  <si>
    <t>Semyon Varlamov</t>
  </si>
  <si>
    <t>Philipp Grubauer</t>
  </si>
  <si>
    <t>Martin Kaut</t>
  </si>
  <si>
    <t>Nicolas Meloche</t>
  </si>
  <si>
    <t>Vladislav Kamenev</t>
  </si>
  <si>
    <t>J.C. Beaudin</t>
  </si>
  <si>
    <t>Sergei Boikov</t>
  </si>
  <si>
    <t>Julien Nantel</t>
  </si>
  <si>
    <t>David Warsofsky</t>
  </si>
  <si>
    <t>Andrew Agozzino</t>
  </si>
  <si>
    <t>Patrick Marleau</t>
  </si>
  <si>
    <t>Nathan Horton</t>
  </si>
  <si>
    <t>Zach Hyman</t>
  </si>
  <si>
    <t>Connor Brown</t>
  </si>
  <si>
    <t>Kasperi Kapanen</t>
  </si>
  <si>
    <t>Andreas Johnsson</t>
  </si>
  <si>
    <t>Tyler Ennis</t>
  </si>
  <si>
    <t>Ron Hainsey</t>
  </si>
  <si>
    <t>Travis Dermott</t>
  </si>
  <si>
    <t>Curtis McElhinney</t>
  </si>
  <si>
    <t>Trevor Moore</t>
  </si>
  <si>
    <t>Eamon McAdam</t>
  </si>
  <si>
    <t>Andreas Borgman</t>
  </si>
  <si>
    <t>Rasmus Sandin</t>
  </si>
  <si>
    <t>Jeremy Bracco</t>
  </si>
  <si>
    <t>Adam Brooks</t>
  </si>
  <si>
    <t>Vincent LoVerde</t>
  </si>
  <si>
    <t>Andrew Nielsen</t>
  </si>
  <si>
    <t>Dmytro Timashov</t>
  </si>
  <si>
    <t>Garret Sparks</t>
  </si>
  <si>
    <t>Chris Mueller</t>
  </si>
  <si>
    <t>Marcus Johansson</t>
  </si>
  <si>
    <t>Brian Boyle</t>
  </si>
  <si>
    <t>Pavel Zacha</t>
  </si>
  <si>
    <t>Miles Wood</t>
  </si>
  <si>
    <t>Sami Vatanen</t>
  </si>
  <si>
    <t>Ben Lovejoy</t>
  </si>
  <si>
    <t>Steven Santini</t>
  </si>
  <si>
    <t>Mirco Mueller</t>
  </si>
  <si>
    <t>Keith Kinkaid</t>
  </si>
  <si>
    <t>Ty Smith</t>
  </si>
  <si>
    <t>Michael Kapla</t>
  </si>
  <si>
    <t>Michael Mcleod</t>
  </si>
  <si>
    <t>John Quenneville</t>
  </si>
  <si>
    <t>Blake Speers</t>
  </si>
  <si>
    <t>Colton White</t>
  </si>
  <si>
    <t>Josh Jacobs</t>
  </si>
  <si>
    <t>Nathan Bastian</t>
  </si>
  <si>
    <t>Brandon Gignac</t>
  </si>
  <si>
    <t>Eric Gryba</t>
  </si>
  <si>
    <t>Mackenzie Blackwood</t>
  </si>
  <si>
    <t>Colby Sissons</t>
  </si>
  <si>
    <t>Brandon Baddock</t>
  </si>
  <si>
    <t>Blake Pietila</t>
  </si>
  <si>
    <t>Justin Williams</t>
  </si>
  <si>
    <t>Jordan Martinook</t>
  </si>
  <si>
    <t>Micheal Ferland</t>
  </si>
  <si>
    <t>Andrei Svechnikov</t>
  </si>
  <si>
    <t>Brock McGinn</t>
  </si>
  <si>
    <t>Haydn Fleury</t>
  </si>
  <si>
    <t>Scott Darling</t>
  </si>
  <si>
    <t>Julien Gauthier</t>
  </si>
  <si>
    <t>Jake Bean</t>
  </si>
  <si>
    <t>Alex Nedeljkovic</t>
  </si>
  <si>
    <t>Janne Kuokkanen</t>
  </si>
  <si>
    <t>Aleksi Saarela</t>
  </si>
  <si>
    <t>Warren Foegele</t>
  </si>
  <si>
    <t>Roland McKeown</t>
  </si>
  <si>
    <t>Cliff Pu</t>
  </si>
  <si>
    <t>Callum Booth</t>
  </si>
  <si>
    <t>Spencer Smallman</t>
  </si>
  <si>
    <t>Steven Lorentz</t>
  </si>
  <si>
    <t>Nicolas Roy</t>
  </si>
  <si>
    <t>Clark Bishop</t>
  </si>
  <si>
    <t>Josh Wesley</t>
  </si>
  <si>
    <t>Termes</t>
  </si>
  <si>
    <t>Age</t>
  </si>
  <si>
    <t>Anthony DeAngelo</t>
  </si>
  <si>
    <t>Jake Debrusk</t>
  </si>
  <si>
    <t>Dante Fabbro</t>
  </si>
  <si>
    <t>Jeremy Roy</t>
  </si>
  <si>
    <t>Henrik Borgstrom</t>
  </si>
  <si>
    <t>Jakub Vrana</t>
  </si>
  <si>
    <t>Riley Tufte</t>
  </si>
  <si>
    <t>Cam Morrison</t>
  </si>
  <si>
    <t>Vérification Statut</t>
  </si>
  <si>
    <t>Cap hit 19/20</t>
  </si>
  <si>
    <t>18-19</t>
  </si>
  <si>
    <t>19-20</t>
  </si>
  <si>
    <t>20-21</t>
  </si>
  <si>
    <t>21-22</t>
  </si>
  <si>
    <t>22-23</t>
  </si>
  <si>
    <t>Chicago Blackhawks</t>
  </si>
  <si>
    <t>Los Angeles Kings</t>
  </si>
  <si>
    <t>Washington Capitals</t>
  </si>
  <si>
    <t>Pittsburgh Penguins</t>
  </si>
  <si>
    <t>Dallas Stars</t>
  </si>
  <si>
    <t>Nashville Predators</t>
  </si>
  <si>
    <t>Anaheim Ducks</t>
  </si>
  <si>
    <t>New York Rangers</t>
  </si>
  <si>
    <t>Tampa Bay Lightning</t>
  </si>
  <si>
    <t>Edmonton Oilers</t>
  </si>
  <si>
    <t>Philadelphia Flyers</t>
  </si>
  <si>
    <t>San Jose Sharks</t>
  </si>
  <si>
    <t>Montreal Canadiens</t>
  </si>
  <si>
    <t>Winnipeg Jets</t>
  </si>
  <si>
    <t>Minnesota Wild</t>
  </si>
  <si>
    <t>St Louis Blues</t>
  </si>
  <si>
    <t>Florida Panthers</t>
  </si>
  <si>
    <t>Columbus Blue Jackets</t>
  </si>
  <si>
    <t>Ottawa Senators</t>
  </si>
  <si>
    <t>Boston Bruins</t>
  </si>
  <si>
    <t>Calgary Flames</t>
  </si>
  <si>
    <t>Arizona Coyotes</t>
  </si>
  <si>
    <t>Colorado Avalanche</t>
  </si>
  <si>
    <t>Toronto Maple Leafs</t>
  </si>
  <si>
    <t>Detroit Red Wings</t>
  </si>
  <si>
    <t>Carolina Hurricanes</t>
  </si>
  <si>
    <t>Vancouver Canucks</t>
  </si>
  <si>
    <t>New Jersey Devils</t>
  </si>
  <si>
    <t>Buffalo Sabres</t>
  </si>
  <si>
    <t>New York Islanders</t>
  </si>
  <si>
    <t>Vegas Golden Knights</t>
  </si>
  <si>
    <t>Jonathan Toews</t>
  </si>
  <si>
    <t>Anze Kopitar</t>
  </si>
  <si>
    <t>Alex Ovechkin</t>
  </si>
  <si>
    <t>Evgeni Malkin</t>
  </si>
  <si>
    <t>Corey Perry</t>
  </si>
  <si>
    <t>Ryan Getzlaf</t>
  </si>
  <si>
    <t>Ryan Johansen</t>
  </si>
  <si>
    <t>Zach Parise</t>
  </si>
  <si>
    <t>Ryan Suter</t>
  </si>
  <si>
    <t>Aaron Ekblad</t>
  </si>
  <si>
    <t>Jason Spezza</t>
  </si>
  <si>
    <t>Kris Letang</t>
  </si>
  <si>
    <t>David Krejci</t>
  </si>
  <si>
    <t>Drew Doughty</t>
  </si>
  <si>
    <t>Patrice Bergeron</t>
  </si>
  <si>
    <t>Brent Seabrook</t>
  </si>
  <si>
    <t>Ryan Kesler</t>
  </si>
  <si>
    <t>Mark Giordano</t>
  </si>
  <si>
    <t>Derek Stepan</t>
  </si>
  <si>
    <t>Henrik Zetterberg</t>
  </si>
  <si>
    <t>Jordan Staal</t>
  </si>
  <si>
    <t>Erik Johnson</t>
  </si>
  <si>
    <t>Ryan Nugent-Hopkins</t>
  </si>
  <si>
    <t>Kyle Okposo</t>
  </si>
  <si>
    <t>Milan Lucic</t>
  </si>
  <si>
    <t>Jordan Eberle</t>
  </si>
  <si>
    <t>Ryan Callahan</t>
  </si>
  <si>
    <t>Marc-Andre Fleury</t>
  </si>
  <si>
    <t>Travis Zajac</t>
  </si>
  <si>
    <t>Alex Steen</t>
  </si>
  <si>
    <t>Marc Staal</t>
  </si>
  <si>
    <t>Gabriel Landeskog</t>
  </si>
  <si>
    <t>Brooks Orpik</t>
  </si>
  <si>
    <t>Andrew Ladd</t>
  </si>
  <si>
    <t>Nick Foligno</t>
  </si>
  <si>
    <t>Alex Goligoski</t>
  </si>
  <si>
    <t>Jeff Carter</t>
  </si>
  <si>
    <t>Marian Hossa</t>
  </si>
  <si>
    <t>Zach Bogosian</t>
  </si>
  <si>
    <t>Dmitri Orlov</t>
  </si>
  <si>
    <t>Andy Greene</t>
  </si>
  <si>
    <t>Dan DeKeyser</t>
  </si>
  <si>
    <t>Reilly Smith</t>
  </si>
  <si>
    <t>Andrew MacDonald</t>
  </si>
  <si>
    <t>Marian Gaborik</t>
  </si>
  <si>
    <t>Paul Martin</t>
  </si>
  <si>
    <t>Carl Soderberg</t>
  </si>
  <si>
    <t>Niklas Kronwall</t>
  </si>
  <si>
    <t>Jori Lehtera</t>
  </si>
  <si>
    <t>T.J. Brodie</t>
  </si>
  <si>
    <t>Anton Stralman</t>
  </si>
  <si>
    <t>Troy Brouwer</t>
  </si>
  <si>
    <t>Chris Tanev</t>
  </si>
  <si>
    <t>Michael Frolik</t>
  </si>
  <si>
    <t>Justin Abdelkader</t>
  </si>
  <si>
    <t>Adam Larsson</t>
  </si>
  <si>
    <t>Steve Mason</t>
  </si>
  <si>
    <t>Niklas Hjalmarsson</t>
  </si>
  <si>
    <t>Olli Maatta</t>
  </si>
  <si>
    <t>Evgeny Dadonov</t>
  </si>
  <si>
    <t>Brendan Gallagher</t>
  </si>
  <si>
    <t>Jacob Markstrom</t>
  </si>
  <si>
    <t>Vladimir Sobotka</t>
  </si>
  <si>
    <t>Cal Clutterbuck</t>
  </si>
  <si>
    <t>Marcus Kruger</t>
  </si>
  <si>
    <t>Andre Burakovsky</t>
  </si>
  <si>
    <t>Richard Panik</t>
  </si>
  <si>
    <t>Alexandre Burrows</t>
  </si>
  <si>
    <t>Calle Jarnkrok</t>
  </si>
  <si>
    <t>Zach Werenski</t>
  </si>
  <si>
    <t>Calle Rosen</t>
  </si>
  <si>
    <t>Mitch Marner</t>
  </si>
  <si>
    <t>Alex Nylander</t>
  </si>
  <si>
    <t>Michael McLeod</t>
  </si>
  <si>
    <t>Derek MacKenzie</t>
  </si>
  <si>
    <t>Zachary Senyshyn</t>
  </si>
  <si>
    <t>Colin (b. 1997) White</t>
  </si>
  <si>
    <t>Josh Ho-Sang</t>
  </si>
  <si>
    <t>Matiss Kivelnieks</t>
  </si>
  <si>
    <t>JT Compher</t>
  </si>
  <si>
    <t>Nick Desimone</t>
  </si>
  <si>
    <t>Griffen Molino</t>
  </si>
  <si>
    <t>Dillon Dube</t>
  </si>
  <si>
    <t>Mike Amadio</t>
  </si>
  <si>
    <t>Mitchell Vande Sompel</t>
  </si>
  <si>
    <t>Carl Dahlstrom</t>
  </si>
  <si>
    <t>Frederic Allard</t>
  </si>
  <si>
    <t>Matt Spencer</t>
  </si>
  <si>
    <t>David Kampf</t>
  </si>
  <si>
    <t>Jonathan Dahlen</t>
  </si>
  <si>
    <t>Yaroslav Dyblenko</t>
  </si>
  <si>
    <t>Libor Hajek</t>
  </si>
  <si>
    <t>Sergey Zborovskiy</t>
  </si>
  <si>
    <t>Gabriel Gagne</t>
  </si>
  <si>
    <t>Peter Cehlarik</t>
  </si>
  <si>
    <t>Axel Holmstrom</t>
  </si>
  <si>
    <t>Vili Saarijarvi</t>
  </si>
  <si>
    <t>Nicolas Aube-Kubel</t>
  </si>
  <si>
    <t>Jeremy Lauzon</t>
  </si>
  <si>
    <t>Marcus Hogberg</t>
  </si>
  <si>
    <t>Dereck Baribeau</t>
  </si>
  <si>
    <t>A.J. Greer</t>
  </si>
  <si>
    <t>Calvin Thurkauf</t>
  </si>
  <si>
    <t>Keaton Middleton</t>
  </si>
  <si>
    <t>Jean-Francois Berube</t>
  </si>
  <si>
    <t>Markus Hannikainen</t>
  </si>
  <si>
    <t>Marcus Sorensen</t>
  </si>
  <si>
    <t>Frederick Gaudreau</t>
  </si>
  <si>
    <t>Pontus Aberg</t>
  </si>
  <si>
    <t>Phil Varone</t>
  </si>
  <si>
    <t>Zach Fucale</t>
  </si>
  <si>
    <t>Steven Oleksy</t>
  </si>
  <si>
    <t>Steve Kampfer</t>
  </si>
  <si>
    <t>Cap Hit 19-20</t>
  </si>
  <si>
    <t>Frolunda</t>
  </si>
  <si>
    <t>Barrie</t>
  </si>
  <si>
    <t>Assat</t>
  </si>
  <si>
    <t>Boston University</t>
  </si>
  <si>
    <t>Sault Ste. Marie</t>
  </si>
  <si>
    <t>Halifax</t>
  </si>
  <si>
    <t>Quintin Hughes</t>
  </si>
  <si>
    <t>Michigan</t>
  </si>
  <si>
    <t>Brynas Jr.</t>
  </si>
  <si>
    <t>Vitali Kravtsov</t>
  </si>
  <si>
    <t>Chelyabinsk</t>
  </si>
  <si>
    <t>London</t>
  </si>
  <si>
    <t>Oliver Wahlstrom</t>
  </si>
  <si>
    <t>CGY-NYI</t>
  </si>
  <si>
    <t>Acadie-Bathurst</t>
  </si>
  <si>
    <t>Ty Dellandrea</t>
  </si>
  <si>
    <t>Flint</t>
  </si>
  <si>
    <t>STL-PHI</t>
  </si>
  <si>
    <t>Joel Farabee</t>
  </si>
  <si>
    <t>Grigori Denisenko</t>
  </si>
  <si>
    <t>Yaroslavl 2</t>
  </si>
  <si>
    <t>Pardubice</t>
  </si>
  <si>
    <t>Spokane</t>
  </si>
  <si>
    <t>Jay O'Brien</t>
  </si>
  <si>
    <t>HIGH-MA</t>
  </si>
  <si>
    <t>Thayer Academy</t>
  </si>
  <si>
    <t>Karpat</t>
  </si>
  <si>
    <t>Guelph</t>
  </si>
  <si>
    <t>PIT-OTT-NYR</t>
  </si>
  <si>
    <t>K'Andre Miller</t>
  </si>
  <si>
    <t>Isac Lundestrom</t>
  </si>
  <si>
    <t>Lulea</t>
  </si>
  <si>
    <t>Filip Johansson</t>
  </si>
  <si>
    <t>Leksand Jr.</t>
  </si>
  <si>
    <t>TOR-STL</t>
  </si>
  <si>
    <t>DEU</t>
  </si>
  <si>
    <t>Vaxjo Jr.</t>
  </si>
  <si>
    <t>BOS-NYR-OTT</t>
  </si>
  <si>
    <t>Jacob Bernard-Docker</t>
  </si>
  <si>
    <t>Okotoks</t>
  </si>
  <si>
    <t>NSH-CHI</t>
  </si>
  <si>
    <t>Nicolas Beaudin</t>
  </si>
  <si>
    <t>Drummondville</t>
  </si>
  <si>
    <t>TBL-NYR</t>
  </si>
  <si>
    <t>Nils Lundkvist</t>
  </si>
  <si>
    <t>WPG-STL-TOR</t>
  </si>
  <si>
    <t>VGK-DET</t>
  </si>
  <si>
    <t>Joseph Veleno</t>
  </si>
  <si>
    <t>WSH</t>
  </si>
  <si>
    <t>Alexander Alexeyev</t>
  </si>
  <si>
    <t>Red Deer</t>
  </si>
  <si>
    <t>Name</t>
  </si>
  <si>
    <t>Mattias Samuelsson</t>
  </si>
  <si>
    <t>OTT-NYR-DET</t>
  </si>
  <si>
    <t>Jonatan Berggren</t>
  </si>
  <si>
    <t>Skelleftea Jr.</t>
  </si>
  <si>
    <t>Serron Noel</t>
  </si>
  <si>
    <t>Oshawa</t>
  </si>
  <si>
    <t>Jesse Ylonen</t>
  </si>
  <si>
    <t>FINLAND-2</t>
  </si>
  <si>
    <t>Espoo</t>
  </si>
  <si>
    <t>Jared McIsaac</t>
  </si>
  <si>
    <t>Jett Woo</t>
  </si>
  <si>
    <t>Moose Jaw</t>
  </si>
  <si>
    <t>CHI-MTL</t>
  </si>
  <si>
    <t>Alexander Romanov</t>
  </si>
  <si>
    <t>CSKA 2</t>
  </si>
  <si>
    <t>Olof Lindbom</t>
  </si>
  <si>
    <t>Djurgarden Jr.</t>
  </si>
  <si>
    <t>Ryan McLeod</t>
  </si>
  <si>
    <t>Mississauga</t>
  </si>
  <si>
    <t>Bode Wilde</t>
  </si>
  <si>
    <t>Jack Drury</t>
  </si>
  <si>
    <t>Waterloo</t>
  </si>
  <si>
    <t>Ruslan Iskhakov</t>
  </si>
  <si>
    <t>Albin Eriksson</t>
  </si>
  <si>
    <t>Scott Perunovich</t>
  </si>
  <si>
    <t>Minnesota-Duluth</t>
  </si>
  <si>
    <t>FLA-NJD-WSH</t>
  </si>
  <si>
    <t>Martin Fehervary</t>
  </si>
  <si>
    <t>SVK</t>
  </si>
  <si>
    <t>Oskarshamn</t>
  </si>
  <si>
    <t>COL-WSH</t>
  </si>
  <si>
    <t>Kody Clark</t>
  </si>
  <si>
    <t>Ottawa</t>
  </si>
  <si>
    <t>NJD-NYR-OTT</t>
  </si>
  <si>
    <t>Jonathan Tychonick</t>
  </si>
  <si>
    <t>BCHL</t>
  </si>
  <si>
    <t>Penticton</t>
  </si>
  <si>
    <t>Kirill Marchenko</t>
  </si>
  <si>
    <t>Khanty-Mansiysk 2</t>
  </si>
  <si>
    <t>Adam Ginning</t>
  </si>
  <si>
    <t>Linkoping</t>
  </si>
  <si>
    <t>Akil Thomas</t>
  </si>
  <si>
    <t>Niagara</t>
  </si>
  <si>
    <t>SJS-TOR</t>
  </si>
  <si>
    <t>Sean Durzi</t>
  </si>
  <si>
    <t>Owen Sound</t>
  </si>
  <si>
    <t>Calen Addison</t>
  </si>
  <si>
    <t>Lethbridge</t>
  </si>
  <si>
    <t>Benoit-Olivier Groulx</t>
  </si>
  <si>
    <t>Kevin Bahl</t>
  </si>
  <si>
    <t>TOR-MTL</t>
  </si>
  <si>
    <t>Jacob Olofsson</t>
  </si>
  <si>
    <t>Timra</t>
  </si>
  <si>
    <t>NSH-COL-PIT</t>
  </si>
  <si>
    <t>Filip Hallander</t>
  </si>
  <si>
    <t>Gabriel Fortier</t>
  </si>
  <si>
    <t>Baie Comeau</t>
  </si>
  <si>
    <t>David Gustafsson</t>
  </si>
  <si>
    <t>Ivan Morozov</t>
  </si>
  <si>
    <t>WSH-MTL-EDM</t>
  </si>
  <si>
    <t>Olivier Rodrigue</t>
  </si>
  <si>
    <t>BUF-MIN</t>
  </si>
  <si>
    <t>Jack McBain</t>
  </si>
  <si>
    <t>OJHL</t>
  </si>
  <si>
    <t>Toronto JC</t>
  </si>
  <si>
    <t>OTT-PIT-COL</t>
  </si>
  <si>
    <t>Justus Annunen</t>
  </si>
  <si>
    <t>Karpat Jr.</t>
  </si>
  <si>
    <t>Jan Jenik</t>
  </si>
  <si>
    <t>CZREP-2</t>
  </si>
  <si>
    <t>Benatky N. J.</t>
  </si>
  <si>
    <t>Cameron Hillis</t>
  </si>
  <si>
    <t>Alec Regula</t>
  </si>
  <si>
    <t>Tyler Madden</t>
  </si>
  <si>
    <t>Tri-City</t>
  </si>
  <si>
    <t>Jake Wise</t>
  </si>
  <si>
    <t>Jacob Ragnarsson</t>
  </si>
  <si>
    <t>Almtuna</t>
  </si>
  <si>
    <t>EDM-MTL</t>
  </si>
  <si>
    <t>Jordan Harris</t>
  </si>
  <si>
    <t>Kimball Union Academy</t>
  </si>
  <si>
    <t>Jihlava</t>
  </si>
  <si>
    <t>CAR-ARI</t>
  </si>
  <si>
    <t>Ty Emberson</t>
  </si>
  <si>
    <t>CGY-ARI-CHI</t>
  </si>
  <si>
    <t>Niklas Nordgren</t>
  </si>
  <si>
    <t>HIFK Jr.</t>
  </si>
  <si>
    <t>Oskar Back</t>
  </si>
  <si>
    <t>Farjestad Jr.</t>
  </si>
  <si>
    <t>STL-TOR</t>
  </si>
  <si>
    <t>Semyon Der-Arguchintsev</t>
  </si>
  <si>
    <t>Peterborough</t>
  </si>
  <si>
    <t>FLA-BOS</t>
  </si>
  <si>
    <t>Jakub Lauko</t>
  </si>
  <si>
    <t>Chomutov</t>
  </si>
  <si>
    <t>Sampo Ranta</t>
  </si>
  <si>
    <t>Sioux City</t>
  </si>
  <si>
    <t>NJD-ANA</t>
  </si>
  <si>
    <t>Blake McLaughlin</t>
  </si>
  <si>
    <t>Chicago</t>
  </si>
  <si>
    <t>Marcus Karlberg</t>
  </si>
  <si>
    <t>PHI-DET</t>
  </si>
  <si>
    <t>Seth Barton</t>
  </si>
  <si>
    <t>Trail</t>
  </si>
  <si>
    <t>Bulat Shafigullin</t>
  </si>
  <si>
    <t>Nizhnekamsk 2</t>
  </si>
  <si>
    <t>Riley Stotts</t>
  </si>
  <si>
    <t>Calgary</t>
  </si>
  <si>
    <t>PIT-DET</t>
  </si>
  <si>
    <t>Jesper Eliasson</t>
  </si>
  <si>
    <t>SWEDEN-JR. 2</t>
  </si>
  <si>
    <t>Troja-Ljungby Jr.</t>
  </si>
  <si>
    <t>Lukas Dostal</t>
  </si>
  <si>
    <t>Trebic</t>
  </si>
  <si>
    <t>Alexander Khovanov</t>
  </si>
  <si>
    <t>Moncton</t>
  </si>
  <si>
    <t>WSH-CHI-ANA-SJS</t>
  </si>
  <si>
    <t>Linus Karlsson</t>
  </si>
  <si>
    <t>Karlskrona Jr.</t>
  </si>
  <si>
    <t>BOS-NYR</t>
  </si>
  <si>
    <t>Joey Keane</t>
  </si>
  <si>
    <t>NSH-FLA</t>
  </si>
  <si>
    <t>Logan Hutsko</t>
  </si>
  <si>
    <t>Boston College</t>
  </si>
  <si>
    <t>Dmitry Semykin</t>
  </si>
  <si>
    <t>Stupino 2</t>
  </si>
  <si>
    <t>Nathan Smith</t>
  </si>
  <si>
    <t>Cedar Rapids</t>
  </si>
  <si>
    <t>VGK-MIN</t>
  </si>
  <si>
    <t>Connor Dewar</t>
  </si>
  <si>
    <t>Everett</t>
  </si>
  <si>
    <t>Riley Sutter</t>
  </si>
  <si>
    <t>Mitchell Gibson</t>
  </si>
  <si>
    <t>2019-2020</t>
  </si>
  <si>
    <t>Vérification valeur</t>
  </si>
  <si>
    <t>Pastrnak, David</t>
  </si>
  <si>
    <t>Marchand, Brad</t>
  </si>
  <si>
    <t>Backes, David</t>
  </si>
  <si>
    <t>Kuraly, Sean</t>
  </si>
  <si>
    <t>Wagner, Chris</t>
  </si>
  <si>
    <t>Bjork, Anders</t>
  </si>
  <si>
    <t>Donato, Ryan</t>
  </si>
  <si>
    <t>Heinen, Danton</t>
  </si>
  <si>
    <t>DeBrusk, Jake</t>
  </si>
  <si>
    <t>Acciari, Noel</t>
  </si>
  <si>
    <t>Krug, Torey</t>
  </si>
  <si>
    <t>Moore, John</t>
  </si>
  <si>
    <t>Miller, Kevan</t>
  </si>
  <si>
    <t>Grzelcyk, Matt</t>
  </si>
  <si>
    <t>McAvoy, Charlie</t>
  </si>
  <si>
    <t>Carlo, Brandon</t>
  </si>
  <si>
    <t>Kampfer, Steven</t>
  </si>
  <si>
    <t>Rask, Tuukka</t>
  </si>
  <si>
    <t>Halák, Jaroslav</t>
  </si>
  <si>
    <t>Beleskey, Matt</t>
  </si>
  <si>
    <t>Vaakanainen, Urho</t>
  </si>
  <si>
    <t>Frederic, Trent</t>
  </si>
  <si>
    <t>Senyshyn, Zach</t>
  </si>
  <si>
    <t>Zboril, Jakub</t>
  </si>
  <si>
    <t>Andersson, Axel</t>
  </si>
  <si>
    <t>Studnicka, Jack</t>
  </si>
  <si>
    <t>Fitzgerald, Ryan</t>
  </si>
  <si>
    <t>Hughes, Cameron</t>
  </si>
  <si>
    <t>Sherman, Wiley</t>
  </si>
  <si>
    <t>Koppanen, Joona</t>
  </si>
  <si>
    <t>Kuhlman, Karson</t>
  </si>
  <si>
    <t>Cehlárik, Peter</t>
  </si>
  <si>
    <t>Vladar, Daniel</t>
  </si>
  <si>
    <t>Clifton, Connor</t>
  </si>
  <si>
    <t>Keyser, Kyle</t>
  </si>
  <si>
    <t>Cave, Colby</t>
  </si>
  <si>
    <t>McIntyre, Zane</t>
  </si>
  <si>
    <t>Blidh, Anton</t>
  </si>
  <si>
    <t>Szwarz, Jordan</t>
  </si>
  <si>
    <t>Goloubef, Cody</t>
  </si>
  <si>
    <t>Skinner, Jeff</t>
  </si>
  <si>
    <t>Sobotka, Vladimír</t>
  </si>
  <si>
    <t>Sheary, Conor</t>
  </si>
  <si>
    <t>Girgensons, Zemgus</t>
  </si>
  <si>
    <t>Larsson, Johan</t>
  </si>
  <si>
    <t>Wilson, Scott</t>
  </si>
  <si>
    <t>Thompson, Tage</t>
  </si>
  <si>
    <t>Mittelstadt, Casey</t>
  </si>
  <si>
    <t>Rodrigues, Evan</t>
  </si>
  <si>
    <t>Reinhart, Sam</t>
  </si>
  <si>
    <t>Ristolainen, Rasmus</t>
  </si>
  <si>
    <t>Scandella, Marco</t>
  </si>
  <si>
    <t>Beaulieu, Nathan</t>
  </si>
  <si>
    <t>Hunwick, Matt</t>
  </si>
  <si>
    <t>McCabe, Jake</t>
  </si>
  <si>
    <t>Dahlin, Rasmus</t>
  </si>
  <si>
    <t>Hutton, Carter</t>
  </si>
  <si>
    <t>Ullmark, Linus</t>
  </si>
  <si>
    <t>Oglevie, Andrew</t>
  </si>
  <si>
    <t>Pilut, Lawrence</t>
  </si>
  <si>
    <t>Hickey, Brandon</t>
  </si>
  <si>
    <t>Smith, C.J.</t>
  </si>
  <si>
    <t>O'Regan, Danny</t>
  </si>
  <si>
    <t>Borgen, William</t>
  </si>
  <si>
    <t>Nylander, Alexander</t>
  </si>
  <si>
    <t>Asplund, Rasmus</t>
  </si>
  <si>
    <t>Nelson, Casey</t>
  </si>
  <si>
    <t>Luukkonen, Ukko-Pekka</t>
  </si>
  <si>
    <t>Olofsson, Victor</t>
  </si>
  <si>
    <t>Johansson, Jonas</t>
  </si>
  <si>
    <t>Stephens, Devante</t>
  </si>
  <si>
    <t>Wedgewood, Scott</t>
  </si>
  <si>
    <t>Guhle, Brendan</t>
  </si>
  <si>
    <t>Criscuolo, Kyle</t>
  </si>
  <si>
    <t>Fedun, Taylor</t>
  </si>
  <si>
    <t>Tennyson, Matt</t>
  </si>
  <si>
    <t>Larkin, Dylan</t>
  </si>
  <si>
    <t>Nielsen, Frans</t>
  </si>
  <si>
    <t>Nyquist, Gustav</t>
  </si>
  <si>
    <t>Franzen, Johan</t>
  </si>
  <si>
    <t>Helm, Darren</t>
  </si>
  <si>
    <t>Mantha, Anthony</t>
  </si>
  <si>
    <t>Athanasiou, Andreas</t>
  </si>
  <si>
    <t>Glendening, Luke</t>
  </si>
  <si>
    <t>Bertuzzi, Tyler</t>
  </si>
  <si>
    <t>Frk, Martin</t>
  </si>
  <si>
    <t>Witkowski, Luke</t>
  </si>
  <si>
    <t>Green, Mike</t>
  </si>
  <si>
    <t>DeKeyser, Danny</t>
  </si>
  <si>
    <t>Ericsson, Jonathan</t>
  </si>
  <si>
    <t>Daley, Trevor</t>
  </si>
  <si>
    <t>Jensen, Nick</t>
  </si>
  <si>
    <t>Howard, Jimmy</t>
  </si>
  <si>
    <t>Bernier, Jonathan</t>
  </si>
  <si>
    <t>Ouellet, Xavier</t>
  </si>
  <si>
    <t>Pope, David</t>
  </si>
  <si>
    <t>Zadina, Filip</t>
  </si>
  <si>
    <t>Cholowski, Dennis</t>
  </si>
  <si>
    <t>Rasmussen, Michael</t>
  </si>
  <si>
    <t>Svechnikov, Evgeny</t>
  </si>
  <si>
    <t>Ehn, Christoffer</t>
  </si>
  <si>
    <t>Fulcher, Kaden</t>
  </si>
  <si>
    <t>Hronek, Filip</t>
  </si>
  <si>
    <t>Smith, Givani</t>
  </si>
  <si>
    <t>Turgeon, Dominic</t>
  </si>
  <si>
    <t>Puempel, Matt</t>
  </si>
  <si>
    <t>Terry, Chris</t>
  </si>
  <si>
    <t>McIlrath, Dylan</t>
  </si>
  <si>
    <t>Lashoff, Brian</t>
  </si>
  <si>
    <t>Hicketts, Joe</t>
  </si>
  <si>
    <t>Hoffman, Mike</t>
  </si>
  <si>
    <t>Bjugstad, Nick</t>
  </si>
  <si>
    <t>Dadonov, Evgeni</t>
  </si>
  <si>
    <t>McCann, Jared</t>
  </si>
  <si>
    <t>Sceviour, Colton</t>
  </si>
  <si>
    <t>Vatrano, Frank</t>
  </si>
  <si>
    <t>Malgin, Denis</t>
  </si>
  <si>
    <t>Matheson, Michael</t>
  </si>
  <si>
    <t>Pysyk, Mark</t>
  </si>
  <si>
    <t>McCoshen, Ian</t>
  </si>
  <si>
    <t>Weegar, MacKenzie</t>
  </si>
  <si>
    <t>Reimer, James</t>
  </si>
  <si>
    <t>Hutchinson, Michael</t>
  </si>
  <si>
    <t>Hawryluk, Jayce</t>
  </si>
  <si>
    <t>Tippett, Owen</t>
  </si>
  <si>
    <t>Hunt, Dryden</t>
  </si>
  <si>
    <t>Bajkov, Patrick</t>
  </si>
  <si>
    <t>Stillman, Riley</t>
  </si>
  <si>
    <t>MacDonald, Jacob</t>
  </si>
  <si>
    <t>Ang, Jonathan</t>
  </si>
  <si>
    <t>Repo, Sebastian</t>
  </si>
  <si>
    <t>Montembeault, Samuel</t>
  </si>
  <si>
    <t>Schemitsch, Thomas</t>
  </si>
  <si>
    <t>Thompson, Paul</t>
  </si>
  <si>
    <t>Brown, Joshua</t>
  </si>
  <si>
    <t>Greco, Anthony</t>
  </si>
  <si>
    <t>Drouin, Jonathan</t>
  </si>
  <si>
    <t>Tatar, Tomas</t>
  </si>
  <si>
    <t>Shaw, Andrew</t>
  </si>
  <si>
    <t>Domi, Max</t>
  </si>
  <si>
    <t>Danault, Phillip</t>
  </si>
  <si>
    <t>Armia, Joel</t>
  </si>
  <si>
    <t>Peca, Matthew</t>
  </si>
  <si>
    <t>Deslauriers, Nicolas</t>
  </si>
  <si>
    <t>Lehkonen, Artturi</t>
  </si>
  <si>
    <t>Hudon, Charles</t>
  </si>
  <si>
    <t>Petry, Jeff</t>
  </si>
  <si>
    <t>Alzner, Karl</t>
  </si>
  <si>
    <t>Benn, Jordie</t>
  </si>
  <si>
    <t>Juulsen, Noah</t>
  </si>
  <si>
    <t>Mete, Victor</t>
  </si>
  <si>
    <t>Reilly, Mike</t>
  </si>
  <si>
    <t>Price, Carey</t>
  </si>
  <si>
    <t>Sklenička, David</t>
  </si>
  <si>
    <t>Kotkaniemi, Jesperi</t>
  </si>
  <si>
    <t>Evans, Jake</t>
  </si>
  <si>
    <t>Suzuki, Nick</t>
  </si>
  <si>
    <t>McCarron, Michael</t>
  </si>
  <si>
    <t>Bitten, Will</t>
  </si>
  <si>
    <t>Vejdemo, Lukas</t>
  </si>
  <si>
    <t>Verbeek, Hayden</t>
  </si>
  <si>
    <t>Alain, Alexandre</t>
  </si>
  <si>
    <t>Lindgren, Charlie</t>
  </si>
  <si>
    <t>Pezzetta, Michael</t>
  </si>
  <si>
    <t>Waked, Antoine</t>
  </si>
  <si>
    <t>Agostino, Kenny</t>
  </si>
  <si>
    <t>Chaput, Michael</t>
  </si>
  <si>
    <t>McNiven, Michael</t>
  </si>
  <si>
    <t>Lernout, Brett</t>
  </si>
  <si>
    <t>Froese, Byron</t>
  </si>
  <si>
    <t>Valiev, Rinat</t>
  </si>
  <si>
    <t>Stone, Mark</t>
  </si>
  <si>
    <t>Ryan, Bobby</t>
  </si>
  <si>
    <t>Duchene, Matt</t>
  </si>
  <si>
    <t>Gáborík, Marián</t>
  </si>
  <si>
    <t>MacArthur, Clarke</t>
  </si>
  <si>
    <t>Boedker, Mikkel</t>
  </si>
  <si>
    <t>Smith, Zack</t>
  </si>
  <si>
    <t>Tierney, Chris</t>
  </si>
  <si>
    <t>White, Colin</t>
  </si>
  <si>
    <t>Carey, Paul</t>
  </si>
  <si>
    <t>Ceci, Cody</t>
  </si>
  <si>
    <t>Wolanin, Christian</t>
  </si>
  <si>
    <t>DeMelo, Dylan</t>
  </si>
  <si>
    <t>Chabot, Thomas</t>
  </si>
  <si>
    <t>Harpur, Ben</t>
  </si>
  <si>
    <t>Anderson, Craig</t>
  </si>
  <si>
    <t>Condon, Mike</t>
  </si>
  <si>
    <t>Tkachuk, Brady</t>
  </si>
  <si>
    <t>Brown, Logan</t>
  </si>
  <si>
    <t>Englund, Andreas</t>
  </si>
  <si>
    <t>Sturtz, Andrew</t>
  </si>
  <si>
    <t>Gustavsson, Filip</t>
  </si>
  <si>
    <t>Luchuk, Aaron</t>
  </si>
  <si>
    <t>Jaros, Christian</t>
  </si>
  <si>
    <t>Formenton, Alex</t>
  </si>
  <si>
    <t>Kelly, Parker</t>
  </si>
  <si>
    <t>Batherson, Drake</t>
  </si>
  <si>
    <t>Chlapik, Filip</t>
  </si>
  <si>
    <t>Lajoie, Maxime</t>
  </si>
  <si>
    <t>Rodewald, Jack</t>
  </si>
  <si>
    <t>Sieloff, Patrick</t>
  </si>
  <si>
    <t>Paul, Nicholas</t>
  </si>
  <si>
    <t>Palat, Ondrej</t>
  </si>
  <si>
    <t>Miller, J.T.</t>
  </si>
  <si>
    <t>Johnson, Tyler</t>
  </si>
  <si>
    <t>Kucherov, Nikita</t>
  </si>
  <si>
    <t>Killorn, Alex</t>
  </si>
  <si>
    <t>Gourde, Yanni</t>
  </si>
  <si>
    <t>Erne, Adam</t>
  </si>
  <si>
    <t>Point, Brayden</t>
  </si>
  <si>
    <t>Andreoff, Andy</t>
  </si>
  <si>
    <t>Conacher, Cory</t>
  </si>
  <si>
    <t>Hedman, Victor</t>
  </si>
  <si>
    <t>McDonagh, Ryan</t>
  </si>
  <si>
    <t>Strålman, Anton</t>
  </si>
  <si>
    <t>Coburn, Braydon</t>
  </si>
  <si>
    <t>Sergachev, Mikhail</t>
  </si>
  <si>
    <t>Koekkoek, Slater</t>
  </si>
  <si>
    <t>Dotchin, Jake</t>
  </si>
  <si>
    <t>Vasilevskiy, Andrei</t>
  </si>
  <si>
    <t>Domingue, Louis</t>
  </si>
  <si>
    <t>Foote, Cal</t>
  </si>
  <si>
    <t>Volkov, Alexander</t>
  </si>
  <si>
    <t>Stephens, Mitchell</t>
  </si>
  <si>
    <t>Katchouk, Boris</t>
  </si>
  <si>
    <t>Raddysh, Taylor</t>
  </si>
  <si>
    <t>Masin, Dominik</t>
  </si>
  <si>
    <t>Lipanov, Alexey</t>
  </si>
  <si>
    <t>Colton, Ross</t>
  </si>
  <si>
    <t>Somppi, Otto</t>
  </si>
  <si>
    <t>Ingram, Connor</t>
  </si>
  <si>
    <t>Yan, Dennis</t>
  </si>
  <si>
    <t>Spencer, Matthew</t>
  </si>
  <si>
    <t>Cirelli, Anthony</t>
  </si>
  <si>
    <t>Joseph, Mathieu</t>
  </si>
  <si>
    <t>Sosunov, Oleg</t>
  </si>
  <si>
    <t>Cernak, Erik</t>
  </si>
  <si>
    <t>Thomas, Ben</t>
  </si>
  <si>
    <t>Gaunce, Cameron</t>
  </si>
  <si>
    <t>Dumont, Gabriel</t>
  </si>
  <si>
    <t>Walcott, Daniel</t>
  </si>
  <si>
    <t>Verhaeghe, Carter</t>
  </si>
  <si>
    <t>Kadri, Nazem</t>
  </si>
  <si>
    <t>Hyman, Zach</t>
  </si>
  <si>
    <t>Brown, Connor</t>
  </si>
  <si>
    <t>Leivo, Josh</t>
  </si>
  <si>
    <t>Matthews, Auston</t>
  </si>
  <si>
    <t>Marner, Mitchell</t>
  </si>
  <si>
    <t>Kapanen, Kasperi</t>
  </si>
  <si>
    <t>Johnsson, Andreas</t>
  </si>
  <si>
    <t>Ennis, Tyler</t>
  </si>
  <si>
    <t>Nylander, William</t>
  </si>
  <si>
    <t>Zaitsev, Nikita</t>
  </si>
  <si>
    <t>Hainsey, Ron</t>
  </si>
  <si>
    <t>Carrick, Connor</t>
  </si>
  <si>
    <t>Dermott, Travis</t>
  </si>
  <si>
    <t>Holl, Justin</t>
  </si>
  <si>
    <t>Andersen, Frederik</t>
  </si>
  <si>
    <t>Sparks, Garret</t>
  </si>
  <si>
    <t>Kessel, Phil</t>
  </si>
  <si>
    <t>Moore, Trevor</t>
  </si>
  <si>
    <t>Borgman, Andreas</t>
  </si>
  <si>
    <t>Engvall, Pierre</t>
  </si>
  <si>
    <t>Sandin, Rasmus</t>
  </si>
  <si>
    <t>Liljegren, Timothy</t>
  </si>
  <si>
    <t>McElhinney, Curtis</t>
  </si>
  <si>
    <t>Bracco, Jeremy</t>
  </si>
  <si>
    <t>Marincin, Martin</t>
  </si>
  <si>
    <t>Pickard, Calvin</t>
  </si>
  <si>
    <t>Lindgren, Jesper</t>
  </si>
  <si>
    <t>Marchment, Mason</t>
  </si>
  <si>
    <t>Brooks, Adam</t>
  </si>
  <si>
    <t>Nielsen, Andrew</t>
  </si>
  <si>
    <t>Timashov, Dmytro</t>
  </si>
  <si>
    <t>Kaskisuo, Kasimir</t>
  </si>
  <si>
    <t>Mueller, Chris</t>
  </si>
  <si>
    <t>Rask, Victor</t>
  </si>
  <si>
    <t>Martinook, Jordan</t>
  </si>
  <si>
    <t>Aho, Sebastian</t>
  </si>
  <si>
    <t>Svechnikov, Andrei</t>
  </si>
  <si>
    <t>McGinn, Brock</t>
  </si>
  <si>
    <t>Zykov, Valentin</t>
  </si>
  <si>
    <t>Hamilton, Dougie</t>
  </si>
  <si>
    <t>Slavin, Jaccob</t>
  </si>
  <si>
    <t>Pesce, Brett</t>
  </si>
  <si>
    <t>Fleury, Haydn</t>
  </si>
  <si>
    <t>Mrázek, Petr</t>
  </si>
  <si>
    <t>Maenalanen, Saku</t>
  </si>
  <si>
    <t>Necas, Martin</t>
  </si>
  <si>
    <t>Gauthier, Julien</t>
  </si>
  <si>
    <t>Bean, Jake</t>
  </si>
  <si>
    <t>Nedeljkovic, Alex</t>
  </si>
  <si>
    <t>Kuokkanen, Janne</t>
  </si>
  <si>
    <t>Geekie, Morgan</t>
  </si>
  <si>
    <t>Helvig, Jeremy</t>
  </si>
  <si>
    <t>Saarela, Aleksi</t>
  </si>
  <si>
    <t>Foegele, Warren</t>
  </si>
  <si>
    <t>McKeown, Roland</t>
  </si>
  <si>
    <t>Pu, Cliff</t>
  </si>
  <si>
    <t>Booth, Callum</t>
  </si>
  <si>
    <t>Smallman, Spencer</t>
  </si>
  <si>
    <t>Lorentz, Steven</t>
  </si>
  <si>
    <t>Roy, Nicolas</t>
  </si>
  <si>
    <t>McKegg, Greg</t>
  </si>
  <si>
    <t>Poturalski, Andrew</t>
  </si>
  <si>
    <t>Carrick, Trevor</t>
  </si>
  <si>
    <t>Bishop, Clark</t>
  </si>
  <si>
    <t>Wallmark, Lucas</t>
  </si>
  <si>
    <t>Renouf, Daniel</t>
  </si>
  <si>
    <t>Brown, Patrick</t>
  </si>
  <si>
    <t>Panarin, Artemi</t>
  </si>
  <si>
    <t>Dubinsky, Brandon</t>
  </si>
  <si>
    <t>Wennberg, Alexander</t>
  </si>
  <si>
    <t>Nash, Riley</t>
  </si>
  <si>
    <t>Bjorkstrand, Oliver</t>
  </si>
  <si>
    <t>Anderson, Josh</t>
  </si>
  <si>
    <t>Dubois, Pierre-Luc</t>
  </si>
  <si>
    <t>Milano, Sonny</t>
  </si>
  <si>
    <t>Duclair, Anthony</t>
  </si>
  <si>
    <t>Savard, David</t>
  </si>
  <si>
    <t>Murray, Ryan</t>
  </si>
  <si>
    <t>Nutivaara, Markus</t>
  </si>
  <si>
    <t>Werenski, Zachary</t>
  </si>
  <si>
    <t>Kukan, Dean</t>
  </si>
  <si>
    <t>Harrington, Scott</t>
  </si>
  <si>
    <t>Bobrovsky, Sergei</t>
  </si>
  <si>
    <t>Korpisalo, Joonas</t>
  </si>
  <si>
    <t>Robinson, Eric</t>
  </si>
  <si>
    <t>Foudy, Liam</t>
  </si>
  <si>
    <t>Kivlenieks, Matiss</t>
  </si>
  <si>
    <t>Texier, Alexandre</t>
  </si>
  <si>
    <t>Carlsson, Gabriel</t>
  </si>
  <si>
    <t>Collins, Ryan</t>
  </si>
  <si>
    <t>Stenlund, Kevin</t>
  </si>
  <si>
    <t>MacInnis, Ryan</t>
  </si>
  <si>
    <t>Davidsson, Jonathan</t>
  </si>
  <si>
    <t>Fortier, Maxime</t>
  </si>
  <si>
    <t>Scott, Justin</t>
  </si>
  <si>
    <t>Bittner, Paul</t>
  </si>
  <si>
    <t>Abramov, Vitaly</t>
  </si>
  <si>
    <t>Somerby, Doyle</t>
  </si>
  <si>
    <t>Dalpe, Zac</t>
  </si>
  <si>
    <t>Thürkauf, Calvin</t>
  </si>
  <si>
    <t>Clendening, Adam</t>
  </si>
  <si>
    <t>Sherwood, Kole</t>
  </si>
  <si>
    <t>Gerbe, Nathan</t>
  </si>
  <si>
    <t>Simpson, Dillon</t>
  </si>
  <si>
    <t>Cross, Tommy</t>
  </si>
  <si>
    <t>Palmieri, Kyle</t>
  </si>
  <si>
    <t>Coleman, Blake</t>
  </si>
  <si>
    <t>Hischier, Nico</t>
  </si>
  <si>
    <t>Anderson, Joseph</t>
  </si>
  <si>
    <t>Zacha, Pavel</t>
  </si>
  <si>
    <t>Bratt, Jesper</t>
  </si>
  <si>
    <t>Gabriel, Kurtis</t>
  </si>
  <si>
    <t>Wood, Miles</t>
  </si>
  <si>
    <t>Vatanen, Sami</t>
  </si>
  <si>
    <t>Severson, Damon</t>
  </si>
  <si>
    <t>Santini, Steven</t>
  </si>
  <si>
    <t>Butcher, Will</t>
  </si>
  <si>
    <t>Mueller, Mirco</t>
  </si>
  <si>
    <t>Schneider, Cory</t>
  </si>
  <si>
    <t>Kinkaid, Keith</t>
  </si>
  <si>
    <t>Smith, Ty</t>
  </si>
  <si>
    <t>Mcleod, Michael</t>
  </si>
  <si>
    <t>Quenneville, John</t>
  </si>
  <si>
    <t>Sharangovich, Yegor</t>
  </si>
  <si>
    <t>Studenic, Marian</t>
  </si>
  <si>
    <t>Seney, Brett</t>
  </si>
  <si>
    <t>Speers, Blake</t>
  </si>
  <si>
    <t>White, Colton</t>
  </si>
  <si>
    <t>Jacobs, Josh</t>
  </si>
  <si>
    <t>Bastian, Nathan</t>
  </si>
  <si>
    <t>Gignac, Brandon</t>
  </si>
  <si>
    <t>Lappin, Nick</t>
  </si>
  <si>
    <t>Rooney, Kevin</t>
  </si>
  <si>
    <t>Blackwood, Mackenzie</t>
  </si>
  <si>
    <t>Sissons, Colby</t>
  </si>
  <si>
    <t>Strait, Brian</t>
  </si>
  <si>
    <t>Baddock, Brandon</t>
  </si>
  <si>
    <t>Pietila, Blake</t>
  </si>
  <si>
    <t>Nelson, Brock</t>
  </si>
  <si>
    <t>Cizikas, Casey</t>
  </si>
  <si>
    <t>Komarov, Leo</t>
  </si>
  <si>
    <t>Filppula, Valtteri</t>
  </si>
  <si>
    <t>Martin, Matt</t>
  </si>
  <si>
    <t>Johnston, Ross</t>
  </si>
  <si>
    <t>Beauvillier, Anthony</t>
  </si>
  <si>
    <t>Barzal, Mathew</t>
  </si>
  <si>
    <t>Kühnhackl, Tom</t>
  </si>
  <si>
    <t>Boychuk, Johnny</t>
  </si>
  <si>
    <t>Leddy, Nick</t>
  </si>
  <si>
    <t>Hickey, Thomas</t>
  </si>
  <si>
    <t>Pulock, Ryan</t>
  </si>
  <si>
    <t>Pelech, Adam</t>
  </si>
  <si>
    <t>Mayfield, Scott</t>
  </si>
  <si>
    <t>Greiss, Thomas</t>
  </si>
  <si>
    <t>Lehner, Robin</t>
  </si>
  <si>
    <t>Dobson, Noah</t>
  </si>
  <si>
    <t>Bellows, Kieffer</t>
  </si>
  <si>
    <t>Ho-Sang, Joshua</t>
  </si>
  <si>
    <t>Koivula, Otto</t>
  </si>
  <si>
    <t>Skarek, Jakub</t>
  </si>
  <si>
    <t>Quenneville, David</t>
  </si>
  <si>
    <t>Wotherspoon, Parker</t>
  </si>
  <si>
    <t>Eansor, Scott</t>
  </si>
  <si>
    <t>Toews, Devon</t>
  </si>
  <si>
    <t>Burroughs, Kyle</t>
  </si>
  <si>
    <t>Gibson, Christopher</t>
  </si>
  <si>
    <t>Helgeson, Seth</t>
  </si>
  <si>
    <t>Lorito, Matt</t>
  </si>
  <si>
    <t>Fritz, Tanner</t>
  </si>
  <si>
    <t>Hayes, Kevin</t>
  </si>
  <si>
    <t>Namestnikov, Vladislav</t>
  </si>
  <si>
    <t>Vesey, Jimmy</t>
  </si>
  <si>
    <t>Buchnevich, Pavel</t>
  </si>
  <si>
    <t>Shattenkirk, Kevin</t>
  </si>
  <si>
    <t>Skjei, Brady</t>
  </si>
  <si>
    <t>Smith, Brendan</t>
  </si>
  <si>
    <t>Deangelo, Anthony</t>
  </si>
  <si>
    <t>Lundqvist, Henrik</t>
  </si>
  <si>
    <t>Lettieri, Vinni</t>
  </si>
  <si>
    <t>Meskanen, Ville</t>
  </si>
  <si>
    <t>Lindgren, Ryan</t>
  </si>
  <si>
    <t>Pionk, Neal</t>
  </si>
  <si>
    <t>Chytil, Filip</t>
  </si>
  <si>
    <t>Andersson, Lias</t>
  </si>
  <si>
    <t>Bigras, Chris</t>
  </si>
  <si>
    <t>Howden, Brett</t>
  </si>
  <si>
    <t>Hájek, Libor</t>
  </si>
  <si>
    <t>Gropp, Ryan</t>
  </si>
  <si>
    <t>Georgiev, Alexandar</t>
  </si>
  <si>
    <t>Crawley, Brandon</t>
  </si>
  <si>
    <t>Day, Sean</t>
  </si>
  <si>
    <t>Ronning, Ty</t>
  </si>
  <si>
    <t>Leedahl, Dawson</t>
  </si>
  <si>
    <t>Fontaine, Gabriel</t>
  </si>
  <si>
    <t>Gettinger, Tim</t>
  </si>
  <si>
    <t>Fogarty, Steven</t>
  </si>
  <si>
    <t>Nieves, Cristoval</t>
  </si>
  <si>
    <t>Gilmour, John</t>
  </si>
  <si>
    <t>Voracek, Jakub</t>
  </si>
  <si>
    <t>Weise, Dale</t>
  </si>
  <si>
    <t>Raffl, Michael</t>
  </si>
  <si>
    <t>Weal, Jordan</t>
  </si>
  <si>
    <t>Laughton, Scott</t>
  </si>
  <si>
    <t>Patrick, Nolan</t>
  </si>
  <si>
    <t>Lindblom, Oskar</t>
  </si>
  <si>
    <t>Konecny, Travis</t>
  </si>
  <si>
    <t>Gostisbehere, Shayne</t>
  </si>
  <si>
    <t>Gudas, Radko</t>
  </si>
  <si>
    <t>Provorov, Ivan</t>
  </si>
  <si>
    <t>Sanheim, Travis</t>
  </si>
  <si>
    <t>Folin, Christian</t>
  </si>
  <si>
    <t>Elliott, Brian</t>
  </si>
  <si>
    <t>Vecchione, Michael</t>
  </si>
  <si>
    <t>Frost, Morgan</t>
  </si>
  <si>
    <t>Rubtsov, German</t>
  </si>
  <si>
    <t>Ratcliffe, Isaac</t>
  </si>
  <si>
    <t>Sushko, Maksim</t>
  </si>
  <si>
    <t>Strome, Matthew</t>
  </si>
  <si>
    <t>Vorobyov, Mikhail</t>
  </si>
  <si>
    <t>Laberge, Pascal</t>
  </si>
  <si>
    <t>Twarynski, Carsen</t>
  </si>
  <si>
    <t>Kase, David</t>
  </si>
  <si>
    <t>Stolarz, Anthony</t>
  </si>
  <si>
    <t>Lyon, Alex</t>
  </si>
  <si>
    <t>Friedman, Mark</t>
  </si>
  <si>
    <t>Bunnaman, Connor</t>
  </si>
  <si>
    <t>Hart, Carter</t>
  </si>
  <si>
    <t>Goulbourne, Tyrell</t>
  </si>
  <si>
    <t>Martel, Danick</t>
  </si>
  <si>
    <t>Morin, Samuel</t>
  </si>
  <si>
    <t>Myers, Philippe</t>
  </si>
  <si>
    <t>Willcox, Reece</t>
  </si>
  <si>
    <t>Brennan, T.J.</t>
  </si>
  <si>
    <t>Bardreau, Cole</t>
  </si>
  <si>
    <t>Varone, Philip</t>
  </si>
  <si>
    <t>Hagelin, Carl</t>
  </si>
  <si>
    <t>Rust, Bryan</t>
  </si>
  <si>
    <t>Simon, Dominik</t>
  </si>
  <si>
    <t>Sprong, Daniel</t>
  </si>
  <si>
    <t>Guentzel, Jake</t>
  </si>
  <si>
    <t>Grant, Derek</t>
  </si>
  <si>
    <t>Schultz, Justin</t>
  </si>
  <si>
    <t>Dumoulin, Brian</t>
  </si>
  <si>
    <t>Johnson, Jack</t>
  </si>
  <si>
    <t>Oleksiak, Jamie</t>
  </si>
  <si>
    <t>Ruhwedel, Chad</t>
  </si>
  <si>
    <t>Murray, Matt</t>
  </si>
  <si>
    <t>DeSmith, Casey</t>
  </si>
  <si>
    <t>Johnson, Adam</t>
  </si>
  <si>
    <t>Aston-Reese, Zach</t>
  </si>
  <si>
    <t>Riikola, Juuso</t>
  </si>
  <si>
    <t>Angello, Anthony</t>
  </si>
  <si>
    <t>Hållander, Filip</t>
  </si>
  <si>
    <t>Lafferty, Sam</t>
  </si>
  <si>
    <t>Birks, Dane</t>
  </si>
  <si>
    <t>D'Orio, Alex</t>
  </si>
  <si>
    <t>Bellerive, Jordy</t>
  </si>
  <si>
    <t>Miletic, Sam</t>
  </si>
  <si>
    <t>Jarry, Tristan</t>
  </si>
  <si>
    <t>Czuczman, Kevin</t>
  </si>
  <si>
    <t>Blueger, Teddy</t>
  </si>
  <si>
    <t>Prow, Ethan</t>
  </si>
  <si>
    <t>DiPauli, Thomas</t>
  </si>
  <si>
    <t>Trotman, Zach</t>
  </si>
  <si>
    <t>Kuznetsov, Evgeny</t>
  </si>
  <si>
    <t>Oshie, T.J.</t>
  </si>
  <si>
    <t>Wilson, Tom</t>
  </si>
  <si>
    <t>Eller, Lars</t>
  </si>
  <si>
    <t>Connolly, Brett</t>
  </si>
  <si>
    <t>Vrána, Jakub</t>
  </si>
  <si>
    <t>Boyd, Travis</t>
  </si>
  <si>
    <t>Dowd, Nic</t>
  </si>
  <si>
    <t>Stephenson, Chandler</t>
  </si>
  <si>
    <t>Walker, Nathan</t>
  </si>
  <si>
    <t>Carlson, John</t>
  </si>
  <si>
    <t>Niskanen, Matt</t>
  </si>
  <si>
    <t>Orlov, Dmitry</t>
  </si>
  <si>
    <t>Kempný, Michal</t>
  </si>
  <si>
    <t>Bowey, Madison</t>
  </si>
  <si>
    <t>Djoos, Christian</t>
  </si>
  <si>
    <t>Holtby, Braden</t>
  </si>
  <si>
    <t>Copley, Pheonix</t>
  </si>
  <si>
    <t>Johansen, Lucas</t>
  </si>
  <si>
    <t>Gersich, Shane</t>
  </si>
  <si>
    <t>Samsonov, Ilya</t>
  </si>
  <si>
    <t>Pinho, Brian</t>
  </si>
  <si>
    <t>Geisser, Tobias</t>
  </si>
  <si>
    <t>Bindulis, Kris</t>
  </si>
  <si>
    <t>Williams, Colby</t>
  </si>
  <si>
    <t>Pilon, Garrett</t>
  </si>
  <si>
    <t>Malenstyn, Beck</t>
  </si>
  <si>
    <t>Hobbs, Connor</t>
  </si>
  <si>
    <t>Vanecek, Vitek</t>
  </si>
  <si>
    <t>Siegenthaler, Jonas</t>
  </si>
  <si>
    <t>Lewington, Tyler</t>
  </si>
  <si>
    <t>Ness, Aaron</t>
  </si>
  <si>
    <t>Megna, Jayson</t>
  </si>
  <si>
    <t>Sgarbossa, Michael</t>
  </si>
  <si>
    <t>O'Brien, Liam</t>
  </si>
  <si>
    <t>Barber, Riley</t>
  </si>
  <si>
    <t>Kane, Patrick</t>
  </si>
  <si>
    <t>Saad, Brandon</t>
  </si>
  <si>
    <t>Anisimov, Artem</t>
  </si>
  <si>
    <t>Schmaltz, Nick</t>
  </si>
  <si>
    <t>Sikura, Dylan</t>
  </si>
  <si>
    <t>DeBrincat, Alex</t>
  </si>
  <si>
    <t>Hayden, John</t>
  </si>
  <si>
    <t>Murphy, Connor</t>
  </si>
  <si>
    <t>Rutta, Jan</t>
  </si>
  <si>
    <t>Manning, Brandon</t>
  </si>
  <si>
    <t>Gustafsson, Erik</t>
  </si>
  <si>
    <t>Crawford, Corey</t>
  </si>
  <si>
    <t>Gilbert, Dennis</t>
  </si>
  <si>
    <t>Kahun, Dominik</t>
  </si>
  <si>
    <t>Lankinen, Kevin</t>
  </si>
  <si>
    <t>Nilsson, Jacob</t>
  </si>
  <si>
    <t>Jokiharju, Henri</t>
  </si>
  <si>
    <t>Boqvist, Adam</t>
  </si>
  <si>
    <t>Forsling, Gustav</t>
  </si>
  <si>
    <t>Carlsson, Lucas</t>
  </si>
  <si>
    <t>Highmore, Matthew</t>
  </si>
  <si>
    <t>Noel, Nathan</t>
  </si>
  <si>
    <t>Tuulola, Joni</t>
  </si>
  <si>
    <t>Delia, Collin</t>
  </si>
  <si>
    <t>Forsberg, Anton</t>
  </si>
  <si>
    <t>Raddysh, Darren</t>
  </si>
  <si>
    <t>Knott, Graham</t>
  </si>
  <si>
    <t>Johnson, Luke</t>
  </si>
  <si>
    <t>Fortin, Alexandre</t>
  </si>
  <si>
    <t>Wilson, Colin</t>
  </si>
  <si>
    <t>Calvert, Matt</t>
  </si>
  <si>
    <t>Nieto, Matt</t>
  </si>
  <si>
    <t>Toninato, Dominic</t>
  </si>
  <si>
    <t>Kerfoot, Alexander</t>
  </si>
  <si>
    <t>Compher, J.T.</t>
  </si>
  <si>
    <t>Rantanen, Mikko</t>
  </si>
  <si>
    <t>Jost, Tyson</t>
  </si>
  <si>
    <t>Barrie, Tyson</t>
  </si>
  <si>
    <t>Cole, Ian</t>
  </si>
  <si>
    <t>Nemeth, Patrik</t>
  </si>
  <si>
    <t>Zadorov, Nikita</t>
  </si>
  <si>
    <t>Barberio, Mark</t>
  </si>
  <si>
    <t>Girard, Samuel</t>
  </si>
  <si>
    <t>Lindholm, Anton</t>
  </si>
  <si>
    <t>Varlamov, Semyon</t>
  </si>
  <si>
    <t>Grubauer, Philipp</t>
  </si>
  <si>
    <t>Timmins, Conor</t>
  </si>
  <si>
    <t>Dickinson, Josh</t>
  </si>
  <si>
    <t>Kaut, Martin</t>
  </si>
  <si>
    <t>Dries, Sheldon</t>
  </si>
  <si>
    <t>O'Connor, Logan</t>
  </si>
  <si>
    <t>Meloche, Nicolas</t>
  </si>
  <si>
    <t>Kamenev, Vladislav</t>
  </si>
  <si>
    <t>Shvyryov, Igor</t>
  </si>
  <si>
    <t>Beaudin, J.C.</t>
  </si>
  <si>
    <t>Barron, Travis</t>
  </si>
  <si>
    <t>Greer, AJ</t>
  </si>
  <si>
    <t>Alt, Mark</t>
  </si>
  <si>
    <t>Lewis, Ty</t>
  </si>
  <si>
    <t>Francouz, Pavel</t>
  </si>
  <si>
    <t>Warsofsky, David</t>
  </si>
  <si>
    <t>Martin, Spencer</t>
  </si>
  <si>
    <t>Graves, Ryan</t>
  </si>
  <si>
    <t>Agozzino, Andrew</t>
  </si>
  <si>
    <t>Hanzal, Martin</t>
  </si>
  <si>
    <t>Comeau, Blake</t>
  </si>
  <si>
    <t>Shore, Devin</t>
  </si>
  <si>
    <t>Janmark, Mattias</t>
  </si>
  <si>
    <t>Faksa, Radek</t>
  </si>
  <si>
    <t>Ritchie, Brett</t>
  </si>
  <si>
    <t>Pitlick, Tyler</t>
  </si>
  <si>
    <t>Johns, Stephen</t>
  </si>
  <si>
    <t>Lindell, Esa</t>
  </si>
  <si>
    <t>Polák, Roman</t>
  </si>
  <si>
    <t>Honka, Julius</t>
  </si>
  <si>
    <t>Bishop, Ben</t>
  </si>
  <si>
    <t>Khudobin, Anton</t>
  </si>
  <si>
    <t>Bayreuther, Gavin</t>
  </si>
  <si>
    <t>Point, Colton</t>
  </si>
  <si>
    <t>Heiskanen, Miro</t>
  </si>
  <si>
    <t>Gurianov, Denis</t>
  </si>
  <si>
    <t>Dickinson, Jason</t>
  </si>
  <si>
    <t>Robertson, Jason</t>
  </si>
  <si>
    <t>Hintz, Roope</t>
  </si>
  <si>
    <t>Mascherin, Adam</t>
  </si>
  <si>
    <t>Calderone, Tony</t>
  </si>
  <si>
    <t>Gleason, Benjamin</t>
  </si>
  <si>
    <t>Nyberg, John</t>
  </si>
  <si>
    <t>Caamano, Nicholas</t>
  </si>
  <si>
    <t>Elie, Remi</t>
  </si>
  <si>
    <t>L'Esperance, Joel</t>
  </si>
  <si>
    <t>Desrosiers, Philippe</t>
  </si>
  <si>
    <t>Vala, Ondrej</t>
  </si>
  <si>
    <t>Bow, Landon</t>
  </si>
  <si>
    <t>Mersch, Michael</t>
  </si>
  <si>
    <t>Dowling, Justin</t>
  </si>
  <si>
    <t>Heatherington, Dillon</t>
  </si>
  <si>
    <t>Hanley, Joel</t>
  </si>
  <si>
    <t>Scarlett, Reece</t>
  </si>
  <si>
    <t>Granlund, Mikael</t>
  </si>
  <si>
    <t>Zucker, Jason</t>
  </si>
  <si>
    <t>Niederreiter, Nino</t>
  </si>
  <si>
    <t>Staal, Eric</t>
  </si>
  <si>
    <t>Coyle, Charlie</t>
  </si>
  <si>
    <t>Foligno, Marcus</t>
  </si>
  <si>
    <t>Greenway, Jordan</t>
  </si>
  <si>
    <t>Brown, J.T.</t>
  </si>
  <si>
    <t>Dumba, Matt</t>
  </si>
  <si>
    <t>Spurgeon, Jared</t>
  </si>
  <si>
    <t>Brodin, Jonas</t>
  </si>
  <si>
    <t>Pateryn, Greg</t>
  </si>
  <si>
    <t>Seeler, Nick</t>
  </si>
  <si>
    <t>Olofsson, Gustav</t>
  </si>
  <si>
    <t>Prosser, Nate</t>
  </si>
  <si>
    <t>Dubnyk, Devan</t>
  </si>
  <si>
    <t>Stalock, Alex</t>
  </si>
  <si>
    <t>Soucy, Carson</t>
  </si>
  <si>
    <t>Kunin, Luke</t>
  </si>
  <si>
    <t>Belpedio, Louis</t>
  </si>
  <si>
    <t>Kloos, Justin</t>
  </si>
  <si>
    <t>Shaw, Mason</t>
  </si>
  <si>
    <t>Lodnia, Ivan</t>
  </si>
  <si>
    <t>Sokolov, Dmitry</t>
  </si>
  <si>
    <t>Bouramman, Gustav</t>
  </si>
  <si>
    <t>Menell, Brennan</t>
  </si>
  <si>
    <t>Rau, Kyle</t>
  </si>
  <si>
    <t>Anas, Sam</t>
  </si>
  <si>
    <t>Liambas, Michael</t>
  </si>
  <si>
    <t>Bartkowski, Matt</t>
  </si>
  <si>
    <t>Hammond, Andrew</t>
  </si>
  <si>
    <t>Warner, Hunter</t>
  </si>
  <si>
    <t>Turris, Kyle</t>
  </si>
  <si>
    <t>Smith, Craig</t>
  </si>
  <si>
    <t>Arvidsson, Viktor</t>
  </si>
  <si>
    <t>Bonino, Nick</t>
  </si>
  <si>
    <t>Tolvanen, Eeli</t>
  </si>
  <si>
    <t>Hartman, Ryan</t>
  </si>
  <si>
    <t>Fiala, Kevin</t>
  </si>
  <si>
    <t>Sissons, Colton</t>
  </si>
  <si>
    <t>Subban, P.K.</t>
  </si>
  <si>
    <t>Hamhuis, Dan</t>
  </si>
  <si>
    <t>Weber, Yannick</t>
  </si>
  <si>
    <t>Irwin, Matt</t>
  </si>
  <si>
    <t>Bitetto, Anthony</t>
  </si>
  <si>
    <t>Rinne, Pekka</t>
  </si>
  <si>
    <t>Saros, Juuse</t>
  </si>
  <si>
    <t>Watson, Austin</t>
  </si>
  <si>
    <t>Westerholm, Niclas</t>
  </si>
  <si>
    <t>Magwood, Zachary</t>
  </si>
  <si>
    <t>Trenin, Yakov</t>
  </si>
  <si>
    <t>Kirkland, Justin</t>
  </si>
  <si>
    <t>Jeannot, Tanner</t>
  </si>
  <si>
    <t>Carrier, Alexandre</t>
  </si>
  <si>
    <t>Richard, Anthony</t>
  </si>
  <si>
    <t>Blackwell, Colin</t>
  </si>
  <si>
    <t>Grimaldi, Rocco</t>
  </si>
  <si>
    <t>Grosenick, Troy</t>
  </si>
  <si>
    <t>Tinordi, Jarred</t>
  </si>
  <si>
    <t>O'Reilly, Ryan</t>
  </si>
  <si>
    <t>Schwartz, Jaden</t>
  </si>
  <si>
    <t>Schenn, Brayden</t>
  </si>
  <si>
    <t>Bozak, Tyler</t>
  </si>
  <si>
    <t>Perron, David</t>
  </si>
  <si>
    <t>Fabbri, Robby</t>
  </si>
  <si>
    <t>Barbashev, Ivan</t>
  </si>
  <si>
    <t>Sundqvist, Oskar</t>
  </si>
  <si>
    <t>Nolan, Jordan</t>
  </si>
  <si>
    <t>Parayko, Colton</t>
  </si>
  <si>
    <t>Bouwmeester, Jay</t>
  </si>
  <si>
    <t>Edmundson, Joel</t>
  </si>
  <si>
    <t>Gunnarsson, Carl</t>
  </si>
  <si>
    <t>Bortuzzo, Robert</t>
  </si>
  <si>
    <t>Dunn, Vince</t>
  </si>
  <si>
    <t>Schmaltz, Jordan</t>
  </si>
  <si>
    <t>Allen, Jake</t>
  </si>
  <si>
    <t>Reinke, Mitch</t>
  </si>
  <si>
    <t>Walman, Jake</t>
  </si>
  <si>
    <t>Bokk, Dominik</t>
  </si>
  <si>
    <t>Foley, Erik</t>
  </si>
  <si>
    <t>Kostin, Klim</t>
  </si>
  <si>
    <t>Thomas, Robert</t>
  </si>
  <si>
    <t>Sanford, Zachary</t>
  </si>
  <si>
    <t>Husso, Ville</t>
  </si>
  <si>
    <t>Mikkola, Niko</t>
  </si>
  <si>
    <t>Stevens, Nolan</t>
  </si>
  <si>
    <t>Fitzpatrick, Evan</t>
  </si>
  <si>
    <t>Kyrou, Jordan</t>
  </si>
  <si>
    <t>Poganski, Austin</t>
  </si>
  <si>
    <t>Kaspick, Tanner</t>
  </si>
  <si>
    <t>Wotherspoon, Tyler</t>
  </si>
  <si>
    <t>LaLeggia, Joey</t>
  </si>
  <si>
    <t>Blais, Samuel</t>
  </si>
  <si>
    <t>MacEachern, Mackenzie</t>
  </si>
  <si>
    <t>Binnington, Jordan</t>
  </si>
  <si>
    <t>Ehlers, Nikolaj</t>
  </si>
  <si>
    <t>Little, Bryan</t>
  </si>
  <si>
    <t>Perreault, Mathieu</t>
  </si>
  <si>
    <t>Lowry, Adam</t>
  </si>
  <si>
    <t>Tanev, Brandon</t>
  </si>
  <si>
    <t>Copp, Andrew</t>
  </si>
  <si>
    <t>Laine, Patrik</t>
  </si>
  <si>
    <t>Connor, Kyle</t>
  </si>
  <si>
    <t>Roslovic, Jack</t>
  </si>
  <si>
    <t>Trouba, Jacob</t>
  </si>
  <si>
    <t>Myers, Tyler</t>
  </si>
  <si>
    <t>Kulikov, Dmitry</t>
  </si>
  <si>
    <t>Morrissey, Joshua</t>
  </si>
  <si>
    <t>Poolman, Tucker</t>
  </si>
  <si>
    <t>Hellebuyck, Connor</t>
  </si>
  <si>
    <t>Brossoit, Laurent</t>
  </si>
  <si>
    <t>Vesalainen, Kristian</t>
  </si>
  <si>
    <t>Petan, Nicolas</t>
  </si>
  <si>
    <t>Stanley, Logan</t>
  </si>
  <si>
    <t>Lemieux, Brendan</t>
  </si>
  <si>
    <t>Suess, C.J.</t>
  </si>
  <si>
    <t>Niku, Sami</t>
  </si>
  <si>
    <t>Harkins, Jansen</t>
  </si>
  <si>
    <t>Berdin, Mikhail</t>
  </si>
  <si>
    <t>Spacek, Michael</t>
  </si>
  <si>
    <t>Green, Luke</t>
  </si>
  <si>
    <t>Appleton, Mason</t>
  </si>
  <si>
    <t>McKenzie, Skyler</t>
  </si>
  <si>
    <t>Nogier, Nelson</t>
  </si>
  <si>
    <t>Griffith, Seth</t>
  </si>
  <si>
    <t>Schilling, Cameron</t>
  </si>
  <si>
    <t>Comrie, Eric</t>
  </si>
  <si>
    <t>Lipon, JC</t>
  </si>
  <si>
    <t>Henrique, Adam</t>
  </si>
  <si>
    <t>Rakell, Rickard</t>
  </si>
  <si>
    <t>Silfverberg, Jakob</t>
  </si>
  <si>
    <t>Cogliano, Andrew</t>
  </si>
  <si>
    <t>Eaves, Patrick</t>
  </si>
  <si>
    <t>Kase, Ondrej</t>
  </si>
  <si>
    <t>Rowney, Carter</t>
  </si>
  <si>
    <t>Ritchie, Nick</t>
  </si>
  <si>
    <t>Fowler, Cam</t>
  </si>
  <si>
    <t>Lindholm, Hampus</t>
  </si>
  <si>
    <t>Manson, Josh</t>
  </si>
  <si>
    <t>Montour, Brandon</t>
  </si>
  <si>
    <t>Holzer, Korbinian</t>
  </si>
  <si>
    <t>Schenn, Luke</t>
  </si>
  <si>
    <t>Gibson, John</t>
  </si>
  <si>
    <t>Miller, Ryan</t>
  </si>
  <si>
    <t>Sherwood, Kiefer</t>
  </si>
  <si>
    <t>Terry, Troy</t>
  </si>
  <si>
    <t>Larsson, Jacob</t>
  </si>
  <si>
    <t>Jones, Max</t>
  </si>
  <si>
    <t>Steel, Sam</t>
  </si>
  <si>
    <t>Redmond, Angus</t>
  </si>
  <si>
    <t>Comtois, Maxime</t>
  </si>
  <si>
    <t>Pettersson, Marcus</t>
  </si>
  <si>
    <t>Morand, Antoine</t>
  </si>
  <si>
    <t>Dostie, Alex</t>
  </si>
  <si>
    <t>Street, Ben</t>
  </si>
  <si>
    <t>Mahura, Josh</t>
  </si>
  <si>
    <t>Kopacka, Jack</t>
  </si>
  <si>
    <t>Sideroff, Deven</t>
  </si>
  <si>
    <t>Fiore, Giovanni</t>
  </si>
  <si>
    <t>Welinski, Andy</t>
  </si>
  <si>
    <t>Blandisi, Joseph</t>
  </si>
  <si>
    <t>Boyle, Kevin</t>
  </si>
  <si>
    <t>Carrick, Sam</t>
  </si>
  <si>
    <t>Megna, Jaycob</t>
  </si>
  <si>
    <t>Galchenyuk, Alex</t>
  </si>
  <si>
    <t>Grabner, Michael</t>
  </si>
  <si>
    <t>Pánik, Richard</t>
  </si>
  <si>
    <t>Hinostroza, Vinnie</t>
  </si>
  <si>
    <t>Richardson, Brad</t>
  </si>
  <si>
    <t>Crouse, Lawson</t>
  </si>
  <si>
    <t>Keller, Clayton</t>
  </si>
  <si>
    <t>Dvorak, Christian</t>
  </si>
  <si>
    <t>Strome, Dylan</t>
  </si>
  <si>
    <t>Perlini, Brendan</t>
  </si>
  <si>
    <t>Fischer, Christian</t>
  </si>
  <si>
    <t>Demers, Jason</t>
  </si>
  <si>
    <t>Connauton, Kevin</t>
  </si>
  <si>
    <t>Chychrun, Jakob</t>
  </si>
  <si>
    <t>Oesterle, Jordan</t>
  </si>
  <si>
    <t>Raanta, Antti</t>
  </si>
  <si>
    <t>Kuemper, Darcy</t>
  </si>
  <si>
    <t>Smith, Mike</t>
  </si>
  <si>
    <t>Gross, Jordan</t>
  </si>
  <si>
    <t>Lyubushkin, Ilya</t>
  </si>
  <si>
    <t>Hayton, Barrett</t>
  </si>
  <si>
    <t>Burke, Brayden</t>
  </si>
  <si>
    <t>Joseph, Pierre-Olivier</t>
  </si>
  <si>
    <t>Fasching, Hudson</t>
  </si>
  <si>
    <t>Merkley, Nick</t>
  </si>
  <si>
    <t>Dauphin, Laurent</t>
  </si>
  <si>
    <t>Steenbergen, Tyler</t>
  </si>
  <si>
    <t>Madsen, Merrick</t>
  </si>
  <si>
    <t>Capobianco, Kyle</t>
  </si>
  <si>
    <t>Dineen, Cam</t>
  </si>
  <si>
    <t>Hill, Adin</t>
  </si>
  <si>
    <t>Bunting, Michael</t>
  </si>
  <si>
    <t>Mermis, Dakota</t>
  </si>
  <si>
    <t>Pederson, Lane</t>
  </si>
  <si>
    <t>Smereck, Jalen</t>
  </si>
  <si>
    <t>Garland, Conor</t>
  </si>
  <si>
    <t>Mayo, Dysin</t>
  </si>
  <si>
    <t>Russo, Robbie</t>
  </si>
  <si>
    <t>Gaudreau, Johnny</t>
  </si>
  <si>
    <t>Neal, James</t>
  </si>
  <si>
    <t>Lindholm, Elias</t>
  </si>
  <si>
    <t>Frolík, Michael</t>
  </si>
  <si>
    <t>Ryan, Derek</t>
  </si>
  <si>
    <t>Bennett, Sam</t>
  </si>
  <si>
    <t>Jankowski, Mark</t>
  </si>
  <si>
    <t>Czarnik, Austin</t>
  </si>
  <si>
    <t>Lazar, Curtis</t>
  </si>
  <si>
    <t>Hathaway, Garnet</t>
  </si>
  <si>
    <t>Hanifin, Noah</t>
  </si>
  <si>
    <t>Brodie, TJ</t>
  </si>
  <si>
    <t>Hamonic, Travis</t>
  </si>
  <si>
    <t>Kulak, Brett</t>
  </si>
  <si>
    <t>Prout, Dalton</t>
  </si>
  <si>
    <t>Gillies, Jon</t>
  </si>
  <si>
    <t>Rittich, David</t>
  </si>
  <si>
    <t>Gawdin, Glenn</t>
  </si>
  <si>
    <t>Parsons, Tyler</t>
  </si>
  <si>
    <t>Andersson, Rasmus</t>
  </si>
  <si>
    <t>Phillips, Matthew</t>
  </si>
  <si>
    <t>Kylington, Oliver</t>
  </si>
  <si>
    <t>Lomberg, Ryan</t>
  </si>
  <si>
    <t>Mangiapane, Andrew</t>
  </si>
  <si>
    <t>Robinson, Buddy</t>
  </si>
  <si>
    <t>Quine, Alan</t>
  </si>
  <si>
    <t>Klimchuk, Morgan</t>
  </si>
  <si>
    <t>Schneider, Nick</t>
  </si>
  <si>
    <t>Graovac, Tyler</t>
  </si>
  <si>
    <t>Draisaitl, Leon</t>
  </si>
  <si>
    <t>Strome, Ryan</t>
  </si>
  <si>
    <t>Kassian, Zack</t>
  </si>
  <si>
    <t>Caggiula, Drake</t>
  </si>
  <si>
    <t>Brodziak, Kyle</t>
  </si>
  <si>
    <t>Khaira, Jujhar</t>
  </si>
  <si>
    <t>Sekera, Andrej</t>
  </si>
  <si>
    <t>Klefbom, Oscar</t>
  </si>
  <si>
    <t>Russell, Kris</t>
  </si>
  <si>
    <t>Benning, Matthew</t>
  </si>
  <si>
    <t>Gravel, Kevin</t>
  </si>
  <si>
    <t>Nurse, Darnell</t>
  </si>
  <si>
    <t>Talbot, Cam</t>
  </si>
  <si>
    <t>Koskinen, Mikko</t>
  </si>
  <si>
    <t>Persson, Joel</t>
  </si>
  <si>
    <t>Marody, Cooper</t>
  </si>
  <si>
    <t>Bouchard, Evan</t>
  </si>
  <si>
    <t>Yamamoto, Kailer</t>
  </si>
  <si>
    <t>Mantha, Ryan</t>
  </si>
  <si>
    <t>Samorukov, Dmitri</t>
  </si>
  <si>
    <t>Starrett, Shane</t>
  </si>
  <si>
    <t>Vesey, Nolan</t>
  </si>
  <si>
    <t>Benson, Tyler</t>
  </si>
  <si>
    <t>Skinner, Stuart</t>
  </si>
  <si>
    <t>Maksimov, Kirill</t>
  </si>
  <si>
    <t>Safin, Ostap</t>
  </si>
  <si>
    <t>Hebig, Cameron</t>
  </si>
  <si>
    <t>Wells, Dylan</t>
  </si>
  <si>
    <t>Lagesson, William</t>
  </si>
  <si>
    <t>Gambardella, Joseph</t>
  </si>
  <si>
    <t>Jones, Caleb</t>
  </si>
  <si>
    <t>Bear, Ethan</t>
  </si>
  <si>
    <t>Russell, Patrick</t>
  </si>
  <si>
    <t>Currie, Josh</t>
  </si>
  <si>
    <t>Lowe, Keegan</t>
  </si>
  <si>
    <t>Malone, Brad</t>
  </si>
  <si>
    <t>Kovalchuk, Ilya</t>
  </si>
  <si>
    <t>Brown, Dustin</t>
  </si>
  <si>
    <t>Toffoli, Tyler</t>
  </si>
  <si>
    <t>Pearson, Tanner</t>
  </si>
  <si>
    <t>Lewis, Trevor</t>
  </si>
  <si>
    <t>Thompson, Nate</t>
  </si>
  <si>
    <t>Clifford, Kyle</t>
  </si>
  <si>
    <t>Rempal, Sheldon</t>
  </si>
  <si>
    <t>Iafallo, Alex</t>
  </si>
  <si>
    <t>Kempe, Adrian</t>
  </si>
  <si>
    <t>Martinez, Alec</t>
  </si>
  <si>
    <t>Muzzin, Jake</t>
  </si>
  <si>
    <t>Forbort, Derek</t>
  </si>
  <si>
    <t>Brickley, Daniel</t>
  </si>
  <si>
    <t>Quick, Jonathan</t>
  </si>
  <si>
    <t>Campbell, Jack</t>
  </si>
  <si>
    <t>Petersen, Cal</t>
  </si>
  <si>
    <t>Kupari, Rasmus</t>
  </si>
  <si>
    <t>Vilardi, Gabriel</t>
  </si>
  <si>
    <t>Roy, Matt</t>
  </si>
  <si>
    <t>Eyssimont, Michael</t>
  </si>
  <si>
    <t>LaDue, Paul</t>
  </si>
  <si>
    <t>Villalta, Matt</t>
  </si>
  <si>
    <t>Clague, Kale</t>
  </si>
  <si>
    <t>Wagner, Austin</t>
  </si>
  <si>
    <t>Strand, Austin</t>
  </si>
  <si>
    <t>Kehler, Cole</t>
  </si>
  <si>
    <t>Walker, Sean</t>
  </si>
  <si>
    <t>Anderson-Dolan, Jaret</t>
  </si>
  <si>
    <t>Morrison, Brad</t>
  </si>
  <si>
    <t>Reddekopp, Chaz</t>
  </si>
  <si>
    <t>Rymsha, Drake</t>
  </si>
  <si>
    <t>Amadio, Michael</t>
  </si>
  <si>
    <t>Imama, Bokondji</t>
  </si>
  <si>
    <t>Moverare, Jacob</t>
  </si>
  <si>
    <t>Falkovsky, Stepan</t>
  </si>
  <si>
    <t>Luff, Matt</t>
  </si>
  <si>
    <t>MacDermid, Kurtis</t>
  </si>
  <si>
    <t>Fantenberg, Oscar</t>
  </si>
  <si>
    <t>Brodzinski, Jonny</t>
  </si>
  <si>
    <t>Lintuniemi, Alex</t>
  </si>
  <si>
    <t>Kane, Evander</t>
  </si>
  <si>
    <t>Hertl, Tomas</t>
  </si>
  <si>
    <t>Karlsson, Melker</t>
  </si>
  <si>
    <t>Donskoi, Joonas</t>
  </si>
  <si>
    <t>Gambrell, Dylan</t>
  </si>
  <si>
    <t>Meier, Timo</t>
  </si>
  <si>
    <t>Letunov, Maxim</t>
  </si>
  <si>
    <t>Labanc, Kevin</t>
  </si>
  <si>
    <t>Goodrow, Barclay</t>
  </si>
  <si>
    <t>Burns, Brent</t>
  </si>
  <si>
    <t>Karlsson, Erik</t>
  </si>
  <si>
    <t>Braun, Justin</t>
  </si>
  <si>
    <t>Dillon, Brenden</t>
  </si>
  <si>
    <t>Ryan, Joakim</t>
  </si>
  <si>
    <t>Heed, Tim</t>
  </si>
  <si>
    <t>Jones, Martin</t>
  </si>
  <si>
    <t>Dell, Aaron</t>
  </si>
  <si>
    <t>DeSimone, Nick</t>
  </si>
  <si>
    <t>Suomela, Antti</t>
  </si>
  <si>
    <t>Merkley, Ryan</t>
  </si>
  <si>
    <t>Chmelevski, Alexander</t>
  </si>
  <si>
    <t>Chekhovich, Ivan</t>
  </si>
  <si>
    <t>Gregor, Noah</t>
  </si>
  <si>
    <t>Kotkov, Vladislav</t>
  </si>
  <si>
    <t>True, Alex</t>
  </si>
  <si>
    <t>Halbgewachs, Jayden</t>
  </si>
  <si>
    <t>Radil, Lukas</t>
  </si>
  <si>
    <t>Wiederer, Manuel</t>
  </si>
  <si>
    <t>Blichfeld, Joachim</t>
  </si>
  <si>
    <t>Middleton, Jacob</t>
  </si>
  <si>
    <t>Korenar, Josef</t>
  </si>
  <si>
    <t>Wood, Kyle</t>
  </si>
  <si>
    <t>Perron, Francis</t>
  </si>
  <si>
    <t>Bibeau, Antoine</t>
  </si>
  <si>
    <t>Simek, Radim</t>
  </si>
  <si>
    <t>Eriksson, Loui</t>
  </si>
  <si>
    <t>Baertschi, Sven</t>
  </si>
  <si>
    <t>Gagner, Sam</t>
  </si>
  <si>
    <t>Roussel, Antoine</t>
  </si>
  <si>
    <t>Beagle, Jay</t>
  </si>
  <si>
    <t>Schaller, Tim</t>
  </si>
  <si>
    <t>Granlund, Markus</t>
  </si>
  <si>
    <t>Virtanen, Jake</t>
  </si>
  <si>
    <t>Boeser, Brock</t>
  </si>
  <si>
    <t>Gaudette, Adam</t>
  </si>
  <si>
    <t>Gaunce, Brendan</t>
  </si>
  <si>
    <t>Leipsic, Brendan</t>
  </si>
  <si>
    <t>Gudbranson, Erik</t>
  </si>
  <si>
    <t>Stecher, Troy</t>
  </si>
  <si>
    <t>Pouliot, Derrick</t>
  </si>
  <si>
    <t>Biega, Alex</t>
  </si>
  <si>
    <t>Nilsson, Anders</t>
  </si>
  <si>
    <t>Motte, Tyler</t>
  </si>
  <si>
    <t>Demko, Thatcher</t>
  </si>
  <si>
    <t>Pettersson, Elias</t>
  </si>
  <si>
    <t>Lind, Kole</t>
  </si>
  <si>
    <t>Goldobin, Nikolay</t>
  </si>
  <si>
    <t>Juolevi, Olli</t>
  </si>
  <si>
    <t>Jasek, Lukas</t>
  </si>
  <si>
    <t>MacEwen, Zack</t>
  </si>
  <si>
    <t>Palmu, Petrus</t>
  </si>
  <si>
    <t>DiPietro, Michael</t>
  </si>
  <si>
    <t>Gadjovich, Jonah</t>
  </si>
  <si>
    <t>Chatfield, Jalen</t>
  </si>
  <si>
    <t>Kero, Tanner</t>
  </si>
  <si>
    <t>Boucher, Reid</t>
  </si>
  <si>
    <t>Brisebois, Guillaume</t>
  </si>
  <si>
    <t>Carcone, Michael</t>
  </si>
  <si>
    <t>Sautner, Ashton</t>
  </si>
  <si>
    <t>Bachman, Richard</t>
  </si>
  <si>
    <t>Stastny, Paul</t>
  </si>
  <si>
    <t>Karlsson, William</t>
  </si>
  <si>
    <t>Clarkson, David</t>
  </si>
  <si>
    <t>Marchessault, Jonathan</t>
  </si>
  <si>
    <t>Pacioretty, Max</t>
  </si>
  <si>
    <t>Eakin, Cody</t>
  </si>
  <si>
    <t>Reaves, Ryan</t>
  </si>
  <si>
    <t>Haula, Erik</t>
  </si>
  <si>
    <t>Nosek, Tomas</t>
  </si>
  <si>
    <t>Tuch, Alex</t>
  </si>
  <si>
    <t>Carrier, William</t>
  </si>
  <si>
    <t>Carpenter, Ryan</t>
  </si>
  <si>
    <t>Miller, Colin</t>
  </si>
  <si>
    <t>McNabb, Brayden</t>
  </si>
  <si>
    <t>Schmidt, Nate</t>
  </si>
  <si>
    <t>Holden, Nick</t>
  </si>
  <si>
    <t>Merrill, Jon</t>
  </si>
  <si>
    <t>Hunt, Brad</t>
  </si>
  <si>
    <t>Theodore, Shea</t>
  </si>
  <si>
    <t>Subban, Malcolm</t>
  </si>
  <si>
    <t>Whitecloud, Zach</t>
  </si>
  <si>
    <t>Glass, Cody</t>
  </si>
  <si>
    <t>Bischoff, Jake</t>
  </si>
  <si>
    <t>Hague, Nicolas</t>
  </si>
  <si>
    <t>Leschyshyn, Jake</t>
  </si>
  <si>
    <t>Elvenes, Lucas</t>
  </si>
  <si>
    <t>Duke, Reid</t>
  </si>
  <si>
    <t>McKenzie, Curtis</t>
  </si>
  <si>
    <t>Carr, Daniel</t>
  </si>
  <si>
    <t>Jones, Benjamin</t>
  </si>
  <si>
    <t>Ferguson, Dylan</t>
  </si>
  <si>
    <t>Coghlan, Dylan</t>
  </si>
  <si>
    <t>Quinney, Gage</t>
  </si>
  <si>
    <t>Kolesar, Keegan</t>
  </si>
  <si>
    <t>Dansk, Oscar</t>
  </si>
  <si>
    <t>Pirri, Brandon</t>
  </si>
  <si>
    <t>Tynan, T.J.</t>
  </si>
  <si>
    <t>Blessé LT</t>
  </si>
  <si>
    <t>Draft Year</t>
  </si>
  <si>
    <t>An. Rest. Contrat</t>
  </si>
  <si>
    <t>Date de début -&gt;</t>
  </si>
  <si>
    <t>Date de fin -&gt;</t>
  </si>
  <si>
    <t>Blessé Long terme :</t>
  </si>
  <si>
    <t>Un joueur ayant reçu un diagnostique de blessure comme étant de 4 semaines et plus ou de nature indéterminée peut-être remplacé :</t>
  </si>
  <si>
    <t xml:space="preserve">Si le remplaçant est choisi, le joueur qui était blessé demeure la propriété du pooler mais ne sera plus disponible pendant la saison </t>
  </si>
  <si>
    <t>1-Par un agent libre (Privilège du 3e échange)</t>
  </si>
  <si>
    <t>3-Un échange avec un autre pooler (Perd son privilège de 3e échange)</t>
  </si>
  <si>
    <t>2-Une recrue (Perd son privilège de 3e échange)</t>
  </si>
  <si>
    <t>Le joueur doit être remplacé par un joueur de même position</t>
  </si>
  <si>
    <t>UFA ou RFA en début de saison :</t>
  </si>
  <si>
    <t>La personne qui a un joueur non-signé lors du repêchage annuel, peut garder le joueur en se laissant une marge de manœuvre sur sa masse salariale.</t>
  </si>
  <si>
    <t>Lorsque le joueur signe son contrat, advenant que le montant ne rentre pas sur la masse salariale et que le pooler n'est pas le nombre minimum de joueur sans celui-ci, le pooler pourra faire un mouvement pour palier à la situation.</t>
  </si>
  <si>
    <t>Soit échangé le joueur nouvellement signé ou échangé un autre joueur de sa formation pour que la masse salariale soit respectée.</t>
  </si>
  <si>
    <t>3e ronde 2019</t>
  </si>
  <si>
    <t>Sébastien F.</t>
  </si>
  <si>
    <t>Poolers</t>
  </si>
  <si>
    <t>Joueur cédé</t>
  </si>
  <si>
    <t>Joueur acquis</t>
  </si>
  <si>
    <t>Agent Libre 1</t>
  </si>
  <si>
    <t>Agent Libre 2</t>
  </si>
  <si>
    <t>Sébastien FAU</t>
  </si>
  <si>
    <t>BLT</t>
  </si>
  <si>
    <t>Joueur blessé</t>
  </si>
  <si>
    <t>2e choix</t>
  </si>
  <si>
    <t>Séb. Faucher</t>
  </si>
  <si>
    <t>Lorsque le blessé revient au jeu, le pooler doit décidé s'il réactive le dit joueur ou bien s'il conserve le remplaçant. Le pooler a un délai de 14 jours à partir du 1er match joué par le joueur qui était blessé.</t>
  </si>
  <si>
    <t>La date limite pour effectuée ce type d'échange est la même que la date limite pour les agents libres (souvent aux alentours du 1er mars)</t>
  </si>
  <si>
    <t>Jack Eichel</t>
  </si>
  <si>
    <t>1er Vincent</t>
  </si>
  <si>
    <t>2020-2021</t>
  </si>
  <si>
    <t>4e choix</t>
  </si>
  <si>
    <t>3e ronde</t>
  </si>
  <si>
    <t>2e ronde 2019</t>
  </si>
  <si>
    <t>3e Vincent</t>
  </si>
  <si>
    <t>AD</t>
  </si>
  <si>
    <t>LNH</t>
  </si>
  <si>
    <t>AG</t>
  </si>
  <si>
    <t>AD, AG</t>
  </si>
  <si>
    <t>AG, AD</t>
  </si>
  <si>
    <t>Gusev, Nikita</t>
  </si>
  <si>
    <t>DD</t>
  </si>
  <si>
    <t>DG</t>
  </si>
  <si>
    <t>Mineures</t>
  </si>
  <si>
    <t>Røndbjerg, Jonas</t>
  </si>
  <si>
    <t>C, AD</t>
  </si>
  <si>
    <t>Cotter, Paul</t>
  </si>
  <si>
    <t>AG, C</t>
  </si>
  <si>
    <t>Schuldt, Jimmy</t>
  </si>
  <si>
    <t>C, AG</t>
  </si>
  <si>
    <t>AD, C</t>
  </si>
  <si>
    <t>AD, C, AG</t>
  </si>
  <si>
    <t>Goligoski, Alex</t>
  </si>
  <si>
    <t>Jeník, Jan</t>
  </si>
  <si>
    <t>Schnarr, Nathan</t>
  </si>
  <si>
    <t>Bennett, Beau</t>
  </si>
  <si>
    <t>Miele, Andy</t>
  </si>
  <si>
    <t>Bahl, Kevin</t>
  </si>
  <si>
    <t>Prosvetov, Ivan</t>
  </si>
  <si>
    <t>AG, C, AD</t>
  </si>
  <si>
    <t>Wedin, Anton</t>
  </si>
  <si>
    <t>Kubalik, Dominik</t>
  </si>
  <si>
    <t>Hagel, Brandon</t>
  </si>
  <si>
    <t>Johnson, Reese</t>
  </si>
  <si>
    <t>Kurashev, Philipp</t>
  </si>
  <si>
    <t>Hakkarainen, Mikael</t>
  </si>
  <si>
    <t>Entwistle, Mackenzie</t>
  </si>
  <si>
    <t>AG, AD, C</t>
  </si>
  <si>
    <t>Beaudin, Nicolas</t>
  </si>
  <si>
    <t>Krys, Chad</t>
  </si>
  <si>
    <t>Drozg, Jan</t>
  </si>
  <si>
    <t>Almeida, Justin</t>
  </si>
  <si>
    <t>Lucchini, Jacob</t>
  </si>
  <si>
    <t>Palve, Oula</t>
  </si>
  <si>
    <t>Cramarossa, Joseph</t>
  </si>
  <si>
    <t>Haggerty, Ryan</t>
  </si>
  <si>
    <t>Almari, Niclas</t>
  </si>
  <si>
    <t>Addison, Calen</t>
  </si>
  <si>
    <t>Larmi, Emil</t>
  </si>
  <si>
    <t>Pavelski, Joe</t>
  </si>
  <si>
    <t>Perry, Corey</t>
  </si>
  <si>
    <t>Kiviranta, Joel</t>
  </si>
  <si>
    <t>Gardner, Rhett</t>
  </si>
  <si>
    <t>Felhaber, Tye</t>
  </si>
  <si>
    <t>Tufte, Riley</t>
  </si>
  <si>
    <t>Melnick, Josh</t>
  </si>
  <si>
    <t>Dellandrea, Ty</t>
  </si>
  <si>
    <t>Damiani, Riley</t>
  </si>
  <si>
    <t>Cecconi, Joseph</t>
  </si>
  <si>
    <t>Djuse, Emil</t>
  </si>
  <si>
    <t>Oettinger, Jake</t>
  </si>
  <si>
    <t>C, AG, AD</t>
  </si>
  <si>
    <t>Chiasson, Alex</t>
  </si>
  <si>
    <t>AD, AG, C</t>
  </si>
  <si>
    <t>Nygård, Joakim</t>
  </si>
  <si>
    <t>Jurco, Tomas</t>
  </si>
  <si>
    <t>35 +NMC</t>
  </si>
  <si>
    <t>McLeod, Ryan</t>
  </si>
  <si>
    <t>Day, Logan</t>
  </si>
  <si>
    <t>Rodrigue, Olivier</t>
  </si>
  <si>
    <t>WAS</t>
  </si>
  <si>
    <t>SR</t>
  </si>
  <si>
    <t>Snively, Joe</t>
  </si>
  <si>
    <t>Clark, Kody</t>
  </si>
  <si>
    <t>Sutter, Riley</t>
  </si>
  <si>
    <t>Maillet, Philippe</t>
  </si>
  <si>
    <t>Nardella, Bobby</t>
  </si>
  <si>
    <t>Alexeyev, Alexander</t>
  </si>
  <si>
    <t>35 +</t>
  </si>
  <si>
    <t>Fabbro, Dante</t>
  </si>
  <si>
    <t>Pitlick, Rem</t>
  </si>
  <si>
    <t>Craggs, Lukas</t>
  </si>
  <si>
    <t>Wilkins, Josh</t>
  </si>
  <si>
    <t>Olivier, Mathieu</t>
  </si>
  <si>
    <t>Davies, Jeremy</t>
  </si>
  <si>
    <t>Fortunato, Brandon</t>
  </si>
  <si>
    <t>Donovan, Matt</t>
  </si>
  <si>
    <t>35 +NTC</t>
  </si>
  <si>
    <t>C, AD, AG</t>
  </si>
  <si>
    <t>Zetterberg, Henrik</t>
  </si>
  <si>
    <t>Kuffner, Ryan</t>
  </si>
  <si>
    <t>Hirose, Taro</t>
  </si>
  <si>
    <t>Veleno, Joseph</t>
  </si>
  <si>
    <t>Pearson, Chase</t>
  </si>
  <si>
    <t>Elson, Turner</t>
  </si>
  <si>
    <t>Kaski, Oliwer</t>
  </si>
  <si>
    <t>McIsaac, Jared</t>
  </si>
  <si>
    <t>Larsson, Filip</t>
  </si>
  <si>
    <t>FLO</t>
  </si>
  <si>
    <t>Heponiemi, Aleksi</t>
  </si>
  <si>
    <t>Noel, Serron</t>
  </si>
  <si>
    <t>Abols, Rodrigo</t>
  </si>
  <si>
    <t>Lowry, Joel</t>
  </si>
  <si>
    <t>Keeper, Brady</t>
  </si>
  <si>
    <t>Driedger, Chris</t>
  </si>
  <si>
    <t>Bednard, Ryan</t>
  </si>
  <si>
    <t>Yurtaykin, Danil</t>
  </si>
  <si>
    <t>Kellman, Joel</t>
  </si>
  <si>
    <t>Bergmann, Lean</t>
  </si>
  <si>
    <t>Gallant, Zachary</t>
  </si>
  <si>
    <t>Truchon-Viel, Jeffrey</t>
  </si>
  <si>
    <t>McGrew, Jacob</t>
  </si>
  <si>
    <t>Ferraro, Mario</t>
  </si>
  <si>
    <t>Sund, Tony</t>
  </si>
  <si>
    <t>Knyazev, Artemi</t>
  </si>
  <si>
    <t>Knyzhov, Nikolai</t>
  </si>
  <si>
    <t>Shortridge, Andrew</t>
  </si>
  <si>
    <t>Hughes, Quintin</t>
  </si>
  <si>
    <t>Teves, Josh</t>
  </si>
  <si>
    <t>Rafferty, Brogan</t>
  </si>
  <si>
    <t>Woo, Jett</t>
  </si>
  <si>
    <t>Eliot, Mitch</t>
  </si>
  <si>
    <t>Kielly, Jake</t>
  </si>
  <si>
    <t>DD, AD</t>
  </si>
  <si>
    <t>Callahan, Ryan</t>
  </si>
  <si>
    <t>Foote, Nolan</t>
  </si>
  <si>
    <t>Huntington, Jimmy</t>
  </si>
  <si>
    <t>Fortier, Gabriel</t>
  </si>
  <si>
    <t>Lohin, Ryan</t>
  </si>
  <si>
    <t>Fox, Adam</t>
  </si>
  <si>
    <t>Kravtsov, Vitali</t>
  </si>
  <si>
    <t>Elmer, Jacob</t>
  </si>
  <si>
    <t>Newell, Patrick</t>
  </si>
  <si>
    <t>Rykov, Yegor</t>
  </si>
  <si>
    <t>Reunanen, Tarmo</t>
  </si>
  <si>
    <t>Keane, Joey</t>
  </si>
  <si>
    <t>Huska, Adam</t>
  </si>
  <si>
    <t>Shesterkin, Igor</t>
  </si>
  <si>
    <t>Eberle, Jordan</t>
  </si>
  <si>
    <t>Wahlstrom, Oliver</t>
  </si>
  <si>
    <t>Carpenter, Bobo</t>
  </si>
  <si>
    <t>Jobst, Mason</t>
  </si>
  <si>
    <t>Durandeau, Arnaud</t>
  </si>
  <si>
    <t>Hutton, Grant</t>
  </si>
  <si>
    <t>Wilde, Bode</t>
  </si>
  <si>
    <t>35 +M-NTC</t>
  </si>
  <si>
    <t>Benoit, Simon</t>
  </si>
  <si>
    <t>Dostal, Lukas</t>
  </si>
  <si>
    <t>Philp, Luke</t>
  </si>
  <si>
    <t>Tuulola, Eetu</t>
  </si>
  <si>
    <t>Ruzicka, Adam</t>
  </si>
  <si>
    <t>Pospisil, Martin</t>
  </si>
  <si>
    <t>Zavgorodny, Dmitri</t>
  </si>
  <si>
    <t>Lerby, Carl-Johan</t>
  </si>
  <si>
    <t>Yelesin, Alexander</t>
  </si>
  <si>
    <t>Davidson, Brandon</t>
  </si>
  <si>
    <t>Zagidulin, Artyom</t>
  </si>
  <si>
    <t>Steen, Oskar</t>
  </si>
  <si>
    <t>Lauko, Jakub</t>
  </si>
  <si>
    <t>Prêt</t>
  </si>
  <si>
    <t>Shore, Nick</t>
  </si>
  <si>
    <t>Spezza, Jason</t>
  </si>
  <si>
    <t>Mikheyev, Ilya</t>
  </si>
  <si>
    <t>Korshkov, Yegor</t>
  </si>
  <si>
    <t>Der-Arguchintsev, Semyon</t>
  </si>
  <si>
    <t>Duszak, Joseph</t>
  </si>
  <si>
    <t>Hollowell, Mac</t>
  </si>
  <si>
    <t>Kivihalme, Teemu</t>
  </si>
  <si>
    <t>Scott, Ian</t>
  </si>
  <si>
    <t>Woll, Joseph</t>
  </si>
  <si>
    <t>Poehling, Ryan</t>
  </si>
  <si>
    <t>Belzile, Alex</t>
  </si>
  <si>
    <t>Leskinen, Otto</t>
  </si>
  <si>
    <t>Brook, Josh</t>
  </si>
  <si>
    <t>Fleury, Cale</t>
  </si>
  <si>
    <t>Primeau, Cayden</t>
  </si>
  <si>
    <t>Luostarinen, Eetu</t>
  </si>
  <si>
    <t>Pritchard, Jacob</t>
  </si>
  <si>
    <t>Mattheos, Stelio</t>
  </si>
  <si>
    <t>Sellgren, Jesper</t>
  </si>
  <si>
    <t>Zuccarello, Mats</t>
  </si>
  <si>
    <t>Duhaime, Brandon</t>
  </si>
  <si>
    <t>Khovanov, Alexander</t>
  </si>
  <si>
    <t>Dewar, Connor</t>
  </si>
  <si>
    <t>Mayhew, Gerald</t>
  </si>
  <si>
    <t>Beck, Colton</t>
  </si>
  <si>
    <t>Sturm, Nico</t>
  </si>
  <si>
    <t>Gordeev, Fedor</t>
  </si>
  <si>
    <t>Robson, Mat</t>
  </si>
  <si>
    <t>Lizotte, Blake</t>
  </si>
  <si>
    <t>Prokhorkin, Nikolai</t>
  </si>
  <si>
    <t>Thomas, Akil</t>
  </si>
  <si>
    <t>Anderson, Michael</t>
  </si>
  <si>
    <t>Durzi, Sean</t>
  </si>
  <si>
    <t>Phillips, Markus</t>
  </si>
  <si>
    <t>Ruotsalainen, Arttu</t>
  </si>
  <si>
    <t>Pekar, Matej</t>
  </si>
  <si>
    <t>Bryson, Jacob</t>
  </si>
  <si>
    <t>Fitzgerald, Casey</t>
  </si>
  <si>
    <t>Toropchenko, Alexei</t>
  </si>
  <si>
    <t>Polei, Evan</t>
  </si>
  <si>
    <t>Hofer, Joel</t>
  </si>
  <si>
    <t>Farabee, Joel</t>
  </si>
  <si>
    <t>Zamula, Yegor</t>
  </si>
  <si>
    <t>Ustimenko, Kirill</t>
  </si>
  <si>
    <t>Merzlikins, Elvis</t>
  </si>
  <si>
    <t>Fix-Wolansky, Trey</t>
  </si>
  <si>
    <t>Lilja, Jakob</t>
  </si>
  <si>
    <t>Gavrikov, Vladislav</t>
  </si>
  <si>
    <t>Peeke, Andrew</t>
  </si>
  <si>
    <t>Prapavessis, Michael</t>
  </si>
  <si>
    <t>Tarasov, Daniil</t>
  </si>
  <si>
    <t>Vehvilainen, Veini</t>
  </si>
  <si>
    <t>Simmonds, Wayne</t>
  </si>
  <si>
    <t>Boqvist, Jesper</t>
  </si>
  <si>
    <t>Zetterlund, Fabian</t>
  </si>
  <si>
    <t>Maltsev, Mikhail</t>
  </si>
  <si>
    <t>Senn, Gilles</t>
  </si>
  <si>
    <t>Cormier, Evan</t>
  </si>
  <si>
    <t>Veronneau, Max</t>
  </si>
  <si>
    <t>Norris, Joshua</t>
  </si>
  <si>
    <t>Gruden, Jonathan</t>
  </si>
  <si>
    <t>Balcers, Rūdolfs</t>
  </si>
  <si>
    <t>Alsing, Olle</t>
  </si>
  <si>
    <t>Ebert, Nick</t>
  </si>
  <si>
    <t>Daccord, Joey</t>
  </si>
  <si>
    <t>Gustafsson, David</t>
  </si>
  <si>
    <t>Chibisov, Andrei</t>
  </si>
  <si>
    <t>Luoto, Joona</t>
  </si>
  <si>
    <t>Shaw, Logan</t>
  </si>
  <si>
    <t>Letestu, Mark</t>
  </si>
  <si>
    <t>Gawanke, Leon</t>
  </si>
  <si>
    <t>Kovacevic, Johnny</t>
  </si>
  <si>
    <t>Makar, Cale</t>
  </si>
  <si>
    <t>Bowers, Shane</t>
  </si>
  <si>
    <t>Henry, Nicholas</t>
  </si>
  <si>
    <t>Werner, Adam</t>
  </si>
  <si>
    <t>Cap hit 20/21</t>
  </si>
  <si>
    <t>2025-26</t>
  </si>
  <si>
    <t>Masse salariale actuelle : 81,5</t>
  </si>
  <si>
    <t>Masse salariale année suivant: 81,5</t>
  </si>
  <si>
    <t>Lucic, Milan</t>
  </si>
  <si>
    <t>Tyler seguin</t>
  </si>
  <si>
    <t>Cap Hit 20-21</t>
  </si>
  <si>
    <t>NHL</t>
  </si>
  <si>
    <t>RW, C</t>
  </si>
  <si>
    <t>C, LW</t>
  </si>
  <si>
    <t>RW, LW</t>
  </si>
  <si>
    <t>LW, RW, C</t>
  </si>
  <si>
    <t>Wilson, Garrett</t>
  </si>
  <si>
    <t>35+NTC</t>
  </si>
  <si>
    <t>C, RW</t>
  </si>
  <si>
    <t>Åberg, Pontus</t>
  </si>
  <si>
    <t>RS</t>
  </si>
  <si>
    <t>Horton, Nathan</t>
  </si>
  <si>
    <t>Grabovski, Mikhail</t>
  </si>
  <si>
    <t>LW, RW</t>
  </si>
  <si>
    <t>Minor</t>
  </si>
  <si>
    <t>Kossila, Kalle</t>
  </si>
  <si>
    <t>Gaudet, Tyler</t>
  </si>
  <si>
    <t>Neuvirth, Michal</t>
  </si>
  <si>
    <t>PTO</t>
  </si>
  <si>
    <t>Read, Matt</t>
  </si>
  <si>
    <t>LW, C</t>
  </si>
  <si>
    <t>McMichael, Connor</t>
  </si>
  <si>
    <t>Leason, Brett</t>
  </si>
  <si>
    <t>Protas, Alexei</t>
  </si>
  <si>
    <t>Johansson, Marcus</t>
  </si>
  <si>
    <t>C, LW, RW</t>
  </si>
  <si>
    <t>Cozens, Dylan</t>
  </si>
  <si>
    <t>LW, C, RW</t>
  </si>
  <si>
    <t>Marino, John</t>
  </si>
  <si>
    <t>RSM-NTCNMC</t>
  </si>
  <si>
    <t>RW, C, LW</t>
  </si>
  <si>
    <t>RSM-NTC</t>
  </si>
  <si>
    <t>RW, LW, C</t>
  </si>
  <si>
    <t>Kakko, Kaapo</t>
  </si>
  <si>
    <t>RD, LW</t>
  </si>
  <si>
    <t>Di Giuseppe, Phillip</t>
  </si>
  <si>
    <t>Engelland, Deryk</t>
  </si>
  <si>
    <t>35+</t>
  </si>
  <si>
    <t>Kallionkieli, Marcus</t>
  </si>
  <si>
    <t>35+M-NTCNMC</t>
  </si>
  <si>
    <t>Alexandrov, Nikita</t>
  </si>
  <si>
    <t>Joshua, Dakota</t>
  </si>
  <si>
    <t>Roy, Kevin</t>
  </si>
  <si>
    <t>Massie, Jake</t>
  </si>
  <si>
    <t>Archibald, Josh</t>
  </si>
  <si>
    <t>Broberg, Philip</t>
  </si>
  <si>
    <t>Dzingel, Ryan</t>
  </si>
  <si>
    <t>Gibbons, Brian</t>
  </si>
  <si>
    <t>van Riemsdyk, Trevor</t>
  </si>
  <si>
    <t>Semin, Alexander</t>
  </si>
  <si>
    <t>Marleau, Patrick</t>
  </si>
  <si>
    <t>McCormick, Max</t>
  </si>
  <si>
    <t>De Haan, Calvin</t>
  </si>
  <si>
    <t>Dach, Kirby</t>
  </si>
  <si>
    <t>Cousins, Nick</t>
  </si>
  <si>
    <t>Chiarot, Ben</t>
  </si>
  <si>
    <t>De La Rose, Jacob</t>
  </si>
  <si>
    <t>Seider, Moritz</t>
  </si>
  <si>
    <t>Ferland, Micheal</t>
  </si>
  <si>
    <t>Bailey, Justin</t>
  </si>
  <si>
    <t>Shen, Pavel</t>
  </si>
  <si>
    <t>SRNMC</t>
  </si>
  <si>
    <t>Del Zotto, Michael</t>
  </si>
  <si>
    <t>Despres, Simon</t>
  </si>
  <si>
    <t>Martinsen, Andreas</t>
  </si>
  <si>
    <t>De Leo, Chase</t>
  </si>
  <si>
    <t>Wideman, Chris</t>
  </si>
  <si>
    <t>Eriksson Ek, Olle</t>
  </si>
  <si>
    <t>Dal Colle, Michael</t>
  </si>
  <si>
    <t>St. Denis, Travis</t>
  </si>
  <si>
    <t>Vande Sompel, Mitch</t>
  </si>
  <si>
    <t>Coreau, Jared</t>
  </si>
  <si>
    <t>Hughes, Jack</t>
  </si>
  <si>
    <t>Cammalleri, Mike</t>
  </si>
  <si>
    <t>Kempe, Mario</t>
  </si>
  <si>
    <t>Fagemo, Samuel</t>
  </si>
  <si>
    <t>Smith, Gemel</t>
  </si>
  <si>
    <t>Eriksson Ek, Joel</t>
  </si>
  <si>
    <t>van Riemsdyk, James</t>
  </si>
  <si>
    <t>Thomson, Lassi</t>
  </si>
  <si>
    <t>Dano, Marko</t>
  </si>
  <si>
    <t>Byram, Bowen</t>
  </si>
  <si>
    <t>Heinola, Ville</t>
  </si>
  <si>
    <t>Tavares, John </t>
  </si>
  <si>
    <t>Rielly, Morgan </t>
  </si>
  <si>
    <t>Okposo, Kyle </t>
  </si>
  <si>
    <t>Bogosian, Zach </t>
  </si>
  <si>
    <t>Malkin, Evgeni </t>
  </si>
  <si>
    <t>Letang, Kris </t>
  </si>
  <si>
    <t>Stepan, Derek </t>
  </si>
  <si>
    <t>Hjalmarsson, Niklas </t>
  </si>
  <si>
    <t>Seguin, Tyler </t>
  </si>
  <si>
    <t>Radulov, Alexander </t>
  </si>
  <si>
    <t>Klingberg, John </t>
  </si>
  <si>
    <t>Zibanejad, Mika </t>
  </si>
  <si>
    <t>Kreider, Chris </t>
  </si>
  <si>
    <t>Fast, Jesper </t>
  </si>
  <si>
    <t>Staal, Marc </t>
  </si>
  <si>
    <t>Smith, Reilly </t>
  </si>
  <si>
    <t>Johansen, Ryan </t>
  </si>
  <si>
    <t>Forsberg, Filip </t>
  </si>
  <si>
    <t>Ellis, Ryan </t>
  </si>
  <si>
    <t>Ekholm, Mattias </t>
  </si>
  <si>
    <t>Tarasenko, Vladimir </t>
  </si>
  <si>
    <t>Steen, Alexander </t>
  </si>
  <si>
    <t>Huberdeau, Jonathan </t>
  </si>
  <si>
    <t>Trocheck, Vincent </t>
  </si>
  <si>
    <t>Ekblad, Aaron </t>
  </si>
  <si>
    <t>Yandle, Keith </t>
  </si>
  <si>
    <t>Nugent-Hopkins, Ryan </t>
  </si>
  <si>
    <t>Larsson, Adam </t>
  </si>
  <si>
    <t>Staal, Jordan </t>
  </si>
  <si>
    <t>Faulk, Justin </t>
  </si>
  <si>
    <t>Seabrook, Brent </t>
  </si>
  <si>
    <t>Keith, Duncan </t>
  </si>
  <si>
    <t>Gallagher, Brendan </t>
  </si>
  <si>
    <t>Byron, Paul </t>
  </si>
  <si>
    <t>Abdelkader, Justin </t>
  </si>
  <si>
    <t>Couture, Logan </t>
  </si>
  <si>
    <t>Horvat, Bo </t>
  </si>
  <si>
    <t>Sutter, Brandon </t>
  </si>
  <si>
    <t>Edler, Alexander </t>
  </si>
  <si>
    <t>Tanev, Christopher </t>
  </si>
  <si>
    <t>Krejci, David </t>
  </si>
  <si>
    <t>Bergeron, Patrice </t>
  </si>
  <si>
    <t>Monahan, Sean </t>
  </si>
  <si>
    <t>Backlund, Mikael </t>
  </si>
  <si>
    <t>Tkachuk, Matthew </t>
  </si>
  <si>
    <t>Kesler, Ryan </t>
  </si>
  <si>
    <t>Ladd, Andrew </t>
  </si>
  <si>
    <t>Bailey, Josh </t>
  </si>
  <si>
    <t>Clutterbuck, Cal </t>
  </si>
  <si>
    <t>Hall, Taylor </t>
  </si>
  <si>
    <t>Zajac, Travis </t>
  </si>
  <si>
    <t>Carter, Jeff </t>
  </si>
  <si>
    <t>Doughty, Drew </t>
  </si>
  <si>
    <t>Parise, Zach </t>
  </si>
  <si>
    <t>Suter, Ryan </t>
  </si>
  <si>
    <t>Couturier, Sean </t>
  </si>
  <si>
    <t>Pageau, Jean-Gabriel </t>
  </si>
  <si>
    <t>Borowiecki, Mark </t>
  </si>
  <si>
    <t>Atkinson, Cam </t>
  </si>
  <si>
    <t>Jenner, Boone </t>
  </si>
  <si>
    <t>Jones, Seth </t>
  </si>
  <si>
    <t>MacKinnon, Nathan </t>
  </si>
  <si>
    <t>Johnson, Erik </t>
  </si>
  <si>
    <t>Scheifele, Mark </t>
  </si>
  <si>
    <t>Byfuglien, Dustin </t>
  </si>
  <si>
    <t>Ovechkin, Alex </t>
  </si>
  <si>
    <t>Eichel, Jack </t>
  </si>
  <si>
    <t>Crosby, Sidney </t>
  </si>
  <si>
    <t>Ekman-Larsson, Oliver </t>
  </si>
  <si>
    <t>Benn, Jamie </t>
  </si>
  <si>
    <t>Josi, Roman </t>
  </si>
  <si>
    <t>Pietrangelo, Alex </t>
  </si>
  <si>
    <t>Barkov, Aleksander </t>
  </si>
  <si>
    <t>McDavid, Connor </t>
  </si>
  <si>
    <t>Toews, Jonathan </t>
  </si>
  <si>
    <t>Weber, Shea </t>
  </si>
  <si>
    <t>Chara, Zdeno </t>
  </si>
  <si>
    <t>Giordano, Mark </t>
  </si>
  <si>
    <t>Getzlaf, Ryan </t>
  </si>
  <si>
    <t>Lee, Anders </t>
  </si>
  <si>
    <t>Greene, Andy </t>
  </si>
  <si>
    <t>Kopitar, Anze </t>
  </si>
  <si>
    <t>Stamkos, Steven </t>
  </si>
  <si>
    <t>Koivu, Mikko </t>
  </si>
  <si>
    <t>Giroux, Claude </t>
  </si>
  <si>
    <t>Foligno, Nick </t>
  </si>
  <si>
    <t>Landeskog, Gabriel </t>
  </si>
  <si>
    <t>Wheeler, Blake </t>
  </si>
  <si>
    <t>Bemstrom, Emil</t>
  </si>
  <si>
    <t>Bjorkqvist, Kasper</t>
  </si>
  <si>
    <t>Bjornfot, Tobias</t>
  </si>
  <si>
    <t>Borgstrom, Henrik</t>
  </si>
  <si>
    <t>Dahlstrom, Carl</t>
  </si>
  <si>
    <t>Grundstrom, Carl</t>
  </si>
  <si>
    <t>Hogberg, Marcus</t>
  </si>
  <si>
    <t>Holmstrom, Simon</t>
  </si>
  <si>
    <t>Hornqvist, Patric</t>
  </si>
  <si>
    <t>Lindstrom, Gustav</t>
  </si>
  <si>
    <t>Lundestrom, Isac</t>
  </si>
  <si>
    <t>Markstrom, Jacob</t>
  </si>
  <si>
    <t>Nordstrom, Joakim</t>
  </si>
  <si>
    <t>olund, Linus</t>
  </si>
  <si>
    <t>Sandstrom, Felix</t>
  </si>
  <si>
    <t>Soderberg, Carl</t>
  </si>
  <si>
    <t>Sodergran, Johan</t>
  </si>
  <si>
    <t>Soderlund, Tim</t>
  </si>
  <si>
    <t>Soderstrom, Linus</t>
  </si>
  <si>
    <t>Soderstrom, Victor</t>
  </si>
  <si>
    <t>Sorensen, Marcus</t>
  </si>
  <si>
    <t>Haas, Gaetan</t>
  </si>
  <si>
    <t>Teasdale, Joel</t>
  </si>
  <si>
    <t>Backstrom, Nicklas </t>
  </si>
  <si>
    <t>Brannstrom, Erik</t>
  </si>
  <si>
    <t>Hagg, Robert</t>
  </si>
  <si>
    <t>Hakanpaa, Jani</t>
  </si>
  <si>
    <t>Hannikainen, Markus</t>
  </si>
  <si>
    <t>Jarnkrok, Calle</t>
  </si>
  <si>
    <t>Jonsson-Fjallby, Axel</t>
  </si>
  <si>
    <t>Kahkonen, Kaapo</t>
  </si>
  <si>
    <t>Kallgren, Erik</t>
  </si>
  <si>
    <t>Kampf, David</t>
  </si>
  <si>
    <t>Lindholm, Par</t>
  </si>
  <si>
    <t>Maatta, Olli</t>
  </si>
  <si>
    <t>Puljujarvi, Jesse</t>
  </si>
  <si>
    <t>Saarijarvi, Vili</t>
  </si>
  <si>
    <t>Salomaki, Miikka</t>
  </si>
  <si>
    <t>Teravainen, Teuvo</t>
  </si>
  <si>
    <t>Valimaki, Juuso</t>
  </si>
  <si>
    <t>Allard, Frederic</t>
  </si>
  <si>
    <t>Aube-Kubel, Nicolas</t>
  </si>
  <si>
    <t>Baribeau, Dereck</t>
  </si>
  <si>
    <t>Barre-Boulet, Alex</t>
  </si>
  <si>
    <t>Bellemare, Pierre-edouard</t>
  </si>
  <si>
    <t>Berube, Jean-François</t>
  </si>
  <si>
    <t>Burakovsky, Andre</t>
  </si>
  <si>
    <t>Dahlen, Jonathan</t>
  </si>
  <si>
    <t>Dea, Jean-Sebastien</t>
  </si>
  <si>
    <t>Dube, Dillon</t>
  </si>
  <si>
    <t>emond, Zacharie</t>
  </si>
  <si>
    <t>Feherváry, Martin</t>
  </si>
  <si>
    <t>Fleury, Marc-Andre</t>
  </si>
  <si>
    <t>Gaudreau, Frederick</t>
  </si>
  <si>
    <t>Gauthier, Frederik</t>
  </si>
  <si>
    <t>Groleau, Jeremy</t>
  </si>
  <si>
    <t>Lagace, Maxime</t>
  </si>
  <si>
    <t>Lauzon, Jeremy</t>
  </si>
  <si>
    <t>Paquette, Cedric</t>
  </si>
  <si>
    <t>Rosen, Calle</t>
  </si>
  <si>
    <t>Roy, Jeremy</t>
  </si>
  <si>
    <t>Vlasic, Marc-edouard</t>
  </si>
  <si>
    <t>aberg, Pontus</t>
  </si>
  <si>
    <t>Hallander, Filip</t>
  </si>
  <si>
    <t>Nygard, Joakim</t>
  </si>
  <si>
    <t>Stralman, Anton</t>
  </si>
  <si>
    <t>Monahan, Sean</t>
  </si>
  <si>
    <t>Tarasenko, Vladimir</t>
  </si>
  <si>
    <t>Wheeler, Blake</t>
  </si>
  <si>
    <t>Klingberg, John</t>
  </si>
  <si>
    <t>Ekholm, Mattias</t>
  </si>
  <si>
    <t>Landeskog, Gabriel</t>
  </si>
  <si>
    <t>Faulk, Justin</t>
  </si>
  <si>
    <t>Zibanejad, Mika</t>
  </si>
  <si>
    <t>Yandle, Keith</t>
  </si>
  <si>
    <t>Balcers, Rudolfs</t>
  </si>
  <si>
    <t>Barkov, Aleksander</t>
  </si>
  <si>
    <t>Eichel, Jack</t>
  </si>
  <si>
    <t>DalColle, Michael</t>
  </si>
  <si>
    <t>DeHaan, Calvin</t>
  </si>
  <si>
    <t>DeLaRose, Jacob</t>
  </si>
  <si>
    <t>DeLeo, Chase</t>
  </si>
  <si>
    <t>DelZotto, Michael</t>
  </si>
  <si>
    <t>DiGiuseppe, Phillip</t>
  </si>
  <si>
    <t>ErikssonEk, Joel</t>
  </si>
  <si>
    <t>ErikssonEk, Olle</t>
  </si>
  <si>
    <t>St.Denis, Travis</t>
  </si>
  <si>
    <t>vanRiemsdyk, James</t>
  </si>
  <si>
    <t>vanRiemsdyk, Trevor</t>
  </si>
  <si>
    <t>VandeSompel, Mitch</t>
  </si>
  <si>
    <t>Abdelkader, Justin</t>
  </si>
  <si>
    <t>Atkinson, Cam</t>
  </si>
  <si>
    <t>Backlund, Mikael</t>
  </si>
  <si>
    <t>Backstrom, Nicklas</t>
  </si>
  <si>
    <t>Bailey, Josh</t>
  </si>
  <si>
    <t>Benn, Jamie</t>
  </si>
  <si>
    <t>Bergeron, Patrice</t>
  </si>
  <si>
    <t>Bogosian, Zach</t>
  </si>
  <si>
    <t>Borowiecki, Mark</t>
  </si>
  <si>
    <t>Byfuglien, Dustin</t>
  </si>
  <si>
    <t>Byron, Paul</t>
  </si>
  <si>
    <t>Carter, Jeff</t>
  </si>
  <si>
    <t>Chara, Zdeno</t>
  </si>
  <si>
    <t>Clutterbuck, Cal</t>
  </si>
  <si>
    <t>Couture, Logan</t>
  </si>
  <si>
    <t>Couturier, Sean</t>
  </si>
  <si>
    <t>Crosby, Sidney</t>
  </si>
  <si>
    <t>Doughty, Drew</t>
  </si>
  <si>
    <t>Edler, Alexander</t>
  </si>
  <si>
    <t>Ekblad, Aaron</t>
  </si>
  <si>
    <t>Ekman-Larsson, Oliver</t>
  </si>
  <si>
    <t>Ellis, Ryan</t>
  </si>
  <si>
    <t>Fast, Jesper</t>
  </si>
  <si>
    <t>Foligno, Nick</t>
  </si>
  <si>
    <t>Forsberg, Filip</t>
  </si>
  <si>
    <t>Gallagher, Brendan</t>
  </si>
  <si>
    <t>Getzlaf, Ryan</t>
  </si>
  <si>
    <t>Giordano, Mark</t>
  </si>
  <si>
    <t>Giroux, Claude</t>
  </si>
  <si>
    <t>Greene, Andy</t>
  </si>
  <si>
    <t>Hall, Taylor</t>
  </si>
  <si>
    <t>Hjalmarsson, Niklas</t>
  </si>
  <si>
    <t>Horvat, Bo</t>
  </si>
  <si>
    <t>Huberdeau, Jonathan</t>
  </si>
  <si>
    <t>Jenner, Boone</t>
  </si>
  <si>
    <t>Johansen, Ryan</t>
  </si>
  <si>
    <t>Johnson, Erik</t>
  </si>
  <si>
    <t>Jones, Seth</t>
  </si>
  <si>
    <t>Josi, Roman</t>
  </si>
  <si>
    <t>Keith, Duncan</t>
  </si>
  <si>
    <t>Kesler, Ryan</t>
  </si>
  <si>
    <t>Koivu, Mikko</t>
  </si>
  <si>
    <t>Kopitar, Anze</t>
  </si>
  <si>
    <t>Kreider, Chris</t>
  </si>
  <si>
    <t>Krejci, David</t>
  </si>
  <si>
    <t>Ladd, Andrew</t>
  </si>
  <si>
    <t>Larsson, Adam</t>
  </si>
  <si>
    <t>Lee, Anders</t>
  </si>
  <si>
    <t>Letang, Kris</t>
  </si>
  <si>
    <t>MacKinnon, Nathan</t>
  </si>
  <si>
    <t>Malkin, Evgeni</t>
  </si>
  <si>
    <t>McDavid, Connor</t>
  </si>
  <si>
    <t>Nugent-Hopkins, Ryan</t>
  </si>
  <si>
    <t>Okposo, Kyle</t>
  </si>
  <si>
    <t>Ovechkin, Alex</t>
  </si>
  <si>
    <t>Pageau, Jean-Gabriel</t>
  </si>
  <si>
    <t>Parise, Zach</t>
  </si>
  <si>
    <t>Pietrangelo, Alex</t>
  </si>
  <si>
    <t>Radulov, Alexander</t>
  </si>
  <si>
    <t>Rielly, Morgan</t>
  </si>
  <si>
    <t>Scheifele, Mark</t>
  </si>
  <si>
    <t>Seabrook, Brent</t>
  </si>
  <si>
    <t>Seguin, Tyler</t>
  </si>
  <si>
    <t>Smith, Reilly</t>
  </si>
  <si>
    <t>Staal, Jordan</t>
  </si>
  <si>
    <t>Staal, Marc</t>
  </si>
  <si>
    <t>Stamkos, Steven</t>
  </si>
  <si>
    <t>Steen, Alexander</t>
  </si>
  <si>
    <t>Stepan, Derek</t>
  </si>
  <si>
    <t>Suter, Ryan</t>
  </si>
  <si>
    <t>Sutter, Brandon</t>
  </si>
  <si>
    <t>Tanev, Christopher</t>
  </si>
  <si>
    <t>Tavares, John</t>
  </si>
  <si>
    <t>Tkachuk, Matthew</t>
  </si>
  <si>
    <t>Toews, Jonathan</t>
  </si>
  <si>
    <t>Trocheck, Vincent</t>
  </si>
  <si>
    <t>Weber, Shea</t>
  </si>
  <si>
    <t>Zajac, Travis</t>
  </si>
  <si>
    <t>Search</t>
  </si>
  <si>
    <t>Frequency</t>
  </si>
  <si>
    <t>Final List</t>
  </si>
  <si>
    <t>Âge</t>
  </si>
  <si>
    <t>Jakob Silfverberg - ANA - AD, AG</t>
  </si>
  <si>
    <t>Ryan Kesler - ANA - C, AD</t>
  </si>
  <si>
    <t>Boe</t>
  </si>
  <si>
    <t>Ryan</t>
  </si>
  <si>
    <t>Adam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</si>
</sst>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0.00_);_(&quot;$&quot;* \(#,##0.00\);_(&quot;$&quot;* &quot;-&quot;??_);_(@_)"/>
    <numFmt numFmtId="165" formatCode="_(* #,##0.00_);_(* \(#,##0.00\);_(* &quot;-&quot;??_);_(@_)"/>
    <numFmt numFmtId="166" formatCode="_ * #,##0_)\ _$_ ;_ * \(#,##0\)\ _$_ ;_ * &quot;-&quot;??_)\ _$_ ;_ @_ "/>
  </numFmts>
  <fonts count="122" x14ac:knownFonts="1">
    <font>
      <sz val="11"/>
      <color theme="1"/>
      <name val="Calibri"/>
      <family val="2"/>
      <scheme val="minor"/>
    </font>
    <font>
      <sz val="11"/>
      <color indexed="8"/>
      <name val="Calibri"/>
      <family val="2"/>
    </font>
    <font>
      <sz val="10"/>
      <name val="Arial"/>
      <family val="2"/>
    </font>
    <font>
      <b/>
      <sz val="10"/>
      <name val="Arial"/>
      <family val="2"/>
    </font>
    <font>
      <b/>
      <sz val="12"/>
      <name val="Arial"/>
      <family val="2"/>
    </font>
    <font>
      <b/>
      <sz val="11"/>
      <color indexed="9"/>
      <name val="Calibri"/>
      <family val="2"/>
    </font>
    <font>
      <b/>
      <sz val="11"/>
      <color indexed="8"/>
      <name val="Calibri"/>
      <family val="2"/>
    </font>
    <font>
      <sz val="11"/>
      <color indexed="9"/>
      <name val="Calibri"/>
      <family val="2"/>
    </font>
    <font>
      <b/>
      <sz val="16"/>
      <color indexed="9"/>
      <name val="Calibri"/>
      <family val="2"/>
    </font>
    <font>
      <sz val="14"/>
      <color indexed="9"/>
      <name val="Calibri"/>
      <family val="2"/>
    </font>
    <font>
      <b/>
      <sz val="14"/>
      <color indexed="8"/>
      <name val="Calibri"/>
      <family val="2"/>
    </font>
    <font>
      <b/>
      <sz val="14"/>
      <color indexed="9"/>
      <name val="Calibri"/>
      <family val="2"/>
    </font>
    <font>
      <sz val="11"/>
      <name val="Calibri"/>
      <family val="2"/>
    </font>
    <font>
      <b/>
      <sz val="11"/>
      <color indexed="8"/>
      <name val="Calibri"/>
      <family val="2"/>
    </font>
    <font>
      <b/>
      <sz val="12"/>
      <color indexed="9"/>
      <name val="Calibri"/>
      <family val="2"/>
    </font>
    <font>
      <b/>
      <sz val="14"/>
      <color indexed="8"/>
      <name val="Calibri"/>
      <family val="2"/>
    </font>
    <font>
      <b/>
      <sz val="12"/>
      <color indexed="8"/>
      <name val="Calibri"/>
      <family val="2"/>
    </font>
    <font>
      <b/>
      <sz val="12"/>
      <color indexed="8"/>
      <name val="Calibri"/>
      <family val="2"/>
    </font>
    <font>
      <sz val="11"/>
      <color indexed="8"/>
      <name val="Calibri"/>
      <family val="2"/>
    </font>
    <font>
      <sz val="11"/>
      <color indexed="9"/>
      <name val="Calibri"/>
      <family val="2"/>
    </font>
    <font>
      <b/>
      <sz val="11"/>
      <color indexed="8"/>
      <name val="Calibri"/>
      <family val="2"/>
      <scheme val="minor"/>
    </font>
    <font>
      <b/>
      <sz val="18"/>
      <color theme="1"/>
      <name val="Calibri"/>
      <family val="2"/>
      <scheme val="minor"/>
    </font>
    <font>
      <b/>
      <sz val="18"/>
      <color theme="0"/>
      <name val="Calibri"/>
      <family val="2"/>
      <scheme val="minor"/>
    </font>
    <font>
      <b/>
      <sz val="11"/>
      <color theme="1"/>
      <name val="Calibri"/>
      <family val="2"/>
      <scheme val="minor"/>
    </font>
    <font>
      <sz val="11"/>
      <name val="Calibri"/>
      <family val="2"/>
      <scheme val="minor"/>
    </font>
    <font>
      <b/>
      <sz val="12"/>
      <color theme="1"/>
      <name val="Calibri"/>
      <family val="2"/>
      <scheme val="minor"/>
    </font>
    <font>
      <b/>
      <sz val="11"/>
      <name val="Calibri"/>
      <family val="2"/>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1"/>
      <name val="Calibri"/>
      <family val="2"/>
    </font>
    <font>
      <b/>
      <sz val="14"/>
      <color indexed="8"/>
      <name val="Calibri"/>
      <family val="2"/>
    </font>
    <font>
      <sz val="14"/>
      <color indexed="9"/>
      <name val="Calibri"/>
      <family val="2"/>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1"/>
      <name val="Calibri"/>
      <family val="2"/>
    </font>
    <font>
      <b/>
      <sz val="14"/>
      <color indexed="8"/>
      <name val="Calibri"/>
      <family val="2"/>
    </font>
    <font>
      <sz val="14"/>
      <color indexed="9"/>
      <name val="Calibri"/>
      <family val="2"/>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1"/>
      <name val="Calibri"/>
      <family val="2"/>
    </font>
    <font>
      <b/>
      <sz val="14"/>
      <color indexed="8"/>
      <name val="Calibri"/>
      <family val="2"/>
    </font>
    <font>
      <sz val="14"/>
      <color indexed="9"/>
      <name val="Calibri"/>
      <family val="2"/>
    </font>
    <font>
      <b/>
      <sz val="11"/>
      <color theme="1"/>
      <name val="Calibri"/>
      <family val="2"/>
      <scheme val="minor"/>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sz val="11"/>
      <name val="Calibri"/>
      <family val="2"/>
    </font>
    <font>
      <b/>
      <sz val="12"/>
      <color indexed="9"/>
      <name val="Calibri"/>
      <family val="2"/>
    </font>
    <font>
      <sz val="14"/>
      <color indexed="9"/>
      <name val="Calibri"/>
      <family val="2"/>
    </font>
    <font>
      <b/>
      <sz val="14"/>
      <color indexed="8"/>
      <name val="Calibri"/>
      <family val="2"/>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sz val="11"/>
      <name val="Calibri"/>
      <family val="2"/>
    </font>
    <font>
      <b/>
      <sz val="12"/>
      <color indexed="9"/>
      <name val="Calibri"/>
      <family val="2"/>
    </font>
    <font>
      <sz val="14"/>
      <color indexed="9"/>
      <name val="Calibri"/>
      <family val="2"/>
    </font>
    <font>
      <b/>
      <sz val="14"/>
      <color indexed="8"/>
      <name val="Calibri"/>
      <family val="2"/>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1"/>
      <name val="Calibri"/>
      <family val="2"/>
    </font>
    <font>
      <b/>
      <sz val="14"/>
      <color indexed="8"/>
      <name val="Calibri"/>
      <family val="2"/>
    </font>
    <font>
      <sz val="14"/>
      <color indexed="9"/>
      <name val="Calibri"/>
      <family val="2"/>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1"/>
      <name val="Calibri"/>
      <family val="2"/>
    </font>
    <font>
      <b/>
      <sz val="14"/>
      <color indexed="8"/>
      <name val="Calibri"/>
      <family val="2"/>
    </font>
    <font>
      <sz val="14"/>
      <color indexed="9"/>
      <name val="Calibri"/>
      <family val="2"/>
    </font>
    <font>
      <sz val="18"/>
      <color theme="1"/>
      <name val="Calibri"/>
      <family val="2"/>
      <scheme val="minor"/>
    </font>
    <font>
      <b/>
      <sz val="14"/>
      <color theme="1"/>
      <name val="Calibri"/>
      <family val="2"/>
      <scheme val="minor"/>
    </font>
    <font>
      <sz val="11"/>
      <color theme="0"/>
      <name val="Calibri"/>
      <family val="2"/>
      <scheme val="minor"/>
    </font>
    <font>
      <sz val="12"/>
      <color theme="1"/>
      <name val="Calibri"/>
      <family val="2"/>
      <scheme val="minor"/>
    </font>
    <font>
      <b/>
      <sz val="14"/>
      <color theme="0"/>
      <name val="Calibri"/>
      <family val="2"/>
    </font>
    <font>
      <sz val="14"/>
      <name val="Calibri"/>
      <family val="2"/>
    </font>
    <font>
      <b/>
      <sz val="12"/>
      <name val="Calibri"/>
      <family val="2"/>
    </font>
    <font>
      <b/>
      <sz val="14"/>
      <name val="Calibri"/>
      <family val="2"/>
    </font>
    <font>
      <b/>
      <sz val="11"/>
      <color theme="0"/>
      <name val="Calibri"/>
      <family val="2"/>
      <scheme val="minor"/>
    </font>
    <font>
      <sz val="10"/>
      <color rgb="FF000000"/>
      <name val="Courier New"/>
      <family val="3"/>
    </font>
  </fonts>
  <fills count="20">
    <fill>
      <patternFill patternType="none"/>
    </fill>
    <fill>
      <patternFill patternType="gray125"/>
    </fill>
    <fill>
      <patternFill patternType="solid">
        <fgColor indexed="63"/>
        <bgColor indexed="64"/>
      </patternFill>
    </fill>
    <fill>
      <patternFill patternType="solid">
        <fgColor indexed="17"/>
        <bgColor indexed="64"/>
      </patternFill>
    </fill>
    <fill>
      <patternFill patternType="solid">
        <fgColor indexed="56"/>
        <bgColor indexed="64"/>
      </patternFill>
    </fill>
    <fill>
      <patternFill patternType="solid">
        <fgColor indexed="53"/>
        <bgColor indexed="64"/>
      </patternFill>
    </fill>
    <fill>
      <patternFill patternType="solid">
        <fgColor indexed="8"/>
        <bgColor indexed="64"/>
      </patternFill>
    </fill>
    <fill>
      <patternFill patternType="solid">
        <fgColor indexed="60"/>
        <bgColor indexed="64"/>
      </patternFill>
    </fill>
    <fill>
      <patternFill patternType="solid">
        <fgColor indexed="50"/>
        <bgColor indexed="64"/>
      </patternFill>
    </fill>
    <fill>
      <patternFill patternType="solid">
        <fgColor indexed="55"/>
        <bgColor indexed="64"/>
      </patternFill>
    </fill>
    <fill>
      <patternFill patternType="solid">
        <fgColor indexed="36"/>
        <bgColor indexed="64"/>
      </patternFill>
    </fill>
    <fill>
      <patternFill patternType="solid">
        <fgColor indexed="3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rgb="FF7030A0"/>
        <bgColor indexed="64"/>
      </patternFill>
    </fill>
    <fill>
      <patternFill patternType="solid">
        <fgColor theme="8" tint="-0.249977111117893"/>
        <bgColor indexed="64"/>
      </patternFill>
    </fill>
    <fill>
      <patternFill patternType="solid">
        <fgColor theme="3" tint="-0.499984740745262"/>
        <bgColor indexed="64"/>
      </patternFill>
    </fill>
    <fill>
      <patternFill patternType="solid">
        <fgColor theme="8" tint="-0.499984740745262"/>
        <bgColor indexed="64"/>
      </patternFill>
    </fill>
  </fills>
  <borders count="44">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s>
  <cellStyleXfs count="6">
    <xf numFmtId="0" fontId="0" fillId="0" borderId="0"/>
    <xf numFmtId="165" fontId="1" fillId="0" borderId="0" applyFont="0" applyFill="0" applyBorder="0" applyAlignment="0" applyProtection="0"/>
    <xf numFmtId="9" fontId="18"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164" fontId="28" fillId="0" borderId="0" applyFont="0" applyFill="0" applyBorder="0" applyAlignment="0" applyProtection="0"/>
  </cellStyleXfs>
  <cellXfs count="623">
    <xf numFmtId="0" fontId="0" fillId="0" borderId="0" xfId="0"/>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0" xfId="0" applyBorder="1"/>
    <xf numFmtId="0" fontId="6" fillId="0" borderId="0" xfId="0" applyFont="1" applyBorder="1" applyAlignment="1">
      <alignment horizontal="center"/>
    </xf>
    <xf numFmtId="0" fontId="0" fillId="0" borderId="8" xfId="0" applyBorder="1"/>
    <xf numFmtId="0" fontId="0" fillId="0" borderId="0" xfId="0" applyBorder="1" applyAlignment="1">
      <alignment horizontal="center"/>
    </xf>
    <xf numFmtId="0" fontId="0" fillId="0" borderId="7" xfId="0" applyBorder="1" applyAlignment="1">
      <alignment horizontal="center"/>
    </xf>
    <xf numFmtId="0" fontId="0" fillId="0" borderId="0" xfId="0" applyFill="1" applyBorder="1"/>
    <xf numFmtId="0" fontId="11" fillId="4" borderId="0" xfId="0" applyFont="1" applyFill="1"/>
    <xf numFmtId="166" fontId="10" fillId="0" borderId="0" xfId="1" applyNumberFormat="1" applyFont="1" applyAlignment="1">
      <alignment horizontal="center"/>
    </xf>
    <xf numFmtId="0" fontId="0" fillId="0" borderId="0" xfId="0" applyAlignment="1"/>
    <xf numFmtId="0" fontId="6" fillId="0" borderId="0" xfId="0" applyFont="1" applyAlignment="1">
      <alignment horizontal="center"/>
    </xf>
    <xf numFmtId="0" fontId="7" fillId="0" borderId="0" xfId="0" applyFont="1"/>
    <xf numFmtId="166" fontId="7" fillId="0" borderId="0" xfId="1" applyNumberFormat="1" applyFont="1" applyBorder="1" applyAlignment="1">
      <alignment horizontal="center"/>
    </xf>
    <xf numFmtId="13" fontId="0" fillId="0" borderId="0" xfId="1" applyNumberFormat="1" applyFont="1" applyAlignment="1">
      <alignment horizontal="center"/>
    </xf>
    <xf numFmtId="0" fontId="6" fillId="0" borderId="0" xfId="0" applyFont="1" applyFill="1" applyBorder="1" applyAlignment="1">
      <alignment horizontal="center"/>
    </xf>
    <xf numFmtId="0" fontId="0" fillId="0" borderId="7" xfId="0" applyFill="1" applyBorder="1"/>
    <xf numFmtId="0" fontId="13" fillId="0" borderId="0" xfId="0" applyFont="1"/>
    <xf numFmtId="0" fontId="15" fillId="0" borderId="0" xfId="0" applyFont="1" applyAlignment="1">
      <alignment horizontal="center"/>
    </xf>
    <xf numFmtId="166" fontId="7" fillId="0" borderId="7" xfId="1" applyNumberFormat="1" applyFont="1" applyBorder="1" applyAlignment="1">
      <alignment horizontal="center"/>
    </xf>
    <xf numFmtId="0" fontId="16" fillId="0" borderId="10" xfId="0" applyFont="1" applyBorder="1" applyAlignment="1">
      <alignment horizontal="center"/>
    </xf>
    <xf numFmtId="165" fontId="17" fillId="0" borderId="6" xfId="1" applyNumberFormat="1" applyFont="1" applyBorder="1" applyAlignment="1">
      <alignment horizontal="center"/>
    </xf>
    <xf numFmtId="165" fontId="17" fillId="0" borderId="11" xfId="1" applyNumberFormat="1" applyFont="1" applyBorder="1" applyAlignment="1">
      <alignment horizontal="center"/>
    </xf>
    <xf numFmtId="10" fontId="0" fillId="0" borderId="0" xfId="2" applyNumberFormat="1" applyFont="1"/>
    <xf numFmtId="0" fontId="0" fillId="0" borderId="0" xfId="0" applyFill="1"/>
    <xf numFmtId="0" fontId="12" fillId="0" borderId="7" xfId="0" applyFont="1" applyFill="1" applyBorder="1"/>
    <xf numFmtId="0" fontId="0" fillId="0" borderId="0" xfId="0" applyAlignment="1">
      <alignment horizontal="center"/>
    </xf>
    <xf numFmtId="0" fontId="0" fillId="0" borderId="0" xfId="0" applyAlignment="1">
      <alignment horizontal="center"/>
    </xf>
    <xf numFmtId="0" fontId="13" fillId="0" borderId="0" xfId="0" applyFont="1" applyAlignment="1">
      <alignment horizontal="center"/>
    </xf>
    <xf numFmtId="0" fontId="0" fillId="0" borderId="0" xfId="0" applyAlignment="1">
      <alignment horizontal="center"/>
    </xf>
    <xf numFmtId="0" fontId="19" fillId="7" borderId="0" xfId="0" applyFont="1" applyFill="1" applyAlignment="1">
      <alignment horizontal="center"/>
    </xf>
    <xf numFmtId="0" fontId="0" fillId="0" borderId="0" xfId="0" applyAlignment="1">
      <alignment horizontal="center"/>
    </xf>
    <xf numFmtId="0" fontId="23" fillId="0" borderId="0" xfId="0" applyFont="1"/>
    <xf numFmtId="14" fontId="12" fillId="0" borderId="0" xfId="0" applyNumberFormat="1" applyFont="1"/>
    <xf numFmtId="14" fontId="24" fillId="0" borderId="0" xfId="0" applyNumberFormat="1" applyFont="1"/>
    <xf numFmtId="0" fontId="0" fillId="0" borderId="0" xfId="0" applyAlignment="1">
      <alignment horizontal="left"/>
    </xf>
    <xf numFmtId="0" fontId="20" fillId="0" borderId="0" xfId="0" applyFont="1" applyAlignment="1">
      <alignment horizontal="center"/>
    </xf>
    <xf numFmtId="0" fontId="0" fillId="0" borderId="0" xfId="0" applyFont="1"/>
    <xf numFmtId="0" fontId="25" fillId="0" borderId="0" xfId="0" applyFont="1"/>
    <xf numFmtId="0" fontId="5" fillId="2" borderId="0" xfId="0" applyFont="1" applyFill="1" applyBorder="1" applyAlignment="1">
      <alignment horizontal="center"/>
    </xf>
    <xf numFmtId="0" fontId="9" fillId="3" borderId="0" xfId="0" applyFont="1" applyFill="1" applyAlignment="1">
      <alignment horizontal="center"/>
    </xf>
    <xf numFmtId="0" fontId="0" fillId="0" borderId="7" xfId="0" applyBorder="1"/>
    <xf numFmtId="0" fontId="0" fillId="0" borderId="0" xfId="0" applyFill="1" applyBorder="1"/>
    <xf numFmtId="0" fontId="0" fillId="0" borderId="9" xfId="0" applyBorder="1" applyAlignment="1">
      <alignment horizontal="center"/>
    </xf>
    <xf numFmtId="0" fontId="8" fillId="4" borderId="0" xfId="0" applyFont="1" applyFill="1" applyAlignment="1">
      <alignment horizontal="center"/>
    </xf>
    <xf numFmtId="0" fontId="26" fillId="0" borderId="0" xfId="0" applyFont="1" applyBorder="1" applyAlignment="1">
      <alignment horizontal="center"/>
    </xf>
    <xf numFmtId="0" fontId="8" fillId="4" borderId="15" xfId="0" applyFont="1" applyFill="1" applyBorder="1" applyAlignment="1"/>
    <xf numFmtId="0" fontId="20" fillId="0" borderId="15" xfId="0" applyFont="1" applyBorder="1" applyAlignment="1">
      <alignment horizontal="center" vertical="center" wrapText="1"/>
    </xf>
    <xf numFmtId="0" fontId="0" fillId="0" borderId="15" xfId="0" applyBorder="1" applyAlignment="1">
      <alignment horizontal="center"/>
    </xf>
    <xf numFmtId="0" fontId="0" fillId="0" borderId="14" xfId="0" applyBorder="1" applyAlignment="1">
      <alignment horizontal="center"/>
    </xf>
    <xf numFmtId="0" fontId="0" fillId="14" borderId="0" xfId="0" applyFill="1"/>
    <xf numFmtId="0" fontId="0" fillId="14" borderId="0" xfId="0" applyFill="1" applyBorder="1"/>
    <xf numFmtId="0" fontId="15" fillId="14" borderId="0" xfId="0" applyFont="1" applyFill="1" applyAlignment="1"/>
    <xf numFmtId="0" fontId="27" fillId="4" borderId="0" xfId="0" applyFont="1" applyFill="1" applyAlignment="1">
      <alignment horizontal="center"/>
    </xf>
    <xf numFmtId="0" fontId="27" fillId="4" borderId="15" xfId="0" applyFont="1" applyFill="1" applyBorder="1" applyAlignment="1"/>
    <xf numFmtId="0" fontId="28" fillId="14" borderId="0" xfId="0" applyFont="1" applyFill="1"/>
    <xf numFmtId="0" fontId="28" fillId="0" borderId="0" xfId="0" applyFont="1"/>
    <xf numFmtId="0" fontId="30" fillId="7" borderId="0" xfId="0" applyFont="1" applyFill="1" applyAlignment="1">
      <alignment horizontal="center"/>
    </xf>
    <xf numFmtId="0" fontId="31" fillId="0" borderId="0" xfId="0" applyFont="1" applyBorder="1" applyAlignment="1">
      <alignment horizontal="center"/>
    </xf>
    <xf numFmtId="0" fontId="32" fillId="0" borderId="10" xfId="0" applyFont="1" applyBorder="1" applyAlignment="1">
      <alignment horizontal="center"/>
    </xf>
    <xf numFmtId="0" fontId="33" fillId="0" borderId="0" xfId="0" applyFont="1" applyBorder="1" applyAlignment="1">
      <alignment horizontal="center"/>
    </xf>
    <xf numFmtId="0" fontId="31" fillId="0" borderId="0" xfId="0" applyFont="1" applyFill="1" applyBorder="1" applyAlignment="1">
      <alignment horizontal="center"/>
    </xf>
    <xf numFmtId="0" fontId="31" fillId="0" borderId="0" xfId="0" applyFont="1" applyAlignment="1">
      <alignment horizontal="center"/>
    </xf>
    <xf numFmtId="0" fontId="31" fillId="0" borderId="0" xfId="0" applyFont="1" applyAlignment="1">
      <alignment horizontal="center" wrapText="1"/>
    </xf>
    <xf numFmtId="0" fontId="34" fillId="0" borderId="0" xfId="0" applyFont="1" applyAlignment="1">
      <alignment horizontal="center"/>
    </xf>
    <xf numFmtId="0" fontId="28" fillId="0" borderId="0" xfId="0" applyFont="1" applyFill="1" applyBorder="1"/>
    <xf numFmtId="0" fontId="28" fillId="0" borderId="0" xfId="0" applyFont="1" applyBorder="1" applyAlignment="1">
      <alignment horizontal="center"/>
    </xf>
    <xf numFmtId="165" fontId="32" fillId="0" borderId="6" xfId="1" applyNumberFormat="1" applyFont="1" applyBorder="1" applyAlignment="1">
      <alignment horizontal="center"/>
    </xf>
    <xf numFmtId="166" fontId="30" fillId="0" borderId="0" xfId="1" applyNumberFormat="1" applyFont="1" applyBorder="1" applyAlignment="1">
      <alignment horizontal="center"/>
    </xf>
    <xf numFmtId="0" fontId="28" fillId="0" borderId="15" xfId="0" applyFont="1" applyBorder="1" applyAlignment="1">
      <alignment horizontal="center"/>
    </xf>
    <xf numFmtId="0" fontId="28" fillId="0" borderId="0" xfId="0" applyFont="1" applyAlignment="1">
      <alignment horizontal="center"/>
    </xf>
    <xf numFmtId="0" fontId="28" fillId="0" borderId="0" xfId="0" applyFont="1" applyFill="1" applyBorder="1" applyAlignment="1">
      <alignment horizontal="center"/>
    </xf>
    <xf numFmtId="0" fontId="28" fillId="0" borderId="7" xfId="0" applyFont="1" applyBorder="1" applyAlignment="1">
      <alignment horizontal="center"/>
    </xf>
    <xf numFmtId="165" fontId="32" fillId="0" borderId="11" xfId="1" applyNumberFormat="1" applyFont="1" applyBorder="1" applyAlignment="1">
      <alignment horizontal="center"/>
    </xf>
    <xf numFmtId="166" fontId="30" fillId="0" borderId="7" xfId="1" applyNumberFormat="1" applyFont="1" applyBorder="1" applyAlignment="1">
      <alignment horizontal="center"/>
    </xf>
    <xf numFmtId="0" fontId="28" fillId="0" borderId="14" xfId="0" applyFont="1" applyBorder="1" applyAlignment="1">
      <alignment horizontal="center"/>
    </xf>
    <xf numFmtId="0" fontId="28" fillId="0" borderId="8" xfId="0" applyFont="1" applyBorder="1" applyAlignment="1">
      <alignment horizontal="center"/>
    </xf>
    <xf numFmtId="165" fontId="32" fillId="0" borderId="12" xfId="1" applyNumberFormat="1" applyFont="1" applyBorder="1" applyAlignment="1">
      <alignment horizontal="center"/>
    </xf>
    <xf numFmtId="0" fontId="28" fillId="14" borderId="0" xfId="0" applyFont="1" applyFill="1" applyBorder="1"/>
    <xf numFmtId="0" fontId="36" fillId="0" borderId="7" xfId="0" applyFont="1" applyFill="1" applyBorder="1"/>
    <xf numFmtId="0" fontId="29" fillId="2" borderId="0" xfId="0" applyFont="1" applyFill="1" applyBorder="1" applyAlignment="1">
      <alignment horizontal="center"/>
    </xf>
    <xf numFmtId="0" fontId="30" fillId="0" borderId="0" xfId="0" applyFont="1"/>
    <xf numFmtId="0" fontId="37" fillId="0" borderId="0" xfId="0" applyFont="1" applyAlignment="1"/>
    <xf numFmtId="0" fontId="38" fillId="3" borderId="0" xfId="0" applyFont="1" applyFill="1" applyAlignment="1">
      <alignment horizontal="center"/>
    </xf>
    <xf numFmtId="0" fontId="37" fillId="14" borderId="0" xfId="0" applyFont="1" applyFill="1" applyAlignment="1"/>
    <xf numFmtId="0" fontId="39" fillId="4" borderId="0" xfId="0" applyFont="1" applyFill="1" applyAlignment="1">
      <alignment horizontal="center"/>
    </xf>
    <xf numFmtId="0" fontId="39" fillId="4" borderId="15" xfId="0" applyFont="1" applyFill="1" applyBorder="1" applyAlignment="1"/>
    <xf numFmtId="0" fontId="40" fillId="14" borderId="0" xfId="0" applyFont="1" applyFill="1"/>
    <xf numFmtId="0" fontId="40" fillId="0" borderId="0" xfId="0" applyFont="1"/>
    <xf numFmtId="0" fontId="42" fillId="7" borderId="0" xfId="0" applyFont="1" applyFill="1" applyAlignment="1">
      <alignment horizontal="center"/>
    </xf>
    <xf numFmtId="0" fontId="43" fillId="0" borderId="0" xfId="0" applyFont="1" applyBorder="1" applyAlignment="1">
      <alignment horizontal="center"/>
    </xf>
    <xf numFmtId="0" fontId="44" fillId="0" borderId="10" xfId="0" applyFont="1" applyBorder="1" applyAlignment="1">
      <alignment horizontal="center"/>
    </xf>
    <xf numFmtId="0" fontId="45" fillId="0" borderId="0" xfId="0" applyFont="1" applyBorder="1" applyAlignment="1">
      <alignment horizontal="center"/>
    </xf>
    <xf numFmtId="0" fontId="43" fillId="0" borderId="0" xfId="0" applyFont="1" applyFill="1" applyBorder="1" applyAlignment="1">
      <alignment horizontal="center"/>
    </xf>
    <xf numFmtId="0" fontId="46" fillId="0" borderId="15" xfId="0" applyFont="1" applyBorder="1" applyAlignment="1">
      <alignment horizontal="center" vertical="center" wrapText="1"/>
    </xf>
    <xf numFmtId="0" fontId="43" fillId="0" borderId="0" xfId="0" applyFont="1" applyAlignment="1">
      <alignment horizontal="center"/>
    </xf>
    <xf numFmtId="0" fontId="43" fillId="0" borderId="0" xfId="0" applyFont="1" applyAlignment="1">
      <alignment horizontal="center" wrapText="1"/>
    </xf>
    <xf numFmtId="0" fontId="46" fillId="0" borderId="0" xfId="0" applyFont="1" applyAlignment="1">
      <alignment horizontal="center"/>
    </xf>
    <xf numFmtId="0" fontId="40" fillId="0" borderId="0" xfId="0" applyFont="1" applyFill="1" applyBorder="1"/>
    <xf numFmtId="0" fontId="40" fillId="0" borderId="0" xfId="0" applyFont="1" applyBorder="1" applyAlignment="1">
      <alignment horizontal="center"/>
    </xf>
    <xf numFmtId="165" fontId="44" fillId="0" borderId="6" xfId="1" applyNumberFormat="1" applyFont="1" applyBorder="1" applyAlignment="1">
      <alignment horizontal="center"/>
    </xf>
    <xf numFmtId="166" fontId="42" fillId="0" borderId="0" xfId="1" applyNumberFormat="1" applyFont="1" applyBorder="1" applyAlignment="1">
      <alignment horizontal="center"/>
    </xf>
    <xf numFmtId="0" fontId="40" fillId="0" borderId="15" xfId="0" applyFont="1" applyBorder="1" applyAlignment="1">
      <alignment horizontal="center"/>
    </xf>
    <xf numFmtId="0" fontId="40" fillId="0" borderId="0" xfId="0" applyFont="1" applyAlignment="1">
      <alignment horizontal="center"/>
    </xf>
    <xf numFmtId="0" fontId="40" fillId="0" borderId="0" xfId="0" applyFont="1" applyBorder="1"/>
    <xf numFmtId="0" fontId="40" fillId="0" borderId="0" xfId="0" applyFont="1" applyFill="1" applyBorder="1" applyAlignment="1">
      <alignment horizontal="center"/>
    </xf>
    <xf numFmtId="0" fontId="40" fillId="0" borderId="7" xfId="0" applyFont="1" applyBorder="1" applyAlignment="1">
      <alignment horizontal="center"/>
    </xf>
    <xf numFmtId="165" fontId="44" fillId="0" borderId="11" xfId="1" applyNumberFormat="1" applyFont="1" applyBorder="1" applyAlignment="1">
      <alignment horizontal="center"/>
    </xf>
    <xf numFmtId="166" fontId="42" fillId="0" borderId="7" xfId="1" applyNumberFormat="1" applyFont="1" applyBorder="1" applyAlignment="1">
      <alignment horizontal="center"/>
    </xf>
    <xf numFmtId="0" fontId="40" fillId="0" borderId="14" xfId="0" applyFont="1" applyBorder="1" applyAlignment="1">
      <alignment horizontal="center"/>
    </xf>
    <xf numFmtId="0" fontId="40" fillId="14" borderId="0" xfId="0" applyFont="1" applyFill="1" applyBorder="1"/>
    <xf numFmtId="0" fontId="48" fillId="0" borderId="7" xfId="0" applyFont="1" applyFill="1" applyBorder="1"/>
    <xf numFmtId="0" fontId="41" fillId="2" borderId="0" xfId="0" applyFont="1" applyFill="1" applyBorder="1" applyAlignment="1">
      <alignment horizontal="center"/>
    </xf>
    <xf numFmtId="0" fontId="49" fillId="0" borderId="0" xfId="0" applyFont="1" applyAlignment="1"/>
    <xf numFmtId="0" fontId="42" fillId="0" borderId="0" xfId="0" applyFont="1"/>
    <xf numFmtId="0" fontId="50" fillId="3" borderId="0" xfId="0" applyFont="1" applyFill="1" applyAlignment="1">
      <alignment horizontal="center"/>
    </xf>
    <xf numFmtId="0" fontId="49" fillId="14" borderId="0" xfId="0" applyFont="1" applyFill="1" applyAlignment="1"/>
    <xf numFmtId="0" fontId="51" fillId="4" borderId="0" xfId="0" applyFont="1" applyFill="1" applyAlignment="1">
      <alignment horizontal="center"/>
    </xf>
    <xf numFmtId="0" fontId="51" fillId="4" borderId="15" xfId="0" applyFont="1" applyFill="1" applyBorder="1" applyAlignment="1"/>
    <xf numFmtId="0" fontId="52" fillId="14" borderId="0" xfId="0" applyFont="1" applyFill="1"/>
    <xf numFmtId="0" fontId="52" fillId="0" borderId="0" xfId="0" applyFont="1"/>
    <xf numFmtId="0" fontId="54" fillId="7" borderId="0" xfId="0" applyFont="1" applyFill="1" applyAlignment="1">
      <alignment horizontal="center"/>
    </xf>
    <xf numFmtId="0" fontId="55" fillId="0" borderId="0" xfId="0" applyFont="1" applyBorder="1" applyAlignment="1">
      <alignment horizontal="center"/>
    </xf>
    <xf numFmtId="0" fontId="56" fillId="0" borderId="10" xfId="0" applyFont="1" applyBorder="1" applyAlignment="1">
      <alignment horizontal="center"/>
    </xf>
    <xf numFmtId="0" fontId="57" fillId="0" borderId="0" xfId="0" applyFont="1" applyBorder="1" applyAlignment="1">
      <alignment horizontal="center"/>
    </xf>
    <xf numFmtId="0" fontId="55" fillId="0" borderId="0" xfId="0" applyFont="1" applyFill="1" applyBorder="1" applyAlignment="1">
      <alignment horizontal="center"/>
    </xf>
    <xf numFmtId="0" fontId="58" fillId="0" borderId="15" xfId="0" applyFont="1" applyBorder="1" applyAlignment="1">
      <alignment horizontal="center" vertical="center" wrapText="1"/>
    </xf>
    <xf numFmtId="0" fontId="55" fillId="0" borderId="0" xfId="0" applyFont="1" applyAlignment="1">
      <alignment horizontal="center"/>
    </xf>
    <xf numFmtId="0" fontId="52" fillId="0" borderId="0" xfId="0" applyFont="1" applyFill="1" applyBorder="1"/>
    <xf numFmtId="0" fontId="52" fillId="0" borderId="0" xfId="0" applyFont="1" applyBorder="1" applyAlignment="1">
      <alignment horizontal="center"/>
    </xf>
    <xf numFmtId="165" fontId="56" fillId="0" borderId="6" xfId="1" applyNumberFormat="1" applyFont="1" applyBorder="1" applyAlignment="1">
      <alignment horizontal="center"/>
    </xf>
    <xf numFmtId="166" fontId="54" fillId="0" borderId="0" xfId="1" applyNumberFormat="1" applyFont="1" applyBorder="1" applyAlignment="1">
      <alignment horizontal="center"/>
    </xf>
    <xf numFmtId="0" fontId="52" fillId="0" borderId="15" xfId="0" applyFont="1" applyBorder="1" applyAlignment="1">
      <alignment horizontal="center"/>
    </xf>
    <xf numFmtId="0" fontId="52" fillId="0" borderId="0" xfId="0" applyFont="1" applyAlignment="1">
      <alignment horizontal="center"/>
    </xf>
    <xf numFmtId="0" fontId="52" fillId="0" borderId="0" xfId="0" applyFont="1" applyFill="1" applyBorder="1" applyAlignment="1">
      <alignment horizontal="center"/>
    </xf>
    <xf numFmtId="0" fontId="52" fillId="0" borderId="7" xfId="0" applyFont="1" applyBorder="1"/>
    <xf numFmtId="0" fontId="52" fillId="0" borderId="7" xfId="0" applyFont="1" applyBorder="1" applyAlignment="1">
      <alignment horizontal="center"/>
    </xf>
    <xf numFmtId="165" fontId="56" fillId="0" borderId="11" xfId="1" applyNumberFormat="1" applyFont="1" applyBorder="1" applyAlignment="1">
      <alignment horizontal="center"/>
    </xf>
    <xf numFmtId="166" fontId="54" fillId="0" borderId="7" xfId="1" applyNumberFormat="1" applyFont="1" applyBorder="1" applyAlignment="1">
      <alignment horizontal="center"/>
    </xf>
    <xf numFmtId="0" fontId="52" fillId="0" borderId="14" xfId="0" applyFont="1" applyBorder="1" applyAlignment="1">
      <alignment horizontal="center"/>
    </xf>
    <xf numFmtId="0" fontId="52" fillId="14" borderId="0" xfId="0" applyFont="1" applyFill="1" applyBorder="1"/>
    <xf numFmtId="0" fontId="60" fillId="0" borderId="7" xfId="0" applyFont="1" applyFill="1" applyBorder="1"/>
    <xf numFmtId="0" fontId="61" fillId="0" borderId="0" xfId="0" applyFont="1" applyAlignment="1"/>
    <xf numFmtId="0" fontId="53" fillId="2" borderId="0" xfId="0" applyFont="1" applyFill="1" applyBorder="1" applyAlignment="1">
      <alignment horizontal="center"/>
    </xf>
    <xf numFmtId="0" fontId="54" fillId="0" borderId="0" xfId="0" applyFont="1"/>
    <xf numFmtId="0" fontId="62" fillId="3" borderId="0" xfId="0" applyFont="1" applyFill="1" applyAlignment="1">
      <alignment horizontal="center"/>
    </xf>
    <xf numFmtId="0" fontId="61" fillId="14" borderId="0" xfId="0" applyFont="1" applyFill="1" applyAlignment="1"/>
    <xf numFmtId="0" fontId="63" fillId="0" borderId="0" xfId="0" applyFont="1" applyAlignment="1">
      <alignment horizontal="center"/>
    </xf>
    <xf numFmtId="0" fontId="64" fillId="4" borderId="0" xfId="0" applyFont="1" applyFill="1" applyAlignment="1">
      <alignment horizontal="center"/>
    </xf>
    <xf numFmtId="0" fontId="64" fillId="4" borderId="15" xfId="0" applyFont="1" applyFill="1" applyBorder="1" applyAlignment="1"/>
    <xf numFmtId="0" fontId="65" fillId="14" borderId="0" xfId="0" applyFont="1" applyFill="1"/>
    <xf numFmtId="0" fontId="65" fillId="0" borderId="0" xfId="0" applyFont="1"/>
    <xf numFmtId="0" fontId="67" fillId="7" borderId="0" xfId="0" applyFont="1" applyFill="1" applyAlignment="1">
      <alignment horizontal="center"/>
    </xf>
    <xf numFmtId="0" fontId="68" fillId="0" borderId="0" xfId="0" applyFont="1" applyBorder="1" applyAlignment="1">
      <alignment horizontal="center"/>
    </xf>
    <xf numFmtId="0" fontId="69" fillId="0" borderId="10" xfId="0" applyFont="1" applyBorder="1" applyAlignment="1">
      <alignment horizontal="center"/>
    </xf>
    <xf numFmtId="0" fontId="70" fillId="0" borderId="0" xfId="0" applyFont="1" applyBorder="1" applyAlignment="1">
      <alignment horizontal="center"/>
    </xf>
    <xf numFmtId="0" fontId="68" fillId="0" borderId="0" xfId="0" applyFont="1" applyFill="1" applyBorder="1" applyAlignment="1">
      <alignment horizontal="center"/>
    </xf>
    <xf numFmtId="0" fontId="71" fillId="0" borderId="15" xfId="0" applyFont="1" applyBorder="1" applyAlignment="1">
      <alignment horizontal="center" vertical="center" wrapText="1"/>
    </xf>
    <xf numFmtId="0" fontId="68" fillId="0" borderId="0" xfId="0" applyFont="1" applyAlignment="1">
      <alignment horizontal="center"/>
    </xf>
    <xf numFmtId="0" fontId="71" fillId="0" borderId="0" xfId="0" applyFont="1" applyAlignment="1">
      <alignment horizontal="center"/>
    </xf>
    <xf numFmtId="0" fontId="65" fillId="0" borderId="0" xfId="0" applyFont="1" applyFill="1" applyBorder="1"/>
    <xf numFmtId="0" fontId="65" fillId="0" borderId="0" xfId="0" applyFont="1" applyBorder="1" applyAlignment="1">
      <alignment horizontal="center"/>
    </xf>
    <xf numFmtId="165" fontId="69" fillId="0" borderId="6" xfId="1" applyNumberFormat="1" applyFont="1" applyBorder="1" applyAlignment="1">
      <alignment horizontal="center"/>
    </xf>
    <xf numFmtId="166" fontId="67" fillId="0" borderId="0" xfId="1" applyNumberFormat="1" applyFont="1" applyBorder="1" applyAlignment="1">
      <alignment horizontal="center"/>
    </xf>
    <xf numFmtId="0" fontId="65" fillId="0" borderId="15" xfId="0" applyFont="1" applyBorder="1" applyAlignment="1">
      <alignment horizontal="center"/>
    </xf>
    <xf numFmtId="0" fontId="65" fillId="0" borderId="0" xfId="0" applyFont="1" applyAlignment="1">
      <alignment horizontal="center"/>
    </xf>
    <xf numFmtId="0" fontId="65" fillId="0" borderId="7" xfId="0" applyFont="1" applyBorder="1" applyAlignment="1">
      <alignment horizontal="center"/>
    </xf>
    <xf numFmtId="165" fontId="69" fillId="0" borderId="11" xfId="1" applyNumberFormat="1" applyFont="1" applyBorder="1" applyAlignment="1">
      <alignment horizontal="center"/>
    </xf>
    <xf numFmtId="166" fontId="67" fillId="0" borderId="7" xfId="1" applyNumberFormat="1" applyFont="1" applyBorder="1" applyAlignment="1">
      <alignment horizontal="center"/>
    </xf>
    <xf numFmtId="0" fontId="65" fillId="0" borderId="14" xfId="0" applyFont="1" applyBorder="1" applyAlignment="1">
      <alignment horizontal="center"/>
    </xf>
    <xf numFmtId="0" fontId="65" fillId="14" borderId="0" xfId="0" applyFont="1" applyFill="1" applyBorder="1"/>
    <xf numFmtId="0" fontId="72" fillId="0" borderId="0" xfId="0" applyFont="1" applyFill="1" applyBorder="1" applyAlignment="1">
      <alignment horizontal="center"/>
    </xf>
    <xf numFmtId="0" fontId="66" fillId="2" borderId="0" xfId="0" applyFont="1" applyFill="1" applyBorder="1" applyAlignment="1">
      <alignment horizontal="center"/>
    </xf>
    <xf numFmtId="0" fontId="67" fillId="0" borderId="0" xfId="0" applyFont="1"/>
    <xf numFmtId="0" fontId="74" fillId="3" borderId="0" xfId="0" applyFont="1" applyFill="1" applyAlignment="1">
      <alignment horizontal="center"/>
    </xf>
    <xf numFmtId="0" fontId="75" fillId="0" borderId="0" xfId="0" applyFont="1" applyAlignment="1"/>
    <xf numFmtId="0" fontId="75" fillId="14" borderId="0" xfId="0" applyFont="1" applyFill="1" applyAlignment="1"/>
    <xf numFmtId="14" fontId="65" fillId="0" borderId="0" xfId="0" applyNumberFormat="1" applyFont="1"/>
    <xf numFmtId="0" fontId="76" fillId="4" borderId="0" xfId="0" applyFont="1" applyFill="1" applyAlignment="1">
      <alignment horizontal="center"/>
    </xf>
    <xf numFmtId="0" fontId="76" fillId="4" borderId="15" xfId="0" applyFont="1" applyFill="1" applyBorder="1" applyAlignment="1"/>
    <xf numFmtId="0" fontId="77" fillId="14" borderId="0" xfId="0" applyFont="1" applyFill="1"/>
    <xf numFmtId="0" fontId="77" fillId="0" borderId="0" xfId="0" applyFont="1"/>
    <xf numFmtId="0" fontId="79" fillId="7" borderId="0" xfId="0" applyFont="1" applyFill="1" applyAlignment="1">
      <alignment horizontal="center"/>
    </xf>
    <xf numFmtId="0" fontId="80" fillId="0" borderId="0" xfId="0" applyFont="1" applyBorder="1" applyAlignment="1">
      <alignment horizontal="center"/>
    </xf>
    <xf numFmtId="0" fontId="82" fillId="0" borderId="0" xfId="0" applyFont="1" applyBorder="1" applyAlignment="1">
      <alignment horizontal="center"/>
    </xf>
    <xf numFmtId="0" fontId="83" fillId="0" borderId="15" xfId="0" applyFont="1" applyBorder="1" applyAlignment="1">
      <alignment horizontal="center" vertical="center" wrapText="1"/>
    </xf>
    <xf numFmtId="0" fontId="80" fillId="0" borderId="0" xfId="0" applyFont="1" applyAlignment="1">
      <alignment horizontal="center"/>
    </xf>
    <xf numFmtId="0" fontId="77" fillId="0" borderId="0" xfId="0" applyFont="1" applyFill="1" applyBorder="1"/>
    <xf numFmtId="0" fontId="77" fillId="0" borderId="0" xfId="0" applyFont="1" applyBorder="1" applyAlignment="1">
      <alignment horizontal="center"/>
    </xf>
    <xf numFmtId="166" fontId="79" fillId="0" borderId="0" xfId="1" applyNumberFormat="1" applyFont="1" applyBorder="1" applyAlignment="1">
      <alignment horizontal="center"/>
    </xf>
    <xf numFmtId="0" fontId="77" fillId="0" borderId="15" xfId="0" applyFont="1" applyBorder="1" applyAlignment="1">
      <alignment horizontal="center"/>
    </xf>
    <xf numFmtId="0" fontId="77" fillId="0" borderId="0" xfId="0" applyFont="1" applyAlignment="1">
      <alignment wrapText="1"/>
    </xf>
    <xf numFmtId="0" fontId="77" fillId="0" borderId="0" xfId="0" applyFont="1" applyAlignment="1">
      <alignment horizontal="center"/>
    </xf>
    <xf numFmtId="0" fontId="77" fillId="0" borderId="7" xfId="0" applyFont="1" applyBorder="1" applyAlignment="1">
      <alignment horizontal="center"/>
    </xf>
    <xf numFmtId="166" fontId="79" fillId="0" borderId="7" xfId="1" applyNumberFormat="1" applyFont="1" applyBorder="1" applyAlignment="1">
      <alignment horizontal="center"/>
    </xf>
    <xf numFmtId="0" fontId="77" fillId="0" borderId="14" xfId="0" applyFont="1" applyBorder="1" applyAlignment="1">
      <alignment horizontal="center"/>
    </xf>
    <xf numFmtId="0" fontId="77" fillId="14" borderId="0" xfId="0" applyFont="1" applyFill="1" applyBorder="1"/>
    <xf numFmtId="0" fontId="77" fillId="0" borderId="7" xfId="0" applyFont="1" applyFill="1" applyBorder="1"/>
    <xf numFmtId="0" fontId="84" fillId="0" borderId="7" xfId="0" applyFont="1" applyFill="1" applyBorder="1"/>
    <xf numFmtId="0" fontId="78" fillId="2" borderId="0" xfId="0" applyFont="1" applyFill="1" applyBorder="1" applyAlignment="1">
      <alignment horizontal="center"/>
    </xf>
    <xf numFmtId="0" fontId="79" fillId="0" borderId="0" xfId="0" applyFont="1"/>
    <xf numFmtId="0" fontId="86" fillId="3" borderId="0" xfId="0" applyFont="1" applyFill="1" applyAlignment="1">
      <alignment horizontal="center"/>
    </xf>
    <xf numFmtId="0" fontId="87" fillId="0" borderId="0" xfId="0" applyFont="1" applyAlignment="1"/>
    <xf numFmtId="0" fontId="87" fillId="14" borderId="0" xfId="0" applyFont="1" applyFill="1" applyAlignment="1"/>
    <xf numFmtId="0" fontId="83" fillId="0" borderId="0" xfId="0" applyFont="1" applyAlignment="1">
      <alignment horizontal="center"/>
    </xf>
    <xf numFmtId="0" fontId="0" fillId="0" borderId="0" xfId="0" applyFont="1" applyFill="1" applyBorder="1"/>
    <xf numFmtId="0" fontId="88" fillId="4" borderId="0" xfId="0" applyFont="1" applyFill="1" applyAlignment="1">
      <alignment horizontal="center"/>
    </xf>
    <xf numFmtId="0" fontId="88" fillId="4" borderId="15" xfId="0" applyFont="1" applyFill="1" applyBorder="1" applyAlignment="1"/>
    <xf numFmtId="0" fontId="89" fillId="14" borderId="0" xfId="0" applyFont="1" applyFill="1"/>
    <xf numFmtId="0" fontId="89" fillId="0" borderId="0" xfId="0" applyFont="1"/>
    <xf numFmtId="0" fontId="91" fillId="7" borderId="0" xfId="0" applyFont="1" applyFill="1" applyAlignment="1">
      <alignment horizontal="center"/>
    </xf>
    <xf numFmtId="0" fontId="92" fillId="0" borderId="0" xfId="0" applyFont="1" applyBorder="1" applyAlignment="1">
      <alignment horizontal="center"/>
    </xf>
    <xf numFmtId="0" fontId="93" fillId="0" borderId="10" xfId="0" applyFont="1" applyBorder="1" applyAlignment="1">
      <alignment horizontal="center"/>
    </xf>
    <xf numFmtId="0" fontId="94" fillId="0" borderId="0" xfId="0" applyFont="1" applyBorder="1" applyAlignment="1">
      <alignment horizontal="center"/>
    </xf>
    <xf numFmtId="0" fontId="92" fillId="0" borderId="0" xfId="0" applyFont="1" applyFill="1" applyBorder="1" applyAlignment="1">
      <alignment horizontal="center"/>
    </xf>
    <xf numFmtId="0" fontId="95" fillId="0" borderId="15" xfId="0" applyFont="1" applyBorder="1" applyAlignment="1">
      <alignment horizontal="center" vertical="center" wrapText="1"/>
    </xf>
    <xf numFmtId="0" fontId="92" fillId="0" borderId="0" xfId="0" applyFont="1" applyAlignment="1">
      <alignment horizontal="center"/>
    </xf>
    <xf numFmtId="0" fontId="95" fillId="0" borderId="0" xfId="0" applyFont="1" applyAlignment="1">
      <alignment horizontal="center"/>
    </xf>
    <xf numFmtId="0" fontId="89" fillId="0" borderId="0" xfId="0" applyFont="1" applyFill="1" applyBorder="1"/>
    <xf numFmtId="0" fontId="89" fillId="0" borderId="0" xfId="0" applyFont="1" applyBorder="1" applyAlignment="1">
      <alignment horizontal="center"/>
    </xf>
    <xf numFmtId="165" fontId="93" fillId="0" borderId="6" xfId="1" applyNumberFormat="1" applyFont="1" applyBorder="1" applyAlignment="1">
      <alignment horizontal="center"/>
    </xf>
    <xf numFmtId="166" fontId="91" fillId="0" borderId="0" xfId="1" applyNumberFormat="1" applyFont="1" applyBorder="1" applyAlignment="1">
      <alignment horizontal="center"/>
    </xf>
    <xf numFmtId="0" fontId="89" fillId="0" borderId="15" xfId="0" applyFont="1" applyBorder="1" applyAlignment="1">
      <alignment horizontal="center"/>
    </xf>
    <xf numFmtId="0" fontId="89" fillId="0" borderId="0" xfId="0" applyFont="1" applyAlignment="1">
      <alignment wrapText="1"/>
    </xf>
    <xf numFmtId="0" fontId="89" fillId="0" borderId="0" xfId="0" applyFont="1" applyAlignment="1">
      <alignment horizontal="center"/>
    </xf>
    <xf numFmtId="0" fontId="89" fillId="0" borderId="0" xfId="0" applyFont="1" applyFill="1" applyBorder="1" applyAlignment="1">
      <alignment horizontal="center"/>
    </xf>
    <xf numFmtId="166" fontId="91" fillId="0" borderId="7" xfId="1" applyNumberFormat="1" applyFont="1" applyBorder="1" applyAlignment="1">
      <alignment horizontal="center"/>
    </xf>
    <xf numFmtId="0" fontId="89" fillId="0" borderId="14" xfId="0" applyFont="1" applyBorder="1" applyAlignment="1">
      <alignment horizontal="center"/>
    </xf>
    <xf numFmtId="0" fontId="89" fillId="14" borderId="0" xfId="0" applyFont="1" applyFill="1" applyBorder="1"/>
    <xf numFmtId="0" fontId="89" fillId="0" borderId="7" xfId="0" applyFont="1" applyFill="1" applyBorder="1"/>
    <xf numFmtId="0" fontId="89" fillId="0" borderId="7" xfId="0" applyFont="1" applyBorder="1" applyAlignment="1">
      <alignment horizontal="center"/>
    </xf>
    <xf numFmtId="165" fontId="93" fillId="0" borderId="11" xfId="1" applyNumberFormat="1" applyFont="1" applyBorder="1" applyAlignment="1">
      <alignment horizontal="center"/>
    </xf>
    <xf numFmtId="0" fontId="97" fillId="0" borderId="7" xfId="0" applyFont="1" applyFill="1" applyBorder="1"/>
    <xf numFmtId="0" fontId="90" fillId="2" borderId="0" xfId="0" applyFont="1" applyFill="1" applyBorder="1" applyAlignment="1">
      <alignment horizontal="center"/>
    </xf>
    <xf numFmtId="0" fontId="98" fillId="0" borderId="0" xfId="0" applyFont="1" applyAlignment="1"/>
    <xf numFmtId="0" fontId="91" fillId="0" borderId="0" xfId="0" applyFont="1"/>
    <xf numFmtId="0" fontId="99" fillId="3" borderId="0" xfId="0" applyFont="1" applyFill="1" applyAlignment="1">
      <alignment horizontal="center"/>
    </xf>
    <xf numFmtId="0" fontId="98" fillId="14" borderId="0" xfId="0" applyFont="1" applyFill="1" applyAlignment="1"/>
    <xf numFmtId="0" fontId="100" fillId="4" borderId="0" xfId="0" applyFont="1" applyFill="1" applyAlignment="1">
      <alignment horizontal="center"/>
    </xf>
    <xf numFmtId="0" fontId="100" fillId="4" borderId="15" xfId="0" applyFont="1" applyFill="1" applyBorder="1" applyAlignment="1"/>
    <xf numFmtId="0" fontId="101" fillId="14" borderId="0" xfId="0" applyFont="1" applyFill="1"/>
    <xf numFmtId="0" fontId="101" fillId="0" borderId="0" xfId="0" applyFont="1"/>
    <xf numFmtId="0" fontId="103" fillId="7" borderId="0" xfId="0" applyFont="1" applyFill="1" applyAlignment="1">
      <alignment horizontal="center"/>
    </xf>
    <xf numFmtId="0" fontId="104" fillId="0" borderId="0" xfId="0" applyFont="1" applyBorder="1" applyAlignment="1">
      <alignment horizontal="center"/>
    </xf>
    <xf numFmtId="0" fontId="105" fillId="0" borderId="10" xfId="0" applyFont="1" applyBorder="1" applyAlignment="1">
      <alignment horizontal="center"/>
    </xf>
    <xf numFmtId="0" fontId="106" fillId="0" borderId="0" xfId="0" applyFont="1" applyBorder="1" applyAlignment="1">
      <alignment horizontal="center"/>
    </xf>
    <xf numFmtId="0" fontId="104" fillId="0" borderId="0" xfId="0" applyFont="1" applyFill="1" applyBorder="1" applyAlignment="1">
      <alignment horizontal="center"/>
    </xf>
    <xf numFmtId="0" fontId="107" fillId="0" borderId="15" xfId="0" applyFont="1" applyBorder="1" applyAlignment="1">
      <alignment horizontal="center" vertical="center" wrapText="1"/>
    </xf>
    <xf numFmtId="0" fontId="104" fillId="0" borderId="0" xfId="0" applyFont="1" applyAlignment="1">
      <alignment horizontal="center"/>
    </xf>
    <xf numFmtId="0" fontId="107" fillId="0" borderId="0" xfId="0" applyFont="1" applyAlignment="1">
      <alignment horizontal="center"/>
    </xf>
    <xf numFmtId="0" fontId="101" fillId="0" borderId="0" xfId="0" applyFont="1" applyFill="1" applyBorder="1"/>
    <xf numFmtId="0" fontId="101" fillId="0" borderId="0" xfId="0" applyFont="1" applyBorder="1" applyAlignment="1">
      <alignment horizontal="center"/>
    </xf>
    <xf numFmtId="165" fontId="105" fillId="0" borderId="6" xfId="1" applyNumberFormat="1" applyFont="1" applyBorder="1" applyAlignment="1">
      <alignment horizontal="center"/>
    </xf>
    <xf numFmtId="166" fontId="103" fillId="0" borderId="0" xfId="1" applyNumberFormat="1" applyFont="1" applyBorder="1" applyAlignment="1">
      <alignment horizontal="center"/>
    </xf>
    <xf numFmtId="0" fontId="101" fillId="0" borderId="15" xfId="0" applyFont="1" applyBorder="1" applyAlignment="1">
      <alignment horizontal="center"/>
    </xf>
    <xf numFmtId="0" fontId="101" fillId="0" borderId="0" xfId="0" applyFont="1" applyAlignment="1">
      <alignment horizontal="center"/>
    </xf>
    <xf numFmtId="0" fontId="101" fillId="0" borderId="0" xfId="0" applyFont="1" applyBorder="1"/>
    <xf numFmtId="0" fontId="101" fillId="0" borderId="7" xfId="0" applyFont="1" applyBorder="1" applyAlignment="1">
      <alignment horizontal="center"/>
    </xf>
    <xf numFmtId="165" fontId="105" fillId="0" borderId="11" xfId="1" applyNumberFormat="1" applyFont="1" applyBorder="1" applyAlignment="1">
      <alignment horizontal="center"/>
    </xf>
    <xf numFmtId="166" fontId="103" fillId="0" borderId="7" xfId="1" applyNumberFormat="1" applyFont="1" applyBorder="1" applyAlignment="1">
      <alignment horizontal="center"/>
    </xf>
    <xf numFmtId="0" fontId="101" fillId="0" borderId="14" xfId="0" applyFont="1" applyBorder="1" applyAlignment="1">
      <alignment horizontal="center"/>
    </xf>
    <xf numFmtId="0" fontId="101" fillId="14" borderId="0" xfId="0" applyFont="1" applyFill="1" applyBorder="1"/>
    <xf numFmtId="0" fontId="101" fillId="0" borderId="7" xfId="0" applyFont="1" applyFill="1" applyBorder="1"/>
    <xf numFmtId="0" fontId="109" fillId="0" borderId="7" xfId="0" applyFont="1" applyFill="1" applyBorder="1"/>
    <xf numFmtId="0" fontId="102" fillId="2" borderId="0" xfId="0" applyFont="1" applyFill="1" applyBorder="1" applyAlignment="1">
      <alignment horizontal="center"/>
    </xf>
    <xf numFmtId="0" fontId="110" fillId="0" borderId="0" xfId="0" applyFont="1" applyAlignment="1"/>
    <xf numFmtId="0" fontId="103" fillId="0" borderId="0" xfId="0" applyFont="1"/>
    <xf numFmtId="0" fontId="111" fillId="3" borderId="0" xfId="0" applyFont="1" applyFill="1" applyAlignment="1">
      <alignment horizontal="center"/>
    </xf>
    <xf numFmtId="0" fontId="110" fillId="14" borderId="0" xfId="0" applyFont="1" applyFill="1" applyAlignment="1"/>
    <xf numFmtId="0" fontId="0" fillId="0" borderId="0" xfId="0" applyFont="1" applyAlignment="1">
      <alignment horizontal="left"/>
    </xf>
    <xf numFmtId="0" fontId="0" fillId="0" borderId="0" xfId="0" applyFont="1" applyBorder="1"/>
    <xf numFmtId="0" fontId="12" fillId="0" borderId="8" xfId="0" applyFont="1" applyFill="1" applyBorder="1"/>
    <xf numFmtId="0" fontId="0" fillId="0" borderId="8" xfId="0" applyFont="1" applyBorder="1"/>
    <xf numFmtId="0" fontId="0" fillId="0" borderId="7" xfId="0" applyFont="1" applyFill="1" applyBorder="1"/>
    <xf numFmtId="0" fontId="0" fillId="0" borderId="7" xfId="0" applyFont="1" applyBorder="1"/>
    <xf numFmtId="14" fontId="0" fillId="0" borderId="0" xfId="0" applyNumberFormat="1" applyFont="1"/>
    <xf numFmtId="0" fontId="11" fillId="6" borderId="0" xfId="0" applyFont="1" applyFill="1"/>
    <xf numFmtId="0" fontId="112" fillId="0" borderId="0" xfId="0" applyFont="1"/>
    <xf numFmtId="2" fontId="0" fillId="0" borderId="0" xfId="0" applyNumberFormat="1" applyAlignment="1">
      <alignment horizontal="center"/>
    </xf>
    <xf numFmtId="165" fontId="0" fillId="0" borderId="0" xfId="0" applyNumberFormat="1" applyAlignment="1">
      <alignment horizontal="center"/>
    </xf>
    <xf numFmtId="9" fontId="0" fillId="0" borderId="0" xfId="2" applyFont="1" applyAlignment="1">
      <alignment horizontal="center"/>
    </xf>
    <xf numFmtId="2" fontId="0" fillId="0" borderId="17" xfId="0" applyNumberFormat="1" applyBorder="1" applyAlignment="1">
      <alignment horizontal="center"/>
    </xf>
    <xf numFmtId="2" fontId="0" fillId="0" borderId="14" xfId="0" applyNumberFormat="1" applyBorder="1" applyAlignment="1">
      <alignment horizontal="center"/>
    </xf>
    <xf numFmtId="0" fontId="0" fillId="0" borderId="18" xfId="0" applyBorder="1"/>
    <xf numFmtId="0" fontId="0" fillId="0" borderId="19" xfId="0" applyBorder="1"/>
    <xf numFmtId="0" fontId="0" fillId="0" borderId="20" xfId="0" applyBorder="1"/>
    <xf numFmtId="0" fontId="0" fillId="0" borderId="0" xfId="0" applyFont="1" applyAlignment="1">
      <alignment wrapText="1"/>
    </xf>
    <xf numFmtId="14" fontId="89" fillId="0" borderId="0" xfId="0" applyNumberFormat="1" applyFont="1"/>
    <xf numFmtId="164" fontId="0" fillId="0" borderId="0" xfId="5" applyFont="1"/>
    <xf numFmtId="164" fontId="3" fillId="0" borderId="5" xfId="5" applyFont="1" applyFill="1" applyBorder="1" applyAlignment="1">
      <alignment horizontal="center"/>
    </xf>
    <xf numFmtId="164" fontId="3" fillId="0" borderId="9" xfId="5" applyFont="1" applyFill="1" applyBorder="1" applyAlignment="1">
      <alignment horizontal="center"/>
    </xf>
    <xf numFmtId="164" fontId="0" fillId="0" borderId="0" xfId="5" applyFont="1" applyFill="1" applyAlignment="1">
      <alignment horizontal="center"/>
    </xf>
    <xf numFmtId="164" fontId="0" fillId="0" borderId="0" xfId="5" applyFont="1" applyAlignment="1">
      <alignment horizontal="center"/>
    </xf>
    <xf numFmtId="164" fontId="81" fillId="0" borderId="6" xfId="5" applyFont="1" applyBorder="1" applyAlignment="1">
      <alignment horizontal="center"/>
    </xf>
    <xf numFmtId="164" fontId="81" fillId="0" borderId="11" xfId="5" applyFont="1" applyBorder="1" applyAlignment="1">
      <alignment horizontal="center"/>
    </xf>
    <xf numFmtId="164" fontId="76" fillId="4" borderId="0" xfId="5" applyFont="1" applyFill="1" applyAlignment="1">
      <alignment horizontal="center"/>
    </xf>
    <xf numFmtId="164" fontId="88" fillId="4" borderId="0" xfId="5" applyFont="1" applyFill="1" applyAlignment="1">
      <alignment horizontal="center"/>
    </xf>
    <xf numFmtId="164" fontId="100" fillId="4" borderId="0" xfId="5" applyFont="1" applyFill="1" applyAlignment="1">
      <alignment horizontal="center"/>
    </xf>
    <xf numFmtId="164" fontId="51" fillId="4" borderId="0" xfId="5" applyFont="1" applyFill="1" applyAlignment="1">
      <alignment horizontal="center"/>
    </xf>
    <xf numFmtId="164" fontId="39" fillId="4" borderId="0" xfId="5" applyFont="1" applyFill="1" applyAlignment="1">
      <alignment horizontal="center"/>
    </xf>
    <xf numFmtId="164" fontId="64" fillId="4" borderId="0" xfId="5" applyFont="1" applyFill="1" applyAlignment="1">
      <alignment horizontal="center"/>
    </xf>
    <xf numFmtId="164" fontId="27" fillId="4" borderId="0" xfId="5" applyFont="1" applyFill="1" applyAlignment="1">
      <alignment horizontal="center"/>
    </xf>
    <xf numFmtId="164" fontId="8" fillId="4" borderId="0" xfId="5" applyFont="1" applyFill="1" applyAlignment="1">
      <alignment horizontal="center"/>
    </xf>
    <xf numFmtId="164" fontId="85" fillId="2" borderId="6" xfId="5" applyFont="1" applyFill="1" applyBorder="1"/>
    <xf numFmtId="164" fontId="96" fillId="2" borderId="6" xfId="5" applyFont="1" applyFill="1" applyBorder="1"/>
    <xf numFmtId="164" fontId="108" fillId="2" borderId="6" xfId="5" applyFont="1" applyFill="1" applyBorder="1"/>
    <xf numFmtId="164" fontId="59" fillId="2" borderId="6" xfId="5" applyFont="1" applyFill="1" applyBorder="1"/>
    <xf numFmtId="164" fontId="47" fillId="2" borderId="6" xfId="5" applyFont="1" applyFill="1" applyBorder="1"/>
    <xf numFmtId="164" fontId="73" fillId="2" borderId="6" xfId="5" applyFont="1" applyFill="1" applyBorder="1"/>
    <xf numFmtId="164" fontId="35" fillId="2" borderId="6" xfId="5" applyFont="1" applyFill="1" applyBorder="1"/>
    <xf numFmtId="164" fontId="14" fillId="2" borderId="6" xfId="5" applyFont="1" applyFill="1" applyBorder="1"/>
    <xf numFmtId="164" fontId="85" fillId="3" borderId="5" xfId="5" applyFont="1" applyFill="1" applyBorder="1"/>
    <xf numFmtId="164" fontId="96" fillId="3" borderId="5" xfId="5" applyFont="1" applyFill="1" applyBorder="1"/>
    <xf numFmtId="164" fontId="108" fillId="3" borderId="5" xfId="5" applyFont="1" applyFill="1" applyBorder="1"/>
    <xf numFmtId="164" fontId="59" fillId="3" borderId="5" xfId="5" applyFont="1" applyFill="1" applyBorder="1"/>
    <xf numFmtId="164" fontId="47" fillId="3" borderId="5" xfId="5" applyFont="1" applyFill="1" applyBorder="1"/>
    <xf numFmtId="164" fontId="73" fillId="3" borderId="5" xfId="5" applyFont="1" applyFill="1" applyBorder="1"/>
    <xf numFmtId="164" fontId="35" fillId="3" borderId="5" xfId="5" applyFont="1" applyFill="1" applyBorder="1"/>
    <xf numFmtId="164" fontId="14" fillId="3" borderId="5" xfId="5" applyFont="1" applyFill="1" applyBorder="1"/>
    <xf numFmtId="164" fontId="78" fillId="2" borderId="0" xfId="5" applyFont="1" applyFill="1"/>
    <xf numFmtId="164" fontId="90" fillId="2" borderId="0" xfId="5" applyFont="1" applyFill="1"/>
    <xf numFmtId="164" fontId="102" fillId="2" borderId="0" xfId="5" applyFont="1" applyFill="1"/>
    <xf numFmtId="164" fontId="53" fillId="2" borderId="0" xfId="5" applyFont="1" applyFill="1"/>
    <xf numFmtId="164" fontId="41" fillId="2" borderId="0" xfId="5" applyFont="1" applyFill="1"/>
    <xf numFmtId="164" fontId="66" fillId="2" borderId="0" xfId="5" applyFont="1" applyFill="1"/>
    <xf numFmtId="164" fontId="29" fillId="2" borderId="0" xfId="5" applyFont="1" applyFill="1"/>
    <xf numFmtId="164" fontId="5" fillId="2" borderId="0" xfId="5" applyFont="1" applyFill="1"/>
    <xf numFmtId="164" fontId="79" fillId="3" borderId="0" xfId="5" applyFont="1" applyFill="1"/>
    <xf numFmtId="164" fontId="91" fillId="3" borderId="0" xfId="5" applyFont="1" applyFill="1"/>
    <xf numFmtId="164" fontId="103" fillId="3" borderId="0" xfId="5" applyFont="1" applyFill="1"/>
    <xf numFmtId="164" fontId="54" fillId="3" borderId="0" xfId="5" applyFont="1" applyFill="1"/>
    <xf numFmtId="164" fontId="42" fillId="3" borderId="0" xfId="5" applyFont="1" applyFill="1"/>
    <xf numFmtId="164" fontId="67" fillId="3" borderId="0" xfId="5" applyFont="1" applyFill="1"/>
    <xf numFmtId="164" fontId="30" fillId="3" borderId="0" xfId="5" applyFont="1" applyFill="1"/>
    <xf numFmtId="164" fontId="7" fillId="3" borderId="0" xfId="5" applyFont="1" applyFill="1"/>
    <xf numFmtId="0" fontId="76" fillId="4" borderId="0" xfId="0" applyFont="1" applyFill="1" applyAlignment="1">
      <alignment horizontal="center"/>
    </xf>
    <xf numFmtId="0" fontId="8" fillId="4" borderId="0" xfId="0" applyFont="1" applyFill="1" applyAlignment="1">
      <alignment horizontal="center"/>
    </xf>
    <xf numFmtId="0" fontId="27" fillId="4" borderId="0" xfId="0" applyFont="1" applyFill="1" applyAlignment="1">
      <alignment horizontal="center"/>
    </xf>
    <xf numFmtId="0" fontId="64" fillId="4" borderId="0" xfId="0" applyFont="1" applyFill="1" applyAlignment="1">
      <alignment horizontal="center"/>
    </xf>
    <xf numFmtId="0" fontId="39" fillId="4" borderId="0" xfId="0" applyFont="1" applyFill="1" applyAlignment="1">
      <alignment horizontal="center"/>
    </xf>
    <xf numFmtId="0" fontId="51" fillId="4" borderId="0" xfId="0" applyFont="1" applyFill="1" applyAlignment="1">
      <alignment horizontal="center"/>
    </xf>
    <xf numFmtId="0" fontId="100" fillId="4" borderId="0" xfId="0" applyFont="1" applyFill="1" applyAlignment="1">
      <alignment horizontal="center"/>
    </xf>
    <xf numFmtId="0" fontId="88" fillId="4" borderId="0" xfId="0" applyFont="1" applyFill="1" applyAlignment="1">
      <alignment horizontal="center"/>
    </xf>
    <xf numFmtId="0" fontId="114" fillId="0" borderId="0" xfId="0" applyFont="1" applyBorder="1" applyAlignment="1">
      <alignment horizontal="center"/>
    </xf>
    <xf numFmtId="0" fontId="114" fillId="0" borderId="0" xfId="0" applyFont="1" applyFill="1" applyBorder="1" applyAlignment="1">
      <alignment horizontal="center"/>
    </xf>
    <xf numFmtId="0" fontId="114" fillId="0" borderId="7" xfId="0" applyFont="1" applyBorder="1" applyAlignment="1">
      <alignment horizontal="center"/>
    </xf>
    <xf numFmtId="0" fontId="114" fillId="0" borderId="8" xfId="0" applyFont="1" applyBorder="1" applyAlignment="1">
      <alignment horizontal="center"/>
    </xf>
    <xf numFmtId="165" fontId="2" fillId="0" borderId="0" xfId="1" applyNumberFormat="1" applyFont="1" applyFill="1" applyBorder="1" applyAlignment="1">
      <alignment horizontal="left"/>
    </xf>
    <xf numFmtId="0" fontId="12" fillId="0" borderId="0" xfId="0" applyFont="1" applyFill="1" applyBorder="1"/>
    <xf numFmtId="0" fontId="0" fillId="0" borderId="0" xfId="0" applyFont="1" applyAlignment="1">
      <alignment horizontal="center" wrapText="1"/>
    </xf>
    <xf numFmtId="0" fontId="0" fillId="0" borderId="0" xfId="0" applyFont="1" applyAlignment="1">
      <alignment horizontal="center"/>
    </xf>
    <xf numFmtId="0" fontId="0" fillId="0" borderId="0" xfId="0" applyFont="1" applyFill="1" applyBorder="1" applyAlignment="1">
      <alignment horizontal="center" wrapText="1"/>
    </xf>
    <xf numFmtId="0" fontId="0" fillId="0" borderId="0" xfId="0" applyFont="1" applyFill="1" applyBorder="1" applyAlignment="1">
      <alignment horizontal="center"/>
    </xf>
    <xf numFmtId="0" fontId="0" fillId="0" borderId="0" xfId="0" applyFont="1" applyBorder="1" applyAlignment="1">
      <alignment horizontal="center"/>
    </xf>
    <xf numFmtId="164" fontId="28" fillId="0" borderId="0" xfId="5" applyFont="1" applyAlignment="1">
      <alignment horizontal="center"/>
    </xf>
    <xf numFmtId="0" fontId="0" fillId="13" borderId="0" xfId="0" applyFill="1"/>
    <xf numFmtId="0" fontId="24" fillId="13" borderId="0" xfId="0" applyFont="1" applyFill="1"/>
    <xf numFmtId="164" fontId="4" fillId="13" borderId="6" xfId="5" applyFont="1" applyFill="1" applyBorder="1" applyAlignment="1">
      <alignment horizontal="center"/>
    </xf>
    <xf numFmtId="164" fontId="0" fillId="0" borderId="0" xfId="5" applyFont="1" applyAlignment="1">
      <alignment horizontal="center"/>
    </xf>
    <xf numFmtId="164" fontId="115" fillId="0" borderId="0" xfId="5" applyFont="1" applyBorder="1" applyAlignment="1">
      <alignment horizontal="center"/>
    </xf>
    <xf numFmtId="164" fontId="115" fillId="0" borderId="7" xfId="5" applyFont="1" applyBorder="1" applyAlignment="1">
      <alignment horizontal="center"/>
    </xf>
    <xf numFmtId="0" fontId="0" fillId="0" borderId="21" xfId="0" applyBorder="1"/>
    <xf numFmtId="0" fontId="32" fillId="0" borderId="2" xfId="0" applyFont="1" applyBorder="1"/>
    <xf numFmtId="0" fontId="93" fillId="0" borderId="2" xfId="0" applyFont="1" applyBorder="1"/>
    <xf numFmtId="0" fontId="69" fillId="0" borderId="2" xfId="0" applyFont="1" applyBorder="1"/>
    <xf numFmtId="0" fontId="44" fillId="0" borderId="2" xfId="0" applyFont="1" applyBorder="1"/>
    <xf numFmtId="0" fontId="81" fillId="0" borderId="2" xfId="0" applyFont="1" applyBorder="1"/>
    <xf numFmtId="0" fontId="105" fillId="0" borderId="2" xfId="0" applyFont="1" applyBorder="1"/>
    <xf numFmtId="0" fontId="56" fillId="0" borderId="2" xfId="0" applyFont="1" applyBorder="1"/>
    <xf numFmtId="0" fontId="17" fillId="0" borderId="2" xfId="0" applyFont="1" applyBorder="1"/>
    <xf numFmtId="0" fontId="66" fillId="4" borderId="0" xfId="0" applyFont="1" applyFill="1" applyAlignment="1"/>
    <xf numFmtId="0" fontId="90" fillId="4" borderId="0" xfId="0" applyFont="1" applyFill="1" applyAlignment="1"/>
    <xf numFmtId="0" fontId="41" fillId="4" borderId="0" xfId="0" applyFont="1" applyFill="1" applyAlignment="1"/>
    <xf numFmtId="0" fontId="78" fillId="4" borderId="0" xfId="0" applyFont="1" applyFill="1" applyAlignment="1"/>
    <xf numFmtId="0" fontId="102" fillId="4" borderId="0" xfId="0" applyFont="1" applyFill="1" applyAlignment="1"/>
    <xf numFmtId="0" fontId="53" fillId="4" borderId="0" xfId="0" applyFont="1" applyFill="1" applyAlignment="1"/>
    <xf numFmtId="0" fontId="5" fillId="4" borderId="0" xfId="0" applyFont="1" applyFill="1" applyAlignment="1"/>
    <xf numFmtId="0" fontId="29" fillId="4" borderId="0" xfId="0" applyFont="1" applyFill="1" applyAlignment="1"/>
    <xf numFmtId="0" fontId="66" fillId="5" borderId="0" xfId="0" applyFont="1" applyFill="1" applyAlignment="1"/>
    <xf numFmtId="0" fontId="90" fillId="5" borderId="0" xfId="0" applyFont="1" applyFill="1" applyAlignment="1"/>
    <xf numFmtId="0" fontId="41" fillId="5" borderId="0" xfId="0" applyFont="1" applyFill="1" applyAlignment="1"/>
    <xf numFmtId="0" fontId="78" fillId="5" borderId="0" xfId="0" applyFont="1" applyFill="1" applyAlignment="1"/>
    <xf numFmtId="0" fontId="102" fillId="5" borderId="0" xfId="0" applyFont="1" applyFill="1" applyAlignment="1"/>
    <xf numFmtId="0" fontId="53" fillId="5" borderId="0" xfId="0" applyFont="1" applyFill="1" applyAlignment="1"/>
    <xf numFmtId="0" fontId="5" fillId="5" borderId="0" xfId="0" applyFont="1" applyFill="1" applyAlignment="1"/>
    <xf numFmtId="0" fontId="29" fillId="5" borderId="0" xfId="0" applyFont="1" applyFill="1" applyAlignment="1"/>
    <xf numFmtId="0" fontId="66" fillId="0" borderId="0" xfId="0" applyFont="1" applyFill="1" applyAlignment="1"/>
    <xf numFmtId="0" fontId="90" fillId="0" borderId="0" xfId="0" applyFont="1" applyFill="1" applyAlignment="1"/>
    <xf numFmtId="0" fontId="41" fillId="0" borderId="0" xfId="0" applyFont="1" applyFill="1" applyAlignment="1"/>
    <xf numFmtId="0" fontId="78" fillId="0" borderId="0" xfId="0" applyFont="1" applyFill="1" applyAlignment="1"/>
    <xf numFmtId="0" fontId="102" fillId="0" borderId="0" xfId="0" applyFont="1" applyFill="1" applyAlignment="1"/>
    <xf numFmtId="0" fontId="53" fillId="0" borderId="0" xfId="0" applyFont="1" applyFill="1" applyAlignment="1"/>
    <xf numFmtId="0" fontId="5" fillId="0" borderId="0" xfId="0" applyFont="1" applyFill="1" applyAlignment="1"/>
    <xf numFmtId="0" fontId="29" fillId="0" borderId="0" xfId="0" applyFont="1" applyFill="1" applyAlignment="1"/>
    <xf numFmtId="0" fontId="10" fillId="0" borderId="0" xfId="0" applyFont="1" applyAlignment="1"/>
    <xf numFmtId="0" fontId="32" fillId="0" borderId="0" xfId="0" applyFont="1" applyBorder="1" applyAlignment="1">
      <alignment horizontal="center"/>
    </xf>
    <xf numFmtId="0" fontId="30" fillId="0" borderId="0" xfId="0" applyFont="1" applyAlignment="1">
      <alignment horizontal="center"/>
    </xf>
    <xf numFmtId="0" fontId="12" fillId="0" borderId="0" xfId="0" applyFont="1" applyAlignment="1">
      <alignment horizontal="center"/>
    </xf>
    <xf numFmtId="0" fontId="117" fillId="0" borderId="4" xfId="0" applyFont="1" applyFill="1" applyBorder="1" applyAlignment="1">
      <alignment horizontal="center"/>
    </xf>
    <xf numFmtId="164" fontId="118" fillId="0" borderId="4" xfId="5" applyFont="1" applyFill="1" applyBorder="1" applyAlignment="1">
      <alignment horizontal="center"/>
    </xf>
    <xf numFmtId="164" fontId="12" fillId="0" borderId="4" xfId="5" applyFont="1" applyFill="1" applyBorder="1" applyAlignment="1">
      <alignment horizontal="center"/>
    </xf>
    <xf numFmtId="0" fontId="24" fillId="0" borderId="22" xfId="0" applyFont="1" applyBorder="1" applyAlignment="1">
      <alignment horizontal="center"/>
    </xf>
    <xf numFmtId="0" fontId="119" fillId="0" borderId="5" xfId="0" applyFont="1" applyFill="1" applyBorder="1" applyAlignment="1">
      <alignment horizontal="center"/>
    </xf>
    <xf numFmtId="164" fontId="119" fillId="0" borderId="5" xfId="5" applyFont="1" applyFill="1" applyBorder="1" applyAlignment="1">
      <alignment horizontal="center"/>
    </xf>
    <xf numFmtId="0" fontId="31" fillId="0" borderId="1" xfId="0" applyFont="1" applyBorder="1" applyAlignment="1">
      <alignment horizontal="center"/>
    </xf>
    <xf numFmtId="0" fontId="31" fillId="0" borderId="2" xfId="0" applyFont="1" applyBorder="1" applyAlignment="1">
      <alignment horizontal="center"/>
    </xf>
    <xf numFmtId="0" fontId="32" fillId="0" borderId="2" xfId="0" applyFont="1" applyBorder="1" applyAlignment="1">
      <alignment horizontal="center"/>
    </xf>
    <xf numFmtId="0" fontId="33" fillId="0" borderId="2" xfId="0" applyFont="1" applyBorder="1" applyAlignment="1">
      <alignment horizontal="center"/>
    </xf>
    <xf numFmtId="0" fontId="31" fillId="0" borderId="2" xfId="0" applyFont="1" applyFill="1" applyBorder="1" applyAlignment="1">
      <alignment horizontal="center"/>
    </xf>
    <xf numFmtId="0" fontId="20" fillId="0" borderId="23" xfId="0" applyFont="1" applyBorder="1" applyAlignment="1">
      <alignment horizontal="center" vertical="center" wrapText="1"/>
    </xf>
    <xf numFmtId="0" fontId="92" fillId="0" borderId="1" xfId="0" applyFont="1" applyBorder="1" applyAlignment="1">
      <alignment horizontal="center"/>
    </xf>
    <xf numFmtId="0" fontId="92" fillId="0" borderId="2" xfId="0" applyFont="1" applyBorder="1" applyAlignment="1">
      <alignment horizontal="center"/>
    </xf>
    <xf numFmtId="0" fontId="93" fillId="0" borderId="2" xfId="0" applyFont="1" applyBorder="1" applyAlignment="1">
      <alignment horizontal="center"/>
    </xf>
    <xf numFmtId="0" fontId="94" fillId="0" borderId="2" xfId="0" applyFont="1" applyBorder="1" applyAlignment="1">
      <alignment horizontal="center"/>
    </xf>
    <xf numFmtId="0" fontId="92" fillId="0" borderId="2" xfId="0" applyFont="1" applyFill="1" applyBorder="1" applyAlignment="1">
      <alignment horizontal="center"/>
    </xf>
    <xf numFmtId="0" fontId="95" fillId="0" borderId="23" xfId="0" applyFont="1" applyBorder="1" applyAlignment="1">
      <alignment horizontal="center" vertical="center" wrapText="1"/>
    </xf>
    <xf numFmtId="0" fontId="68" fillId="0" borderId="1" xfId="0" applyFont="1" applyBorder="1" applyAlignment="1">
      <alignment horizontal="center"/>
    </xf>
    <xf numFmtId="0" fontId="68" fillId="0" borderId="2" xfId="0" applyFont="1" applyBorder="1" applyAlignment="1">
      <alignment horizontal="center"/>
    </xf>
    <xf numFmtId="0" fontId="69" fillId="0" borderId="2" xfId="0" applyFont="1" applyBorder="1" applyAlignment="1">
      <alignment horizontal="center"/>
    </xf>
    <xf numFmtId="0" fontId="70" fillId="0" borderId="2" xfId="0" applyFont="1" applyBorder="1" applyAlignment="1">
      <alignment horizontal="center"/>
    </xf>
    <xf numFmtId="0" fontId="68" fillId="0" borderId="2" xfId="0" applyFont="1" applyFill="1" applyBorder="1" applyAlignment="1">
      <alignment horizontal="center"/>
    </xf>
    <xf numFmtId="0" fontId="71" fillId="0" borderId="23" xfId="0" applyFont="1" applyBorder="1" applyAlignment="1">
      <alignment horizontal="center" vertical="center" wrapText="1"/>
    </xf>
    <xf numFmtId="0" fontId="43" fillId="0" borderId="1" xfId="0" applyFont="1" applyBorder="1" applyAlignment="1">
      <alignment horizontal="center"/>
    </xf>
    <xf numFmtId="0" fontId="43" fillId="0" borderId="2" xfId="0" applyFont="1" applyBorder="1" applyAlignment="1">
      <alignment horizontal="center"/>
    </xf>
    <xf numFmtId="0" fontId="44" fillId="0" borderId="2" xfId="0" applyFont="1" applyBorder="1" applyAlignment="1">
      <alignment horizontal="center"/>
    </xf>
    <xf numFmtId="0" fontId="45" fillId="0" borderId="2" xfId="0" applyFont="1" applyBorder="1" applyAlignment="1">
      <alignment horizontal="center"/>
    </xf>
    <xf numFmtId="0" fontId="43" fillId="0" borderId="2" xfId="0" applyFont="1" applyFill="1" applyBorder="1" applyAlignment="1">
      <alignment horizontal="center"/>
    </xf>
    <xf numFmtId="0" fontId="46" fillId="0" borderId="23" xfId="0" applyFont="1" applyBorder="1" applyAlignment="1">
      <alignment horizontal="center" vertical="center" wrapText="1"/>
    </xf>
    <xf numFmtId="0" fontId="80" fillId="0" borderId="1" xfId="0" applyFont="1" applyBorder="1" applyAlignment="1">
      <alignment horizontal="center"/>
    </xf>
    <xf numFmtId="0" fontId="80" fillId="0" borderId="2" xfId="0" applyFont="1" applyBorder="1" applyAlignment="1">
      <alignment horizontal="center"/>
    </xf>
    <xf numFmtId="0" fontId="6" fillId="0" borderId="2" xfId="0" applyFont="1" applyBorder="1" applyAlignment="1">
      <alignment horizontal="center"/>
    </xf>
    <xf numFmtId="0" fontId="16" fillId="0" borderId="2" xfId="0" applyFont="1" applyBorder="1" applyAlignment="1">
      <alignment horizontal="center"/>
    </xf>
    <xf numFmtId="0" fontId="82" fillId="0" borderId="2" xfId="0" applyFont="1" applyBorder="1" applyAlignment="1">
      <alignment horizontal="center"/>
    </xf>
    <xf numFmtId="0" fontId="6" fillId="0" borderId="2" xfId="0" applyFont="1" applyFill="1" applyBorder="1" applyAlignment="1">
      <alignment horizontal="center"/>
    </xf>
    <xf numFmtId="0" fontId="83" fillId="0" borderId="23" xfId="0" applyFont="1" applyBorder="1" applyAlignment="1">
      <alignment horizontal="center" vertical="center" wrapText="1"/>
    </xf>
    <xf numFmtId="0" fontId="104" fillId="0" borderId="1" xfId="0" applyFont="1" applyBorder="1" applyAlignment="1">
      <alignment horizontal="center"/>
    </xf>
    <xf numFmtId="0" fontId="104" fillId="0" borderId="2" xfId="0" applyFont="1" applyBorder="1" applyAlignment="1">
      <alignment horizontal="center"/>
    </xf>
    <xf numFmtId="0" fontId="105" fillId="0" borderId="2" xfId="0" applyFont="1" applyBorder="1" applyAlignment="1">
      <alignment horizontal="center"/>
    </xf>
    <xf numFmtId="0" fontId="106" fillId="0" borderId="2" xfId="0" applyFont="1" applyBorder="1" applyAlignment="1">
      <alignment horizontal="center"/>
    </xf>
    <xf numFmtId="0" fontId="104" fillId="0" borderId="2" xfId="0" applyFont="1" applyFill="1" applyBorder="1" applyAlignment="1">
      <alignment horizontal="center"/>
    </xf>
    <xf numFmtId="0" fontId="107" fillId="0" borderId="23" xfId="0" applyFont="1" applyBorder="1" applyAlignment="1">
      <alignment horizontal="center" vertical="center" wrapText="1"/>
    </xf>
    <xf numFmtId="0" fontId="55" fillId="0" borderId="1" xfId="0" applyFont="1" applyBorder="1" applyAlignment="1">
      <alignment horizontal="center"/>
    </xf>
    <xf numFmtId="0" fontId="55" fillId="0" borderId="2" xfId="0" applyFont="1" applyBorder="1" applyAlignment="1">
      <alignment horizontal="center"/>
    </xf>
    <xf numFmtId="0" fontId="56" fillId="0" borderId="2" xfId="0" applyFont="1" applyBorder="1" applyAlignment="1">
      <alignment horizontal="center"/>
    </xf>
    <xf numFmtId="0" fontId="57" fillId="0" borderId="2" xfId="0" applyFont="1" applyBorder="1" applyAlignment="1">
      <alignment horizontal="center"/>
    </xf>
    <xf numFmtId="0" fontId="55" fillId="0" borderId="2" xfId="0" applyFont="1" applyFill="1" applyBorder="1" applyAlignment="1">
      <alignment horizontal="center"/>
    </xf>
    <xf numFmtId="0" fontId="58" fillId="0" borderId="23" xfId="0" applyFont="1" applyBorder="1" applyAlignment="1">
      <alignment horizontal="center" vertical="center" wrapText="1"/>
    </xf>
    <xf numFmtId="0" fontId="6" fillId="0" borderId="1" xfId="0" applyFont="1" applyBorder="1" applyAlignment="1">
      <alignment horizontal="center"/>
    </xf>
    <xf numFmtId="0" fontId="26" fillId="0" borderId="2" xfId="0" applyFont="1" applyBorder="1" applyAlignment="1">
      <alignment horizontal="center"/>
    </xf>
    <xf numFmtId="0" fontId="117" fillId="0" borderId="3" xfId="0" applyFont="1" applyFill="1" applyBorder="1" applyAlignment="1">
      <alignment horizontal="center"/>
    </xf>
    <xf numFmtId="166" fontId="30" fillId="0" borderId="4" xfId="1" applyNumberFormat="1" applyFont="1" applyBorder="1" applyAlignment="1">
      <alignment horizontal="center"/>
    </xf>
    <xf numFmtId="166" fontId="91" fillId="0" borderId="4" xfId="1" applyNumberFormat="1" applyFont="1" applyBorder="1" applyAlignment="1">
      <alignment horizontal="center"/>
    </xf>
    <xf numFmtId="166" fontId="67" fillId="0" borderId="4" xfId="1" applyNumberFormat="1" applyFont="1" applyBorder="1" applyAlignment="1">
      <alignment horizontal="center"/>
    </xf>
    <xf numFmtId="166" fontId="42" fillId="0" borderId="4" xfId="1" applyNumberFormat="1" applyFont="1" applyBorder="1" applyAlignment="1">
      <alignment horizontal="center"/>
    </xf>
    <xf numFmtId="166" fontId="79" fillId="0" borderId="4" xfId="1" applyNumberFormat="1" applyFont="1" applyBorder="1" applyAlignment="1">
      <alignment horizontal="center"/>
    </xf>
    <xf numFmtId="166" fontId="103" fillId="0" borderId="4" xfId="1" applyNumberFormat="1" applyFont="1" applyBorder="1" applyAlignment="1">
      <alignment horizontal="center"/>
    </xf>
    <xf numFmtId="166" fontId="54" fillId="0" borderId="4" xfId="1" applyNumberFormat="1" applyFont="1" applyBorder="1" applyAlignment="1">
      <alignment horizontal="center"/>
    </xf>
    <xf numFmtId="166" fontId="7" fillId="0" borderId="4" xfId="1" applyNumberFormat="1" applyFont="1" applyBorder="1" applyAlignment="1">
      <alignment horizontal="center"/>
    </xf>
    <xf numFmtId="14" fontId="77" fillId="0" borderId="0" xfId="0" applyNumberFormat="1" applyFont="1"/>
    <xf numFmtId="14" fontId="101" fillId="0" borderId="0" xfId="0" applyNumberFormat="1" applyFont="1"/>
    <xf numFmtId="14" fontId="40" fillId="0" borderId="0" xfId="0" applyNumberFormat="1" applyFont="1"/>
    <xf numFmtId="14" fontId="52" fillId="0" borderId="0" xfId="0" applyNumberFormat="1" applyFont="1"/>
    <xf numFmtId="14" fontId="0" fillId="0" borderId="0" xfId="0" applyNumberFormat="1"/>
    <xf numFmtId="0" fontId="23" fillId="0" borderId="27" xfId="0" applyFont="1" applyBorder="1" applyAlignment="1">
      <alignment horizontal="center"/>
    </xf>
    <xf numFmtId="0" fontId="0" fillId="0" borderId="24" xfId="0" applyBorder="1" applyAlignment="1">
      <alignment horizontal="center"/>
    </xf>
    <xf numFmtId="0" fontId="0" fillId="0" borderId="28" xfId="0"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23" fillId="0" borderId="28" xfId="0" applyFont="1" applyBorder="1" applyAlignment="1">
      <alignment horizontal="center"/>
    </xf>
    <xf numFmtId="0" fontId="23" fillId="0" borderId="29" xfId="0" applyFont="1" applyBorder="1" applyAlignment="1">
      <alignment horizontal="center"/>
    </xf>
    <xf numFmtId="0" fontId="120" fillId="18" borderId="24" xfId="0" applyFont="1" applyFill="1"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120" fillId="14" borderId="38" xfId="0" applyFont="1" applyFill="1" applyBorder="1" applyAlignment="1">
      <alignment horizontal="center"/>
    </xf>
    <xf numFmtId="0" fontId="0" fillId="0" borderId="38" xfId="0" applyBorder="1" applyAlignment="1">
      <alignment horizontal="center"/>
    </xf>
    <xf numFmtId="0" fontId="0" fillId="0" borderId="39" xfId="0" applyBorder="1" applyAlignment="1">
      <alignment horizontal="center"/>
    </xf>
    <xf numFmtId="0" fontId="23" fillId="0" borderId="35" xfId="0" applyFont="1" applyBorder="1" applyAlignment="1">
      <alignment horizontal="center"/>
    </xf>
    <xf numFmtId="0" fontId="120" fillId="19" borderId="41" xfId="0" applyFont="1" applyFill="1"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14" fontId="28" fillId="0" borderId="0" xfId="0" applyNumberFormat="1" applyFont="1"/>
    <xf numFmtId="165" fontId="113" fillId="13" borderId="16" xfId="1" applyFont="1" applyFill="1" applyBorder="1" applyAlignment="1">
      <alignment horizontal="center"/>
    </xf>
    <xf numFmtId="0" fontId="77" fillId="0" borderId="0" xfId="0" applyFont="1" applyBorder="1"/>
    <xf numFmtId="0" fontId="64" fillId="4" borderId="0" xfId="0" applyFont="1" applyFill="1" applyAlignment="1">
      <alignment horizontal="center"/>
    </xf>
    <xf numFmtId="0" fontId="66" fillId="2" borderId="0" xfId="0" applyFont="1" applyFill="1" applyBorder="1" applyAlignment="1">
      <alignment horizontal="center"/>
    </xf>
    <xf numFmtId="0" fontId="74" fillId="3" borderId="0" xfId="0" applyFont="1" applyFill="1" applyAlignment="1">
      <alignment horizontal="center"/>
    </xf>
    <xf numFmtId="0" fontId="121" fillId="0" borderId="43" xfId="0" applyFont="1" applyBorder="1" applyAlignment="1">
      <alignment horizontal="left" vertical="center" indent="1"/>
    </xf>
    <xf numFmtId="0" fontId="22" fillId="12" borderId="0" xfId="0" applyFont="1" applyFill="1" applyAlignment="1">
      <alignment horizontal="center"/>
    </xf>
    <xf numFmtId="0" fontId="21" fillId="0" borderId="0" xfId="0" applyFont="1" applyAlignment="1">
      <alignment horizontal="center"/>
    </xf>
    <xf numFmtId="164" fontId="3" fillId="0" borderId="1" xfId="5" applyFont="1" applyBorder="1" applyAlignment="1">
      <alignment horizontal="center"/>
    </xf>
    <xf numFmtId="164" fontId="3" fillId="0" borderId="13" xfId="5" applyFont="1" applyBorder="1" applyAlignment="1">
      <alignment horizontal="center"/>
    </xf>
    <xf numFmtId="164" fontId="23" fillId="0" borderId="0" xfId="5" applyFont="1" applyBorder="1" applyAlignment="1">
      <alignment horizontal="center"/>
    </xf>
    <xf numFmtId="164" fontId="23" fillId="0" borderId="0" xfId="5" applyFont="1" applyAlignment="1">
      <alignment horizontal="center"/>
    </xf>
    <xf numFmtId="0" fontId="22" fillId="16" borderId="0" xfId="0" applyFont="1" applyFill="1" applyAlignment="1">
      <alignment horizontal="center" vertical="center" textRotation="90"/>
    </xf>
    <xf numFmtId="0" fontId="6" fillId="9" borderId="8" xfId="0" applyFont="1" applyFill="1" applyBorder="1" applyAlignment="1">
      <alignment horizontal="center" vertical="center"/>
    </xf>
    <xf numFmtId="0" fontId="6" fillId="9" borderId="7" xfId="0" applyFont="1" applyFill="1" applyBorder="1" applyAlignment="1">
      <alignment horizontal="center" vertical="center"/>
    </xf>
    <xf numFmtId="0" fontId="6" fillId="11" borderId="0" xfId="0" applyFont="1" applyFill="1" applyBorder="1" applyAlignment="1">
      <alignment horizontal="center" vertical="center" textRotation="90"/>
    </xf>
    <xf numFmtId="0" fontId="6" fillId="11" borderId="7" xfId="0" applyFont="1" applyFill="1" applyBorder="1" applyAlignment="1">
      <alignment horizontal="center" vertical="center" textRotation="90"/>
    </xf>
    <xf numFmtId="0" fontId="19" fillId="10" borderId="0" xfId="0" applyFont="1" applyFill="1" applyAlignment="1">
      <alignment horizontal="center"/>
    </xf>
    <xf numFmtId="0" fontId="6" fillId="8" borderId="8" xfId="0" applyFont="1" applyFill="1" applyBorder="1" applyAlignment="1">
      <alignment horizontal="center" vertical="center" textRotation="90"/>
    </xf>
    <xf numFmtId="0" fontId="6" fillId="8" borderId="0" xfId="0" applyFont="1" applyFill="1" applyBorder="1" applyAlignment="1">
      <alignment horizontal="center" vertical="center" textRotation="90"/>
    </xf>
    <xf numFmtId="0" fontId="6" fillId="8" borderId="7" xfId="0" applyFont="1" applyFill="1" applyBorder="1" applyAlignment="1">
      <alignment horizontal="center" vertical="center" textRotation="90"/>
    </xf>
    <xf numFmtId="0" fontId="116" fillId="15" borderId="10" xfId="0" applyFont="1" applyFill="1" applyBorder="1" applyAlignment="1">
      <alignment horizontal="center" vertical="center" wrapText="1"/>
    </xf>
    <xf numFmtId="0" fontId="116" fillId="15" borderId="5" xfId="0" applyFont="1" applyFill="1" applyBorder="1" applyAlignment="1">
      <alignment horizontal="center" vertical="center" wrapText="1"/>
    </xf>
    <xf numFmtId="14" fontId="117" fillId="0" borderId="5" xfId="0" applyNumberFormat="1" applyFont="1" applyFill="1" applyBorder="1" applyAlignment="1">
      <alignment horizontal="center"/>
    </xf>
    <xf numFmtId="0" fontId="117" fillId="0" borderId="5" xfId="0" applyFont="1" applyFill="1" applyBorder="1" applyAlignment="1">
      <alignment horizontal="center"/>
    </xf>
    <xf numFmtId="0" fontId="8" fillId="4" borderId="0" xfId="0" applyFont="1" applyFill="1" applyAlignment="1">
      <alignment horizontal="center"/>
    </xf>
    <xf numFmtId="0" fontId="14" fillId="5" borderId="8" xfId="0" applyFont="1" applyFill="1" applyBorder="1" applyAlignment="1">
      <alignment horizontal="center" vertical="center"/>
    </xf>
    <xf numFmtId="0" fontId="14" fillId="5" borderId="0" xfId="0" applyFont="1" applyFill="1" applyBorder="1" applyAlignment="1">
      <alignment horizontal="center" vertical="center"/>
    </xf>
    <xf numFmtId="0" fontId="5" fillId="2" borderId="0" xfId="0" applyFont="1" applyFill="1" applyBorder="1" applyAlignment="1">
      <alignment horizontal="center"/>
    </xf>
    <xf numFmtId="0" fontId="9" fillId="3" borderId="0" xfId="0" applyFont="1" applyFill="1" applyAlignment="1">
      <alignment horizontal="center"/>
    </xf>
    <xf numFmtId="0" fontId="10" fillId="0" borderId="0" xfId="0" applyFont="1" applyAlignment="1">
      <alignment horizontal="center"/>
    </xf>
    <xf numFmtId="0" fontId="55" fillId="11" borderId="0" xfId="0" applyFont="1" applyFill="1" applyBorder="1" applyAlignment="1">
      <alignment horizontal="center" vertical="center" textRotation="90"/>
    </xf>
    <xf numFmtId="0" fontId="55" fillId="11" borderId="7" xfId="0" applyFont="1" applyFill="1" applyBorder="1" applyAlignment="1">
      <alignment horizontal="center" vertical="center" textRotation="90"/>
    </xf>
    <xf numFmtId="0" fontId="54" fillId="10" borderId="0" xfId="0" applyFont="1" applyFill="1" applyAlignment="1">
      <alignment horizontal="center"/>
    </xf>
    <xf numFmtId="0" fontId="55" fillId="8" borderId="8" xfId="0" applyFont="1" applyFill="1" applyBorder="1" applyAlignment="1">
      <alignment horizontal="center" vertical="center" textRotation="90"/>
    </xf>
    <xf numFmtId="0" fontId="55" fillId="8" borderId="0" xfId="0" applyFont="1" applyFill="1" applyBorder="1" applyAlignment="1">
      <alignment horizontal="center" vertical="center" textRotation="90"/>
    </xf>
    <xf numFmtId="0" fontId="55" fillId="8" borderId="7" xfId="0" applyFont="1" applyFill="1" applyBorder="1" applyAlignment="1">
      <alignment horizontal="center" vertical="center" textRotation="90"/>
    </xf>
    <xf numFmtId="0" fontId="55" fillId="9" borderId="8" xfId="0" applyFont="1" applyFill="1" applyBorder="1" applyAlignment="1">
      <alignment horizontal="center" vertical="center"/>
    </xf>
    <xf numFmtId="0" fontId="55" fillId="9" borderId="7" xfId="0" applyFont="1" applyFill="1" applyBorder="1" applyAlignment="1">
      <alignment horizontal="center" vertical="center"/>
    </xf>
    <xf numFmtId="0" fontId="51" fillId="4" borderId="0" xfId="0" applyFont="1" applyFill="1" applyAlignment="1">
      <alignment horizontal="center"/>
    </xf>
    <xf numFmtId="0" fontId="59" fillId="5" borderId="8" xfId="0" applyFont="1" applyFill="1" applyBorder="1" applyAlignment="1">
      <alignment horizontal="center" vertical="center"/>
    </xf>
    <xf numFmtId="0" fontId="59" fillId="5" borderId="0" xfId="0" applyFont="1" applyFill="1" applyBorder="1" applyAlignment="1">
      <alignment horizontal="center" vertical="center"/>
    </xf>
    <xf numFmtId="0" fontId="53" fillId="2" borderId="0" xfId="0" applyFont="1" applyFill="1" applyBorder="1" applyAlignment="1">
      <alignment horizontal="center"/>
    </xf>
    <xf numFmtId="0" fontId="62" fillId="3" borderId="0" xfId="0" applyFont="1" applyFill="1" applyAlignment="1">
      <alignment horizontal="center"/>
    </xf>
    <xf numFmtId="0" fontId="61" fillId="0" borderId="0" xfId="0" applyFont="1" applyAlignment="1">
      <alignment horizontal="center"/>
    </xf>
    <xf numFmtId="0" fontId="31" fillId="11" borderId="0" xfId="0" applyFont="1" applyFill="1" applyBorder="1" applyAlignment="1">
      <alignment horizontal="center" vertical="center" textRotation="90"/>
    </xf>
    <xf numFmtId="0" fontId="31" fillId="11" borderId="7" xfId="0" applyFont="1" applyFill="1" applyBorder="1" applyAlignment="1">
      <alignment horizontal="center" vertical="center" textRotation="90"/>
    </xf>
    <xf numFmtId="0" fontId="30" fillId="10" borderId="0" xfId="0" applyFont="1" applyFill="1" applyAlignment="1">
      <alignment horizontal="center"/>
    </xf>
    <xf numFmtId="0" fontId="31" fillId="8" borderId="8" xfId="0" applyFont="1" applyFill="1" applyBorder="1" applyAlignment="1">
      <alignment horizontal="center" vertical="center" textRotation="90"/>
    </xf>
    <xf numFmtId="0" fontId="31" fillId="8" borderId="0" xfId="0" applyFont="1" applyFill="1" applyBorder="1" applyAlignment="1">
      <alignment horizontal="center" vertical="center" textRotation="90"/>
    </xf>
    <xf numFmtId="0" fontId="31" fillId="8" borderId="7" xfId="0" applyFont="1" applyFill="1" applyBorder="1" applyAlignment="1">
      <alignment horizontal="center" vertical="center" textRotation="90"/>
    </xf>
    <xf numFmtId="0" fontId="31" fillId="9" borderId="8" xfId="0" applyFont="1" applyFill="1" applyBorder="1" applyAlignment="1">
      <alignment horizontal="center" vertical="center"/>
    </xf>
    <xf numFmtId="0" fontId="31" fillId="9" borderId="7" xfId="0" applyFont="1" applyFill="1" applyBorder="1" applyAlignment="1">
      <alignment horizontal="center" vertical="center"/>
    </xf>
    <xf numFmtId="0" fontId="27" fillId="4" borderId="0" xfId="0" applyFont="1" applyFill="1" applyAlignment="1">
      <alignment horizontal="center"/>
    </xf>
    <xf numFmtId="0" fontId="35" fillId="5" borderId="8" xfId="0" applyFont="1" applyFill="1" applyBorder="1" applyAlignment="1">
      <alignment horizontal="center" vertical="center"/>
    </xf>
    <xf numFmtId="0" fontId="35" fillId="5" borderId="0" xfId="0" applyFont="1" applyFill="1" applyBorder="1" applyAlignment="1">
      <alignment horizontal="center" vertical="center"/>
    </xf>
    <xf numFmtId="0" fontId="29" fillId="2" borderId="0" xfId="0" applyFont="1" applyFill="1" applyBorder="1" applyAlignment="1">
      <alignment horizontal="center"/>
    </xf>
    <xf numFmtId="0" fontId="38" fillId="3" borderId="0" xfId="0" applyFont="1" applyFill="1" applyAlignment="1">
      <alignment horizontal="center"/>
    </xf>
    <xf numFmtId="0" fontId="37" fillId="0" borderId="0" xfId="0" applyFont="1" applyAlignment="1">
      <alignment horizontal="center"/>
    </xf>
    <xf numFmtId="0" fontId="104" fillId="11" borderId="0" xfId="0" applyFont="1" applyFill="1" applyBorder="1" applyAlignment="1">
      <alignment horizontal="center" vertical="center" textRotation="90"/>
    </xf>
    <xf numFmtId="0" fontId="104" fillId="11" borderId="7" xfId="0" applyFont="1" applyFill="1" applyBorder="1" applyAlignment="1">
      <alignment horizontal="center" vertical="center" textRotation="90"/>
    </xf>
    <xf numFmtId="0" fontId="103" fillId="10" borderId="0" xfId="0" applyFont="1" applyFill="1" applyAlignment="1">
      <alignment horizontal="center"/>
    </xf>
    <xf numFmtId="0" fontId="104" fillId="8" borderId="8" xfId="0" applyFont="1" applyFill="1" applyBorder="1" applyAlignment="1">
      <alignment horizontal="center" vertical="center" textRotation="90"/>
    </xf>
    <xf numFmtId="0" fontId="104" fillId="8" borderId="0" xfId="0" applyFont="1" applyFill="1" applyBorder="1" applyAlignment="1">
      <alignment horizontal="center" vertical="center" textRotation="90"/>
    </xf>
    <xf numFmtId="0" fontId="104" fillId="8" borderId="7" xfId="0" applyFont="1" applyFill="1" applyBorder="1" applyAlignment="1">
      <alignment horizontal="center" vertical="center" textRotation="90"/>
    </xf>
    <xf numFmtId="0" fontId="104" fillId="9" borderId="8" xfId="0" applyFont="1" applyFill="1" applyBorder="1" applyAlignment="1">
      <alignment horizontal="center" vertical="center"/>
    </xf>
    <xf numFmtId="0" fontId="104" fillId="9" borderId="7" xfId="0" applyFont="1" applyFill="1" applyBorder="1" applyAlignment="1">
      <alignment horizontal="center" vertical="center"/>
    </xf>
    <xf numFmtId="0" fontId="100" fillId="4" borderId="0" xfId="0" applyFont="1" applyFill="1" applyAlignment="1">
      <alignment horizontal="center"/>
    </xf>
    <xf numFmtId="0" fontId="108" fillId="5" borderId="8" xfId="0" applyFont="1" applyFill="1" applyBorder="1" applyAlignment="1">
      <alignment horizontal="center" vertical="center"/>
    </xf>
    <xf numFmtId="0" fontId="108" fillId="5" borderId="0" xfId="0" applyFont="1" applyFill="1" applyBorder="1" applyAlignment="1">
      <alignment horizontal="center" vertical="center"/>
    </xf>
    <xf numFmtId="0" fontId="102" fillId="2" borderId="0" xfId="0" applyFont="1" applyFill="1" applyBorder="1" applyAlignment="1">
      <alignment horizontal="center"/>
    </xf>
    <xf numFmtId="0" fontId="111" fillId="3" borderId="0" xfId="0" applyFont="1" applyFill="1" applyAlignment="1">
      <alignment horizontal="center"/>
    </xf>
    <xf numFmtId="0" fontId="110" fillId="0" borderId="0" xfId="0" applyFont="1" applyAlignment="1">
      <alignment horizontal="center"/>
    </xf>
    <xf numFmtId="0" fontId="80" fillId="11" borderId="0" xfId="0" applyFont="1" applyFill="1" applyBorder="1" applyAlignment="1">
      <alignment horizontal="center" vertical="center" textRotation="90"/>
    </xf>
    <xf numFmtId="0" fontId="80" fillId="11" borderId="7" xfId="0" applyFont="1" applyFill="1" applyBorder="1" applyAlignment="1">
      <alignment horizontal="center" vertical="center" textRotation="90"/>
    </xf>
    <xf numFmtId="0" fontId="79" fillId="10" borderId="0" xfId="0" applyFont="1" applyFill="1" applyAlignment="1">
      <alignment horizontal="center"/>
    </xf>
    <xf numFmtId="0" fontId="80" fillId="8" borderId="8" xfId="0" applyFont="1" applyFill="1" applyBorder="1" applyAlignment="1">
      <alignment horizontal="center" vertical="center" textRotation="90"/>
    </xf>
    <xf numFmtId="0" fontId="80" fillId="8" borderId="0" xfId="0" applyFont="1" applyFill="1" applyBorder="1" applyAlignment="1">
      <alignment horizontal="center" vertical="center" textRotation="90"/>
    </xf>
    <xf numFmtId="0" fontId="80" fillId="8" borderId="7" xfId="0" applyFont="1" applyFill="1" applyBorder="1" applyAlignment="1">
      <alignment horizontal="center" vertical="center" textRotation="90"/>
    </xf>
    <xf numFmtId="0" fontId="80" fillId="9" borderId="8" xfId="0" applyFont="1" applyFill="1" applyBorder="1" applyAlignment="1">
      <alignment horizontal="center" vertical="center"/>
    </xf>
    <xf numFmtId="0" fontId="80" fillId="9" borderId="7" xfId="0" applyFont="1" applyFill="1" applyBorder="1" applyAlignment="1">
      <alignment horizontal="center" vertical="center"/>
    </xf>
    <xf numFmtId="0" fontId="76" fillId="4" borderId="0" xfId="0" applyFont="1" applyFill="1" applyAlignment="1">
      <alignment horizontal="center"/>
    </xf>
    <xf numFmtId="0" fontId="85" fillId="5" borderId="8" xfId="0" applyFont="1" applyFill="1" applyBorder="1" applyAlignment="1">
      <alignment horizontal="center" vertical="center"/>
    </xf>
    <xf numFmtId="0" fontId="85" fillId="5" borderId="0" xfId="0" applyFont="1" applyFill="1" applyBorder="1" applyAlignment="1">
      <alignment horizontal="center" vertical="center"/>
    </xf>
    <xf numFmtId="0" fontId="78" fillId="2" borderId="0" xfId="0" applyFont="1" applyFill="1" applyBorder="1" applyAlignment="1">
      <alignment horizontal="center"/>
    </xf>
    <xf numFmtId="0" fontId="86" fillId="3" borderId="0" xfId="0" applyFont="1" applyFill="1" applyAlignment="1">
      <alignment horizontal="center"/>
    </xf>
    <xf numFmtId="0" fontId="87" fillId="0" borderId="0" xfId="0" applyFont="1" applyAlignment="1">
      <alignment horizontal="center"/>
    </xf>
    <xf numFmtId="0" fontId="43" fillId="11" borderId="0" xfId="0" applyFont="1" applyFill="1" applyBorder="1" applyAlignment="1">
      <alignment horizontal="center" vertical="center" textRotation="90"/>
    </xf>
    <xf numFmtId="0" fontId="43" fillId="11" borderId="7" xfId="0" applyFont="1" applyFill="1" applyBorder="1" applyAlignment="1">
      <alignment horizontal="center" vertical="center" textRotation="90"/>
    </xf>
    <xf numFmtId="0" fontId="42" fillId="10" borderId="0" xfId="0" applyFont="1" applyFill="1" applyAlignment="1">
      <alignment horizontal="center"/>
    </xf>
    <xf numFmtId="0" fontId="43" fillId="8" borderId="8" xfId="0" applyFont="1" applyFill="1" applyBorder="1" applyAlignment="1">
      <alignment horizontal="center" vertical="center" textRotation="90"/>
    </xf>
    <xf numFmtId="0" fontId="43" fillId="8" borderId="0" xfId="0" applyFont="1" applyFill="1" applyBorder="1" applyAlignment="1">
      <alignment horizontal="center" vertical="center" textRotation="90"/>
    </xf>
    <xf numFmtId="0" fontId="43" fillId="8" borderId="7" xfId="0" applyFont="1" applyFill="1" applyBorder="1" applyAlignment="1">
      <alignment horizontal="center" vertical="center" textRotation="90"/>
    </xf>
    <xf numFmtId="0" fontId="43" fillId="9" borderId="8" xfId="0" applyFont="1" applyFill="1" applyBorder="1" applyAlignment="1">
      <alignment horizontal="center" vertical="center"/>
    </xf>
    <xf numFmtId="0" fontId="43" fillId="9" borderId="7" xfId="0" applyFont="1" applyFill="1" applyBorder="1" applyAlignment="1">
      <alignment horizontal="center" vertical="center"/>
    </xf>
    <xf numFmtId="0" fontId="39" fillId="4" borderId="0" xfId="0" applyFont="1" applyFill="1" applyAlignment="1">
      <alignment horizontal="center"/>
    </xf>
    <xf numFmtId="0" fontId="47" fillId="5" borderId="8" xfId="0" applyFont="1" applyFill="1" applyBorder="1" applyAlignment="1">
      <alignment horizontal="center" vertical="center"/>
    </xf>
    <xf numFmtId="0" fontId="47" fillId="5" borderId="0" xfId="0" applyFont="1" applyFill="1" applyBorder="1" applyAlignment="1">
      <alignment horizontal="center" vertical="center"/>
    </xf>
    <xf numFmtId="0" fontId="41" fillId="2" borderId="0" xfId="0" applyFont="1" applyFill="1" applyBorder="1" applyAlignment="1">
      <alignment horizontal="center"/>
    </xf>
    <xf numFmtId="0" fontId="50" fillId="3" borderId="0" xfId="0" applyFont="1" applyFill="1" applyAlignment="1">
      <alignment horizontal="center"/>
    </xf>
    <xf numFmtId="0" fontId="49" fillId="0" borderId="0" xfId="0" applyFont="1" applyAlignment="1">
      <alignment horizontal="center"/>
    </xf>
    <xf numFmtId="0" fontId="92" fillId="11" borderId="0" xfId="0" applyFont="1" applyFill="1" applyBorder="1" applyAlignment="1">
      <alignment horizontal="center" vertical="center" textRotation="90"/>
    </xf>
    <xf numFmtId="0" fontId="91" fillId="10" borderId="0" xfId="0" applyFont="1" applyFill="1" applyAlignment="1">
      <alignment horizontal="center"/>
    </xf>
    <xf numFmtId="0" fontId="92" fillId="8" borderId="8" xfId="0" applyFont="1" applyFill="1" applyBorder="1" applyAlignment="1">
      <alignment horizontal="center" vertical="center" textRotation="90"/>
    </xf>
    <xf numFmtId="0" fontId="92" fillId="8" borderId="0" xfId="0" applyFont="1" applyFill="1" applyBorder="1" applyAlignment="1">
      <alignment horizontal="center" vertical="center" textRotation="90"/>
    </xf>
    <xf numFmtId="0" fontId="92" fillId="8" borderId="7" xfId="0" applyFont="1" applyFill="1" applyBorder="1" applyAlignment="1">
      <alignment horizontal="center" vertical="center" textRotation="90"/>
    </xf>
    <xf numFmtId="0" fontId="92" fillId="9" borderId="8" xfId="0" applyFont="1" applyFill="1" applyBorder="1" applyAlignment="1">
      <alignment horizontal="center" vertical="center"/>
    </xf>
    <xf numFmtId="0" fontId="92" fillId="9" borderId="7" xfId="0" applyFont="1" applyFill="1" applyBorder="1" applyAlignment="1">
      <alignment horizontal="center" vertical="center"/>
    </xf>
    <xf numFmtId="0" fontId="88" fillId="4" borderId="0" xfId="0" applyFont="1" applyFill="1" applyAlignment="1">
      <alignment horizontal="center"/>
    </xf>
    <xf numFmtId="0" fontId="96" fillId="5" borderId="8" xfId="0" applyFont="1" applyFill="1" applyBorder="1" applyAlignment="1">
      <alignment horizontal="center" vertical="center"/>
    </xf>
    <xf numFmtId="0" fontId="96" fillId="5" borderId="0" xfId="0" applyFont="1" applyFill="1" applyBorder="1" applyAlignment="1">
      <alignment horizontal="center" vertical="center"/>
    </xf>
    <xf numFmtId="0" fontId="90" fillId="2" borderId="0" xfId="0" applyFont="1" applyFill="1" applyBorder="1" applyAlignment="1">
      <alignment horizontal="center"/>
    </xf>
    <xf numFmtId="0" fontId="90" fillId="2" borderId="9" xfId="0" applyFont="1" applyFill="1" applyBorder="1" applyAlignment="1">
      <alignment horizontal="center"/>
    </xf>
    <xf numFmtId="0" fontId="99" fillId="3" borderId="0" xfId="0" applyFont="1" applyFill="1" applyAlignment="1">
      <alignment horizontal="center"/>
    </xf>
    <xf numFmtId="0" fontId="99" fillId="3" borderId="9" xfId="0" applyFont="1" applyFill="1" applyBorder="1" applyAlignment="1">
      <alignment horizontal="center"/>
    </xf>
    <xf numFmtId="0" fontId="98" fillId="0" borderId="0" xfId="0" applyFont="1" applyAlignment="1">
      <alignment horizontal="center"/>
    </xf>
    <xf numFmtId="0" fontId="68" fillId="11" borderId="0" xfId="0" applyFont="1" applyFill="1" applyBorder="1" applyAlignment="1">
      <alignment horizontal="center" vertical="center" textRotation="90"/>
    </xf>
    <xf numFmtId="0" fontId="68" fillId="11" borderId="7" xfId="0" applyFont="1" applyFill="1" applyBorder="1" applyAlignment="1">
      <alignment horizontal="center" vertical="center" textRotation="90"/>
    </xf>
    <xf numFmtId="0" fontId="67" fillId="10" borderId="0" xfId="0" applyFont="1" applyFill="1" applyAlignment="1">
      <alignment horizontal="center"/>
    </xf>
    <xf numFmtId="0" fontId="68" fillId="8" borderId="8" xfId="0" applyFont="1" applyFill="1" applyBorder="1" applyAlignment="1">
      <alignment horizontal="center" vertical="center" textRotation="90"/>
    </xf>
    <xf numFmtId="0" fontId="68" fillId="8" borderId="0" xfId="0" applyFont="1" applyFill="1" applyBorder="1" applyAlignment="1">
      <alignment horizontal="center" vertical="center" textRotation="90"/>
    </xf>
    <xf numFmtId="0" fontId="68" fillId="8" borderId="7" xfId="0" applyFont="1" applyFill="1" applyBorder="1" applyAlignment="1">
      <alignment horizontal="center" vertical="center" textRotation="90"/>
    </xf>
    <xf numFmtId="0" fontId="68" fillId="9" borderId="8" xfId="0" applyFont="1" applyFill="1" applyBorder="1" applyAlignment="1">
      <alignment horizontal="center" vertical="center"/>
    </xf>
    <xf numFmtId="0" fontId="68" fillId="9" borderId="7" xfId="0" applyFont="1" applyFill="1" applyBorder="1" applyAlignment="1">
      <alignment horizontal="center" vertical="center"/>
    </xf>
    <xf numFmtId="0" fontId="64" fillId="4" borderId="0" xfId="0" applyFont="1" applyFill="1" applyAlignment="1">
      <alignment horizontal="center"/>
    </xf>
    <xf numFmtId="0" fontId="73" fillId="5" borderId="8" xfId="0" applyFont="1" applyFill="1" applyBorder="1" applyAlignment="1">
      <alignment horizontal="center" vertical="center"/>
    </xf>
    <xf numFmtId="0" fontId="73" fillId="5" borderId="0" xfId="0" applyFont="1" applyFill="1" applyBorder="1" applyAlignment="1">
      <alignment horizontal="center" vertical="center"/>
    </xf>
    <xf numFmtId="0" fontId="66" fillId="2" borderId="0" xfId="0" applyFont="1" applyFill="1" applyBorder="1" applyAlignment="1">
      <alignment horizontal="center"/>
    </xf>
    <xf numFmtId="0" fontId="74" fillId="3" borderId="0" xfId="0" applyFont="1" applyFill="1" applyAlignment="1">
      <alignment horizontal="center"/>
    </xf>
    <xf numFmtId="0" fontId="75" fillId="0" borderId="0" xfId="0" applyFont="1" applyAlignment="1">
      <alignment horizontal="center"/>
    </xf>
    <xf numFmtId="0" fontId="120" fillId="18" borderId="25" xfId="0" applyFont="1" applyFill="1" applyBorder="1" applyAlignment="1">
      <alignment horizontal="center"/>
    </xf>
    <xf numFmtId="0" fontId="120" fillId="18" borderId="37" xfId="0" applyFont="1" applyFill="1" applyBorder="1" applyAlignment="1">
      <alignment horizontal="center"/>
    </xf>
    <xf numFmtId="0" fontId="120" fillId="19" borderId="40" xfId="0" applyFont="1" applyFill="1" applyBorder="1" applyAlignment="1">
      <alignment horizontal="center"/>
    </xf>
    <xf numFmtId="0" fontId="120" fillId="19" borderId="37" xfId="0" applyFont="1" applyFill="1" applyBorder="1" applyAlignment="1">
      <alignment horizontal="center"/>
    </xf>
    <xf numFmtId="0" fontId="120" fillId="15" borderId="34" xfId="0" applyFont="1" applyFill="1" applyBorder="1" applyAlignment="1">
      <alignment horizontal="center"/>
    </xf>
    <xf numFmtId="0" fontId="120" fillId="15" borderId="26" xfId="0" applyFont="1" applyFill="1" applyBorder="1" applyAlignment="1">
      <alignment horizontal="center"/>
    </xf>
    <xf numFmtId="0" fontId="23" fillId="17" borderId="32" xfId="0" applyFont="1" applyFill="1" applyBorder="1" applyAlignment="1">
      <alignment horizontal="center" vertical="center"/>
    </xf>
    <xf numFmtId="0" fontId="23" fillId="17" borderId="33" xfId="0" applyFont="1" applyFill="1" applyBorder="1" applyAlignment="1">
      <alignment horizontal="center" vertical="center"/>
    </xf>
  </cellXfs>
  <cellStyles count="6">
    <cellStyle name="Milliers" xfId="1" builtinId="3"/>
    <cellStyle name="Milliers 2" xfId="3"/>
    <cellStyle name="Monétaire" xfId="5" builtinId="4"/>
    <cellStyle name="Normal" xfId="0" builtinId="0"/>
    <cellStyle name="Pourcentage" xfId="2" builtinId="5"/>
    <cellStyle name="Pourcentage 2" xfId="4"/>
  </cellStyles>
  <dxfs count="31">
    <dxf>
      <fill>
        <patternFill>
          <bgColor indexed="48"/>
        </patternFill>
      </fill>
    </dxf>
    <dxf>
      <fill>
        <patternFill>
          <bgColor indexed="52"/>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theme="1"/>
        </patternFill>
      </fill>
    </dxf>
    <dxf>
      <font>
        <color theme="0"/>
      </font>
      <fill>
        <patternFill>
          <bgColor theme="1"/>
        </patternFill>
      </fill>
    </dxf>
    <dxf>
      <font>
        <b/>
        <i val="0"/>
        <color theme="0"/>
      </font>
      <fill>
        <patternFill>
          <bgColor rgb="FFFF0000"/>
        </patternFill>
      </fill>
    </dxf>
    <dxf>
      <fill>
        <patternFill>
          <bgColor indexed="48"/>
        </patternFill>
      </fill>
    </dxf>
    <dxf>
      <fill>
        <patternFill>
          <bgColor indexed="52"/>
        </patternFill>
      </fill>
    </dxf>
    <dxf>
      <fill>
        <patternFill>
          <bgColor indexed="48"/>
        </patternFill>
      </fill>
    </dxf>
    <dxf>
      <fill>
        <patternFill>
          <bgColor indexed="5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2.xml.rels><?xml version="1.0" encoding="UTF-8" standalone="yes"?>
<Relationships xmlns="http://schemas.openxmlformats.org/package/2006/relationships"><Relationship Id="rId117" Type="http://schemas.openxmlformats.org/officeDocument/2006/relationships/hyperlink" Target="https://www.capfriendly.com/waivers_calculator/oula-palve#results" TargetMode="External"/><Relationship Id="rId671" Type="http://schemas.openxmlformats.org/officeDocument/2006/relationships/hyperlink" Target="https://www.fr.capfriendly.com/waivers_calculator/nico-sturm#results" TargetMode="External"/><Relationship Id="rId769" Type="http://schemas.openxmlformats.org/officeDocument/2006/relationships/hyperlink" Target="https://www.fr.capfriendly.com/waivers_calculator/daniil-tarasov1#results" TargetMode="External"/><Relationship Id="rId21" Type="http://schemas.openxmlformats.org/officeDocument/2006/relationships/hyperlink" Target="https://www.capfriendly.com/waivers_calculator/peter-cehlarik#results" TargetMode="External"/><Relationship Id="rId324" Type="http://schemas.openxmlformats.org/officeDocument/2006/relationships/hyperlink" Target="https://www.fr.capfriendly.com/waivers_calculator/logan-day#results" TargetMode="External"/><Relationship Id="rId531" Type="http://schemas.openxmlformats.org/officeDocument/2006/relationships/hyperlink" Target="https://www.fr.capfriendly.com/waivers_calculator/alexander-yelesin#results" TargetMode="External"/><Relationship Id="rId629" Type="http://schemas.openxmlformats.org/officeDocument/2006/relationships/hyperlink" Target="https://www.fr.capfriendly.com/waivers_calculator/michael-anderson#results" TargetMode="External"/><Relationship Id="rId170" Type="http://schemas.openxmlformats.org/officeDocument/2006/relationships/hyperlink" Target="https://www.capfriendly.com/waivers_calculator/riley-damiani#results" TargetMode="External"/><Relationship Id="rId268" Type="http://schemas.openxmlformats.org/officeDocument/2006/relationships/hyperlink" Target="https://www.capfriendly.com/waivers_calculator/jordan-kyrou#results" TargetMode="External"/><Relationship Id="rId475" Type="http://schemas.openxmlformats.org/officeDocument/2006/relationships/hyperlink" Target="https://www.fr.capfriendly.com/waivers_calculator/petrus-palmu#results" TargetMode="External"/><Relationship Id="rId682" Type="http://schemas.openxmlformats.org/officeDocument/2006/relationships/hyperlink" Target="https://www.fr.capfriendly.com/arbitration-calculator/2020/all/all/all/carson-soucy" TargetMode="External"/><Relationship Id="rId32" Type="http://schemas.openxmlformats.org/officeDocument/2006/relationships/hyperlink" Target="https://www.capfriendly.com/arbitration-calculator/2020/all/all/all/ben-harpur" TargetMode="External"/><Relationship Id="rId128" Type="http://schemas.openxmlformats.org/officeDocument/2006/relationships/hyperlink" Target="https://www.capfriendly.com/waivers_calculator/pierre-olivier-joseph#results" TargetMode="External"/><Relationship Id="rId335" Type="http://schemas.openxmlformats.org/officeDocument/2006/relationships/hyperlink" Target="https://www.fr.capfriendly.com/arbitration-calculator/2020/all/all/all/lucas-wallmark" TargetMode="External"/><Relationship Id="rId542" Type="http://schemas.openxmlformats.org/officeDocument/2006/relationships/hyperlink" Target="https://www.fr.capfriendly.com/waivers_calculator/isac-lundestrom#results" TargetMode="External"/><Relationship Id="rId181" Type="http://schemas.openxmlformats.org/officeDocument/2006/relationships/hyperlink" Target="https://www.capfriendly.com/waivers_calculator/gavin-bayreuther#results" TargetMode="External"/><Relationship Id="rId402" Type="http://schemas.openxmlformats.org/officeDocument/2006/relationships/hyperlink" Target="https://www.fr.capfriendly.com/waivers_calculator/noah-juulsen#results" TargetMode="External"/><Relationship Id="rId279" Type="http://schemas.openxmlformats.org/officeDocument/2006/relationships/hyperlink" Target="https://www.capfriendly.com/waivers_calculator/joel-hofer#results" TargetMode="External"/><Relationship Id="rId486" Type="http://schemas.openxmlformats.org/officeDocument/2006/relationships/hyperlink" Target="https://www.fr.capfriendly.com/arbitration-calculator/2020/all/all/all/ashton-sautner" TargetMode="External"/><Relationship Id="rId693" Type="http://schemas.openxmlformats.org/officeDocument/2006/relationships/hyperlink" Target="https://www.fr.capfriendly.com/waivers_calculator/philippe-myers#results" TargetMode="External"/><Relationship Id="rId707" Type="http://schemas.openxmlformats.org/officeDocument/2006/relationships/hyperlink" Target="https://www.fr.capfriendly.com/waivers_calculator/mark-friedman#results" TargetMode="External"/><Relationship Id="rId43" Type="http://schemas.openxmlformats.org/officeDocument/2006/relationships/hyperlink" Target="https://www.capfriendly.com/waivers_calculator/timothy-liljegren#results" TargetMode="External"/><Relationship Id="rId139" Type="http://schemas.openxmlformats.org/officeDocument/2006/relationships/hyperlink" Target="https://www.capfriendly.com/waivers_calculator/barrett-hayton#results" TargetMode="External"/><Relationship Id="rId346" Type="http://schemas.openxmlformats.org/officeDocument/2006/relationships/hyperlink" Target="https://www.fr.capfriendly.com/waivers_calculator/jake-bean#results" TargetMode="External"/><Relationship Id="rId553" Type="http://schemas.openxmlformats.org/officeDocument/2006/relationships/hyperlink" Target="https://www.fr.capfriendly.com/waivers_calculator/jacob-larsson#results" TargetMode="External"/><Relationship Id="rId760" Type="http://schemas.openxmlformats.org/officeDocument/2006/relationships/hyperlink" Target="https://www.fr.capfriendly.com/arbitration-calculator/2020/all/all/all/justin-scott" TargetMode="External"/><Relationship Id="rId85" Type="http://schemas.openxmlformats.org/officeDocument/2006/relationships/hyperlink" Target="https://www.capfriendly.com/waivers_calculator/rasmus-dahlin#results" TargetMode="External"/><Relationship Id="rId150" Type="http://schemas.openxmlformats.org/officeDocument/2006/relationships/hyperlink" Target="https://www.capfriendly.com/waivers_calculator/kevin-bahl#results" TargetMode="External"/><Relationship Id="rId192" Type="http://schemas.openxmlformats.org/officeDocument/2006/relationships/hyperlink" Target="https://www.capfriendly.com/waivers_calculator/lias-andersson#results" TargetMode="External"/><Relationship Id="rId206" Type="http://schemas.openxmlformats.org/officeDocument/2006/relationships/hyperlink" Target="https://www.capfriendly.com/waivers_calculator/tim-gettinger#results" TargetMode="External"/><Relationship Id="rId413" Type="http://schemas.openxmlformats.org/officeDocument/2006/relationships/hyperlink" Target="https://www.fr.capfriendly.com/arbitration-calculator/2020/all/all/all/madison-bowey" TargetMode="External"/><Relationship Id="rId595" Type="http://schemas.openxmlformats.org/officeDocument/2006/relationships/hyperlink" Target="https://www.fr.capfriendly.com/waivers_calculator/brett-seney#results" TargetMode="External"/><Relationship Id="rId816" Type="http://schemas.openxmlformats.org/officeDocument/2006/relationships/hyperlink" Target="https://www.fr.capfriendly.com/waivers_calculator/mikhail-berdin#results" TargetMode="External"/><Relationship Id="rId248" Type="http://schemas.openxmlformats.org/officeDocument/2006/relationships/hyperlink" Target="https://www.capfriendly.com/waivers_calculator/zachary-magwood#results" TargetMode="External"/><Relationship Id="rId455" Type="http://schemas.openxmlformats.org/officeDocument/2006/relationships/hyperlink" Target="https://www.fr.capfriendly.com/waivers_calculator/artemi-knyazev#results" TargetMode="External"/><Relationship Id="rId497" Type="http://schemas.openxmlformats.org/officeDocument/2006/relationships/hyperlink" Target="https://www.fr.capfriendly.com/waivers_calculator/zach-senyshyn#results" TargetMode="External"/><Relationship Id="rId620" Type="http://schemas.openxmlformats.org/officeDocument/2006/relationships/hyperlink" Target="https://www.fr.capfriendly.com/waivers_calculator/akil-thomas#results" TargetMode="External"/><Relationship Id="rId662" Type="http://schemas.openxmlformats.org/officeDocument/2006/relationships/hyperlink" Target="https://www.fr.capfriendly.com/waivers_calculator/oleg-sosunov#results" TargetMode="External"/><Relationship Id="rId718" Type="http://schemas.openxmlformats.org/officeDocument/2006/relationships/hyperlink" Target="https://www.fr.capfriendly.com/waivers_calculator/drake-batherson#results" TargetMode="External"/><Relationship Id="rId12" Type="http://schemas.openxmlformats.org/officeDocument/2006/relationships/hyperlink" Target="https://www.capfriendly.com/waivers_calculator/axel-andersson#results" TargetMode="External"/><Relationship Id="rId108" Type="http://schemas.openxmlformats.org/officeDocument/2006/relationships/hyperlink" Target="https://www.capfriendly.com/arbitration-calculator/2021/all/all/all/teddy-blueger" TargetMode="External"/><Relationship Id="rId315" Type="http://schemas.openxmlformats.org/officeDocument/2006/relationships/hyperlink" Target="https://www.fr.capfriendly.com/waivers_calculator/nolan-vesey#results" TargetMode="External"/><Relationship Id="rId357" Type="http://schemas.openxmlformats.org/officeDocument/2006/relationships/hyperlink" Target="https://www.fr.capfriendly.com/waivers_calculator/anton-wedin#results" TargetMode="External"/><Relationship Id="rId522" Type="http://schemas.openxmlformats.org/officeDocument/2006/relationships/hyperlink" Target="https://www.fr.capfriendly.com/waivers_calculator/eetu-tuulola#results" TargetMode="External"/><Relationship Id="rId54" Type="http://schemas.openxmlformats.org/officeDocument/2006/relationships/hyperlink" Target="https://www.capfriendly.com/arbitration-calculator/2020/all/all/all/christian-djoos" TargetMode="External"/><Relationship Id="rId96" Type="http://schemas.openxmlformats.org/officeDocument/2006/relationships/hyperlink" Target="https://www.capfriendly.com/arbitration-calculator/2020/all/all/all/remi-elie" TargetMode="External"/><Relationship Id="rId161" Type="http://schemas.openxmlformats.org/officeDocument/2006/relationships/hyperlink" Target="https://www.capfriendly.com/waivers_calculator/roope-hintz#results" TargetMode="External"/><Relationship Id="rId217" Type="http://schemas.openxmlformats.org/officeDocument/2006/relationships/hyperlink" Target="https://www.capfriendly.com/waivers_calculator/darren-raddysh#results" TargetMode="External"/><Relationship Id="rId399" Type="http://schemas.openxmlformats.org/officeDocument/2006/relationships/hyperlink" Target="https://www.fr.capfriendly.com/arbitration-calculator/2020/all/all/all/michael-mccarron" TargetMode="External"/><Relationship Id="rId564" Type="http://schemas.openxmlformats.org/officeDocument/2006/relationships/hyperlink" Target="https://www.fr.capfriendly.com/waivers_calculator/oliver-wahlstrom#results" TargetMode="External"/><Relationship Id="rId771" Type="http://schemas.openxmlformats.org/officeDocument/2006/relationships/hyperlink" Target="https://www.fr.capfriendly.com/waivers_calculator/veini-vehvilainen#results" TargetMode="External"/><Relationship Id="rId259" Type="http://schemas.openxmlformats.org/officeDocument/2006/relationships/hyperlink" Target="https://www.capfriendly.com/waivers_calculator/robert-thomas#results" TargetMode="External"/><Relationship Id="rId424" Type="http://schemas.openxmlformats.org/officeDocument/2006/relationships/hyperlink" Target="https://www.fr.capfriendly.com/waivers_calculator/moritz-seider#results" TargetMode="External"/><Relationship Id="rId466" Type="http://schemas.openxmlformats.org/officeDocument/2006/relationships/hyperlink" Target="https://www.fr.capfriendly.com/waivers_calculator/elias-pettersson#results" TargetMode="External"/><Relationship Id="rId631" Type="http://schemas.openxmlformats.org/officeDocument/2006/relationships/hyperlink" Target="https://www.fr.capfriendly.com/waivers_calculator/markus-phillips#results" TargetMode="External"/><Relationship Id="rId673" Type="http://schemas.openxmlformats.org/officeDocument/2006/relationships/hyperlink" Target="https://www.fr.capfriendly.com/waivers_calculator/connor-dewar#results" TargetMode="External"/><Relationship Id="rId729" Type="http://schemas.openxmlformats.org/officeDocument/2006/relationships/hyperlink" Target="https://www.fr.capfriendly.com/arbitration-calculator/2020/all/all/all/nicholas-paul" TargetMode="External"/><Relationship Id="rId23" Type="http://schemas.openxmlformats.org/officeDocument/2006/relationships/hyperlink" Target="https://www.capfriendly.com/waivers_calculator/daniel-vladar#results" TargetMode="External"/><Relationship Id="rId119" Type="http://schemas.openxmlformats.org/officeDocument/2006/relationships/hyperlink" Target="https://www.capfriendly.com/waivers_calculator/linus-olund1#results" TargetMode="External"/><Relationship Id="rId270" Type="http://schemas.openxmlformats.org/officeDocument/2006/relationships/hyperlink" Target="https://www.capfriendly.com/waivers_calculator/austin-poganski#results" TargetMode="External"/><Relationship Id="rId326" Type="http://schemas.openxmlformats.org/officeDocument/2006/relationships/hyperlink" Target="https://www.fr.capfriendly.com/waivers_calculator/caleb-jones#results" TargetMode="External"/><Relationship Id="rId533" Type="http://schemas.openxmlformats.org/officeDocument/2006/relationships/hyperlink" Target="https://www.fr.capfriendly.com/waivers_calculator/artyom-zagidulin#results" TargetMode="External"/><Relationship Id="rId65" Type="http://schemas.openxmlformats.org/officeDocument/2006/relationships/hyperlink" Target="https://www.capfriendly.com/waivers_calculator/brian-pinho#results" TargetMode="External"/><Relationship Id="rId130" Type="http://schemas.openxmlformats.org/officeDocument/2006/relationships/hyperlink" Target="https://www.capfriendly.com/waivers_calculator/calen-addison#results" TargetMode="External"/><Relationship Id="rId368" Type="http://schemas.openxmlformats.org/officeDocument/2006/relationships/hyperlink" Target="https://www.fr.capfriendly.com/waivers_calculator/nathan-noel#results" TargetMode="External"/><Relationship Id="rId575" Type="http://schemas.openxmlformats.org/officeDocument/2006/relationships/hyperlink" Target="https://www.fr.capfriendly.com/waivers_calculator/sebastian-aho1#results" TargetMode="External"/><Relationship Id="rId740" Type="http://schemas.openxmlformats.org/officeDocument/2006/relationships/hyperlink" Target="https://www.fr.capfriendly.com/waivers_calculator/maxime-lajoie#results" TargetMode="External"/><Relationship Id="rId782" Type="http://schemas.openxmlformats.org/officeDocument/2006/relationships/hyperlink" Target="https://www.fr.capfriendly.com/waivers_calculator/igor-shvyryov#results" TargetMode="External"/><Relationship Id="rId172" Type="http://schemas.openxmlformats.org/officeDocument/2006/relationships/hyperlink" Target="https://www.capfriendly.com/waivers_calculator/adam-mascherin#results" TargetMode="External"/><Relationship Id="rId228" Type="http://schemas.openxmlformats.org/officeDocument/2006/relationships/hyperlink" Target="https://www.capfriendly.com/waivers_calculator/reid-duke#results" TargetMode="External"/><Relationship Id="rId435" Type="http://schemas.openxmlformats.org/officeDocument/2006/relationships/hyperlink" Target="https://www.fr.capfriendly.com/waivers_calculator/jonathan-dahlen#results" TargetMode="External"/><Relationship Id="rId477" Type="http://schemas.openxmlformats.org/officeDocument/2006/relationships/hyperlink" Target="https://www.fr.capfriendly.com/arbitration-calculator/2020/all/all/all/reid-boucher" TargetMode="External"/><Relationship Id="rId600" Type="http://schemas.openxmlformats.org/officeDocument/2006/relationships/hyperlink" Target="https://www.fr.capfriendly.com/waivers_calculator/ty-smith#results" TargetMode="External"/><Relationship Id="rId642" Type="http://schemas.openxmlformats.org/officeDocument/2006/relationships/hyperlink" Target="https://www.fr.capfriendly.com/arbitration-calculator/2020/all/all/all/danick-martel" TargetMode="External"/><Relationship Id="rId684" Type="http://schemas.openxmlformats.org/officeDocument/2006/relationships/hyperlink" Target="https://www.fr.capfriendly.com/waivers_calculator/brennan-menell#results" TargetMode="External"/><Relationship Id="rId281" Type="http://schemas.openxmlformats.org/officeDocument/2006/relationships/hyperlink" Target="https://www.capfriendly.com/waivers_calculator/ville-husso#results" TargetMode="External"/><Relationship Id="rId337" Type="http://schemas.openxmlformats.org/officeDocument/2006/relationships/hyperlink" Target="https://www.fr.capfriendly.com/waivers_calculator/julien-gauthier#results" TargetMode="External"/><Relationship Id="rId502" Type="http://schemas.openxmlformats.org/officeDocument/2006/relationships/hyperlink" Target="https://www.fr.capfriendly.com/waivers_calculator/joona-koppanen#results" TargetMode="External"/><Relationship Id="rId34" Type="http://schemas.openxmlformats.org/officeDocument/2006/relationships/hyperlink" Target="https://www.capfriendly.com/waivers_calculator/ilya-mikheyev#results" TargetMode="External"/><Relationship Id="rId76" Type="http://schemas.openxmlformats.org/officeDocument/2006/relationships/hyperlink" Target="https://www.capfriendly.com/waivers_calculator/colby-williams#results" TargetMode="External"/><Relationship Id="rId141" Type="http://schemas.openxmlformats.org/officeDocument/2006/relationships/hyperlink" Target="https://www.capfriendly.com/waivers_calculator/jan-jenik#results" TargetMode="External"/><Relationship Id="rId379" Type="http://schemas.openxmlformats.org/officeDocument/2006/relationships/hyperlink" Target="https://www.fr.capfriendly.com/waivers_calculator/joni-tuulola#results" TargetMode="External"/><Relationship Id="rId544" Type="http://schemas.openxmlformats.org/officeDocument/2006/relationships/hyperlink" Target="https://www.fr.capfriendly.com/waivers_calculator/sam-steel#results" TargetMode="External"/><Relationship Id="rId586" Type="http://schemas.openxmlformats.org/officeDocument/2006/relationships/hyperlink" Target="https://www.fr.capfriendly.com/arbitration-calculator/2020/all/all/all/mirco-mueller" TargetMode="External"/><Relationship Id="rId751" Type="http://schemas.openxmlformats.org/officeDocument/2006/relationships/hyperlink" Target="https://www.fr.capfriendly.com/waivers_calculator/emil-bemstrom#results" TargetMode="External"/><Relationship Id="rId793" Type="http://schemas.openxmlformats.org/officeDocument/2006/relationships/hyperlink" Target="https://www.fr.capfriendly.com/waivers_calculator/adam-werner#results" TargetMode="External"/><Relationship Id="rId807" Type="http://schemas.openxmlformats.org/officeDocument/2006/relationships/hyperlink" Target="https://www.fr.capfriendly.com/waivers_calculator/skyler-mckenzie#results" TargetMode="External"/><Relationship Id="rId7" Type="http://schemas.openxmlformats.org/officeDocument/2006/relationships/hyperlink" Target="https://www.capfriendly.com/waivers_calculator/urho-vaakanainen#results" TargetMode="External"/><Relationship Id="rId183" Type="http://schemas.openxmlformats.org/officeDocument/2006/relationships/hyperlink" Target="https://www.capfriendly.com/arbitration-calculator/2020/all/all/all/dillon-heatherington" TargetMode="External"/><Relationship Id="rId239" Type="http://schemas.openxmlformats.org/officeDocument/2006/relationships/hyperlink" Target="https://www.capfriendly.com/waivers_calculator/dylan-ferguson#results" TargetMode="External"/><Relationship Id="rId390" Type="http://schemas.openxmlformats.org/officeDocument/2006/relationships/hyperlink" Target="https://www.fr.capfriendly.com/waivers_calculator/nick-suzuki#results" TargetMode="External"/><Relationship Id="rId404" Type="http://schemas.openxmlformats.org/officeDocument/2006/relationships/hyperlink" Target="https://www.fr.capfriendly.com/waivers_calculator/cale-fleury#results" TargetMode="External"/><Relationship Id="rId446" Type="http://schemas.openxmlformats.org/officeDocument/2006/relationships/hyperlink" Target="https://www.fr.capfriendly.com/waivers_calculator/manuel-wiederer#results" TargetMode="External"/><Relationship Id="rId611" Type="http://schemas.openxmlformats.org/officeDocument/2006/relationships/hyperlink" Target="https://www.fr.capfriendly.com/waivers_calculator/matt-roy#results" TargetMode="External"/><Relationship Id="rId653" Type="http://schemas.openxmlformats.org/officeDocument/2006/relationships/hyperlink" Target="https://www.fr.capfriendly.com/waivers_calculator/ross-colton#results" TargetMode="External"/><Relationship Id="rId250" Type="http://schemas.openxmlformats.org/officeDocument/2006/relationships/hyperlink" Target="https://www.capfriendly.com/waivers_calculator/mathieu-olivier#results" TargetMode="External"/><Relationship Id="rId292" Type="http://schemas.openxmlformats.org/officeDocument/2006/relationships/hyperlink" Target="https://www.capfriendly.com/waivers_calculator/patrick-bajkov#results" TargetMode="External"/><Relationship Id="rId306" Type="http://schemas.openxmlformats.org/officeDocument/2006/relationships/hyperlink" Target="https://www.fr.capfriendly.com/arbitration-calculator/2020/all/all/all/colby-cave" TargetMode="External"/><Relationship Id="rId488" Type="http://schemas.openxmlformats.org/officeDocument/2006/relationships/hyperlink" Target="https://www.fr.capfriendly.com/waivers_calculator/michael-dipietro#results" TargetMode="External"/><Relationship Id="rId695" Type="http://schemas.openxmlformats.org/officeDocument/2006/relationships/hyperlink" Target="https://www.fr.capfriendly.com/waivers_calculator/joel-farabee#results" TargetMode="External"/><Relationship Id="rId709" Type="http://schemas.openxmlformats.org/officeDocument/2006/relationships/hyperlink" Target="https://www.fr.capfriendly.com/arbitration-calculator/2020/all/all/all/reece-willcox" TargetMode="External"/><Relationship Id="rId45" Type="http://schemas.openxmlformats.org/officeDocument/2006/relationships/hyperlink" Target="https://www.capfriendly.com/waivers_calculator/mac-hollowell#results" TargetMode="External"/><Relationship Id="rId87" Type="http://schemas.openxmlformats.org/officeDocument/2006/relationships/hyperlink" Target="https://www.capfriendly.com/waivers_calculator/andrew-oglevie#results" TargetMode="External"/><Relationship Id="rId110" Type="http://schemas.openxmlformats.org/officeDocument/2006/relationships/hyperlink" Target="https://www.capfriendly.com/arbitration-calculator/2020/all/all/all/juuso-riikola" TargetMode="External"/><Relationship Id="rId348" Type="http://schemas.openxmlformats.org/officeDocument/2006/relationships/hyperlink" Target="https://www.fr.capfriendly.com/arbitration-calculator/2020/all/all/all/alex-lintuniemi" TargetMode="External"/><Relationship Id="rId513" Type="http://schemas.openxmlformats.org/officeDocument/2006/relationships/hyperlink" Target="https://www.fr.capfriendly.com/waivers_calculator/jeremy-lauzon#results" TargetMode="External"/><Relationship Id="rId555" Type="http://schemas.openxmlformats.org/officeDocument/2006/relationships/hyperlink" Target="https://www.fr.capfriendly.com/waivers_calculator/josh-mahura#results" TargetMode="External"/><Relationship Id="rId597" Type="http://schemas.openxmlformats.org/officeDocument/2006/relationships/hyperlink" Target="https://www.fr.capfriendly.com/waivers_calculator/nathan-bastian#results" TargetMode="External"/><Relationship Id="rId720" Type="http://schemas.openxmlformats.org/officeDocument/2006/relationships/hyperlink" Target="https://www.fr.capfriendly.com/waivers_calculator/christian-wolanin#results" TargetMode="External"/><Relationship Id="rId762" Type="http://schemas.openxmlformats.org/officeDocument/2006/relationships/hyperlink" Target="https://www.fr.capfriendly.com/waivers_calculator/vladislav-gavrikov#results" TargetMode="External"/><Relationship Id="rId152" Type="http://schemas.openxmlformats.org/officeDocument/2006/relationships/hyperlink" Target="https://www.capfriendly.com/waivers_calculator/kyle-capobianco#results" TargetMode="External"/><Relationship Id="rId194" Type="http://schemas.openxmlformats.org/officeDocument/2006/relationships/hyperlink" Target="https://www.capfriendly.com/arbitration-calculator/2020/all/all/all/cristoval-nieves" TargetMode="External"/><Relationship Id="rId208" Type="http://schemas.openxmlformats.org/officeDocument/2006/relationships/hyperlink" Target="https://www.capfriendly.com/waivers_calculator/vinni-lettieri#results" TargetMode="External"/><Relationship Id="rId415" Type="http://schemas.openxmlformats.org/officeDocument/2006/relationships/hyperlink" Target="https://www.fr.capfriendly.com/waivers_calculator/david-pope#results" TargetMode="External"/><Relationship Id="rId457" Type="http://schemas.openxmlformats.org/officeDocument/2006/relationships/hyperlink" Target="https://www.fr.capfriendly.com/arbitration-calculator/2021/all/all/all/trevor-carrick" TargetMode="External"/><Relationship Id="rId622" Type="http://schemas.openxmlformats.org/officeDocument/2006/relationships/hyperlink" Target="https://www.fr.capfriendly.com/waivers_calculator/jaret-anderson-dolan#results" TargetMode="External"/><Relationship Id="rId261" Type="http://schemas.openxmlformats.org/officeDocument/2006/relationships/hyperlink" Target="https://www.capfriendly.com/arbitration-calculator/2020/all/all/all/derrick-pouliot" TargetMode="External"/><Relationship Id="rId499" Type="http://schemas.openxmlformats.org/officeDocument/2006/relationships/hyperlink" Target="https://www.fr.capfriendly.com/waivers_calculator/cameron-hughes#results" TargetMode="External"/><Relationship Id="rId664" Type="http://schemas.openxmlformats.org/officeDocument/2006/relationships/hyperlink" Target="https://www.fr.capfriendly.com/arbitration-calculator/2020/all/all/all/spencer-martin" TargetMode="External"/><Relationship Id="rId14" Type="http://schemas.openxmlformats.org/officeDocument/2006/relationships/hyperlink" Target="https://www.capfriendly.com/waivers_calculator/ryan-fitzgerald#results" TargetMode="External"/><Relationship Id="rId56" Type="http://schemas.openxmlformats.org/officeDocument/2006/relationships/hyperlink" Target="https://www.capfriendly.com/waivers_calculator/connor-mcmichael#results" TargetMode="External"/><Relationship Id="rId317" Type="http://schemas.openxmlformats.org/officeDocument/2006/relationships/hyperlink" Target="https://www.fr.capfriendly.com/waivers_calculator/kirill-maksimov#results" TargetMode="External"/><Relationship Id="rId359" Type="http://schemas.openxmlformats.org/officeDocument/2006/relationships/hyperlink" Target="https://www.fr.capfriendly.com/waivers_calculator/dominik-kubalik#results" TargetMode="External"/><Relationship Id="rId524" Type="http://schemas.openxmlformats.org/officeDocument/2006/relationships/hyperlink" Target="https://www.fr.capfriendly.com/waivers_calculator/martin-pospisil#results" TargetMode="External"/><Relationship Id="rId566" Type="http://schemas.openxmlformats.org/officeDocument/2006/relationships/hyperlink" Target="https://www.fr.capfriendly.com/waivers_calculator/bobo-carpenter#results" TargetMode="External"/><Relationship Id="rId731" Type="http://schemas.openxmlformats.org/officeDocument/2006/relationships/hyperlink" Target="https://www.fr.capfriendly.com/waivers_calculator/vitaly-abramov#results" TargetMode="External"/><Relationship Id="rId773" Type="http://schemas.openxmlformats.org/officeDocument/2006/relationships/hyperlink" Target="https://www.fr.capfriendly.com/waivers_calculator/tyson-jost#results" TargetMode="External"/><Relationship Id="rId98" Type="http://schemas.openxmlformats.org/officeDocument/2006/relationships/hyperlink" Target="https://www.capfriendly.com/waivers_calculator/henri-jokiharju#results" TargetMode="External"/><Relationship Id="rId121" Type="http://schemas.openxmlformats.org/officeDocument/2006/relationships/hyperlink" Target="https://www.capfriendly.com/waivers_calculator/jordy-bellerive#results" TargetMode="External"/><Relationship Id="rId163" Type="http://schemas.openxmlformats.org/officeDocument/2006/relationships/hyperlink" Target="https://www.capfriendly.com/waivers_calculator/joel-kiviranta#results" TargetMode="External"/><Relationship Id="rId219" Type="http://schemas.openxmlformats.org/officeDocument/2006/relationships/hyperlink" Target="https://www.capfriendly.com/waivers_calculator/igor-shesterkin#results" TargetMode="External"/><Relationship Id="rId370" Type="http://schemas.openxmlformats.org/officeDocument/2006/relationships/hyperlink" Target="https://www.fr.capfriendly.com/waivers_calculator/dylan-sikura#results" TargetMode="External"/><Relationship Id="rId426" Type="http://schemas.openxmlformats.org/officeDocument/2006/relationships/hyperlink" Target="https://www.fr.capfriendly.com/waivers_calculator/jared-mcisaac#results" TargetMode="External"/><Relationship Id="rId633" Type="http://schemas.openxmlformats.org/officeDocument/2006/relationships/hyperlink" Target="https://www.fr.capfriendly.com/waivers_calculator/austin-strand#results" TargetMode="External"/><Relationship Id="rId230" Type="http://schemas.openxmlformats.org/officeDocument/2006/relationships/hyperlink" Target="https://www.capfriendly.com/waivers_calculator/benjamin-jones#results" TargetMode="External"/><Relationship Id="rId468" Type="http://schemas.openxmlformats.org/officeDocument/2006/relationships/hyperlink" Target="https://www.fr.capfriendly.com/arbitration-calculator/2020/all/all/all/troy-stecher" TargetMode="External"/><Relationship Id="rId675" Type="http://schemas.openxmlformats.org/officeDocument/2006/relationships/hyperlink" Target="https://www.fr.capfriendly.com/waivers_calculator/mason-shaw#results" TargetMode="External"/><Relationship Id="rId25" Type="http://schemas.openxmlformats.org/officeDocument/2006/relationships/hyperlink" Target="https://www.capfriendly.com/waivers_calculator/kyle-keyser#results" TargetMode="External"/><Relationship Id="rId67" Type="http://schemas.openxmlformats.org/officeDocument/2006/relationships/hyperlink" Target="https://www.capfriendly.com/arbitration-calculator/2020/all/all/all/liam-obrien1" TargetMode="External"/><Relationship Id="rId272" Type="http://schemas.openxmlformats.org/officeDocument/2006/relationships/hyperlink" Target="https://www.capfriendly.com/waivers_calculator/nolan-stevens#results" TargetMode="External"/><Relationship Id="rId328" Type="http://schemas.openxmlformats.org/officeDocument/2006/relationships/hyperlink" Target="https://www.fr.capfriendly.com/waivers_calculator/olivier-rodrigue#results" TargetMode="External"/><Relationship Id="rId535" Type="http://schemas.openxmlformats.org/officeDocument/2006/relationships/hyperlink" Target="https://www.fr.capfriendly.com/waivers_calculator/nick-schneider#results" TargetMode="External"/><Relationship Id="rId577" Type="http://schemas.openxmlformats.org/officeDocument/2006/relationships/hyperlink" Target="https://www.fr.capfriendly.com/waivers_calculator/mitch-vande-sompel#results" TargetMode="External"/><Relationship Id="rId700" Type="http://schemas.openxmlformats.org/officeDocument/2006/relationships/hyperlink" Target="https://www.fr.capfriendly.com/waivers_calculator/isaac-ratcliffe#results" TargetMode="External"/><Relationship Id="rId742" Type="http://schemas.openxmlformats.org/officeDocument/2006/relationships/hyperlink" Target="https://www.fr.capfriendly.com/waivers_calculator/filip-gustavsson#results" TargetMode="External"/><Relationship Id="rId132" Type="http://schemas.openxmlformats.org/officeDocument/2006/relationships/hyperlink" Target="https://www.capfriendly.com/waivers_calculator/alex-dorio#results" TargetMode="External"/><Relationship Id="rId174" Type="http://schemas.openxmlformats.org/officeDocument/2006/relationships/hyperlink" Target="https://www.capfriendly.com/waivers_calculator/nicholas-caamano#results" TargetMode="External"/><Relationship Id="rId381" Type="http://schemas.openxmlformats.org/officeDocument/2006/relationships/hyperlink" Target="https://www.fr.capfriendly.com/waivers_calculator/kevin-lankinen#results" TargetMode="External"/><Relationship Id="rId602" Type="http://schemas.openxmlformats.org/officeDocument/2006/relationships/hyperlink" Target="https://www.fr.capfriendly.com/waivers_calculator/colton-white#results" TargetMode="External"/><Relationship Id="rId784" Type="http://schemas.openxmlformats.org/officeDocument/2006/relationships/hyperlink" Target="https://www.fr.capfriendly.com/waivers_calculator/sheldon-dries#results" TargetMode="External"/><Relationship Id="rId241" Type="http://schemas.openxmlformats.org/officeDocument/2006/relationships/hyperlink" Target="https://www.capfriendly.com/arbitration-calculator/2021/all/all/all/steven-santini" TargetMode="External"/><Relationship Id="rId437" Type="http://schemas.openxmlformats.org/officeDocument/2006/relationships/hyperlink" Target="https://www.fr.capfriendly.com/waivers_calculator/zachary-gallant#results" TargetMode="External"/><Relationship Id="rId479" Type="http://schemas.openxmlformats.org/officeDocument/2006/relationships/hyperlink" Target="https://www.fr.capfriendly.com/waivers_calculator/jett-woo#results" TargetMode="External"/><Relationship Id="rId644" Type="http://schemas.openxmlformats.org/officeDocument/2006/relationships/hyperlink" Target="https://www.fr.capfriendly.com/waivers_calculator/erik-cernak#results" TargetMode="External"/><Relationship Id="rId686" Type="http://schemas.openxmlformats.org/officeDocument/2006/relationships/hyperlink" Target="https://www.fr.capfriendly.com/waivers_calculator/louis-belpedio#results" TargetMode="External"/><Relationship Id="rId36" Type="http://schemas.openxmlformats.org/officeDocument/2006/relationships/hyperlink" Target="https://www.capfriendly.com/waivers_calculator/pierre-engvall#results" TargetMode="External"/><Relationship Id="rId283" Type="http://schemas.openxmlformats.org/officeDocument/2006/relationships/hyperlink" Target="https://www.capfriendly.com/waivers_calculator/henrik-borgstrom#results" TargetMode="External"/><Relationship Id="rId339" Type="http://schemas.openxmlformats.org/officeDocument/2006/relationships/hyperlink" Target="https://www.fr.capfriendly.com/waivers_calculator/janne-kuokkanen#results" TargetMode="External"/><Relationship Id="rId490" Type="http://schemas.openxmlformats.org/officeDocument/2006/relationships/hyperlink" Target="https://www.fr.capfriendly.com/arbitration-calculator/2020/all/all/all/brett-ritchie" TargetMode="External"/><Relationship Id="rId504" Type="http://schemas.openxmlformats.org/officeDocument/2006/relationships/hyperlink" Target="https://www.fr.capfriendly.com/waivers_calculator/ryan-fitzgerald#results" TargetMode="External"/><Relationship Id="rId546" Type="http://schemas.openxmlformats.org/officeDocument/2006/relationships/hyperlink" Target="https://www.fr.capfriendly.com/waivers_calculator/antoine-morand#results" TargetMode="External"/><Relationship Id="rId711" Type="http://schemas.openxmlformats.org/officeDocument/2006/relationships/hyperlink" Target="https://www.fr.capfriendly.com/waivers_calculator/felix-sandstrom#results" TargetMode="External"/><Relationship Id="rId753" Type="http://schemas.openxmlformats.org/officeDocument/2006/relationships/hyperlink" Target="https://www.fr.capfriendly.com/waivers_calculator/liam-foudy#results" TargetMode="External"/><Relationship Id="rId78" Type="http://schemas.openxmlformats.org/officeDocument/2006/relationships/hyperlink" Target="https://www.capfriendly.com/arbitration-calculator/2020/all/all/all/tyler-lewington" TargetMode="External"/><Relationship Id="rId101" Type="http://schemas.openxmlformats.org/officeDocument/2006/relationships/hyperlink" Target="https://www.capfriendly.com/waivers_calculator/william-borgen#results" TargetMode="External"/><Relationship Id="rId143" Type="http://schemas.openxmlformats.org/officeDocument/2006/relationships/hyperlink" Target="https://www.capfriendly.com/waivers_calculator/tyler-steenbergen#results" TargetMode="External"/><Relationship Id="rId185" Type="http://schemas.openxmlformats.org/officeDocument/2006/relationships/hyperlink" Target="https://www.capfriendly.com/waivers_calculator/jake-oettinger#results" TargetMode="External"/><Relationship Id="rId350" Type="http://schemas.openxmlformats.org/officeDocument/2006/relationships/hyperlink" Target="https://www.fr.capfriendly.com/waivers_calculator/callum-booth#results" TargetMode="External"/><Relationship Id="rId406" Type="http://schemas.openxmlformats.org/officeDocument/2006/relationships/hyperlink" Target="https://www.fr.capfriendly.com/waivers_calculator/cayden-primeau#results" TargetMode="External"/><Relationship Id="rId588" Type="http://schemas.openxmlformats.org/officeDocument/2006/relationships/hyperlink" Target="https://www.fr.capfriendly.com/waivers_calculator/joseph-anderson#results" TargetMode="External"/><Relationship Id="rId795" Type="http://schemas.openxmlformats.org/officeDocument/2006/relationships/hyperlink" Target="https://www.fr.capfriendly.com/waivers_calculator/jack-roslovic#results" TargetMode="External"/><Relationship Id="rId809" Type="http://schemas.openxmlformats.org/officeDocument/2006/relationships/hyperlink" Target="https://www.fr.capfriendly.com/arbitration-calculator/2020/all/all/all/cj-suess" TargetMode="External"/><Relationship Id="rId9" Type="http://schemas.openxmlformats.org/officeDocument/2006/relationships/hyperlink" Target="https://www.capfriendly.com/waivers_calculator/jakob-forsbacka-karlsson1#results" TargetMode="External"/><Relationship Id="rId210" Type="http://schemas.openxmlformats.org/officeDocument/2006/relationships/hyperlink" Target="https://www.capfriendly.com/arbitration-calculator/2020/all/all/all/danny-oregan" TargetMode="External"/><Relationship Id="rId392" Type="http://schemas.openxmlformats.org/officeDocument/2006/relationships/hyperlink" Target="https://www.fr.capfriendly.com/waivers_calculator/joel-teasdale#results" TargetMode="External"/><Relationship Id="rId448" Type="http://schemas.openxmlformats.org/officeDocument/2006/relationships/hyperlink" Target="https://www.fr.capfriendly.com/waivers_calculator/maxim-letunov#results" TargetMode="External"/><Relationship Id="rId613" Type="http://schemas.openxmlformats.org/officeDocument/2006/relationships/hyperlink" Target="https://www.fr.capfriendly.com/arbitration-calculator/2020/all/all/all/kurtis-macdermid" TargetMode="External"/><Relationship Id="rId655" Type="http://schemas.openxmlformats.org/officeDocument/2006/relationships/hyperlink" Target="https://www.fr.capfriendly.com/waivers_calculator/alex-barre-boulet#results" TargetMode="External"/><Relationship Id="rId697" Type="http://schemas.openxmlformats.org/officeDocument/2006/relationships/hyperlink" Target="https://www.fr.capfriendly.com/waivers_calculator/morgan-frost#results" TargetMode="External"/><Relationship Id="rId252" Type="http://schemas.openxmlformats.org/officeDocument/2006/relationships/hyperlink" Target="https://www.capfriendly.com/arbitration-calculator/2020/all/all/all/laurent-dauphin" TargetMode="External"/><Relationship Id="rId294" Type="http://schemas.openxmlformats.org/officeDocument/2006/relationships/hyperlink" Target="https://www.capfriendly.com/arbitration-calculator/2020/all/all/all/dominic-toninato" TargetMode="External"/><Relationship Id="rId308" Type="http://schemas.openxmlformats.org/officeDocument/2006/relationships/hyperlink" Target="https://www.fr.capfriendly.com/arbitration-calculator/2020/all/all/all/matthew-benning" TargetMode="External"/><Relationship Id="rId515" Type="http://schemas.openxmlformats.org/officeDocument/2006/relationships/hyperlink" Target="https://www.fr.capfriendly.com/waivers_calculator/daniel-vladar#results" TargetMode="External"/><Relationship Id="rId722" Type="http://schemas.openxmlformats.org/officeDocument/2006/relationships/hyperlink" Target="https://www.fr.capfriendly.com/waivers_calculator/christian-jaros#results" TargetMode="External"/><Relationship Id="rId47" Type="http://schemas.openxmlformats.org/officeDocument/2006/relationships/hyperlink" Target="https://www.capfriendly.com/waivers_calculator/jesper-lindgren#results" TargetMode="External"/><Relationship Id="rId89" Type="http://schemas.openxmlformats.org/officeDocument/2006/relationships/hyperlink" Target="https://www.capfriendly.com/waivers_calculator/arttu-ruotsalainen#results" TargetMode="External"/><Relationship Id="rId112" Type="http://schemas.openxmlformats.org/officeDocument/2006/relationships/hyperlink" Target="https://www.capfriendly.com/waivers_calculator/anthony-angello#results" TargetMode="External"/><Relationship Id="rId154" Type="http://schemas.openxmlformats.org/officeDocument/2006/relationships/hyperlink" Target="https://www.capfriendly.com/waivers_calculator/jalen-smereck#results" TargetMode="External"/><Relationship Id="rId361" Type="http://schemas.openxmlformats.org/officeDocument/2006/relationships/hyperlink" Target="https://www.fr.capfriendly.com/waivers_calculator/reese-johnson#results" TargetMode="External"/><Relationship Id="rId557" Type="http://schemas.openxmlformats.org/officeDocument/2006/relationships/hyperlink" Target="https://www.fr.capfriendly.com/waivers_calculator/angus-redmond#results" TargetMode="External"/><Relationship Id="rId599" Type="http://schemas.openxmlformats.org/officeDocument/2006/relationships/hyperlink" Target="https://www.fr.capfriendly.com/arbitration-calculator/2020/all/all/all/brandon-baddock" TargetMode="External"/><Relationship Id="rId764" Type="http://schemas.openxmlformats.org/officeDocument/2006/relationships/hyperlink" Target="https://www.fr.capfriendly.com/waivers_calculator/gabriel-carlsson#results" TargetMode="External"/><Relationship Id="rId196" Type="http://schemas.openxmlformats.org/officeDocument/2006/relationships/hyperlink" Target="https://www.capfriendly.com/waivers_calculator/libor-hajek#results" TargetMode="External"/><Relationship Id="rId417" Type="http://schemas.openxmlformats.org/officeDocument/2006/relationships/hyperlink" Target="https://www.fr.capfriendly.com/waivers_calculator/taro-hirose#results" TargetMode="External"/><Relationship Id="rId459" Type="http://schemas.openxmlformats.org/officeDocument/2006/relationships/hyperlink" Target="https://www.fr.capfriendly.com/arbitration-calculator/2021/all/all/all/nick-desimone" TargetMode="External"/><Relationship Id="rId624" Type="http://schemas.openxmlformats.org/officeDocument/2006/relationships/hyperlink" Target="https://www.fr.capfriendly.com/waivers_calculator/drake-rymsha#results" TargetMode="External"/><Relationship Id="rId666" Type="http://schemas.openxmlformats.org/officeDocument/2006/relationships/hyperlink" Target="https://www.fr.capfriendly.com/waivers_calculator/ryan-donato#results" TargetMode="External"/><Relationship Id="rId16" Type="http://schemas.openxmlformats.org/officeDocument/2006/relationships/hyperlink" Target="https://www.capfriendly.com/waivers_calculator/emil-johansson#results" TargetMode="External"/><Relationship Id="rId221" Type="http://schemas.openxmlformats.org/officeDocument/2006/relationships/hyperlink" Target="https://www.capfriendly.com/arbitration-calculator/2020/all/all/all/valentin-zykov" TargetMode="External"/><Relationship Id="rId263" Type="http://schemas.openxmlformats.org/officeDocument/2006/relationships/hyperlink" Target="https://www.capfriendly.com/waivers_calculator/dominik-bokk#results" TargetMode="External"/><Relationship Id="rId319" Type="http://schemas.openxmlformats.org/officeDocument/2006/relationships/hyperlink" Target="https://www.fr.capfriendly.com/waivers_calculator/cameron-hebig#results" TargetMode="External"/><Relationship Id="rId470" Type="http://schemas.openxmlformats.org/officeDocument/2006/relationships/hyperlink" Target="https://www.fr.capfriendly.com/waivers_calculator/thatcher-demko#results" TargetMode="External"/><Relationship Id="rId526" Type="http://schemas.openxmlformats.org/officeDocument/2006/relationships/hyperlink" Target="https://www.fr.capfriendly.com/waivers_calculator/glenn-gawdin#results" TargetMode="External"/><Relationship Id="rId58" Type="http://schemas.openxmlformats.org/officeDocument/2006/relationships/hyperlink" Target="https://www.capfriendly.com/waivers_calculator/axel-jonsson-fjallby#results" TargetMode="External"/><Relationship Id="rId123" Type="http://schemas.openxmlformats.org/officeDocument/2006/relationships/hyperlink" Target="https://www.capfriendly.com/arbitration-calculator/2020/all/all/all/joseph-blandisi" TargetMode="External"/><Relationship Id="rId330" Type="http://schemas.openxmlformats.org/officeDocument/2006/relationships/hyperlink" Target="https://www.fr.capfriendly.com/waivers_calculator/dylan-wells#results" TargetMode="External"/><Relationship Id="rId568" Type="http://schemas.openxmlformats.org/officeDocument/2006/relationships/hyperlink" Target="https://www.fr.capfriendly.com/waivers_calculator/otto-koivula#results" TargetMode="External"/><Relationship Id="rId733" Type="http://schemas.openxmlformats.org/officeDocument/2006/relationships/hyperlink" Target="https://www.fr.capfriendly.com/waivers_calculator/parker-kelly#results" TargetMode="External"/><Relationship Id="rId775" Type="http://schemas.openxmlformats.org/officeDocument/2006/relationships/hyperlink" Target="https://www.fr.capfriendly.com/waivers_calculator/cale-makar#results" TargetMode="External"/><Relationship Id="rId165" Type="http://schemas.openxmlformats.org/officeDocument/2006/relationships/hyperlink" Target="https://www.capfriendly.com/waivers_calculator/tye-felhaber#results" TargetMode="External"/><Relationship Id="rId372" Type="http://schemas.openxmlformats.org/officeDocument/2006/relationships/hyperlink" Target="https://www.fr.capfriendly.com/waivers_calculator/alexandre-fortin#results" TargetMode="External"/><Relationship Id="rId428" Type="http://schemas.openxmlformats.org/officeDocument/2006/relationships/hyperlink" Target="https://www.fr.capfriendly.com/waivers_calculator/vili-saarijarvi#results" TargetMode="External"/><Relationship Id="rId635" Type="http://schemas.openxmlformats.org/officeDocument/2006/relationships/hyperlink" Target="https://www.fr.capfriendly.com/waivers_calculator/jacob-moverare#results" TargetMode="External"/><Relationship Id="rId677" Type="http://schemas.openxmlformats.org/officeDocument/2006/relationships/hyperlink" Target="https://www.fr.capfriendly.com/waivers_calculator/ivan-lodnia#results" TargetMode="External"/><Relationship Id="rId800" Type="http://schemas.openxmlformats.org/officeDocument/2006/relationships/hyperlink" Target="https://www.fr.capfriendly.com/waivers_calculator/kristian-vesalainen#results" TargetMode="External"/><Relationship Id="rId232" Type="http://schemas.openxmlformats.org/officeDocument/2006/relationships/hyperlink" Target="https://www.capfriendly.com/waivers_calculator/gage-quinney#results" TargetMode="External"/><Relationship Id="rId274" Type="http://schemas.openxmlformats.org/officeDocument/2006/relationships/hyperlink" Target="https://www.capfriendly.com/waivers_calculator/niko-mikkola#results" TargetMode="External"/><Relationship Id="rId481" Type="http://schemas.openxmlformats.org/officeDocument/2006/relationships/hyperlink" Target="https://www.fr.capfriendly.com/waivers_calculator/mitch-eliot#results" TargetMode="External"/><Relationship Id="rId702" Type="http://schemas.openxmlformats.org/officeDocument/2006/relationships/hyperlink" Target="https://www.fr.capfriendly.com/waivers_calculator/maksim-sushko#results" TargetMode="External"/><Relationship Id="rId27" Type="http://schemas.openxmlformats.org/officeDocument/2006/relationships/hyperlink" Target="https://www.capfriendly.com/arbitration-calculator/2019/all/all/all/zane-mcintyre" TargetMode="External"/><Relationship Id="rId69" Type="http://schemas.openxmlformats.org/officeDocument/2006/relationships/hyperlink" Target="https://www.capfriendly.com/waivers_calculator/bobby-nardella#results" TargetMode="External"/><Relationship Id="rId134" Type="http://schemas.openxmlformats.org/officeDocument/2006/relationships/hyperlink" Target="https://www.capfriendly.com/arbitration-calculator/2020/all/all/all/vinnie-hinostroza" TargetMode="External"/><Relationship Id="rId537" Type="http://schemas.openxmlformats.org/officeDocument/2006/relationships/hyperlink" Target="https://www.fr.capfriendly.com/arbitration-calculator/2020/all/all/all/devin-shore" TargetMode="External"/><Relationship Id="rId579" Type="http://schemas.openxmlformats.org/officeDocument/2006/relationships/hyperlink" Target="https://www.fr.capfriendly.com/waivers_calculator/linus-soderstrom#results" TargetMode="External"/><Relationship Id="rId744" Type="http://schemas.openxmlformats.org/officeDocument/2006/relationships/hyperlink" Target="https://www.fr.capfriendly.com/arbitration-calculator/2021/all/all/all/marcus-hogberg" TargetMode="External"/><Relationship Id="rId786" Type="http://schemas.openxmlformats.org/officeDocument/2006/relationships/hyperlink" Target="https://www.fr.capfriendly.com/waivers_calculator/ty-lewis#results" TargetMode="External"/><Relationship Id="rId80" Type="http://schemas.openxmlformats.org/officeDocument/2006/relationships/hyperlink" Target="https://www.capfriendly.com/waivers_calculator/vitek-vanecek#results" TargetMode="External"/><Relationship Id="rId176" Type="http://schemas.openxmlformats.org/officeDocument/2006/relationships/hyperlink" Target="https://www.capfriendly.com/waivers_calculator/joseph-cecconi#results" TargetMode="External"/><Relationship Id="rId341" Type="http://schemas.openxmlformats.org/officeDocument/2006/relationships/hyperlink" Target="https://www.fr.capfriendly.com/waivers_calculator/morgan-geekie#results" TargetMode="External"/><Relationship Id="rId383" Type="http://schemas.openxmlformats.org/officeDocument/2006/relationships/hyperlink" Target="https://www.fr.capfriendly.com/arbitration-calculator/2021/all/all/all/artturi-lehkonen" TargetMode="External"/><Relationship Id="rId439" Type="http://schemas.openxmlformats.org/officeDocument/2006/relationships/hyperlink" Target="https://www.fr.capfriendly.com/waivers_calculator/alexander-chmelevski#results" TargetMode="External"/><Relationship Id="rId590" Type="http://schemas.openxmlformats.org/officeDocument/2006/relationships/hyperlink" Target="https://www.fr.capfriendly.com/waivers_calculator/michael-mcleod#results" TargetMode="External"/><Relationship Id="rId604" Type="http://schemas.openxmlformats.org/officeDocument/2006/relationships/hyperlink" Target="https://www.fr.capfriendly.com/waivers_calculator/colby-sissons#results" TargetMode="External"/><Relationship Id="rId646" Type="http://schemas.openxmlformats.org/officeDocument/2006/relationships/hyperlink" Target="https://www.fr.capfriendly.com/waivers_calculator/alexander-volkov#results" TargetMode="External"/><Relationship Id="rId811" Type="http://schemas.openxmlformats.org/officeDocument/2006/relationships/hyperlink" Target="https://www.fr.capfriendly.com/waivers_calculator/ville-heinola#results" TargetMode="External"/><Relationship Id="rId201" Type="http://schemas.openxmlformats.org/officeDocument/2006/relationships/hyperlink" Target="https://www.capfriendly.com/waivers_calculator/ryan-gropp#results" TargetMode="External"/><Relationship Id="rId243" Type="http://schemas.openxmlformats.org/officeDocument/2006/relationships/hyperlink" Target="https://www.capfriendly.com/arbitration-calculator/2021/all/all/all/juuse-saros" TargetMode="External"/><Relationship Id="rId285" Type="http://schemas.openxmlformats.org/officeDocument/2006/relationships/hyperlink" Target="https://www.capfriendly.com/arbitration-calculator/2020/all/all/all/ian-mccoshen" TargetMode="External"/><Relationship Id="rId450" Type="http://schemas.openxmlformats.org/officeDocument/2006/relationships/hyperlink" Target="https://www.fr.capfriendly.com/arbitration-calculator/2020/all/all/all/antti-suomela" TargetMode="External"/><Relationship Id="rId506" Type="http://schemas.openxmlformats.org/officeDocument/2006/relationships/hyperlink" Target="https://www.fr.capfriendly.com/arbitration-calculator/2020/all/all/all/brendan-gaunce" TargetMode="External"/><Relationship Id="rId688" Type="http://schemas.openxmlformats.org/officeDocument/2006/relationships/hyperlink" Target="https://www.fr.capfriendly.com/waivers_calculator/mat-robson#results" TargetMode="External"/><Relationship Id="rId38" Type="http://schemas.openxmlformats.org/officeDocument/2006/relationships/hyperlink" Target="https://www.capfriendly.com/waivers_calculator/semyon-der-arguchintsev#results" TargetMode="External"/><Relationship Id="rId103" Type="http://schemas.openxmlformats.org/officeDocument/2006/relationships/hyperlink" Target="https://www.capfriendly.com/waivers_calculator/devante-stephens#results" TargetMode="External"/><Relationship Id="rId310" Type="http://schemas.openxmlformats.org/officeDocument/2006/relationships/hyperlink" Target="https://www.fr.capfriendly.com/arbitration-calculator/2020/all/all/all/joel-persson" TargetMode="External"/><Relationship Id="rId492" Type="http://schemas.openxmlformats.org/officeDocument/2006/relationships/hyperlink" Target="https://www.fr.capfriendly.com/arbitration-calculator/2020/all/all/all/matt-grzelcyk" TargetMode="External"/><Relationship Id="rId548" Type="http://schemas.openxmlformats.org/officeDocument/2006/relationships/hyperlink" Target="https://www.fr.capfriendly.com/arbitration-calculator/2020/all/all/all/chase-de-leo" TargetMode="External"/><Relationship Id="rId713" Type="http://schemas.openxmlformats.org/officeDocument/2006/relationships/hyperlink" Target="https://www.fr.capfriendly.com/arbitration-calculator/2020/all/all/all/connor-brown" TargetMode="External"/><Relationship Id="rId755" Type="http://schemas.openxmlformats.org/officeDocument/2006/relationships/hyperlink" Target="https://www.fr.capfriendly.com/waivers_calculator/trey-fix-wolansky#results" TargetMode="External"/><Relationship Id="rId797" Type="http://schemas.openxmlformats.org/officeDocument/2006/relationships/hyperlink" Target="https://www.fr.capfriendly.com/arbitration-calculator/2021/all/all/all/neal-pionk" TargetMode="External"/><Relationship Id="rId91" Type="http://schemas.openxmlformats.org/officeDocument/2006/relationships/hyperlink" Target="https://www.capfriendly.com/waivers_calculator/rasmus-asplund#results" TargetMode="External"/><Relationship Id="rId145" Type="http://schemas.openxmlformats.org/officeDocument/2006/relationships/hyperlink" Target="https://www.capfriendly.com/arbitration-calculator/2021/all/all/all/michael-bunting" TargetMode="External"/><Relationship Id="rId187" Type="http://schemas.openxmlformats.org/officeDocument/2006/relationships/hyperlink" Target="https://www.capfriendly.com/arbitration-calculator/2020/all/all/all/landon-bow" TargetMode="External"/><Relationship Id="rId352" Type="http://schemas.openxmlformats.org/officeDocument/2006/relationships/hyperlink" Target="https://www.fr.capfriendly.com/arbitration-calculator/2020/all/all/all/drake-caggiula" TargetMode="External"/><Relationship Id="rId394" Type="http://schemas.openxmlformats.org/officeDocument/2006/relationships/hyperlink" Target="https://www.fr.capfriendly.com/waivers_calculator/alexandre-alain#results" TargetMode="External"/><Relationship Id="rId408" Type="http://schemas.openxmlformats.org/officeDocument/2006/relationships/hyperlink" Target="https://www.fr.capfriendly.com/arbitration-calculator/2020/all/all/all/anthony-mantha" TargetMode="External"/><Relationship Id="rId615" Type="http://schemas.openxmlformats.org/officeDocument/2006/relationships/hyperlink" Target="https://www.fr.capfriendly.com/waivers_calculator/rasmus-kupari#results" TargetMode="External"/><Relationship Id="rId212" Type="http://schemas.openxmlformats.org/officeDocument/2006/relationships/hyperlink" Target="https://www.capfriendly.com/waivers_calculator/ryan-lindgren#results" TargetMode="External"/><Relationship Id="rId254" Type="http://schemas.openxmlformats.org/officeDocument/2006/relationships/hyperlink" Target="https://www.capfriendly.com/waivers_calculator/brandon-fortunato#results" TargetMode="External"/><Relationship Id="rId657" Type="http://schemas.openxmlformats.org/officeDocument/2006/relationships/hyperlink" Target="https://www.fr.capfriendly.com/waivers_calculator/dennis-yan#results" TargetMode="External"/><Relationship Id="rId699" Type="http://schemas.openxmlformats.org/officeDocument/2006/relationships/hyperlink" Target="https://www.fr.capfriendly.com/waivers_calculator/pascal-laberge#results" TargetMode="External"/><Relationship Id="rId49" Type="http://schemas.openxmlformats.org/officeDocument/2006/relationships/hyperlink" Target="https://www.capfriendly.com/waivers_calculator/joseph-woll#results" TargetMode="External"/><Relationship Id="rId114" Type="http://schemas.openxmlformats.org/officeDocument/2006/relationships/hyperlink" Target="https://www.capfriendly.com/waivers_calculator/justin-almeida#results" TargetMode="External"/><Relationship Id="rId296" Type="http://schemas.openxmlformats.org/officeDocument/2006/relationships/hyperlink" Target="https://www.capfriendly.com/waivers_calculator/cliff-pu#results" TargetMode="External"/><Relationship Id="rId461" Type="http://schemas.openxmlformats.org/officeDocument/2006/relationships/hyperlink" Target="https://www.fr.capfriendly.com/waivers_calculator/zacharie-emond#results" TargetMode="External"/><Relationship Id="rId517" Type="http://schemas.openxmlformats.org/officeDocument/2006/relationships/hyperlink" Target="https://www.fr.capfriendly.com/arbitration-calculator/2020/all/all/all/mark-jankowski" TargetMode="External"/><Relationship Id="rId559" Type="http://schemas.openxmlformats.org/officeDocument/2006/relationships/hyperlink" Target="https://www.fr.capfriendly.com/waivers_calculator/olle-eriksson-ek#results" TargetMode="External"/><Relationship Id="rId724" Type="http://schemas.openxmlformats.org/officeDocument/2006/relationships/hyperlink" Target="https://www.fr.capfriendly.com/waivers_calculator/jonathan-gruden#results" TargetMode="External"/><Relationship Id="rId766" Type="http://schemas.openxmlformats.org/officeDocument/2006/relationships/hyperlink" Target="https://www.fr.capfriendly.com/waivers_calculator/michael-prapavessis#results" TargetMode="External"/><Relationship Id="rId60" Type="http://schemas.openxmlformats.org/officeDocument/2006/relationships/hyperlink" Target="https://www.capfriendly.com/waivers_calculator/kody-clark#results" TargetMode="External"/><Relationship Id="rId156" Type="http://schemas.openxmlformats.org/officeDocument/2006/relationships/hyperlink" Target="https://www.capfriendly.com/waivers_calculator/ivan-prosvetov#results" TargetMode="External"/><Relationship Id="rId198" Type="http://schemas.openxmlformats.org/officeDocument/2006/relationships/hyperlink" Target="https://www.capfriendly.com/waivers_calculator/ville-meskanen#results" TargetMode="External"/><Relationship Id="rId321" Type="http://schemas.openxmlformats.org/officeDocument/2006/relationships/hyperlink" Target="https://www.fr.capfriendly.com/waivers_calculator/evan-bouchard#results" TargetMode="External"/><Relationship Id="rId363" Type="http://schemas.openxmlformats.org/officeDocument/2006/relationships/hyperlink" Target="https://www.fr.capfriendly.com/waivers_calculator/philipp-kurashev#results" TargetMode="External"/><Relationship Id="rId419" Type="http://schemas.openxmlformats.org/officeDocument/2006/relationships/hyperlink" Target="https://www.fr.capfriendly.com/waivers_calculator/filip-zadina#results" TargetMode="External"/><Relationship Id="rId570" Type="http://schemas.openxmlformats.org/officeDocument/2006/relationships/hyperlink" Target="https://www.fr.capfriendly.com/waivers_calculator/scott-eansor#results" TargetMode="External"/><Relationship Id="rId626" Type="http://schemas.openxmlformats.org/officeDocument/2006/relationships/hyperlink" Target="https://www.fr.capfriendly.com/arbitration-calculator/2020/all/all/all/martin-frk" TargetMode="External"/><Relationship Id="rId223" Type="http://schemas.openxmlformats.org/officeDocument/2006/relationships/hyperlink" Target="https://www.capfriendly.com/waivers_calculator/cody-glass#results" TargetMode="External"/><Relationship Id="rId430" Type="http://schemas.openxmlformats.org/officeDocument/2006/relationships/hyperlink" Target="https://www.fr.capfriendly.com/waivers_calculator/kaden-fulcher#results" TargetMode="External"/><Relationship Id="rId668" Type="http://schemas.openxmlformats.org/officeDocument/2006/relationships/hyperlink" Target="https://www.fr.capfriendly.com/waivers_calculator/brandon-duhaime#results" TargetMode="External"/><Relationship Id="rId18" Type="http://schemas.openxmlformats.org/officeDocument/2006/relationships/hyperlink" Target="https://www.capfriendly.com/waivers_calculator/joona-koppanen#results" TargetMode="External"/><Relationship Id="rId265" Type="http://schemas.openxmlformats.org/officeDocument/2006/relationships/hyperlink" Target="https://www.capfriendly.com/waivers_calculator/nikita-alexandrov#results" TargetMode="External"/><Relationship Id="rId472" Type="http://schemas.openxmlformats.org/officeDocument/2006/relationships/hyperlink" Target="https://www.fr.capfriendly.com/waivers_calculator/kole-lind#results" TargetMode="External"/><Relationship Id="rId528" Type="http://schemas.openxmlformats.org/officeDocument/2006/relationships/hyperlink" Target="https://www.fr.capfriendly.com/waivers_calculator/ryan-lomberg#results" TargetMode="External"/><Relationship Id="rId735" Type="http://schemas.openxmlformats.org/officeDocument/2006/relationships/hyperlink" Target="https://www.fr.capfriendly.com/arbitration-calculator/2020/all/all/all/jack-rodewald" TargetMode="External"/><Relationship Id="rId125" Type="http://schemas.openxmlformats.org/officeDocument/2006/relationships/hyperlink" Target="https://www.capfriendly.com/arbitration-calculator/2020/all/all/all/adam-johnson" TargetMode="External"/><Relationship Id="rId167" Type="http://schemas.openxmlformats.org/officeDocument/2006/relationships/hyperlink" Target="https://www.capfriendly.com/waivers_calculator/josh-melnick#results" TargetMode="External"/><Relationship Id="rId332" Type="http://schemas.openxmlformats.org/officeDocument/2006/relationships/hyperlink" Target="https://www.fr.capfriendly.com/arbitration-calculator/2020/all/all/all/shane-starrett" TargetMode="External"/><Relationship Id="rId374" Type="http://schemas.openxmlformats.org/officeDocument/2006/relationships/hyperlink" Target="https://www.fr.capfriendly.com/waivers_calculator/dennis-gilbert#results" TargetMode="External"/><Relationship Id="rId581" Type="http://schemas.openxmlformats.org/officeDocument/2006/relationships/hyperlink" Target="https://www.fr.capfriendly.com/arbitration-calculator/2022/all/all/all/miles-wood" TargetMode="External"/><Relationship Id="rId777" Type="http://schemas.openxmlformats.org/officeDocument/2006/relationships/hyperlink" Target="https://www.fr.capfriendly.com/waivers_calculator/josh-dickinson#results" TargetMode="External"/><Relationship Id="rId71" Type="http://schemas.openxmlformats.org/officeDocument/2006/relationships/hyperlink" Target="https://www.capfriendly.com/waivers_calculator/alexander-alexeyev#results" TargetMode="External"/><Relationship Id="rId234" Type="http://schemas.openxmlformats.org/officeDocument/2006/relationships/hyperlink" Target="https://www.capfriendly.com/waivers_calculator/zach-whitecloud#results" TargetMode="External"/><Relationship Id="rId637" Type="http://schemas.openxmlformats.org/officeDocument/2006/relationships/hyperlink" Target="https://www.fr.capfriendly.com/waivers_calculator/cal-petersen#results" TargetMode="External"/><Relationship Id="rId679" Type="http://schemas.openxmlformats.org/officeDocument/2006/relationships/hyperlink" Target="https://www.fr.capfriendly.com/arbitration-calculator/2021/all/all/all/luke-johnson" TargetMode="External"/><Relationship Id="rId802" Type="http://schemas.openxmlformats.org/officeDocument/2006/relationships/hyperlink" Target="https://www.fr.capfriendly.com/waivers_calculator/andrei-chibisov#results" TargetMode="External"/><Relationship Id="rId2" Type="http://schemas.openxmlformats.org/officeDocument/2006/relationships/hyperlink" Target="https://www.capfriendly.com/waivers_calculator/ryan-donato#results" TargetMode="External"/><Relationship Id="rId29" Type="http://schemas.openxmlformats.org/officeDocument/2006/relationships/hyperlink" Target="https://www.capfriendly.com/arbitration-calculator/2021/all/all/all/nicolas-petan" TargetMode="External"/><Relationship Id="rId276" Type="http://schemas.openxmlformats.org/officeDocument/2006/relationships/hyperlink" Target="https://www.capfriendly.com/arbitration-calculator/2020/all/all/all/jake-dotchin" TargetMode="External"/><Relationship Id="rId441" Type="http://schemas.openxmlformats.org/officeDocument/2006/relationships/hyperlink" Target="https://www.fr.capfriendly.com/waivers_calculator/jacob-mcgrew#results" TargetMode="External"/><Relationship Id="rId483" Type="http://schemas.openxmlformats.org/officeDocument/2006/relationships/hyperlink" Target="https://www.fr.capfriendly.com/waivers_calculator/josh-teves#results" TargetMode="External"/><Relationship Id="rId539" Type="http://schemas.openxmlformats.org/officeDocument/2006/relationships/hyperlink" Target="https://www.fr.capfriendly.com/waivers_calculator/troy-terry#results" TargetMode="External"/><Relationship Id="rId690" Type="http://schemas.openxmlformats.org/officeDocument/2006/relationships/hyperlink" Target="https://www.fr.capfriendly.com/waivers_calculator/dereck-baribeau#results" TargetMode="External"/><Relationship Id="rId704" Type="http://schemas.openxmlformats.org/officeDocument/2006/relationships/hyperlink" Target="https://www.fr.capfriendly.com/waivers_calculator/david-kase#results" TargetMode="External"/><Relationship Id="rId746" Type="http://schemas.openxmlformats.org/officeDocument/2006/relationships/hyperlink" Target="https://www.fr.capfriendly.com/arbitration-calculator/2020/all/all/all/josh-anderson" TargetMode="External"/><Relationship Id="rId40" Type="http://schemas.openxmlformats.org/officeDocument/2006/relationships/hyperlink" Target="https://www.capfriendly.com/waivers_calculator/adam-brooks#results" TargetMode="External"/><Relationship Id="rId136" Type="http://schemas.openxmlformats.org/officeDocument/2006/relationships/hyperlink" Target="https://www.capfriendly.com/waivers_calculator/ilya-lyubushkin#results" TargetMode="External"/><Relationship Id="rId178" Type="http://schemas.openxmlformats.org/officeDocument/2006/relationships/hyperlink" Target="https://www.capfriendly.com/waivers_calculator/benjamin-gleason#results" TargetMode="External"/><Relationship Id="rId301" Type="http://schemas.openxmlformats.org/officeDocument/2006/relationships/hyperlink" Target="https://www.capfriendly.com/waivers_calculator/jake-massie#results" TargetMode="External"/><Relationship Id="rId343" Type="http://schemas.openxmlformats.org/officeDocument/2006/relationships/hyperlink" Target="https://www.fr.capfriendly.com/waivers_calculator/steven-lorentz#results" TargetMode="External"/><Relationship Id="rId550" Type="http://schemas.openxmlformats.org/officeDocument/2006/relationships/hyperlink" Target="https://www.fr.capfriendly.com/waivers_calculator/deven-sideroff#results" TargetMode="External"/><Relationship Id="rId788" Type="http://schemas.openxmlformats.org/officeDocument/2006/relationships/hyperlink" Target="https://www.fr.capfriendly.com/waivers_calculator/bowen-byram#results" TargetMode="External"/><Relationship Id="rId82" Type="http://schemas.openxmlformats.org/officeDocument/2006/relationships/hyperlink" Target="https://www.capfriendly.com/arbitration-calculator/2020/all/all/all/evan-rodrigues" TargetMode="External"/><Relationship Id="rId203" Type="http://schemas.openxmlformats.org/officeDocument/2006/relationships/hyperlink" Target="https://www.capfriendly.com/waivers_calculator/ty-ronning#results" TargetMode="External"/><Relationship Id="rId385" Type="http://schemas.openxmlformats.org/officeDocument/2006/relationships/hyperlink" Target="https://www.fr.capfriendly.com/waivers_calculator/jesperi-kotkaniemi#results" TargetMode="External"/><Relationship Id="rId592" Type="http://schemas.openxmlformats.org/officeDocument/2006/relationships/hyperlink" Target="https://www.fr.capfriendly.com/waivers_calculator/mikhail-maltsev#results" TargetMode="External"/><Relationship Id="rId606" Type="http://schemas.openxmlformats.org/officeDocument/2006/relationships/hyperlink" Target="https://www.fr.capfriendly.com/waivers_calculator/evan-cormier#results" TargetMode="External"/><Relationship Id="rId648" Type="http://schemas.openxmlformats.org/officeDocument/2006/relationships/hyperlink" Target="https://www.fr.capfriendly.com/waivers_calculator/boris-katchouk#results" TargetMode="External"/><Relationship Id="rId813" Type="http://schemas.openxmlformats.org/officeDocument/2006/relationships/hyperlink" Target="https://www.fr.capfriendly.com/waivers_calculator/leon-gawanke#results" TargetMode="External"/><Relationship Id="rId245" Type="http://schemas.openxmlformats.org/officeDocument/2006/relationships/hyperlink" Target="https://www.capfriendly.com/waivers_calculator/lukas-craggs#results" TargetMode="External"/><Relationship Id="rId287" Type="http://schemas.openxmlformats.org/officeDocument/2006/relationships/hyperlink" Target="https://www.capfriendly.com/waivers_calculator/samuel-montembeault#results" TargetMode="External"/><Relationship Id="rId410" Type="http://schemas.openxmlformats.org/officeDocument/2006/relationships/hyperlink" Target="https://www.fr.capfriendly.com/arbitration-calculator/2020/all/all/all/tyler-bertuzzi" TargetMode="External"/><Relationship Id="rId452" Type="http://schemas.openxmlformats.org/officeDocument/2006/relationships/hyperlink" Target="https://www.fr.capfriendly.com/waivers_calculator/ryan-merkley#results" TargetMode="External"/><Relationship Id="rId494" Type="http://schemas.openxmlformats.org/officeDocument/2006/relationships/hyperlink" Target="https://www.fr.capfriendly.com/waivers_calculator/charlie-mcavoy#results" TargetMode="External"/><Relationship Id="rId508" Type="http://schemas.openxmlformats.org/officeDocument/2006/relationships/hyperlink" Target="https://www.fr.capfriendly.com/arbitration-calculator/2020/all/all/all/peter-cehlarik" TargetMode="External"/><Relationship Id="rId715" Type="http://schemas.openxmlformats.org/officeDocument/2006/relationships/hyperlink" Target="https://www.fr.capfriendly.com/waivers_calculator/max-veronneau#results" TargetMode="External"/><Relationship Id="rId105" Type="http://schemas.openxmlformats.org/officeDocument/2006/relationships/hyperlink" Target="https://www.capfriendly.com/waivers_calculator/jonas-johansson#results" TargetMode="External"/><Relationship Id="rId147" Type="http://schemas.openxmlformats.org/officeDocument/2006/relationships/hyperlink" Target="https://www.capfriendly.com/waivers_calculator/lane-pederson#results" TargetMode="External"/><Relationship Id="rId312" Type="http://schemas.openxmlformats.org/officeDocument/2006/relationships/hyperlink" Target="https://www.fr.capfriendly.com/waivers_calculator/cooper-marody#results" TargetMode="External"/><Relationship Id="rId354" Type="http://schemas.openxmlformats.org/officeDocument/2006/relationships/hyperlink" Target="https://www.fr.capfriendly.com/waivers_calculator/dylan-strome#results" TargetMode="External"/><Relationship Id="rId757" Type="http://schemas.openxmlformats.org/officeDocument/2006/relationships/hyperlink" Target="https://www.fr.capfriendly.com/waivers_calculator/jakob-lilja#results" TargetMode="External"/><Relationship Id="rId799" Type="http://schemas.openxmlformats.org/officeDocument/2006/relationships/hyperlink" Target="https://www.fr.capfriendly.com/arbitration-calculator/all/all/all/eric-comrie" TargetMode="External"/><Relationship Id="rId51" Type="http://schemas.openxmlformats.org/officeDocument/2006/relationships/hyperlink" Target="https://www.capfriendly.com/arbitration-calculator/2020/all/all/all/chandler-stephenson" TargetMode="External"/><Relationship Id="rId93" Type="http://schemas.openxmlformats.org/officeDocument/2006/relationships/hyperlink" Target="https://www.capfriendly.com/waivers_calculator/victor-olofsson#results" TargetMode="External"/><Relationship Id="rId189" Type="http://schemas.openxmlformats.org/officeDocument/2006/relationships/hyperlink" Target="https://www.capfriendly.com/arbitration-calculator/2020/all/all/all/ryan-strome" TargetMode="External"/><Relationship Id="rId396" Type="http://schemas.openxmlformats.org/officeDocument/2006/relationships/hyperlink" Target="https://www.fr.capfriendly.com/waivers_calculator/antoine-waked#results" TargetMode="External"/><Relationship Id="rId561" Type="http://schemas.openxmlformats.org/officeDocument/2006/relationships/hyperlink" Target="https://www.fr.capfriendly.com/arbitration-calculator/2021/all/all/all/adam-pelech" TargetMode="External"/><Relationship Id="rId617" Type="http://schemas.openxmlformats.org/officeDocument/2006/relationships/hyperlink" Target="https://www.fr.capfriendly.com/waivers_calculator/sheldon-rempal#results" TargetMode="External"/><Relationship Id="rId659" Type="http://schemas.openxmlformats.org/officeDocument/2006/relationships/hyperlink" Target="https://www.fr.capfriendly.com/arbitration-calculator/2020/all/all/all/carter-verhaeghe" TargetMode="External"/><Relationship Id="rId214" Type="http://schemas.openxmlformats.org/officeDocument/2006/relationships/hyperlink" Target="https://www.capfriendly.com/waivers_calculator/joey-keane#results" TargetMode="External"/><Relationship Id="rId256" Type="http://schemas.openxmlformats.org/officeDocument/2006/relationships/hyperlink" Target="https://www.capfriendly.com/waivers_calculator/niclas-westerholm#results" TargetMode="External"/><Relationship Id="rId298" Type="http://schemas.openxmlformats.org/officeDocument/2006/relationships/hyperlink" Target="https://www.capfriendly.com/arbitration-calculator/2020/all/all/all/anthony-greco" TargetMode="External"/><Relationship Id="rId421" Type="http://schemas.openxmlformats.org/officeDocument/2006/relationships/hyperlink" Target="https://www.fr.capfriendly.com/waivers_calculator/christoffer-ehn#results" TargetMode="External"/><Relationship Id="rId463" Type="http://schemas.openxmlformats.org/officeDocument/2006/relationships/hyperlink" Target="https://www.fr.capfriendly.com/arbitration-calculator/2020/all/all/all/antoine-bibeau" TargetMode="External"/><Relationship Id="rId519" Type="http://schemas.openxmlformats.org/officeDocument/2006/relationships/hyperlink" Target="https://www.fr.capfriendly.com/waivers_calculator/oliver-kylington#results" TargetMode="External"/><Relationship Id="rId670" Type="http://schemas.openxmlformats.org/officeDocument/2006/relationships/hyperlink" Target="https://www.fr.capfriendly.com/waivers_calculator/jordan-greenway#results" TargetMode="External"/><Relationship Id="rId116" Type="http://schemas.openxmlformats.org/officeDocument/2006/relationships/hyperlink" Target="https://www.capfriendly.com/waivers_calculator/jacob-lucchini#results" TargetMode="External"/><Relationship Id="rId158" Type="http://schemas.openxmlformats.org/officeDocument/2006/relationships/hyperlink" Target="https://www.capfriendly.com/waivers_calculator/adin-hill#results" TargetMode="External"/><Relationship Id="rId323" Type="http://schemas.openxmlformats.org/officeDocument/2006/relationships/hyperlink" Target="https://www.fr.capfriendly.com/waivers_calculator/dmitri-samorukov#results" TargetMode="External"/><Relationship Id="rId530" Type="http://schemas.openxmlformats.org/officeDocument/2006/relationships/hyperlink" Target="https://www.fr.capfriendly.com/waivers_calculator/carl-johan-lerby#results" TargetMode="External"/><Relationship Id="rId726" Type="http://schemas.openxmlformats.org/officeDocument/2006/relationships/hyperlink" Target="https://www.fr.capfriendly.com/waivers_calculator/andrew-sturtz#results" TargetMode="External"/><Relationship Id="rId768" Type="http://schemas.openxmlformats.org/officeDocument/2006/relationships/hyperlink" Target="https://www.fr.capfriendly.com/arbitration-calculator/2020/all/all/all/doyle-somerby" TargetMode="External"/><Relationship Id="rId20" Type="http://schemas.openxmlformats.org/officeDocument/2006/relationships/hyperlink" Target="https://www.capfriendly.com/waivers_calculator/jeremy-lauzon#results" TargetMode="External"/><Relationship Id="rId62" Type="http://schemas.openxmlformats.org/officeDocument/2006/relationships/hyperlink" Target="https://www.capfriendly.com/waivers_calculator/riley-sutter#results" TargetMode="External"/><Relationship Id="rId365" Type="http://schemas.openxmlformats.org/officeDocument/2006/relationships/hyperlink" Target="https://www.fr.capfriendly.com/waivers_calculator/mikael-hakkarainen#results" TargetMode="External"/><Relationship Id="rId572" Type="http://schemas.openxmlformats.org/officeDocument/2006/relationships/hyperlink" Target="https://www.fr.capfriendly.com/waivers_calculator/noah-dobson#results" TargetMode="External"/><Relationship Id="rId628" Type="http://schemas.openxmlformats.org/officeDocument/2006/relationships/hyperlink" Target="https://www.fr.capfriendly.com/waivers_calculator/tobias-bjornfot#results" TargetMode="External"/><Relationship Id="rId225" Type="http://schemas.openxmlformats.org/officeDocument/2006/relationships/hyperlink" Target="https://www.capfriendly.com/waivers_calculator/marcus-kallionkieli#results" TargetMode="External"/><Relationship Id="rId267" Type="http://schemas.openxmlformats.org/officeDocument/2006/relationships/hyperlink" Target="https://www.capfriendly.com/waivers_calculator/alexei-toropchenko#results" TargetMode="External"/><Relationship Id="rId432" Type="http://schemas.openxmlformats.org/officeDocument/2006/relationships/hyperlink" Target="https://www.fr.capfriendly.com/waivers_calculator/jacob-middleton#results" TargetMode="External"/><Relationship Id="rId474" Type="http://schemas.openxmlformats.org/officeDocument/2006/relationships/hyperlink" Target="https://www.fr.capfriendly.com/waivers_calculator/zack-macewen#results" TargetMode="External"/><Relationship Id="rId127" Type="http://schemas.openxmlformats.org/officeDocument/2006/relationships/hyperlink" Target="https://www.capfriendly.com/waivers_calculator/john-marino#results" TargetMode="External"/><Relationship Id="rId681" Type="http://schemas.openxmlformats.org/officeDocument/2006/relationships/hyperlink" Target="https://www.fr.capfriendly.com/waivers_calculator/carson-soucy#results" TargetMode="External"/><Relationship Id="rId737" Type="http://schemas.openxmlformats.org/officeDocument/2006/relationships/hyperlink" Target="https://www.fr.capfriendly.com/waivers_calculator/lassi-thomson#results" TargetMode="External"/><Relationship Id="rId779" Type="http://schemas.openxmlformats.org/officeDocument/2006/relationships/hyperlink" Target="https://www.fr.capfriendly.com/waivers_calculator/logan-oconnor#results" TargetMode="External"/><Relationship Id="rId31" Type="http://schemas.openxmlformats.org/officeDocument/2006/relationships/hyperlink" Target="https://www.capfriendly.com/arbitration-calculator/2020/all/all/all/frederik-gauthier" TargetMode="External"/><Relationship Id="rId73" Type="http://schemas.openxmlformats.org/officeDocument/2006/relationships/hyperlink" Target="https://www.capfriendly.com/waivers_calculator/kris-bindulis#results" TargetMode="External"/><Relationship Id="rId169" Type="http://schemas.openxmlformats.org/officeDocument/2006/relationships/hyperlink" Target="https://www.capfriendly.com/waivers_calculator/denis-gurianov#results" TargetMode="External"/><Relationship Id="rId334" Type="http://schemas.openxmlformats.org/officeDocument/2006/relationships/hyperlink" Target="https://www.fr.capfriendly.com/waivers_calculator/martin-necas#results" TargetMode="External"/><Relationship Id="rId376" Type="http://schemas.openxmlformats.org/officeDocument/2006/relationships/hyperlink" Target="https://www.fr.capfriendly.com/waivers_calculator/adam-boqvist#results" TargetMode="External"/><Relationship Id="rId541" Type="http://schemas.openxmlformats.org/officeDocument/2006/relationships/hyperlink" Target="https://www.fr.capfriendly.com/waivers_calculator/kiefer-sherwood#results" TargetMode="External"/><Relationship Id="rId583" Type="http://schemas.openxmlformats.org/officeDocument/2006/relationships/hyperlink" Target="https://www.fr.capfriendly.com/waivers_calculator/nico-hischier#results" TargetMode="External"/><Relationship Id="rId639" Type="http://schemas.openxmlformats.org/officeDocument/2006/relationships/hyperlink" Target="https://www.fr.capfriendly.com/waivers_calculator/cole-kehler#results" TargetMode="External"/><Relationship Id="rId790" Type="http://schemas.openxmlformats.org/officeDocument/2006/relationships/hyperlink" Target="https://www.fr.capfriendly.com/waivers_calculator/josh-anderson1#results" TargetMode="External"/><Relationship Id="rId804" Type="http://schemas.openxmlformats.org/officeDocument/2006/relationships/hyperlink" Target="https://www.fr.capfriendly.com/waivers_calculator/michael-spacek#results" TargetMode="External"/><Relationship Id="rId4" Type="http://schemas.openxmlformats.org/officeDocument/2006/relationships/hyperlink" Target="https://www.capfriendly.com/arbitration-calculator/2020/all/all/all/matt-grzelcyk" TargetMode="External"/><Relationship Id="rId180" Type="http://schemas.openxmlformats.org/officeDocument/2006/relationships/hyperlink" Target="https://www.capfriendly.com/waivers_calculator/ondrej-vala#results" TargetMode="External"/><Relationship Id="rId236" Type="http://schemas.openxmlformats.org/officeDocument/2006/relationships/hyperlink" Target="https://www.capfriendly.com/waivers_calculator/jake-bischoff#results" TargetMode="External"/><Relationship Id="rId278" Type="http://schemas.openxmlformats.org/officeDocument/2006/relationships/hyperlink" Target="https://www.capfriendly.com/arbitration-calculator/2020/all/all/all/andreas-borgman" TargetMode="External"/><Relationship Id="rId401" Type="http://schemas.openxmlformats.org/officeDocument/2006/relationships/hyperlink" Target="https://www.fr.capfriendly.com/waivers_calculator/otto-leskinen#results" TargetMode="External"/><Relationship Id="rId443" Type="http://schemas.openxmlformats.org/officeDocument/2006/relationships/hyperlink" Target="https://www.fr.capfriendly.com/waivers_calculator/noah-gregor#results" TargetMode="External"/><Relationship Id="rId650" Type="http://schemas.openxmlformats.org/officeDocument/2006/relationships/hyperlink" Target="https://www.fr.capfriendly.com/waivers_calculator/jimmy-huntington#results" TargetMode="External"/><Relationship Id="rId303" Type="http://schemas.openxmlformats.org/officeDocument/2006/relationships/hyperlink" Target="https://www.capfriendly.com/arbitration-calculator/2020/all/all/all/philippe-desrosiers" TargetMode="External"/><Relationship Id="rId485" Type="http://schemas.openxmlformats.org/officeDocument/2006/relationships/hyperlink" Target="https://www.fr.capfriendly.com/waivers_calculator/guillaume-brisebois#results" TargetMode="External"/><Relationship Id="rId692" Type="http://schemas.openxmlformats.org/officeDocument/2006/relationships/hyperlink" Target="https://www.fr.capfriendly.com/arbitration-calculator/2020/all/all/all/robert-hagg" TargetMode="External"/><Relationship Id="rId706" Type="http://schemas.openxmlformats.org/officeDocument/2006/relationships/hyperlink" Target="https://www.fr.capfriendly.com/waivers_calculator/yegor-zamula#results" TargetMode="External"/><Relationship Id="rId748" Type="http://schemas.openxmlformats.org/officeDocument/2006/relationships/hyperlink" Target="https://www.fr.capfriendly.com/arbitration-calculator/2020/all/all/all/dean-kukan" TargetMode="External"/><Relationship Id="rId42" Type="http://schemas.openxmlformats.org/officeDocument/2006/relationships/hyperlink" Target="https://www.capfriendly.com/waivers_calculator/rasmus-sandin#results" TargetMode="External"/><Relationship Id="rId84" Type="http://schemas.openxmlformats.org/officeDocument/2006/relationships/hyperlink" Target="https://www.capfriendly.com/arbitration-calculator/2020/all/all/all/brandon-montour" TargetMode="External"/><Relationship Id="rId138" Type="http://schemas.openxmlformats.org/officeDocument/2006/relationships/hyperlink" Target="https://www.capfriendly.com/waivers_calculator/brayden-burke#results" TargetMode="External"/><Relationship Id="rId345" Type="http://schemas.openxmlformats.org/officeDocument/2006/relationships/hyperlink" Target="https://www.fr.capfriendly.com/arbitration-calculator/all/all/all/saku-maenalanen" TargetMode="External"/><Relationship Id="rId387" Type="http://schemas.openxmlformats.org/officeDocument/2006/relationships/hyperlink" Target="https://www.fr.capfriendly.com/waivers_calculator/victor-mete#results" TargetMode="External"/><Relationship Id="rId510" Type="http://schemas.openxmlformats.org/officeDocument/2006/relationships/hyperlink" Target="https://www.fr.capfriendly.com/waivers_calculator/jakub-zboril#results" TargetMode="External"/><Relationship Id="rId552" Type="http://schemas.openxmlformats.org/officeDocument/2006/relationships/hyperlink" Target="https://www.fr.capfriendly.com/arbitration-calculator/2020/all/all/all/justin-kloos" TargetMode="External"/><Relationship Id="rId594" Type="http://schemas.openxmlformats.org/officeDocument/2006/relationships/hyperlink" Target="https://www.fr.capfriendly.com/waivers_calculator/marian-studenic#results" TargetMode="External"/><Relationship Id="rId608" Type="http://schemas.openxmlformats.org/officeDocument/2006/relationships/hyperlink" Target="https://www.fr.capfriendly.com/waivers_calculator/carl-grundstrom#results" TargetMode="External"/><Relationship Id="rId815" Type="http://schemas.openxmlformats.org/officeDocument/2006/relationships/hyperlink" Target="https://www.fr.capfriendly.com/waivers_calculator/luke-green#results" TargetMode="External"/><Relationship Id="rId191" Type="http://schemas.openxmlformats.org/officeDocument/2006/relationships/hyperlink" Target="https://www.capfriendly.com/waivers_calculator/filip-chytil#results" TargetMode="External"/><Relationship Id="rId205" Type="http://schemas.openxmlformats.org/officeDocument/2006/relationships/hyperlink" Target="https://www.capfriendly.com/waivers_calculator/gabriel-fontaine#results" TargetMode="External"/><Relationship Id="rId247" Type="http://schemas.openxmlformats.org/officeDocument/2006/relationships/hyperlink" Target="https://www.capfriendly.com/waivers_calculator/eeli-tolvanen#results" TargetMode="External"/><Relationship Id="rId412" Type="http://schemas.openxmlformats.org/officeDocument/2006/relationships/hyperlink" Target="https://www.fr.capfriendly.com/waivers_calculator/michael-rasmussen#results" TargetMode="External"/><Relationship Id="rId107" Type="http://schemas.openxmlformats.org/officeDocument/2006/relationships/hyperlink" Target="https://www.capfriendly.com/arbitration-calculator/2021/all/all/all/zach-aston-reese" TargetMode="External"/><Relationship Id="rId289" Type="http://schemas.openxmlformats.org/officeDocument/2006/relationships/hyperlink" Target="https://www.capfriendly.com/waivers_calculator/serron-noel#results" TargetMode="External"/><Relationship Id="rId454" Type="http://schemas.openxmlformats.org/officeDocument/2006/relationships/hyperlink" Target="https://www.fr.capfriendly.com/waivers_calculator/jeremy-roy#results" TargetMode="External"/><Relationship Id="rId496" Type="http://schemas.openxmlformats.org/officeDocument/2006/relationships/hyperlink" Target="https://www.fr.capfriendly.com/waivers_calculator/anders-bjork#results" TargetMode="External"/><Relationship Id="rId661" Type="http://schemas.openxmlformats.org/officeDocument/2006/relationships/hyperlink" Target="https://www.fr.capfriendly.com/waivers_calculator/matthew-spencer#results" TargetMode="External"/><Relationship Id="rId717" Type="http://schemas.openxmlformats.org/officeDocument/2006/relationships/hyperlink" Target="https://www.fr.capfriendly.com/waivers_calculator/logan-brown#results" TargetMode="External"/><Relationship Id="rId759" Type="http://schemas.openxmlformats.org/officeDocument/2006/relationships/hyperlink" Target="https://www.fr.capfriendly.com/waivers_calculator/calvin-thurkauf#results" TargetMode="External"/><Relationship Id="rId11" Type="http://schemas.openxmlformats.org/officeDocument/2006/relationships/hyperlink" Target="https://www.capfriendly.com/waivers_calculator/jakub-zboril#results" TargetMode="External"/><Relationship Id="rId53" Type="http://schemas.openxmlformats.org/officeDocument/2006/relationships/hyperlink" Target="https://www.capfriendly.com/arbitration-calculator/2020/all/all/all/brendan-leipsic" TargetMode="External"/><Relationship Id="rId149" Type="http://schemas.openxmlformats.org/officeDocument/2006/relationships/hyperlink" Target="https://www.capfriendly.com/waivers_calculator/victor-soderstrom#results" TargetMode="External"/><Relationship Id="rId314" Type="http://schemas.openxmlformats.org/officeDocument/2006/relationships/hyperlink" Target="https://www.fr.capfriendly.com/waivers_calculator/ryan-mcleod#results" TargetMode="External"/><Relationship Id="rId356" Type="http://schemas.openxmlformats.org/officeDocument/2006/relationships/hyperlink" Target="https://www.fr.capfriendly.com/arbitration-calculator/2021/all/all/all/carl-dahlstrom" TargetMode="External"/><Relationship Id="rId398" Type="http://schemas.openxmlformats.org/officeDocument/2006/relationships/hyperlink" Target="https://www.fr.capfriendly.com/arbitration-calculator/2020/all/all/all/riley-barber" TargetMode="External"/><Relationship Id="rId521" Type="http://schemas.openxmlformats.org/officeDocument/2006/relationships/hyperlink" Target="https://www.fr.capfriendly.com/waivers_calculator/luke-philp#results" TargetMode="External"/><Relationship Id="rId563" Type="http://schemas.openxmlformats.org/officeDocument/2006/relationships/hyperlink" Target="https://www.fr.capfriendly.com/waivers_calculator/simon-holmstrom#results" TargetMode="External"/><Relationship Id="rId619" Type="http://schemas.openxmlformats.org/officeDocument/2006/relationships/hyperlink" Target="https://www.fr.capfriendly.com/waivers_calculator/samuel-fagemo#results" TargetMode="External"/><Relationship Id="rId770" Type="http://schemas.openxmlformats.org/officeDocument/2006/relationships/hyperlink" Target="https://www.fr.capfriendly.com/waivers_calculator/matiss-kivlenieks#results" TargetMode="External"/><Relationship Id="rId95" Type="http://schemas.openxmlformats.org/officeDocument/2006/relationships/hyperlink" Target="https://www.capfriendly.com/arbitration-calculator/2021/all/all/all/cj-smith" TargetMode="External"/><Relationship Id="rId160" Type="http://schemas.openxmlformats.org/officeDocument/2006/relationships/hyperlink" Target="https://www.capfriendly.com/arbitration-calculator/2021/all/all/all/jason-dickinson" TargetMode="External"/><Relationship Id="rId216" Type="http://schemas.openxmlformats.org/officeDocument/2006/relationships/hyperlink" Target="https://www.capfriendly.com/waivers_calculator/sean-day#results" TargetMode="External"/><Relationship Id="rId423" Type="http://schemas.openxmlformats.org/officeDocument/2006/relationships/hyperlink" Target="https://www.fr.capfriendly.com/waivers_calculator/oliwer-kaski#results" TargetMode="External"/><Relationship Id="rId258" Type="http://schemas.openxmlformats.org/officeDocument/2006/relationships/hyperlink" Target="https://www.capfriendly.com/arbitration-calculator/2021/all/all/all/zachary-sanford" TargetMode="External"/><Relationship Id="rId465" Type="http://schemas.openxmlformats.org/officeDocument/2006/relationships/hyperlink" Target="https://www.fr.capfriendly.com/arbitration-calculator/2020/all/all/all/tyler-motte" TargetMode="External"/><Relationship Id="rId630" Type="http://schemas.openxmlformats.org/officeDocument/2006/relationships/hyperlink" Target="https://www.fr.capfriendly.com/waivers_calculator/sean-durzi#results" TargetMode="External"/><Relationship Id="rId672" Type="http://schemas.openxmlformats.org/officeDocument/2006/relationships/hyperlink" Target="https://www.fr.capfriendly.com/waivers_calculator/alexander-khovanov#results" TargetMode="External"/><Relationship Id="rId728" Type="http://schemas.openxmlformats.org/officeDocument/2006/relationships/hyperlink" Target="https://www.fr.capfriendly.com/waivers_calculator/rudolfs-balcers#results" TargetMode="External"/><Relationship Id="rId22" Type="http://schemas.openxmlformats.org/officeDocument/2006/relationships/hyperlink" Target="https://www.capfriendly.com/waivers_calculator/jesse-gabrielle#results" TargetMode="External"/><Relationship Id="rId64" Type="http://schemas.openxmlformats.org/officeDocument/2006/relationships/hyperlink" Target="https://www.capfriendly.com/waivers_calculator/beck-malenstyn#results" TargetMode="External"/><Relationship Id="rId118" Type="http://schemas.openxmlformats.org/officeDocument/2006/relationships/hyperlink" Target="https://www.capfriendly.com/waivers_calculator/filip-hallander#results" TargetMode="External"/><Relationship Id="rId325" Type="http://schemas.openxmlformats.org/officeDocument/2006/relationships/hyperlink" Target="https://www.fr.capfriendly.com/waivers_calculator/william-lagesson#results" TargetMode="External"/><Relationship Id="rId367" Type="http://schemas.openxmlformats.org/officeDocument/2006/relationships/hyperlink" Target="https://www.fr.capfriendly.com/waivers_calculator/matthew-highmore#results" TargetMode="External"/><Relationship Id="rId532" Type="http://schemas.openxmlformats.org/officeDocument/2006/relationships/hyperlink" Target="https://www.fr.capfriendly.com/arbitration-calculator/2020/all/all/all/rinat-valiev" TargetMode="External"/><Relationship Id="rId574" Type="http://schemas.openxmlformats.org/officeDocument/2006/relationships/hyperlink" Target="https://www.fr.capfriendly.com/waivers_calculator/david-quenneville#results" TargetMode="External"/><Relationship Id="rId171" Type="http://schemas.openxmlformats.org/officeDocument/2006/relationships/hyperlink" Target="https://www.capfriendly.com/waivers_calculator/jason-robertson#results" TargetMode="External"/><Relationship Id="rId227" Type="http://schemas.openxmlformats.org/officeDocument/2006/relationships/hyperlink" Target="https://www.capfriendly.com/waivers_calculator/lucas-elvenes#results" TargetMode="External"/><Relationship Id="rId781" Type="http://schemas.openxmlformats.org/officeDocument/2006/relationships/hyperlink" Target="https://www.fr.capfriendly.com/waivers_calculator/nicholas-henry#results" TargetMode="External"/><Relationship Id="rId269" Type="http://schemas.openxmlformats.org/officeDocument/2006/relationships/hyperlink" Target="https://www.capfriendly.com/waivers_calculator/evan-polei#results" TargetMode="External"/><Relationship Id="rId434" Type="http://schemas.openxmlformats.org/officeDocument/2006/relationships/hyperlink" Target="https://www.fr.capfriendly.com/waivers_calculator/joel-kellman#results" TargetMode="External"/><Relationship Id="rId476" Type="http://schemas.openxmlformats.org/officeDocument/2006/relationships/hyperlink" Target="https://www.fr.capfriendly.com/waivers_calculator/jonah-gadjovich#results" TargetMode="External"/><Relationship Id="rId641" Type="http://schemas.openxmlformats.org/officeDocument/2006/relationships/hyperlink" Target="https://www.fr.capfriendly.com/waivers_calculator/mathieu-joseph#results" TargetMode="External"/><Relationship Id="rId683" Type="http://schemas.openxmlformats.org/officeDocument/2006/relationships/hyperlink" Target="https://www.fr.capfriendly.com/waivers_calculator/gustav-bouramman#results" TargetMode="External"/><Relationship Id="rId739" Type="http://schemas.openxmlformats.org/officeDocument/2006/relationships/hyperlink" Target="https://www.fr.capfriendly.com/waivers_calculator/olle-alsing#results" TargetMode="External"/><Relationship Id="rId33" Type="http://schemas.openxmlformats.org/officeDocument/2006/relationships/hyperlink" Target="https://www.capfriendly.com/arbitration-calculator/2020/all/all/all/jordan-schmaltz" TargetMode="External"/><Relationship Id="rId129" Type="http://schemas.openxmlformats.org/officeDocument/2006/relationships/hyperlink" Target="https://www.capfriendly.com/waivers_calculator/niclas-almari#results" TargetMode="External"/><Relationship Id="rId280" Type="http://schemas.openxmlformats.org/officeDocument/2006/relationships/hyperlink" Target="https://www.capfriendly.com/waivers_calculator/evan-fitzpatrick#results" TargetMode="External"/><Relationship Id="rId336" Type="http://schemas.openxmlformats.org/officeDocument/2006/relationships/hyperlink" Target="https://www.fr.capfriendly.com/waivers_calculator/eetu-luostarinen#results" TargetMode="External"/><Relationship Id="rId501" Type="http://schemas.openxmlformats.org/officeDocument/2006/relationships/hyperlink" Target="https://www.fr.capfriendly.com/waivers_calculator/jack-studnicka#results" TargetMode="External"/><Relationship Id="rId543" Type="http://schemas.openxmlformats.org/officeDocument/2006/relationships/hyperlink" Target="https://www.fr.capfriendly.com/waivers_calculator/max-jones#results" TargetMode="External"/><Relationship Id="rId75" Type="http://schemas.openxmlformats.org/officeDocument/2006/relationships/hyperlink" Target="https://www.capfriendly.com/waivers_calculator/connor-hobbs#results" TargetMode="External"/><Relationship Id="rId140" Type="http://schemas.openxmlformats.org/officeDocument/2006/relationships/hyperlink" Target="https://www.capfriendly.com/waivers_calculator/nick-merkley#results" TargetMode="External"/><Relationship Id="rId182" Type="http://schemas.openxmlformats.org/officeDocument/2006/relationships/hyperlink" Target="https://www.capfriendly.com/arbitration-calculator/2020/all/all/all/gavin-bayreuther" TargetMode="External"/><Relationship Id="rId378" Type="http://schemas.openxmlformats.org/officeDocument/2006/relationships/hyperlink" Target="https://www.fr.capfriendly.com/waivers_calculator/lucas-carlsson#results" TargetMode="External"/><Relationship Id="rId403" Type="http://schemas.openxmlformats.org/officeDocument/2006/relationships/hyperlink" Target="https://www.fr.capfriendly.com/waivers_calculator/josh-brook#results" TargetMode="External"/><Relationship Id="rId585" Type="http://schemas.openxmlformats.org/officeDocument/2006/relationships/hyperlink" Target="https://www.fr.capfriendly.com/waivers_calculator/jesper-bratt#results" TargetMode="External"/><Relationship Id="rId750" Type="http://schemas.openxmlformats.org/officeDocument/2006/relationships/hyperlink" Target="https://www.fr.capfriendly.com/waivers_calculator/elvis-merzlikins#results" TargetMode="External"/><Relationship Id="rId792" Type="http://schemas.openxmlformats.org/officeDocument/2006/relationships/hyperlink" Target="https://www.fr.capfriendly.com/arbitration-calculator/2021/all/all/all/anton-lindholm" TargetMode="External"/><Relationship Id="rId806" Type="http://schemas.openxmlformats.org/officeDocument/2006/relationships/hyperlink" Target="https://www.fr.capfriendly.com/waivers_calculator/mason-appleton#results" TargetMode="External"/><Relationship Id="rId6" Type="http://schemas.openxmlformats.org/officeDocument/2006/relationships/hyperlink" Target="https://www.capfriendly.com/waivers_calculator/brandon-carlo#results" TargetMode="External"/><Relationship Id="rId238" Type="http://schemas.openxmlformats.org/officeDocument/2006/relationships/hyperlink" Target="https://www.capfriendly.com/waivers_calculator/jimmy-schuldt#results" TargetMode="External"/><Relationship Id="rId445" Type="http://schemas.openxmlformats.org/officeDocument/2006/relationships/hyperlink" Target="https://www.fr.capfriendly.com/waivers_calculator/jayden-halbgewachs#results" TargetMode="External"/><Relationship Id="rId487" Type="http://schemas.openxmlformats.org/officeDocument/2006/relationships/hyperlink" Target="https://www.fr.capfriendly.com/waivers_calculator/jake-kielly#results" TargetMode="External"/><Relationship Id="rId610" Type="http://schemas.openxmlformats.org/officeDocument/2006/relationships/hyperlink" Target="https://www.fr.capfriendly.com/waivers_calculator/sean-walker#results" TargetMode="External"/><Relationship Id="rId652" Type="http://schemas.openxmlformats.org/officeDocument/2006/relationships/hyperlink" Target="https://www.fr.capfriendly.com/waivers_calculator/ryan-lohin#results" TargetMode="External"/><Relationship Id="rId694" Type="http://schemas.openxmlformats.org/officeDocument/2006/relationships/hyperlink" Target="https://www.fr.capfriendly.com/waivers_calculator/carter-hart#results" TargetMode="External"/><Relationship Id="rId708" Type="http://schemas.openxmlformats.org/officeDocument/2006/relationships/hyperlink" Target="https://www.fr.capfriendly.com/arbitration-calculator/2021/all/all/all/chris-bigras" TargetMode="External"/><Relationship Id="rId291" Type="http://schemas.openxmlformats.org/officeDocument/2006/relationships/hyperlink" Target="https://www.capfriendly.com/waivers_calculator/rodrigo-abols#results" TargetMode="External"/><Relationship Id="rId305" Type="http://schemas.openxmlformats.org/officeDocument/2006/relationships/hyperlink" Target="https://www.fr.capfriendly.com/waivers_calculator/joakim-nygard#results" TargetMode="External"/><Relationship Id="rId347" Type="http://schemas.openxmlformats.org/officeDocument/2006/relationships/hyperlink" Target="https://www.fr.capfriendly.com/waivers_calculator/jesper-sellgren#results" TargetMode="External"/><Relationship Id="rId512" Type="http://schemas.openxmlformats.org/officeDocument/2006/relationships/hyperlink" Target="https://www.fr.capfriendly.com/waivers_calculator/wiley-sherman#results" TargetMode="External"/><Relationship Id="rId44" Type="http://schemas.openxmlformats.org/officeDocument/2006/relationships/hyperlink" Target="https://www.capfriendly.com/waivers_calculator/joseph-duszak#results" TargetMode="External"/><Relationship Id="rId86" Type="http://schemas.openxmlformats.org/officeDocument/2006/relationships/hyperlink" Target="https://www.capfriendly.com/arbitration-calculator/2020/all/all/all/linus-ullmark" TargetMode="External"/><Relationship Id="rId151" Type="http://schemas.openxmlformats.org/officeDocument/2006/relationships/hyperlink" Target="https://www.capfriendly.com/waivers_calculator/dane-birks#results" TargetMode="External"/><Relationship Id="rId389" Type="http://schemas.openxmlformats.org/officeDocument/2006/relationships/hyperlink" Target="https://www.fr.capfriendly.com/waivers_calculator/jake-evans#results" TargetMode="External"/><Relationship Id="rId554" Type="http://schemas.openxmlformats.org/officeDocument/2006/relationships/hyperlink" Target="https://www.fr.capfriendly.com/waivers_calculator/simon-benoit#results" TargetMode="External"/><Relationship Id="rId596" Type="http://schemas.openxmlformats.org/officeDocument/2006/relationships/hyperlink" Target="https://www.fr.capfriendly.com/waivers_calculator/blake-speers#results" TargetMode="External"/><Relationship Id="rId761" Type="http://schemas.openxmlformats.org/officeDocument/2006/relationships/hyperlink" Target="https://www.fr.capfriendly.com/waivers_calculator/kole-sherwood#results" TargetMode="External"/><Relationship Id="rId193" Type="http://schemas.openxmlformats.org/officeDocument/2006/relationships/hyperlink" Target="https://www.capfriendly.com/waivers_calculator/brett-howden#results" TargetMode="External"/><Relationship Id="rId207" Type="http://schemas.openxmlformats.org/officeDocument/2006/relationships/hyperlink" Target="https://www.capfriendly.com/arbitration-calculator/2020/all/all/all/phillip-di-giuseppe" TargetMode="External"/><Relationship Id="rId249" Type="http://schemas.openxmlformats.org/officeDocument/2006/relationships/hyperlink" Target="https://www.capfriendly.com/waivers_calculator/yakov-trenin#results" TargetMode="External"/><Relationship Id="rId414" Type="http://schemas.openxmlformats.org/officeDocument/2006/relationships/hyperlink" Target="https://www.fr.capfriendly.com/waivers_calculator/filip-hronek#results" TargetMode="External"/><Relationship Id="rId456" Type="http://schemas.openxmlformats.org/officeDocument/2006/relationships/hyperlink" Target="https://www.fr.capfriendly.com/waivers_calculator/nikolai-knyzhov#results" TargetMode="External"/><Relationship Id="rId498" Type="http://schemas.openxmlformats.org/officeDocument/2006/relationships/hyperlink" Target="https://www.fr.capfriendly.com/waivers_calculator/oskar-steen#results" TargetMode="External"/><Relationship Id="rId621" Type="http://schemas.openxmlformats.org/officeDocument/2006/relationships/hyperlink" Target="https://www.fr.capfriendly.com/waivers_calculator/johan-sodergran#results" TargetMode="External"/><Relationship Id="rId663" Type="http://schemas.openxmlformats.org/officeDocument/2006/relationships/hyperlink" Target="https://www.fr.capfriendly.com/arbitration-calculator/2020/all/all/all/daniel-walcott" TargetMode="External"/><Relationship Id="rId13" Type="http://schemas.openxmlformats.org/officeDocument/2006/relationships/hyperlink" Target="https://www.capfriendly.com/waivers_calculator/jack-studnicka#results" TargetMode="External"/><Relationship Id="rId109" Type="http://schemas.openxmlformats.org/officeDocument/2006/relationships/hyperlink" Target="https://www.capfriendly.com/arbitration-calculator/2020/all/all/all/dominik-simon" TargetMode="External"/><Relationship Id="rId260" Type="http://schemas.openxmlformats.org/officeDocument/2006/relationships/hyperlink" Target="https://www.capfriendly.com/arbitration-calculator/2020/all/all/all/mackenzie-maceachern" TargetMode="External"/><Relationship Id="rId316" Type="http://schemas.openxmlformats.org/officeDocument/2006/relationships/hyperlink" Target="https://www.fr.capfriendly.com/waivers_calculator/tyler-benson#results" TargetMode="External"/><Relationship Id="rId523" Type="http://schemas.openxmlformats.org/officeDocument/2006/relationships/hyperlink" Target="https://www.fr.capfriendly.com/waivers_calculator/adam-ruzicka#results" TargetMode="External"/><Relationship Id="rId719" Type="http://schemas.openxmlformats.org/officeDocument/2006/relationships/hyperlink" Target="https://www.fr.capfriendly.com/waivers_calculator/colin-white#results" TargetMode="External"/><Relationship Id="rId55" Type="http://schemas.openxmlformats.org/officeDocument/2006/relationships/hyperlink" Target="https://www.capfriendly.com/waivers_calculator/jonas-siegenthaler#results" TargetMode="External"/><Relationship Id="rId97" Type="http://schemas.openxmlformats.org/officeDocument/2006/relationships/hyperlink" Target="https://www.capfriendly.com/waivers_calculator/lawrence-pilut#results" TargetMode="External"/><Relationship Id="rId120" Type="http://schemas.openxmlformats.org/officeDocument/2006/relationships/hyperlink" Target="https://www.capfriendly.com/waivers_calculator/sam-lafferty#results" TargetMode="External"/><Relationship Id="rId358" Type="http://schemas.openxmlformats.org/officeDocument/2006/relationships/hyperlink" Target="https://www.fr.capfriendly.com/waivers_calculator/kirby-dach#results" TargetMode="External"/><Relationship Id="rId565" Type="http://schemas.openxmlformats.org/officeDocument/2006/relationships/hyperlink" Target="https://www.fr.capfriendly.com/waivers_calculator/kieffer-bellows#results" TargetMode="External"/><Relationship Id="rId730" Type="http://schemas.openxmlformats.org/officeDocument/2006/relationships/hyperlink" Target="https://www.fr.capfriendly.com/waivers_calculator/alex-formenton#results" TargetMode="External"/><Relationship Id="rId772" Type="http://schemas.openxmlformats.org/officeDocument/2006/relationships/hyperlink" Target="https://www.fr.capfriendly.com/arbitration-calculator/2020/all/all/all/andre-burakovsky" TargetMode="External"/><Relationship Id="rId162" Type="http://schemas.openxmlformats.org/officeDocument/2006/relationships/hyperlink" Target="https://www.capfriendly.com/waivers_calculator/miro-heiskanen#results" TargetMode="External"/><Relationship Id="rId218" Type="http://schemas.openxmlformats.org/officeDocument/2006/relationships/hyperlink" Target="https://www.capfriendly.com/waivers_calculator/adam-huska#results" TargetMode="External"/><Relationship Id="rId425" Type="http://schemas.openxmlformats.org/officeDocument/2006/relationships/hyperlink" Target="https://www.fr.capfriendly.com/waivers_calculator/dennis-cholowski#results" TargetMode="External"/><Relationship Id="rId467" Type="http://schemas.openxmlformats.org/officeDocument/2006/relationships/hyperlink" Target="https://www.fr.capfriendly.com/waivers_calculator/brock-boeser#results" TargetMode="External"/><Relationship Id="rId632" Type="http://schemas.openxmlformats.org/officeDocument/2006/relationships/hyperlink" Target="https://www.fr.capfriendly.com/waivers_calculator/kale-clague#results" TargetMode="External"/><Relationship Id="rId271" Type="http://schemas.openxmlformats.org/officeDocument/2006/relationships/hyperlink" Target="https://www.capfriendly.com/waivers_calculator/tanner-kaspick#results" TargetMode="External"/><Relationship Id="rId674" Type="http://schemas.openxmlformats.org/officeDocument/2006/relationships/hyperlink" Target="https://www.fr.capfriendly.com/waivers_calculator/will-bitten#results" TargetMode="External"/><Relationship Id="rId24" Type="http://schemas.openxmlformats.org/officeDocument/2006/relationships/hyperlink" Target="https://www.capfriendly.com/waivers_calculator/connor-clifton#results" TargetMode="External"/><Relationship Id="rId66" Type="http://schemas.openxmlformats.org/officeDocument/2006/relationships/hyperlink" Target="https://www.capfriendly.com/waivers_calculator/philippe-maillet#results" TargetMode="External"/><Relationship Id="rId131" Type="http://schemas.openxmlformats.org/officeDocument/2006/relationships/hyperlink" Target="https://www.capfriendly.com/waivers_calculator/emil-larmi#results" TargetMode="External"/><Relationship Id="rId327" Type="http://schemas.openxmlformats.org/officeDocument/2006/relationships/hyperlink" Target="https://www.fr.capfriendly.com/waivers_calculator/ethan-bear#results" TargetMode="External"/><Relationship Id="rId369" Type="http://schemas.openxmlformats.org/officeDocument/2006/relationships/hyperlink" Target="https://www.fr.capfriendly.com/waivers_calculator/aleksi-saarela#results" TargetMode="External"/><Relationship Id="rId534" Type="http://schemas.openxmlformats.org/officeDocument/2006/relationships/hyperlink" Target="https://www.fr.capfriendly.com/waivers_calculator/tyler-parsons#results" TargetMode="External"/><Relationship Id="rId576" Type="http://schemas.openxmlformats.org/officeDocument/2006/relationships/hyperlink" Target="https://www.fr.capfriendly.com/waivers_calculator/parker-wotherspoon#results" TargetMode="External"/><Relationship Id="rId741" Type="http://schemas.openxmlformats.org/officeDocument/2006/relationships/hyperlink" Target="https://www.fr.capfriendly.com/waivers_calculator/joey-daccord#results" TargetMode="External"/><Relationship Id="rId783" Type="http://schemas.openxmlformats.org/officeDocument/2006/relationships/hyperlink" Target="https://www.fr.capfriendly.com/waivers_calculator/travis-barron#results" TargetMode="External"/><Relationship Id="rId173" Type="http://schemas.openxmlformats.org/officeDocument/2006/relationships/hyperlink" Target="https://www.capfriendly.com/waivers_calculator/tony-calderone#results" TargetMode="External"/><Relationship Id="rId229" Type="http://schemas.openxmlformats.org/officeDocument/2006/relationships/hyperlink" Target="https://www.capfriendly.com/waivers_calculator/paul-cotter#results" TargetMode="External"/><Relationship Id="rId380" Type="http://schemas.openxmlformats.org/officeDocument/2006/relationships/hyperlink" Target="https://www.fr.capfriendly.com/waivers_calculator/collin-delia#results" TargetMode="External"/><Relationship Id="rId436" Type="http://schemas.openxmlformats.org/officeDocument/2006/relationships/hyperlink" Target="https://www.fr.capfriendly.com/waivers_calculator/lean-bergmann#results" TargetMode="External"/><Relationship Id="rId601" Type="http://schemas.openxmlformats.org/officeDocument/2006/relationships/hyperlink" Target="https://www.fr.capfriendly.com/waivers_calculator/jeremy-groleau#results" TargetMode="External"/><Relationship Id="rId643" Type="http://schemas.openxmlformats.org/officeDocument/2006/relationships/hyperlink" Target="https://www.fr.capfriendly.com/arbitration-calculator/all/all/all/adam-erne" TargetMode="External"/><Relationship Id="rId240" Type="http://schemas.openxmlformats.org/officeDocument/2006/relationships/hyperlink" Target="https://www.capfriendly.com/arbitration-calculator/2020/all/all/all/oscar-dansk" TargetMode="External"/><Relationship Id="rId478" Type="http://schemas.openxmlformats.org/officeDocument/2006/relationships/hyperlink" Target="https://www.fr.capfriendly.com/arbitration-calculator/2020/all/all/all/justin-bailey" TargetMode="External"/><Relationship Id="rId685" Type="http://schemas.openxmlformats.org/officeDocument/2006/relationships/hyperlink" Target="https://www.fr.capfriendly.com/waivers_calculator/stepan-falkovsky#results" TargetMode="External"/><Relationship Id="rId35" Type="http://schemas.openxmlformats.org/officeDocument/2006/relationships/hyperlink" Target="https://www.capfriendly.com/waivers_calculator/yegor-korshkov#results" TargetMode="External"/><Relationship Id="rId77" Type="http://schemas.openxmlformats.org/officeDocument/2006/relationships/hyperlink" Target="https://www.capfriendly.com/arbitration-calculator/2020/all/all/all/colby-williams" TargetMode="External"/><Relationship Id="rId100" Type="http://schemas.openxmlformats.org/officeDocument/2006/relationships/hyperlink" Target="https://www.capfriendly.com/waivers_calculator/jacob-bryson#results" TargetMode="External"/><Relationship Id="rId282" Type="http://schemas.openxmlformats.org/officeDocument/2006/relationships/hyperlink" Target="https://www.capfriendly.com/arbitration-calculator/2020/all/all/all/ville-husso" TargetMode="External"/><Relationship Id="rId338" Type="http://schemas.openxmlformats.org/officeDocument/2006/relationships/hyperlink" Target="https://www.fr.capfriendly.com/waivers_calculator/jacob-pritchard#results" TargetMode="External"/><Relationship Id="rId503" Type="http://schemas.openxmlformats.org/officeDocument/2006/relationships/hyperlink" Target="https://www.fr.capfriendly.com/waivers_calculator/karson-kuhlman#results" TargetMode="External"/><Relationship Id="rId545" Type="http://schemas.openxmlformats.org/officeDocument/2006/relationships/hyperlink" Target="https://www.fr.capfriendly.com/waivers_calculator/maxime-comtois#results" TargetMode="External"/><Relationship Id="rId587" Type="http://schemas.openxmlformats.org/officeDocument/2006/relationships/hyperlink" Target="https://www.fr.capfriendly.com/waivers_calculator/mackenzie-blackwood#results" TargetMode="External"/><Relationship Id="rId710" Type="http://schemas.openxmlformats.org/officeDocument/2006/relationships/hyperlink" Target="https://www.fr.capfriendly.com/waivers_calculator/kirill-ustimenko#results" TargetMode="External"/><Relationship Id="rId752" Type="http://schemas.openxmlformats.org/officeDocument/2006/relationships/hyperlink" Target="https://www.fr.capfriendly.com/waivers_calculator/alexandre-texier#results" TargetMode="External"/><Relationship Id="rId808" Type="http://schemas.openxmlformats.org/officeDocument/2006/relationships/hyperlink" Target="https://www.fr.capfriendly.com/waivers_calculator/cj-suess#results" TargetMode="External"/><Relationship Id="rId8" Type="http://schemas.openxmlformats.org/officeDocument/2006/relationships/hyperlink" Target="https://www.capfriendly.com/waivers_calculator/trent-frederic#results" TargetMode="External"/><Relationship Id="rId142" Type="http://schemas.openxmlformats.org/officeDocument/2006/relationships/hyperlink" Target="https://www.capfriendly.com/waivers_calculator/nathan-schnarr#results" TargetMode="External"/><Relationship Id="rId184" Type="http://schemas.openxmlformats.org/officeDocument/2006/relationships/hyperlink" Target="https://www.capfriendly.com/waivers_calculator/colton-point#results" TargetMode="External"/><Relationship Id="rId391" Type="http://schemas.openxmlformats.org/officeDocument/2006/relationships/hyperlink" Target="https://www.fr.capfriendly.com/waivers_calculator/lukas-vejdemo#results" TargetMode="External"/><Relationship Id="rId405" Type="http://schemas.openxmlformats.org/officeDocument/2006/relationships/hyperlink" Target="https://www.fr.capfriendly.com/arbitration-calculator/2020/all/all/all/xavier-ouellet" TargetMode="External"/><Relationship Id="rId447" Type="http://schemas.openxmlformats.org/officeDocument/2006/relationships/hyperlink" Target="https://www.fr.capfriendly.com/waivers_calculator/joachim-blichfeld#results" TargetMode="External"/><Relationship Id="rId612" Type="http://schemas.openxmlformats.org/officeDocument/2006/relationships/hyperlink" Target="https://www.fr.capfriendly.com/arbitration-calculator/2021/all/all/all/matt-roy" TargetMode="External"/><Relationship Id="rId794" Type="http://schemas.openxmlformats.org/officeDocument/2006/relationships/hyperlink" Target="https://www.fr.capfriendly.com/arbitration-calculator/2021/all/all/all/andrew-copp" TargetMode="External"/><Relationship Id="rId251" Type="http://schemas.openxmlformats.org/officeDocument/2006/relationships/hyperlink" Target="https://www.capfriendly.com/waivers_calculator/tanner-jeannot#results" TargetMode="External"/><Relationship Id="rId489" Type="http://schemas.openxmlformats.org/officeDocument/2006/relationships/hyperlink" Target="https://www.fr.capfriendly.com/arbitration-calculator/2021/all/all/all/danton-heinen" TargetMode="External"/><Relationship Id="rId654" Type="http://schemas.openxmlformats.org/officeDocument/2006/relationships/hyperlink" Target="https://www.fr.capfriendly.com/waivers_calculator/otto-somppi#results" TargetMode="External"/><Relationship Id="rId696" Type="http://schemas.openxmlformats.org/officeDocument/2006/relationships/hyperlink" Target="https://www.fr.capfriendly.com/waivers_calculator/german-rubtsov#results" TargetMode="External"/><Relationship Id="rId46" Type="http://schemas.openxmlformats.org/officeDocument/2006/relationships/hyperlink" Target="https://www.capfriendly.com/waivers_calculator/teemu-kivihalme#results" TargetMode="External"/><Relationship Id="rId293" Type="http://schemas.openxmlformats.org/officeDocument/2006/relationships/hyperlink" Target="https://www.capfriendly.com/waivers_calculator/dominic-toninato#results" TargetMode="External"/><Relationship Id="rId307" Type="http://schemas.openxmlformats.org/officeDocument/2006/relationships/hyperlink" Target="https://www.fr.capfriendly.com/arbitration-calculator/2020/all/all/all/darnell-nurse" TargetMode="External"/><Relationship Id="rId349" Type="http://schemas.openxmlformats.org/officeDocument/2006/relationships/hyperlink" Target="https://www.fr.capfriendly.com/waivers_calculator/jeremy-helvig#results" TargetMode="External"/><Relationship Id="rId514" Type="http://schemas.openxmlformats.org/officeDocument/2006/relationships/hyperlink" Target="https://www.fr.capfriendly.com/waivers_calculator/kyle-keyser#results" TargetMode="External"/><Relationship Id="rId556" Type="http://schemas.openxmlformats.org/officeDocument/2006/relationships/hyperlink" Target="https://www.fr.capfriendly.com/arbitration-calculator/2020/all/all/all/patrick-sieloff" TargetMode="External"/><Relationship Id="rId721" Type="http://schemas.openxmlformats.org/officeDocument/2006/relationships/hyperlink" Target="https://www.fr.capfriendly.com/waivers_calculator/thomas-chabot#results" TargetMode="External"/><Relationship Id="rId763" Type="http://schemas.openxmlformats.org/officeDocument/2006/relationships/hyperlink" Target="https://www.fr.capfriendly.com/waivers_calculator/andrew-peeke#results" TargetMode="External"/><Relationship Id="rId88" Type="http://schemas.openxmlformats.org/officeDocument/2006/relationships/hyperlink" Target="https://www.capfriendly.com/waivers_calculator/dylan-cozens#results" TargetMode="External"/><Relationship Id="rId111" Type="http://schemas.openxmlformats.org/officeDocument/2006/relationships/hyperlink" Target="https://www.capfriendly.com/arbitration-calculator/2020/all/all/all/matt-murray1" TargetMode="External"/><Relationship Id="rId153" Type="http://schemas.openxmlformats.org/officeDocument/2006/relationships/hyperlink" Target="https://www.capfriendly.com/waivers_calculator/cam-dineen#results" TargetMode="External"/><Relationship Id="rId195" Type="http://schemas.openxmlformats.org/officeDocument/2006/relationships/hyperlink" Target="https://www.capfriendly.com/waivers_calculator/adam-fox#results" TargetMode="External"/><Relationship Id="rId209" Type="http://schemas.openxmlformats.org/officeDocument/2006/relationships/hyperlink" Target="https://www.capfriendly.com/arbitration-calculator/2020/all/all/all/vinni-lettieri" TargetMode="External"/><Relationship Id="rId360" Type="http://schemas.openxmlformats.org/officeDocument/2006/relationships/hyperlink" Target="https://www.fr.capfriendly.com/waivers_calculator/brandon-hagel#results" TargetMode="External"/><Relationship Id="rId416" Type="http://schemas.openxmlformats.org/officeDocument/2006/relationships/hyperlink" Target="https://www.fr.capfriendly.com/waivers_calculator/ryan-kuffner#results" TargetMode="External"/><Relationship Id="rId598" Type="http://schemas.openxmlformats.org/officeDocument/2006/relationships/hyperlink" Target="https://www.fr.capfriendly.com/waivers_calculator/brandon-gignac#results" TargetMode="External"/><Relationship Id="rId220" Type="http://schemas.openxmlformats.org/officeDocument/2006/relationships/hyperlink" Target="https://www.capfriendly.com/arbitration-calculator/2020/all/all/all/william-carrier" TargetMode="External"/><Relationship Id="rId458" Type="http://schemas.openxmlformats.org/officeDocument/2006/relationships/hyperlink" Target="https://www.fr.capfriendly.com/waivers_calculator/nick-desimone#results" TargetMode="External"/><Relationship Id="rId623" Type="http://schemas.openxmlformats.org/officeDocument/2006/relationships/hyperlink" Target="https://www.fr.capfriendly.com/waivers_calculator/brad-morrison#results" TargetMode="External"/><Relationship Id="rId665" Type="http://schemas.openxmlformats.org/officeDocument/2006/relationships/hyperlink" Target="https://www.fr.capfriendly.com/arbitration-calculator/2021/all/all/all/ryan-hartman" TargetMode="External"/><Relationship Id="rId15" Type="http://schemas.openxmlformats.org/officeDocument/2006/relationships/hyperlink" Target="https://www.capfriendly.com/waivers_calculator/cameron-hughes#results" TargetMode="External"/><Relationship Id="rId57" Type="http://schemas.openxmlformats.org/officeDocument/2006/relationships/hyperlink" Target="https://www.capfriendly.com/waivers_calculator/joe-snively#results" TargetMode="External"/><Relationship Id="rId262" Type="http://schemas.openxmlformats.org/officeDocument/2006/relationships/hyperlink" Target="https://www.capfriendly.com/waivers_calculator/erik-foley#results" TargetMode="External"/><Relationship Id="rId318" Type="http://schemas.openxmlformats.org/officeDocument/2006/relationships/hyperlink" Target="https://www.fr.capfriendly.com/waivers_calculator/ostap-safin#results" TargetMode="External"/><Relationship Id="rId525" Type="http://schemas.openxmlformats.org/officeDocument/2006/relationships/hyperlink" Target="https://www.fr.capfriendly.com/waivers_calculator/dmitri-zavgorodny#results" TargetMode="External"/><Relationship Id="rId567" Type="http://schemas.openxmlformats.org/officeDocument/2006/relationships/hyperlink" Target="https://www.fr.capfriendly.com/waivers_calculator/mason-jobst#results" TargetMode="External"/><Relationship Id="rId732" Type="http://schemas.openxmlformats.org/officeDocument/2006/relationships/hyperlink" Target="https://www.fr.capfriendly.com/waivers_calculator/filip-chlapik#results" TargetMode="External"/><Relationship Id="rId99" Type="http://schemas.openxmlformats.org/officeDocument/2006/relationships/hyperlink" Target="https://www.capfriendly.com/waivers_calculator/brandon-hickey#results" TargetMode="External"/><Relationship Id="rId122" Type="http://schemas.openxmlformats.org/officeDocument/2006/relationships/hyperlink" Target="https://www.capfriendly.com/waivers_calculator/sam-miletic#results" TargetMode="External"/><Relationship Id="rId164" Type="http://schemas.openxmlformats.org/officeDocument/2006/relationships/hyperlink" Target="https://www.capfriendly.com/waivers_calculator/rhett-gardner#results" TargetMode="External"/><Relationship Id="rId371" Type="http://schemas.openxmlformats.org/officeDocument/2006/relationships/hyperlink" Target="https://www.fr.capfriendly.com/waivers_calculator/graham-knott#results" TargetMode="External"/><Relationship Id="rId774" Type="http://schemas.openxmlformats.org/officeDocument/2006/relationships/hyperlink" Target="https://www.fr.capfriendly.com/arbitration-calculator/2020/all/all/all/nikita-zadorov" TargetMode="External"/><Relationship Id="rId427" Type="http://schemas.openxmlformats.org/officeDocument/2006/relationships/hyperlink" Target="https://www.fr.capfriendly.com/waivers_calculator/gustav-lindstrom#results" TargetMode="External"/><Relationship Id="rId469" Type="http://schemas.openxmlformats.org/officeDocument/2006/relationships/hyperlink" Target="https://www.fr.capfriendly.com/waivers_calculator/quintin-hughes#results" TargetMode="External"/><Relationship Id="rId634" Type="http://schemas.openxmlformats.org/officeDocument/2006/relationships/hyperlink" Target="https://www.fr.capfriendly.com/waivers_calculator/chaz-reddekopp#results" TargetMode="External"/><Relationship Id="rId676" Type="http://schemas.openxmlformats.org/officeDocument/2006/relationships/hyperlink" Target="https://www.fr.capfriendly.com/waivers_calculator/dmitry-sokolov#results" TargetMode="External"/><Relationship Id="rId26" Type="http://schemas.openxmlformats.org/officeDocument/2006/relationships/hyperlink" Target="https://www.capfriendly.com/waivers_calculator/martin-bakos#results" TargetMode="External"/><Relationship Id="rId231" Type="http://schemas.openxmlformats.org/officeDocument/2006/relationships/hyperlink" Target="https://www.capfriendly.com/waivers_calculator/nicolas-roy#results" TargetMode="External"/><Relationship Id="rId273" Type="http://schemas.openxmlformats.org/officeDocument/2006/relationships/hyperlink" Target="https://www.capfriendly.com/waivers_calculator/jake-walman#results" TargetMode="External"/><Relationship Id="rId329" Type="http://schemas.openxmlformats.org/officeDocument/2006/relationships/hyperlink" Target="https://www.fr.capfriendly.com/waivers_calculator/stuart-skinner#results" TargetMode="External"/><Relationship Id="rId480" Type="http://schemas.openxmlformats.org/officeDocument/2006/relationships/hyperlink" Target="https://www.fr.capfriendly.com/waivers_calculator/olli-juolevi#results" TargetMode="External"/><Relationship Id="rId536" Type="http://schemas.openxmlformats.org/officeDocument/2006/relationships/hyperlink" Target="https://www.fr.capfriendly.com/arbitration-calculator/2021/all/all/all/ondrej-kase" TargetMode="External"/><Relationship Id="rId701" Type="http://schemas.openxmlformats.org/officeDocument/2006/relationships/hyperlink" Target="https://www.fr.capfriendly.com/waivers_calculator/carsen-twarynski#results" TargetMode="External"/><Relationship Id="rId68" Type="http://schemas.openxmlformats.org/officeDocument/2006/relationships/hyperlink" Target="https://www.capfriendly.com/waivers_calculator/shane-gersich#results" TargetMode="External"/><Relationship Id="rId133" Type="http://schemas.openxmlformats.org/officeDocument/2006/relationships/hyperlink" Target="https://www.capfriendly.com/arbitration-calculator/2020/all/all/all/tristan-jarry" TargetMode="External"/><Relationship Id="rId175" Type="http://schemas.openxmlformats.org/officeDocument/2006/relationships/hyperlink" Target="https://www.capfriendly.com/waivers_calculator/joel-lesperance#results" TargetMode="External"/><Relationship Id="rId340" Type="http://schemas.openxmlformats.org/officeDocument/2006/relationships/hyperlink" Target="https://www.fr.capfriendly.com/waivers_calculator/stelio-mattheos#results" TargetMode="External"/><Relationship Id="rId578" Type="http://schemas.openxmlformats.org/officeDocument/2006/relationships/hyperlink" Target="https://www.fr.capfriendly.com/arbitration-calculator/2020/all/all/all/kyle-burroughs" TargetMode="External"/><Relationship Id="rId743" Type="http://schemas.openxmlformats.org/officeDocument/2006/relationships/hyperlink" Target="https://www.fr.capfriendly.com/waivers_calculator/marcus-hogberg#results" TargetMode="External"/><Relationship Id="rId785" Type="http://schemas.openxmlformats.org/officeDocument/2006/relationships/hyperlink" Target="https://www.fr.capfriendly.com/arbitration-calculator/2020/all/all/all/sheldon-dries" TargetMode="External"/><Relationship Id="rId200" Type="http://schemas.openxmlformats.org/officeDocument/2006/relationships/hyperlink" Target="https://www.capfriendly.com/waivers_calculator/jacob-elmer#results" TargetMode="External"/><Relationship Id="rId382" Type="http://schemas.openxmlformats.org/officeDocument/2006/relationships/hyperlink" Target="https://www.fr.capfriendly.com/arbitration-calculator/2020/all/all/all/max-domi" TargetMode="External"/><Relationship Id="rId438" Type="http://schemas.openxmlformats.org/officeDocument/2006/relationships/hyperlink" Target="https://www.fr.capfriendly.com/waivers_calculator/jeffrey-truchon-viel#results" TargetMode="External"/><Relationship Id="rId603" Type="http://schemas.openxmlformats.org/officeDocument/2006/relationships/hyperlink" Target="https://www.fr.capfriendly.com/arbitration-calculator/2020/all/all/all/dakota-mermis" TargetMode="External"/><Relationship Id="rId645" Type="http://schemas.openxmlformats.org/officeDocument/2006/relationships/hyperlink" Target="https://www.fr.capfriendly.com/waivers_calculator/nolan-foote#results" TargetMode="External"/><Relationship Id="rId687" Type="http://schemas.openxmlformats.org/officeDocument/2006/relationships/hyperlink" Target="https://www.fr.capfriendly.com/arbitration-calculator/all/all/all/louis-belpedio" TargetMode="External"/><Relationship Id="rId810" Type="http://schemas.openxmlformats.org/officeDocument/2006/relationships/hyperlink" Target="https://www.fr.capfriendly.com/arbitration-calculator/2020/all/all/all/jc-lipon1" TargetMode="External"/><Relationship Id="rId242" Type="http://schemas.openxmlformats.org/officeDocument/2006/relationships/hyperlink" Target="https://www.capfriendly.com/waivers_calculator/dante-fabbro#results" TargetMode="External"/><Relationship Id="rId284" Type="http://schemas.openxmlformats.org/officeDocument/2006/relationships/hyperlink" Target="https://www.capfriendly.com/arbitration-calculator/2020/all/all/all/mackenzie-weegar" TargetMode="External"/><Relationship Id="rId491" Type="http://schemas.openxmlformats.org/officeDocument/2006/relationships/hyperlink" Target="https://www.fr.capfriendly.com/waivers_calculator/pavel-shen#results" TargetMode="External"/><Relationship Id="rId505" Type="http://schemas.openxmlformats.org/officeDocument/2006/relationships/hyperlink" Target="https://www.fr.capfriendly.com/arbitration-calculator/2020/all/all/all/ryan-fitzgerald" TargetMode="External"/><Relationship Id="rId712" Type="http://schemas.openxmlformats.org/officeDocument/2006/relationships/hyperlink" Target="https://www.fr.capfriendly.com/arbitration-calculator/2020/all/all/all/chris-tierney" TargetMode="External"/><Relationship Id="rId37" Type="http://schemas.openxmlformats.org/officeDocument/2006/relationships/hyperlink" Target="https://www.capfriendly.com/waivers_calculator/jeremy-bracco#results" TargetMode="External"/><Relationship Id="rId79" Type="http://schemas.openxmlformats.org/officeDocument/2006/relationships/hyperlink" Target="https://www.capfriendly.com/waivers_calculator/ilya-samsonov#results" TargetMode="External"/><Relationship Id="rId102" Type="http://schemas.openxmlformats.org/officeDocument/2006/relationships/hyperlink" Target="https://www.capfriendly.com/waivers_calculator/casey-fitzgerald#results" TargetMode="External"/><Relationship Id="rId144" Type="http://schemas.openxmlformats.org/officeDocument/2006/relationships/hyperlink" Target="https://www.capfriendly.com/arbitration-calculator/2021/all/all/all/hudson-fasching" TargetMode="External"/><Relationship Id="rId547" Type="http://schemas.openxmlformats.org/officeDocument/2006/relationships/hyperlink" Target="https://www.fr.capfriendly.com/waivers_calculator/alex-dostie#results" TargetMode="External"/><Relationship Id="rId589" Type="http://schemas.openxmlformats.org/officeDocument/2006/relationships/hyperlink" Target="https://www.fr.capfriendly.com/waivers_calculator/jesper-boqvist#results" TargetMode="External"/><Relationship Id="rId754" Type="http://schemas.openxmlformats.org/officeDocument/2006/relationships/hyperlink" Target="https://www.fr.capfriendly.com/waivers_calculator/kevin-stenlund#results" TargetMode="External"/><Relationship Id="rId796" Type="http://schemas.openxmlformats.org/officeDocument/2006/relationships/hyperlink" Target="https://www.fr.capfriendly.com/arbitration-calculator/2020/all/all/all/joshua-morrissey" TargetMode="External"/><Relationship Id="rId90" Type="http://schemas.openxmlformats.org/officeDocument/2006/relationships/hyperlink" Target="https://www.capfriendly.com/waivers_calculator/tage-thompson#results" TargetMode="External"/><Relationship Id="rId186" Type="http://schemas.openxmlformats.org/officeDocument/2006/relationships/hyperlink" Target="https://www.capfriendly.com/waivers_calculator/landon-bow#results" TargetMode="External"/><Relationship Id="rId351" Type="http://schemas.openxmlformats.org/officeDocument/2006/relationships/hyperlink" Target="https://www.fr.capfriendly.com/waivers_calculator/alex-nedeljkovic#results" TargetMode="External"/><Relationship Id="rId393" Type="http://schemas.openxmlformats.org/officeDocument/2006/relationships/hyperlink" Target="https://www.fr.capfriendly.com/waivers_calculator/hayden-verbeek#results" TargetMode="External"/><Relationship Id="rId407" Type="http://schemas.openxmlformats.org/officeDocument/2006/relationships/hyperlink" Target="https://www.fr.capfriendly.com/waivers_calculator/michael-mcniven#results" TargetMode="External"/><Relationship Id="rId449" Type="http://schemas.openxmlformats.org/officeDocument/2006/relationships/hyperlink" Target="https://www.fr.capfriendly.com/waivers_calculator/antti-suomela#results" TargetMode="External"/><Relationship Id="rId614" Type="http://schemas.openxmlformats.org/officeDocument/2006/relationships/hyperlink" Target="https://www.fr.capfriendly.com/waivers_calculator/nikolai-prokhorkin#results" TargetMode="External"/><Relationship Id="rId656" Type="http://schemas.openxmlformats.org/officeDocument/2006/relationships/hyperlink" Target="https://www.fr.capfriendly.com/waivers_calculator/alexey-lipanov#results" TargetMode="External"/><Relationship Id="rId211" Type="http://schemas.openxmlformats.org/officeDocument/2006/relationships/hyperlink" Target="https://www.capfriendly.com/waivers_calculator/yegor-rykov#results" TargetMode="External"/><Relationship Id="rId253" Type="http://schemas.openxmlformats.org/officeDocument/2006/relationships/hyperlink" Target="https://www.capfriendly.com/waivers_calculator/jeremy-davies#results" TargetMode="External"/><Relationship Id="rId295" Type="http://schemas.openxmlformats.org/officeDocument/2006/relationships/hyperlink" Target="https://www.capfriendly.com/waivers_calculator/jonathan-ang#results" TargetMode="External"/><Relationship Id="rId309" Type="http://schemas.openxmlformats.org/officeDocument/2006/relationships/hyperlink" Target="https://www.fr.capfriendly.com/waivers_calculator/joel-persson#results" TargetMode="External"/><Relationship Id="rId460" Type="http://schemas.openxmlformats.org/officeDocument/2006/relationships/hyperlink" Target="https://www.fr.capfriendly.com/waivers_calculator/andrew-shortridge#results" TargetMode="External"/><Relationship Id="rId516" Type="http://schemas.openxmlformats.org/officeDocument/2006/relationships/hyperlink" Target="https://www.fr.capfriendly.com/arbitration-calculator/2021/all/all/all/sam-bennett" TargetMode="External"/><Relationship Id="rId698" Type="http://schemas.openxmlformats.org/officeDocument/2006/relationships/hyperlink" Target="https://www.fr.capfriendly.com/waivers_calculator/mikhail-vorobyov#results" TargetMode="External"/><Relationship Id="rId48" Type="http://schemas.openxmlformats.org/officeDocument/2006/relationships/hyperlink" Target="https://www.capfriendly.com/waivers_calculator/ian-scott#results" TargetMode="External"/><Relationship Id="rId113" Type="http://schemas.openxmlformats.org/officeDocument/2006/relationships/hyperlink" Target="https://www.capfriendly.com/waivers_calculator/jan-drozg#results" TargetMode="External"/><Relationship Id="rId320" Type="http://schemas.openxmlformats.org/officeDocument/2006/relationships/hyperlink" Target="https://www.fr.capfriendly.com/waivers_calculator/philip-broberg#results" TargetMode="External"/><Relationship Id="rId558" Type="http://schemas.openxmlformats.org/officeDocument/2006/relationships/hyperlink" Target="https://www.fr.capfriendly.com/waivers_calculator/lukas-dostal#results" TargetMode="External"/><Relationship Id="rId723" Type="http://schemas.openxmlformats.org/officeDocument/2006/relationships/hyperlink" Target="https://www.fr.capfriendly.com/waivers_calculator/joshua-norris#results" TargetMode="External"/><Relationship Id="rId765" Type="http://schemas.openxmlformats.org/officeDocument/2006/relationships/hyperlink" Target="https://www.fr.capfriendly.com/waivers_calculator/ryan-collins#results" TargetMode="External"/><Relationship Id="rId155" Type="http://schemas.openxmlformats.org/officeDocument/2006/relationships/hyperlink" Target="https://www.capfriendly.com/waivers_calculator/erik-kallgren#results" TargetMode="External"/><Relationship Id="rId197" Type="http://schemas.openxmlformats.org/officeDocument/2006/relationships/hyperlink" Target="https://www.capfriendly.com/waivers_calculator/alexandar-georgiev#results" TargetMode="External"/><Relationship Id="rId362" Type="http://schemas.openxmlformats.org/officeDocument/2006/relationships/hyperlink" Target="https://www.fr.capfriendly.com/waivers_calculator/alexander-nylander#results" TargetMode="External"/><Relationship Id="rId418" Type="http://schemas.openxmlformats.org/officeDocument/2006/relationships/hyperlink" Target="https://www.fr.capfriendly.com/waivers_calculator/joseph-veleno#results" TargetMode="External"/><Relationship Id="rId625" Type="http://schemas.openxmlformats.org/officeDocument/2006/relationships/hyperlink" Target="https://www.fr.capfriendly.com/waivers_calculator/bokondji-imama#results" TargetMode="External"/><Relationship Id="rId222" Type="http://schemas.openxmlformats.org/officeDocument/2006/relationships/hyperlink" Target="https://www.capfriendly.com/arbitration-calculator/2020/all/all/all/malcolm-subban" TargetMode="External"/><Relationship Id="rId264" Type="http://schemas.openxmlformats.org/officeDocument/2006/relationships/hyperlink" Target="https://www.capfriendly.com/waivers_calculator/klim-kostin#results" TargetMode="External"/><Relationship Id="rId471" Type="http://schemas.openxmlformats.org/officeDocument/2006/relationships/hyperlink" Target="https://www.fr.capfriendly.com/waivers_calculator/adam-gaudette#results" TargetMode="External"/><Relationship Id="rId667" Type="http://schemas.openxmlformats.org/officeDocument/2006/relationships/hyperlink" Target="https://www.fr.capfriendly.com/arbitration-calculator/2021/all/all/all/ryan-donato" TargetMode="External"/><Relationship Id="rId17" Type="http://schemas.openxmlformats.org/officeDocument/2006/relationships/hyperlink" Target="https://www.capfriendly.com/waivers_calculator/wiley-sherman#results" TargetMode="External"/><Relationship Id="rId59" Type="http://schemas.openxmlformats.org/officeDocument/2006/relationships/hyperlink" Target="https://www.capfriendly.com/waivers_calculator/brett-leason#results" TargetMode="External"/><Relationship Id="rId124" Type="http://schemas.openxmlformats.org/officeDocument/2006/relationships/hyperlink" Target="https://www.capfriendly.com/waivers_calculator/adam-johnson#results" TargetMode="External"/><Relationship Id="rId527" Type="http://schemas.openxmlformats.org/officeDocument/2006/relationships/hyperlink" Target="https://www.fr.capfriendly.com/waivers_calculator/matthew-phillips#results" TargetMode="External"/><Relationship Id="rId569" Type="http://schemas.openxmlformats.org/officeDocument/2006/relationships/hyperlink" Target="https://www.fr.capfriendly.com/waivers_calculator/arnaud-durandeau#results" TargetMode="External"/><Relationship Id="rId734" Type="http://schemas.openxmlformats.org/officeDocument/2006/relationships/hyperlink" Target="https://www.fr.capfriendly.com/waivers_calculator/jack-rodewald#results" TargetMode="External"/><Relationship Id="rId776" Type="http://schemas.openxmlformats.org/officeDocument/2006/relationships/hyperlink" Target="https://www.fr.capfriendly.com/arbitration-calculator/2020/all/all/all/ryan-graves" TargetMode="External"/><Relationship Id="rId70" Type="http://schemas.openxmlformats.org/officeDocument/2006/relationships/hyperlink" Target="https://www.capfriendly.com/waivers_calculator/lucas-johansen#results" TargetMode="External"/><Relationship Id="rId166" Type="http://schemas.openxmlformats.org/officeDocument/2006/relationships/hyperlink" Target="https://www.capfriendly.com/waivers_calculator/riley-tufte#results" TargetMode="External"/><Relationship Id="rId331" Type="http://schemas.openxmlformats.org/officeDocument/2006/relationships/hyperlink" Target="https://www.fr.capfriendly.com/waivers_calculator/shane-starrett#results" TargetMode="External"/><Relationship Id="rId373" Type="http://schemas.openxmlformats.org/officeDocument/2006/relationships/hyperlink" Target="https://www.fr.capfriendly.com/arbitration-calculator/2020/all/all/all/jacob-nilsson" TargetMode="External"/><Relationship Id="rId429" Type="http://schemas.openxmlformats.org/officeDocument/2006/relationships/hyperlink" Target="https://www.fr.capfriendly.com/waivers_calculator/filip-larsson#results" TargetMode="External"/><Relationship Id="rId580" Type="http://schemas.openxmlformats.org/officeDocument/2006/relationships/hyperlink" Target="https://www.fr.capfriendly.com/waivers_calculator/jakub-skarek#results" TargetMode="External"/><Relationship Id="rId636" Type="http://schemas.openxmlformats.org/officeDocument/2006/relationships/hyperlink" Target="https://www.fr.capfriendly.com/waivers_calculator/daniel-brickley#results" TargetMode="External"/><Relationship Id="rId801" Type="http://schemas.openxmlformats.org/officeDocument/2006/relationships/hyperlink" Target="https://www.fr.capfriendly.com/waivers_calculator/david-gustafsson#results" TargetMode="External"/><Relationship Id="rId1" Type="http://schemas.openxmlformats.org/officeDocument/2006/relationships/hyperlink" Target="https://www.capfriendly.com/waivers_calculator/anders-bjork#results" TargetMode="External"/><Relationship Id="rId233" Type="http://schemas.openxmlformats.org/officeDocument/2006/relationships/hyperlink" Target="https://www.capfriendly.com/waivers_calculator/keegan-kolesar#results" TargetMode="External"/><Relationship Id="rId440" Type="http://schemas.openxmlformats.org/officeDocument/2006/relationships/hyperlink" Target="https://www.fr.capfriendly.com/waivers_calculator/ivan-chekhovich#results" TargetMode="External"/><Relationship Id="rId678" Type="http://schemas.openxmlformats.org/officeDocument/2006/relationships/hyperlink" Target="https://www.fr.capfriendly.com/waivers_calculator/gerald-mayhew#results" TargetMode="External"/><Relationship Id="rId28" Type="http://schemas.openxmlformats.org/officeDocument/2006/relationships/hyperlink" Target="https://www.capfriendly.com/arbitration-calculator/2021/all/all/all/trevor-moore" TargetMode="External"/><Relationship Id="rId275" Type="http://schemas.openxmlformats.org/officeDocument/2006/relationships/hyperlink" Target="https://www.capfriendly.com/waivers_calculator/mitch-reinke#results" TargetMode="External"/><Relationship Id="rId300" Type="http://schemas.openxmlformats.org/officeDocument/2006/relationships/hyperlink" Target="https://www.capfriendly.com/waivers_calculator/riley-stillman#results" TargetMode="External"/><Relationship Id="rId482" Type="http://schemas.openxmlformats.org/officeDocument/2006/relationships/hyperlink" Target="https://www.fr.capfriendly.com/waivers_calculator/jalen-chatfield#results" TargetMode="External"/><Relationship Id="rId538" Type="http://schemas.openxmlformats.org/officeDocument/2006/relationships/hyperlink" Target="https://www.fr.capfriendly.com/arbitration-calculator/2021/all/all/all/nick-ritchie" TargetMode="External"/><Relationship Id="rId703" Type="http://schemas.openxmlformats.org/officeDocument/2006/relationships/hyperlink" Target="https://www.fr.capfriendly.com/waivers_calculator/matthew-strome#results" TargetMode="External"/><Relationship Id="rId745" Type="http://schemas.openxmlformats.org/officeDocument/2006/relationships/hyperlink" Target="https://www.fr.capfriendly.com/arbitration-calculator/2021/all/all/all/oliver-bjorkstrand" TargetMode="External"/><Relationship Id="rId81" Type="http://schemas.openxmlformats.org/officeDocument/2006/relationships/hyperlink" Target="https://www.capfriendly.com/arbitration-calculator/2020/all/all/all/sam-reinhart" TargetMode="External"/><Relationship Id="rId135" Type="http://schemas.openxmlformats.org/officeDocument/2006/relationships/hyperlink" Target="https://www.capfriendly.com/waivers_calculator/christian-fischer#results" TargetMode="External"/><Relationship Id="rId177" Type="http://schemas.openxmlformats.org/officeDocument/2006/relationships/hyperlink" Target="https://www.capfriendly.com/waivers_calculator/emil-djuse#results" TargetMode="External"/><Relationship Id="rId342" Type="http://schemas.openxmlformats.org/officeDocument/2006/relationships/hyperlink" Target="https://www.fr.capfriendly.com/waivers_calculator/spencer-smallman#results" TargetMode="External"/><Relationship Id="rId384" Type="http://schemas.openxmlformats.org/officeDocument/2006/relationships/hyperlink" Target="https://www.fr.capfriendly.com/arbitration-calculator/2020/all/all/all/nick-cousins" TargetMode="External"/><Relationship Id="rId591" Type="http://schemas.openxmlformats.org/officeDocument/2006/relationships/hyperlink" Target="https://www.fr.capfriendly.com/waivers_calculator/fabian-zetterlund#results" TargetMode="External"/><Relationship Id="rId605" Type="http://schemas.openxmlformats.org/officeDocument/2006/relationships/hyperlink" Target="https://www.fr.capfriendly.com/waivers_calculator/gilles-senn#results" TargetMode="External"/><Relationship Id="rId787" Type="http://schemas.openxmlformats.org/officeDocument/2006/relationships/hyperlink" Target="https://www.fr.capfriendly.com/waivers_calculator/conor-timmins#results" TargetMode="External"/><Relationship Id="rId812" Type="http://schemas.openxmlformats.org/officeDocument/2006/relationships/hyperlink" Target="https://www.fr.capfriendly.com/waivers_calculator/logan-stanley#results" TargetMode="External"/><Relationship Id="rId202" Type="http://schemas.openxmlformats.org/officeDocument/2006/relationships/hyperlink" Target="https://www.capfriendly.com/waivers_calculator/patrick-newell#results" TargetMode="External"/><Relationship Id="rId244" Type="http://schemas.openxmlformats.org/officeDocument/2006/relationships/hyperlink" Target="https://www.capfriendly.com/waivers_calculator/rem-pitlick#results" TargetMode="External"/><Relationship Id="rId647" Type="http://schemas.openxmlformats.org/officeDocument/2006/relationships/hyperlink" Target="https://www.fr.capfriendly.com/waivers_calculator/mitchell-stephens#results" TargetMode="External"/><Relationship Id="rId689" Type="http://schemas.openxmlformats.org/officeDocument/2006/relationships/hyperlink" Target="https://www.fr.capfriendly.com/waivers_calculator/kaapo-kahkonen#results" TargetMode="External"/><Relationship Id="rId39" Type="http://schemas.openxmlformats.org/officeDocument/2006/relationships/hyperlink" Target="https://www.capfriendly.com/waivers_calculator/mason-marchment#results" TargetMode="External"/><Relationship Id="rId286" Type="http://schemas.openxmlformats.org/officeDocument/2006/relationships/hyperlink" Target="https://www.capfriendly.com/arbitration-calculator/2020/all/all/all/joshua-brown" TargetMode="External"/><Relationship Id="rId451" Type="http://schemas.openxmlformats.org/officeDocument/2006/relationships/hyperlink" Target="https://www.fr.capfriendly.com/waivers_calculator/mario-ferraro#results" TargetMode="External"/><Relationship Id="rId493" Type="http://schemas.openxmlformats.org/officeDocument/2006/relationships/hyperlink" Target="https://www.fr.capfriendly.com/waivers_calculator/connor-clifton#results" TargetMode="External"/><Relationship Id="rId507" Type="http://schemas.openxmlformats.org/officeDocument/2006/relationships/hyperlink" Target="https://www.fr.capfriendly.com/arbitration-calculator/2021/all/all/all/anton-blidh" TargetMode="External"/><Relationship Id="rId549" Type="http://schemas.openxmlformats.org/officeDocument/2006/relationships/hyperlink" Target="https://www.fr.capfriendly.com/waivers_calculator/jack-kopacka#results" TargetMode="External"/><Relationship Id="rId714" Type="http://schemas.openxmlformats.org/officeDocument/2006/relationships/hyperlink" Target="https://www.fr.capfriendly.com/arbitration-calculator/2020/all/all/all/anthony-duclair" TargetMode="External"/><Relationship Id="rId756" Type="http://schemas.openxmlformats.org/officeDocument/2006/relationships/hyperlink" Target="https://www.fr.capfriendly.com/arbitration-calculator/2020/all/all/all/marko-dano" TargetMode="External"/><Relationship Id="rId50" Type="http://schemas.openxmlformats.org/officeDocument/2006/relationships/hyperlink" Target="https://www.capfriendly.com/arbitration-calculator/2020/all/all/all/kasimir-kaskisuo" TargetMode="External"/><Relationship Id="rId104" Type="http://schemas.openxmlformats.org/officeDocument/2006/relationships/hyperlink" Target="https://www.capfriendly.com/waivers_calculator/ukko-pekka-luukkonen#results" TargetMode="External"/><Relationship Id="rId146" Type="http://schemas.openxmlformats.org/officeDocument/2006/relationships/hyperlink" Target="https://www.capfriendly.com/waivers_calculator/giovanni-fiore#results" TargetMode="External"/><Relationship Id="rId188" Type="http://schemas.openxmlformats.org/officeDocument/2006/relationships/hyperlink" Target="https://www.capfriendly.com/arbitration-calculator/2021/all/all/all/pavel-buchnevich" TargetMode="External"/><Relationship Id="rId311" Type="http://schemas.openxmlformats.org/officeDocument/2006/relationships/hyperlink" Target="https://www.fr.capfriendly.com/waivers_calculator/gaetan-haas#results" TargetMode="External"/><Relationship Id="rId353" Type="http://schemas.openxmlformats.org/officeDocument/2006/relationships/hyperlink" Target="https://www.fr.capfriendly.com/arbitration-calculator/2021/all/all/all/david-kampf" TargetMode="External"/><Relationship Id="rId395" Type="http://schemas.openxmlformats.org/officeDocument/2006/relationships/hyperlink" Target="https://www.fr.capfriendly.com/waivers_calculator/michael-pezzetta#results" TargetMode="External"/><Relationship Id="rId409" Type="http://schemas.openxmlformats.org/officeDocument/2006/relationships/hyperlink" Target="https://www.fr.capfriendly.com/arbitration-calculator/2020/all/all/all/andreas-athanasiou" TargetMode="External"/><Relationship Id="rId560" Type="http://schemas.openxmlformats.org/officeDocument/2006/relationships/hyperlink" Target="https://www.fr.capfriendly.com/arbitration-calculator/2020/all/all/all/ryan-pulock" TargetMode="External"/><Relationship Id="rId798" Type="http://schemas.openxmlformats.org/officeDocument/2006/relationships/hyperlink" Target="https://www.fr.capfriendly.com/waivers_calculator/sami-niku#results" TargetMode="External"/><Relationship Id="rId92" Type="http://schemas.openxmlformats.org/officeDocument/2006/relationships/hyperlink" Target="https://www.capfriendly.com/waivers_calculator/matej-pekar#results" TargetMode="External"/><Relationship Id="rId213" Type="http://schemas.openxmlformats.org/officeDocument/2006/relationships/hyperlink" Target="https://www.capfriendly.com/waivers_calculator/tarmo-reunanen#results" TargetMode="External"/><Relationship Id="rId420" Type="http://schemas.openxmlformats.org/officeDocument/2006/relationships/hyperlink" Target="https://www.fr.capfriendly.com/waivers_calculator/chase-pearson#results" TargetMode="External"/><Relationship Id="rId616" Type="http://schemas.openxmlformats.org/officeDocument/2006/relationships/hyperlink" Target="https://www.fr.capfriendly.com/waivers_calculator/gabriel-vilardi#results" TargetMode="External"/><Relationship Id="rId658" Type="http://schemas.openxmlformats.org/officeDocument/2006/relationships/hyperlink" Target="https://www.fr.capfriendly.com/arbitration-calculator/2020/all/all/all/gemel-smith" TargetMode="External"/><Relationship Id="rId255" Type="http://schemas.openxmlformats.org/officeDocument/2006/relationships/hyperlink" Target="https://www.capfriendly.com/waivers_calculator/frederic-allard#results" TargetMode="External"/><Relationship Id="rId297" Type="http://schemas.openxmlformats.org/officeDocument/2006/relationships/hyperlink" Target="https://www.capfriendly.com/waivers_calculator/sebastian-repo#results" TargetMode="External"/><Relationship Id="rId462" Type="http://schemas.openxmlformats.org/officeDocument/2006/relationships/hyperlink" Target="https://www.fr.capfriendly.com/waivers_calculator/josef-korenar#results" TargetMode="External"/><Relationship Id="rId518" Type="http://schemas.openxmlformats.org/officeDocument/2006/relationships/hyperlink" Target="https://www.fr.capfriendly.com/waivers_calculator/dillon-dube#results" TargetMode="External"/><Relationship Id="rId725" Type="http://schemas.openxmlformats.org/officeDocument/2006/relationships/hyperlink" Target="https://www.fr.capfriendly.com/waivers_calculator/jonathan-davidsson#results" TargetMode="External"/><Relationship Id="rId115" Type="http://schemas.openxmlformats.org/officeDocument/2006/relationships/hyperlink" Target="https://www.capfriendly.com/waivers_calculator/kasper-bjorkqvist#results" TargetMode="External"/><Relationship Id="rId157" Type="http://schemas.openxmlformats.org/officeDocument/2006/relationships/hyperlink" Target="https://www.capfriendly.com/waivers_calculator/merrick-madsen#results" TargetMode="External"/><Relationship Id="rId322" Type="http://schemas.openxmlformats.org/officeDocument/2006/relationships/hyperlink" Target="https://www.fr.capfriendly.com/waivers_calculator/ryan-mantha#results" TargetMode="External"/><Relationship Id="rId364" Type="http://schemas.openxmlformats.org/officeDocument/2006/relationships/hyperlink" Target="https://www.fr.capfriendly.com/waivers_calculator/tim-soderlund1#results" TargetMode="External"/><Relationship Id="rId767" Type="http://schemas.openxmlformats.org/officeDocument/2006/relationships/hyperlink" Target="https://www.fr.capfriendly.com/waivers_calculator/doyle-somerby#results" TargetMode="External"/><Relationship Id="rId61" Type="http://schemas.openxmlformats.org/officeDocument/2006/relationships/hyperlink" Target="https://www.capfriendly.com/waivers_calculator/alexei-protas#results" TargetMode="External"/><Relationship Id="rId199" Type="http://schemas.openxmlformats.org/officeDocument/2006/relationships/hyperlink" Target="https://www.capfriendly.com/waivers_calculator/vitali-kravtsov#results" TargetMode="External"/><Relationship Id="rId571" Type="http://schemas.openxmlformats.org/officeDocument/2006/relationships/hyperlink" Target="https://www.fr.capfriendly.com/waivers_calculator/grant-hutton#results" TargetMode="External"/><Relationship Id="rId627" Type="http://schemas.openxmlformats.org/officeDocument/2006/relationships/hyperlink" Target="https://www.fr.capfriendly.com/waivers_calculator/matt-luff#results" TargetMode="External"/><Relationship Id="rId669" Type="http://schemas.openxmlformats.org/officeDocument/2006/relationships/hyperlink" Target="https://www.fr.capfriendly.com/waivers_calculator/luke-kunin#results" TargetMode="External"/><Relationship Id="rId19" Type="http://schemas.openxmlformats.org/officeDocument/2006/relationships/hyperlink" Target="https://www.capfriendly.com/waivers_calculator/karson-kuhlman#results" TargetMode="External"/><Relationship Id="rId224" Type="http://schemas.openxmlformats.org/officeDocument/2006/relationships/hyperlink" Target="https://www.capfriendly.com/waivers_calculator/jonas-rondbjerg#results" TargetMode="External"/><Relationship Id="rId266" Type="http://schemas.openxmlformats.org/officeDocument/2006/relationships/hyperlink" Target="https://www.capfriendly.com/waivers_calculator/dakota-joshua#results" TargetMode="External"/><Relationship Id="rId431" Type="http://schemas.openxmlformats.org/officeDocument/2006/relationships/hyperlink" Target="https://www.fr.capfriendly.com/waivers_calculator/dylan-gambrell#results" TargetMode="External"/><Relationship Id="rId473" Type="http://schemas.openxmlformats.org/officeDocument/2006/relationships/hyperlink" Target="https://www.fr.capfriendly.com/waivers_calculator/lukas-jasek#results" TargetMode="External"/><Relationship Id="rId529" Type="http://schemas.openxmlformats.org/officeDocument/2006/relationships/hyperlink" Target="https://www.fr.capfriendly.com/arbitration-calculator/2020/all/all/all/ryan-lomberg" TargetMode="External"/><Relationship Id="rId680" Type="http://schemas.openxmlformats.org/officeDocument/2006/relationships/hyperlink" Target="https://www.fr.capfriendly.com/waivers_calculator/fedor-gordeev#results" TargetMode="External"/><Relationship Id="rId736" Type="http://schemas.openxmlformats.org/officeDocument/2006/relationships/hyperlink" Target="https://www.fr.capfriendly.com/arbitration-calculator/2020/all/all/all/morgan-klimchuk" TargetMode="External"/><Relationship Id="rId30" Type="http://schemas.openxmlformats.org/officeDocument/2006/relationships/hyperlink" Target="https://www.capfriendly.com/arbitration-calculator/2020/all/all/all/pontus-aberg" TargetMode="External"/><Relationship Id="rId126" Type="http://schemas.openxmlformats.org/officeDocument/2006/relationships/hyperlink" Target="https://www.capfriendly.com/arbitration-calculator/2020/all/all/all/thomas-dipauli" TargetMode="External"/><Relationship Id="rId168" Type="http://schemas.openxmlformats.org/officeDocument/2006/relationships/hyperlink" Target="https://www.capfriendly.com/waivers_calculator/ty-dellandrea#results" TargetMode="External"/><Relationship Id="rId333" Type="http://schemas.openxmlformats.org/officeDocument/2006/relationships/hyperlink" Target="https://www.fr.capfriendly.com/waivers_calculator/andrei-svechnikov#results" TargetMode="External"/><Relationship Id="rId540" Type="http://schemas.openxmlformats.org/officeDocument/2006/relationships/hyperlink" Target="https://www.fr.capfriendly.com/waivers_calculator/brendan-guhle#results" TargetMode="External"/><Relationship Id="rId778" Type="http://schemas.openxmlformats.org/officeDocument/2006/relationships/hyperlink" Target="https://www.fr.capfriendly.com/waivers_calculator/shane-bowers#results" TargetMode="External"/><Relationship Id="rId72" Type="http://schemas.openxmlformats.org/officeDocument/2006/relationships/hyperlink" Target="https://www.capfriendly.com/waivers_calculator/martin-fehervary#results" TargetMode="External"/><Relationship Id="rId375" Type="http://schemas.openxmlformats.org/officeDocument/2006/relationships/hyperlink" Target="https://www.fr.capfriendly.com/waivers_calculator/nicolas-beaudin#results" TargetMode="External"/><Relationship Id="rId582" Type="http://schemas.openxmlformats.org/officeDocument/2006/relationships/hyperlink" Target="https://www.fr.capfriendly.com/waivers_calculator/jack-hughes#results" TargetMode="External"/><Relationship Id="rId638" Type="http://schemas.openxmlformats.org/officeDocument/2006/relationships/hyperlink" Target="https://www.fr.capfriendly.com/waivers_calculator/matt-villalta#results" TargetMode="External"/><Relationship Id="rId803" Type="http://schemas.openxmlformats.org/officeDocument/2006/relationships/hyperlink" Target="https://www.fr.capfriendly.com/waivers_calculator/jansen-harkins#results" TargetMode="External"/><Relationship Id="rId3" Type="http://schemas.openxmlformats.org/officeDocument/2006/relationships/hyperlink" Target="https://www.capfriendly.com/waivers_calculator/jake-debrusk#results" TargetMode="External"/><Relationship Id="rId235" Type="http://schemas.openxmlformats.org/officeDocument/2006/relationships/hyperlink" Target="https://www.capfriendly.com/waivers_calculator/nicolas-hague#results" TargetMode="External"/><Relationship Id="rId277" Type="http://schemas.openxmlformats.org/officeDocument/2006/relationships/hyperlink" Target="https://www.capfriendly.com/waivers_calculator/andreas-borgman#results" TargetMode="External"/><Relationship Id="rId400" Type="http://schemas.openxmlformats.org/officeDocument/2006/relationships/hyperlink" Target="https://www.fr.capfriendly.com/waivers_calculator/david-sklenicka1#results" TargetMode="External"/><Relationship Id="rId442" Type="http://schemas.openxmlformats.org/officeDocument/2006/relationships/hyperlink" Target="https://www.fr.capfriendly.com/waivers_calculator/vladislav-kotkov#results" TargetMode="External"/><Relationship Id="rId484" Type="http://schemas.openxmlformats.org/officeDocument/2006/relationships/hyperlink" Target="https://www.fr.capfriendly.com/waivers_calculator/brogan-rafferty#results" TargetMode="External"/><Relationship Id="rId705" Type="http://schemas.openxmlformats.org/officeDocument/2006/relationships/hyperlink" Target="https://www.fr.capfriendly.com/waivers_calculator/connor-bunnaman#results" TargetMode="External"/><Relationship Id="rId137" Type="http://schemas.openxmlformats.org/officeDocument/2006/relationships/hyperlink" Target="https://www.capfriendly.com/arbitration-calculator/2020/all/all/all/ilya-lyubushkin" TargetMode="External"/><Relationship Id="rId302" Type="http://schemas.openxmlformats.org/officeDocument/2006/relationships/hyperlink" Target="https://www.capfriendly.com/waivers_calculator/ryan-bednard#results" TargetMode="External"/><Relationship Id="rId344" Type="http://schemas.openxmlformats.org/officeDocument/2006/relationships/hyperlink" Target="https://www.fr.capfriendly.com/waivers_calculator/saku-maenalanen#results" TargetMode="External"/><Relationship Id="rId691" Type="http://schemas.openxmlformats.org/officeDocument/2006/relationships/hyperlink" Target="https://www.fr.capfriendly.com/waivers_calculator/nolan-patrick#results" TargetMode="External"/><Relationship Id="rId747" Type="http://schemas.openxmlformats.org/officeDocument/2006/relationships/hyperlink" Target="https://www.fr.capfriendly.com/waivers_calculator/eric-robinson1#results" TargetMode="External"/><Relationship Id="rId789" Type="http://schemas.openxmlformats.org/officeDocument/2006/relationships/hyperlink" Target="https://www.fr.capfriendly.com/waivers_calculator/nicolas-meloche#results" TargetMode="External"/><Relationship Id="rId41" Type="http://schemas.openxmlformats.org/officeDocument/2006/relationships/hyperlink" Target="https://www.capfriendly.com/waivers_calculator/aaron-luchuk#results" TargetMode="External"/><Relationship Id="rId83" Type="http://schemas.openxmlformats.org/officeDocument/2006/relationships/hyperlink" Target="https://www.capfriendly.com/waivers_calculator/casey-mittelstadt#results" TargetMode="External"/><Relationship Id="rId179" Type="http://schemas.openxmlformats.org/officeDocument/2006/relationships/hyperlink" Target="https://www.capfriendly.com/waivers_calculator/john-nyberg#results" TargetMode="External"/><Relationship Id="rId386" Type="http://schemas.openxmlformats.org/officeDocument/2006/relationships/hyperlink" Target="https://www.fr.capfriendly.com/arbitration-calculator/2020/all/all/all/charles-hudon" TargetMode="External"/><Relationship Id="rId551" Type="http://schemas.openxmlformats.org/officeDocument/2006/relationships/hyperlink" Target="https://www.fr.capfriendly.com/arbitration-calculator/2020/all/all/all/andrew-poturalski" TargetMode="External"/><Relationship Id="rId593" Type="http://schemas.openxmlformats.org/officeDocument/2006/relationships/hyperlink" Target="https://www.fr.capfriendly.com/waivers_calculator/yegor-sharangovich#results" TargetMode="External"/><Relationship Id="rId607" Type="http://schemas.openxmlformats.org/officeDocument/2006/relationships/hyperlink" Target="https://www.fr.capfriendly.com/waivers_calculator/blake-lizotte#results" TargetMode="External"/><Relationship Id="rId649" Type="http://schemas.openxmlformats.org/officeDocument/2006/relationships/hyperlink" Target="https://www.fr.capfriendly.com/waivers_calculator/taylor-raddysh#results" TargetMode="External"/><Relationship Id="rId814" Type="http://schemas.openxmlformats.org/officeDocument/2006/relationships/hyperlink" Target="https://www.fr.capfriendly.com/waivers_calculator/johnny-kovacevic#results" TargetMode="External"/><Relationship Id="rId190" Type="http://schemas.openxmlformats.org/officeDocument/2006/relationships/hyperlink" Target="https://www.capfriendly.com/waivers_calculator/kaapo-kakko#results" TargetMode="External"/><Relationship Id="rId204" Type="http://schemas.openxmlformats.org/officeDocument/2006/relationships/hyperlink" Target="https://www.capfriendly.com/waivers_calculator/dawson-leedahl#results" TargetMode="External"/><Relationship Id="rId246" Type="http://schemas.openxmlformats.org/officeDocument/2006/relationships/hyperlink" Target="https://www.capfriendly.com/waivers_calculator/josh-wilkins#results" TargetMode="External"/><Relationship Id="rId288" Type="http://schemas.openxmlformats.org/officeDocument/2006/relationships/hyperlink" Target="https://www.capfriendly.com/waivers_calculator/aleksi-heponiemi#results" TargetMode="External"/><Relationship Id="rId411" Type="http://schemas.openxmlformats.org/officeDocument/2006/relationships/hyperlink" Target="https://www.fr.capfriendly.com/arbitration-calculator/2020/all/all/all/jacob-de-la-rose" TargetMode="External"/><Relationship Id="rId453" Type="http://schemas.openxmlformats.org/officeDocument/2006/relationships/hyperlink" Target="https://www.fr.capfriendly.com/waivers_calculator/tony-sund#results" TargetMode="External"/><Relationship Id="rId509" Type="http://schemas.openxmlformats.org/officeDocument/2006/relationships/hyperlink" Target="https://www.fr.capfriendly.com/waivers_calculator/urho-vaakanainen#results" TargetMode="External"/><Relationship Id="rId660" Type="http://schemas.openxmlformats.org/officeDocument/2006/relationships/hyperlink" Target="https://www.fr.capfriendly.com/waivers_calculator/cal-foote#results" TargetMode="External"/><Relationship Id="rId106" Type="http://schemas.openxmlformats.org/officeDocument/2006/relationships/hyperlink" Target="https://www.capfriendly.com/arbitration-calculator/2020/all/all/all/jared-mccann" TargetMode="External"/><Relationship Id="rId313" Type="http://schemas.openxmlformats.org/officeDocument/2006/relationships/hyperlink" Target="https://www.fr.capfriendly.com/waivers_calculator/kailer-yamamoto#results" TargetMode="External"/><Relationship Id="rId495" Type="http://schemas.openxmlformats.org/officeDocument/2006/relationships/hyperlink" Target="https://www.fr.capfriendly.com/waivers_calculator/trent-frederic#results" TargetMode="External"/><Relationship Id="rId716" Type="http://schemas.openxmlformats.org/officeDocument/2006/relationships/hyperlink" Target="https://www.fr.capfriendly.com/waivers_calculator/brady-tkachuk#results" TargetMode="External"/><Relationship Id="rId758" Type="http://schemas.openxmlformats.org/officeDocument/2006/relationships/hyperlink" Target="https://www.fr.capfriendly.com/waivers_calculator/maxime-fortier#results" TargetMode="External"/><Relationship Id="rId10" Type="http://schemas.openxmlformats.org/officeDocument/2006/relationships/hyperlink" Target="https://www.capfriendly.com/waivers_calculator/zach-senyshyn#results" TargetMode="External"/><Relationship Id="rId52" Type="http://schemas.openxmlformats.org/officeDocument/2006/relationships/hyperlink" Target="https://www.capfriendly.com/arbitration-calculator/2020/all/all/all/travis-boyd" TargetMode="External"/><Relationship Id="rId94" Type="http://schemas.openxmlformats.org/officeDocument/2006/relationships/hyperlink" Target="https://www.capfriendly.com/arbitration-calculator/2020/all/all/all/curtis-lazar" TargetMode="External"/><Relationship Id="rId148" Type="http://schemas.openxmlformats.org/officeDocument/2006/relationships/hyperlink" Target="https://www.capfriendly.com/waivers_calculator/jordan-gross#results" TargetMode="External"/><Relationship Id="rId355" Type="http://schemas.openxmlformats.org/officeDocument/2006/relationships/hyperlink" Target="https://www.fr.capfriendly.com/arbitration-calculator/2020/all/all/all/slater-koekkoek" TargetMode="External"/><Relationship Id="rId397" Type="http://schemas.openxmlformats.org/officeDocument/2006/relationships/hyperlink" Target="https://www.fr.capfriendly.com/waivers_calculator/alex-belzile#results" TargetMode="External"/><Relationship Id="rId520" Type="http://schemas.openxmlformats.org/officeDocument/2006/relationships/hyperlink" Target="https://www.fr.capfriendly.com/waivers_calculator/juuso-valimaki#results" TargetMode="External"/><Relationship Id="rId562" Type="http://schemas.openxmlformats.org/officeDocument/2006/relationships/hyperlink" Target="https://www.fr.capfriendly.com/arbitration-calculator/2020/all/all/all/devon-toews" TargetMode="External"/><Relationship Id="rId618" Type="http://schemas.openxmlformats.org/officeDocument/2006/relationships/hyperlink" Target="https://www.fr.capfriendly.com/waivers_calculator/michael-eyssimont#results" TargetMode="External"/><Relationship Id="rId215" Type="http://schemas.openxmlformats.org/officeDocument/2006/relationships/hyperlink" Target="https://www.capfriendly.com/waivers_calculator/brandon-crawley#results" TargetMode="External"/><Relationship Id="rId257" Type="http://schemas.openxmlformats.org/officeDocument/2006/relationships/hyperlink" Target="https://www.capfriendly.com/waivers_calculator/connor-ingram#results" TargetMode="External"/><Relationship Id="rId422" Type="http://schemas.openxmlformats.org/officeDocument/2006/relationships/hyperlink" Target="https://www.fr.capfriendly.com/waivers_calculator/givani-smith#results" TargetMode="External"/><Relationship Id="rId464" Type="http://schemas.openxmlformats.org/officeDocument/2006/relationships/hyperlink" Target="https://www.fr.capfriendly.com/arbitration-calculator/2020/all/all/all/jake-virtanen" TargetMode="External"/><Relationship Id="rId299" Type="http://schemas.openxmlformats.org/officeDocument/2006/relationships/hyperlink" Target="https://www.capfriendly.com/waivers_calculator/brady-keeper#results" TargetMode="External"/><Relationship Id="rId727" Type="http://schemas.openxmlformats.org/officeDocument/2006/relationships/hyperlink" Target="https://www.fr.capfriendly.com/waivers_calculator/jc-beaudin#results" TargetMode="External"/><Relationship Id="rId63" Type="http://schemas.openxmlformats.org/officeDocument/2006/relationships/hyperlink" Target="https://www.capfriendly.com/waivers_calculator/garrett-pilon#results" TargetMode="External"/><Relationship Id="rId159" Type="http://schemas.openxmlformats.org/officeDocument/2006/relationships/hyperlink" Target="https://www.capfriendly.com/arbitration-calculator/2020/all/all/all/radek-faksa" TargetMode="External"/><Relationship Id="rId366" Type="http://schemas.openxmlformats.org/officeDocument/2006/relationships/hyperlink" Target="https://www.fr.capfriendly.com/waivers_calculator/mackenzie-entwistle#results" TargetMode="External"/><Relationship Id="rId573" Type="http://schemas.openxmlformats.org/officeDocument/2006/relationships/hyperlink" Target="https://www.fr.capfriendly.com/waivers_calculator/bode-wilde#results" TargetMode="External"/><Relationship Id="rId780" Type="http://schemas.openxmlformats.org/officeDocument/2006/relationships/hyperlink" Target="https://www.fr.capfriendly.com/waivers_calculator/martin-kaut#results" TargetMode="External"/><Relationship Id="rId226" Type="http://schemas.openxmlformats.org/officeDocument/2006/relationships/hyperlink" Target="https://www.capfriendly.com/waivers_calculator/jake-leschyshyn#results" TargetMode="External"/><Relationship Id="rId433" Type="http://schemas.openxmlformats.org/officeDocument/2006/relationships/hyperlink" Target="https://www.fr.capfriendly.com/waivers_calculator/danil-yurtaykin#results" TargetMode="External"/><Relationship Id="rId640" Type="http://schemas.openxmlformats.org/officeDocument/2006/relationships/hyperlink" Target="https://www.fr.capfriendly.com/waivers_calculator/anthony-cirelli#results" TargetMode="External"/><Relationship Id="rId738" Type="http://schemas.openxmlformats.org/officeDocument/2006/relationships/hyperlink" Target="https://www.fr.capfriendly.com/waivers_calculator/erik-brannstrom#results" TargetMode="External"/><Relationship Id="rId74" Type="http://schemas.openxmlformats.org/officeDocument/2006/relationships/hyperlink" Target="https://www.capfriendly.com/waivers_calculator/tobias-geisser#results" TargetMode="External"/><Relationship Id="rId377" Type="http://schemas.openxmlformats.org/officeDocument/2006/relationships/hyperlink" Target="https://www.fr.capfriendly.com/waivers_calculator/chad-krys#results" TargetMode="External"/><Relationship Id="rId500" Type="http://schemas.openxmlformats.org/officeDocument/2006/relationships/hyperlink" Target="https://www.fr.capfriendly.com/waivers_calculator/jakub-lauko1#results" TargetMode="External"/><Relationship Id="rId584" Type="http://schemas.openxmlformats.org/officeDocument/2006/relationships/hyperlink" Target="https://www.fr.capfriendly.com/arbitration-calculator/2020/all/all/all/john-hayden" TargetMode="External"/><Relationship Id="rId805" Type="http://schemas.openxmlformats.org/officeDocument/2006/relationships/hyperlink" Target="https://www.fr.capfriendly.com/waivers_calculator/joona-luoto#results" TargetMode="External"/><Relationship Id="rId5" Type="http://schemas.openxmlformats.org/officeDocument/2006/relationships/hyperlink" Target="https://www.capfriendly.com/waivers_calculator/charlie-mcavoy#results" TargetMode="External"/><Relationship Id="rId237" Type="http://schemas.openxmlformats.org/officeDocument/2006/relationships/hyperlink" Target="https://www.capfriendly.com/waivers_calculator/dylan-coghlan#results" TargetMode="External"/><Relationship Id="rId791" Type="http://schemas.openxmlformats.org/officeDocument/2006/relationships/hyperlink" Target="https://www.fr.capfriendly.com/waivers_calculator/calle-rosen#results" TargetMode="External"/><Relationship Id="rId444" Type="http://schemas.openxmlformats.org/officeDocument/2006/relationships/hyperlink" Target="https://www.fr.capfriendly.com/waivers_calculator/alex-true#results" TargetMode="External"/><Relationship Id="rId651" Type="http://schemas.openxmlformats.org/officeDocument/2006/relationships/hyperlink" Target="https://www.fr.capfriendly.com/waivers_calculator/gabriel-fortier#results" TargetMode="External"/><Relationship Id="rId749" Type="http://schemas.openxmlformats.org/officeDocument/2006/relationships/hyperlink" Target="https://www.fr.capfriendly.com/arbitration-calculator/2020/all/all/all/joonas-korpisalo" TargetMode="External"/><Relationship Id="rId290" Type="http://schemas.openxmlformats.org/officeDocument/2006/relationships/hyperlink" Target="https://www.capfriendly.com/waivers_calculator/owen-tippett#results" TargetMode="External"/><Relationship Id="rId304" Type="http://schemas.openxmlformats.org/officeDocument/2006/relationships/hyperlink" Target="https://www.fr.capfriendly.com/arbitration-calculator/2021/all/all/all/jujhar-khaira" TargetMode="External"/><Relationship Id="rId388" Type="http://schemas.openxmlformats.org/officeDocument/2006/relationships/hyperlink" Target="https://www.fr.capfriendly.com/waivers_calculator/ryan-poehling#results" TargetMode="External"/><Relationship Id="rId511" Type="http://schemas.openxmlformats.org/officeDocument/2006/relationships/hyperlink" Target="https://www.fr.capfriendly.com/waivers_calculator/axel-andersson#results" TargetMode="External"/><Relationship Id="rId609" Type="http://schemas.openxmlformats.org/officeDocument/2006/relationships/hyperlink" Target="https://www.fr.capfriendly.com/waivers_calculator/austin-wagner#results" TargetMode="External"/></Relationships>
</file>

<file path=xl/drawings/drawing1.xml><?xml version="1.0" encoding="utf-8"?>
<xdr:wsDr xmlns:xdr="http://schemas.openxmlformats.org/drawingml/2006/spreadsheetDrawing" xmlns:a="http://schemas.openxmlformats.org/drawingml/2006/main">
  <xdr:twoCellAnchor>
    <xdr:from>
      <xdr:col>2</xdr:col>
      <xdr:colOff>85725</xdr:colOff>
      <xdr:row>14</xdr:row>
      <xdr:rowOff>95250</xdr:rowOff>
    </xdr:from>
    <xdr:to>
      <xdr:col>3</xdr:col>
      <xdr:colOff>742950</xdr:colOff>
      <xdr:row>14</xdr:row>
      <xdr:rowOff>104775</xdr:rowOff>
    </xdr:to>
    <xdr:cxnSp macro="">
      <xdr:nvCxnSpPr>
        <xdr:cNvPr id="3" name="Connecteur droit avec flèche 2">
          <a:extLst>
            <a:ext uri="{FF2B5EF4-FFF2-40B4-BE49-F238E27FC236}">
              <a16:creationId xmlns:a16="http://schemas.microsoft.com/office/drawing/2014/main" xmlns="" id="{C0822805-60F4-4074-A29F-E2F4EAED4D69}"/>
            </a:ext>
          </a:extLst>
        </xdr:cNvPr>
        <xdr:cNvCxnSpPr/>
      </xdr:nvCxnSpPr>
      <xdr:spPr>
        <a:xfrm flipH="1">
          <a:off x="6381750" y="2724150"/>
          <a:ext cx="1419225" cy="9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1050</xdr:row>
      <xdr:rowOff>0</xdr:rowOff>
    </xdr:from>
    <xdr:to>
      <xdr:col>0</xdr:col>
      <xdr:colOff>123825</xdr:colOff>
      <xdr:row>1050</xdr:row>
      <xdr:rowOff>123825</xdr:rowOff>
    </xdr:to>
    <xdr:sp macro="" textlink="">
      <xdr:nvSpPr>
        <xdr:cNvPr id="4097" name="AutoShape 1" descr="Waivers Exempt">
          <a:hlinkClick xmlns:r="http://schemas.openxmlformats.org/officeDocument/2006/relationships" r:id="rId1"/>
          <a:extLst>
            <a:ext uri="{FF2B5EF4-FFF2-40B4-BE49-F238E27FC236}">
              <a16:creationId xmlns:a16="http://schemas.microsoft.com/office/drawing/2014/main" xmlns="" id="{09B169FC-E405-47A5-8C4D-2900F90B8D7F}"/>
            </a:ext>
          </a:extLst>
        </xdr:cNvPr>
        <xdr:cNvSpPr>
          <a:spLocks noChangeAspect="1" noChangeArrowheads="1"/>
        </xdr:cNvSpPr>
      </xdr:nvSpPr>
      <xdr:spPr bwMode="auto">
        <a:xfrm>
          <a:off x="1524000" y="171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8" name="AutoShape 2" descr="Performance Bonuses">
          <a:extLst>
            <a:ext uri="{FF2B5EF4-FFF2-40B4-BE49-F238E27FC236}">
              <a16:creationId xmlns:a16="http://schemas.microsoft.com/office/drawing/2014/main" xmlns="" id="{6BF9B0D4-F2E0-4C56-99EA-D9AD4B9E65D8}"/>
            </a:ext>
          </a:extLst>
        </xdr:cNvPr>
        <xdr:cNvSpPr>
          <a:spLocks noChangeAspect="1" noChangeArrowheads="1"/>
        </xdr:cNvSpPr>
      </xdr:nvSpPr>
      <xdr:spPr bwMode="auto">
        <a:xfrm>
          <a:off x="152400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9" name="AutoShape 3" descr="Waivers Exempt">
          <a:hlinkClick xmlns:r="http://schemas.openxmlformats.org/officeDocument/2006/relationships" r:id="rId2"/>
          <a:extLst>
            <a:ext uri="{FF2B5EF4-FFF2-40B4-BE49-F238E27FC236}">
              <a16:creationId xmlns:a16="http://schemas.microsoft.com/office/drawing/2014/main" xmlns="" id="{79590A2E-7CAB-46D1-AC72-479398128F53}"/>
            </a:ext>
          </a:extLst>
        </xdr:cNvPr>
        <xdr:cNvSpPr>
          <a:spLocks noChangeAspect="1" noChangeArrowheads="1"/>
        </xdr:cNvSpPr>
      </xdr:nvSpPr>
      <xdr:spPr bwMode="auto">
        <a:xfrm>
          <a:off x="165735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1447</xdr:row>
      <xdr:rowOff>0</xdr:rowOff>
    </xdr:from>
    <xdr:to>
      <xdr:col>0</xdr:col>
      <xdr:colOff>123825</xdr:colOff>
      <xdr:row>1447</xdr:row>
      <xdr:rowOff>123825</xdr:rowOff>
    </xdr:to>
    <xdr:sp macro="" textlink="">
      <xdr:nvSpPr>
        <xdr:cNvPr id="4100" name="AutoShape 4" descr="Performance Bonuses">
          <a:extLst>
            <a:ext uri="{FF2B5EF4-FFF2-40B4-BE49-F238E27FC236}">
              <a16:creationId xmlns:a16="http://schemas.microsoft.com/office/drawing/2014/main" xmlns="" id="{4875AE08-A2EF-4A41-AB48-1C19603274FC}"/>
            </a:ext>
          </a:extLst>
        </xdr:cNvPr>
        <xdr:cNvSpPr>
          <a:spLocks noChangeAspect="1" noChangeArrowheads="1"/>
        </xdr:cNvSpPr>
      </xdr:nvSpPr>
      <xdr:spPr bwMode="auto">
        <a:xfrm>
          <a:off x="1524000" y="209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1" name="AutoShape 5" descr="Performance Bonuses">
          <a:extLst>
            <a:ext uri="{FF2B5EF4-FFF2-40B4-BE49-F238E27FC236}">
              <a16:creationId xmlns:a16="http://schemas.microsoft.com/office/drawing/2014/main" xmlns="" id="{8D065551-CE28-4804-979D-9F909B3C3FBC}"/>
            </a:ext>
          </a:extLst>
        </xdr:cNvPr>
        <xdr:cNvSpPr>
          <a:spLocks noChangeAspect="1" noChangeArrowheads="1"/>
        </xdr:cNvSpPr>
      </xdr:nvSpPr>
      <xdr:spPr bwMode="auto">
        <a:xfrm>
          <a:off x="152400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2" name="AutoShape 6" descr="Waivers Exempt">
          <a:hlinkClick xmlns:r="http://schemas.openxmlformats.org/officeDocument/2006/relationships" r:id="rId3"/>
          <a:extLst>
            <a:ext uri="{FF2B5EF4-FFF2-40B4-BE49-F238E27FC236}">
              <a16:creationId xmlns:a16="http://schemas.microsoft.com/office/drawing/2014/main" xmlns="" id="{970955B1-D3B3-4BD1-8A95-BF9E781F495E}"/>
            </a:ext>
          </a:extLst>
        </xdr:cNvPr>
        <xdr:cNvSpPr>
          <a:spLocks noChangeAspect="1" noChangeArrowheads="1"/>
        </xdr:cNvSpPr>
      </xdr:nvSpPr>
      <xdr:spPr bwMode="auto">
        <a:xfrm>
          <a:off x="165735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881</xdr:row>
      <xdr:rowOff>0</xdr:rowOff>
    </xdr:from>
    <xdr:to>
      <xdr:col>0</xdr:col>
      <xdr:colOff>123825</xdr:colOff>
      <xdr:row>881</xdr:row>
      <xdr:rowOff>123825</xdr:rowOff>
    </xdr:to>
    <xdr:sp macro="" textlink="">
      <xdr:nvSpPr>
        <xdr:cNvPr id="4103" name="AutoShape 7" descr="Performance Bonuses">
          <a:extLst>
            <a:ext uri="{FF2B5EF4-FFF2-40B4-BE49-F238E27FC236}">
              <a16:creationId xmlns:a16="http://schemas.microsoft.com/office/drawing/2014/main" xmlns="" id="{14B95305-D8FB-409C-9B2C-F23D5E946748}"/>
            </a:ext>
          </a:extLst>
        </xdr:cNvPr>
        <xdr:cNvSpPr>
          <a:spLocks noChangeAspect="1" noChangeArrowheads="1"/>
        </xdr:cNvSpPr>
      </xdr:nvSpPr>
      <xdr:spPr bwMode="auto">
        <a:xfrm>
          <a:off x="1524000" y="3609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4104" name="AutoShape 8" descr="Arbitration Eligible">
          <a:hlinkClick xmlns:r="http://schemas.openxmlformats.org/officeDocument/2006/relationships" r:id="rId4"/>
          <a:extLst>
            <a:ext uri="{FF2B5EF4-FFF2-40B4-BE49-F238E27FC236}">
              <a16:creationId xmlns:a16="http://schemas.microsoft.com/office/drawing/2014/main" xmlns="" id="{ABB2D0C4-0A97-4E44-9744-5E9779C8B2B5}"/>
            </a:ext>
          </a:extLst>
        </xdr:cNvPr>
        <xdr:cNvSpPr>
          <a:spLocks noChangeAspect="1" noChangeArrowheads="1"/>
        </xdr:cNvSpPr>
      </xdr:nvSpPr>
      <xdr:spPr bwMode="auto">
        <a:xfrm>
          <a:off x="6096000" y="418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5" name="AutoShape 9" descr="Performance Bonuses">
          <a:extLst>
            <a:ext uri="{FF2B5EF4-FFF2-40B4-BE49-F238E27FC236}">
              <a16:creationId xmlns:a16="http://schemas.microsoft.com/office/drawing/2014/main" xmlns="" id="{11837B33-4989-4E4F-AE7A-6AD8A2E9B57E}"/>
            </a:ext>
          </a:extLst>
        </xdr:cNvPr>
        <xdr:cNvSpPr>
          <a:spLocks noChangeAspect="1" noChangeArrowheads="1"/>
        </xdr:cNvSpPr>
      </xdr:nvSpPr>
      <xdr:spPr bwMode="auto">
        <a:xfrm>
          <a:off x="152400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6" name="AutoShape 10" descr="Waivers Exempt">
          <a:hlinkClick xmlns:r="http://schemas.openxmlformats.org/officeDocument/2006/relationships" r:id="rId5"/>
          <a:extLst>
            <a:ext uri="{FF2B5EF4-FFF2-40B4-BE49-F238E27FC236}">
              <a16:creationId xmlns:a16="http://schemas.microsoft.com/office/drawing/2014/main" xmlns="" id="{93F5B8DD-DB3E-4B9E-AC2F-4A470E143BD9}"/>
            </a:ext>
          </a:extLst>
        </xdr:cNvPr>
        <xdr:cNvSpPr>
          <a:spLocks noChangeAspect="1" noChangeArrowheads="1"/>
        </xdr:cNvSpPr>
      </xdr:nvSpPr>
      <xdr:spPr bwMode="auto">
        <a:xfrm>
          <a:off x="165735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7" name="AutoShape 11" descr="Waivers Exempt">
          <a:hlinkClick xmlns:r="http://schemas.openxmlformats.org/officeDocument/2006/relationships" r:id="rId6"/>
          <a:extLst>
            <a:ext uri="{FF2B5EF4-FFF2-40B4-BE49-F238E27FC236}">
              <a16:creationId xmlns:a16="http://schemas.microsoft.com/office/drawing/2014/main" xmlns="" id="{AD51CB72-BF16-4A33-8E02-3D10F41F4874}"/>
            </a:ext>
          </a:extLst>
        </xdr:cNvPr>
        <xdr:cNvSpPr>
          <a:spLocks noChangeAspect="1" noChangeArrowheads="1"/>
        </xdr:cNvSpPr>
      </xdr:nvSpPr>
      <xdr:spPr bwMode="auto">
        <a:xfrm>
          <a:off x="1524000" y="456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8" name="AutoShape 12" descr="https://capfriendly-wlb8ng5.stackpathdns.com/assets/images/icons/general/q.svg">
          <a:extLst>
            <a:ext uri="{FF2B5EF4-FFF2-40B4-BE49-F238E27FC236}">
              <a16:creationId xmlns:a16="http://schemas.microsoft.com/office/drawing/2014/main" xmlns="" id="{F244C45F-EFAE-4648-B200-F21FBC659DBF}"/>
            </a:ext>
          </a:extLst>
        </xdr:cNvPr>
        <xdr:cNvSpPr>
          <a:spLocks noChangeAspect="1" noChangeArrowheads="1"/>
        </xdr:cNvSpPr>
      </xdr:nvSpPr>
      <xdr:spPr bwMode="auto">
        <a:xfrm>
          <a:off x="1524000" y="837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9" name="AutoShape 13" descr="https://capfriendly-wlb8ng5.stackpathdns.com/assets/images/icons/general/q.svg">
          <a:extLst>
            <a:ext uri="{FF2B5EF4-FFF2-40B4-BE49-F238E27FC236}">
              <a16:creationId xmlns:a16="http://schemas.microsoft.com/office/drawing/2014/main" xmlns="" id="{D108043C-27E8-48C4-8428-D4445B015D4D}"/>
            </a:ext>
          </a:extLst>
        </xdr:cNvPr>
        <xdr:cNvSpPr>
          <a:spLocks noChangeAspect="1" noChangeArrowheads="1"/>
        </xdr:cNvSpPr>
      </xdr:nvSpPr>
      <xdr:spPr bwMode="auto">
        <a:xfrm>
          <a:off x="1524000" y="856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0" name="AutoShape 14" descr="https://capfriendly-wlb8ng5.stackpathdns.com/assets/images/icons/general/q.svg">
          <a:extLst>
            <a:ext uri="{FF2B5EF4-FFF2-40B4-BE49-F238E27FC236}">
              <a16:creationId xmlns:a16="http://schemas.microsoft.com/office/drawing/2014/main" xmlns="" id="{B894D038-7D24-4B88-80B6-BC4B2E4C0006}"/>
            </a:ext>
          </a:extLst>
        </xdr:cNvPr>
        <xdr:cNvSpPr>
          <a:spLocks noChangeAspect="1" noChangeArrowheads="1"/>
        </xdr:cNvSpPr>
      </xdr:nvSpPr>
      <xdr:spPr bwMode="auto">
        <a:xfrm>
          <a:off x="1524000" y="875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1" name="AutoShape 15" descr="https://capfriendly-wlb8ng5.stackpathdns.com/assets/images/icons/general/q.svg">
          <a:extLst>
            <a:ext uri="{FF2B5EF4-FFF2-40B4-BE49-F238E27FC236}">
              <a16:creationId xmlns:a16="http://schemas.microsoft.com/office/drawing/2014/main" xmlns="" id="{FFC2403D-5EFE-437D-899F-F176FEECCB76}"/>
            </a:ext>
          </a:extLst>
        </xdr:cNvPr>
        <xdr:cNvSpPr>
          <a:spLocks noChangeAspect="1" noChangeArrowheads="1"/>
        </xdr:cNvSpPr>
      </xdr:nvSpPr>
      <xdr:spPr bwMode="auto">
        <a:xfrm>
          <a:off x="1524000" y="894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2" name="AutoShape 16" descr="https://capfriendly-wlb8ng5.stackpathdns.com/assets/images/icons/general/q.svg">
          <a:extLst>
            <a:ext uri="{FF2B5EF4-FFF2-40B4-BE49-F238E27FC236}">
              <a16:creationId xmlns:a16="http://schemas.microsoft.com/office/drawing/2014/main" xmlns="" id="{A06939E7-9D88-4936-B31D-A3C591803941}"/>
            </a:ext>
          </a:extLst>
        </xdr:cNvPr>
        <xdr:cNvSpPr>
          <a:spLocks noChangeAspect="1" noChangeArrowheads="1"/>
        </xdr:cNvSpPr>
      </xdr:nvSpPr>
      <xdr:spPr bwMode="auto">
        <a:xfrm>
          <a:off x="1524000" y="913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3" name="AutoShape 17" descr="https://capfriendly-wlb8ng5.stackpathdns.com/assets/images/icons/general/q.svg">
          <a:extLst>
            <a:ext uri="{FF2B5EF4-FFF2-40B4-BE49-F238E27FC236}">
              <a16:creationId xmlns:a16="http://schemas.microsoft.com/office/drawing/2014/main" xmlns="" id="{DE419EDF-43AC-45E3-B91E-555078EFFA2F}"/>
            </a:ext>
          </a:extLst>
        </xdr:cNvPr>
        <xdr:cNvSpPr>
          <a:spLocks noChangeAspect="1" noChangeArrowheads="1"/>
        </xdr:cNvSpPr>
      </xdr:nvSpPr>
      <xdr:spPr bwMode="auto">
        <a:xfrm>
          <a:off x="1524000" y="932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4" name="AutoShape 18" descr="https://capfriendly-wlb8ng5.stackpathdns.com/assets/images/icons/general/q.svg">
          <a:extLst>
            <a:ext uri="{FF2B5EF4-FFF2-40B4-BE49-F238E27FC236}">
              <a16:creationId xmlns:a16="http://schemas.microsoft.com/office/drawing/2014/main" xmlns="" id="{7066B122-F9FE-4222-8FEA-7ED0DAE3AA54}"/>
            </a:ext>
          </a:extLst>
        </xdr:cNvPr>
        <xdr:cNvSpPr>
          <a:spLocks noChangeAspect="1" noChangeArrowheads="1"/>
        </xdr:cNvSpPr>
      </xdr:nvSpPr>
      <xdr:spPr bwMode="auto">
        <a:xfrm>
          <a:off x="1524000" y="951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5" name="AutoShape 19" descr="https://capfriendly-wlb8ng5.stackpathdns.com/assets/images/icons/general/q.svg">
          <a:extLst>
            <a:ext uri="{FF2B5EF4-FFF2-40B4-BE49-F238E27FC236}">
              <a16:creationId xmlns:a16="http://schemas.microsoft.com/office/drawing/2014/main" xmlns="" id="{350F1860-0418-4DEB-A771-2B21376C25EC}"/>
            </a:ext>
          </a:extLst>
        </xdr:cNvPr>
        <xdr:cNvSpPr>
          <a:spLocks noChangeAspect="1" noChangeArrowheads="1"/>
        </xdr:cNvSpPr>
      </xdr:nvSpPr>
      <xdr:spPr bwMode="auto">
        <a:xfrm>
          <a:off x="1524000" y="970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6" name="AutoShape 20" descr="https://capfriendly-wlb8ng5.stackpathdns.com/assets/images/icons/general/q.svg">
          <a:extLst>
            <a:ext uri="{FF2B5EF4-FFF2-40B4-BE49-F238E27FC236}">
              <a16:creationId xmlns:a16="http://schemas.microsoft.com/office/drawing/2014/main" xmlns="" id="{DF734B0B-0311-4E08-B4EC-01CB079693F3}"/>
            </a:ext>
          </a:extLst>
        </xdr:cNvPr>
        <xdr:cNvSpPr>
          <a:spLocks noChangeAspect="1" noChangeArrowheads="1"/>
        </xdr:cNvSpPr>
      </xdr:nvSpPr>
      <xdr:spPr bwMode="auto">
        <a:xfrm>
          <a:off x="1524000" y="989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7" name="AutoShape 21" descr="https://capfriendly-wlb8ng5.stackpathdns.com/assets/images/icons/general/q.svg">
          <a:extLst>
            <a:ext uri="{FF2B5EF4-FFF2-40B4-BE49-F238E27FC236}">
              <a16:creationId xmlns:a16="http://schemas.microsoft.com/office/drawing/2014/main" xmlns="" id="{509B9A57-EB8B-46AC-84C4-E7F88F41A9F3}"/>
            </a:ext>
          </a:extLst>
        </xdr:cNvPr>
        <xdr:cNvSpPr>
          <a:spLocks noChangeAspect="1" noChangeArrowheads="1"/>
        </xdr:cNvSpPr>
      </xdr:nvSpPr>
      <xdr:spPr bwMode="auto">
        <a:xfrm>
          <a:off x="1524000" y="1008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8" name="AutoShape 22" descr="https://capfriendly-wlb8ng5.stackpathdns.com/assets/images/icons/general/q.svg">
          <a:extLst>
            <a:ext uri="{FF2B5EF4-FFF2-40B4-BE49-F238E27FC236}">
              <a16:creationId xmlns:a16="http://schemas.microsoft.com/office/drawing/2014/main" xmlns="" id="{C2E0A520-5615-40FA-8F74-3BD9160EE34A}"/>
            </a:ext>
          </a:extLst>
        </xdr:cNvPr>
        <xdr:cNvSpPr>
          <a:spLocks noChangeAspect="1" noChangeArrowheads="1"/>
        </xdr:cNvSpPr>
      </xdr:nvSpPr>
      <xdr:spPr bwMode="auto">
        <a:xfrm>
          <a:off x="1524000" y="10277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9" name="AutoShape 23" descr="https://capfriendly-wlb8ng5.stackpathdns.com/assets/images/icons/general/q.svg">
          <a:extLst>
            <a:ext uri="{FF2B5EF4-FFF2-40B4-BE49-F238E27FC236}">
              <a16:creationId xmlns:a16="http://schemas.microsoft.com/office/drawing/2014/main" xmlns="" id="{123F3BD3-7CBA-420F-802A-AF9AE787DED5}"/>
            </a:ext>
          </a:extLst>
        </xdr:cNvPr>
        <xdr:cNvSpPr>
          <a:spLocks noChangeAspect="1" noChangeArrowheads="1"/>
        </xdr:cNvSpPr>
      </xdr:nvSpPr>
      <xdr:spPr bwMode="auto">
        <a:xfrm>
          <a:off x="1524000" y="10467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0" name="AutoShape 24" descr="Performance Bonuses">
          <a:extLst>
            <a:ext uri="{FF2B5EF4-FFF2-40B4-BE49-F238E27FC236}">
              <a16:creationId xmlns:a16="http://schemas.microsoft.com/office/drawing/2014/main" xmlns="" id="{7296FADB-3C87-429B-96C6-EE65E6F5963B}"/>
            </a:ext>
          </a:extLst>
        </xdr:cNvPr>
        <xdr:cNvSpPr>
          <a:spLocks noChangeAspect="1" noChangeArrowheads="1"/>
        </xdr:cNvSpPr>
      </xdr:nvSpPr>
      <xdr:spPr bwMode="auto">
        <a:xfrm>
          <a:off x="15240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1" name="AutoShape 25" descr="Retained Salary Transaction">
          <a:extLst>
            <a:ext uri="{FF2B5EF4-FFF2-40B4-BE49-F238E27FC236}">
              <a16:creationId xmlns:a16="http://schemas.microsoft.com/office/drawing/2014/main" xmlns="" id="{8F2E9E23-3DBE-4397-AB4F-4D1C0A967AED}"/>
            </a:ext>
          </a:extLst>
        </xdr:cNvPr>
        <xdr:cNvSpPr>
          <a:spLocks noChangeAspect="1" noChangeArrowheads="1"/>
        </xdr:cNvSpPr>
      </xdr:nvSpPr>
      <xdr:spPr bwMode="auto">
        <a:xfrm>
          <a:off x="16573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2" name="AutoShape 26" descr="Waivers Exempt">
          <a:hlinkClick xmlns:r="http://schemas.openxmlformats.org/officeDocument/2006/relationships" r:id="rId7"/>
          <a:extLst>
            <a:ext uri="{FF2B5EF4-FFF2-40B4-BE49-F238E27FC236}">
              <a16:creationId xmlns:a16="http://schemas.microsoft.com/office/drawing/2014/main" xmlns="" id="{6A7B829C-3B6E-4049-922A-B5A4570A0F39}"/>
            </a:ext>
          </a:extLst>
        </xdr:cNvPr>
        <xdr:cNvSpPr>
          <a:spLocks noChangeAspect="1" noChangeArrowheads="1"/>
        </xdr:cNvSpPr>
      </xdr:nvSpPr>
      <xdr:spPr bwMode="auto">
        <a:xfrm>
          <a:off x="17907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3" name="AutoShape 27" descr="Performance Bonuses">
          <a:extLst>
            <a:ext uri="{FF2B5EF4-FFF2-40B4-BE49-F238E27FC236}">
              <a16:creationId xmlns:a16="http://schemas.microsoft.com/office/drawing/2014/main" xmlns="" id="{2029644F-CA01-475E-98EF-11F45A646159}"/>
            </a:ext>
          </a:extLst>
        </xdr:cNvPr>
        <xdr:cNvSpPr>
          <a:spLocks noChangeAspect="1" noChangeArrowheads="1"/>
        </xdr:cNvSpPr>
      </xdr:nvSpPr>
      <xdr:spPr bwMode="auto">
        <a:xfrm>
          <a:off x="152400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4" name="AutoShape 28" descr="Waivers Exempt">
          <a:hlinkClick xmlns:r="http://schemas.openxmlformats.org/officeDocument/2006/relationships" r:id="rId8"/>
          <a:extLst>
            <a:ext uri="{FF2B5EF4-FFF2-40B4-BE49-F238E27FC236}">
              <a16:creationId xmlns:a16="http://schemas.microsoft.com/office/drawing/2014/main" xmlns="" id="{C96358AE-3370-4372-A9B6-A1C1A4345D45}"/>
            </a:ext>
          </a:extLst>
        </xdr:cNvPr>
        <xdr:cNvSpPr>
          <a:spLocks noChangeAspect="1" noChangeArrowheads="1"/>
        </xdr:cNvSpPr>
      </xdr:nvSpPr>
      <xdr:spPr bwMode="auto">
        <a:xfrm>
          <a:off x="16573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123825</xdr:rowOff>
    </xdr:to>
    <xdr:sp macro="" textlink="">
      <xdr:nvSpPr>
        <xdr:cNvPr id="4125" name="AutoShape 29" descr="Waivers Exempt">
          <a:hlinkClick xmlns:r="http://schemas.openxmlformats.org/officeDocument/2006/relationships" r:id="rId9"/>
          <a:extLst>
            <a:ext uri="{FF2B5EF4-FFF2-40B4-BE49-F238E27FC236}">
              <a16:creationId xmlns:a16="http://schemas.microsoft.com/office/drawing/2014/main" xmlns="" id="{71076201-F9A0-4F84-9AB9-CEF5BC2F02A8}"/>
            </a:ext>
          </a:extLst>
        </xdr:cNvPr>
        <xdr:cNvSpPr>
          <a:spLocks noChangeAspect="1" noChangeArrowheads="1"/>
        </xdr:cNvSpPr>
      </xdr:nvSpPr>
      <xdr:spPr bwMode="auto">
        <a:xfrm>
          <a:off x="152400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6" name="AutoShape 30" descr="Performance Bonuses">
          <a:extLst>
            <a:ext uri="{FF2B5EF4-FFF2-40B4-BE49-F238E27FC236}">
              <a16:creationId xmlns:a16="http://schemas.microsoft.com/office/drawing/2014/main" xmlns="" id="{25037758-769B-4333-BDF6-7C5A1A928DCB}"/>
            </a:ext>
          </a:extLst>
        </xdr:cNvPr>
        <xdr:cNvSpPr>
          <a:spLocks noChangeAspect="1" noChangeArrowheads="1"/>
        </xdr:cNvSpPr>
      </xdr:nvSpPr>
      <xdr:spPr bwMode="auto">
        <a:xfrm>
          <a:off x="152400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7" name="AutoShape 31" descr="Waivers Exempt">
          <a:hlinkClick xmlns:r="http://schemas.openxmlformats.org/officeDocument/2006/relationships" r:id="rId10"/>
          <a:extLst>
            <a:ext uri="{FF2B5EF4-FFF2-40B4-BE49-F238E27FC236}">
              <a16:creationId xmlns:a16="http://schemas.microsoft.com/office/drawing/2014/main" xmlns="" id="{9ED911BA-54CE-403D-A35C-90CCBCADF31D}"/>
            </a:ext>
          </a:extLst>
        </xdr:cNvPr>
        <xdr:cNvSpPr>
          <a:spLocks noChangeAspect="1" noChangeArrowheads="1"/>
        </xdr:cNvSpPr>
      </xdr:nvSpPr>
      <xdr:spPr bwMode="auto">
        <a:xfrm>
          <a:off x="165735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8" name="AutoShape 32" descr="Performance Bonuses">
          <a:extLst>
            <a:ext uri="{FF2B5EF4-FFF2-40B4-BE49-F238E27FC236}">
              <a16:creationId xmlns:a16="http://schemas.microsoft.com/office/drawing/2014/main" xmlns="" id="{B1B562C8-0480-43EA-AAFB-927374358539}"/>
            </a:ext>
          </a:extLst>
        </xdr:cNvPr>
        <xdr:cNvSpPr>
          <a:spLocks noChangeAspect="1" noChangeArrowheads="1"/>
        </xdr:cNvSpPr>
      </xdr:nvSpPr>
      <xdr:spPr bwMode="auto">
        <a:xfrm>
          <a:off x="152400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9" name="AutoShape 33" descr="Waivers Exempt">
          <a:hlinkClick xmlns:r="http://schemas.openxmlformats.org/officeDocument/2006/relationships" r:id="rId11"/>
          <a:extLst>
            <a:ext uri="{FF2B5EF4-FFF2-40B4-BE49-F238E27FC236}">
              <a16:creationId xmlns:a16="http://schemas.microsoft.com/office/drawing/2014/main" xmlns="" id="{2C4662B7-E107-43C6-80FB-1FC76273597D}"/>
            </a:ext>
          </a:extLst>
        </xdr:cNvPr>
        <xdr:cNvSpPr>
          <a:spLocks noChangeAspect="1" noChangeArrowheads="1"/>
        </xdr:cNvSpPr>
      </xdr:nvSpPr>
      <xdr:spPr bwMode="auto">
        <a:xfrm>
          <a:off x="165735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0" name="AutoShape 34" descr="Performance Bonuses">
          <a:extLst>
            <a:ext uri="{FF2B5EF4-FFF2-40B4-BE49-F238E27FC236}">
              <a16:creationId xmlns:a16="http://schemas.microsoft.com/office/drawing/2014/main" xmlns="" id="{9A7E092A-88B0-47D9-B58A-3B88BD049644}"/>
            </a:ext>
          </a:extLst>
        </xdr:cNvPr>
        <xdr:cNvSpPr>
          <a:spLocks noChangeAspect="1" noChangeArrowheads="1"/>
        </xdr:cNvSpPr>
      </xdr:nvSpPr>
      <xdr:spPr bwMode="auto">
        <a:xfrm>
          <a:off x="15240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1" name="AutoShape 35" descr="Retained Salary Transaction">
          <a:extLst>
            <a:ext uri="{FF2B5EF4-FFF2-40B4-BE49-F238E27FC236}">
              <a16:creationId xmlns:a16="http://schemas.microsoft.com/office/drawing/2014/main" xmlns="" id="{B4DC05D9-C80E-4344-9E89-97C6CDC22138}"/>
            </a:ext>
          </a:extLst>
        </xdr:cNvPr>
        <xdr:cNvSpPr>
          <a:spLocks noChangeAspect="1" noChangeArrowheads="1"/>
        </xdr:cNvSpPr>
      </xdr:nvSpPr>
      <xdr:spPr bwMode="auto">
        <a:xfrm>
          <a:off x="165735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2" name="AutoShape 36" descr="Waivers Exempt">
          <a:hlinkClick xmlns:r="http://schemas.openxmlformats.org/officeDocument/2006/relationships" r:id="rId12"/>
          <a:extLst>
            <a:ext uri="{FF2B5EF4-FFF2-40B4-BE49-F238E27FC236}">
              <a16:creationId xmlns:a16="http://schemas.microsoft.com/office/drawing/2014/main" xmlns="" id="{4A4C9EE5-B120-4413-A79B-C8552743BFAC}"/>
            </a:ext>
          </a:extLst>
        </xdr:cNvPr>
        <xdr:cNvSpPr>
          <a:spLocks noChangeAspect="1" noChangeArrowheads="1"/>
        </xdr:cNvSpPr>
      </xdr:nvSpPr>
      <xdr:spPr bwMode="auto">
        <a:xfrm>
          <a:off x="17907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3" name="AutoShape 37" descr="Performance Bonuses">
          <a:extLst>
            <a:ext uri="{FF2B5EF4-FFF2-40B4-BE49-F238E27FC236}">
              <a16:creationId xmlns:a16="http://schemas.microsoft.com/office/drawing/2014/main" xmlns="" id="{49177F74-7396-480D-B554-89C65A56E346}"/>
            </a:ext>
          </a:extLst>
        </xdr:cNvPr>
        <xdr:cNvSpPr>
          <a:spLocks noChangeAspect="1" noChangeArrowheads="1"/>
        </xdr:cNvSpPr>
      </xdr:nvSpPr>
      <xdr:spPr bwMode="auto">
        <a:xfrm>
          <a:off x="15240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4" name="AutoShape 38" descr="Retained Salary Transaction">
          <a:extLst>
            <a:ext uri="{FF2B5EF4-FFF2-40B4-BE49-F238E27FC236}">
              <a16:creationId xmlns:a16="http://schemas.microsoft.com/office/drawing/2014/main" xmlns="" id="{4C00F1CD-7AC4-44B8-B509-1AEFC5AAD862}"/>
            </a:ext>
          </a:extLst>
        </xdr:cNvPr>
        <xdr:cNvSpPr>
          <a:spLocks noChangeAspect="1" noChangeArrowheads="1"/>
        </xdr:cNvSpPr>
      </xdr:nvSpPr>
      <xdr:spPr bwMode="auto">
        <a:xfrm>
          <a:off x="16573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5" name="AutoShape 39" descr="Waivers Exempt">
          <a:hlinkClick xmlns:r="http://schemas.openxmlformats.org/officeDocument/2006/relationships" r:id="rId13"/>
          <a:extLst>
            <a:ext uri="{FF2B5EF4-FFF2-40B4-BE49-F238E27FC236}">
              <a16:creationId xmlns:a16="http://schemas.microsoft.com/office/drawing/2014/main" xmlns="" id="{930909EF-E97A-48C3-82B7-84B3325E2952}"/>
            </a:ext>
          </a:extLst>
        </xdr:cNvPr>
        <xdr:cNvSpPr>
          <a:spLocks noChangeAspect="1" noChangeArrowheads="1"/>
        </xdr:cNvSpPr>
      </xdr:nvSpPr>
      <xdr:spPr bwMode="auto">
        <a:xfrm>
          <a:off x="17907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6" name="AutoShape 40" descr="Exempt from the 50 Contract Limit">
          <a:extLst>
            <a:ext uri="{FF2B5EF4-FFF2-40B4-BE49-F238E27FC236}">
              <a16:creationId xmlns:a16="http://schemas.microsoft.com/office/drawing/2014/main" xmlns="" id="{150A3271-ED64-4197-9C6A-56B3B1376797}"/>
            </a:ext>
          </a:extLst>
        </xdr:cNvPr>
        <xdr:cNvSpPr>
          <a:spLocks noChangeAspect="1" noChangeArrowheads="1"/>
        </xdr:cNvSpPr>
      </xdr:nvSpPr>
      <xdr:spPr bwMode="auto">
        <a:xfrm>
          <a:off x="19240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7" name="AutoShape 41" descr="Performance Bonuses">
          <a:extLst>
            <a:ext uri="{FF2B5EF4-FFF2-40B4-BE49-F238E27FC236}">
              <a16:creationId xmlns:a16="http://schemas.microsoft.com/office/drawing/2014/main" xmlns="" id="{F7B3404F-7A8F-4BED-87B1-07E2A25E374A}"/>
            </a:ext>
          </a:extLst>
        </xdr:cNvPr>
        <xdr:cNvSpPr>
          <a:spLocks noChangeAspect="1" noChangeArrowheads="1"/>
        </xdr:cNvSpPr>
      </xdr:nvSpPr>
      <xdr:spPr bwMode="auto">
        <a:xfrm>
          <a:off x="152400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8" name="AutoShape 42" descr="Waivers Exempt">
          <a:hlinkClick xmlns:r="http://schemas.openxmlformats.org/officeDocument/2006/relationships" r:id="rId14"/>
          <a:extLst>
            <a:ext uri="{FF2B5EF4-FFF2-40B4-BE49-F238E27FC236}">
              <a16:creationId xmlns:a16="http://schemas.microsoft.com/office/drawing/2014/main" xmlns="" id="{FA45C912-93E9-444C-9BB2-D275385B98B0}"/>
            </a:ext>
          </a:extLst>
        </xdr:cNvPr>
        <xdr:cNvSpPr>
          <a:spLocks noChangeAspect="1" noChangeArrowheads="1"/>
        </xdr:cNvSpPr>
      </xdr:nvSpPr>
      <xdr:spPr bwMode="auto">
        <a:xfrm>
          <a:off x="165735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9" name="AutoShape 43" descr="Performance Bonuses">
          <a:extLst>
            <a:ext uri="{FF2B5EF4-FFF2-40B4-BE49-F238E27FC236}">
              <a16:creationId xmlns:a16="http://schemas.microsoft.com/office/drawing/2014/main" xmlns="" id="{6076C910-9833-4EE1-A757-E0FDA759D2AE}"/>
            </a:ext>
          </a:extLst>
        </xdr:cNvPr>
        <xdr:cNvSpPr>
          <a:spLocks noChangeAspect="1" noChangeArrowheads="1"/>
        </xdr:cNvSpPr>
      </xdr:nvSpPr>
      <xdr:spPr bwMode="auto">
        <a:xfrm>
          <a:off x="152400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0" name="AutoShape 44" descr="Waivers Exempt">
          <a:hlinkClick xmlns:r="http://schemas.openxmlformats.org/officeDocument/2006/relationships" r:id="rId15"/>
          <a:extLst>
            <a:ext uri="{FF2B5EF4-FFF2-40B4-BE49-F238E27FC236}">
              <a16:creationId xmlns:a16="http://schemas.microsoft.com/office/drawing/2014/main" xmlns="" id="{6E70EF33-C91E-47D5-9276-2889B3CC1F59}"/>
            </a:ext>
          </a:extLst>
        </xdr:cNvPr>
        <xdr:cNvSpPr>
          <a:spLocks noChangeAspect="1" noChangeArrowheads="1"/>
        </xdr:cNvSpPr>
      </xdr:nvSpPr>
      <xdr:spPr bwMode="auto">
        <a:xfrm>
          <a:off x="165735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1" name="AutoShape 45" descr="Performance Bonuses">
          <a:extLst>
            <a:ext uri="{FF2B5EF4-FFF2-40B4-BE49-F238E27FC236}">
              <a16:creationId xmlns:a16="http://schemas.microsoft.com/office/drawing/2014/main" xmlns="" id="{8BBCACE7-EEED-45A4-A327-46C256840521}"/>
            </a:ext>
          </a:extLst>
        </xdr:cNvPr>
        <xdr:cNvSpPr>
          <a:spLocks noChangeAspect="1" noChangeArrowheads="1"/>
        </xdr:cNvSpPr>
      </xdr:nvSpPr>
      <xdr:spPr bwMode="auto">
        <a:xfrm>
          <a:off x="152400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2" name="AutoShape 46" descr="Waivers Exempt">
          <a:hlinkClick xmlns:r="http://schemas.openxmlformats.org/officeDocument/2006/relationships" r:id="rId16"/>
          <a:extLst>
            <a:ext uri="{FF2B5EF4-FFF2-40B4-BE49-F238E27FC236}">
              <a16:creationId xmlns:a16="http://schemas.microsoft.com/office/drawing/2014/main" xmlns="" id="{4475F1BE-45B3-4842-A5EF-0F61F73A8C27}"/>
            </a:ext>
          </a:extLst>
        </xdr:cNvPr>
        <xdr:cNvSpPr>
          <a:spLocks noChangeAspect="1" noChangeArrowheads="1"/>
        </xdr:cNvSpPr>
      </xdr:nvSpPr>
      <xdr:spPr bwMode="auto">
        <a:xfrm>
          <a:off x="165735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3" name="AutoShape 47" descr="Performance Bonuses">
          <a:extLst>
            <a:ext uri="{FF2B5EF4-FFF2-40B4-BE49-F238E27FC236}">
              <a16:creationId xmlns:a16="http://schemas.microsoft.com/office/drawing/2014/main" xmlns="" id="{237AF541-5F81-4710-9861-7B16038694D3}"/>
            </a:ext>
          </a:extLst>
        </xdr:cNvPr>
        <xdr:cNvSpPr>
          <a:spLocks noChangeAspect="1" noChangeArrowheads="1"/>
        </xdr:cNvSpPr>
      </xdr:nvSpPr>
      <xdr:spPr bwMode="auto">
        <a:xfrm>
          <a:off x="152400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4" name="AutoShape 48" descr="Waivers Exempt">
          <a:hlinkClick xmlns:r="http://schemas.openxmlformats.org/officeDocument/2006/relationships" r:id="rId17"/>
          <a:extLst>
            <a:ext uri="{FF2B5EF4-FFF2-40B4-BE49-F238E27FC236}">
              <a16:creationId xmlns:a16="http://schemas.microsoft.com/office/drawing/2014/main" xmlns="" id="{80C186E2-CB78-4927-9C23-DFF8A90F1E07}"/>
            </a:ext>
          </a:extLst>
        </xdr:cNvPr>
        <xdr:cNvSpPr>
          <a:spLocks noChangeAspect="1" noChangeArrowheads="1"/>
        </xdr:cNvSpPr>
      </xdr:nvSpPr>
      <xdr:spPr bwMode="auto">
        <a:xfrm>
          <a:off x="165735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5" name="AutoShape 49" descr="Performance Bonuses">
          <a:extLst>
            <a:ext uri="{FF2B5EF4-FFF2-40B4-BE49-F238E27FC236}">
              <a16:creationId xmlns:a16="http://schemas.microsoft.com/office/drawing/2014/main" xmlns="" id="{FE4F4B82-1F9F-41FF-900F-4D79EB2A9ACA}"/>
            </a:ext>
          </a:extLst>
        </xdr:cNvPr>
        <xdr:cNvSpPr>
          <a:spLocks noChangeAspect="1" noChangeArrowheads="1"/>
        </xdr:cNvSpPr>
      </xdr:nvSpPr>
      <xdr:spPr bwMode="auto">
        <a:xfrm>
          <a:off x="152400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6" name="AutoShape 50" descr="Waivers Exempt">
          <a:hlinkClick xmlns:r="http://schemas.openxmlformats.org/officeDocument/2006/relationships" r:id="rId18"/>
          <a:extLst>
            <a:ext uri="{FF2B5EF4-FFF2-40B4-BE49-F238E27FC236}">
              <a16:creationId xmlns:a16="http://schemas.microsoft.com/office/drawing/2014/main" xmlns="" id="{5C9FD60E-F90E-4166-B9E0-ABA3CF8B5FEF}"/>
            </a:ext>
          </a:extLst>
        </xdr:cNvPr>
        <xdr:cNvSpPr>
          <a:spLocks noChangeAspect="1" noChangeArrowheads="1"/>
        </xdr:cNvSpPr>
      </xdr:nvSpPr>
      <xdr:spPr bwMode="auto">
        <a:xfrm>
          <a:off x="165735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7" name="AutoShape 51" descr="Performance Bonuses">
          <a:extLst>
            <a:ext uri="{FF2B5EF4-FFF2-40B4-BE49-F238E27FC236}">
              <a16:creationId xmlns:a16="http://schemas.microsoft.com/office/drawing/2014/main" xmlns="" id="{C307E8E5-C34B-4561-85AD-B9BB49E86557}"/>
            </a:ext>
          </a:extLst>
        </xdr:cNvPr>
        <xdr:cNvSpPr>
          <a:spLocks noChangeAspect="1" noChangeArrowheads="1"/>
        </xdr:cNvSpPr>
      </xdr:nvSpPr>
      <xdr:spPr bwMode="auto">
        <a:xfrm>
          <a:off x="152400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8" name="AutoShape 52" descr="Waivers Exempt">
          <a:hlinkClick xmlns:r="http://schemas.openxmlformats.org/officeDocument/2006/relationships" r:id="rId19"/>
          <a:extLst>
            <a:ext uri="{FF2B5EF4-FFF2-40B4-BE49-F238E27FC236}">
              <a16:creationId xmlns:a16="http://schemas.microsoft.com/office/drawing/2014/main" xmlns="" id="{70B6071F-7D95-4A52-8E83-2C717A683863}"/>
            </a:ext>
          </a:extLst>
        </xdr:cNvPr>
        <xdr:cNvSpPr>
          <a:spLocks noChangeAspect="1" noChangeArrowheads="1"/>
        </xdr:cNvSpPr>
      </xdr:nvSpPr>
      <xdr:spPr bwMode="auto">
        <a:xfrm>
          <a:off x="165735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49" name="AutoShape 53" descr="Performance Bonuses">
          <a:extLst>
            <a:ext uri="{FF2B5EF4-FFF2-40B4-BE49-F238E27FC236}">
              <a16:creationId xmlns:a16="http://schemas.microsoft.com/office/drawing/2014/main" xmlns="" id="{8355087C-3B61-44EA-BD8E-D56387DA6C22}"/>
            </a:ext>
          </a:extLst>
        </xdr:cNvPr>
        <xdr:cNvSpPr>
          <a:spLocks noChangeAspect="1" noChangeArrowheads="1"/>
        </xdr:cNvSpPr>
      </xdr:nvSpPr>
      <xdr:spPr bwMode="auto">
        <a:xfrm>
          <a:off x="152400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0" name="AutoShape 54" descr="Waivers Exempt">
          <a:hlinkClick xmlns:r="http://schemas.openxmlformats.org/officeDocument/2006/relationships" r:id="rId20"/>
          <a:extLst>
            <a:ext uri="{FF2B5EF4-FFF2-40B4-BE49-F238E27FC236}">
              <a16:creationId xmlns:a16="http://schemas.microsoft.com/office/drawing/2014/main" xmlns="" id="{4B6A4490-2D80-4F08-AB3D-092794887FC7}"/>
            </a:ext>
          </a:extLst>
        </xdr:cNvPr>
        <xdr:cNvSpPr>
          <a:spLocks noChangeAspect="1" noChangeArrowheads="1"/>
        </xdr:cNvSpPr>
      </xdr:nvSpPr>
      <xdr:spPr bwMode="auto">
        <a:xfrm>
          <a:off x="165735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1" name="AutoShape 55" descr="Performance Bonuses">
          <a:extLst>
            <a:ext uri="{FF2B5EF4-FFF2-40B4-BE49-F238E27FC236}">
              <a16:creationId xmlns:a16="http://schemas.microsoft.com/office/drawing/2014/main" xmlns="" id="{5BC84FF5-18AF-4C55-B432-C16F7E370E64}"/>
            </a:ext>
          </a:extLst>
        </xdr:cNvPr>
        <xdr:cNvSpPr>
          <a:spLocks noChangeAspect="1" noChangeArrowheads="1"/>
        </xdr:cNvSpPr>
      </xdr:nvSpPr>
      <xdr:spPr bwMode="auto">
        <a:xfrm>
          <a:off x="152400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2" name="AutoShape 56" descr="Waivers Exempt">
          <a:hlinkClick xmlns:r="http://schemas.openxmlformats.org/officeDocument/2006/relationships" r:id="rId21"/>
          <a:extLst>
            <a:ext uri="{FF2B5EF4-FFF2-40B4-BE49-F238E27FC236}">
              <a16:creationId xmlns:a16="http://schemas.microsoft.com/office/drawing/2014/main" xmlns="" id="{88B92941-1ECA-4DFA-9DA0-D1FF83DE226B}"/>
            </a:ext>
          </a:extLst>
        </xdr:cNvPr>
        <xdr:cNvSpPr>
          <a:spLocks noChangeAspect="1" noChangeArrowheads="1"/>
        </xdr:cNvSpPr>
      </xdr:nvSpPr>
      <xdr:spPr bwMode="auto">
        <a:xfrm>
          <a:off x="165735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3" name="AutoShape 57" descr="Performance Bonuses">
          <a:extLst>
            <a:ext uri="{FF2B5EF4-FFF2-40B4-BE49-F238E27FC236}">
              <a16:creationId xmlns:a16="http://schemas.microsoft.com/office/drawing/2014/main" xmlns="" id="{7A800950-3762-4266-8BFF-E02F830F3337}"/>
            </a:ext>
          </a:extLst>
        </xdr:cNvPr>
        <xdr:cNvSpPr>
          <a:spLocks noChangeAspect="1" noChangeArrowheads="1"/>
        </xdr:cNvSpPr>
      </xdr:nvSpPr>
      <xdr:spPr bwMode="auto">
        <a:xfrm>
          <a:off x="152400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4" name="AutoShape 58" descr="Waivers Exempt">
          <a:hlinkClick xmlns:r="http://schemas.openxmlformats.org/officeDocument/2006/relationships" r:id="rId22"/>
          <a:extLst>
            <a:ext uri="{FF2B5EF4-FFF2-40B4-BE49-F238E27FC236}">
              <a16:creationId xmlns:a16="http://schemas.microsoft.com/office/drawing/2014/main" xmlns="" id="{F49D8510-0CC7-470C-92CE-6A80D636599E}"/>
            </a:ext>
          </a:extLst>
        </xdr:cNvPr>
        <xdr:cNvSpPr>
          <a:spLocks noChangeAspect="1" noChangeArrowheads="1"/>
        </xdr:cNvSpPr>
      </xdr:nvSpPr>
      <xdr:spPr bwMode="auto">
        <a:xfrm>
          <a:off x="165735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5" name="AutoShape 59" descr="Performance Bonuses">
          <a:extLst>
            <a:ext uri="{FF2B5EF4-FFF2-40B4-BE49-F238E27FC236}">
              <a16:creationId xmlns:a16="http://schemas.microsoft.com/office/drawing/2014/main" xmlns="" id="{07930ECF-8183-4ABF-98F6-8DEC6B840441}"/>
            </a:ext>
          </a:extLst>
        </xdr:cNvPr>
        <xdr:cNvSpPr>
          <a:spLocks noChangeAspect="1" noChangeArrowheads="1"/>
        </xdr:cNvSpPr>
      </xdr:nvSpPr>
      <xdr:spPr bwMode="auto">
        <a:xfrm>
          <a:off x="152400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6" name="AutoShape 60" descr="Waivers Exempt">
          <a:hlinkClick xmlns:r="http://schemas.openxmlformats.org/officeDocument/2006/relationships" r:id="rId23"/>
          <a:extLst>
            <a:ext uri="{FF2B5EF4-FFF2-40B4-BE49-F238E27FC236}">
              <a16:creationId xmlns:a16="http://schemas.microsoft.com/office/drawing/2014/main" xmlns="" id="{51C30A9D-506A-47B4-9FAF-BFE23E642A04}"/>
            </a:ext>
          </a:extLst>
        </xdr:cNvPr>
        <xdr:cNvSpPr>
          <a:spLocks noChangeAspect="1" noChangeArrowheads="1"/>
        </xdr:cNvSpPr>
      </xdr:nvSpPr>
      <xdr:spPr bwMode="auto">
        <a:xfrm>
          <a:off x="165735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7" name="AutoShape 61" descr="Waivers Exempt">
          <a:hlinkClick xmlns:r="http://schemas.openxmlformats.org/officeDocument/2006/relationships" r:id="rId24"/>
          <a:extLst>
            <a:ext uri="{FF2B5EF4-FFF2-40B4-BE49-F238E27FC236}">
              <a16:creationId xmlns:a16="http://schemas.microsoft.com/office/drawing/2014/main" xmlns="" id="{2E529846-A33D-4F46-A493-A0ED22E96220}"/>
            </a:ext>
          </a:extLst>
        </xdr:cNvPr>
        <xdr:cNvSpPr>
          <a:spLocks noChangeAspect="1" noChangeArrowheads="1"/>
        </xdr:cNvSpPr>
      </xdr:nvSpPr>
      <xdr:spPr bwMode="auto">
        <a:xfrm>
          <a:off x="1524000" y="1444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8" name="AutoShape 62" descr="Retained Salary Transaction">
          <a:extLst>
            <a:ext uri="{FF2B5EF4-FFF2-40B4-BE49-F238E27FC236}">
              <a16:creationId xmlns:a16="http://schemas.microsoft.com/office/drawing/2014/main" xmlns="" id="{0187A37C-CAD4-40F5-BDB6-3359F64C7002}"/>
            </a:ext>
          </a:extLst>
        </xdr:cNvPr>
        <xdr:cNvSpPr>
          <a:spLocks noChangeAspect="1" noChangeArrowheads="1"/>
        </xdr:cNvSpPr>
      </xdr:nvSpPr>
      <xdr:spPr bwMode="auto">
        <a:xfrm>
          <a:off x="15240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9" name="AutoShape 63" descr="Waivers Exempt">
          <a:hlinkClick xmlns:r="http://schemas.openxmlformats.org/officeDocument/2006/relationships" r:id="rId25"/>
          <a:extLst>
            <a:ext uri="{FF2B5EF4-FFF2-40B4-BE49-F238E27FC236}">
              <a16:creationId xmlns:a16="http://schemas.microsoft.com/office/drawing/2014/main" xmlns="" id="{EC2F8A82-E8B9-4DE1-AEB5-31754F375EF5}"/>
            </a:ext>
          </a:extLst>
        </xdr:cNvPr>
        <xdr:cNvSpPr>
          <a:spLocks noChangeAspect="1" noChangeArrowheads="1"/>
        </xdr:cNvSpPr>
      </xdr:nvSpPr>
      <xdr:spPr bwMode="auto">
        <a:xfrm>
          <a:off x="165735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0" name="AutoShape 64" descr="Exempt from the 50 Contract Limit">
          <a:extLst>
            <a:ext uri="{FF2B5EF4-FFF2-40B4-BE49-F238E27FC236}">
              <a16:creationId xmlns:a16="http://schemas.microsoft.com/office/drawing/2014/main" xmlns="" id="{50F3A7EF-D2FF-4566-82F2-E76F268EFA66}"/>
            </a:ext>
          </a:extLst>
        </xdr:cNvPr>
        <xdr:cNvSpPr>
          <a:spLocks noChangeAspect="1" noChangeArrowheads="1"/>
        </xdr:cNvSpPr>
      </xdr:nvSpPr>
      <xdr:spPr bwMode="auto">
        <a:xfrm>
          <a:off x="17907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1" name="AutoShape 65" descr="Waivers Exempt">
          <a:hlinkClick xmlns:r="http://schemas.openxmlformats.org/officeDocument/2006/relationships" r:id="rId26"/>
          <a:extLst>
            <a:ext uri="{FF2B5EF4-FFF2-40B4-BE49-F238E27FC236}">
              <a16:creationId xmlns:a16="http://schemas.microsoft.com/office/drawing/2014/main" xmlns="" id="{D2B266FA-DB1B-4675-9617-BAF92A82894E}"/>
            </a:ext>
          </a:extLst>
        </xdr:cNvPr>
        <xdr:cNvSpPr>
          <a:spLocks noChangeAspect="1" noChangeArrowheads="1"/>
        </xdr:cNvSpPr>
      </xdr:nvSpPr>
      <xdr:spPr bwMode="auto">
        <a:xfrm>
          <a:off x="1524000" y="1483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104775</xdr:rowOff>
    </xdr:to>
    <xdr:sp macro="" textlink="">
      <xdr:nvSpPr>
        <xdr:cNvPr id="4162" name="AutoShape 66" descr="Arbitration Eligible">
          <a:hlinkClick xmlns:r="http://schemas.openxmlformats.org/officeDocument/2006/relationships" r:id="rId27"/>
          <a:extLst>
            <a:ext uri="{FF2B5EF4-FFF2-40B4-BE49-F238E27FC236}">
              <a16:creationId xmlns:a16="http://schemas.microsoft.com/office/drawing/2014/main" xmlns="" id="{00590724-5705-46C5-94C4-368A88B4FCCB}"/>
            </a:ext>
          </a:extLst>
        </xdr:cNvPr>
        <xdr:cNvSpPr>
          <a:spLocks noChangeAspect="1" noChangeArrowheads="1"/>
        </xdr:cNvSpPr>
      </xdr:nvSpPr>
      <xdr:spPr bwMode="auto">
        <a:xfrm>
          <a:off x="5334000" y="152114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123825</xdr:colOff>
      <xdr:row>681</xdr:row>
      <xdr:rowOff>104775</xdr:rowOff>
    </xdr:to>
    <xdr:sp macro="" textlink="">
      <xdr:nvSpPr>
        <xdr:cNvPr id="2049" name="AutoShape 1" descr="Arbitration Eligible">
          <a:hlinkClick xmlns:r="http://schemas.openxmlformats.org/officeDocument/2006/relationships" r:id="rId28"/>
        </xdr:cNvPr>
        <xdr:cNvSpPr>
          <a:spLocks noChangeAspect="1" noChangeArrowheads="1"/>
        </xdr:cNvSpPr>
      </xdr:nvSpPr>
      <xdr:spPr bwMode="auto">
        <a:xfrm>
          <a:off x="63246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050" name="AutoShape 2" descr="Arbitration Eligible">
          <a:hlinkClick xmlns:r="http://schemas.openxmlformats.org/officeDocument/2006/relationships" r:id="rId29"/>
        </xdr:cNvPr>
        <xdr:cNvSpPr>
          <a:spLocks noChangeAspect="1" noChangeArrowheads="1"/>
        </xdr:cNvSpPr>
      </xdr:nvSpPr>
      <xdr:spPr bwMode="auto">
        <a:xfrm>
          <a:off x="63246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104775</xdr:rowOff>
    </xdr:to>
    <xdr:sp macro="" textlink="">
      <xdr:nvSpPr>
        <xdr:cNvPr id="2051" name="AutoShape 3" descr="Arbitration Eligible">
          <a:hlinkClick xmlns:r="http://schemas.openxmlformats.org/officeDocument/2006/relationships" r:id="rId30"/>
        </xdr:cNvPr>
        <xdr:cNvSpPr>
          <a:spLocks noChangeAspect="1" noChangeArrowheads="1"/>
        </xdr:cNvSpPr>
      </xdr:nvSpPr>
      <xdr:spPr bwMode="auto">
        <a:xfrm>
          <a:off x="5305425"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052" name="AutoShape 4" descr="Arbitration Eligible">
          <a:hlinkClick xmlns:r="http://schemas.openxmlformats.org/officeDocument/2006/relationships" r:id="rId31"/>
        </xdr:cNvPr>
        <xdr:cNvSpPr>
          <a:spLocks noChangeAspect="1" noChangeArrowheads="1"/>
        </xdr:cNvSpPr>
      </xdr:nvSpPr>
      <xdr:spPr bwMode="auto">
        <a:xfrm>
          <a:off x="5305425"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3" name="AutoShape 5" descr="Arbitration Eligible">
          <a:hlinkClick xmlns:r="http://schemas.openxmlformats.org/officeDocument/2006/relationships" r:id="rId32"/>
        </xdr:cNvPr>
        <xdr:cNvSpPr>
          <a:spLocks noChangeAspect="1" noChangeArrowheads="1"/>
        </xdr:cNvSpPr>
      </xdr:nvSpPr>
      <xdr:spPr bwMode="auto">
        <a:xfrm>
          <a:off x="5305425" y="4191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4" name="AutoShape 6" descr="Arbitration Eligible">
          <a:hlinkClick xmlns:r="http://schemas.openxmlformats.org/officeDocument/2006/relationships" r:id="rId33"/>
        </xdr:cNvPr>
        <xdr:cNvSpPr>
          <a:spLocks noChangeAspect="1" noChangeArrowheads="1"/>
        </xdr:cNvSpPr>
      </xdr:nvSpPr>
      <xdr:spPr bwMode="auto">
        <a:xfrm>
          <a:off x="5305425" y="4391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114300</xdr:colOff>
      <xdr:row>1192</xdr:row>
      <xdr:rowOff>114300</xdr:rowOff>
    </xdr:to>
    <xdr:sp macro="" textlink="">
      <xdr:nvSpPr>
        <xdr:cNvPr id="2055" name="AutoShape 7" descr="https://capfriendly-wlb8ng5.stackpathdns.com/assets/images/icons/players/injury.svg"/>
        <xdr:cNvSpPr>
          <a:spLocks noChangeAspect="1" noChangeArrowheads="1"/>
        </xdr:cNvSpPr>
      </xdr:nvSpPr>
      <xdr:spPr bwMode="auto">
        <a:xfrm>
          <a:off x="3409950" y="6657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114300</xdr:colOff>
      <xdr:row>877</xdr:row>
      <xdr:rowOff>114300</xdr:rowOff>
    </xdr:to>
    <xdr:sp macro="" textlink="">
      <xdr:nvSpPr>
        <xdr:cNvPr id="2056" name="AutoShape 8" descr="https://capfriendly-wlb8ng5.stackpathdns.com/assets/images/icons/players/injury.svg"/>
        <xdr:cNvSpPr>
          <a:spLocks noChangeAspect="1" noChangeArrowheads="1"/>
        </xdr:cNvSpPr>
      </xdr:nvSpPr>
      <xdr:spPr bwMode="auto">
        <a:xfrm>
          <a:off x="3409950" y="6848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114300</xdr:colOff>
      <xdr:row>598</xdr:row>
      <xdr:rowOff>114300</xdr:rowOff>
    </xdr:to>
    <xdr:sp macro="" textlink="">
      <xdr:nvSpPr>
        <xdr:cNvPr id="2057" name="AutoShape 9" descr="https://capfriendly-wlb8ng5.stackpathdns.com/assets/images/icons/players/injury.svg"/>
        <xdr:cNvSpPr>
          <a:spLocks noChangeAspect="1" noChangeArrowheads="1"/>
        </xdr:cNvSpPr>
      </xdr:nvSpPr>
      <xdr:spPr bwMode="auto">
        <a:xfrm>
          <a:off x="3409950" y="7038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114300</xdr:colOff>
      <xdr:row>23</xdr:row>
      <xdr:rowOff>114300</xdr:rowOff>
    </xdr:to>
    <xdr:sp macro="" textlink="">
      <xdr:nvSpPr>
        <xdr:cNvPr id="2058" name="AutoShape 10" descr="https://capfriendly-wlb8ng5.stackpathdns.com/assets/images/icons/players/injury.svg"/>
        <xdr:cNvSpPr>
          <a:spLocks noChangeAspect="1" noChangeArrowheads="1"/>
        </xdr:cNvSpPr>
      </xdr:nvSpPr>
      <xdr:spPr bwMode="auto">
        <a:xfrm>
          <a:off x="3409950" y="7229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59" name="AutoShape 11" descr="https://capfriendly-wlb8ng5.stackpathdns.com/assets/images/icons/general/q.svg"/>
        <xdr:cNvSpPr>
          <a:spLocks noChangeAspect="1" noChangeArrowheads="1"/>
        </xdr:cNvSpPr>
      </xdr:nvSpPr>
      <xdr:spPr bwMode="auto">
        <a:xfrm>
          <a:off x="1885950" y="949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0" name="AutoShape 12" descr="https://capfriendly-wlb8ng5.stackpathdns.com/assets/images/icons/general/q.svg"/>
        <xdr:cNvSpPr>
          <a:spLocks noChangeAspect="1" noChangeArrowheads="1"/>
        </xdr:cNvSpPr>
      </xdr:nvSpPr>
      <xdr:spPr bwMode="auto">
        <a:xfrm>
          <a:off x="1885950" y="968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1" name="AutoShape 13" descr="https://capfriendly-wlb8ng5.stackpathdns.com/assets/images/icons/general/q.svg"/>
        <xdr:cNvSpPr>
          <a:spLocks noChangeAspect="1" noChangeArrowheads="1"/>
        </xdr:cNvSpPr>
      </xdr:nvSpPr>
      <xdr:spPr bwMode="auto">
        <a:xfrm>
          <a:off x="1885950" y="987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2" name="AutoShape 14" descr="https://capfriendly-wlb8ng5.stackpathdns.com/assets/images/icons/general/q.svg"/>
        <xdr:cNvSpPr>
          <a:spLocks noChangeAspect="1" noChangeArrowheads="1"/>
        </xdr:cNvSpPr>
      </xdr:nvSpPr>
      <xdr:spPr bwMode="auto">
        <a:xfrm>
          <a:off x="1885950" y="1006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3" name="AutoShape 15" descr="https://capfriendly-wlb8ng5.stackpathdns.com/assets/images/icons/general/q.svg"/>
        <xdr:cNvSpPr>
          <a:spLocks noChangeAspect="1" noChangeArrowheads="1"/>
        </xdr:cNvSpPr>
      </xdr:nvSpPr>
      <xdr:spPr bwMode="auto">
        <a:xfrm>
          <a:off x="1885950" y="1025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4" name="AutoShape 16" descr="https://capfriendly-wlb8ng5.stackpathdns.com/assets/images/icons/general/q.svg"/>
        <xdr:cNvSpPr>
          <a:spLocks noChangeAspect="1" noChangeArrowheads="1"/>
        </xdr:cNvSpPr>
      </xdr:nvSpPr>
      <xdr:spPr bwMode="auto">
        <a:xfrm>
          <a:off x="1885950" y="1044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5" name="AutoShape 17" descr="https://capfriendly-wlb8ng5.stackpathdns.com/assets/images/icons/general/q.svg"/>
        <xdr:cNvSpPr>
          <a:spLocks noChangeAspect="1" noChangeArrowheads="1"/>
        </xdr:cNvSpPr>
      </xdr:nvSpPr>
      <xdr:spPr bwMode="auto">
        <a:xfrm>
          <a:off x="1885950" y="1063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6" name="AutoShape 18" descr="https://capfriendly-wlb8ng5.stackpathdns.com/assets/images/icons/general/q.svg"/>
        <xdr:cNvSpPr>
          <a:spLocks noChangeAspect="1" noChangeArrowheads="1"/>
        </xdr:cNvSpPr>
      </xdr:nvSpPr>
      <xdr:spPr bwMode="auto">
        <a:xfrm>
          <a:off x="1885950" y="1082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7" name="AutoShape 19" descr="https://capfriendly-wlb8ng5.stackpathdns.com/assets/images/icons/general/q.svg"/>
        <xdr:cNvSpPr>
          <a:spLocks noChangeAspect="1" noChangeArrowheads="1"/>
        </xdr:cNvSpPr>
      </xdr:nvSpPr>
      <xdr:spPr bwMode="auto">
        <a:xfrm>
          <a:off x="18859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8" name="AutoShape 20" descr="https://capfriendly-wlb8ng5.stackpathdns.com/assets/images/icons/general/q.svg"/>
        <xdr:cNvSpPr>
          <a:spLocks noChangeAspect="1" noChangeArrowheads="1"/>
        </xdr:cNvSpPr>
      </xdr:nvSpPr>
      <xdr:spPr bwMode="auto">
        <a:xfrm>
          <a:off x="18859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9" name="AutoShape 21" descr="https://capfriendly-wlb8ng5.stackpathdns.com/assets/images/icons/general/q.svg"/>
        <xdr:cNvSpPr>
          <a:spLocks noChangeAspect="1" noChangeArrowheads="1"/>
        </xdr:cNvSpPr>
      </xdr:nvSpPr>
      <xdr:spPr bwMode="auto">
        <a:xfrm>
          <a:off x="188595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0" name="AutoShape 22" descr="Waivers Exempt">
          <a:hlinkClick xmlns:r="http://schemas.openxmlformats.org/officeDocument/2006/relationships" r:id="rId34"/>
        </xdr:cNvPr>
        <xdr:cNvSpPr>
          <a:spLocks noChangeAspect="1" noChangeArrowheads="1"/>
        </xdr:cNvSpPr>
      </xdr:nvSpPr>
      <xdr:spPr bwMode="auto">
        <a:xfrm>
          <a:off x="1885950" y="1195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1" name="AutoShape 23" descr="Waivers Exempt">
          <a:hlinkClick xmlns:r="http://schemas.openxmlformats.org/officeDocument/2006/relationships" r:id="rId35"/>
        </xdr:cNvPr>
        <xdr:cNvSpPr>
          <a:spLocks noChangeAspect="1" noChangeArrowheads="1"/>
        </xdr:cNvSpPr>
      </xdr:nvSpPr>
      <xdr:spPr bwMode="auto">
        <a:xfrm>
          <a:off x="1885950" y="1214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123825</xdr:colOff>
      <xdr:row>622</xdr:row>
      <xdr:rowOff>123825</xdr:rowOff>
    </xdr:to>
    <xdr:sp macro="" textlink="">
      <xdr:nvSpPr>
        <xdr:cNvPr id="2072" name="AutoShape 24" descr="Waivers Exempt">
          <a:hlinkClick xmlns:r="http://schemas.openxmlformats.org/officeDocument/2006/relationships" r:id="rId36"/>
        </xdr:cNvPr>
        <xdr:cNvSpPr>
          <a:spLocks noChangeAspect="1" noChangeArrowheads="1"/>
        </xdr:cNvSpPr>
      </xdr:nvSpPr>
      <xdr:spPr bwMode="auto">
        <a:xfrm>
          <a:off x="1885950" y="1233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3" name="AutoShape 25" descr="Performance Bonuses"/>
        <xdr:cNvSpPr>
          <a:spLocks noChangeAspect="1" noChangeArrowheads="1"/>
        </xdr:cNvSpPr>
      </xdr:nvSpPr>
      <xdr:spPr bwMode="auto">
        <a:xfrm>
          <a:off x="188595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4" name="AutoShape 26" descr="Waivers Exempt">
          <a:hlinkClick xmlns:r="http://schemas.openxmlformats.org/officeDocument/2006/relationships" r:id="rId37"/>
        </xdr:cNvPr>
        <xdr:cNvSpPr>
          <a:spLocks noChangeAspect="1" noChangeArrowheads="1"/>
        </xdr:cNvSpPr>
      </xdr:nvSpPr>
      <xdr:spPr bwMode="auto">
        <a:xfrm>
          <a:off x="201930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5" name="AutoShape 27" descr="Retained Salary Transaction"/>
        <xdr:cNvSpPr>
          <a:spLocks noChangeAspect="1" noChangeArrowheads="1"/>
        </xdr:cNvSpPr>
      </xdr:nvSpPr>
      <xdr:spPr bwMode="auto">
        <a:xfrm>
          <a:off x="18859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6" name="AutoShape 28" descr="Waivers Exempt">
          <a:hlinkClick xmlns:r="http://schemas.openxmlformats.org/officeDocument/2006/relationships" r:id="rId38"/>
        </xdr:cNvPr>
        <xdr:cNvSpPr>
          <a:spLocks noChangeAspect="1" noChangeArrowheads="1"/>
        </xdr:cNvSpPr>
      </xdr:nvSpPr>
      <xdr:spPr bwMode="auto">
        <a:xfrm>
          <a:off x="201930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7" name="AutoShape 29" descr="Exempt from the 50 Contract Limit"/>
        <xdr:cNvSpPr>
          <a:spLocks noChangeAspect="1" noChangeArrowheads="1"/>
        </xdr:cNvSpPr>
      </xdr:nvSpPr>
      <xdr:spPr bwMode="auto">
        <a:xfrm>
          <a:off x="21526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8" name="AutoShape 30" descr="Performance Bonuses"/>
        <xdr:cNvSpPr>
          <a:spLocks noChangeAspect="1" noChangeArrowheads="1"/>
        </xdr:cNvSpPr>
      </xdr:nvSpPr>
      <xdr:spPr bwMode="auto">
        <a:xfrm>
          <a:off x="188595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9" name="AutoShape 31" descr="Waivers Exempt">
          <a:hlinkClick xmlns:r="http://schemas.openxmlformats.org/officeDocument/2006/relationships" r:id="rId39"/>
        </xdr:cNvPr>
        <xdr:cNvSpPr>
          <a:spLocks noChangeAspect="1" noChangeArrowheads="1"/>
        </xdr:cNvSpPr>
      </xdr:nvSpPr>
      <xdr:spPr bwMode="auto">
        <a:xfrm>
          <a:off x="201930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0" name="AutoShape 32" descr="Performance Bonuses"/>
        <xdr:cNvSpPr>
          <a:spLocks noChangeAspect="1" noChangeArrowheads="1"/>
        </xdr:cNvSpPr>
      </xdr:nvSpPr>
      <xdr:spPr bwMode="auto">
        <a:xfrm>
          <a:off x="188595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1" name="AutoShape 33" descr="Waivers Exempt">
          <a:hlinkClick xmlns:r="http://schemas.openxmlformats.org/officeDocument/2006/relationships" r:id="rId40"/>
        </xdr:cNvPr>
        <xdr:cNvSpPr>
          <a:spLocks noChangeAspect="1" noChangeArrowheads="1"/>
        </xdr:cNvSpPr>
      </xdr:nvSpPr>
      <xdr:spPr bwMode="auto">
        <a:xfrm>
          <a:off x="201930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2" name="AutoShape 34" descr="Performance Bonuses"/>
        <xdr:cNvSpPr>
          <a:spLocks noChangeAspect="1" noChangeArrowheads="1"/>
        </xdr:cNvSpPr>
      </xdr:nvSpPr>
      <xdr:spPr bwMode="auto">
        <a:xfrm>
          <a:off x="188595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3" name="AutoShape 35" descr="Waivers Exempt">
          <a:hlinkClick xmlns:r="http://schemas.openxmlformats.org/officeDocument/2006/relationships" r:id="rId41"/>
        </xdr:cNvPr>
        <xdr:cNvSpPr>
          <a:spLocks noChangeAspect="1" noChangeArrowheads="1"/>
        </xdr:cNvSpPr>
      </xdr:nvSpPr>
      <xdr:spPr bwMode="auto">
        <a:xfrm>
          <a:off x="201930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4" name="AutoShape 36" descr="Performance Bonuses"/>
        <xdr:cNvSpPr>
          <a:spLocks noChangeAspect="1" noChangeArrowheads="1"/>
        </xdr:cNvSpPr>
      </xdr:nvSpPr>
      <xdr:spPr bwMode="auto">
        <a:xfrm>
          <a:off x="1885950" y="140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5" name="AutoShape 37" descr="Retained Salary Transaction"/>
        <xdr:cNvSpPr>
          <a:spLocks noChangeAspect="1" noChangeArrowheads="1"/>
        </xdr:cNvSpPr>
      </xdr:nvSpPr>
      <xdr:spPr bwMode="auto">
        <a:xfrm>
          <a:off x="188595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6" name="AutoShape 38" descr="Waivers Exempt">
          <a:hlinkClick xmlns:r="http://schemas.openxmlformats.org/officeDocument/2006/relationships" r:id="rId42"/>
        </xdr:cNvPr>
        <xdr:cNvSpPr>
          <a:spLocks noChangeAspect="1" noChangeArrowheads="1"/>
        </xdr:cNvSpPr>
      </xdr:nvSpPr>
      <xdr:spPr bwMode="auto">
        <a:xfrm>
          <a:off x="201930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7" name="AutoShape 39" descr="Performance Bonuses"/>
        <xdr:cNvSpPr>
          <a:spLocks noChangeAspect="1" noChangeArrowheads="1"/>
        </xdr:cNvSpPr>
      </xdr:nvSpPr>
      <xdr:spPr bwMode="auto">
        <a:xfrm>
          <a:off x="188595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8" name="AutoShape 40" descr="Waivers Exempt">
          <a:hlinkClick xmlns:r="http://schemas.openxmlformats.org/officeDocument/2006/relationships" r:id="rId43"/>
        </xdr:cNvPr>
        <xdr:cNvSpPr>
          <a:spLocks noChangeAspect="1" noChangeArrowheads="1"/>
        </xdr:cNvSpPr>
      </xdr:nvSpPr>
      <xdr:spPr bwMode="auto">
        <a:xfrm>
          <a:off x="201930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89" name="AutoShape 41" descr="Waivers Exempt">
          <a:hlinkClick xmlns:r="http://schemas.openxmlformats.org/officeDocument/2006/relationships" r:id="rId44"/>
        </xdr:cNvPr>
        <xdr:cNvSpPr>
          <a:spLocks noChangeAspect="1" noChangeArrowheads="1"/>
        </xdr:cNvSpPr>
      </xdr:nvSpPr>
      <xdr:spPr bwMode="auto">
        <a:xfrm>
          <a:off x="1885950" y="1537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0" name="AutoShape 42" descr="Waivers Exempt">
          <a:hlinkClick xmlns:r="http://schemas.openxmlformats.org/officeDocument/2006/relationships" r:id="rId45"/>
        </xdr:cNvPr>
        <xdr:cNvSpPr>
          <a:spLocks noChangeAspect="1" noChangeArrowheads="1"/>
        </xdr:cNvSpPr>
      </xdr:nvSpPr>
      <xdr:spPr bwMode="auto">
        <a:xfrm>
          <a:off x="1885950" y="1556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1" name="AutoShape 43" descr="Performance Bonuses"/>
        <xdr:cNvSpPr>
          <a:spLocks noChangeAspect="1" noChangeArrowheads="1"/>
        </xdr:cNvSpPr>
      </xdr:nvSpPr>
      <xdr:spPr bwMode="auto">
        <a:xfrm>
          <a:off x="188595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2" name="AutoShape 44" descr="Waivers Exempt">
          <a:hlinkClick xmlns:r="http://schemas.openxmlformats.org/officeDocument/2006/relationships" r:id="rId46"/>
        </xdr:cNvPr>
        <xdr:cNvSpPr>
          <a:spLocks noChangeAspect="1" noChangeArrowheads="1"/>
        </xdr:cNvSpPr>
      </xdr:nvSpPr>
      <xdr:spPr bwMode="auto">
        <a:xfrm>
          <a:off x="201930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3" name="AutoShape 45" descr="Performance Bonuses"/>
        <xdr:cNvSpPr>
          <a:spLocks noChangeAspect="1" noChangeArrowheads="1"/>
        </xdr:cNvSpPr>
      </xdr:nvSpPr>
      <xdr:spPr bwMode="auto">
        <a:xfrm>
          <a:off x="188595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4" name="AutoShape 46" descr="Waivers Exempt">
          <a:hlinkClick xmlns:r="http://schemas.openxmlformats.org/officeDocument/2006/relationships" r:id="rId47"/>
        </xdr:cNvPr>
        <xdr:cNvSpPr>
          <a:spLocks noChangeAspect="1" noChangeArrowheads="1"/>
        </xdr:cNvSpPr>
      </xdr:nvSpPr>
      <xdr:spPr bwMode="auto">
        <a:xfrm>
          <a:off x="201930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5" name="AutoShape 47" descr="Performance Bonuses"/>
        <xdr:cNvSpPr>
          <a:spLocks noChangeAspect="1" noChangeArrowheads="1"/>
        </xdr:cNvSpPr>
      </xdr:nvSpPr>
      <xdr:spPr bwMode="auto">
        <a:xfrm>
          <a:off x="188595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6" name="AutoShape 48" descr="Waivers Exempt">
          <a:hlinkClick xmlns:r="http://schemas.openxmlformats.org/officeDocument/2006/relationships" r:id="rId48"/>
        </xdr:cNvPr>
        <xdr:cNvSpPr>
          <a:spLocks noChangeAspect="1" noChangeArrowheads="1"/>
        </xdr:cNvSpPr>
      </xdr:nvSpPr>
      <xdr:spPr bwMode="auto">
        <a:xfrm>
          <a:off x="201930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7" name="AutoShape 49" descr="Waivers Exempt">
          <a:hlinkClick xmlns:r="http://schemas.openxmlformats.org/officeDocument/2006/relationships" r:id="rId49"/>
        </xdr:cNvPr>
        <xdr:cNvSpPr>
          <a:spLocks noChangeAspect="1" noChangeArrowheads="1"/>
        </xdr:cNvSpPr>
      </xdr:nvSpPr>
      <xdr:spPr bwMode="auto">
        <a:xfrm>
          <a:off x="1885950" y="1726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104775</xdr:colOff>
      <xdr:row>937</xdr:row>
      <xdr:rowOff>104775</xdr:rowOff>
    </xdr:to>
    <xdr:sp macro="" textlink="">
      <xdr:nvSpPr>
        <xdr:cNvPr id="2098" name="AutoShape 50" descr="https://capfriendly-wlb8ng5.stackpathdns.com/assets/images/icons/general/q2.svg"/>
        <xdr:cNvSpPr>
          <a:spLocks noChangeAspect="1" noChangeArrowheads="1"/>
        </xdr:cNvSpPr>
      </xdr:nvSpPr>
      <xdr:spPr bwMode="auto">
        <a:xfrm>
          <a:off x="6324600" y="17459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104775</xdr:rowOff>
    </xdr:to>
    <xdr:sp macro="" textlink="">
      <xdr:nvSpPr>
        <xdr:cNvPr id="2099" name="AutoShape 51" descr="Arbitration Eligible">
          <a:hlinkClick xmlns:r="http://schemas.openxmlformats.org/officeDocument/2006/relationships" r:id="rId50"/>
        </xdr:cNvPr>
        <xdr:cNvSpPr>
          <a:spLocks noChangeAspect="1" noChangeArrowheads="1"/>
        </xdr:cNvSpPr>
      </xdr:nvSpPr>
      <xdr:spPr bwMode="auto">
        <a:xfrm>
          <a:off x="5305425" y="17649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100" name="AutoShape 52" descr="Arbitration Eligible">
          <a:hlinkClick xmlns:r="http://schemas.openxmlformats.org/officeDocument/2006/relationships" r:id="rId28"/>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1050</xdr:row>
      <xdr:rowOff>0</xdr:rowOff>
    </xdr:from>
    <xdr:to>
      <xdr:col>0</xdr:col>
      <xdr:colOff>123825</xdr:colOff>
      <xdr:row>1050</xdr:row>
      <xdr:rowOff>104775</xdr:rowOff>
    </xdr:to>
    <xdr:sp macro="" textlink="">
      <xdr:nvSpPr>
        <xdr:cNvPr id="2101" name="AutoShape 53" descr="Arbitration Eligible">
          <a:hlinkClick xmlns:r="http://schemas.openxmlformats.org/officeDocument/2006/relationships" r:id="rId29"/>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102" name="AutoShape 54" descr="Arbitration Eligible">
          <a:hlinkClick xmlns:r="http://schemas.openxmlformats.org/officeDocument/2006/relationships" r:id="rId30"/>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123825</xdr:colOff>
      <xdr:row>465</xdr:row>
      <xdr:rowOff>104775</xdr:rowOff>
    </xdr:to>
    <xdr:sp macro="" textlink="">
      <xdr:nvSpPr>
        <xdr:cNvPr id="2103" name="AutoShape 55" descr="Arbitration Eligible">
          <a:hlinkClick xmlns:r="http://schemas.openxmlformats.org/officeDocument/2006/relationships" r:id="rId31"/>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104775</xdr:rowOff>
    </xdr:to>
    <xdr:sp macro="" textlink="">
      <xdr:nvSpPr>
        <xdr:cNvPr id="2104" name="AutoShape 56" descr="Arbitration Eligible">
          <a:hlinkClick xmlns:r="http://schemas.openxmlformats.org/officeDocument/2006/relationships" r:id="rId32"/>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104775</xdr:rowOff>
    </xdr:to>
    <xdr:sp macro="" textlink="">
      <xdr:nvSpPr>
        <xdr:cNvPr id="2105" name="AutoShape 57" descr="Arbitration Eligible">
          <a:hlinkClick xmlns:r="http://schemas.openxmlformats.org/officeDocument/2006/relationships" r:id="rId33"/>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6" name="AutoShape 58" descr="https://capfriendly-wlb8ng5.stackpathdns.com/assets/images/icons/players/injury.svg"/>
        <xdr:cNvSpPr>
          <a:spLocks noChangeAspect="1" noChangeArrowheads="1"/>
        </xdr:cNvSpPr>
      </xdr:nvSpPr>
      <xdr:spPr bwMode="auto">
        <a:xfrm>
          <a:off x="3048000" y="7000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7" name="AutoShape 59" descr="https://capfriendly-wlb8ng5.stackpathdns.com/assets/images/icons/players/injury.svg"/>
        <xdr:cNvSpPr>
          <a:spLocks noChangeAspect="1" noChangeArrowheads="1"/>
        </xdr:cNvSpPr>
      </xdr:nvSpPr>
      <xdr:spPr bwMode="auto">
        <a:xfrm>
          <a:off x="3048000" y="7191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8" name="AutoShape 60" descr="https://capfriendly-wlb8ng5.stackpathdns.com/assets/images/icons/players/injury.svg"/>
        <xdr:cNvSpPr>
          <a:spLocks noChangeAspect="1" noChangeArrowheads="1"/>
        </xdr:cNvSpPr>
      </xdr:nvSpPr>
      <xdr:spPr bwMode="auto">
        <a:xfrm>
          <a:off x="3048000" y="7381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9" name="AutoShape 61" descr="https://capfriendly-wlb8ng5.stackpathdns.com/assets/images/icons/players/injury.svg"/>
        <xdr:cNvSpPr>
          <a:spLocks noChangeAspect="1" noChangeArrowheads="1"/>
        </xdr:cNvSpPr>
      </xdr:nvSpPr>
      <xdr:spPr bwMode="auto">
        <a:xfrm>
          <a:off x="3048000" y="7572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110" name="AutoShape 62" descr="https://capfriendly-wlb8ng5.stackpathdns.com/assets/images/icons/general/q.svg"/>
        <xdr:cNvSpPr>
          <a:spLocks noChangeAspect="1" noChangeArrowheads="1"/>
        </xdr:cNvSpPr>
      </xdr:nvSpPr>
      <xdr:spPr bwMode="auto">
        <a:xfrm>
          <a:off x="1524000" y="98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1" name="AutoShape 63" descr="https://capfriendly-wlb8ng5.stackpathdns.com/assets/images/icons/general/q.svg"/>
        <xdr:cNvSpPr>
          <a:spLocks noChangeAspect="1" noChangeArrowheads="1"/>
        </xdr:cNvSpPr>
      </xdr:nvSpPr>
      <xdr:spPr bwMode="auto">
        <a:xfrm>
          <a:off x="1524000" y="100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2" name="AutoShape 64" descr="https://capfriendly-wlb8ng5.stackpathdns.com/assets/images/icons/general/q.svg"/>
        <xdr:cNvSpPr>
          <a:spLocks noChangeAspect="1" noChangeArrowheads="1"/>
        </xdr:cNvSpPr>
      </xdr:nvSpPr>
      <xdr:spPr bwMode="auto">
        <a:xfrm>
          <a:off x="1524000" y="102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3" name="AutoShape 65" descr="https://capfriendly-wlb8ng5.stackpathdns.com/assets/images/icons/general/q.svg"/>
        <xdr:cNvSpPr>
          <a:spLocks noChangeAspect="1" noChangeArrowheads="1"/>
        </xdr:cNvSpPr>
      </xdr:nvSpPr>
      <xdr:spPr bwMode="auto">
        <a:xfrm>
          <a:off x="1524000" y="104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4" name="AutoShape 66" descr="https://capfriendly-wlb8ng5.stackpathdns.com/assets/images/icons/general/q.svg"/>
        <xdr:cNvSpPr>
          <a:spLocks noChangeAspect="1" noChangeArrowheads="1"/>
        </xdr:cNvSpPr>
      </xdr:nvSpPr>
      <xdr:spPr bwMode="auto">
        <a:xfrm>
          <a:off x="1524000" y="106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5" name="AutoShape 67" descr="https://capfriendly-wlb8ng5.stackpathdns.com/assets/images/icons/general/q.svg"/>
        <xdr:cNvSpPr>
          <a:spLocks noChangeAspect="1" noChangeArrowheads="1"/>
        </xdr:cNvSpPr>
      </xdr:nvSpPr>
      <xdr:spPr bwMode="auto">
        <a:xfrm>
          <a:off x="1524000" y="107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6" name="AutoShape 68" descr="https://capfriendly-wlb8ng5.stackpathdns.com/assets/images/icons/general/q.svg"/>
        <xdr:cNvSpPr>
          <a:spLocks noChangeAspect="1" noChangeArrowheads="1"/>
        </xdr:cNvSpPr>
      </xdr:nvSpPr>
      <xdr:spPr bwMode="auto">
        <a:xfrm>
          <a:off x="1524000" y="1098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7" name="AutoShape 69" descr="https://capfriendly-wlb8ng5.stackpathdns.com/assets/images/icons/general/q.svg"/>
        <xdr:cNvSpPr>
          <a:spLocks noChangeAspect="1" noChangeArrowheads="1"/>
        </xdr:cNvSpPr>
      </xdr:nvSpPr>
      <xdr:spPr bwMode="auto">
        <a:xfrm>
          <a:off x="1524000" y="1117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8" name="AutoShape 70" descr="https://capfriendly-wlb8ng5.stackpathdns.com/assets/images/icons/general/q.svg"/>
        <xdr:cNvSpPr>
          <a:spLocks noChangeAspect="1" noChangeArrowheads="1"/>
        </xdr:cNvSpPr>
      </xdr:nvSpPr>
      <xdr:spPr bwMode="auto">
        <a:xfrm>
          <a:off x="1524000" y="1136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9" name="AutoShape 71" descr="https://capfriendly-wlb8ng5.stackpathdns.com/assets/images/icons/general/q.svg"/>
        <xdr:cNvSpPr>
          <a:spLocks noChangeAspect="1" noChangeArrowheads="1"/>
        </xdr:cNvSpPr>
      </xdr:nvSpPr>
      <xdr:spPr bwMode="auto">
        <a:xfrm>
          <a:off x="1524000" y="1155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0" name="AutoShape 72" descr="https://capfriendly-wlb8ng5.stackpathdns.com/assets/images/icons/general/q.svg"/>
        <xdr:cNvSpPr>
          <a:spLocks noChangeAspect="1" noChangeArrowheads="1"/>
        </xdr:cNvSpPr>
      </xdr:nvSpPr>
      <xdr:spPr bwMode="auto">
        <a:xfrm>
          <a:off x="1524000" y="117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1" name="AutoShape 73" descr="Waivers Exempt">
          <a:hlinkClick xmlns:r="http://schemas.openxmlformats.org/officeDocument/2006/relationships" r:id="rId34"/>
        </xdr:cNvPr>
        <xdr:cNvSpPr>
          <a:spLocks noChangeAspect="1" noChangeArrowheads="1"/>
        </xdr:cNvSpPr>
      </xdr:nvSpPr>
      <xdr:spPr bwMode="auto">
        <a:xfrm>
          <a:off x="1524000" y="1229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2" name="AutoShape 74" descr="Waivers Exempt">
          <a:hlinkClick xmlns:r="http://schemas.openxmlformats.org/officeDocument/2006/relationships" r:id="rId35"/>
        </xdr:cNvPr>
        <xdr:cNvSpPr>
          <a:spLocks noChangeAspect="1" noChangeArrowheads="1"/>
        </xdr:cNvSpPr>
      </xdr:nvSpPr>
      <xdr:spPr bwMode="auto">
        <a:xfrm>
          <a:off x="1524000" y="1248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3" name="AutoShape 75" descr="Waivers Exempt">
          <a:hlinkClick xmlns:r="http://schemas.openxmlformats.org/officeDocument/2006/relationships" r:id="rId36"/>
        </xdr:cNvPr>
        <xdr:cNvSpPr>
          <a:spLocks noChangeAspect="1" noChangeArrowheads="1"/>
        </xdr:cNvSpPr>
      </xdr:nvSpPr>
      <xdr:spPr bwMode="auto">
        <a:xfrm>
          <a:off x="1524000" y="1267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4" name="AutoShape 76" descr="Performance Bonuses"/>
        <xdr:cNvSpPr>
          <a:spLocks noChangeAspect="1" noChangeArrowheads="1"/>
        </xdr:cNvSpPr>
      </xdr:nvSpPr>
      <xdr:spPr bwMode="auto">
        <a:xfrm>
          <a:off x="152400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5" name="AutoShape 77" descr="Waivers Exempt">
          <a:hlinkClick xmlns:r="http://schemas.openxmlformats.org/officeDocument/2006/relationships" r:id="rId37"/>
        </xdr:cNvPr>
        <xdr:cNvSpPr>
          <a:spLocks noChangeAspect="1" noChangeArrowheads="1"/>
        </xdr:cNvSpPr>
      </xdr:nvSpPr>
      <xdr:spPr bwMode="auto">
        <a:xfrm>
          <a:off x="165735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6" name="AutoShape 78" descr="Retained Salary Transaction"/>
        <xdr:cNvSpPr>
          <a:spLocks noChangeAspect="1" noChangeArrowheads="1"/>
        </xdr:cNvSpPr>
      </xdr:nvSpPr>
      <xdr:spPr bwMode="auto">
        <a:xfrm>
          <a:off x="15240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7" name="AutoShape 79" descr="Waivers Exempt">
          <a:hlinkClick xmlns:r="http://schemas.openxmlformats.org/officeDocument/2006/relationships" r:id="rId38"/>
        </xdr:cNvPr>
        <xdr:cNvSpPr>
          <a:spLocks noChangeAspect="1" noChangeArrowheads="1"/>
        </xdr:cNvSpPr>
      </xdr:nvSpPr>
      <xdr:spPr bwMode="auto">
        <a:xfrm>
          <a:off x="165735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8" name="AutoShape 80" descr="Exempt from the 50 Contract Limit"/>
        <xdr:cNvSpPr>
          <a:spLocks noChangeAspect="1" noChangeArrowheads="1"/>
        </xdr:cNvSpPr>
      </xdr:nvSpPr>
      <xdr:spPr bwMode="auto">
        <a:xfrm>
          <a:off x="17907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29" name="AutoShape 81" descr="Performance Bonuses"/>
        <xdr:cNvSpPr>
          <a:spLocks noChangeAspect="1" noChangeArrowheads="1"/>
        </xdr:cNvSpPr>
      </xdr:nvSpPr>
      <xdr:spPr bwMode="auto">
        <a:xfrm>
          <a:off x="152400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30" name="AutoShape 82" descr="Waivers Exempt">
          <a:hlinkClick xmlns:r="http://schemas.openxmlformats.org/officeDocument/2006/relationships" r:id="rId39"/>
        </xdr:cNvPr>
        <xdr:cNvSpPr>
          <a:spLocks noChangeAspect="1" noChangeArrowheads="1"/>
        </xdr:cNvSpPr>
      </xdr:nvSpPr>
      <xdr:spPr bwMode="auto">
        <a:xfrm>
          <a:off x="165735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1" name="AutoShape 83" descr="Performance Bonuses"/>
        <xdr:cNvSpPr>
          <a:spLocks noChangeAspect="1" noChangeArrowheads="1"/>
        </xdr:cNvSpPr>
      </xdr:nvSpPr>
      <xdr:spPr bwMode="auto">
        <a:xfrm>
          <a:off x="152400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2" name="AutoShape 84" descr="Waivers Exempt">
          <a:hlinkClick xmlns:r="http://schemas.openxmlformats.org/officeDocument/2006/relationships" r:id="rId40"/>
        </xdr:cNvPr>
        <xdr:cNvSpPr>
          <a:spLocks noChangeAspect="1" noChangeArrowheads="1"/>
        </xdr:cNvSpPr>
      </xdr:nvSpPr>
      <xdr:spPr bwMode="auto">
        <a:xfrm>
          <a:off x="165735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3" name="AutoShape 85" descr="Performance Bonuses"/>
        <xdr:cNvSpPr>
          <a:spLocks noChangeAspect="1" noChangeArrowheads="1"/>
        </xdr:cNvSpPr>
      </xdr:nvSpPr>
      <xdr:spPr bwMode="auto">
        <a:xfrm>
          <a:off x="152400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4" name="AutoShape 86" descr="Waivers Exempt">
          <a:hlinkClick xmlns:r="http://schemas.openxmlformats.org/officeDocument/2006/relationships" r:id="rId41"/>
        </xdr:cNvPr>
        <xdr:cNvSpPr>
          <a:spLocks noChangeAspect="1" noChangeArrowheads="1"/>
        </xdr:cNvSpPr>
      </xdr:nvSpPr>
      <xdr:spPr bwMode="auto">
        <a:xfrm>
          <a:off x="165735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1228</xdr:row>
      <xdr:rowOff>0</xdr:rowOff>
    </xdr:from>
    <xdr:to>
      <xdr:col>0</xdr:col>
      <xdr:colOff>123825</xdr:colOff>
      <xdr:row>1228</xdr:row>
      <xdr:rowOff>123825</xdr:rowOff>
    </xdr:to>
    <xdr:sp macro="" textlink="">
      <xdr:nvSpPr>
        <xdr:cNvPr id="2135" name="AutoShape 87" descr="Performance Bonuses"/>
        <xdr:cNvSpPr>
          <a:spLocks noChangeAspect="1" noChangeArrowheads="1"/>
        </xdr:cNvSpPr>
      </xdr:nvSpPr>
      <xdr:spPr bwMode="auto">
        <a:xfrm>
          <a:off x="1524000" y="145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6" name="AutoShape 88" descr="Retained Salary Transaction"/>
        <xdr:cNvSpPr>
          <a:spLocks noChangeAspect="1" noChangeArrowheads="1"/>
        </xdr:cNvSpPr>
      </xdr:nvSpPr>
      <xdr:spPr bwMode="auto">
        <a:xfrm>
          <a:off x="152400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7" name="AutoShape 89" descr="Waivers Exempt">
          <a:hlinkClick xmlns:r="http://schemas.openxmlformats.org/officeDocument/2006/relationships" r:id="rId42"/>
        </xdr:cNvPr>
        <xdr:cNvSpPr>
          <a:spLocks noChangeAspect="1" noChangeArrowheads="1"/>
        </xdr:cNvSpPr>
      </xdr:nvSpPr>
      <xdr:spPr bwMode="auto">
        <a:xfrm>
          <a:off x="165735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8" name="AutoShape 90" descr="Performance Bonuses"/>
        <xdr:cNvSpPr>
          <a:spLocks noChangeAspect="1" noChangeArrowheads="1"/>
        </xdr:cNvSpPr>
      </xdr:nvSpPr>
      <xdr:spPr bwMode="auto">
        <a:xfrm>
          <a:off x="152400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9" name="AutoShape 91" descr="Waivers Exempt">
          <a:hlinkClick xmlns:r="http://schemas.openxmlformats.org/officeDocument/2006/relationships" r:id="rId43"/>
        </xdr:cNvPr>
        <xdr:cNvSpPr>
          <a:spLocks noChangeAspect="1" noChangeArrowheads="1"/>
        </xdr:cNvSpPr>
      </xdr:nvSpPr>
      <xdr:spPr bwMode="auto">
        <a:xfrm>
          <a:off x="165735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0" name="AutoShape 92" descr="Waivers Exempt">
          <a:hlinkClick xmlns:r="http://schemas.openxmlformats.org/officeDocument/2006/relationships" r:id="rId44"/>
        </xdr:cNvPr>
        <xdr:cNvSpPr>
          <a:spLocks noChangeAspect="1" noChangeArrowheads="1"/>
        </xdr:cNvSpPr>
      </xdr:nvSpPr>
      <xdr:spPr bwMode="auto">
        <a:xfrm>
          <a:off x="1524000" y="1590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1" name="AutoShape 93" descr="Waivers Exempt">
          <a:hlinkClick xmlns:r="http://schemas.openxmlformats.org/officeDocument/2006/relationships" r:id="rId45"/>
        </xdr:cNvPr>
        <xdr:cNvSpPr>
          <a:spLocks noChangeAspect="1" noChangeArrowheads="1"/>
        </xdr:cNvSpPr>
      </xdr:nvSpPr>
      <xdr:spPr bwMode="auto">
        <a:xfrm>
          <a:off x="1524000" y="1609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2" name="AutoShape 94" descr="Performance Bonuses"/>
        <xdr:cNvSpPr>
          <a:spLocks noChangeAspect="1" noChangeArrowheads="1"/>
        </xdr:cNvSpPr>
      </xdr:nvSpPr>
      <xdr:spPr bwMode="auto">
        <a:xfrm>
          <a:off x="152400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3" name="AutoShape 95" descr="Waivers Exempt">
          <a:hlinkClick xmlns:r="http://schemas.openxmlformats.org/officeDocument/2006/relationships" r:id="rId46"/>
        </xdr:cNvPr>
        <xdr:cNvSpPr>
          <a:spLocks noChangeAspect="1" noChangeArrowheads="1"/>
        </xdr:cNvSpPr>
      </xdr:nvSpPr>
      <xdr:spPr bwMode="auto">
        <a:xfrm>
          <a:off x="165735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4" name="AutoShape 96" descr="Performance Bonuses"/>
        <xdr:cNvSpPr>
          <a:spLocks noChangeAspect="1" noChangeArrowheads="1"/>
        </xdr:cNvSpPr>
      </xdr:nvSpPr>
      <xdr:spPr bwMode="auto">
        <a:xfrm>
          <a:off x="152400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5" name="AutoShape 97" descr="Waivers Exempt">
          <a:hlinkClick xmlns:r="http://schemas.openxmlformats.org/officeDocument/2006/relationships" r:id="rId47"/>
        </xdr:cNvPr>
        <xdr:cNvSpPr>
          <a:spLocks noChangeAspect="1" noChangeArrowheads="1"/>
        </xdr:cNvSpPr>
      </xdr:nvSpPr>
      <xdr:spPr bwMode="auto">
        <a:xfrm>
          <a:off x="165735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6" name="AutoShape 98" descr="Performance Bonuses"/>
        <xdr:cNvSpPr>
          <a:spLocks noChangeAspect="1" noChangeArrowheads="1"/>
        </xdr:cNvSpPr>
      </xdr:nvSpPr>
      <xdr:spPr bwMode="auto">
        <a:xfrm>
          <a:off x="152400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7" name="AutoShape 99" descr="Waivers Exempt">
          <a:hlinkClick xmlns:r="http://schemas.openxmlformats.org/officeDocument/2006/relationships" r:id="rId48"/>
        </xdr:cNvPr>
        <xdr:cNvSpPr>
          <a:spLocks noChangeAspect="1" noChangeArrowheads="1"/>
        </xdr:cNvSpPr>
      </xdr:nvSpPr>
      <xdr:spPr bwMode="auto">
        <a:xfrm>
          <a:off x="165735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8" name="AutoShape 100" descr="Waivers Exempt">
          <a:hlinkClick xmlns:r="http://schemas.openxmlformats.org/officeDocument/2006/relationships" r:id="rId49"/>
        </xdr:cNvPr>
        <xdr:cNvSpPr>
          <a:spLocks noChangeAspect="1" noChangeArrowheads="1"/>
        </xdr:cNvSpPr>
      </xdr:nvSpPr>
      <xdr:spPr bwMode="auto">
        <a:xfrm>
          <a:off x="1524000" y="178022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104775</xdr:colOff>
      <xdr:row>1201</xdr:row>
      <xdr:rowOff>104775</xdr:rowOff>
    </xdr:to>
    <xdr:sp macro="" textlink="">
      <xdr:nvSpPr>
        <xdr:cNvPr id="2149" name="AutoShape 101" descr="https://capfriendly-wlb8ng5.stackpathdns.com/assets/images/icons/general/q2.svg"/>
        <xdr:cNvSpPr>
          <a:spLocks noChangeAspect="1" noChangeArrowheads="1"/>
        </xdr:cNvSpPr>
      </xdr:nvSpPr>
      <xdr:spPr bwMode="auto">
        <a:xfrm>
          <a:off x="6096000" y="179927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104775</xdr:rowOff>
    </xdr:to>
    <xdr:sp macro="" textlink="">
      <xdr:nvSpPr>
        <xdr:cNvPr id="2150" name="AutoShape 102" descr="Arbitration Eligible">
          <a:hlinkClick xmlns:r="http://schemas.openxmlformats.org/officeDocument/2006/relationships" r:id="rId50"/>
        </xdr:cNvPr>
        <xdr:cNvSpPr>
          <a:spLocks noChangeAspect="1" noChangeArrowheads="1"/>
        </xdr:cNvSpPr>
      </xdr:nvSpPr>
      <xdr:spPr bwMode="auto">
        <a:xfrm>
          <a:off x="5334000" y="181832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950</xdr:row>
      <xdr:rowOff>0</xdr:rowOff>
    </xdr:from>
    <xdr:to>
      <xdr:col>8</xdr:col>
      <xdr:colOff>123825</xdr:colOff>
      <xdr:row>950</xdr:row>
      <xdr:rowOff>104775</xdr:rowOff>
    </xdr:to>
    <xdr:sp macro="" textlink="">
      <xdr:nvSpPr>
        <xdr:cNvPr id="2151" name="AutoShape 103" descr="Arbitration Eligible">
          <a:hlinkClick xmlns:r="http://schemas.openxmlformats.org/officeDocument/2006/relationships" r:id="rId28"/>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1050</xdr:row>
      <xdr:rowOff>0</xdr:rowOff>
    </xdr:from>
    <xdr:to>
      <xdr:col>8</xdr:col>
      <xdr:colOff>123825</xdr:colOff>
      <xdr:row>1050</xdr:row>
      <xdr:rowOff>104775</xdr:rowOff>
    </xdr:to>
    <xdr:sp macro="" textlink="">
      <xdr:nvSpPr>
        <xdr:cNvPr id="2152" name="AutoShape 104" descr="Arbitration Eligible">
          <a:hlinkClick xmlns:r="http://schemas.openxmlformats.org/officeDocument/2006/relationships" r:id="rId29"/>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xdr:row>
      <xdr:rowOff>0</xdr:rowOff>
    </xdr:from>
    <xdr:to>
      <xdr:col>7</xdr:col>
      <xdr:colOff>123825</xdr:colOff>
      <xdr:row>2</xdr:row>
      <xdr:rowOff>104775</xdr:rowOff>
    </xdr:to>
    <xdr:sp macro="" textlink="">
      <xdr:nvSpPr>
        <xdr:cNvPr id="2153" name="AutoShape 105" descr="Arbitration Eligible">
          <a:hlinkClick xmlns:r="http://schemas.openxmlformats.org/officeDocument/2006/relationships" r:id="rId30"/>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465</xdr:row>
      <xdr:rowOff>0</xdr:rowOff>
    </xdr:from>
    <xdr:to>
      <xdr:col>7</xdr:col>
      <xdr:colOff>123825</xdr:colOff>
      <xdr:row>465</xdr:row>
      <xdr:rowOff>104775</xdr:rowOff>
    </xdr:to>
    <xdr:sp macro="" textlink="">
      <xdr:nvSpPr>
        <xdr:cNvPr id="2154" name="AutoShape 106" descr="Arbitration Eligible">
          <a:hlinkClick xmlns:r="http://schemas.openxmlformats.org/officeDocument/2006/relationships" r:id="rId31"/>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558</xdr:row>
      <xdr:rowOff>0</xdr:rowOff>
    </xdr:from>
    <xdr:to>
      <xdr:col>7</xdr:col>
      <xdr:colOff>123825</xdr:colOff>
      <xdr:row>558</xdr:row>
      <xdr:rowOff>104775</xdr:rowOff>
    </xdr:to>
    <xdr:sp macro="" textlink="">
      <xdr:nvSpPr>
        <xdr:cNvPr id="2155" name="AutoShape 107" descr="Arbitration Eligible">
          <a:hlinkClick xmlns:r="http://schemas.openxmlformats.org/officeDocument/2006/relationships" r:id="rId32"/>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1192</xdr:row>
      <xdr:rowOff>0</xdr:rowOff>
    </xdr:from>
    <xdr:to>
      <xdr:col>7</xdr:col>
      <xdr:colOff>123825</xdr:colOff>
      <xdr:row>1192</xdr:row>
      <xdr:rowOff>104775</xdr:rowOff>
    </xdr:to>
    <xdr:sp macro="" textlink="">
      <xdr:nvSpPr>
        <xdr:cNvPr id="2156" name="AutoShape 108" descr="Arbitration Eligible">
          <a:hlinkClick xmlns:r="http://schemas.openxmlformats.org/officeDocument/2006/relationships" r:id="rId33"/>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605</xdr:row>
      <xdr:rowOff>0</xdr:rowOff>
    </xdr:from>
    <xdr:to>
      <xdr:col>4</xdr:col>
      <xdr:colOff>114300</xdr:colOff>
      <xdr:row>605</xdr:row>
      <xdr:rowOff>114300</xdr:rowOff>
    </xdr:to>
    <xdr:sp macro="" textlink="">
      <xdr:nvSpPr>
        <xdr:cNvPr id="2157" name="AutoShape 109" descr="https://capfriendly-wlb8ng5.stackpathdns.com/assets/images/icons/players/injury.svg"/>
        <xdr:cNvSpPr>
          <a:spLocks noChangeAspect="1" noChangeArrowheads="1"/>
        </xdr:cNvSpPr>
      </xdr:nvSpPr>
      <xdr:spPr bwMode="auto">
        <a:xfrm>
          <a:off x="3048000" y="7343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227</xdr:row>
      <xdr:rowOff>0</xdr:rowOff>
    </xdr:from>
    <xdr:to>
      <xdr:col>4</xdr:col>
      <xdr:colOff>114300</xdr:colOff>
      <xdr:row>227</xdr:row>
      <xdr:rowOff>114300</xdr:rowOff>
    </xdr:to>
    <xdr:sp macro="" textlink="">
      <xdr:nvSpPr>
        <xdr:cNvPr id="2158" name="AutoShape 110" descr="https://capfriendly-wlb8ng5.stackpathdns.com/assets/images/icons/players/injury.svg"/>
        <xdr:cNvSpPr>
          <a:spLocks noChangeAspect="1" noChangeArrowheads="1"/>
        </xdr:cNvSpPr>
      </xdr:nvSpPr>
      <xdr:spPr bwMode="auto">
        <a:xfrm>
          <a:off x="3048000" y="7534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625</xdr:row>
      <xdr:rowOff>0</xdr:rowOff>
    </xdr:from>
    <xdr:to>
      <xdr:col>4</xdr:col>
      <xdr:colOff>114300</xdr:colOff>
      <xdr:row>625</xdr:row>
      <xdr:rowOff>114300</xdr:rowOff>
    </xdr:to>
    <xdr:sp macro="" textlink="">
      <xdr:nvSpPr>
        <xdr:cNvPr id="2159" name="AutoShape 111" descr="https://capfriendly-wlb8ng5.stackpathdns.com/assets/images/icons/players/injury.svg"/>
        <xdr:cNvSpPr>
          <a:spLocks noChangeAspect="1" noChangeArrowheads="1"/>
        </xdr:cNvSpPr>
      </xdr:nvSpPr>
      <xdr:spPr bwMode="auto">
        <a:xfrm>
          <a:off x="3048000" y="7724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304</xdr:row>
      <xdr:rowOff>0</xdr:rowOff>
    </xdr:from>
    <xdr:to>
      <xdr:col>4</xdr:col>
      <xdr:colOff>114300</xdr:colOff>
      <xdr:row>304</xdr:row>
      <xdr:rowOff>114300</xdr:rowOff>
    </xdr:to>
    <xdr:sp macro="" textlink="">
      <xdr:nvSpPr>
        <xdr:cNvPr id="2160" name="AutoShape 112" descr="https://capfriendly-wlb8ng5.stackpathdns.com/assets/images/icons/players/injury.svg"/>
        <xdr:cNvSpPr>
          <a:spLocks noChangeAspect="1" noChangeArrowheads="1"/>
        </xdr:cNvSpPr>
      </xdr:nvSpPr>
      <xdr:spPr bwMode="auto">
        <a:xfrm>
          <a:off x="3048000" y="7915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1" name="AutoShape 113" descr="https://capfriendly-wlb8ng5.stackpathdns.com/assets/images/icons/general/q.svg"/>
        <xdr:cNvSpPr>
          <a:spLocks noChangeAspect="1" noChangeArrowheads="1"/>
        </xdr:cNvSpPr>
      </xdr:nvSpPr>
      <xdr:spPr bwMode="auto">
        <a:xfrm>
          <a:off x="1524000" y="10353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2" name="AutoShape 114" descr="https://capfriendly-wlb8ng5.stackpathdns.com/assets/images/icons/general/q.svg"/>
        <xdr:cNvSpPr>
          <a:spLocks noChangeAspect="1" noChangeArrowheads="1"/>
        </xdr:cNvSpPr>
      </xdr:nvSpPr>
      <xdr:spPr bwMode="auto">
        <a:xfrm>
          <a:off x="1524000" y="10544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3" name="AutoShape 115" descr="https://capfriendly-wlb8ng5.stackpathdns.com/assets/images/icons/general/q.svg"/>
        <xdr:cNvSpPr>
          <a:spLocks noChangeAspect="1" noChangeArrowheads="1"/>
        </xdr:cNvSpPr>
      </xdr:nvSpPr>
      <xdr:spPr bwMode="auto">
        <a:xfrm>
          <a:off x="1524000" y="10734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4" name="AutoShape 116" descr="https://capfriendly-wlb8ng5.stackpathdns.com/assets/images/icons/general/q.svg"/>
        <xdr:cNvSpPr>
          <a:spLocks noChangeAspect="1" noChangeArrowheads="1"/>
        </xdr:cNvSpPr>
      </xdr:nvSpPr>
      <xdr:spPr bwMode="auto">
        <a:xfrm>
          <a:off x="1524000" y="10925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5" name="AutoShape 117" descr="https://capfriendly-wlb8ng5.stackpathdns.com/assets/images/icons/general/q.svg"/>
        <xdr:cNvSpPr>
          <a:spLocks noChangeAspect="1" noChangeArrowheads="1"/>
        </xdr:cNvSpPr>
      </xdr:nvSpPr>
      <xdr:spPr bwMode="auto">
        <a:xfrm>
          <a:off x="1524000" y="11115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6" name="AutoShape 118" descr="https://capfriendly-wlb8ng5.stackpathdns.com/assets/images/icons/general/q.svg"/>
        <xdr:cNvSpPr>
          <a:spLocks noChangeAspect="1" noChangeArrowheads="1"/>
        </xdr:cNvSpPr>
      </xdr:nvSpPr>
      <xdr:spPr bwMode="auto">
        <a:xfrm>
          <a:off x="1524000" y="11306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7" name="AutoShape 119" descr="https://capfriendly-wlb8ng5.stackpathdns.com/assets/images/icons/general/q.svg"/>
        <xdr:cNvSpPr>
          <a:spLocks noChangeAspect="1" noChangeArrowheads="1"/>
        </xdr:cNvSpPr>
      </xdr:nvSpPr>
      <xdr:spPr bwMode="auto">
        <a:xfrm>
          <a:off x="1524000" y="11496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8" name="AutoShape 120" descr="https://capfriendly-wlb8ng5.stackpathdns.com/assets/images/icons/general/q.svg"/>
        <xdr:cNvSpPr>
          <a:spLocks noChangeAspect="1" noChangeArrowheads="1"/>
        </xdr:cNvSpPr>
      </xdr:nvSpPr>
      <xdr:spPr bwMode="auto">
        <a:xfrm>
          <a:off x="1524000" y="11687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9" name="AutoShape 121" descr="https://capfriendly-wlb8ng5.stackpathdns.com/assets/images/icons/general/q.svg"/>
        <xdr:cNvSpPr>
          <a:spLocks noChangeAspect="1" noChangeArrowheads="1"/>
        </xdr:cNvSpPr>
      </xdr:nvSpPr>
      <xdr:spPr bwMode="auto">
        <a:xfrm>
          <a:off x="1524000" y="11877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0" name="AutoShape 122" descr="https://capfriendly-wlb8ng5.stackpathdns.com/assets/images/icons/general/q.svg"/>
        <xdr:cNvSpPr>
          <a:spLocks noChangeAspect="1" noChangeArrowheads="1"/>
        </xdr:cNvSpPr>
      </xdr:nvSpPr>
      <xdr:spPr bwMode="auto">
        <a:xfrm>
          <a:off x="1524000" y="122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1" name="AutoShape 123" descr="https://capfriendly-wlb8ng5.stackpathdns.com/assets/images/icons/general/q.svg"/>
        <xdr:cNvSpPr>
          <a:spLocks noChangeAspect="1" noChangeArrowheads="1"/>
        </xdr:cNvSpPr>
      </xdr:nvSpPr>
      <xdr:spPr bwMode="auto">
        <a:xfrm>
          <a:off x="1524000" y="124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2" name="AutoShape 124" descr="Waivers Exempt">
          <a:hlinkClick xmlns:r="http://schemas.openxmlformats.org/officeDocument/2006/relationships" r:id="rId34"/>
        </xdr:cNvPr>
        <xdr:cNvSpPr>
          <a:spLocks noChangeAspect="1" noChangeArrowheads="1"/>
        </xdr:cNvSpPr>
      </xdr:nvSpPr>
      <xdr:spPr bwMode="auto">
        <a:xfrm>
          <a:off x="1524000" y="1298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736</xdr:row>
      <xdr:rowOff>0</xdr:rowOff>
    </xdr:from>
    <xdr:to>
      <xdr:col>2</xdr:col>
      <xdr:colOff>123825</xdr:colOff>
      <xdr:row>736</xdr:row>
      <xdr:rowOff>123825</xdr:rowOff>
    </xdr:to>
    <xdr:sp macro="" textlink="">
      <xdr:nvSpPr>
        <xdr:cNvPr id="2173" name="AutoShape 125" descr="Waivers Exempt">
          <a:hlinkClick xmlns:r="http://schemas.openxmlformats.org/officeDocument/2006/relationships" r:id="rId35"/>
        </xdr:cNvPr>
        <xdr:cNvSpPr>
          <a:spLocks noChangeAspect="1" noChangeArrowheads="1"/>
        </xdr:cNvSpPr>
      </xdr:nvSpPr>
      <xdr:spPr bwMode="auto">
        <a:xfrm>
          <a:off x="1524000" y="1317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380</xdr:row>
      <xdr:rowOff>0</xdr:rowOff>
    </xdr:from>
    <xdr:to>
      <xdr:col>2</xdr:col>
      <xdr:colOff>123825</xdr:colOff>
      <xdr:row>380</xdr:row>
      <xdr:rowOff>123825</xdr:rowOff>
    </xdr:to>
    <xdr:sp macro="" textlink="">
      <xdr:nvSpPr>
        <xdr:cNvPr id="2174" name="AutoShape 126" descr="Waivers Exempt">
          <a:hlinkClick xmlns:r="http://schemas.openxmlformats.org/officeDocument/2006/relationships" r:id="rId36"/>
        </xdr:cNvPr>
        <xdr:cNvSpPr>
          <a:spLocks noChangeAspect="1" noChangeArrowheads="1"/>
        </xdr:cNvSpPr>
      </xdr:nvSpPr>
      <xdr:spPr bwMode="auto">
        <a:xfrm>
          <a:off x="1524000" y="1355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149</xdr:row>
      <xdr:rowOff>0</xdr:rowOff>
    </xdr:from>
    <xdr:to>
      <xdr:col>2</xdr:col>
      <xdr:colOff>123825</xdr:colOff>
      <xdr:row>149</xdr:row>
      <xdr:rowOff>123825</xdr:rowOff>
    </xdr:to>
    <xdr:sp macro="" textlink="">
      <xdr:nvSpPr>
        <xdr:cNvPr id="2175" name="AutoShape 127" descr="Performance Bonuses"/>
        <xdr:cNvSpPr>
          <a:spLocks noChangeAspect="1" noChangeArrowheads="1"/>
        </xdr:cNvSpPr>
      </xdr:nvSpPr>
      <xdr:spPr bwMode="auto">
        <a:xfrm>
          <a:off x="152400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149</xdr:row>
      <xdr:rowOff>0</xdr:rowOff>
    </xdr:from>
    <xdr:to>
      <xdr:col>2</xdr:col>
      <xdr:colOff>257175</xdr:colOff>
      <xdr:row>149</xdr:row>
      <xdr:rowOff>123825</xdr:rowOff>
    </xdr:to>
    <xdr:sp macro="" textlink="">
      <xdr:nvSpPr>
        <xdr:cNvPr id="2176" name="AutoShape 128" descr="Waivers Exempt">
          <a:hlinkClick xmlns:r="http://schemas.openxmlformats.org/officeDocument/2006/relationships" r:id="rId37"/>
        </xdr:cNvPr>
        <xdr:cNvSpPr>
          <a:spLocks noChangeAspect="1" noChangeArrowheads="1"/>
        </xdr:cNvSpPr>
      </xdr:nvSpPr>
      <xdr:spPr bwMode="auto">
        <a:xfrm>
          <a:off x="165735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303</xdr:row>
      <xdr:rowOff>0</xdr:rowOff>
    </xdr:from>
    <xdr:to>
      <xdr:col>2</xdr:col>
      <xdr:colOff>123825</xdr:colOff>
      <xdr:row>303</xdr:row>
      <xdr:rowOff>123825</xdr:rowOff>
    </xdr:to>
    <xdr:sp macro="" textlink="">
      <xdr:nvSpPr>
        <xdr:cNvPr id="2177" name="AutoShape 129" descr="Retained Salary Transaction"/>
        <xdr:cNvSpPr>
          <a:spLocks noChangeAspect="1" noChangeArrowheads="1"/>
        </xdr:cNvSpPr>
      </xdr:nvSpPr>
      <xdr:spPr bwMode="auto">
        <a:xfrm>
          <a:off x="15240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303</xdr:row>
      <xdr:rowOff>0</xdr:rowOff>
    </xdr:from>
    <xdr:to>
      <xdr:col>2</xdr:col>
      <xdr:colOff>257175</xdr:colOff>
      <xdr:row>303</xdr:row>
      <xdr:rowOff>123825</xdr:rowOff>
    </xdr:to>
    <xdr:sp macro="" textlink="">
      <xdr:nvSpPr>
        <xdr:cNvPr id="2178" name="AutoShape 130" descr="Waivers Exempt">
          <a:hlinkClick xmlns:r="http://schemas.openxmlformats.org/officeDocument/2006/relationships" r:id="rId38"/>
        </xdr:cNvPr>
        <xdr:cNvSpPr>
          <a:spLocks noChangeAspect="1" noChangeArrowheads="1"/>
        </xdr:cNvSpPr>
      </xdr:nvSpPr>
      <xdr:spPr bwMode="auto">
        <a:xfrm>
          <a:off x="165735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303</xdr:row>
      <xdr:rowOff>0</xdr:rowOff>
    </xdr:from>
    <xdr:to>
      <xdr:col>2</xdr:col>
      <xdr:colOff>390525</xdr:colOff>
      <xdr:row>303</xdr:row>
      <xdr:rowOff>123825</xdr:rowOff>
    </xdr:to>
    <xdr:sp macro="" textlink="">
      <xdr:nvSpPr>
        <xdr:cNvPr id="2179" name="AutoShape 131" descr="Exempt from the 50 Contract Limit"/>
        <xdr:cNvSpPr>
          <a:spLocks noChangeAspect="1" noChangeArrowheads="1"/>
        </xdr:cNvSpPr>
      </xdr:nvSpPr>
      <xdr:spPr bwMode="auto">
        <a:xfrm>
          <a:off x="17907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876</xdr:row>
      <xdr:rowOff>0</xdr:rowOff>
    </xdr:from>
    <xdr:to>
      <xdr:col>2</xdr:col>
      <xdr:colOff>123825</xdr:colOff>
      <xdr:row>876</xdr:row>
      <xdr:rowOff>123825</xdr:rowOff>
    </xdr:to>
    <xdr:sp macro="" textlink="">
      <xdr:nvSpPr>
        <xdr:cNvPr id="2180" name="AutoShape 132" descr="Performance Bonuses"/>
        <xdr:cNvSpPr>
          <a:spLocks noChangeAspect="1" noChangeArrowheads="1"/>
        </xdr:cNvSpPr>
      </xdr:nvSpPr>
      <xdr:spPr bwMode="auto">
        <a:xfrm>
          <a:off x="152400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876</xdr:row>
      <xdr:rowOff>0</xdr:rowOff>
    </xdr:from>
    <xdr:to>
      <xdr:col>2</xdr:col>
      <xdr:colOff>257175</xdr:colOff>
      <xdr:row>876</xdr:row>
      <xdr:rowOff>123825</xdr:rowOff>
    </xdr:to>
    <xdr:sp macro="" textlink="">
      <xdr:nvSpPr>
        <xdr:cNvPr id="2181" name="AutoShape 133" descr="Waivers Exempt">
          <a:hlinkClick xmlns:r="http://schemas.openxmlformats.org/officeDocument/2006/relationships" r:id="rId39"/>
        </xdr:cNvPr>
        <xdr:cNvSpPr>
          <a:spLocks noChangeAspect="1" noChangeArrowheads="1"/>
        </xdr:cNvSpPr>
      </xdr:nvSpPr>
      <xdr:spPr bwMode="auto">
        <a:xfrm>
          <a:off x="165735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162</xdr:row>
      <xdr:rowOff>0</xdr:rowOff>
    </xdr:from>
    <xdr:to>
      <xdr:col>2</xdr:col>
      <xdr:colOff>123825</xdr:colOff>
      <xdr:row>162</xdr:row>
      <xdr:rowOff>123825</xdr:rowOff>
    </xdr:to>
    <xdr:sp macro="" textlink="">
      <xdr:nvSpPr>
        <xdr:cNvPr id="2182" name="AutoShape 134" descr="Performance Bonuses"/>
        <xdr:cNvSpPr>
          <a:spLocks noChangeAspect="1" noChangeArrowheads="1"/>
        </xdr:cNvSpPr>
      </xdr:nvSpPr>
      <xdr:spPr bwMode="auto">
        <a:xfrm>
          <a:off x="152400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162</xdr:row>
      <xdr:rowOff>0</xdr:rowOff>
    </xdr:from>
    <xdr:to>
      <xdr:col>2</xdr:col>
      <xdr:colOff>257175</xdr:colOff>
      <xdr:row>162</xdr:row>
      <xdr:rowOff>123825</xdr:rowOff>
    </xdr:to>
    <xdr:sp macro="" textlink="">
      <xdr:nvSpPr>
        <xdr:cNvPr id="2183" name="AutoShape 135" descr="Waivers Exempt">
          <a:hlinkClick xmlns:r="http://schemas.openxmlformats.org/officeDocument/2006/relationships" r:id="rId40"/>
        </xdr:cNvPr>
        <xdr:cNvSpPr>
          <a:spLocks noChangeAspect="1" noChangeArrowheads="1"/>
        </xdr:cNvSpPr>
      </xdr:nvSpPr>
      <xdr:spPr bwMode="auto">
        <a:xfrm>
          <a:off x="165735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839</xdr:row>
      <xdr:rowOff>0</xdr:rowOff>
    </xdr:from>
    <xdr:to>
      <xdr:col>2</xdr:col>
      <xdr:colOff>123825</xdr:colOff>
      <xdr:row>839</xdr:row>
      <xdr:rowOff>123825</xdr:rowOff>
    </xdr:to>
    <xdr:sp macro="" textlink="">
      <xdr:nvSpPr>
        <xdr:cNvPr id="2184" name="AutoShape 136" descr="Performance Bonuses"/>
        <xdr:cNvSpPr>
          <a:spLocks noChangeAspect="1" noChangeArrowheads="1"/>
        </xdr:cNvSpPr>
      </xdr:nvSpPr>
      <xdr:spPr bwMode="auto">
        <a:xfrm>
          <a:off x="152400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839</xdr:row>
      <xdr:rowOff>0</xdr:rowOff>
    </xdr:from>
    <xdr:to>
      <xdr:col>2</xdr:col>
      <xdr:colOff>257175</xdr:colOff>
      <xdr:row>839</xdr:row>
      <xdr:rowOff>123825</xdr:rowOff>
    </xdr:to>
    <xdr:sp macro="" textlink="">
      <xdr:nvSpPr>
        <xdr:cNvPr id="2185" name="AutoShape 137" descr="Waivers Exempt">
          <a:hlinkClick xmlns:r="http://schemas.openxmlformats.org/officeDocument/2006/relationships" r:id="rId41"/>
        </xdr:cNvPr>
        <xdr:cNvSpPr>
          <a:spLocks noChangeAspect="1" noChangeArrowheads="1"/>
        </xdr:cNvSpPr>
      </xdr:nvSpPr>
      <xdr:spPr bwMode="auto">
        <a:xfrm>
          <a:off x="165735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1351</xdr:row>
      <xdr:rowOff>0</xdr:rowOff>
    </xdr:from>
    <xdr:to>
      <xdr:col>2</xdr:col>
      <xdr:colOff>123825</xdr:colOff>
      <xdr:row>1351</xdr:row>
      <xdr:rowOff>123825</xdr:rowOff>
    </xdr:to>
    <xdr:sp macro="" textlink="">
      <xdr:nvSpPr>
        <xdr:cNvPr id="2186" name="AutoShape 138" descr="Performance Bonuses"/>
        <xdr:cNvSpPr>
          <a:spLocks noChangeAspect="1" noChangeArrowheads="1"/>
        </xdr:cNvSpPr>
      </xdr:nvSpPr>
      <xdr:spPr bwMode="auto">
        <a:xfrm>
          <a:off x="1524000" y="1545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1175</xdr:row>
      <xdr:rowOff>0</xdr:rowOff>
    </xdr:from>
    <xdr:to>
      <xdr:col>2</xdr:col>
      <xdr:colOff>123825</xdr:colOff>
      <xdr:row>1175</xdr:row>
      <xdr:rowOff>123825</xdr:rowOff>
    </xdr:to>
    <xdr:sp macro="" textlink="">
      <xdr:nvSpPr>
        <xdr:cNvPr id="2187" name="AutoShape 139" descr="Retained Salary Transaction"/>
        <xdr:cNvSpPr>
          <a:spLocks noChangeAspect="1" noChangeArrowheads="1"/>
        </xdr:cNvSpPr>
      </xdr:nvSpPr>
      <xdr:spPr bwMode="auto">
        <a:xfrm>
          <a:off x="152400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1175</xdr:row>
      <xdr:rowOff>0</xdr:rowOff>
    </xdr:from>
    <xdr:to>
      <xdr:col>2</xdr:col>
      <xdr:colOff>257175</xdr:colOff>
      <xdr:row>1175</xdr:row>
      <xdr:rowOff>123825</xdr:rowOff>
    </xdr:to>
    <xdr:sp macro="" textlink="">
      <xdr:nvSpPr>
        <xdr:cNvPr id="2188" name="AutoShape 140" descr="Waivers Exempt">
          <a:hlinkClick xmlns:r="http://schemas.openxmlformats.org/officeDocument/2006/relationships" r:id="rId42"/>
        </xdr:cNvPr>
        <xdr:cNvSpPr>
          <a:spLocks noChangeAspect="1" noChangeArrowheads="1"/>
        </xdr:cNvSpPr>
      </xdr:nvSpPr>
      <xdr:spPr bwMode="auto">
        <a:xfrm>
          <a:off x="165735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813</xdr:row>
      <xdr:rowOff>0</xdr:rowOff>
    </xdr:from>
    <xdr:to>
      <xdr:col>2</xdr:col>
      <xdr:colOff>123825</xdr:colOff>
      <xdr:row>813</xdr:row>
      <xdr:rowOff>123825</xdr:rowOff>
    </xdr:to>
    <xdr:sp macro="" textlink="">
      <xdr:nvSpPr>
        <xdr:cNvPr id="2189" name="AutoShape 141" descr="Performance Bonuses"/>
        <xdr:cNvSpPr>
          <a:spLocks noChangeAspect="1" noChangeArrowheads="1"/>
        </xdr:cNvSpPr>
      </xdr:nvSpPr>
      <xdr:spPr bwMode="auto">
        <a:xfrm>
          <a:off x="152400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813</xdr:row>
      <xdr:rowOff>0</xdr:rowOff>
    </xdr:from>
    <xdr:to>
      <xdr:col>2</xdr:col>
      <xdr:colOff>257175</xdr:colOff>
      <xdr:row>813</xdr:row>
      <xdr:rowOff>123825</xdr:rowOff>
    </xdr:to>
    <xdr:sp macro="" textlink="">
      <xdr:nvSpPr>
        <xdr:cNvPr id="2190" name="AutoShape 142" descr="Waivers Exempt">
          <a:hlinkClick xmlns:r="http://schemas.openxmlformats.org/officeDocument/2006/relationships" r:id="rId43"/>
        </xdr:cNvPr>
        <xdr:cNvSpPr>
          <a:spLocks noChangeAspect="1" noChangeArrowheads="1"/>
        </xdr:cNvSpPr>
      </xdr:nvSpPr>
      <xdr:spPr bwMode="auto">
        <a:xfrm>
          <a:off x="165735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353</xdr:row>
      <xdr:rowOff>0</xdr:rowOff>
    </xdr:from>
    <xdr:to>
      <xdr:col>2</xdr:col>
      <xdr:colOff>123825</xdr:colOff>
      <xdr:row>353</xdr:row>
      <xdr:rowOff>123825</xdr:rowOff>
    </xdr:to>
    <xdr:sp macro="" textlink="">
      <xdr:nvSpPr>
        <xdr:cNvPr id="2191" name="AutoShape 143" descr="Waivers Exempt">
          <a:hlinkClick xmlns:r="http://schemas.openxmlformats.org/officeDocument/2006/relationships" r:id="rId44"/>
        </xdr:cNvPr>
        <xdr:cNvSpPr>
          <a:spLocks noChangeAspect="1" noChangeArrowheads="1"/>
        </xdr:cNvSpPr>
      </xdr:nvSpPr>
      <xdr:spPr bwMode="auto">
        <a:xfrm>
          <a:off x="1524000" y="1694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599</xdr:row>
      <xdr:rowOff>0</xdr:rowOff>
    </xdr:from>
    <xdr:to>
      <xdr:col>2</xdr:col>
      <xdr:colOff>123825</xdr:colOff>
      <xdr:row>599</xdr:row>
      <xdr:rowOff>123825</xdr:rowOff>
    </xdr:to>
    <xdr:sp macro="" textlink="">
      <xdr:nvSpPr>
        <xdr:cNvPr id="2192" name="AutoShape 144" descr="Waivers Exempt">
          <a:hlinkClick xmlns:r="http://schemas.openxmlformats.org/officeDocument/2006/relationships" r:id="rId45"/>
        </xdr:cNvPr>
        <xdr:cNvSpPr>
          <a:spLocks noChangeAspect="1" noChangeArrowheads="1"/>
        </xdr:cNvSpPr>
      </xdr:nvSpPr>
      <xdr:spPr bwMode="auto">
        <a:xfrm>
          <a:off x="1524000" y="1713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715</xdr:row>
      <xdr:rowOff>0</xdr:rowOff>
    </xdr:from>
    <xdr:to>
      <xdr:col>2</xdr:col>
      <xdr:colOff>123825</xdr:colOff>
      <xdr:row>715</xdr:row>
      <xdr:rowOff>123825</xdr:rowOff>
    </xdr:to>
    <xdr:sp macro="" textlink="">
      <xdr:nvSpPr>
        <xdr:cNvPr id="2193" name="AutoShape 145" descr="Performance Bonuses"/>
        <xdr:cNvSpPr>
          <a:spLocks noChangeAspect="1" noChangeArrowheads="1"/>
        </xdr:cNvSpPr>
      </xdr:nvSpPr>
      <xdr:spPr bwMode="auto">
        <a:xfrm>
          <a:off x="152400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715</xdr:row>
      <xdr:rowOff>0</xdr:rowOff>
    </xdr:from>
    <xdr:to>
      <xdr:col>2</xdr:col>
      <xdr:colOff>257175</xdr:colOff>
      <xdr:row>715</xdr:row>
      <xdr:rowOff>123825</xdr:rowOff>
    </xdr:to>
    <xdr:sp macro="" textlink="">
      <xdr:nvSpPr>
        <xdr:cNvPr id="2194" name="AutoShape 146" descr="Waivers Exempt">
          <a:hlinkClick xmlns:r="http://schemas.openxmlformats.org/officeDocument/2006/relationships" r:id="rId46"/>
        </xdr:cNvPr>
        <xdr:cNvSpPr>
          <a:spLocks noChangeAspect="1" noChangeArrowheads="1"/>
        </xdr:cNvSpPr>
      </xdr:nvSpPr>
      <xdr:spPr bwMode="auto">
        <a:xfrm>
          <a:off x="165735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818</xdr:row>
      <xdr:rowOff>0</xdr:rowOff>
    </xdr:from>
    <xdr:to>
      <xdr:col>2</xdr:col>
      <xdr:colOff>123825</xdr:colOff>
      <xdr:row>818</xdr:row>
      <xdr:rowOff>123825</xdr:rowOff>
    </xdr:to>
    <xdr:sp macro="" textlink="">
      <xdr:nvSpPr>
        <xdr:cNvPr id="2195" name="AutoShape 147" descr="Performance Bonuses"/>
        <xdr:cNvSpPr>
          <a:spLocks noChangeAspect="1" noChangeArrowheads="1"/>
        </xdr:cNvSpPr>
      </xdr:nvSpPr>
      <xdr:spPr bwMode="auto">
        <a:xfrm>
          <a:off x="152400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818</xdr:row>
      <xdr:rowOff>0</xdr:rowOff>
    </xdr:from>
    <xdr:to>
      <xdr:col>2</xdr:col>
      <xdr:colOff>257175</xdr:colOff>
      <xdr:row>818</xdr:row>
      <xdr:rowOff>123825</xdr:rowOff>
    </xdr:to>
    <xdr:sp macro="" textlink="">
      <xdr:nvSpPr>
        <xdr:cNvPr id="2196" name="AutoShape 148" descr="Waivers Exempt">
          <a:hlinkClick xmlns:r="http://schemas.openxmlformats.org/officeDocument/2006/relationships" r:id="rId47"/>
        </xdr:cNvPr>
        <xdr:cNvSpPr>
          <a:spLocks noChangeAspect="1" noChangeArrowheads="1"/>
        </xdr:cNvSpPr>
      </xdr:nvSpPr>
      <xdr:spPr bwMode="auto">
        <a:xfrm>
          <a:off x="165735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1201</xdr:row>
      <xdr:rowOff>0</xdr:rowOff>
    </xdr:from>
    <xdr:to>
      <xdr:col>2</xdr:col>
      <xdr:colOff>123825</xdr:colOff>
      <xdr:row>1201</xdr:row>
      <xdr:rowOff>123825</xdr:rowOff>
    </xdr:to>
    <xdr:sp macro="" textlink="">
      <xdr:nvSpPr>
        <xdr:cNvPr id="2197" name="AutoShape 149" descr="Performance Bonuses"/>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1201</xdr:row>
      <xdr:rowOff>0</xdr:rowOff>
    </xdr:from>
    <xdr:to>
      <xdr:col>2</xdr:col>
      <xdr:colOff>257175</xdr:colOff>
      <xdr:row>1201</xdr:row>
      <xdr:rowOff>123825</xdr:rowOff>
    </xdr:to>
    <xdr:sp macro="" textlink="">
      <xdr:nvSpPr>
        <xdr:cNvPr id="2198" name="AutoShape 150" descr="Waivers Exempt">
          <a:hlinkClick xmlns:r="http://schemas.openxmlformats.org/officeDocument/2006/relationships" r:id="rId48"/>
        </xdr:cNvPr>
        <xdr:cNvSpPr>
          <a:spLocks noChangeAspect="1" noChangeArrowheads="1"/>
        </xdr:cNvSpPr>
      </xdr:nvSpPr>
      <xdr:spPr bwMode="auto">
        <a:xfrm>
          <a:off x="165735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1452</xdr:row>
      <xdr:rowOff>0</xdr:rowOff>
    </xdr:from>
    <xdr:to>
      <xdr:col>2</xdr:col>
      <xdr:colOff>123825</xdr:colOff>
      <xdr:row>1452</xdr:row>
      <xdr:rowOff>123825</xdr:rowOff>
    </xdr:to>
    <xdr:sp macro="" textlink="">
      <xdr:nvSpPr>
        <xdr:cNvPr id="2199" name="AutoShape 151" descr="Waivers Exempt">
          <a:hlinkClick xmlns:r="http://schemas.openxmlformats.org/officeDocument/2006/relationships" r:id="rId49"/>
        </xdr:cNvPr>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2200" name="AutoShape 152" descr="https://capfriendly-wlb8ng5.stackpathdns.com/assets/images/icons/general/q2.svg"/>
        <xdr:cNvSpPr>
          <a:spLocks noChangeAspect="1" noChangeArrowheads="1"/>
        </xdr:cNvSpPr>
      </xdr:nvSpPr>
      <xdr:spPr bwMode="auto">
        <a:xfrm>
          <a:off x="6096000" y="19192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688</xdr:row>
      <xdr:rowOff>0</xdr:rowOff>
    </xdr:from>
    <xdr:to>
      <xdr:col>7</xdr:col>
      <xdr:colOff>123825</xdr:colOff>
      <xdr:row>688</xdr:row>
      <xdr:rowOff>104775</xdr:rowOff>
    </xdr:to>
    <xdr:sp macro="" textlink="">
      <xdr:nvSpPr>
        <xdr:cNvPr id="2201" name="AutoShape 153" descr="Arbitration Eligible">
          <a:hlinkClick xmlns:r="http://schemas.openxmlformats.org/officeDocument/2006/relationships" r:id="rId50"/>
        </xdr:cNvPr>
        <xdr:cNvSpPr>
          <a:spLocks noChangeAspect="1" noChangeArrowheads="1"/>
        </xdr:cNvSpPr>
      </xdr:nvSpPr>
      <xdr:spPr bwMode="auto">
        <a:xfrm>
          <a:off x="5334000" y="19383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1297</xdr:row>
      <xdr:rowOff>0</xdr:rowOff>
    </xdr:from>
    <xdr:to>
      <xdr:col>7</xdr:col>
      <xdr:colOff>123825</xdr:colOff>
      <xdr:row>1297</xdr:row>
      <xdr:rowOff>104775</xdr:rowOff>
    </xdr:to>
    <xdr:sp macro="" textlink="">
      <xdr:nvSpPr>
        <xdr:cNvPr id="2202" name="AutoShape 154" descr="Arbitration Eligible">
          <a:hlinkClick xmlns:r="http://schemas.openxmlformats.org/officeDocument/2006/relationships" r:id="rId51"/>
        </xdr:cNvPr>
        <xdr:cNvSpPr>
          <a:spLocks noChangeAspect="1" noChangeArrowheads="1"/>
        </xdr:cNvSpPr>
      </xdr:nvSpPr>
      <xdr:spPr bwMode="auto">
        <a:xfrm>
          <a:off x="5334000" y="14249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xdr:row>
      <xdr:rowOff>0</xdr:rowOff>
    </xdr:from>
    <xdr:to>
      <xdr:col>7</xdr:col>
      <xdr:colOff>123825</xdr:colOff>
      <xdr:row>146</xdr:row>
      <xdr:rowOff>104775</xdr:rowOff>
    </xdr:to>
    <xdr:sp macro="" textlink="">
      <xdr:nvSpPr>
        <xdr:cNvPr id="2203" name="AutoShape 155" descr="Arbitration Eligible">
          <a:hlinkClick xmlns:r="http://schemas.openxmlformats.org/officeDocument/2006/relationships" r:id="rId52"/>
        </xdr:cNvPr>
        <xdr:cNvSpPr>
          <a:spLocks noChangeAspect="1" noChangeArrowheads="1"/>
        </xdr:cNvSpPr>
      </xdr:nvSpPr>
      <xdr:spPr bwMode="auto">
        <a:xfrm>
          <a:off x="5334000" y="1443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796</xdr:row>
      <xdr:rowOff>0</xdr:rowOff>
    </xdr:from>
    <xdr:to>
      <xdr:col>7</xdr:col>
      <xdr:colOff>123825</xdr:colOff>
      <xdr:row>796</xdr:row>
      <xdr:rowOff>104775</xdr:rowOff>
    </xdr:to>
    <xdr:sp macro="" textlink="">
      <xdr:nvSpPr>
        <xdr:cNvPr id="2204" name="AutoShape 156" descr="Arbitration Eligible">
          <a:hlinkClick xmlns:r="http://schemas.openxmlformats.org/officeDocument/2006/relationships" r:id="rId53"/>
        </xdr:cNvPr>
        <xdr:cNvSpPr>
          <a:spLocks noChangeAspect="1" noChangeArrowheads="1"/>
        </xdr:cNvSpPr>
      </xdr:nvSpPr>
      <xdr:spPr bwMode="auto">
        <a:xfrm>
          <a:off x="5334000" y="1482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318</xdr:row>
      <xdr:rowOff>0</xdr:rowOff>
    </xdr:from>
    <xdr:to>
      <xdr:col>7</xdr:col>
      <xdr:colOff>123825</xdr:colOff>
      <xdr:row>318</xdr:row>
      <xdr:rowOff>104775</xdr:rowOff>
    </xdr:to>
    <xdr:sp macro="" textlink="">
      <xdr:nvSpPr>
        <xdr:cNvPr id="2205" name="AutoShape 157" descr="Arbitration Eligible">
          <a:hlinkClick xmlns:r="http://schemas.openxmlformats.org/officeDocument/2006/relationships" r:id="rId54"/>
        </xdr:cNvPr>
        <xdr:cNvSpPr>
          <a:spLocks noChangeAspect="1" noChangeArrowheads="1"/>
        </xdr:cNvSpPr>
      </xdr:nvSpPr>
      <xdr:spPr bwMode="auto">
        <a:xfrm>
          <a:off x="5334000" y="167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1232</xdr:row>
      <xdr:rowOff>0</xdr:rowOff>
    </xdr:from>
    <xdr:to>
      <xdr:col>2</xdr:col>
      <xdr:colOff>123825</xdr:colOff>
      <xdr:row>1232</xdr:row>
      <xdr:rowOff>123825</xdr:rowOff>
    </xdr:to>
    <xdr:sp macro="" textlink="">
      <xdr:nvSpPr>
        <xdr:cNvPr id="2206" name="AutoShape 158" descr="Performance Bonuses"/>
        <xdr:cNvSpPr>
          <a:spLocks noChangeAspect="1" noChangeArrowheads="1"/>
        </xdr:cNvSpPr>
      </xdr:nvSpPr>
      <xdr:spPr bwMode="auto">
        <a:xfrm>
          <a:off x="152400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1232</xdr:row>
      <xdr:rowOff>0</xdr:rowOff>
    </xdr:from>
    <xdr:to>
      <xdr:col>2</xdr:col>
      <xdr:colOff>257175</xdr:colOff>
      <xdr:row>1232</xdr:row>
      <xdr:rowOff>123825</xdr:rowOff>
    </xdr:to>
    <xdr:sp macro="" textlink="">
      <xdr:nvSpPr>
        <xdr:cNvPr id="2207" name="AutoShape 159" descr="Waivers Exempt">
          <a:hlinkClick xmlns:r="http://schemas.openxmlformats.org/officeDocument/2006/relationships" r:id="rId55"/>
        </xdr:cNvPr>
        <xdr:cNvSpPr>
          <a:spLocks noChangeAspect="1" noChangeArrowheads="1"/>
        </xdr:cNvSpPr>
      </xdr:nvSpPr>
      <xdr:spPr bwMode="auto">
        <a:xfrm>
          <a:off x="165735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8" name="AutoShape 160" descr="https://capfriendly-wlb8ng5.stackpathdns.com/assets/images/icons/general/q.svg"/>
        <xdr:cNvSpPr>
          <a:spLocks noChangeAspect="1" noChangeArrowheads="1"/>
        </xdr:cNvSpPr>
      </xdr:nvSpPr>
      <xdr:spPr bwMode="auto">
        <a:xfrm>
          <a:off x="1524000" y="186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9" name="AutoShape 161" descr="https://capfriendly-wlb8ng5.stackpathdns.com/assets/images/icons/general/q.svg"/>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0" name="AutoShape 162" descr="https://capfriendly-wlb8ng5.stackpathdns.com/assets/images/icons/general/q.svg"/>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1" name="AutoShape 163" descr="https://capfriendly-wlb8ng5.stackpathdns.com/assets/images/icons/general/q.svg"/>
        <xdr:cNvSpPr>
          <a:spLocks noChangeAspect="1" noChangeArrowheads="1"/>
        </xdr:cNvSpPr>
      </xdr:nvSpPr>
      <xdr:spPr bwMode="auto">
        <a:xfrm>
          <a:off x="1524000" y="191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2" name="AutoShape 164" descr="https://capfriendly-wlb8ng5.stackpathdns.com/assets/images/icons/general/q.svg"/>
        <xdr:cNvSpPr>
          <a:spLocks noChangeAspect="1" noChangeArrowheads="1"/>
        </xdr:cNvSpPr>
      </xdr:nvSpPr>
      <xdr:spPr bwMode="auto">
        <a:xfrm>
          <a:off x="1524000" y="193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3" name="AutoShape 165" descr="https://capfriendly-wlb8ng5.stackpathdns.com/assets/images/icons/general/q.svg"/>
        <xdr:cNvSpPr>
          <a:spLocks noChangeAspect="1" noChangeArrowheads="1"/>
        </xdr:cNvSpPr>
      </xdr:nvSpPr>
      <xdr:spPr bwMode="auto">
        <a:xfrm>
          <a:off x="1524000" y="195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4" name="AutoShape 166" descr="https://capfriendly-wlb8ng5.stackpathdns.com/assets/images/icons/general/q.svg"/>
        <xdr:cNvSpPr>
          <a:spLocks noChangeAspect="1" noChangeArrowheads="1"/>
        </xdr:cNvSpPr>
      </xdr:nvSpPr>
      <xdr:spPr bwMode="auto">
        <a:xfrm>
          <a:off x="1524000" y="197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5" name="AutoShape 167" descr="https://capfriendly-wlb8ng5.stackpathdns.com/assets/images/icons/general/q.svg"/>
        <xdr:cNvSpPr>
          <a:spLocks noChangeAspect="1" noChangeArrowheads="1"/>
        </xdr:cNvSpPr>
      </xdr:nvSpPr>
      <xdr:spPr bwMode="auto">
        <a:xfrm>
          <a:off x="1524000" y="199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6" name="AutoShape 168" descr="https://capfriendly-wlb8ng5.stackpathdns.com/assets/images/icons/general/q.svg"/>
        <xdr:cNvSpPr>
          <a:spLocks noChangeAspect="1" noChangeArrowheads="1"/>
        </xdr:cNvSpPr>
      </xdr:nvSpPr>
      <xdr:spPr bwMode="auto">
        <a:xfrm>
          <a:off x="1524000" y="201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7" name="AutoShape 169" descr="https://capfriendly-wlb8ng5.stackpathdns.com/assets/images/icons/general/q.svg"/>
        <xdr:cNvSpPr>
          <a:spLocks noChangeAspect="1" noChangeArrowheads="1"/>
        </xdr:cNvSpPr>
      </xdr:nvSpPr>
      <xdr:spPr bwMode="auto">
        <a:xfrm>
          <a:off x="1524000" y="203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8" name="AutoShape 170" descr="https://capfriendly-wlb8ng5.stackpathdns.com/assets/images/icons/general/q.svg"/>
        <xdr:cNvSpPr>
          <a:spLocks noChangeAspect="1" noChangeArrowheads="1"/>
        </xdr:cNvSpPr>
      </xdr:nvSpPr>
      <xdr:spPr bwMode="auto">
        <a:xfrm>
          <a:off x="1524000" y="205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9" name="AutoShape 171" descr="Retained Salary Transaction"/>
        <xdr:cNvSpPr>
          <a:spLocks noChangeAspect="1" noChangeArrowheads="1"/>
        </xdr:cNvSpPr>
      </xdr:nvSpPr>
      <xdr:spPr bwMode="auto">
        <a:xfrm>
          <a:off x="152400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918</xdr:row>
      <xdr:rowOff>0</xdr:rowOff>
    </xdr:from>
    <xdr:to>
      <xdr:col>2</xdr:col>
      <xdr:colOff>257175</xdr:colOff>
      <xdr:row>918</xdr:row>
      <xdr:rowOff>123825</xdr:rowOff>
    </xdr:to>
    <xdr:sp macro="" textlink="">
      <xdr:nvSpPr>
        <xdr:cNvPr id="2220" name="AutoShape 172" descr="Waivers Exempt">
          <a:hlinkClick xmlns:r="http://schemas.openxmlformats.org/officeDocument/2006/relationships" r:id="rId56"/>
        </xdr:cNvPr>
        <xdr:cNvSpPr>
          <a:spLocks noChangeAspect="1" noChangeArrowheads="1"/>
        </xdr:cNvSpPr>
      </xdr:nvSpPr>
      <xdr:spPr bwMode="auto">
        <a:xfrm>
          <a:off x="165735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1259</xdr:row>
      <xdr:rowOff>0</xdr:rowOff>
    </xdr:from>
    <xdr:to>
      <xdr:col>2</xdr:col>
      <xdr:colOff>123825</xdr:colOff>
      <xdr:row>1259</xdr:row>
      <xdr:rowOff>123825</xdr:rowOff>
    </xdr:to>
    <xdr:sp macro="" textlink="">
      <xdr:nvSpPr>
        <xdr:cNvPr id="2221" name="AutoShape 173" descr="Waivers Exempt">
          <a:hlinkClick xmlns:r="http://schemas.openxmlformats.org/officeDocument/2006/relationships" r:id="rId57"/>
        </xdr:cNvPr>
        <xdr:cNvSpPr>
          <a:spLocks noChangeAspect="1" noChangeArrowheads="1"/>
        </xdr:cNvSpPr>
      </xdr:nvSpPr>
      <xdr:spPr bwMode="auto">
        <a:xfrm>
          <a:off x="1524000" y="2126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661</xdr:row>
      <xdr:rowOff>0</xdr:rowOff>
    </xdr:from>
    <xdr:to>
      <xdr:col>2</xdr:col>
      <xdr:colOff>123825</xdr:colOff>
      <xdr:row>661</xdr:row>
      <xdr:rowOff>123825</xdr:rowOff>
    </xdr:to>
    <xdr:sp macro="" textlink="">
      <xdr:nvSpPr>
        <xdr:cNvPr id="2222" name="AutoShape 174" descr="Waivers Exempt">
          <a:hlinkClick xmlns:r="http://schemas.openxmlformats.org/officeDocument/2006/relationships" r:id="rId58"/>
        </xdr:cNvPr>
        <xdr:cNvSpPr>
          <a:spLocks noChangeAspect="1" noChangeArrowheads="1"/>
        </xdr:cNvSpPr>
      </xdr:nvSpPr>
      <xdr:spPr bwMode="auto">
        <a:xfrm>
          <a:off x="1524000" y="214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790</xdr:row>
      <xdr:rowOff>0</xdr:rowOff>
    </xdr:from>
    <xdr:to>
      <xdr:col>2</xdr:col>
      <xdr:colOff>123825</xdr:colOff>
      <xdr:row>790</xdr:row>
      <xdr:rowOff>123825</xdr:rowOff>
    </xdr:to>
    <xdr:sp macro="" textlink="">
      <xdr:nvSpPr>
        <xdr:cNvPr id="2223" name="AutoShape 175" descr="Performance Bonuses"/>
        <xdr:cNvSpPr>
          <a:spLocks noChangeAspect="1" noChangeArrowheads="1"/>
        </xdr:cNvSpPr>
      </xdr:nvSpPr>
      <xdr:spPr bwMode="auto">
        <a:xfrm>
          <a:off x="152400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790</xdr:row>
      <xdr:rowOff>0</xdr:rowOff>
    </xdr:from>
    <xdr:to>
      <xdr:col>2</xdr:col>
      <xdr:colOff>257175</xdr:colOff>
      <xdr:row>790</xdr:row>
      <xdr:rowOff>123825</xdr:rowOff>
    </xdr:to>
    <xdr:sp macro="" textlink="">
      <xdr:nvSpPr>
        <xdr:cNvPr id="2224" name="AutoShape 176" descr="Waivers Exempt">
          <a:hlinkClick xmlns:r="http://schemas.openxmlformats.org/officeDocument/2006/relationships" r:id="rId59"/>
        </xdr:cNvPr>
        <xdr:cNvSpPr>
          <a:spLocks noChangeAspect="1" noChangeArrowheads="1"/>
        </xdr:cNvSpPr>
      </xdr:nvSpPr>
      <xdr:spPr bwMode="auto">
        <a:xfrm>
          <a:off x="165735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226</xdr:row>
      <xdr:rowOff>0</xdr:rowOff>
    </xdr:from>
    <xdr:to>
      <xdr:col>2</xdr:col>
      <xdr:colOff>123825</xdr:colOff>
      <xdr:row>226</xdr:row>
      <xdr:rowOff>123825</xdr:rowOff>
    </xdr:to>
    <xdr:sp macro="" textlink="">
      <xdr:nvSpPr>
        <xdr:cNvPr id="2225" name="AutoShape 177" descr="Performance Bonuses"/>
        <xdr:cNvSpPr>
          <a:spLocks noChangeAspect="1" noChangeArrowheads="1"/>
        </xdr:cNvSpPr>
      </xdr:nvSpPr>
      <xdr:spPr bwMode="auto">
        <a:xfrm>
          <a:off x="15240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226</xdr:row>
      <xdr:rowOff>0</xdr:rowOff>
    </xdr:from>
    <xdr:to>
      <xdr:col>2</xdr:col>
      <xdr:colOff>257175</xdr:colOff>
      <xdr:row>226</xdr:row>
      <xdr:rowOff>123825</xdr:rowOff>
    </xdr:to>
    <xdr:sp macro="" textlink="">
      <xdr:nvSpPr>
        <xdr:cNvPr id="2226" name="AutoShape 178" descr="Retained Salary Transaction"/>
        <xdr:cNvSpPr>
          <a:spLocks noChangeAspect="1" noChangeArrowheads="1"/>
        </xdr:cNvSpPr>
      </xdr:nvSpPr>
      <xdr:spPr bwMode="auto">
        <a:xfrm>
          <a:off x="16573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226</xdr:row>
      <xdr:rowOff>0</xdr:rowOff>
    </xdr:from>
    <xdr:to>
      <xdr:col>2</xdr:col>
      <xdr:colOff>390525</xdr:colOff>
      <xdr:row>226</xdr:row>
      <xdr:rowOff>123825</xdr:rowOff>
    </xdr:to>
    <xdr:sp macro="" textlink="">
      <xdr:nvSpPr>
        <xdr:cNvPr id="2227" name="AutoShape 179" descr="Waivers Exempt">
          <a:hlinkClick xmlns:r="http://schemas.openxmlformats.org/officeDocument/2006/relationships" r:id="rId60"/>
        </xdr:cNvPr>
        <xdr:cNvSpPr>
          <a:spLocks noChangeAspect="1" noChangeArrowheads="1"/>
        </xdr:cNvSpPr>
      </xdr:nvSpPr>
      <xdr:spPr bwMode="auto">
        <a:xfrm>
          <a:off x="17907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226</xdr:row>
      <xdr:rowOff>0</xdr:rowOff>
    </xdr:from>
    <xdr:to>
      <xdr:col>2</xdr:col>
      <xdr:colOff>523875</xdr:colOff>
      <xdr:row>226</xdr:row>
      <xdr:rowOff>123825</xdr:rowOff>
    </xdr:to>
    <xdr:sp macro="" textlink="">
      <xdr:nvSpPr>
        <xdr:cNvPr id="2228" name="AutoShape 180" descr="Exempt from the 50 Contract Limit"/>
        <xdr:cNvSpPr>
          <a:spLocks noChangeAspect="1" noChangeArrowheads="1"/>
        </xdr:cNvSpPr>
      </xdr:nvSpPr>
      <xdr:spPr bwMode="auto">
        <a:xfrm>
          <a:off x="19240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1087</xdr:row>
      <xdr:rowOff>0</xdr:rowOff>
    </xdr:from>
    <xdr:to>
      <xdr:col>2</xdr:col>
      <xdr:colOff>123825</xdr:colOff>
      <xdr:row>1087</xdr:row>
      <xdr:rowOff>123825</xdr:rowOff>
    </xdr:to>
    <xdr:sp macro="" textlink="">
      <xdr:nvSpPr>
        <xdr:cNvPr id="2229" name="AutoShape 181" descr="Performance Bonuses"/>
        <xdr:cNvSpPr>
          <a:spLocks noChangeAspect="1" noChangeArrowheads="1"/>
        </xdr:cNvSpPr>
      </xdr:nvSpPr>
      <xdr:spPr bwMode="auto">
        <a:xfrm>
          <a:off x="15240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1087</xdr:row>
      <xdr:rowOff>0</xdr:rowOff>
    </xdr:from>
    <xdr:to>
      <xdr:col>2</xdr:col>
      <xdr:colOff>257175</xdr:colOff>
      <xdr:row>1087</xdr:row>
      <xdr:rowOff>123825</xdr:rowOff>
    </xdr:to>
    <xdr:sp macro="" textlink="">
      <xdr:nvSpPr>
        <xdr:cNvPr id="2230" name="AutoShape 182" descr="Retained Salary Transaction"/>
        <xdr:cNvSpPr>
          <a:spLocks noChangeAspect="1" noChangeArrowheads="1"/>
        </xdr:cNvSpPr>
      </xdr:nvSpPr>
      <xdr:spPr bwMode="auto">
        <a:xfrm>
          <a:off x="165735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1087</xdr:row>
      <xdr:rowOff>0</xdr:rowOff>
    </xdr:from>
    <xdr:to>
      <xdr:col>2</xdr:col>
      <xdr:colOff>390525</xdr:colOff>
      <xdr:row>1087</xdr:row>
      <xdr:rowOff>123825</xdr:rowOff>
    </xdr:to>
    <xdr:sp macro="" textlink="">
      <xdr:nvSpPr>
        <xdr:cNvPr id="2231" name="AutoShape 183" descr="Waivers Exempt">
          <a:hlinkClick xmlns:r="http://schemas.openxmlformats.org/officeDocument/2006/relationships" r:id="rId61"/>
        </xdr:cNvPr>
        <xdr:cNvSpPr>
          <a:spLocks noChangeAspect="1" noChangeArrowheads="1"/>
        </xdr:cNvSpPr>
      </xdr:nvSpPr>
      <xdr:spPr bwMode="auto">
        <a:xfrm>
          <a:off x="17907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1322</xdr:row>
      <xdr:rowOff>0</xdr:rowOff>
    </xdr:from>
    <xdr:to>
      <xdr:col>2</xdr:col>
      <xdr:colOff>123825</xdr:colOff>
      <xdr:row>1322</xdr:row>
      <xdr:rowOff>123825</xdr:rowOff>
    </xdr:to>
    <xdr:sp macro="" textlink="">
      <xdr:nvSpPr>
        <xdr:cNvPr id="2232" name="AutoShape 184" descr="Performance Bonuses"/>
        <xdr:cNvSpPr>
          <a:spLocks noChangeAspect="1" noChangeArrowheads="1"/>
        </xdr:cNvSpPr>
      </xdr:nvSpPr>
      <xdr:spPr bwMode="auto">
        <a:xfrm>
          <a:off x="15240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1322</xdr:row>
      <xdr:rowOff>0</xdr:rowOff>
    </xdr:from>
    <xdr:to>
      <xdr:col>2</xdr:col>
      <xdr:colOff>257175</xdr:colOff>
      <xdr:row>1322</xdr:row>
      <xdr:rowOff>123825</xdr:rowOff>
    </xdr:to>
    <xdr:sp macro="" textlink="">
      <xdr:nvSpPr>
        <xdr:cNvPr id="2233" name="AutoShape 185" descr="Retained Salary Transaction"/>
        <xdr:cNvSpPr>
          <a:spLocks noChangeAspect="1" noChangeArrowheads="1"/>
        </xdr:cNvSpPr>
      </xdr:nvSpPr>
      <xdr:spPr bwMode="auto">
        <a:xfrm>
          <a:off x="165735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1322</xdr:row>
      <xdr:rowOff>0</xdr:rowOff>
    </xdr:from>
    <xdr:to>
      <xdr:col>2</xdr:col>
      <xdr:colOff>390525</xdr:colOff>
      <xdr:row>1322</xdr:row>
      <xdr:rowOff>123825</xdr:rowOff>
    </xdr:to>
    <xdr:sp macro="" textlink="">
      <xdr:nvSpPr>
        <xdr:cNvPr id="2234" name="AutoShape 186" descr="Waivers Exempt">
          <a:hlinkClick xmlns:r="http://schemas.openxmlformats.org/officeDocument/2006/relationships" r:id="rId62"/>
        </xdr:cNvPr>
        <xdr:cNvSpPr>
          <a:spLocks noChangeAspect="1" noChangeArrowheads="1"/>
        </xdr:cNvSpPr>
      </xdr:nvSpPr>
      <xdr:spPr bwMode="auto">
        <a:xfrm>
          <a:off x="17907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1062</xdr:row>
      <xdr:rowOff>0</xdr:rowOff>
    </xdr:from>
    <xdr:to>
      <xdr:col>2</xdr:col>
      <xdr:colOff>123825</xdr:colOff>
      <xdr:row>1062</xdr:row>
      <xdr:rowOff>123825</xdr:rowOff>
    </xdr:to>
    <xdr:sp macro="" textlink="">
      <xdr:nvSpPr>
        <xdr:cNvPr id="2235" name="AutoShape 187" descr="Performance Bonuses"/>
        <xdr:cNvSpPr>
          <a:spLocks noChangeAspect="1" noChangeArrowheads="1"/>
        </xdr:cNvSpPr>
      </xdr:nvSpPr>
      <xdr:spPr bwMode="auto">
        <a:xfrm>
          <a:off x="152400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1062</xdr:row>
      <xdr:rowOff>0</xdr:rowOff>
    </xdr:from>
    <xdr:to>
      <xdr:col>2</xdr:col>
      <xdr:colOff>257175</xdr:colOff>
      <xdr:row>1062</xdr:row>
      <xdr:rowOff>123825</xdr:rowOff>
    </xdr:to>
    <xdr:sp macro="" textlink="">
      <xdr:nvSpPr>
        <xdr:cNvPr id="2236" name="AutoShape 188" descr="Waivers Exempt">
          <a:hlinkClick xmlns:r="http://schemas.openxmlformats.org/officeDocument/2006/relationships" r:id="rId63"/>
        </xdr:cNvPr>
        <xdr:cNvSpPr>
          <a:spLocks noChangeAspect="1" noChangeArrowheads="1"/>
        </xdr:cNvSpPr>
      </xdr:nvSpPr>
      <xdr:spPr bwMode="auto">
        <a:xfrm>
          <a:off x="165735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864</xdr:row>
      <xdr:rowOff>0</xdr:rowOff>
    </xdr:from>
    <xdr:to>
      <xdr:col>2</xdr:col>
      <xdr:colOff>123825</xdr:colOff>
      <xdr:row>864</xdr:row>
      <xdr:rowOff>123825</xdr:rowOff>
    </xdr:to>
    <xdr:sp macro="" textlink="">
      <xdr:nvSpPr>
        <xdr:cNvPr id="2237" name="AutoShape 189" descr="Performance Bonuses"/>
        <xdr:cNvSpPr>
          <a:spLocks noChangeAspect="1" noChangeArrowheads="1"/>
        </xdr:cNvSpPr>
      </xdr:nvSpPr>
      <xdr:spPr bwMode="auto">
        <a:xfrm>
          <a:off x="152400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864</xdr:row>
      <xdr:rowOff>0</xdr:rowOff>
    </xdr:from>
    <xdr:to>
      <xdr:col>2</xdr:col>
      <xdr:colOff>257175</xdr:colOff>
      <xdr:row>864</xdr:row>
      <xdr:rowOff>123825</xdr:rowOff>
    </xdr:to>
    <xdr:sp macro="" textlink="">
      <xdr:nvSpPr>
        <xdr:cNvPr id="2238" name="AutoShape 190" descr="Waivers Exempt">
          <a:hlinkClick xmlns:r="http://schemas.openxmlformats.org/officeDocument/2006/relationships" r:id="rId64"/>
        </xdr:cNvPr>
        <xdr:cNvSpPr>
          <a:spLocks noChangeAspect="1" noChangeArrowheads="1"/>
        </xdr:cNvSpPr>
      </xdr:nvSpPr>
      <xdr:spPr bwMode="auto">
        <a:xfrm>
          <a:off x="165735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1064</xdr:row>
      <xdr:rowOff>0</xdr:rowOff>
    </xdr:from>
    <xdr:to>
      <xdr:col>2</xdr:col>
      <xdr:colOff>123825</xdr:colOff>
      <xdr:row>1064</xdr:row>
      <xdr:rowOff>123825</xdr:rowOff>
    </xdr:to>
    <xdr:sp macro="" textlink="">
      <xdr:nvSpPr>
        <xdr:cNvPr id="2239" name="AutoShape 191" descr="Waivers Exempt">
          <a:hlinkClick xmlns:r="http://schemas.openxmlformats.org/officeDocument/2006/relationships" r:id="rId65"/>
        </xdr:cNvPr>
        <xdr:cNvSpPr>
          <a:spLocks noChangeAspect="1" noChangeArrowheads="1"/>
        </xdr:cNvSpPr>
      </xdr:nvSpPr>
      <xdr:spPr bwMode="auto">
        <a:xfrm>
          <a:off x="1524000" y="227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861</xdr:row>
      <xdr:rowOff>0</xdr:rowOff>
    </xdr:from>
    <xdr:to>
      <xdr:col>2</xdr:col>
      <xdr:colOff>123825</xdr:colOff>
      <xdr:row>861</xdr:row>
      <xdr:rowOff>123825</xdr:rowOff>
    </xdr:to>
    <xdr:sp macro="" textlink="">
      <xdr:nvSpPr>
        <xdr:cNvPr id="2240" name="AutoShape 192" descr="Waivers Exempt">
          <a:hlinkClick xmlns:r="http://schemas.openxmlformats.org/officeDocument/2006/relationships" r:id="rId66"/>
        </xdr:cNvPr>
        <xdr:cNvSpPr>
          <a:spLocks noChangeAspect="1" noChangeArrowheads="1"/>
        </xdr:cNvSpPr>
      </xdr:nvSpPr>
      <xdr:spPr bwMode="auto">
        <a:xfrm>
          <a:off x="1524000" y="231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1002</xdr:row>
      <xdr:rowOff>0</xdr:rowOff>
    </xdr:from>
    <xdr:to>
      <xdr:col>7</xdr:col>
      <xdr:colOff>123825</xdr:colOff>
      <xdr:row>1002</xdr:row>
      <xdr:rowOff>104775</xdr:rowOff>
    </xdr:to>
    <xdr:sp macro="" textlink="">
      <xdr:nvSpPr>
        <xdr:cNvPr id="2241" name="AutoShape 193" descr="Arbitration Eligible">
          <a:hlinkClick xmlns:r="http://schemas.openxmlformats.org/officeDocument/2006/relationships" r:id="rId67"/>
        </xdr:cNvPr>
        <xdr:cNvSpPr>
          <a:spLocks noChangeAspect="1" noChangeArrowheads="1"/>
        </xdr:cNvSpPr>
      </xdr:nvSpPr>
      <xdr:spPr bwMode="auto">
        <a:xfrm>
          <a:off x="5334000" y="23364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123825</xdr:colOff>
      <xdr:row>474</xdr:row>
      <xdr:rowOff>123825</xdr:rowOff>
    </xdr:to>
    <xdr:sp macro="" textlink="">
      <xdr:nvSpPr>
        <xdr:cNvPr id="2242" name="AutoShape 194" descr="Waivers Exempt">
          <a:hlinkClick xmlns:r="http://schemas.openxmlformats.org/officeDocument/2006/relationships" r:id="rId68"/>
        </xdr:cNvPr>
        <xdr:cNvSpPr>
          <a:spLocks noChangeAspect="1" noChangeArrowheads="1"/>
        </xdr:cNvSpPr>
      </xdr:nvSpPr>
      <xdr:spPr bwMode="auto">
        <a:xfrm>
          <a:off x="1524000" y="235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967</xdr:row>
      <xdr:rowOff>0</xdr:rowOff>
    </xdr:from>
    <xdr:to>
      <xdr:col>2</xdr:col>
      <xdr:colOff>123825</xdr:colOff>
      <xdr:row>967</xdr:row>
      <xdr:rowOff>123825</xdr:rowOff>
    </xdr:to>
    <xdr:sp macro="" textlink="">
      <xdr:nvSpPr>
        <xdr:cNvPr id="2243" name="AutoShape 195" descr="Waivers Exempt">
          <a:hlinkClick xmlns:r="http://schemas.openxmlformats.org/officeDocument/2006/relationships" r:id="rId69"/>
        </xdr:cNvPr>
        <xdr:cNvSpPr>
          <a:spLocks noChangeAspect="1" noChangeArrowheads="1"/>
        </xdr:cNvSpPr>
      </xdr:nvSpPr>
      <xdr:spPr bwMode="auto">
        <a:xfrm>
          <a:off x="1524000" y="2449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642</xdr:row>
      <xdr:rowOff>0</xdr:rowOff>
    </xdr:from>
    <xdr:to>
      <xdr:col>2</xdr:col>
      <xdr:colOff>123825</xdr:colOff>
      <xdr:row>642</xdr:row>
      <xdr:rowOff>123825</xdr:rowOff>
    </xdr:to>
    <xdr:sp macro="" textlink="">
      <xdr:nvSpPr>
        <xdr:cNvPr id="2244" name="AutoShape 196" descr="Waivers Exempt">
          <a:hlinkClick xmlns:r="http://schemas.openxmlformats.org/officeDocument/2006/relationships" r:id="rId70"/>
        </xdr:cNvPr>
        <xdr:cNvSpPr>
          <a:spLocks noChangeAspect="1" noChangeArrowheads="1"/>
        </xdr:cNvSpPr>
      </xdr:nvSpPr>
      <xdr:spPr bwMode="auto">
        <a:xfrm>
          <a:off x="1524000" y="2468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xdr:row>
      <xdr:rowOff>0</xdr:rowOff>
    </xdr:from>
    <xdr:to>
      <xdr:col>2</xdr:col>
      <xdr:colOff>123825</xdr:colOff>
      <xdr:row>13</xdr:row>
      <xdr:rowOff>123825</xdr:rowOff>
    </xdr:to>
    <xdr:sp macro="" textlink="">
      <xdr:nvSpPr>
        <xdr:cNvPr id="2245" name="AutoShape 197" descr="Retained Salary Transaction"/>
        <xdr:cNvSpPr>
          <a:spLocks noChangeAspect="1" noChangeArrowheads="1"/>
        </xdr:cNvSpPr>
      </xdr:nvSpPr>
      <xdr:spPr bwMode="auto">
        <a:xfrm>
          <a:off x="152400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xdr:row>
      <xdr:rowOff>0</xdr:rowOff>
    </xdr:from>
    <xdr:to>
      <xdr:col>2</xdr:col>
      <xdr:colOff>257175</xdr:colOff>
      <xdr:row>13</xdr:row>
      <xdr:rowOff>123825</xdr:rowOff>
    </xdr:to>
    <xdr:sp macro="" textlink="">
      <xdr:nvSpPr>
        <xdr:cNvPr id="2246" name="AutoShape 198" descr="Waivers Exempt">
          <a:hlinkClick xmlns:r="http://schemas.openxmlformats.org/officeDocument/2006/relationships" r:id="rId71"/>
        </xdr:cNvPr>
        <xdr:cNvSpPr>
          <a:spLocks noChangeAspect="1" noChangeArrowheads="1"/>
        </xdr:cNvSpPr>
      </xdr:nvSpPr>
      <xdr:spPr bwMode="auto">
        <a:xfrm>
          <a:off x="165735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401</xdr:row>
      <xdr:rowOff>0</xdr:rowOff>
    </xdr:from>
    <xdr:to>
      <xdr:col>2</xdr:col>
      <xdr:colOff>123825</xdr:colOff>
      <xdr:row>401</xdr:row>
      <xdr:rowOff>123825</xdr:rowOff>
    </xdr:to>
    <xdr:sp macro="" textlink="">
      <xdr:nvSpPr>
        <xdr:cNvPr id="2247" name="AutoShape 199" descr="Performance Bonuses"/>
        <xdr:cNvSpPr>
          <a:spLocks noChangeAspect="1" noChangeArrowheads="1"/>
        </xdr:cNvSpPr>
      </xdr:nvSpPr>
      <xdr:spPr bwMode="auto">
        <a:xfrm>
          <a:off x="15240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401</xdr:row>
      <xdr:rowOff>0</xdr:rowOff>
    </xdr:from>
    <xdr:to>
      <xdr:col>2</xdr:col>
      <xdr:colOff>257175</xdr:colOff>
      <xdr:row>401</xdr:row>
      <xdr:rowOff>123825</xdr:rowOff>
    </xdr:to>
    <xdr:sp macro="" textlink="">
      <xdr:nvSpPr>
        <xdr:cNvPr id="2248" name="AutoShape 200" descr="Retained Salary Transaction"/>
        <xdr:cNvSpPr>
          <a:spLocks noChangeAspect="1" noChangeArrowheads="1"/>
        </xdr:cNvSpPr>
      </xdr:nvSpPr>
      <xdr:spPr bwMode="auto">
        <a:xfrm>
          <a:off x="165735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401</xdr:row>
      <xdr:rowOff>0</xdr:rowOff>
    </xdr:from>
    <xdr:to>
      <xdr:col>2</xdr:col>
      <xdr:colOff>390525</xdr:colOff>
      <xdr:row>401</xdr:row>
      <xdr:rowOff>123825</xdr:rowOff>
    </xdr:to>
    <xdr:sp macro="" textlink="">
      <xdr:nvSpPr>
        <xdr:cNvPr id="2249" name="AutoShape 201" descr="Waivers Exempt">
          <a:hlinkClick xmlns:r="http://schemas.openxmlformats.org/officeDocument/2006/relationships" r:id="rId72"/>
        </xdr:cNvPr>
        <xdr:cNvSpPr>
          <a:spLocks noChangeAspect="1" noChangeArrowheads="1"/>
        </xdr:cNvSpPr>
      </xdr:nvSpPr>
      <xdr:spPr bwMode="auto">
        <a:xfrm>
          <a:off x="17907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xdr:row>
      <xdr:rowOff>0</xdr:rowOff>
    </xdr:from>
    <xdr:to>
      <xdr:col>2</xdr:col>
      <xdr:colOff>123825</xdr:colOff>
      <xdr:row>103</xdr:row>
      <xdr:rowOff>123825</xdr:rowOff>
    </xdr:to>
    <xdr:sp macro="" textlink="">
      <xdr:nvSpPr>
        <xdr:cNvPr id="2250" name="AutoShape 202" descr="Performance Bonuses"/>
        <xdr:cNvSpPr>
          <a:spLocks noChangeAspect="1" noChangeArrowheads="1"/>
        </xdr:cNvSpPr>
      </xdr:nvSpPr>
      <xdr:spPr bwMode="auto">
        <a:xfrm>
          <a:off x="152400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xdr:row>
      <xdr:rowOff>0</xdr:rowOff>
    </xdr:from>
    <xdr:to>
      <xdr:col>2</xdr:col>
      <xdr:colOff>257175</xdr:colOff>
      <xdr:row>103</xdr:row>
      <xdr:rowOff>123825</xdr:rowOff>
    </xdr:to>
    <xdr:sp macro="" textlink="">
      <xdr:nvSpPr>
        <xdr:cNvPr id="2251" name="AutoShape 203" descr="Waivers Exempt">
          <a:hlinkClick xmlns:r="http://schemas.openxmlformats.org/officeDocument/2006/relationships" r:id="rId73"/>
        </xdr:cNvPr>
        <xdr:cNvSpPr>
          <a:spLocks noChangeAspect="1" noChangeArrowheads="1"/>
        </xdr:cNvSpPr>
      </xdr:nvSpPr>
      <xdr:spPr bwMode="auto">
        <a:xfrm>
          <a:off x="165735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123825</xdr:colOff>
      <xdr:row>471</xdr:row>
      <xdr:rowOff>123825</xdr:rowOff>
    </xdr:to>
    <xdr:sp macro="" textlink="">
      <xdr:nvSpPr>
        <xdr:cNvPr id="2252" name="AutoShape 204" descr="Performance Bonuses"/>
        <xdr:cNvSpPr>
          <a:spLocks noChangeAspect="1" noChangeArrowheads="1"/>
        </xdr:cNvSpPr>
      </xdr:nvSpPr>
      <xdr:spPr bwMode="auto">
        <a:xfrm>
          <a:off x="152400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471</xdr:row>
      <xdr:rowOff>0</xdr:rowOff>
    </xdr:from>
    <xdr:to>
      <xdr:col>2</xdr:col>
      <xdr:colOff>257175</xdr:colOff>
      <xdr:row>471</xdr:row>
      <xdr:rowOff>123825</xdr:rowOff>
    </xdr:to>
    <xdr:sp macro="" textlink="">
      <xdr:nvSpPr>
        <xdr:cNvPr id="2253" name="AutoShape 205" descr="Waivers Exempt">
          <a:hlinkClick xmlns:r="http://schemas.openxmlformats.org/officeDocument/2006/relationships" r:id="rId74"/>
        </xdr:cNvPr>
        <xdr:cNvSpPr>
          <a:spLocks noChangeAspect="1" noChangeArrowheads="1"/>
        </xdr:cNvSpPr>
      </xdr:nvSpPr>
      <xdr:spPr bwMode="auto">
        <a:xfrm>
          <a:off x="165735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593</xdr:row>
      <xdr:rowOff>0</xdr:rowOff>
    </xdr:from>
    <xdr:to>
      <xdr:col>2</xdr:col>
      <xdr:colOff>123825</xdr:colOff>
      <xdr:row>593</xdr:row>
      <xdr:rowOff>123825</xdr:rowOff>
    </xdr:to>
    <xdr:sp macro="" textlink="">
      <xdr:nvSpPr>
        <xdr:cNvPr id="2254" name="AutoShape 206" descr="Performance Bonuses"/>
        <xdr:cNvSpPr>
          <a:spLocks noChangeAspect="1" noChangeArrowheads="1"/>
        </xdr:cNvSpPr>
      </xdr:nvSpPr>
      <xdr:spPr bwMode="auto">
        <a:xfrm>
          <a:off x="152400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593</xdr:row>
      <xdr:rowOff>0</xdr:rowOff>
    </xdr:from>
    <xdr:to>
      <xdr:col>2</xdr:col>
      <xdr:colOff>257175</xdr:colOff>
      <xdr:row>593</xdr:row>
      <xdr:rowOff>123825</xdr:rowOff>
    </xdr:to>
    <xdr:sp macro="" textlink="">
      <xdr:nvSpPr>
        <xdr:cNvPr id="2255" name="AutoShape 207" descr="Waivers Exempt">
          <a:hlinkClick xmlns:r="http://schemas.openxmlformats.org/officeDocument/2006/relationships" r:id="rId75"/>
        </xdr:cNvPr>
        <xdr:cNvSpPr>
          <a:spLocks noChangeAspect="1" noChangeArrowheads="1"/>
        </xdr:cNvSpPr>
      </xdr:nvSpPr>
      <xdr:spPr bwMode="auto">
        <a:xfrm>
          <a:off x="165735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1445</xdr:row>
      <xdr:rowOff>0</xdr:rowOff>
    </xdr:from>
    <xdr:to>
      <xdr:col>2</xdr:col>
      <xdr:colOff>123825</xdr:colOff>
      <xdr:row>1445</xdr:row>
      <xdr:rowOff>123825</xdr:rowOff>
    </xdr:to>
    <xdr:sp macro="" textlink="">
      <xdr:nvSpPr>
        <xdr:cNvPr id="2256" name="AutoShape 208" descr="Waivers Exempt">
          <a:hlinkClick xmlns:r="http://schemas.openxmlformats.org/officeDocument/2006/relationships" r:id="rId76"/>
        </xdr:cNvPr>
        <xdr:cNvSpPr>
          <a:spLocks noChangeAspect="1" noChangeArrowheads="1"/>
        </xdr:cNvSpPr>
      </xdr:nvSpPr>
      <xdr:spPr bwMode="auto">
        <a:xfrm>
          <a:off x="1524000" y="258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1445</xdr:row>
      <xdr:rowOff>0</xdr:rowOff>
    </xdr:from>
    <xdr:to>
      <xdr:col>7</xdr:col>
      <xdr:colOff>123825</xdr:colOff>
      <xdr:row>1445</xdr:row>
      <xdr:rowOff>104775</xdr:rowOff>
    </xdr:to>
    <xdr:sp macro="" textlink="">
      <xdr:nvSpPr>
        <xdr:cNvPr id="2257" name="AutoShape 209" descr="Arbitration Eligible">
          <a:hlinkClick xmlns:r="http://schemas.openxmlformats.org/officeDocument/2006/relationships" r:id="rId77"/>
        </xdr:cNvPr>
        <xdr:cNvSpPr>
          <a:spLocks noChangeAspect="1" noChangeArrowheads="1"/>
        </xdr:cNvSpPr>
      </xdr:nvSpPr>
      <xdr:spPr bwMode="auto">
        <a:xfrm>
          <a:off x="5334000" y="25831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808</xdr:row>
      <xdr:rowOff>0</xdr:rowOff>
    </xdr:from>
    <xdr:to>
      <xdr:col>7</xdr:col>
      <xdr:colOff>123825</xdr:colOff>
      <xdr:row>808</xdr:row>
      <xdr:rowOff>104775</xdr:rowOff>
    </xdr:to>
    <xdr:sp macro="" textlink="">
      <xdr:nvSpPr>
        <xdr:cNvPr id="2258" name="AutoShape 210" descr="Arbitration Eligible">
          <a:hlinkClick xmlns:r="http://schemas.openxmlformats.org/officeDocument/2006/relationships" r:id="rId78"/>
        </xdr:cNvPr>
        <xdr:cNvSpPr>
          <a:spLocks noChangeAspect="1" noChangeArrowheads="1"/>
        </xdr:cNvSpPr>
      </xdr:nvSpPr>
      <xdr:spPr bwMode="auto">
        <a:xfrm>
          <a:off x="5334000" y="260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1174</xdr:row>
      <xdr:rowOff>0</xdr:rowOff>
    </xdr:from>
    <xdr:to>
      <xdr:col>2</xdr:col>
      <xdr:colOff>123825</xdr:colOff>
      <xdr:row>1174</xdr:row>
      <xdr:rowOff>123825</xdr:rowOff>
    </xdr:to>
    <xdr:sp macro="" textlink="">
      <xdr:nvSpPr>
        <xdr:cNvPr id="2259" name="AutoShape 211" descr="Performance Bonuses"/>
        <xdr:cNvSpPr>
          <a:spLocks noChangeAspect="1" noChangeArrowheads="1"/>
        </xdr:cNvSpPr>
      </xdr:nvSpPr>
      <xdr:spPr bwMode="auto">
        <a:xfrm>
          <a:off x="152400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1174</xdr:row>
      <xdr:rowOff>0</xdr:rowOff>
    </xdr:from>
    <xdr:to>
      <xdr:col>2</xdr:col>
      <xdr:colOff>257175</xdr:colOff>
      <xdr:row>1174</xdr:row>
      <xdr:rowOff>123825</xdr:rowOff>
    </xdr:to>
    <xdr:sp macro="" textlink="">
      <xdr:nvSpPr>
        <xdr:cNvPr id="2260" name="AutoShape 212" descr="Waivers Exempt">
          <a:hlinkClick xmlns:r="http://schemas.openxmlformats.org/officeDocument/2006/relationships" r:id="rId79"/>
        </xdr:cNvPr>
        <xdr:cNvSpPr>
          <a:spLocks noChangeAspect="1" noChangeArrowheads="1"/>
        </xdr:cNvSpPr>
      </xdr:nvSpPr>
      <xdr:spPr bwMode="auto">
        <a:xfrm>
          <a:off x="165735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1386</xdr:row>
      <xdr:rowOff>0</xdr:rowOff>
    </xdr:from>
    <xdr:to>
      <xdr:col>2</xdr:col>
      <xdr:colOff>123825</xdr:colOff>
      <xdr:row>1386</xdr:row>
      <xdr:rowOff>123825</xdr:rowOff>
    </xdr:to>
    <xdr:sp macro="" textlink="">
      <xdr:nvSpPr>
        <xdr:cNvPr id="2261" name="AutoShape 213" descr="Waivers Exempt">
          <a:hlinkClick xmlns:r="http://schemas.openxmlformats.org/officeDocument/2006/relationships" r:id="rId80"/>
        </xdr:cNvPr>
        <xdr:cNvSpPr>
          <a:spLocks noChangeAspect="1" noChangeArrowheads="1"/>
        </xdr:cNvSpPr>
      </xdr:nvSpPr>
      <xdr:spPr bwMode="auto">
        <a:xfrm>
          <a:off x="1524000" y="2715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1121</xdr:row>
      <xdr:rowOff>0</xdr:rowOff>
    </xdr:from>
    <xdr:to>
      <xdr:col>7</xdr:col>
      <xdr:colOff>123825</xdr:colOff>
      <xdr:row>1121</xdr:row>
      <xdr:rowOff>104775</xdr:rowOff>
    </xdr:to>
    <xdr:sp macro="" textlink="">
      <xdr:nvSpPr>
        <xdr:cNvPr id="2262" name="AutoShape 214" descr="Arbitration Eligible">
          <a:hlinkClick xmlns:r="http://schemas.openxmlformats.org/officeDocument/2006/relationships" r:id="rId81"/>
        </xdr:cNvPr>
        <xdr:cNvSpPr>
          <a:spLocks noChangeAspect="1" noChangeArrowheads="1"/>
        </xdr:cNvSpPr>
      </xdr:nvSpPr>
      <xdr:spPr bwMode="auto">
        <a:xfrm>
          <a:off x="5334000" y="2225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1142</xdr:row>
      <xdr:rowOff>0</xdr:rowOff>
    </xdr:from>
    <xdr:to>
      <xdr:col>7</xdr:col>
      <xdr:colOff>123825</xdr:colOff>
      <xdr:row>1142</xdr:row>
      <xdr:rowOff>104775</xdr:rowOff>
    </xdr:to>
    <xdr:sp macro="" textlink="">
      <xdr:nvSpPr>
        <xdr:cNvPr id="2263" name="AutoShape 215" descr="Arbitration Eligible">
          <a:hlinkClick xmlns:r="http://schemas.openxmlformats.org/officeDocument/2006/relationships" r:id="rId82"/>
        </xdr:cNvPr>
        <xdr:cNvSpPr>
          <a:spLocks noChangeAspect="1" noChangeArrowheads="1"/>
        </xdr:cNvSpPr>
      </xdr:nvSpPr>
      <xdr:spPr bwMode="auto">
        <a:xfrm>
          <a:off x="5334000" y="230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2264" name="AutoShape 216" descr="Performance Bonuses"/>
        <xdr:cNvSpPr>
          <a:spLocks noChangeAspect="1" noChangeArrowheads="1"/>
        </xdr:cNvSpPr>
      </xdr:nvSpPr>
      <xdr:spPr bwMode="auto">
        <a:xfrm>
          <a:off x="152400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945</xdr:row>
      <xdr:rowOff>0</xdr:rowOff>
    </xdr:from>
    <xdr:to>
      <xdr:col>2</xdr:col>
      <xdr:colOff>257175</xdr:colOff>
      <xdr:row>945</xdr:row>
      <xdr:rowOff>123825</xdr:rowOff>
    </xdr:to>
    <xdr:sp macro="" textlink="">
      <xdr:nvSpPr>
        <xdr:cNvPr id="2265" name="AutoShape 217" descr="Waivers Exempt">
          <a:hlinkClick xmlns:r="http://schemas.openxmlformats.org/officeDocument/2006/relationships" r:id="rId83"/>
        </xdr:cNvPr>
        <xdr:cNvSpPr>
          <a:spLocks noChangeAspect="1" noChangeArrowheads="1"/>
        </xdr:cNvSpPr>
      </xdr:nvSpPr>
      <xdr:spPr bwMode="auto">
        <a:xfrm>
          <a:off x="165735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1132</xdr:row>
      <xdr:rowOff>0</xdr:rowOff>
    </xdr:from>
    <xdr:to>
      <xdr:col>7</xdr:col>
      <xdr:colOff>104775</xdr:colOff>
      <xdr:row>1132</xdr:row>
      <xdr:rowOff>104775</xdr:rowOff>
    </xdr:to>
    <xdr:sp macro="" textlink="">
      <xdr:nvSpPr>
        <xdr:cNvPr id="2266" name="AutoShape 218" descr="https://capfriendly-wlb8ng5.stackpathdns.com/assets/images/icons/general/q2.svg"/>
        <xdr:cNvSpPr>
          <a:spLocks noChangeAspect="1" noChangeArrowheads="1"/>
        </xdr:cNvSpPr>
      </xdr:nvSpPr>
      <xdr:spPr bwMode="auto">
        <a:xfrm>
          <a:off x="5334000" y="23964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948</xdr:row>
      <xdr:rowOff>0</xdr:rowOff>
    </xdr:from>
    <xdr:to>
      <xdr:col>7</xdr:col>
      <xdr:colOff>123825</xdr:colOff>
      <xdr:row>948</xdr:row>
      <xdr:rowOff>104775</xdr:rowOff>
    </xdr:to>
    <xdr:sp macro="" textlink="">
      <xdr:nvSpPr>
        <xdr:cNvPr id="2267" name="AutoShape 219" descr="Arbitration Eligible">
          <a:hlinkClick xmlns:r="http://schemas.openxmlformats.org/officeDocument/2006/relationships" r:id="rId84"/>
        </xdr:cNvPr>
        <xdr:cNvSpPr>
          <a:spLocks noChangeAspect="1" noChangeArrowheads="1"/>
        </xdr:cNvSpPr>
      </xdr:nvSpPr>
      <xdr:spPr bwMode="auto">
        <a:xfrm>
          <a:off x="5334000" y="2566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273</xdr:row>
      <xdr:rowOff>0</xdr:rowOff>
    </xdr:from>
    <xdr:to>
      <xdr:col>2</xdr:col>
      <xdr:colOff>123825</xdr:colOff>
      <xdr:row>273</xdr:row>
      <xdr:rowOff>123825</xdr:rowOff>
    </xdr:to>
    <xdr:sp macro="" textlink="">
      <xdr:nvSpPr>
        <xdr:cNvPr id="2268" name="AutoShape 220" descr="Performance Bonuses"/>
        <xdr:cNvSpPr>
          <a:spLocks noChangeAspect="1" noChangeArrowheads="1"/>
        </xdr:cNvSpPr>
      </xdr:nvSpPr>
      <xdr:spPr bwMode="auto">
        <a:xfrm>
          <a:off x="152400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273</xdr:row>
      <xdr:rowOff>0</xdr:rowOff>
    </xdr:from>
    <xdr:to>
      <xdr:col>2</xdr:col>
      <xdr:colOff>257175</xdr:colOff>
      <xdr:row>273</xdr:row>
      <xdr:rowOff>123825</xdr:rowOff>
    </xdr:to>
    <xdr:sp macro="" textlink="">
      <xdr:nvSpPr>
        <xdr:cNvPr id="2269" name="AutoShape 221" descr="Waivers Exempt">
          <a:hlinkClick xmlns:r="http://schemas.openxmlformats.org/officeDocument/2006/relationships" r:id="rId85"/>
        </xdr:cNvPr>
        <xdr:cNvSpPr>
          <a:spLocks noChangeAspect="1" noChangeArrowheads="1"/>
        </xdr:cNvSpPr>
      </xdr:nvSpPr>
      <xdr:spPr bwMode="auto">
        <a:xfrm>
          <a:off x="165735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1377</xdr:row>
      <xdr:rowOff>0</xdr:rowOff>
    </xdr:from>
    <xdr:to>
      <xdr:col>7</xdr:col>
      <xdr:colOff>123825</xdr:colOff>
      <xdr:row>1377</xdr:row>
      <xdr:rowOff>104775</xdr:rowOff>
    </xdr:to>
    <xdr:sp macro="" textlink="">
      <xdr:nvSpPr>
        <xdr:cNvPr id="2270" name="AutoShape 222" descr="Arbitration Eligible">
          <a:hlinkClick xmlns:r="http://schemas.openxmlformats.org/officeDocument/2006/relationships" r:id="rId86"/>
        </xdr:cNvPr>
        <xdr:cNvSpPr>
          <a:spLocks noChangeAspect="1" noChangeArrowheads="1"/>
        </xdr:cNvSpPr>
      </xdr:nvSpPr>
      <xdr:spPr bwMode="auto">
        <a:xfrm>
          <a:off x="5334000" y="27565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1" name="AutoShape 223" descr="https://capfriendly-wlb8ng5.stackpathdns.com/assets/images/icons/general/q.svg"/>
        <xdr:cNvSpPr>
          <a:spLocks noChangeAspect="1" noChangeArrowheads="1"/>
        </xdr:cNvSpPr>
      </xdr:nvSpPr>
      <xdr:spPr bwMode="auto">
        <a:xfrm>
          <a:off x="1524000" y="292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2" name="AutoShape 224" descr="https://capfriendly-wlb8ng5.stackpathdns.com/assets/images/icons/general/q.svg"/>
        <xdr:cNvSpPr>
          <a:spLocks noChangeAspect="1" noChangeArrowheads="1"/>
        </xdr:cNvSpPr>
      </xdr:nvSpPr>
      <xdr:spPr bwMode="auto">
        <a:xfrm>
          <a:off x="1524000" y="294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3" name="AutoShape 225" descr="https://capfriendly-wlb8ng5.stackpathdns.com/assets/images/icons/general/q.svg"/>
        <xdr:cNvSpPr>
          <a:spLocks noChangeAspect="1" noChangeArrowheads="1"/>
        </xdr:cNvSpPr>
      </xdr:nvSpPr>
      <xdr:spPr bwMode="auto">
        <a:xfrm>
          <a:off x="1524000" y="296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4" name="AutoShape 226" descr="https://capfriendly-wlb8ng5.stackpathdns.com/assets/images/icons/general/q.svg"/>
        <xdr:cNvSpPr>
          <a:spLocks noChangeAspect="1" noChangeArrowheads="1"/>
        </xdr:cNvSpPr>
      </xdr:nvSpPr>
      <xdr:spPr bwMode="auto">
        <a:xfrm>
          <a:off x="1524000" y="298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5" name="AutoShape 227" descr="https://capfriendly-wlb8ng5.stackpathdns.com/assets/images/icons/general/q.svg"/>
        <xdr:cNvSpPr>
          <a:spLocks noChangeAspect="1" noChangeArrowheads="1"/>
        </xdr:cNvSpPr>
      </xdr:nvSpPr>
      <xdr:spPr bwMode="auto">
        <a:xfrm>
          <a:off x="1524000" y="300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6" name="AutoShape 228" descr="https://capfriendly-wlb8ng5.stackpathdns.com/assets/images/icons/general/q.svg"/>
        <xdr:cNvSpPr>
          <a:spLocks noChangeAspect="1" noChangeArrowheads="1"/>
        </xdr:cNvSpPr>
      </xdr:nvSpPr>
      <xdr:spPr bwMode="auto">
        <a:xfrm>
          <a:off x="1524000" y="302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7" name="AutoShape 229" descr="https://capfriendly-wlb8ng5.stackpathdns.com/assets/images/icons/general/q.svg"/>
        <xdr:cNvSpPr>
          <a:spLocks noChangeAspect="1" noChangeArrowheads="1"/>
        </xdr:cNvSpPr>
      </xdr:nvSpPr>
      <xdr:spPr bwMode="auto">
        <a:xfrm>
          <a:off x="1524000" y="3044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8" name="AutoShape 230" descr="https://capfriendly-wlb8ng5.stackpathdns.com/assets/images/icons/general/q.svg"/>
        <xdr:cNvSpPr>
          <a:spLocks noChangeAspect="1" noChangeArrowheads="1"/>
        </xdr:cNvSpPr>
      </xdr:nvSpPr>
      <xdr:spPr bwMode="auto">
        <a:xfrm>
          <a:off x="1524000" y="3063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9" name="AutoShape 231" descr="https://capfriendly-wlb8ng5.stackpathdns.com/assets/images/icons/general/q.svg"/>
        <xdr:cNvSpPr>
          <a:spLocks noChangeAspect="1" noChangeArrowheads="1"/>
        </xdr:cNvSpPr>
      </xdr:nvSpPr>
      <xdr:spPr bwMode="auto">
        <a:xfrm>
          <a:off x="1524000" y="3082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0" name="AutoShape 232" descr="https://capfriendly-wlb8ng5.stackpathdns.com/assets/images/icons/general/q.svg"/>
        <xdr:cNvSpPr>
          <a:spLocks noChangeAspect="1" noChangeArrowheads="1"/>
        </xdr:cNvSpPr>
      </xdr:nvSpPr>
      <xdr:spPr bwMode="auto">
        <a:xfrm>
          <a:off x="1524000" y="3101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1" name="AutoShape 233" descr="https://capfriendly-wlb8ng5.stackpathdns.com/assets/images/icons/general/q.svg"/>
        <xdr:cNvSpPr>
          <a:spLocks noChangeAspect="1" noChangeArrowheads="1"/>
        </xdr:cNvSpPr>
      </xdr:nvSpPr>
      <xdr:spPr bwMode="auto">
        <a:xfrm>
          <a:off x="1524000" y="3120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2" name="AutoShape 234" descr="Waivers Exempt">
          <a:hlinkClick xmlns:r="http://schemas.openxmlformats.org/officeDocument/2006/relationships" r:id="rId87"/>
        </xdr:cNvPr>
        <xdr:cNvSpPr>
          <a:spLocks noChangeAspect="1" noChangeArrowheads="1"/>
        </xdr:cNvSpPr>
      </xdr:nvSpPr>
      <xdr:spPr bwMode="auto">
        <a:xfrm>
          <a:off x="1524000" y="317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257</xdr:row>
      <xdr:rowOff>0</xdr:rowOff>
    </xdr:from>
    <xdr:to>
      <xdr:col>2</xdr:col>
      <xdr:colOff>123825</xdr:colOff>
      <xdr:row>257</xdr:row>
      <xdr:rowOff>123825</xdr:rowOff>
    </xdr:to>
    <xdr:sp macro="" textlink="">
      <xdr:nvSpPr>
        <xdr:cNvPr id="2283" name="AutoShape 235" descr="Performance Bonuses"/>
        <xdr:cNvSpPr>
          <a:spLocks noChangeAspect="1" noChangeArrowheads="1"/>
        </xdr:cNvSpPr>
      </xdr:nvSpPr>
      <xdr:spPr bwMode="auto">
        <a:xfrm>
          <a:off x="15240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257</xdr:row>
      <xdr:rowOff>0</xdr:rowOff>
    </xdr:from>
    <xdr:to>
      <xdr:col>2</xdr:col>
      <xdr:colOff>257175</xdr:colOff>
      <xdr:row>257</xdr:row>
      <xdr:rowOff>123825</xdr:rowOff>
    </xdr:to>
    <xdr:sp macro="" textlink="">
      <xdr:nvSpPr>
        <xdr:cNvPr id="2284" name="AutoShape 236" descr="Retained Salary Transaction"/>
        <xdr:cNvSpPr>
          <a:spLocks noChangeAspect="1" noChangeArrowheads="1"/>
        </xdr:cNvSpPr>
      </xdr:nvSpPr>
      <xdr:spPr bwMode="auto">
        <a:xfrm>
          <a:off x="165735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257</xdr:row>
      <xdr:rowOff>0</xdr:rowOff>
    </xdr:from>
    <xdr:to>
      <xdr:col>2</xdr:col>
      <xdr:colOff>390525</xdr:colOff>
      <xdr:row>257</xdr:row>
      <xdr:rowOff>123825</xdr:rowOff>
    </xdr:to>
    <xdr:sp macro="" textlink="">
      <xdr:nvSpPr>
        <xdr:cNvPr id="2285" name="AutoShape 237" descr="Waivers Exempt">
          <a:hlinkClick xmlns:r="http://schemas.openxmlformats.org/officeDocument/2006/relationships" r:id="rId88"/>
        </xdr:cNvPr>
        <xdr:cNvSpPr>
          <a:spLocks noChangeAspect="1" noChangeArrowheads="1"/>
        </xdr:cNvSpPr>
      </xdr:nvSpPr>
      <xdr:spPr bwMode="auto">
        <a:xfrm>
          <a:off x="17907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1156</xdr:row>
      <xdr:rowOff>0</xdr:rowOff>
    </xdr:from>
    <xdr:to>
      <xdr:col>2</xdr:col>
      <xdr:colOff>123825</xdr:colOff>
      <xdr:row>1156</xdr:row>
      <xdr:rowOff>123825</xdr:rowOff>
    </xdr:to>
    <xdr:sp macro="" textlink="">
      <xdr:nvSpPr>
        <xdr:cNvPr id="2286" name="AutoShape 238" descr="Waivers Exempt">
          <a:hlinkClick xmlns:r="http://schemas.openxmlformats.org/officeDocument/2006/relationships" r:id="rId89"/>
        </xdr:cNvPr>
        <xdr:cNvSpPr>
          <a:spLocks noChangeAspect="1" noChangeArrowheads="1"/>
        </xdr:cNvSpPr>
      </xdr:nvSpPr>
      <xdr:spPr bwMode="auto">
        <a:xfrm>
          <a:off x="1524000" y="321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1347</xdr:row>
      <xdr:rowOff>0</xdr:rowOff>
    </xdr:from>
    <xdr:to>
      <xdr:col>2</xdr:col>
      <xdr:colOff>123825</xdr:colOff>
      <xdr:row>1347</xdr:row>
      <xdr:rowOff>123825</xdr:rowOff>
    </xdr:to>
    <xdr:sp macro="" textlink="">
      <xdr:nvSpPr>
        <xdr:cNvPr id="2287" name="AutoShape 239" descr="Performance Bonuses"/>
        <xdr:cNvSpPr>
          <a:spLocks noChangeAspect="1" noChangeArrowheads="1"/>
        </xdr:cNvSpPr>
      </xdr:nvSpPr>
      <xdr:spPr bwMode="auto">
        <a:xfrm>
          <a:off x="152400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1347</xdr:row>
      <xdr:rowOff>0</xdr:rowOff>
    </xdr:from>
    <xdr:to>
      <xdr:col>2</xdr:col>
      <xdr:colOff>257175</xdr:colOff>
      <xdr:row>1347</xdr:row>
      <xdr:rowOff>123825</xdr:rowOff>
    </xdr:to>
    <xdr:sp macro="" textlink="">
      <xdr:nvSpPr>
        <xdr:cNvPr id="2288" name="AutoShape 240" descr="Waivers Exempt">
          <a:hlinkClick xmlns:r="http://schemas.openxmlformats.org/officeDocument/2006/relationships" r:id="rId90"/>
        </xdr:cNvPr>
        <xdr:cNvSpPr>
          <a:spLocks noChangeAspect="1" noChangeArrowheads="1"/>
        </xdr:cNvSpPr>
      </xdr:nvSpPr>
      <xdr:spPr bwMode="auto">
        <a:xfrm>
          <a:off x="165735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xdr:row>
      <xdr:rowOff>0</xdr:rowOff>
    </xdr:from>
    <xdr:to>
      <xdr:col>2</xdr:col>
      <xdr:colOff>123825</xdr:colOff>
      <xdr:row>41</xdr:row>
      <xdr:rowOff>123825</xdr:rowOff>
    </xdr:to>
    <xdr:sp macro="" textlink="">
      <xdr:nvSpPr>
        <xdr:cNvPr id="2289" name="AutoShape 241" descr="Performance Bonuses"/>
        <xdr:cNvSpPr>
          <a:spLocks noChangeAspect="1" noChangeArrowheads="1"/>
        </xdr:cNvSpPr>
      </xdr:nvSpPr>
      <xdr:spPr bwMode="auto">
        <a:xfrm>
          <a:off x="152400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xdr:row>
      <xdr:rowOff>0</xdr:rowOff>
    </xdr:from>
    <xdr:to>
      <xdr:col>2</xdr:col>
      <xdr:colOff>257175</xdr:colOff>
      <xdr:row>41</xdr:row>
      <xdr:rowOff>123825</xdr:rowOff>
    </xdr:to>
    <xdr:sp macro="" textlink="">
      <xdr:nvSpPr>
        <xdr:cNvPr id="2290" name="AutoShape 242" descr="Waivers Exempt">
          <a:hlinkClick xmlns:r="http://schemas.openxmlformats.org/officeDocument/2006/relationships" r:id="rId91"/>
        </xdr:cNvPr>
        <xdr:cNvSpPr>
          <a:spLocks noChangeAspect="1" noChangeArrowheads="1"/>
        </xdr:cNvSpPr>
      </xdr:nvSpPr>
      <xdr:spPr bwMode="auto">
        <a:xfrm>
          <a:off x="165735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1041</xdr:row>
      <xdr:rowOff>0</xdr:rowOff>
    </xdr:from>
    <xdr:to>
      <xdr:col>2</xdr:col>
      <xdr:colOff>123825</xdr:colOff>
      <xdr:row>1041</xdr:row>
      <xdr:rowOff>123825</xdr:rowOff>
    </xdr:to>
    <xdr:sp macro="" textlink="">
      <xdr:nvSpPr>
        <xdr:cNvPr id="2291" name="AutoShape 243" descr="Performance Bonuses"/>
        <xdr:cNvSpPr>
          <a:spLocks noChangeAspect="1" noChangeArrowheads="1"/>
        </xdr:cNvSpPr>
      </xdr:nvSpPr>
      <xdr:spPr bwMode="auto">
        <a:xfrm>
          <a:off x="15240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1041</xdr:row>
      <xdr:rowOff>0</xdr:rowOff>
    </xdr:from>
    <xdr:to>
      <xdr:col>2</xdr:col>
      <xdr:colOff>257175</xdr:colOff>
      <xdr:row>1041</xdr:row>
      <xdr:rowOff>123825</xdr:rowOff>
    </xdr:to>
    <xdr:sp macro="" textlink="">
      <xdr:nvSpPr>
        <xdr:cNvPr id="2292" name="AutoShape 244" descr="Retained Salary Transaction"/>
        <xdr:cNvSpPr>
          <a:spLocks noChangeAspect="1" noChangeArrowheads="1"/>
        </xdr:cNvSpPr>
      </xdr:nvSpPr>
      <xdr:spPr bwMode="auto">
        <a:xfrm>
          <a:off x="165735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1041</xdr:row>
      <xdr:rowOff>0</xdr:rowOff>
    </xdr:from>
    <xdr:to>
      <xdr:col>2</xdr:col>
      <xdr:colOff>390525</xdr:colOff>
      <xdr:row>1041</xdr:row>
      <xdr:rowOff>123825</xdr:rowOff>
    </xdr:to>
    <xdr:sp macro="" textlink="">
      <xdr:nvSpPr>
        <xdr:cNvPr id="2293" name="AutoShape 245" descr="Waivers Exempt">
          <a:hlinkClick xmlns:r="http://schemas.openxmlformats.org/officeDocument/2006/relationships" r:id="rId92"/>
        </xdr:cNvPr>
        <xdr:cNvSpPr>
          <a:spLocks noChangeAspect="1" noChangeArrowheads="1"/>
        </xdr:cNvSpPr>
      </xdr:nvSpPr>
      <xdr:spPr bwMode="auto">
        <a:xfrm>
          <a:off x="17907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1011</xdr:row>
      <xdr:rowOff>0</xdr:rowOff>
    </xdr:from>
    <xdr:to>
      <xdr:col>2</xdr:col>
      <xdr:colOff>123825</xdr:colOff>
      <xdr:row>1011</xdr:row>
      <xdr:rowOff>123825</xdr:rowOff>
    </xdr:to>
    <xdr:sp macro="" textlink="">
      <xdr:nvSpPr>
        <xdr:cNvPr id="2294" name="AutoShape 246" descr="Performance Bonuses"/>
        <xdr:cNvSpPr>
          <a:spLocks noChangeAspect="1" noChangeArrowheads="1"/>
        </xdr:cNvSpPr>
      </xdr:nvSpPr>
      <xdr:spPr bwMode="auto">
        <a:xfrm>
          <a:off x="152400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1011</xdr:row>
      <xdr:rowOff>0</xdr:rowOff>
    </xdr:from>
    <xdr:to>
      <xdr:col>2</xdr:col>
      <xdr:colOff>257175</xdr:colOff>
      <xdr:row>1011</xdr:row>
      <xdr:rowOff>123825</xdr:rowOff>
    </xdr:to>
    <xdr:sp macro="" textlink="">
      <xdr:nvSpPr>
        <xdr:cNvPr id="2295" name="AutoShape 247" descr="Waivers Exempt">
          <a:hlinkClick xmlns:r="http://schemas.openxmlformats.org/officeDocument/2006/relationships" r:id="rId93"/>
        </xdr:cNvPr>
        <xdr:cNvSpPr>
          <a:spLocks noChangeAspect="1" noChangeArrowheads="1"/>
        </xdr:cNvSpPr>
      </xdr:nvSpPr>
      <xdr:spPr bwMode="auto">
        <a:xfrm>
          <a:off x="165735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789</xdr:row>
      <xdr:rowOff>0</xdr:rowOff>
    </xdr:from>
    <xdr:to>
      <xdr:col>7</xdr:col>
      <xdr:colOff>123825</xdr:colOff>
      <xdr:row>789</xdr:row>
      <xdr:rowOff>104775</xdr:rowOff>
    </xdr:to>
    <xdr:sp macro="" textlink="">
      <xdr:nvSpPr>
        <xdr:cNvPr id="2296" name="AutoShape 248" descr="Arbitration Eligible">
          <a:hlinkClick xmlns:r="http://schemas.openxmlformats.org/officeDocument/2006/relationships" r:id="rId94"/>
        </xdr:cNvPr>
        <xdr:cNvSpPr>
          <a:spLocks noChangeAspect="1" noChangeArrowheads="1"/>
        </xdr:cNvSpPr>
      </xdr:nvSpPr>
      <xdr:spPr bwMode="auto">
        <a:xfrm>
          <a:off x="5334000" y="330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1251</xdr:row>
      <xdr:rowOff>0</xdr:rowOff>
    </xdr:from>
    <xdr:to>
      <xdr:col>8</xdr:col>
      <xdr:colOff>123825</xdr:colOff>
      <xdr:row>1251</xdr:row>
      <xdr:rowOff>104775</xdr:rowOff>
    </xdr:to>
    <xdr:sp macro="" textlink="">
      <xdr:nvSpPr>
        <xdr:cNvPr id="2297" name="AutoShape 249" descr="Arbitration Eligible">
          <a:hlinkClick xmlns:r="http://schemas.openxmlformats.org/officeDocument/2006/relationships" r:id="rId95"/>
        </xdr:cNvPr>
        <xdr:cNvSpPr>
          <a:spLocks noChangeAspect="1" noChangeArrowheads="1"/>
        </xdr:cNvSpPr>
      </xdr:nvSpPr>
      <xdr:spPr bwMode="auto">
        <a:xfrm>
          <a:off x="6096000" y="33470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369</xdr:row>
      <xdr:rowOff>0</xdr:rowOff>
    </xdr:from>
    <xdr:to>
      <xdr:col>7</xdr:col>
      <xdr:colOff>123825</xdr:colOff>
      <xdr:row>369</xdr:row>
      <xdr:rowOff>104775</xdr:rowOff>
    </xdr:to>
    <xdr:sp macro="" textlink="">
      <xdr:nvSpPr>
        <xdr:cNvPr id="2298" name="AutoShape 250" descr="Arbitration Eligible">
          <a:hlinkClick xmlns:r="http://schemas.openxmlformats.org/officeDocument/2006/relationships" r:id="rId96"/>
        </xdr:cNvPr>
        <xdr:cNvSpPr>
          <a:spLocks noChangeAspect="1" noChangeArrowheads="1"/>
        </xdr:cNvSpPr>
      </xdr:nvSpPr>
      <xdr:spPr bwMode="auto">
        <a:xfrm>
          <a:off x="5334000" y="33661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1063</xdr:row>
      <xdr:rowOff>0</xdr:rowOff>
    </xdr:from>
    <xdr:to>
      <xdr:col>2</xdr:col>
      <xdr:colOff>123825</xdr:colOff>
      <xdr:row>1063</xdr:row>
      <xdr:rowOff>123825</xdr:rowOff>
    </xdr:to>
    <xdr:sp macro="" textlink="">
      <xdr:nvSpPr>
        <xdr:cNvPr id="2299" name="AutoShape 251" descr="Performance Bonuses"/>
        <xdr:cNvSpPr>
          <a:spLocks noChangeAspect="1" noChangeArrowheads="1"/>
        </xdr:cNvSpPr>
      </xdr:nvSpPr>
      <xdr:spPr bwMode="auto">
        <a:xfrm>
          <a:off x="152400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1063</xdr:row>
      <xdr:rowOff>0</xdr:rowOff>
    </xdr:from>
    <xdr:to>
      <xdr:col>2</xdr:col>
      <xdr:colOff>257175</xdr:colOff>
      <xdr:row>1063</xdr:row>
      <xdr:rowOff>123825</xdr:rowOff>
    </xdr:to>
    <xdr:sp macro="" textlink="">
      <xdr:nvSpPr>
        <xdr:cNvPr id="2300" name="AutoShape 252" descr="Waivers Exempt">
          <a:hlinkClick xmlns:r="http://schemas.openxmlformats.org/officeDocument/2006/relationships" r:id="rId97"/>
        </xdr:cNvPr>
        <xdr:cNvSpPr>
          <a:spLocks noChangeAspect="1" noChangeArrowheads="1"/>
        </xdr:cNvSpPr>
      </xdr:nvSpPr>
      <xdr:spPr bwMode="auto">
        <a:xfrm>
          <a:off x="165735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655</xdr:row>
      <xdr:rowOff>0</xdr:rowOff>
    </xdr:from>
    <xdr:to>
      <xdr:col>2</xdr:col>
      <xdr:colOff>123825</xdr:colOff>
      <xdr:row>655</xdr:row>
      <xdr:rowOff>123825</xdr:rowOff>
    </xdr:to>
    <xdr:sp macro="" textlink="">
      <xdr:nvSpPr>
        <xdr:cNvPr id="2301" name="AutoShape 253" descr="Performance Bonuses"/>
        <xdr:cNvSpPr>
          <a:spLocks noChangeAspect="1" noChangeArrowheads="1"/>
        </xdr:cNvSpPr>
      </xdr:nvSpPr>
      <xdr:spPr bwMode="auto">
        <a:xfrm>
          <a:off x="152400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655</xdr:row>
      <xdr:rowOff>0</xdr:rowOff>
    </xdr:from>
    <xdr:to>
      <xdr:col>2</xdr:col>
      <xdr:colOff>257175</xdr:colOff>
      <xdr:row>655</xdr:row>
      <xdr:rowOff>123825</xdr:rowOff>
    </xdr:to>
    <xdr:sp macro="" textlink="">
      <xdr:nvSpPr>
        <xdr:cNvPr id="2302" name="AutoShape 254" descr="Waivers Exempt">
          <a:hlinkClick xmlns:r="http://schemas.openxmlformats.org/officeDocument/2006/relationships" r:id="rId98"/>
        </xdr:cNvPr>
        <xdr:cNvSpPr>
          <a:spLocks noChangeAspect="1" noChangeArrowheads="1"/>
        </xdr:cNvSpPr>
      </xdr:nvSpPr>
      <xdr:spPr bwMode="auto">
        <a:xfrm>
          <a:off x="165735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584</xdr:row>
      <xdr:rowOff>0</xdr:rowOff>
    </xdr:from>
    <xdr:to>
      <xdr:col>2</xdr:col>
      <xdr:colOff>123825</xdr:colOff>
      <xdr:row>584</xdr:row>
      <xdr:rowOff>123825</xdr:rowOff>
    </xdr:to>
    <xdr:sp macro="" textlink="">
      <xdr:nvSpPr>
        <xdr:cNvPr id="2303" name="AutoShape 255" descr="Waivers Exempt">
          <a:hlinkClick xmlns:r="http://schemas.openxmlformats.org/officeDocument/2006/relationships" r:id="rId99"/>
        </xdr:cNvPr>
        <xdr:cNvSpPr>
          <a:spLocks noChangeAspect="1" noChangeArrowheads="1"/>
        </xdr:cNvSpPr>
      </xdr:nvSpPr>
      <xdr:spPr bwMode="auto">
        <a:xfrm>
          <a:off x="1524000" y="349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170</xdr:row>
      <xdr:rowOff>0</xdr:rowOff>
    </xdr:from>
    <xdr:to>
      <xdr:col>2</xdr:col>
      <xdr:colOff>123825</xdr:colOff>
      <xdr:row>170</xdr:row>
      <xdr:rowOff>123825</xdr:rowOff>
    </xdr:to>
    <xdr:sp macro="" textlink="">
      <xdr:nvSpPr>
        <xdr:cNvPr id="2304" name="AutoShape 256" descr="Performance Bonuses"/>
        <xdr:cNvSpPr>
          <a:spLocks noChangeAspect="1" noChangeArrowheads="1"/>
        </xdr:cNvSpPr>
      </xdr:nvSpPr>
      <xdr:spPr bwMode="auto">
        <a:xfrm>
          <a:off x="152400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170</xdr:row>
      <xdr:rowOff>0</xdr:rowOff>
    </xdr:from>
    <xdr:to>
      <xdr:col>2</xdr:col>
      <xdr:colOff>257175</xdr:colOff>
      <xdr:row>170</xdr:row>
      <xdr:rowOff>123825</xdr:rowOff>
    </xdr:to>
    <xdr:sp macro="" textlink="">
      <xdr:nvSpPr>
        <xdr:cNvPr id="2305" name="AutoShape 257" descr="Waivers Exempt">
          <a:hlinkClick xmlns:r="http://schemas.openxmlformats.org/officeDocument/2006/relationships" r:id="rId100"/>
        </xdr:cNvPr>
        <xdr:cNvSpPr>
          <a:spLocks noChangeAspect="1" noChangeArrowheads="1"/>
        </xdr:cNvSpPr>
      </xdr:nvSpPr>
      <xdr:spPr bwMode="auto">
        <a:xfrm>
          <a:off x="165735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xdr:row>
      <xdr:rowOff>0</xdr:rowOff>
    </xdr:from>
    <xdr:to>
      <xdr:col>2</xdr:col>
      <xdr:colOff>123825</xdr:colOff>
      <xdr:row>133</xdr:row>
      <xdr:rowOff>123825</xdr:rowOff>
    </xdr:to>
    <xdr:sp macro="" textlink="">
      <xdr:nvSpPr>
        <xdr:cNvPr id="2306" name="AutoShape 258" descr="Waivers Exempt">
          <a:hlinkClick xmlns:r="http://schemas.openxmlformats.org/officeDocument/2006/relationships" r:id="rId101"/>
        </xdr:cNvPr>
        <xdr:cNvSpPr>
          <a:spLocks noChangeAspect="1" noChangeArrowheads="1"/>
        </xdr:cNvSpPr>
      </xdr:nvSpPr>
      <xdr:spPr bwMode="auto">
        <a:xfrm>
          <a:off x="1524000" y="3536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410</xdr:row>
      <xdr:rowOff>0</xdr:rowOff>
    </xdr:from>
    <xdr:to>
      <xdr:col>2</xdr:col>
      <xdr:colOff>123825</xdr:colOff>
      <xdr:row>410</xdr:row>
      <xdr:rowOff>123825</xdr:rowOff>
    </xdr:to>
    <xdr:sp macro="" textlink="">
      <xdr:nvSpPr>
        <xdr:cNvPr id="2307" name="AutoShape 259" descr="Performance Bonuses"/>
        <xdr:cNvSpPr>
          <a:spLocks noChangeAspect="1" noChangeArrowheads="1"/>
        </xdr:cNvSpPr>
      </xdr:nvSpPr>
      <xdr:spPr bwMode="auto">
        <a:xfrm>
          <a:off x="152400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410</xdr:row>
      <xdr:rowOff>0</xdr:rowOff>
    </xdr:from>
    <xdr:to>
      <xdr:col>2</xdr:col>
      <xdr:colOff>257175</xdr:colOff>
      <xdr:row>410</xdr:row>
      <xdr:rowOff>123825</xdr:rowOff>
    </xdr:to>
    <xdr:sp macro="" textlink="">
      <xdr:nvSpPr>
        <xdr:cNvPr id="2308" name="AutoShape 260" descr="Waivers Exempt">
          <a:hlinkClick xmlns:r="http://schemas.openxmlformats.org/officeDocument/2006/relationships" r:id="rId102"/>
        </xdr:cNvPr>
        <xdr:cNvSpPr>
          <a:spLocks noChangeAspect="1" noChangeArrowheads="1"/>
        </xdr:cNvSpPr>
      </xdr:nvSpPr>
      <xdr:spPr bwMode="auto">
        <a:xfrm>
          <a:off x="165735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1295</xdr:row>
      <xdr:rowOff>0</xdr:rowOff>
    </xdr:from>
    <xdr:to>
      <xdr:col>2</xdr:col>
      <xdr:colOff>123825</xdr:colOff>
      <xdr:row>1295</xdr:row>
      <xdr:rowOff>123825</xdr:rowOff>
    </xdr:to>
    <xdr:sp macro="" textlink="">
      <xdr:nvSpPr>
        <xdr:cNvPr id="2309" name="AutoShape 261" descr="Waivers Exempt">
          <a:hlinkClick xmlns:r="http://schemas.openxmlformats.org/officeDocument/2006/relationships" r:id="rId103"/>
        </xdr:cNvPr>
        <xdr:cNvSpPr>
          <a:spLocks noChangeAspect="1" noChangeArrowheads="1"/>
        </xdr:cNvSpPr>
      </xdr:nvSpPr>
      <xdr:spPr bwMode="auto">
        <a:xfrm>
          <a:off x="1524000" y="3574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846</xdr:row>
      <xdr:rowOff>0</xdr:rowOff>
    </xdr:from>
    <xdr:to>
      <xdr:col>2</xdr:col>
      <xdr:colOff>123825</xdr:colOff>
      <xdr:row>846</xdr:row>
      <xdr:rowOff>123825</xdr:rowOff>
    </xdr:to>
    <xdr:sp macro="" textlink="">
      <xdr:nvSpPr>
        <xdr:cNvPr id="2310" name="AutoShape 262" descr="Performance Bonuses"/>
        <xdr:cNvSpPr>
          <a:spLocks noChangeAspect="1" noChangeArrowheads="1"/>
        </xdr:cNvSpPr>
      </xdr:nvSpPr>
      <xdr:spPr bwMode="auto">
        <a:xfrm>
          <a:off x="152400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846</xdr:row>
      <xdr:rowOff>0</xdr:rowOff>
    </xdr:from>
    <xdr:to>
      <xdr:col>2</xdr:col>
      <xdr:colOff>257175</xdr:colOff>
      <xdr:row>846</xdr:row>
      <xdr:rowOff>123825</xdr:rowOff>
    </xdr:to>
    <xdr:sp macro="" textlink="">
      <xdr:nvSpPr>
        <xdr:cNvPr id="2311" name="AutoShape 263" descr="Waivers Exempt">
          <a:hlinkClick xmlns:r="http://schemas.openxmlformats.org/officeDocument/2006/relationships" r:id="rId104"/>
        </xdr:cNvPr>
        <xdr:cNvSpPr>
          <a:spLocks noChangeAspect="1" noChangeArrowheads="1"/>
        </xdr:cNvSpPr>
      </xdr:nvSpPr>
      <xdr:spPr bwMode="auto">
        <a:xfrm>
          <a:off x="165735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644</xdr:row>
      <xdr:rowOff>0</xdr:rowOff>
    </xdr:from>
    <xdr:to>
      <xdr:col>2</xdr:col>
      <xdr:colOff>123825</xdr:colOff>
      <xdr:row>644</xdr:row>
      <xdr:rowOff>123825</xdr:rowOff>
    </xdr:to>
    <xdr:sp macro="" textlink="">
      <xdr:nvSpPr>
        <xdr:cNvPr id="2312" name="AutoShape 264" descr="Performance Bonuses"/>
        <xdr:cNvSpPr>
          <a:spLocks noChangeAspect="1" noChangeArrowheads="1"/>
        </xdr:cNvSpPr>
      </xdr:nvSpPr>
      <xdr:spPr bwMode="auto">
        <a:xfrm>
          <a:off x="152400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644</xdr:row>
      <xdr:rowOff>0</xdr:rowOff>
    </xdr:from>
    <xdr:to>
      <xdr:col>2</xdr:col>
      <xdr:colOff>257175</xdr:colOff>
      <xdr:row>644</xdr:row>
      <xdr:rowOff>123825</xdr:rowOff>
    </xdr:to>
    <xdr:sp macro="" textlink="">
      <xdr:nvSpPr>
        <xdr:cNvPr id="2313" name="AutoShape 265" descr="Waivers Exempt">
          <a:hlinkClick xmlns:r="http://schemas.openxmlformats.org/officeDocument/2006/relationships" r:id="rId105"/>
        </xdr:cNvPr>
        <xdr:cNvSpPr>
          <a:spLocks noChangeAspect="1" noChangeArrowheads="1"/>
        </xdr:cNvSpPr>
      </xdr:nvSpPr>
      <xdr:spPr bwMode="auto">
        <a:xfrm>
          <a:off x="165735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900</xdr:row>
      <xdr:rowOff>0</xdr:rowOff>
    </xdr:from>
    <xdr:to>
      <xdr:col>7</xdr:col>
      <xdr:colOff>123825</xdr:colOff>
      <xdr:row>900</xdr:row>
      <xdr:rowOff>104775</xdr:rowOff>
    </xdr:to>
    <xdr:sp macro="" textlink="">
      <xdr:nvSpPr>
        <xdr:cNvPr id="2314" name="AutoShape 266" descr="Arbitration Eligible">
          <a:hlinkClick xmlns:r="http://schemas.openxmlformats.org/officeDocument/2006/relationships" r:id="rId106"/>
        </xdr:cNvPr>
        <xdr:cNvSpPr>
          <a:spLocks noChangeAspect="1" noChangeArrowheads="1"/>
        </xdr:cNvSpPr>
      </xdr:nvSpPr>
      <xdr:spPr bwMode="auto">
        <a:xfrm>
          <a:off x="5334000" y="317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42</xdr:row>
      <xdr:rowOff>0</xdr:rowOff>
    </xdr:from>
    <xdr:to>
      <xdr:col>8</xdr:col>
      <xdr:colOff>123825</xdr:colOff>
      <xdr:row>42</xdr:row>
      <xdr:rowOff>104775</xdr:rowOff>
    </xdr:to>
    <xdr:sp macro="" textlink="">
      <xdr:nvSpPr>
        <xdr:cNvPr id="2315" name="AutoShape 267" descr="Arbitration Eligible">
          <a:hlinkClick xmlns:r="http://schemas.openxmlformats.org/officeDocument/2006/relationships" r:id="rId107"/>
        </xdr:cNvPr>
        <xdr:cNvSpPr>
          <a:spLocks noChangeAspect="1" noChangeArrowheads="1"/>
        </xdr:cNvSpPr>
      </xdr:nvSpPr>
      <xdr:spPr bwMode="auto">
        <a:xfrm>
          <a:off x="6096000" y="3196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672</xdr:row>
      <xdr:rowOff>0</xdr:rowOff>
    </xdr:from>
    <xdr:to>
      <xdr:col>2</xdr:col>
      <xdr:colOff>123825</xdr:colOff>
      <xdr:row>672</xdr:row>
      <xdr:rowOff>123825</xdr:rowOff>
    </xdr:to>
    <xdr:sp macro="" textlink="">
      <xdr:nvSpPr>
        <xdr:cNvPr id="2316" name="AutoShape 268" descr="Performance Bonuses"/>
        <xdr:cNvSpPr>
          <a:spLocks noChangeAspect="1" noChangeArrowheads="1"/>
        </xdr:cNvSpPr>
      </xdr:nvSpPr>
      <xdr:spPr bwMode="auto">
        <a:xfrm>
          <a:off x="1524000" y="3215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123</xdr:row>
      <xdr:rowOff>0</xdr:rowOff>
    </xdr:from>
    <xdr:to>
      <xdr:col>8</xdr:col>
      <xdr:colOff>123825</xdr:colOff>
      <xdr:row>123</xdr:row>
      <xdr:rowOff>104775</xdr:rowOff>
    </xdr:to>
    <xdr:sp macro="" textlink="">
      <xdr:nvSpPr>
        <xdr:cNvPr id="2317" name="AutoShape 269" descr="Arbitration Eligible">
          <a:hlinkClick xmlns:r="http://schemas.openxmlformats.org/officeDocument/2006/relationships" r:id="rId108"/>
        </xdr:cNvPr>
        <xdr:cNvSpPr>
          <a:spLocks noChangeAspect="1" noChangeArrowheads="1"/>
        </xdr:cNvSpPr>
      </xdr:nvSpPr>
      <xdr:spPr bwMode="auto">
        <a:xfrm>
          <a:off x="6096000" y="3234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1238</xdr:row>
      <xdr:rowOff>0</xdr:rowOff>
    </xdr:from>
    <xdr:to>
      <xdr:col>7</xdr:col>
      <xdr:colOff>123825</xdr:colOff>
      <xdr:row>1238</xdr:row>
      <xdr:rowOff>104775</xdr:rowOff>
    </xdr:to>
    <xdr:sp macro="" textlink="">
      <xdr:nvSpPr>
        <xdr:cNvPr id="2318" name="AutoShape 270" descr="Arbitration Eligible">
          <a:hlinkClick xmlns:r="http://schemas.openxmlformats.org/officeDocument/2006/relationships" r:id="rId109"/>
        </xdr:cNvPr>
        <xdr:cNvSpPr>
          <a:spLocks noChangeAspect="1" noChangeArrowheads="1"/>
        </xdr:cNvSpPr>
      </xdr:nvSpPr>
      <xdr:spPr bwMode="auto">
        <a:xfrm>
          <a:off x="5334000" y="3253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1130</xdr:row>
      <xdr:rowOff>0</xdr:rowOff>
    </xdr:from>
    <xdr:to>
      <xdr:col>7</xdr:col>
      <xdr:colOff>123825</xdr:colOff>
      <xdr:row>1130</xdr:row>
      <xdr:rowOff>104775</xdr:rowOff>
    </xdr:to>
    <xdr:sp macro="" textlink="">
      <xdr:nvSpPr>
        <xdr:cNvPr id="2319" name="AutoShape 271" descr="Arbitration Eligible">
          <a:hlinkClick xmlns:r="http://schemas.openxmlformats.org/officeDocument/2006/relationships" r:id="rId110"/>
        </xdr:cNvPr>
        <xdr:cNvSpPr>
          <a:spLocks noChangeAspect="1" noChangeArrowheads="1"/>
        </xdr:cNvSpPr>
      </xdr:nvSpPr>
      <xdr:spPr bwMode="auto">
        <a:xfrm>
          <a:off x="5334000" y="3443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961</xdr:row>
      <xdr:rowOff>0</xdr:rowOff>
    </xdr:from>
    <xdr:to>
      <xdr:col>7</xdr:col>
      <xdr:colOff>123825</xdr:colOff>
      <xdr:row>961</xdr:row>
      <xdr:rowOff>104775</xdr:rowOff>
    </xdr:to>
    <xdr:sp macro="" textlink="">
      <xdr:nvSpPr>
        <xdr:cNvPr id="2320" name="AutoShape 272" descr="Arbitration Eligible">
          <a:hlinkClick xmlns:r="http://schemas.openxmlformats.org/officeDocument/2006/relationships" r:id="rId111"/>
        </xdr:cNvPr>
        <xdr:cNvSpPr>
          <a:spLocks noChangeAspect="1" noChangeArrowheads="1"/>
        </xdr:cNvSpPr>
      </xdr:nvSpPr>
      <xdr:spPr bwMode="auto">
        <a:xfrm>
          <a:off x="5334000" y="35947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1" name="AutoShape 273" descr="https://capfriendly-wlb8ng5.stackpathdns.com/assets/images/icons/general/q.svg"/>
        <xdr:cNvSpPr>
          <a:spLocks noChangeAspect="1" noChangeArrowheads="1"/>
        </xdr:cNvSpPr>
      </xdr:nvSpPr>
      <xdr:spPr bwMode="auto">
        <a:xfrm>
          <a:off x="1524000" y="3671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2" name="AutoShape 274" descr="https://capfriendly-wlb8ng5.stackpathdns.com/assets/images/icons/general/q.svg"/>
        <xdr:cNvSpPr>
          <a:spLocks noChangeAspect="1" noChangeArrowheads="1"/>
        </xdr:cNvSpPr>
      </xdr:nvSpPr>
      <xdr:spPr bwMode="auto">
        <a:xfrm>
          <a:off x="1524000" y="369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3" name="AutoShape 275" descr="https://capfriendly-wlb8ng5.stackpathdns.com/assets/images/icons/general/q.svg"/>
        <xdr:cNvSpPr>
          <a:spLocks noChangeAspect="1" noChangeArrowheads="1"/>
        </xdr:cNvSpPr>
      </xdr:nvSpPr>
      <xdr:spPr bwMode="auto">
        <a:xfrm>
          <a:off x="1524000" y="3709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4" name="AutoShape 276" descr="https://capfriendly-wlb8ng5.stackpathdns.com/assets/images/icons/general/q.svg"/>
        <xdr:cNvSpPr>
          <a:spLocks noChangeAspect="1" noChangeArrowheads="1"/>
        </xdr:cNvSpPr>
      </xdr:nvSpPr>
      <xdr:spPr bwMode="auto">
        <a:xfrm>
          <a:off x="1524000" y="3729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5" name="AutoShape 277" descr="https://capfriendly-wlb8ng5.stackpathdns.com/assets/images/icons/general/q.svg"/>
        <xdr:cNvSpPr>
          <a:spLocks noChangeAspect="1" noChangeArrowheads="1"/>
        </xdr:cNvSpPr>
      </xdr:nvSpPr>
      <xdr:spPr bwMode="auto">
        <a:xfrm>
          <a:off x="1524000" y="374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6" name="AutoShape 278" descr="https://capfriendly-wlb8ng5.stackpathdns.com/assets/images/icons/general/q.svg"/>
        <xdr:cNvSpPr>
          <a:spLocks noChangeAspect="1" noChangeArrowheads="1"/>
        </xdr:cNvSpPr>
      </xdr:nvSpPr>
      <xdr:spPr bwMode="auto">
        <a:xfrm>
          <a:off x="1524000" y="3767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7" name="AutoShape 279" descr="https://capfriendly-wlb8ng5.stackpathdns.com/assets/images/icons/general/q.svg"/>
        <xdr:cNvSpPr>
          <a:spLocks noChangeAspect="1" noChangeArrowheads="1"/>
        </xdr:cNvSpPr>
      </xdr:nvSpPr>
      <xdr:spPr bwMode="auto">
        <a:xfrm>
          <a:off x="1524000" y="378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8" name="AutoShape 280" descr="https://capfriendly-wlb8ng5.stackpathdns.com/assets/images/icons/general/q.svg"/>
        <xdr:cNvSpPr>
          <a:spLocks noChangeAspect="1" noChangeArrowheads="1"/>
        </xdr:cNvSpPr>
      </xdr:nvSpPr>
      <xdr:spPr bwMode="auto">
        <a:xfrm>
          <a:off x="1524000" y="3805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9" name="AutoShape 281" descr="https://capfriendly-wlb8ng5.stackpathdns.com/assets/images/icons/general/q.svg"/>
        <xdr:cNvSpPr>
          <a:spLocks noChangeAspect="1" noChangeArrowheads="1"/>
        </xdr:cNvSpPr>
      </xdr:nvSpPr>
      <xdr:spPr bwMode="auto">
        <a:xfrm>
          <a:off x="1524000" y="3824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0" name="AutoShape 282" descr="https://capfriendly-wlb8ng5.stackpathdns.com/assets/images/icons/general/q.svg"/>
        <xdr:cNvSpPr>
          <a:spLocks noChangeAspect="1" noChangeArrowheads="1"/>
        </xdr:cNvSpPr>
      </xdr:nvSpPr>
      <xdr:spPr bwMode="auto">
        <a:xfrm>
          <a:off x="1524000" y="3843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1" name="AutoShape 283" descr="https://capfriendly-wlb8ng5.stackpathdns.com/assets/images/icons/general/q.svg"/>
        <xdr:cNvSpPr>
          <a:spLocks noChangeAspect="1" noChangeArrowheads="1"/>
        </xdr:cNvSpPr>
      </xdr:nvSpPr>
      <xdr:spPr bwMode="auto">
        <a:xfrm>
          <a:off x="1524000" y="386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2" name="AutoShape 284" descr="Waivers Exempt">
          <a:hlinkClick xmlns:r="http://schemas.openxmlformats.org/officeDocument/2006/relationships" r:id="rId112"/>
        </xdr:cNvPr>
        <xdr:cNvSpPr>
          <a:spLocks noChangeAspect="1" noChangeArrowheads="1"/>
        </xdr:cNvSpPr>
      </xdr:nvSpPr>
      <xdr:spPr bwMode="auto">
        <a:xfrm>
          <a:off x="1524000" y="3917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338</xdr:row>
      <xdr:rowOff>0</xdr:rowOff>
    </xdr:from>
    <xdr:to>
      <xdr:col>2</xdr:col>
      <xdr:colOff>123825</xdr:colOff>
      <xdr:row>338</xdr:row>
      <xdr:rowOff>123825</xdr:rowOff>
    </xdr:to>
    <xdr:sp macro="" textlink="">
      <xdr:nvSpPr>
        <xdr:cNvPr id="2333" name="AutoShape 285" descr="Performance Bonuses"/>
        <xdr:cNvSpPr>
          <a:spLocks noChangeAspect="1" noChangeArrowheads="1"/>
        </xdr:cNvSpPr>
      </xdr:nvSpPr>
      <xdr:spPr bwMode="auto">
        <a:xfrm>
          <a:off x="152400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338</xdr:row>
      <xdr:rowOff>0</xdr:rowOff>
    </xdr:from>
    <xdr:to>
      <xdr:col>2</xdr:col>
      <xdr:colOff>257175</xdr:colOff>
      <xdr:row>338</xdr:row>
      <xdr:rowOff>123825</xdr:rowOff>
    </xdr:to>
    <xdr:sp macro="" textlink="">
      <xdr:nvSpPr>
        <xdr:cNvPr id="2334" name="AutoShape 286" descr="Waivers Exempt">
          <a:hlinkClick xmlns:r="http://schemas.openxmlformats.org/officeDocument/2006/relationships" r:id="rId113"/>
        </xdr:cNvPr>
        <xdr:cNvSpPr>
          <a:spLocks noChangeAspect="1" noChangeArrowheads="1"/>
        </xdr:cNvSpPr>
      </xdr:nvSpPr>
      <xdr:spPr bwMode="auto">
        <a:xfrm>
          <a:off x="165735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xdr:row>
      <xdr:rowOff>0</xdr:rowOff>
    </xdr:from>
    <xdr:to>
      <xdr:col>2</xdr:col>
      <xdr:colOff>123825</xdr:colOff>
      <xdr:row>17</xdr:row>
      <xdr:rowOff>123825</xdr:rowOff>
    </xdr:to>
    <xdr:sp macro="" textlink="">
      <xdr:nvSpPr>
        <xdr:cNvPr id="2335" name="AutoShape 287" descr="Performance Bonuses"/>
        <xdr:cNvSpPr>
          <a:spLocks noChangeAspect="1" noChangeArrowheads="1"/>
        </xdr:cNvSpPr>
      </xdr:nvSpPr>
      <xdr:spPr bwMode="auto">
        <a:xfrm>
          <a:off x="152400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xdr:row>
      <xdr:rowOff>0</xdr:rowOff>
    </xdr:from>
    <xdr:to>
      <xdr:col>2</xdr:col>
      <xdr:colOff>257175</xdr:colOff>
      <xdr:row>17</xdr:row>
      <xdr:rowOff>123825</xdr:rowOff>
    </xdr:to>
    <xdr:sp macro="" textlink="">
      <xdr:nvSpPr>
        <xdr:cNvPr id="2336" name="AutoShape 288" descr="Waivers Exempt">
          <a:hlinkClick xmlns:r="http://schemas.openxmlformats.org/officeDocument/2006/relationships" r:id="rId114"/>
        </xdr:cNvPr>
        <xdr:cNvSpPr>
          <a:spLocks noChangeAspect="1" noChangeArrowheads="1"/>
        </xdr:cNvSpPr>
      </xdr:nvSpPr>
      <xdr:spPr bwMode="auto">
        <a:xfrm>
          <a:off x="165735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xdr:row>
      <xdr:rowOff>0</xdr:rowOff>
    </xdr:from>
    <xdr:to>
      <xdr:col>2</xdr:col>
      <xdr:colOff>123825</xdr:colOff>
      <xdr:row>113</xdr:row>
      <xdr:rowOff>123825</xdr:rowOff>
    </xdr:to>
    <xdr:sp macro="" textlink="">
      <xdr:nvSpPr>
        <xdr:cNvPr id="2337" name="AutoShape 289" descr="Performance Bonuses"/>
        <xdr:cNvSpPr>
          <a:spLocks noChangeAspect="1" noChangeArrowheads="1"/>
        </xdr:cNvSpPr>
      </xdr:nvSpPr>
      <xdr:spPr bwMode="auto">
        <a:xfrm>
          <a:off x="152400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xdr:row>
      <xdr:rowOff>0</xdr:rowOff>
    </xdr:from>
    <xdr:to>
      <xdr:col>2</xdr:col>
      <xdr:colOff>257175</xdr:colOff>
      <xdr:row>113</xdr:row>
      <xdr:rowOff>123825</xdr:rowOff>
    </xdr:to>
    <xdr:sp macro="" textlink="">
      <xdr:nvSpPr>
        <xdr:cNvPr id="2338" name="AutoShape 290" descr="Waivers Exempt">
          <a:hlinkClick xmlns:r="http://schemas.openxmlformats.org/officeDocument/2006/relationships" r:id="rId115"/>
        </xdr:cNvPr>
        <xdr:cNvSpPr>
          <a:spLocks noChangeAspect="1" noChangeArrowheads="1"/>
        </xdr:cNvSpPr>
      </xdr:nvSpPr>
      <xdr:spPr bwMode="auto">
        <a:xfrm>
          <a:off x="165735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838</xdr:row>
      <xdr:rowOff>0</xdr:rowOff>
    </xdr:from>
    <xdr:to>
      <xdr:col>2</xdr:col>
      <xdr:colOff>123825</xdr:colOff>
      <xdr:row>838</xdr:row>
      <xdr:rowOff>123825</xdr:rowOff>
    </xdr:to>
    <xdr:sp macro="" textlink="">
      <xdr:nvSpPr>
        <xdr:cNvPr id="2339" name="AutoShape 291" descr="Performance Bonuses"/>
        <xdr:cNvSpPr>
          <a:spLocks noChangeAspect="1" noChangeArrowheads="1"/>
        </xdr:cNvSpPr>
      </xdr:nvSpPr>
      <xdr:spPr bwMode="auto">
        <a:xfrm>
          <a:off x="152400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838</xdr:row>
      <xdr:rowOff>0</xdr:rowOff>
    </xdr:from>
    <xdr:to>
      <xdr:col>2</xdr:col>
      <xdr:colOff>257175</xdr:colOff>
      <xdr:row>838</xdr:row>
      <xdr:rowOff>123825</xdr:rowOff>
    </xdr:to>
    <xdr:sp macro="" textlink="">
      <xdr:nvSpPr>
        <xdr:cNvPr id="2340" name="AutoShape 292" descr="Waivers Exempt">
          <a:hlinkClick xmlns:r="http://schemas.openxmlformats.org/officeDocument/2006/relationships" r:id="rId116"/>
        </xdr:cNvPr>
        <xdr:cNvSpPr>
          <a:spLocks noChangeAspect="1" noChangeArrowheads="1"/>
        </xdr:cNvSpPr>
      </xdr:nvSpPr>
      <xdr:spPr bwMode="auto">
        <a:xfrm>
          <a:off x="165735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1024</xdr:row>
      <xdr:rowOff>0</xdr:rowOff>
    </xdr:from>
    <xdr:to>
      <xdr:col>2</xdr:col>
      <xdr:colOff>123825</xdr:colOff>
      <xdr:row>1024</xdr:row>
      <xdr:rowOff>123825</xdr:rowOff>
    </xdr:to>
    <xdr:sp macro="" textlink="">
      <xdr:nvSpPr>
        <xdr:cNvPr id="2341" name="AutoShape 293" descr="Performance Bonuses"/>
        <xdr:cNvSpPr>
          <a:spLocks noChangeAspect="1" noChangeArrowheads="1"/>
        </xdr:cNvSpPr>
      </xdr:nvSpPr>
      <xdr:spPr bwMode="auto">
        <a:xfrm>
          <a:off x="152400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1024</xdr:row>
      <xdr:rowOff>0</xdr:rowOff>
    </xdr:from>
    <xdr:to>
      <xdr:col>2</xdr:col>
      <xdr:colOff>257175</xdr:colOff>
      <xdr:row>1024</xdr:row>
      <xdr:rowOff>123825</xdr:rowOff>
    </xdr:to>
    <xdr:sp macro="" textlink="">
      <xdr:nvSpPr>
        <xdr:cNvPr id="2342" name="AutoShape 294" descr="Waivers Exempt">
          <a:hlinkClick xmlns:r="http://schemas.openxmlformats.org/officeDocument/2006/relationships" r:id="rId117"/>
        </xdr:cNvPr>
        <xdr:cNvSpPr>
          <a:spLocks noChangeAspect="1" noChangeArrowheads="1"/>
        </xdr:cNvSpPr>
      </xdr:nvSpPr>
      <xdr:spPr bwMode="auto">
        <a:xfrm>
          <a:off x="165735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123825</xdr:colOff>
      <xdr:row>548</xdr:row>
      <xdr:rowOff>123825</xdr:rowOff>
    </xdr:to>
    <xdr:sp macro="" textlink="">
      <xdr:nvSpPr>
        <xdr:cNvPr id="2343" name="AutoShape 295" descr="Performance Bonuses"/>
        <xdr:cNvSpPr>
          <a:spLocks noChangeAspect="1" noChangeArrowheads="1"/>
        </xdr:cNvSpPr>
      </xdr:nvSpPr>
      <xdr:spPr bwMode="auto">
        <a:xfrm>
          <a:off x="15240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548</xdr:row>
      <xdr:rowOff>0</xdr:rowOff>
    </xdr:from>
    <xdr:to>
      <xdr:col>2</xdr:col>
      <xdr:colOff>257175</xdr:colOff>
      <xdr:row>548</xdr:row>
      <xdr:rowOff>123825</xdr:rowOff>
    </xdr:to>
    <xdr:sp macro="" textlink="">
      <xdr:nvSpPr>
        <xdr:cNvPr id="2344" name="AutoShape 296" descr="Retained Salary Transaction"/>
        <xdr:cNvSpPr>
          <a:spLocks noChangeAspect="1" noChangeArrowheads="1"/>
        </xdr:cNvSpPr>
      </xdr:nvSpPr>
      <xdr:spPr bwMode="auto">
        <a:xfrm>
          <a:off x="165735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548</xdr:row>
      <xdr:rowOff>0</xdr:rowOff>
    </xdr:from>
    <xdr:to>
      <xdr:col>2</xdr:col>
      <xdr:colOff>390525</xdr:colOff>
      <xdr:row>548</xdr:row>
      <xdr:rowOff>123825</xdr:rowOff>
    </xdr:to>
    <xdr:sp macro="" textlink="">
      <xdr:nvSpPr>
        <xdr:cNvPr id="2345" name="AutoShape 297" descr="Waivers Exempt">
          <a:hlinkClick xmlns:r="http://schemas.openxmlformats.org/officeDocument/2006/relationships" r:id="rId118"/>
        </xdr:cNvPr>
        <xdr:cNvSpPr>
          <a:spLocks noChangeAspect="1" noChangeArrowheads="1"/>
        </xdr:cNvSpPr>
      </xdr:nvSpPr>
      <xdr:spPr bwMode="auto">
        <a:xfrm>
          <a:off x="17907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1012</xdr:row>
      <xdr:rowOff>0</xdr:rowOff>
    </xdr:from>
    <xdr:to>
      <xdr:col>2</xdr:col>
      <xdr:colOff>123825</xdr:colOff>
      <xdr:row>1012</xdr:row>
      <xdr:rowOff>123825</xdr:rowOff>
    </xdr:to>
    <xdr:sp macro="" textlink="">
      <xdr:nvSpPr>
        <xdr:cNvPr id="2346" name="AutoShape 298" descr="Performance Bonuses"/>
        <xdr:cNvSpPr>
          <a:spLocks noChangeAspect="1" noChangeArrowheads="1"/>
        </xdr:cNvSpPr>
      </xdr:nvSpPr>
      <xdr:spPr bwMode="auto">
        <a:xfrm>
          <a:off x="152400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1012</xdr:row>
      <xdr:rowOff>0</xdr:rowOff>
    </xdr:from>
    <xdr:to>
      <xdr:col>2</xdr:col>
      <xdr:colOff>257175</xdr:colOff>
      <xdr:row>1012</xdr:row>
      <xdr:rowOff>123825</xdr:rowOff>
    </xdr:to>
    <xdr:sp macro="" textlink="">
      <xdr:nvSpPr>
        <xdr:cNvPr id="2347" name="AutoShape 299" descr="Waivers Exempt">
          <a:hlinkClick xmlns:r="http://schemas.openxmlformats.org/officeDocument/2006/relationships" r:id="rId119"/>
        </xdr:cNvPr>
        <xdr:cNvSpPr>
          <a:spLocks noChangeAspect="1" noChangeArrowheads="1"/>
        </xdr:cNvSpPr>
      </xdr:nvSpPr>
      <xdr:spPr bwMode="auto">
        <a:xfrm>
          <a:off x="165735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770</xdr:row>
      <xdr:rowOff>0</xdr:rowOff>
    </xdr:from>
    <xdr:to>
      <xdr:col>2</xdr:col>
      <xdr:colOff>123825</xdr:colOff>
      <xdr:row>770</xdr:row>
      <xdr:rowOff>123825</xdr:rowOff>
    </xdr:to>
    <xdr:sp macro="" textlink="">
      <xdr:nvSpPr>
        <xdr:cNvPr id="2348" name="AutoShape 300" descr="Performance Bonuses"/>
        <xdr:cNvSpPr>
          <a:spLocks noChangeAspect="1" noChangeArrowheads="1"/>
        </xdr:cNvSpPr>
      </xdr:nvSpPr>
      <xdr:spPr bwMode="auto">
        <a:xfrm>
          <a:off x="152400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770</xdr:row>
      <xdr:rowOff>0</xdr:rowOff>
    </xdr:from>
    <xdr:to>
      <xdr:col>2</xdr:col>
      <xdr:colOff>257175</xdr:colOff>
      <xdr:row>770</xdr:row>
      <xdr:rowOff>123825</xdr:rowOff>
    </xdr:to>
    <xdr:sp macro="" textlink="">
      <xdr:nvSpPr>
        <xdr:cNvPr id="2349" name="AutoShape 301" descr="Waivers Exempt">
          <a:hlinkClick xmlns:r="http://schemas.openxmlformats.org/officeDocument/2006/relationships" r:id="rId120"/>
        </xdr:cNvPr>
        <xdr:cNvSpPr>
          <a:spLocks noChangeAspect="1" noChangeArrowheads="1"/>
        </xdr:cNvSpPr>
      </xdr:nvSpPr>
      <xdr:spPr bwMode="auto">
        <a:xfrm>
          <a:off x="165735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xdr:row>
      <xdr:rowOff>0</xdr:rowOff>
    </xdr:from>
    <xdr:to>
      <xdr:col>2</xdr:col>
      <xdr:colOff>123825</xdr:colOff>
      <xdr:row>82</xdr:row>
      <xdr:rowOff>123825</xdr:rowOff>
    </xdr:to>
    <xdr:sp macro="" textlink="">
      <xdr:nvSpPr>
        <xdr:cNvPr id="2350" name="AutoShape 302" descr="Waivers Exempt">
          <a:hlinkClick xmlns:r="http://schemas.openxmlformats.org/officeDocument/2006/relationships" r:id="rId121"/>
        </xdr:cNvPr>
        <xdr:cNvSpPr>
          <a:spLocks noChangeAspect="1" noChangeArrowheads="1"/>
        </xdr:cNvSpPr>
      </xdr:nvSpPr>
      <xdr:spPr bwMode="auto">
        <a:xfrm>
          <a:off x="1524000" y="408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940</xdr:row>
      <xdr:rowOff>0</xdr:rowOff>
    </xdr:from>
    <xdr:to>
      <xdr:col>2</xdr:col>
      <xdr:colOff>123825</xdr:colOff>
      <xdr:row>940</xdr:row>
      <xdr:rowOff>123825</xdr:rowOff>
    </xdr:to>
    <xdr:sp macro="" textlink="">
      <xdr:nvSpPr>
        <xdr:cNvPr id="2351" name="AutoShape 303" descr="Waivers Exempt">
          <a:hlinkClick xmlns:r="http://schemas.openxmlformats.org/officeDocument/2006/relationships" r:id="rId122"/>
        </xdr:cNvPr>
        <xdr:cNvSpPr>
          <a:spLocks noChangeAspect="1" noChangeArrowheads="1"/>
        </xdr:cNvSpPr>
      </xdr:nvSpPr>
      <xdr:spPr bwMode="auto">
        <a:xfrm>
          <a:off x="1524000" y="410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xdr:row>
      <xdr:rowOff>0</xdr:rowOff>
    </xdr:from>
    <xdr:to>
      <xdr:col>7</xdr:col>
      <xdr:colOff>123825</xdr:colOff>
      <xdr:row>120</xdr:row>
      <xdr:rowOff>104775</xdr:rowOff>
    </xdr:to>
    <xdr:sp macro="" textlink="">
      <xdr:nvSpPr>
        <xdr:cNvPr id="2352" name="AutoShape 304" descr="Arbitration Eligible">
          <a:hlinkClick xmlns:r="http://schemas.openxmlformats.org/officeDocument/2006/relationships" r:id="rId123"/>
        </xdr:cNvPr>
        <xdr:cNvSpPr>
          <a:spLocks noChangeAspect="1" noChangeArrowheads="1"/>
        </xdr:cNvSpPr>
      </xdr:nvSpPr>
      <xdr:spPr bwMode="auto">
        <a:xfrm>
          <a:off x="5334000" y="41271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647</xdr:row>
      <xdr:rowOff>0</xdr:rowOff>
    </xdr:from>
    <xdr:to>
      <xdr:col>2</xdr:col>
      <xdr:colOff>123825</xdr:colOff>
      <xdr:row>647</xdr:row>
      <xdr:rowOff>123825</xdr:rowOff>
    </xdr:to>
    <xdr:sp macro="" textlink="">
      <xdr:nvSpPr>
        <xdr:cNvPr id="2353" name="AutoShape 305" descr="Waivers Exempt">
          <a:hlinkClick xmlns:r="http://schemas.openxmlformats.org/officeDocument/2006/relationships" r:id="rId124"/>
        </xdr:cNvPr>
        <xdr:cNvSpPr>
          <a:spLocks noChangeAspect="1" noChangeArrowheads="1"/>
        </xdr:cNvSpPr>
      </xdr:nvSpPr>
      <xdr:spPr bwMode="auto">
        <a:xfrm>
          <a:off x="1524000" y="414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647</xdr:row>
      <xdr:rowOff>0</xdr:rowOff>
    </xdr:from>
    <xdr:to>
      <xdr:col>7</xdr:col>
      <xdr:colOff>123825</xdr:colOff>
      <xdr:row>647</xdr:row>
      <xdr:rowOff>104775</xdr:rowOff>
    </xdr:to>
    <xdr:sp macro="" textlink="">
      <xdr:nvSpPr>
        <xdr:cNvPr id="2354" name="AutoShape 306" descr="Arbitration Eligible">
          <a:hlinkClick xmlns:r="http://schemas.openxmlformats.org/officeDocument/2006/relationships" r:id="rId125"/>
        </xdr:cNvPr>
        <xdr:cNvSpPr>
          <a:spLocks noChangeAspect="1" noChangeArrowheads="1"/>
        </xdr:cNvSpPr>
      </xdr:nvSpPr>
      <xdr:spPr bwMode="auto">
        <a:xfrm>
          <a:off x="5334000" y="41462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316</xdr:row>
      <xdr:rowOff>0</xdr:rowOff>
    </xdr:from>
    <xdr:to>
      <xdr:col>7</xdr:col>
      <xdr:colOff>123825</xdr:colOff>
      <xdr:row>316</xdr:row>
      <xdr:rowOff>104775</xdr:rowOff>
    </xdr:to>
    <xdr:sp macro="" textlink="">
      <xdr:nvSpPr>
        <xdr:cNvPr id="2355" name="AutoShape 307" descr="Arbitration Eligible">
          <a:hlinkClick xmlns:r="http://schemas.openxmlformats.org/officeDocument/2006/relationships" r:id="rId126"/>
        </xdr:cNvPr>
        <xdr:cNvSpPr>
          <a:spLocks noChangeAspect="1" noChangeArrowheads="1"/>
        </xdr:cNvSpPr>
      </xdr:nvSpPr>
      <xdr:spPr bwMode="auto">
        <a:xfrm>
          <a:off x="5334000" y="41843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878</xdr:row>
      <xdr:rowOff>0</xdr:rowOff>
    </xdr:from>
    <xdr:to>
      <xdr:col>2</xdr:col>
      <xdr:colOff>123825</xdr:colOff>
      <xdr:row>878</xdr:row>
      <xdr:rowOff>123825</xdr:rowOff>
    </xdr:to>
    <xdr:sp macro="" textlink="">
      <xdr:nvSpPr>
        <xdr:cNvPr id="2356" name="AutoShape 308" descr="Performance Bonuses"/>
        <xdr:cNvSpPr>
          <a:spLocks noChangeAspect="1" noChangeArrowheads="1"/>
        </xdr:cNvSpPr>
      </xdr:nvSpPr>
      <xdr:spPr bwMode="auto">
        <a:xfrm>
          <a:off x="152400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878</xdr:row>
      <xdr:rowOff>0</xdr:rowOff>
    </xdr:from>
    <xdr:to>
      <xdr:col>2</xdr:col>
      <xdr:colOff>257175</xdr:colOff>
      <xdr:row>878</xdr:row>
      <xdr:rowOff>123825</xdr:rowOff>
    </xdr:to>
    <xdr:sp macro="" textlink="">
      <xdr:nvSpPr>
        <xdr:cNvPr id="2357" name="AutoShape 309" descr="Waivers Exempt">
          <a:hlinkClick xmlns:r="http://schemas.openxmlformats.org/officeDocument/2006/relationships" r:id="rId127"/>
        </xdr:cNvPr>
        <xdr:cNvSpPr>
          <a:spLocks noChangeAspect="1" noChangeArrowheads="1"/>
        </xdr:cNvSpPr>
      </xdr:nvSpPr>
      <xdr:spPr bwMode="auto">
        <a:xfrm>
          <a:off x="165735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663</xdr:row>
      <xdr:rowOff>0</xdr:rowOff>
    </xdr:from>
    <xdr:to>
      <xdr:col>2</xdr:col>
      <xdr:colOff>123825</xdr:colOff>
      <xdr:row>663</xdr:row>
      <xdr:rowOff>123825</xdr:rowOff>
    </xdr:to>
    <xdr:sp macro="" textlink="">
      <xdr:nvSpPr>
        <xdr:cNvPr id="2358" name="AutoShape 310" descr="Performance Bonuses"/>
        <xdr:cNvSpPr>
          <a:spLocks noChangeAspect="1" noChangeArrowheads="1"/>
        </xdr:cNvSpPr>
      </xdr:nvSpPr>
      <xdr:spPr bwMode="auto">
        <a:xfrm>
          <a:off x="152400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663</xdr:row>
      <xdr:rowOff>0</xdr:rowOff>
    </xdr:from>
    <xdr:to>
      <xdr:col>2</xdr:col>
      <xdr:colOff>257175</xdr:colOff>
      <xdr:row>663</xdr:row>
      <xdr:rowOff>123825</xdr:rowOff>
    </xdr:to>
    <xdr:sp macro="" textlink="">
      <xdr:nvSpPr>
        <xdr:cNvPr id="2359" name="AutoShape 311" descr="Waivers Exempt">
          <a:hlinkClick xmlns:r="http://schemas.openxmlformats.org/officeDocument/2006/relationships" r:id="rId128"/>
        </xdr:cNvPr>
        <xdr:cNvSpPr>
          <a:spLocks noChangeAspect="1" noChangeArrowheads="1"/>
        </xdr:cNvSpPr>
      </xdr:nvSpPr>
      <xdr:spPr bwMode="auto">
        <a:xfrm>
          <a:off x="165735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xdr:row>
      <xdr:rowOff>0</xdr:rowOff>
    </xdr:from>
    <xdr:to>
      <xdr:col>2</xdr:col>
      <xdr:colOff>123825</xdr:colOff>
      <xdr:row>16</xdr:row>
      <xdr:rowOff>123825</xdr:rowOff>
    </xdr:to>
    <xdr:sp macro="" textlink="">
      <xdr:nvSpPr>
        <xdr:cNvPr id="2360" name="AutoShape 312" descr="Performance Bonuses"/>
        <xdr:cNvSpPr>
          <a:spLocks noChangeAspect="1" noChangeArrowheads="1"/>
        </xdr:cNvSpPr>
      </xdr:nvSpPr>
      <xdr:spPr bwMode="auto">
        <a:xfrm>
          <a:off x="152400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xdr:row>
      <xdr:rowOff>0</xdr:rowOff>
    </xdr:from>
    <xdr:to>
      <xdr:col>2</xdr:col>
      <xdr:colOff>257175</xdr:colOff>
      <xdr:row>16</xdr:row>
      <xdr:rowOff>123825</xdr:rowOff>
    </xdr:to>
    <xdr:sp macro="" textlink="">
      <xdr:nvSpPr>
        <xdr:cNvPr id="2361" name="AutoShape 313" descr="Waivers Exempt">
          <a:hlinkClick xmlns:r="http://schemas.openxmlformats.org/officeDocument/2006/relationships" r:id="rId129"/>
        </xdr:cNvPr>
        <xdr:cNvSpPr>
          <a:spLocks noChangeAspect="1" noChangeArrowheads="1"/>
        </xdr:cNvSpPr>
      </xdr:nvSpPr>
      <xdr:spPr bwMode="auto">
        <a:xfrm>
          <a:off x="165735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xdr:row>
      <xdr:rowOff>0</xdr:rowOff>
    </xdr:from>
    <xdr:to>
      <xdr:col>2</xdr:col>
      <xdr:colOff>123825</xdr:colOff>
      <xdr:row>6</xdr:row>
      <xdr:rowOff>123825</xdr:rowOff>
    </xdr:to>
    <xdr:sp macro="" textlink="">
      <xdr:nvSpPr>
        <xdr:cNvPr id="2362" name="AutoShape 314" descr="Performance Bonuses"/>
        <xdr:cNvSpPr>
          <a:spLocks noChangeAspect="1" noChangeArrowheads="1"/>
        </xdr:cNvSpPr>
      </xdr:nvSpPr>
      <xdr:spPr bwMode="auto">
        <a:xfrm>
          <a:off x="15240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xdr:row>
      <xdr:rowOff>0</xdr:rowOff>
    </xdr:from>
    <xdr:to>
      <xdr:col>2</xdr:col>
      <xdr:colOff>257175</xdr:colOff>
      <xdr:row>6</xdr:row>
      <xdr:rowOff>123825</xdr:rowOff>
    </xdr:to>
    <xdr:sp macro="" textlink="">
      <xdr:nvSpPr>
        <xdr:cNvPr id="2363" name="AutoShape 315" descr="Retained Salary Transaction"/>
        <xdr:cNvSpPr>
          <a:spLocks noChangeAspect="1" noChangeArrowheads="1"/>
        </xdr:cNvSpPr>
      </xdr:nvSpPr>
      <xdr:spPr bwMode="auto">
        <a:xfrm>
          <a:off x="16573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xdr:row>
      <xdr:rowOff>0</xdr:rowOff>
    </xdr:from>
    <xdr:to>
      <xdr:col>2</xdr:col>
      <xdr:colOff>390525</xdr:colOff>
      <xdr:row>6</xdr:row>
      <xdr:rowOff>123825</xdr:rowOff>
    </xdr:to>
    <xdr:sp macro="" textlink="">
      <xdr:nvSpPr>
        <xdr:cNvPr id="2364" name="AutoShape 316" descr="Waivers Exempt">
          <a:hlinkClick xmlns:r="http://schemas.openxmlformats.org/officeDocument/2006/relationships" r:id="rId130"/>
        </xdr:cNvPr>
        <xdr:cNvSpPr>
          <a:spLocks noChangeAspect="1" noChangeArrowheads="1"/>
        </xdr:cNvSpPr>
      </xdr:nvSpPr>
      <xdr:spPr bwMode="auto">
        <a:xfrm>
          <a:off x="17907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xdr:row>
      <xdr:rowOff>0</xdr:rowOff>
    </xdr:from>
    <xdr:to>
      <xdr:col>2</xdr:col>
      <xdr:colOff>523875</xdr:colOff>
      <xdr:row>6</xdr:row>
      <xdr:rowOff>123825</xdr:rowOff>
    </xdr:to>
    <xdr:sp macro="" textlink="">
      <xdr:nvSpPr>
        <xdr:cNvPr id="2365" name="AutoShape 317" descr="Exempt from the 50 Contract Limit"/>
        <xdr:cNvSpPr>
          <a:spLocks noChangeAspect="1" noChangeArrowheads="1"/>
        </xdr:cNvSpPr>
      </xdr:nvSpPr>
      <xdr:spPr bwMode="auto">
        <a:xfrm>
          <a:off x="19240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780</xdr:row>
      <xdr:rowOff>0</xdr:rowOff>
    </xdr:from>
    <xdr:to>
      <xdr:col>2</xdr:col>
      <xdr:colOff>123825</xdr:colOff>
      <xdr:row>780</xdr:row>
      <xdr:rowOff>123825</xdr:rowOff>
    </xdr:to>
    <xdr:sp macro="" textlink="">
      <xdr:nvSpPr>
        <xdr:cNvPr id="2366" name="AutoShape 318" descr="Performance Bonuses"/>
        <xdr:cNvSpPr>
          <a:spLocks noChangeAspect="1" noChangeArrowheads="1"/>
        </xdr:cNvSpPr>
      </xdr:nvSpPr>
      <xdr:spPr bwMode="auto">
        <a:xfrm>
          <a:off x="152400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780</xdr:row>
      <xdr:rowOff>0</xdr:rowOff>
    </xdr:from>
    <xdr:to>
      <xdr:col>2</xdr:col>
      <xdr:colOff>257175</xdr:colOff>
      <xdr:row>780</xdr:row>
      <xdr:rowOff>123825</xdr:rowOff>
    </xdr:to>
    <xdr:sp macro="" textlink="">
      <xdr:nvSpPr>
        <xdr:cNvPr id="2367" name="AutoShape 319" descr="Waivers Exempt">
          <a:hlinkClick xmlns:r="http://schemas.openxmlformats.org/officeDocument/2006/relationships" r:id="rId131"/>
        </xdr:cNvPr>
        <xdr:cNvSpPr>
          <a:spLocks noChangeAspect="1" noChangeArrowheads="1"/>
        </xdr:cNvSpPr>
      </xdr:nvSpPr>
      <xdr:spPr bwMode="auto">
        <a:xfrm>
          <a:off x="165735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327</xdr:row>
      <xdr:rowOff>0</xdr:rowOff>
    </xdr:from>
    <xdr:to>
      <xdr:col>2</xdr:col>
      <xdr:colOff>123825</xdr:colOff>
      <xdr:row>327</xdr:row>
      <xdr:rowOff>123825</xdr:rowOff>
    </xdr:to>
    <xdr:sp macro="" textlink="">
      <xdr:nvSpPr>
        <xdr:cNvPr id="2368" name="AutoShape 320" descr="Waivers Exempt">
          <a:hlinkClick xmlns:r="http://schemas.openxmlformats.org/officeDocument/2006/relationships" r:id="rId132"/>
        </xdr:cNvPr>
        <xdr:cNvSpPr>
          <a:spLocks noChangeAspect="1" noChangeArrowheads="1"/>
        </xdr:cNvSpPr>
      </xdr:nvSpPr>
      <xdr:spPr bwMode="auto">
        <a:xfrm>
          <a:off x="1524000" y="4525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635</xdr:row>
      <xdr:rowOff>0</xdr:rowOff>
    </xdr:from>
    <xdr:to>
      <xdr:col>7</xdr:col>
      <xdr:colOff>123825</xdr:colOff>
      <xdr:row>635</xdr:row>
      <xdr:rowOff>104775</xdr:rowOff>
    </xdr:to>
    <xdr:sp macro="" textlink="">
      <xdr:nvSpPr>
        <xdr:cNvPr id="2369" name="AutoShape 321" descr="Arbitration Eligible">
          <a:hlinkClick xmlns:r="http://schemas.openxmlformats.org/officeDocument/2006/relationships" r:id="rId133"/>
        </xdr:cNvPr>
        <xdr:cNvSpPr>
          <a:spLocks noChangeAspect="1" noChangeArrowheads="1"/>
        </xdr:cNvSpPr>
      </xdr:nvSpPr>
      <xdr:spPr bwMode="auto">
        <a:xfrm>
          <a:off x="5334000" y="45443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588</xdr:row>
      <xdr:rowOff>0</xdr:rowOff>
    </xdr:from>
    <xdr:to>
      <xdr:col>7</xdr:col>
      <xdr:colOff>123825</xdr:colOff>
      <xdr:row>588</xdr:row>
      <xdr:rowOff>104775</xdr:rowOff>
    </xdr:to>
    <xdr:sp macro="" textlink="">
      <xdr:nvSpPr>
        <xdr:cNvPr id="2370" name="AutoShape 322" descr="Arbitration Eligible">
          <a:hlinkClick xmlns:r="http://schemas.openxmlformats.org/officeDocument/2006/relationships" r:id="rId134"/>
        </xdr:cNvPr>
        <xdr:cNvSpPr>
          <a:spLocks noChangeAspect="1" noChangeArrowheads="1"/>
        </xdr:cNvSpPr>
      </xdr:nvSpPr>
      <xdr:spPr bwMode="auto">
        <a:xfrm>
          <a:off x="5334000" y="4110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697</xdr:row>
      <xdr:rowOff>0</xdr:rowOff>
    </xdr:from>
    <xdr:to>
      <xdr:col>2</xdr:col>
      <xdr:colOff>123825</xdr:colOff>
      <xdr:row>697</xdr:row>
      <xdr:rowOff>123825</xdr:rowOff>
    </xdr:to>
    <xdr:sp macro="" textlink="">
      <xdr:nvSpPr>
        <xdr:cNvPr id="2371" name="AutoShape 323" descr="Performance Bonuses"/>
        <xdr:cNvSpPr>
          <a:spLocks noChangeAspect="1" noChangeArrowheads="1"/>
        </xdr:cNvSpPr>
      </xdr:nvSpPr>
      <xdr:spPr bwMode="auto">
        <a:xfrm>
          <a:off x="1524000" y="4149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409</xdr:row>
      <xdr:rowOff>0</xdr:rowOff>
    </xdr:from>
    <xdr:to>
      <xdr:col>2</xdr:col>
      <xdr:colOff>123825</xdr:colOff>
      <xdr:row>409</xdr:row>
      <xdr:rowOff>123825</xdr:rowOff>
    </xdr:to>
    <xdr:sp macro="" textlink="">
      <xdr:nvSpPr>
        <xdr:cNvPr id="2372" name="AutoShape 324" descr="Performance Bonuses"/>
        <xdr:cNvSpPr>
          <a:spLocks noChangeAspect="1" noChangeArrowheads="1"/>
        </xdr:cNvSpPr>
      </xdr:nvSpPr>
      <xdr:spPr bwMode="auto">
        <a:xfrm>
          <a:off x="152400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409</xdr:row>
      <xdr:rowOff>0</xdr:rowOff>
    </xdr:from>
    <xdr:to>
      <xdr:col>2</xdr:col>
      <xdr:colOff>257175</xdr:colOff>
      <xdr:row>409</xdr:row>
      <xdr:rowOff>123825</xdr:rowOff>
    </xdr:to>
    <xdr:sp macro="" textlink="">
      <xdr:nvSpPr>
        <xdr:cNvPr id="2373" name="AutoShape 325" descr="Waivers Exempt">
          <a:hlinkClick xmlns:r="http://schemas.openxmlformats.org/officeDocument/2006/relationships" r:id="rId135"/>
        </xdr:cNvPr>
        <xdr:cNvSpPr>
          <a:spLocks noChangeAspect="1" noChangeArrowheads="1"/>
        </xdr:cNvSpPr>
      </xdr:nvSpPr>
      <xdr:spPr bwMode="auto">
        <a:xfrm>
          <a:off x="165735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848</xdr:row>
      <xdr:rowOff>0</xdr:rowOff>
    </xdr:from>
    <xdr:to>
      <xdr:col>2</xdr:col>
      <xdr:colOff>123825</xdr:colOff>
      <xdr:row>848</xdr:row>
      <xdr:rowOff>123825</xdr:rowOff>
    </xdr:to>
    <xdr:sp macro="" textlink="">
      <xdr:nvSpPr>
        <xdr:cNvPr id="2374" name="AutoShape 326" descr="Waivers Exempt">
          <a:hlinkClick xmlns:r="http://schemas.openxmlformats.org/officeDocument/2006/relationships" r:id="rId136"/>
        </xdr:cNvPr>
        <xdr:cNvSpPr>
          <a:spLocks noChangeAspect="1" noChangeArrowheads="1"/>
        </xdr:cNvSpPr>
      </xdr:nvSpPr>
      <xdr:spPr bwMode="auto">
        <a:xfrm>
          <a:off x="1524000" y="4414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848</xdr:row>
      <xdr:rowOff>0</xdr:rowOff>
    </xdr:from>
    <xdr:to>
      <xdr:col>7</xdr:col>
      <xdr:colOff>123825</xdr:colOff>
      <xdr:row>848</xdr:row>
      <xdr:rowOff>104775</xdr:rowOff>
    </xdr:to>
    <xdr:sp macro="" textlink="">
      <xdr:nvSpPr>
        <xdr:cNvPr id="2375" name="AutoShape 327" descr="Arbitration Eligible">
          <a:hlinkClick xmlns:r="http://schemas.openxmlformats.org/officeDocument/2006/relationships" r:id="rId137"/>
        </xdr:cNvPr>
        <xdr:cNvSpPr>
          <a:spLocks noChangeAspect="1" noChangeArrowheads="1"/>
        </xdr:cNvSpPr>
      </xdr:nvSpPr>
      <xdr:spPr bwMode="auto">
        <a:xfrm>
          <a:off x="5334000" y="44148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175</xdr:row>
      <xdr:rowOff>0</xdr:rowOff>
    </xdr:from>
    <xdr:to>
      <xdr:col>4</xdr:col>
      <xdr:colOff>114300</xdr:colOff>
      <xdr:row>175</xdr:row>
      <xdr:rowOff>114300</xdr:rowOff>
    </xdr:to>
    <xdr:sp macro="" textlink="">
      <xdr:nvSpPr>
        <xdr:cNvPr id="2376" name="AutoShape 328" descr="https://capfriendly-wlb8ng5.stackpathdns.com/assets/images/icons/players/injury.svg"/>
        <xdr:cNvSpPr>
          <a:spLocks noChangeAspect="1" noChangeArrowheads="1"/>
        </xdr:cNvSpPr>
      </xdr:nvSpPr>
      <xdr:spPr bwMode="auto">
        <a:xfrm>
          <a:off x="3048000" y="46224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7" name="AutoShape 329" descr="https://capfriendly-wlb8ng5.stackpathdns.com/assets/images/icons/general/q.svg"/>
        <xdr:cNvSpPr>
          <a:spLocks noChangeAspect="1" noChangeArrowheads="1"/>
        </xdr:cNvSpPr>
      </xdr:nvSpPr>
      <xdr:spPr bwMode="auto">
        <a:xfrm>
          <a:off x="1524000" y="4757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8" name="AutoShape 330" descr="https://capfriendly-wlb8ng5.stackpathdns.com/assets/images/icons/general/q.svg"/>
        <xdr:cNvSpPr>
          <a:spLocks noChangeAspect="1" noChangeArrowheads="1"/>
        </xdr:cNvSpPr>
      </xdr:nvSpPr>
      <xdr:spPr bwMode="auto">
        <a:xfrm>
          <a:off x="1524000" y="477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9" name="AutoShape 331" descr="https://capfriendly-wlb8ng5.stackpathdns.com/assets/images/icons/general/q.svg"/>
        <xdr:cNvSpPr>
          <a:spLocks noChangeAspect="1" noChangeArrowheads="1"/>
        </xdr:cNvSpPr>
      </xdr:nvSpPr>
      <xdr:spPr bwMode="auto">
        <a:xfrm>
          <a:off x="1524000" y="4795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0" name="AutoShape 332" descr="https://capfriendly-wlb8ng5.stackpathdns.com/assets/images/icons/general/q.svg"/>
        <xdr:cNvSpPr>
          <a:spLocks noChangeAspect="1" noChangeArrowheads="1"/>
        </xdr:cNvSpPr>
      </xdr:nvSpPr>
      <xdr:spPr bwMode="auto">
        <a:xfrm>
          <a:off x="1524000" y="4814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1" name="AutoShape 333" descr="https://capfriendly-wlb8ng5.stackpathdns.com/assets/images/icons/general/q.svg"/>
        <xdr:cNvSpPr>
          <a:spLocks noChangeAspect="1" noChangeArrowheads="1"/>
        </xdr:cNvSpPr>
      </xdr:nvSpPr>
      <xdr:spPr bwMode="auto">
        <a:xfrm>
          <a:off x="1524000" y="4833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2" name="AutoShape 334" descr="https://capfriendly-wlb8ng5.stackpathdns.com/assets/images/icons/general/q.svg"/>
        <xdr:cNvSpPr>
          <a:spLocks noChangeAspect="1" noChangeArrowheads="1"/>
        </xdr:cNvSpPr>
      </xdr:nvSpPr>
      <xdr:spPr bwMode="auto">
        <a:xfrm>
          <a:off x="1524000" y="4852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3" name="AutoShape 335" descr="https://capfriendly-wlb8ng5.stackpathdns.com/assets/images/icons/general/q.svg"/>
        <xdr:cNvSpPr>
          <a:spLocks noChangeAspect="1" noChangeArrowheads="1"/>
        </xdr:cNvSpPr>
      </xdr:nvSpPr>
      <xdr:spPr bwMode="auto">
        <a:xfrm>
          <a:off x="1524000" y="4872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4" name="AutoShape 336" descr="https://capfriendly-wlb8ng5.stackpathdns.com/assets/images/icons/general/q.svg"/>
        <xdr:cNvSpPr>
          <a:spLocks noChangeAspect="1" noChangeArrowheads="1"/>
        </xdr:cNvSpPr>
      </xdr:nvSpPr>
      <xdr:spPr bwMode="auto">
        <a:xfrm>
          <a:off x="1524000" y="4891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5" name="AutoShape 337" descr="https://capfriendly-wlb8ng5.stackpathdns.com/assets/images/icons/general/q.svg"/>
        <xdr:cNvSpPr>
          <a:spLocks noChangeAspect="1" noChangeArrowheads="1"/>
        </xdr:cNvSpPr>
      </xdr:nvSpPr>
      <xdr:spPr bwMode="auto">
        <a:xfrm>
          <a:off x="1524000" y="491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6" name="AutoShape 338" descr="https://capfriendly-wlb8ng5.stackpathdns.com/assets/images/icons/general/q.svg"/>
        <xdr:cNvSpPr>
          <a:spLocks noChangeAspect="1" noChangeArrowheads="1"/>
        </xdr:cNvSpPr>
      </xdr:nvSpPr>
      <xdr:spPr bwMode="auto">
        <a:xfrm>
          <a:off x="1524000" y="4929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7" name="AutoShape 339" descr="https://capfriendly-wlb8ng5.stackpathdns.com/assets/images/icons/general/q.svg"/>
        <xdr:cNvSpPr>
          <a:spLocks noChangeAspect="1" noChangeArrowheads="1"/>
        </xdr:cNvSpPr>
      </xdr:nvSpPr>
      <xdr:spPr bwMode="auto">
        <a:xfrm>
          <a:off x="1524000" y="4948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8" name="AutoShape 340" descr="Waivers Exempt">
          <a:hlinkClick xmlns:r="http://schemas.openxmlformats.org/officeDocument/2006/relationships" r:id="rId138"/>
        </xdr:cNvPr>
        <xdr:cNvSpPr>
          <a:spLocks noChangeAspect="1" noChangeArrowheads="1"/>
        </xdr:cNvSpPr>
      </xdr:nvSpPr>
      <xdr:spPr bwMode="auto">
        <a:xfrm>
          <a:off x="1524000" y="500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567</xdr:row>
      <xdr:rowOff>0</xdr:rowOff>
    </xdr:from>
    <xdr:to>
      <xdr:col>2</xdr:col>
      <xdr:colOff>123825</xdr:colOff>
      <xdr:row>567</xdr:row>
      <xdr:rowOff>123825</xdr:rowOff>
    </xdr:to>
    <xdr:sp macro="" textlink="">
      <xdr:nvSpPr>
        <xdr:cNvPr id="2389" name="AutoShape 341" descr="Performance Bonuses"/>
        <xdr:cNvSpPr>
          <a:spLocks noChangeAspect="1" noChangeArrowheads="1"/>
        </xdr:cNvSpPr>
      </xdr:nvSpPr>
      <xdr:spPr bwMode="auto">
        <a:xfrm>
          <a:off x="15240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567</xdr:row>
      <xdr:rowOff>0</xdr:rowOff>
    </xdr:from>
    <xdr:to>
      <xdr:col>2</xdr:col>
      <xdr:colOff>257175</xdr:colOff>
      <xdr:row>567</xdr:row>
      <xdr:rowOff>123825</xdr:rowOff>
    </xdr:to>
    <xdr:sp macro="" textlink="">
      <xdr:nvSpPr>
        <xdr:cNvPr id="2390" name="AutoShape 342" descr="Retained Salary Transaction"/>
        <xdr:cNvSpPr>
          <a:spLocks noChangeAspect="1" noChangeArrowheads="1"/>
        </xdr:cNvSpPr>
      </xdr:nvSpPr>
      <xdr:spPr bwMode="auto">
        <a:xfrm>
          <a:off x="16573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567</xdr:row>
      <xdr:rowOff>0</xdr:rowOff>
    </xdr:from>
    <xdr:to>
      <xdr:col>2</xdr:col>
      <xdr:colOff>390525</xdr:colOff>
      <xdr:row>567</xdr:row>
      <xdr:rowOff>123825</xdr:rowOff>
    </xdr:to>
    <xdr:sp macro="" textlink="">
      <xdr:nvSpPr>
        <xdr:cNvPr id="2391" name="AutoShape 343" descr="Waivers Exempt">
          <a:hlinkClick xmlns:r="http://schemas.openxmlformats.org/officeDocument/2006/relationships" r:id="rId139"/>
        </xdr:cNvPr>
        <xdr:cNvSpPr>
          <a:spLocks noChangeAspect="1" noChangeArrowheads="1"/>
        </xdr:cNvSpPr>
      </xdr:nvSpPr>
      <xdr:spPr bwMode="auto">
        <a:xfrm>
          <a:off x="17907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567</xdr:row>
      <xdr:rowOff>0</xdr:rowOff>
    </xdr:from>
    <xdr:to>
      <xdr:col>2</xdr:col>
      <xdr:colOff>523875</xdr:colOff>
      <xdr:row>567</xdr:row>
      <xdr:rowOff>123825</xdr:rowOff>
    </xdr:to>
    <xdr:sp macro="" textlink="">
      <xdr:nvSpPr>
        <xdr:cNvPr id="2392" name="AutoShape 344" descr="Exempt from the 50 Contract Limit"/>
        <xdr:cNvSpPr>
          <a:spLocks noChangeAspect="1" noChangeArrowheads="1"/>
        </xdr:cNvSpPr>
      </xdr:nvSpPr>
      <xdr:spPr bwMode="auto">
        <a:xfrm>
          <a:off x="19240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927</xdr:row>
      <xdr:rowOff>0</xdr:rowOff>
    </xdr:from>
    <xdr:to>
      <xdr:col>2</xdr:col>
      <xdr:colOff>123825</xdr:colOff>
      <xdr:row>927</xdr:row>
      <xdr:rowOff>123825</xdr:rowOff>
    </xdr:to>
    <xdr:sp macro="" textlink="">
      <xdr:nvSpPr>
        <xdr:cNvPr id="2393" name="AutoShape 345" descr="Performance Bonuses"/>
        <xdr:cNvSpPr>
          <a:spLocks noChangeAspect="1" noChangeArrowheads="1"/>
        </xdr:cNvSpPr>
      </xdr:nvSpPr>
      <xdr:spPr bwMode="auto">
        <a:xfrm>
          <a:off x="152400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927</xdr:row>
      <xdr:rowOff>0</xdr:rowOff>
    </xdr:from>
    <xdr:to>
      <xdr:col>2</xdr:col>
      <xdr:colOff>257175</xdr:colOff>
      <xdr:row>927</xdr:row>
      <xdr:rowOff>123825</xdr:rowOff>
    </xdr:to>
    <xdr:sp macro="" textlink="">
      <xdr:nvSpPr>
        <xdr:cNvPr id="2394" name="AutoShape 346" descr="Waivers Exempt">
          <a:hlinkClick xmlns:r="http://schemas.openxmlformats.org/officeDocument/2006/relationships" r:id="rId140"/>
        </xdr:cNvPr>
        <xdr:cNvSpPr>
          <a:spLocks noChangeAspect="1" noChangeArrowheads="1"/>
        </xdr:cNvSpPr>
      </xdr:nvSpPr>
      <xdr:spPr bwMode="auto">
        <a:xfrm>
          <a:off x="165735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638</xdr:row>
      <xdr:rowOff>0</xdr:rowOff>
    </xdr:from>
    <xdr:to>
      <xdr:col>2</xdr:col>
      <xdr:colOff>123825</xdr:colOff>
      <xdr:row>638</xdr:row>
      <xdr:rowOff>123825</xdr:rowOff>
    </xdr:to>
    <xdr:sp macro="" textlink="">
      <xdr:nvSpPr>
        <xdr:cNvPr id="2395" name="AutoShape 347" descr="Performance Bonuses"/>
        <xdr:cNvSpPr>
          <a:spLocks noChangeAspect="1" noChangeArrowheads="1"/>
        </xdr:cNvSpPr>
      </xdr:nvSpPr>
      <xdr:spPr bwMode="auto">
        <a:xfrm>
          <a:off x="15240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638</xdr:row>
      <xdr:rowOff>0</xdr:rowOff>
    </xdr:from>
    <xdr:to>
      <xdr:col>2</xdr:col>
      <xdr:colOff>257175</xdr:colOff>
      <xdr:row>638</xdr:row>
      <xdr:rowOff>123825</xdr:rowOff>
    </xdr:to>
    <xdr:sp macro="" textlink="">
      <xdr:nvSpPr>
        <xdr:cNvPr id="2396" name="AutoShape 348" descr="Retained Salary Transaction"/>
        <xdr:cNvSpPr>
          <a:spLocks noChangeAspect="1" noChangeArrowheads="1"/>
        </xdr:cNvSpPr>
      </xdr:nvSpPr>
      <xdr:spPr bwMode="auto">
        <a:xfrm>
          <a:off x="165735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638</xdr:row>
      <xdr:rowOff>0</xdr:rowOff>
    </xdr:from>
    <xdr:to>
      <xdr:col>2</xdr:col>
      <xdr:colOff>390525</xdr:colOff>
      <xdr:row>638</xdr:row>
      <xdr:rowOff>123825</xdr:rowOff>
    </xdr:to>
    <xdr:sp macro="" textlink="">
      <xdr:nvSpPr>
        <xdr:cNvPr id="2397" name="AutoShape 349" descr="Waivers Exempt">
          <a:hlinkClick xmlns:r="http://schemas.openxmlformats.org/officeDocument/2006/relationships" r:id="rId141"/>
        </xdr:cNvPr>
        <xdr:cNvSpPr>
          <a:spLocks noChangeAspect="1" noChangeArrowheads="1"/>
        </xdr:cNvSpPr>
      </xdr:nvSpPr>
      <xdr:spPr bwMode="auto">
        <a:xfrm>
          <a:off x="17907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1195</xdr:row>
      <xdr:rowOff>0</xdr:rowOff>
    </xdr:from>
    <xdr:to>
      <xdr:col>2</xdr:col>
      <xdr:colOff>123825</xdr:colOff>
      <xdr:row>1195</xdr:row>
      <xdr:rowOff>123825</xdr:rowOff>
    </xdr:to>
    <xdr:sp macro="" textlink="">
      <xdr:nvSpPr>
        <xdr:cNvPr id="2398" name="AutoShape 350" descr="Performance Bonuses"/>
        <xdr:cNvSpPr>
          <a:spLocks noChangeAspect="1" noChangeArrowheads="1"/>
        </xdr:cNvSpPr>
      </xdr:nvSpPr>
      <xdr:spPr bwMode="auto">
        <a:xfrm>
          <a:off x="152400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1195</xdr:row>
      <xdr:rowOff>0</xdr:rowOff>
    </xdr:from>
    <xdr:to>
      <xdr:col>2</xdr:col>
      <xdr:colOff>257175</xdr:colOff>
      <xdr:row>1195</xdr:row>
      <xdr:rowOff>123825</xdr:rowOff>
    </xdr:to>
    <xdr:sp macro="" textlink="">
      <xdr:nvSpPr>
        <xdr:cNvPr id="2399" name="AutoShape 351" descr="Waivers Exempt">
          <a:hlinkClick xmlns:r="http://schemas.openxmlformats.org/officeDocument/2006/relationships" r:id="rId142"/>
        </xdr:cNvPr>
        <xdr:cNvSpPr>
          <a:spLocks noChangeAspect="1" noChangeArrowheads="1"/>
        </xdr:cNvSpPr>
      </xdr:nvSpPr>
      <xdr:spPr bwMode="auto">
        <a:xfrm>
          <a:off x="165735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1292</xdr:row>
      <xdr:rowOff>0</xdr:rowOff>
    </xdr:from>
    <xdr:to>
      <xdr:col>2</xdr:col>
      <xdr:colOff>123825</xdr:colOff>
      <xdr:row>1292</xdr:row>
      <xdr:rowOff>123825</xdr:rowOff>
    </xdr:to>
    <xdr:sp macro="" textlink="">
      <xdr:nvSpPr>
        <xdr:cNvPr id="2400" name="AutoShape 352" descr="Performance Bonuses"/>
        <xdr:cNvSpPr>
          <a:spLocks noChangeAspect="1" noChangeArrowheads="1"/>
        </xdr:cNvSpPr>
      </xdr:nvSpPr>
      <xdr:spPr bwMode="auto">
        <a:xfrm>
          <a:off x="152400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1292</xdr:row>
      <xdr:rowOff>0</xdr:rowOff>
    </xdr:from>
    <xdr:to>
      <xdr:col>2</xdr:col>
      <xdr:colOff>257175</xdr:colOff>
      <xdr:row>1292</xdr:row>
      <xdr:rowOff>123825</xdr:rowOff>
    </xdr:to>
    <xdr:sp macro="" textlink="">
      <xdr:nvSpPr>
        <xdr:cNvPr id="2401" name="AutoShape 353" descr="Waivers Exempt">
          <a:hlinkClick xmlns:r="http://schemas.openxmlformats.org/officeDocument/2006/relationships" r:id="rId143"/>
        </xdr:cNvPr>
        <xdr:cNvSpPr>
          <a:spLocks noChangeAspect="1" noChangeArrowheads="1"/>
        </xdr:cNvSpPr>
      </xdr:nvSpPr>
      <xdr:spPr bwMode="auto">
        <a:xfrm>
          <a:off x="165735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397</xdr:row>
      <xdr:rowOff>0</xdr:rowOff>
    </xdr:from>
    <xdr:to>
      <xdr:col>8</xdr:col>
      <xdr:colOff>123825</xdr:colOff>
      <xdr:row>397</xdr:row>
      <xdr:rowOff>104775</xdr:rowOff>
    </xdr:to>
    <xdr:sp macro="" textlink="">
      <xdr:nvSpPr>
        <xdr:cNvPr id="2402" name="AutoShape 354" descr="Arbitration Eligible">
          <a:hlinkClick xmlns:r="http://schemas.openxmlformats.org/officeDocument/2006/relationships" r:id="rId144"/>
        </xdr:cNvPr>
        <xdr:cNvSpPr>
          <a:spLocks noChangeAspect="1" noChangeArrowheads="1"/>
        </xdr:cNvSpPr>
      </xdr:nvSpPr>
      <xdr:spPr bwMode="auto">
        <a:xfrm>
          <a:off x="6096000" y="51177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173</xdr:row>
      <xdr:rowOff>0</xdr:rowOff>
    </xdr:from>
    <xdr:to>
      <xdr:col>8</xdr:col>
      <xdr:colOff>123825</xdr:colOff>
      <xdr:row>173</xdr:row>
      <xdr:rowOff>104775</xdr:rowOff>
    </xdr:to>
    <xdr:sp macro="" textlink="">
      <xdr:nvSpPr>
        <xdr:cNvPr id="2403" name="AutoShape 355" descr="Arbitration Eligible">
          <a:hlinkClick xmlns:r="http://schemas.openxmlformats.org/officeDocument/2006/relationships" r:id="rId145"/>
        </xdr:cNvPr>
        <xdr:cNvSpPr>
          <a:spLocks noChangeAspect="1" noChangeArrowheads="1"/>
        </xdr:cNvSpPr>
      </xdr:nvSpPr>
      <xdr:spPr bwMode="auto">
        <a:xfrm>
          <a:off x="6096000" y="51368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408</xdr:row>
      <xdr:rowOff>0</xdr:rowOff>
    </xdr:from>
    <xdr:to>
      <xdr:col>2</xdr:col>
      <xdr:colOff>123825</xdr:colOff>
      <xdr:row>408</xdr:row>
      <xdr:rowOff>123825</xdr:rowOff>
    </xdr:to>
    <xdr:sp macro="" textlink="">
      <xdr:nvSpPr>
        <xdr:cNvPr id="2404" name="AutoShape 356" descr="Waivers Exempt">
          <a:hlinkClick xmlns:r="http://schemas.openxmlformats.org/officeDocument/2006/relationships" r:id="rId146"/>
        </xdr:cNvPr>
        <xdr:cNvSpPr>
          <a:spLocks noChangeAspect="1" noChangeArrowheads="1"/>
        </xdr:cNvSpPr>
      </xdr:nvSpPr>
      <xdr:spPr bwMode="auto">
        <a:xfrm>
          <a:off x="1524000" y="519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1039</xdr:row>
      <xdr:rowOff>0</xdr:rowOff>
    </xdr:from>
    <xdr:to>
      <xdr:col>2</xdr:col>
      <xdr:colOff>123825</xdr:colOff>
      <xdr:row>1039</xdr:row>
      <xdr:rowOff>123825</xdr:rowOff>
    </xdr:to>
    <xdr:sp macro="" textlink="">
      <xdr:nvSpPr>
        <xdr:cNvPr id="2405" name="AutoShape 357" descr="Waivers Exempt">
          <a:hlinkClick xmlns:r="http://schemas.openxmlformats.org/officeDocument/2006/relationships" r:id="rId147"/>
        </xdr:cNvPr>
        <xdr:cNvSpPr>
          <a:spLocks noChangeAspect="1" noChangeArrowheads="1"/>
        </xdr:cNvSpPr>
      </xdr:nvSpPr>
      <xdr:spPr bwMode="auto">
        <a:xfrm>
          <a:off x="1524000" y="521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123825</xdr:colOff>
      <xdr:row>520</xdr:row>
      <xdr:rowOff>123825</xdr:rowOff>
    </xdr:to>
    <xdr:sp macro="" textlink="">
      <xdr:nvSpPr>
        <xdr:cNvPr id="2406" name="AutoShape 358" descr="Performance Bonuses"/>
        <xdr:cNvSpPr>
          <a:spLocks noChangeAspect="1" noChangeArrowheads="1"/>
        </xdr:cNvSpPr>
      </xdr:nvSpPr>
      <xdr:spPr bwMode="auto">
        <a:xfrm>
          <a:off x="152400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520</xdr:row>
      <xdr:rowOff>0</xdr:rowOff>
    </xdr:from>
    <xdr:to>
      <xdr:col>2</xdr:col>
      <xdr:colOff>257175</xdr:colOff>
      <xdr:row>520</xdr:row>
      <xdr:rowOff>123825</xdr:rowOff>
    </xdr:to>
    <xdr:sp macro="" textlink="">
      <xdr:nvSpPr>
        <xdr:cNvPr id="2407" name="AutoShape 359" descr="Waivers Exempt">
          <a:hlinkClick xmlns:r="http://schemas.openxmlformats.org/officeDocument/2006/relationships" r:id="rId148"/>
        </xdr:cNvPr>
        <xdr:cNvSpPr>
          <a:spLocks noChangeAspect="1" noChangeArrowheads="1"/>
        </xdr:cNvSpPr>
      </xdr:nvSpPr>
      <xdr:spPr bwMode="auto">
        <a:xfrm>
          <a:off x="165735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1265</xdr:row>
      <xdr:rowOff>0</xdr:rowOff>
    </xdr:from>
    <xdr:to>
      <xdr:col>2</xdr:col>
      <xdr:colOff>123825</xdr:colOff>
      <xdr:row>1265</xdr:row>
      <xdr:rowOff>123825</xdr:rowOff>
    </xdr:to>
    <xdr:sp macro="" textlink="">
      <xdr:nvSpPr>
        <xdr:cNvPr id="2408" name="AutoShape 360" descr="Performance Bonuses"/>
        <xdr:cNvSpPr>
          <a:spLocks noChangeAspect="1" noChangeArrowheads="1"/>
        </xdr:cNvSpPr>
      </xdr:nvSpPr>
      <xdr:spPr bwMode="auto">
        <a:xfrm>
          <a:off x="15240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1265</xdr:row>
      <xdr:rowOff>0</xdr:rowOff>
    </xdr:from>
    <xdr:to>
      <xdr:col>2</xdr:col>
      <xdr:colOff>257175</xdr:colOff>
      <xdr:row>1265</xdr:row>
      <xdr:rowOff>123825</xdr:rowOff>
    </xdr:to>
    <xdr:sp macro="" textlink="">
      <xdr:nvSpPr>
        <xdr:cNvPr id="2409" name="AutoShape 361" descr="Retained Salary Transaction"/>
        <xdr:cNvSpPr>
          <a:spLocks noChangeAspect="1" noChangeArrowheads="1"/>
        </xdr:cNvSpPr>
      </xdr:nvSpPr>
      <xdr:spPr bwMode="auto">
        <a:xfrm>
          <a:off x="165735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1265</xdr:row>
      <xdr:rowOff>0</xdr:rowOff>
    </xdr:from>
    <xdr:to>
      <xdr:col>2</xdr:col>
      <xdr:colOff>390525</xdr:colOff>
      <xdr:row>1265</xdr:row>
      <xdr:rowOff>123825</xdr:rowOff>
    </xdr:to>
    <xdr:sp macro="" textlink="">
      <xdr:nvSpPr>
        <xdr:cNvPr id="2410" name="AutoShape 362" descr="Waivers Exempt">
          <a:hlinkClick xmlns:r="http://schemas.openxmlformats.org/officeDocument/2006/relationships" r:id="rId149"/>
        </xdr:cNvPr>
        <xdr:cNvSpPr>
          <a:spLocks noChangeAspect="1" noChangeArrowheads="1"/>
        </xdr:cNvSpPr>
      </xdr:nvSpPr>
      <xdr:spPr bwMode="auto">
        <a:xfrm>
          <a:off x="17907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xdr:row>
      <xdr:rowOff>0</xdr:rowOff>
    </xdr:from>
    <xdr:to>
      <xdr:col>2</xdr:col>
      <xdr:colOff>123825</xdr:colOff>
      <xdr:row>52</xdr:row>
      <xdr:rowOff>123825</xdr:rowOff>
    </xdr:to>
    <xdr:sp macro="" textlink="">
      <xdr:nvSpPr>
        <xdr:cNvPr id="2411" name="AutoShape 363" descr="Performance Bonuses"/>
        <xdr:cNvSpPr>
          <a:spLocks noChangeAspect="1" noChangeArrowheads="1"/>
        </xdr:cNvSpPr>
      </xdr:nvSpPr>
      <xdr:spPr bwMode="auto">
        <a:xfrm>
          <a:off x="15240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xdr:row>
      <xdr:rowOff>0</xdr:rowOff>
    </xdr:from>
    <xdr:to>
      <xdr:col>2</xdr:col>
      <xdr:colOff>257175</xdr:colOff>
      <xdr:row>52</xdr:row>
      <xdr:rowOff>123825</xdr:rowOff>
    </xdr:to>
    <xdr:sp macro="" textlink="">
      <xdr:nvSpPr>
        <xdr:cNvPr id="2412" name="AutoShape 364" descr="Retained Salary Transaction"/>
        <xdr:cNvSpPr>
          <a:spLocks noChangeAspect="1" noChangeArrowheads="1"/>
        </xdr:cNvSpPr>
      </xdr:nvSpPr>
      <xdr:spPr bwMode="auto">
        <a:xfrm>
          <a:off x="16573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xdr:row>
      <xdr:rowOff>0</xdr:rowOff>
    </xdr:from>
    <xdr:to>
      <xdr:col>2</xdr:col>
      <xdr:colOff>390525</xdr:colOff>
      <xdr:row>52</xdr:row>
      <xdr:rowOff>123825</xdr:rowOff>
    </xdr:to>
    <xdr:sp macro="" textlink="">
      <xdr:nvSpPr>
        <xdr:cNvPr id="2413" name="AutoShape 365" descr="Waivers Exempt">
          <a:hlinkClick xmlns:r="http://schemas.openxmlformats.org/officeDocument/2006/relationships" r:id="rId150"/>
        </xdr:cNvPr>
        <xdr:cNvSpPr>
          <a:spLocks noChangeAspect="1" noChangeArrowheads="1"/>
        </xdr:cNvSpPr>
      </xdr:nvSpPr>
      <xdr:spPr bwMode="auto">
        <a:xfrm>
          <a:off x="17907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xdr:row>
      <xdr:rowOff>0</xdr:rowOff>
    </xdr:from>
    <xdr:to>
      <xdr:col>2</xdr:col>
      <xdr:colOff>523875</xdr:colOff>
      <xdr:row>52</xdr:row>
      <xdr:rowOff>123825</xdr:rowOff>
    </xdr:to>
    <xdr:sp macro="" textlink="">
      <xdr:nvSpPr>
        <xdr:cNvPr id="2414" name="AutoShape 366" descr="Exempt from the 50 Contract Limit"/>
        <xdr:cNvSpPr>
          <a:spLocks noChangeAspect="1" noChangeArrowheads="1"/>
        </xdr:cNvSpPr>
      </xdr:nvSpPr>
      <xdr:spPr bwMode="auto">
        <a:xfrm>
          <a:off x="19240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xdr:row>
      <xdr:rowOff>0</xdr:rowOff>
    </xdr:from>
    <xdr:to>
      <xdr:col>2</xdr:col>
      <xdr:colOff>123825</xdr:colOff>
      <xdr:row>105</xdr:row>
      <xdr:rowOff>123825</xdr:rowOff>
    </xdr:to>
    <xdr:sp macro="" textlink="">
      <xdr:nvSpPr>
        <xdr:cNvPr id="2415" name="AutoShape 367" descr="Performance Bonuses"/>
        <xdr:cNvSpPr>
          <a:spLocks noChangeAspect="1" noChangeArrowheads="1"/>
        </xdr:cNvSpPr>
      </xdr:nvSpPr>
      <xdr:spPr bwMode="auto">
        <a:xfrm>
          <a:off x="152400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xdr:row>
      <xdr:rowOff>0</xdr:rowOff>
    </xdr:from>
    <xdr:to>
      <xdr:col>2</xdr:col>
      <xdr:colOff>257175</xdr:colOff>
      <xdr:row>105</xdr:row>
      <xdr:rowOff>123825</xdr:rowOff>
    </xdr:to>
    <xdr:sp macro="" textlink="">
      <xdr:nvSpPr>
        <xdr:cNvPr id="2416" name="AutoShape 368" descr="Waivers Exempt">
          <a:hlinkClick xmlns:r="http://schemas.openxmlformats.org/officeDocument/2006/relationships" r:id="rId151"/>
        </xdr:cNvPr>
        <xdr:cNvSpPr>
          <a:spLocks noChangeAspect="1" noChangeArrowheads="1"/>
        </xdr:cNvSpPr>
      </xdr:nvSpPr>
      <xdr:spPr bwMode="auto">
        <a:xfrm>
          <a:off x="165735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189</xdr:row>
      <xdr:rowOff>0</xdr:rowOff>
    </xdr:from>
    <xdr:to>
      <xdr:col>2</xdr:col>
      <xdr:colOff>123825</xdr:colOff>
      <xdr:row>189</xdr:row>
      <xdr:rowOff>123825</xdr:rowOff>
    </xdr:to>
    <xdr:sp macro="" textlink="">
      <xdr:nvSpPr>
        <xdr:cNvPr id="2417" name="AutoShape 369" descr="Performance Bonuses"/>
        <xdr:cNvSpPr>
          <a:spLocks noChangeAspect="1" noChangeArrowheads="1"/>
        </xdr:cNvSpPr>
      </xdr:nvSpPr>
      <xdr:spPr bwMode="auto">
        <a:xfrm>
          <a:off x="152400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189</xdr:row>
      <xdr:rowOff>0</xdr:rowOff>
    </xdr:from>
    <xdr:to>
      <xdr:col>2</xdr:col>
      <xdr:colOff>257175</xdr:colOff>
      <xdr:row>189</xdr:row>
      <xdr:rowOff>123825</xdr:rowOff>
    </xdr:to>
    <xdr:sp macro="" textlink="">
      <xdr:nvSpPr>
        <xdr:cNvPr id="2418" name="AutoShape 370" descr="Waivers Exempt">
          <a:hlinkClick xmlns:r="http://schemas.openxmlformats.org/officeDocument/2006/relationships" r:id="rId152"/>
        </xdr:cNvPr>
        <xdr:cNvSpPr>
          <a:spLocks noChangeAspect="1" noChangeArrowheads="1"/>
        </xdr:cNvSpPr>
      </xdr:nvSpPr>
      <xdr:spPr bwMode="auto">
        <a:xfrm>
          <a:off x="165735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315</xdr:row>
      <xdr:rowOff>0</xdr:rowOff>
    </xdr:from>
    <xdr:to>
      <xdr:col>2</xdr:col>
      <xdr:colOff>123825</xdr:colOff>
      <xdr:row>315</xdr:row>
      <xdr:rowOff>123825</xdr:rowOff>
    </xdr:to>
    <xdr:sp macro="" textlink="">
      <xdr:nvSpPr>
        <xdr:cNvPr id="2419" name="AutoShape 371" descr="Performance Bonuses"/>
        <xdr:cNvSpPr>
          <a:spLocks noChangeAspect="1" noChangeArrowheads="1"/>
        </xdr:cNvSpPr>
      </xdr:nvSpPr>
      <xdr:spPr bwMode="auto">
        <a:xfrm>
          <a:off x="152400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315</xdr:row>
      <xdr:rowOff>0</xdr:rowOff>
    </xdr:from>
    <xdr:to>
      <xdr:col>2</xdr:col>
      <xdr:colOff>257175</xdr:colOff>
      <xdr:row>315</xdr:row>
      <xdr:rowOff>123825</xdr:rowOff>
    </xdr:to>
    <xdr:sp macro="" textlink="">
      <xdr:nvSpPr>
        <xdr:cNvPr id="2420" name="AutoShape 372" descr="Waivers Exempt">
          <a:hlinkClick xmlns:r="http://schemas.openxmlformats.org/officeDocument/2006/relationships" r:id="rId153"/>
        </xdr:cNvPr>
        <xdr:cNvSpPr>
          <a:spLocks noChangeAspect="1" noChangeArrowheads="1"/>
        </xdr:cNvSpPr>
      </xdr:nvSpPr>
      <xdr:spPr bwMode="auto">
        <a:xfrm>
          <a:off x="165735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1249</xdr:row>
      <xdr:rowOff>0</xdr:rowOff>
    </xdr:from>
    <xdr:to>
      <xdr:col>2</xdr:col>
      <xdr:colOff>123825</xdr:colOff>
      <xdr:row>1249</xdr:row>
      <xdr:rowOff>123825</xdr:rowOff>
    </xdr:to>
    <xdr:sp macro="" textlink="">
      <xdr:nvSpPr>
        <xdr:cNvPr id="2421" name="AutoShape 373" descr="Waivers Exempt">
          <a:hlinkClick xmlns:r="http://schemas.openxmlformats.org/officeDocument/2006/relationships" r:id="rId154"/>
        </xdr:cNvPr>
        <xdr:cNvSpPr>
          <a:spLocks noChangeAspect="1" noChangeArrowheads="1"/>
        </xdr:cNvSpPr>
      </xdr:nvSpPr>
      <xdr:spPr bwMode="auto">
        <a:xfrm>
          <a:off x="1524000" y="549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674</xdr:row>
      <xdr:rowOff>0</xdr:rowOff>
    </xdr:from>
    <xdr:to>
      <xdr:col>2</xdr:col>
      <xdr:colOff>123825</xdr:colOff>
      <xdr:row>674</xdr:row>
      <xdr:rowOff>123825</xdr:rowOff>
    </xdr:to>
    <xdr:sp macro="" textlink="">
      <xdr:nvSpPr>
        <xdr:cNvPr id="2422" name="AutoShape 374" descr="Performance Bonuses"/>
        <xdr:cNvSpPr>
          <a:spLocks noChangeAspect="1" noChangeArrowheads="1"/>
        </xdr:cNvSpPr>
      </xdr:nvSpPr>
      <xdr:spPr bwMode="auto">
        <a:xfrm>
          <a:off x="152400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674</xdr:row>
      <xdr:rowOff>0</xdr:rowOff>
    </xdr:from>
    <xdr:to>
      <xdr:col>2</xdr:col>
      <xdr:colOff>257175</xdr:colOff>
      <xdr:row>674</xdr:row>
      <xdr:rowOff>123825</xdr:rowOff>
    </xdr:to>
    <xdr:sp macro="" textlink="">
      <xdr:nvSpPr>
        <xdr:cNvPr id="2423" name="AutoShape 375" descr="Waivers Exempt">
          <a:hlinkClick xmlns:r="http://schemas.openxmlformats.org/officeDocument/2006/relationships" r:id="rId155"/>
        </xdr:cNvPr>
        <xdr:cNvSpPr>
          <a:spLocks noChangeAspect="1" noChangeArrowheads="1"/>
        </xdr:cNvSpPr>
      </xdr:nvSpPr>
      <xdr:spPr bwMode="auto">
        <a:xfrm>
          <a:off x="165735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1086</xdr:row>
      <xdr:rowOff>0</xdr:rowOff>
    </xdr:from>
    <xdr:to>
      <xdr:col>2</xdr:col>
      <xdr:colOff>123825</xdr:colOff>
      <xdr:row>1086</xdr:row>
      <xdr:rowOff>123825</xdr:rowOff>
    </xdr:to>
    <xdr:sp macro="" textlink="">
      <xdr:nvSpPr>
        <xdr:cNvPr id="2424" name="AutoShape 376" descr="Performance Bonuses"/>
        <xdr:cNvSpPr>
          <a:spLocks noChangeAspect="1" noChangeArrowheads="1"/>
        </xdr:cNvSpPr>
      </xdr:nvSpPr>
      <xdr:spPr bwMode="auto">
        <a:xfrm>
          <a:off x="152400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1086</xdr:row>
      <xdr:rowOff>0</xdr:rowOff>
    </xdr:from>
    <xdr:to>
      <xdr:col>2</xdr:col>
      <xdr:colOff>257175</xdr:colOff>
      <xdr:row>1086</xdr:row>
      <xdr:rowOff>123825</xdr:rowOff>
    </xdr:to>
    <xdr:sp macro="" textlink="">
      <xdr:nvSpPr>
        <xdr:cNvPr id="2425" name="AutoShape 377" descr="Waivers Exempt">
          <a:hlinkClick xmlns:r="http://schemas.openxmlformats.org/officeDocument/2006/relationships" r:id="rId156"/>
        </xdr:cNvPr>
        <xdr:cNvSpPr>
          <a:spLocks noChangeAspect="1" noChangeArrowheads="1"/>
        </xdr:cNvSpPr>
      </xdr:nvSpPr>
      <xdr:spPr bwMode="auto">
        <a:xfrm>
          <a:off x="165735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857</xdr:row>
      <xdr:rowOff>0</xdr:rowOff>
    </xdr:from>
    <xdr:to>
      <xdr:col>2</xdr:col>
      <xdr:colOff>123825</xdr:colOff>
      <xdr:row>857</xdr:row>
      <xdr:rowOff>123825</xdr:rowOff>
    </xdr:to>
    <xdr:sp macro="" textlink="">
      <xdr:nvSpPr>
        <xdr:cNvPr id="2426" name="AutoShape 378" descr="Performance Bonuses"/>
        <xdr:cNvSpPr>
          <a:spLocks noChangeAspect="1" noChangeArrowheads="1"/>
        </xdr:cNvSpPr>
      </xdr:nvSpPr>
      <xdr:spPr bwMode="auto">
        <a:xfrm>
          <a:off x="152400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857</xdr:row>
      <xdr:rowOff>0</xdr:rowOff>
    </xdr:from>
    <xdr:to>
      <xdr:col>2</xdr:col>
      <xdr:colOff>257175</xdr:colOff>
      <xdr:row>857</xdr:row>
      <xdr:rowOff>123825</xdr:rowOff>
    </xdr:to>
    <xdr:sp macro="" textlink="">
      <xdr:nvSpPr>
        <xdr:cNvPr id="2427" name="AutoShape 379" descr="Waivers Exempt">
          <a:hlinkClick xmlns:r="http://schemas.openxmlformats.org/officeDocument/2006/relationships" r:id="rId157"/>
        </xdr:cNvPr>
        <xdr:cNvSpPr>
          <a:spLocks noChangeAspect="1" noChangeArrowheads="1"/>
        </xdr:cNvSpPr>
      </xdr:nvSpPr>
      <xdr:spPr bwMode="auto">
        <a:xfrm>
          <a:off x="165735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587</xdr:row>
      <xdr:rowOff>0</xdr:rowOff>
    </xdr:from>
    <xdr:to>
      <xdr:col>2</xdr:col>
      <xdr:colOff>123825</xdr:colOff>
      <xdr:row>587</xdr:row>
      <xdr:rowOff>123825</xdr:rowOff>
    </xdr:to>
    <xdr:sp macro="" textlink="">
      <xdr:nvSpPr>
        <xdr:cNvPr id="2428" name="AutoShape 380" descr="Waivers Exempt">
          <a:hlinkClick xmlns:r="http://schemas.openxmlformats.org/officeDocument/2006/relationships" r:id="rId158"/>
        </xdr:cNvPr>
        <xdr:cNvSpPr>
          <a:spLocks noChangeAspect="1" noChangeArrowheads="1"/>
        </xdr:cNvSpPr>
      </xdr:nvSpPr>
      <xdr:spPr bwMode="auto">
        <a:xfrm>
          <a:off x="1524000" y="5649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393</xdr:row>
      <xdr:rowOff>0</xdr:rowOff>
    </xdr:from>
    <xdr:to>
      <xdr:col>7</xdr:col>
      <xdr:colOff>123825</xdr:colOff>
      <xdr:row>393</xdr:row>
      <xdr:rowOff>104775</xdr:rowOff>
    </xdr:to>
    <xdr:sp macro="" textlink="">
      <xdr:nvSpPr>
        <xdr:cNvPr id="2429" name="AutoShape 381" descr="Arbitration Eligible">
          <a:hlinkClick xmlns:r="http://schemas.openxmlformats.org/officeDocument/2006/relationships" r:id="rId159"/>
        </xdr:cNvPr>
        <xdr:cNvSpPr>
          <a:spLocks noChangeAspect="1" noChangeArrowheads="1"/>
        </xdr:cNvSpPr>
      </xdr:nvSpPr>
      <xdr:spPr bwMode="auto">
        <a:xfrm>
          <a:off x="5334000" y="5063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1047</xdr:row>
      <xdr:rowOff>0</xdr:rowOff>
    </xdr:from>
    <xdr:to>
      <xdr:col>2</xdr:col>
      <xdr:colOff>123825</xdr:colOff>
      <xdr:row>1047</xdr:row>
      <xdr:rowOff>123825</xdr:rowOff>
    </xdr:to>
    <xdr:sp macro="" textlink="">
      <xdr:nvSpPr>
        <xdr:cNvPr id="2430" name="AutoShape 382" descr="Performance Bonuses"/>
        <xdr:cNvSpPr>
          <a:spLocks noChangeAspect="1" noChangeArrowheads="1"/>
        </xdr:cNvSpPr>
      </xdr:nvSpPr>
      <xdr:spPr bwMode="auto">
        <a:xfrm>
          <a:off x="1524000" y="5082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312</xdr:row>
      <xdr:rowOff>0</xdr:rowOff>
    </xdr:from>
    <xdr:to>
      <xdr:col>8</xdr:col>
      <xdr:colOff>123825</xdr:colOff>
      <xdr:row>312</xdr:row>
      <xdr:rowOff>104775</xdr:rowOff>
    </xdr:to>
    <xdr:sp macro="" textlink="">
      <xdr:nvSpPr>
        <xdr:cNvPr id="2431" name="AutoShape 383" descr="Arbitration Eligible">
          <a:hlinkClick xmlns:r="http://schemas.openxmlformats.org/officeDocument/2006/relationships" r:id="rId160"/>
        </xdr:cNvPr>
        <xdr:cNvSpPr>
          <a:spLocks noChangeAspect="1" noChangeArrowheads="1"/>
        </xdr:cNvSpPr>
      </xdr:nvSpPr>
      <xdr:spPr bwMode="auto">
        <a:xfrm>
          <a:off x="6096000" y="5101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589</xdr:row>
      <xdr:rowOff>0</xdr:rowOff>
    </xdr:from>
    <xdr:to>
      <xdr:col>2</xdr:col>
      <xdr:colOff>123825</xdr:colOff>
      <xdr:row>589</xdr:row>
      <xdr:rowOff>123825</xdr:rowOff>
    </xdr:to>
    <xdr:sp macro="" textlink="">
      <xdr:nvSpPr>
        <xdr:cNvPr id="2432" name="AutoShape 384" descr="Waivers Exempt">
          <a:hlinkClick xmlns:r="http://schemas.openxmlformats.org/officeDocument/2006/relationships" r:id="rId161"/>
        </xdr:cNvPr>
        <xdr:cNvSpPr>
          <a:spLocks noChangeAspect="1" noChangeArrowheads="1"/>
        </xdr:cNvSpPr>
      </xdr:nvSpPr>
      <xdr:spPr bwMode="auto">
        <a:xfrm>
          <a:off x="1524000" y="5120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1207</xdr:row>
      <xdr:rowOff>0</xdr:rowOff>
    </xdr:from>
    <xdr:to>
      <xdr:col>2</xdr:col>
      <xdr:colOff>123825</xdr:colOff>
      <xdr:row>1207</xdr:row>
      <xdr:rowOff>123825</xdr:rowOff>
    </xdr:to>
    <xdr:sp macro="" textlink="">
      <xdr:nvSpPr>
        <xdr:cNvPr id="2433" name="AutoShape 385" descr="Performance Bonuses"/>
        <xdr:cNvSpPr>
          <a:spLocks noChangeAspect="1" noChangeArrowheads="1"/>
        </xdr:cNvSpPr>
      </xdr:nvSpPr>
      <xdr:spPr bwMode="auto">
        <a:xfrm>
          <a:off x="1524000" y="531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574</xdr:row>
      <xdr:rowOff>0</xdr:rowOff>
    </xdr:from>
    <xdr:to>
      <xdr:col>2</xdr:col>
      <xdr:colOff>123825</xdr:colOff>
      <xdr:row>574</xdr:row>
      <xdr:rowOff>123825</xdr:rowOff>
    </xdr:to>
    <xdr:sp macro="" textlink="">
      <xdr:nvSpPr>
        <xdr:cNvPr id="2434" name="AutoShape 386" descr="Performance Bonuses"/>
        <xdr:cNvSpPr>
          <a:spLocks noChangeAspect="1" noChangeArrowheads="1"/>
        </xdr:cNvSpPr>
      </xdr:nvSpPr>
      <xdr:spPr bwMode="auto">
        <a:xfrm>
          <a:off x="152400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574</xdr:row>
      <xdr:rowOff>0</xdr:rowOff>
    </xdr:from>
    <xdr:to>
      <xdr:col>2</xdr:col>
      <xdr:colOff>257175</xdr:colOff>
      <xdr:row>574</xdr:row>
      <xdr:rowOff>123825</xdr:rowOff>
    </xdr:to>
    <xdr:sp macro="" textlink="">
      <xdr:nvSpPr>
        <xdr:cNvPr id="2435" name="AutoShape 387" descr="Waivers Exempt">
          <a:hlinkClick xmlns:r="http://schemas.openxmlformats.org/officeDocument/2006/relationships" r:id="rId162"/>
        </xdr:cNvPr>
        <xdr:cNvSpPr>
          <a:spLocks noChangeAspect="1" noChangeArrowheads="1"/>
        </xdr:cNvSpPr>
      </xdr:nvSpPr>
      <xdr:spPr bwMode="auto">
        <a:xfrm>
          <a:off x="165735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646</xdr:row>
      <xdr:rowOff>0</xdr:rowOff>
    </xdr:from>
    <xdr:to>
      <xdr:col>4</xdr:col>
      <xdr:colOff>114300</xdr:colOff>
      <xdr:row>646</xdr:row>
      <xdr:rowOff>114300</xdr:rowOff>
    </xdr:to>
    <xdr:sp macro="" textlink="">
      <xdr:nvSpPr>
        <xdr:cNvPr id="2436" name="AutoShape 388" descr="https://capfriendly-wlb8ng5.stackpathdns.com/assets/images/icons/players/injury.svg"/>
        <xdr:cNvSpPr>
          <a:spLocks noChangeAspect="1" noChangeArrowheads="1"/>
        </xdr:cNvSpPr>
      </xdr:nvSpPr>
      <xdr:spPr bwMode="auto">
        <a:xfrm>
          <a:off x="3048000" y="55749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7" name="AutoShape 389" descr="https://capfriendly-wlb8ng5.stackpathdns.com/assets/images/icons/general/q.svg"/>
        <xdr:cNvSpPr>
          <a:spLocks noChangeAspect="1" noChangeArrowheads="1"/>
        </xdr:cNvSpPr>
      </xdr:nvSpPr>
      <xdr:spPr bwMode="auto">
        <a:xfrm>
          <a:off x="1524000" y="571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8" name="AutoShape 390" descr="https://capfriendly-wlb8ng5.stackpathdns.com/assets/images/icons/general/q.svg"/>
        <xdr:cNvSpPr>
          <a:spLocks noChangeAspect="1" noChangeArrowheads="1"/>
        </xdr:cNvSpPr>
      </xdr:nvSpPr>
      <xdr:spPr bwMode="auto">
        <a:xfrm>
          <a:off x="1524000" y="572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9" name="AutoShape 391" descr="https://capfriendly-wlb8ng5.stackpathdns.com/assets/images/icons/general/q.svg"/>
        <xdr:cNvSpPr>
          <a:spLocks noChangeAspect="1" noChangeArrowheads="1"/>
        </xdr:cNvSpPr>
      </xdr:nvSpPr>
      <xdr:spPr bwMode="auto">
        <a:xfrm>
          <a:off x="1524000" y="574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0" name="AutoShape 392" descr="https://capfriendly-wlb8ng5.stackpathdns.com/assets/images/icons/general/q.svg"/>
        <xdr:cNvSpPr>
          <a:spLocks noChangeAspect="1" noChangeArrowheads="1"/>
        </xdr:cNvSpPr>
      </xdr:nvSpPr>
      <xdr:spPr bwMode="auto">
        <a:xfrm>
          <a:off x="1524000" y="576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1" name="AutoShape 393" descr="https://capfriendly-wlb8ng5.stackpathdns.com/assets/images/icons/general/q.svg"/>
        <xdr:cNvSpPr>
          <a:spLocks noChangeAspect="1" noChangeArrowheads="1"/>
        </xdr:cNvSpPr>
      </xdr:nvSpPr>
      <xdr:spPr bwMode="auto">
        <a:xfrm>
          <a:off x="1524000" y="578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2" name="AutoShape 394" descr="https://capfriendly-wlb8ng5.stackpathdns.com/assets/images/icons/general/q.svg"/>
        <xdr:cNvSpPr>
          <a:spLocks noChangeAspect="1" noChangeArrowheads="1"/>
        </xdr:cNvSpPr>
      </xdr:nvSpPr>
      <xdr:spPr bwMode="auto">
        <a:xfrm>
          <a:off x="1524000" y="580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3" name="AutoShape 395" descr="https://capfriendly-wlb8ng5.stackpathdns.com/assets/images/icons/general/q.svg"/>
        <xdr:cNvSpPr>
          <a:spLocks noChangeAspect="1" noChangeArrowheads="1"/>
        </xdr:cNvSpPr>
      </xdr:nvSpPr>
      <xdr:spPr bwMode="auto">
        <a:xfrm>
          <a:off x="1524000" y="582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4" name="AutoShape 396" descr="https://capfriendly-wlb8ng5.stackpathdns.com/assets/images/icons/general/q.svg"/>
        <xdr:cNvSpPr>
          <a:spLocks noChangeAspect="1" noChangeArrowheads="1"/>
        </xdr:cNvSpPr>
      </xdr:nvSpPr>
      <xdr:spPr bwMode="auto">
        <a:xfrm>
          <a:off x="1524000" y="584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5" name="AutoShape 397" descr="https://capfriendly-wlb8ng5.stackpathdns.com/assets/images/icons/general/q.svg"/>
        <xdr:cNvSpPr>
          <a:spLocks noChangeAspect="1" noChangeArrowheads="1"/>
        </xdr:cNvSpPr>
      </xdr:nvSpPr>
      <xdr:spPr bwMode="auto">
        <a:xfrm>
          <a:off x="1524000" y="586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6" name="AutoShape 398" descr="https://capfriendly-wlb8ng5.stackpathdns.com/assets/images/icons/general/q.svg"/>
        <xdr:cNvSpPr>
          <a:spLocks noChangeAspect="1" noChangeArrowheads="1"/>
        </xdr:cNvSpPr>
      </xdr:nvSpPr>
      <xdr:spPr bwMode="auto">
        <a:xfrm>
          <a:off x="1524000" y="588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7" name="AutoShape 399" descr="https://capfriendly-wlb8ng5.stackpathdns.com/assets/images/icons/general/q.svg"/>
        <xdr:cNvSpPr>
          <a:spLocks noChangeAspect="1" noChangeArrowheads="1"/>
        </xdr:cNvSpPr>
      </xdr:nvSpPr>
      <xdr:spPr bwMode="auto">
        <a:xfrm>
          <a:off x="1524000" y="590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8" name="AutoShape 400" descr="Waivers Exempt">
          <a:hlinkClick xmlns:r="http://schemas.openxmlformats.org/officeDocument/2006/relationships" r:id="rId163"/>
        </xdr:cNvPr>
        <xdr:cNvSpPr>
          <a:spLocks noChangeAspect="1" noChangeArrowheads="1"/>
        </xdr:cNvSpPr>
      </xdr:nvSpPr>
      <xdr:spPr bwMode="auto">
        <a:xfrm>
          <a:off x="1524000" y="595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123825</xdr:colOff>
      <xdr:row>457</xdr:row>
      <xdr:rowOff>123825</xdr:rowOff>
    </xdr:to>
    <xdr:sp macro="" textlink="">
      <xdr:nvSpPr>
        <xdr:cNvPr id="2449" name="AutoShape 401" descr="Waivers Exempt">
          <a:hlinkClick xmlns:r="http://schemas.openxmlformats.org/officeDocument/2006/relationships" r:id="rId164"/>
        </xdr:cNvPr>
        <xdr:cNvSpPr>
          <a:spLocks noChangeAspect="1" noChangeArrowheads="1"/>
        </xdr:cNvSpPr>
      </xdr:nvSpPr>
      <xdr:spPr bwMode="auto">
        <a:xfrm>
          <a:off x="1524000" y="597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402</xdr:row>
      <xdr:rowOff>0</xdr:rowOff>
    </xdr:from>
    <xdr:to>
      <xdr:col>2</xdr:col>
      <xdr:colOff>123825</xdr:colOff>
      <xdr:row>402</xdr:row>
      <xdr:rowOff>123825</xdr:rowOff>
    </xdr:to>
    <xdr:sp macro="" textlink="">
      <xdr:nvSpPr>
        <xdr:cNvPr id="2450" name="AutoShape 402" descr="Waivers Exempt">
          <a:hlinkClick xmlns:r="http://schemas.openxmlformats.org/officeDocument/2006/relationships" r:id="rId165"/>
        </xdr:cNvPr>
        <xdr:cNvSpPr>
          <a:spLocks noChangeAspect="1" noChangeArrowheads="1"/>
        </xdr:cNvSpPr>
      </xdr:nvSpPr>
      <xdr:spPr bwMode="auto">
        <a:xfrm>
          <a:off x="1524000" y="599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1370</xdr:row>
      <xdr:rowOff>0</xdr:rowOff>
    </xdr:from>
    <xdr:to>
      <xdr:col>2</xdr:col>
      <xdr:colOff>123825</xdr:colOff>
      <xdr:row>1370</xdr:row>
      <xdr:rowOff>123825</xdr:rowOff>
    </xdr:to>
    <xdr:sp macro="" textlink="">
      <xdr:nvSpPr>
        <xdr:cNvPr id="2451" name="AutoShape 403" descr="Waivers Exempt">
          <a:hlinkClick xmlns:r="http://schemas.openxmlformats.org/officeDocument/2006/relationships" r:id="rId166"/>
        </xdr:cNvPr>
        <xdr:cNvSpPr>
          <a:spLocks noChangeAspect="1" noChangeArrowheads="1"/>
        </xdr:cNvSpPr>
      </xdr:nvSpPr>
      <xdr:spPr bwMode="auto">
        <a:xfrm>
          <a:off x="1524000" y="601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924</xdr:row>
      <xdr:rowOff>0</xdr:rowOff>
    </xdr:from>
    <xdr:to>
      <xdr:col>2</xdr:col>
      <xdr:colOff>123825</xdr:colOff>
      <xdr:row>924</xdr:row>
      <xdr:rowOff>123825</xdr:rowOff>
    </xdr:to>
    <xdr:sp macro="" textlink="">
      <xdr:nvSpPr>
        <xdr:cNvPr id="2452" name="AutoShape 404" descr="Waivers Exempt">
          <a:hlinkClick xmlns:r="http://schemas.openxmlformats.org/officeDocument/2006/relationships" r:id="rId167"/>
        </xdr:cNvPr>
        <xdr:cNvSpPr>
          <a:spLocks noChangeAspect="1" noChangeArrowheads="1"/>
        </xdr:cNvSpPr>
      </xdr:nvSpPr>
      <xdr:spPr bwMode="auto">
        <a:xfrm>
          <a:off x="1524000" y="603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299</xdr:row>
      <xdr:rowOff>0</xdr:rowOff>
    </xdr:from>
    <xdr:to>
      <xdr:col>2</xdr:col>
      <xdr:colOff>123825</xdr:colOff>
      <xdr:row>299</xdr:row>
      <xdr:rowOff>123825</xdr:rowOff>
    </xdr:to>
    <xdr:sp macro="" textlink="">
      <xdr:nvSpPr>
        <xdr:cNvPr id="2453" name="AutoShape 405" descr="Performance Bonuses"/>
        <xdr:cNvSpPr>
          <a:spLocks noChangeAspect="1" noChangeArrowheads="1"/>
        </xdr:cNvSpPr>
      </xdr:nvSpPr>
      <xdr:spPr bwMode="auto">
        <a:xfrm>
          <a:off x="15240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299</xdr:row>
      <xdr:rowOff>0</xdr:rowOff>
    </xdr:from>
    <xdr:to>
      <xdr:col>2</xdr:col>
      <xdr:colOff>257175</xdr:colOff>
      <xdr:row>299</xdr:row>
      <xdr:rowOff>123825</xdr:rowOff>
    </xdr:to>
    <xdr:sp macro="" textlink="">
      <xdr:nvSpPr>
        <xdr:cNvPr id="2454" name="AutoShape 406" descr="Retained Salary Transaction"/>
        <xdr:cNvSpPr>
          <a:spLocks noChangeAspect="1" noChangeArrowheads="1"/>
        </xdr:cNvSpPr>
      </xdr:nvSpPr>
      <xdr:spPr bwMode="auto">
        <a:xfrm>
          <a:off x="16573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299</xdr:row>
      <xdr:rowOff>0</xdr:rowOff>
    </xdr:from>
    <xdr:to>
      <xdr:col>2</xdr:col>
      <xdr:colOff>390525</xdr:colOff>
      <xdr:row>299</xdr:row>
      <xdr:rowOff>123825</xdr:rowOff>
    </xdr:to>
    <xdr:sp macro="" textlink="">
      <xdr:nvSpPr>
        <xdr:cNvPr id="2455" name="AutoShape 407" descr="Waivers Exempt">
          <a:hlinkClick xmlns:r="http://schemas.openxmlformats.org/officeDocument/2006/relationships" r:id="rId168"/>
        </xdr:cNvPr>
        <xdr:cNvSpPr>
          <a:spLocks noChangeAspect="1" noChangeArrowheads="1"/>
        </xdr:cNvSpPr>
      </xdr:nvSpPr>
      <xdr:spPr bwMode="auto">
        <a:xfrm>
          <a:off x="17907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299</xdr:row>
      <xdr:rowOff>0</xdr:rowOff>
    </xdr:from>
    <xdr:to>
      <xdr:col>2</xdr:col>
      <xdr:colOff>523875</xdr:colOff>
      <xdr:row>299</xdr:row>
      <xdr:rowOff>123825</xdr:rowOff>
    </xdr:to>
    <xdr:sp macro="" textlink="">
      <xdr:nvSpPr>
        <xdr:cNvPr id="2456" name="AutoShape 408" descr="Exempt from the 50 Contract Limit"/>
        <xdr:cNvSpPr>
          <a:spLocks noChangeAspect="1" noChangeArrowheads="1"/>
        </xdr:cNvSpPr>
      </xdr:nvSpPr>
      <xdr:spPr bwMode="auto">
        <a:xfrm>
          <a:off x="19240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123825</xdr:colOff>
      <xdr:row>530</xdr:row>
      <xdr:rowOff>123825</xdr:rowOff>
    </xdr:to>
    <xdr:sp macro="" textlink="">
      <xdr:nvSpPr>
        <xdr:cNvPr id="2457" name="AutoShape 409" descr="Performance Bonuses"/>
        <xdr:cNvSpPr>
          <a:spLocks noChangeAspect="1" noChangeArrowheads="1"/>
        </xdr:cNvSpPr>
      </xdr:nvSpPr>
      <xdr:spPr bwMode="auto">
        <a:xfrm>
          <a:off x="152400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530</xdr:row>
      <xdr:rowOff>0</xdr:rowOff>
    </xdr:from>
    <xdr:to>
      <xdr:col>2</xdr:col>
      <xdr:colOff>257175</xdr:colOff>
      <xdr:row>530</xdr:row>
      <xdr:rowOff>123825</xdr:rowOff>
    </xdr:to>
    <xdr:sp macro="" textlink="">
      <xdr:nvSpPr>
        <xdr:cNvPr id="2458" name="AutoShape 410" descr="Waivers Exempt">
          <a:hlinkClick xmlns:r="http://schemas.openxmlformats.org/officeDocument/2006/relationships" r:id="rId169"/>
        </xdr:cNvPr>
        <xdr:cNvSpPr>
          <a:spLocks noChangeAspect="1" noChangeArrowheads="1"/>
        </xdr:cNvSpPr>
      </xdr:nvSpPr>
      <xdr:spPr bwMode="auto">
        <a:xfrm>
          <a:off x="165735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278</xdr:row>
      <xdr:rowOff>0</xdr:rowOff>
    </xdr:from>
    <xdr:to>
      <xdr:col>2</xdr:col>
      <xdr:colOff>123825</xdr:colOff>
      <xdr:row>278</xdr:row>
      <xdr:rowOff>123825</xdr:rowOff>
    </xdr:to>
    <xdr:sp macro="" textlink="">
      <xdr:nvSpPr>
        <xdr:cNvPr id="2459" name="AutoShape 411" descr="Performance Bonuses"/>
        <xdr:cNvSpPr>
          <a:spLocks noChangeAspect="1" noChangeArrowheads="1"/>
        </xdr:cNvSpPr>
      </xdr:nvSpPr>
      <xdr:spPr bwMode="auto">
        <a:xfrm>
          <a:off x="15240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278</xdr:row>
      <xdr:rowOff>0</xdr:rowOff>
    </xdr:from>
    <xdr:to>
      <xdr:col>2</xdr:col>
      <xdr:colOff>257175</xdr:colOff>
      <xdr:row>278</xdr:row>
      <xdr:rowOff>123825</xdr:rowOff>
    </xdr:to>
    <xdr:sp macro="" textlink="">
      <xdr:nvSpPr>
        <xdr:cNvPr id="2460" name="AutoShape 412" descr="Retained Salary Transaction"/>
        <xdr:cNvSpPr>
          <a:spLocks noChangeAspect="1" noChangeArrowheads="1"/>
        </xdr:cNvSpPr>
      </xdr:nvSpPr>
      <xdr:spPr bwMode="auto">
        <a:xfrm>
          <a:off x="16573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278</xdr:row>
      <xdr:rowOff>0</xdr:rowOff>
    </xdr:from>
    <xdr:to>
      <xdr:col>2</xdr:col>
      <xdr:colOff>390525</xdr:colOff>
      <xdr:row>278</xdr:row>
      <xdr:rowOff>123825</xdr:rowOff>
    </xdr:to>
    <xdr:sp macro="" textlink="">
      <xdr:nvSpPr>
        <xdr:cNvPr id="2461" name="AutoShape 413" descr="Waivers Exempt">
          <a:hlinkClick xmlns:r="http://schemas.openxmlformats.org/officeDocument/2006/relationships" r:id="rId170"/>
        </xdr:cNvPr>
        <xdr:cNvSpPr>
          <a:spLocks noChangeAspect="1" noChangeArrowheads="1"/>
        </xdr:cNvSpPr>
      </xdr:nvSpPr>
      <xdr:spPr bwMode="auto">
        <a:xfrm>
          <a:off x="17907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278</xdr:row>
      <xdr:rowOff>0</xdr:rowOff>
    </xdr:from>
    <xdr:to>
      <xdr:col>2</xdr:col>
      <xdr:colOff>523875</xdr:colOff>
      <xdr:row>278</xdr:row>
      <xdr:rowOff>123825</xdr:rowOff>
    </xdr:to>
    <xdr:sp macro="" textlink="">
      <xdr:nvSpPr>
        <xdr:cNvPr id="2462" name="AutoShape 414" descr="Exempt from the 50 Contract Limit"/>
        <xdr:cNvSpPr>
          <a:spLocks noChangeAspect="1" noChangeArrowheads="1"/>
        </xdr:cNvSpPr>
      </xdr:nvSpPr>
      <xdr:spPr bwMode="auto">
        <a:xfrm>
          <a:off x="19240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1136</xdr:row>
      <xdr:rowOff>0</xdr:rowOff>
    </xdr:from>
    <xdr:to>
      <xdr:col>2</xdr:col>
      <xdr:colOff>123825</xdr:colOff>
      <xdr:row>1136</xdr:row>
      <xdr:rowOff>123825</xdr:rowOff>
    </xdr:to>
    <xdr:sp macro="" textlink="">
      <xdr:nvSpPr>
        <xdr:cNvPr id="2463" name="AutoShape 415" descr="Performance Bonuses"/>
        <xdr:cNvSpPr>
          <a:spLocks noChangeAspect="1" noChangeArrowheads="1"/>
        </xdr:cNvSpPr>
      </xdr:nvSpPr>
      <xdr:spPr bwMode="auto">
        <a:xfrm>
          <a:off x="152400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1136</xdr:row>
      <xdr:rowOff>0</xdr:rowOff>
    </xdr:from>
    <xdr:to>
      <xdr:col>2</xdr:col>
      <xdr:colOff>257175</xdr:colOff>
      <xdr:row>1136</xdr:row>
      <xdr:rowOff>123825</xdr:rowOff>
    </xdr:to>
    <xdr:sp macro="" textlink="">
      <xdr:nvSpPr>
        <xdr:cNvPr id="2464" name="AutoShape 416" descr="Waivers Exempt">
          <a:hlinkClick xmlns:r="http://schemas.openxmlformats.org/officeDocument/2006/relationships" r:id="rId171"/>
        </xdr:cNvPr>
        <xdr:cNvSpPr>
          <a:spLocks noChangeAspect="1" noChangeArrowheads="1"/>
        </xdr:cNvSpPr>
      </xdr:nvSpPr>
      <xdr:spPr bwMode="auto">
        <a:xfrm>
          <a:off x="165735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889</xdr:row>
      <xdr:rowOff>0</xdr:rowOff>
    </xdr:from>
    <xdr:to>
      <xdr:col>2</xdr:col>
      <xdr:colOff>123825</xdr:colOff>
      <xdr:row>889</xdr:row>
      <xdr:rowOff>123825</xdr:rowOff>
    </xdr:to>
    <xdr:sp macro="" textlink="">
      <xdr:nvSpPr>
        <xdr:cNvPr id="2465" name="AutoShape 417" descr="Performance Bonuses"/>
        <xdr:cNvSpPr>
          <a:spLocks noChangeAspect="1" noChangeArrowheads="1"/>
        </xdr:cNvSpPr>
      </xdr:nvSpPr>
      <xdr:spPr bwMode="auto">
        <a:xfrm>
          <a:off x="152400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889</xdr:row>
      <xdr:rowOff>0</xdr:rowOff>
    </xdr:from>
    <xdr:to>
      <xdr:col>2</xdr:col>
      <xdr:colOff>257175</xdr:colOff>
      <xdr:row>889</xdr:row>
      <xdr:rowOff>123825</xdr:rowOff>
    </xdr:to>
    <xdr:sp macro="" textlink="">
      <xdr:nvSpPr>
        <xdr:cNvPr id="2466" name="AutoShape 418" descr="Waivers Exempt">
          <a:hlinkClick xmlns:r="http://schemas.openxmlformats.org/officeDocument/2006/relationships" r:id="rId172"/>
        </xdr:cNvPr>
        <xdr:cNvSpPr>
          <a:spLocks noChangeAspect="1" noChangeArrowheads="1"/>
        </xdr:cNvSpPr>
      </xdr:nvSpPr>
      <xdr:spPr bwMode="auto">
        <a:xfrm>
          <a:off x="165735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184</xdr:row>
      <xdr:rowOff>0</xdr:rowOff>
    </xdr:from>
    <xdr:to>
      <xdr:col>2</xdr:col>
      <xdr:colOff>123825</xdr:colOff>
      <xdr:row>184</xdr:row>
      <xdr:rowOff>123825</xdr:rowOff>
    </xdr:to>
    <xdr:sp macro="" textlink="">
      <xdr:nvSpPr>
        <xdr:cNvPr id="2467" name="AutoShape 419" descr="Performance Bonuses"/>
        <xdr:cNvSpPr>
          <a:spLocks noChangeAspect="1" noChangeArrowheads="1"/>
        </xdr:cNvSpPr>
      </xdr:nvSpPr>
      <xdr:spPr bwMode="auto">
        <a:xfrm>
          <a:off x="152400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184</xdr:row>
      <xdr:rowOff>0</xdr:rowOff>
    </xdr:from>
    <xdr:to>
      <xdr:col>2</xdr:col>
      <xdr:colOff>257175</xdr:colOff>
      <xdr:row>184</xdr:row>
      <xdr:rowOff>123825</xdr:rowOff>
    </xdr:to>
    <xdr:sp macro="" textlink="">
      <xdr:nvSpPr>
        <xdr:cNvPr id="2468" name="AutoShape 420" descr="Waivers Exempt">
          <a:hlinkClick xmlns:r="http://schemas.openxmlformats.org/officeDocument/2006/relationships" r:id="rId173"/>
        </xdr:cNvPr>
        <xdr:cNvSpPr>
          <a:spLocks noChangeAspect="1" noChangeArrowheads="1"/>
        </xdr:cNvSpPr>
      </xdr:nvSpPr>
      <xdr:spPr bwMode="auto">
        <a:xfrm>
          <a:off x="165735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182</xdr:row>
      <xdr:rowOff>0</xdr:rowOff>
    </xdr:from>
    <xdr:to>
      <xdr:col>2</xdr:col>
      <xdr:colOff>123825</xdr:colOff>
      <xdr:row>182</xdr:row>
      <xdr:rowOff>123825</xdr:rowOff>
    </xdr:to>
    <xdr:sp macro="" textlink="">
      <xdr:nvSpPr>
        <xdr:cNvPr id="2469" name="AutoShape 421" descr="Waivers Exempt">
          <a:hlinkClick xmlns:r="http://schemas.openxmlformats.org/officeDocument/2006/relationships" r:id="rId174"/>
        </xdr:cNvPr>
        <xdr:cNvSpPr>
          <a:spLocks noChangeAspect="1" noChangeArrowheads="1"/>
        </xdr:cNvSpPr>
      </xdr:nvSpPr>
      <xdr:spPr bwMode="auto">
        <a:xfrm>
          <a:off x="1524000" y="616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803</xdr:row>
      <xdr:rowOff>0</xdr:rowOff>
    </xdr:from>
    <xdr:to>
      <xdr:col>2</xdr:col>
      <xdr:colOff>123825</xdr:colOff>
      <xdr:row>803</xdr:row>
      <xdr:rowOff>123825</xdr:rowOff>
    </xdr:to>
    <xdr:sp macro="" textlink="">
      <xdr:nvSpPr>
        <xdr:cNvPr id="2470" name="AutoShape 422" descr="Waivers Exempt">
          <a:hlinkClick xmlns:r="http://schemas.openxmlformats.org/officeDocument/2006/relationships" r:id="rId175"/>
        </xdr:cNvPr>
        <xdr:cNvSpPr>
          <a:spLocks noChangeAspect="1" noChangeArrowheads="1"/>
        </xdr:cNvSpPr>
      </xdr:nvSpPr>
      <xdr:spPr bwMode="auto">
        <a:xfrm>
          <a:off x="1524000" y="6203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206</xdr:row>
      <xdr:rowOff>0</xdr:rowOff>
    </xdr:from>
    <xdr:to>
      <xdr:col>2</xdr:col>
      <xdr:colOff>123825</xdr:colOff>
      <xdr:row>206</xdr:row>
      <xdr:rowOff>123825</xdr:rowOff>
    </xdr:to>
    <xdr:sp macro="" textlink="">
      <xdr:nvSpPr>
        <xdr:cNvPr id="2471" name="AutoShape 423" descr="Performance Bonuses"/>
        <xdr:cNvSpPr>
          <a:spLocks noChangeAspect="1" noChangeArrowheads="1"/>
        </xdr:cNvSpPr>
      </xdr:nvSpPr>
      <xdr:spPr bwMode="auto">
        <a:xfrm>
          <a:off x="152400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206</xdr:row>
      <xdr:rowOff>0</xdr:rowOff>
    </xdr:from>
    <xdr:to>
      <xdr:col>2</xdr:col>
      <xdr:colOff>257175</xdr:colOff>
      <xdr:row>206</xdr:row>
      <xdr:rowOff>123825</xdr:rowOff>
    </xdr:to>
    <xdr:sp macro="" textlink="">
      <xdr:nvSpPr>
        <xdr:cNvPr id="2472" name="AutoShape 424" descr="Waivers Exempt">
          <a:hlinkClick xmlns:r="http://schemas.openxmlformats.org/officeDocument/2006/relationships" r:id="rId176"/>
        </xdr:cNvPr>
        <xdr:cNvSpPr>
          <a:spLocks noChangeAspect="1" noChangeArrowheads="1"/>
        </xdr:cNvSpPr>
      </xdr:nvSpPr>
      <xdr:spPr bwMode="auto">
        <a:xfrm>
          <a:off x="165735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2473" name="AutoShape 425" descr="Waivers Exempt">
          <a:hlinkClick xmlns:r="http://schemas.openxmlformats.org/officeDocument/2006/relationships" r:id="rId177"/>
        </xdr:cNvPr>
        <xdr:cNvSpPr>
          <a:spLocks noChangeAspect="1" noChangeArrowheads="1"/>
        </xdr:cNvSpPr>
      </xdr:nvSpPr>
      <xdr:spPr bwMode="auto">
        <a:xfrm>
          <a:off x="1524000" y="633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123825</xdr:colOff>
      <xdr:row>489</xdr:row>
      <xdr:rowOff>123825</xdr:rowOff>
    </xdr:to>
    <xdr:sp macro="" textlink="">
      <xdr:nvSpPr>
        <xdr:cNvPr id="2474" name="AutoShape 426" descr="Waivers Exempt">
          <a:hlinkClick xmlns:r="http://schemas.openxmlformats.org/officeDocument/2006/relationships" r:id="rId178"/>
        </xdr:cNvPr>
        <xdr:cNvSpPr>
          <a:spLocks noChangeAspect="1" noChangeArrowheads="1"/>
        </xdr:cNvSpPr>
      </xdr:nvSpPr>
      <xdr:spPr bwMode="auto">
        <a:xfrm>
          <a:off x="1524000" y="635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997</xdr:row>
      <xdr:rowOff>0</xdr:rowOff>
    </xdr:from>
    <xdr:to>
      <xdr:col>2</xdr:col>
      <xdr:colOff>123825</xdr:colOff>
      <xdr:row>997</xdr:row>
      <xdr:rowOff>123825</xdr:rowOff>
    </xdr:to>
    <xdr:sp macro="" textlink="">
      <xdr:nvSpPr>
        <xdr:cNvPr id="2475" name="AutoShape 427" descr="Waivers Exempt">
          <a:hlinkClick xmlns:r="http://schemas.openxmlformats.org/officeDocument/2006/relationships" r:id="rId179"/>
        </xdr:cNvPr>
        <xdr:cNvSpPr>
          <a:spLocks noChangeAspect="1" noChangeArrowheads="1"/>
        </xdr:cNvSpPr>
      </xdr:nvSpPr>
      <xdr:spPr bwMode="auto">
        <a:xfrm>
          <a:off x="1524000" y="637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1380</xdr:row>
      <xdr:rowOff>0</xdr:rowOff>
    </xdr:from>
    <xdr:to>
      <xdr:col>2</xdr:col>
      <xdr:colOff>123825</xdr:colOff>
      <xdr:row>1380</xdr:row>
      <xdr:rowOff>123825</xdr:rowOff>
    </xdr:to>
    <xdr:sp macro="" textlink="">
      <xdr:nvSpPr>
        <xdr:cNvPr id="2476" name="AutoShape 428" descr="Waivers Exempt">
          <a:hlinkClick xmlns:r="http://schemas.openxmlformats.org/officeDocument/2006/relationships" r:id="rId180"/>
        </xdr:cNvPr>
        <xdr:cNvSpPr>
          <a:spLocks noChangeAspect="1" noChangeArrowheads="1"/>
        </xdr:cNvSpPr>
      </xdr:nvSpPr>
      <xdr:spPr bwMode="auto">
        <a:xfrm>
          <a:off x="1524000" y="639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xdr:row>
      <xdr:rowOff>0</xdr:rowOff>
    </xdr:from>
    <xdr:to>
      <xdr:col>2</xdr:col>
      <xdr:colOff>123825</xdr:colOff>
      <xdr:row>70</xdr:row>
      <xdr:rowOff>123825</xdr:rowOff>
    </xdr:to>
    <xdr:sp macro="" textlink="">
      <xdr:nvSpPr>
        <xdr:cNvPr id="2477" name="AutoShape 429" descr="Waivers Exempt">
          <a:hlinkClick xmlns:r="http://schemas.openxmlformats.org/officeDocument/2006/relationships" r:id="rId181"/>
        </xdr:cNvPr>
        <xdr:cNvSpPr>
          <a:spLocks noChangeAspect="1" noChangeArrowheads="1"/>
        </xdr:cNvSpPr>
      </xdr:nvSpPr>
      <xdr:spPr bwMode="auto">
        <a:xfrm>
          <a:off x="1524000" y="6412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70</xdr:row>
      <xdr:rowOff>0</xdr:rowOff>
    </xdr:from>
    <xdr:to>
      <xdr:col>7</xdr:col>
      <xdr:colOff>123825</xdr:colOff>
      <xdr:row>70</xdr:row>
      <xdr:rowOff>104775</xdr:rowOff>
    </xdr:to>
    <xdr:sp macro="" textlink="">
      <xdr:nvSpPr>
        <xdr:cNvPr id="2478" name="AutoShape 430" descr="Arbitration Eligible">
          <a:hlinkClick xmlns:r="http://schemas.openxmlformats.org/officeDocument/2006/relationships" r:id="rId182"/>
        </xdr:cNvPr>
        <xdr:cNvSpPr>
          <a:spLocks noChangeAspect="1" noChangeArrowheads="1"/>
        </xdr:cNvSpPr>
      </xdr:nvSpPr>
      <xdr:spPr bwMode="auto">
        <a:xfrm>
          <a:off x="5334000" y="641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568</xdr:row>
      <xdr:rowOff>0</xdr:rowOff>
    </xdr:from>
    <xdr:to>
      <xdr:col>7</xdr:col>
      <xdr:colOff>123825</xdr:colOff>
      <xdr:row>568</xdr:row>
      <xdr:rowOff>104775</xdr:rowOff>
    </xdr:to>
    <xdr:sp macro="" textlink="">
      <xdr:nvSpPr>
        <xdr:cNvPr id="2479" name="AutoShape 431" descr="Arbitration Eligible">
          <a:hlinkClick xmlns:r="http://schemas.openxmlformats.org/officeDocument/2006/relationships" r:id="rId183"/>
        </xdr:cNvPr>
        <xdr:cNvSpPr>
          <a:spLocks noChangeAspect="1" noChangeArrowheads="1"/>
        </xdr:cNvSpPr>
      </xdr:nvSpPr>
      <xdr:spPr bwMode="auto">
        <a:xfrm>
          <a:off x="5334000" y="6431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1072</xdr:row>
      <xdr:rowOff>0</xdr:rowOff>
    </xdr:from>
    <xdr:to>
      <xdr:col>2</xdr:col>
      <xdr:colOff>123825</xdr:colOff>
      <xdr:row>1072</xdr:row>
      <xdr:rowOff>123825</xdr:rowOff>
    </xdr:to>
    <xdr:sp macro="" textlink="">
      <xdr:nvSpPr>
        <xdr:cNvPr id="2480" name="AutoShape 432" descr="Waivers Exempt">
          <a:hlinkClick xmlns:r="http://schemas.openxmlformats.org/officeDocument/2006/relationships" r:id="rId184"/>
        </xdr:cNvPr>
        <xdr:cNvSpPr>
          <a:spLocks noChangeAspect="1" noChangeArrowheads="1"/>
        </xdr:cNvSpPr>
      </xdr:nvSpPr>
      <xdr:spPr bwMode="auto">
        <a:xfrm>
          <a:off x="1524000" y="6563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1005</xdr:row>
      <xdr:rowOff>0</xdr:rowOff>
    </xdr:from>
    <xdr:to>
      <xdr:col>2</xdr:col>
      <xdr:colOff>123825</xdr:colOff>
      <xdr:row>1005</xdr:row>
      <xdr:rowOff>123825</xdr:rowOff>
    </xdr:to>
    <xdr:sp macro="" textlink="">
      <xdr:nvSpPr>
        <xdr:cNvPr id="2481" name="AutoShape 433" descr="Performance Bonuses"/>
        <xdr:cNvSpPr>
          <a:spLocks noChangeAspect="1" noChangeArrowheads="1"/>
        </xdr:cNvSpPr>
      </xdr:nvSpPr>
      <xdr:spPr bwMode="auto">
        <a:xfrm>
          <a:off x="152400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1005</xdr:row>
      <xdr:rowOff>0</xdr:rowOff>
    </xdr:from>
    <xdr:to>
      <xdr:col>2</xdr:col>
      <xdr:colOff>257175</xdr:colOff>
      <xdr:row>1005</xdr:row>
      <xdr:rowOff>123825</xdr:rowOff>
    </xdr:to>
    <xdr:sp macro="" textlink="">
      <xdr:nvSpPr>
        <xdr:cNvPr id="2482" name="AutoShape 434" descr="Waivers Exempt">
          <a:hlinkClick xmlns:r="http://schemas.openxmlformats.org/officeDocument/2006/relationships" r:id="rId185"/>
        </xdr:cNvPr>
        <xdr:cNvSpPr>
          <a:spLocks noChangeAspect="1" noChangeArrowheads="1"/>
        </xdr:cNvSpPr>
      </xdr:nvSpPr>
      <xdr:spPr bwMode="auto">
        <a:xfrm>
          <a:off x="165735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xdr:row>
      <xdr:rowOff>0</xdr:rowOff>
    </xdr:from>
    <xdr:to>
      <xdr:col>2</xdr:col>
      <xdr:colOff>123825</xdr:colOff>
      <xdr:row>142</xdr:row>
      <xdr:rowOff>123825</xdr:rowOff>
    </xdr:to>
    <xdr:sp macro="" textlink="">
      <xdr:nvSpPr>
        <xdr:cNvPr id="2483" name="AutoShape 435" descr="Waivers Exempt">
          <a:hlinkClick xmlns:r="http://schemas.openxmlformats.org/officeDocument/2006/relationships" r:id="rId186"/>
        </xdr:cNvPr>
        <xdr:cNvSpPr>
          <a:spLocks noChangeAspect="1" noChangeArrowheads="1"/>
        </xdr:cNvSpPr>
      </xdr:nvSpPr>
      <xdr:spPr bwMode="auto">
        <a:xfrm>
          <a:off x="1524000" y="6601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xdr:row>
      <xdr:rowOff>0</xdr:rowOff>
    </xdr:from>
    <xdr:to>
      <xdr:col>7</xdr:col>
      <xdr:colOff>123825</xdr:colOff>
      <xdr:row>142</xdr:row>
      <xdr:rowOff>104775</xdr:rowOff>
    </xdr:to>
    <xdr:sp macro="" textlink="">
      <xdr:nvSpPr>
        <xdr:cNvPr id="2484" name="AutoShape 436" descr="Arbitration Eligible">
          <a:hlinkClick xmlns:r="http://schemas.openxmlformats.org/officeDocument/2006/relationships" r:id="rId187"/>
        </xdr:cNvPr>
        <xdr:cNvSpPr>
          <a:spLocks noChangeAspect="1" noChangeArrowheads="1"/>
        </xdr:cNvSpPr>
      </xdr:nvSpPr>
      <xdr:spPr bwMode="auto">
        <a:xfrm>
          <a:off x="5334000" y="66017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171</xdr:row>
      <xdr:rowOff>0</xdr:rowOff>
    </xdr:from>
    <xdr:to>
      <xdr:col>8</xdr:col>
      <xdr:colOff>123825</xdr:colOff>
      <xdr:row>171</xdr:row>
      <xdr:rowOff>104775</xdr:rowOff>
    </xdr:to>
    <xdr:sp macro="" textlink="">
      <xdr:nvSpPr>
        <xdr:cNvPr id="2485" name="AutoShape 437" descr="Arbitration Eligible">
          <a:hlinkClick xmlns:r="http://schemas.openxmlformats.org/officeDocument/2006/relationships" r:id="rId188"/>
        </xdr:cNvPr>
        <xdr:cNvSpPr>
          <a:spLocks noChangeAspect="1" noChangeArrowheads="1"/>
        </xdr:cNvSpPr>
      </xdr:nvSpPr>
      <xdr:spPr bwMode="auto">
        <a:xfrm>
          <a:off x="6096000" y="5939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1308</xdr:row>
      <xdr:rowOff>0</xdr:rowOff>
    </xdr:from>
    <xdr:to>
      <xdr:col>7</xdr:col>
      <xdr:colOff>123825</xdr:colOff>
      <xdr:row>1308</xdr:row>
      <xdr:rowOff>104775</xdr:rowOff>
    </xdr:to>
    <xdr:sp macro="" textlink="">
      <xdr:nvSpPr>
        <xdr:cNvPr id="2486" name="AutoShape 438" descr="Arbitration Eligible">
          <a:hlinkClick xmlns:r="http://schemas.openxmlformats.org/officeDocument/2006/relationships" r:id="rId189"/>
        </xdr:cNvPr>
        <xdr:cNvSpPr>
          <a:spLocks noChangeAspect="1" noChangeArrowheads="1"/>
        </xdr:cNvSpPr>
      </xdr:nvSpPr>
      <xdr:spPr bwMode="auto">
        <a:xfrm>
          <a:off x="5334000" y="5958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673</xdr:row>
      <xdr:rowOff>0</xdr:rowOff>
    </xdr:from>
    <xdr:to>
      <xdr:col>2</xdr:col>
      <xdr:colOff>123825</xdr:colOff>
      <xdr:row>673</xdr:row>
      <xdr:rowOff>123825</xdr:rowOff>
    </xdr:to>
    <xdr:sp macro="" textlink="">
      <xdr:nvSpPr>
        <xdr:cNvPr id="2487" name="AutoShape 439" descr="Performance Bonuses"/>
        <xdr:cNvSpPr>
          <a:spLocks noChangeAspect="1" noChangeArrowheads="1"/>
        </xdr:cNvSpPr>
      </xdr:nvSpPr>
      <xdr:spPr bwMode="auto">
        <a:xfrm>
          <a:off x="15240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673</xdr:row>
      <xdr:rowOff>0</xdr:rowOff>
    </xdr:from>
    <xdr:to>
      <xdr:col>2</xdr:col>
      <xdr:colOff>257175</xdr:colOff>
      <xdr:row>673</xdr:row>
      <xdr:rowOff>123825</xdr:rowOff>
    </xdr:to>
    <xdr:sp macro="" textlink="">
      <xdr:nvSpPr>
        <xdr:cNvPr id="2488" name="AutoShape 440" descr="Retained Salary Transaction"/>
        <xdr:cNvSpPr>
          <a:spLocks noChangeAspect="1" noChangeArrowheads="1"/>
        </xdr:cNvSpPr>
      </xdr:nvSpPr>
      <xdr:spPr bwMode="auto">
        <a:xfrm>
          <a:off x="16573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673</xdr:row>
      <xdr:rowOff>0</xdr:rowOff>
    </xdr:from>
    <xdr:to>
      <xdr:col>2</xdr:col>
      <xdr:colOff>390525</xdr:colOff>
      <xdr:row>673</xdr:row>
      <xdr:rowOff>123825</xdr:rowOff>
    </xdr:to>
    <xdr:sp macro="" textlink="">
      <xdr:nvSpPr>
        <xdr:cNvPr id="2489" name="AutoShape 441" descr="Waivers Exempt">
          <a:hlinkClick xmlns:r="http://schemas.openxmlformats.org/officeDocument/2006/relationships" r:id="rId190"/>
        </xdr:cNvPr>
        <xdr:cNvSpPr>
          <a:spLocks noChangeAspect="1" noChangeArrowheads="1"/>
        </xdr:cNvSpPr>
      </xdr:nvSpPr>
      <xdr:spPr bwMode="auto">
        <a:xfrm>
          <a:off x="17907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673</xdr:row>
      <xdr:rowOff>0</xdr:rowOff>
    </xdr:from>
    <xdr:to>
      <xdr:col>2</xdr:col>
      <xdr:colOff>523875</xdr:colOff>
      <xdr:row>673</xdr:row>
      <xdr:rowOff>123825</xdr:rowOff>
    </xdr:to>
    <xdr:sp macro="" textlink="">
      <xdr:nvSpPr>
        <xdr:cNvPr id="2490" name="AutoShape 442" descr="Exempt from the 50 Contract Limit"/>
        <xdr:cNvSpPr>
          <a:spLocks noChangeAspect="1" noChangeArrowheads="1"/>
        </xdr:cNvSpPr>
      </xdr:nvSpPr>
      <xdr:spPr bwMode="auto">
        <a:xfrm>
          <a:off x="19240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2491" name="AutoShape 443" descr="Performance Bonuses"/>
        <xdr:cNvSpPr>
          <a:spLocks noChangeAspect="1" noChangeArrowheads="1"/>
        </xdr:cNvSpPr>
      </xdr:nvSpPr>
      <xdr:spPr bwMode="auto">
        <a:xfrm>
          <a:off x="152400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222</xdr:row>
      <xdr:rowOff>0</xdr:rowOff>
    </xdr:from>
    <xdr:to>
      <xdr:col>2</xdr:col>
      <xdr:colOff>257175</xdr:colOff>
      <xdr:row>222</xdr:row>
      <xdr:rowOff>123825</xdr:rowOff>
    </xdr:to>
    <xdr:sp macro="" textlink="">
      <xdr:nvSpPr>
        <xdr:cNvPr id="2492" name="AutoShape 444" descr="Waivers Exempt">
          <a:hlinkClick xmlns:r="http://schemas.openxmlformats.org/officeDocument/2006/relationships" r:id="rId191"/>
        </xdr:cNvPr>
        <xdr:cNvSpPr>
          <a:spLocks noChangeAspect="1" noChangeArrowheads="1"/>
        </xdr:cNvSpPr>
      </xdr:nvSpPr>
      <xdr:spPr bwMode="auto">
        <a:xfrm>
          <a:off x="165735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xdr:row>
      <xdr:rowOff>0</xdr:rowOff>
    </xdr:from>
    <xdr:to>
      <xdr:col>2</xdr:col>
      <xdr:colOff>123825</xdr:colOff>
      <xdr:row>31</xdr:row>
      <xdr:rowOff>123825</xdr:rowOff>
    </xdr:to>
    <xdr:sp macro="" textlink="">
      <xdr:nvSpPr>
        <xdr:cNvPr id="2493" name="AutoShape 445" descr="Performance Bonuses"/>
        <xdr:cNvSpPr>
          <a:spLocks noChangeAspect="1" noChangeArrowheads="1"/>
        </xdr:cNvSpPr>
      </xdr:nvSpPr>
      <xdr:spPr bwMode="auto">
        <a:xfrm>
          <a:off x="152400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xdr:row>
      <xdr:rowOff>0</xdr:rowOff>
    </xdr:from>
    <xdr:to>
      <xdr:col>2</xdr:col>
      <xdr:colOff>257175</xdr:colOff>
      <xdr:row>31</xdr:row>
      <xdr:rowOff>123825</xdr:rowOff>
    </xdr:to>
    <xdr:sp macro="" textlink="">
      <xdr:nvSpPr>
        <xdr:cNvPr id="2494" name="AutoShape 446" descr="Waivers Exempt">
          <a:hlinkClick xmlns:r="http://schemas.openxmlformats.org/officeDocument/2006/relationships" r:id="rId192"/>
        </xdr:cNvPr>
        <xdr:cNvSpPr>
          <a:spLocks noChangeAspect="1" noChangeArrowheads="1"/>
        </xdr:cNvSpPr>
      </xdr:nvSpPr>
      <xdr:spPr bwMode="auto">
        <a:xfrm>
          <a:off x="165735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609</xdr:row>
      <xdr:rowOff>0</xdr:rowOff>
    </xdr:from>
    <xdr:to>
      <xdr:col>2</xdr:col>
      <xdr:colOff>123825</xdr:colOff>
      <xdr:row>609</xdr:row>
      <xdr:rowOff>123825</xdr:rowOff>
    </xdr:to>
    <xdr:sp macro="" textlink="">
      <xdr:nvSpPr>
        <xdr:cNvPr id="2495" name="AutoShape 447" descr="Waivers Exempt">
          <a:hlinkClick xmlns:r="http://schemas.openxmlformats.org/officeDocument/2006/relationships" r:id="rId193"/>
        </xdr:cNvPr>
        <xdr:cNvSpPr>
          <a:spLocks noChangeAspect="1" noChangeArrowheads="1"/>
        </xdr:cNvSpPr>
      </xdr:nvSpPr>
      <xdr:spPr bwMode="auto">
        <a:xfrm>
          <a:off x="1524000" y="6073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982</xdr:row>
      <xdr:rowOff>0</xdr:rowOff>
    </xdr:from>
    <xdr:to>
      <xdr:col>7</xdr:col>
      <xdr:colOff>123825</xdr:colOff>
      <xdr:row>982</xdr:row>
      <xdr:rowOff>104775</xdr:rowOff>
    </xdr:to>
    <xdr:sp macro="" textlink="">
      <xdr:nvSpPr>
        <xdr:cNvPr id="2496" name="AutoShape 448" descr="Arbitration Eligible">
          <a:hlinkClick xmlns:r="http://schemas.openxmlformats.org/officeDocument/2006/relationships" r:id="rId194"/>
        </xdr:cNvPr>
        <xdr:cNvSpPr>
          <a:spLocks noChangeAspect="1" noChangeArrowheads="1"/>
        </xdr:cNvSpPr>
      </xdr:nvSpPr>
      <xdr:spPr bwMode="auto">
        <a:xfrm>
          <a:off x="5334000" y="611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123825</xdr:colOff>
      <xdr:row>437</xdr:row>
      <xdr:rowOff>123825</xdr:rowOff>
    </xdr:to>
    <xdr:sp macro="" textlink="">
      <xdr:nvSpPr>
        <xdr:cNvPr id="2497" name="AutoShape 449" descr="Performance Bonuses"/>
        <xdr:cNvSpPr>
          <a:spLocks noChangeAspect="1" noChangeArrowheads="1"/>
        </xdr:cNvSpPr>
      </xdr:nvSpPr>
      <xdr:spPr bwMode="auto">
        <a:xfrm>
          <a:off x="152400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437</xdr:row>
      <xdr:rowOff>0</xdr:rowOff>
    </xdr:from>
    <xdr:to>
      <xdr:col>2</xdr:col>
      <xdr:colOff>257175</xdr:colOff>
      <xdr:row>437</xdr:row>
      <xdr:rowOff>123825</xdr:rowOff>
    </xdr:to>
    <xdr:sp macro="" textlink="">
      <xdr:nvSpPr>
        <xdr:cNvPr id="2498" name="AutoShape 450" descr="Waivers Exempt">
          <a:hlinkClick xmlns:r="http://schemas.openxmlformats.org/officeDocument/2006/relationships" r:id="rId195"/>
        </xdr:cNvPr>
        <xdr:cNvSpPr>
          <a:spLocks noChangeAspect="1" noChangeArrowheads="1"/>
        </xdr:cNvSpPr>
      </xdr:nvSpPr>
      <xdr:spPr bwMode="auto">
        <a:xfrm>
          <a:off x="165735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123825</xdr:colOff>
      <xdr:row>542</xdr:row>
      <xdr:rowOff>123825</xdr:rowOff>
    </xdr:to>
    <xdr:sp macro="" textlink="">
      <xdr:nvSpPr>
        <xdr:cNvPr id="2499" name="AutoShape 451" descr="Waivers Exempt">
          <a:hlinkClick xmlns:r="http://schemas.openxmlformats.org/officeDocument/2006/relationships" r:id="rId196"/>
        </xdr:cNvPr>
        <xdr:cNvSpPr>
          <a:spLocks noChangeAspect="1" noChangeArrowheads="1"/>
        </xdr:cNvSpPr>
      </xdr:nvSpPr>
      <xdr:spPr bwMode="auto">
        <a:xfrm>
          <a:off x="1524000" y="6319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123825</xdr:colOff>
      <xdr:row>472</xdr:row>
      <xdr:rowOff>123825</xdr:rowOff>
    </xdr:to>
    <xdr:sp macro="" textlink="">
      <xdr:nvSpPr>
        <xdr:cNvPr id="2500" name="AutoShape 452" descr="Performance Bonuses"/>
        <xdr:cNvSpPr>
          <a:spLocks noChangeAspect="1" noChangeArrowheads="1"/>
        </xdr:cNvSpPr>
      </xdr:nvSpPr>
      <xdr:spPr bwMode="auto">
        <a:xfrm>
          <a:off x="152400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472</xdr:row>
      <xdr:rowOff>0</xdr:rowOff>
    </xdr:from>
    <xdr:to>
      <xdr:col>2</xdr:col>
      <xdr:colOff>257175</xdr:colOff>
      <xdr:row>472</xdr:row>
      <xdr:rowOff>123825</xdr:rowOff>
    </xdr:to>
    <xdr:sp macro="" textlink="">
      <xdr:nvSpPr>
        <xdr:cNvPr id="2501" name="AutoShape 453" descr="Waivers Exempt">
          <a:hlinkClick xmlns:r="http://schemas.openxmlformats.org/officeDocument/2006/relationships" r:id="rId197"/>
        </xdr:cNvPr>
        <xdr:cNvSpPr>
          <a:spLocks noChangeAspect="1" noChangeArrowheads="1"/>
        </xdr:cNvSpPr>
      </xdr:nvSpPr>
      <xdr:spPr bwMode="auto">
        <a:xfrm>
          <a:off x="165735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2" name="AutoShape 454" descr="https://capfriendly-wlb8ng5.stackpathdns.com/assets/images/icons/general/q.svg"/>
        <xdr:cNvSpPr>
          <a:spLocks noChangeAspect="1" noChangeArrowheads="1"/>
        </xdr:cNvSpPr>
      </xdr:nvSpPr>
      <xdr:spPr bwMode="auto">
        <a:xfrm>
          <a:off x="1524000" y="6644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3" name="AutoShape 455" descr="https://capfriendly-wlb8ng5.stackpathdns.com/assets/images/icons/general/q.svg"/>
        <xdr:cNvSpPr>
          <a:spLocks noChangeAspect="1" noChangeArrowheads="1"/>
        </xdr:cNvSpPr>
      </xdr:nvSpPr>
      <xdr:spPr bwMode="auto">
        <a:xfrm>
          <a:off x="1524000" y="6663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4" name="AutoShape 456" descr="https://capfriendly-wlb8ng5.stackpathdns.com/assets/images/icons/general/q.svg"/>
        <xdr:cNvSpPr>
          <a:spLocks noChangeAspect="1" noChangeArrowheads="1"/>
        </xdr:cNvSpPr>
      </xdr:nvSpPr>
      <xdr:spPr bwMode="auto">
        <a:xfrm>
          <a:off x="1524000" y="6682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5" name="AutoShape 457" descr="https://capfriendly-wlb8ng5.stackpathdns.com/assets/images/icons/general/q.svg"/>
        <xdr:cNvSpPr>
          <a:spLocks noChangeAspect="1" noChangeArrowheads="1"/>
        </xdr:cNvSpPr>
      </xdr:nvSpPr>
      <xdr:spPr bwMode="auto">
        <a:xfrm>
          <a:off x="1524000" y="6701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6" name="AutoShape 458" descr="https://capfriendly-wlb8ng5.stackpathdns.com/assets/images/icons/general/q.svg"/>
        <xdr:cNvSpPr>
          <a:spLocks noChangeAspect="1" noChangeArrowheads="1"/>
        </xdr:cNvSpPr>
      </xdr:nvSpPr>
      <xdr:spPr bwMode="auto">
        <a:xfrm>
          <a:off x="1524000" y="6720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7" name="AutoShape 459" descr="https://capfriendly-wlb8ng5.stackpathdns.com/assets/images/icons/general/q.svg"/>
        <xdr:cNvSpPr>
          <a:spLocks noChangeAspect="1" noChangeArrowheads="1"/>
        </xdr:cNvSpPr>
      </xdr:nvSpPr>
      <xdr:spPr bwMode="auto">
        <a:xfrm>
          <a:off x="1524000" y="673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8" name="AutoShape 460" descr="https://capfriendly-wlb8ng5.stackpathdns.com/assets/images/icons/general/q.svg"/>
        <xdr:cNvSpPr>
          <a:spLocks noChangeAspect="1" noChangeArrowheads="1"/>
        </xdr:cNvSpPr>
      </xdr:nvSpPr>
      <xdr:spPr bwMode="auto">
        <a:xfrm>
          <a:off x="1524000" y="675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9" name="AutoShape 461" descr="https://capfriendly-wlb8ng5.stackpathdns.com/assets/images/icons/general/q.svg"/>
        <xdr:cNvSpPr>
          <a:spLocks noChangeAspect="1" noChangeArrowheads="1"/>
        </xdr:cNvSpPr>
      </xdr:nvSpPr>
      <xdr:spPr bwMode="auto">
        <a:xfrm>
          <a:off x="1524000" y="677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0" name="AutoShape 462" descr="https://capfriendly-wlb8ng5.stackpathdns.com/assets/images/icons/general/q.svg"/>
        <xdr:cNvSpPr>
          <a:spLocks noChangeAspect="1" noChangeArrowheads="1"/>
        </xdr:cNvSpPr>
      </xdr:nvSpPr>
      <xdr:spPr bwMode="auto">
        <a:xfrm>
          <a:off x="1524000" y="679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1" name="AutoShape 463" descr="https://capfriendly-wlb8ng5.stackpathdns.com/assets/images/icons/general/q.svg"/>
        <xdr:cNvSpPr>
          <a:spLocks noChangeAspect="1" noChangeArrowheads="1"/>
        </xdr:cNvSpPr>
      </xdr:nvSpPr>
      <xdr:spPr bwMode="auto">
        <a:xfrm>
          <a:off x="1524000" y="681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2" name="AutoShape 464" descr="https://capfriendly-wlb8ng5.stackpathdns.com/assets/images/icons/general/q.svg"/>
        <xdr:cNvSpPr>
          <a:spLocks noChangeAspect="1" noChangeArrowheads="1"/>
        </xdr:cNvSpPr>
      </xdr:nvSpPr>
      <xdr:spPr bwMode="auto">
        <a:xfrm>
          <a:off x="1524000" y="683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3" name="AutoShape 465" descr="Performance Bonuses"/>
        <xdr:cNvSpPr>
          <a:spLocks noChangeAspect="1" noChangeArrowheads="1"/>
        </xdr:cNvSpPr>
      </xdr:nvSpPr>
      <xdr:spPr bwMode="auto">
        <a:xfrm>
          <a:off x="152400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933</xdr:row>
      <xdr:rowOff>0</xdr:rowOff>
    </xdr:from>
    <xdr:to>
      <xdr:col>2</xdr:col>
      <xdr:colOff>257175</xdr:colOff>
      <xdr:row>933</xdr:row>
      <xdr:rowOff>123825</xdr:rowOff>
    </xdr:to>
    <xdr:sp macro="" textlink="">
      <xdr:nvSpPr>
        <xdr:cNvPr id="2514" name="AutoShape 466" descr="Waivers Exempt">
          <a:hlinkClick xmlns:r="http://schemas.openxmlformats.org/officeDocument/2006/relationships" r:id="rId198"/>
        </xdr:cNvPr>
        <xdr:cNvSpPr>
          <a:spLocks noChangeAspect="1" noChangeArrowheads="1"/>
        </xdr:cNvSpPr>
      </xdr:nvSpPr>
      <xdr:spPr bwMode="auto">
        <a:xfrm>
          <a:off x="165735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744</xdr:row>
      <xdr:rowOff>0</xdr:rowOff>
    </xdr:from>
    <xdr:to>
      <xdr:col>2</xdr:col>
      <xdr:colOff>123825</xdr:colOff>
      <xdr:row>744</xdr:row>
      <xdr:rowOff>123825</xdr:rowOff>
    </xdr:to>
    <xdr:sp macro="" textlink="">
      <xdr:nvSpPr>
        <xdr:cNvPr id="2515" name="AutoShape 467" descr="Performance Bonuses"/>
        <xdr:cNvSpPr>
          <a:spLocks noChangeAspect="1" noChangeArrowheads="1"/>
        </xdr:cNvSpPr>
      </xdr:nvSpPr>
      <xdr:spPr bwMode="auto">
        <a:xfrm>
          <a:off x="152400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744</xdr:row>
      <xdr:rowOff>0</xdr:rowOff>
    </xdr:from>
    <xdr:to>
      <xdr:col>2</xdr:col>
      <xdr:colOff>257175</xdr:colOff>
      <xdr:row>744</xdr:row>
      <xdr:rowOff>123825</xdr:rowOff>
    </xdr:to>
    <xdr:sp macro="" textlink="">
      <xdr:nvSpPr>
        <xdr:cNvPr id="2516" name="AutoShape 468" descr="Waivers Exempt">
          <a:hlinkClick xmlns:r="http://schemas.openxmlformats.org/officeDocument/2006/relationships" r:id="rId199"/>
        </xdr:cNvPr>
        <xdr:cNvSpPr>
          <a:spLocks noChangeAspect="1" noChangeArrowheads="1"/>
        </xdr:cNvSpPr>
      </xdr:nvSpPr>
      <xdr:spPr bwMode="auto">
        <a:xfrm>
          <a:off x="165735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2517" name="AutoShape 469" descr="Performance Bonuses"/>
        <xdr:cNvSpPr>
          <a:spLocks noChangeAspect="1" noChangeArrowheads="1"/>
        </xdr:cNvSpPr>
      </xdr:nvSpPr>
      <xdr:spPr bwMode="auto">
        <a:xfrm>
          <a:off x="152400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374</xdr:row>
      <xdr:rowOff>0</xdr:rowOff>
    </xdr:from>
    <xdr:to>
      <xdr:col>2</xdr:col>
      <xdr:colOff>257175</xdr:colOff>
      <xdr:row>374</xdr:row>
      <xdr:rowOff>123825</xdr:rowOff>
    </xdr:to>
    <xdr:sp macro="" textlink="">
      <xdr:nvSpPr>
        <xdr:cNvPr id="2518" name="AutoShape 470" descr="Waivers Exempt">
          <a:hlinkClick xmlns:r="http://schemas.openxmlformats.org/officeDocument/2006/relationships" r:id="rId200"/>
        </xdr:cNvPr>
        <xdr:cNvSpPr>
          <a:spLocks noChangeAspect="1" noChangeArrowheads="1"/>
        </xdr:cNvSpPr>
      </xdr:nvSpPr>
      <xdr:spPr bwMode="auto">
        <a:xfrm>
          <a:off x="165735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123825</xdr:colOff>
      <xdr:row>518</xdr:row>
      <xdr:rowOff>123825</xdr:rowOff>
    </xdr:to>
    <xdr:sp macro="" textlink="">
      <xdr:nvSpPr>
        <xdr:cNvPr id="2519" name="AutoShape 471" descr="Waivers Exempt">
          <a:hlinkClick xmlns:r="http://schemas.openxmlformats.org/officeDocument/2006/relationships" r:id="rId201"/>
        </xdr:cNvPr>
        <xdr:cNvSpPr>
          <a:spLocks noChangeAspect="1" noChangeArrowheads="1"/>
        </xdr:cNvSpPr>
      </xdr:nvSpPr>
      <xdr:spPr bwMode="auto">
        <a:xfrm>
          <a:off x="1524000" y="6947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977</xdr:row>
      <xdr:rowOff>0</xdr:rowOff>
    </xdr:from>
    <xdr:to>
      <xdr:col>2</xdr:col>
      <xdr:colOff>123825</xdr:colOff>
      <xdr:row>977</xdr:row>
      <xdr:rowOff>123825</xdr:rowOff>
    </xdr:to>
    <xdr:sp macro="" textlink="">
      <xdr:nvSpPr>
        <xdr:cNvPr id="2520" name="AutoShape 472" descr="Performance Bonuses"/>
        <xdr:cNvSpPr>
          <a:spLocks noChangeAspect="1" noChangeArrowheads="1"/>
        </xdr:cNvSpPr>
      </xdr:nvSpPr>
      <xdr:spPr bwMode="auto">
        <a:xfrm>
          <a:off x="152400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977</xdr:row>
      <xdr:rowOff>0</xdr:rowOff>
    </xdr:from>
    <xdr:to>
      <xdr:col>2</xdr:col>
      <xdr:colOff>257175</xdr:colOff>
      <xdr:row>977</xdr:row>
      <xdr:rowOff>123825</xdr:rowOff>
    </xdr:to>
    <xdr:sp macro="" textlink="">
      <xdr:nvSpPr>
        <xdr:cNvPr id="2521" name="AutoShape 473" descr="Waivers Exempt">
          <a:hlinkClick xmlns:r="http://schemas.openxmlformats.org/officeDocument/2006/relationships" r:id="rId202"/>
        </xdr:cNvPr>
        <xdr:cNvSpPr>
          <a:spLocks noChangeAspect="1" noChangeArrowheads="1"/>
        </xdr:cNvSpPr>
      </xdr:nvSpPr>
      <xdr:spPr bwMode="auto">
        <a:xfrm>
          <a:off x="165735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1144</xdr:row>
      <xdr:rowOff>0</xdr:rowOff>
    </xdr:from>
    <xdr:to>
      <xdr:col>2</xdr:col>
      <xdr:colOff>123825</xdr:colOff>
      <xdr:row>1144</xdr:row>
      <xdr:rowOff>123825</xdr:rowOff>
    </xdr:to>
    <xdr:sp macro="" textlink="">
      <xdr:nvSpPr>
        <xdr:cNvPr id="2522" name="AutoShape 474" descr="Waivers Exempt">
          <a:hlinkClick xmlns:r="http://schemas.openxmlformats.org/officeDocument/2006/relationships" r:id="rId203"/>
        </xdr:cNvPr>
        <xdr:cNvSpPr>
          <a:spLocks noChangeAspect="1" noChangeArrowheads="1"/>
        </xdr:cNvSpPr>
      </xdr:nvSpPr>
      <xdr:spPr bwMode="auto">
        <a:xfrm>
          <a:off x="1524000" y="698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793</xdr:row>
      <xdr:rowOff>0</xdr:rowOff>
    </xdr:from>
    <xdr:to>
      <xdr:col>2</xdr:col>
      <xdr:colOff>123825</xdr:colOff>
      <xdr:row>793</xdr:row>
      <xdr:rowOff>123825</xdr:rowOff>
    </xdr:to>
    <xdr:sp macro="" textlink="">
      <xdr:nvSpPr>
        <xdr:cNvPr id="2523" name="AutoShape 475" descr="Performance Bonuses"/>
        <xdr:cNvSpPr>
          <a:spLocks noChangeAspect="1" noChangeArrowheads="1"/>
        </xdr:cNvSpPr>
      </xdr:nvSpPr>
      <xdr:spPr bwMode="auto">
        <a:xfrm>
          <a:off x="152400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793</xdr:row>
      <xdr:rowOff>0</xdr:rowOff>
    </xdr:from>
    <xdr:to>
      <xdr:col>2</xdr:col>
      <xdr:colOff>257175</xdr:colOff>
      <xdr:row>793</xdr:row>
      <xdr:rowOff>123825</xdr:rowOff>
    </xdr:to>
    <xdr:sp macro="" textlink="">
      <xdr:nvSpPr>
        <xdr:cNvPr id="2524" name="AutoShape 476" descr="Waivers Exempt">
          <a:hlinkClick xmlns:r="http://schemas.openxmlformats.org/officeDocument/2006/relationships" r:id="rId204"/>
        </xdr:cNvPr>
        <xdr:cNvSpPr>
          <a:spLocks noChangeAspect="1" noChangeArrowheads="1"/>
        </xdr:cNvSpPr>
      </xdr:nvSpPr>
      <xdr:spPr bwMode="auto">
        <a:xfrm>
          <a:off x="165735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123825</xdr:colOff>
      <xdr:row>423</xdr:row>
      <xdr:rowOff>123825</xdr:rowOff>
    </xdr:to>
    <xdr:sp macro="" textlink="">
      <xdr:nvSpPr>
        <xdr:cNvPr id="2525" name="AutoShape 477" descr="Waivers Exempt">
          <a:hlinkClick xmlns:r="http://schemas.openxmlformats.org/officeDocument/2006/relationships" r:id="rId205"/>
        </xdr:cNvPr>
        <xdr:cNvSpPr>
          <a:spLocks noChangeAspect="1" noChangeArrowheads="1"/>
        </xdr:cNvSpPr>
      </xdr:nvSpPr>
      <xdr:spPr bwMode="auto">
        <a:xfrm>
          <a:off x="1524000" y="702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123825</xdr:colOff>
      <xdr:row>475</xdr:row>
      <xdr:rowOff>123825</xdr:rowOff>
    </xdr:to>
    <xdr:sp macro="" textlink="">
      <xdr:nvSpPr>
        <xdr:cNvPr id="2526" name="AutoShape 478" descr="Waivers Exempt">
          <a:hlinkClick xmlns:r="http://schemas.openxmlformats.org/officeDocument/2006/relationships" r:id="rId206"/>
        </xdr:cNvPr>
        <xdr:cNvSpPr>
          <a:spLocks noChangeAspect="1" noChangeArrowheads="1"/>
        </xdr:cNvSpPr>
      </xdr:nvSpPr>
      <xdr:spPr bwMode="auto">
        <a:xfrm>
          <a:off x="1524000" y="704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311</xdr:row>
      <xdr:rowOff>0</xdr:rowOff>
    </xdr:from>
    <xdr:to>
      <xdr:col>7</xdr:col>
      <xdr:colOff>123825</xdr:colOff>
      <xdr:row>311</xdr:row>
      <xdr:rowOff>104775</xdr:rowOff>
    </xdr:to>
    <xdr:sp macro="" textlink="">
      <xdr:nvSpPr>
        <xdr:cNvPr id="2527" name="AutoShape 479" descr="Arbitration Eligible">
          <a:hlinkClick xmlns:r="http://schemas.openxmlformats.org/officeDocument/2006/relationships" r:id="rId207"/>
        </xdr:cNvPr>
        <xdr:cNvSpPr>
          <a:spLocks noChangeAspect="1" noChangeArrowheads="1"/>
        </xdr:cNvSpPr>
      </xdr:nvSpPr>
      <xdr:spPr bwMode="auto">
        <a:xfrm>
          <a:off x="5334000" y="70618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806</xdr:row>
      <xdr:rowOff>0</xdr:rowOff>
    </xdr:from>
    <xdr:to>
      <xdr:col>2</xdr:col>
      <xdr:colOff>123825</xdr:colOff>
      <xdr:row>806</xdr:row>
      <xdr:rowOff>123825</xdr:rowOff>
    </xdr:to>
    <xdr:sp macro="" textlink="">
      <xdr:nvSpPr>
        <xdr:cNvPr id="2528" name="AutoShape 480" descr="Waivers Exempt">
          <a:hlinkClick xmlns:r="http://schemas.openxmlformats.org/officeDocument/2006/relationships" r:id="rId208"/>
        </xdr:cNvPr>
        <xdr:cNvSpPr>
          <a:spLocks noChangeAspect="1" noChangeArrowheads="1"/>
        </xdr:cNvSpPr>
      </xdr:nvSpPr>
      <xdr:spPr bwMode="auto">
        <a:xfrm>
          <a:off x="1524000" y="709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806</xdr:row>
      <xdr:rowOff>0</xdr:rowOff>
    </xdr:from>
    <xdr:to>
      <xdr:col>7</xdr:col>
      <xdr:colOff>123825</xdr:colOff>
      <xdr:row>806</xdr:row>
      <xdr:rowOff>104775</xdr:rowOff>
    </xdr:to>
    <xdr:sp macro="" textlink="">
      <xdr:nvSpPr>
        <xdr:cNvPr id="2529" name="AutoShape 481" descr="Arbitration Eligible">
          <a:hlinkClick xmlns:r="http://schemas.openxmlformats.org/officeDocument/2006/relationships" r:id="rId209"/>
        </xdr:cNvPr>
        <xdr:cNvSpPr>
          <a:spLocks noChangeAspect="1" noChangeArrowheads="1"/>
        </xdr:cNvSpPr>
      </xdr:nvSpPr>
      <xdr:spPr bwMode="auto">
        <a:xfrm>
          <a:off x="5334000" y="7099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1013</xdr:row>
      <xdr:rowOff>0</xdr:rowOff>
    </xdr:from>
    <xdr:to>
      <xdr:col>7</xdr:col>
      <xdr:colOff>123825</xdr:colOff>
      <xdr:row>1013</xdr:row>
      <xdr:rowOff>104775</xdr:rowOff>
    </xdr:to>
    <xdr:sp macro="" textlink="">
      <xdr:nvSpPr>
        <xdr:cNvPr id="2530" name="AutoShape 482" descr="Arbitration Eligible">
          <a:hlinkClick xmlns:r="http://schemas.openxmlformats.org/officeDocument/2006/relationships" r:id="rId210"/>
        </xdr:cNvPr>
        <xdr:cNvSpPr>
          <a:spLocks noChangeAspect="1" noChangeArrowheads="1"/>
        </xdr:cNvSpPr>
      </xdr:nvSpPr>
      <xdr:spPr bwMode="auto">
        <a:xfrm>
          <a:off x="5334000" y="711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1166</xdr:row>
      <xdr:rowOff>0</xdr:rowOff>
    </xdr:from>
    <xdr:to>
      <xdr:col>2</xdr:col>
      <xdr:colOff>123825</xdr:colOff>
      <xdr:row>1166</xdr:row>
      <xdr:rowOff>123825</xdr:rowOff>
    </xdr:to>
    <xdr:sp macro="" textlink="">
      <xdr:nvSpPr>
        <xdr:cNvPr id="2531" name="AutoShape 483" descr="Waivers Exempt">
          <a:hlinkClick xmlns:r="http://schemas.openxmlformats.org/officeDocument/2006/relationships" r:id="rId211"/>
        </xdr:cNvPr>
        <xdr:cNvSpPr>
          <a:spLocks noChangeAspect="1" noChangeArrowheads="1"/>
        </xdr:cNvSpPr>
      </xdr:nvSpPr>
      <xdr:spPr bwMode="auto">
        <a:xfrm>
          <a:off x="1524000" y="721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819</xdr:row>
      <xdr:rowOff>0</xdr:rowOff>
    </xdr:from>
    <xdr:to>
      <xdr:col>2</xdr:col>
      <xdr:colOff>123825</xdr:colOff>
      <xdr:row>819</xdr:row>
      <xdr:rowOff>123825</xdr:rowOff>
    </xdr:to>
    <xdr:sp macro="" textlink="">
      <xdr:nvSpPr>
        <xdr:cNvPr id="2532" name="AutoShape 484" descr="Performance Bonuses"/>
        <xdr:cNvSpPr>
          <a:spLocks noChangeAspect="1" noChangeArrowheads="1"/>
        </xdr:cNvSpPr>
      </xdr:nvSpPr>
      <xdr:spPr bwMode="auto">
        <a:xfrm>
          <a:off x="152400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819</xdr:row>
      <xdr:rowOff>0</xdr:rowOff>
    </xdr:from>
    <xdr:to>
      <xdr:col>2</xdr:col>
      <xdr:colOff>257175</xdr:colOff>
      <xdr:row>819</xdr:row>
      <xdr:rowOff>123825</xdr:rowOff>
    </xdr:to>
    <xdr:sp macro="" textlink="">
      <xdr:nvSpPr>
        <xdr:cNvPr id="2533" name="AutoShape 485" descr="Waivers Exempt">
          <a:hlinkClick xmlns:r="http://schemas.openxmlformats.org/officeDocument/2006/relationships" r:id="rId212"/>
        </xdr:cNvPr>
        <xdr:cNvSpPr>
          <a:spLocks noChangeAspect="1" noChangeArrowheads="1"/>
        </xdr:cNvSpPr>
      </xdr:nvSpPr>
      <xdr:spPr bwMode="auto">
        <a:xfrm>
          <a:off x="165735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1126</xdr:row>
      <xdr:rowOff>0</xdr:rowOff>
    </xdr:from>
    <xdr:to>
      <xdr:col>2</xdr:col>
      <xdr:colOff>123825</xdr:colOff>
      <xdr:row>1126</xdr:row>
      <xdr:rowOff>123825</xdr:rowOff>
    </xdr:to>
    <xdr:sp macro="" textlink="">
      <xdr:nvSpPr>
        <xdr:cNvPr id="2534" name="AutoShape 486" descr="Performance Bonuses"/>
        <xdr:cNvSpPr>
          <a:spLocks noChangeAspect="1" noChangeArrowheads="1"/>
        </xdr:cNvSpPr>
      </xdr:nvSpPr>
      <xdr:spPr bwMode="auto">
        <a:xfrm>
          <a:off x="152400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1126</xdr:row>
      <xdr:rowOff>0</xdr:rowOff>
    </xdr:from>
    <xdr:to>
      <xdr:col>2</xdr:col>
      <xdr:colOff>257175</xdr:colOff>
      <xdr:row>1126</xdr:row>
      <xdr:rowOff>123825</xdr:rowOff>
    </xdr:to>
    <xdr:sp macro="" textlink="">
      <xdr:nvSpPr>
        <xdr:cNvPr id="2535" name="AutoShape 487" descr="Waivers Exempt">
          <a:hlinkClick xmlns:r="http://schemas.openxmlformats.org/officeDocument/2006/relationships" r:id="rId213"/>
        </xdr:cNvPr>
        <xdr:cNvSpPr>
          <a:spLocks noChangeAspect="1" noChangeArrowheads="1"/>
        </xdr:cNvSpPr>
      </xdr:nvSpPr>
      <xdr:spPr bwMode="auto">
        <a:xfrm>
          <a:off x="165735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693</xdr:row>
      <xdr:rowOff>0</xdr:rowOff>
    </xdr:from>
    <xdr:to>
      <xdr:col>2</xdr:col>
      <xdr:colOff>123825</xdr:colOff>
      <xdr:row>693</xdr:row>
      <xdr:rowOff>123825</xdr:rowOff>
    </xdr:to>
    <xdr:sp macro="" textlink="">
      <xdr:nvSpPr>
        <xdr:cNvPr id="2536" name="AutoShape 488" descr="Performance Bonuses"/>
        <xdr:cNvSpPr>
          <a:spLocks noChangeAspect="1" noChangeArrowheads="1"/>
        </xdr:cNvSpPr>
      </xdr:nvSpPr>
      <xdr:spPr bwMode="auto">
        <a:xfrm>
          <a:off x="152400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693</xdr:row>
      <xdr:rowOff>0</xdr:rowOff>
    </xdr:from>
    <xdr:to>
      <xdr:col>2</xdr:col>
      <xdr:colOff>257175</xdr:colOff>
      <xdr:row>693</xdr:row>
      <xdr:rowOff>123825</xdr:rowOff>
    </xdr:to>
    <xdr:sp macro="" textlink="">
      <xdr:nvSpPr>
        <xdr:cNvPr id="2537" name="AutoShape 489" descr="Waivers Exempt">
          <a:hlinkClick xmlns:r="http://schemas.openxmlformats.org/officeDocument/2006/relationships" r:id="rId214"/>
        </xdr:cNvPr>
        <xdr:cNvSpPr>
          <a:spLocks noChangeAspect="1" noChangeArrowheads="1"/>
        </xdr:cNvSpPr>
      </xdr:nvSpPr>
      <xdr:spPr bwMode="auto">
        <a:xfrm>
          <a:off x="165735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261</xdr:row>
      <xdr:rowOff>0</xdr:rowOff>
    </xdr:from>
    <xdr:to>
      <xdr:col>2</xdr:col>
      <xdr:colOff>123825</xdr:colOff>
      <xdr:row>261</xdr:row>
      <xdr:rowOff>123825</xdr:rowOff>
    </xdr:to>
    <xdr:sp macro="" textlink="">
      <xdr:nvSpPr>
        <xdr:cNvPr id="2538" name="AutoShape 490" descr="Performance Bonuses"/>
        <xdr:cNvSpPr>
          <a:spLocks noChangeAspect="1" noChangeArrowheads="1"/>
        </xdr:cNvSpPr>
      </xdr:nvSpPr>
      <xdr:spPr bwMode="auto">
        <a:xfrm>
          <a:off x="152400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261</xdr:row>
      <xdr:rowOff>0</xdr:rowOff>
    </xdr:from>
    <xdr:to>
      <xdr:col>2</xdr:col>
      <xdr:colOff>257175</xdr:colOff>
      <xdr:row>261</xdr:row>
      <xdr:rowOff>123825</xdr:rowOff>
    </xdr:to>
    <xdr:sp macro="" textlink="">
      <xdr:nvSpPr>
        <xdr:cNvPr id="2539" name="AutoShape 491" descr="Waivers Exempt">
          <a:hlinkClick xmlns:r="http://schemas.openxmlformats.org/officeDocument/2006/relationships" r:id="rId215"/>
        </xdr:cNvPr>
        <xdr:cNvSpPr>
          <a:spLocks noChangeAspect="1" noChangeArrowheads="1"/>
        </xdr:cNvSpPr>
      </xdr:nvSpPr>
      <xdr:spPr bwMode="auto">
        <a:xfrm>
          <a:off x="165735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287</xdr:row>
      <xdr:rowOff>0</xdr:rowOff>
    </xdr:from>
    <xdr:to>
      <xdr:col>2</xdr:col>
      <xdr:colOff>123825</xdr:colOff>
      <xdr:row>287</xdr:row>
      <xdr:rowOff>123825</xdr:rowOff>
    </xdr:to>
    <xdr:sp macro="" textlink="">
      <xdr:nvSpPr>
        <xdr:cNvPr id="2540" name="AutoShape 492" descr="Performance Bonuses"/>
        <xdr:cNvSpPr>
          <a:spLocks noChangeAspect="1" noChangeArrowheads="1"/>
        </xdr:cNvSpPr>
      </xdr:nvSpPr>
      <xdr:spPr bwMode="auto">
        <a:xfrm>
          <a:off x="152400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287</xdr:row>
      <xdr:rowOff>0</xdr:rowOff>
    </xdr:from>
    <xdr:to>
      <xdr:col>2</xdr:col>
      <xdr:colOff>257175</xdr:colOff>
      <xdr:row>287</xdr:row>
      <xdr:rowOff>123825</xdr:rowOff>
    </xdr:to>
    <xdr:sp macro="" textlink="">
      <xdr:nvSpPr>
        <xdr:cNvPr id="2541" name="AutoShape 493" descr="Waivers Exempt">
          <a:hlinkClick xmlns:r="http://schemas.openxmlformats.org/officeDocument/2006/relationships" r:id="rId216"/>
        </xdr:cNvPr>
        <xdr:cNvSpPr>
          <a:spLocks noChangeAspect="1" noChangeArrowheads="1"/>
        </xdr:cNvSpPr>
      </xdr:nvSpPr>
      <xdr:spPr bwMode="auto">
        <a:xfrm>
          <a:off x="165735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1102</xdr:row>
      <xdr:rowOff>0</xdr:rowOff>
    </xdr:from>
    <xdr:to>
      <xdr:col>2</xdr:col>
      <xdr:colOff>123825</xdr:colOff>
      <xdr:row>1102</xdr:row>
      <xdr:rowOff>123825</xdr:rowOff>
    </xdr:to>
    <xdr:sp macro="" textlink="">
      <xdr:nvSpPr>
        <xdr:cNvPr id="2542" name="AutoShape 494" descr="Waivers Exempt">
          <a:hlinkClick xmlns:r="http://schemas.openxmlformats.org/officeDocument/2006/relationships" r:id="rId217"/>
        </xdr:cNvPr>
        <xdr:cNvSpPr>
          <a:spLocks noChangeAspect="1" noChangeArrowheads="1"/>
        </xdr:cNvSpPr>
      </xdr:nvSpPr>
      <xdr:spPr bwMode="auto">
        <a:xfrm>
          <a:off x="1524000" y="732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620</xdr:row>
      <xdr:rowOff>0</xdr:rowOff>
    </xdr:from>
    <xdr:to>
      <xdr:col>2</xdr:col>
      <xdr:colOff>123825</xdr:colOff>
      <xdr:row>620</xdr:row>
      <xdr:rowOff>123825</xdr:rowOff>
    </xdr:to>
    <xdr:sp macro="" textlink="">
      <xdr:nvSpPr>
        <xdr:cNvPr id="2543" name="AutoShape 495" descr="Waivers Exempt">
          <a:hlinkClick xmlns:r="http://schemas.openxmlformats.org/officeDocument/2006/relationships" r:id="rId218"/>
        </xdr:cNvPr>
        <xdr:cNvSpPr>
          <a:spLocks noChangeAspect="1" noChangeArrowheads="1"/>
        </xdr:cNvSpPr>
      </xdr:nvSpPr>
      <xdr:spPr bwMode="auto">
        <a:xfrm>
          <a:off x="1524000" y="7421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2544" name="AutoShape 496" descr="Performance Bonuses"/>
        <xdr:cNvSpPr>
          <a:spLocks noChangeAspect="1" noChangeArrowheads="1"/>
        </xdr:cNvSpPr>
      </xdr:nvSpPr>
      <xdr:spPr bwMode="auto">
        <a:xfrm>
          <a:off x="152400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1226</xdr:row>
      <xdr:rowOff>0</xdr:rowOff>
    </xdr:from>
    <xdr:to>
      <xdr:col>2</xdr:col>
      <xdr:colOff>257175</xdr:colOff>
      <xdr:row>1226</xdr:row>
      <xdr:rowOff>123825</xdr:rowOff>
    </xdr:to>
    <xdr:sp macro="" textlink="">
      <xdr:nvSpPr>
        <xdr:cNvPr id="2545" name="AutoShape 497" descr="Waivers Exempt">
          <a:hlinkClick xmlns:r="http://schemas.openxmlformats.org/officeDocument/2006/relationships" r:id="rId219"/>
        </xdr:cNvPr>
        <xdr:cNvSpPr>
          <a:spLocks noChangeAspect="1" noChangeArrowheads="1"/>
        </xdr:cNvSpPr>
      </xdr:nvSpPr>
      <xdr:spPr bwMode="auto">
        <a:xfrm>
          <a:off x="165735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203</xdr:row>
      <xdr:rowOff>0</xdr:rowOff>
    </xdr:from>
    <xdr:to>
      <xdr:col>7</xdr:col>
      <xdr:colOff>123825</xdr:colOff>
      <xdr:row>203</xdr:row>
      <xdr:rowOff>104775</xdr:rowOff>
    </xdr:to>
    <xdr:sp macro="" textlink="">
      <xdr:nvSpPr>
        <xdr:cNvPr id="2546" name="AutoShape 498" descr="Arbitration Eligible">
          <a:hlinkClick xmlns:r="http://schemas.openxmlformats.org/officeDocument/2006/relationships" r:id="rId220"/>
        </xdr:cNvPr>
        <xdr:cNvSpPr>
          <a:spLocks noChangeAspect="1" noChangeArrowheads="1"/>
        </xdr:cNvSpPr>
      </xdr:nvSpPr>
      <xdr:spPr bwMode="auto">
        <a:xfrm>
          <a:off x="5334000" y="6968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1477</xdr:row>
      <xdr:rowOff>0</xdr:rowOff>
    </xdr:from>
    <xdr:to>
      <xdr:col>7</xdr:col>
      <xdr:colOff>123825</xdr:colOff>
      <xdr:row>1477</xdr:row>
      <xdr:rowOff>104775</xdr:rowOff>
    </xdr:to>
    <xdr:sp macro="" textlink="">
      <xdr:nvSpPr>
        <xdr:cNvPr id="2547" name="AutoShape 499" descr="Arbitration Eligible">
          <a:hlinkClick xmlns:r="http://schemas.openxmlformats.org/officeDocument/2006/relationships" r:id="rId221"/>
        </xdr:cNvPr>
        <xdr:cNvSpPr>
          <a:spLocks noChangeAspect="1" noChangeArrowheads="1"/>
        </xdr:cNvSpPr>
      </xdr:nvSpPr>
      <xdr:spPr bwMode="auto">
        <a:xfrm>
          <a:off x="5334000" y="698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378</xdr:row>
      <xdr:rowOff>0</xdr:rowOff>
    </xdr:from>
    <xdr:to>
      <xdr:col>2</xdr:col>
      <xdr:colOff>123825</xdr:colOff>
      <xdr:row>378</xdr:row>
      <xdr:rowOff>123825</xdr:rowOff>
    </xdr:to>
    <xdr:sp macro="" textlink="">
      <xdr:nvSpPr>
        <xdr:cNvPr id="2548" name="AutoShape 500" descr="Performance Bonuses"/>
        <xdr:cNvSpPr>
          <a:spLocks noChangeAspect="1" noChangeArrowheads="1"/>
        </xdr:cNvSpPr>
      </xdr:nvSpPr>
      <xdr:spPr bwMode="auto">
        <a:xfrm>
          <a:off x="1524000" y="7177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1313</xdr:row>
      <xdr:rowOff>0</xdr:rowOff>
    </xdr:from>
    <xdr:to>
      <xdr:col>7</xdr:col>
      <xdr:colOff>123825</xdr:colOff>
      <xdr:row>1313</xdr:row>
      <xdr:rowOff>104775</xdr:rowOff>
    </xdr:to>
    <xdr:sp macro="" textlink="">
      <xdr:nvSpPr>
        <xdr:cNvPr id="2549" name="AutoShape 501" descr="Arbitration Eligible">
          <a:hlinkClick xmlns:r="http://schemas.openxmlformats.org/officeDocument/2006/relationships" r:id="rId222"/>
        </xdr:cNvPr>
        <xdr:cNvSpPr>
          <a:spLocks noChangeAspect="1" noChangeArrowheads="1"/>
        </xdr:cNvSpPr>
      </xdr:nvSpPr>
      <xdr:spPr bwMode="auto">
        <a:xfrm>
          <a:off x="5334000" y="72904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0" name="AutoShape 502" descr="https://capfriendly-wlb8ng5.stackpathdns.com/assets/images/icons/general/q.svg"/>
        <xdr:cNvSpPr>
          <a:spLocks noChangeAspect="1" noChangeArrowheads="1"/>
        </xdr:cNvSpPr>
      </xdr:nvSpPr>
      <xdr:spPr bwMode="auto">
        <a:xfrm>
          <a:off x="1524000" y="7442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1" name="AutoShape 503" descr="https://capfriendly-wlb8ng5.stackpathdns.com/assets/images/icons/general/q.svg"/>
        <xdr:cNvSpPr>
          <a:spLocks noChangeAspect="1" noChangeArrowheads="1"/>
        </xdr:cNvSpPr>
      </xdr:nvSpPr>
      <xdr:spPr bwMode="auto">
        <a:xfrm>
          <a:off x="1524000" y="7461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2" name="AutoShape 504" descr="https://capfriendly-wlb8ng5.stackpathdns.com/assets/images/icons/general/q.svg"/>
        <xdr:cNvSpPr>
          <a:spLocks noChangeAspect="1" noChangeArrowheads="1"/>
        </xdr:cNvSpPr>
      </xdr:nvSpPr>
      <xdr:spPr bwMode="auto">
        <a:xfrm>
          <a:off x="1524000" y="7480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3" name="AutoShape 505" descr="https://capfriendly-wlb8ng5.stackpathdns.com/assets/images/icons/general/q.svg"/>
        <xdr:cNvSpPr>
          <a:spLocks noChangeAspect="1" noChangeArrowheads="1"/>
        </xdr:cNvSpPr>
      </xdr:nvSpPr>
      <xdr:spPr bwMode="auto">
        <a:xfrm>
          <a:off x="1524000" y="74999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4" name="AutoShape 506" descr="https://capfriendly-wlb8ng5.stackpathdns.com/assets/images/icons/general/q.svg"/>
        <xdr:cNvSpPr>
          <a:spLocks noChangeAspect="1" noChangeArrowheads="1"/>
        </xdr:cNvSpPr>
      </xdr:nvSpPr>
      <xdr:spPr bwMode="auto">
        <a:xfrm>
          <a:off x="1524000" y="75190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5" name="AutoShape 507" descr="https://capfriendly-wlb8ng5.stackpathdns.com/assets/images/icons/general/q.svg"/>
        <xdr:cNvSpPr>
          <a:spLocks noChangeAspect="1" noChangeArrowheads="1"/>
        </xdr:cNvSpPr>
      </xdr:nvSpPr>
      <xdr:spPr bwMode="auto">
        <a:xfrm>
          <a:off x="1524000" y="7538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6" name="AutoShape 508" descr="https://capfriendly-wlb8ng5.stackpathdns.com/assets/images/icons/general/q.svg"/>
        <xdr:cNvSpPr>
          <a:spLocks noChangeAspect="1" noChangeArrowheads="1"/>
        </xdr:cNvSpPr>
      </xdr:nvSpPr>
      <xdr:spPr bwMode="auto">
        <a:xfrm>
          <a:off x="1524000" y="75571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7" name="AutoShape 509" descr="https://capfriendly-wlb8ng5.stackpathdns.com/assets/images/icons/general/q.svg"/>
        <xdr:cNvSpPr>
          <a:spLocks noChangeAspect="1" noChangeArrowheads="1"/>
        </xdr:cNvSpPr>
      </xdr:nvSpPr>
      <xdr:spPr bwMode="auto">
        <a:xfrm>
          <a:off x="1524000" y="75761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8" name="AutoShape 510" descr="https://capfriendly-wlb8ng5.stackpathdns.com/assets/images/icons/general/q.svg"/>
        <xdr:cNvSpPr>
          <a:spLocks noChangeAspect="1" noChangeArrowheads="1"/>
        </xdr:cNvSpPr>
      </xdr:nvSpPr>
      <xdr:spPr bwMode="auto">
        <a:xfrm>
          <a:off x="1524000" y="7595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9" name="AutoShape 511" descr="https://capfriendly-wlb8ng5.stackpathdns.com/assets/images/icons/general/q.svg"/>
        <xdr:cNvSpPr>
          <a:spLocks noChangeAspect="1" noChangeArrowheads="1"/>
        </xdr:cNvSpPr>
      </xdr:nvSpPr>
      <xdr:spPr bwMode="auto">
        <a:xfrm>
          <a:off x="1524000" y="7614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0" name="AutoShape 512" descr="https://capfriendly-wlb8ng5.stackpathdns.com/assets/images/icons/general/q.svg"/>
        <xdr:cNvSpPr>
          <a:spLocks noChangeAspect="1" noChangeArrowheads="1"/>
        </xdr:cNvSpPr>
      </xdr:nvSpPr>
      <xdr:spPr bwMode="auto">
        <a:xfrm>
          <a:off x="1524000" y="7633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1" name="AutoShape 513" descr="Performance Bonuses"/>
        <xdr:cNvSpPr>
          <a:spLocks noChangeAspect="1" noChangeArrowheads="1"/>
        </xdr:cNvSpPr>
      </xdr:nvSpPr>
      <xdr:spPr bwMode="auto">
        <a:xfrm>
          <a:off x="152400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488</xdr:row>
      <xdr:rowOff>0</xdr:rowOff>
    </xdr:from>
    <xdr:to>
      <xdr:col>2</xdr:col>
      <xdr:colOff>257175</xdr:colOff>
      <xdr:row>488</xdr:row>
      <xdr:rowOff>123825</xdr:rowOff>
    </xdr:to>
    <xdr:sp macro="" textlink="">
      <xdr:nvSpPr>
        <xdr:cNvPr id="2562" name="AutoShape 514" descr="Waivers Exempt">
          <a:hlinkClick xmlns:r="http://schemas.openxmlformats.org/officeDocument/2006/relationships" r:id="rId223"/>
        </xdr:cNvPr>
        <xdr:cNvSpPr>
          <a:spLocks noChangeAspect="1" noChangeArrowheads="1"/>
        </xdr:cNvSpPr>
      </xdr:nvSpPr>
      <xdr:spPr bwMode="auto">
        <a:xfrm>
          <a:off x="165735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1143</xdr:row>
      <xdr:rowOff>0</xdr:rowOff>
    </xdr:from>
    <xdr:to>
      <xdr:col>2</xdr:col>
      <xdr:colOff>123825</xdr:colOff>
      <xdr:row>1143</xdr:row>
      <xdr:rowOff>123825</xdr:rowOff>
    </xdr:to>
    <xdr:sp macro="" textlink="">
      <xdr:nvSpPr>
        <xdr:cNvPr id="2563" name="AutoShape 515" descr="Performance Bonuses"/>
        <xdr:cNvSpPr>
          <a:spLocks noChangeAspect="1" noChangeArrowheads="1"/>
        </xdr:cNvSpPr>
      </xdr:nvSpPr>
      <xdr:spPr bwMode="auto">
        <a:xfrm>
          <a:off x="152400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1143</xdr:row>
      <xdr:rowOff>0</xdr:rowOff>
    </xdr:from>
    <xdr:to>
      <xdr:col>2</xdr:col>
      <xdr:colOff>257175</xdr:colOff>
      <xdr:row>1143</xdr:row>
      <xdr:rowOff>123825</xdr:rowOff>
    </xdr:to>
    <xdr:sp macro="" textlink="">
      <xdr:nvSpPr>
        <xdr:cNvPr id="2564" name="AutoShape 516" descr="Waivers Exempt">
          <a:hlinkClick xmlns:r="http://schemas.openxmlformats.org/officeDocument/2006/relationships" r:id="rId224"/>
        </xdr:cNvPr>
        <xdr:cNvSpPr>
          <a:spLocks noChangeAspect="1" noChangeArrowheads="1"/>
        </xdr:cNvSpPr>
      </xdr:nvSpPr>
      <xdr:spPr bwMode="auto">
        <a:xfrm>
          <a:off x="165735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675</xdr:row>
      <xdr:rowOff>0</xdr:rowOff>
    </xdr:from>
    <xdr:to>
      <xdr:col>2</xdr:col>
      <xdr:colOff>123825</xdr:colOff>
      <xdr:row>675</xdr:row>
      <xdr:rowOff>123825</xdr:rowOff>
    </xdr:to>
    <xdr:sp macro="" textlink="">
      <xdr:nvSpPr>
        <xdr:cNvPr id="2565" name="AutoShape 517" descr="Retained Salary Transaction"/>
        <xdr:cNvSpPr>
          <a:spLocks noChangeAspect="1" noChangeArrowheads="1"/>
        </xdr:cNvSpPr>
      </xdr:nvSpPr>
      <xdr:spPr bwMode="auto">
        <a:xfrm>
          <a:off x="152400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675</xdr:row>
      <xdr:rowOff>0</xdr:rowOff>
    </xdr:from>
    <xdr:to>
      <xdr:col>2</xdr:col>
      <xdr:colOff>257175</xdr:colOff>
      <xdr:row>675</xdr:row>
      <xdr:rowOff>123825</xdr:rowOff>
    </xdr:to>
    <xdr:sp macro="" textlink="">
      <xdr:nvSpPr>
        <xdr:cNvPr id="2566" name="AutoShape 518" descr="Waivers Exempt">
          <a:hlinkClick xmlns:r="http://schemas.openxmlformats.org/officeDocument/2006/relationships" r:id="rId225"/>
        </xdr:cNvPr>
        <xdr:cNvSpPr>
          <a:spLocks noChangeAspect="1" noChangeArrowheads="1"/>
        </xdr:cNvSpPr>
      </xdr:nvSpPr>
      <xdr:spPr bwMode="auto">
        <a:xfrm>
          <a:off x="165735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801</xdr:row>
      <xdr:rowOff>0</xdr:rowOff>
    </xdr:from>
    <xdr:to>
      <xdr:col>2</xdr:col>
      <xdr:colOff>123825</xdr:colOff>
      <xdr:row>801</xdr:row>
      <xdr:rowOff>123825</xdr:rowOff>
    </xdr:to>
    <xdr:sp macro="" textlink="">
      <xdr:nvSpPr>
        <xdr:cNvPr id="2567" name="AutoShape 519" descr="Performance Bonuses"/>
        <xdr:cNvSpPr>
          <a:spLocks noChangeAspect="1" noChangeArrowheads="1"/>
        </xdr:cNvSpPr>
      </xdr:nvSpPr>
      <xdr:spPr bwMode="auto">
        <a:xfrm>
          <a:off x="152400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801</xdr:row>
      <xdr:rowOff>0</xdr:rowOff>
    </xdr:from>
    <xdr:to>
      <xdr:col>2</xdr:col>
      <xdr:colOff>257175</xdr:colOff>
      <xdr:row>801</xdr:row>
      <xdr:rowOff>123825</xdr:rowOff>
    </xdr:to>
    <xdr:sp macro="" textlink="">
      <xdr:nvSpPr>
        <xdr:cNvPr id="2568" name="AutoShape 520" descr="Waivers Exempt">
          <a:hlinkClick xmlns:r="http://schemas.openxmlformats.org/officeDocument/2006/relationships" r:id="rId226"/>
        </xdr:cNvPr>
        <xdr:cNvSpPr>
          <a:spLocks noChangeAspect="1" noChangeArrowheads="1"/>
        </xdr:cNvSpPr>
      </xdr:nvSpPr>
      <xdr:spPr bwMode="auto">
        <a:xfrm>
          <a:off x="165735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376</xdr:row>
      <xdr:rowOff>0</xdr:rowOff>
    </xdr:from>
    <xdr:to>
      <xdr:col>2</xdr:col>
      <xdr:colOff>123825</xdr:colOff>
      <xdr:row>376</xdr:row>
      <xdr:rowOff>123825</xdr:rowOff>
    </xdr:to>
    <xdr:sp macro="" textlink="">
      <xdr:nvSpPr>
        <xdr:cNvPr id="2569" name="AutoShape 521" descr="Performance Bonuses"/>
        <xdr:cNvSpPr>
          <a:spLocks noChangeAspect="1" noChangeArrowheads="1"/>
        </xdr:cNvSpPr>
      </xdr:nvSpPr>
      <xdr:spPr bwMode="auto">
        <a:xfrm>
          <a:off x="152400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376</xdr:row>
      <xdr:rowOff>0</xdr:rowOff>
    </xdr:from>
    <xdr:to>
      <xdr:col>2</xdr:col>
      <xdr:colOff>257175</xdr:colOff>
      <xdr:row>376</xdr:row>
      <xdr:rowOff>123825</xdr:rowOff>
    </xdr:to>
    <xdr:sp macro="" textlink="">
      <xdr:nvSpPr>
        <xdr:cNvPr id="2570" name="AutoShape 522" descr="Waivers Exempt">
          <a:hlinkClick xmlns:r="http://schemas.openxmlformats.org/officeDocument/2006/relationships" r:id="rId227"/>
        </xdr:cNvPr>
        <xdr:cNvSpPr>
          <a:spLocks noChangeAspect="1" noChangeArrowheads="1"/>
        </xdr:cNvSpPr>
      </xdr:nvSpPr>
      <xdr:spPr bwMode="auto">
        <a:xfrm>
          <a:off x="165735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346</xdr:row>
      <xdr:rowOff>0</xdr:rowOff>
    </xdr:from>
    <xdr:to>
      <xdr:col>2</xdr:col>
      <xdr:colOff>123825</xdr:colOff>
      <xdr:row>346</xdr:row>
      <xdr:rowOff>123825</xdr:rowOff>
    </xdr:to>
    <xdr:sp macro="" textlink="">
      <xdr:nvSpPr>
        <xdr:cNvPr id="2571" name="AutoShape 523" descr="Performance Bonuses"/>
        <xdr:cNvSpPr>
          <a:spLocks noChangeAspect="1" noChangeArrowheads="1"/>
        </xdr:cNvSpPr>
      </xdr:nvSpPr>
      <xdr:spPr bwMode="auto">
        <a:xfrm>
          <a:off x="152400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346</xdr:row>
      <xdr:rowOff>0</xdr:rowOff>
    </xdr:from>
    <xdr:to>
      <xdr:col>2</xdr:col>
      <xdr:colOff>257175</xdr:colOff>
      <xdr:row>346</xdr:row>
      <xdr:rowOff>123825</xdr:rowOff>
    </xdr:to>
    <xdr:sp macro="" textlink="">
      <xdr:nvSpPr>
        <xdr:cNvPr id="2572" name="AutoShape 524" descr="Waivers Exempt">
          <a:hlinkClick xmlns:r="http://schemas.openxmlformats.org/officeDocument/2006/relationships" r:id="rId228"/>
        </xdr:cNvPr>
        <xdr:cNvSpPr>
          <a:spLocks noChangeAspect="1" noChangeArrowheads="1"/>
        </xdr:cNvSpPr>
      </xdr:nvSpPr>
      <xdr:spPr bwMode="auto">
        <a:xfrm>
          <a:off x="165735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252</xdr:row>
      <xdr:rowOff>0</xdr:rowOff>
    </xdr:from>
    <xdr:to>
      <xdr:col>2</xdr:col>
      <xdr:colOff>123825</xdr:colOff>
      <xdr:row>252</xdr:row>
      <xdr:rowOff>123825</xdr:rowOff>
    </xdr:to>
    <xdr:sp macro="" textlink="">
      <xdr:nvSpPr>
        <xdr:cNvPr id="2573" name="AutoShape 525" descr="Performance Bonuses"/>
        <xdr:cNvSpPr>
          <a:spLocks noChangeAspect="1" noChangeArrowheads="1"/>
        </xdr:cNvSpPr>
      </xdr:nvSpPr>
      <xdr:spPr bwMode="auto">
        <a:xfrm>
          <a:off x="15240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252</xdr:row>
      <xdr:rowOff>0</xdr:rowOff>
    </xdr:from>
    <xdr:to>
      <xdr:col>2</xdr:col>
      <xdr:colOff>257175</xdr:colOff>
      <xdr:row>252</xdr:row>
      <xdr:rowOff>123825</xdr:rowOff>
    </xdr:to>
    <xdr:sp macro="" textlink="">
      <xdr:nvSpPr>
        <xdr:cNvPr id="2574" name="AutoShape 526" descr="Retained Salary Transaction"/>
        <xdr:cNvSpPr>
          <a:spLocks noChangeAspect="1" noChangeArrowheads="1"/>
        </xdr:cNvSpPr>
      </xdr:nvSpPr>
      <xdr:spPr bwMode="auto">
        <a:xfrm>
          <a:off x="165735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252</xdr:row>
      <xdr:rowOff>0</xdr:rowOff>
    </xdr:from>
    <xdr:to>
      <xdr:col>2</xdr:col>
      <xdr:colOff>390525</xdr:colOff>
      <xdr:row>252</xdr:row>
      <xdr:rowOff>123825</xdr:rowOff>
    </xdr:to>
    <xdr:sp macro="" textlink="">
      <xdr:nvSpPr>
        <xdr:cNvPr id="2575" name="AutoShape 527" descr="Waivers Exempt">
          <a:hlinkClick xmlns:r="http://schemas.openxmlformats.org/officeDocument/2006/relationships" r:id="rId229"/>
        </xdr:cNvPr>
        <xdr:cNvSpPr>
          <a:spLocks noChangeAspect="1" noChangeArrowheads="1"/>
        </xdr:cNvSpPr>
      </xdr:nvSpPr>
      <xdr:spPr bwMode="auto">
        <a:xfrm>
          <a:off x="17907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656</xdr:row>
      <xdr:rowOff>0</xdr:rowOff>
    </xdr:from>
    <xdr:to>
      <xdr:col>2</xdr:col>
      <xdr:colOff>123825</xdr:colOff>
      <xdr:row>656</xdr:row>
      <xdr:rowOff>123825</xdr:rowOff>
    </xdr:to>
    <xdr:sp macro="" textlink="">
      <xdr:nvSpPr>
        <xdr:cNvPr id="2576" name="AutoShape 528" descr="Waivers Exempt">
          <a:hlinkClick xmlns:r="http://schemas.openxmlformats.org/officeDocument/2006/relationships" r:id="rId230"/>
        </xdr:cNvPr>
        <xdr:cNvSpPr>
          <a:spLocks noChangeAspect="1" noChangeArrowheads="1"/>
        </xdr:cNvSpPr>
      </xdr:nvSpPr>
      <xdr:spPr bwMode="auto">
        <a:xfrm>
          <a:off x="1524000" y="7821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1153</xdr:row>
      <xdr:rowOff>0</xdr:rowOff>
    </xdr:from>
    <xdr:to>
      <xdr:col>2</xdr:col>
      <xdr:colOff>123825</xdr:colOff>
      <xdr:row>1153</xdr:row>
      <xdr:rowOff>123825</xdr:rowOff>
    </xdr:to>
    <xdr:sp macro="" textlink="">
      <xdr:nvSpPr>
        <xdr:cNvPr id="2577" name="AutoShape 529" descr="Performance Bonuses"/>
        <xdr:cNvSpPr>
          <a:spLocks noChangeAspect="1" noChangeArrowheads="1"/>
        </xdr:cNvSpPr>
      </xdr:nvSpPr>
      <xdr:spPr bwMode="auto">
        <a:xfrm>
          <a:off x="152400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1153</xdr:row>
      <xdr:rowOff>0</xdr:rowOff>
    </xdr:from>
    <xdr:to>
      <xdr:col>2</xdr:col>
      <xdr:colOff>257175</xdr:colOff>
      <xdr:row>1153</xdr:row>
      <xdr:rowOff>123825</xdr:rowOff>
    </xdr:to>
    <xdr:sp macro="" textlink="">
      <xdr:nvSpPr>
        <xdr:cNvPr id="2578" name="AutoShape 530" descr="Waivers Exempt">
          <a:hlinkClick xmlns:r="http://schemas.openxmlformats.org/officeDocument/2006/relationships" r:id="rId231"/>
        </xdr:cNvPr>
        <xdr:cNvSpPr>
          <a:spLocks noChangeAspect="1" noChangeArrowheads="1"/>
        </xdr:cNvSpPr>
      </xdr:nvSpPr>
      <xdr:spPr bwMode="auto">
        <a:xfrm>
          <a:off x="165735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1100</xdr:row>
      <xdr:rowOff>0</xdr:rowOff>
    </xdr:from>
    <xdr:to>
      <xdr:col>2</xdr:col>
      <xdr:colOff>123825</xdr:colOff>
      <xdr:row>1100</xdr:row>
      <xdr:rowOff>123825</xdr:rowOff>
    </xdr:to>
    <xdr:sp macro="" textlink="">
      <xdr:nvSpPr>
        <xdr:cNvPr id="2579" name="AutoShape 531" descr="Waivers Exempt">
          <a:hlinkClick xmlns:r="http://schemas.openxmlformats.org/officeDocument/2006/relationships" r:id="rId232"/>
        </xdr:cNvPr>
        <xdr:cNvSpPr>
          <a:spLocks noChangeAspect="1" noChangeArrowheads="1"/>
        </xdr:cNvSpPr>
      </xdr:nvSpPr>
      <xdr:spPr bwMode="auto">
        <a:xfrm>
          <a:off x="1524000" y="7860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728</xdr:row>
      <xdr:rowOff>0</xdr:rowOff>
    </xdr:from>
    <xdr:to>
      <xdr:col>2</xdr:col>
      <xdr:colOff>123825</xdr:colOff>
      <xdr:row>728</xdr:row>
      <xdr:rowOff>123825</xdr:rowOff>
    </xdr:to>
    <xdr:sp macro="" textlink="">
      <xdr:nvSpPr>
        <xdr:cNvPr id="2580" name="AutoShape 532" descr="Performance Bonuses"/>
        <xdr:cNvSpPr>
          <a:spLocks noChangeAspect="1" noChangeArrowheads="1"/>
        </xdr:cNvSpPr>
      </xdr:nvSpPr>
      <xdr:spPr bwMode="auto">
        <a:xfrm>
          <a:off x="152400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728</xdr:row>
      <xdr:rowOff>0</xdr:rowOff>
    </xdr:from>
    <xdr:to>
      <xdr:col>2</xdr:col>
      <xdr:colOff>257175</xdr:colOff>
      <xdr:row>728</xdr:row>
      <xdr:rowOff>123825</xdr:rowOff>
    </xdr:to>
    <xdr:sp macro="" textlink="">
      <xdr:nvSpPr>
        <xdr:cNvPr id="2581" name="AutoShape 533" descr="Waivers Exempt">
          <a:hlinkClick xmlns:r="http://schemas.openxmlformats.org/officeDocument/2006/relationships" r:id="rId233"/>
        </xdr:cNvPr>
        <xdr:cNvSpPr>
          <a:spLocks noChangeAspect="1" noChangeArrowheads="1"/>
        </xdr:cNvSpPr>
      </xdr:nvSpPr>
      <xdr:spPr bwMode="auto">
        <a:xfrm>
          <a:off x="165735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1439</xdr:row>
      <xdr:rowOff>0</xdr:rowOff>
    </xdr:from>
    <xdr:to>
      <xdr:col>2</xdr:col>
      <xdr:colOff>123825</xdr:colOff>
      <xdr:row>1439</xdr:row>
      <xdr:rowOff>123825</xdr:rowOff>
    </xdr:to>
    <xdr:sp macro="" textlink="">
      <xdr:nvSpPr>
        <xdr:cNvPr id="2582" name="AutoShape 534" descr="Performance Bonuses"/>
        <xdr:cNvSpPr>
          <a:spLocks noChangeAspect="1" noChangeArrowheads="1"/>
        </xdr:cNvSpPr>
      </xdr:nvSpPr>
      <xdr:spPr bwMode="auto">
        <a:xfrm>
          <a:off x="152400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1439</xdr:row>
      <xdr:rowOff>0</xdr:rowOff>
    </xdr:from>
    <xdr:to>
      <xdr:col>2</xdr:col>
      <xdr:colOff>257175</xdr:colOff>
      <xdr:row>1439</xdr:row>
      <xdr:rowOff>123825</xdr:rowOff>
    </xdr:to>
    <xdr:sp macro="" textlink="">
      <xdr:nvSpPr>
        <xdr:cNvPr id="2583" name="AutoShape 535" descr="Waivers Exempt">
          <a:hlinkClick xmlns:r="http://schemas.openxmlformats.org/officeDocument/2006/relationships" r:id="rId234"/>
        </xdr:cNvPr>
        <xdr:cNvSpPr>
          <a:spLocks noChangeAspect="1" noChangeArrowheads="1"/>
        </xdr:cNvSpPr>
      </xdr:nvSpPr>
      <xdr:spPr bwMode="auto">
        <a:xfrm>
          <a:off x="165735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584" name="AutoShape 536" descr="https://capfriendly-wlb8ng5.stackpathdns.com/assets/images/icons/general/q2.svg"/>
        <xdr:cNvSpPr>
          <a:spLocks noChangeAspect="1" noChangeArrowheads="1"/>
        </xdr:cNvSpPr>
      </xdr:nvSpPr>
      <xdr:spPr bwMode="auto">
        <a:xfrm>
          <a:off x="5334000" y="80305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123825</xdr:colOff>
      <xdr:row>540</xdr:row>
      <xdr:rowOff>123825</xdr:rowOff>
    </xdr:to>
    <xdr:sp macro="" textlink="">
      <xdr:nvSpPr>
        <xdr:cNvPr id="2585" name="AutoShape 537" descr="Performance Bonuses"/>
        <xdr:cNvSpPr>
          <a:spLocks noChangeAspect="1" noChangeArrowheads="1"/>
        </xdr:cNvSpPr>
      </xdr:nvSpPr>
      <xdr:spPr bwMode="auto">
        <a:xfrm>
          <a:off x="152400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540</xdr:row>
      <xdr:rowOff>0</xdr:rowOff>
    </xdr:from>
    <xdr:to>
      <xdr:col>2</xdr:col>
      <xdr:colOff>257175</xdr:colOff>
      <xdr:row>540</xdr:row>
      <xdr:rowOff>123825</xdr:rowOff>
    </xdr:to>
    <xdr:sp macro="" textlink="">
      <xdr:nvSpPr>
        <xdr:cNvPr id="2586" name="AutoShape 538" descr="Waivers Exempt">
          <a:hlinkClick xmlns:r="http://schemas.openxmlformats.org/officeDocument/2006/relationships" r:id="rId235"/>
        </xdr:cNvPr>
        <xdr:cNvSpPr>
          <a:spLocks noChangeAspect="1" noChangeArrowheads="1"/>
        </xdr:cNvSpPr>
      </xdr:nvSpPr>
      <xdr:spPr bwMode="auto">
        <a:xfrm>
          <a:off x="165735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xdr:row>
      <xdr:rowOff>0</xdr:rowOff>
    </xdr:from>
    <xdr:to>
      <xdr:col>2</xdr:col>
      <xdr:colOff>123825</xdr:colOff>
      <xdr:row>106</xdr:row>
      <xdr:rowOff>123825</xdr:rowOff>
    </xdr:to>
    <xdr:sp macro="" textlink="">
      <xdr:nvSpPr>
        <xdr:cNvPr id="2587" name="AutoShape 539" descr="Waivers Exempt">
          <a:hlinkClick xmlns:r="http://schemas.openxmlformats.org/officeDocument/2006/relationships" r:id="rId236"/>
        </xdr:cNvPr>
        <xdr:cNvSpPr>
          <a:spLocks noChangeAspect="1" noChangeArrowheads="1"/>
        </xdr:cNvSpPr>
      </xdr:nvSpPr>
      <xdr:spPr bwMode="auto">
        <a:xfrm>
          <a:off x="1524000" y="8068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233</xdr:row>
      <xdr:rowOff>0</xdr:rowOff>
    </xdr:from>
    <xdr:to>
      <xdr:col>2</xdr:col>
      <xdr:colOff>123825</xdr:colOff>
      <xdr:row>233</xdr:row>
      <xdr:rowOff>123825</xdr:rowOff>
    </xdr:to>
    <xdr:sp macro="" textlink="">
      <xdr:nvSpPr>
        <xdr:cNvPr id="2588" name="AutoShape 540" descr="Waivers Exempt">
          <a:hlinkClick xmlns:r="http://schemas.openxmlformats.org/officeDocument/2006/relationships" r:id="rId237"/>
        </xdr:cNvPr>
        <xdr:cNvSpPr>
          <a:spLocks noChangeAspect="1" noChangeArrowheads="1"/>
        </xdr:cNvSpPr>
      </xdr:nvSpPr>
      <xdr:spPr bwMode="auto">
        <a:xfrm>
          <a:off x="1524000" y="8087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1198</xdr:row>
      <xdr:rowOff>0</xdr:rowOff>
    </xdr:from>
    <xdr:to>
      <xdr:col>2</xdr:col>
      <xdr:colOff>123825</xdr:colOff>
      <xdr:row>1198</xdr:row>
      <xdr:rowOff>123825</xdr:rowOff>
    </xdr:to>
    <xdr:sp macro="" textlink="">
      <xdr:nvSpPr>
        <xdr:cNvPr id="2589" name="AutoShape 541" descr="Waivers Exempt">
          <a:hlinkClick xmlns:r="http://schemas.openxmlformats.org/officeDocument/2006/relationships" r:id="rId238"/>
        </xdr:cNvPr>
        <xdr:cNvSpPr>
          <a:spLocks noChangeAspect="1" noChangeArrowheads="1"/>
        </xdr:cNvSpPr>
      </xdr:nvSpPr>
      <xdr:spPr bwMode="auto">
        <a:xfrm>
          <a:off x="1524000" y="8144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590" name="AutoShape 542" descr="https://capfriendly-wlb8ng5.stackpathdns.com/assets/images/icons/general/q2.svg"/>
        <xdr:cNvSpPr>
          <a:spLocks noChangeAspect="1" noChangeArrowheads="1"/>
        </xdr:cNvSpPr>
      </xdr:nvSpPr>
      <xdr:spPr bwMode="auto">
        <a:xfrm>
          <a:off x="4572000" y="816387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403</xdr:row>
      <xdr:rowOff>0</xdr:rowOff>
    </xdr:from>
    <xdr:to>
      <xdr:col>2</xdr:col>
      <xdr:colOff>123825</xdr:colOff>
      <xdr:row>403</xdr:row>
      <xdr:rowOff>123825</xdr:rowOff>
    </xdr:to>
    <xdr:sp macro="" textlink="">
      <xdr:nvSpPr>
        <xdr:cNvPr id="2591" name="AutoShape 543" descr="Waivers Exempt">
          <a:hlinkClick xmlns:r="http://schemas.openxmlformats.org/officeDocument/2006/relationships" r:id="rId239"/>
        </xdr:cNvPr>
        <xdr:cNvSpPr>
          <a:spLocks noChangeAspect="1" noChangeArrowheads="1"/>
        </xdr:cNvSpPr>
      </xdr:nvSpPr>
      <xdr:spPr bwMode="auto">
        <a:xfrm>
          <a:off x="1524000" y="8277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281</xdr:row>
      <xdr:rowOff>0</xdr:rowOff>
    </xdr:from>
    <xdr:to>
      <xdr:col>7</xdr:col>
      <xdr:colOff>123825</xdr:colOff>
      <xdr:row>281</xdr:row>
      <xdr:rowOff>104775</xdr:rowOff>
    </xdr:to>
    <xdr:sp macro="" textlink="">
      <xdr:nvSpPr>
        <xdr:cNvPr id="2592" name="AutoShape 544" descr="Arbitration Eligible">
          <a:hlinkClick xmlns:r="http://schemas.openxmlformats.org/officeDocument/2006/relationships" r:id="rId240"/>
        </xdr:cNvPr>
        <xdr:cNvSpPr>
          <a:spLocks noChangeAspect="1" noChangeArrowheads="1"/>
        </xdr:cNvSpPr>
      </xdr:nvSpPr>
      <xdr:spPr bwMode="auto">
        <a:xfrm>
          <a:off x="5334000" y="82962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1179</xdr:row>
      <xdr:rowOff>0</xdr:rowOff>
    </xdr:from>
    <xdr:to>
      <xdr:col>8</xdr:col>
      <xdr:colOff>123825</xdr:colOff>
      <xdr:row>1179</xdr:row>
      <xdr:rowOff>104775</xdr:rowOff>
    </xdr:to>
    <xdr:sp macro="" textlink="">
      <xdr:nvSpPr>
        <xdr:cNvPr id="2593" name="AutoShape 545" descr="Arbitration Eligible">
          <a:hlinkClick xmlns:r="http://schemas.openxmlformats.org/officeDocument/2006/relationships" r:id="rId241"/>
        </xdr:cNvPr>
        <xdr:cNvSpPr>
          <a:spLocks noChangeAspect="1" noChangeArrowheads="1"/>
        </xdr:cNvSpPr>
      </xdr:nvSpPr>
      <xdr:spPr bwMode="auto">
        <a:xfrm>
          <a:off x="6096000" y="80533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391</xdr:row>
      <xdr:rowOff>0</xdr:rowOff>
    </xdr:from>
    <xdr:to>
      <xdr:col>2</xdr:col>
      <xdr:colOff>123825</xdr:colOff>
      <xdr:row>391</xdr:row>
      <xdr:rowOff>123825</xdr:rowOff>
    </xdr:to>
    <xdr:sp macro="" textlink="">
      <xdr:nvSpPr>
        <xdr:cNvPr id="2594" name="AutoShape 546" descr="Performance Bonuses"/>
        <xdr:cNvSpPr>
          <a:spLocks noChangeAspect="1" noChangeArrowheads="1"/>
        </xdr:cNvSpPr>
      </xdr:nvSpPr>
      <xdr:spPr bwMode="auto">
        <a:xfrm>
          <a:off x="152400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391</xdr:row>
      <xdr:rowOff>0</xdr:rowOff>
    </xdr:from>
    <xdr:to>
      <xdr:col>2</xdr:col>
      <xdr:colOff>257175</xdr:colOff>
      <xdr:row>391</xdr:row>
      <xdr:rowOff>123825</xdr:rowOff>
    </xdr:to>
    <xdr:sp macro="" textlink="">
      <xdr:nvSpPr>
        <xdr:cNvPr id="2595" name="AutoShape 547" descr="Waivers Exempt">
          <a:hlinkClick xmlns:r="http://schemas.openxmlformats.org/officeDocument/2006/relationships" r:id="rId242"/>
        </xdr:cNvPr>
        <xdr:cNvSpPr>
          <a:spLocks noChangeAspect="1" noChangeArrowheads="1"/>
        </xdr:cNvSpPr>
      </xdr:nvSpPr>
      <xdr:spPr bwMode="auto">
        <a:xfrm>
          <a:off x="165735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1180</xdr:row>
      <xdr:rowOff>0</xdr:rowOff>
    </xdr:from>
    <xdr:to>
      <xdr:col>8</xdr:col>
      <xdr:colOff>123825</xdr:colOff>
      <xdr:row>1180</xdr:row>
      <xdr:rowOff>104775</xdr:rowOff>
    </xdr:to>
    <xdr:sp macro="" textlink="">
      <xdr:nvSpPr>
        <xdr:cNvPr id="2596" name="AutoShape 548" descr="Arbitration Eligible">
          <a:hlinkClick xmlns:r="http://schemas.openxmlformats.org/officeDocument/2006/relationships" r:id="rId243"/>
        </xdr:cNvPr>
        <xdr:cNvSpPr>
          <a:spLocks noChangeAspect="1" noChangeArrowheads="1"/>
        </xdr:cNvSpPr>
      </xdr:nvSpPr>
      <xdr:spPr bwMode="auto">
        <a:xfrm>
          <a:off x="6096000" y="8242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7" name="AutoShape 549" descr="https://capfriendly-wlb8ng5.stackpathdns.com/assets/images/icons/general/q.svg"/>
        <xdr:cNvSpPr>
          <a:spLocks noChangeAspect="1" noChangeArrowheads="1"/>
        </xdr:cNvSpPr>
      </xdr:nvSpPr>
      <xdr:spPr bwMode="auto">
        <a:xfrm>
          <a:off x="1524000" y="8301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8" name="AutoShape 550" descr="https://capfriendly-wlb8ng5.stackpathdns.com/assets/images/icons/general/q.svg"/>
        <xdr:cNvSpPr>
          <a:spLocks noChangeAspect="1" noChangeArrowheads="1"/>
        </xdr:cNvSpPr>
      </xdr:nvSpPr>
      <xdr:spPr bwMode="auto">
        <a:xfrm>
          <a:off x="1524000" y="8320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9" name="AutoShape 551" descr="https://capfriendly-wlb8ng5.stackpathdns.com/assets/images/icons/general/q.svg"/>
        <xdr:cNvSpPr>
          <a:spLocks noChangeAspect="1" noChangeArrowheads="1"/>
        </xdr:cNvSpPr>
      </xdr:nvSpPr>
      <xdr:spPr bwMode="auto">
        <a:xfrm>
          <a:off x="1524000" y="8339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0" name="AutoShape 552" descr="https://capfriendly-wlb8ng5.stackpathdns.com/assets/images/icons/general/q.svg"/>
        <xdr:cNvSpPr>
          <a:spLocks noChangeAspect="1" noChangeArrowheads="1"/>
        </xdr:cNvSpPr>
      </xdr:nvSpPr>
      <xdr:spPr bwMode="auto">
        <a:xfrm>
          <a:off x="1524000" y="8358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1" name="AutoShape 553" descr="https://capfriendly-wlb8ng5.stackpathdns.com/assets/images/icons/general/q.svg"/>
        <xdr:cNvSpPr>
          <a:spLocks noChangeAspect="1" noChangeArrowheads="1"/>
        </xdr:cNvSpPr>
      </xdr:nvSpPr>
      <xdr:spPr bwMode="auto">
        <a:xfrm>
          <a:off x="1524000" y="8377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2" name="AutoShape 554" descr="https://capfriendly-wlb8ng5.stackpathdns.com/assets/images/icons/general/q.svg"/>
        <xdr:cNvSpPr>
          <a:spLocks noChangeAspect="1" noChangeArrowheads="1"/>
        </xdr:cNvSpPr>
      </xdr:nvSpPr>
      <xdr:spPr bwMode="auto">
        <a:xfrm>
          <a:off x="1524000" y="8396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3" name="AutoShape 555" descr="https://capfriendly-wlb8ng5.stackpathdns.com/assets/images/icons/general/q.svg"/>
        <xdr:cNvSpPr>
          <a:spLocks noChangeAspect="1" noChangeArrowheads="1"/>
        </xdr:cNvSpPr>
      </xdr:nvSpPr>
      <xdr:spPr bwMode="auto">
        <a:xfrm>
          <a:off x="1524000" y="8415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4" name="AutoShape 556" descr="https://capfriendly-wlb8ng5.stackpathdns.com/assets/images/icons/general/q.svg"/>
        <xdr:cNvSpPr>
          <a:spLocks noChangeAspect="1" noChangeArrowheads="1"/>
        </xdr:cNvSpPr>
      </xdr:nvSpPr>
      <xdr:spPr bwMode="auto">
        <a:xfrm>
          <a:off x="1524000" y="8434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5" name="AutoShape 557" descr="https://capfriendly-wlb8ng5.stackpathdns.com/assets/images/icons/general/q.svg"/>
        <xdr:cNvSpPr>
          <a:spLocks noChangeAspect="1" noChangeArrowheads="1"/>
        </xdr:cNvSpPr>
      </xdr:nvSpPr>
      <xdr:spPr bwMode="auto">
        <a:xfrm>
          <a:off x="1524000" y="8453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6" name="AutoShape 558" descr="https://capfriendly-wlb8ng5.stackpathdns.com/assets/images/icons/general/q.svg"/>
        <xdr:cNvSpPr>
          <a:spLocks noChangeAspect="1" noChangeArrowheads="1"/>
        </xdr:cNvSpPr>
      </xdr:nvSpPr>
      <xdr:spPr bwMode="auto">
        <a:xfrm>
          <a:off x="1524000" y="8472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7" name="AutoShape 559" descr="https://capfriendly-wlb8ng5.stackpathdns.com/assets/images/icons/general/q.svg"/>
        <xdr:cNvSpPr>
          <a:spLocks noChangeAspect="1" noChangeArrowheads="1"/>
        </xdr:cNvSpPr>
      </xdr:nvSpPr>
      <xdr:spPr bwMode="auto">
        <a:xfrm>
          <a:off x="1524000" y="8491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8" name="AutoShape 560" descr="Waivers Exempt">
          <a:hlinkClick xmlns:r="http://schemas.openxmlformats.org/officeDocument/2006/relationships" r:id="rId244"/>
        </xdr:cNvPr>
        <xdr:cNvSpPr>
          <a:spLocks noChangeAspect="1" noChangeArrowheads="1"/>
        </xdr:cNvSpPr>
      </xdr:nvSpPr>
      <xdr:spPr bwMode="auto">
        <a:xfrm>
          <a:off x="1524000" y="8546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09" name="AutoShape 561" descr="https://capfriendly-wlb8ng5.stackpathdns.com/assets/images/icons/general/q2.svg"/>
        <xdr:cNvSpPr>
          <a:spLocks noChangeAspect="1" noChangeArrowheads="1"/>
        </xdr:cNvSpPr>
      </xdr:nvSpPr>
      <xdr:spPr bwMode="auto">
        <a:xfrm>
          <a:off x="5334000" y="85658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258</xdr:row>
      <xdr:rowOff>0</xdr:rowOff>
    </xdr:from>
    <xdr:to>
      <xdr:col>2</xdr:col>
      <xdr:colOff>123825</xdr:colOff>
      <xdr:row>258</xdr:row>
      <xdr:rowOff>123825</xdr:rowOff>
    </xdr:to>
    <xdr:sp macro="" textlink="">
      <xdr:nvSpPr>
        <xdr:cNvPr id="2610" name="AutoShape 562" descr="Waivers Exempt">
          <a:hlinkClick xmlns:r="http://schemas.openxmlformats.org/officeDocument/2006/relationships" r:id="rId245"/>
        </xdr:cNvPr>
        <xdr:cNvSpPr>
          <a:spLocks noChangeAspect="1" noChangeArrowheads="1"/>
        </xdr:cNvSpPr>
      </xdr:nvSpPr>
      <xdr:spPr bwMode="auto">
        <a:xfrm>
          <a:off x="1524000" y="8584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1443</xdr:row>
      <xdr:rowOff>0</xdr:rowOff>
    </xdr:from>
    <xdr:to>
      <xdr:col>2</xdr:col>
      <xdr:colOff>123825</xdr:colOff>
      <xdr:row>1443</xdr:row>
      <xdr:rowOff>123825</xdr:rowOff>
    </xdr:to>
    <xdr:sp macro="" textlink="">
      <xdr:nvSpPr>
        <xdr:cNvPr id="2611" name="AutoShape 563" descr="Waivers Exempt">
          <a:hlinkClick xmlns:r="http://schemas.openxmlformats.org/officeDocument/2006/relationships" r:id="rId246"/>
        </xdr:cNvPr>
        <xdr:cNvSpPr>
          <a:spLocks noChangeAspect="1" noChangeArrowheads="1"/>
        </xdr:cNvSpPr>
      </xdr:nvSpPr>
      <xdr:spPr bwMode="auto">
        <a:xfrm>
          <a:off x="1524000" y="860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1360</xdr:row>
      <xdr:rowOff>0</xdr:rowOff>
    </xdr:from>
    <xdr:to>
      <xdr:col>2</xdr:col>
      <xdr:colOff>123825</xdr:colOff>
      <xdr:row>1360</xdr:row>
      <xdr:rowOff>123825</xdr:rowOff>
    </xdr:to>
    <xdr:sp macro="" textlink="">
      <xdr:nvSpPr>
        <xdr:cNvPr id="2612" name="AutoShape 564" descr="Performance Bonuses"/>
        <xdr:cNvSpPr>
          <a:spLocks noChangeAspect="1" noChangeArrowheads="1"/>
        </xdr:cNvSpPr>
      </xdr:nvSpPr>
      <xdr:spPr bwMode="auto">
        <a:xfrm>
          <a:off x="152400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1360</xdr:row>
      <xdr:rowOff>0</xdr:rowOff>
    </xdr:from>
    <xdr:to>
      <xdr:col>2</xdr:col>
      <xdr:colOff>257175</xdr:colOff>
      <xdr:row>1360</xdr:row>
      <xdr:rowOff>123825</xdr:rowOff>
    </xdr:to>
    <xdr:sp macro="" textlink="">
      <xdr:nvSpPr>
        <xdr:cNvPr id="2613" name="AutoShape 565" descr="Waivers Exempt">
          <a:hlinkClick xmlns:r="http://schemas.openxmlformats.org/officeDocument/2006/relationships" r:id="rId247"/>
        </xdr:cNvPr>
        <xdr:cNvSpPr>
          <a:spLocks noChangeAspect="1" noChangeArrowheads="1"/>
        </xdr:cNvSpPr>
      </xdr:nvSpPr>
      <xdr:spPr bwMode="auto">
        <a:xfrm>
          <a:off x="165735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859</xdr:row>
      <xdr:rowOff>0</xdr:rowOff>
    </xdr:from>
    <xdr:to>
      <xdr:col>2</xdr:col>
      <xdr:colOff>123825</xdr:colOff>
      <xdr:row>859</xdr:row>
      <xdr:rowOff>123825</xdr:rowOff>
    </xdr:to>
    <xdr:sp macro="" textlink="">
      <xdr:nvSpPr>
        <xdr:cNvPr id="2614" name="AutoShape 566" descr="Waivers Exempt">
          <a:hlinkClick xmlns:r="http://schemas.openxmlformats.org/officeDocument/2006/relationships" r:id="rId248"/>
        </xdr:cNvPr>
        <xdr:cNvSpPr>
          <a:spLocks noChangeAspect="1" noChangeArrowheads="1"/>
        </xdr:cNvSpPr>
      </xdr:nvSpPr>
      <xdr:spPr bwMode="auto">
        <a:xfrm>
          <a:off x="1524000" y="864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1363</xdr:row>
      <xdr:rowOff>0</xdr:rowOff>
    </xdr:from>
    <xdr:to>
      <xdr:col>2</xdr:col>
      <xdr:colOff>123825</xdr:colOff>
      <xdr:row>1363</xdr:row>
      <xdr:rowOff>123825</xdr:rowOff>
    </xdr:to>
    <xdr:sp macro="" textlink="">
      <xdr:nvSpPr>
        <xdr:cNvPr id="2615" name="AutoShape 567" descr="Performance Bonuses"/>
        <xdr:cNvSpPr>
          <a:spLocks noChangeAspect="1" noChangeArrowheads="1"/>
        </xdr:cNvSpPr>
      </xdr:nvSpPr>
      <xdr:spPr bwMode="auto">
        <a:xfrm>
          <a:off x="152400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1363</xdr:row>
      <xdr:rowOff>0</xdr:rowOff>
    </xdr:from>
    <xdr:to>
      <xdr:col>2</xdr:col>
      <xdr:colOff>257175</xdr:colOff>
      <xdr:row>1363</xdr:row>
      <xdr:rowOff>123825</xdr:rowOff>
    </xdr:to>
    <xdr:sp macro="" textlink="">
      <xdr:nvSpPr>
        <xdr:cNvPr id="2616" name="AutoShape 568" descr="Waivers Exempt">
          <a:hlinkClick xmlns:r="http://schemas.openxmlformats.org/officeDocument/2006/relationships" r:id="rId249"/>
        </xdr:cNvPr>
        <xdr:cNvSpPr>
          <a:spLocks noChangeAspect="1" noChangeArrowheads="1"/>
        </xdr:cNvSpPr>
      </xdr:nvSpPr>
      <xdr:spPr bwMode="auto">
        <a:xfrm>
          <a:off x="165735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1009</xdr:row>
      <xdr:rowOff>0</xdr:rowOff>
    </xdr:from>
    <xdr:to>
      <xdr:col>2</xdr:col>
      <xdr:colOff>123825</xdr:colOff>
      <xdr:row>1009</xdr:row>
      <xdr:rowOff>123825</xdr:rowOff>
    </xdr:to>
    <xdr:sp macro="" textlink="">
      <xdr:nvSpPr>
        <xdr:cNvPr id="2617" name="AutoShape 569" descr="Waivers Exempt">
          <a:hlinkClick xmlns:r="http://schemas.openxmlformats.org/officeDocument/2006/relationships" r:id="rId250"/>
        </xdr:cNvPr>
        <xdr:cNvSpPr>
          <a:spLocks noChangeAspect="1" noChangeArrowheads="1"/>
        </xdr:cNvSpPr>
      </xdr:nvSpPr>
      <xdr:spPr bwMode="auto">
        <a:xfrm>
          <a:off x="1524000" y="868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637</xdr:row>
      <xdr:rowOff>0</xdr:rowOff>
    </xdr:from>
    <xdr:to>
      <xdr:col>2</xdr:col>
      <xdr:colOff>123825</xdr:colOff>
      <xdr:row>637</xdr:row>
      <xdr:rowOff>123825</xdr:rowOff>
    </xdr:to>
    <xdr:sp macro="" textlink="">
      <xdr:nvSpPr>
        <xdr:cNvPr id="2618" name="AutoShape 570" descr="Waivers Exempt">
          <a:hlinkClick xmlns:r="http://schemas.openxmlformats.org/officeDocument/2006/relationships" r:id="rId251"/>
        </xdr:cNvPr>
        <xdr:cNvSpPr>
          <a:spLocks noChangeAspect="1" noChangeArrowheads="1"/>
        </xdr:cNvSpPr>
      </xdr:nvSpPr>
      <xdr:spPr bwMode="auto">
        <a:xfrm>
          <a:off x="1524000" y="869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282</xdr:row>
      <xdr:rowOff>0</xdr:rowOff>
    </xdr:from>
    <xdr:to>
      <xdr:col>7</xdr:col>
      <xdr:colOff>123825</xdr:colOff>
      <xdr:row>282</xdr:row>
      <xdr:rowOff>104775</xdr:rowOff>
    </xdr:to>
    <xdr:sp macro="" textlink="">
      <xdr:nvSpPr>
        <xdr:cNvPr id="2619" name="AutoShape 571" descr="Arbitration Eligible">
          <a:hlinkClick xmlns:r="http://schemas.openxmlformats.org/officeDocument/2006/relationships" r:id="rId252"/>
        </xdr:cNvPr>
        <xdr:cNvSpPr>
          <a:spLocks noChangeAspect="1" noChangeArrowheads="1"/>
        </xdr:cNvSpPr>
      </xdr:nvSpPr>
      <xdr:spPr bwMode="auto">
        <a:xfrm>
          <a:off x="5334000" y="87372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285</xdr:row>
      <xdr:rowOff>0</xdr:rowOff>
    </xdr:from>
    <xdr:to>
      <xdr:col>2</xdr:col>
      <xdr:colOff>123825</xdr:colOff>
      <xdr:row>285</xdr:row>
      <xdr:rowOff>123825</xdr:rowOff>
    </xdr:to>
    <xdr:sp macro="" textlink="">
      <xdr:nvSpPr>
        <xdr:cNvPr id="2620" name="AutoShape 572" descr="Performance Bonuses"/>
        <xdr:cNvSpPr>
          <a:spLocks noChangeAspect="1" noChangeArrowheads="1"/>
        </xdr:cNvSpPr>
      </xdr:nvSpPr>
      <xdr:spPr bwMode="auto">
        <a:xfrm>
          <a:off x="152400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285</xdr:row>
      <xdr:rowOff>0</xdr:rowOff>
    </xdr:from>
    <xdr:to>
      <xdr:col>2</xdr:col>
      <xdr:colOff>257175</xdr:colOff>
      <xdr:row>285</xdr:row>
      <xdr:rowOff>123825</xdr:rowOff>
    </xdr:to>
    <xdr:sp macro="" textlink="">
      <xdr:nvSpPr>
        <xdr:cNvPr id="2621" name="AutoShape 573" descr="Waivers Exempt">
          <a:hlinkClick xmlns:r="http://schemas.openxmlformats.org/officeDocument/2006/relationships" r:id="rId253"/>
        </xdr:cNvPr>
        <xdr:cNvSpPr>
          <a:spLocks noChangeAspect="1" noChangeArrowheads="1"/>
        </xdr:cNvSpPr>
      </xdr:nvSpPr>
      <xdr:spPr bwMode="auto">
        <a:xfrm>
          <a:off x="165735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123825</xdr:colOff>
      <xdr:row>434</xdr:row>
      <xdr:rowOff>123825</xdr:rowOff>
    </xdr:to>
    <xdr:sp macro="" textlink="">
      <xdr:nvSpPr>
        <xdr:cNvPr id="2622" name="AutoShape 574" descr="Performance Bonuses"/>
        <xdr:cNvSpPr>
          <a:spLocks noChangeAspect="1" noChangeArrowheads="1"/>
        </xdr:cNvSpPr>
      </xdr:nvSpPr>
      <xdr:spPr bwMode="auto">
        <a:xfrm>
          <a:off x="152400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434</xdr:row>
      <xdr:rowOff>0</xdr:rowOff>
    </xdr:from>
    <xdr:to>
      <xdr:col>2</xdr:col>
      <xdr:colOff>257175</xdr:colOff>
      <xdr:row>434</xdr:row>
      <xdr:rowOff>123825</xdr:rowOff>
    </xdr:to>
    <xdr:sp macro="" textlink="">
      <xdr:nvSpPr>
        <xdr:cNvPr id="2623" name="AutoShape 575" descr="Waivers Exempt">
          <a:hlinkClick xmlns:r="http://schemas.openxmlformats.org/officeDocument/2006/relationships" r:id="rId254"/>
        </xdr:cNvPr>
        <xdr:cNvSpPr>
          <a:spLocks noChangeAspect="1" noChangeArrowheads="1"/>
        </xdr:cNvSpPr>
      </xdr:nvSpPr>
      <xdr:spPr bwMode="auto">
        <a:xfrm>
          <a:off x="165735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xdr:row>
      <xdr:rowOff>0</xdr:rowOff>
    </xdr:from>
    <xdr:to>
      <xdr:col>2</xdr:col>
      <xdr:colOff>123825</xdr:colOff>
      <xdr:row>14</xdr:row>
      <xdr:rowOff>123825</xdr:rowOff>
    </xdr:to>
    <xdr:sp macro="" textlink="">
      <xdr:nvSpPr>
        <xdr:cNvPr id="2624" name="AutoShape 576" descr="Performance Bonuses"/>
        <xdr:cNvSpPr>
          <a:spLocks noChangeAspect="1" noChangeArrowheads="1"/>
        </xdr:cNvSpPr>
      </xdr:nvSpPr>
      <xdr:spPr bwMode="auto">
        <a:xfrm>
          <a:off x="152400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xdr:row>
      <xdr:rowOff>0</xdr:rowOff>
    </xdr:from>
    <xdr:to>
      <xdr:col>2</xdr:col>
      <xdr:colOff>257175</xdr:colOff>
      <xdr:row>14</xdr:row>
      <xdr:rowOff>123825</xdr:rowOff>
    </xdr:to>
    <xdr:sp macro="" textlink="">
      <xdr:nvSpPr>
        <xdr:cNvPr id="2625" name="AutoShape 577" descr="Waivers Exempt">
          <a:hlinkClick xmlns:r="http://schemas.openxmlformats.org/officeDocument/2006/relationships" r:id="rId255"/>
        </xdr:cNvPr>
        <xdr:cNvSpPr>
          <a:spLocks noChangeAspect="1" noChangeArrowheads="1"/>
        </xdr:cNvSpPr>
      </xdr:nvSpPr>
      <xdr:spPr bwMode="auto">
        <a:xfrm>
          <a:off x="165735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1435</xdr:row>
      <xdr:rowOff>0</xdr:rowOff>
    </xdr:from>
    <xdr:to>
      <xdr:col>2</xdr:col>
      <xdr:colOff>123825</xdr:colOff>
      <xdr:row>1435</xdr:row>
      <xdr:rowOff>123825</xdr:rowOff>
    </xdr:to>
    <xdr:sp macro="" textlink="">
      <xdr:nvSpPr>
        <xdr:cNvPr id="2626" name="AutoShape 578" descr="Performance Bonuses"/>
        <xdr:cNvSpPr>
          <a:spLocks noChangeAspect="1" noChangeArrowheads="1"/>
        </xdr:cNvSpPr>
      </xdr:nvSpPr>
      <xdr:spPr bwMode="auto">
        <a:xfrm>
          <a:off x="152400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1435</xdr:row>
      <xdr:rowOff>0</xdr:rowOff>
    </xdr:from>
    <xdr:to>
      <xdr:col>2</xdr:col>
      <xdr:colOff>257175</xdr:colOff>
      <xdr:row>1435</xdr:row>
      <xdr:rowOff>123825</xdr:rowOff>
    </xdr:to>
    <xdr:sp macro="" textlink="">
      <xdr:nvSpPr>
        <xdr:cNvPr id="2627" name="AutoShape 579" descr="Waivers Exempt">
          <a:hlinkClick xmlns:r="http://schemas.openxmlformats.org/officeDocument/2006/relationships" r:id="rId256"/>
        </xdr:cNvPr>
        <xdr:cNvSpPr>
          <a:spLocks noChangeAspect="1" noChangeArrowheads="1"/>
        </xdr:cNvSpPr>
      </xdr:nvSpPr>
      <xdr:spPr bwMode="auto">
        <a:xfrm>
          <a:off x="165735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628</xdr:row>
      <xdr:rowOff>0</xdr:rowOff>
    </xdr:from>
    <xdr:to>
      <xdr:col>2</xdr:col>
      <xdr:colOff>123825</xdr:colOff>
      <xdr:row>628</xdr:row>
      <xdr:rowOff>123825</xdr:rowOff>
    </xdr:to>
    <xdr:sp macro="" textlink="">
      <xdr:nvSpPr>
        <xdr:cNvPr id="2628" name="AutoShape 580" descr="Performance Bonuses"/>
        <xdr:cNvSpPr>
          <a:spLocks noChangeAspect="1" noChangeArrowheads="1"/>
        </xdr:cNvSpPr>
      </xdr:nvSpPr>
      <xdr:spPr bwMode="auto">
        <a:xfrm>
          <a:off x="152400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628</xdr:row>
      <xdr:rowOff>0</xdr:rowOff>
    </xdr:from>
    <xdr:to>
      <xdr:col>2</xdr:col>
      <xdr:colOff>257175</xdr:colOff>
      <xdr:row>628</xdr:row>
      <xdr:rowOff>123825</xdr:rowOff>
    </xdr:to>
    <xdr:sp macro="" textlink="">
      <xdr:nvSpPr>
        <xdr:cNvPr id="2629" name="AutoShape 581" descr="Waivers Exempt">
          <a:hlinkClick xmlns:r="http://schemas.openxmlformats.org/officeDocument/2006/relationships" r:id="rId257"/>
        </xdr:cNvPr>
        <xdr:cNvSpPr>
          <a:spLocks noChangeAspect="1" noChangeArrowheads="1"/>
        </xdr:cNvSpPr>
      </xdr:nvSpPr>
      <xdr:spPr bwMode="auto">
        <a:xfrm>
          <a:off x="165735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1177</xdr:row>
      <xdr:rowOff>0</xdr:rowOff>
    </xdr:from>
    <xdr:to>
      <xdr:col>8</xdr:col>
      <xdr:colOff>123825</xdr:colOff>
      <xdr:row>1177</xdr:row>
      <xdr:rowOff>104775</xdr:rowOff>
    </xdr:to>
    <xdr:sp macro="" textlink="">
      <xdr:nvSpPr>
        <xdr:cNvPr id="2630" name="AutoShape 582" descr="Arbitration Eligible">
          <a:hlinkClick xmlns:r="http://schemas.openxmlformats.org/officeDocument/2006/relationships" r:id="rId258"/>
        </xdr:cNvPr>
        <xdr:cNvSpPr>
          <a:spLocks noChangeAspect="1" noChangeArrowheads="1"/>
        </xdr:cNvSpPr>
      </xdr:nvSpPr>
      <xdr:spPr bwMode="auto">
        <a:xfrm>
          <a:off x="6096000" y="8682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1344</xdr:row>
      <xdr:rowOff>0</xdr:rowOff>
    </xdr:from>
    <xdr:to>
      <xdr:col>2</xdr:col>
      <xdr:colOff>123825</xdr:colOff>
      <xdr:row>1344</xdr:row>
      <xdr:rowOff>123825</xdr:rowOff>
    </xdr:to>
    <xdr:sp macro="" textlink="">
      <xdr:nvSpPr>
        <xdr:cNvPr id="2631" name="AutoShape 583" descr="Performance Bonuses"/>
        <xdr:cNvSpPr>
          <a:spLocks noChangeAspect="1" noChangeArrowheads="1"/>
        </xdr:cNvSpPr>
      </xdr:nvSpPr>
      <xdr:spPr bwMode="auto">
        <a:xfrm>
          <a:off x="152400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1344</xdr:row>
      <xdr:rowOff>0</xdr:rowOff>
    </xdr:from>
    <xdr:to>
      <xdr:col>2</xdr:col>
      <xdr:colOff>257175</xdr:colOff>
      <xdr:row>1344</xdr:row>
      <xdr:rowOff>123825</xdr:rowOff>
    </xdr:to>
    <xdr:sp macro="" textlink="">
      <xdr:nvSpPr>
        <xdr:cNvPr id="2632" name="AutoShape 584" descr="Waivers Exempt">
          <a:hlinkClick xmlns:r="http://schemas.openxmlformats.org/officeDocument/2006/relationships" r:id="rId259"/>
        </xdr:cNvPr>
        <xdr:cNvSpPr>
          <a:spLocks noChangeAspect="1" noChangeArrowheads="1"/>
        </xdr:cNvSpPr>
      </xdr:nvSpPr>
      <xdr:spPr bwMode="auto">
        <a:xfrm>
          <a:off x="165735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853</xdr:row>
      <xdr:rowOff>0</xdr:rowOff>
    </xdr:from>
    <xdr:to>
      <xdr:col>7</xdr:col>
      <xdr:colOff>123825</xdr:colOff>
      <xdr:row>853</xdr:row>
      <xdr:rowOff>104775</xdr:rowOff>
    </xdr:to>
    <xdr:sp macro="" textlink="">
      <xdr:nvSpPr>
        <xdr:cNvPr id="2633" name="AutoShape 585" descr="Arbitration Eligible">
          <a:hlinkClick xmlns:r="http://schemas.openxmlformats.org/officeDocument/2006/relationships" r:id="rId260"/>
        </xdr:cNvPr>
        <xdr:cNvSpPr>
          <a:spLocks noChangeAspect="1" noChangeArrowheads="1"/>
        </xdr:cNvSpPr>
      </xdr:nvSpPr>
      <xdr:spPr bwMode="auto">
        <a:xfrm>
          <a:off x="5334000" y="8759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xdr:row>
      <xdr:rowOff>0</xdr:rowOff>
    </xdr:from>
    <xdr:to>
      <xdr:col>2</xdr:col>
      <xdr:colOff>123825</xdr:colOff>
      <xdr:row>141</xdr:row>
      <xdr:rowOff>123825</xdr:rowOff>
    </xdr:to>
    <xdr:sp macro="" textlink="">
      <xdr:nvSpPr>
        <xdr:cNvPr id="2634" name="AutoShape 586" descr="Performance Bonuses"/>
        <xdr:cNvSpPr>
          <a:spLocks noChangeAspect="1" noChangeArrowheads="1"/>
        </xdr:cNvSpPr>
      </xdr:nvSpPr>
      <xdr:spPr bwMode="auto">
        <a:xfrm>
          <a:off x="1524000" y="891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350</xdr:row>
      <xdr:rowOff>0</xdr:rowOff>
    </xdr:from>
    <xdr:to>
      <xdr:col>2</xdr:col>
      <xdr:colOff>123825</xdr:colOff>
      <xdr:row>350</xdr:row>
      <xdr:rowOff>123825</xdr:rowOff>
    </xdr:to>
    <xdr:sp macro="" textlink="">
      <xdr:nvSpPr>
        <xdr:cNvPr id="2635" name="AutoShape 587" descr="Performance Bonuses"/>
        <xdr:cNvSpPr>
          <a:spLocks noChangeAspect="1" noChangeArrowheads="1"/>
        </xdr:cNvSpPr>
      </xdr:nvSpPr>
      <xdr:spPr bwMode="auto">
        <a:xfrm>
          <a:off x="1524000" y="898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1079</xdr:row>
      <xdr:rowOff>0</xdr:rowOff>
    </xdr:from>
    <xdr:to>
      <xdr:col>7</xdr:col>
      <xdr:colOff>123825</xdr:colOff>
      <xdr:row>1079</xdr:row>
      <xdr:rowOff>104775</xdr:rowOff>
    </xdr:to>
    <xdr:sp macro="" textlink="">
      <xdr:nvSpPr>
        <xdr:cNvPr id="2636" name="AutoShape 588" descr="Arbitration Eligible">
          <a:hlinkClick xmlns:r="http://schemas.openxmlformats.org/officeDocument/2006/relationships" r:id="rId261"/>
        </xdr:cNvPr>
        <xdr:cNvSpPr>
          <a:spLocks noChangeAspect="1" noChangeArrowheads="1"/>
        </xdr:cNvSpPr>
      </xdr:nvSpPr>
      <xdr:spPr bwMode="auto">
        <a:xfrm>
          <a:off x="5334000" y="90058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7" name="AutoShape 589" descr="https://capfriendly-wlb8ng5.stackpathdns.com/assets/images/icons/general/q.svg"/>
        <xdr:cNvSpPr>
          <a:spLocks noChangeAspect="1" noChangeArrowheads="1"/>
        </xdr:cNvSpPr>
      </xdr:nvSpPr>
      <xdr:spPr bwMode="auto">
        <a:xfrm>
          <a:off x="1524000" y="9177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8" name="AutoShape 590" descr="https://capfriendly-wlb8ng5.stackpathdns.com/assets/images/icons/general/q.svg"/>
        <xdr:cNvSpPr>
          <a:spLocks noChangeAspect="1" noChangeArrowheads="1"/>
        </xdr:cNvSpPr>
      </xdr:nvSpPr>
      <xdr:spPr bwMode="auto">
        <a:xfrm>
          <a:off x="1524000" y="9196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9" name="AutoShape 591" descr="https://capfriendly-wlb8ng5.stackpathdns.com/assets/images/icons/general/q.svg"/>
        <xdr:cNvSpPr>
          <a:spLocks noChangeAspect="1" noChangeArrowheads="1"/>
        </xdr:cNvSpPr>
      </xdr:nvSpPr>
      <xdr:spPr bwMode="auto">
        <a:xfrm>
          <a:off x="1524000" y="9215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0" name="AutoShape 592" descr="https://capfriendly-wlb8ng5.stackpathdns.com/assets/images/icons/general/q.svg"/>
        <xdr:cNvSpPr>
          <a:spLocks noChangeAspect="1" noChangeArrowheads="1"/>
        </xdr:cNvSpPr>
      </xdr:nvSpPr>
      <xdr:spPr bwMode="auto">
        <a:xfrm>
          <a:off x="1524000" y="9234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1" name="AutoShape 593" descr="https://capfriendly-wlb8ng5.stackpathdns.com/assets/images/icons/general/q.svg"/>
        <xdr:cNvSpPr>
          <a:spLocks noChangeAspect="1" noChangeArrowheads="1"/>
        </xdr:cNvSpPr>
      </xdr:nvSpPr>
      <xdr:spPr bwMode="auto">
        <a:xfrm>
          <a:off x="1524000" y="9253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2" name="AutoShape 594" descr="https://capfriendly-wlb8ng5.stackpathdns.com/assets/images/icons/general/q.svg"/>
        <xdr:cNvSpPr>
          <a:spLocks noChangeAspect="1" noChangeArrowheads="1"/>
        </xdr:cNvSpPr>
      </xdr:nvSpPr>
      <xdr:spPr bwMode="auto">
        <a:xfrm>
          <a:off x="1524000" y="9272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3" name="AutoShape 595" descr="https://capfriendly-wlb8ng5.stackpathdns.com/assets/images/icons/general/q.svg"/>
        <xdr:cNvSpPr>
          <a:spLocks noChangeAspect="1" noChangeArrowheads="1"/>
        </xdr:cNvSpPr>
      </xdr:nvSpPr>
      <xdr:spPr bwMode="auto">
        <a:xfrm>
          <a:off x="1524000" y="9291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4" name="AutoShape 596" descr="https://capfriendly-wlb8ng5.stackpathdns.com/assets/images/icons/general/q.svg"/>
        <xdr:cNvSpPr>
          <a:spLocks noChangeAspect="1" noChangeArrowheads="1"/>
        </xdr:cNvSpPr>
      </xdr:nvSpPr>
      <xdr:spPr bwMode="auto">
        <a:xfrm>
          <a:off x="1524000" y="931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5" name="AutoShape 597" descr="https://capfriendly-wlb8ng5.stackpathdns.com/assets/images/icons/general/q.svg"/>
        <xdr:cNvSpPr>
          <a:spLocks noChangeAspect="1" noChangeArrowheads="1"/>
        </xdr:cNvSpPr>
      </xdr:nvSpPr>
      <xdr:spPr bwMode="auto">
        <a:xfrm>
          <a:off x="1524000" y="932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6" name="AutoShape 598" descr="https://capfriendly-wlb8ng5.stackpathdns.com/assets/images/icons/general/q.svg"/>
        <xdr:cNvSpPr>
          <a:spLocks noChangeAspect="1" noChangeArrowheads="1"/>
        </xdr:cNvSpPr>
      </xdr:nvSpPr>
      <xdr:spPr bwMode="auto">
        <a:xfrm>
          <a:off x="1524000" y="9348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7" name="AutoShape 599" descr="https://capfriendly-wlb8ng5.stackpathdns.com/assets/images/icons/general/q.svg"/>
        <xdr:cNvSpPr>
          <a:spLocks noChangeAspect="1" noChangeArrowheads="1"/>
        </xdr:cNvSpPr>
      </xdr:nvSpPr>
      <xdr:spPr bwMode="auto">
        <a:xfrm>
          <a:off x="1524000" y="9367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8" name="AutoShape 600" descr="Waivers Exempt">
          <a:hlinkClick xmlns:r="http://schemas.openxmlformats.org/officeDocument/2006/relationships" r:id="rId262"/>
        </xdr:cNvPr>
        <xdr:cNvSpPr>
          <a:spLocks noChangeAspect="1" noChangeArrowheads="1"/>
        </xdr:cNvSpPr>
      </xdr:nvSpPr>
      <xdr:spPr bwMode="auto">
        <a:xfrm>
          <a:off x="1524000" y="9423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xdr:row>
      <xdr:rowOff>0</xdr:rowOff>
    </xdr:from>
    <xdr:to>
      <xdr:col>2</xdr:col>
      <xdr:colOff>123825</xdr:colOff>
      <xdr:row>128</xdr:row>
      <xdr:rowOff>123825</xdr:rowOff>
    </xdr:to>
    <xdr:sp macro="" textlink="">
      <xdr:nvSpPr>
        <xdr:cNvPr id="2649" name="AutoShape 601" descr="Retained Salary Transaction"/>
        <xdr:cNvSpPr>
          <a:spLocks noChangeAspect="1" noChangeArrowheads="1"/>
        </xdr:cNvSpPr>
      </xdr:nvSpPr>
      <xdr:spPr bwMode="auto">
        <a:xfrm>
          <a:off x="152400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xdr:row>
      <xdr:rowOff>0</xdr:rowOff>
    </xdr:from>
    <xdr:to>
      <xdr:col>2</xdr:col>
      <xdr:colOff>257175</xdr:colOff>
      <xdr:row>128</xdr:row>
      <xdr:rowOff>123825</xdr:rowOff>
    </xdr:to>
    <xdr:sp macro="" textlink="">
      <xdr:nvSpPr>
        <xdr:cNvPr id="2650" name="AutoShape 602" descr="Waivers Exempt">
          <a:hlinkClick xmlns:r="http://schemas.openxmlformats.org/officeDocument/2006/relationships" r:id="rId263"/>
        </xdr:cNvPr>
        <xdr:cNvSpPr>
          <a:spLocks noChangeAspect="1" noChangeArrowheads="1"/>
        </xdr:cNvSpPr>
      </xdr:nvSpPr>
      <xdr:spPr bwMode="auto">
        <a:xfrm>
          <a:off x="165735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739</xdr:row>
      <xdr:rowOff>0</xdr:rowOff>
    </xdr:from>
    <xdr:to>
      <xdr:col>2</xdr:col>
      <xdr:colOff>123825</xdr:colOff>
      <xdr:row>739</xdr:row>
      <xdr:rowOff>123825</xdr:rowOff>
    </xdr:to>
    <xdr:sp macro="" textlink="">
      <xdr:nvSpPr>
        <xdr:cNvPr id="2651" name="AutoShape 603" descr="Waivers Exempt">
          <a:hlinkClick xmlns:r="http://schemas.openxmlformats.org/officeDocument/2006/relationships" r:id="rId264"/>
        </xdr:cNvPr>
        <xdr:cNvSpPr>
          <a:spLocks noChangeAspect="1" noChangeArrowheads="1"/>
        </xdr:cNvSpPr>
      </xdr:nvSpPr>
      <xdr:spPr bwMode="auto">
        <a:xfrm>
          <a:off x="1524000" y="9461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xdr:row>
      <xdr:rowOff>0</xdr:rowOff>
    </xdr:from>
    <xdr:to>
      <xdr:col>2</xdr:col>
      <xdr:colOff>123825</xdr:colOff>
      <xdr:row>12</xdr:row>
      <xdr:rowOff>123825</xdr:rowOff>
    </xdr:to>
    <xdr:sp macro="" textlink="">
      <xdr:nvSpPr>
        <xdr:cNvPr id="2652" name="AutoShape 604" descr="Performance Bonuses"/>
        <xdr:cNvSpPr>
          <a:spLocks noChangeAspect="1" noChangeArrowheads="1"/>
        </xdr:cNvSpPr>
      </xdr:nvSpPr>
      <xdr:spPr bwMode="auto">
        <a:xfrm>
          <a:off x="15240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xdr:row>
      <xdr:rowOff>0</xdr:rowOff>
    </xdr:from>
    <xdr:to>
      <xdr:col>2</xdr:col>
      <xdr:colOff>257175</xdr:colOff>
      <xdr:row>12</xdr:row>
      <xdr:rowOff>123825</xdr:rowOff>
    </xdr:to>
    <xdr:sp macro="" textlink="">
      <xdr:nvSpPr>
        <xdr:cNvPr id="2653" name="AutoShape 605" descr="Retained Salary Transaction"/>
        <xdr:cNvSpPr>
          <a:spLocks noChangeAspect="1" noChangeArrowheads="1"/>
        </xdr:cNvSpPr>
      </xdr:nvSpPr>
      <xdr:spPr bwMode="auto">
        <a:xfrm>
          <a:off x="165735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xdr:row>
      <xdr:rowOff>0</xdr:rowOff>
    </xdr:from>
    <xdr:to>
      <xdr:col>2</xdr:col>
      <xdr:colOff>390525</xdr:colOff>
      <xdr:row>12</xdr:row>
      <xdr:rowOff>123825</xdr:rowOff>
    </xdr:to>
    <xdr:sp macro="" textlink="">
      <xdr:nvSpPr>
        <xdr:cNvPr id="2654" name="AutoShape 606" descr="Waivers Exempt">
          <a:hlinkClick xmlns:r="http://schemas.openxmlformats.org/officeDocument/2006/relationships" r:id="rId265"/>
        </xdr:cNvPr>
        <xdr:cNvSpPr>
          <a:spLocks noChangeAspect="1" noChangeArrowheads="1"/>
        </xdr:cNvSpPr>
      </xdr:nvSpPr>
      <xdr:spPr bwMode="auto">
        <a:xfrm>
          <a:off x="17907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664</xdr:row>
      <xdr:rowOff>0</xdr:rowOff>
    </xdr:from>
    <xdr:to>
      <xdr:col>2</xdr:col>
      <xdr:colOff>123825</xdr:colOff>
      <xdr:row>664</xdr:row>
      <xdr:rowOff>123825</xdr:rowOff>
    </xdr:to>
    <xdr:sp macro="" textlink="">
      <xdr:nvSpPr>
        <xdr:cNvPr id="2655" name="AutoShape 607" descr="Performance Bonuses"/>
        <xdr:cNvSpPr>
          <a:spLocks noChangeAspect="1" noChangeArrowheads="1"/>
        </xdr:cNvSpPr>
      </xdr:nvSpPr>
      <xdr:spPr bwMode="auto">
        <a:xfrm>
          <a:off x="152400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664</xdr:row>
      <xdr:rowOff>0</xdr:rowOff>
    </xdr:from>
    <xdr:to>
      <xdr:col>2</xdr:col>
      <xdr:colOff>257175</xdr:colOff>
      <xdr:row>664</xdr:row>
      <xdr:rowOff>123825</xdr:rowOff>
    </xdr:to>
    <xdr:sp macro="" textlink="">
      <xdr:nvSpPr>
        <xdr:cNvPr id="2656" name="AutoShape 608" descr="Waivers Exempt">
          <a:hlinkClick xmlns:r="http://schemas.openxmlformats.org/officeDocument/2006/relationships" r:id="rId266"/>
        </xdr:cNvPr>
        <xdr:cNvSpPr>
          <a:spLocks noChangeAspect="1" noChangeArrowheads="1"/>
        </xdr:cNvSpPr>
      </xdr:nvSpPr>
      <xdr:spPr bwMode="auto">
        <a:xfrm>
          <a:off x="165735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1362</xdr:row>
      <xdr:rowOff>0</xdr:rowOff>
    </xdr:from>
    <xdr:to>
      <xdr:col>2</xdr:col>
      <xdr:colOff>123825</xdr:colOff>
      <xdr:row>1362</xdr:row>
      <xdr:rowOff>123825</xdr:rowOff>
    </xdr:to>
    <xdr:sp macro="" textlink="">
      <xdr:nvSpPr>
        <xdr:cNvPr id="2657" name="AutoShape 609" descr="Performance Bonuses"/>
        <xdr:cNvSpPr>
          <a:spLocks noChangeAspect="1" noChangeArrowheads="1"/>
        </xdr:cNvSpPr>
      </xdr:nvSpPr>
      <xdr:spPr bwMode="auto">
        <a:xfrm>
          <a:off x="152400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1362</xdr:row>
      <xdr:rowOff>0</xdr:rowOff>
    </xdr:from>
    <xdr:to>
      <xdr:col>2</xdr:col>
      <xdr:colOff>257175</xdr:colOff>
      <xdr:row>1362</xdr:row>
      <xdr:rowOff>123825</xdr:rowOff>
    </xdr:to>
    <xdr:sp macro="" textlink="">
      <xdr:nvSpPr>
        <xdr:cNvPr id="2658" name="AutoShape 610" descr="Waivers Exempt">
          <a:hlinkClick xmlns:r="http://schemas.openxmlformats.org/officeDocument/2006/relationships" r:id="rId267"/>
        </xdr:cNvPr>
        <xdr:cNvSpPr>
          <a:spLocks noChangeAspect="1" noChangeArrowheads="1"/>
        </xdr:cNvSpPr>
      </xdr:nvSpPr>
      <xdr:spPr bwMode="auto">
        <a:xfrm>
          <a:off x="165735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765</xdr:row>
      <xdr:rowOff>0</xdr:rowOff>
    </xdr:from>
    <xdr:to>
      <xdr:col>2</xdr:col>
      <xdr:colOff>123825</xdr:colOff>
      <xdr:row>765</xdr:row>
      <xdr:rowOff>123825</xdr:rowOff>
    </xdr:to>
    <xdr:sp macro="" textlink="">
      <xdr:nvSpPr>
        <xdr:cNvPr id="2659" name="AutoShape 611" descr="Performance Bonuses"/>
        <xdr:cNvSpPr>
          <a:spLocks noChangeAspect="1" noChangeArrowheads="1"/>
        </xdr:cNvSpPr>
      </xdr:nvSpPr>
      <xdr:spPr bwMode="auto">
        <a:xfrm>
          <a:off x="152400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765</xdr:row>
      <xdr:rowOff>0</xdr:rowOff>
    </xdr:from>
    <xdr:to>
      <xdr:col>2</xdr:col>
      <xdr:colOff>257175</xdr:colOff>
      <xdr:row>765</xdr:row>
      <xdr:rowOff>123825</xdr:rowOff>
    </xdr:to>
    <xdr:sp macro="" textlink="">
      <xdr:nvSpPr>
        <xdr:cNvPr id="2660" name="AutoShape 612" descr="Waivers Exempt">
          <a:hlinkClick xmlns:r="http://schemas.openxmlformats.org/officeDocument/2006/relationships" r:id="rId268"/>
        </xdr:cNvPr>
        <xdr:cNvSpPr>
          <a:spLocks noChangeAspect="1" noChangeArrowheads="1"/>
        </xdr:cNvSpPr>
      </xdr:nvSpPr>
      <xdr:spPr bwMode="auto">
        <a:xfrm>
          <a:off x="165735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1074</xdr:row>
      <xdr:rowOff>0</xdr:rowOff>
    </xdr:from>
    <xdr:to>
      <xdr:col>2</xdr:col>
      <xdr:colOff>123825</xdr:colOff>
      <xdr:row>1074</xdr:row>
      <xdr:rowOff>123825</xdr:rowOff>
    </xdr:to>
    <xdr:sp macro="" textlink="">
      <xdr:nvSpPr>
        <xdr:cNvPr id="2661" name="AutoShape 613" descr="Waivers Exempt">
          <a:hlinkClick xmlns:r="http://schemas.openxmlformats.org/officeDocument/2006/relationships" r:id="rId269"/>
        </xdr:cNvPr>
        <xdr:cNvSpPr>
          <a:spLocks noChangeAspect="1" noChangeArrowheads="1"/>
        </xdr:cNvSpPr>
      </xdr:nvSpPr>
      <xdr:spPr bwMode="auto">
        <a:xfrm>
          <a:off x="1524000" y="9556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1070</xdr:row>
      <xdr:rowOff>0</xdr:rowOff>
    </xdr:from>
    <xdr:to>
      <xdr:col>2</xdr:col>
      <xdr:colOff>123825</xdr:colOff>
      <xdr:row>1070</xdr:row>
      <xdr:rowOff>123825</xdr:rowOff>
    </xdr:to>
    <xdr:sp macro="" textlink="">
      <xdr:nvSpPr>
        <xdr:cNvPr id="2662" name="AutoShape 614" descr="Waivers Exempt">
          <a:hlinkClick xmlns:r="http://schemas.openxmlformats.org/officeDocument/2006/relationships" r:id="rId270"/>
        </xdr:cNvPr>
        <xdr:cNvSpPr>
          <a:spLocks noChangeAspect="1" noChangeArrowheads="1"/>
        </xdr:cNvSpPr>
      </xdr:nvSpPr>
      <xdr:spPr bwMode="auto">
        <a:xfrm>
          <a:off x="1524000" y="9575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689</xdr:row>
      <xdr:rowOff>0</xdr:rowOff>
    </xdr:from>
    <xdr:to>
      <xdr:col>2</xdr:col>
      <xdr:colOff>123825</xdr:colOff>
      <xdr:row>689</xdr:row>
      <xdr:rowOff>123825</xdr:rowOff>
    </xdr:to>
    <xdr:sp macro="" textlink="">
      <xdr:nvSpPr>
        <xdr:cNvPr id="2663" name="AutoShape 615" descr="Performance Bonuses"/>
        <xdr:cNvSpPr>
          <a:spLocks noChangeAspect="1" noChangeArrowheads="1"/>
        </xdr:cNvSpPr>
      </xdr:nvSpPr>
      <xdr:spPr bwMode="auto">
        <a:xfrm>
          <a:off x="152400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689</xdr:row>
      <xdr:rowOff>0</xdr:rowOff>
    </xdr:from>
    <xdr:to>
      <xdr:col>2</xdr:col>
      <xdr:colOff>257175</xdr:colOff>
      <xdr:row>689</xdr:row>
      <xdr:rowOff>123825</xdr:rowOff>
    </xdr:to>
    <xdr:sp macro="" textlink="">
      <xdr:nvSpPr>
        <xdr:cNvPr id="2664" name="AutoShape 616" descr="Waivers Exempt">
          <a:hlinkClick xmlns:r="http://schemas.openxmlformats.org/officeDocument/2006/relationships" r:id="rId271"/>
        </xdr:cNvPr>
        <xdr:cNvSpPr>
          <a:spLocks noChangeAspect="1" noChangeArrowheads="1"/>
        </xdr:cNvSpPr>
      </xdr:nvSpPr>
      <xdr:spPr bwMode="auto">
        <a:xfrm>
          <a:off x="165735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1298</xdr:row>
      <xdr:rowOff>0</xdr:rowOff>
    </xdr:from>
    <xdr:to>
      <xdr:col>2</xdr:col>
      <xdr:colOff>123825</xdr:colOff>
      <xdr:row>1298</xdr:row>
      <xdr:rowOff>123825</xdr:rowOff>
    </xdr:to>
    <xdr:sp macro="" textlink="">
      <xdr:nvSpPr>
        <xdr:cNvPr id="2665" name="AutoShape 617" descr="Waivers Exempt">
          <a:hlinkClick xmlns:r="http://schemas.openxmlformats.org/officeDocument/2006/relationships" r:id="rId272"/>
        </xdr:cNvPr>
        <xdr:cNvSpPr>
          <a:spLocks noChangeAspect="1" noChangeArrowheads="1"/>
        </xdr:cNvSpPr>
      </xdr:nvSpPr>
      <xdr:spPr bwMode="auto">
        <a:xfrm>
          <a:off x="1524000" y="9670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2666" name="AutoShape 618" descr="Waivers Exempt">
          <a:hlinkClick xmlns:r="http://schemas.openxmlformats.org/officeDocument/2006/relationships" r:id="rId273"/>
        </xdr:cNvPr>
        <xdr:cNvSpPr>
          <a:spLocks noChangeAspect="1" noChangeArrowheads="1"/>
        </xdr:cNvSpPr>
      </xdr:nvSpPr>
      <xdr:spPr bwMode="auto">
        <a:xfrm>
          <a:off x="1524000" y="9784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938</xdr:row>
      <xdr:rowOff>0</xdr:rowOff>
    </xdr:from>
    <xdr:to>
      <xdr:col>2</xdr:col>
      <xdr:colOff>123825</xdr:colOff>
      <xdr:row>938</xdr:row>
      <xdr:rowOff>123825</xdr:rowOff>
    </xdr:to>
    <xdr:sp macro="" textlink="">
      <xdr:nvSpPr>
        <xdr:cNvPr id="2667" name="AutoShape 619" descr="Performance Bonuses"/>
        <xdr:cNvSpPr>
          <a:spLocks noChangeAspect="1" noChangeArrowheads="1"/>
        </xdr:cNvSpPr>
      </xdr:nvSpPr>
      <xdr:spPr bwMode="auto">
        <a:xfrm>
          <a:off x="152400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938</xdr:row>
      <xdr:rowOff>0</xdr:rowOff>
    </xdr:from>
    <xdr:to>
      <xdr:col>2</xdr:col>
      <xdr:colOff>257175</xdr:colOff>
      <xdr:row>938</xdr:row>
      <xdr:rowOff>123825</xdr:rowOff>
    </xdr:to>
    <xdr:sp macro="" textlink="">
      <xdr:nvSpPr>
        <xdr:cNvPr id="2668" name="AutoShape 620" descr="Waivers Exempt">
          <a:hlinkClick xmlns:r="http://schemas.openxmlformats.org/officeDocument/2006/relationships" r:id="rId274"/>
        </xdr:cNvPr>
        <xdr:cNvSpPr>
          <a:spLocks noChangeAspect="1" noChangeArrowheads="1"/>
        </xdr:cNvSpPr>
      </xdr:nvSpPr>
      <xdr:spPr bwMode="auto">
        <a:xfrm>
          <a:off x="165735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1122</xdr:row>
      <xdr:rowOff>0</xdr:rowOff>
    </xdr:from>
    <xdr:to>
      <xdr:col>2</xdr:col>
      <xdr:colOff>123825</xdr:colOff>
      <xdr:row>1122</xdr:row>
      <xdr:rowOff>123825</xdr:rowOff>
    </xdr:to>
    <xdr:sp macro="" textlink="">
      <xdr:nvSpPr>
        <xdr:cNvPr id="2669" name="AutoShape 621" descr="Waivers Exempt">
          <a:hlinkClick xmlns:r="http://schemas.openxmlformats.org/officeDocument/2006/relationships" r:id="rId275"/>
        </xdr:cNvPr>
        <xdr:cNvSpPr>
          <a:spLocks noChangeAspect="1" noChangeArrowheads="1"/>
        </xdr:cNvSpPr>
      </xdr:nvSpPr>
      <xdr:spPr bwMode="auto">
        <a:xfrm>
          <a:off x="1524000" y="9822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330</xdr:row>
      <xdr:rowOff>0</xdr:rowOff>
    </xdr:from>
    <xdr:to>
      <xdr:col>7</xdr:col>
      <xdr:colOff>123825</xdr:colOff>
      <xdr:row>330</xdr:row>
      <xdr:rowOff>104775</xdr:rowOff>
    </xdr:to>
    <xdr:sp macro="" textlink="">
      <xdr:nvSpPr>
        <xdr:cNvPr id="2670" name="AutoShape 622" descr="Arbitration Eligible">
          <a:hlinkClick xmlns:r="http://schemas.openxmlformats.org/officeDocument/2006/relationships" r:id="rId276"/>
        </xdr:cNvPr>
        <xdr:cNvSpPr>
          <a:spLocks noChangeAspect="1" noChangeArrowheads="1"/>
        </xdr:cNvSpPr>
      </xdr:nvSpPr>
      <xdr:spPr bwMode="auto">
        <a:xfrm>
          <a:off x="5334000" y="9841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xdr:row>
      <xdr:rowOff>0</xdr:rowOff>
    </xdr:from>
    <xdr:to>
      <xdr:col>2</xdr:col>
      <xdr:colOff>123825</xdr:colOff>
      <xdr:row>134</xdr:row>
      <xdr:rowOff>123825</xdr:rowOff>
    </xdr:to>
    <xdr:sp macro="" textlink="">
      <xdr:nvSpPr>
        <xdr:cNvPr id="2671" name="AutoShape 623" descr="Waivers Exempt">
          <a:hlinkClick xmlns:r="http://schemas.openxmlformats.org/officeDocument/2006/relationships" r:id="rId277"/>
        </xdr:cNvPr>
        <xdr:cNvSpPr>
          <a:spLocks noChangeAspect="1" noChangeArrowheads="1"/>
        </xdr:cNvSpPr>
      </xdr:nvSpPr>
      <xdr:spPr bwMode="auto">
        <a:xfrm>
          <a:off x="1524000" y="986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134</xdr:row>
      <xdr:rowOff>0</xdr:rowOff>
    </xdr:from>
    <xdr:to>
      <xdr:col>7</xdr:col>
      <xdr:colOff>123825</xdr:colOff>
      <xdr:row>134</xdr:row>
      <xdr:rowOff>104775</xdr:rowOff>
    </xdr:to>
    <xdr:sp macro="" textlink="">
      <xdr:nvSpPr>
        <xdr:cNvPr id="2672" name="AutoShape 624" descr="Arbitration Eligible">
          <a:hlinkClick xmlns:r="http://schemas.openxmlformats.org/officeDocument/2006/relationships" r:id="rId278"/>
        </xdr:cNvPr>
        <xdr:cNvSpPr>
          <a:spLocks noChangeAspect="1" noChangeArrowheads="1"/>
        </xdr:cNvSpPr>
      </xdr:nvSpPr>
      <xdr:spPr bwMode="auto">
        <a:xfrm>
          <a:off x="5334000" y="9860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594</xdr:row>
      <xdr:rowOff>0</xdr:rowOff>
    </xdr:from>
    <xdr:to>
      <xdr:col>2</xdr:col>
      <xdr:colOff>123825</xdr:colOff>
      <xdr:row>594</xdr:row>
      <xdr:rowOff>123825</xdr:rowOff>
    </xdr:to>
    <xdr:sp macro="" textlink="">
      <xdr:nvSpPr>
        <xdr:cNvPr id="2673" name="AutoShape 625" descr="Performance Bonuses"/>
        <xdr:cNvSpPr>
          <a:spLocks noChangeAspect="1" noChangeArrowheads="1"/>
        </xdr:cNvSpPr>
      </xdr:nvSpPr>
      <xdr:spPr bwMode="auto">
        <a:xfrm>
          <a:off x="15240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594</xdr:row>
      <xdr:rowOff>0</xdr:rowOff>
    </xdr:from>
    <xdr:to>
      <xdr:col>2</xdr:col>
      <xdr:colOff>257175</xdr:colOff>
      <xdr:row>594</xdr:row>
      <xdr:rowOff>123825</xdr:rowOff>
    </xdr:to>
    <xdr:sp macro="" textlink="">
      <xdr:nvSpPr>
        <xdr:cNvPr id="2674" name="AutoShape 626" descr="Retained Salary Transaction"/>
        <xdr:cNvSpPr>
          <a:spLocks noChangeAspect="1" noChangeArrowheads="1"/>
        </xdr:cNvSpPr>
      </xdr:nvSpPr>
      <xdr:spPr bwMode="auto">
        <a:xfrm>
          <a:off x="165735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594</xdr:row>
      <xdr:rowOff>0</xdr:rowOff>
    </xdr:from>
    <xdr:to>
      <xdr:col>2</xdr:col>
      <xdr:colOff>390525</xdr:colOff>
      <xdr:row>594</xdr:row>
      <xdr:rowOff>123825</xdr:rowOff>
    </xdr:to>
    <xdr:sp macro="" textlink="">
      <xdr:nvSpPr>
        <xdr:cNvPr id="2675" name="AutoShape 627" descr="Waivers Exempt">
          <a:hlinkClick xmlns:r="http://schemas.openxmlformats.org/officeDocument/2006/relationships" r:id="rId279"/>
        </xdr:cNvPr>
        <xdr:cNvSpPr>
          <a:spLocks noChangeAspect="1" noChangeArrowheads="1"/>
        </xdr:cNvSpPr>
      </xdr:nvSpPr>
      <xdr:spPr bwMode="auto">
        <a:xfrm>
          <a:off x="17907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412</xdr:row>
      <xdr:rowOff>0</xdr:rowOff>
    </xdr:from>
    <xdr:to>
      <xdr:col>2</xdr:col>
      <xdr:colOff>123825</xdr:colOff>
      <xdr:row>412</xdr:row>
      <xdr:rowOff>123825</xdr:rowOff>
    </xdr:to>
    <xdr:sp macro="" textlink="">
      <xdr:nvSpPr>
        <xdr:cNvPr id="2676" name="AutoShape 628" descr="Performance Bonuses"/>
        <xdr:cNvSpPr>
          <a:spLocks noChangeAspect="1" noChangeArrowheads="1"/>
        </xdr:cNvSpPr>
      </xdr:nvSpPr>
      <xdr:spPr bwMode="auto">
        <a:xfrm>
          <a:off x="152400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412</xdr:row>
      <xdr:rowOff>0</xdr:rowOff>
    </xdr:from>
    <xdr:to>
      <xdr:col>2</xdr:col>
      <xdr:colOff>257175</xdr:colOff>
      <xdr:row>412</xdr:row>
      <xdr:rowOff>123825</xdr:rowOff>
    </xdr:to>
    <xdr:sp macro="" textlink="">
      <xdr:nvSpPr>
        <xdr:cNvPr id="2677" name="AutoShape 629" descr="Waivers Exempt">
          <a:hlinkClick xmlns:r="http://schemas.openxmlformats.org/officeDocument/2006/relationships" r:id="rId280"/>
        </xdr:cNvPr>
        <xdr:cNvSpPr>
          <a:spLocks noChangeAspect="1" noChangeArrowheads="1"/>
        </xdr:cNvSpPr>
      </xdr:nvSpPr>
      <xdr:spPr bwMode="auto">
        <a:xfrm>
          <a:off x="165735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621</xdr:row>
      <xdr:rowOff>0</xdr:rowOff>
    </xdr:from>
    <xdr:to>
      <xdr:col>2</xdr:col>
      <xdr:colOff>123825</xdr:colOff>
      <xdr:row>621</xdr:row>
      <xdr:rowOff>123825</xdr:rowOff>
    </xdr:to>
    <xdr:sp macro="" textlink="">
      <xdr:nvSpPr>
        <xdr:cNvPr id="2678" name="AutoShape 630" descr="Waivers Exempt">
          <a:hlinkClick xmlns:r="http://schemas.openxmlformats.org/officeDocument/2006/relationships" r:id="rId281"/>
        </xdr:cNvPr>
        <xdr:cNvSpPr>
          <a:spLocks noChangeAspect="1" noChangeArrowheads="1"/>
        </xdr:cNvSpPr>
      </xdr:nvSpPr>
      <xdr:spPr bwMode="auto">
        <a:xfrm>
          <a:off x="1524000" y="10011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621</xdr:row>
      <xdr:rowOff>0</xdr:rowOff>
    </xdr:from>
    <xdr:to>
      <xdr:col>7</xdr:col>
      <xdr:colOff>123825</xdr:colOff>
      <xdr:row>621</xdr:row>
      <xdr:rowOff>104775</xdr:rowOff>
    </xdr:to>
    <xdr:sp macro="" textlink="">
      <xdr:nvSpPr>
        <xdr:cNvPr id="2679" name="AutoShape 631" descr="Arbitration Eligible">
          <a:hlinkClick xmlns:r="http://schemas.openxmlformats.org/officeDocument/2006/relationships" r:id="rId282"/>
        </xdr:cNvPr>
        <xdr:cNvSpPr>
          <a:spLocks noChangeAspect="1" noChangeArrowheads="1"/>
        </xdr:cNvSpPr>
      </xdr:nvSpPr>
      <xdr:spPr bwMode="auto">
        <a:xfrm>
          <a:off x="5334000" y="1001172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xdr:row>
      <xdr:rowOff>0</xdr:rowOff>
    </xdr:from>
    <xdr:to>
      <xdr:col>2</xdr:col>
      <xdr:colOff>123825</xdr:colOff>
      <xdr:row>135</xdr:row>
      <xdr:rowOff>123825</xdr:rowOff>
    </xdr:to>
    <xdr:sp macro="" textlink="">
      <xdr:nvSpPr>
        <xdr:cNvPr id="2680" name="AutoShape 632" descr="Performance Bonuses"/>
        <xdr:cNvSpPr>
          <a:spLocks noChangeAspect="1" noChangeArrowheads="1"/>
        </xdr:cNvSpPr>
      </xdr:nvSpPr>
      <xdr:spPr bwMode="auto">
        <a:xfrm>
          <a:off x="152400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xdr:row>
      <xdr:rowOff>0</xdr:rowOff>
    </xdr:from>
    <xdr:to>
      <xdr:col>2</xdr:col>
      <xdr:colOff>257175</xdr:colOff>
      <xdr:row>135</xdr:row>
      <xdr:rowOff>123825</xdr:rowOff>
    </xdr:to>
    <xdr:sp macro="" textlink="">
      <xdr:nvSpPr>
        <xdr:cNvPr id="2681" name="AutoShape 633" descr="Waivers Exempt">
          <a:hlinkClick xmlns:r="http://schemas.openxmlformats.org/officeDocument/2006/relationships" r:id="rId283"/>
        </xdr:cNvPr>
        <xdr:cNvSpPr>
          <a:spLocks noChangeAspect="1" noChangeArrowheads="1"/>
        </xdr:cNvSpPr>
      </xdr:nvSpPr>
      <xdr:spPr bwMode="auto">
        <a:xfrm>
          <a:off x="165735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82" name="AutoShape 634" descr="https://capfriendly-wlb8ng5.stackpathdns.com/assets/images/icons/general/q2.svg"/>
        <xdr:cNvSpPr>
          <a:spLocks noChangeAspect="1" noChangeArrowheads="1"/>
        </xdr:cNvSpPr>
      </xdr:nvSpPr>
      <xdr:spPr bwMode="auto">
        <a:xfrm>
          <a:off x="5334000" y="9654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1428</xdr:row>
      <xdr:rowOff>0</xdr:rowOff>
    </xdr:from>
    <xdr:to>
      <xdr:col>7</xdr:col>
      <xdr:colOff>123825</xdr:colOff>
      <xdr:row>1428</xdr:row>
      <xdr:rowOff>104775</xdr:rowOff>
    </xdr:to>
    <xdr:sp macro="" textlink="">
      <xdr:nvSpPr>
        <xdr:cNvPr id="2683" name="AutoShape 635" descr="Arbitration Eligible">
          <a:hlinkClick xmlns:r="http://schemas.openxmlformats.org/officeDocument/2006/relationships" r:id="rId284"/>
        </xdr:cNvPr>
        <xdr:cNvSpPr>
          <a:spLocks noChangeAspect="1" noChangeArrowheads="1"/>
        </xdr:cNvSpPr>
      </xdr:nvSpPr>
      <xdr:spPr bwMode="auto">
        <a:xfrm>
          <a:off x="5334000" y="9863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903</xdr:row>
      <xdr:rowOff>0</xdr:rowOff>
    </xdr:from>
    <xdr:to>
      <xdr:col>7</xdr:col>
      <xdr:colOff>123825</xdr:colOff>
      <xdr:row>903</xdr:row>
      <xdr:rowOff>104775</xdr:rowOff>
    </xdr:to>
    <xdr:sp macro="" textlink="">
      <xdr:nvSpPr>
        <xdr:cNvPr id="2684" name="AutoShape 636" descr="Arbitration Eligible">
          <a:hlinkClick xmlns:r="http://schemas.openxmlformats.org/officeDocument/2006/relationships" r:id="rId285"/>
        </xdr:cNvPr>
        <xdr:cNvSpPr>
          <a:spLocks noChangeAspect="1" noChangeArrowheads="1"/>
        </xdr:cNvSpPr>
      </xdr:nvSpPr>
      <xdr:spPr bwMode="auto">
        <a:xfrm>
          <a:off x="5334000" y="98821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167</xdr:row>
      <xdr:rowOff>0</xdr:rowOff>
    </xdr:from>
    <xdr:to>
      <xdr:col>7</xdr:col>
      <xdr:colOff>123825</xdr:colOff>
      <xdr:row>167</xdr:row>
      <xdr:rowOff>104775</xdr:rowOff>
    </xdr:to>
    <xdr:sp macro="" textlink="">
      <xdr:nvSpPr>
        <xdr:cNvPr id="2685" name="AutoShape 637" descr="Arbitration Eligible">
          <a:hlinkClick xmlns:r="http://schemas.openxmlformats.org/officeDocument/2006/relationships" r:id="rId286"/>
        </xdr:cNvPr>
        <xdr:cNvSpPr>
          <a:spLocks noChangeAspect="1" noChangeArrowheads="1"/>
        </xdr:cNvSpPr>
      </xdr:nvSpPr>
      <xdr:spPr bwMode="auto">
        <a:xfrm>
          <a:off x="5334000" y="9901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947</xdr:row>
      <xdr:rowOff>0</xdr:rowOff>
    </xdr:from>
    <xdr:to>
      <xdr:col>2</xdr:col>
      <xdr:colOff>123825</xdr:colOff>
      <xdr:row>947</xdr:row>
      <xdr:rowOff>123825</xdr:rowOff>
    </xdr:to>
    <xdr:sp macro="" textlink="">
      <xdr:nvSpPr>
        <xdr:cNvPr id="2686" name="AutoShape 638" descr="Waivers Exempt">
          <a:hlinkClick xmlns:r="http://schemas.openxmlformats.org/officeDocument/2006/relationships" r:id="rId287"/>
        </xdr:cNvPr>
        <xdr:cNvSpPr>
          <a:spLocks noChangeAspect="1" noChangeArrowheads="1"/>
        </xdr:cNvSpPr>
      </xdr:nvSpPr>
      <xdr:spPr bwMode="auto">
        <a:xfrm>
          <a:off x="1524000" y="10014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7" name="AutoShape 639" descr="https://capfriendly-wlb8ng5.stackpathdns.com/assets/images/icons/general/q.svg"/>
        <xdr:cNvSpPr>
          <a:spLocks noChangeAspect="1" noChangeArrowheads="1"/>
        </xdr:cNvSpPr>
      </xdr:nvSpPr>
      <xdr:spPr bwMode="auto">
        <a:xfrm>
          <a:off x="1524000" y="10338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8" name="AutoShape 640" descr="https://capfriendly-wlb8ng5.stackpathdns.com/assets/images/icons/general/q.svg"/>
        <xdr:cNvSpPr>
          <a:spLocks noChangeAspect="1" noChangeArrowheads="1"/>
        </xdr:cNvSpPr>
      </xdr:nvSpPr>
      <xdr:spPr bwMode="auto">
        <a:xfrm>
          <a:off x="1524000" y="10357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9" name="AutoShape 641" descr="https://capfriendly-wlb8ng5.stackpathdns.com/assets/images/icons/general/q.svg"/>
        <xdr:cNvSpPr>
          <a:spLocks noChangeAspect="1" noChangeArrowheads="1"/>
        </xdr:cNvSpPr>
      </xdr:nvSpPr>
      <xdr:spPr bwMode="auto">
        <a:xfrm>
          <a:off x="1524000" y="10376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0" name="AutoShape 642" descr="https://capfriendly-wlb8ng5.stackpathdns.com/assets/images/icons/general/q.svg"/>
        <xdr:cNvSpPr>
          <a:spLocks noChangeAspect="1" noChangeArrowheads="1"/>
        </xdr:cNvSpPr>
      </xdr:nvSpPr>
      <xdr:spPr bwMode="auto">
        <a:xfrm>
          <a:off x="1524000" y="10395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1" name="AutoShape 643" descr="https://capfriendly-wlb8ng5.stackpathdns.com/assets/images/icons/general/q.svg"/>
        <xdr:cNvSpPr>
          <a:spLocks noChangeAspect="1" noChangeArrowheads="1"/>
        </xdr:cNvSpPr>
      </xdr:nvSpPr>
      <xdr:spPr bwMode="auto">
        <a:xfrm>
          <a:off x="1524000" y="10414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2" name="AutoShape 644" descr="https://capfriendly-wlb8ng5.stackpathdns.com/assets/images/icons/general/q.svg"/>
        <xdr:cNvSpPr>
          <a:spLocks noChangeAspect="1" noChangeArrowheads="1"/>
        </xdr:cNvSpPr>
      </xdr:nvSpPr>
      <xdr:spPr bwMode="auto">
        <a:xfrm>
          <a:off x="1524000" y="10433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3" name="AutoShape 645" descr="https://capfriendly-wlb8ng5.stackpathdns.com/assets/images/icons/general/q.svg"/>
        <xdr:cNvSpPr>
          <a:spLocks noChangeAspect="1" noChangeArrowheads="1"/>
        </xdr:cNvSpPr>
      </xdr:nvSpPr>
      <xdr:spPr bwMode="auto">
        <a:xfrm>
          <a:off x="1524000" y="10452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4" name="AutoShape 646" descr="https://capfriendly-wlb8ng5.stackpathdns.com/assets/images/icons/general/q.svg"/>
        <xdr:cNvSpPr>
          <a:spLocks noChangeAspect="1" noChangeArrowheads="1"/>
        </xdr:cNvSpPr>
      </xdr:nvSpPr>
      <xdr:spPr bwMode="auto">
        <a:xfrm>
          <a:off x="1524000" y="10471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5" name="AutoShape 647" descr="https://capfriendly-wlb8ng5.stackpathdns.com/assets/images/icons/general/q.svg"/>
        <xdr:cNvSpPr>
          <a:spLocks noChangeAspect="1" noChangeArrowheads="1"/>
        </xdr:cNvSpPr>
      </xdr:nvSpPr>
      <xdr:spPr bwMode="auto">
        <a:xfrm>
          <a:off x="1524000" y="10490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6" name="AutoShape 648" descr="https://capfriendly-wlb8ng5.stackpathdns.com/assets/images/icons/general/q.svg"/>
        <xdr:cNvSpPr>
          <a:spLocks noChangeAspect="1" noChangeArrowheads="1"/>
        </xdr:cNvSpPr>
      </xdr:nvSpPr>
      <xdr:spPr bwMode="auto">
        <a:xfrm>
          <a:off x="1524000" y="10509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7" name="AutoShape 649" descr="https://capfriendly-wlb8ng5.stackpathdns.com/assets/images/icons/general/q.svg"/>
        <xdr:cNvSpPr>
          <a:spLocks noChangeAspect="1" noChangeArrowheads="1"/>
        </xdr:cNvSpPr>
      </xdr:nvSpPr>
      <xdr:spPr bwMode="auto">
        <a:xfrm>
          <a:off x="1524000" y="10528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8" name="AutoShape 650" descr="Performance Bonuses"/>
        <xdr:cNvSpPr>
          <a:spLocks noChangeAspect="1" noChangeArrowheads="1"/>
        </xdr:cNvSpPr>
      </xdr:nvSpPr>
      <xdr:spPr bwMode="auto">
        <a:xfrm>
          <a:off x="152400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581</xdr:row>
      <xdr:rowOff>0</xdr:rowOff>
    </xdr:from>
    <xdr:to>
      <xdr:col>2</xdr:col>
      <xdr:colOff>257175</xdr:colOff>
      <xdr:row>581</xdr:row>
      <xdr:rowOff>123825</xdr:rowOff>
    </xdr:to>
    <xdr:sp macro="" textlink="">
      <xdr:nvSpPr>
        <xdr:cNvPr id="2699" name="AutoShape 651" descr="Waivers Exempt">
          <a:hlinkClick xmlns:r="http://schemas.openxmlformats.org/officeDocument/2006/relationships" r:id="rId288"/>
        </xdr:cNvPr>
        <xdr:cNvSpPr>
          <a:spLocks noChangeAspect="1" noChangeArrowheads="1"/>
        </xdr:cNvSpPr>
      </xdr:nvSpPr>
      <xdr:spPr bwMode="auto">
        <a:xfrm>
          <a:off x="165735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988</xdr:row>
      <xdr:rowOff>0</xdr:rowOff>
    </xdr:from>
    <xdr:to>
      <xdr:col>2</xdr:col>
      <xdr:colOff>123825</xdr:colOff>
      <xdr:row>988</xdr:row>
      <xdr:rowOff>123825</xdr:rowOff>
    </xdr:to>
    <xdr:sp macro="" textlink="">
      <xdr:nvSpPr>
        <xdr:cNvPr id="2700" name="AutoShape 652" descr="Retained Salary Transaction"/>
        <xdr:cNvSpPr>
          <a:spLocks noChangeAspect="1" noChangeArrowheads="1"/>
        </xdr:cNvSpPr>
      </xdr:nvSpPr>
      <xdr:spPr bwMode="auto">
        <a:xfrm>
          <a:off x="15240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988</xdr:row>
      <xdr:rowOff>0</xdr:rowOff>
    </xdr:from>
    <xdr:to>
      <xdr:col>2</xdr:col>
      <xdr:colOff>257175</xdr:colOff>
      <xdr:row>988</xdr:row>
      <xdr:rowOff>123825</xdr:rowOff>
    </xdr:to>
    <xdr:sp macro="" textlink="">
      <xdr:nvSpPr>
        <xdr:cNvPr id="2701" name="AutoShape 653" descr="Waivers Exempt">
          <a:hlinkClick xmlns:r="http://schemas.openxmlformats.org/officeDocument/2006/relationships" r:id="rId289"/>
        </xdr:cNvPr>
        <xdr:cNvSpPr>
          <a:spLocks noChangeAspect="1" noChangeArrowheads="1"/>
        </xdr:cNvSpPr>
      </xdr:nvSpPr>
      <xdr:spPr bwMode="auto">
        <a:xfrm>
          <a:off x="165735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988</xdr:row>
      <xdr:rowOff>0</xdr:rowOff>
    </xdr:from>
    <xdr:to>
      <xdr:col>2</xdr:col>
      <xdr:colOff>390525</xdr:colOff>
      <xdr:row>988</xdr:row>
      <xdr:rowOff>123825</xdr:rowOff>
    </xdr:to>
    <xdr:sp macro="" textlink="">
      <xdr:nvSpPr>
        <xdr:cNvPr id="2702" name="AutoShape 654" descr="Exempt from the 50 Contract Limit"/>
        <xdr:cNvSpPr>
          <a:spLocks noChangeAspect="1" noChangeArrowheads="1"/>
        </xdr:cNvSpPr>
      </xdr:nvSpPr>
      <xdr:spPr bwMode="auto">
        <a:xfrm>
          <a:off x="17907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1354</xdr:row>
      <xdr:rowOff>0</xdr:rowOff>
    </xdr:from>
    <xdr:to>
      <xdr:col>2</xdr:col>
      <xdr:colOff>123825</xdr:colOff>
      <xdr:row>1354</xdr:row>
      <xdr:rowOff>123825</xdr:rowOff>
    </xdr:to>
    <xdr:sp macro="" textlink="">
      <xdr:nvSpPr>
        <xdr:cNvPr id="2703" name="AutoShape 655" descr="Performance Bonuses"/>
        <xdr:cNvSpPr>
          <a:spLocks noChangeAspect="1" noChangeArrowheads="1"/>
        </xdr:cNvSpPr>
      </xdr:nvSpPr>
      <xdr:spPr bwMode="auto">
        <a:xfrm>
          <a:off x="152400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1354</xdr:row>
      <xdr:rowOff>0</xdr:rowOff>
    </xdr:from>
    <xdr:to>
      <xdr:col>2</xdr:col>
      <xdr:colOff>257175</xdr:colOff>
      <xdr:row>1354</xdr:row>
      <xdr:rowOff>123825</xdr:rowOff>
    </xdr:to>
    <xdr:sp macro="" textlink="">
      <xdr:nvSpPr>
        <xdr:cNvPr id="2704" name="AutoShape 656" descr="Waivers Exempt">
          <a:hlinkClick xmlns:r="http://schemas.openxmlformats.org/officeDocument/2006/relationships" r:id="rId290"/>
        </xdr:cNvPr>
        <xdr:cNvSpPr>
          <a:spLocks noChangeAspect="1" noChangeArrowheads="1"/>
        </xdr:cNvSpPr>
      </xdr:nvSpPr>
      <xdr:spPr bwMode="auto">
        <a:xfrm>
          <a:off x="165735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xdr:row>
      <xdr:rowOff>0</xdr:rowOff>
    </xdr:from>
    <xdr:to>
      <xdr:col>2</xdr:col>
      <xdr:colOff>123825</xdr:colOff>
      <xdr:row>3</xdr:row>
      <xdr:rowOff>123825</xdr:rowOff>
    </xdr:to>
    <xdr:sp macro="" textlink="">
      <xdr:nvSpPr>
        <xdr:cNvPr id="2705" name="AutoShape 657" descr="Performance Bonuses"/>
        <xdr:cNvSpPr>
          <a:spLocks noChangeAspect="1" noChangeArrowheads="1"/>
        </xdr:cNvSpPr>
      </xdr:nvSpPr>
      <xdr:spPr bwMode="auto">
        <a:xfrm>
          <a:off x="152400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xdr:row>
      <xdr:rowOff>0</xdr:rowOff>
    </xdr:from>
    <xdr:to>
      <xdr:col>2</xdr:col>
      <xdr:colOff>257175</xdr:colOff>
      <xdr:row>3</xdr:row>
      <xdr:rowOff>123825</xdr:rowOff>
    </xdr:to>
    <xdr:sp macro="" textlink="">
      <xdr:nvSpPr>
        <xdr:cNvPr id="2706" name="AutoShape 658" descr="Waivers Exempt">
          <a:hlinkClick xmlns:r="http://schemas.openxmlformats.org/officeDocument/2006/relationships" r:id="rId291"/>
        </xdr:cNvPr>
        <xdr:cNvSpPr>
          <a:spLocks noChangeAspect="1" noChangeArrowheads="1"/>
        </xdr:cNvSpPr>
      </xdr:nvSpPr>
      <xdr:spPr bwMode="auto">
        <a:xfrm>
          <a:off x="165735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xdr:row>
      <xdr:rowOff>0</xdr:rowOff>
    </xdr:from>
    <xdr:to>
      <xdr:col>2</xdr:col>
      <xdr:colOff>123825</xdr:colOff>
      <xdr:row>55</xdr:row>
      <xdr:rowOff>123825</xdr:rowOff>
    </xdr:to>
    <xdr:sp macro="" textlink="">
      <xdr:nvSpPr>
        <xdr:cNvPr id="2707" name="AutoShape 659" descr="Performance Bonuses"/>
        <xdr:cNvSpPr>
          <a:spLocks noChangeAspect="1" noChangeArrowheads="1"/>
        </xdr:cNvSpPr>
      </xdr:nvSpPr>
      <xdr:spPr bwMode="auto">
        <a:xfrm>
          <a:off x="152400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xdr:row>
      <xdr:rowOff>0</xdr:rowOff>
    </xdr:from>
    <xdr:to>
      <xdr:col>2</xdr:col>
      <xdr:colOff>257175</xdr:colOff>
      <xdr:row>55</xdr:row>
      <xdr:rowOff>123825</xdr:rowOff>
    </xdr:to>
    <xdr:sp macro="" textlink="">
      <xdr:nvSpPr>
        <xdr:cNvPr id="2708" name="AutoShape 660" descr="Waivers Exempt">
          <a:hlinkClick xmlns:r="http://schemas.openxmlformats.org/officeDocument/2006/relationships" r:id="rId292"/>
        </xdr:cNvPr>
        <xdr:cNvSpPr>
          <a:spLocks noChangeAspect="1" noChangeArrowheads="1"/>
        </xdr:cNvSpPr>
      </xdr:nvSpPr>
      <xdr:spPr bwMode="auto">
        <a:xfrm>
          <a:off x="165735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1361</xdr:row>
      <xdr:rowOff>0</xdr:rowOff>
    </xdr:from>
    <xdr:to>
      <xdr:col>2</xdr:col>
      <xdr:colOff>123825</xdr:colOff>
      <xdr:row>1361</xdr:row>
      <xdr:rowOff>123825</xdr:rowOff>
    </xdr:to>
    <xdr:sp macro="" textlink="">
      <xdr:nvSpPr>
        <xdr:cNvPr id="2709" name="AutoShape 661" descr="Waivers Exempt">
          <a:hlinkClick xmlns:r="http://schemas.openxmlformats.org/officeDocument/2006/relationships" r:id="rId293"/>
        </xdr:cNvPr>
        <xdr:cNvSpPr>
          <a:spLocks noChangeAspect="1" noChangeArrowheads="1"/>
        </xdr:cNvSpPr>
      </xdr:nvSpPr>
      <xdr:spPr bwMode="auto">
        <a:xfrm>
          <a:off x="1524000" y="10717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1361</xdr:row>
      <xdr:rowOff>0</xdr:rowOff>
    </xdr:from>
    <xdr:to>
      <xdr:col>7</xdr:col>
      <xdr:colOff>123825</xdr:colOff>
      <xdr:row>1361</xdr:row>
      <xdr:rowOff>104775</xdr:rowOff>
    </xdr:to>
    <xdr:sp macro="" textlink="">
      <xdr:nvSpPr>
        <xdr:cNvPr id="2710" name="AutoShape 662" descr="Arbitration Eligible">
          <a:hlinkClick xmlns:r="http://schemas.openxmlformats.org/officeDocument/2006/relationships" r:id="rId294"/>
        </xdr:cNvPr>
        <xdr:cNvSpPr>
          <a:spLocks noChangeAspect="1" noChangeArrowheads="1"/>
        </xdr:cNvSpPr>
      </xdr:nvSpPr>
      <xdr:spPr bwMode="auto">
        <a:xfrm>
          <a:off x="5334000" y="107175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xdr:row>
      <xdr:rowOff>0</xdr:rowOff>
    </xdr:from>
    <xdr:to>
      <xdr:col>2</xdr:col>
      <xdr:colOff>123825</xdr:colOff>
      <xdr:row>34</xdr:row>
      <xdr:rowOff>123825</xdr:rowOff>
    </xdr:to>
    <xdr:sp macro="" textlink="">
      <xdr:nvSpPr>
        <xdr:cNvPr id="2711" name="AutoShape 663" descr="Performance Bonuses"/>
        <xdr:cNvSpPr>
          <a:spLocks noChangeAspect="1" noChangeArrowheads="1"/>
        </xdr:cNvSpPr>
      </xdr:nvSpPr>
      <xdr:spPr bwMode="auto">
        <a:xfrm>
          <a:off x="152400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xdr:row>
      <xdr:rowOff>0</xdr:rowOff>
    </xdr:from>
    <xdr:to>
      <xdr:col>2</xdr:col>
      <xdr:colOff>257175</xdr:colOff>
      <xdr:row>34</xdr:row>
      <xdr:rowOff>123825</xdr:rowOff>
    </xdr:to>
    <xdr:sp macro="" textlink="">
      <xdr:nvSpPr>
        <xdr:cNvPr id="2712" name="AutoShape 664" descr="Waivers Exempt">
          <a:hlinkClick xmlns:r="http://schemas.openxmlformats.org/officeDocument/2006/relationships" r:id="rId295"/>
        </xdr:cNvPr>
        <xdr:cNvSpPr>
          <a:spLocks noChangeAspect="1" noChangeArrowheads="1"/>
        </xdr:cNvSpPr>
      </xdr:nvSpPr>
      <xdr:spPr bwMode="auto">
        <a:xfrm>
          <a:off x="165735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1091</xdr:row>
      <xdr:rowOff>0</xdr:rowOff>
    </xdr:from>
    <xdr:to>
      <xdr:col>2</xdr:col>
      <xdr:colOff>123825</xdr:colOff>
      <xdr:row>1091</xdr:row>
      <xdr:rowOff>123825</xdr:rowOff>
    </xdr:to>
    <xdr:sp macro="" textlink="">
      <xdr:nvSpPr>
        <xdr:cNvPr id="2713" name="AutoShape 665" descr="Performance Bonuses"/>
        <xdr:cNvSpPr>
          <a:spLocks noChangeAspect="1" noChangeArrowheads="1"/>
        </xdr:cNvSpPr>
      </xdr:nvSpPr>
      <xdr:spPr bwMode="auto">
        <a:xfrm>
          <a:off x="152400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1091</xdr:row>
      <xdr:rowOff>0</xdr:rowOff>
    </xdr:from>
    <xdr:to>
      <xdr:col>2</xdr:col>
      <xdr:colOff>257175</xdr:colOff>
      <xdr:row>1091</xdr:row>
      <xdr:rowOff>123825</xdr:rowOff>
    </xdr:to>
    <xdr:sp macro="" textlink="">
      <xdr:nvSpPr>
        <xdr:cNvPr id="2714" name="AutoShape 666" descr="Waivers Exempt">
          <a:hlinkClick xmlns:r="http://schemas.openxmlformats.org/officeDocument/2006/relationships" r:id="rId296"/>
        </xdr:cNvPr>
        <xdr:cNvSpPr>
          <a:spLocks noChangeAspect="1" noChangeArrowheads="1"/>
        </xdr:cNvSpPr>
      </xdr:nvSpPr>
      <xdr:spPr bwMode="auto">
        <a:xfrm>
          <a:off x="165735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1125</xdr:row>
      <xdr:rowOff>0</xdr:rowOff>
    </xdr:from>
    <xdr:to>
      <xdr:col>2</xdr:col>
      <xdr:colOff>123825</xdr:colOff>
      <xdr:row>1125</xdr:row>
      <xdr:rowOff>123825</xdr:rowOff>
    </xdr:to>
    <xdr:sp macro="" textlink="">
      <xdr:nvSpPr>
        <xdr:cNvPr id="2715" name="AutoShape 667" descr="Waivers Exempt">
          <a:hlinkClick xmlns:r="http://schemas.openxmlformats.org/officeDocument/2006/relationships" r:id="rId297"/>
        </xdr:cNvPr>
        <xdr:cNvSpPr>
          <a:spLocks noChangeAspect="1" noChangeArrowheads="1"/>
        </xdr:cNvSpPr>
      </xdr:nvSpPr>
      <xdr:spPr bwMode="auto">
        <a:xfrm>
          <a:off x="1524000" y="10774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507</xdr:row>
      <xdr:rowOff>0</xdr:rowOff>
    </xdr:from>
    <xdr:to>
      <xdr:col>7</xdr:col>
      <xdr:colOff>123825</xdr:colOff>
      <xdr:row>507</xdr:row>
      <xdr:rowOff>104775</xdr:rowOff>
    </xdr:to>
    <xdr:sp macro="" textlink="">
      <xdr:nvSpPr>
        <xdr:cNvPr id="2716" name="AutoShape 668" descr="Arbitration Eligible">
          <a:hlinkClick xmlns:r="http://schemas.openxmlformats.org/officeDocument/2006/relationships" r:id="rId298"/>
        </xdr:cNvPr>
        <xdr:cNvSpPr>
          <a:spLocks noChangeAspect="1" noChangeArrowheads="1"/>
        </xdr:cNvSpPr>
      </xdr:nvSpPr>
      <xdr:spPr bwMode="auto">
        <a:xfrm>
          <a:off x="5334000" y="108127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694</xdr:row>
      <xdr:rowOff>0</xdr:rowOff>
    </xdr:from>
    <xdr:to>
      <xdr:col>2</xdr:col>
      <xdr:colOff>123825</xdr:colOff>
      <xdr:row>694</xdr:row>
      <xdr:rowOff>123825</xdr:rowOff>
    </xdr:to>
    <xdr:sp macro="" textlink="">
      <xdr:nvSpPr>
        <xdr:cNvPr id="2717" name="AutoShape 669" descr="Performance Bonuses"/>
        <xdr:cNvSpPr>
          <a:spLocks noChangeAspect="1" noChangeArrowheads="1"/>
        </xdr:cNvSpPr>
      </xdr:nvSpPr>
      <xdr:spPr bwMode="auto">
        <a:xfrm>
          <a:off x="152400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694</xdr:row>
      <xdr:rowOff>0</xdr:rowOff>
    </xdr:from>
    <xdr:to>
      <xdr:col>2</xdr:col>
      <xdr:colOff>257175</xdr:colOff>
      <xdr:row>694</xdr:row>
      <xdr:rowOff>123825</xdr:rowOff>
    </xdr:to>
    <xdr:sp macro="" textlink="">
      <xdr:nvSpPr>
        <xdr:cNvPr id="2718" name="AutoShape 670" descr="Waivers Exempt">
          <a:hlinkClick xmlns:r="http://schemas.openxmlformats.org/officeDocument/2006/relationships" r:id="rId299"/>
        </xdr:cNvPr>
        <xdr:cNvSpPr>
          <a:spLocks noChangeAspect="1" noChangeArrowheads="1"/>
        </xdr:cNvSpPr>
      </xdr:nvSpPr>
      <xdr:spPr bwMode="auto">
        <a:xfrm>
          <a:off x="165735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719" name="AutoShape 671" descr="https://capfriendly-wlb8ng5.stackpathdns.com/assets/images/icons/general/q2.svg"/>
        <xdr:cNvSpPr>
          <a:spLocks noChangeAspect="1" noChangeArrowheads="1"/>
        </xdr:cNvSpPr>
      </xdr:nvSpPr>
      <xdr:spPr bwMode="auto">
        <a:xfrm>
          <a:off x="5334000" y="109642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1299</xdr:row>
      <xdr:rowOff>0</xdr:rowOff>
    </xdr:from>
    <xdr:to>
      <xdr:col>2</xdr:col>
      <xdr:colOff>123825</xdr:colOff>
      <xdr:row>1299</xdr:row>
      <xdr:rowOff>123825</xdr:rowOff>
    </xdr:to>
    <xdr:sp macro="" textlink="">
      <xdr:nvSpPr>
        <xdr:cNvPr id="2720" name="AutoShape 672" descr="Performance Bonuses"/>
        <xdr:cNvSpPr>
          <a:spLocks noChangeAspect="1" noChangeArrowheads="1"/>
        </xdr:cNvSpPr>
      </xdr:nvSpPr>
      <xdr:spPr bwMode="auto">
        <a:xfrm>
          <a:off x="152400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1299</xdr:row>
      <xdr:rowOff>0</xdr:rowOff>
    </xdr:from>
    <xdr:to>
      <xdr:col>2</xdr:col>
      <xdr:colOff>257175</xdr:colOff>
      <xdr:row>1299</xdr:row>
      <xdr:rowOff>123825</xdr:rowOff>
    </xdr:to>
    <xdr:sp macro="" textlink="">
      <xdr:nvSpPr>
        <xdr:cNvPr id="2721" name="AutoShape 673" descr="Waivers Exempt">
          <a:hlinkClick xmlns:r="http://schemas.openxmlformats.org/officeDocument/2006/relationships" r:id="rId300"/>
        </xdr:cNvPr>
        <xdr:cNvSpPr>
          <a:spLocks noChangeAspect="1" noChangeArrowheads="1"/>
        </xdr:cNvSpPr>
      </xdr:nvSpPr>
      <xdr:spPr bwMode="auto">
        <a:xfrm>
          <a:off x="165735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891</xdr:row>
      <xdr:rowOff>0</xdr:rowOff>
    </xdr:from>
    <xdr:to>
      <xdr:col>2</xdr:col>
      <xdr:colOff>123825</xdr:colOff>
      <xdr:row>891</xdr:row>
      <xdr:rowOff>123825</xdr:rowOff>
    </xdr:to>
    <xdr:sp macro="" textlink="">
      <xdr:nvSpPr>
        <xdr:cNvPr id="2722" name="AutoShape 674" descr="Waivers Exempt">
          <a:hlinkClick xmlns:r="http://schemas.openxmlformats.org/officeDocument/2006/relationships" r:id="rId301"/>
        </xdr:cNvPr>
        <xdr:cNvSpPr>
          <a:spLocks noChangeAspect="1" noChangeArrowheads="1"/>
        </xdr:cNvSpPr>
      </xdr:nvSpPr>
      <xdr:spPr bwMode="auto">
        <a:xfrm>
          <a:off x="1524000" y="11002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xdr:row>
      <xdr:rowOff>0</xdr:rowOff>
    </xdr:from>
    <xdr:to>
      <xdr:col>2</xdr:col>
      <xdr:colOff>123825</xdr:colOff>
      <xdr:row>79</xdr:row>
      <xdr:rowOff>123825</xdr:rowOff>
    </xdr:to>
    <xdr:sp macro="" textlink="">
      <xdr:nvSpPr>
        <xdr:cNvPr id="2723" name="AutoShape 675" descr="Performance Bonuses"/>
        <xdr:cNvSpPr>
          <a:spLocks noChangeAspect="1" noChangeArrowheads="1"/>
        </xdr:cNvSpPr>
      </xdr:nvSpPr>
      <xdr:spPr bwMode="auto">
        <a:xfrm>
          <a:off x="152400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xdr:row>
      <xdr:rowOff>0</xdr:rowOff>
    </xdr:from>
    <xdr:to>
      <xdr:col>2</xdr:col>
      <xdr:colOff>257175</xdr:colOff>
      <xdr:row>79</xdr:row>
      <xdr:rowOff>123825</xdr:rowOff>
    </xdr:to>
    <xdr:sp macro="" textlink="">
      <xdr:nvSpPr>
        <xdr:cNvPr id="2724" name="AutoShape 676" descr="Waivers Exempt">
          <a:hlinkClick xmlns:r="http://schemas.openxmlformats.org/officeDocument/2006/relationships" r:id="rId302"/>
        </xdr:cNvPr>
        <xdr:cNvSpPr>
          <a:spLocks noChangeAspect="1" noChangeArrowheads="1"/>
        </xdr:cNvSpPr>
      </xdr:nvSpPr>
      <xdr:spPr bwMode="auto">
        <a:xfrm>
          <a:off x="165735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309</xdr:row>
      <xdr:rowOff>0</xdr:rowOff>
    </xdr:from>
    <xdr:to>
      <xdr:col>7</xdr:col>
      <xdr:colOff>123825</xdr:colOff>
      <xdr:row>309</xdr:row>
      <xdr:rowOff>104775</xdr:rowOff>
    </xdr:to>
    <xdr:sp macro="" textlink="">
      <xdr:nvSpPr>
        <xdr:cNvPr id="2725" name="AutoShape 677" descr="Arbitration Eligible">
          <a:hlinkClick xmlns:r="http://schemas.openxmlformats.org/officeDocument/2006/relationships" r:id="rId303"/>
        </xdr:cNvPr>
        <xdr:cNvSpPr>
          <a:spLocks noChangeAspect="1" noChangeArrowheads="1"/>
        </xdr:cNvSpPr>
      </xdr:nvSpPr>
      <xdr:spPr bwMode="auto">
        <a:xfrm>
          <a:off x="5334000" y="111918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708</xdr:row>
      <xdr:rowOff>0</xdr:rowOff>
    </xdr:from>
    <xdr:to>
      <xdr:col>8</xdr:col>
      <xdr:colOff>123825</xdr:colOff>
      <xdr:row>708</xdr:row>
      <xdr:rowOff>104775</xdr:rowOff>
    </xdr:to>
    <xdr:sp macro="" textlink="">
      <xdr:nvSpPr>
        <xdr:cNvPr id="2" name="AutoShape 1" descr="Éligible à l'arbitrage">
          <a:hlinkClick xmlns:r="http://schemas.openxmlformats.org/officeDocument/2006/relationships" r:id="rId304"/>
        </xdr:cNvPr>
        <xdr:cNvSpPr>
          <a:spLocks noChangeAspect="1" noChangeArrowheads="1"/>
        </xdr:cNvSpPr>
      </xdr:nvSpPr>
      <xdr:spPr bwMode="auto">
        <a:xfrm>
          <a:off x="6096000" y="10530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998</xdr:row>
      <xdr:rowOff>0</xdr:rowOff>
    </xdr:from>
    <xdr:to>
      <xdr:col>2</xdr:col>
      <xdr:colOff>123825</xdr:colOff>
      <xdr:row>998</xdr:row>
      <xdr:rowOff>123825</xdr:rowOff>
    </xdr:to>
    <xdr:sp macro="" textlink="">
      <xdr:nvSpPr>
        <xdr:cNvPr id="3" name="AutoShape 2" descr="Exempté du ballottage">
          <a:hlinkClick xmlns:r="http://schemas.openxmlformats.org/officeDocument/2006/relationships" r:id="rId305"/>
        </xdr:cNvPr>
        <xdr:cNvSpPr>
          <a:spLocks noChangeAspect="1" noChangeArrowheads="1"/>
        </xdr:cNvSpPr>
      </xdr:nvSpPr>
      <xdr:spPr bwMode="auto">
        <a:xfrm>
          <a:off x="1524000" y="1058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205</xdr:row>
      <xdr:rowOff>0</xdr:rowOff>
    </xdr:from>
    <xdr:to>
      <xdr:col>7</xdr:col>
      <xdr:colOff>123825</xdr:colOff>
      <xdr:row>205</xdr:row>
      <xdr:rowOff>104775</xdr:rowOff>
    </xdr:to>
    <xdr:sp macro="" textlink="">
      <xdr:nvSpPr>
        <xdr:cNvPr id="4" name="AutoShape 3" descr="Éligible à l'arbitrage">
          <a:hlinkClick xmlns:r="http://schemas.openxmlformats.org/officeDocument/2006/relationships" r:id="rId306"/>
        </xdr:cNvPr>
        <xdr:cNvSpPr>
          <a:spLocks noChangeAspect="1" noChangeArrowheads="1"/>
        </xdr:cNvSpPr>
      </xdr:nvSpPr>
      <xdr:spPr bwMode="auto">
        <a:xfrm>
          <a:off x="5334000" y="10626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995</xdr:row>
      <xdr:rowOff>0</xdr:rowOff>
    </xdr:from>
    <xdr:to>
      <xdr:col>7</xdr:col>
      <xdr:colOff>123825</xdr:colOff>
      <xdr:row>995</xdr:row>
      <xdr:rowOff>104775</xdr:rowOff>
    </xdr:to>
    <xdr:sp macro="" textlink="">
      <xdr:nvSpPr>
        <xdr:cNvPr id="5" name="AutoShape 4" descr="Éligible à l'arbitrage">
          <a:hlinkClick xmlns:r="http://schemas.openxmlformats.org/officeDocument/2006/relationships" r:id="rId307"/>
        </xdr:cNvPr>
        <xdr:cNvSpPr>
          <a:spLocks noChangeAspect="1" noChangeArrowheads="1"/>
        </xdr:cNvSpPr>
      </xdr:nvSpPr>
      <xdr:spPr bwMode="auto">
        <a:xfrm>
          <a:off x="5334000" y="10796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xdr:row>
      <xdr:rowOff>0</xdr:rowOff>
    </xdr:from>
    <xdr:to>
      <xdr:col>7</xdr:col>
      <xdr:colOff>123825</xdr:colOff>
      <xdr:row>91</xdr:row>
      <xdr:rowOff>104775</xdr:rowOff>
    </xdr:to>
    <xdr:sp macro="" textlink="">
      <xdr:nvSpPr>
        <xdr:cNvPr id="6" name="AutoShape 5" descr="Éligible à l'arbitrage">
          <a:hlinkClick xmlns:r="http://schemas.openxmlformats.org/officeDocument/2006/relationships" r:id="rId308"/>
        </xdr:cNvPr>
        <xdr:cNvSpPr>
          <a:spLocks noChangeAspect="1" noChangeArrowheads="1"/>
        </xdr:cNvSpPr>
      </xdr:nvSpPr>
      <xdr:spPr bwMode="auto">
        <a:xfrm>
          <a:off x="5334000" y="10834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1048</xdr:row>
      <xdr:rowOff>0</xdr:rowOff>
    </xdr:from>
    <xdr:to>
      <xdr:col>2</xdr:col>
      <xdr:colOff>123825</xdr:colOff>
      <xdr:row>1048</xdr:row>
      <xdr:rowOff>123825</xdr:rowOff>
    </xdr:to>
    <xdr:sp macro="" textlink="">
      <xdr:nvSpPr>
        <xdr:cNvPr id="7" name="AutoShape 6" descr="Exempté du ballottage">
          <a:hlinkClick xmlns:r="http://schemas.openxmlformats.org/officeDocument/2006/relationships" r:id="rId309"/>
        </xdr:cNvPr>
        <xdr:cNvSpPr>
          <a:spLocks noChangeAspect="1" noChangeArrowheads="1"/>
        </xdr:cNvSpPr>
      </xdr:nvSpPr>
      <xdr:spPr bwMode="auto">
        <a:xfrm>
          <a:off x="1524000" y="10853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1048</xdr:row>
      <xdr:rowOff>0</xdr:rowOff>
    </xdr:from>
    <xdr:to>
      <xdr:col>7</xdr:col>
      <xdr:colOff>123825</xdr:colOff>
      <xdr:row>1048</xdr:row>
      <xdr:rowOff>104775</xdr:rowOff>
    </xdr:to>
    <xdr:sp macro="" textlink="">
      <xdr:nvSpPr>
        <xdr:cNvPr id="8" name="AutoShape 7" descr="Éligible à l'arbitrage">
          <a:hlinkClick xmlns:r="http://schemas.openxmlformats.org/officeDocument/2006/relationships" r:id="rId310"/>
        </xdr:cNvPr>
        <xdr:cNvSpPr>
          <a:spLocks noChangeAspect="1" noChangeArrowheads="1"/>
        </xdr:cNvSpPr>
      </xdr:nvSpPr>
      <xdr:spPr bwMode="auto">
        <a:xfrm>
          <a:off x="5334000" y="10853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1255</xdr:row>
      <xdr:rowOff>0</xdr:rowOff>
    </xdr:from>
    <xdr:to>
      <xdr:col>2</xdr:col>
      <xdr:colOff>123825</xdr:colOff>
      <xdr:row>1255</xdr:row>
      <xdr:rowOff>123825</xdr:rowOff>
    </xdr:to>
    <xdr:sp macro="" textlink="">
      <xdr:nvSpPr>
        <xdr:cNvPr id="9" name="AutoShape 8" descr="Bonis de performance"/>
        <xdr:cNvSpPr>
          <a:spLocks noChangeAspect="1" noChangeArrowheads="1"/>
        </xdr:cNvSpPr>
      </xdr:nvSpPr>
      <xdr:spPr bwMode="auto">
        <a:xfrm>
          <a:off x="1524000" y="10967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0" name="AutoShape 9" descr="https://capfriendly-wlb8ng5.stackpathdns.com/assets/images/icons/general/q.svg"/>
        <xdr:cNvSpPr>
          <a:spLocks noChangeAspect="1" noChangeArrowheads="1"/>
        </xdr:cNvSpPr>
      </xdr:nvSpPr>
      <xdr:spPr bwMode="auto">
        <a:xfrm>
          <a:off x="1524000" y="11306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1" name="AutoShape 10" descr="https://capfriendly-wlb8ng5.stackpathdns.com/assets/images/icons/general/q.svg"/>
        <xdr:cNvSpPr>
          <a:spLocks noChangeAspect="1" noChangeArrowheads="1"/>
        </xdr:cNvSpPr>
      </xdr:nvSpPr>
      <xdr:spPr bwMode="auto">
        <a:xfrm>
          <a:off x="1524000" y="11325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2" name="AutoShape 11" descr="https://capfriendly-wlb8ng5.stackpathdns.com/assets/images/icons/general/q.svg"/>
        <xdr:cNvSpPr>
          <a:spLocks noChangeAspect="1" noChangeArrowheads="1"/>
        </xdr:cNvSpPr>
      </xdr:nvSpPr>
      <xdr:spPr bwMode="auto">
        <a:xfrm>
          <a:off x="1524000" y="11344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3" name="AutoShape 12" descr="https://capfriendly-wlb8ng5.stackpathdns.com/assets/images/icons/general/q.svg"/>
        <xdr:cNvSpPr>
          <a:spLocks noChangeAspect="1" noChangeArrowheads="1"/>
        </xdr:cNvSpPr>
      </xdr:nvSpPr>
      <xdr:spPr bwMode="auto">
        <a:xfrm>
          <a:off x="1524000" y="11363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4" name="AutoShape 13" descr="https://capfriendly-wlb8ng5.stackpathdns.com/assets/images/icons/general/q.svg"/>
        <xdr:cNvSpPr>
          <a:spLocks noChangeAspect="1" noChangeArrowheads="1"/>
        </xdr:cNvSpPr>
      </xdr:nvSpPr>
      <xdr:spPr bwMode="auto">
        <a:xfrm>
          <a:off x="1524000" y="11382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5" name="AutoShape 14" descr="https://capfriendly-wlb8ng5.stackpathdns.com/assets/images/icons/general/q.svg"/>
        <xdr:cNvSpPr>
          <a:spLocks noChangeAspect="1" noChangeArrowheads="1"/>
        </xdr:cNvSpPr>
      </xdr:nvSpPr>
      <xdr:spPr bwMode="auto">
        <a:xfrm>
          <a:off x="1524000" y="11401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6" name="AutoShape 15" descr="https://capfriendly-wlb8ng5.stackpathdns.com/assets/images/icons/general/q.svg"/>
        <xdr:cNvSpPr>
          <a:spLocks noChangeAspect="1" noChangeArrowheads="1"/>
        </xdr:cNvSpPr>
      </xdr:nvSpPr>
      <xdr:spPr bwMode="auto">
        <a:xfrm>
          <a:off x="1524000" y="11420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7" name="AutoShape 16" descr="https://capfriendly-wlb8ng5.stackpathdns.com/assets/images/icons/general/q.svg"/>
        <xdr:cNvSpPr>
          <a:spLocks noChangeAspect="1" noChangeArrowheads="1"/>
        </xdr:cNvSpPr>
      </xdr:nvSpPr>
      <xdr:spPr bwMode="auto">
        <a:xfrm>
          <a:off x="1524000" y="11439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8" name="AutoShape 17" descr="https://capfriendly-wlb8ng5.stackpathdns.com/assets/images/icons/general/q.svg"/>
        <xdr:cNvSpPr>
          <a:spLocks noChangeAspect="1" noChangeArrowheads="1"/>
        </xdr:cNvSpPr>
      </xdr:nvSpPr>
      <xdr:spPr bwMode="auto">
        <a:xfrm>
          <a:off x="1524000" y="11458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9" name="AutoShape 18" descr="https://capfriendly-wlb8ng5.stackpathdns.com/assets/images/icons/general/q.svg"/>
        <xdr:cNvSpPr>
          <a:spLocks noChangeAspect="1" noChangeArrowheads="1"/>
        </xdr:cNvSpPr>
      </xdr:nvSpPr>
      <xdr:spPr bwMode="auto">
        <a:xfrm>
          <a:off x="1524000" y="11477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0" name="AutoShape 19" descr="https://capfriendly-wlb8ng5.stackpathdns.com/assets/images/icons/general/q.svg"/>
        <xdr:cNvSpPr>
          <a:spLocks noChangeAspect="1" noChangeArrowheads="1"/>
        </xdr:cNvSpPr>
      </xdr:nvSpPr>
      <xdr:spPr bwMode="auto">
        <a:xfrm>
          <a:off x="1524000" y="11496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1" name="AutoShape 20" descr="Bonis de performance"/>
        <xdr:cNvSpPr>
          <a:spLocks noChangeAspect="1" noChangeArrowheads="1"/>
        </xdr:cNvSpPr>
      </xdr:nvSpPr>
      <xdr:spPr bwMode="auto">
        <a:xfrm>
          <a:off x="152400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535</xdr:row>
      <xdr:rowOff>0</xdr:rowOff>
    </xdr:from>
    <xdr:to>
      <xdr:col>2</xdr:col>
      <xdr:colOff>257175</xdr:colOff>
      <xdr:row>535</xdr:row>
      <xdr:rowOff>123825</xdr:rowOff>
    </xdr:to>
    <xdr:sp macro="" textlink="">
      <xdr:nvSpPr>
        <xdr:cNvPr id="22" name="AutoShape 21" descr="Exempté du ballottage">
          <a:hlinkClick xmlns:r="http://schemas.openxmlformats.org/officeDocument/2006/relationships" r:id="rId311"/>
        </xdr:cNvPr>
        <xdr:cNvSpPr>
          <a:spLocks noChangeAspect="1" noChangeArrowheads="1"/>
        </xdr:cNvSpPr>
      </xdr:nvSpPr>
      <xdr:spPr bwMode="auto">
        <a:xfrm>
          <a:off x="165735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882</xdr:row>
      <xdr:rowOff>0</xdr:rowOff>
    </xdr:from>
    <xdr:to>
      <xdr:col>2</xdr:col>
      <xdr:colOff>123825</xdr:colOff>
      <xdr:row>882</xdr:row>
      <xdr:rowOff>123825</xdr:rowOff>
    </xdr:to>
    <xdr:sp macro="" textlink="">
      <xdr:nvSpPr>
        <xdr:cNvPr id="23" name="AutoShape 22" descr="Bonis de performance"/>
        <xdr:cNvSpPr>
          <a:spLocks noChangeAspect="1" noChangeArrowheads="1"/>
        </xdr:cNvSpPr>
      </xdr:nvSpPr>
      <xdr:spPr bwMode="auto">
        <a:xfrm>
          <a:off x="152400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882</xdr:row>
      <xdr:rowOff>0</xdr:rowOff>
    </xdr:from>
    <xdr:to>
      <xdr:col>2</xdr:col>
      <xdr:colOff>257175</xdr:colOff>
      <xdr:row>882</xdr:row>
      <xdr:rowOff>123825</xdr:rowOff>
    </xdr:to>
    <xdr:sp macro="" textlink="">
      <xdr:nvSpPr>
        <xdr:cNvPr id="24" name="AutoShape 23" descr="Exempté du ballottage">
          <a:hlinkClick xmlns:r="http://schemas.openxmlformats.org/officeDocument/2006/relationships" r:id="rId312"/>
        </xdr:cNvPr>
        <xdr:cNvSpPr>
          <a:spLocks noChangeAspect="1" noChangeArrowheads="1"/>
        </xdr:cNvSpPr>
      </xdr:nvSpPr>
      <xdr:spPr bwMode="auto">
        <a:xfrm>
          <a:off x="165735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1458</xdr:row>
      <xdr:rowOff>0</xdr:rowOff>
    </xdr:from>
    <xdr:to>
      <xdr:col>2</xdr:col>
      <xdr:colOff>123825</xdr:colOff>
      <xdr:row>1458</xdr:row>
      <xdr:rowOff>123825</xdr:rowOff>
    </xdr:to>
    <xdr:sp macro="" textlink="">
      <xdr:nvSpPr>
        <xdr:cNvPr id="25" name="AutoShape 24" descr="Bonis de performance"/>
        <xdr:cNvSpPr>
          <a:spLocks noChangeAspect="1" noChangeArrowheads="1"/>
        </xdr:cNvSpPr>
      </xdr:nvSpPr>
      <xdr:spPr bwMode="auto">
        <a:xfrm>
          <a:off x="152400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1458</xdr:row>
      <xdr:rowOff>0</xdr:rowOff>
    </xdr:from>
    <xdr:to>
      <xdr:col>2</xdr:col>
      <xdr:colOff>257175</xdr:colOff>
      <xdr:row>1458</xdr:row>
      <xdr:rowOff>123825</xdr:rowOff>
    </xdr:to>
    <xdr:sp macro="" textlink="">
      <xdr:nvSpPr>
        <xdr:cNvPr id="26" name="AutoShape 25" descr="Exempté du ballottage">
          <a:hlinkClick xmlns:r="http://schemas.openxmlformats.org/officeDocument/2006/relationships" r:id="rId313"/>
        </xdr:cNvPr>
        <xdr:cNvSpPr>
          <a:spLocks noChangeAspect="1" noChangeArrowheads="1"/>
        </xdr:cNvSpPr>
      </xdr:nvSpPr>
      <xdr:spPr bwMode="auto">
        <a:xfrm>
          <a:off x="165735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917</xdr:row>
      <xdr:rowOff>0</xdr:rowOff>
    </xdr:from>
    <xdr:to>
      <xdr:col>2</xdr:col>
      <xdr:colOff>123825</xdr:colOff>
      <xdr:row>917</xdr:row>
      <xdr:rowOff>123825</xdr:rowOff>
    </xdr:to>
    <xdr:sp macro="" textlink="">
      <xdr:nvSpPr>
        <xdr:cNvPr id="27" name="AutoShape 26" descr="Bonis de performance"/>
        <xdr:cNvSpPr>
          <a:spLocks noChangeAspect="1" noChangeArrowheads="1"/>
        </xdr:cNvSpPr>
      </xdr:nvSpPr>
      <xdr:spPr bwMode="auto">
        <a:xfrm>
          <a:off x="152400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917</xdr:row>
      <xdr:rowOff>0</xdr:rowOff>
    </xdr:from>
    <xdr:to>
      <xdr:col>2</xdr:col>
      <xdr:colOff>257175</xdr:colOff>
      <xdr:row>917</xdr:row>
      <xdr:rowOff>123825</xdr:rowOff>
    </xdr:to>
    <xdr:sp macro="" textlink="">
      <xdr:nvSpPr>
        <xdr:cNvPr id="28" name="AutoShape 27" descr="Exempté du ballottage">
          <a:hlinkClick xmlns:r="http://schemas.openxmlformats.org/officeDocument/2006/relationships" r:id="rId314"/>
        </xdr:cNvPr>
        <xdr:cNvSpPr>
          <a:spLocks noChangeAspect="1" noChangeArrowheads="1"/>
        </xdr:cNvSpPr>
      </xdr:nvSpPr>
      <xdr:spPr bwMode="auto">
        <a:xfrm>
          <a:off x="165735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1401</xdr:row>
      <xdr:rowOff>0</xdr:rowOff>
    </xdr:from>
    <xdr:to>
      <xdr:col>2</xdr:col>
      <xdr:colOff>123825</xdr:colOff>
      <xdr:row>1401</xdr:row>
      <xdr:rowOff>123825</xdr:rowOff>
    </xdr:to>
    <xdr:sp macro="" textlink="">
      <xdr:nvSpPr>
        <xdr:cNvPr id="29" name="AutoShape 28" descr="Bonis de performance"/>
        <xdr:cNvSpPr>
          <a:spLocks noChangeAspect="1" noChangeArrowheads="1"/>
        </xdr:cNvSpPr>
      </xdr:nvSpPr>
      <xdr:spPr bwMode="auto">
        <a:xfrm>
          <a:off x="152400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1401</xdr:row>
      <xdr:rowOff>0</xdr:rowOff>
    </xdr:from>
    <xdr:to>
      <xdr:col>2</xdr:col>
      <xdr:colOff>257175</xdr:colOff>
      <xdr:row>1401</xdr:row>
      <xdr:rowOff>123825</xdr:rowOff>
    </xdr:to>
    <xdr:sp macro="" textlink="">
      <xdr:nvSpPr>
        <xdr:cNvPr id="30" name="AutoShape 29" descr="Exempté du ballottage">
          <a:hlinkClick xmlns:r="http://schemas.openxmlformats.org/officeDocument/2006/relationships" r:id="rId315"/>
        </xdr:cNvPr>
        <xdr:cNvSpPr>
          <a:spLocks noChangeAspect="1" noChangeArrowheads="1"/>
        </xdr:cNvSpPr>
      </xdr:nvSpPr>
      <xdr:spPr bwMode="auto">
        <a:xfrm>
          <a:off x="165735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xdr:row>
      <xdr:rowOff>0</xdr:rowOff>
    </xdr:from>
    <xdr:to>
      <xdr:col>2</xdr:col>
      <xdr:colOff>123825</xdr:colOff>
      <xdr:row>93</xdr:row>
      <xdr:rowOff>123825</xdr:rowOff>
    </xdr:to>
    <xdr:sp macro="" textlink="">
      <xdr:nvSpPr>
        <xdr:cNvPr id="31" name="AutoShape 30" descr="Bonis de performance"/>
        <xdr:cNvSpPr>
          <a:spLocks noChangeAspect="1" noChangeArrowheads="1"/>
        </xdr:cNvSpPr>
      </xdr:nvSpPr>
      <xdr:spPr bwMode="auto">
        <a:xfrm>
          <a:off x="152400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xdr:row>
      <xdr:rowOff>0</xdr:rowOff>
    </xdr:from>
    <xdr:to>
      <xdr:col>2</xdr:col>
      <xdr:colOff>257175</xdr:colOff>
      <xdr:row>93</xdr:row>
      <xdr:rowOff>123825</xdr:rowOff>
    </xdr:to>
    <xdr:sp macro="" textlink="">
      <xdr:nvSpPr>
        <xdr:cNvPr id="2048" name="AutoShape 31" descr="Exempté du ballottage">
          <a:hlinkClick xmlns:r="http://schemas.openxmlformats.org/officeDocument/2006/relationships" r:id="rId316"/>
        </xdr:cNvPr>
        <xdr:cNvSpPr>
          <a:spLocks noChangeAspect="1" noChangeArrowheads="1"/>
        </xdr:cNvSpPr>
      </xdr:nvSpPr>
      <xdr:spPr bwMode="auto">
        <a:xfrm>
          <a:off x="165735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863</xdr:row>
      <xdr:rowOff>0</xdr:rowOff>
    </xdr:from>
    <xdr:to>
      <xdr:col>2</xdr:col>
      <xdr:colOff>123825</xdr:colOff>
      <xdr:row>863</xdr:row>
      <xdr:rowOff>123825</xdr:rowOff>
    </xdr:to>
    <xdr:sp macro="" textlink="">
      <xdr:nvSpPr>
        <xdr:cNvPr id="4096" name="AutoShape 32" descr="Bonis de performance"/>
        <xdr:cNvSpPr>
          <a:spLocks noChangeAspect="1" noChangeArrowheads="1"/>
        </xdr:cNvSpPr>
      </xdr:nvSpPr>
      <xdr:spPr bwMode="auto">
        <a:xfrm>
          <a:off x="152400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863</xdr:row>
      <xdr:rowOff>0</xdr:rowOff>
    </xdr:from>
    <xdr:to>
      <xdr:col>2</xdr:col>
      <xdr:colOff>257175</xdr:colOff>
      <xdr:row>863</xdr:row>
      <xdr:rowOff>123825</xdr:rowOff>
    </xdr:to>
    <xdr:sp macro="" textlink="">
      <xdr:nvSpPr>
        <xdr:cNvPr id="4163" name="AutoShape 33" descr="Exempté du ballottage">
          <a:hlinkClick xmlns:r="http://schemas.openxmlformats.org/officeDocument/2006/relationships" r:id="rId317"/>
        </xdr:cNvPr>
        <xdr:cNvSpPr>
          <a:spLocks noChangeAspect="1" noChangeArrowheads="1"/>
        </xdr:cNvSpPr>
      </xdr:nvSpPr>
      <xdr:spPr bwMode="auto">
        <a:xfrm>
          <a:off x="165735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1171</xdr:row>
      <xdr:rowOff>0</xdr:rowOff>
    </xdr:from>
    <xdr:to>
      <xdr:col>2</xdr:col>
      <xdr:colOff>123825</xdr:colOff>
      <xdr:row>1171</xdr:row>
      <xdr:rowOff>123825</xdr:rowOff>
    </xdr:to>
    <xdr:sp macro="" textlink="">
      <xdr:nvSpPr>
        <xdr:cNvPr id="4164" name="AutoShape 34" descr="Bonis de performance"/>
        <xdr:cNvSpPr>
          <a:spLocks noChangeAspect="1" noChangeArrowheads="1"/>
        </xdr:cNvSpPr>
      </xdr:nvSpPr>
      <xdr:spPr bwMode="auto">
        <a:xfrm>
          <a:off x="152400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1171</xdr:row>
      <xdr:rowOff>0</xdr:rowOff>
    </xdr:from>
    <xdr:to>
      <xdr:col>2</xdr:col>
      <xdr:colOff>257175</xdr:colOff>
      <xdr:row>1171</xdr:row>
      <xdr:rowOff>123825</xdr:rowOff>
    </xdr:to>
    <xdr:sp macro="" textlink="">
      <xdr:nvSpPr>
        <xdr:cNvPr id="4165" name="AutoShape 35" descr="Exempté du ballottage">
          <a:hlinkClick xmlns:r="http://schemas.openxmlformats.org/officeDocument/2006/relationships" r:id="rId318"/>
        </xdr:cNvPr>
        <xdr:cNvSpPr>
          <a:spLocks noChangeAspect="1" noChangeArrowheads="1"/>
        </xdr:cNvSpPr>
      </xdr:nvSpPr>
      <xdr:spPr bwMode="auto">
        <a:xfrm>
          <a:off x="165735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569</xdr:row>
      <xdr:rowOff>0</xdr:rowOff>
    </xdr:from>
    <xdr:to>
      <xdr:col>2</xdr:col>
      <xdr:colOff>123825</xdr:colOff>
      <xdr:row>569</xdr:row>
      <xdr:rowOff>123825</xdr:rowOff>
    </xdr:to>
    <xdr:sp macro="" textlink="">
      <xdr:nvSpPr>
        <xdr:cNvPr id="4166" name="AutoShape 36" descr="Bonis de performance"/>
        <xdr:cNvSpPr>
          <a:spLocks noChangeAspect="1" noChangeArrowheads="1"/>
        </xdr:cNvSpPr>
      </xdr:nvSpPr>
      <xdr:spPr bwMode="auto">
        <a:xfrm>
          <a:off x="152400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569</xdr:row>
      <xdr:rowOff>0</xdr:rowOff>
    </xdr:from>
    <xdr:to>
      <xdr:col>2</xdr:col>
      <xdr:colOff>257175</xdr:colOff>
      <xdr:row>569</xdr:row>
      <xdr:rowOff>123825</xdr:rowOff>
    </xdr:to>
    <xdr:sp macro="" textlink="">
      <xdr:nvSpPr>
        <xdr:cNvPr id="4167" name="AutoShape 37" descr="Exempté du ballottage">
          <a:hlinkClick xmlns:r="http://schemas.openxmlformats.org/officeDocument/2006/relationships" r:id="rId319"/>
        </xdr:cNvPr>
        <xdr:cNvSpPr>
          <a:spLocks noChangeAspect="1" noChangeArrowheads="1"/>
        </xdr:cNvSpPr>
      </xdr:nvSpPr>
      <xdr:spPr bwMode="auto">
        <a:xfrm>
          <a:off x="165735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156</xdr:row>
      <xdr:rowOff>0</xdr:rowOff>
    </xdr:from>
    <xdr:to>
      <xdr:col>2</xdr:col>
      <xdr:colOff>123825</xdr:colOff>
      <xdr:row>156</xdr:row>
      <xdr:rowOff>123825</xdr:rowOff>
    </xdr:to>
    <xdr:sp macro="" textlink="">
      <xdr:nvSpPr>
        <xdr:cNvPr id="4168" name="AutoShape 38" descr="Bonis de performance"/>
        <xdr:cNvSpPr>
          <a:spLocks noChangeAspect="1" noChangeArrowheads="1"/>
        </xdr:cNvSpPr>
      </xdr:nvSpPr>
      <xdr:spPr bwMode="auto">
        <a:xfrm>
          <a:off x="15240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156</xdr:row>
      <xdr:rowOff>0</xdr:rowOff>
    </xdr:from>
    <xdr:to>
      <xdr:col>2</xdr:col>
      <xdr:colOff>257175</xdr:colOff>
      <xdr:row>156</xdr:row>
      <xdr:rowOff>123825</xdr:rowOff>
    </xdr:to>
    <xdr:sp macro="" textlink="">
      <xdr:nvSpPr>
        <xdr:cNvPr id="4169" name="AutoShape 39" descr="Transaction avec retenue de salaire"/>
        <xdr:cNvSpPr>
          <a:spLocks noChangeAspect="1" noChangeArrowheads="1"/>
        </xdr:cNvSpPr>
      </xdr:nvSpPr>
      <xdr:spPr bwMode="auto">
        <a:xfrm>
          <a:off x="16573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156</xdr:row>
      <xdr:rowOff>0</xdr:rowOff>
    </xdr:from>
    <xdr:to>
      <xdr:col>2</xdr:col>
      <xdr:colOff>390525</xdr:colOff>
      <xdr:row>156</xdr:row>
      <xdr:rowOff>123825</xdr:rowOff>
    </xdr:to>
    <xdr:sp macro="" textlink="">
      <xdr:nvSpPr>
        <xdr:cNvPr id="4170" name="AutoShape 40" descr="Exempté du ballottage">
          <a:hlinkClick xmlns:r="http://schemas.openxmlformats.org/officeDocument/2006/relationships" r:id="rId320"/>
        </xdr:cNvPr>
        <xdr:cNvSpPr>
          <a:spLocks noChangeAspect="1" noChangeArrowheads="1"/>
        </xdr:cNvSpPr>
      </xdr:nvSpPr>
      <xdr:spPr bwMode="auto">
        <a:xfrm>
          <a:off x="17907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156</xdr:row>
      <xdr:rowOff>0</xdr:rowOff>
    </xdr:from>
    <xdr:to>
      <xdr:col>2</xdr:col>
      <xdr:colOff>523875</xdr:colOff>
      <xdr:row>156</xdr:row>
      <xdr:rowOff>123825</xdr:rowOff>
    </xdr:to>
    <xdr:sp macro="" textlink="">
      <xdr:nvSpPr>
        <xdr:cNvPr id="4171" name="AutoShape 41" descr="Exempté de la limite des 50 contrats"/>
        <xdr:cNvSpPr>
          <a:spLocks noChangeAspect="1" noChangeArrowheads="1"/>
        </xdr:cNvSpPr>
      </xdr:nvSpPr>
      <xdr:spPr bwMode="auto">
        <a:xfrm>
          <a:off x="19240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xdr:row>
      <xdr:rowOff>0</xdr:rowOff>
    </xdr:from>
    <xdr:to>
      <xdr:col>2</xdr:col>
      <xdr:colOff>123825</xdr:colOff>
      <xdr:row>138</xdr:row>
      <xdr:rowOff>123825</xdr:rowOff>
    </xdr:to>
    <xdr:sp macro="" textlink="">
      <xdr:nvSpPr>
        <xdr:cNvPr id="4172" name="AutoShape 42" descr="Bonis de performance"/>
        <xdr:cNvSpPr>
          <a:spLocks noChangeAspect="1" noChangeArrowheads="1"/>
        </xdr:cNvSpPr>
      </xdr:nvSpPr>
      <xdr:spPr bwMode="auto">
        <a:xfrm>
          <a:off x="15240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xdr:row>
      <xdr:rowOff>0</xdr:rowOff>
    </xdr:from>
    <xdr:to>
      <xdr:col>2</xdr:col>
      <xdr:colOff>257175</xdr:colOff>
      <xdr:row>138</xdr:row>
      <xdr:rowOff>123825</xdr:rowOff>
    </xdr:to>
    <xdr:sp macro="" textlink="">
      <xdr:nvSpPr>
        <xdr:cNvPr id="4173" name="AutoShape 43" descr="Transaction avec retenue de salaire"/>
        <xdr:cNvSpPr>
          <a:spLocks noChangeAspect="1" noChangeArrowheads="1"/>
        </xdr:cNvSpPr>
      </xdr:nvSpPr>
      <xdr:spPr bwMode="auto">
        <a:xfrm>
          <a:off x="165735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138</xdr:row>
      <xdr:rowOff>0</xdr:rowOff>
    </xdr:from>
    <xdr:to>
      <xdr:col>2</xdr:col>
      <xdr:colOff>390525</xdr:colOff>
      <xdr:row>138</xdr:row>
      <xdr:rowOff>123825</xdr:rowOff>
    </xdr:to>
    <xdr:sp macro="" textlink="">
      <xdr:nvSpPr>
        <xdr:cNvPr id="4174" name="AutoShape 44" descr="Exempté du ballottage">
          <a:hlinkClick xmlns:r="http://schemas.openxmlformats.org/officeDocument/2006/relationships" r:id="rId321"/>
        </xdr:cNvPr>
        <xdr:cNvSpPr>
          <a:spLocks noChangeAspect="1" noChangeArrowheads="1"/>
        </xdr:cNvSpPr>
      </xdr:nvSpPr>
      <xdr:spPr bwMode="auto">
        <a:xfrm>
          <a:off x="17907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873</xdr:row>
      <xdr:rowOff>0</xdr:rowOff>
    </xdr:from>
    <xdr:to>
      <xdr:col>2</xdr:col>
      <xdr:colOff>123825</xdr:colOff>
      <xdr:row>873</xdr:row>
      <xdr:rowOff>123825</xdr:rowOff>
    </xdr:to>
    <xdr:sp macro="" textlink="">
      <xdr:nvSpPr>
        <xdr:cNvPr id="4175" name="AutoShape 45" descr="Exempté du ballottage">
          <a:hlinkClick xmlns:r="http://schemas.openxmlformats.org/officeDocument/2006/relationships" r:id="rId322"/>
        </xdr:cNvPr>
        <xdr:cNvSpPr>
          <a:spLocks noChangeAspect="1" noChangeArrowheads="1"/>
        </xdr:cNvSpPr>
      </xdr:nvSpPr>
      <xdr:spPr bwMode="auto">
        <a:xfrm>
          <a:off x="1524000" y="11962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1173</xdr:row>
      <xdr:rowOff>0</xdr:rowOff>
    </xdr:from>
    <xdr:to>
      <xdr:col>2</xdr:col>
      <xdr:colOff>123825</xdr:colOff>
      <xdr:row>1173</xdr:row>
      <xdr:rowOff>123825</xdr:rowOff>
    </xdr:to>
    <xdr:sp macro="" textlink="">
      <xdr:nvSpPr>
        <xdr:cNvPr id="4176" name="AutoShape 46" descr="Bonis de performance"/>
        <xdr:cNvSpPr>
          <a:spLocks noChangeAspect="1" noChangeArrowheads="1"/>
        </xdr:cNvSpPr>
      </xdr:nvSpPr>
      <xdr:spPr bwMode="auto">
        <a:xfrm>
          <a:off x="152400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1173</xdr:row>
      <xdr:rowOff>0</xdr:rowOff>
    </xdr:from>
    <xdr:to>
      <xdr:col>2</xdr:col>
      <xdr:colOff>257175</xdr:colOff>
      <xdr:row>1173</xdr:row>
      <xdr:rowOff>123825</xdr:rowOff>
    </xdr:to>
    <xdr:sp macro="" textlink="">
      <xdr:nvSpPr>
        <xdr:cNvPr id="4177" name="AutoShape 47" descr="Exempté du ballottage">
          <a:hlinkClick xmlns:r="http://schemas.openxmlformats.org/officeDocument/2006/relationships" r:id="rId323"/>
        </xdr:cNvPr>
        <xdr:cNvSpPr>
          <a:spLocks noChangeAspect="1" noChangeArrowheads="1"/>
        </xdr:cNvSpPr>
      </xdr:nvSpPr>
      <xdr:spPr bwMode="auto">
        <a:xfrm>
          <a:off x="165735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286</xdr:row>
      <xdr:rowOff>0</xdr:rowOff>
    </xdr:from>
    <xdr:to>
      <xdr:col>2</xdr:col>
      <xdr:colOff>123825</xdr:colOff>
      <xdr:row>286</xdr:row>
      <xdr:rowOff>123825</xdr:rowOff>
    </xdr:to>
    <xdr:sp macro="" textlink="">
      <xdr:nvSpPr>
        <xdr:cNvPr id="4178" name="AutoShape 48" descr="Exempté du ballottage">
          <a:hlinkClick xmlns:r="http://schemas.openxmlformats.org/officeDocument/2006/relationships" r:id="rId324"/>
        </xdr:cNvPr>
        <xdr:cNvSpPr>
          <a:spLocks noChangeAspect="1" noChangeArrowheads="1"/>
        </xdr:cNvSpPr>
      </xdr:nvSpPr>
      <xdr:spPr bwMode="auto">
        <a:xfrm>
          <a:off x="1524000" y="12000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772</xdr:row>
      <xdr:rowOff>0</xdr:rowOff>
    </xdr:from>
    <xdr:to>
      <xdr:col>2</xdr:col>
      <xdr:colOff>123825</xdr:colOff>
      <xdr:row>772</xdr:row>
      <xdr:rowOff>123825</xdr:rowOff>
    </xdr:to>
    <xdr:sp macro="" textlink="">
      <xdr:nvSpPr>
        <xdr:cNvPr id="4179" name="AutoShape 49" descr="Exempté du ballottage">
          <a:hlinkClick xmlns:r="http://schemas.openxmlformats.org/officeDocument/2006/relationships" r:id="rId325"/>
        </xdr:cNvPr>
        <xdr:cNvSpPr>
          <a:spLocks noChangeAspect="1" noChangeArrowheads="1"/>
        </xdr:cNvSpPr>
      </xdr:nvSpPr>
      <xdr:spPr bwMode="auto">
        <a:xfrm>
          <a:off x="1524000" y="12019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657</xdr:row>
      <xdr:rowOff>0</xdr:rowOff>
    </xdr:from>
    <xdr:to>
      <xdr:col>2</xdr:col>
      <xdr:colOff>123825</xdr:colOff>
      <xdr:row>657</xdr:row>
      <xdr:rowOff>123825</xdr:rowOff>
    </xdr:to>
    <xdr:sp macro="" textlink="">
      <xdr:nvSpPr>
        <xdr:cNvPr id="4180" name="AutoShape 50" descr="Bonis de performance"/>
        <xdr:cNvSpPr>
          <a:spLocks noChangeAspect="1" noChangeArrowheads="1"/>
        </xdr:cNvSpPr>
      </xdr:nvSpPr>
      <xdr:spPr bwMode="auto">
        <a:xfrm>
          <a:off x="152400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657</xdr:row>
      <xdr:rowOff>0</xdr:rowOff>
    </xdr:from>
    <xdr:to>
      <xdr:col>2</xdr:col>
      <xdr:colOff>257175</xdr:colOff>
      <xdr:row>657</xdr:row>
      <xdr:rowOff>123825</xdr:rowOff>
    </xdr:to>
    <xdr:sp macro="" textlink="">
      <xdr:nvSpPr>
        <xdr:cNvPr id="4181" name="AutoShape 51" descr="Exempté du ballottage">
          <a:hlinkClick xmlns:r="http://schemas.openxmlformats.org/officeDocument/2006/relationships" r:id="rId326"/>
        </xdr:cNvPr>
        <xdr:cNvSpPr>
          <a:spLocks noChangeAspect="1" noChangeArrowheads="1"/>
        </xdr:cNvSpPr>
      </xdr:nvSpPr>
      <xdr:spPr bwMode="auto">
        <a:xfrm>
          <a:off x="165735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xdr:row>
      <xdr:rowOff>0</xdr:rowOff>
    </xdr:from>
    <xdr:to>
      <xdr:col>2</xdr:col>
      <xdr:colOff>123825</xdr:colOff>
      <xdr:row>73</xdr:row>
      <xdr:rowOff>123825</xdr:rowOff>
    </xdr:to>
    <xdr:sp macro="" textlink="">
      <xdr:nvSpPr>
        <xdr:cNvPr id="4182" name="AutoShape 52" descr="Bonis de performance"/>
        <xdr:cNvSpPr>
          <a:spLocks noChangeAspect="1" noChangeArrowheads="1"/>
        </xdr:cNvSpPr>
      </xdr:nvSpPr>
      <xdr:spPr bwMode="auto">
        <a:xfrm>
          <a:off x="152400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xdr:row>
      <xdr:rowOff>0</xdr:rowOff>
    </xdr:from>
    <xdr:to>
      <xdr:col>2</xdr:col>
      <xdr:colOff>257175</xdr:colOff>
      <xdr:row>73</xdr:row>
      <xdr:rowOff>123825</xdr:rowOff>
    </xdr:to>
    <xdr:sp macro="" textlink="">
      <xdr:nvSpPr>
        <xdr:cNvPr id="4183" name="AutoShape 53" descr="Exempté du ballottage">
          <a:hlinkClick xmlns:r="http://schemas.openxmlformats.org/officeDocument/2006/relationships" r:id="rId327"/>
        </xdr:cNvPr>
        <xdr:cNvSpPr>
          <a:spLocks noChangeAspect="1" noChangeArrowheads="1"/>
        </xdr:cNvSpPr>
      </xdr:nvSpPr>
      <xdr:spPr bwMode="auto">
        <a:xfrm>
          <a:off x="165735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1141</xdr:row>
      <xdr:rowOff>0</xdr:rowOff>
    </xdr:from>
    <xdr:to>
      <xdr:col>2</xdr:col>
      <xdr:colOff>123825</xdr:colOff>
      <xdr:row>1141</xdr:row>
      <xdr:rowOff>123825</xdr:rowOff>
    </xdr:to>
    <xdr:sp macro="" textlink="">
      <xdr:nvSpPr>
        <xdr:cNvPr id="4184" name="AutoShape 54" descr="Bonis de performance"/>
        <xdr:cNvSpPr>
          <a:spLocks noChangeAspect="1" noChangeArrowheads="1"/>
        </xdr:cNvSpPr>
      </xdr:nvSpPr>
      <xdr:spPr bwMode="auto">
        <a:xfrm>
          <a:off x="15240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1141</xdr:row>
      <xdr:rowOff>0</xdr:rowOff>
    </xdr:from>
    <xdr:to>
      <xdr:col>2</xdr:col>
      <xdr:colOff>257175</xdr:colOff>
      <xdr:row>1141</xdr:row>
      <xdr:rowOff>123825</xdr:rowOff>
    </xdr:to>
    <xdr:sp macro="" textlink="">
      <xdr:nvSpPr>
        <xdr:cNvPr id="4185" name="AutoShape 55" descr="Transaction avec retenue de salaire"/>
        <xdr:cNvSpPr>
          <a:spLocks noChangeAspect="1" noChangeArrowheads="1"/>
        </xdr:cNvSpPr>
      </xdr:nvSpPr>
      <xdr:spPr bwMode="auto">
        <a:xfrm>
          <a:off x="16573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1141</xdr:row>
      <xdr:rowOff>0</xdr:rowOff>
    </xdr:from>
    <xdr:to>
      <xdr:col>2</xdr:col>
      <xdr:colOff>390525</xdr:colOff>
      <xdr:row>1141</xdr:row>
      <xdr:rowOff>123825</xdr:rowOff>
    </xdr:to>
    <xdr:sp macro="" textlink="">
      <xdr:nvSpPr>
        <xdr:cNvPr id="4186" name="AutoShape 56" descr="Exempté du ballottage">
          <a:hlinkClick xmlns:r="http://schemas.openxmlformats.org/officeDocument/2006/relationships" r:id="rId328"/>
        </xdr:cNvPr>
        <xdr:cNvSpPr>
          <a:spLocks noChangeAspect="1" noChangeArrowheads="1"/>
        </xdr:cNvSpPr>
      </xdr:nvSpPr>
      <xdr:spPr bwMode="auto">
        <a:xfrm>
          <a:off x="17907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1141</xdr:row>
      <xdr:rowOff>0</xdr:rowOff>
    </xdr:from>
    <xdr:to>
      <xdr:col>2</xdr:col>
      <xdr:colOff>523875</xdr:colOff>
      <xdr:row>1141</xdr:row>
      <xdr:rowOff>123825</xdr:rowOff>
    </xdr:to>
    <xdr:sp macro="" textlink="">
      <xdr:nvSpPr>
        <xdr:cNvPr id="4187" name="AutoShape 57" descr="Exempté de la limite des 50 contrats"/>
        <xdr:cNvSpPr>
          <a:spLocks noChangeAspect="1" noChangeArrowheads="1"/>
        </xdr:cNvSpPr>
      </xdr:nvSpPr>
      <xdr:spPr bwMode="auto">
        <a:xfrm>
          <a:off x="19240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1244</xdr:row>
      <xdr:rowOff>0</xdr:rowOff>
    </xdr:from>
    <xdr:to>
      <xdr:col>2</xdr:col>
      <xdr:colOff>123825</xdr:colOff>
      <xdr:row>1244</xdr:row>
      <xdr:rowOff>123825</xdr:rowOff>
    </xdr:to>
    <xdr:sp macro="" textlink="">
      <xdr:nvSpPr>
        <xdr:cNvPr id="4188" name="AutoShape 58" descr="Bonis de performance"/>
        <xdr:cNvSpPr>
          <a:spLocks noChangeAspect="1" noChangeArrowheads="1"/>
        </xdr:cNvSpPr>
      </xdr:nvSpPr>
      <xdr:spPr bwMode="auto">
        <a:xfrm>
          <a:off x="152400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1244</xdr:row>
      <xdr:rowOff>0</xdr:rowOff>
    </xdr:from>
    <xdr:to>
      <xdr:col>2</xdr:col>
      <xdr:colOff>257175</xdr:colOff>
      <xdr:row>1244</xdr:row>
      <xdr:rowOff>123825</xdr:rowOff>
    </xdr:to>
    <xdr:sp macro="" textlink="">
      <xdr:nvSpPr>
        <xdr:cNvPr id="4189" name="AutoShape 59" descr="Exempté du ballottage">
          <a:hlinkClick xmlns:r="http://schemas.openxmlformats.org/officeDocument/2006/relationships" r:id="rId329"/>
        </xdr:cNvPr>
        <xdr:cNvSpPr>
          <a:spLocks noChangeAspect="1" noChangeArrowheads="1"/>
        </xdr:cNvSpPr>
      </xdr:nvSpPr>
      <xdr:spPr bwMode="auto">
        <a:xfrm>
          <a:off x="165735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1431</xdr:row>
      <xdr:rowOff>0</xdr:rowOff>
    </xdr:from>
    <xdr:to>
      <xdr:col>2</xdr:col>
      <xdr:colOff>123825</xdr:colOff>
      <xdr:row>1431</xdr:row>
      <xdr:rowOff>123825</xdr:rowOff>
    </xdr:to>
    <xdr:sp macro="" textlink="">
      <xdr:nvSpPr>
        <xdr:cNvPr id="4190" name="AutoShape 60" descr="Bonis de performance"/>
        <xdr:cNvSpPr>
          <a:spLocks noChangeAspect="1" noChangeArrowheads="1"/>
        </xdr:cNvSpPr>
      </xdr:nvSpPr>
      <xdr:spPr bwMode="auto">
        <a:xfrm>
          <a:off x="152400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1431</xdr:row>
      <xdr:rowOff>0</xdr:rowOff>
    </xdr:from>
    <xdr:to>
      <xdr:col>2</xdr:col>
      <xdr:colOff>257175</xdr:colOff>
      <xdr:row>1431</xdr:row>
      <xdr:rowOff>123825</xdr:rowOff>
    </xdr:to>
    <xdr:sp macro="" textlink="">
      <xdr:nvSpPr>
        <xdr:cNvPr id="4191" name="AutoShape 61" descr="Exempté du ballottage">
          <a:hlinkClick xmlns:r="http://schemas.openxmlformats.org/officeDocument/2006/relationships" r:id="rId330"/>
        </xdr:cNvPr>
        <xdr:cNvSpPr>
          <a:spLocks noChangeAspect="1" noChangeArrowheads="1"/>
        </xdr:cNvSpPr>
      </xdr:nvSpPr>
      <xdr:spPr bwMode="auto">
        <a:xfrm>
          <a:off x="165735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1286</xdr:row>
      <xdr:rowOff>0</xdr:rowOff>
    </xdr:from>
    <xdr:to>
      <xdr:col>2</xdr:col>
      <xdr:colOff>123825</xdr:colOff>
      <xdr:row>1286</xdr:row>
      <xdr:rowOff>123825</xdr:rowOff>
    </xdr:to>
    <xdr:sp macro="" textlink="">
      <xdr:nvSpPr>
        <xdr:cNvPr id="2726" name="AutoShape 62" descr="Exempté du ballottage">
          <a:hlinkClick xmlns:r="http://schemas.openxmlformats.org/officeDocument/2006/relationships" r:id="rId331"/>
        </xdr:cNvPr>
        <xdr:cNvSpPr>
          <a:spLocks noChangeAspect="1" noChangeArrowheads="1"/>
        </xdr:cNvSpPr>
      </xdr:nvSpPr>
      <xdr:spPr bwMode="auto">
        <a:xfrm>
          <a:off x="1524000" y="122281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1286</xdr:row>
      <xdr:rowOff>0</xdr:rowOff>
    </xdr:from>
    <xdr:to>
      <xdr:col>7</xdr:col>
      <xdr:colOff>123825</xdr:colOff>
      <xdr:row>1286</xdr:row>
      <xdr:rowOff>104775</xdr:rowOff>
    </xdr:to>
    <xdr:sp macro="" textlink="">
      <xdr:nvSpPr>
        <xdr:cNvPr id="2727" name="AutoShape 63" descr="Éligible à l'arbitrage">
          <a:hlinkClick xmlns:r="http://schemas.openxmlformats.org/officeDocument/2006/relationships" r:id="rId332"/>
        </xdr:cNvPr>
        <xdr:cNvSpPr>
          <a:spLocks noChangeAspect="1" noChangeArrowheads="1"/>
        </xdr:cNvSpPr>
      </xdr:nvSpPr>
      <xdr:spPr bwMode="auto">
        <a:xfrm>
          <a:off x="5334000" y="1222819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1324</xdr:row>
      <xdr:rowOff>0</xdr:rowOff>
    </xdr:from>
    <xdr:to>
      <xdr:col>2</xdr:col>
      <xdr:colOff>123825</xdr:colOff>
      <xdr:row>1324</xdr:row>
      <xdr:rowOff>123825</xdr:rowOff>
    </xdr:to>
    <xdr:sp macro="" textlink="">
      <xdr:nvSpPr>
        <xdr:cNvPr id="2728" name="AutoShape 64" descr="Bonis de performance"/>
        <xdr:cNvSpPr>
          <a:spLocks noChangeAspect="1" noChangeArrowheads="1"/>
        </xdr:cNvSpPr>
      </xdr:nvSpPr>
      <xdr:spPr bwMode="auto">
        <a:xfrm>
          <a:off x="152400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1324</xdr:row>
      <xdr:rowOff>0</xdr:rowOff>
    </xdr:from>
    <xdr:to>
      <xdr:col>2</xdr:col>
      <xdr:colOff>257175</xdr:colOff>
      <xdr:row>1324</xdr:row>
      <xdr:rowOff>123825</xdr:rowOff>
    </xdr:to>
    <xdr:sp macro="" textlink="">
      <xdr:nvSpPr>
        <xdr:cNvPr id="2729" name="AutoShape 65" descr="Exempté du ballottage">
          <a:hlinkClick xmlns:r="http://schemas.openxmlformats.org/officeDocument/2006/relationships" r:id="rId333"/>
        </xdr:cNvPr>
        <xdr:cNvSpPr>
          <a:spLocks noChangeAspect="1" noChangeArrowheads="1"/>
        </xdr:cNvSpPr>
      </xdr:nvSpPr>
      <xdr:spPr bwMode="auto">
        <a:xfrm>
          <a:off x="165735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970</xdr:row>
      <xdr:rowOff>0</xdr:rowOff>
    </xdr:from>
    <xdr:to>
      <xdr:col>2</xdr:col>
      <xdr:colOff>123825</xdr:colOff>
      <xdr:row>970</xdr:row>
      <xdr:rowOff>123825</xdr:rowOff>
    </xdr:to>
    <xdr:sp macro="" textlink="">
      <xdr:nvSpPr>
        <xdr:cNvPr id="2730" name="AutoShape 66" descr="Bonis de performance"/>
        <xdr:cNvSpPr>
          <a:spLocks noChangeAspect="1" noChangeArrowheads="1"/>
        </xdr:cNvSpPr>
      </xdr:nvSpPr>
      <xdr:spPr bwMode="auto">
        <a:xfrm>
          <a:off x="152400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970</xdr:row>
      <xdr:rowOff>0</xdr:rowOff>
    </xdr:from>
    <xdr:to>
      <xdr:col>2</xdr:col>
      <xdr:colOff>257175</xdr:colOff>
      <xdr:row>970</xdr:row>
      <xdr:rowOff>123825</xdr:rowOff>
    </xdr:to>
    <xdr:sp macro="" textlink="">
      <xdr:nvSpPr>
        <xdr:cNvPr id="2731" name="AutoShape 67" descr="Exempté du ballottage">
          <a:hlinkClick xmlns:r="http://schemas.openxmlformats.org/officeDocument/2006/relationships" r:id="rId334"/>
        </xdr:cNvPr>
        <xdr:cNvSpPr>
          <a:spLocks noChangeAspect="1" noChangeArrowheads="1"/>
        </xdr:cNvSpPr>
      </xdr:nvSpPr>
      <xdr:spPr bwMode="auto">
        <a:xfrm>
          <a:off x="165735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417</xdr:row>
      <xdr:rowOff>0</xdr:rowOff>
    </xdr:from>
    <xdr:to>
      <xdr:col>2</xdr:col>
      <xdr:colOff>123825</xdr:colOff>
      <xdr:row>417</xdr:row>
      <xdr:rowOff>123825</xdr:rowOff>
    </xdr:to>
    <xdr:sp macro="" textlink="">
      <xdr:nvSpPr>
        <xdr:cNvPr id="2732" name="AutoShape 68" descr="Bonis de performance"/>
        <xdr:cNvSpPr>
          <a:spLocks noChangeAspect="1" noChangeArrowheads="1"/>
        </xdr:cNvSpPr>
      </xdr:nvSpPr>
      <xdr:spPr bwMode="auto">
        <a:xfrm>
          <a:off x="1524000" y="11521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1418</xdr:row>
      <xdr:rowOff>0</xdr:rowOff>
    </xdr:from>
    <xdr:to>
      <xdr:col>7</xdr:col>
      <xdr:colOff>123825</xdr:colOff>
      <xdr:row>1418</xdr:row>
      <xdr:rowOff>104775</xdr:rowOff>
    </xdr:to>
    <xdr:sp macro="" textlink="">
      <xdr:nvSpPr>
        <xdr:cNvPr id="2733" name="AutoShape 69" descr="Éligible à l'arbitrage">
          <a:hlinkClick xmlns:r="http://schemas.openxmlformats.org/officeDocument/2006/relationships" r:id="rId335"/>
        </xdr:cNvPr>
        <xdr:cNvSpPr>
          <a:spLocks noChangeAspect="1" noChangeArrowheads="1"/>
        </xdr:cNvSpPr>
      </xdr:nvSpPr>
      <xdr:spPr bwMode="auto">
        <a:xfrm>
          <a:off x="5334000" y="11578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4" name="AutoShape 70" descr="https://capfriendly-wlb8ng5.stackpathdns.com/assets/images/icons/general/q.svg"/>
        <xdr:cNvSpPr>
          <a:spLocks noChangeAspect="1" noChangeArrowheads="1"/>
        </xdr:cNvSpPr>
      </xdr:nvSpPr>
      <xdr:spPr bwMode="auto">
        <a:xfrm>
          <a:off x="1524000" y="12090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5" name="AutoShape 71" descr="https://capfriendly-wlb8ng5.stackpathdns.com/assets/images/icons/general/q.svg"/>
        <xdr:cNvSpPr>
          <a:spLocks noChangeAspect="1" noChangeArrowheads="1"/>
        </xdr:cNvSpPr>
      </xdr:nvSpPr>
      <xdr:spPr bwMode="auto">
        <a:xfrm>
          <a:off x="1524000" y="12109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6" name="AutoShape 72" descr="https://capfriendly-wlb8ng5.stackpathdns.com/assets/images/icons/general/q.svg"/>
        <xdr:cNvSpPr>
          <a:spLocks noChangeAspect="1" noChangeArrowheads="1"/>
        </xdr:cNvSpPr>
      </xdr:nvSpPr>
      <xdr:spPr bwMode="auto">
        <a:xfrm>
          <a:off x="1524000" y="12128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7" name="AutoShape 73" descr="https://capfriendly-wlb8ng5.stackpathdns.com/assets/images/icons/general/q.svg"/>
        <xdr:cNvSpPr>
          <a:spLocks noChangeAspect="1" noChangeArrowheads="1"/>
        </xdr:cNvSpPr>
      </xdr:nvSpPr>
      <xdr:spPr bwMode="auto">
        <a:xfrm>
          <a:off x="1524000" y="12147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8" name="AutoShape 74" descr="https://capfriendly-wlb8ng5.stackpathdns.com/assets/images/icons/general/q.svg"/>
        <xdr:cNvSpPr>
          <a:spLocks noChangeAspect="1" noChangeArrowheads="1"/>
        </xdr:cNvSpPr>
      </xdr:nvSpPr>
      <xdr:spPr bwMode="auto">
        <a:xfrm>
          <a:off x="1524000" y="12166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9" name="AutoShape 75" descr="https://capfriendly-wlb8ng5.stackpathdns.com/assets/images/icons/general/q.svg"/>
        <xdr:cNvSpPr>
          <a:spLocks noChangeAspect="1" noChangeArrowheads="1"/>
        </xdr:cNvSpPr>
      </xdr:nvSpPr>
      <xdr:spPr bwMode="auto">
        <a:xfrm>
          <a:off x="1524000" y="12185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0" name="AutoShape 76" descr="https://capfriendly-wlb8ng5.stackpathdns.com/assets/images/icons/general/q.svg"/>
        <xdr:cNvSpPr>
          <a:spLocks noChangeAspect="1" noChangeArrowheads="1"/>
        </xdr:cNvSpPr>
      </xdr:nvSpPr>
      <xdr:spPr bwMode="auto">
        <a:xfrm>
          <a:off x="1524000" y="12204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1" name="AutoShape 77" descr="https://capfriendly-wlb8ng5.stackpathdns.com/assets/images/icons/general/q.svg"/>
        <xdr:cNvSpPr>
          <a:spLocks noChangeAspect="1" noChangeArrowheads="1"/>
        </xdr:cNvSpPr>
      </xdr:nvSpPr>
      <xdr:spPr bwMode="auto">
        <a:xfrm>
          <a:off x="1524000" y="12223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2" name="AutoShape 78" descr="https://capfriendly-wlb8ng5.stackpathdns.com/assets/images/icons/general/q.svg"/>
        <xdr:cNvSpPr>
          <a:spLocks noChangeAspect="1" noChangeArrowheads="1"/>
        </xdr:cNvSpPr>
      </xdr:nvSpPr>
      <xdr:spPr bwMode="auto">
        <a:xfrm>
          <a:off x="1524000" y="12242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3" name="AutoShape 79" descr="https://capfriendly-wlb8ng5.stackpathdns.com/assets/images/icons/general/q.svg"/>
        <xdr:cNvSpPr>
          <a:spLocks noChangeAspect="1" noChangeArrowheads="1"/>
        </xdr:cNvSpPr>
      </xdr:nvSpPr>
      <xdr:spPr bwMode="auto">
        <a:xfrm>
          <a:off x="1524000" y="12261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4" name="AutoShape 80" descr="https://capfriendly-wlb8ng5.stackpathdns.com/assets/images/icons/general/q.svg"/>
        <xdr:cNvSpPr>
          <a:spLocks noChangeAspect="1" noChangeArrowheads="1"/>
        </xdr:cNvSpPr>
      </xdr:nvSpPr>
      <xdr:spPr bwMode="auto">
        <a:xfrm>
          <a:off x="1524000" y="12280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5" name="AutoShape 81" descr="Bonis de performance"/>
        <xdr:cNvSpPr>
          <a:spLocks noChangeAspect="1" noChangeArrowheads="1"/>
        </xdr:cNvSpPr>
      </xdr:nvSpPr>
      <xdr:spPr bwMode="auto">
        <a:xfrm>
          <a:off x="152400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844</xdr:row>
      <xdr:rowOff>0</xdr:rowOff>
    </xdr:from>
    <xdr:to>
      <xdr:col>2</xdr:col>
      <xdr:colOff>257175</xdr:colOff>
      <xdr:row>844</xdr:row>
      <xdr:rowOff>123825</xdr:rowOff>
    </xdr:to>
    <xdr:sp macro="" textlink="">
      <xdr:nvSpPr>
        <xdr:cNvPr id="2746" name="AutoShape 82" descr="Exempté du ballottage">
          <a:hlinkClick xmlns:r="http://schemas.openxmlformats.org/officeDocument/2006/relationships" r:id="rId336"/>
        </xdr:cNvPr>
        <xdr:cNvSpPr>
          <a:spLocks noChangeAspect="1" noChangeArrowheads="1"/>
        </xdr:cNvSpPr>
      </xdr:nvSpPr>
      <xdr:spPr bwMode="auto">
        <a:xfrm>
          <a:off x="165735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123825</xdr:colOff>
      <xdr:row>466</xdr:row>
      <xdr:rowOff>123825</xdr:rowOff>
    </xdr:to>
    <xdr:sp macro="" textlink="">
      <xdr:nvSpPr>
        <xdr:cNvPr id="2747" name="AutoShape 83" descr="Bonis de performance"/>
        <xdr:cNvSpPr>
          <a:spLocks noChangeAspect="1" noChangeArrowheads="1"/>
        </xdr:cNvSpPr>
      </xdr:nvSpPr>
      <xdr:spPr bwMode="auto">
        <a:xfrm>
          <a:off x="152400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466</xdr:row>
      <xdr:rowOff>0</xdr:rowOff>
    </xdr:from>
    <xdr:to>
      <xdr:col>2</xdr:col>
      <xdr:colOff>257175</xdr:colOff>
      <xdr:row>466</xdr:row>
      <xdr:rowOff>123825</xdr:rowOff>
    </xdr:to>
    <xdr:sp macro="" textlink="">
      <xdr:nvSpPr>
        <xdr:cNvPr id="2748" name="AutoShape 84" descr="Exempté du ballottage">
          <a:hlinkClick xmlns:r="http://schemas.openxmlformats.org/officeDocument/2006/relationships" r:id="rId337"/>
        </xdr:cNvPr>
        <xdr:cNvSpPr>
          <a:spLocks noChangeAspect="1" noChangeArrowheads="1"/>
        </xdr:cNvSpPr>
      </xdr:nvSpPr>
      <xdr:spPr bwMode="auto">
        <a:xfrm>
          <a:off x="165735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1083</xdr:row>
      <xdr:rowOff>0</xdr:rowOff>
    </xdr:from>
    <xdr:to>
      <xdr:col>2</xdr:col>
      <xdr:colOff>123825</xdr:colOff>
      <xdr:row>1083</xdr:row>
      <xdr:rowOff>123825</xdr:rowOff>
    </xdr:to>
    <xdr:sp macro="" textlink="">
      <xdr:nvSpPr>
        <xdr:cNvPr id="2749" name="AutoShape 85" descr="Bonis de performance"/>
        <xdr:cNvSpPr>
          <a:spLocks noChangeAspect="1" noChangeArrowheads="1"/>
        </xdr:cNvSpPr>
      </xdr:nvSpPr>
      <xdr:spPr bwMode="auto">
        <a:xfrm>
          <a:off x="152400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1083</xdr:row>
      <xdr:rowOff>0</xdr:rowOff>
    </xdr:from>
    <xdr:to>
      <xdr:col>2</xdr:col>
      <xdr:colOff>257175</xdr:colOff>
      <xdr:row>1083</xdr:row>
      <xdr:rowOff>123825</xdr:rowOff>
    </xdr:to>
    <xdr:sp macro="" textlink="">
      <xdr:nvSpPr>
        <xdr:cNvPr id="2750" name="AutoShape 86" descr="Exempté du ballottage">
          <a:hlinkClick xmlns:r="http://schemas.openxmlformats.org/officeDocument/2006/relationships" r:id="rId338"/>
        </xdr:cNvPr>
        <xdr:cNvSpPr>
          <a:spLocks noChangeAspect="1" noChangeArrowheads="1"/>
        </xdr:cNvSpPr>
      </xdr:nvSpPr>
      <xdr:spPr bwMode="auto">
        <a:xfrm>
          <a:off x="165735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759</xdr:row>
      <xdr:rowOff>0</xdr:rowOff>
    </xdr:from>
    <xdr:to>
      <xdr:col>2</xdr:col>
      <xdr:colOff>123825</xdr:colOff>
      <xdr:row>759</xdr:row>
      <xdr:rowOff>123825</xdr:rowOff>
    </xdr:to>
    <xdr:sp macro="" textlink="">
      <xdr:nvSpPr>
        <xdr:cNvPr id="2751" name="AutoShape 87" descr="Bonis de performance"/>
        <xdr:cNvSpPr>
          <a:spLocks noChangeAspect="1" noChangeArrowheads="1"/>
        </xdr:cNvSpPr>
      </xdr:nvSpPr>
      <xdr:spPr bwMode="auto">
        <a:xfrm>
          <a:off x="152400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759</xdr:row>
      <xdr:rowOff>0</xdr:rowOff>
    </xdr:from>
    <xdr:to>
      <xdr:col>2</xdr:col>
      <xdr:colOff>257175</xdr:colOff>
      <xdr:row>759</xdr:row>
      <xdr:rowOff>123825</xdr:rowOff>
    </xdr:to>
    <xdr:sp macro="" textlink="">
      <xdr:nvSpPr>
        <xdr:cNvPr id="4192" name="AutoShape 88" descr="Exempté du ballottage">
          <a:hlinkClick xmlns:r="http://schemas.openxmlformats.org/officeDocument/2006/relationships" r:id="rId339"/>
        </xdr:cNvPr>
        <xdr:cNvSpPr>
          <a:spLocks noChangeAspect="1" noChangeArrowheads="1"/>
        </xdr:cNvSpPr>
      </xdr:nvSpPr>
      <xdr:spPr bwMode="auto">
        <a:xfrm>
          <a:off x="165735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893</xdr:row>
      <xdr:rowOff>0</xdr:rowOff>
    </xdr:from>
    <xdr:to>
      <xdr:col>2</xdr:col>
      <xdr:colOff>123825</xdr:colOff>
      <xdr:row>893</xdr:row>
      <xdr:rowOff>123825</xdr:rowOff>
    </xdr:to>
    <xdr:sp macro="" textlink="">
      <xdr:nvSpPr>
        <xdr:cNvPr id="4193" name="AutoShape 89" descr="Bonis de performance"/>
        <xdr:cNvSpPr>
          <a:spLocks noChangeAspect="1" noChangeArrowheads="1"/>
        </xdr:cNvSpPr>
      </xdr:nvSpPr>
      <xdr:spPr bwMode="auto">
        <a:xfrm>
          <a:off x="152400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893</xdr:row>
      <xdr:rowOff>0</xdr:rowOff>
    </xdr:from>
    <xdr:to>
      <xdr:col>2</xdr:col>
      <xdr:colOff>257175</xdr:colOff>
      <xdr:row>893</xdr:row>
      <xdr:rowOff>123825</xdr:rowOff>
    </xdr:to>
    <xdr:sp macro="" textlink="">
      <xdr:nvSpPr>
        <xdr:cNvPr id="4194" name="AutoShape 90" descr="Exempté du ballottage">
          <a:hlinkClick xmlns:r="http://schemas.openxmlformats.org/officeDocument/2006/relationships" r:id="rId340"/>
        </xdr:cNvPr>
        <xdr:cNvSpPr>
          <a:spLocks noChangeAspect="1" noChangeArrowheads="1"/>
        </xdr:cNvSpPr>
      </xdr:nvSpPr>
      <xdr:spPr bwMode="auto">
        <a:xfrm>
          <a:off x="165735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123825</xdr:colOff>
      <xdr:row>470</xdr:row>
      <xdr:rowOff>123825</xdr:rowOff>
    </xdr:to>
    <xdr:sp macro="" textlink="">
      <xdr:nvSpPr>
        <xdr:cNvPr id="4195" name="AutoShape 91" descr="Bonis de performance"/>
        <xdr:cNvSpPr>
          <a:spLocks noChangeAspect="1" noChangeArrowheads="1"/>
        </xdr:cNvSpPr>
      </xdr:nvSpPr>
      <xdr:spPr bwMode="auto">
        <a:xfrm>
          <a:off x="152400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470</xdr:row>
      <xdr:rowOff>0</xdr:rowOff>
    </xdr:from>
    <xdr:to>
      <xdr:col>2</xdr:col>
      <xdr:colOff>257175</xdr:colOff>
      <xdr:row>470</xdr:row>
      <xdr:rowOff>123825</xdr:rowOff>
    </xdr:to>
    <xdr:sp macro="" textlink="">
      <xdr:nvSpPr>
        <xdr:cNvPr id="4196" name="AutoShape 92" descr="Exempté du ballottage">
          <a:hlinkClick xmlns:r="http://schemas.openxmlformats.org/officeDocument/2006/relationships" r:id="rId341"/>
        </xdr:cNvPr>
        <xdr:cNvSpPr>
          <a:spLocks noChangeAspect="1" noChangeArrowheads="1"/>
        </xdr:cNvSpPr>
      </xdr:nvSpPr>
      <xdr:spPr bwMode="auto">
        <a:xfrm>
          <a:off x="165735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1248</xdr:row>
      <xdr:rowOff>0</xdr:rowOff>
    </xdr:from>
    <xdr:to>
      <xdr:col>2</xdr:col>
      <xdr:colOff>123825</xdr:colOff>
      <xdr:row>1248</xdr:row>
      <xdr:rowOff>123825</xdr:rowOff>
    </xdr:to>
    <xdr:sp macro="" textlink="">
      <xdr:nvSpPr>
        <xdr:cNvPr id="4197" name="AutoShape 93" descr="Exempté du ballottage">
          <a:hlinkClick xmlns:r="http://schemas.openxmlformats.org/officeDocument/2006/relationships" r:id="rId342"/>
        </xdr:cNvPr>
        <xdr:cNvSpPr>
          <a:spLocks noChangeAspect="1" noChangeArrowheads="1"/>
        </xdr:cNvSpPr>
      </xdr:nvSpPr>
      <xdr:spPr bwMode="auto">
        <a:xfrm>
          <a:off x="1524000" y="12481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833</xdr:row>
      <xdr:rowOff>0</xdr:rowOff>
    </xdr:from>
    <xdr:to>
      <xdr:col>2</xdr:col>
      <xdr:colOff>123825</xdr:colOff>
      <xdr:row>833</xdr:row>
      <xdr:rowOff>123825</xdr:rowOff>
    </xdr:to>
    <xdr:sp macro="" textlink="">
      <xdr:nvSpPr>
        <xdr:cNvPr id="4198" name="AutoShape 94" descr="Exempté du ballottage">
          <a:hlinkClick xmlns:r="http://schemas.openxmlformats.org/officeDocument/2006/relationships" r:id="rId343"/>
        </xdr:cNvPr>
        <xdr:cNvSpPr>
          <a:spLocks noChangeAspect="1" noChangeArrowheads="1"/>
        </xdr:cNvSpPr>
      </xdr:nvSpPr>
      <xdr:spPr bwMode="auto">
        <a:xfrm>
          <a:off x="1524000" y="12500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858</xdr:row>
      <xdr:rowOff>0</xdr:rowOff>
    </xdr:from>
    <xdr:to>
      <xdr:col>2</xdr:col>
      <xdr:colOff>123825</xdr:colOff>
      <xdr:row>858</xdr:row>
      <xdr:rowOff>123825</xdr:rowOff>
    </xdr:to>
    <xdr:sp macro="" textlink="">
      <xdr:nvSpPr>
        <xdr:cNvPr id="4199" name="AutoShape 95" descr="Exempté du ballottage">
          <a:hlinkClick xmlns:r="http://schemas.openxmlformats.org/officeDocument/2006/relationships" r:id="rId344"/>
        </xdr:cNvPr>
        <xdr:cNvSpPr>
          <a:spLocks noChangeAspect="1" noChangeArrowheads="1"/>
        </xdr:cNvSpPr>
      </xdr:nvSpPr>
      <xdr:spPr bwMode="auto">
        <a:xfrm>
          <a:off x="1524000" y="12538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858</xdr:row>
      <xdr:rowOff>0</xdr:rowOff>
    </xdr:from>
    <xdr:to>
      <xdr:col>6</xdr:col>
      <xdr:colOff>123825</xdr:colOff>
      <xdr:row>858</xdr:row>
      <xdr:rowOff>104775</xdr:rowOff>
    </xdr:to>
    <xdr:sp macro="" textlink="">
      <xdr:nvSpPr>
        <xdr:cNvPr id="4200" name="AutoShape 96" descr="Éligible à l'arbitrage">
          <a:hlinkClick xmlns:r="http://schemas.openxmlformats.org/officeDocument/2006/relationships" r:id="rId345"/>
        </xdr:cNvPr>
        <xdr:cNvSpPr>
          <a:spLocks noChangeAspect="1" noChangeArrowheads="1"/>
        </xdr:cNvSpPr>
      </xdr:nvSpPr>
      <xdr:spPr bwMode="auto">
        <a:xfrm>
          <a:off x="4572000" y="12538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xdr:row>
      <xdr:rowOff>0</xdr:rowOff>
    </xdr:from>
    <xdr:to>
      <xdr:col>2</xdr:col>
      <xdr:colOff>123825</xdr:colOff>
      <xdr:row>72</xdr:row>
      <xdr:rowOff>123825</xdr:rowOff>
    </xdr:to>
    <xdr:sp macro="" textlink="">
      <xdr:nvSpPr>
        <xdr:cNvPr id="4201" name="AutoShape 97" descr="Bonis de performance"/>
        <xdr:cNvSpPr>
          <a:spLocks noChangeAspect="1" noChangeArrowheads="1"/>
        </xdr:cNvSpPr>
      </xdr:nvSpPr>
      <xdr:spPr bwMode="auto">
        <a:xfrm>
          <a:off x="152400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xdr:row>
      <xdr:rowOff>0</xdr:rowOff>
    </xdr:from>
    <xdr:to>
      <xdr:col>2</xdr:col>
      <xdr:colOff>257175</xdr:colOff>
      <xdr:row>72</xdr:row>
      <xdr:rowOff>123825</xdr:rowOff>
    </xdr:to>
    <xdr:sp macro="" textlink="">
      <xdr:nvSpPr>
        <xdr:cNvPr id="4202" name="AutoShape 98" descr="Exempté du ballottage">
          <a:hlinkClick xmlns:r="http://schemas.openxmlformats.org/officeDocument/2006/relationships" r:id="rId346"/>
        </xdr:cNvPr>
        <xdr:cNvSpPr>
          <a:spLocks noChangeAspect="1" noChangeArrowheads="1"/>
        </xdr:cNvSpPr>
      </xdr:nvSpPr>
      <xdr:spPr bwMode="auto">
        <a:xfrm>
          <a:off x="165735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1208</xdr:row>
      <xdr:rowOff>0</xdr:rowOff>
    </xdr:from>
    <xdr:to>
      <xdr:col>2</xdr:col>
      <xdr:colOff>123825</xdr:colOff>
      <xdr:row>1208</xdr:row>
      <xdr:rowOff>123825</xdr:rowOff>
    </xdr:to>
    <xdr:sp macro="" textlink="">
      <xdr:nvSpPr>
        <xdr:cNvPr id="4203" name="AutoShape 99" descr="Exempté du ballottage">
          <a:hlinkClick xmlns:r="http://schemas.openxmlformats.org/officeDocument/2006/relationships" r:id="rId347"/>
        </xdr:cNvPr>
        <xdr:cNvSpPr>
          <a:spLocks noChangeAspect="1" noChangeArrowheads="1"/>
        </xdr:cNvSpPr>
      </xdr:nvSpPr>
      <xdr:spPr bwMode="auto">
        <a:xfrm>
          <a:off x="1524000" y="12670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825</xdr:row>
      <xdr:rowOff>0</xdr:rowOff>
    </xdr:from>
    <xdr:to>
      <xdr:col>7</xdr:col>
      <xdr:colOff>123825</xdr:colOff>
      <xdr:row>825</xdr:row>
      <xdr:rowOff>104775</xdr:rowOff>
    </xdr:to>
    <xdr:sp macro="" textlink="">
      <xdr:nvSpPr>
        <xdr:cNvPr id="4204" name="AutoShape 100" descr="Éligible à l'arbitrage">
          <a:hlinkClick xmlns:r="http://schemas.openxmlformats.org/officeDocument/2006/relationships" r:id="rId348"/>
        </xdr:cNvPr>
        <xdr:cNvSpPr>
          <a:spLocks noChangeAspect="1" noChangeArrowheads="1"/>
        </xdr:cNvSpPr>
      </xdr:nvSpPr>
      <xdr:spPr bwMode="auto">
        <a:xfrm>
          <a:off x="5334000" y="127082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578</xdr:row>
      <xdr:rowOff>0</xdr:rowOff>
    </xdr:from>
    <xdr:to>
      <xdr:col>2</xdr:col>
      <xdr:colOff>123825</xdr:colOff>
      <xdr:row>578</xdr:row>
      <xdr:rowOff>123825</xdr:rowOff>
    </xdr:to>
    <xdr:sp macro="" textlink="">
      <xdr:nvSpPr>
        <xdr:cNvPr id="4205" name="AutoShape 101" descr="Exempté du ballottage">
          <a:hlinkClick xmlns:r="http://schemas.openxmlformats.org/officeDocument/2006/relationships" r:id="rId349"/>
        </xdr:cNvPr>
        <xdr:cNvSpPr>
          <a:spLocks noChangeAspect="1" noChangeArrowheads="1"/>
        </xdr:cNvSpPr>
      </xdr:nvSpPr>
      <xdr:spPr bwMode="auto">
        <a:xfrm>
          <a:off x="1524000" y="12840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xdr:row>
      <xdr:rowOff>0</xdr:rowOff>
    </xdr:from>
    <xdr:to>
      <xdr:col>2</xdr:col>
      <xdr:colOff>123825</xdr:colOff>
      <xdr:row>130</xdr:row>
      <xdr:rowOff>123825</xdr:rowOff>
    </xdr:to>
    <xdr:sp macro="" textlink="">
      <xdr:nvSpPr>
        <xdr:cNvPr id="4206" name="AutoShape 102" descr="Exempté du ballottage">
          <a:hlinkClick xmlns:r="http://schemas.openxmlformats.org/officeDocument/2006/relationships" r:id="rId350"/>
        </xdr:cNvPr>
        <xdr:cNvSpPr>
          <a:spLocks noChangeAspect="1" noChangeArrowheads="1"/>
        </xdr:cNvSpPr>
      </xdr:nvSpPr>
      <xdr:spPr bwMode="auto">
        <a:xfrm>
          <a:off x="1524000" y="12859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971</xdr:row>
      <xdr:rowOff>0</xdr:rowOff>
    </xdr:from>
    <xdr:to>
      <xdr:col>2</xdr:col>
      <xdr:colOff>123825</xdr:colOff>
      <xdr:row>971</xdr:row>
      <xdr:rowOff>123825</xdr:rowOff>
    </xdr:to>
    <xdr:sp macro="" textlink="">
      <xdr:nvSpPr>
        <xdr:cNvPr id="4207" name="AutoShape 103" descr="Exempté du ballottage">
          <a:hlinkClick xmlns:r="http://schemas.openxmlformats.org/officeDocument/2006/relationships" r:id="rId351"/>
        </xdr:cNvPr>
        <xdr:cNvSpPr>
          <a:spLocks noChangeAspect="1" noChangeArrowheads="1"/>
        </xdr:cNvSpPr>
      </xdr:nvSpPr>
      <xdr:spPr bwMode="auto">
        <a:xfrm>
          <a:off x="1524000" y="12878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183</xdr:row>
      <xdr:rowOff>0</xdr:rowOff>
    </xdr:from>
    <xdr:to>
      <xdr:col>7</xdr:col>
      <xdr:colOff>123825</xdr:colOff>
      <xdr:row>183</xdr:row>
      <xdr:rowOff>104775</xdr:rowOff>
    </xdr:to>
    <xdr:sp macro="" textlink="">
      <xdr:nvSpPr>
        <xdr:cNvPr id="4208" name="AutoShape 104" descr="Éligible à l'arbitrage">
          <a:hlinkClick xmlns:r="http://schemas.openxmlformats.org/officeDocument/2006/relationships" r:id="rId352"/>
        </xdr:cNvPr>
        <xdr:cNvSpPr>
          <a:spLocks noChangeAspect="1" noChangeArrowheads="1"/>
        </xdr:cNvSpPr>
      </xdr:nvSpPr>
      <xdr:spPr bwMode="auto">
        <a:xfrm>
          <a:off x="5334000" y="1226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677</xdr:row>
      <xdr:rowOff>0</xdr:rowOff>
    </xdr:from>
    <xdr:to>
      <xdr:col>8</xdr:col>
      <xdr:colOff>123825</xdr:colOff>
      <xdr:row>677</xdr:row>
      <xdr:rowOff>104775</xdr:rowOff>
    </xdr:to>
    <xdr:sp macro="" textlink="">
      <xdr:nvSpPr>
        <xdr:cNvPr id="4209" name="AutoShape 105" descr="Éligible à l'arbitrage">
          <a:hlinkClick xmlns:r="http://schemas.openxmlformats.org/officeDocument/2006/relationships" r:id="rId353"/>
        </xdr:cNvPr>
        <xdr:cNvSpPr>
          <a:spLocks noChangeAspect="1" noChangeArrowheads="1"/>
        </xdr:cNvSpPr>
      </xdr:nvSpPr>
      <xdr:spPr bwMode="auto">
        <a:xfrm>
          <a:off x="6096000" y="12302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1306</xdr:row>
      <xdr:rowOff>0</xdr:rowOff>
    </xdr:from>
    <xdr:to>
      <xdr:col>2</xdr:col>
      <xdr:colOff>123825</xdr:colOff>
      <xdr:row>1306</xdr:row>
      <xdr:rowOff>123825</xdr:rowOff>
    </xdr:to>
    <xdr:sp macro="" textlink="">
      <xdr:nvSpPr>
        <xdr:cNvPr id="4210" name="AutoShape 106" descr="Bonis de performance"/>
        <xdr:cNvSpPr>
          <a:spLocks noChangeAspect="1" noChangeArrowheads="1"/>
        </xdr:cNvSpPr>
      </xdr:nvSpPr>
      <xdr:spPr bwMode="auto">
        <a:xfrm>
          <a:off x="152400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1306</xdr:row>
      <xdr:rowOff>0</xdr:rowOff>
    </xdr:from>
    <xdr:to>
      <xdr:col>2</xdr:col>
      <xdr:colOff>257175</xdr:colOff>
      <xdr:row>1306</xdr:row>
      <xdr:rowOff>123825</xdr:rowOff>
    </xdr:to>
    <xdr:sp macro="" textlink="">
      <xdr:nvSpPr>
        <xdr:cNvPr id="4211" name="AutoShape 107" descr="Exempté du ballottage">
          <a:hlinkClick xmlns:r="http://schemas.openxmlformats.org/officeDocument/2006/relationships" r:id="rId354"/>
        </xdr:cNvPr>
        <xdr:cNvSpPr>
          <a:spLocks noChangeAspect="1" noChangeArrowheads="1"/>
        </xdr:cNvSpPr>
      </xdr:nvSpPr>
      <xdr:spPr bwMode="auto">
        <a:xfrm>
          <a:off x="165735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293</xdr:row>
      <xdr:rowOff>0</xdr:rowOff>
    </xdr:from>
    <xdr:to>
      <xdr:col>2</xdr:col>
      <xdr:colOff>123825</xdr:colOff>
      <xdr:row>293</xdr:row>
      <xdr:rowOff>123825</xdr:rowOff>
    </xdr:to>
    <xdr:sp macro="" textlink="">
      <xdr:nvSpPr>
        <xdr:cNvPr id="4212" name="AutoShape 108" descr="Bonis de performance"/>
        <xdr:cNvSpPr>
          <a:spLocks noChangeAspect="1" noChangeArrowheads="1"/>
        </xdr:cNvSpPr>
      </xdr:nvSpPr>
      <xdr:spPr bwMode="auto">
        <a:xfrm>
          <a:off x="1524000" y="123405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725</xdr:row>
      <xdr:rowOff>0</xdr:rowOff>
    </xdr:from>
    <xdr:to>
      <xdr:col>7</xdr:col>
      <xdr:colOff>123825</xdr:colOff>
      <xdr:row>725</xdr:row>
      <xdr:rowOff>104775</xdr:rowOff>
    </xdr:to>
    <xdr:sp macro="" textlink="">
      <xdr:nvSpPr>
        <xdr:cNvPr id="4213" name="AutoShape 109" descr="Éligible à l'arbitrage">
          <a:hlinkClick xmlns:r="http://schemas.openxmlformats.org/officeDocument/2006/relationships" r:id="rId355"/>
        </xdr:cNvPr>
        <xdr:cNvSpPr>
          <a:spLocks noChangeAspect="1" noChangeArrowheads="1"/>
        </xdr:cNvSpPr>
      </xdr:nvSpPr>
      <xdr:spPr bwMode="auto">
        <a:xfrm>
          <a:off x="5334000" y="12568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274</xdr:row>
      <xdr:rowOff>0</xdr:rowOff>
    </xdr:from>
    <xdr:to>
      <xdr:col>8</xdr:col>
      <xdr:colOff>123825</xdr:colOff>
      <xdr:row>274</xdr:row>
      <xdr:rowOff>104775</xdr:rowOff>
    </xdr:to>
    <xdr:sp macro="" textlink="">
      <xdr:nvSpPr>
        <xdr:cNvPr id="4214" name="AutoShape 110" descr="Éligible à l'arbitrage">
          <a:hlinkClick xmlns:r="http://schemas.openxmlformats.org/officeDocument/2006/relationships" r:id="rId356"/>
        </xdr:cNvPr>
        <xdr:cNvSpPr>
          <a:spLocks noChangeAspect="1" noChangeArrowheads="1"/>
        </xdr:cNvSpPr>
      </xdr:nvSpPr>
      <xdr:spPr bwMode="auto">
        <a:xfrm>
          <a:off x="6096000" y="12587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5" name="AutoShape 111" descr="https://capfriendly-wlb8ng5.stackpathdns.com/assets/images/icons/general/q.svg"/>
        <xdr:cNvSpPr>
          <a:spLocks noChangeAspect="1" noChangeArrowheads="1"/>
        </xdr:cNvSpPr>
      </xdr:nvSpPr>
      <xdr:spPr bwMode="auto">
        <a:xfrm>
          <a:off x="1524000" y="1275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6" name="AutoShape 112" descr="https://capfriendly-wlb8ng5.stackpathdns.com/assets/images/icons/general/q.svg"/>
        <xdr:cNvSpPr>
          <a:spLocks noChangeAspect="1" noChangeArrowheads="1"/>
        </xdr:cNvSpPr>
      </xdr:nvSpPr>
      <xdr:spPr bwMode="auto">
        <a:xfrm>
          <a:off x="1524000" y="12777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7" name="AutoShape 113" descr="https://capfriendly-wlb8ng5.stackpathdns.com/assets/images/icons/general/q.svg"/>
        <xdr:cNvSpPr>
          <a:spLocks noChangeAspect="1" noChangeArrowheads="1"/>
        </xdr:cNvSpPr>
      </xdr:nvSpPr>
      <xdr:spPr bwMode="auto">
        <a:xfrm>
          <a:off x="1524000" y="1279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8" name="AutoShape 114" descr="https://capfriendly-wlb8ng5.stackpathdns.com/assets/images/icons/general/q.svg"/>
        <xdr:cNvSpPr>
          <a:spLocks noChangeAspect="1" noChangeArrowheads="1"/>
        </xdr:cNvSpPr>
      </xdr:nvSpPr>
      <xdr:spPr bwMode="auto">
        <a:xfrm>
          <a:off x="1524000" y="12815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9" name="AutoShape 115" descr="https://capfriendly-wlb8ng5.stackpathdns.com/assets/images/icons/general/q.svg"/>
        <xdr:cNvSpPr>
          <a:spLocks noChangeAspect="1" noChangeArrowheads="1"/>
        </xdr:cNvSpPr>
      </xdr:nvSpPr>
      <xdr:spPr bwMode="auto">
        <a:xfrm>
          <a:off x="1524000" y="1283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0" name="AutoShape 116" descr="https://capfriendly-wlb8ng5.stackpathdns.com/assets/images/icons/general/q.svg"/>
        <xdr:cNvSpPr>
          <a:spLocks noChangeAspect="1" noChangeArrowheads="1"/>
        </xdr:cNvSpPr>
      </xdr:nvSpPr>
      <xdr:spPr bwMode="auto">
        <a:xfrm>
          <a:off x="1524000" y="12853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1" name="AutoShape 117" descr="https://capfriendly-wlb8ng5.stackpathdns.com/assets/images/icons/general/q.svg"/>
        <xdr:cNvSpPr>
          <a:spLocks noChangeAspect="1" noChangeArrowheads="1"/>
        </xdr:cNvSpPr>
      </xdr:nvSpPr>
      <xdr:spPr bwMode="auto">
        <a:xfrm>
          <a:off x="1524000" y="12873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2" name="AutoShape 118" descr="https://capfriendly-wlb8ng5.stackpathdns.com/assets/images/icons/general/q.svg"/>
        <xdr:cNvSpPr>
          <a:spLocks noChangeAspect="1" noChangeArrowheads="1"/>
        </xdr:cNvSpPr>
      </xdr:nvSpPr>
      <xdr:spPr bwMode="auto">
        <a:xfrm>
          <a:off x="1524000" y="12892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3" name="AutoShape 119" descr="https://capfriendly-wlb8ng5.stackpathdns.com/assets/images/icons/general/q.svg"/>
        <xdr:cNvSpPr>
          <a:spLocks noChangeAspect="1" noChangeArrowheads="1"/>
        </xdr:cNvSpPr>
      </xdr:nvSpPr>
      <xdr:spPr bwMode="auto">
        <a:xfrm>
          <a:off x="1524000" y="12911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4" name="AutoShape 120" descr="https://capfriendly-wlb8ng5.stackpathdns.com/assets/images/icons/general/q.svg"/>
        <xdr:cNvSpPr>
          <a:spLocks noChangeAspect="1" noChangeArrowheads="1"/>
        </xdr:cNvSpPr>
      </xdr:nvSpPr>
      <xdr:spPr bwMode="auto">
        <a:xfrm>
          <a:off x="1524000" y="1293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5" name="AutoShape 121" descr="https://capfriendly-wlb8ng5.stackpathdns.com/assets/images/icons/general/q.svg"/>
        <xdr:cNvSpPr>
          <a:spLocks noChangeAspect="1" noChangeArrowheads="1"/>
        </xdr:cNvSpPr>
      </xdr:nvSpPr>
      <xdr:spPr bwMode="auto">
        <a:xfrm>
          <a:off x="1524000" y="1294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6" name="AutoShape 122" descr="Exempté du ballottage">
          <a:hlinkClick xmlns:r="http://schemas.openxmlformats.org/officeDocument/2006/relationships" r:id="rId357"/>
        </xdr:cNvPr>
        <xdr:cNvSpPr>
          <a:spLocks noChangeAspect="1" noChangeArrowheads="1"/>
        </xdr:cNvSpPr>
      </xdr:nvSpPr>
      <xdr:spPr bwMode="auto">
        <a:xfrm>
          <a:off x="1524000" y="1303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270</xdr:row>
      <xdr:rowOff>0</xdr:rowOff>
    </xdr:from>
    <xdr:to>
      <xdr:col>2</xdr:col>
      <xdr:colOff>123825</xdr:colOff>
      <xdr:row>270</xdr:row>
      <xdr:rowOff>123825</xdr:rowOff>
    </xdr:to>
    <xdr:sp macro="" textlink="">
      <xdr:nvSpPr>
        <xdr:cNvPr id="4227" name="AutoShape 123" descr="Bonis de performance"/>
        <xdr:cNvSpPr>
          <a:spLocks noChangeAspect="1" noChangeArrowheads="1"/>
        </xdr:cNvSpPr>
      </xdr:nvSpPr>
      <xdr:spPr bwMode="auto">
        <a:xfrm>
          <a:off x="15240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270</xdr:row>
      <xdr:rowOff>0</xdr:rowOff>
    </xdr:from>
    <xdr:to>
      <xdr:col>2</xdr:col>
      <xdr:colOff>257175</xdr:colOff>
      <xdr:row>270</xdr:row>
      <xdr:rowOff>123825</xdr:rowOff>
    </xdr:to>
    <xdr:sp macro="" textlink="">
      <xdr:nvSpPr>
        <xdr:cNvPr id="4228" name="AutoShape 124" descr="Transaction avec retenue de salaire"/>
        <xdr:cNvSpPr>
          <a:spLocks noChangeAspect="1" noChangeArrowheads="1"/>
        </xdr:cNvSpPr>
      </xdr:nvSpPr>
      <xdr:spPr bwMode="auto">
        <a:xfrm>
          <a:off x="165735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270</xdr:row>
      <xdr:rowOff>0</xdr:rowOff>
    </xdr:from>
    <xdr:to>
      <xdr:col>2</xdr:col>
      <xdr:colOff>390525</xdr:colOff>
      <xdr:row>270</xdr:row>
      <xdr:rowOff>123825</xdr:rowOff>
    </xdr:to>
    <xdr:sp macro="" textlink="">
      <xdr:nvSpPr>
        <xdr:cNvPr id="4229" name="AutoShape 125" descr="Exempté du ballottage">
          <a:hlinkClick xmlns:r="http://schemas.openxmlformats.org/officeDocument/2006/relationships" r:id="rId358"/>
        </xdr:cNvPr>
        <xdr:cNvSpPr>
          <a:spLocks noChangeAspect="1" noChangeArrowheads="1"/>
        </xdr:cNvSpPr>
      </xdr:nvSpPr>
      <xdr:spPr bwMode="auto">
        <a:xfrm>
          <a:off x="17907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749</xdr:row>
      <xdr:rowOff>0</xdr:rowOff>
    </xdr:from>
    <xdr:to>
      <xdr:col>2</xdr:col>
      <xdr:colOff>123825</xdr:colOff>
      <xdr:row>749</xdr:row>
      <xdr:rowOff>123825</xdr:rowOff>
    </xdr:to>
    <xdr:sp macro="" textlink="">
      <xdr:nvSpPr>
        <xdr:cNvPr id="4230" name="AutoShape 126" descr="Bonis de performance"/>
        <xdr:cNvSpPr>
          <a:spLocks noChangeAspect="1" noChangeArrowheads="1"/>
        </xdr:cNvSpPr>
      </xdr:nvSpPr>
      <xdr:spPr bwMode="auto">
        <a:xfrm>
          <a:off x="152400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749</xdr:row>
      <xdr:rowOff>0</xdr:rowOff>
    </xdr:from>
    <xdr:to>
      <xdr:col>2</xdr:col>
      <xdr:colOff>257175</xdr:colOff>
      <xdr:row>749</xdr:row>
      <xdr:rowOff>123825</xdr:rowOff>
    </xdr:to>
    <xdr:sp macro="" textlink="">
      <xdr:nvSpPr>
        <xdr:cNvPr id="4231" name="AutoShape 127" descr="Exempté du ballottage">
          <a:hlinkClick xmlns:r="http://schemas.openxmlformats.org/officeDocument/2006/relationships" r:id="rId359"/>
        </xdr:cNvPr>
        <xdr:cNvSpPr>
          <a:spLocks noChangeAspect="1" noChangeArrowheads="1"/>
        </xdr:cNvSpPr>
      </xdr:nvSpPr>
      <xdr:spPr bwMode="auto">
        <a:xfrm>
          <a:off x="165735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123825</xdr:colOff>
      <xdr:row>536</xdr:row>
      <xdr:rowOff>123825</xdr:rowOff>
    </xdr:to>
    <xdr:sp macro="" textlink="">
      <xdr:nvSpPr>
        <xdr:cNvPr id="4232" name="AutoShape 128" descr="Exempté du ballottage">
          <a:hlinkClick xmlns:r="http://schemas.openxmlformats.org/officeDocument/2006/relationships" r:id="rId360"/>
        </xdr:cNvPr>
        <xdr:cNvSpPr>
          <a:spLocks noChangeAspect="1" noChangeArrowheads="1"/>
        </xdr:cNvSpPr>
      </xdr:nvSpPr>
      <xdr:spPr bwMode="auto">
        <a:xfrm>
          <a:off x="1524000" y="1309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651</xdr:row>
      <xdr:rowOff>0</xdr:rowOff>
    </xdr:from>
    <xdr:to>
      <xdr:col>2</xdr:col>
      <xdr:colOff>123825</xdr:colOff>
      <xdr:row>651</xdr:row>
      <xdr:rowOff>123825</xdr:rowOff>
    </xdr:to>
    <xdr:sp macro="" textlink="">
      <xdr:nvSpPr>
        <xdr:cNvPr id="4233" name="AutoShape 129" descr="Bonis de performance"/>
        <xdr:cNvSpPr>
          <a:spLocks noChangeAspect="1" noChangeArrowheads="1"/>
        </xdr:cNvSpPr>
      </xdr:nvSpPr>
      <xdr:spPr bwMode="auto">
        <a:xfrm>
          <a:off x="152400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651</xdr:row>
      <xdr:rowOff>0</xdr:rowOff>
    </xdr:from>
    <xdr:to>
      <xdr:col>2</xdr:col>
      <xdr:colOff>257175</xdr:colOff>
      <xdr:row>651</xdr:row>
      <xdr:rowOff>123825</xdr:rowOff>
    </xdr:to>
    <xdr:sp macro="" textlink="">
      <xdr:nvSpPr>
        <xdr:cNvPr id="4234" name="AutoShape 130" descr="Exempté du ballottage">
          <a:hlinkClick xmlns:r="http://schemas.openxmlformats.org/officeDocument/2006/relationships" r:id="rId361"/>
        </xdr:cNvPr>
        <xdr:cNvSpPr>
          <a:spLocks noChangeAspect="1" noChangeArrowheads="1"/>
        </xdr:cNvSpPr>
      </xdr:nvSpPr>
      <xdr:spPr bwMode="auto">
        <a:xfrm>
          <a:off x="165735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999</xdr:row>
      <xdr:rowOff>0</xdr:rowOff>
    </xdr:from>
    <xdr:to>
      <xdr:col>2</xdr:col>
      <xdr:colOff>123825</xdr:colOff>
      <xdr:row>999</xdr:row>
      <xdr:rowOff>123825</xdr:rowOff>
    </xdr:to>
    <xdr:sp macro="" textlink="">
      <xdr:nvSpPr>
        <xdr:cNvPr id="4235" name="AutoShape 131" descr="Bonis de performance"/>
        <xdr:cNvSpPr>
          <a:spLocks noChangeAspect="1" noChangeArrowheads="1"/>
        </xdr:cNvSpPr>
      </xdr:nvSpPr>
      <xdr:spPr bwMode="auto">
        <a:xfrm>
          <a:off x="152400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999</xdr:row>
      <xdr:rowOff>0</xdr:rowOff>
    </xdr:from>
    <xdr:to>
      <xdr:col>2</xdr:col>
      <xdr:colOff>257175</xdr:colOff>
      <xdr:row>999</xdr:row>
      <xdr:rowOff>123825</xdr:rowOff>
    </xdr:to>
    <xdr:sp macro="" textlink="">
      <xdr:nvSpPr>
        <xdr:cNvPr id="4236" name="AutoShape 132" descr="Exempté du ballottage">
          <a:hlinkClick xmlns:r="http://schemas.openxmlformats.org/officeDocument/2006/relationships" r:id="rId362"/>
        </xdr:cNvPr>
        <xdr:cNvSpPr>
          <a:spLocks noChangeAspect="1" noChangeArrowheads="1"/>
        </xdr:cNvSpPr>
      </xdr:nvSpPr>
      <xdr:spPr bwMode="auto">
        <a:xfrm>
          <a:off x="165735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762</xdr:row>
      <xdr:rowOff>0</xdr:rowOff>
    </xdr:from>
    <xdr:to>
      <xdr:col>2</xdr:col>
      <xdr:colOff>123825</xdr:colOff>
      <xdr:row>762</xdr:row>
      <xdr:rowOff>123825</xdr:rowOff>
    </xdr:to>
    <xdr:sp macro="" textlink="">
      <xdr:nvSpPr>
        <xdr:cNvPr id="4237" name="AutoShape 133" descr="Bonis de performance"/>
        <xdr:cNvSpPr>
          <a:spLocks noChangeAspect="1" noChangeArrowheads="1"/>
        </xdr:cNvSpPr>
      </xdr:nvSpPr>
      <xdr:spPr bwMode="auto">
        <a:xfrm>
          <a:off x="152400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762</xdr:row>
      <xdr:rowOff>0</xdr:rowOff>
    </xdr:from>
    <xdr:to>
      <xdr:col>2</xdr:col>
      <xdr:colOff>257175</xdr:colOff>
      <xdr:row>762</xdr:row>
      <xdr:rowOff>123825</xdr:rowOff>
    </xdr:to>
    <xdr:sp macro="" textlink="">
      <xdr:nvSpPr>
        <xdr:cNvPr id="4238" name="AutoShape 134" descr="Exempté du ballottage">
          <a:hlinkClick xmlns:r="http://schemas.openxmlformats.org/officeDocument/2006/relationships" r:id="rId363"/>
        </xdr:cNvPr>
        <xdr:cNvSpPr>
          <a:spLocks noChangeAspect="1" noChangeArrowheads="1"/>
        </xdr:cNvSpPr>
      </xdr:nvSpPr>
      <xdr:spPr bwMode="auto">
        <a:xfrm>
          <a:off x="165735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1263</xdr:row>
      <xdr:rowOff>0</xdr:rowOff>
    </xdr:from>
    <xdr:to>
      <xdr:col>2</xdr:col>
      <xdr:colOff>123825</xdr:colOff>
      <xdr:row>1263</xdr:row>
      <xdr:rowOff>123825</xdr:rowOff>
    </xdr:to>
    <xdr:sp macro="" textlink="">
      <xdr:nvSpPr>
        <xdr:cNvPr id="4239" name="AutoShape 135" descr="Bonis de performance"/>
        <xdr:cNvSpPr>
          <a:spLocks noChangeAspect="1" noChangeArrowheads="1"/>
        </xdr:cNvSpPr>
      </xdr:nvSpPr>
      <xdr:spPr bwMode="auto">
        <a:xfrm>
          <a:off x="152400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1263</xdr:row>
      <xdr:rowOff>0</xdr:rowOff>
    </xdr:from>
    <xdr:to>
      <xdr:col>2</xdr:col>
      <xdr:colOff>257175</xdr:colOff>
      <xdr:row>1263</xdr:row>
      <xdr:rowOff>123825</xdr:rowOff>
    </xdr:to>
    <xdr:sp macro="" textlink="">
      <xdr:nvSpPr>
        <xdr:cNvPr id="4240" name="AutoShape 136" descr="Exempté du ballottage">
          <a:hlinkClick xmlns:r="http://schemas.openxmlformats.org/officeDocument/2006/relationships" r:id="rId364"/>
        </xdr:cNvPr>
        <xdr:cNvSpPr>
          <a:spLocks noChangeAspect="1" noChangeArrowheads="1"/>
        </xdr:cNvSpPr>
      </xdr:nvSpPr>
      <xdr:spPr bwMode="auto">
        <a:xfrm>
          <a:off x="165735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123825</xdr:colOff>
      <xdr:row>544</xdr:row>
      <xdr:rowOff>123825</xdr:rowOff>
    </xdr:to>
    <xdr:sp macro="" textlink="">
      <xdr:nvSpPr>
        <xdr:cNvPr id="4241" name="AutoShape 137" descr="Bonis de performance"/>
        <xdr:cNvSpPr>
          <a:spLocks noChangeAspect="1" noChangeArrowheads="1"/>
        </xdr:cNvSpPr>
      </xdr:nvSpPr>
      <xdr:spPr bwMode="auto">
        <a:xfrm>
          <a:off x="152400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544</xdr:row>
      <xdr:rowOff>0</xdr:rowOff>
    </xdr:from>
    <xdr:to>
      <xdr:col>2</xdr:col>
      <xdr:colOff>257175</xdr:colOff>
      <xdr:row>544</xdr:row>
      <xdr:rowOff>123825</xdr:rowOff>
    </xdr:to>
    <xdr:sp macro="" textlink="">
      <xdr:nvSpPr>
        <xdr:cNvPr id="4242" name="AutoShape 138" descr="Exempté du ballottage">
          <a:hlinkClick xmlns:r="http://schemas.openxmlformats.org/officeDocument/2006/relationships" r:id="rId365"/>
        </xdr:cNvPr>
        <xdr:cNvSpPr>
          <a:spLocks noChangeAspect="1" noChangeArrowheads="1"/>
        </xdr:cNvSpPr>
      </xdr:nvSpPr>
      <xdr:spPr bwMode="auto">
        <a:xfrm>
          <a:off x="165735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382</xdr:row>
      <xdr:rowOff>0</xdr:rowOff>
    </xdr:from>
    <xdr:to>
      <xdr:col>2</xdr:col>
      <xdr:colOff>123825</xdr:colOff>
      <xdr:row>382</xdr:row>
      <xdr:rowOff>123825</xdr:rowOff>
    </xdr:to>
    <xdr:sp macro="" textlink="">
      <xdr:nvSpPr>
        <xdr:cNvPr id="4243" name="AutoShape 139" descr="Bonis de performance"/>
        <xdr:cNvSpPr>
          <a:spLocks noChangeAspect="1" noChangeArrowheads="1"/>
        </xdr:cNvSpPr>
      </xdr:nvSpPr>
      <xdr:spPr bwMode="auto">
        <a:xfrm>
          <a:off x="152400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382</xdr:row>
      <xdr:rowOff>0</xdr:rowOff>
    </xdr:from>
    <xdr:to>
      <xdr:col>2</xdr:col>
      <xdr:colOff>257175</xdr:colOff>
      <xdr:row>382</xdr:row>
      <xdr:rowOff>123825</xdr:rowOff>
    </xdr:to>
    <xdr:sp macro="" textlink="">
      <xdr:nvSpPr>
        <xdr:cNvPr id="4244" name="AutoShape 140" descr="Exempté du ballottage">
          <a:hlinkClick xmlns:r="http://schemas.openxmlformats.org/officeDocument/2006/relationships" r:id="rId366"/>
        </xdr:cNvPr>
        <xdr:cNvSpPr>
          <a:spLocks noChangeAspect="1" noChangeArrowheads="1"/>
        </xdr:cNvSpPr>
      </xdr:nvSpPr>
      <xdr:spPr bwMode="auto">
        <a:xfrm>
          <a:off x="165735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586</xdr:row>
      <xdr:rowOff>0</xdr:rowOff>
    </xdr:from>
    <xdr:to>
      <xdr:col>2</xdr:col>
      <xdr:colOff>123825</xdr:colOff>
      <xdr:row>586</xdr:row>
      <xdr:rowOff>123825</xdr:rowOff>
    </xdr:to>
    <xdr:sp macro="" textlink="">
      <xdr:nvSpPr>
        <xdr:cNvPr id="4245" name="AutoShape 141" descr="Bonis de performance"/>
        <xdr:cNvSpPr>
          <a:spLocks noChangeAspect="1" noChangeArrowheads="1"/>
        </xdr:cNvSpPr>
      </xdr:nvSpPr>
      <xdr:spPr bwMode="auto">
        <a:xfrm>
          <a:off x="152400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586</xdr:row>
      <xdr:rowOff>0</xdr:rowOff>
    </xdr:from>
    <xdr:to>
      <xdr:col>2</xdr:col>
      <xdr:colOff>257175</xdr:colOff>
      <xdr:row>586</xdr:row>
      <xdr:rowOff>123825</xdr:rowOff>
    </xdr:to>
    <xdr:sp macro="" textlink="">
      <xdr:nvSpPr>
        <xdr:cNvPr id="4246" name="AutoShape 142" descr="Exempté du ballottage">
          <a:hlinkClick xmlns:r="http://schemas.openxmlformats.org/officeDocument/2006/relationships" r:id="rId367"/>
        </xdr:cNvPr>
        <xdr:cNvSpPr>
          <a:spLocks noChangeAspect="1" noChangeArrowheads="1"/>
        </xdr:cNvSpPr>
      </xdr:nvSpPr>
      <xdr:spPr bwMode="auto">
        <a:xfrm>
          <a:off x="165735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987</xdr:row>
      <xdr:rowOff>0</xdr:rowOff>
    </xdr:from>
    <xdr:to>
      <xdr:col>2</xdr:col>
      <xdr:colOff>123825</xdr:colOff>
      <xdr:row>987</xdr:row>
      <xdr:rowOff>123825</xdr:rowOff>
    </xdr:to>
    <xdr:sp macro="" textlink="">
      <xdr:nvSpPr>
        <xdr:cNvPr id="4247" name="AutoShape 143" descr="Bonis de performance"/>
        <xdr:cNvSpPr>
          <a:spLocks noChangeAspect="1" noChangeArrowheads="1"/>
        </xdr:cNvSpPr>
      </xdr:nvSpPr>
      <xdr:spPr bwMode="auto">
        <a:xfrm>
          <a:off x="152400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987</xdr:row>
      <xdr:rowOff>0</xdr:rowOff>
    </xdr:from>
    <xdr:to>
      <xdr:col>2</xdr:col>
      <xdr:colOff>257175</xdr:colOff>
      <xdr:row>987</xdr:row>
      <xdr:rowOff>123825</xdr:rowOff>
    </xdr:to>
    <xdr:sp macro="" textlink="">
      <xdr:nvSpPr>
        <xdr:cNvPr id="4248" name="AutoShape 144" descr="Exempté du ballottage">
          <a:hlinkClick xmlns:r="http://schemas.openxmlformats.org/officeDocument/2006/relationships" r:id="rId368"/>
        </xdr:cNvPr>
        <xdr:cNvSpPr>
          <a:spLocks noChangeAspect="1" noChangeArrowheads="1"/>
        </xdr:cNvSpPr>
      </xdr:nvSpPr>
      <xdr:spPr bwMode="auto">
        <a:xfrm>
          <a:off x="165735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1169</xdr:row>
      <xdr:rowOff>0</xdr:rowOff>
    </xdr:from>
    <xdr:to>
      <xdr:col>2</xdr:col>
      <xdr:colOff>123825</xdr:colOff>
      <xdr:row>1169</xdr:row>
      <xdr:rowOff>123825</xdr:rowOff>
    </xdr:to>
    <xdr:sp macro="" textlink="">
      <xdr:nvSpPr>
        <xdr:cNvPr id="4249" name="AutoShape 145" descr="Bonis de performance"/>
        <xdr:cNvSpPr>
          <a:spLocks noChangeAspect="1" noChangeArrowheads="1"/>
        </xdr:cNvSpPr>
      </xdr:nvSpPr>
      <xdr:spPr bwMode="auto">
        <a:xfrm>
          <a:off x="152400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1169</xdr:row>
      <xdr:rowOff>0</xdr:rowOff>
    </xdr:from>
    <xdr:to>
      <xdr:col>2</xdr:col>
      <xdr:colOff>257175</xdr:colOff>
      <xdr:row>1169</xdr:row>
      <xdr:rowOff>123825</xdr:rowOff>
    </xdr:to>
    <xdr:sp macro="" textlink="">
      <xdr:nvSpPr>
        <xdr:cNvPr id="4250" name="AutoShape 146" descr="Exempté du ballottage">
          <a:hlinkClick xmlns:r="http://schemas.openxmlformats.org/officeDocument/2006/relationships" r:id="rId369"/>
        </xdr:cNvPr>
        <xdr:cNvSpPr>
          <a:spLocks noChangeAspect="1" noChangeArrowheads="1"/>
        </xdr:cNvSpPr>
      </xdr:nvSpPr>
      <xdr:spPr bwMode="auto">
        <a:xfrm>
          <a:off x="165735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1234</xdr:row>
      <xdr:rowOff>0</xdr:rowOff>
    </xdr:from>
    <xdr:to>
      <xdr:col>2</xdr:col>
      <xdr:colOff>123825</xdr:colOff>
      <xdr:row>1234</xdr:row>
      <xdr:rowOff>123825</xdr:rowOff>
    </xdr:to>
    <xdr:sp macro="" textlink="">
      <xdr:nvSpPr>
        <xdr:cNvPr id="4251" name="AutoShape 147" descr="Exempté du ballottage">
          <a:hlinkClick xmlns:r="http://schemas.openxmlformats.org/officeDocument/2006/relationships" r:id="rId370"/>
        </xdr:cNvPr>
        <xdr:cNvSpPr>
          <a:spLocks noChangeAspect="1" noChangeArrowheads="1"/>
        </xdr:cNvSpPr>
      </xdr:nvSpPr>
      <xdr:spPr bwMode="auto">
        <a:xfrm>
          <a:off x="1524000" y="1330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722</xdr:row>
      <xdr:rowOff>0</xdr:rowOff>
    </xdr:from>
    <xdr:to>
      <xdr:col>2</xdr:col>
      <xdr:colOff>123825</xdr:colOff>
      <xdr:row>722</xdr:row>
      <xdr:rowOff>123825</xdr:rowOff>
    </xdr:to>
    <xdr:sp macro="" textlink="">
      <xdr:nvSpPr>
        <xdr:cNvPr id="4252" name="AutoShape 148" descr="Bonis de performance"/>
        <xdr:cNvSpPr>
          <a:spLocks noChangeAspect="1" noChangeArrowheads="1"/>
        </xdr:cNvSpPr>
      </xdr:nvSpPr>
      <xdr:spPr bwMode="auto">
        <a:xfrm>
          <a:off x="152400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722</xdr:row>
      <xdr:rowOff>0</xdr:rowOff>
    </xdr:from>
    <xdr:to>
      <xdr:col>2</xdr:col>
      <xdr:colOff>257175</xdr:colOff>
      <xdr:row>722</xdr:row>
      <xdr:rowOff>123825</xdr:rowOff>
    </xdr:to>
    <xdr:sp macro="" textlink="">
      <xdr:nvSpPr>
        <xdr:cNvPr id="4253" name="AutoShape 149" descr="Exempté du ballottage">
          <a:hlinkClick xmlns:r="http://schemas.openxmlformats.org/officeDocument/2006/relationships" r:id="rId371"/>
        </xdr:cNvPr>
        <xdr:cNvSpPr>
          <a:spLocks noChangeAspect="1" noChangeArrowheads="1"/>
        </xdr:cNvSpPr>
      </xdr:nvSpPr>
      <xdr:spPr bwMode="auto">
        <a:xfrm>
          <a:off x="165735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123825</xdr:colOff>
      <xdr:row>433</xdr:row>
      <xdr:rowOff>123825</xdr:rowOff>
    </xdr:to>
    <xdr:sp macro="" textlink="">
      <xdr:nvSpPr>
        <xdr:cNvPr id="4254" name="AutoShape 150" descr="Exempté du ballottage">
          <a:hlinkClick xmlns:r="http://schemas.openxmlformats.org/officeDocument/2006/relationships" r:id="rId372"/>
        </xdr:cNvPr>
        <xdr:cNvSpPr>
          <a:spLocks noChangeAspect="1" noChangeArrowheads="1"/>
        </xdr:cNvSpPr>
      </xdr:nvSpPr>
      <xdr:spPr bwMode="auto">
        <a:xfrm>
          <a:off x="1524000" y="13340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985</xdr:row>
      <xdr:rowOff>0</xdr:rowOff>
    </xdr:from>
    <xdr:to>
      <xdr:col>7</xdr:col>
      <xdr:colOff>123825</xdr:colOff>
      <xdr:row>985</xdr:row>
      <xdr:rowOff>104775</xdr:rowOff>
    </xdr:to>
    <xdr:sp macro="" textlink="">
      <xdr:nvSpPr>
        <xdr:cNvPr id="4255" name="AutoShape 151" descr="Éligible à l'arbitrage">
          <a:hlinkClick xmlns:r="http://schemas.openxmlformats.org/officeDocument/2006/relationships" r:id="rId373"/>
        </xdr:cNvPr>
        <xdr:cNvSpPr>
          <a:spLocks noChangeAspect="1" noChangeArrowheads="1"/>
        </xdr:cNvSpPr>
      </xdr:nvSpPr>
      <xdr:spPr bwMode="auto">
        <a:xfrm>
          <a:off x="5334000" y="13359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123825</xdr:colOff>
      <xdr:row>481</xdr:row>
      <xdr:rowOff>123825</xdr:rowOff>
    </xdr:to>
    <xdr:sp macro="" textlink="">
      <xdr:nvSpPr>
        <xdr:cNvPr id="4256" name="AutoShape 152" descr="Exempté du ballottage">
          <a:hlinkClick xmlns:r="http://schemas.openxmlformats.org/officeDocument/2006/relationships" r:id="rId374"/>
        </xdr:cNvPr>
        <xdr:cNvSpPr>
          <a:spLocks noChangeAspect="1" noChangeArrowheads="1"/>
        </xdr:cNvSpPr>
      </xdr:nvSpPr>
      <xdr:spPr bwMode="auto">
        <a:xfrm>
          <a:off x="1524000" y="13472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xdr:row>
      <xdr:rowOff>0</xdr:rowOff>
    </xdr:from>
    <xdr:to>
      <xdr:col>2</xdr:col>
      <xdr:colOff>123825</xdr:colOff>
      <xdr:row>75</xdr:row>
      <xdr:rowOff>123825</xdr:rowOff>
    </xdr:to>
    <xdr:sp macro="" textlink="">
      <xdr:nvSpPr>
        <xdr:cNvPr id="4257" name="AutoShape 153" descr="Transaction avec retenue de salaire"/>
        <xdr:cNvSpPr>
          <a:spLocks noChangeAspect="1" noChangeArrowheads="1"/>
        </xdr:cNvSpPr>
      </xdr:nvSpPr>
      <xdr:spPr bwMode="auto">
        <a:xfrm>
          <a:off x="15240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xdr:row>
      <xdr:rowOff>0</xdr:rowOff>
    </xdr:from>
    <xdr:to>
      <xdr:col>2</xdr:col>
      <xdr:colOff>257175</xdr:colOff>
      <xdr:row>75</xdr:row>
      <xdr:rowOff>123825</xdr:rowOff>
    </xdr:to>
    <xdr:sp macro="" textlink="">
      <xdr:nvSpPr>
        <xdr:cNvPr id="4258" name="AutoShape 154" descr="Exempté du ballottage">
          <a:hlinkClick xmlns:r="http://schemas.openxmlformats.org/officeDocument/2006/relationships" r:id="rId375"/>
        </xdr:cNvPr>
        <xdr:cNvSpPr>
          <a:spLocks noChangeAspect="1" noChangeArrowheads="1"/>
        </xdr:cNvSpPr>
      </xdr:nvSpPr>
      <xdr:spPr bwMode="auto">
        <a:xfrm>
          <a:off x="165735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xdr:row>
      <xdr:rowOff>0</xdr:rowOff>
    </xdr:from>
    <xdr:to>
      <xdr:col>2</xdr:col>
      <xdr:colOff>390525</xdr:colOff>
      <xdr:row>75</xdr:row>
      <xdr:rowOff>123825</xdr:rowOff>
    </xdr:to>
    <xdr:sp macro="" textlink="">
      <xdr:nvSpPr>
        <xdr:cNvPr id="4259" name="AutoShape 155" descr="Exempté de la limite des 50 contrats"/>
        <xdr:cNvSpPr>
          <a:spLocks noChangeAspect="1" noChangeArrowheads="1"/>
        </xdr:cNvSpPr>
      </xdr:nvSpPr>
      <xdr:spPr bwMode="auto">
        <a:xfrm>
          <a:off x="17907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xdr:row>
      <xdr:rowOff>0</xdr:rowOff>
    </xdr:from>
    <xdr:to>
      <xdr:col>2</xdr:col>
      <xdr:colOff>123825</xdr:colOff>
      <xdr:row>131</xdr:row>
      <xdr:rowOff>123825</xdr:rowOff>
    </xdr:to>
    <xdr:sp macro="" textlink="">
      <xdr:nvSpPr>
        <xdr:cNvPr id="4260" name="AutoShape 156" descr="Bonis de performance"/>
        <xdr:cNvSpPr>
          <a:spLocks noChangeAspect="1" noChangeArrowheads="1"/>
        </xdr:cNvSpPr>
      </xdr:nvSpPr>
      <xdr:spPr bwMode="auto">
        <a:xfrm>
          <a:off x="15240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xdr:row>
      <xdr:rowOff>0</xdr:rowOff>
    </xdr:from>
    <xdr:to>
      <xdr:col>2</xdr:col>
      <xdr:colOff>257175</xdr:colOff>
      <xdr:row>131</xdr:row>
      <xdr:rowOff>123825</xdr:rowOff>
    </xdr:to>
    <xdr:sp macro="" textlink="">
      <xdr:nvSpPr>
        <xdr:cNvPr id="4261" name="AutoShape 157" descr="Transaction avec retenue de salaire"/>
        <xdr:cNvSpPr>
          <a:spLocks noChangeAspect="1" noChangeArrowheads="1"/>
        </xdr:cNvSpPr>
      </xdr:nvSpPr>
      <xdr:spPr bwMode="auto">
        <a:xfrm>
          <a:off x="16573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131</xdr:row>
      <xdr:rowOff>0</xdr:rowOff>
    </xdr:from>
    <xdr:to>
      <xdr:col>2</xdr:col>
      <xdr:colOff>390525</xdr:colOff>
      <xdr:row>131</xdr:row>
      <xdr:rowOff>123825</xdr:rowOff>
    </xdr:to>
    <xdr:sp macro="" textlink="">
      <xdr:nvSpPr>
        <xdr:cNvPr id="4262" name="AutoShape 158" descr="Exempté du ballottage">
          <a:hlinkClick xmlns:r="http://schemas.openxmlformats.org/officeDocument/2006/relationships" r:id="rId376"/>
        </xdr:cNvPr>
        <xdr:cNvSpPr>
          <a:spLocks noChangeAspect="1" noChangeArrowheads="1"/>
        </xdr:cNvSpPr>
      </xdr:nvSpPr>
      <xdr:spPr bwMode="auto">
        <a:xfrm>
          <a:off x="17907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131</xdr:row>
      <xdr:rowOff>0</xdr:rowOff>
    </xdr:from>
    <xdr:to>
      <xdr:col>2</xdr:col>
      <xdr:colOff>523875</xdr:colOff>
      <xdr:row>131</xdr:row>
      <xdr:rowOff>123825</xdr:rowOff>
    </xdr:to>
    <xdr:sp macro="" textlink="">
      <xdr:nvSpPr>
        <xdr:cNvPr id="4263" name="AutoShape 159" descr="Exempté de la limite des 50 contrats"/>
        <xdr:cNvSpPr>
          <a:spLocks noChangeAspect="1" noChangeArrowheads="1"/>
        </xdr:cNvSpPr>
      </xdr:nvSpPr>
      <xdr:spPr bwMode="auto">
        <a:xfrm>
          <a:off x="19240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748</xdr:row>
      <xdr:rowOff>0</xdr:rowOff>
    </xdr:from>
    <xdr:to>
      <xdr:col>2</xdr:col>
      <xdr:colOff>123825</xdr:colOff>
      <xdr:row>748</xdr:row>
      <xdr:rowOff>123825</xdr:rowOff>
    </xdr:to>
    <xdr:sp macro="" textlink="">
      <xdr:nvSpPr>
        <xdr:cNvPr id="4264" name="AutoShape 160" descr="Bonis de performance"/>
        <xdr:cNvSpPr>
          <a:spLocks noChangeAspect="1" noChangeArrowheads="1"/>
        </xdr:cNvSpPr>
      </xdr:nvSpPr>
      <xdr:spPr bwMode="auto">
        <a:xfrm>
          <a:off x="152400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748</xdr:row>
      <xdr:rowOff>0</xdr:rowOff>
    </xdr:from>
    <xdr:to>
      <xdr:col>2</xdr:col>
      <xdr:colOff>257175</xdr:colOff>
      <xdr:row>748</xdr:row>
      <xdr:rowOff>123825</xdr:rowOff>
    </xdr:to>
    <xdr:sp macro="" textlink="">
      <xdr:nvSpPr>
        <xdr:cNvPr id="4265" name="AutoShape 161" descr="Exempté du ballottage">
          <a:hlinkClick xmlns:r="http://schemas.openxmlformats.org/officeDocument/2006/relationships" r:id="rId377"/>
        </xdr:cNvPr>
        <xdr:cNvSpPr>
          <a:spLocks noChangeAspect="1" noChangeArrowheads="1"/>
        </xdr:cNvSpPr>
      </xdr:nvSpPr>
      <xdr:spPr bwMode="auto">
        <a:xfrm>
          <a:off x="165735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195</xdr:row>
      <xdr:rowOff>0</xdr:rowOff>
    </xdr:from>
    <xdr:to>
      <xdr:col>2</xdr:col>
      <xdr:colOff>123825</xdr:colOff>
      <xdr:row>195</xdr:row>
      <xdr:rowOff>123825</xdr:rowOff>
    </xdr:to>
    <xdr:sp macro="" textlink="">
      <xdr:nvSpPr>
        <xdr:cNvPr id="4266" name="AutoShape 162" descr="Bonis de performance"/>
        <xdr:cNvSpPr>
          <a:spLocks noChangeAspect="1" noChangeArrowheads="1"/>
        </xdr:cNvSpPr>
      </xdr:nvSpPr>
      <xdr:spPr bwMode="auto">
        <a:xfrm>
          <a:off x="152400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195</xdr:row>
      <xdr:rowOff>0</xdr:rowOff>
    </xdr:from>
    <xdr:to>
      <xdr:col>2</xdr:col>
      <xdr:colOff>257175</xdr:colOff>
      <xdr:row>195</xdr:row>
      <xdr:rowOff>123825</xdr:rowOff>
    </xdr:to>
    <xdr:sp macro="" textlink="">
      <xdr:nvSpPr>
        <xdr:cNvPr id="4267" name="AutoShape 163" descr="Exempté du ballottage">
          <a:hlinkClick xmlns:r="http://schemas.openxmlformats.org/officeDocument/2006/relationships" r:id="rId378"/>
        </xdr:cNvPr>
        <xdr:cNvSpPr>
          <a:spLocks noChangeAspect="1" noChangeArrowheads="1"/>
        </xdr:cNvSpPr>
      </xdr:nvSpPr>
      <xdr:spPr bwMode="auto">
        <a:xfrm>
          <a:off x="165735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1374</xdr:row>
      <xdr:rowOff>0</xdr:rowOff>
    </xdr:from>
    <xdr:to>
      <xdr:col>2</xdr:col>
      <xdr:colOff>123825</xdr:colOff>
      <xdr:row>1374</xdr:row>
      <xdr:rowOff>123825</xdr:rowOff>
    </xdr:to>
    <xdr:sp macro="" textlink="">
      <xdr:nvSpPr>
        <xdr:cNvPr id="4268" name="AutoShape 164" descr="Bonis de performance"/>
        <xdr:cNvSpPr>
          <a:spLocks noChangeAspect="1" noChangeArrowheads="1"/>
        </xdr:cNvSpPr>
      </xdr:nvSpPr>
      <xdr:spPr bwMode="auto">
        <a:xfrm>
          <a:off x="152400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1374</xdr:row>
      <xdr:rowOff>0</xdr:rowOff>
    </xdr:from>
    <xdr:to>
      <xdr:col>2</xdr:col>
      <xdr:colOff>257175</xdr:colOff>
      <xdr:row>1374</xdr:row>
      <xdr:rowOff>123825</xdr:rowOff>
    </xdr:to>
    <xdr:sp macro="" textlink="">
      <xdr:nvSpPr>
        <xdr:cNvPr id="4269" name="AutoShape 165" descr="Exempté du ballottage">
          <a:hlinkClick xmlns:r="http://schemas.openxmlformats.org/officeDocument/2006/relationships" r:id="rId379"/>
        </xdr:cNvPr>
        <xdr:cNvSpPr>
          <a:spLocks noChangeAspect="1" noChangeArrowheads="1"/>
        </xdr:cNvSpPr>
      </xdr:nvSpPr>
      <xdr:spPr bwMode="auto">
        <a:xfrm>
          <a:off x="165735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297</xdr:row>
      <xdr:rowOff>0</xdr:rowOff>
    </xdr:from>
    <xdr:to>
      <xdr:col>2</xdr:col>
      <xdr:colOff>123825</xdr:colOff>
      <xdr:row>297</xdr:row>
      <xdr:rowOff>123825</xdr:rowOff>
    </xdr:to>
    <xdr:sp macro="" textlink="">
      <xdr:nvSpPr>
        <xdr:cNvPr id="4270" name="AutoShape 166" descr="Exempté du ballottage">
          <a:hlinkClick xmlns:r="http://schemas.openxmlformats.org/officeDocument/2006/relationships" r:id="rId380"/>
        </xdr:cNvPr>
        <xdr:cNvSpPr>
          <a:spLocks noChangeAspect="1" noChangeArrowheads="1"/>
        </xdr:cNvSpPr>
      </xdr:nvSpPr>
      <xdr:spPr bwMode="auto">
        <a:xfrm>
          <a:off x="1524000" y="13661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777</xdr:row>
      <xdr:rowOff>0</xdr:rowOff>
    </xdr:from>
    <xdr:to>
      <xdr:col>2</xdr:col>
      <xdr:colOff>123825</xdr:colOff>
      <xdr:row>777</xdr:row>
      <xdr:rowOff>123825</xdr:rowOff>
    </xdr:to>
    <xdr:sp macro="" textlink="">
      <xdr:nvSpPr>
        <xdr:cNvPr id="4271" name="AutoShape 167" descr="Bonis de performance"/>
        <xdr:cNvSpPr>
          <a:spLocks noChangeAspect="1" noChangeArrowheads="1"/>
        </xdr:cNvSpPr>
      </xdr:nvSpPr>
      <xdr:spPr bwMode="auto">
        <a:xfrm>
          <a:off x="152400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777</xdr:row>
      <xdr:rowOff>0</xdr:rowOff>
    </xdr:from>
    <xdr:to>
      <xdr:col>2</xdr:col>
      <xdr:colOff>257175</xdr:colOff>
      <xdr:row>777</xdr:row>
      <xdr:rowOff>123825</xdr:rowOff>
    </xdr:to>
    <xdr:sp macro="" textlink="">
      <xdr:nvSpPr>
        <xdr:cNvPr id="4272" name="AutoShape 168" descr="Exempté du ballottage">
          <a:hlinkClick xmlns:r="http://schemas.openxmlformats.org/officeDocument/2006/relationships" r:id="rId381"/>
        </xdr:cNvPr>
        <xdr:cNvSpPr>
          <a:spLocks noChangeAspect="1" noChangeArrowheads="1"/>
        </xdr:cNvSpPr>
      </xdr:nvSpPr>
      <xdr:spPr bwMode="auto">
        <a:xfrm>
          <a:off x="165735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321</xdr:row>
      <xdr:rowOff>0</xdr:rowOff>
    </xdr:from>
    <xdr:to>
      <xdr:col>7</xdr:col>
      <xdr:colOff>123825</xdr:colOff>
      <xdr:row>321</xdr:row>
      <xdr:rowOff>104775</xdr:rowOff>
    </xdr:to>
    <xdr:sp macro="" textlink="">
      <xdr:nvSpPr>
        <xdr:cNvPr id="4273" name="AutoShape 169" descr="Éligible à l'arbitrage">
          <a:hlinkClick xmlns:r="http://schemas.openxmlformats.org/officeDocument/2006/relationships" r:id="rId382"/>
        </xdr:cNvPr>
        <xdr:cNvSpPr>
          <a:spLocks noChangeAspect="1" noChangeArrowheads="1"/>
        </xdr:cNvSpPr>
      </xdr:nvSpPr>
      <xdr:spPr bwMode="auto">
        <a:xfrm>
          <a:off x="5334000" y="1314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794</xdr:row>
      <xdr:rowOff>0</xdr:rowOff>
    </xdr:from>
    <xdr:to>
      <xdr:col>8</xdr:col>
      <xdr:colOff>123825</xdr:colOff>
      <xdr:row>794</xdr:row>
      <xdr:rowOff>104775</xdr:rowOff>
    </xdr:to>
    <xdr:sp macro="" textlink="">
      <xdr:nvSpPr>
        <xdr:cNvPr id="4274" name="AutoShape 170" descr="Éligible à l'arbitrage">
          <a:hlinkClick xmlns:r="http://schemas.openxmlformats.org/officeDocument/2006/relationships" r:id="rId383"/>
        </xdr:cNvPr>
        <xdr:cNvSpPr>
          <a:spLocks noChangeAspect="1" noChangeArrowheads="1"/>
        </xdr:cNvSpPr>
      </xdr:nvSpPr>
      <xdr:spPr bwMode="auto">
        <a:xfrm>
          <a:off x="6096000" y="1319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253</xdr:row>
      <xdr:rowOff>0</xdr:rowOff>
    </xdr:from>
    <xdr:to>
      <xdr:col>7</xdr:col>
      <xdr:colOff>123825</xdr:colOff>
      <xdr:row>253</xdr:row>
      <xdr:rowOff>104775</xdr:rowOff>
    </xdr:to>
    <xdr:sp macro="" textlink="">
      <xdr:nvSpPr>
        <xdr:cNvPr id="4275" name="AutoShape 171" descr="Éligible à l'arbitrage">
          <a:hlinkClick xmlns:r="http://schemas.openxmlformats.org/officeDocument/2006/relationships" r:id="rId384"/>
        </xdr:cNvPr>
        <xdr:cNvSpPr>
          <a:spLocks noChangeAspect="1" noChangeArrowheads="1"/>
        </xdr:cNvSpPr>
      </xdr:nvSpPr>
      <xdr:spPr bwMode="auto">
        <a:xfrm>
          <a:off x="5334000" y="13293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740</xdr:row>
      <xdr:rowOff>0</xdr:rowOff>
    </xdr:from>
    <xdr:to>
      <xdr:col>2</xdr:col>
      <xdr:colOff>123825</xdr:colOff>
      <xdr:row>740</xdr:row>
      <xdr:rowOff>123825</xdr:rowOff>
    </xdr:to>
    <xdr:sp macro="" textlink="">
      <xdr:nvSpPr>
        <xdr:cNvPr id="4276" name="AutoShape 172" descr="Bonis de performance"/>
        <xdr:cNvSpPr>
          <a:spLocks noChangeAspect="1" noChangeArrowheads="1"/>
        </xdr:cNvSpPr>
      </xdr:nvSpPr>
      <xdr:spPr bwMode="auto">
        <a:xfrm>
          <a:off x="152400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740</xdr:row>
      <xdr:rowOff>0</xdr:rowOff>
    </xdr:from>
    <xdr:to>
      <xdr:col>2</xdr:col>
      <xdr:colOff>257175</xdr:colOff>
      <xdr:row>740</xdr:row>
      <xdr:rowOff>123825</xdr:rowOff>
    </xdr:to>
    <xdr:sp macro="" textlink="">
      <xdr:nvSpPr>
        <xdr:cNvPr id="4277" name="AutoShape 173" descr="Exempté du ballottage">
          <a:hlinkClick xmlns:r="http://schemas.openxmlformats.org/officeDocument/2006/relationships" r:id="rId385"/>
        </xdr:cNvPr>
        <xdr:cNvSpPr>
          <a:spLocks noChangeAspect="1" noChangeArrowheads="1"/>
        </xdr:cNvSpPr>
      </xdr:nvSpPr>
      <xdr:spPr bwMode="auto">
        <a:xfrm>
          <a:off x="165735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612</xdr:row>
      <xdr:rowOff>0</xdr:rowOff>
    </xdr:from>
    <xdr:to>
      <xdr:col>7</xdr:col>
      <xdr:colOff>123825</xdr:colOff>
      <xdr:row>612</xdr:row>
      <xdr:rowOff>104775</xdr:rowOff>
    </xdr:to>
    <xdr:sp macro="" textlink="">
      <xdr:nvSpPr>
        <xdr:cNvPr id="4278" name="AutoShape 174" descr="Éligible à l'arbitrage">
          <a:hlinkClick xmlns:r="http://schemas.openxmlformats.org/officeDocument/2006/relationships" r:id="rId386"/>
        </xdr:cNvPr>
        <xdr:cNvSpPr>
          <a:spLocks noChangeAspect="1" noChangeArrowheads="1"/>
        </xdr:cNvSpPr>
      </xdr:nvSpPr>
      <xdr:spPr bwMode="auto">
        <a:xfrm>
          <a:off x="5334000" y="13331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934</xdr:row>
      <xdr:rowOff>0</xdr:rowOff>
    </xdr:from>
    <xdr:to>
      <xdr:col>2</xdr:col>
      <xdr:colOff>123825</xdr:colOff>
      <xdr:row>934</xdr:row>
      <xdr:rowOff>123825</xdr:rowOff>
    </xdr:to>
    <xdr:sp macro="" textlink="">
      <xdr:nvSpPr>
        <xdr:cNvPr id="4279" name="AutoShape 175" descr="Exempté du ballottage">
          <a:hlinkClick xmlns:r="http://schemas.openxmlformats.org/officeDocument/2006/relationships" r:id="rId387"/>
        </xdr:cNvPr>
        <xdr:cNvSpPr>
          <a:spLocks noChangeAspect="1" noChangeArrowheads="1"/>
        </xdr:cNvSpPr>
      </xdr:nvSpPr>
      <xdr:spPr bwMode="auto">
        <a:xfrm>
          <a:off x="1524000" y="13558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0" name="AutoShape 176" descr="https://capfriendly-wlb8ng5.stackpathdns.com/assets/images/icons/general/q.svg"/>
        <xdr:cNvSpPr>
          <a:spLocks noChangeAspect="1" noChangeArrowheads="1"/>
        </xdr:cNvSpPr>
      </xdr:nvSpPr>
      <xdr:spPr bwMode="auto">
        <a:xfrm>
          <a:off x="1524000" y="13842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1" name="AutoShape 177" descr="https://capfriendly-wlb8ng5.stackpathdns.com/assets/images/icons/general/q.svg"/>
        <xdr:cNvSpPr>
          <a:spLocks noChangeAspect="1" noChangeArrowheads="1"/>
        </xdr:cNvSpPr>
      </xdr:nvSpPr>
      <xdr:spPr bwMode="auto">
        <a:xfrm>
          <a:off x="1524000" y="13861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2" name="AutoShape 178" descr="https://capfriendly-wlb8ng5.stackpathdns.com/assets/images/icons/general/q.svg"/>
        <xdr:cNvSpPr>
          <a:spLocks noChangeAspect="1" noChangeArrowheads="1"/>
        </xdr:cNvSpPr>
      </xdr:nvSpPr>
      <xdr:spPr bwMode="auto">
        <a:xfrm>
          <a:off x="1524000" y="13880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3" name="AutoShape 179" descr="https://capfriendly-wlb8ng5.stackpathdns.com/assets/images/icons/general/q.svg"/>
        <xdr:cNvSpPr>
          <a:spLocks noChangeAspect="1" noChangeArrowheads="1"/>
        </xdr:cNvSpPr>
      </xdr:nvSpPr>
      <xdr:spPr bwMode="auto">
        <a:xfrm>
          <a:off x="1524000" y="13899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4" name="AutoShape 180" descr="https://capfriendly-wlb8ng5.stackpathdns.com/assets/images/icons/general/q.svg"/>
        <xdr:cNvSpPr>
          <a:spLocks noChangeAspect="1" noChangeArrowheads="1"/>
        </xdr:cNvSpPr>
      </xdr:nvSpPr>
      <xdr:spPr bwMode="auto">
        <a:xfrm>
          <a:off x="1524000" y="13918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5" name="AutoShape 181" descr="https://capfriendly-wlb8ng5.stackpathdns.com/assets/images/icons/general/q.svg"/>
        <xdr:cNvSpPr>
          <a:spLocks noChangeAspect="1" noChangeArrowheads="1"/>
        </xdr:cNvSpPr>
      </xdr:nvSpPr>
      <xdr:spPr bwMode="auto">
        <a:xfrm>
          <a:off x="1524000" y="13937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6" name="AutoShape 182" descr="https://capfriendly-wlb8ng5.stackpathdns.com/assets/images/icons/general/q.svg"/>
        <xdr:cNvSpPr>
          <a:spLocks noChangeAspect="1" noChangeArrowheads="1"/>
        </xdr:cNvSpPr>
      </xdr:nvSpPr>
      <xdr:spPr bwMode="auto">
        <a:xfrm>
          <a:off x="1524000" y="13956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7" name="AutoShape 183" descr="https://capfriendly-wlb8ng5.stackpathdns.com/assets/images/icons/general/q.svg"/>
        <xdr:cNvSpPr>
          <a:spLocks noChangeAspect="1" noChangeArrowheads="1"/>
        </xdr:cNvSpPr>
      </xdr:nvSpPr>
      <xdr:spPr bwMode="auto">
        <a:xfrm>
          <a:off x="1524000" y="13976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8" name="AutoShape 184" descr="https://capfriendly-wlb8ng5.stackpathdns.com/assets/images/icons/general/q.svg"/>
        <xdr:cNvSpPr>
          <a:spLocks noChangeAspect="1" noChangeArrowheads="1"/>
        </xdr:cNvSpPr>
      </xdr:nvSpPr>
      <xdr:spPr bwMode="auto">
        <a:xfrm>
          <a:off x="1524000" y="13995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9" name="AutoShape 185" descr="https://capfriendly-wlb8ng5.stackpathdns.com/assets/images/icons/general/q.svg"/>
        <xdr:cNvSpPr>
          <a:spLocks noChangeAspect="1" noChangeArrowheads="1"/>
        </xdr:cNvSpPr>
      </xdr:nvSpPr>
      <xdr:spPr bwMode="auto">
        <a:xfrm>
          <a:off x="1524000" y="14014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0" name="AutoShape 186" descr="https://capfriendly-wlb8ng5.stackpathdns.com/assets/images/icons/general/q.svg"/>
        <xdr:cNvSpPr>
          <a:spLocks noChangeAspect="1" noChangeArrowheads="1"/>
        </xdr:cNvSpPr>
      </xdr:nvSpPr>
      <xdr:spPr bwMode="auto">
        <a:xfrm>
          <a:off x="1524000" y="14033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1" name="AutoShape 187" descr="Bonis de performance"/>
        <xdr:cNvSpPr>
          <a:spLocks noChangeAspect="1" noChangeArrowheads="1"/>
        </xdr:cNvSpPr>
      </xdr:nvSpPr>
      <xdr:spPr bwMode="auto">
        <a:xfrm>
          <a:off x="152400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1069</xdr:row>
      <xdr:rowOff>0</xdr:rowOff>
    </xdr:from>
    <xdr:to>
      <xdr:col>2</xdr:col>
      <xdr:colOff>257175</xdr:colOff>
      <xdr:row>1069</xdr:row>
      <xdr:rowOff>123825</xdr:rowOff>
    </xdr:to>
    <xdr:sp macro="" textlink="">
      <xdr:nvSpPr>
        <xdr:cNvPr id="4292" name="AutoShape 188" descr="Exempté du ballottage">
          <a:hlinkClick xmlns:r="http://schemas.openxmlformats.org/officeDocument/2006/relationships" r:id="rId388"/>
        </xdr:cNvPr>
        <xdr:cNvSpPr>
          <a:spLocks noChangeAspect="1" noChangeArrowheads="1"/>
        </xdr:cNvSpPr>
      </xdr:nvSpPr>
      <xdr:spPr bwMode="auto">
        <a:xfrm>
          <a:off x="165735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293" name="AutoShape 189" descr="https://capfriendly-wlb8ng5.stackpathdns.com/assets/images/icons/general/q2.svg"/>
        <xdr:cNvSpPr>
          <a:spLocks noChangeAspect="1" noChangeArrowheads="1"/>
        </xdr:cNvSpPr>
      </xdr:nvSpPr>
      <xdr:spPr bwMode="auto">
        <a:xfrm>
          <a:off x="6096000" y="1413891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388</xdr:row>
      <xdr:rowOff>0</xdr:rowOff>
    </xdr:from>
    <xdr:to>
      <xdr:col>2</xdr:col>
      <xdr:colOff>123825</xdr:colOff>
      <xdr:row>388</xdr:row>
      <xdr:rowOff>123825</xdr:rowOff>
    </xdr:to>
    <xdr:sp macro="" textlink="">
      <xdr:nvSpPr>
        <xdr:cNvPr id="4294" name="AutoShape 190" descr="Bonis de performance"/>
        <xdr:cNvSpPr>
          <a:spLocks noChangeAspect="1" noChangeArrowheads="1"/>
        </xdr:cNvSpPr>
      </xdr:nvSpPr>
      <xdr:spPr bwMode="auto">
        <a:xfrm>
          <a:off x="152400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388</xdr:row>
      <xdr:rowOff>0</xdr:rowOff>
    </xdr:from>
    <xdr:to>
      <xdr:col>2</xdr:col>
      <xdr:colOff>257175</xdr:colOff>
      <xdr:row>388</xdr:row>
      <xdr:rowOff>123825</xdr:rowOff>
    </xdr:to>
    <xdr:sp macro="" textlink="">
      <xdr:nvSpPr>
        <xdr:cNvPr id="4295" name="AutoShape 191" descr="Exempté du ballottage">
          <a:hlinkClick xmlns:r="http://schemas.openxmlformats.org/officeDocument/2006/relationships" r:id="rId389"/>
        </xdr:cNvPr>
        <xdr:cNvSpPr>
          <a:spLocks noChangeAspect="1" noChangeArrowheads="1"/>
        </xdr:cNvSpPr>
      </xdr:nvSpPr>
      <xdr:spPr bwMode="auto">
        <a:xfrm>
          <a:off x="165735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1323</xdr:row>
      <xdr:rowOff>0</xdr:rowOff>
    </xdr:from>
    <xdr:to>
      <xdr:col>2</xdr:col>
      <xdr:colOff>123825</xdr:colOff>
      <xdr:row>1323</xdr:row>
      <xdr:rowOff>123825</xdr:rowOff>
    </xdr:to>
    <xdr:sp macro="" textlink="">
      <xdr:nvSpPr>
        <xdr:cNvPr id="4296" name="AutoShape 192" descr="Bonis de performance"/>
        <xdr:cNvSpPr>
          <a:spLocks noChangeAspect="1" noChangeArrowheads="1"/>
        </xdr:cNvSpPr>
      </xdr:nvSpPr>
      <xdr:spPr bwMode="auto">
        <a:xfrm>
          <a:off x="152400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1323</xdr:row>
      <xdr:rowOff>0</xdr:rowOff>
    </xdr:from>
    <xdr:to>
      <xdr:col>2</xdr:col>
      <xdr:colOff>257175</xdr:colOff>
      <xdr:row>1323</xdr:row>
      <xdr:rowOff>123825</xdr:rowOff>
    </xdr:to>
    <xdr:sp macro="" textlink="">
      <xdr:nvSpPr>
        <xdr:cNvPr id="4297" name="AutoShape 193" descr="Exempté du ballottage">
          <a:hlinkClick xmlns:r="http://schemas.openxmlformats.org/officeDocument/2006/relationships" r:id="rId390"/>
        </xdr:cNvPr>
        <xdr:cNvSpPr>
          <a:spLocks noChangeAspect="1" noChangeArrowheads="1"/>
        </xdr:cNvSpPr>
      </xdr:nvSpPr>
      <xdr:spPr bwMode="auto">
        <a:xfrm>
          <a:off x="165735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1394</xdr:row>
      <xdr:rowOff>0</xdr:rowOff>
    </xdr:from>
    <xdr:to>
      <xdr:col>2</xdr:col>
      <xdr:colOff>123825</xdr:colOff>
      <xdr:row>1394</xdr:row>
      <xdr:rowOff>123825</xdr:rowOff>
    </xdr:to>
    <xdr:sp macro="" textlink="">
      <xdr:nvSpPr>
        <xdr:cNvPr id="4298" name="AutoShape 194" descr="Bonis de performance"/>
        <xdr:cNvSpPr>
          <a:spLocks noChangeAspect="1" noChangeArrowheads="1"/>
        </xdr:cNvSpPr>
      </xdr:nvSpPr>
      <xdr:spPr bwMode="auto">
        <a:xfrm>
          <a:off x="152400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1394</xdr:row>
      <xdr:rowOff>0</xdr:rowOff>
    </xdr:from>
    <xdr:to>
      <xdr:col>2</xdr:col>
      <xdr:colOff>257175</xdr:colOff>
      <xdr:row>1394</xdr:row>
      <xdr:rowOff>123825</xdr:rowOff>
    </xdr:to>
    <xdr:sp macro="" textlink="">
      <xdr:nvSpPr>
        <xdr:cNvPr id="4299" name="AutoShape 195" descr="Exempté du ballottage">
          <a:hlinkClick xmlns:r="http://schemas.openxmlformats.org/officeDocument/2006/relationships" r:id="rId391"/>
        </xdr:cNvPr>
        <xdr:cNvSpPr>
          <a:spLocks noChangeAspect="1" noChangeArrowheads="1"/>
        </xdr:cNvSpPr>
      </xdr:nvSpPr>
      <xdr:spPr bwMode="auto">
        <a:xfrm>
          <a:off x="165735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1334</xdr:row>
      <xdr:rowOff>0</xdr:rowOff>
    </xdr:from>
    <xdr:to>
      <xdr:col>2</xdr:col>
      <xdr:colOff>123825</xdr:colOff>
      <xdr:row>1334</xdr:row>
      <xdr:rowOff>123825</xdr:rowOff>
    </xdr:to>
    <xdr:sp macro="" textlink="">
      <xdr:nvSpPr>
        <xdr:cNvPr id="4300" name="AutoShape 196" descr="Bonis de performance"/>
        <xdr:cNvSpPr>
          <a:spLocks noChangeAspect="1" noChangeArrowheads="1"/>
        </xdr:cNvSpPr>
      </xdr:nvSpPr>
      <xdr:spPr bwMode="auto">
        <a:xfrm>
          <a:off x="152400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1334</xdr:row>
      <xdr:rowOff>0</xdr:rowOff>
    </xdr:from>
    <xdr:to>
      <xdr:col>2</xdr:col>
      <xdr:colOff>257175</xdr:colOff>
      <xdr:row>1334</xdr:row>
      <xdr:rowOff>123825</xdr:rowOff>
    </xdr:to>
    <xdr:sp macro="" textlink="">
      <xdr:nvSpPr>
        <xdr:cNvPr id="4301" name="AutoShape 197" descr="Exempté du ballottage">
          <a:hlinkClick xmlns:r="http://schemas.openxmlformats.org/officeDocument/2006/relationships" r:id="rId392"/>
        </xdr:cNvPr>
        <xdr:cNvSpPr>
          <a:spLocks noChangeAspect="1" noChangeArrowheads="1"/>
        </xdr:cNvSpPr>
      </xdr:nvSpPr>
      <xdr:spPr bwMode="auto">
        <a:xfrm>
          <a:off x="165735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1396</xdr:row>
      <xdr:rowOff>0</xdr:rowOff>
    </xdr:from>
    <xdr:to>
      <xdr:col>2</xdr:col>
      <xdr:colOff>123825</xdr:colOff>
      <xdr:row>1396</xdr:row>
      <xdr:rowOff>123825</xdr:rowOff>
    </xdr:to>
    <xdr:sp macro="" textlink="">
      <xdr:nvSpPr>
        <xdr:cNvPr id="4302" name="AutoShape 198" descr="Exempté du ballottage">
          <a:hlinkClick xmlns:r="http://schemas.openxmlformats.org/officeDocument/2006/relationships" r:id="rId393"/>
        </xdr:cNvPr>
        <xdr:cNvSpPr>
          <a:spLocks noChangeAspect="1" noChangeArrowheads="1"/>
        </xdr:cNvSpPr>
      </xdr:nvSpPr>
      <xdr:spPr bwMode="auto">
        <a:xfrm>
          <a:off x="1524000" y="14234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xdr:row>
      <xdr:rowOff>0</xdr:rowOff>
    </xdr:from>
    <xdr:to>
      <xdr:col>2</xdr:col>
      <xdr:colOff>123825</xdr:colOff>
      <xdr:row>11</xdr:row>
      <xdr:rowOff>123825</xdr:rowOff>
    </xdr:to>
    <xdr:sp macro="" textlink="">
      <xdr:nvSpPr>
        <xdr:cNvPr id="4303" name="AutoShape 199" descr="Exempté du ballottage">
          <a:hlinkClick xmlns:r="http://schemas.openxmlformats.org/officeDocument/2006/relationships" r:id="rId394"/>
        </xdr:cNvPr>
        <xdr:cNvSpPr>
          <a:spLocks noChangeAspect="1" noChangeArrowheads="1"/>
        </xdr:cNvSpPr>
      </xdr:nvSpPr>
      <xdr:spPr bwMode="auto">
        <a:xfrm>
          <a:off x="1524000" y="14253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1055</xdr:row>
      <xdr:rowOff>0</xdr:rowOff>
    </xdr:from>
    <xdr:to>
      <xdr:col>2</xdr:col>
      <xdr:colOff>123825</xdr:colOff>
      <xdr:row>1055</xdr:row>
      <xdr:rowOff>123825</xdr:rowOff>
    </xdr:to>
    <xdr:sp macro="" textlink="">
      <xdr:nvSpPr>
        <xdr:cNvPr id="4304" name="AutoShape 200" descr="Exempté du ballottage">
          <a:hlinkClick xmlns:r="http://schemas.openxmlformats.org/officeDocument/2006/relationships" r:id="rId395"/>
        </xdr:cNvPr>
        <xdr:cNvSpPr>
          <a:spLocks noChangeAspect="1" noChangeArrowheads="1"/>
        </xdr:cNvSpPr>
      </xdr:nvSpPr>
      <xdr:spPr bwMode="auto">
        <a:xfrm>
          <a:off x="1524000" y="14272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1414</xdr:row>
      <xdr:rowOff>0</xdr:rowOff>
    </xdr:from>
    <xdr:to>
      <xdr:col>2</xdr:col>
      <xdr:colOff>123825</xdr:colOff>
      <xdr:row>1414</xdr:row>
      <xdr:rowOff>123825</xdr:rowOff>
    </xdr:to>
    <xdr:sp macro="" textlink="">
      <xdr:nvSpPr>
        <xdr:cNvPr id="4305" name="AutoShape 201" descr="Exempté du ballottage">
          <a:hlinkClick xmlns:r="http://schemas.openxmlformats.org/officeDocument/2006/relationships" r:id="rId396"/>
        </xdr:cNvPr>
        <xdr:cNvSpPr>
          <a:spLocks noChangeAspect="1" noChangeArrowheads="1"/>
        </xdr:cNvSpPr>
      </xdr:nvSpPr>
      <xdr:spPr bwMode="auto">
        <a:xfrm>
          <a:off x="1524000" y="14291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xdr:row>
      <xdr:rowOff>0</xdr:rowOff>
    </xdr:from>
    <xdr:to>
      <xdr:col>2</xdr:col>
      <xdr:colOff>123825</xdr:colOff>
      <xdr:row>85</xdr:row>
      <xdr:rowOff>123825</xdr:rowOff>
    </xdr:to>
    <xdr:sp macro="" textlink="">
      <xdr:nvSpPr>
        <xdr:cNvPr id="4306" name="AutoShape 202" descr="Exempté du ballottage">
          <a:hlinkClick xmlns:r="http://schemas.openxmlformats.org/officeDocument/2006/relationships" r:id="rId397"/>
        </xdr:cNvPr>
        <xdr:cNvSpPr>
          <a:spLocks noChangeAspect="1" noChangeArrowheads="1"/>
        </xdr:cNvSpPr>
      </xdr:nvSpPr>
      <xdr:spPr bwMode="auto">
        <a:xfrm>
          <a:off x="1524000" y="14310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xdr:row>
      <xdr:rowOff>0</xdr:rowOff>
    </xdr:from>
    <xdr:to>
      <xdr:col>7</xdr:col>
      <xdr:colOff>123825</xdr:colOff>
      <xdr:row>58</xdr:row>
      <xdr:rowOff>104775</xdr:rowOff>
    </xdr:to>
    <xdr:sp macro="" textlink="">
      <xdr:nvSpPr>
        <xdr:cNvPr id="4307" name="AutoShape 203" descr="Éligible à l'arbitrage">
          <a:hlinkClick xmlns:r="http://schemas.openxmlformats.org/officeDocument/2006/relationships" r:id="rId398"/>
        </xdr:cNvPr>
        <xdr:cNvSpPr>
          <a:spLocks noChangeAspect="1" noChangeArrowheads="1"/>
        </xdr:cNvSpPr>
      </xdr:nvSpPr>
      <xdr:spPr bwMode="auto">
        <a:xfrm>
          <a:off x="5334000" y="143294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901</xdr:row>
      <xdr:rowOff>0</xdr:rowOff>
    </xdr:from>
    <xdr:to>
      <xdr:col>7</xdr:col>
      <xdr:colOff>123825</xdr:colOff>
      <xdr:row>901</xdr:row>
      <xdr:rowOff>104775</xdr:rowOff>
    </xdr:to>
    <xdr:sp macro="" textlink="">
      <xdr:nvSpPr>
        <xdr:cNvPr id="4308" name="AutoShape 204" descr="Éligible à l'arbitrage">
          <a:hlinkClick xmlns:r="http://schemas.openxmlformats.org/officeDocument/2006/relationships" r:id="rId399"/>
        </xdr:cNvPr>
        <xdr:cNvSpPr>
          <a:spLocks noChangeAspect="1" noChangeArrowheads="1"/>
        </xdr:cNvSpPr>
      </xdr:nvSpPr>
      <xdr:spPr bwMode="auto">
        <a:xfrm>
          <a:off x="5334000" y="143675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1246</xdr:row>
      <xdr:rowOff>0</xdr:rowOff>
    </xdr:from>
    <xdr:to>
      <xdr:col>2</xdr:col>
      <xdr:colOff>123825</xdr:colOff>
      <xdr:row>1246</xdr:row>
      <xdr:rowOff>123825</xdr:rowOff>
    </xdr:to>
    <xdr:sp macro="" textlink="">
      <xdr:nvSpPr>
        <xdr:cNvPr id="4309" name="AutoShape 205" descr="Exempté du ballottage">
          <a:hlinkClick xmlns:r="http://schemas.openxmlformats.org/officeDocument/2006/relationships" r:id="rId400"/>
        </xdr:cNvPr>
        <xdr:cNvSpPr>
          <a:spLocks noChangeAspect="1" noChangeArrowheads="1"/>
        </xdr:cNvSpPr>
      </xdr:nvSpPr>
      <xdr:spPr bwMode="auto">
        <a:xfrm>
          <a:off x="1524000" y="14479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802</xdr:row>
      <xdr:rowOff>0</xdr:rowOff>
    </xdr:from>
    <xdr:to>
      <xdr:col>2</xdr:col>
      <xdr:colOff>123825</xdr:colOff>
      <xdr:row>802</xdr:row>
      <xdr:rowOff>123825</xdr:rowOff>
    </xdr:to>
    <xdr:sp macro="" textlink="">
      <xdr:nvSpPr>
        <xdr:cNvPr id="4310" name="AutoShape 206" descr="Exempté du ballottage">
          <a:hlinkClick xmlns:r="http://schemas.openxmlformats.org/officeDocument/2006/relationships" r:id="rId401"/>
        </xdr:cNvPr>
        <xdr:cNvSpPr>
          <a:spLocks noChangeAspect="1" noChangeArrowheads="1"/>
        </xdr:cNvSpPr>
      </xdr:nvSpPr>
      <xdr:spPr bwMode="auto">
        <a:xfrm>
          <a:off x="1524000" y="14498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669</xdr:row>
      <xdr:rowOff>0</xdr:rowOff>
    </xdr:from>
    <xdr:to>
      <xdr:col>2</xdr:col>
      <xdr:colOff>123825</xdr:colOff>
      <xdr:row>669</xdr:row>
      <xdr:rowOff>123825</xdr:rowOff>
    </xdr:to>
    <xdr:sp macro="" textlink="">
      <xdr:nvSpPr>
        <xdr:cNvPr id="4311" name="AutoShape 207" descr="Bonis de performance"/>
        <xdr:cNvSpPr>
          <a:spLocks noChangeAspect="1" noChangeArrowheads="1"/>
        </xdr:cNvSpPr>
      </xdr:nvSpPr>
      <xdr:spPr bwMode="auto">
        <a:xfrm>
          <a:off x="152400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669</xdr:row>
      <xdr:rowOff>0</xdr:rowOff>
    </xdr:from>
    <xdr:to>
      <xdr:col>2</xdr:col>
      <xdr:colOff>257175</xdr:colOff>
      <xdr:row>669</xdr:row>
      <xdr:rowOff>123825</xdr:rowOff>
    </xdr:to>
    <xdr:sp macro="" textlink="">
      <xdr:nvSpPr>
        <xdr:cNvPr id="4312" name="AutoShape 208" descr="Exempté du ballottage">
          <a:hlinkClick xmlns:r="http://schemas.openxmlformats.org/officeDocument/2006/relationships" r:id="rId402"/>
        </xdr:cNvPr>
        <xdr:cNvSpPr>
          <a:spLocks noChangeAspect="1" noChangeArrowheads="1"/>
        </xdr:cNvSpPr>
      </xdr:nvSpPr>
      <xdr:spPr bwMode="auto">
        <a:xfrm>
          <a:off x="165735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161</xdr:row>
      <xdr:rowOff>0</xdr:rowOff>
    </xdr:from>
    <xdr:to>
      <xdr:col>2</xdr:col>
      <xdr:colOff>123825</xdr:colOff>
      <xdr:row>161</xdr:row>
      <xdr:rowOff>123825</xdr:rowOff>
    </xdr:to>
    <xdr:sp macro="" textlink="">
      <xdr:nvSpPr>
        <xdr:cNvPr id="4313" name="AutoShape 209" descr="Bonis de performance"/>
        <xdr:cNvSpPr>
          <a:spLocks noChangeAspect="1" noChangeArrowheads="1"/>
        </xdr:cNvSpPr>
      </xdr:nvSpPr>
      <xdr:spPr bwMode="auto">
        <a:xfrm>
          <a:off x="152400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161</xdr:row>
      <xdr:rowOff>0</xdr:rowOff>
    </xdr:from>
    <xdr:to>
      <xdr:col>2</xdr:col>
      <xdr:colOff>257175</xdr:colOff>
      <xdr:row>161</xdr:row>
      <xdr:rowOff>123825</xdr:rowOff>
    </xdr:to>
    <xdr:sp macro="" textlink="">
      <xdr:nvSpPr>
        <xdr:cNvPr id="4314" name="AutoShape 210" descr="Exempté du ballottage">
          <a:hlinkClick xmlns:r="http://schemas.openxmlformats.org/officeDocument/2006/relationships" r:id="rId403"/>
        </xdr:cNvPr>
        <xdr:cNvSpPr>
          <a:spLocks noChangeAspect="1" noChangeArrowheads="1"/>
        </xdr:cNvSpPr>
      </xdr:nvSpPr>
      <xdr:spPr bwMode="auto">
        <a:xfrm>
          <a:off x="165735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414</xdr:row>
      <xdr:rowOff>0</xdr:rowOff>
    </xdr:from>
    <xdr:to>
      <xdr:col>2</xdr:col>
      <xdr:colOff>123825</xdr:colOff>
      <xdr:row>414</xdr:row>
      <xdr:rowOff>123825</xdr:rowOff>
    </xdr:to>
    <xdr:sp macro="" textlink="">
      <xdr:nvSpPr>
        <xdr:cNvPr id="4315" name="AutoShape 211" descr="Bonis de performance"/>
        <xdr:cNvSpPr>
          <a:spLocks noChangeAspect="1" noChangeArrowheads="1"/>
        </xdr:cNvSpPr>
      </xdr:nvSpPr>
      <xdr:spPr bwMode="auto">
        <a:xfrm>
          <a:off x="152400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414</xdr:row>
      <xdr:rowOff>0</xdr:rowOff>
    </xdr:from>
    <xdr:to>
      <xdr:col>2</xdr:col>
      <xdr:colOff>257175</xdr:colOff>
      <xdr:row>414</xdr:row>
      <xdr:rowOff>123825</xdr:rowOff>
    </xdr:to>
    <xdr:sp macro="" textlink="">
      <xdr:nvSpPr>
        <xdr:cNvPr id="4316" name="AutoShape 212" descr="Exempté du ballottage">
          <a:hlinkClick xmlns:r="http://schemas.openxmlformats.org/officeDocument/2006/relationships" r:id="rId404"/>
        </xdr:cNvPr>
        <xdr:cNvSpPr>
          <a:spLocks noChangeAspect="1" noChangeArrowheads="1"/>
        </xdr:cNvSpPr>
      </xdr:nvSpPr>
      <xdr:spPr bwMode="auto">
        <a:xfrm>
          <a:off x="165735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1017</xdr:row>
      <xdr:rowOff>0</xdr:rowOff>
    </xdr:from>
    <xdr:to>
      <xdr:col>7</xdr:col>
      <xdr:colOff>123825</xdr:colOff>
      <xdr:row>1017</xdr:row>
      <xdr:rowOff>104775</xdr:rowOff>
    </xdr:to>
    <xdr:sp macro="" textlink="">
      <xdr:nvSpPr>
        <xdr:cNvPr id="4317" name="AutoShape 213" descr="Éligible à l'arbitrage">
          <a:hlinkClick xmlns:r="http://schemas.openxmlformats.org/officeDocument/2006/relationships" r:id="rId405"/>
        </xdr:cNvPr>
        <xdr:cNvSpPr>
          <a:spLocks noChangeAspect="1" noChangeArrowheads="1"/>
        </xdr:cNvSpPr>
      </xdr:nvSpPr>
      <xdr:spPr bwMode="auto">
        <a:xfrm>
          <a:off x="5334000" y="14575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1082</xdr:row>
      <xdr:rowOff>0</xdr:rowOff>
    </xdr:from>
    <xdr:to>
      <xdr:col>2</xdr:col>
      <xdr:colOff>123825</xdr:colOff>
      <xdr:row>1082</xdr:row>
      <xdr:rowOff>123825</xdr:rowOff>
    </xdr:to>
    <xdr:sp macro="" textlink="">
      <xdr:nvSpPr>
        <xdr:cNvPr id="4318" name="AutoShape 214" descr="Bonis de performance"/>
        <xdr:cNvSpPr>
          <a:spLocks noChangeAspect="1" noChangeArrowheads="1"/>
        </xdr:cNvSpPr>
      </xdr:nvSpPr>
      <xdr:spPr bwMode="auto">
        <a:xfrm>
          <a:off x="152400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1082</xdr:row>
      <xdr:rowOff>0</xdr:rowOff>
    </xdr:from>
    <xdr:to>
      <xdr:col>2</xdr:col>
      <xdr:colOff>257175</xdr:colOff>
      <xdr:row>1082</xdr:row>
      <xdr:rowOff>123825</xdr:rowOff>
    </xdr:to>
    <xdr:sp macro="" textlink="">
      <xdr:nvSpPr>
        <xdr:cNvPr id="4319" name="AutoShape 215" descr="Exempté du ballottage">
          <a:hlinkClick xmlns:r="http://schemas.openxmlformats.org/officeDocument/2006/relationships" r:id="rId406"/>
        </xdr:cNvPr>
        <xdr:cNvSpPr>
          <a:spLocks noChangeAspect="1" noChangeArrowheads="1"/>
        </xdr:cNvSpPr>
      </xdr:nvSpPr>
      <xdr:spPr bwMode="auto">
        <a:xfrm>
          <a:off x="165735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920</xdr:row>
      <xdr:rowOff>0</xdr:rowOff>
    </xdr:from>
    <xdr:to>
      <xdr:col>2</xdr:col>
      <xdr:colOff>123825</xdr:colOff>
      <xdr:row>920</xdr:row>
      <xdr:rowOff>123825</xdr:rowOff>
    </xdr:to>
    <xdr:sp macro="" textlink="">
      <xdr:nvSpPr>
        <xdr:cNvPr id="4320" name="AutoShape 216" descr="Exempté du ballottage">
          <a:hlinkClick xmlns:r="http://schemas.openxmlformats.org/officeDocument/2006/relationships" r:id="rId407"/>
        </xdr:cNvPr>
        <xdr:cNvSpPr>
          <a:spLocks noChangeAspect="1" noChangeArrowheads="1"/>
        </xdr:cNvSpPr>
      </xdr:nvSpPr>
      <xdr:spPr bwMode="auto">
        <a:xfrm>
          <a:off x="1524000" y="14726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872</xdr:row>
      <xdr:rowOff>0</xdr:rowOff>
    </xdr:from>
    <xdr:to>
      <xdr:col>7</xdr:col>
      <xdr:colOff>123825</xdr:colOff>
      <xdr:row>872</xdr:row>
      <xdr:rowOff>104775</xdr:rowOff>
    </xdr:to>
    <xdr:sp macro="" textlink="">
      <xdr:nvSpPr>
        <xdr:cNvPr id="4321" name="AutoShape 217" descr="Éligible à l'arbitrage">
          <a:hlinkClick xmlns:r="http://schemas.openxmlformats.org/officeDocument/2006/relationships" r:id="rId408"/>
        </xdr:cNvPr>
        <xdr:cNvSpPr>
          <a:spLocks noChangeAspect="1" noChangeArrowheads="1"/>
        </xdr:cNvSpPr>
      </xdr:nvSpPr>
      <xdr:spPr bwMode="auto">
        <a:xfrm>
          <a:off x="5334000" y="14055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43</xdr:row>
      <xdr:rowOff>0</xdr:rowOff>
    </xdr:from>
    <xdr:to>
      <xdr:col>7</xdr:col>
      <xdr:colOff>123825</xdr:colOff>
      <xdr:row>43</xdr:row>
      <xdr:rowOff>104775</xdr:rowOff>
    </xdr:to>
    <xdr:sp macro="" textlink="">
      <xdr:nvSpPr>
        <xdr:cNvPr id="4322" name="AutoShape 218" descr="Éligible à l'arbitrage">
          <a:hlinkClick xmlns:r="http://schemas.openxmlformats.org/officeDocument/2006/relationships" r:id="rId409"/>
        </xdr:cNvPr>
        <xdr:cNvSpPr>
          <a:spLocks noChangeAspect="1" noChangeArrowheads="1"/>
        </xdr:cNvSpPr>
      </xdr:nvSpPr>
      <xdr:spPr bwMode="auto">
        <a:xfrm>
          <a:off x="5334000" y="1407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xdr:row>
      <xdr:rowOff>0</xdr:rowOff>
    </xdr:from>
    <xdr:to>
      <xdr:col>7</xdr:col>
      <xdr:colOff>123825</xdr:colOff>
      <xdr:row>98</xdr:row>
      <xdr:rowOff>104775</xdr:rowOff>
    </xdr:to>
    <xdr:sp macro="" textlink="">
      <xdr:nvSpPr>
        <xdr:cNvPr id="4323" name="AutoShape 219" descr="Éligible à l'arbitrage">
          <a:hlinkClick xmlns:r="http://schemas.openxmlformats.org/officeDocument/2006/relationships" r:id="rId410"/>
        </xdr:cNvPr>
        <xdr:cNvSpPr>
          <a:spLocks noChangeAspect="1" noChangeArrowheads="1"/>
        </xdr:cNvSpPr>
      </xdr:nvSpPr>
      <xdr:spPr bwMode="auto">
        <a:xfrm>
          <a:off x="5334000" y="14131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289</xdr:row>
      <xdr:rowOff>0</xdr:rowOff>
    </xdr:from>
    <xdr:to>
      <xdr:col>7</xdr:col>
      <xdr:colOff>123825</xdr:colOff>
      <xdr:row>289</xdr:row>
      <xdr:rowOff>104775</xdr:rowOff>
    </xdr:to>
    <xdr:sp macro="" textlink="">
      <xdr:nvSpPr>
        <xdr:cNvPr id="4324" name="AutoShape 220" descr="Éligible à l'arbitrage">
          <a:hlinkClick xmlns:r="http://schemas.openxmlformats.org/officeDocument/2006/relationships" r:id="rId411"/>
        </xdr:cNvPr>
        <xdr:cNvSpPr>
          <a:spLocks noChangeAspect="1" noChangeArrowheads="1"/>
        </xdr:cNvSpPr>
      </xdr:nvSpPr>
      <xdr:spPr bwMode="auto">
        <a:xfrm>
          <a:off x="5334000" y="14150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1112</xdr:row>
      <xdr:rowOff>0</xdr:rowOff>
    </xdr:from>
    <xdr:to>
      <xdr:col>2</xdr:col>
      <xdr:colOff>123825</xdr:colOff>
      <xdr:row>1112</xdr:row>
      <xdr:rowOff>123825</xdr:rowOff>
    </xdr:to>
    <xdr:sp macro="" textlink="">
      <xdr:nvSpPr>
        <xdr:cNvPr id="4325" name="AutoShape 221" descr="Bonis de performance"/>
        <xdr:cNvSpPr>
          <a:spLocks noChangeAspect="1" noChangeArrowheads="1"/>
        </xdr:cNvSpPr>
      </xdr:nvSpPr>
      <xdr:spPr bwMode="auto">
        <a:xfrm>
          <a:off x="152400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1112</xdr:row>
      <xdr:rowOff>0</xdr:rowOff>
    </xdr:from>
    <xdr:to>
      <xdr:col>2</xdr:col>
      <xdr:colOff>257175</xdr:colOff>
      <xdr:row>1112</xdr:row>
      <xdr:rowOff>123825</xdr:rowOff>
    </xdr:to>
    <xdr:sp macro="" textlink="">
      <xdr:nvSpPr>
        <xdr:cNvPr id="4326" name="AutoShape 222" descr="Exempté du ballottage">
          <a:hlinkClick xmlns:r="http://schemas.openxmlformats.org/officeDocument/2006/relationships" r:id="rId412"/>
        </xdr:cNvPr>
        <xdr:cNvSpPr>
          <a:spLocks noChangeAspect="1" noChangeArrowheads="1"/>
        </xdr:cNvSpPr>
      </xdr:nvSpPr>
      <xdr:spPr bwMode="auto">
        <a:xfrm>
          <a:off x="165735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4327" name="AutoShape 223" descr="Bonis de performance"/>
        <xdr:cNvSpPr>
          <a:spLocks noChangeAspect="1" noChangeArrowheads="1"/>
        </xdr:cNvSpPr>
      </xdr:nvSpPr>
      <xdr:spPr bwMode="auto">
        <a:xfrm>
          <a:off x="1524000" y="14188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xdr:row>
      <xdr:rowOff>0</xdr:rowOff>
    </xdr:from>
    <xdr:to>
      <xdr:col>7</xdr:col>
      <xdr:colOff>123825</xdr:colOff>
      <xdr:row>144</xdr:row>
      <xdr:rowOff>104775</xdr:rowOff>
    </xdr:to>
    <xdr:sp macro="" textlink="">
      <xdr:nvSpPr>
        <xdr:cNvPr id="4328" name="AutoShape 224" descr="Éligible à l'arbitrage">
          <a:hlinkClick xmlns:r="http://schemas.openxmlformats.org/officeDocument/2006/relationships" r:id="rId413"/>
        </xdr:cNvPr>
        <xdr:cNvSpPr>
          <a:spLocks noChangeAspect="1" noChangeArrowheads="1"/>
        </xdr:cNvSpPr>
      </xdr:nvSpPr>
      <xdr:spPr bwMode="auto">
        <a:xfrm>
          <a:off x="5334000" y="14377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610</xdr:row>
      <xdr:rowOff>0</xdr:rowOff>
    </xdr:from>
    <xdr:to>
      <xdr:col>2</xdr:col>
      <xdr:colOff>123825</xdr:colOff>
      <xdr:row>610</xdr:row>
      <xdr:rowOff>123825</xdr:rowOff>
    </xdr:to>
    <xdr:sp macro="" textlink="">
      <xdr:nvSpPr>
        <xdr:cNvPr id="4329" name="AutoShape 225" descr="Bonis de performance"/>
        <xdr:cNvSpPr>
          <a:spLocks noChangeAspect="1" noChangeArrowheads="1"/>
        </xdr:cNvSpPr>
      </xdr:nvSpPr>
      <xdr:spPr bwMode="auto">
        <a:xfrm>
          <a:off x="152400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610</xdr:row>
      <xdr:rowOff>0</xdr:rowOff>
    </xdr:from>
    <xdr:to>
      <xdr:col>2</xdr:col>
      <xdr:colOff>257175</xdr:colOff>
      <xdr:row>610</xdr:row>
      <xdr:rowOff>123825</xdr:rowOff>
    </xdr:to>
    <xdr:sp macro="" textlink="">
      <xdr:nvSpPr>
        <xdr:cNvPr id="4330" name="AutoShape 226" descr="Exempté du ballottage">
          <a:hlinkClick xmlns:r="http://schemas.openxmlformats.org/officeDocument/2006/relationships" r:id="rId414"/>
        </xdr:cNvPr>
        <xdr:cNvSpPr>
          <a:spLocks noChangeAspect="1" noChangeArrowheads="1"/>
        </xdr:cNvSpPr>
      </xdr:nvSpPr>
      <xdr:spPr bwMode="auto">
        <a:xfrm>
          <a:off x="165735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4331" name="AutoShape 227" descr="Bonis de performance"/>
        <xdr:cNvSpPr>
          <a:spLocks noChangeAspect="1" noChangeArrowheads="1"/>
        </xdr:cNvSpPr>
      </xdr:nvSpPr>
      <xdr:spPr bwMode="auto">
        <a:xfrm>
          <a:off x="1524000" y="14491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1472</xdr:row>
      <xdr:rowOff>0</xdr:rowOff>
    </xdr:from>
    <xdr:to>
      <xdr:col>4</xdr:col>
      <xdr:colOff>114300</xdr:colOff>
      <xdr:row>1472</xdr:row>
      <xdr:rowOff>114300</xdr:rowOff>
    </xdr:to>
    <xdr:sp macro="" textlink="">
      <xdr:nvSpPr>
        <xdr:cNvPr id="4332" name="AutoShape 228" descr="https://capfriendly-wlb8ng5.stackpathdns.com/assets/images/icons/players/injury.svg"/>
        <xdr:cNvSpPr>
          <a:spLocks noChangeAspect="1" noChangeArrowheads="1"/>
        </xdr:cNvSpPr>
      </xdr:nvSpPr>
      <xdr:spPr bwMode="auto">
        <a:xfrm>
          <a:off x="3048000" y="146237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439</xdr:row>
      <xdr:rowOff>0</xdr:rowOff>
    </xdr:from>
    <xdr:to>
      <xdr:col>4</xdr:col>
      <xdr:colOff>114300</xdr:colOff>
      <xdr:row>439</xdr:row>
      <xdr:rowOff>114300</xdr:rowOff>
    </xdr:to>
    <xdr:sp macro="" textlink="">
      <xdr:nvSpPr>
        <xdr:cNvPr id="4333" name="AutoShape 229" descr="https://capfriendly-wlb8ng5.stackpathdns.com/assets/images/icons/players/injury.svg"/>
        <xdr:cNvSpPr>
          <a:spLocks noChangeAspect="1" noChangeArrowheads="1"/>
        </xdr:cNvSpPr>
      </xdr:nvSpPr>
      <xdr:spPr bwMode="auto">
        <a:xfrm>
          <a:off x="3048000" y="146427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4" name="AutoShape 230" descr="https://capfriendly-wlb8ng5.stackpathdns.com/assets/images/icons/general/q.svg"/>
        <xdr:cNvSpPr>
          <a:spLocks noChangeAspect="1" noChangeArrowheads="1"/>
        </xdr:cNvSpPr>
      </xdr:nvSpPr>
      <xdr:spPr bwMode="auto">
        <a:xfrm>
          <a:off x="1524000" y="1483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5" name="AutoShape 231" descr="https://capfriendly-wlb8ng5.stackpathdns.com/assets/images/icons/general/q.svg"/>
        <xdr:cNvSpPr>
          <a:spLocks noChangeAspect="1" noChangeArrowheads="1"/>
        </xdr:cNvSpPr>
      </xdr:nvSpPr>
      <xdr:spPr bwMode="auto">
        <a:xfrm>
          <a:off x="1524000" y="1485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6" name="AutoShape 232" descr="https://capfriendly-wlb8ng5.stackpathdns.com/assets/images/icons/general/q.svg"/>
        <xdr:cNvSpPr>
          <a:spLocks noChangeAspect="1" noChangeArrowheads="1"/>
        </xdr:cNvSpPr>
      </xdr:nvSpPr>
      <xdr:spPr bwMode="auto">
        <a:xfrm>
          <a:off x="1524000" y="1487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7" name="AutoShape 233" descr="https://capfriendly-wlb8ng5.stackpathdns.com/assets/images/icons/general/q.svg"/>
        <xdr:cNvSpPr>
          <a:spLocks noChangeAspect="1" noChangeArrowheads="1"/>
        </xdr:cNvSpPr>
      </xdr:nvSpPr>
      <xdr:spPr bwMode="auto">
        <a:xfrm>
          <a:off x="1524000" y="1488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8" name="AutoShape 234" descr="https://capfriendly-wlb8ng5.stackpathdns.com/assets/images/icons/general/q.svg"/>
        <xdr:cNvSpPr>
          <a:spLocks noChangeAspect="1" noChangeArrowheads="1"/>
        </xdr:cNvSpPr>
      </xdr:nvSpPr>
      <xdr:spPr bwMode="auto">
        <a:xfrm>
          <a:off x="1524000" y="1490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9" name="AutoShape 235" descr="https://capfriendly-wlb8ng5.stackpathdns.com/assets/images/icons/general/q.svg"/>
        <xdr:cNvSpPr>
          <a:spLocks noChangeAspect="1" noChangeArrowheads="1"/>
        </xdr:cNvSpPr>
      </xdr:nvSpPr>
      <xdr:spPr bwMode="auto">
        <a:xfrm>
          <a:off x="1524000" y="1492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0" name="AutoShape 236" descr="https://capfriendly-wlb8ng5.stackpathdns.com/assets/images/icons/general/q.svg"/>
        <xdr:cNvSpPr>
          <a:spLocks noChangeAspect="1" noChangeArrowheads="1"/>
        </xdr:cNvSpPr>
      </xdr:nvSpPr>
      <xdr:spPr bwMode="auto">
        <a:xfrm>
          <a:off x="1524000" y="1494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1" name="AutoShape 237" descr="https://capfriendly-wlb8ng5.stackpathdns.com/assets/images/icons/general/q.svg"/>
        <xdr:cNvSpPr>
          <a:spLocks noChangeAspect="1" noChangeArrowheads="1"/>
        </xdr:cNvSpPr>
      </xdr:nvSpPr>
      <xdr:spPr bwMode="auto">
        <a:xfrm>
          <a:off x="1524000" y="1496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2" name="AutoShape 238" descr="https://capfriendly-wlb8ng5.stackpathdns.com/assets/images/icons/general/q.svg"/>
        <xdr:cNvSpPr>
          <a:spLocks noChangeAspect="1" noChangeArrowheads="1"/>
        </xdr:cNvSpPr>
      </xdr:nvSpPr>
      <xdr:spPr bwMode="auto">
        <a:xfrm>
          <a:off x="1524000" y="14984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3" name="AutoShape 239" descr="https://capfriendly-wlb8ng5.stackpathdns.com/assets/images/icons/general/q.svg"/>
        <xdr:cNvSpPr>
          <a:spLocks noChangeAspect="1" noChangeArrowheads="1"/>
        </xdr:cNvSpPr>
      </xdr:nvSpPr>
      <xdr:spPr bwMode="auto">
        <a:xfrm>
          <a:off x="1524000" y="15003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4" name="AutoShape 240" descr="https://capfriendly-wlb8ng5.stackpathdns.com/assets/images/icons/general/q.svg"/>
        <xdr:cNvSpPr>
          <a:spLocks noChangeAspect="1" noChangeArrowheads="1"/>
        </xdr:cNvSpPr>
      </xdr:nvSpPr>
      <xdr:spPr bwMode="auto">
        <a:xfrm>
          <a:off x="1524000" y="15022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5" name="AutoShape 241" descr="Bonis de performance"/>
        <xdr:cNvSpPr>
          <a:spLocks noChangeAspect="1" noChangeArrowheads="1"/>
        </xdr:cNvSpPr>
      </xdr:nvSpPr>
      <xdr:spPr bwMode="auto">
        <a:xfrm>
          <a:off x="152400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1076</xdr:row>
      <xdr:rowOff>0</xdr:rowOff>
    </xdr:from>
    <xdr:to>
      <xdr:col>2</xdr:col>
      <xdr:colOff>257175</xdr:colOff>
      <xdr:row>1076</xdr:row>
      <xdr:rowOff>123825</xdr:rowOff>
    </xdr:to>
    <xdr:sp macro="" textlink="">
      <xdr:nvSpPr>
        <xdr:cNvPr id="4346" name="AutoShape 242" descr="Exempté du ballottage">
          <a:hlinkClick xmlns:r="http://schemas.openxmlformats.org/officeDocument/2006/relationships" r:id="rId415"/>
        </xdr:cNvPr>
        <xdr:cNvSpPr>
          <a:spLocks noChangeAspect="1" noChangeArrowheads="1"/>
        </xdr:cNvSpPr>
      </xdr:nvSpPr>
      <xdr:spPr bwMode="auto">
        <a:xfrm>
          <a:off x="165735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752</xdr:row>
      <xdr:rowOff>0</xdr:rowOff>
    </xdr:from>
    <xdr:to>
      <xdr:col>2</xdr:col>
      <xdr:colOff>123825</xdr:colOff>
      <xdr:row>752</xdr:row>
      <xdr:rowOff>123825</xdr:rowOff>
    </xdr:to>
    <xdr:sp macro="" textlink="">
      <xdr:nvSpPr>
        <xdr:cNvPr id="4347" name="AutoShape 243" descr="Bonis de performance"/>
        <xdr:cNvSpPr>
          <a:spLocks noChangeAspect="1" noChangeArrowheads="1"/>
        </xdr:cNvSpPr>
      </xdr:nvSpPr>
      <xdr:spPr bwMode="auto">
        <a:xfrm>
          <a:off x="152400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752</xdr:row>
      <xdr:rowOff>0</xdr:rowOff>
    </xdr:from>
    <xdr:to>
      <xdr:col>2</xdr:col>
      <xdr:colOff>257175</xdr:colOff>
      <xdr:row>752</xdr:row>
      <xdr:rowOff>123825</xdr:rowOff>
    </xdr:to>
    <xdr:sp macro="" textlink="">
      <xdr:nvSpPr>
        <xdr:cNvPr id="4348" name="AutoShape 244" descr="Exempté du ballottage">
          <a:hlinkClick xmlns:r="http://schemas.openxmlformats.org/officeDocument/2006/relationships" r:id="rId416"/>
        </xdr:cNvPr>
        <xdr:cNvSpPr>
          <a:spLocks noChangeAspect="1" noChangeArrowheads="1"/>
        </xdr:cNvSpPr>
      </xdr:nvSpPr>
      <xdr:spPr bwMode="auto">
        <a:xfrm>
          <a:off x="165735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590</xdr:row>
      <xdr:rowOff>0</xdr:rowOff>
    </xdr:from>
    <xdr:to>
      <xdr:col>2</xdr:col>
      <xdr:colOff>123825</xdr:colOff>
      <xdr:row>590</xdr:row>
      <xdr:rowOff>123825</xdr:rowOff>
    </xdr:to>
    <xdr:sp macro="" textlink="">
      <xdr:nvSpPr>
        <xdr:cNvPr id="4349" name="AutoShape 245" descr="Bonis de performance"/>
        <xdr:cNvSpPr>
          <a:spLocks noChangeAspect="1" noChangeArrowheads="1"/>
        </xdr:cNvSpPr>
      </xdr:nvSpPr>
      <xdr:spPr bwMode="auto">
        <a:xfrm>
          <a:off x="152400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590</xdr:row>
      <xdr:rowOff>0</xdr:rowOff>
    </xdr:from>
    <xdr:to>
      <xdr:col>2</xdr:col>
      <xdr:colOff>257175</xdr:colOff>
      <xdr:row>590</xdr:row>
      <xdr:rowOff>123825</xdr:rowOff>
    </xdr:to>
    <xdr:sp macro="" textlink="">
      <xdr:nvSpPr>
        <xdr:cNvPr id="4350" name="AutoShape 246" descr="Exempté du ballottage">
          <a:hlinkClick xmlns:r="http://schemas.openxmlformats.org/officeDocument/2006/relationships" r:id="rId417"/>
        </xdr:cNvPr>
        <xdr:cNvSpPr>
          <a:spLocks noChangeAspect="1" noChangeArrowheads="1"/>
        </xdr:cNvSpPr>
      </xdr:nvSpPr>
      <xdr:spPr bwMode="auto">
        <a:xfrm>
          <a:off x="165735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1395</xdr:row>
      <xdr:rowOff>0</xdr:rowOff>
    </xdr:from>
    <xdr:to>
      <xdr:col>2</xdr:col>
      <xdr:colOff>123825</xdr:colOff>
      <xdr:row>1395</xdr:row>
      <xdr:rowOff>123825</xdr:rowOff>
    </xdr:to>
    <xdr:sp macro="" textlink="">
      <xdr:nvSpPr>
        <xdr:cNvPr id="4351" name="AutoShape 247" descr="Bonis de performance"/>
        <xdr:cNvSpPr>
          <a:spLocks noChangeAspect="1" noChangeArrowheads="1"/>
        </xdr:cNvSpPr>
      </xdr:nvSpPr>
      <xdr:spPr bwMode="auto">
        <a:xfrm>
          <a:off x="15240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1395</xdr:row>
      <xdr:rowOff>0</xdr:rowOff>
    </xdr:from>
    <xdr:to>
      <xdr:col>2</xdr:col>
      <xdr:colOff>257175</xdr:colOff>
      <xdr:row>1395</xdr:row>
      <xdr:rowOff>123825</xdr:rowOff>
    </xdr:to>
    <xdr:sp macro="" textlink="">
      <xdr:nvSpPr>
        <xdr:cNvPr id="4352" name="AutoShape 248" descr="Transaction avec retenue de salaire"/>
        <xdr:cNvSpPr>
          <a:spLocks noChangeAspect="1" noChangeArrowheads="1"/>
        </xdr:cNvSpPr>
      </xdr:nvSpPr>
      <xdr:spPr bwMode="auto">
        <a:xfrm>
          <a:off x="165735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1395</xdr:row>
      <xdr:rowOff>0</xdr:rowOff>
    </xdr:from>
    <xdr:to>
      <xdr:col>2</xdr:col>
      <xdr:colOff>390525</xdr:colOff>
      <xdr:row>1395</xdr:row>
      <xdr:rowOff>123825</xdr:rowOff>
    </xdr:to>
    <xdr:sp macro="" textlink="">
      <xdr:nvSpPr>
        <xdr:cNvPr id="4353" name="AutoShape 249" descr="Exempté du ballottage">
          <a:hlinkClick xmlns:r="http://schemas.openxmlformats.org/officeDocument/2006/relationships" r:id="rId418"/>
        </xdr:cNvPr>
        <xdr:cNvSpPr>
          <a:spLocks noChangeAspect="1" noChangeArrowheads="1"/>
        </xdr:cNvSpPr>
      </xdr:nvSpPr>
      <xdr:spPr bwMode="auto">
        <a:xfrm>
          <a:off x="17907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1464</xdr:row>
      <xdr:rowOff>0</xdr:rowOff>
    </xdr:from>
    <xdr:to>
      <xdr:col>2</xdr:col>
      <xdr:colOff>123825</xdr:colOff>
      <xdr:row>1464</xdr:row>
      <xdr:rowOff>123825</xdr:rowOff>
    </xdr:to>
    <xdr:sp macro="" textlink="">
      <xdr:nvSpPr>
        <xdr:cNvPr id="4354" name="AutoShape 250" descr="Bonis de performance"/>
        <xdr:cNvSpPr>
          <a:spLocks noChangeAspect="1" noChangeArrowheads="1"/>
        </xdr:cNvSpPr>
      </xdr:nvSpPr>
      <xdr:spPr bwMode="auto">
        <a:xfrm>
          <a:off x="15240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1464</xdr:row>
      <xdr:rowOff>0</xdr:rowOff>
    </xdr:from>
    <xdr:to>
      <xdr:col>2</xdr:col>
      <xdr:colOff>257175</xdr:colOff>
      <xdr:row>1464</xdr:row>
      <xdr:rowOff>123825</xdr:rowOff>
    </xdr:to>
    <xdr:sp macro="" textlink="">
      <xdr:nvSpPr>
        <xdr:cNvPr id="4355" name="AutoShape 251" descr="Transaction avec retenue de salaire"/>
        <xdr:cNvSpPr>
          <a:spLocks noChangeAspect="1" noChangeArrowheads="1"/>
        </xdr:cNvSpPr>
      </xdr:nvSpPr>
      <xdr:spPr bwMode="auto">
        <a:xfrm>
          <a:off x="165735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1464</xdr:row>
      <xdr:rowOff>0</xdr:rowOff>
    </xdr:from>
    <xdr:to>
      <xdr:col>2</xdr:col>
      <xdr:colOff>390525</xdr:colOff>
      <xdr:row>1464</xdr:row>
      <xdr:rowOff>123825</xdr:rowOff>
    </xdr:to>
    <xdr:sp macro="" textlink="">
      <xdr:nvSpPr>
        <xdr:cNvPr id="4356" name="AutoShape 252" descr="Exempté du ballottage">
          <a:hlinkClick xmlns:r="http://schemas.openxmlformats.org/officeDocument/2006/relationships" r:id="rId419"/>
        </xdr:cNvPr>
        <xdr:cNvSpPr>
          <a:spLocks noChangeAspect="1" noChangeArrowheads="1"/>
        </xdr:cNvSpPr>
      </xdr:nvSpPr>
      <xdr:spPr bwMode="auto">
        <a:xfrm>
          <a:off x="17907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1036</xdr:row>
      <xdr:rowOff>0</xdr:rowOff>
    </xdr:from>
    <xdr:to>
      <xdr:col>2</xdr:col>
      <xdr:colOff>123825</xdr:colOff>
      <xdr:row>1036</xdr:row>
      <xdr:rowOff>123825</xdr:rowOff>
    </xdr:to>
    <xdr:sp macro="" textlink="">
      <xdr:nvSpPr>
        <xdr:cNvPr id="4357" name="AutoShape 253" descr="Bonis de performance"/>
        <xdr:cNvSpPr>
          <a:spLocks noChangeAspect="1" noChangeArrowheads="1"/>
        </xdr:cNvSpPr>
      </xdr:nvSpPr>
      <xdr:spPr bwMode="auto">
        <a:xfrm>
          <a:off x="152400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1036</xdr:row>
      <xdr:rowOff>0</xdr:rowOff>
    </xdr:from>
    <xdr:to>
      <xdr:col>2</xdr:col>
      <xdr:colOff>257175</xdr:colOff>
      <xdr:row>1036</xdr:row>
      <xdr:rowOff>123825</xdr:rowOff>
    </xdr:to>
    <xdr:sp macro="" textlink="">
      <xdr:nvSpPr>
        <xdr:cNvPr id="4358" name="AutoShape 254" descr="Exempté du ballottage">
          <a:hlinkClick xmlns:r="http://schemas.openxmlformats.org/officeDocument/2006/relationships" r:id="rId420"/>
        </xdr:cNvPr>
        <xdr:cNvSpPr>
          <a:spLocks noChangeAspect="1" noChangeArrowheads="1"/>
        </xdr:cNvSpPr>
      </xdr:nvSpPr>
      <xdr:spPr bwMode="auto">
        <a:xfrm>
          <a:off x="165735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364</xdr:row>
      <xdr:rowOff>0</xdr:rowOff>
    </xdr:from>
    <xdr:to>
      <xdr:col>2</xdr:col>
      <xdr:colOff>123825</xdr:colOff>
      <xdr:row>364</xdr:row>
      <xdr:rowOff>123825</xdr:rowOff>
    </xdr:to>
    <xdr:sp macro="" textlink="">
      <xdr:nvSpPr>
        <xdr:cNvPr id="4359" name="AutoShape 255" descr="Bonis de performance"/>
        <xdr:cNvSpPr>
          <a:spLocks noChangeAspect="1" noChangeArrowheads="1"/>
        </xdr:cNvSpPr>
      </xdr:nvSpPr>
      <xdr:spPr bwMode="auto">
        <a:xfrm>
          <a:off x="152400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364</xdr:row>
      <xdr:rowOff>0</xdr:rowOff>
    </xdr:from>
    <xdr:to>
      <xdr:col>2</xdr:col>
      <xdr:colOff>257175</xdr:colOff>
      <xdr:row>364</xdr:row>
      <xdr:rowOff>123825</xdr:rowOff>
    </xdr:to>
    <xdr:sp macro="" textlink="">
      <xdr:nvSpPr>
        <xdr:cNvPr id="4360" name="AutoShape 256" descr="Exempté du ballottage">
          <a:hlinkClick xmlns:r="http://schemas.openxmlformats.org/officeDocument/2006/relationships" r:id="rId421"/>
        </xdr:cNvPr>
        <xdr:cNvSpPr>
          <a:spLocks noChangeAspect="1" noChangeArrowheads="1"/>
        </xdr:cNvSpPr>
      </xdr:nvSpPr>
      <xdr:spPr bwMode="auto">
        <a:xfrm>
          <a:off x="165735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1254</xdr:row>
      <xdr:rowOff>0</xdr:rowOff>
    </xdr:from>
    <xdr:to>
      <xdr:col>2</xdr:col>
      <xdr:colOff>123825</xdr:colOff>
      <xdr:row>1254</xdr:row>
      <xdr:rowOff>123825</xdr:rowOff>
    </xdr:to>
    <xdr:sp macro="" textlink="">
      <xdr:nvSpPr>
        <xdr:cNvPr id="4361" name="AutoShape 257" descr="Bonis de performance"/>
        <xdr:cNvSpPr>
          <a:spLocks noChangeAspect="1" noChangeArrowheads="1"/>
        </xdr:cNvSpPr>
      </xdr:nvSpPr>
      <xdr:spPr bwMode="auto">
        <a:xfrm>
          <a:off x="152400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1254</xdr:row>
      <xdr:rowOff>0</xdr:rowOff>
    </xdr:from>
    <xdr:to>
      <xdr:col>2</xdr:col>
      <xdr:colOff>257175</xdr:colOff>
      <xdr:row>1254</xdr:row>
      <xdr:rowOff>123825</xdr:rowOff>
    </xdr:to>
    <xdr:sp macro="" textlink="">
      <xdr:nvSpPr>
        <xdr:cNvPr id="4362" name="AutoShape 258" descr="Exempté du ballottage">
          <a:hlinkClick xmlns:r="http://schemas.openxmlformats.org/officeDocument/2006/relationships" r:id="rId422"/>
        </xdr:cNvPr>
        <xdr:cNvSpPr>
          <a:spLocks noChangeAspect="1" noChangeArrowheads="1"/>
        </xdr:cNvSpPr>
      </xdr:nvSpPr>
      <xdr:spPr bwMode="auto">
        <a:xfrm>
          <a:off x="165735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687</xdr:row>
      <xdr:rowOff>0</xdr:rowOff>
    </xdr:from>
    <xdr:to>
      <xdr:col>2</xdr:col>
      <xdr:colOff>123825</xdr:colOff>
      <xdr:row>687</xdr:row>
      <xdr:rowOff>123825</xdr:rowOff>
    </xdr:to>
    <xdr:sp macro="" textlink="">
      <xdr:nvSpPr>
        <xdr:cNvPr id="4363" name="AutoShape 259" descr="Bonis de performance"/>
        <xdr:cNvSpPr>
          <a:spLocks noChangeAspect="1" noChangeArrowheads="1"/>
        </xdr:cNvSpPr>
      </xdr:nvSpPr>
      <xdr:spPr bwMode="auto">
        <a:xfrm>
          <a:off x="152400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687</xdr:row>
      <xdr:rowOff>0</xdr:rowOff>
    </xdr:from>
    <xdr:to>
      <xdr:col>2</xdr:col>
      <xdr:colOff>257175</xdr:colOff>
      <xdr:row>687</xdr:row>
      <xdr:rowOff>123825</xdr:rowOff>
    </xdr:to>
    <xdr:sp macro="" textlink="">
      <xdr:nvSpPr>
        <xdr:cNvPr id="4364" name="AutoShape 260" descr="Exempté du ballottage">
          <a:hlinkClick xmlns:r="http://schemas.openxmlformats.org/officeDocument/2006/relationships" r:id="rId423"/>
        </xdr:cNvPr>
        <xdr:cNvSpPr>
          <a:spLocks noChangeAspect="1" noChangeArrowheads="1"/>
        </xdr:cNvSpPr>
      </xdr:nvSpPr>
      <xdr:spPr bwMode="auto">
        <a:xfrm>
          <a:off x="165735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1206</xdr:row>
      <xdr:rowOff>0</xdr:rowOff>
    </xdr:from>
    <xdr:to>
      <xdr:col>2</xdr:col>
      <xdr:colOff>123825</xdr:colOff>
      <xdr:row>1206</xdr:row>
      <xdr:rowOff>123825</xdr:rowOff>
    </xdr:to>
    <xdr:sp macro="" textlink="">
      <xdr:nvSpPr>
        <xdr:cNvPr id="4365" name="AutoShape 261" descr="Bonis de performance"/>
        <xdr:cNvSpPr>
          <a:spLocks noChangeAspect="1" noChangeArrowheads="1"/>
        </xdr:cNvSpPr>
      </xdr:nvSpPr>
      <xdr:spPr bwMode="auto">
        <a:xfrm>
          <a:off x="15240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1206</xdr:row>
      <xdr:rowOff>0</xdr:rowOff>
    </xdr:from>
    <xdr:to>
      <xdr:col>2</xdr:col>
      <xdr:colOff>257175</xdr:colOff>
      <xdr:row>1206</xdr:row>
      <xdr:rowOff>123825</xdr:rowOff>
    </xdr:to>
    <xdr:sp macro="" textlink="">
      <xdr:nvSpPr>
        <xdr:cNvPr id="4366" name="AutoShape 262" descr="Transaction avec retenue de salaire"/>
        <xdr:cNvSpPr>
          <a:spLocks noChangeAspect="1" noChangeArrowheads="1"/>
        </xdr:cNvSpPr>
      </xdr:nvSpPr>
      <xdr:spPr bwMode="auto">
        <a:xfrm>
          <a:off x="165735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1206</xdr:row>
      <xdr:rowOff>0</xdr:rowOff>
    </xdr:from>
    <xdr:to>
      <xdr:col>2</xdr:col>
      <xdr:colOff>390525</xdr:colOff>
      <xdr:row>1206</xdr:row>
      <xdr:rowOff>123825</xdr:rowOff>
    </xdr:to>
    <xdr:sp macro="" textlink="">
      <xdr:nvSpPr>
        <xdr:cNvPr id="4367" name="AutoShape 263" descr="Exempté du ballottage">
          <a:hlinkClick xmlns:r="http://schemas.openxmlformats.org/officeDocument/2006/relationships" r:id="rId424"/>
        </xdr:cNvPr>
        <xdr:cNvSpPr>
          <a:spLocks noChangeAspect="1" noChangeArrowheads="1"/>
        </xdr:cNvSpPr>
      </xdr:nvSpPr>
      <xdr:spPr bwMode="auto">
        <a:xfrm>
          <a:off x="17907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220</xdr:row>
      <xdr:rowOff>0</xdr:rowOff>
    </xdr:from>
    <xdr:to>
      <xdr:col>2</xdr:col>
      <xdr:colOff>123825</xdr:colOff>
      <xdr:row>220</xdr:row>
      <xdr:rowOff>123825</xdr:rowOff>
    </xdr:to>
    <xdr:sp macro="" textlink="">
      <xdr:nvSpPr>
        <xdr:cNvPr id="4368" name="AutoShape 264" descr="Exempté du ballottage">
          <a:hlinkClick xmlns:r="http://schemas.openxmlformats.org/officeDocument/2006/relationships" r:id="rId425"/>
        </xdr:cNvPr>
        <xdr:cNvSpPr>
          <a:spLocks noChangeAspect="1" noChangeArrowheads="1"/>
        </xdr:cNvSpPr>
      </xdr:nvSpPr>
      <xdr:spPr bwMode="auto">
        <a:xfrm>
          <a:off x="1524000" y="1546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911</xdr:row>
      <xdr:rowOff>0</xdr:rowOff>
    </xdr:from>
    <xdr:to>
      <xdr:col>2</xdr:col>
      <xdr:colOff>123825</xdr:colOff>
      <xdr:row>911</xdr:row>
      <xdr:rowOff>123825</xdr:rowOff>
    </xdr:to>
    <xdr:sp macro="" textlink="">
      <xdr:nvSpPr>
        <xdr:cNvPr id="4369" name="AutoShape 265" descr="Bonis de performance"/>
        <xdr:cNvSpPr>
          <a:spLocks noChangeAspect="1" noChangeArrowheads="1"/>
        </xdr:cNvSpPr>
      </xdr:nvSpPr>
      <xdr:spPr bwMode="auto">
        <a:xfrm>
          <a:off x="15240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911</xdr:row>
      <xdr:rowOff>0</xdr:rowOff>
    </xdr:from>
    <xdr:to>
      <xdr:col>2</xdr:col>
      <xdr:colOff>257175</xdr:colOff>
      <xdr:row>911</xdr:row>
      <xdr:rowOff>123825</xdr:rowOff>
    </xdr:to>
    <xdr:sp macro="" textlink="">
      <xdr:nvSpPr>
        <xdr:cNvPr id="4370" name="AutoShape 266" descr="Transaction avec retenue de salaire"/>
        <xdr:cNvSpPr>
          <a:spLocks noChangeAspect="1" noChangeArrowheads="1"/>
        </xdr:cNvSpPr>
      </xdr:nvSpPr>
      <xdr:spPr bwMode="auto">
        <a:xfrm>
          <a:off x="16573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911</xdr:row>
      <xdr:rowOff>0</xdr:rowOff>
    </xdr:from>
    <xdr:to>
      <xdr:col>2</xdr:col>
      <xdr:colOff>390525</xdr:colOff>
      <xdr:row>911</xdr:row>
      <xdr:rowOff>123825</xdr:rowOff>
    </xdr:to>
    <xdr:sp macro="" textlink="">
      <xdr:nvSpPr>
        <xdr:cNvPr id="4371" name="AutoShape 267" descr="Exempté du ballottage">
          <a:hlinkClick xmlns:r="http://schemas.openxmlformats.org/officeDocument/2006/relationships" r:id="rId426"/>
        </xdr:cNvPr>
        <xdr:cNvSpPr>
          <a:spLocks noChangeAspect="1" noChangeArrowheads="1"/>
        </xdr:cNvSpPr>
      </xdr:nvSpPr>
      <xdr:spPr bwMode="auto">
        <a:xfrm>
          <a:off x="17907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911</xdr:row>
      <xdr:rowOff>0</xdr:rowOff>
    </xdr:from>
    <xdr:to>
      <xdr:col>2</xdr:col>
      <xdr:colOff>523875</xdr:colOff>
      <xdr:row>911</xdr:row>
      <xdr:rowOff>123825</xdr:rowOff>
    </xdr:to>
    <xdr:sp macro="" textlink="">
      <xdr:nvSpPr>
        <xdr:cNvPr id="4372" name="AutoShape 268" descr="Exempté de la limite des 50 contrats"/>
        <xdr:cNvSpPr>
          <a:spLocks noChangeAspect="1" noChangeArrowheads="1"/>
        </xdr:cNvSpPr>
      </xdr:nvSpPr>
      <xdr:spPr bwMode="auto">
        <a:xfrm>
          <a:off x="19240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824</xdr:row>
      <xdr:rowOff>0</xdr:rowOff>
    </xdr:from>
    <xdr:to>
      <xdr:col>2</xdr:col>
      <xdr:colOff>123825</xdr:colOff>
      <xdr:row>824</xdr:row>
      <xdr:rowOff>123825</xdr:rowOff>
    </xdr:to>
    <xdr:sp macro="" textlink="">
      <xdr:nvSpPr>
        <xdr:cNvPr id="4373" name="AutoShape 269" descr="Bonis de performance"/>
        <xdr:cNvSpPr>
          <a:spLocks noChangeAspect="1" noChangeArrowheads="1"/>
        </xdr:cNvSpPr>
      </xdr:nvSpPr>
      <xdr:spPr bwMode="auto">
        <a:xfrm>
          <a:off x="152400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824</xdr:row>
      <xdr:rowOff>0</xdr:rowOff>
    </xdr:from>
    <xdr:to>
      <xdr:col>2</xdr:col>
      <xdr:colOff>257175</xdr:colOff>
      <xdr:row>824</xdr:row>
      <xdr:rowOff>123825</xdr:rowOff>
    </xdr:to>
    <xdr:sp macro="" textlink="">
      <xdr:nvSpPr>
        <xdr:cNvPr id="4374" name="AutoShape 270" descr="Exempté du ballottage">
          <a:hlinkClick xmlns:r="http://schemas.openxmlformats.org/officeDocument/2006/relationships" r:id="rId427"/>
        </xdr:cNvPr>
        <xdr:cNvSpPr>
          <a:spLocks noChangeAspect="1" noChangeArrowheads="1"/>
        </xdr:cNvSpPr>
      </xdr:nvSpPr>
      <xdr:spPr bwMode="auto">
        <a:xfrm>
          <a:off x="165735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1170</xdr:row>
      <xdr:rowOff>0</xdr:rowOff>
    </xdr:from>
    <xdr:to>
      <xdr:col>2</xdr:col>
      <xdr:colOff>123825</xdr:colOff>
      <xdr:row>1170</xdr:row>
      <xdr:rowOff>123825</xdr:rowOff>
    </xdr:to>
    <xdr:sp macro="" textlink="">
      <xdr:nvSpPr>
        <xdr:cNvPr id="4375" name="AutoShape 271" descr="Bonis de performance"/>
        <xdr:cNvSpPr>
          <a:spLocks noChangeAspect="1" noChangeArrowheads="1"/>
        </xdr:cNvSpPr>
      </xdr:nvSpPr>
      <xdr:spPr bwMode="auto">
        <a:xfrm>
          <a:off x="152400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1170</xdr:row>
      <xdr:rowOff>0</xdr:rowOff>
    </xdr:from>
    <xdr:to>
      <xdr:col>2</xdr:col>
      <xdr:colOff>257175</xdr:colOff>
      <xdr:row>1170</xdr:row>
      <xdr:rowOff>123825</xdr:rowOff>
    </xdr:to>
    <xdr:sp macro="" textlink="">
      <xdr:nvSpPr>
        <xdr:cNvPr id="4376" name="AutoShape 272" descr="Exempté du ballottage">
          <a:hlinkClick xmlns:r="http://schemas.openxmlformats.org/officeDocument/2006/relationships" r:id="rId428"/>
        </xdr:cNvPr>
        <xdr:cNvSpPr>
          <a:spLocks noChangeAspect="1" noChangeArrowheads="1"/>
        </xdr:cNvSpPr>
      </xdr:nvSpPr>
      <xdr:spPr bwMode="auto">
        <a:xfrm>
          <a:off x="165735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782</xdr:row>
      <xdr:rowOff>0</xdr:rowOff>
    </xdr:from>
    <xdr:to>
      <xdr:col>2</xdr:col>
      <xdr:colOff>123825</xdr:colOff>
      <xdr:row>782</xdr:row>
      <xdr:rowOff>123825</xdr:rowOff>
    </xdr:to>
    <xdr:sp macro="" textlink="">
      <xdr:nvSpPr>
        <xdr:cNvPr id="4377" name="AutoShape 273" descr="Bonis de performance"/>
        <xdr:cNvSpPr>
          <a:spLocks noChangeAspect="1" noChangeArrowheads="1"/>
        </xdr:cNvSpPr>
      </xdr:nvSpPr>
      <xdr:spPr bwMode="auto">
        <a:xfrm>
          <a:off x="152400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782</xdr:row>
      <xdr:rowOff>0</xdr:rowOff>
    </xdr:from>
    <xdr:to>
      <xdr:col>2</xdr:col>
      <xdr:colOff>257175</xdr:colOff>
      <xdr:row>782</xdr:row>
      <xdr:rowOff>123825</xdr:rowOff>
    </xdr:to>
    <xdr:sp macro="" textlink="">
      <xdr:nvSpPr>
        <xdr:cNvPr id="4378" name="AutoShape 274" descr="Exempté du ballottage">
          <a:hlinkClick xmlns:r="http://schemas.openxmlformats.org/officeDocument/2006/relationships" r:id="rId429"/>
        </xdr:cNvPr>
        <xdr:cNvSpPr>
          <a:spLocks noChangeAspect="1" noChangeArrowheads="1"/>
        </xdr:cNvSpPr>
      </xdr:nvSpPr>
      <xdr:spPr bwMode="auto">
        <a:xfrm>
          <a:off x="165735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123825</xdr:colOff>
      <xdr:row>447</xdr:row>
      <xdr:rowOff>123825</xdr:rowOff>
    </xdr:to>
    <xdr:sp macro="" textlink="">
      <xdr:nvSpPr>
        <xdr:cNvPr id="4379" name="AutoShape 275" descr="Exempté du ballottage">
          <a:hlinkClick xmlns:r="http://schemas.openxmlformats.org/officeDocument/2006/relationships" r:id="rId430"/>
        </xdr:cNvPr>
        <xdr:cNvSpPr>
          <a:spLocks noChangeAspect="1" noChangeArrowheads="1"/>
        </xdr:cNvSpPr>
      </xdr:nvSpPr>
      <xdr:spPr bwMode="auto">
        <a:xfrm>
          <a:off x="1524000" y="15697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123825</xdr:colOff>
      <xdr:row>456</xdr:row>
      <xdr:rowOff>123825</xdr:rowOff>
    </xdr:to>
    <xdr:sp macro="" textlink="">
      <xdr:nvSpPr>
        <xdr:cNvPr id="4380" name="AutoShape 276" descr="Exempté du ballottage">
          <a:hlinkClick xmlns:r="http://schemas.openxmlformats.org/officeDocument/2006/relationships" r:id="rId431"/>
        </xdr:cNvPr>
        <xdr:cNvSpPr>
          <a:spLocks noChangeAspect="1" noChangeArrowheads="1"/>
        </xdr:cNvSpPr>
      </xdr:nvSpPr>
      <xdr:spPr bwMode="auto">
        <a:xfrm>
          <a:off x="1524000" y="15083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935</xdr:row>
      <xdr:rowOff>0</xdr:rowOff>
    </xdr:from>
    <xdr:to>
      <xdr:col>2</xdr:col>
      <xdr:colOff>123825</xdr:colOff>
      <xdr:row>935</xdr:row>
      <xdr:rowOff>123825</xdr:rowOff>
    </xdr:to>
    <xdr:sp macro="" textlink="">
      <xdr:nvSpPr>
        <xdr:cNvPr id="4381" name="AutoShape 277" descr="Exempté du ballottage">
          <a:hlinkClick xmlns:r="http://schemas.openxmlformats.org/officeDocument/2006/relationships" r:id="rId432"/>
        </xdr:cNvPr>
        <xdr:cNvSpPr>
          <a:spLocks noChangeAspect="1" noChangeArrowheads="1"/>
        </xdr:cNvSpPr>
      </xdr:nvSpPr>
      <xdr:spPr bwMode="auto">
        <a:xfrm>
          <a:off x="1524000" y="1529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2" name="AutoShape 278" descr="https://capfriendly-wlb8ng5.stackpathdns.com/assets/images/icons/general/q.svg"/>
        <xdr:cNvSpPr>
          <a:spLocks noChangeAspect="1" noChangeArrowheads="1"/>
        </xdr:cNvSpPr>
      </xdr:nvSpPr>
      <xdr:spPr bwMode="auto">
        <a:xfrm>
          <a:off x="1524000" y="1559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3" name="AutoShape 279" descr="https://capfriendly-wlb8ng5.stackpathdns.com/assets/images/icons/general/q.svg"/>
        <xdr:cNvSpPr>
          <a:spLocks noChangeAspect="1" noChangeArrowheads="1"/>
        </xdr:cNvSpPr>
      </xdr:nvSpPr>
      <xdr:spPr bwMode="auto">
        <a:xfrm>
          <a:off x="1524000" y="1561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4" name="AutoShape 280" descr="https://capfriendly-wlb8ng5.stackpathdns.com/assets/images/icons/general/q.svg"/>
        <xdr:cNvSpPr>
          <a:spLocks noChangeAspect="1" noChangeArrowheads="1"/>
        </xdr:cNvSpPr>
      </xdr:nvSpPr>
      <xdr:spPr bwMode="auto">
        <a:xfrm>
          <a:off x="1524000" y="1563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5" name="AutoShape 281" descr="https://capfriendly-wlb8ng5.stackpathdns.com/assets/images/icons/general/q.svg"/>
        <xdr:cNvSpPr>
          <a:spLocks noChangeAspect="1" noChangeArrowheads="1"/>
        </xdr:cNvSpPr>
      </xdr:nvSpPr>
      <xdr:spPr bwMode="auto">
        <a:xfrm>
          <a:off x="1524000" y="1565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6" name="AutoShape 282" descr="https://capfriendly-wlb8ng5.stackpathdns.com/assets/images/icons/general/q.svg"/>
        <xdr:cNvSpPr>
          <a:spLocks noChangeAspect="1" noChangeArrowheads="1"/>
        </xdr:cNvSpPr>
      </xdr:nvSpPr>
      <xdr:spPr bwMode="auto">
        <a:xfrm>
          <a:off x="1524000" y="1567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7" name="AutoShape 283" descr="https://capfriendly-wlb8ng5.stackpathdns.com/assets/images/icons/general/q.svg"/>
        <xdr:cNvSpPr>
          <a:spLocks noChangeAspect="1" noChangeArrowheads="1"/>
        </xdr:cNvSpPr>
      </xdr:nvSpPr>
      <xdr:spPr bwMode="auto">
        <a:xfrm>
          <a:off x="1524000" y="1569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8" name="AutoShape 284" descr="https://capfriendly-wlb8ng5.stackpathdns.com/assets/images/icons/general/q.svg"/>
        <xdr:cNvSpPr>
          <a:spLocks noChangeAspect="1" noChangeArrowheads="1"/>
        </xdr:cNvSpPr>
      </xdr:nvSpPr>
      <xdr:spPr bwMode="auto">
        <a:xfrm>
          <a:off x="1524000" y="1570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9" name="AutoShape 285" descr="https://capfriendly-wlb8ng5.stackpathdns.com/assets/images/icons/general/q.svg"/>
        <xdr:cNvSpPr>
          <a:spLocks noChangeAspect="1" noChangeArrowheads="1"/>
        </xdr:cNvSpPr>
      </xdr:nvSpPr>
      <xdr:spPr bwMode="auto">
        <a:xfrm>
          <a:off x="1524000" y="1572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0" name="AutoShape 286" descr="https://capfriendly-wlb8ng5.stackpathdns.com/assets/images/icons/general/q.svg"/>
        <xdr:cNvSpPr>
          <a:spLocks noChangeAspect="1" noChangeArrowheads="1"/>
        </xdr:cNvSpPr>
      </xdr:nvSpPr>
      <xdr:spPr bwMode="auto">
        <a:xfrm>
          <a:off x="1524000" y="15747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1" name="AutoShape 287" descr="https://capfriendly-wlb8ng5.stackpathdns.com/assets/images/icons/general/q.svg"/>
        <xdr:cNvSpPr>
          <a:spLocks noChangeAspect="1" noChangeArrowheads="1"/>
        </xdr:cNvSpPr>
      </xdr:nvSpPr>
      <xdr:spPr bwMode="auto">
        <a:xfrm>
          <a:off x="1524000" y="15766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2" name="AutoShape 288" descr="https://capfriendly-wlb8ng5.stackpathdns.com/assets/images/icons/general/q.svg"/>
        <xdr:cNvSpPr>
          <a:spLocks noChangeAspect="1" noChangeArrowheads="1"/>
        </xdr:cNvSpPr>
      </xdr:nvSpPr>
      <xdr:spPr bwMode="auto">
        <a:xfrm>
          <a:off x="1524000" y="15785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3" name="AutoShape 289" descr="Exempté du ballottage">
          <a:hlinkClick xmlns:r="http://schemas.openxmlformats.org/officeDocument/2006/relationships" r:id="rId433"/>
        </xdr:cNvPr>
        <xdr:cNvSpPr>
          <a:spLocks noChangeAspect="1" noChangeArrowheads="1"/>
        </xdr:cNvSpPr>
      </xdr:nvSpPr>
      <xdr:spPr bwMode="auto">
        <a:xfrm>
          <a:off x="1524000" y="1587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698</xdr:row>
      <xdr:rowOff>0</xdr:rowOff>
    </xdr:from>
    <xdr:to>
      <xdr:col>2</xdr:col>
      <xdr:colOff>123825</xdr:colOff>
      <xdr:row>698</xdr:row>
      <xdr:rowOff>123825</xdr:rowOff>
    </xdr:to>
    <xdr:sp macro="" textlink="">
      <xdr:nvSpPr>
        <xdr:cNvPr id="4394" name="AutoShape 290" descr="Exempté du ballottage">
          <a:hlinkClick xmlns:r="http://schemas.openxmlformats.org/officeDocument/2006/relationships" r:id="rId434"/>
        </xdr:cNvPr>
        <xdr:cNvSpPr>
          <a:spLocks noChangeAspect="1" noChangeArrowheads="1"/>
        </xdr:cNvSpPr>
      </xdr:nvSpPr>
      <xdr:spPr bwMode="auto">
        <a:xfrm>
          <a:off x="1524000" y="1589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272</xdr:row>
      <xdr:rowOff>0</xdr:rowOff>
    </xdr:from>
    <xdr:to>
      <xdr:col>2</xdr:col>
      <xdr:colOff>123825</xdr:colOff>
      <xdr:row>272</xdr:row>
      <xdr:rowOff>123825</xdr:rowOff>
    </xdr:to>
    <xdr:sp macro="" textlink="">
      <xdr:nvSpPr>
        <xdr:cNvPr id="4395" name="AutoShape 291" descr="Exempté du ballottage">
          <a:hlinkClick xmlns:r="http://schemas.openxmlformats.org/officeDocument/2006/relationships" r:id="rId435"/>
        </xdr:cNvPr>
        <xdr:cNvSpPr>
          <a:spLocks noChangeAspect="1" noChangeArrowheads="1"/>
        </xdr:cNvSpPr>
      </xdr:nvSpPr>
      <xdr:spPr bwMode="auto">
        <a:xfrm>
          <a:off x="1524000" y="1591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xdr:row>
      <xdr:rowOff>0</xdr:rowOff>
    </xdr:from>
    <xdr:to>
      <xdr:col>2</xdr:col>
      <xdr:colOff>123825</xdr:colOff>
      <xdr:row>96</xdr:row>
      <xdr:rowOff>123825</xdr:rowOff>
    </xdr:to>
    <xdr:sp macro="" textlink="">
      <xdr:nvSpPr>
        <xdr:cNvPr id="4396" name="AutoShape 292" descr="Bonis de performance"/>
        <xdr:cNvSpPr>
          <a:spLocks noChangeAspect="1" noChangeArrowheads="1"/>
        </xdr:cNvSpPr>
      </xdr:nvSpPr>
      <xdr:spPr bwMode="auto">
        <a:xfrm>
          <a:off x="152400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xdr:row>
      <xdr:rowOff>0</xdr:rowOff>
    </xdr:from>
    <xdr:to>
      <xdr:col>2</xdr:col>
      <xdr:colOff>257175</xdr:colOff>
      <xdr:row>96</xdr:row>
      <xdr:rowOff>123825</xdr:rowOff>
    </xdr:to>
    <xdr:sp macro="" textlink="">
      <xdr:nvSpPr>
        <xdr:cNvPr id="4397" name="AutoShape 293" descr="Exempté du ballottage">
          <a:hlinkClick xmlns:r="http://schemas.openxmlformats.org/officeDocument/2006/relationships" r:id="rId436"/>
        </xdr:cNvPr>
        <xdr:cNvSpPr>
          <a:spLocks noChangeAspect="1" noChangeArrowheads="1"/>
        </xdr:cNvSpPr>
      </xdr:nvSpPr>
      <xdr:spPr bwMode="auto">
        <a:xfrm>
          <a:off x="165735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123825</xdr:colOff>
      <xdr:row>454</xdr:row>
      <xdr:rowOff>123825</xdr:rowOff>
    </xdr:to>
    <xdr:sp macro="" textlink="">
      <xdr:nvSpPr>
        <xdr:cNvPr id="4398" name="AutoShape 294" descr="Exempté du ballottage">
          <a:hlinkClick xmlns:r="http://schemas.openxmlformats.org/officeDocument/2006/relationships" r:id="rId437"/>
        </xdr:cNvPr>
        <xdr:cNvSpPr>
          <a:spLocks noChangeAspect="1" noChangeArrowheads="1"/>
        </xdr:cNvSpPr>
      </xdr:nvSpPr>
      <xdr:spPr bwMode="auto">
        <a:xfrm>
          <a:off x="1524000" y="1594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1367</xdr:row>
      <xdr:rowOff>0</xdr:rowOff>
    </xdr:from>
    <xdr:to>
      <xdr:col>2</xdr:col>
      <xdr:colOff>123825</xdr:colOff>
      <xdr:row>1367</xdr:row>
      <xdr:rowOff>123825</xdr:rowOff>
    </xdr:to>
    <xdr:sp macro="" textlink="">
      <xdr:nvSpPr>
        <xdr:cNvPr id="4399" name="AutoShape 295" descr="Bonis de performance"/>
        <xdr:cNvSpPr>
          <a:spLocks noChangeAspect="1" noChangeArrowheads="1"/>
        </xdr:cNvSpPr>
      </xdr:nvSpPr>
      <xdr:spPr bwMode="auto">
        <a:xfrm>
          <a:off x="152400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1367</xdr:row>
      <xdr:rowOff>0</xdr:rowOff>
    </xdr:from>
    <xdr:to>
      <xdr:col>2</xdr:col>
      <xdr:colOff>257175</xdr:colOff>
      <xdr:row>1367</xdr:row>
      <xdr:rowOff>123825</xdr:rowOff>
    </xdr:to>
    <xdr:sp macro="" textlink="">
      <xdr:nvSpPr>
        <xdr:cNvPr id="4400" name="AutoShape 296" descr="Exempté du ballottage">
          <a:hlinkClick xmlns:r="http://schemas.openxmlformats.org/officeDocument/2006/relationships" r:id="rId438"/>
        </xdr:cNvPr>
        <xdr:cNvSpPr>
          <a:spLocks noChangeAspect="1" noChangeArrowheads="1"/>
        </xdr:cNvSpPr>
      </xdr:nvSpPr>
      <xdr:spPr bwMode="auto">
        <a:xfrm>
          <a:off x="165735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219</xdr:row>
      <xdr:rowOff>0</xdr:rowOff>
    </xdr:from>
    <xdr:to>
      <xdr:col>2</xdr:col>
      <xdr:colOff>123825</xdr:colOff>
      <xdr:row>219</xdr:row>
      <xdr:rowOff>123825</xdr:rowOff>
    </xdr:to>
    <xdr:sp macro="" textlink="">
      <xdr:nvSpPr>
        <xdr:cNvPr id="4401" name="AutoShape 297" descr="Bonis de performance"/>
        <xdr:cNvSpPr>
          <a:spLocks noChangeAspect="1" noChangeArrowheads="1"/>
        </xdr:cNvSpPr>
      </xdr:nvSpPr>
      <xdr:spPr bwMode="auto">
        <a:xfrm>
          <a:off x="152400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219</xdr:row>
      <xdr:rowOff>0</xdr:rowOff>
    </xdr:from>
    <xdr:to>
      <xdr:col>2</xdr:col>
      <xdr:colOff>257175</xdr:colOff>
      <xdr:row>219</xdr:row>
      <xdr:rowOff>123825</xdr:rowOff>
    </xdr:to>
    <xdr:sp macro="" textlink="">
      <xdr:nvSpPr>
        <xdr:cNvPr id="4402" name="AutoShape 298" descr="Exempté du ballottage">
          <a:hlinkClick xmlns:r="http://schemas.openxmlformats.org/officeDocument/2006/relationships" r:id="rId439"/>
        </xdr:cNvPr>
        <xdr:cNvSpPr>
          <a:spLocks noChangeAspect="1" noChangeArrowheads="1"/>
        </xdr:cNvSpPr>
      </xdr:nvSpPr>
      <xdr:spPr bwMode="auto">
        <a:xfrm>
          <a:off x="165735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214</xdr:row>
      <xdr:rowOff>0</xdr:rowOff>
    </xdr:from>
    <xdr:to>
      <xdr:col>2</xdr:col>
      <xdr:colOff>123825</xdr:colOff>
      <xdr:row>214</xdr:row>
      <xdr:rowOff>123825</xdr:rowOff>
    </xdr:to>
    <xdr:sp macro="" textlink="">
      <xdr:nvSpPr>
        <xdr:cNvPr id="4403" name="AutoShape 299" descr="Bonis de performance"/>
        <xdr:cNvSpPr>
          <a:spLocks noChangeAspect="1" noChangeArrowheads="1"/>
        </xdr:cNvSpPr>
      </xdr:nvSpPr>
      <xdr:spPr bwMode="auto">
        <a:xfrm>
          <a:off x="152400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214</xdr:row>
      <xdr:rowOff>0</xdr:rowOff>
    </xdr:from>
    <xdr:to>
      <xdr:col>2</xdr:col>
      <xdr:colOff>257175</xdr:colOff>
      <xdr:row>214</xdr:row>
      <xdr:rowOff>123825</xdr:rowOff>
    </xdr:to>
    <xdr:sp macro="" textlink="">
      <xdr:nvSpPr>
        <xdr:cNvPr id="4404" name="AutoShape 300" descr="Exempté du ballottage">
          <a:hlinkClick xmlns:r="http://schemas.openxmlformats.org/officeDocument/2006/relationships" r:id="rId440"/>
        </xdr:cNvPr>
        <xdr:cNvSpPr>
          <a:spLocks noChangeAspect="1" noChangeArrowheads="1"/>
        </xdr:cNvSpPr>
      </xdr:nvSpPr>
      <xdr:spPr bwMode="auto">
        <a:xfrm>
          <a:off x="165735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908</xdr:row>
      <xdr:rowOff>0</xdr:rowOff>
    </xdr:from>
    <xdr:to>
      <xdr:col>2</xdr:col>
      <xdr:colOff>123825</xdr:colOff>
      <xdr:row>908</xdr:row>
      <xdr:rowOff>123825</xdr:rowOff>
    </xdr:to>
    <xdr:sp macro="" textlink="">
      <xdr:nvSpPr>
        <xdr:cNvPr id="4405" name="AutoShape 301" descr="Bonis de performance"/>
        <xdr:cNvSpPr>
          <a:spLocks noChangeAspect="1" noChangeArrowheads="1"/>
        </xdr:cNvSpPr>
      </xdr:nvSpPr>
      <xdr:spPr bwMode="auto">
        <a:xfrm>
          <a:off x="152400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908</xdr:row>
      <xdr:rowOff>0</xdr:rowOff>
    </xdr:from>
    <xdr:to>
      <xdr:col>2</xdr:col>
      <xdr:colOff>257175</xdr:colOff>
      <xdr:row>908</xdr:row>
      <xdr:rowOff>123825</xdr:rowOff>
    </xdr:to>
    <xdr:sp macro="" textlink="">
      <xdr:nvSpPr>
        <xdr:cNvPr id="4406" name="AutoShape 302" descr="Exempté du ballottage">
          <a:hlinkClick xmlns:r="http://schemas.openxmlformats.org/officeDocument/2006/relationships" r:id="rId441"/>
        </xdr:cNvPr>
        <xdr:cNvSpPr>
          <a:spLocks noChangeAspect="1" noChangeArrowheads="1"/>
        </xdr:cNvSpPr>
      </xdr:nvSpPr>
      <xdr:spPr bwMode="auto">
        <a:xfrm>
          <a:off x="165735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741</xdr:row>
      <xdr:rowOff>0</xdr:rowOff>
    </xdr:from>
    <xdr:to>
      <xdr:col>2</xdr:col>
      <xdr:colOff>123825</xdr:colOff>
      <xdr:row>741</xdr:row>
      <xdr:rowOff>123825</xdr:rowOff>
    </xdr:to>
    <xdr:sp macro="" textlink="">
      <xdr:nvSpPr>
        <xdr:cNvPr id="4407" name="AutoShape 303" descr="Bonis de performance"/>
        <xdr:cNvSpPr>
          <a:spLocks noChangeAspect="1" noChangeArrowheads="1"/>
        </xdr:cNvSpPr>
      </xdr:nvSpPr>
      <xdr:spPr bwMode="auto">
        <a:xfrm>
          <a:off x="15240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741</xdr:row>
      <xdr:rowOff>0</xdr:rowOff>
    </xdr:from>
    <xdr:to>
      <xdr:col>2</xdr:col>
      <xdr:colOff>257175</xdr:colOff>
      <xdr:row>741</xdr:row>
      <xdr:rowOff>123825</xdr:rowOff>
    </xdr:to>
    <xdr:sp macro="" textlink="">
      <xdr:nvSpPr>
        <xdr:cNvPr id="4408" name="AutoShape 304" descr="Transaction avec retenue de salaire"/>
        <xdr:cNvSpPr>
          <a:spLocks noChangeAspect="1" noChangeArrowheads="1"/>
        </xdr:cNvSpPr>
      </xdr:nvSpPr>
      <xdr:spPr bwMode="auto">
        <a:xfrm>
          <a:off x="16573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741</xdr:row>
      <xdr:rowOff>0</xdr:rowOff>
    </xdr:from>
    <xdr:to>
      <xdr:col>2</xdr:col>
      <xdr:colOff>390525</xdr:colOff>
      <xdr:row>741</xdr:row>
      <xdr:rowOff>123825</xdr:rowOff>
    </xdr:to>
    <xdr:sp macro="" textlink="">
      <xdr:nvSpPr>
        <xdr:cNvPr id="4409" name="AutoShape 305" descr="Exempté du ballottage">
          <a:hlinkClick xmlns:r="http://schemas.openxmlformats.org/officeDocument/2006/relationships" r:id="rId442"/>
        </xdr:cNvPr>
        <xdr:cNvSpPr>
          <a:spLocks noChangeAspect="1" noChangeArrowheads="1"/>
        </xdr:cNvSpPr>
      </xdr:nvSpPr>
      <xdr:spPr bwMode="auto">
        <a:xfrm>
          <a:off x="17907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741</xdr:row>
      <xdr:rowOff>0</xdr:rowOff>
    </xdr:from>
    <xdr:to>
      <xdr:col>2</xdr:col>
      <xdr:colOff>523875</xdr:colOff>
      <xdr:row>741</xdr:row>
      <xdr:rowOff>123825</xdr:rowOff>
    </xdr:to>
    <xdr:sp macro="" textlink="">
      <xdr:nvSpPr>
        <xdr:cNvPr id="4410" name="AutoShape 306" descr="Exempté de la limite des 50 contrats"/>
        <xdr:cNvSpPr>
          <a:spLocks noChangeAspect="1" noChangeArrowheads="1"/>
        </xdr:cNvSpPr>
      </xdr:nvSpPr>
      <xdr:spPr bwMode="auto">
        <a:xfrm>
          <a:off x="19240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123825</xdr:colOff>
      <xdr:row>513</xdr:row>
      <xdr:rowOff>123825</xdr:rowOff>
    </xdr:to>
    <xdr:sp macro="" textlink="">
      <xdr:nvSpPr>
        <xdr:cNvPr id="4411" name="AutoShape 307" descr="Bonis de performance"/>
        <xdr:cNvSpPr>
          <a:spLocks noChangeAspect="1" noChangeArrowheads="1"/>
        </xdr:cNvSpPr>
      </xdr:nvSpPr>
      <xdr:spPr bwMode="auto">
        <a:xfrm>
          <a:off x="152400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513</xdr:row>
      <xdr:rowOff>0</xdr:rowOff>
    </xdr:from>
    <xdr:to>
      <xdr:col>2</xdr:col>
      <xdr:colOff>257175</xdr:colOff>
      <xdr:row>513</xdr:row>
      <xdr:rowOff>123825</xdr:rowOff>
    </xdr:to>
    <xdr:sp macro="" textlink="">
      <xdr:nvSpPr>
        <xdr:cNvPr id="4412" name="AutoShape 308" descr="Exempté du ballottage">
          <a:hlinkClick xmlns:r="http://schemas.openxmlformats.org/officeDocument/2006/relationships" r:id="rId443"/>
        </xdr:cNvPr>
        <xdr:cNvSpPr>
          <a:spLocks noChangeAspect="1" noChangeArrowheads="1"/>
        </xdr:cNvSpPr>
      </xdr:nvSpPr>
      <xdr:spPr bwMode="auto">
        <a:xfrm>
          <a:off x="165735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1368</xdr:row>
      <xdr:rowOff>0</xdr:rowOff>
    </xdr:from>
    <xdr:to>
      <xdr:col>2</xdr:col>
      <xdr:colOff>123825</xdr:colOff>
      <xdr:row>1368</xdr:row>
      <xdr:rowOff>123825</xdr:rowOff>
    </xdr:to>
    <xdr:sp macro="" textlink="">
      <xdr:nvSpPr>
        <xdr:cNvPr id="4413" name="AutoShape 309" descr="Bonis de performance"/>
        <xdr:cNvSpPr>
          <a:spLocks noChangeAspect="1" noChangeArrowheads="1"/>
        </xdr:cNvSpPr>
      </xdr:nvSpPr>
      <xdr:spPr bwMode="auto">
        <a:xfrm>
          <a:off x="152400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1368</xdr:row>
      <xdr:rowOff>0</xdr:rowOff>
    </xdr:from>
    <xdr:to>
      <xdr:col>2</xdr:col>
      <xdr:colOff>257175</xdr:colOff>
      <xdr:row>1368</xdr:row>
      <xdr:rowOff>123825</xdr:rowOff>
    </xdr:to>
    <xdr:sp macro="" textlink="">
      <xdr:nvSpPr>
        <xdr:cNvPr id="4414" name="AutoShape 310" descr="Exempté du ballottage">
          <a:hlinkClick xmlns:r="http://schemas.openxmlformats.org/officeDocument/2006/relationships" r:id="rId444"/>
        </xdr:cNvPr>
        <xdr:cNvSpPr>
          <a:spLocks noChangeAspect="1" noChangeArrowheads="1"/>
        </xdr:cNvSpPr>
      </xdr:nvSpPr>
      <xdr:spPr bwMode="auto">
        <a:xfrm>
          <a:off x="165735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123825</xdr:colOff>
      <xdr:row>546</xdr:row>
      <xdr:rowOff>123825</xdr:rowOff>
    </xdr:to>
    <xdr:sp macro="" textlink="">
      <xdr:nvSpPr>
        <xdr:cNvPr id="4415" name="AutoShape 311" descr="Bonis de performance"/>
        <xdr:cNvSpPr>
          <a:spLocks noChangeAspect="1" noChangeArrowheads="1"/>
        </xdr:cNvSpPr>
      </xdr:nvSpPr>
      <xdr:spPr bwMode="auto">
        <a:xfrm>
          <a:off x="152400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546</xdr:row>
      <xdr:rowOff>0</xdr:rowOff>
    </xdr:from>
    <xdr:to>
      <xdr:col>2</xdr:col>
      <xdr:colOff>257175</xdr:colOff>
      <xdr:row>546</xdr:row>
      <xdr:rowOff>123825</xdr:rowOff>
    </xdr:to>
    <xdr:sp macro="" textlink="">
      <xdr:nvSpPr>
        <xdr:cNvPr id="4416" name="AutoShape 312" descr="Exempté du ballottage">
          <a:hlinkClick xmlns:r="http://schemas.openxmlformats.org/officeDocument/2006/relationships" r:id="rId445"/>
        </xdr:cNvPr>
        <xdr:cNvSpPr>
          <a:spLocks noChangeAspect="1" noChangeArrowheads="1"/>
        </xdr:cNvSpPr>
      </xdr:nvSpPr>
      <xdr:spPr bwMode="auto">
        <a:xfrm>
          <a:off x="165735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1441</xdr:row>
      <xdr:rowOff>0</xdr:rowOff>
    </xdr:from>
    <xdr:to>
      <xdr:col>2</xdr:col>
      <xdr:colOff>123825</xdr:colOff>
      <xdr:row>1441</xdr:row>
      <xdr:rowOff>123825</xdr:rowOff>
    </xdr:to>
    <xdr:sp macro="" textlink="">
      <xdr:nvSpPr>
        <xdr:cNvPr id="4417" name="AutoShape 313" descr="Exempté du ballottage">
          <a:hlinkClick xmlns:r="http://schemas.openxmlformats.org/officeDocument/2006/relationships" r:id="rId446"/>
        </xdr:cNvPr>
        <xdr:cNvSpPr>
          <a:spLocks noChangeAspect="1" noChangeArrowheads="1"/>
        </xdr:cNvSpPr>
      </xdr:nvSpPr>
      <xdr:spPr bwMode="auto">
        <a:xfrm>
          <a:off x="1524000" y="1612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xdr:row>
      <xdr:rowOff>0</xdr:rowOff>
    </xdr:from>
    <xdr:to>
      <xdr:col>2</xdr:col>
      <xdr:colOff>123825</xdr:colOff>
      <xdr:row>121</xdr:row>
      <xdr:rowOff>123825</xdr:rowOff>
    </xdr:to>
    <xdr:sp macro="" textlink="">
      <xdr:nvSpPr>
        <xdr:cNvPr id="4418" name="AutoShape 314" descr="Bonis de performance"/>
        <xdr:cNvSpPr>
          <a:spLocks noChangeAspect="1" noChangeArrowheads="1"/>
        </xdr:cNvSpPr>
      </xdr:nvSpPr>
      <xdr:spPr bwMode="auto">
        <a:xfrm>
          <a:off x="152400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xdr:row>
      <xdr:rowOff>0</xdr:rowOff>
    </xdr:from>
    <xdr:to>
      <xdr:col>2</xdr:col>
      <xdr:colOff>257175</xdr:colOff>
      <xdr:row>121</xdr:row>
      <xdr:rowOff>123825</xdr:rowOff>
    </xdr:to>
    <xdr:sp macro="" textlink="">
      <xdr:nvSpPr>
        <xdr:cNvPr id="4419" name="AutoShape 315" descr="Exempté du ballottage">
          <a:hlinkClick xmlns:r="http://schemas.openxmlformats.org/officeDocument/2006/relationships" r:id="rId447"/>
        </xdr:cNvPr>
        <xdr:cNvSpPr>
          <a:spLocks noChangeAspect="1" noChangeArrowheads="1"/>
        </xdr:cNvSpPr>
      </xdr:nvSpPr>
      <xdr:spPr bwMode="auto">
        <a:xfrm>
          <a:off x="165735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807</xdr:row>
      <xdr:rowOff>0</xdr:rowOff>
    </xdr:from>
    <xdr:to>
      <xdr:col>2</xdr:col>
      <xdr:colOff>123825</xdr:colOff>
      <xdr:row>807</xdr:row>
      <xdr:rowOff>123825</xdr:rowOff>
    </xdr:to>
    <xdr:sp macro="" textlink="">
      <xdr:nvSpPr>
        <xdr:cNvPr id="4420" name="AutoShape 316" descr="Exempté du ballottage">
          <a:hlinkClick xmlns:r="http://schemas.openxmlformats.org/officeDocument/2006/relationships" r:id="rId448"/>
        </xdr:cNvPr>
        <xdr:cNvSpPr>
          <a:spLocks noChangeAspect="1" noChangeArrowheads="1"/>
        </xdr:cNvSpPr>
      </xdr:nvSpPr>
      <xdr:spPr bwMode="auto">
        <a:xfrm>
          <a:off x="1524000" y="1615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1318</xdr:row>
      <xdr:rowOff>0</xdr:rowOff>
    </xdr:from>
    <xdr:to>
      <xdr:col>2</xdr:col>
      <xdr:colOff>123825</xdr:colOff>
      <xdr:row>1318</xdr:row>
      <xdr:rowOff>123825</xdr:rowOff>
    </xdr:to>
    <xdr:sp macro="" textlink="">
      <xdr:nvSpPr>
        <xdr:cNvPr id="4421" name="AutoShape 317" descr="Exempté du ballottage">
          <a:hlinkClick xmlns:r="http://schemas.openxmlformats.org/officeDocument/2006/relationships" r:id="rId449"/>
        </xdr:cNvPr>
        <xdr:cNvSpPr>
          <a:spLocks noChangeAspect="1" noChangeArrowheads="1"/>
        </xdr:cNvSpPr>
      </xdr:nvSpPr>
      <xdr:spPr bwMode="auto">
        <a:xfrm>
          <a:off x="1524000" y="1617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1318</xdr:row>
      <xdr:rowOff>0</xdr:rowOff>
    </xdr:from>
    <xdr:to>
      <xdr:col>7</xdr:col>
      <xdr:colOff>123825</xdr:colOff>
      <xdr:row>1318</xdr:row>
      <xdr:rowOff>104775</xdr:rowOff>
    </xdr:to>
    <xdr:sp macro="" textlink="">
      <xdr:nvSpPr>
        <xdr:cNvPr id="4422" name="AutoShape 318" descr="Éligible à l'arbitrage">
          <a:hlinkClick xmlns:r="http://schemas.openxmlformats.org/officeDocument/2006/relationships" r:id="rId450"/>
        </xdr:cNvPr>
        <xdr:cNvSpPr>
          <a:spLocks noChangeAspect="1" noChangeArrowheads="1"/>
        </xdr:cNvSpPr>
      </xdr:nvSpPr>
      <xdr:spPr bwMode="auto">
        <a:xfrm>
          <a:off x="5334000" y="16177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405</xdr:row>
      <xdr:rowOff>0</xdr:rowOff>
    </xdr:from>
    <xdr:to>
      <xdr:col>2</xdr:col>
      <xdr:colOff>123825</xdr:colOff>
      <xdr:row>405</xdr:row>
      <xdr:rowOff>123825</xdr:rowOff>
    </xdr:to>
    <xdr:sp macro="" textlink="">
      <xdr:nvSpPr>
        <xdr:cNvPr id="4423" name="AutoShape 319" descr="Bonis de performance"/>
        <xdr:cNvSpPr>
          <a:spLocks noChangeAspect="1" noChangeArrowheads="1"/>
        </xdr:cNvSpPr>
      </xdr:nvSpPr>
      <xdr:spPr bwMode="auto">
        <a:xfrm>
          <a:off x="152400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405</xdr:row>
      <xdr:rowOff>0</xdr:rowOff>
    </xdr:from>
    <xdr:to>
      <xdr:col>2</xdr:col>
      <xdr:colOff>257175</xdr:colOff>
      <xdr:row>405</xdr:row>
      <xdr:rowOff>123825</xdr:rowOff>
    </xdr:to>
    <xdr:sp macro="" textlink="">
      <xdr:nvSpPr>
        <xdr:cNvPr id="4424" name="AutoShape 320" descr="Exempté du ballottage">
          <a:hlinkClick xmlns:r="http://schemas.openxmlformats.org/officeDocument/2006/relationships" r:id="rId451"/>
        </xdr:cNvPr>
        <xdr:cNvSpPr>
          <a:spLocks noChangeAspect="1" noChangeArrowheads="1"/>
        </xdr:cNvSpPr>
      </xdr:nvSpPr>
      <xdr:spPr bwMode="auto">
        <a:xfrm>
          <a:off x="165735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928</xdr:row>
      <xdr:rowOff>0</xdr:rowOff>
    </xdr:from>
    <xdr:to>
      <xdr:col>2</xdr:col>
      <xdr:colOff>123825</xdr:colOff>
      <xdr:row>928</xdr:row>
      <xdr:rowOff>123825</xdr:rowOff>
    </xdr:to>
    <xdr:sp macro="" textlink="">
      <xdr:nvSpPr>
        <xdr:cNvPr id="4425" name="AutoShape 321" descr="Bonis de performance"/>
        <xdr:cNvSpPr>
          <a:spLocks noChangeAspect="1" noChangeArrowheads="1"/>
        </xdr:cNvSpPr>
      </xdr:nvSpPr>
      <xdr:spPr bwMode="auto">
        <a:xfrm>
          <a:off x="15240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928</xdr:row>
      <xdr:rowOff>0</xdr:rowOff>
    </xdr:from>
    <xdr:to>
      <xdr:col>2</xdr:col>
      <xdr:colOff>257175</xdr:colOff>
      <xdr:row>928</xdr:row>
      <xdr:rowOff>123825</xdr:rowOff>
    </xdr:to>
    <xdr:sp macro="" textlink="">
      <xdr:nvSpPr>
        <xdr:cNvPr id="4426" name="AutoShape 322" descr="Transaction avec retenue de salaire"/>
        <xdr:cNvSpPr>
          <a:spLocks noChangeAspect="1" noChangeArrowheads="1"/>
        </xdr:cNvSpPr>
      </xdr:nvSpPr>
      <xdr:spPr bwMode="auto">
        <a:xfrm>
          <a:off x="16573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928</xdr:row>
      <xdr:rowOff>0</xdr:rowOff>
    </xdr:from>
    <xdr:to>
      <xdr:col>2</xdr:col>
      <xdr:colOff>390525</xdr:colOff>
      <xdr:row>928</xdr:row>
      <xdr:rowOff>123825</xdr:rowOff>
    </xdr:to>
    <xdr:sp macro="" textlink="">
      <xdr:nvSpPr>
        <xdr:cNvPr id="4427" name="AutoShape 323" descr="Exempté du ballottage">
          <a:hlinkClick xmlns:r="http://schemas.openxmlformats.org/officeDocument/2006/relationships" r:id="rId452"/>
        </xdr:cNvPr>
        <xdr:cNvSpPr>
          <a:spLocks noChangeAspect="1" noChangeArrowheads="1"/>
        </xdr:cNvSpPr>
      </xdr:nvSpPr>
      <xdr:spPr bwMode="auto">
        <a:xfrm>
          <a:off x="17907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928</xdr:row>
      <xdr:rowOff>0</xdr:rowOff>
    </xdr:from>
    <xdr:to>
      <xdr:col>2</xdr:col>
      <xdr:colOff>523875</xdr:colOff>
      <xdr:row>928</xdr:row>
      <xdr:rowOff>123825</xdr:rowOff>
    </xdr:to>
    <xdr:sp macro="" textlink="">
      <xdr:nvSpPr>
        <xdr:cNvPr id="4428" name="AutoShape 324" descr="Exempté de la limite des 50 contrats"/>
        <xdr:cNvSpPr>
          <a:spLocks noChangeAspect="1" noChangeArrowheads="1"/>
        </xdr:cNvSpPr>
      </xdr:nvSpPr>
      <xdr:spPr bwMode="auto">
        <a:xfrm>
          <a:off x="19240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1316</xdr:row>
      <xdr:rowOff>0</xdr:rowOff>
    </xdr:from>
    <xdr:to>
      <xdr:col>2</xdr:col>
      <xdr:colOff>123825</xdr:colOff>
      <xdr:row>1316</xdr:row>
      <xdr:rowOff>123825</xdr:rowOff>
    </xdr:to>
    <xdr:sp macro="" textlink="">
      <xdr:nvSpPr>
        <xdr:cNvPr id="4429" name="AutoShape 325" descr="Bonis de performance"/>
        <xdr:cNvSpPr>
          <a:spLocks noChangeAspect="1" noChangeArrowheads="1"/>
        </xdr:cNvSpPr>
      </xdr:nvSpPr>
      <xdr:spPr bwMode="auto">
        <a:xfrm>
          <a:off x="152400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1316</xdr:row>
      <xdr:rowOff>0</xdr:rowOff>
    </xdr:from>
    <xdr:to>
      <xdr:col>2</xdr:col>
      <xdr:colOff>257175</xdr:colOff>
      <xdr:row>1316</xdr:row>
      <xdr:rowOff>123825</xdr:rowOff>
    </xdr:to>
    <xdr:sp macro="" textlink="">
      <xdr:nvSpPr>
        <xdr:cNvPr id="4430" name="AutoShape 326" descr="Exempté du ballottage">
          <a:hlinkClick xmlns:r="http://schemas.openxmlformats.org/officeDocument/2006/relationships" r:id="rId453"/>
        </xdr:cNvPr>
        <xdr:cNvSpPr>
          <a:spLocks noChangeAspect="1" noChangeArrowheads="1"/>
        </xdr:cNvSpPr>
      </xdr:nvSpPr>
      <xdr:spPr bwMode="auto">
        <a:xfrm>
          <a:off x="165735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1150</xdr:row>
      <xdr:rowOff>0</xdr:rowOff>
    </xdr:from>
    <xdr:to>
      <xdr:col>2</xdr:col>
      <xdr:colOff>123825</xdr:colOff>
      <xdr:row>1150</xdr:row>
      <xdr:rowOff>123825</xdr:rowOff>
    </xdr:to>
    <xdr:sp macro="" textlink="">
      <xdr:nvSpPr>
        <xdr:cNvPr id="4431" name="AutoShape 327" descr="Exempté du ballottage">
          <a:hlinkClick xmlns:r="http://schemas.openxmlformats.org/officeDocument/2006/relationships" r:id="rId454"/>
        </xdr:cNvPr>
        <xdr:cNvSpPr>
          <a:spLocks noChangeAspect="1" noChangeArrowheads="1"/>
        </xdr:cNvSpPr>
      </xdr:nvSpPr>
      <xdr:spPr bwMode="auto">
        <a:xfrm>
          <a:off x="1524000" y="16346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723</xdr:row>
      <xdr:rowOff>0</xdr:rowOff>
    </xdr:from>
    <xdr:to>
      <xdr:col>2</xdr:col>
      <xdr:colOff>123825</xdr:colOff>
      <xdr:row>723</xdr:row>
      <xdr:rowOff>123825</xdr:rowOff>
    </xdr:to>
    <xdr:sp macro="" textlink="">
      <xdr:nvSpPr>
        <xdr:cNvPr id="4432" name="AutoShape 328" descr="Bonis de performance"/>
        <xdr:cNvSpPr>
          <a:spLocks noChangeAspect="1" noChangeArrowheads="1"/>
        </xdr:cNvSpPr>
      </xdr:nvSpPr>
      <xdr:spPr bwMode="auto">
        <a:xfrm>
          <a:off x="15240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723</xdr:row>
      <xdr:rowOff>0</xdr:rowOff>
    </xdr:from>
    <xdr:to>
      <xdr:col>2</xdr:col>
      <xdr:colOff>257175</xdr:colOff>
      <xdr:row>723</xdr:row>
      <xdr:rowOff>123825</xdr:rowOff>
    </xdr:to>
    <xdr:sp macro="" textlink="">
      <xdr:nvSpPr>
        <xdr:cNvPr id="4433" name="AutoShape 329" descr="Transaction avec retenue de salaire"/>
        <xdr:cNvSpPr>
          <a:spLocks noChangeAspect="1" noChangeArrowheads="1"/>
        </xdr:cNvSpPr>
      </xdr:nvSpPr>
      <xdr:spPr bwMode="auto">
        <a:xfrm>
          <a:off x="16573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723</xdr:row>
      <xdr:rowOff>0</xdr:rowOff>
    </xdr:from>
    <xdr:to>
      <xdr:col>2</xdr:col>
      <xdr:colOff>390525</xdr:colOff>
      <xdr:row>723</xdr:row>
      <xdr:rowOff>123825</xdr:rowOff>
    </xdr:to>
    <xdr:sp macro="" textlink="">
      <xdr:nvSpPr>
        <xdr:cNvPr id="4434" name="AutoShape 330" descr="Exempté du ballottage">
          <a:hlinkClick xmlns:r="http://schemas.openxmlformats.org/officeDocument/2006/relationships" r:id="rId455"/>
        </xdr:cNvPr>
        <xdr:cNvSpPr>
          <a:spLocks noChangeAspect="1" noChangeArrowheads="1"/>
        </xdr:cNvSpPr>
      </xdr:nvSpPr>
      <xdr:spPr bwMode="auto">
        <a:xfrm>
          <a:off x="17907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723</xdr:row>
      <xdr:rowOff>0</xdr:rowOff>
    </xdr:from>
    <xdr:to>
      <xdr:col>2</xdr:col>
      <xdr:colOff>523875</xdr:colOff>
      <xdr:row>723</xdr:row>
      <xdr:rowOff>123825</xdr:rowOff>
    </xdr:to>
    <xdr:sp macro="" textlink="">
      <xdr:nvSpPr>
        <xdr:cNvPr id="4435" name="AutoShape 331" descr="Exempté de la limite des 50 contrats"/>
        <xdr:cNvSpPr>
          <a:spLocks noChangeAspect="1" noChangeArrowheads="1"/>
        </xdr:cNvSpPr>
      </xdr:nvSpPr>
      <xdr:spPr bwMode="auto">
        <a:xfrm>
          <a:off x="19240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724</xdr:row>
      <xdr:rowOff>0</xdr:rowOff>
    </xdr:from>
    <xdr:to>
      <xdr:col>2</xdr:col>
      <xdr:colOff>123825</xdr:colOff>
      <xdr:row>724</xdr:row>
      <xdr:rowOff>123825</xdr:rowOff>
    </xdr:to>
    <xdr:sp macro="" textlink="">
      <xdr:nvSpPr>
        <xdr:cNvPr id="4436" name="AutoShape 332" descr="Bonis de performance"/>
        <xdr:cNvSpPr>
          <a:spLocks noChangeAspect="1" noChangeArrowheads="1"/>
        </xdr:cNvSpPr>
      </xdr:nvSpPr>
      <xdr:spPr bwMode="auto">
        <a:xfrm>
          <a:off x="152400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724</xdr:row>
      <xdr:rowOff>0</xdr:rowOff>
    </xdr:from>
    <xdr:to>
      <xdr:col>2</xdr:col>
      <xdr:colOff>257175</xdr:colOff>
      <xdr:row>724</xdr:row>
      <xdr:rowOff>123825</xdr:rowOff>
    </xdr:to>
    <xdr:sp macro="" textlink="">
      <xdr:nvSpPr>
        <xdr:cNvPr id="4437" name="AutoShape 333" descr="Exempté du ballottage">
          <a:hlinkClick xmlns:r="http://schemas.openxmlformats.org/officeDocument/2006/relationships" r:id="rId456"/>
        </xdr:cNvPr>
        <xdr:cNvSpPr>
          <a:spLocks noChangeAspect="1" noChangeArrowheads="1"/>
        </xdr:cNvSpPr>
      </xdr:nvSpPr>
      <xdr:spPr bwMode="auto">
        <a:xfrm>
          <a:off x="165735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201</xdr:row>
      <xdr:rowOff>0</xdr:rowOff>
    </xdr:from>
    <xdr:to>
      <xdr:col>8</xdr:col>
      <xdr:colOff>123825</xdr:colOff>
      <xdr:row>201</xdr:row>
      <xdr:rowOff>104775</xdr:rowOff>
    </xdr:to>
    <xdr:sp macro="" textlink="">
      <xdr:nvSpPr>
        <xdr:cNvPr id="4438" name="AutoShape 334" descr="Éligible à l'arbitrage">
          <a:hlinkClick xmlns:r="http://schemas.openxmlformats.org/officeDocument/2006/relationships" r:id="rId457"/>
        </xdr:cNvPr>
        <xdr:cNvSpPr>
          <a:spLocks noChangeAspect="1" noChangeArrowheads="1"/>
        </xdr:cNvSpPr>
      </xdr:nvSpPr>
      <xdr:spPr bwMode="auto">
        <a:xfrm>
          <a:off x="6096000" y="164039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305</xdr:row>
      <xdr:rowOff>0</xdr:rowOff>
    </xdr:from>
    <xdr:to>
      <xdr:col>2</xdr:col>
      <xdr:colOff>123825</xdr:colOff>
      <xdr:row>305</xdr:row>
      <xdr:rowOff>123825</xdr:rowOff>
    </xdr:to>
    <xdr:sp macro="" textlink="">
      <xdr:nvSpPr>
        <xdr:cNvPr id="4439" name="AutoShape 335" descr="Exempté du ballottage">
          <a:hlinkClick xmlns:r="http://schemas.openxmlformats.org/officeDocument/2006/relationships" r:id="rId458"/>
        </xdr:cNvPr>
        <xdr:cNvSpPr>
          <a:spLocks noChangeAspect="1" noChangeArrowheads="1"/>
        </xdr:cNvSpPr>
      </xdr:nvSpPr>
      <xdr:spPr bwMode="auto">
        <a:xfrm>
          <a:off x="1524000" y="16423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305</xdr:row>
      <xdr:rowOff>0</xdr:rowOff>
    </xdr:from>
    <xdr:to>
      <xdr:col>8</xdr:col>
      <xdr:colOff>123825</xdr:colOff>
      <xdr:row>305</xdr:row>
      <xdr:rowOff>104775</xdr:rowOff>
    </xdr:to>
    <xdr:sp macro="" textlink="">
      <xdr:nvSpPr>
        <xdr:cNvPr id="4440" name="AutoShape 336" descr="Éligible à l'arbitrage">
          <a:hlinkClick xmlns:r="http://schemas.openxmlformats.org/officeDocument/2006/relationships" r:id="rId459"/>
        </xdr:cNvPr>
        <xdr:cNvSpPr>
          <a:spLocks noChangeAspect="1" noChangeArrowheads="1"/>
        </xdr:cNvSpPr>
      </xdr:nvSpPr>
      <xdr:spPr bwMode="auto">
        <a:xfrm>
          <a:off x="6096000" y="164230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1229</xdr:row>
      <xdr:rowOff>0</xdr:rowOff>
    </xdr:from>
    <xdr:to>
      <xdr:col>2</xdr:col>
      <xdr:colOff>123825</xdr:colOff>
      <xdr:row>1229</xdr:row>
      <xdr:rowOff>123825</xdr:rowOff>
    </xdr:to>
    <xdr:sp macro="" textlink="">
      <xdr:nvSpPr>
        <xdr:cNvPr id="4441" name="AutoShape 337" descr="Exempté du ballottage">
          <a:hlinkClick xmlns:r="http://schemas.openxmlformats.org/officeDocument/2006/relationships" r:id="rId460"/>
        </xdr:cNvPr>
        <xdr:cNvSpPr>
          <a:spLocks noChangeAspect="1" noChangeArrowheads="1"/>
        </xdr:cNvSpPr>
      </xdr:nvSpPr>
      <xdr:spPr bwMode="auto">
        <a:xfrm>
          <a:off x="1524000" y="16517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377</xdr:row>
      <xdr:rowOff>0</xdr:rowOff>
    </xdr:from>
    <xdr:to>
      <xdr:col>2</xdr:col>
      <xdr:colOff>123825</xdr:colOff>
      <xdr:row>377</xdr:row>
      <xdr:rowOff>123825</xdr:rowOff>
    </xdr:to>
    <xdr:sp macro="" textlink="">
      <xdr:nvSpPr>
        <xdr:cNvPr id="4442" name="AutoShape 338" descr="Bonis de performance"/>
        <xdr:cNvSpPr>
          <a:spLocks noChangeAspect="1" noChangeArrowheads="1"/>
        </xdr:cNvSpPr>
      </xdr:nvSpPr>
      <xdr:spPr bwMode="auto">
        <a:xfrm>
          <a:off x="15240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377</xdr:row>
      <xdr:rowOff>0</xdr:rowOff>
    </xdr:from>
    <xdr:to>
      <xdr:col>2</xdr:col>
      <xdr:colOff>257175</xdr:colOff>
      <xdr:row>377</xdr:row>
      <xdr:rowOff>123825</xdr:rowOff>
    </xdr:to>
    <xdr:sp macro="" textlink="">
      <xdr:nvSpPr>
        <xdr:cNvPr id="4443" name="AutoShape 339" descr="Transaction avec retenue de salaire"/>
        <xdr:cNvSpPr>
          <a:spLocks noChangeAspect="1" noChangeArrowheads="1"/>
        </xdr:cNvSpPr>
      </xdr:nvSpPr>
      <xdr:spPr bwMode="auto">
        <a:xfrm>
          <a:off x="16573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377</xdr:row>
      <xdr:rowOff>0</xdr:rowOff>
    </xdr:from>
    <xdr:to>
      <xdr:col>2</xdr:col>
      <xdr:colOff>390525</xdr:colOff>
      <xdr:row>377</xdr:row>
      <xdr:rowOff>123825</xdr:rowOff>
    </xdr:to>
    <xdr:sp macro="" textlink="">
      <xdr:nvSpPr>
        <xdr:cNvPr id="4444" name="AutoShape 340" descr="Exempté du ballottage">
          <a:hlinkClick xmlns:r="http://schemas.openxmlformats.org/officeDocument/2006/relationships" r:id="rId461"/>
        </xdr:cNvPr>
        <xdr:cNvSpPr>
          <a:spLocks noChangeAspect="1" noChangeArrowheads="1"/>
        </xdr:cNvSpPr>
      </xdr:nvSpPr>
      <xdr:spPr bwMode="auto">
        <a:xfrm>
          <a:off x="17907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377</xdr:row>
      <xdr:rowOff>0</xdr:rowOff>
    </xdr:from>
    <xdr:to>
      <xdr:col>2</xdr:col>
      <xdr:colOff>523875</xdr:colOff>
      <xdr:row>377</xdr:row>
      <xdr:rowOff>123825</xdr:rowOff>
    </xdr:to>
    <xdr:sp macro="" textlink="">
      <xdr:nvSpPr>
        <xdr:cNvPr id="4445" name="AutoShape 341" descr="Exempté de la limite des 50 contrats"/>
        <xdr:cNvSpPr>
          <a:spLocks noChangeAspect="1" noChangeArrowheads="1"/>
        </xdr:cNvSpPr>
      </xdr:nvSpPr>
      <xdr:spPr bwMode="auto">
        <a:xfrm>
          <a:off x="19240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734</xdr:row>
      <xdr:rowOff>0</xdr:rowOff>
    </xdr:from>
    <xdr:to>
      <xdr:col>2</xdr:col>
      <xdr:colOff>123825</xdr:colOff>
      <xdr:row>734</xdr:row>
      <xdr:rowOff>123825</xdr:rowOff>
    </xdr:to>
    <xdr:sp macro="" textlink="">
      <xdr:nvSpPr>
        <xdr:cNvPr id="4446" name="AutoShape 342" descr="Exempté du ballottage">
          <a:hlinkClick xmlns:r="http://schemas.openxmlformats.org/officeDocument/2006/relationships" r:id="rId462"/>
        </xdr:cNvPr>
        <xdr:cNvSpPr>
          <a:spLocks noChangeAspect="1" noChangeArrowheads="1"/>
        </xdr:cNvSpPr>
      </xdr:nvSpPr>
      <xdr:spPr bwMode="auto">
        <a:xfrm>
          <a:off x="1524000" y="16555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xdr:row>
      <xdr:rowOff>0</xdr:rowOff>
    </xdr:from>
    <xdr:to>
      <xdr:col>7</xdr:col>
      <xdr:colOff>123825</xdr:colOff>
      <xdr:row>100</xdr:row>
      <xdr:rowOff>104775</xdr:rowOff>
    </xdr:to>
    <xdr:sp macro="" textlink="">
      <xdr:nvSpPr>
        <xdr:cNvPr id="4447" name="AutoShape 343" descr="Éligible à l'arbitrage">
          <a:hlinkClick xmlns:r="http://schemas.openxmlformats.org/officeDocument/2006/relationships" r:id="rId463"/>
        </xdr:cNvPr>
        <xdr:cNvSpPr>
          <a:spLocks noChangeAspect="1" noChangeArrowheads="1"/>
        </xdr:cNvSpPr>
      </xdr:nvSpPr>
      <xdr:spPr bwMode="auto">
        <a:xfrm>
          <a:off x="5334000" y="165744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1404</xdr:row>
      <xdr:rowOff>0</xdr:rowOff>
    </xdr:from>
    <xdr:to>
      <xdr:col>7</xdr:col>
      <xdr:colOff>123825</xdr:colOff>
      <xdr:row>1404</xdr:row>
      <xdr:rowOff>104775</xdr:rowOff>
    </xdr:to>
    <xdr:sp macro="" textlink="">
      <xdr:nvSpPr>
        <xdr:cNvPr id="4448" name="AutoShape 344" descr="Éligible à l'arbitrage">
          <a:hlinkClick xmlns:r="http://schemas.openxmlformats.org/officeDocument/2006/relationships" r:id="rId464"/>
        </xdr:cNvPr>
        <xdr:cNvSpPr>
          <a:spLocks noChangeAspect="1" noChangeArrowheads="1"/>
        </xdr:cNvSpPr>
      </xdr:nvSpPr>
      <xdr:spPr bwMode="auto">
        <a:xfrm>
          <a:off x="5334000" y="16055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955</xdr:row>
      <xdr:rowOff>0</xdr:rowOff>
    </xdr:from>
    <xdr:to>
      <xdr:col>7</xdr:col>
      <xdr:colOff>123825</xdr:colOff>
      <xdr:row>955</xdr:row>
      <xdr:rowOff>104775</xdr:rowOff>
    </xdr:to>
    <xdr:sp macro="" textlink="">
      <xdr:nvSpPr>
        <xdr:cNvPr id="4449" name="AutoShape 345" descr="Éligible à l'arbitrage">
          <a:hlinkClick xmlns:r="http://schemas.openxmlformats.org/officeDocument/2006/relationships" r:id="rId465"/>
        </xdr:cNvPr>
        <xdr:cNvSpPr>
          <a:spLocks noChangeAspect="1" noChangeArrowheads="1"/>
        </xdr:cNvSpPr>
      </xdr:nvSpPr>
      <xdr:spPr bwMode="auto">
        <a:xfrm>
          <a:off x="5334000" y="1607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1053</xdr:row>
      <xdr:rowOff>0</xdr:rowOff>
    </xdr:from>
    <xdr:to>
      <xdr:col>2</xdr:col>
      <xdr:colOff>123825</xdr:colOff>
      <xdr:row>1053</xdr:row>
      <xdr:rowOff>123825</xdr:rowOff>
    </xdr:to>
    <xdr:sp macro="" textlink="">
      <xdr:nvSpPr>
        <xdr:cNvPr id="4450" name="AutoShape 346" descr="Bonis de performance"/>
        <xdr:cNvSpPr>
          <a:spLocks noChangeAspect="1" noChangeArrowheads="1"/>
        </xdr:cNvSpPr>
      </xdr:nvSpPr>
      <xdr:spPr bwMode="auto">
        <a:xfrm>
          <a:off x="152400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1053</xdr:row>
      <xdr:rowOff>0</xdr:rowOff>
    </xdr:from>
    <xdr:to>
      <xdr:col>2</xdr:col>
      <xdr:colOff>257175</xdr:colOff>
      <xdr:row>1053</xdr:row>
      <xdr:rowOff>123825</xdr:rowOff>
    </xdr:to>
    <xdr:sp macro="" textlink="">
      <xdr:nvSpPr>
        <xdr:cNvPr id="4451" name="AutoShape 347" descr="Exempté du ballottage">
          <a:hlinkClick xmlns:r="http://schemas.openxmlformats.org/officeDocument/2006/relationships" r:id="rId466"/>
        </xdr:cNvPr>
        <xdr:cNvSpPr>
          <a:spLocks noChangeAspect="1" noChangeArrowheads="1"/>
        </xdr:cNvSpPr>
      </xdr:nvSpPr>
      <xdr:spPr bwMode="auto">
        <a:xfrm>
          <a:off x="165735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xdr:row>
      <xdr:rowOff>0</xdr:rowOff>
    </xdr:from>
    <xdr:to>
      <xdr:col>2</xdr:col>
      <xdr:colOff>123825</xdr:colOff>
      <xdr:row>126</xdr:row>
      <xdr:rowOff>123825</xdr:rowOff>
    </xdr:to>
    <xdr:sp macro="" textlink="">
      <xdr:nvSpPr>
        <xdr:cNvPr id="4452" name="AutoShape 348" descr="Exempté du ballottage">
          <a:hlinkClick xmlns:r="http://schemas.openxmlformats.org/officeDocument/2006/relationships" r:id="rId467"/>
        </xdr:cNvPr>
        <xdr:cNvSpPr>
          <a:spLocks noChangeAspect="1" noChangeArrowheads="1"/>
        </xdr:cNvSpPr>
      </xdr:nvSpPr>
      <xdr:spPr bwMode="auto">
        <a:xfrm>
          <a:off x="1524000" y="1613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453" name="AutoShape 349" descr="https://capfriendly-wlb8ng5.stackpathdns.com/assets/images/icons/general/q2.svg"/>
        <xdr:cNvSpPr>
          <a:spLocks noChangeAspect="1" noChangeArrowheads="1"/>
        </xdr:cNvSpPr>
      </xdr:nvSpPr>
      <xdr:spPr bwMode="auto">
        <a:xfrm>
          <a:off x="4572000" y="161505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1288</xdr:row>
      <xdr:rowOff>0</xdr:rowOff>
    </xdr:from>
    <xdr:to>
      <xdr:col>7</xdr:col>
      <xdr:colOff>123825</xdr:colOff>
      <xdr:row>1288</xdr:row>
      <xdr:rowOff>104775</xdr:rowOff>
    </xdr:to>
    <xdr:sp macro="" textlink="">
      <xdr:nvSpPr>
        <xdr:cNvPr id="4454" name="AutoShape 350" descr="Éligible à l'arbitrage">
          <a:hlinkClick xmlns:r="http://schemas.openxmlformats.org/officeDocument/2006/relationships" r:id="rId468"/>
        </xdr:cNvPr>
        <xdr:cNvSpPr>
          <a:spLocks noChangeAspect="1" noChangeArrowheads="1"/>
        </xdr:cNvSpPr>
      </xdr:nvSpPr>
      <xdr:spPr bwMode="auto">
        <a:xfrm>
          <a:off x="5334000" y="16302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615</xdr:row>
      <xdr:rowOff>0</xdr:rowOff>
    </xdr:from>
    <xdr:to>
      <xdr:col>2</xdr:col>
      <xdr:colOff>123825</xdr:colOff>
      <xdr:row>615</xdr:row>
      <xdr:rowOff>123825</xdr:rowOff>
    </xdr:to>
    <xdr:sp macro="" textlink="">
      <xdr:nvSpPr>
        <xdr:cNvPr id="4455" name="AutoShape 351" descr="Bonis de performance"/>
        <xdr:cNvSpPr>
          <a:spLocks noChangeAspect="1" noChangeArrowheads="1"/>
        </xdr:cNvSpPr>
      </xdr:nvSpPr>
      <xdr:spPr bwMode="auto">
        <a:xfrm>
          <a:off x="152400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615</xdr:row>
      <xdr:rowOff>0</xdr:rowOff>
    </xdr:from>
    <xdr:to>
      <xdr:col>2</xdr:col>
      <xdr:colOff>257175</xdr:colOff>
      <xdr:row>615</xdr:row>
      <xdr:rowOff>123825</xdr:rowOff>
    </xdr:to>
    <xdr:sp macro="" textlink="">
      <xdr:nvSpPr>
        <xdr:cNvPr id="4456" name="AutoShape 352" descr="Exempté du ballottage">
          <a:hlinkClick xmlns:r="http://schemas.openxmlformats.org/officeDocument/2006/relationships" r:id="rId469"/>
        </xdr:cNvPr>
        <xdr:cNvSpPr>
          <a:spLocks noChangeAspect="1" noChangeArrowheads="1"/>
        </xdr:cNvSpPr>
      </xdr:nvSpPr>
      <xdr:spPr bwMode="auto">
        <a:xfrm>
          <a:off x="165735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457" name="AutoShape 353" descr="https://capfriendly-wlb8ng5.stackpathdns.com/assets/images/icons/general/q2.svg"/>
        <xdr:cNvSpPr>
          <a:spLocks noChangeAspect="1" noChangeArrowheads="1"/>
        </xdr:cNvSpPr>
      </xdr:nvSpPr>
      <xdr:spPr bwMode="auto">
        <a:xfrm>
          <a:off x="6096000" y="163591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302</xdr:row>
      <xdr:rowOff>0</xdr:rowOff>
    </xdr:from>
    <xdr:to>
      <xdr:col>2</xdr:col>
      <xdr:colOff>123825</xdr:colOff>
      <xdr:row>302</xdr:row>
      <xdr:rowOff>123825</xdr:rowOff>
    </xdr:to>
    <xdr:sp macro="" textlink="">
      <xdr:nvSpPr>
        <xdr:cNvPr id="4458" name="AutoShape 354" descr="Exempté du ballottage">
          <a:hlinkClick xmlns:r="http://schemas.openxmlformats.org/officeDocument/2006/relationships" r:id="rId470"/>
        </xdr:cNvPr>
        <xdr:cNvSpPr>
          <a:spLocks noChangeAspect="1" noChangeArrowheads="1"/>
        </xdr:cNvSpPr>
      </xdr:nvSpPr>
      <xdr:spPr bwMode="auto">
        <a:xfrm>
          <a:off x="1524000" y="16510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59" name="AutoShape 355" descr="https://capfriendly-wlb8ng5.stackpathdns.com/assets/images/icons/general/q.svg"/>
        <xdr:cNvSpPr>
          <a:spLocks noChangeAspect="1" noChangeArrowheads="1"/>
        </xdr:cNvSpPr>
      </xdr:nvSpPr>
      <xdr:spPr bwMode="auto">
        <a:xfrm>
          <a:off x="1524000" y="1677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0" name="AutoShape 356" descr="https://capfriendly-wlb8ng5.stackpathdns.com/assets/images/icons/general/q.svg"/>
        <xdr:cNvSpPr>
          <a:spLocks noChangeAspect="1" noChangeArrowheads="1"/>
        </xdr:cNvSpPr>
      </xdr:nvSpPr>
      <xdr:spPr bwMode="auto">
        <a:xfrm>
          <a:off x="1524000" y="1679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1" name="AutoShape 357" descr="https://capfriendly-wlb8ng5.stackpathdns.com/assets/images/icons/general/q.svg"/>
        <xdr:cNvSpPr>
          <a:spLocks noChangeAspect="1" noChangeArrowheads="1"/>
        </xdr:cNvSpPr>
      </xdr:nvSpPr>
      <xdr:spPr bwMode="auto">
        <a:xfrm>
          <a:off x="1524000" y="1681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2" name="AutoShape 358" descr="https://capfriendly-wlb8ng5.stackpathdns.com/assets/images/icons/general/q.svg"/>
        <xdr:cNvSpPr>
          <a:spLocks noChangeAspect="1" noChangeArrowheads="1"/>
        </xdr:cNvSpPr>
      </xdr:nvSpPr>
      <xdr:spPr bwMode="auto">
        <a:xfrm>
          <a:off x="1524000" y="1683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3" name="AutoShape 359" descr="https://capfriendly-wlb8ng5.stackpathdns.com/assets/images/icons/general/q.svg"/>
        <xdr:cNvSpPr>
          <a:spLocks noChangeAspect="1" noChangeArrowheads="1"/>
        </xdr:cNvSpPr>
      </xdr:nvSpPr>
      <xdr:spPr bwMode="auto">
        <a:xfrm>
          <a:off x="1524000" y="1685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4" name="AutoShape 360" descr="https://capfriendly-wlb8ng5.stackpathdns.com/assets/images/icons/general/q.svg"/>
        <xdr:cNvSpPr>
          <a:spLocks noChangeAspect="1" noChangeArrowheads="1"/>
        </xdr:cNvSpPr>
      </xdr:nvSpPr>
      <xdr:spPr bwMode="auto">
        <a:xfrm>
          <a:off x="1524000" y="16870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5" name="AutoShape 361" descr="https://capfriendly-wlb8ng5.stackpathdns.com/assets/images/icons/general/q.svg"/>
        <xdr:cNvSpPr>
          <a:spLocks noChangeAspect="1" noChangeArrowheads="1"/>
        </xdr:cNvSpPr>
      </xdr:nvSpPr>
      <xdr:spPr bwMode="auto">
        <a:xfrm>
          <a:off x="1524000" y="16889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6" name="AutoShape 362" descr="https://capfriendly-wlb8ng5.stackpathdns.com/assets/images/icons/general/q.svg"/>
        <xdr:cNvSpPr>
          <a:spLocks noChangeAspect="1" noChangeArrowheads="1"/>
        </xdr:cNvSpPr>
      </xdr:nvSpPr>
      <xdr:spPr bwMode="auto">
        <a:xfrm>
          <a:off x="1524000" y="16908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7" name="AutoShape 363" descr="https://capfriendly-wlb8ng5.stackpathdns.com/assets/images/icons/general/q.svg"/>
        <xdr:cNvSpPr>
          <a:spLocks noChangeAspect="1" noChangeArrowheads="1"/>
        </xdr:cNvSpPr>
      </xdr:nvSpPr>
      <xdr:spPr bwMode="auto">
        <a:xfrm>
          <a:off x="1524000" y="1692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8" name="AutoShape 364" descr="https://capfriendly-wlb8ng5.stackpathdns.com/assets/images/icons/general/q.svg"/>
        <xdr:cNvSpPr>
          <a:spLocks noChangeAspect="1" noChangeArrowheads="1"/>
        </xdr:cNvSpPr>
      </xdr:nvSpPr>
      <xdr:spPr bwMode="auto">
        <a:xfrm>
          <a:off x="1524000" y="16946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9" name="AutoShape 365" descr="https://capfriendly-wlb8ng5.stackpathdns.com/assets/images/icons/general/q.svg"/>
        <xdr:cNvSpPr>
          <a:spLocks noChangeAspect="1" noChangeArrowheads="1"/>
        </xdr:cNvSpPr>
      </xdr:nvSpPr>
      <xdr:spPr bwMode="auto">
        <a:xfrm>
          <a:off x="1524000" y="16965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70" name="AutoShape 366" descr="Bonis de performance"/>
        <xdr:cNvSpPr>
          <a:spLocks noChangeAspect="1" noChangeArrowheads="1"/>
        </xdr:cNvSpPr>
      </xdr:nvSpPr>
      <xdr:spPr bwMode="auto">
        <a:xfrm>
          <a:off x="152400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460</xdr:row>
      <xdr:rowOff>0</xdr:rowOff>
    </xdr:from>
    <xdr:to>
      <xdr:col>2</xdr:col>
      <xdr:colOff>257175</xdr:colOff>
      <xdr:row>460</xdr:row>
      <xdr:rowOff>123825</xdr:rowOff>
    </xdr:to>
    <xdr:sp macro="" textlink="">
      <xdr:nvSpPr>
        <xdr:cNvPr id="4471" name="AutoShape 367" descr="Exempté du ballottage">
          <a:hlinkClick xmlns:r="http://schemas.openxmlformats.org/officeDocument/2006/relationships" r:id="rId471"/>
        </xdr:cNvPr>
        <xdr:cNvSpPr>
          <a:spLocks noChangeAspect="1" noChangeArrowheads="1"/>
        </xdr:cNvSpPr>
      </xdr:nvSpPr>
      <xdr:spPr bwMode="auto">
        <a:xfrm>
          <a:off x="165735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472" name="AutoShape 368" descr="https://capfriendly-wlb8ng5.stackpathdns.com/assets/images/icons/general/q2.svg"/>
        <xdr:cNvSpPr>
          <a:spLocks noChangeAspect="1" noChangeArrowheads="1"/>
        </xdr:cNvSpPr>
      </xdr:nvSpPr>
      <xdr:spPr bwMode="auto">
        <a:xfrm>
          <a:off x="5334000" y="1707165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814</xdr:row>
      <xdr:rowOff>0</xdr:rowOff>
    </xdr:from>
    <xdr:to>
      <xdr:col>2</xdr:col>
      <xdr:colOff>123825</xdr:colOff>
      <xdr:row>814</xdr:row>
      <xdr:rowOff>123825</xdr:rowOff>
    </xdr:to>
    <xdr:sp macro="" textlink="">
      <xdr:nvSpPr>
        <xdr:cNvPr id="4473" name="AutoShape 369" descr="Bonis de performance"/>
        <xdr:cNvSpPr>
          <a:spLocks noChangeAspect="1" noChangeArrowheads="1"/>
        </xdr:cNvSpPr>
      </xdr:nvSpPr>
      <xdr:spPr bwMode="auto">
        <a:xfrm>
          <a:off x="152400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814</xdr:row>
      <xdr:rowOff>0</xdr:rowOff>
    </xdr:from>
    <xdr:to>
      <xdr:col>2</xdr:col>
      <xdr:colOff>257175</xdr:colOff>
      <xdr:row>814</xdr:row>
      <xdr:rowOff>123825</xdr:rowOff>
    </xdr:to>
    <xdr:sp macro="" textlink="">
      <xdr:nvSpPr>
        <xdr:cNvPr id="4474" name="AutoShape 370" descr="Exempté du ballottage">
          <a:hlinkClick xmlns:r="http://schemas.openxmlformats.org/officeDocument/2006/relationships" r:id="rId472"/>
        </xdr:cNvPr>
        <xdr:cNvSpPr>
          <a:spLocks noChangeAspect="1" noChangeArrowheads="1"/>
        </xdr:cNvSpPr>
      </xdr:nvSpPr>
      <xdr:spPr bwMode="auto">
        <a:xfrm>
          <a:off x="165735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636</xdr:row>
      <xdr:rowOff>0</xdr:rowOff>
    </xdr:from>
    <xdr:to>
      <xdr:col>2</xdr:col>
      <xdr:colOff>123825</xdr:colOff>
      <xdr:row>636</xdr:row>
      <xdr:rowOff>123825</xdr:rowOff>
    </xdr:to>
    <xdr:sp macro="" textlink="">
      <xdr:nvSpPr>
        <xdr:cNvPr id="4475" name="AutoShape 371" descr="Bonis de performance"/>
        <xdr:cNvSpPr>
          <a:spLocks noChangeAspect="1" noChangeArrowheads="1"/>
        </xdr:cNvSpPr>
      </xdr:nvSpPr>
      <xdr:spPr bwMode="auto">
        <a:xfrm>
          <a:off x="152400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636</xdr:row>
      <xdr:rowOff>0</xdr:rowOff>
    </xdr:from>
    <xdr:to>
      <xdr:col>2</xdr:col>
      <xdr:colOff>257175</xdr:colOff>
      <xdr:row>636</xdr:row>
      <xdr:rowOff>123825</xdr:rowOff>
    </xdr:to>
    <xdr:sp macro="" textlink="">
      <xdr:nvSpPr>
        <xdr:cNvPr id="4476" name="AutoShape 372" descr="Exempté du ballottage">
          <a:hlinkClick xmlns:r="http://schemas.openxmlformats.org/officeDocument/2006/relationships" r:id="rId473"/>
        </xdr:cNvPr>
        <xdr:cNvSpPr>
          <a:spLocks noChangeAspect="1" noChangeArrowheads="1"/>
        </xdr:cNvSpPr>
      </xdr:nvSpPr>
      <xdr:spPr bwMode="auto">
        <a:xfrm>
          <a:off x="165735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854</xdr:row>
      <xdr:rowOff>0</xdr:rowOff>
    </xdr:from>
    <xdr:to>
      <xdr:col>2</xdr:col>
      <xdr:colOff>123825</xdr:colOff>
      <xdr:row>854</xdr:row>
      <xdr:rowOff>123825</xdr:rowOff>
    </xdr:to>
    <xdr:sp macro="" textlink="">
      <xdr:nvSpPr>
        <xdr:cNvPr id="4477" name="AutoShape 373" descr="Bonis de performance"/>
        <xdr:cNvSpPr>
          <a:spLocks noChangeAspect="1" noChangeArrowheads="1"/>
        </xdr:cNvSpPr>
      </xdr:nvSpPr>
      <xdr:spPr bwMode="auto">
        <a:xfrm>
          <a:off x="152400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854</xdr:row>
      <xdr:rowOff>0</xdr:rowOff>
    </xdr:from>
    <xdr:to>
      <xdr:col>2</xdr:col>
      <xdr:colOff>257175</xdr:colOff>
      <xdr:row>854</xdr:row>
      <xdr:rowOff>123825</xdr:rowOff>
    </xdr:to>
    <xdr:sp macro="" textlink="">
      <xdr:nvSpPr>
        <xdr:cNvPr id="4478" name="AutoShape 374" descr="Exempté du ballottage">
          <a:hlinkClick xmlns:r="http://schemas.openxmlformats.org/officeDocument/2006/relationships" r:id="rId474"/>
        </xdr:cNvPr>
        <xdr:cNvSpPr>
          <a:spLocks noChangeAspect="1" noChangeArrowheads="1"/>
        </xdr:cNvSpPr>
      </xdr:nvSpPr>
      <xdr:spPr bwMode="auto">
        <a:xfrm>
          <a:off x="165735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1023</xdr:row>
      <xdr:rowOff>0</xdr:rowOff>
    </xdr:from>
    <xdr:to>
      <xdr:col>2</xdr:col>
      <xdr:colOff>123825</xdr:colOff>
      <xdr:row>1023</xdr:row>
      <xdr:rowOff>123825</xdr:rowOff>
    </xdr:to>
    <xdr:sp macro="" textlink="">
      <xdr:nvSpPr>
        <xdr:cNvPr id="4479" name="AutoShape 375" descr="Bonis de performance"/>
        <xdr:cNvSpPr>
          <a:spLocks noChangeAspect="1" noChangeArrowheads="1"/>
        </xdr:cNvSpPr>
      </xdr:nvSpPr>
      <xdr:spPr bwMode="auto">
        <a:xfrm>
          <a:off x="152400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1023</xdr:row>
      <xdr:rowOff>0</xdr:rowOff>
    </xdr:from>
    <xdr:to>
      <xdr:col>2</xdr:col>
      <xdr:colOff>257175</xdr:colOff>
      <xdr:row>1023</xdr:row>
      <xdr:rowOff>123825</xdr:rowOff>
    </xdr:to>
    <xdr:sp macro="" textlink="">
      <xdr:nvSpPr>
        <xdr:cNvPr id="4480" name="AutoShape 376" descr="Exempté du ballottage">
          <a:hlinkClick xmlns:r="http://schemas.openxmlformats.org/officeDocument/2006/relationships" r:id="rId475"/>
        </xdr:cNvPr>
        <xdr:cNvSpPr>
          <a:spLocks noChangeAspect="1" noChangeArrowheads="1"/>
        </xdr:cNvSpPr>
      </xdr:nvSpPr>
      <xdr:spPr bwMode="auto">
        <a:xfrm>
          <a:off x="165735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123825</xdr:colOff>
      <xdr:row>450</xdr:row>
      <xdr:rowOff>123825</xdr:rowOff>
    </xdr:to>
    <xdr:sp macro="" textlink="">
      <xdr:nvSpPr>
        <xdr:cNvPr id="4481" name="AutoShape 377" descr="Bonis de performance"/>
        <xdr:cNvSpPr>
          <a:spLocks noChangeAspect="1" noChangeArrowheads="1"/>
        </xdr:cNvSpPr>
      </xdr:nvSpPr>
      <xdr:spPr bwMode="auto">
        <a:xfrm>
          <a:off x="152400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450</xdr:row>
      <xdr:rowOff>0</xdr:rowOff>
    </xdr:from>
    <xdr:to>
      <xdr:col>2</xdr:col>
      <xdr:colOff>257175</xdr:colOff>
      <xdr:row>450</xdr:row>
      <xdr:rowOff>123825</xdr:rowOff>
    </xdr:to>
    <xdr:sp macro="" textlink="">
      <xdr:nvSpPr>
        <xdr:cNvPr id="4482" name="AutoShape 378" descr="Exempté du ballottage">
          <a:hlinkClick xmlns:r="http://schemas.openxmlformats.org/officeDocument/2006/relationships" r:id="rId476"/>
        </xdr:cNvPr>
        <xdr:cNvSpPr>
          <a:spLocks noChangeAspect="1" noChangeArrowheads="1"/>
        </xdr:cNvSpPr>
      </xdr:nvSpPr>
      <xdr:spPr bwMode="auto">
        <a:xfrm>
          <a:off x="165735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xdr:row>
      <xdr:rowOff>0</xdr:rowOff>
    </xdr:from>
    <xdr:to>
      <xdr:col>7</xdr:col>
      <xdr:colOff>123825</xdr:colOff>
      <xdr:row>139</xdr:row>
      <xdr:rowOff>104775</xdr:rowOff>
    </xdr:to>
    <xdr:sp macro="" textlink="">
      <xdr:nvSpPr>
        <xdr:cNvPr id="4483" name="AutoShape 379" descr="Éligible à l'arbitrage">
          <a:hlinkClick xmlns:r="http://schemas.openxmlformats.org/officeDocument/2006/relationships" r:id="rId477"/>
        </xdr:cNvPr>
        <xdr:cNvSpPr>
          <a:spLocks noChangeAspect="1" noChangeArrowheads="1"/>
        </xdr:cNvSpPr>
      </xdr:nvSpPr>
      <xdr:spPr bwMode="auto">
        <a:xfrm>
          <a:off x="5334000" y="171859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54</xdr:row>
      <xdr:rowOff>0</xdr:rowOff>
    </xdr:from>
    <xdr:to>
      <xdr:col>7</xdr:col>
      <xdr:colOff>123825</xdr:colOff>
      <xdr:row>54</xdr:row>
      <xdr:rowOff>104775</xdr:rowOff>
    </xdr:to>
    <xdr:sp macro="" textlink="">
      <xdr:nvSpPr>
        <xdr:cNvPr id="4484" name="AutoShape 380" descr="Éligible à l'arbitrage">
          <a:hlinkClick xmlns:r="http://schemas.openxmlformats.org/officeDocument/2006/relationships" r:id="rId478"/>
        </xdr:cNvPr>
        <xdr:cNvSpPr>
          <a:spLocks noChangeAspect="1" noChangeArrowheads="1"/>
        </xdr:cNvSpPr>
      </xdr:nvSpPr>
      <xdr:spPr bwMode="auto">
        <a:xfrm>
          <a:off x="5334000" y="17243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1453</xdr:row>
      <xdr:rowOff>0</xdr:rowOff>
    </xdr:from>
    <xdr:to>
      <xdr:col>2</xdr:col>
      <xdr:colOff>123825</xdr:colOff>
      <xdr:row>1453</xdr:row>
      <xdr:rowOff>123825</xdr:rowOff>
    </xdr:to>
    <xdr:sp macro="" textlink="">
      <xdr:nvSpPr>
        <xdr:cNvPr id="4485" name="AutoShape 381" descr="Bonis de performance"/>
        <xdr:cNvSpPr>
          <a:spLocks noChangeAspect="1" noChangeArrowheads="1"/>
        </xdr:cNvSpPr>
      </xdr:nvSpPr>
      <xdr:spPr bwMode="auto">
        <a:xfrm>
          <a:off x="15240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1453</xdr:row>
      <xdr:rowOff>0</xdr:rowOff>
    </xdr:from>
    <xdr:to>
      <xdr:col>2</xdr:col>
      <xdr:colOff>257175</xdr:colOff>
      <xdr:row>1453</xdr:row>
      <xdr:rowOff>123825</xdr:rowOff>
    </xdr:to>
    <xdr:sp macro="" textlink="">
      <xdr:nvSpPr>
        <xdr:cNvPr id="4486" name="AutoShape 382" descr="Transaction avec retenue de salaire"/>
        <xdr:cNvSpPr>
          <a:spLocks noChangeAspect="1" noChangeArrowheads="1"/>
        </xdr:cNvSpPr>
      </xdr:nvSpPr>
      <xdr:spPr bwMode="auto">
        <a:xfrm>
          <a:off x="16573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1453</xdr:row>
      <xdr:rowOff>0</xdr:rowOff>
    </xdr:from>
    <xdr:to>
      <xdr:col>2</xdr:col>
      <xdr:colOff>390525</xdr:colOff>
      <xdr:row>1453</xdr:row>
      <xdr:rowOff>123825</xdr:rowOff>
    </xdr:to>
    <xdr:sp macro="" textlink="">
      <xdr:nvSpPr>
        <xdr:cNvPr id="4487" name="AutoShape 383" descr="Exempté du ballottage">
          <a:hlinkClick xmlns:r="http://schemas.openxmlformats.org/officeDocument/2006/relationships" r:id="rId479"/>
        </xdr:cNvPr>
        <xdr:cNvSpPr>
          <a:spLocks noChangeAspect="1" noChangeArrowheads="1"/>
        </xdr:cNvSpPr>
      </xdr:nvSpPr>
      <xdr:spPr bwMode="auto">
        <a:xfrm>
          <a:off x="17907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1453</xdr:row>
      <xdr:rowOff>0</xdr:rowOff>
    </xdr:from>
    <xdr:to>
      <xdr:col>2</xdr:col>
      <xdr:colOff>523875</xdr:colOff>
      <xdr:row>1453</xdr:row>
      <xdr:rowOff>123825</xdr:rowOff>
    </xdr:to>
    <xdr:sp macro="" textlink="">
      <xdr:nvSpPr>
        <xdr:cNvPr id="4488" name="AutoShape 384" descr="Exempté de la limite des 50 contrats"/>
        <xdr:cNvSpPr>
          <a:spLocks noChangeAspect="1" noChangeArrowheads="1"/>
        </xdr:cNvSpPr>
      </xdr:nvSpPr>
      <xdr:spPr bwMode="auto">
        <a:xfrm>
          <a:off x="19240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667</xdr:row>
      <xdr:rowOff>0</xdr:rowOff>
    </xdr:from>
    <xdr:to>
      <xdr:col>2</xdr:col>
      <xdr:colOff>123825</xdr:colOff>
      <xdr:row>667</xdr:row>
      <xdr:rowOff>123825</xdr:rowOff>
    </xdr:to>
    <xdr:sp macro="" textlink="">
      <xdr:nvSpPr>
        <xdr:cNvPr id="4489" name="AutoShape 385" descr="Bonis de performance"/>
        <xdr:cNvSpPr>
          <a:spLocks noChangeAspect="1" noChangeArrowheads="1"/>
        </xdr:cNvSpPr>
      </xdr:nvSpPr>
      <xdr:spPr bwMode="auto">
        <a:xfrm>
          <a:off x="152400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667</xdr:row>
      <xdr:rowOff>0</xdr:rowOff>
    </xdr:from>
    <xdr:to>
      <xdr:col>2</xdr:col>
      <xdr:colOff>257175</xdr:colOff>
      <xdr:row>667</xdr:row>
      <xdr:rowOff>123825</xdr:rowOff>
    </xdr:to>
    <xdr:sp macro="" textlink="">
      <xdr:nvSpPr>
        <xdr:cNvPr id="4490" name="AutoShape 386" descr="Exempté du ballottage">
          <a:hlinkClick xmlns:r="http://schemas.openxmlformats.org/officeDocument/2006/relationships" r:id="rId480"/>
        </xdr:cNvPr>
        <xdr:cNvSpPr>
          <a:spLocks noChangeAspect="1" noChangeArrowheads="1"/>
        </xdr:cNvSpPr>
      </xdr:nvSpPr>
      <xdr:spPr bwMode="auto">
        <a:xfrm>
          <a:off x="165735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370</xdr:row>
      <xdr:rowOff>0</xdr:rowOff>
    </xdr:from>
    <xdr:to>
      <xdr:col>2</xdr:col>
      <xdr:colOff>123825</xdr:colOff>
      <xdr:row>370</xdr:row>
      <xdr:rowOff>123825</xdr:rowOff>
    </xdr:to>
    <xdr:sp macro="" textlink="">
      <xdr:nvSpPr>
        <xdr:cNvPr id="4491" name="AutoShape 387" descr="Bonis de performance"/>
        <xdr:cNvSpPr>
          <a:spLocks noChangeAspect="1" noChangeArrowheads="1"/>
        </xdr:cNvSpPr>
      </xdr:nvSpPr>
      <xdr:spPr bwMode="auto">
        <a:xfrm>
          <a:off x="152400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370</xdr:row>
      <xdr:rowOff>0</xdr:rowOff>
    </xdr:from>
    <xdr:to>
      <xdr:col>2</xdr:col>
      <xdr:colOff>257175</xdr:colOff>
      <xdr:row>370</xdr:row>
      <xdr:rowOff>123825</xdr:rowOff>
    </xdr:to>
    <xdr:sp macro="" textlink="">
      <xdr:nvSpPr>
        <xdr:cNvPr id="4492" name="AutoShape 388" descr="Exempté du ballottage">
          <a:hlinkClick xmlns:r="http://schemas.openxmlformats.org/officeDocument/2006/relationships" r:id="rId481"/>
        </xdr:cNvPr>
        <xdr:cNvSpPr>
          <a:spLocks noChangeAspect="1" noChangeArrowheads="1"/>
        </xdr:cNvSpPr>
      </xdr:nvSpPr>
      <xdr:spPr bwMode="auto">
        <a:xfrm>
          <a:off x="165735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213</xdr:row>
      <xdr:rowOff>0</xdr:rowOff>
    </xdr:from>
    <xdr:to>
      <xdr:col>2</xdr:col>
      <xdr:colOff>123825</xdr:colOff>
      <xdr:row>213</xdr:row>
      <xdr:rowOff>123825</xdr:rowOff>
    </xdr:to>
    <xdr:sp macro="" textlink="">
      <xdr:nvSpPr>
        <xdr:cNvPr id="4493" name="AutoShape 389" descr="Exempté du ballottage">
          <a:hlinkClick xmlns:r="http://schemas.openxmlformats.org/officeDocument/2006/relationships" r:id="rId482"/>
        </xdr:cNvPr>
        <xdr:cNvSpPr>
          <a:spLocks noChangeAspect="1" noChangeArrowheads="1"/>
        </xdr:cNvSpPr>
      </xdr:nvSpPr>
      <xdr:spPr bwMode="auto">
        <a:xfrm>
          <a:off x="1524000" y="17412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1339</xdr:row>
      <xdr:rowOff>0</xdr:rowOff>
    </xdr:from>
    <xdr:to>
      <xdr:col>2</xdr:col>
      <xdr:colOff>123825</xdr:colOff>
      <xdr:row>1339</xdr:row>
      <xdr:rowOff>123825</xdr:rowOff>
    </xdr:to>
    <xdr:sp macro="" textlink="">
      <xdr:nvSpPr>
        <xdr:cNvPr id="4494" name="AutoShape 390" descr="Exempté du ballottage">
          <a:hlinkClick xmlns:r="http://schemas.openxmlformats.org/officeDocument/2006/relationships" r:id="rId483"/>
        </xdr:cNvPr>
        <xdr:cNvSpPr>
          <a:spLocks noChangeAspect="1" noChangeArrowheads="1"/>
        </xdr:cNvSpPr>
      </xdr:nvSpPr>
      <xdr:spPr bwMode="auto">
        <a:xfrm>
          <a:off x="1524000" y="17431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1106</xdr:row>
      <xdr:rowOff>0</xdr:rowOff>
    </xdr:from>
    <xdr:to>
      <xdr:col>2</xdr:col>
      <xdr:colOff>123825</xdr:colOff>
      <xdr:row>1106</xdr:row>
      <xdr:rowOff>123825</xdr:rowOff>
    </xdr:to>
    <xdr:sp macro="" textlink="">
      <xdr:nvSpPr>
        <xdr:cNvPr id="4495" name="AutoShape 391" descr="Exempté du ballottage">
          <a:hlinkClick xmlns:r="http://schemas.openxmlformats.org/officeDocument/2006/relationships" r:id="rId484"/>
        </xdr:cNvPr>
        <xdr:cNvSpPr>
          <a:spLocks noChangeAspect="1" noChangeArrowheads="1"/>
        </xdr:cNvSpPr>
      </xdr:nvSpPr>
      <xdr:spPr bwMode="auto">
        <a:xfrm>
          <a:off x="1524000" y="17450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155</xdr:row>
      <xdr:rowOff>0</xdr:rowOff>
    </xdr:from>
    <xdr:to>
      <xdr:col>2</xdr:col>
      <xdr:colOff>123825</xdr:colOff>
      <xdr:row>155</xdr:row>
      <xdr:rowOff>123825</xdr:rowOff>
    </xdr:to>
    <xdr:sp macro="" textlink="">
      <xdr:nvSpPr>
        <xdr:cNvPr id="4496" name="AutoShape 392" descr="Bonis de performance"/>
        <xdr:cNvSpPr>
          <a:spLocks noChangeAspect="1" noChangeArrowheads="1"/>
        </xdr:cNvSpPr>
      </xdr:nvSpPr>
      <xdr:spPr bwMode="auto">
        <a:xfrm>
          <a:off x="152400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155</xdr:row>
      <xdr:rowOff>0</xdr:rowOff>
    </xdr:from>
    <xdr:to>
      <xdr:col>2</xdr:col>
      <xdr:colOff>257175</xdr:colOff>
      <xdr:row>155</xdr:row>
      <xdr:rowOff>123825</xdr:rowOff>
    </xdr:to>
    <xdr:sp macro="" textlink="">
      <xdr:nvSpPr>
        <xdr:cNvPr id="4497" name="AutoShape 393" descr="Exempté du ballottage">
          <a:hlinkClick xmlns:r="http://schemas.openxmlformats.org/officeDocument/2006/relationships" r:id="rId485"/>
        </xdr:cNvPr>
        <xdr:cNvSpPr>
          <a:spLocks noChangeAspect="1" noChangeArrowheads="1"/>
        </xdr:cNvSpPr>
      </xdr:nvSpPr>
      <xdr:spPr bwMode="auto">
        <a:xfrm>
          <a:off x="165735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1181</xdr:row>
      <xdr:rowOff>0</xdr:rowOff>
    </xdr:from>
    <xdr:to>
      <xdr:col>7</xdr:col>
      <xdr:colOff>123825</xdr:colOff>
      <xdr:row>1181</xdr:row>
      <xdr:rowOff>104775</xdr:rowOff>
    </xdr:to>
    <xdr:sp macro="" textlink="">
      <xdr:nvSpPr>
        <xdr:cNvPr id="4498" name="AutoShape 394" descr="Éligible à l'arbitrage">
          <a:hlinkClick xmlns:r="http://schemas.openxmlformats.org/officeDocument/2006/relationships" r:id="rId486"/>
        </xdr:cNvPr>
        <xdr:cNvSpPr>
          <a:spLocks noChangeAspect="1" noChangeArrowheads="1"/>
        </xdr:cNvSpPr>
      </xdr:nvSpPr>
      <xdr:spPr bwMode="auto">
        <a:xfrm>
          <a:off x="5334000" y="17488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711</xdr:row>
      <xdr:rowOff>0</xdr:rowOff>
    </xdr:from>
    <xdr:to>
      <xdr:col>2</xdr:col>
      <xdr:colOff>123825</xdr:colOff>
      <xdr:row>711</xdr:row>
      <xdr:rowOff>123825</xdr:rowOff>
    </xdr:to>
    <xdr:sp macro="" textlink="">
      <xdr:nvSpPr>
        <xdr:cNvPr id="4499" name="AutoShape 395" descr="Bonis de performance"/>
        <xdr:cNvSpPr>
          <a:spLocks noChangeAspect="1" noChangeArrowheads="1"/>
        </xdr:cNvSpPr>
      </xdr:nvSpPr>
      <xdr:spPr bwMode="auto">
        <a:xfrm>
          <a:off x="152400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711</xdr:row>
      <xdr:rowOff>0</xdr:rowOff>
    </xdr:from>
    <xdr:to>
      <xdr:col>2</xdr:col>
      <xdr:colOff>257175</xdr:colOff>
      <xdr:row>711</xdr:row>
      <xdr:rowOff>123825</xdr:rowOff>
    </xdr:to>
    <xdr:sp macro="" textlink="">
      <xdr:nvSpPr>
        <xdr:cNvPr id="4500" name="AutoShape 396" descr="Exempté du ballottage">
          <a:hlinkClick xmlns:r="http://schemas.openxmlformats.org/officeDocument/2006/relationships" r:id="rId487"/>
        </xdr:cNvPr>
        <xdr:cNvSpPr>
          <a:spLocks noChangeAspect="1" noChangeArrowheads="1"/>
        </xdr:cNvSpPr>
      </xdr:nvSpPr>
      <xdr:spPr bwMode="auto">
        <a:xfrm>
          <a:off x="165735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501" name="AutoShape 397" descr="https://capfriendly-wlb8ng5.stackpathdns.com/assets/images/icons/general/q2.svg"/>
        <xdr:cNvSpPr>
          <a:spLocks noChangeAspect="1" noChangeArrowheads="1"/>
        </xdr:cNvSpPr>
      </xdr:nvSpPr>
      <xdr:spPr bwMode="auto">
        <a:xfrm>
          <a:off x="5334000" y="1760220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317</xdr:row>
      <xdr:rowOff>0</xdr:rowOff>
    </xdr:from>
    <xdr:to>
      <xdr:col>2</xdr:col>
      <xdr:colOff>123825</xdr:colOff>
      <xdr:row>317</xdr:row>
      <xdr:rowOff>123825</xdr:rowOff>
    </xdr:to>
    <xdr:sp macro="" textlink="">
      <xdr:nvSpPr>
        <xdr:cNvPr id="4502" name="AutoShape 398" descr="Bonis de performance"/>
        <xdr:cNvSpPr>
          <a:spLocks noChangeAspect="1" noChangeArrowheads="1"/>
        </xdr:cNvSpPr>
      </xdr:nvSpPr>
      <xdr:spPr bwMode="auto">
        <a:xfrm>
          <a:off x="152400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317</xdr:row>
      <xdr:rowOff>0</xdr:rowOff>
    </xdr:from>
    <xdr:to>
      <xdr:col>2</xdr:col>
      <xdr:colOff>257175</xdr:colOff>
      <xdr:row>317</xdr:row>
      <xdr:rowOff>123825</xdr:rowOff>
    </xdr:to>
    <xdr:sp macro="" textlink="">
      <xdr:nvSpPr>
        <xdr:cNvPr id="4503" name="AutoShape 399" descr="Exempté du ballottage">
          <a:hlinkClick xmlns:r="http://schemas.openxmlformats.org/officeDocument/2006/relationships" r:id="rId488"/>
        </xdr:cNvPr>
        <xdr:cNvSpPr>
          <a:spLocks noChangeAspect="1" noChangeArrowheads="1"/>
        </xdr:cNvSpPr>
      </xdr:nvSpPr>
      <xdr:spPr bwMode="auto">
        <a:xfrm>
          <a:off x="165735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572</xdr:row>
      <xdr:rowOff>0</xdr:rowOff>
    </xdr:from>
    <xdr:to>
      <xdr:col>8</xdr:col>
      <xdr:colOff>123825</xdr:colOff>
      <xdr:row>572</xdr:row>
      <xdr:rowOff>104775</xdr:rowOff>
    </xdr:to>
    <xdr:sp macro="" textlink="">
      <xdr:nvSpPr>
        <xdr:cNvPr id="4504" name="AutoShape 400" descr="Éligible à l'arbitrage">
          <a:hlinkClick xmlns:r="http://schemas.openxmlformats.org/officeDocument/2006/relationships" r:id="rId489"/>
        </xdr:cNvPr>
        <xdr:cNvSpPr>
          <a:spLocks noChangeAspect="1" noChangeArrowheads="1"/>
        </xdr:cNvSpPr>
      </xdr:nvSpPr>
      <xdr:spPr bwMode="auto">
        <a:xfrm>
          <a:off x="6096000" y="1695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1133</xdr:row>
      <xdr:rowOff>0</xdr:rowOff>
    </xdr:from>
    <xdr:to>
      <xdr:col>7</xdr:col>
      <xdr:colOff>123825</xdr:colOff>
      <xdr:row>1133</xdr:row>
      <xdr:rowOff>104775</xdr:rowOff>
    </xdr:to>
    <xdr:sp macro="" textlink="">
      <xdr:nvSpPr>
        <xdr:cNvPr id="4505" name="AutoShape 401" descr="Éligible à l'arbitrage">
          <a:hlinkClick xmlns:r="http://schemas.openxmlformats.org/officeDocument/2006/relationships" r:id="rId490"/>
        </xdr:cNvPr>
        <xdr:cNvSpPr>
          <a:spLocks noChangeAspect="1" noChangeArrowheads="1"/>
        </xdr:cNvSpPr>
      </xdr:nvSpPr>
      <xdr:spPr bwMode="auto">
        <a:xfrm>
          <a:off x="5334000" y="1700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294</xdr:row>
      <xdr:rowOff>0</xdr:rowOff>
    </xdr:from>
    <xdr:to>
      <xdr:col>2</xdr:col>
      <xdr:colOff>123825</xdr:colOff>
      <xdr:row>294</xdr:row>
      <xdr:rowOff>123825</xdr:rowOff>
    </xdr:to>
    <xdr:sp macro="" textlink="">
      <xdr:nvSpPr>
        <xdr:cNvPr id="4506" name="AutoShape 402" descr="Bonis de performance"/>
        <xdr:cNvSpPr>
          <a:spLocks noChangeAspect="1" noChangeArrowheads="1"/>
        </xdr:cNvSpPr>
      </xdr:nvSpPr>
      <xdr:spPr bwMode="auto">
        <a:xfrm>
          <a:off x="1524000" y="17045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1222</xdr:row>
      <xdr:rowOff>0</xdr:rowOff>
    </xdr:from>
    <xdr:to>
      <xdr:col>2</xdr:col>
      <xdr:colOff>123825</xdr:colOff>
      <xdr:row>1222</xdr:row>
      <xdr:rowOff>123825</xdr:rowOff>
    </xdr:to>
    <xdr:sp macro="" textlink="">
      <xdr:nvSpPr>
        <xdr:cNvPr id="4507" name="AutoShape 403" descr="Bonis de performance"/>
        <xdr:cNvSpPr>
          <a:spLocks noChangeAspect="1" noChangeArrowheads="1"/>
        </xdr:cNvSpPr>
      </xdr:nvSpPr>
      <xdr:spPr bwMode="auto">
        <a:xfrm>
          <a:off x="152400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1222</xdr:row>
      <xdr:rowOff>0</xdr:rowOff>
    </xdr:from>
    <xdr:to>
      <xdr:col>2</xdr:col>
      <xdr:colOff>257175</xdr:colOff>
      <xdr:row>1222</xdr:row>
      <xdr:rowOff>123825</xdr:rowOff>
    </xdr:to>
    <xdr:sp macro="" textlink="">
      <xdr:nvSpPr>
        <xdr:cNvPr id="4508" name="AutoShape 404" descr="Exempté du ballottage">
          <a:hlinkClick xmlns:r="http://schemas.openxmlformats.org/officeDocument/2006/relationships" r:id="rId491"/>
        </xdr:cNvPr>
        <xdr:cNvSpPr>
          <a:spLocks noChangeAspect="1" noChangeArrowheads="1"/>
        </xdr:cNvSpPr>
      </xdr:nvSpPr>
      <xdr:spPr bwMode="auto">
        <a:xfrm>
          <a:off x="165735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212</xdr:row>
      <xdr:rowOff>0</xdr:rowOff>
    </xdr:from>
    <xdr:to>
      <xdr:col>2</xdr:col>
      <xdr:colOff>123825</xdr:colOff>
      <xdr:row>212</xdr:row>
      <xdr:rowOff>123825</xdr:rowOff>
    </xdr:to>
    <xdr:sp macro="" textlink="">
      <xdr:nvSpPr>
        <xdr:cNvPr id="4509" name="AutoShape 405" descr="Bonis de performance"/>
        <xdr:cNvSpPr>
          <a:spLocks noChangeAspect="1" noChangeArrowheads="1"/>
        </xdr:cNvSpPr>
      </xdr:nvSpPr>
      <xdr:spPr bwMode="auto">
        <a:xfrm>
          <a:off x="1524000" y="1723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524</xdr:row>
      <xdr:rowOff>0</xdr:rowOff>
    </xdr:from>
    <xdr:to>
      <xdr:col>7</xdr:col>
      <xdr:colOff>123825</xdr:colOff>
      <xdr:row>524</xdr:row>
      <xdr:rowOff>104775</xdr:rowOff>
    </xdr:to>
    <xdr:sp macro="" textlink="">
      <xdr:nvSpPr>
        <xdr:cNvPr id="4510" name="AutoShape 406" descr="Éligible à l'arbitrage">
          <a:hlinkClick xmlns:r="http://schemas.openxmlformats.org/officeDocument/2006/relationships" r:id="rId492"/>
        </xdr:cNvPr>
        <xdr:cNvSpPr>
          <a:spLocks noChangeAspect="1" noChangeArrowheads="1"/>
        </xdr:cNvSpPr>
      </xdr:nvSpPr>
      <xdr:spPr bwMode="auto">
        <a:xfrm>
          <a:off x="5334000" y="17254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230</xdr:row>
      <xdr:rowOff>0</xdr:rowOff>
    </xdr:from>
    <xdr:to>
      <xdr:col>2</xdr:col>
      <xdr:colOff>123825</xdr:colOff>
      <xdr:row>230</xdr:row>
      <xdr:rowOff>123825</xdr:rowOff>
    </xdr:to>
    <xdr:sp macro="" textlink="">
      <xdr:nvSpPr>
        <xdr:cNvPr id="4511" name="AutoShape 407" descr="Bonis de performance"/>
        <xdr:cNvSpPr>
          <a:spLocks noChangeAspect="1" noChangeArrowheads="1"/>
        </xdr:cNvSpPr>
      </xdr:nvSpPr>
      <xdr:spPr bwMode="auto">
        <a:xfrm>
          <a:off x="152400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230</xdr:row>
      <xdr:rowOff>0</xdr:rowOff>
    </xdr:from>
    <xdr:to>
      <xdr:col>2</xdr:col>
      <xdr:colOff>257175</xdr:colOff>
      <xdr:row>230</xdr:row>
      <xdr:rowOff>123825</xdr:rowOff>
    </xdr:to>
    <xdr:sp macro="" textlink="">
      <xdr:nvSpPr>
        <xdr:cNvPr id="4512" name="AutoShape 408" descr="Exempté du ballottage">
          <a:hlinkClick xmlns:r="http://schemas.openxmlformats.org/officeDocument/2006/relationships" r:id="rId493"/>
        </xdr:cNvPr>
        <xdr:cNvSpPr>
          <a:spLocks noChangeAspect="1" noChangeArrowheads="1"/>
        </xdr:cNvSpPr>
      </xdr:nvSpPr>
      <xdr:spPr bwMode="auto">
        <a:xfrm>
          <a:off x="165735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898</xdr:row>
      <xdr:rowOff>0</xdr:rowOff>
    </xdr:from>
    <xdr:to>
      <xdr:col>2</xdr:col>
      <xdr:colOff>123825</xdr:colOff>
      <xdr:row>898</xdr:row>
      <xdr:rowOff>123825</xdr:rowOff>
    </xdr:to>
    <xdr:sp macro="" textlink="">
      <xdr:nvSpPr>
        <xdr:cNvPr id="4513" name="AutoShape 409" descr="Exempté du ballottage">
          <a:hlinkClick xmlns:r="http://schemas.openxmlformats.org/officeDocument/2006/relationships" r:id="rId494"/>
        </xdr:cNvPr>
        <xdr:cNvSpPr>
          <a:spLocks noChangeAspect="1" noChangeArrowheads="1"/>
        </xdr:cNvSpPr>
      </xdr:nvSpPr>
      <xdr:spPr bwMode="auto">
        <a:xfrm>
          <a:off x="1524000" y="1731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514" name="AutoShape 410" descr="https://capfriendly-wlb8ng5.stackpathdns.com/assets/images/icons/general/q2.svg"/>
        <xdr:cNvSpPr>
          <a:spLocks noChangeAspect="1" noChangeArrowheads="1"/>
        </xdr:cNvSpPr>
      </xdr:nvSpPr>
      <xdr:spPr bwMode="auto">
        <a:xfrm>
          <a:off x="4572000" y="1733073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5" name="AutoShape 411" descr="https://capfriendly-wlb8ng5.stackpathdns.com/assets/images/icons/general/q.svg"/>
        <xdr:cNvSpPr>
          <a:spLocks noChangeAspect="1" noChangeArrowheads="1"/>
        </xdr:cNvSpPr>
      </xdr:nvSpPr>
      <xdr:spPr bwMode="auto">
        <a:xfrm>
          <a:off x="1524000" y="1776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6" name="AutoShape 412" descr="https://capfriendly-wlb8ng5.stackpathdns.com/assets/images/icons/general/q.svg"/>
        <xdr:cNvSpPr>
          <a:spLocks noChangeAspect="1" noChangeArrowheads="1"/>
        </xdr:cNvSpPr>
      </xdr:nvSpPr>
      <xdr:spPr bwMode="auto">
        <a:xfrm>
          <a:off x="1524000" y="17783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7" name="AutoShape 413" descr="https://capfriendly-wlb8ng5.stackpathdns.com/assets/images/icons/general/q.svg"/>
        <xdr:cNvSpPr>
          <a:spLocks noChangeAspect="1" noChangeArrowheads="1"/>
        </xdr:cNvSpPr>
      </xdr:nvSpPr>
      <xdr:spPr bwMode="auto">
        <a:xfrm>
          <a:off x="1524000" y="17802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8" name="AutoShape 414" descr="https://capfriendly-wlb8ng5.stackpathdns.com/assets/images/icons/general/q.svg"/>
        <xdr:cNvSpPr>
          <a:spLocks noChangeAspect="1" noChangeArrowheads="1"/>
        </xdr:cNvSpPr>
      </xdr:nvSpPr>
      <xdr:spPr bwMode="auto">
        <a:xfrm>
          <a:off x="1524000" y="17821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9" name="AutoShape 415" descr="https://capfriendly-wlb8ng5.stackpathdns.com/assets/images/icons/general/q.svg"/>
        <xdr:cNvSpPr>
          <a:spLocks noChangeAspect="1" noChangeArrowheads="1"/>
        </xdr:cNvSpPr>
      </xdr:nvSpPr>
      <xdr:spPr bwMode="auto">
        <a:xfrm>
          <a:off x="1524000" y="17840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0" name="AutoShape 416" descr="https://capfriendly-wlb8ng5.stackpathdns.com/assets/images/icons/general/q.svg"/>
        <xdr:cNvSpPr>
          <a:spLocks noChangeAspect="1" noChangeArrowheads="1"/>
        </xdr:cNvSpPr>
      </xdr:nvSpPr>
      <xdr:spPr bwMode="auto">
        <a:xfrm>
          <a:off x="1524000" y="17859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1" name="AutoShape 417" descr="https://capfriendly-wlb8ng5.stackpathdns.com/assets/images/icons/general/q.svg"/>
        <xdr:cNvSpPr>
          <a:spLocks noChangeAspect="1" noChangeArrowheads="1"/>
        </xdr:cNvSpPr>
      </xdr:nvSpPr>
      <xdr:spPr bwMode="auto">
        <a:xfrm>
          <a:off x="1524000" y="17878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2" name="AutoShape 418" descr="https://capfriendly-wlb8ng5.stackpathdns.com/assets/images/icons/general/q.svg"/>
        <xdr:cNvSpPr>
          <a:spLocks noChangeAspect="1" noChangeArrowheads="1"/>
        </xdr:cNvSpPr>
      </xdr:nvSpPr>
      <xdr:spPr bwMode="auto">
        <a:xfrm>
          <a:off x="1524000" y="17897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3" name="AutoShape 419" descr="https://capfriendly-wlb8ng5.stackpathdns.com/assets/images/icons/general/q.svg"/>
        <xdr:cNvSpPr>
          <a:spLocks noChangeAspect="1" noChangeArrowheads="1"/>
        </xdr:cNvSpPr>
      </xdr:nvSpPr>
      <xdr:spPr bwMode="auto">
        <a:xfrm>
          <a:off x="1524000" y="17916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4" name="AutoShape 420" descr="https://capfriendly-wlb8ng5.stackpathdns.com/assets/images/icons/general/q.svg"/>
        <xdr:cNvSpPr>
          <a:spLocks noChangeAspect="1" noChangeArrowheads="1"/>
        </xdr:cNvSpPr>
      </xdr:nvSpPr>
      <xdr:spPr bwMode="auto">
        <a:xfrm>
          <a:off x="1524000" y="17935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5" name="AutoShape 421" descr="https://capfriendly-wlb8ng5.stackpathdns.com/assets/images/icons/general/q.svg"/>
        <xdr:cNvSpPr>
          <a:spLocks noChangeAspect="1" noChangeArrowheads="1"/>
        </xdr:cNvSpPr>
      </xdr:nvSpPr>
      <xdr:spPr bwMode="auto">
        <a:xfrm>
          <a:off x="1524000" y="17954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6" name="AutoShape 422" descr="Bonis de performance"/>
        <xdr:cNvSpPr>
          <a:spLocks noChangeAspect="1" noChangeArrowheads="1"/>
        </xdr:cNvSpPr>
      </xdr:nvSpPr>
      <xdr:spPr bwMode="auto">
        <a:xfrm>
          <a:off x="152400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440</xdr:row>
      <xdr:rowOff>0</xdr:rowOff>
    </xdr:from>
    <xdr:to>
      <xdr:col>2</xdr:col>
      <xdr:colOff>257175</xdr:colOff>
      <xdr:row>440</xdr:row>
      <xdr:rowOff>123825</xdr:rowOff>
    </xdr:to>
    <xdr:sp macro="" textlink="">
      <xdr:nvSpPr>
        <xdr:cNvPr id="4527" name="AutoShape 423" descr="Exempté du ballottage">
          <a:hlinkClick xmlns:r="http://schemas.openxmlformats.org/officeDocument/2006/relationships" r:id="rId495"/>
        </xdr:cNvPr>
        <xdr:cNvSpPr>
          <a:spLocks noChangeAspect="1" noChangeArrowheads="1"/>
        </xdr:cNvSpPr>
      </xdr:nvSpPr>
      <xdr:spPr bwMode="auto">
        <a:xfrm>
          <a:off x="165735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xdr:row>
      <xdr:rowOff>0</xdr:rowOff>
    </xdr:from>
    <xdr:to>
      <xdr:col>2</xdr:col>
      <xdr:colOff>123825</xdr:colOff>
      <xdr:row>112</xdr:row>
      <xdr:rowOff>123825</xdr:rowOff>
    </xdr:to>
    <xdr:sp macro="" textlink="">
      <xdr:nvSpPr>
        <xdr:cNvPr id="4528" name="AutoShape 424" descr="Bonis de performance"/>
        <xdr:cNvSpPr>
          <a:spLocks noChangeAspect="1" noChangeArrowheads="1"/>
        </xdr:cNvSpPr>
      </xdr:nvSpPr>
      <xdr:spPr bwMode="auto">
        <a:xfrm>
          <a:off x="152400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xdr:row>
      <xdr:rowOff>0</xdr:rowOff>
    </xdr:from>
    <xdr:to>
      <xdr:col>2</xdr:col>
      <xdr:colOff>257175</xdr:colOff>
      <xdr:row>112</xdr:row>
      <xdr:rowOff>123825</xdr:rowOff>
    </xdr:to>
    <xdr:sp macro="" textlink="">
      <xdr:nvSpPr>
        <xdr:cNvPr id="4529" name="AutoShape 425" descr="Exempté du ballottage">
          <a:hlinkClick xmlns:r="http://schemas.openxmlformats.org/officeDocument/2006/relationships" r:id="rId496"/>
        </xdr:cNvPr>
        <xdr:cNvSpPr>
          <a:spLocks noChangeAspect="1" noChangeArrowheads="1"/>
        </xdr:cNvSpPr>
      </xdr:nvSpPr>
      <xdr:spPr bwMode="auto">
        <a:xfrm>
          <a:off x="165735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1212</xdr:row>
      <xdr:rowOff>0</xdr:rowOff>
    </xdr:from>
    <xdr:to>
      <xdr:col>2</xdr:col>
      <xdr:colOff>123825</xdr:colOff>
      <xdr:row>1212</xdr:row>
      <xdr:rowOff>123825</xdr:rowOff>
    </xdr:to>
    <xdr:sp macro="" textlink="">
      <xdr:nvSpPr>
        <xdr:cNvPr id="4530" name="AutoShape 426" descr="Bonis de performance"/>
        <xdr:cNvSpPr>
          <a:spLocks noChangeAspect="1" noChangeArrowheads="1"/>
        </xdr:cNvSpPr>
      </xdr:nvSpPr>
      <xdr:spPr bwMode="auto">
        <a:xfrm>
          <a:off x="152400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1212</xdr:row>
      <xdr:rowOff>0</xdr:rowOff>
    </xdr:from>
    <xdr:to>
      <xdr:col>2</xdr:col>
      <xdr:colOff>257175</xdr:colOff>
      <xdr:row>1212</xdr:row>
      <xdr:rowOff>123825</xdr:rowOff>
    </xdr:to>
    <xdr:sp macro="" textlink="">
      <xdr:nvSpPr>
        <xdr:cNvPr id="4531" name="AutoShape 427" descr="Exempté du ballottage">
          <a:hlinkClick xmlns:r="http://schemas.openxmlformats.org/officeDocument/2006/relationships" r:id="rId497"/>
        </xdr:cNvPr>
        <xdr:cNvSpPr>
          <a:spLocks noChangeAspect="1" noChangeArrowheads="1"/>
        </xdr:cNvSpPr>
      </xdr:nvSpPr>
      <xdr:spPr bwMode="auto">
        <a:xfrm>
          <a:off x="165735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1291</xdr:row>
      <xdr:rowOff>0</xdr:rowOff>
    </xdr:from>
    <xdr:to>
      <xdr:col>2</xdr:col>
      <xdr:colOff>123825</xdr:colOff>
      <xdr:row>1291</xdr:row>
      <xdr:rowOff>123825</xdr:rowOff>
    </xdr:to>
    <xdr:sp macro="" textlink="">
      <xdr:nvSpPr>
        <xdr:cNvPr id="4532" name="AutoShape 428" descr="Bonis de performance"/>
        <xdr:cNvSpPr>
          <a:spLocks noChangeAspect="1" noChangeArrowheads="1"/>
        </xdr:cNvSpPr>
      </xdr:nvSpPr>
      <xdr:spPr bwMode="auto">
        <a:xfrm>
          <a:off x="152400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1291</xdr:row>
      <xdr:rowOff>0</xdr:rowOff>
    </xdr:from>
    <xdr:to>
      <xdr:col>2</xdr:col>
      <xdr:colOff>257175</xdr:colOff>
      <xdr:row>1291</xdr:row>
      <xdr:rowOff>123825</xdr:rowOff>
    </xdr:to>
    <xdr:sp macro="" textlink="">
      <xdr:nvSpPr>
        <xdr:cNvPr id="4533" name="AutoShape 429" descr="Exempté du ballottage">
          <a:hlinkClick xmlns:r="http://schemas.openxmlformats.org/officeDocument/2006/relationships" r:id="rId498"/>
        </xdr:cNvPr>
        <xdr:cNvSpPr>
          <a:spLocks noChangeAspect="1" noChangeArrowheads="1"/>
        </xdr:cNvSpPr>
      </xdr:nvSpPr>
      <xdr:spPr bwMode="auto">
        <a:xfrm>
          <a:off x="165735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613</xdr:row>
      <xdr:rowOff>0</xdr:rowOff>
    </xdr:from>
    <xdr:to>
      <xdr:col>2</xdr:col>
      <xdr:colOff>123825</xdr:colOff>
      <xdr:row>613</xdr:row>
      <xdr:rowOff>123825</xdr:rowOff>
    </xdr:to>
    <xdr:sp macro="" textlink="">
      <xdr:nvSpPr>
        <xdr:cNvPr id="4534" name="AutoShape 430" descr="Bonis de performance"/>
        <xdr:cNvSpPr>
          <a:spLocks noChangeAspect="1" noChangeArrowheads="1"/>
        </xdr:cNvSpPr>
      </xdr:nvSpPr>
      <xdr:spPr bwMode="auto">
        <a:xfrm>
          <a:off x="152400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613</xdr:row>
      <xdr:rowOff>0</xdr:rowOff>
    </xdr:from>
    <xdr:to>
      <xdr:col>2</xdr:col>
      <xdr:colOff>257175</xdr:colOff>
      <xdr:row>613</xdr:row>
      <xdr:rowOff>123825</xdr:rowOff>
    </xdr:to>
    <xdr:sp macro="" textlink="">
      <xdr:nvSpPr>
        <xdr:cNvPr id="4535" name="AutoShape 431" descr="Exempté du ballottage">
          <a:hlinkClick xmlns:r="http://schemas.openxmlformats.org/officeDocument/2006/relationships" r:id="rId499"/>
        </xdr:cNvPr>
        <xdr:cNvSpPr>
          <a:spLocks noChangeAspect="1" noChangeArrowheads="1"/>
        </xdr:cNvSpPr>
      </xdr:nvSpPr>
      <xdr:spPr bwMode="auto">
        <a:xfrm>
          <a:off x="165735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787</xdr:row>
      <xdr:rowOff>0</xdr:rowOff>
    </xdr:from>
    <xdr:to>
      <xdr:col>2</xdr:col>
      <xdr:colOff>123825</xdr:colOff>
      <xdr:row>787</xdr:row>
      <xdr:rowOff>123825</xdr:rowOff>
    </xdr:to>
    <xdr:sp macro="" textlink="">
      <xdr:nvSpPr>
        <xdr:cNvPr id="4536" name="AutoShape 432" descr="Bonis de performance"/>
        <xdr:cNvSpPr>
          <a:spLocks noChangeAspect="1" noChangeArrowheads="1"/>
        </xdr:cNvSpPr>
      </xdr:nvSpPr>
      <xdr:spPr bwMode="auto">
        <a:xfrm>
          <a:off x="15240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787</xdr:row>
      <xdr:rowOff>0</xdr:rowOff>
    </xdr:from>
    <xdr:to>
      <xdr:col>2</xdr:col>
      <xdr:colOff>257175</xdr:colOff>
      <xdr:row>787</xdr:row>
      <xdr:rowOff>123825</xdr:rowOff>
    </xdr:to>
    <xdr:sp macro="" textlink="">
      <xdr:nvSpPr>
        <xdr:cNvPr id="4537" name="AutoShape 433" descr="Transaction avec retenue de salaire"/>
        <xdr:cNvSpPr>
          <a:spLocks noChangeAspect="1" noChangeArrowheads="1"/>
        </xdr:cNvSpPr>
      </xdr:nvSpPr>
      <xdr:spPr bwMode="auto">
        <a:xfrm>
          <a:off x="16573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787</xdr:row>
      <xdr:rowOff>0</xdr:rowOff>
    </xdr:from>
    <xdr:to>
      <xdr:col>2</xdr:col>
      <xdr:colOff>390525</xdr:colOff>
      <xdr:row>787</xdr:row>
      <xdr:rowOff>123825</xdr:rowOff>
    </xdr:to>
    <xdr:sp macro="" textlink="">
      <xdr:nvSpPr>
        <xdr:cNvPr id="4538" name="AutoShape 434" descr="Exempté du ballottage">
          <a:hlinkClick xmlns:r="http://schemas.openxmlformats.org/officeDocument/2006/relationships" r:id="rId500"/>
        </xdr:cNvPr>
        <xdr:cNvSpPr>
          <a:spLocks noChangeAspect="1" noChangeArrowheads="1"/>
        </xdr:cNvSpPr>
      </xdr:nvSpPr>
      <xdr:spPr bwMode="auto">
        <a:xfrm>
          <a:off x="17907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787</xdr:row>
      <xdr:rowOff>0</xdr:rowOff>
    </xdr:from>
    <xdr:to>
      <xdr:col>2</xdr:col>
      <xdr:colOff>523875</xdr:colOff>
      <xdr:row>787</xdr:row>
      <xdr:rowOff>123825</xdr:rowOff>
    </xdr:to>
    <xdr:sp macro="" textlink="">
      <xdr:nvSpPr>
        <xdr:cNvPr id="4539" name="AutoShape 435" descr="Exempté de la limite des 50 contrats"/>
        <xdr:cNvSpPr>
          <a:spLocks noChangeAspect="1" noChangeArrowheads="1"/>
        </xdr:cNvSpPr>
      </xdr:nvSpPr>
      <xdr:spPr bwMode="auto">
        <a:xfrm>
          <a:off x="19240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1310</xdr:row>
      <xdr:rowOff>0</xdr:rowOff>
    </xdr:from>
    <xdr:to>
      <xdr:col>2</xdr:col>
      <xdr:colOff>123825</xdr:colOff>
      <xdr:row>1310</xdr:row>
      <xdr:rowOff>123825</xdr:rowOff>
    </xdr:to>
    <xdr:sp macro="" textlink="">
      <xdr:nvSpPr>
        <xdr:cNvPr id="4540" name="AutoShape 436" descr="Bonis de performance"/>
        <xdr:cNvSpPr>
          <a:spLocks noChangeAspect="1" noChangeArrowheads="1"/>
        </xdr:cNvSpPr>
      </xdr:nvSpPr>
      <xdr:spPr bwMode="auto">
        <a:xfrm>
          <a:off x="152400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1310</xdr:row>
      <xdr:rowOff>0</xdr:rowOff>
    </xdr:from>
    <xdr:to>
      <xdr:col>2</xdr:col>
      <xdr:colOff>257175</xdr:colOff>
      <xdr:row>1310</xdr:row>
      <xdr:rowOff>123825</xdr:rowOff>
    </xdr:to>
    <xdr:sp macro="" textlink="">
      <xdr:nvSpPr>
        <xdr:cNvPr id="4541" name="AutoShape 437" descr="Exempté du ballottage">
          <a:hlinkClick xmlns:r="http://schemas.openxmlformats.org/officeDocument/2006/relationships" r:id="rId501"/>
        </xdr:cNvPr>
        <xdr:cNvSpPr>
          <a:spLocks noChangeAspect="1" noChangeArrowheads="1"/>
        </xdr:cNvSpPr>
      </xdr:nvSpPr>
      <xdr:spPr bwMode="auto">
        <a:xfrm>
          <a:off x="165735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733</xdr:row>
      <xdr:rowOff>0</xdr:rowOff>
    </xdr:from>
    <xdr:to>
      <xdr:col>2</xdr:col>
      <xdr:colOff>123825</xdr:colOff>
      <xdr:row>733</xdr:row>
      <xdr:rowOff>123825</xdr:rowOff>
    </xdr:to>
    <xdr:sp macro="" textlink="">
      <xdr:nvSpPr>
        <xdr:cNvPr id="4542" name="AutoShape 438" descr="Bonis de performance"/>
        <xdr:cNvSpPr>
          <a:spLocks noChangeAspect="1" noChangeArrowheads="1"/>
        </xdr:cNvSpPr>
      </xdr:nvSpPr>
      <xdr:spPr bwMode="auto">
        <a:xfrm>
          <a:off x="152400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733</xdr:row>
      <xdr:rowOff>0</xdr:rowOff>
    </xdr:from>
    <xdr:to>
      <xdr:col>2</xdr:col>
      <xdr:colOff>257175</xdr:colOff>
      <xdr:row>733</xdr:row>
      <xdr:rowOff>123825</xdr:rowOff>
    </xdr:to>
    <xdr:sp macro="" textlink="">
      <xdr:nvSpPr>
        <xdr:cNvPr id="4543" name="AutoShape 439" descr="Exempté du ballottage">
          <a:hlinkClick xmlns:r="http://schemas.openxmlformats.org/officeDocument/2006/relationships" r:id="rId502"/>
        </xdr:cNvPr>
        <xdr:cNvSpPr>
          <a:spLocks noChangeAspect="1" noChangeArrowheads="1"/>
        </xdr:cNvSpPr>
      </xdr:nvSpPr>
      <xdr:spPr bwMode="auto">
        <a:xfrm>
          <a:off x="165735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753</xdr:row>
      <xdr:rowOff>0</xdr:rowOff>
    </xdr:from>
    <xdr:to>
      <xdr:col>2</xdr:col>
      <xdr:colOff>123825</xdr:colOff>
      <xdr:row>753</xdr:row>
      <xdr:rowOff>123825</xdr:rowOff>
    </xdr:to>
    <xdr:sp macro="" textlink="">
      <xdr:nvSpPr>
        <xdr:cNvPr id="4544" name="AutoShape 440" descr="Exempté du ballottage">
          <a:hlinkClick xmlns:r="http://schemas.openxmlformats.org/officeDocument/2006/relationships" r:id="rId503"/>
        </xdr:cNvPr>
        <xdr:cNvSpPr>
          <a:spLocks noChangeAspect="1" noChangeArrowheads="1"/>
        </xdr:cNvSpPr>
      </xdr:nvSpPr>
      <xdr:spPr bwMode="auto">
        <a:xfrm>
          <a:off x="1524000" y="18193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411</xdr:row>
      <xdr:rowOff>0</xdr:rowOff>
    </xdr:from>
    <xdr:to>
      <xdr:col>2</xdr:col>
      <xdr:colOff>123825</xdr:colOff>
      <xdr:row>411</xdr:row>
      <xdr:rowOff>123825</xdr:rowOff>
    </xdr:to>
    <xdr:sp macro="" textlink="">
      <xdr:nvSpPr>
        <xdr:cNvPr id="4545" name="AutoShape 441" descr="Exempté du ballottage">
          <a:hlinkClick xmlns:r="http://schemas.openxmlformats.org/officeDocument/2006/relationships" r:id="rId504"/>
        </xdr:cNvPr>
        <xdr:cNvSpPr>
          <a:spLocks noChangeAspect="1" noChangeArrowheads="1"/>
        </xdr:cNvSpPr>
      </xdr:nvSpPr>
      <xdr:spPr bwMode="auto">
        <a:xfrm>
          <a:off x="1524000" y="18212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411</xdr:row>
      <xdr:rowOff>0</xdr:rowOff>
    </xdr:from>
    <xdr:to>
      <xdr:col>7</xdr:col>
      <xdr:colOff>123825</xdr:colOff>
      <xdr:row>411</xdr:row>
      <xdr:rowOff>104775</xdr:rowOff>
    </xdr:to>
    <xdr:sp macro="" textlink="">
      <xdr:nvSpPr>
        <xdr:cNvPr id="4546" name="AutoShape 442" descr="Éligible à l'arbitrage">
          <a:hlinkClick xmlns:r="http://schemas.openxmlformats.org/officeDocument/2006/relationships" r:id="rId505"/>
        </xdr:cNvPr>
        <xdr:cNvSpPr>
          <a:spLocks noChangeAspect="1" noChangeArrowheads="1"/>
        </xdr:cNvSpPr>
      </xdr:nvSpPr>
      <xdr:spPr bwMode="auto">
        <a:xfrm>
          <a:off x="5334000" y="182127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463</xdr:row>
      <xdr:rowOff>0</xdr:rowOff>
    </xdr:from>
    <xdr:to>
      <xdr:col>7</xdr:col>
      <xdr:colOff>123825</xdr:colOff>
      <xdr:row>463</xdr:row>
      <xdr:rowOff>104775</xdr:rowOff>
    </xdr:to>
    <xdr:sp macro="" textlink="">
      <xdr:nvSpPr>
        <xdr:cNvPr id="4547" name="AutoShape 443" descr="Éligible à l'arbitrage">
          <a:hlinkClick xmlns:r="http://schemas.openxmlformats.org/officeDocument/2006/relationships" r:id="rId506"/>
        </xdr:cNvPr>
        <xdr:cNvSpPr>
          <a:spLocks noChangeAspect="1" noChangeArrowheads="1"/>
        </xdr:cNvSpPr>
      </xdr:nvSpPr>
      <xdr:spPr bwMode="auto">
        <a:xfrm>
          <a:off x="5334000" y="182318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122</xdr:row>
      <xdr:rowOff>0</xdr:rowOff>
    </xdr:from>
    <xdr:to>
      <xdr:col>8</xdr:col>
      <xdr:colOff>123825</xdr:colOff>
      <xdr:row>122</xdr:row>
      <xdr:rowOff>104775</xdr:rowOff>
    </xdr:to>
    <xdr:sp macro="" textlink="">
      <xdr:nvSpPr>
        <xdr:cNvPr id="4548" name="AutoShape 444" descr="Éligible à l'arbitrage">
          <a:hlinkClick xmlns:r="http://schemas.openxmlformats.org/officeDocument/2006/relationships" r:id="rId507"/>
        </xdr:cNvPr>
        <xdr:cNvSpPr>
          <a:spLocks noChangeAspect="1" noChangeArrowheads="1"/>
        </xdr:cNvSpPr>
      </xdr:nvSpPr>
      <xdr:spPr bwMode="auto">
        <a:xfrm>
          <a:off x="6096000" y="18250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208</xdr:row>
      <xdr:rowOff>0</xdr:rowOff>
    </xdr:from>
    <xdr:to>
      <xdr:col>7</xdr:col>
      <xdr:colOff>123825</xdr:colOff>
      <xdr:row>208</xdr:row>
      <xdr:rowOff>104775</xdr:rowOff>
    </xdr:to>
    <xdr:sp macro="" textlink="">
      <xdr:nvSpPr>
        <xdr:cNvPr id="4549" name="AutoShape 445" descr="Éligible à l'arbitrage">
          <a:hlinkClick xmlns:r="http://schemas.openxmlformats.org/officeDocument/2006/relationships" r:id="rId508"/>
        </xdr:cNvPr>
        <xdr:cNvSpPr>
          <a:spLocks noChangeAspect="1" noChangeArrowheads="1"/>
        </xdr:cNvSpPr>
      </xdr:nvSpPr>
      <xdr:spPr bwMode="auto">
        <a:xfrm>
          <a:off x="5334000" y="182699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1379</xdr:row>
      <xdr:rowOff>0</xdr:rowOff>
    </xdr:from>
    <xdr:to>
      <xdr:col>2</xdr:col>
      <xdr:colOff>123825</xdr:colOff>
      <xdr:row>1379</xdr:row>
      <xdr:rowOff>123825</xdr:rowOff>
    </xdr:to>
    <xdr:sp macro="" textlink="">
      <xdr:nvSpPr>
        <xdr:cNvPr id="4550" name="AutoShape 446" descr="Bonis de performance"/>
        <xdr:cNvSpPr>
          <a:spLocks noChangeAspect="1" noChangeArrowheads="1"/>
        </xdr:cNvSpPr>
      </xdr:nvSpPr>
      <xdr:spPr bwMode="auto">
        <a:xfrm>
          <a:off x="152400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1379</xdr:row>
      <xdr:rowOff>0</xdr:rowOff>
    </xdr:from>
    <xdr:to>
      <xdr:col>2</xdr:col>
      <xdr:colOff>257175</xdr:colOff>
      <xdr:row>1379</xdr:row>
      <xdr:rowOff>123825</xdr:rowOff>
    </xdr:to>
    <xdr:sp macro="" textlink="">
      <xdr:nvSpPr>
        <xdr:cNvPr id="4551" name="AutoShape 447" descr="Exempté du ballottage">
          <a:hlinkClick xmlns:r="http://schemas.openxmlformats.org/officeDocument/2006/relationships" r:id="rId509"/>
        </xdr:cNvPr>
        <xdr:cNvSpPr>
          <a:spLocks noChangeAspect="1" noChangeArrowheads="1"/>
        </xdr:cNvSpPr>
      </xdr:nvSpPr>
      <xdr:spPr bwMode="auto">
        <a:xfrm>
          <a:off x="165735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1471</xdr:row>
      <xdr:rowOff>0</xdr:rowOff>
    </xdr:from>
    <xdr:to>
      <xdr:col>2</xdr:col>
      <xdr:colOff>123825</xdr:colOff>
      <xdr:row>1471</xdr:row>
      <xdr:rowOff>123825</xdr:rowOff>
    </xdr:to>
    <xdr:sp macro="" textlink="">
      <xdr:nvSpPr>
        <xdr:cNvPr id="4552" name="AutoShape 448" descr="Bonis de performance"/>
        <xdr:cNvSpPr>
          <a:spLocks noChangeAspect="1" noChangeArrowheads="1"/>
        </xdr:cNvSpPr>
      </xdr:nvSpPr>
      <xdr:spPr bwMode="auto">
        <a:xfrm>
          <a:off x="152400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1471</xdr:row>
      <xdr:rowOff>0</xdr:rowOff>
    </xdr:from>
    <xdr:to>
      <xdr:col>2</xdr:col>
      <xdr:colOff>257175</xdr:colOff>
      <xdr:row>1471</xdr:row>
      <xdr:rowOff>123825</xdr:rowOff>
    </xdr:to>
    <xdr:sp macro="" textlink="">
      <xdr:nvSpPr>
        <xdr:cNvPr id="4553" name="AutoShape 449" descr="Exempté du ballottage">
          <a:hlinkClick xmlns:r="http://schemas.openxmlformats.org/officeDocument/2006/relationships" r:id="rId510"/>
        </xdr:cNvPr>
        <xdr:cNvSpPr>
          <a:spLocks noChangeAspect="1" noChangeArrowheads="1"/>
        </xdr:cNvSpPr>
      </xdr:nvSpPr>
      <xdr:spPr bwMode="auto">
        <a:xfrm>
          <a:off x="165735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xdr:row>
      <xdr:rowOff>0</xdr:rowOff>
    </xdr:from>
    <xdr:to>
      <xdr:col>2</xdr:col>
      <xdr:colOff>123825</xdr:colOff>
      <xdr:row>30</xdr:row>
      <xdr:rowOff>123825</xdr:rowOff>
    </xdr:to>
    <xdr:sp macro="" textlink="">
      <xdr:nvSpPr>
        <xdr:cNvPr id="4554" name="AutoShape 450" descr="Bonis de performance"/>
        <xdr:cNvSpPr>
          <a:spLocks noChangeAspect="1" noChangeArrowheads="1"/>
        </xdr:cNvSpPr>
      </xdr:nvSpPr>
      <xdr:spPr bwMode="auto">
        <a:xfrm>
          <a:off x="15240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xdr:row>
      <xdr:rowOff>0</xdr:rowOff>
    </xdr:from>
    <xdr:to>
      <xdr:col>2</xdr:col>
      <xdr:colOff>257175</xdr:colOff>
      <xdr:row>30</xdr:row>
      <xdr:rowOff>123825</xdr:rowOff>
    </xdr:to>
    <xdr:sp macro="" textlink="">
      <xdr:nvSpPr>
        <xdr:cNvPr id="4555" name="AutoShape 451" descr="Transaction avec retenue de salaire"/>
        <xdr:cNvSpPr>
          <a:spLocks noChangeAspect="1" noChangeArrowheads="1"/>
        </xdr:cNvSpPr>
      </xdr:nvSpPr>
      <xdr:spPr bwMode="auto">
        <a:xfrm>
          <a:off x="16573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xdr:row>
      <xdr:rowOff>0</xdr:rowOff>
    </xdr:from>
    <xdr:to>
      <xdr:col>2</xdr:col>
      <xdr:colOff>390525</xdr:colOff>
      <xdr:row>30</xdr:row>
      <xdr:rowOff>123825</xdr:rowOff>
    </xdr:to>
    <xdr:sp macro="" textlink="">
      <xdr:nvSpPr>
        <xdr:cNvPr id="4556" name="AutoShape 452" descr="Exempté du ballottage">
          <a:hlinkClick xmlns:r="http://schemas.openxmlformats.org/officeDocument/2006/relationships" r:id="rId511"/>
        </xdr:cNvPr>
        <xdr:cNvSpPr>
          <a:spLocks noChangeAspect="1" noChangeArrowheads="1"/>
        </xdr:cNvSpPr>
      </xdr:nvSpPr>
      <xdr:spPr bwMode="auto">
        <a:xfrm>
          <a:off x="17907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30</xdr:row>
      <xdr:rowOff>0</xdr:rowOff>
    </xdr:from>
    <xdr:to>
      <xdr:col>2</xdr:col>
      <xdr:colOff>523875</xdr:colOff>
      <xdr:row>30</xdr:row>
      <xdr:rowOff>123825</xdr:rowOff>
    </xdr:to>
    <xdr:sp macro="" textlink="">
      <xdr:nvSpPr>
        <xdr:cNvPr id="4557" name="AutoShape 453" descr="Exempté de la limite des 50 contrats"/>
        <xdr:cNvSpPr>
          <a:spLocks noChangeAspect="1" noChangeArrowheads="1"/>
        </xdr:cNvSpPr>
      </xdr:nvSpPr>
      <xdr:spPr bwMode="auto">
        <a:xfrm>
          <a:off x="19240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1223</xdr:row>
      <xdr:rowOff>0</xdr:rowOff>
    </xdr:from>
    <xdr:to>
      <xdr:col>2</xdr:col>
      <xdr:colOff>123825</xdr:colOff>
      <xdr:row>1223</xdr:row>
      <xdr:rowOff>123825</xdr:rowOff>
    </xdr:to>
    <xdr:sp macro="" textlink="">
      <xdr:nvSpPr>
        <xdr:cNvPr id="4558" name="AutoShape 454" descr="Bonis de performance"/>
        <xdr:cNvSpPr>
          <a:spLocks noChangeAspect="1" noChangeArrowheads="1"/>
        </xdr:cNvSpPr>
      </xdr:nvSpPr>
      <xdr:spPr bwMode="auto">
        <a:xfrm>
          <a:off x="152400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1223</xdr:row>
      <xdr:rowOff>0</xdr:rowOff>
    </xdr:from>
    <xdr:to>
      <xdr:col>2</xdr:col>
      <xdr:colOff>257175</xdr:colOff>
      <xdr:row>1223</xdr:row>
      <xdr:rowOff>123825</xdr:rowOff>
    </xdr:to>
    <xdr:sp macro="" textlink="">
      <xdr:nvSpPr>
        <xdr:cNvPr id="4559" name="AutoShape 455" descr="Exempté du ballottage">
          <a:hlinkClick xmlns:r="http://schemas.openxmlformats.org/officeDocument/2006/relationships" r:id="rId512"/>
        </xdr:cNvPr>
        <xdr:cNvSpPr>
          <a:spLocks noChangeAspect="1" noChangeArrowheads="1"/>
        </xdr:cNvSpPr>
      </xdr:nvSpPr>
      <xdr:spPr bwMode="auto">
        <a:xfrm>
          <a:off x="165735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788</xdr:row>
      <xdr:rowOff>0</xdr:rowOff>
    </xdr:from>
    <xdr:to>
      <xdr:col>2</xdr:col>
      <xdr:colOff>123825</xdr:colOff>
      <xdr:row>788</xdr:row>
      <xdr:rowOff>123825</xdr:rowOff>
    </xdr:to>
    <xdr:sp macro="" textlink="">
      <xdr:nvSpPr>
        <xdr:cNvPr id="4560" name="AutoShape 456" descr="Bonis de performance"/>
        <xdr:cNvSpPr>
          <a:spLocks noChangeAspect="1" noChangeArrowheads="1"/>
        </xdr:cNvSpPr>
      </xdr:nvSpPr>
      <xdr:spPr bwMode="auto">
        <a:xfrm>
          <a:off x="152400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788</xdr:row>
      <xdr:rowOff>0</xdr:rowOff>
    </xdr:from>
    <xdr:to>
      <xdr:col>2</xdr:col>
      <xdr:colOff>257175</xdr:colOff>
      <xdr:row>788</xdr:row>
      <xdr:rowOff>123825</xdr:rowOff>
    </xdr:to>
    <xdr:sp macro="" textlink="">
      <xdr:nvSpPr>
        <xdr:cNvPr id="4561" name="AutoShape 457" descr="Exempté du ballottage">
          <a:hlinkClick xmlns:r="http://schemas.openxmlformats.org/officeDocument/2006/relationships" r:id="rId513"/>
        </xdr:cNvPr>
        <xdr:cNvSpPr>
          <a:spLocks noChangeAspect="1" noChangeArrowheads="1"/>
        </xdr:cNvSpPr>
      </xdr:nvSpPr>
      <xdr:spPr bwMode="auto">
        <a:xfrm>
          <a:off x="165735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707</xdr:row>
      <xdr:rowOff>0</xdr:rowOff>
    </xdr:from>
    <xdr:to>
      <xdr:col>2</xdr:col>
      <xdr:colOff>123825</xdr:colOff>
      <xdr:row>707</xdr:row>
      <xdr:rowOff>123825</xdr:rowOff>
    </xdr:to>
    <xdr:sp macro="" textlink="">
      <xdr:nvSpPr>
        <xdr:cNvPr id="4562" name="AutoShape 458" descr="Exempté du ballottage">
          <a:hlinkClick xmlns:r="http://schemas.openxmlformats.org/officeDocument/2006/relationships" r:id="rId514"/>
        </xdr:cNvPr>
        <xdr:cNvSpPr>
          <a:spLocks noChangeAspect="1" noChangeArrowheads="1"/>
        </xdr:cNvSpPr>
      </xdr:nvSpPr>
      <xdr:spPr bwMode="auto">
        <a:xfrm>
          <a:off x="1524000" y="185718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1405</xdr:row>
      <xdr:rowOff>0</xdr:rowOff>
    </xdr:from>
    <xdr:to>
      <xdr:col>2</xdr:col>
      <xdr:colOff>123825</xdr:colOff>
      <xdr:row>1405</xdr:row>
      <xdr:rowOff>123825</xdr:rowOff>
    </xdr:to>
    <xdr:sp macro="" textlink="">
      <xdr:nvSpPr>
        <xdr:cNvPr id="4563" name="AutoShape 459" descr="Bonis de performance"/>
        <xdr:cNvSpPr>
          <a:spLocks noChangeAspect="1" noChangeArrowheads="1"/>
        </xdr:cNvSpPr>
      </xdr:nvSpPr>
      <xdr:spPr bwMode="auto">
        <a:xfrm>
          <a:off x="152400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1405</xdr:row>
      <xdr:rowOff>0</xdr:rowOff>
    </xdr:from>
    <xdr:to>
      <xdr:col>2</xdr:col>
      <xdr:colOff>257175</xdr:colOff>
      <xdr:row>1405</xdr:row>
      <xdr:rowOff>123825</xdr:rowOff>
    </xdr:to>
    <xdr:sp macro="" textlink="">
      <xdr:nvSpPr>
        <xdr:cNvPr id="4564" name="AutoShape 460" descr="Exempté du ballottage">
          <a:hlinkClick xmlns:r="http://schemas.openxmlformats.org/officeDocument/2006/relationships" r:id="rId515"/>
        </xdr:cNvPr>
        <xdr:cNvSpPr>
          <a:spLocks noChangeAspect="1" noChangeArrowheads="1"/>
        </xdr:cNvSpPr>
      </xdr:nvSpPr>
      <xdr:spPr bwMode="auto">
        <a:xfrm>
          <a:off x="165735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90</xdr:row>
      <xdr:rowOff>0</xdr:rowOff>
    </xdr:from>
    <xdr:to>
      <xdr:col>8</xdr:col>
      <xdr:colOff>123825</xdr:colOff>
      <xdr:row>90</xdr:row>
      <xdr:rowOff>104775</xdr:rowOff>
    </xdr:to>
    <xdr:sp macro="" textlink="">
      <xdr:nvSpPr>
        <xdr:cNvPr id="4565" name="AutoShape 461" descr="Éligible à l'arbitrage">
          <a:hlinkClick xmlns:r="http://schemas.openxmlformats.org/officeDocument/2006/relationships" r:id="rId516"/>
        </xdr:cNvPr>
        <xdr:cNvSpPr>
          <a:spLocks noChangeAspect="1" noChangeArrowheads="1"/>
        </xdr:cNvSpPr>
      </xdr:nvSpPr>
      <xdr:spPr bwMode="auto">
        <a:xfrm>
          <a:off x="6096000" y="1788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631</xdr:row>
      <xdr:rowOff>0</xdr:rowOff>
    </xdr:from>
    <xdr:to>
      <xdr:col>7</xdr:col>
      <xdr:colOff>123825</xdr:colOff>
      <xdr:row>631</xdr:row>
      <xdr:rowOff>104775</xdr:rowOff>
    </xdr:to>
    <xdr:sp macro="" textlink="">
      <xdr:nvSpPr>
        <xdr:cNvPr id="4566" name="AutoShape 462" descr="Éligible à l'arbitrage">
          <a:hlinkClick xmlns:r="http://schemas.openxmlformats.org/officeDocument/2006/relationships" r:id="rId517"/>
        </xdr:cNvPr>
        <xdr:cNvSpPr>
          <a:spLocks noChangeAspect="1" noChangeArrowheads="1"/>
        </xdr:cNvSpPr>
      </xdr:nvSpPr>
      <xdr:spPr bwMode="auto">
        <a:xfrm>
          <a:off x="5334000" y="17903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339</xdr:row>
      <xdr:rowOff>0</xdr:rowOff>
    </xdr:from>
    <xdr:to>
      <xdr:col>2</xdr:col>
      <xdr:colOff>123825</xdr:colOff>
      <xdr:row>339</xdr:row>
      <xdr:rowOff>123825</xdr:rowOff>
    </xdr:to>
    <xdr:sp macro="" textlink="">
      <xdr:nvSpPr>
        <xdr:cNvPr id="4567" name="AutoShape 463" descr="Bonis de performance"/>
        <xdr:cNvSpPr>
          <a:spLocks noChangeAspect="1" noChangeArrowheads="1"/>
        </xdr:cNvSpPr>
      </xdr:nvSpPr>
      <xdr:spPr bwMode="auto">
        <a:xfrm>
          <a:off x="152400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339</xdr:row>
      <xdr:rowOff>0</xdr:rowOff>
    </xdr:from>
    <xdr:to>
      <xdr:col>2</xdr:col>
      <xdr:colOff>257175</xdr:colOff>
      <xdr:row>339</xdr:row>
      <xdr:rowOff>123825</xdr:rowOff>
    </xdr:to>
    <xdr:sp macro="" textlink="">
      <xdr:nvSpPr>
        <xdr:cNvPr id="4568" name="AutoShape 464" descr="Exempté du ballottage">
          <a:hlinkClick xmlns:r="http://schemas.openxmlformats.org/officeDocument/2006/relationships" r:id="rId518"/>
        </xdr:cNvPr>
        <xdr:cNvSpPr>
          <a:spLocks noChangeAspect="1" noChangeArrowheads="1"/>
        </xdr:cNvSpPr>
      </xdr:nvSpPr>
      <xdr:spPr bwMode="auto">
        <a:xfrm>
          <a:off x="165735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xdr:row>
      <xdr:rowOff>0</xdr:rowOff>
    </xdr:from>
    <xdr:to>
      <xdr:col>2</xdr:col>
      <xdr:colOff>123825</xdr:colOff>
      <xdr:row>32</xdr:row>
      <xdr:rowOff>123825</xdr:rowOff>
    </xdr:to>
    <xdr:sp macro="" textlink="">
      <xdr:nvSpPr>
        <xdr:cNvPr id="4569" name="AutoShape 465" descr="Bonis de performance"/>
        <xdr:cNvSpPr>
          <a:spLocks noChangeAspect="1" noChangeArrowheads="1"/>
        </xdr:cNvSpPr>
      </xdr:nvSpPr>
      <xdr:spPr bwMode="auto">
        <a:xfrm>
          <a:off x="1524000" y="18168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764</xdr:row>
      <xdr:rowOff>0</xdr:rowOff>
    </xdr:from>
    <xdr:to>
      <xdr:col>2</xdr:col>
      <xdr:colOff>123825</xdr:colOff>
      <xdr:row>764</xdr:row>
      <xdr:rowOff>123825</xdr:rowOff>
    </xdr:to>
    <xdr:sp macro="" textlink="">
      <xdr:nvSpPr>
        <xdr:cNvPr id="4570" name="AutoShape 466" descr="Bonis de performance"/>
        <xdr:cNvSpPr>
          <a:spLocks noChangeAspect="1" noChangeArrowheads="1"/>
        </xdr:cNvSpPr>
      </xdr:nvSpPr>
      <xdr:spPr bwMode="auto">
        <a:xfrm>
          <a:off x="152400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764</xdr:row>
      <xdr:rowOff>0</xdr:rowOff>
    </xdr:from>
    <xdr:to>
      <xdr:col>2</xdr:col>
      <xdr:colOff>257175</xdr:colOff>
      <xdr:row>764</xdr:row>
      <xdr:rowOff>123825</xdr:rowOff>
    </xdr:to>
    <xdr:sp macro="" textlink="">
      <xdr:nvSpPr>
        <xdr:cNvPr id="4571" name="AutoShape 467" descr="Exempté du ballottage">
          <a:hlinkClick xmlns:r="http://schemas.openxmlformats.org/officeDocument/2006/relationships" r:id="rId519"/>
        </xdr:cNvPr>
        <xdr:cNvSpPr>
          <a:spLocks noChangeAspect="1" noChangeArrowheads="1"/>
        </xdr:cNvSpPr>
      </xdr:nvSpPr>
      <xdr:spPr bwMode="auto">
        <a:xfrm>
          <a:off x="165735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1382</xdr:row>
      <xdr:rowOff>0</xdr:rowOff>
    </xdr:from>
    <xdr:to>
      <xdr:col>2</xdr:col>
      <xdr:colOff>123825</xdr:colOff>
      <xdr:row>1382</xdr:row>
      <xdr:rowOff>123825</xdr:rowOff>
    </xdr:to>
    <xdr:sp macro="" textlink="">
      <xdr:nvSpPr>
        <xdr:cNvPr id="4572" name="AutoShape 468" descr="Bonis de performance"/>
        <xdr:cNvSpPr>
          <a:spLocks noChangeAspect="1" noChangeArrowheads="1"/>
        </xdr:cNvSpPr>
      </xdr:nvSpPr>
      <xdr:spPr bwMode="auto">
        <a:xfrm>
          <a:off x="152400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1382</xdr:row>
      <xdr:rowOff>0</xdr:rowOff>
    </xdr:from>
    <xdr:to>
      <xdr:col>2</xdr:col>
      <xdr:colOff>257175</xdr:colOff>
      <xdr:row>1382</xdr:row>
      <xdr:rowOff>123825</xdr:rowOff>
    </xdr:to>
    <xdr:sp macro="" textlink="">
      <xdr:nvSpPr>
        <xdr:cNvPr id="4573" name="AutoShape 469" descr="Exempté du ballottage">
          <a:hlinkClick xmlns:r="http://schemas.openxmlformats.org/officeDocument/2006/relationships" r:id="rId520"/>
        </xdr:cNvPr>
        <xdr:cNvSpPr>
          <a:spLocks noChangeAspect="1" noChangeArrowheads="1"/>
        </xdr:cNvSpPr>
      </xdr:nvSpPr>
      <xdr:spPr bwMode="auto">
        <a:xfrm>
          <a:off x="165735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1382</xdr:row>
      <xdr:rowOff>0</xdr:rowOff>
    </xdr:from>
    <xdr:to>
      <xdr:col>4</xdr:col>
      <xdr:colOff>114300</xdr:colOff>
      <xdr:row>1382</xdr:row>
      <xdr:rowOff>114300</xdr:rowOff>
    </xdr:to>
    <xdr:sp macro="" textlink="">
      <xdr:nvSpPr>
        <xdr:cNvPr id="4574" name="AutoShape 470" descr="https://capfriendly-wlb8ng5.stackpathdns.com/assets/images/icons/players/injury.svg"/>
        <xdr:cNvSpPr>
          <a:spLocks noChangeAspect="1" noChangeArrowheads="1"/>
        </xdr:cNvSpPr>
      </xdr:nvSpPr>
      <xdr:spPr bwMode="auto">
        <a:xfrm>
          <a:off x="3048000" y="183956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5" name="AutoShape 471" descr="https://capfriendly-wlb8ng5.stackpathdns.com/assets/images/icons/general/q.svg"/>
        <xdr:cNvSpPr>
          <a:spLocks noChangeAspect="1" noChangeArrowheads="1"/>
        </xdr:cNvSpPr>
      </xdr:nvSpPr>
      <xdr:spPr bwMode="auto">
        <a:xfrm>
          <a:off x="1524000" y="1858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6" name="AutoShape 472" descr="https://capfriendly-wlb8ng5.stackpathdns.com/assets/images/icons/general/q.svg"/>
        <xdr:cNvSpPr>
          <a:spLocks noChangeAspect="1" noChangeArrowheads="1"/>
        </xdr:cNvSpPr>
      </xdr:nvSpPr>
      <xdr:spPr bwMode="auto">
        <a:xfrm>
          <a:off x="1524000" y="1860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7" name="AutoShape 473" descr="https://capfriendly-wlb8ng5.stackpathdns.com/assets/images/icons/general/q.svg"/>
        <xdr:cNvSpPr>
          <a:spLocks noChangeAspect="1" noChangeArrowheads="1"/>
        </xdr:cNvSpPr>
      </xdr:nvSpPr>
      <xdr:spPr bwMode="auto">
        <a:xfrm>
          <a:off x="1524000" y="1862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8" name="AutoShape 474" descr="https://capfriendly-wlb8ng5.stackpathdns.com/assets/images/icons/general/q.svg"/>
        <xdr:cNvSpPr>
          <a:spLocks noChangeAspect="1" noChangeArrowheads="1"/>
        </xdr:cNvSpPr>
      </xdr:nvSpPr>
      <xdr:spPr bwMode="auto">
        <a:xfrm>
          <a:off x="1524000" y="1864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9" name="AutoShape 475" descr="https://capfriendly-wlb8ng5.stackpathdns.com/assets/images/icons/general/q.svg"/>
        <xdr:cNvSpPr>
          <a:spLocks noChangeAspect="1" noChangeArrowheads="1"/>
        </xdr:cNvSpPr>
      </xdr:nvSpPr>
      <xdr:spPr bwMode="auto">
        <a:xfrm>
          <a:off x="1524000" y="1866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0" name="AutoShape 476" descr="https://capfriendly-wlb8ng5.stackpathdns.com/assets/images/icons/general/q.svg"/>
        <xdr:cNvSpPr>
          <a:spLocks noChangeAspect="1" noChangeArrowheads="1"/>
        </xdr:cNvSpPr>
      </xdr:nvSpPr>
      <xdr:spPr bwMode="auto">
        <a:xfrm>
          <a:off x="1524000" y="1868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1" name="AutoShape 477" descr="https://capfriendly-wlb8ng5.stackpathdns.com/assets/images/icons/general/q.svg"/>
        <xdr:cNvSpPr>
          <a:spLocks noChangeAspect="1" noChangeArrowheads="1"/>
        </xdr:cNvSpPr>
      </xdr:nvSpPr>
      <xdr:spPr bwMode="auto">
        <a:xfrm>
          <a:off x="1524000" y="1869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2" name="AutoShape 478" descr="https://capfriendly-wlb8ng5.stackpathdns.com/assets/images/icons/general/q.svg"/>
        <xdr:cNvSpPr>
          <a:spLocks noChangeAspect="1" noChangeArrowheads="1"/>
        </xdr:cNvSpPr>
      </xdr:nvSpPr>
      <xdr:spPr bwMode="auto">
        <a:xfrm>
          <a:off x="1524000" y="1871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3" name="AutoShape 479" descr="https://capfriendly-wlb8ng5.stackpathdns.com/assets/images/icons/general/q.svg"/>
        <xdr:cNvSpPr>
          <a:spLocks noChangeAspect="1" noChangeArrowheads="1"/>
        </xdr:cNvSpPr>
      </xdr:nvSpPr>
      <xdr:spPr bwMode="auto">
        <a:xfrm>
          <a:off x="1524000" y="1873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4" name="AutoShape 480" descr="https://capfriendly-wlb8ng5.stackpathdns.com/assets/images/icons/general/q.svg"/>
        <xdr:cNvSpPr>
          <a:spLocks noChangeAspect="1" noChangeArrowheads="1"/>
        </xdr:cNvSpPr>
      </xdr:nvSpPr>
      <xdr:spPr bwMode="auto">
        <a:xfrm>
          <a:off x="1524000" y="1875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5" name="AutoShape 481" descr="https://capfriendly-wlb8ng5.stackpathdns.com/assets/images/icons/general/q.svg"/>
        <xdr:cNvSpPr>
          <a:spLocks noChangeAspect="1" noChangeArrowheads="1"/>
        </xdr:cNvSpPr>
      </xdr:nvSpPr>
      <xdr:spPr bwMode="auto">
        <a:xfrm>
          <a:off x="1524000" y="1877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6" name="AutoShape 482" descr="Bonis de performance"/>
        <xdr:cNvSpPr>
          <a:spLocks noChangeAspect="1" noChangeArrowheads="1"/>
        </xdr:cNvSpPr>
      </xdr:nvSpPr>
      <xdr:spPr bwMode="auto">
        <a:xfrm>
          <a:off x="152400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1058</xdr:row>
      <xdr:rowOff>0</xdr:rowOff>
    </xdr:from>
    <xdr:to>
      <xdr:col>2</xdr:col>
      <xdr:colOff>257175</xdr:colOff>
      <xdr:row>1058</xdr:row>
      <xdr:rowOff>123825</xdr:rowOff>
    </xdr:to>
    <xdr:sp macro="" textlink="">
      <xdr:nvSpPr>
        <xdr:cNvPr id="4587" name="AutoShape 483" descr="Exempté du ballottage">
          <a:hlinkClick xmlns:r="http://schemas.openxmlformats.org/officeDocument/2006/relationships" r:id="rId521"/>
        </xdr:cNvPr>
        <xdr:cNvSpPr>
          <a:spLocks noChangeAspect="1" noChangeArrowheads="1"/>
        </xdr:cNvSpPr>
      </xdr:nvSpPr>
      <xdr:spPr bwMode="auto">
        <a:xfrm>
          <a:off x="165735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1373</xdr:row>
      <xdr:rowOff>0</xdr:rowOff>
    </xdr:from>
    <xdr:to>
      <xdr:col>2</xdr:col>
      <xdr:colOff>123825</xdr:colOff>
      <xdr:row>1373</xdr:row>
      <xdr:rowOff>123825</xdr:rowOff>
    </xdr:to>
    <xdr:sp macro="" textlink="">
      <xdr:nvSpPr>
        <xdr:cNvPr id="4588" name="AutoShape 484" descr="Bonis de performance"/>
        <xdr:cNvSpPr>
          <a:spLocks noChangeAspect="1" noChangeArrowheads="1"/>
        </xdr:cNvSpPr>
      </xdr:nvSpPr>
      <xdr:spPr bwMode="auto">
        <a:xfrm>
          <a:off x="152400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1373</xdr:row>
      <xdr:rowOff>0</xdr:rowOff>
    </xdr:from>
    <xdr:to>
      <xdr:col>2</xdr:col>
      <xdr:colOff>257175</xdr:colOff>
      <xdr:row>1373</xdr:row>
      <xdr:rowOff>123825</xdr:rowOff>
    </xdr:to>
    <xdr:sp macro="" textlink="">
      <xdr:nvSpPr>
        <xdr:cNvPr id="4589" name="AutoShape 485" descr="Exempté du ballottage">
          <a:hlinkClick xmlns:r="http://schemas.openxmlformats.org/officeDocument/2006/relationships" r:id="rId522"/>
        </xdr:cNvPr>
        <xdr:cNvSpPr>
          <a:spLocks noChangeAspect="1" noChangeArrowheads="1"/>
        </xdr:cNvSpPr>
      </xdr:nvSpPr>
      <xdr:spPr bwMode="auto">
        <a:xfrm>
          <a:off x="165735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1162</xdr:row>
      <xdr:rowOff>0</xdr:rowOff>
    </xdr:from>
    <xdr:to>
      <xdr:col>2</xdr:col>
      <xdr:colOff>123825</xdr:colOff>
      <xdr:row>1162</xdr:row>
      <xdr:rowOff>123825</xdr:rowOff>
    </xdr:to>
    <xdr:sp macro="" textlink="">
      <xdr:nvSpPr>
        <xdr:cNvPr id="4590" name="AutoShape 486" descr="Bonis de performance"/>
        <xdr:cNvSpPr>
          <a:spLocks noChangeAspect="1" noChangeArrowheads="1"/>
        </xdr:cNvSpPr>
      </xdr:nvSpPr>
      <xdr:spPr bwMode="auto">
        <a:xfrm>
          <a:off x="152400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1162</xdr:row>
      <xdr:rowOff>0</xdr:rowOff>
    </xdr:from>
    <xdr:to>
      <xdr:col>2</xdr:col>
      <xdr:colOff>257175</xdr:colOff>
      <xdr:row>1162</xdr:row>
      <xdr:rowOff>123825</xdr:rowOff>
    </xdr:to>
    <xdr:sp macro="" textlink="">
      <xdr:nvSpPr>
        <xdr:cNvPr id="4591" name="AutoShape 487" descr="Exempté du ballottage">
          <a:hlinkClick xmlns:r="http://schemas.openxmlformats.org/officeDocument/2006/relationships" r:id="rId523"/>
        </xdr:cNvPr>
        <xdr:cNvSpPr>
          <a:spLocks noChangeAspect="1" noChangeArrowheads="1"/>
        </xdr:cNvSpPr>
      </xdr:nvSpPr>
      <xdr:spPr bwMode="auto">
        <a:xfrm>
          <a:off x="165735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1077</xdr:row>
      <xdr:rowOff>0</xdr:rowOff>
    </xdr:from>
    <xdr:to>
      <xdr:col>2</xdr:col>
      <xdr:colOff>123825</xdr:colOff>
      <xdr:row>1077</xdr:row>
      <xdr:rowOff>123825</xdr:rowOff>
    </xdr:to>
    <xdr:sp macro="" textlink="">
      <xdr:nvSpPr>
        <xdr:cNvPr id="4592" name="AutoShape 488" descr="Bonis de performance"/>
        <xdr:cNvSpPr>
          <a:spLocks noChangeAspect="1" noChangeArrowheads="1"/>
        </xdr:cNvSpPr>
      </xdr:nvSpPr>
      <xdr:spPr bwMode="auto">
        <a:xfrm>
          <a:off x="152400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1077</xdr:row>
      <xdr:rowOff>0</xdr:rowOff>
    </xdr:from>
    <xdr:to>
      <xdr:col>2</xdr:col>
      <xdr:colOff>257175</xdr:colOff>
      <xdr:row>1077</xdr:row>
      <xdr:rowOff>123825</xdr:rowOff>
    </xdr:to>
    <xdr:sp macro="" textlink="">
      <xdr:nvSpPr>
        <xdr:cNvPr id="4593" name="AutoShape 489" descr="Exempté du ballottage">
          <a:hlinkClick xmlns:r="http://schemas.openxmlformats.org/officeDocument/2006/relationships" r:id="rId524"/>
        </xdr:cNvPr>
        <xdr:cNvSpPr>
          <a:spLocks noChangeAspect="1" noChangeArrowheads="1"/>
        </xdr:cNvSpPr>
      </xdr:nvSpPr>
      <xdr:spPr bwMode="auto">
        <a:xfrm>
          <a:off x="165735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1470</xdr:row>
      <xdr:rowOff>0</xdr:rowOff>
    </xdr:from>
    <xdr:to>
      <xdr:col>2</xdr:col>
      <xdr:colOff>123825</xdr:colOff>
      <xdr:row>1470</xdr:row>
      <xdr:rowOff>123825</xdr:rowOff>
    </xdr:to>
    <xdr:sp macro="" textlink="">
      <xdr:nvSpPr>
        <xdr:cNvPr id="4594" name="AutoShape 490" descr="Transaction avec retenue de salaire"/>
        <xdr:cNvSpPr>
          <a:spLocks noChangeAspect="1" noChangeArrowheads="1"/>
        </xdr:cNvSpPr>
      </xdr:nvSpPr>
      <xdr:spPr bwMode="auto">
        <a:xfrm>
          <a:off x="152400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1470</xdr:row>
      <xdr:rowOff>0</xdr:rowOff>
    </xdr:from>
    <xdr:to>
      <xdr:col>2</xdr:col>
      <xdr:colOff>257175</xdr:colOff>
      <xdr:row>1470</xdr:row>
      <xdr:rowOff>123825</xdr:rowOff>
    </xdr:to>
    <xdr:sp macro="" textlink="">
      <xdr:nvSpPr>
        <xdr:cNvPr id="4595" name="AutoShape 491" descr="Exempté du ballottage">
          <a:hlinkClick xmlns:r="http://schemas.openxmlformats.org/officeDocument/2006/relationships" r:id="rId525"/>
        </xdr:cNvPr>
        <xdr:cNvSpPr>
          <a:spLocks noChangeAspect="1" noChangeArrowheads="1"/>
        </xdr:cNvSpPr>
      </xdr:nvSpPr>
      <xdr:spPr bwMode="auto">
        <a:xfrm>
          <a:off x="165735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123825</xdr:colOff>
      <xdr:row>469</xdr:row>
      <xdr:rowOff>123825</xdr:rowOff>
    </xdr:to>
    <xdr:sp macro="" textlink="">
      <xdr:nvSpPr>
        <xdr:cNvPr id="4596" name="AutoShape 492" descr="Bonis de performance"/>
        <xdr:cNvSpPr>
          <a:spLocks noChangeAspect="1" noChangeArrowheads="1"/>
        </xdr:cNvSpPr>
      </xdr:nvSpPr>
      <xdr:spPr bwMode="auto">
        <a:xfrm>
          <a:off x="152400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469</xdr:row>
      <xdr:rowOff>0</xdr:rowOff>
    </xdr:from>
    <xdr:to>
      <xdr:col>2</xdr:col>
      <xdr:colOff>257175</xdr:colOff>
      <xdr:row>469</xdr:row>
      <xdr:rowOff>123825</xdr:rowOff>
    </xdr:to>
    <xdr:sp macro="" textlink="">
      <xdr:nvSpPr>
        <xdr:cNvPr id="4597" name="AutoShape 493" descr="Exempté du ballottage">
          <a:hlinkClick xmlns:r="http://schemas.openxmlformats.org/officeDocument/2006/relationships" r:id="rId526"/>
        </xdr:cNvPr>
        <xdr:cNvSpPr>
          <a:spLocks noChangeAspect="1" noChangeArrowheads="1"/>
        </xdr:cNvSpPr>
      </xdr:nvSpPr>
      <xdr:spPr bwMode="auto">
        <a:xfrm>
          <a:off x="165735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1057</xdr:row>
      <xdr:rowOff>0</xdr:rowOff>
    </xdr:from>
    <xdr:to>
      <xdr:col>2</xdr:col>
      <xdr:colOff>123825</xdr:colOff>
      <xdr:row>1057</xdr:row>
      <xdr:rowOff>123825</xdr:rowOff>
    </xdr:to>
    <xdr:sp macro="" textlink="">
      <xdr:nvSpPr>
        <xdr:cNvPr id="4598" name="AutoShape 494" descr="Bonis de performance"/>
        <xdr:cNvSpPr>
          <a:spLocks noChangeAspect="1" noChangeArrowheads="1"/>
        </xdr:cNvSpPr>
      </xdr:nvSpPr>
      <xdr:spPr bwMode="auto">
        <a:xfrm>
          <a:off x="152400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1057</xdr:row>
      <xdr:rowOff>0</xdr:rowOff>
    </xdr:from>
    <xdr:to>
      <xdr:col>2</xdr:col>
      <xdr:colOff>257175</xdr:colOff>
      <xdr:row>1057</xdr:row>
      <xdr:rowOff>123825</xdr:rowOff>
    </xdr:to>
    <xdr:sp macro="" textlink="">
      <xdr:nvSpPr>
        <xdr:cNvPr id="4599" name="AutoShape 495" descr="Exempté du ballottage">
          <a:hlinkClick xmlns:r="http://schemas.openxmlformats.org/officeDocument/2006/relationships" r:id="rId527"/>
        </xdr:cNvPr>
        <xdr:cNvSpPr>
          <a:spLocks noChangeAspect="1" noChangeArrowheads="1"/>
        </xdr:cNvSpPr>
      </xdr:nvSpPr>
      <xdr:spPr bwMode="auto">
        <a:xfrm>
          <a:off x="165735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832</xdr:row>
      <xdr:rowOff>0</xdr:rowOff>
    </xdr:from>
    <xdr:to>
      <xdr:col>2</xdr:col>
      <xdr:colOff>123825</xdr:colOff>
      <xdr:row>832</xdr:row>
      <xdr:rowOff>123825</xdr:rowOff>
    </xdr:to>
    <xdr:sp macro="" textlink="">
      <xdr:nvSpPr>
        <xdr:cNvPr id="4600" name="AutoShape 496" descr="Exempté du ballottage">
          <a:hlinkClick xmlns:r="http://schemas.openxmlformats.org/officeDocument/2006/relationships" r:id="rId528"/>
        </xdr:cNvPr>
        <xdr:cNvSpPr>
          <a:spLocks noChangeAspect="1" noChangeArrowheads="1"/>
        </xdr:cNvSpPr>
      </xdr:nvSpPr>
      <xdr:spPr bwMode="auto">
        <a:xfrm>
          <a:off x="1524000" y="1901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832</xdr:row>
      <xdr:rowOff>0</xdr:rowOff>
    </xdr:from>
    <xdr:to>
      <xdr:col>7</xdr:col>
      <xdr:colOff>123825</xdr:colOff>
      <xdr:row>832</xdr:row>
      <xdr:rowOff>104775</xdr:rowOff>
    </xdr:to>
    <xdr:sp macro="" textlink="">
      <xdr:nvSpPr>
        <xdr:cNvPr id="4601" name="AutoShape 497" descr="Éligible à l'arbitrage">
          <a:hlinkClick xmlns:r="http://schemas.openxmlformats.org/officeDocument/2006/relationships" r:id="rId529"/>
        </xdr:cNvPr>
        <xdr:cNvSpPr>
          <a:spLocks noChangeAspect="1" noChangeArrowheads="1"/>
        </xdr:cNvSpPr>
      </xdr:nvSpPr>
      <xdr:spPr bwMode="auto">
        <a:xfrm>
          <a:off x="5334000" y="190147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799</xdr:row>
      <xdr:rowOff>0</xdr:rowOff>
    </xdr:from>
    <xdr:to>
      <xdr:col>2</xdr:col>
      <xdr:colOff>123825</xdr:colOff>
      <xdr:row>799</xdr:row>
      <xdr:rowOff>123825</xdr:rowOff>
    </xdr:to>
    <xdr:sp macro="" textlink="">
      <xdr:nvSpPr>
        <xdr:cNvPr id="4602" name="AutoShape 498" descr="Exempté du ballottage">
          <a:hlinkClick xmlns:r="http://schemas.openxmlformats.org/officeDocument/2006/relationships" r:id="rId530"/>
        </xdr:cNvPr>
        <xdr:cNvSpPr>
          <a:spLocks noChangeAspect="1" noChangeArrowheads="1"/>
        </xdr:cNvSpPr>
      </xdr:nvSpPr>
      <xdr:spPr bwMode="auto">
        <a:xfrm>
          <a:off x="1524000" y="1916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1461</xdr:row>
      <xdr:rowOff>0</xdr:rowOff>
    </xdr:from>
    <xdr:to>
      <xdr:col>2</xdr:col>
      <xdr:colOff>123825</xdr:colOff>
      <xdr:row>1461</xdr:row>
      <xdr:rowOff>123825</xdr:rowOff>
    </xdr:to>
    <xdr:sp macro="" textlink="">
      <xdr:nvSpPr>
        <xdr:cNvPr id="4603" name="AutoShape 499" descr="Bonis de performance"/>
        <xdr:cNvSpPr>
          <a:spLocks noChangeAspect="1" noChangeArrowheads="1"/>
        </xdr:cNvSpPr>
      </xdr:nvSpPr>
      <xdr:spPr bwMode="auto">
        <a:xfrm>
          <a:off x="152400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1461</xdr:row>
      <xdr:rowOff>0</xdr:rowOff>
    </xdr:from>
    <xdr:to>
      <xdr:col>2</xdr:col>
      <xdr:colOff>257175</xdr:colOff>
      <xdr:row>1461</xdr:row>
      <xdr:rowOff>123825</xdr:rowOff>
    </xdr:to>
    <xdr:sp macro="" textlink="">
      <xdr:nvSpPr>
        <xdr:cNvPr id="4604" name="AutoShape 500" descr="Exempté du ballottage">
          <a:hlinkClick xmlns:r="http://schemas.openxmlformats.org/officeDocument/2006/relationships" r:id="rId531"/>
        </xdr:cNvPr>
        <xdr:cNvSpPr>
          <a:spLocks noChangeAspect="1" noChangeArrowheads="1"/>
        </xdr:cNvSpPr>
      </xdr:nvSpPr>
      <xdr:spPr bwMode="auto">
        <a:xfrm>
          <a:off x="165735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1381</xdr:row>
      <xdr:rowOff>0</xdr:rowOff>
    </xdr:from>
    <xdr:to>
      <xdr:col>7</xdr:col>
      <xdr:colOff>123825</xdr:colOff>
      <xdr:row>1381</xdr:row>
      <xdr:rowOff>104775</xdr:rowOff>
    </xdr:to>
    <xdr:sp macro="" textlink="">
      <xdr:nvSpPr>
        <xdr:cNvPr id="4605" name="AutoShape 501" descr="Éligible à l'arbitrage">
          <a:hlinkClick xmlns:r="http://schemas.openxmlformats.org/officeDocument/2006/relationships" r:id="rId532"/>
        </xdr:cNvPr>
        <xdr:cNvSpPr>
          <a:spLocks noChangeAspect="1" noChangeArrowheads="1"/>
        </xdr:cNvSpPr>
      </xdr:nvSpPr>
      <xdr:spPr bwMode="auto">
        <a:xfrm>
          <a:off x="5334000" y="192224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979</xdr:row>
      <xdr:rowOff>0</xdr:rowOff>
    </xdr:from>
    <xdr:to>
      <xdr:col>2</xdr:col>
      <xdr:colOff>123825</xdr:colOff>
      <xdr:row>979</xdr:row>
      <xdr:rowOff>123825</xdr:rowOff>
    </xdr:to>
    <xdr:sp macro="" textlink="">
      <xdr:nvSpPr>
        <xdr:cNvPr id="4606" name="AutoShape 502" descr="Bonis de performance"/>
        <xdr:cNvSpPr>
          <a:spLocks noChangeAspect="1" noChangeArrowheads="1"/>
        </xdr:cNvSpPr>
      </xdr:nvSpPr>
      <xdr:spPr bwMode="auto">
        <a:xfrm>
          <a:off x="1524000" y="1924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1466</xdr:row>
      <xdr:rowOff>0</xdr:rowOff>
    </xdr:from>
    <xdr:to>
      <xdr:col>2</xdr:col>
      <xdr:colOff>123825</xdr:colOff>
      <xdr:row>1466</xdr:row>
      <xdr:rowOff>123825</xdr:rowOff>
    </xdr:to>
    <xdr:sp macro="" textlink="">
      <xdr:nvSpPr>
        <xdr:cNvPr id="4607" name="AutoShape 503" descr="Bonis de performance"/>
        <xdr:cNvSpPr>
          <a:spLocks noChangeAspect="1" noChangeArrowheads="1"/>
        </xdr:cNvSpPr>
      </xdr:nvSpPr>
      <xdr:spPr bwMode="auto">
        <a:xfrm>
          <a:off x="152400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1466</xdr:row>
      <xdr:rowOff>0</xdr:rowOff>
    </xdr:from>
    <xdr:to>
      <xdr:col>2</xdr:col>
      <xdr:colOff>257175</xdr:colOff>
      <xdr:row>1466</xdr:row>
      <xdr:rowOff>123825</xdr:rowOff>
    </xdr:to>
    <xdr:sp macro="" textlink="">
      <xdr:nvSpPr>
        <xdr:cNvPr id="4608" name="AutoShape 504" descr="Exempté du ballottage">
          <a:hlinkClick xmlns:r="http://schemas.openxmlformats.org/officeDocument/2006/relationships" r:id="rId533"/>
        </xdr:cNvPr>
        <xdr:cNvSpPr>
          <a:spLocks noChangeAspect="1" noChangeArrowheads="1"/>
        </xdr:cNvSpPr>
      </xdr:nvSpPr>
      <xdr:spPr bwMode="auto">
        <a:xfrm>
          <a:off x="165735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1030</xdr:row>
      <xdr:rowOff>0</xdr:rowOff>
    </xdr:from>
    <xdr:to>
      <xdr:col>2</xdr:col>
      <xdr:colOff>123825</xdr:colOff>
      <xdr:row>1030</xdr:row>
      <xdr:rowOff>123825</xdr:rowOff>
    </xdr:to>
    <xdr:sp macro="" textlink="">
      <xdr:nvSpPr>
        <xdr:cNvPr id="4609" name="AutoShape 505" descr="Bonis de performance"/>
        <xdr:cNvSpPr>
          <a:spLocks noChangeAspect="1" noChangeArrowheads="1"/>
        </xdr:cNvSpPr>
      </xdr:nvSpPr>
      <xdr:spPr bwMode="auto">
        <a:xfrm>
          <a:off x="152400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1030</xdr:row>
      <xdr:rowOff>0</xdr:rowOff>
    </xdr:from>
    <xdr:to>
      <xdr:col>2</xdr:col>
      <xdr:colOff>257175</xdr:colOff>
      <xdr:row>1030</xdr:row>
      <xdr:rowOff>123825</xdr:rowOff>
    </xdr:to>
    <xdr:sp macro="" textlink="">
      <xdr:nvSpPr>
        <xdr:cNvPr id="4610" name="AutoShape 506" descr="Exempté du ballottage">
          <a:hlinkClick xmlns:r="http://schemas.openxmlformats.org/officeDocument/2006/relationships" r:id="rId534"/>
        </xdr:cNvPr>
        <xdr:cNvSpPr>
          <a:spLocks noChangeAspect="1" noChangeArrowheads="1"/>
        </xdr:cNvSpPr>
      </xdr:nvSpPr>
      <xdr:spPr bwMode="auto">
        <a:xfrm>
          <a:off x="165735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1197</xdr:row>
      <xdr:rowOff>0</xdr:rowOff>
    </xdr:from>
    <xdr:to>
      <xdr:col>2</xdr:col>
      <xdr:colOff>123825</xdr:colOff>
      <xdr:row>1197</xdr:row>
      <xdr:rowOff>123825</xdr:rowOff>
    </xdr:to>
    <xdr:sp macro="" textlink="">
      <xdr:nvSpPr>
        <xdr:cNvPr id="4611" name="AutoShape 507" descr="Exempté du ballottage">
          <a:hlinkClick xmlns:r="http://schemas.openxmlformats.org/officeDocument/2006/relationships" r:id="rId535"/>
        </xdr:cNvPr>
        <xdr:cNvSpPr>
          <a:spLocks noChangeAspect="1" noChangeArrowheads="1"/>
        </xdr:cNvSpPr>
      </xdr:nvSpPr>
      <xdr:spPr bwMode="auto">
        <a:xfrm>
          <a:off x="1524000" y="1939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686</xdr:row>
      <xdr:rowOff>0</xdr:rowOff>
    </xdr:from>
    <xdr:to>
      <xdr:col>8</xdr:col>
      <xdr:colOff>123825</xdr:colOff>
      <xdr:row>686</xdr:row>
      <xdr:rowOff>104775</xdr:rowOff>
    </xdr:to>
    <xdr:sp macro="" textlink="">
      <xdr:nvSpPr>
        <xdr:cNvPr id="4612" name="AutoShape 508" descr="Éligible à l'arbitrage">
          <a:hlinkClick xmlns:r="http://schemas.openxmlformats.org/officeDocument/2006/relationships" r:id="rId536"/>
        </xdr:cNvPr>
        <xdr:cNvSpPr>
          <a:spLocks noChangeAspect="1" noChangeArrowheads="1"/>
        </xdr:cNvSpPr>
      </xdr:nvSpPr>
      <xdr:spPr bwMode="auto">
        <a:xfrm>
          <a:off x="6096000" y="18684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1227</xdr:row>
      <xdr:rowOff>0</xdr:rowOff>
    </xdr:from>
    <xdr:to>
      <xdr:col>7</xdr:col>
      <xdr:colOff>123825</xdr:colOff>
      <xdr:row>1227</xdr:row>
      <xdr:rowOff>104775</xdr:rowOff>
    </xdr:to>
    <xdr:sp macro="" textlink="">
      <xdr:nvSpPr>
        <xdr:cNvPr id="4613" name="AutoShape 509" descr="Éligible à l'arbitrage">
          <a:hlinkClick xmlns:r="http://schemas.openxmlformats.org/officeDocument/2006/relationships" r:id="rId537"/>
        </xdr:cNvPr>
        <xdr:cNvSpPr>
          <a:spLocks noChangeAspect="1" noChangeArrowheads="1"/>
        </xdr:cNvSpPr>
      </xdr:nvSpPr>
      <xdr:spPr bwMode="auto">
        <a:xfrm>
          <a:off x="5334000" y="1870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1134</xdr:row>
      <xdr:rowOff>0</xdr:rowOff>
    </xdr:from>
    <xdr:to>
      <xdr:col>8</xdr:col>
      <xdr:colOff>123825</xdr:colOff>
      <xdr:row>1134</xdr:row>
      <xdr:rowOff>104775</xdr:rowOff>
    </xdr:to>
    <xdr:sp macro="" textlink="">
      <xdr:nvSpPr>
        <xdr:cNvPr id="4614" name="AutoShape 510" descr="Éligible à l'arbitrage">
          <a:hlinkClick xmlns:r="http://schemas.openxmlformats.org/officeDocument/2006/relationships" r:id="rId538"/>
        </xdr:cNvPr>
        <xdr:cNvSpPr>
          <a:spLocks noChangeAspect="1" noChangeArrowheads="1"/>
        </xdr:cNvSpPr>
      </xdr:nvSpPr>
      <xdr:spPr bwMode="auto">
        <a:xfrm>
          <a:off x="6096000" y="1872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1338</xdr:row>
      <xdr:rowOff>0</xdr:rowOff>
    </xdr:from>
    <xdr:to>
      <xdr:col>2</xdr:col>
      <xdr:colOff>123825</xdr:colOff>
      <xdr:row>1338</xdr:row>
      <xdr:rowOff>123825</xdr:rowOff>
    </xdr:to>
    <xdr:sp macro="" textlink="">
      <xdr:nvSpPr>
        <xdr:cNvPr id="4615" name="AutoShape 511" descr="Bonis de performance"/>
        <xdr:cNvSpPr>
          <a:spLocks noChangeAspect="1" noChangeArrowheads="1"/>
        </xdr:cNvSpPr>
      </xdr:nvSpPr>
      <xdr:spPr bwMode="auto">
        <a:xfrm>
          <a:off x="152400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1338</xdr:row>
      <xdr:rowOff>0</xdr:rowOff>
    </xdr:from>
    <xdr:to>
      <xdr:col>2</xdr:col>
      <xdr:colOff>257175</xdr:colOff>
      <xdr:row>1338</xdr:row>
      <xdr:rowOff>123825</xdr:rowOff>
    </xdr:to>
    <xdr:sp macro="" textlink="">
      <xdr:nvSpPr>
        <xdr:cNvPr id="4616" name="AutoShape 512" descr="Exempté du ballottage">
          <a:hlinkClick xmlns:r="http://schemas.openxmlformats.org/officeDocument/2006/relationships" r:id="rId539"/>
        </xdr:cNvPr>
        <xdr:cNvSpPr>
          <a:spLocks noChangeAspect="1" noChangeArrowheads="1"/>
        </xdr:cNvSpPr>
      </xdr:nvSpPr>
      <xdr:spPr bwMode="auto">
        <a:xfrm>
          <a:off x="165735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617" name="AutoShape 513" descr="https://capfriendly-wlb8ng5.stackpathdns.com/assets/images/icons/general/q2.svg"/>
        <xdr:cNvSpPr>
          <a:spLocks noChangeAspect="1" noChangeArrowheads="1"/>
        </xdr:cNvSpPr>
      </xdr:nvSpPr>
      <xdr:spPr bwMode="auto">
        <a:xfrm>
          <a:off x="5334000" y="18798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123825</xdr:colOff>
      <xdr:row>528</xdr:row>
      <xdr:rowOff>123825</xdr:rowOff>
    </xdr:to>
    <xdr:sp macro="" textlink="">
      <xdr:nvSpPr>
        <xdr:cNvPr id="4618" name="AutoShape 514" descr="Bonis de performance"/>
        <xdr:cNvSpPr>
          <a:spLocks noChangeAspect="1" noChangeArrowheads="1"/>
        </xdr:cNvSpPr>
      </xdr:nvSpPr>
      <xdr:spPr bwMode="auto">
        <a:xfrm>
          <a:off x="152400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528</xdr:row>
      <xdr:rowOff>0</xdr:rowOff>
    </xdr:from>
    <xdr:to>
      <xdr:col>2</xdr:col>
      <xdr:colOff>257175</xdr:colOff>
      <xdr:row>528</xdr:row>
      <xdr:rowOff>123825</xdr:rowOff>
    </xdr:to>
    <xdr:sp macro="" textlink="">
      <xdr:nvSpPr>
        <xdr:cNvPr id="4619" name="AutoShape 515" descr="Exempté du ballottage">
          <a:hlinkClick xmlns:r="http://schemas.openxmlformats.org/officeDocument/2006/relationships" r:id="rId540"/>
        </xdr:cNvPr>
        <xdr:cNvSpPr>
          <a:spLocks noChangeAspect="1" noChangeArrowheads="1"/>
        </xdr:cNvSpPr>
      </xdr:nvSpPr>
      <xdr:spPr bwMode="auto">
        <a:xfrm>
          <a:off x="165735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944</xdr:row>
      <xdr:rowOff>0</xdr:rowOff>
    </xdr:from>
    <xdr:to>
      <xdr:col>2</xdr:col>
      <xdr:colOff>123825</xdr:colOff>
      <xdr:row>944</xdr:row>
      <xdr:rowOff>123825</xdr:rowOff>
    </xdr:to>
    <xdr:sp macro="" textlink="">
      <xdr:nvSpPr>
        <xdr:cNvPr id="4620" name="AutoShape 516" descr="Bonis de performance"/>
        <xdr:cNvSpPr>
          <a:spLocks noChangeAspect="1" noChangeArrowheads="1"/>
        </xdr:cNvSpPr>
      </xdr:nvSpPr>
      <xdr:spPr bwMode="auto">
        <a:xfrm>
          <a:off x="1524000" y="1913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1" name="AutoShape 517" descr="https://capfriendly-wlb8ng5.stackpathdns.com/assets/images/icons/general/q.svg"/>
        <xdr:cNvSpPr>
          <a:spLocks noChangeAspect="1" noChangeArrowheads="1"/>
        </xdr:cNvSpPr>
      </xdr:nvSpPr>
      <xdr:spPr bwMode="auto">
        <a:xfrm>
          <a:off x="1524000" y="1934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2" name="AutoShape 518" descr="https://capfriendly-wlb8ng5.stackpathdns.com/assets/images/icons/general/q.svg"/>
        <xdr:cNvSpPr>
          <a:spLocks noChangeAspect="1" noChangeArrowheads="1"/>
        </xdr:cNvSpPr>
      </xdr:nvSpPr>
      <xdr:spPr bwMode="auto">
        <a:xfrm>
          <a:off x="1524000" y="1936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3" name="AutoShape 519" descr="https://capfriendly-wlb8ng5.stackpathdns.com/assets/images/icons/general/q.svg"/>
        <xdr:cNvSpPr>
          <a:spLocks noChangeAspect="1" noChangeArrowheads="1"/>
        </xdr:cNvSpPr>
      </xdr:nvSpPr>
      <xdr:spPr bwMode="auto">
        <a:xfrm>
          <a:off x="1524000" y="1938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4" name="AutoShape 520" descr="https://capfriendly-wlb8ng5.stackpathdns.com/assets/images/icons/general/q.svg"/>
        <xdr:cNvSpPr>
          <a:spLocks noChangeAspect="1" noChangeArrowheads="1"/>
        </xdr:cNvSpPr>
      </xdr:nvSpPr>
      <xdr:spPr bwMode="auto">
        <a:xfrm>
          <a:off x="1524000" y="1940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5" name="AutoShape 521" descr="https://capfriendly-wlb8ng5.stackpathdns.com/assets/images/icons/general/q.svg"/>
        <xdr:cNvSpPr>
          <a:spLocks noChangeAspect="1" noChangeArrowheads="1"/>
        </xdr:cNvSpPr>
      </xdr:nvSpPr>
      <xdr:spPr bwMode="auto">
        <a:xfrm>
          <a:off x="1524000" y="1942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6" name="AutoShape 522" descr="https://capfriendly-wlb8ng5.stackpathdns.com/assets/images/icons/general/q.svg"/>
        <xdr:cNvSpPr>
          <a:spLocks noChangeAspect="1" noChangeArrowheads="1"/>
        </xdr:cNvSpPr>
      </xdr:nvSpPr>
      <xdr:spPr bwMode="auto">
        <a:xfrm>
          <a:off x="1524000" y="1944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7" name="AutoShape 523" descr="https://capfriendly-wlb8ng5.stackpathdns.com/assets/images/icons/general/q.svg"/>
        <xdr:cNvSpPr>
          <a:spLocks noChangeAspect="1" noChangeArrowheads="1"/>
        </xdr:cNvSpPr>
      </xdr:nvSpPr>
      <xdr:spPr bwMode="auto">
        <a:xfrm>
          <a:off x="1524000" y="1946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8" name="AutoShape 524" descr="https://capfriendly-wlb8ng5.stackpathdns.com/assets/images/icons/general/q.svg"/>
        <xdr:cNvSpPr>
          <a:spLocks noChangeAspect="1" noChangeArrowheads="1"/>
        </xdr:cNvSpPr>
      </xdr:nvSpPr>
      <xdr:spPr bwMode="auto">
        <a:xfrm>
          <a:off x="1524000" y="1948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9" name="AutoShape 525" descr="https://capfriendly-wlb8ng5.stackpathdns.com/assets/images/icons/general/q.svg"/>
        <xdr:cNvSpPr>
          <a:spLocks noChangeAspect="1" noChangeArrowheads="1"/>
        </xdr:cNvSpPr>
      </xdr:nvSpPr>
      <xdr:spPr bwMode="auto">
        <a:xfrm>
          <a:off x="1524000" y="1950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0" name="AutoShape 526" descr="https://capfriendly-wlb8ng5.stackpathdns.com/assets/images/icons/general/q.svg"/>
        <xdr:cNvSpPr>
          <a:spLocks noChangeAspect="1" noChangeArrowheads="1"/>
        </xdr:cNvSpPr>
      </xdr:nvSpPr>
      <xdr:spPr bwMode="auto">
        <a:xfrm>
          <a:off x="1524000" y="1951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1" name="AutoShape 527" descr="https://capfriendly-wlb8ng5.stackpathdns.com/assets/images/icons/general/q.svg"/>
        <xdr:cNvSpPr>
          <a:spLocks noChangeAspect="1" noChangeArrowheads="1"/>
        </xdr:cNvSpPr>
      </xdr:nvSpPr>
      <xdr:spPr bwMode="auto">
        <a:xfrm>
          <a:off x="1524000" y="1953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2" name="AutoShape 528" descr="Exempté du ballottage">
          <a:hlinkClick xmlns:r="http://schemas.openxmlformats.org/officeDocument/2006/relationships" r:id="rId541"/>
        </xdr:cNvPr>
        <xdr:cNvSpPr>
          <a:spLocks noChangeAspect="1" noChangeArrowheads="1"/>
        </xdr:cNvSpPr>
      </xdr:nvSpPr>
      <xdr:spPr bwMode="auto">
        <a:xfrm>
          <a:off x="1524000" y="1962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842</xdr:row>
      <xdr:rowOff>0</xdr:rowOff>
    </xdr:from>
    <xdr:to>
      <xdr:col>2</xdr:col>
      <xdr:colOff>123825</xdr:colOff>
      <xdr:row>842</xdr:row>
      <xdr:rowOff>123825</xdr:rowOff>
    </xdr:to>
    <xdr:sp macro="" textlink="">
      <xdr:nvSpPr>
        <xdr:cNvPr id="4633" name="AutoShape 529" descr="Exempté du ballottage">
          <a:hlinkClick xmlns:r="http://schemas.openxmlformats.org/officeDocument/2006/relationships" r:id="rId542"/>
        </xdr:cNvPr>
        <xdr:cNvSpPr>
          <a:spLocks noChangeAspect="1" noChangeArrowheads="1"/>
        </xdr:cNvSpPr>
      </xdr:nvSpPr>
      <xdr:spPr bwMode="auto">
        <a:xfrm>
          <a:off x="1524000" y="1964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659</xdr:row>
      <xdr:rowOff>0</xdr:rowOff>
    </xdr:from>
    <xdr:to>
      <xdr:col>2</xdr:col>
      <xdr:colOff>123825</xdr:colOff>
      <xdr:row>659</xdr:row>
      <xdr:rowOff>123825</xdr:rowOff>
    </xdr:to>
    <xdr:sp macro="" textlink="">
      <xdr:nvSpPr>
        <xdr:cNvPr id="4634" name="AutoShape 530" descr="Exempté du ballottage">
          <a:hlinkClick xmlns:r="http://schemas.openxmlformats.org/officeDocument/2006/relationships" r:id="rId543"/>
        </xdr:cNvPr>
        <xdr:cNvSpPr>
          <a:spLocks noChangeAspect="1" noChangeArrowheads="1"/>
        </xdr:cNvSpPr>
      </xdr:nvSpPr>
      <xdr:spPr bwMode="auto">
        <a:xfrm>
          <a:off x="1524000" y="1966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1289</xdr:row>
      <xdr:rowOff>0</xdr:rowOff>
    </xdr:from>
    <xdr:to>
      <xdr:col>2</xdr:col>
      <xdr:colOff>123825</xdr:colOff>
      <xdr:row>1289</xdr:row>
      <xdr:rowOff>123825</xdr:rowOff>
    </xdr:to>
    <xdr:sp macro="" textlink="">
      <xdr:nvSpPr>
        <xdr:cNvPr id="4635" name="AutoShape 531" descr="Exempté du ballottage">
          <a:hlinkClick xmlns:r="http://schemas.openxmlformats.org/officeDocument/2006/relationships" r:id="rId544"/>
        </xdr:cNvPr>
        <xdr:cNvSpPr>
          <a:spLocks noChangeAspect="1" noChangeArrowheads="1"/>
        </xdr:cNvSpPr>
      </xdr:nvSpPr>
      <xdr:spPr bwMode="auto">
        <a:xfrm>
          <a:off x="1524000" y="1968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242</xdr:row>
      <xdr:rowOff>0</xdr:rowOff>
    </xdr:from>
    <xdr:to>
      <xdr:col>2</xdr:col>
      <xdr:colOff>123825</xdr:colOff>
      <xdr:row>242</xdr:row>
      <xdr:rowOff>123825</xdr:rowOff>
    </xdr:to>
    <xdr:sp macro="" textlink="">
      <xdr:nvSpPr>
        <xdr:cNvPr id="4636" name="AutoShape 532" descr="Bonis de performance"/>
        <xdr:cNvSpPr>
          <a:spLocks noChangeAspect="1" noChangeArrowheads="1"/>
        </xdr:cNvSpPr>
      </xdr:nvSpPr>
      <xdr:spPr bwMode="auto">
        <a:xfrm>
          <a:off x="152400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242</xdr:row>
      <xdr:rowOff>0</xdr:rowOff>
    </xdr:from>
    <xdr:to>
      <xdr:col>2</xdr:col>
      <xdr:colOff>257175</xdr:colOff>
      <xdr:row>242</xdr:row>
      <xdr:rowOff>123825</xdr:rowOff>
    </xdr:to>
    <xdr:sp macro="" textlink="">
      <xdr:nvSpPr>
        <xdr:cNvPr id="4637" name="AutoShape 533" descr="Exempté du ballottage">
          <a:hlinkClick xmlns:r="http://schemas.openxmlformats.org/officeDocument/2006/relationships" r:id="rId545"/>
        </xdr:cNvPr>
        <xdr:cNvSpPr>
          <a:spLocks noChangeAspect="1" noChangeArrowheads="1"/>
        </xdr:cNvSpPr>
      </xdr:nvSpPr>
      <xdr:spPr bwMode="auto">
        <a:xfrm>
          <a:off x="165735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951</xdr:row>
      <xdr:rowOff>0</xdr:rowOff>
    </xdr:from>
    <xdr:to>
      <xdr:col>2</xdr:col>
      <xdr:colOff>123825</xdr:colOff>
      <xdr:row>951</xdr:row>
      <xdr:rowOff>123825</xdr:rowOff>
    </xdr:to>
    <xdr:sp macro="" textlink="">
      <xdr:nvSpPr>
        <xdr:cNvPr id="4638" name="AutoShape 534" descr="Bonis de performance"/>
        <xdr:cNvSpPr>
          <a:spLocks noChangeAspect="1" noChangeArrowheads="1"/>
        </xdr:cNvSpPr>
      </xdr:nvSpPr>
      <xdr:spPr bwMode="auto">
        <a:xfrm>
          <a:off x="152400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951</xdr:row>
      <xdr:rowOff>0</xdr:rowOff>
    </xdr:from>
    <xdr:to>
      <xdr:col>2</xdr:col>
      <xdr:colOff>257175</xdr:colOff>
      <xdr:row>951</xdr:row>
      <xdr:rowOff>123825</xdr:rowOff>
    </xdr:to>
    <xdr:sp macro="" textlink="">
      <xdr:nvSpPr>
        <xdr:cNvPr id="4639" name="AutoShape 535" descr="Exempté du ballottage">
          <a:hlinkClick xmlns:r="http://schemas.openxmlformats.org/officeDocument/2006/relationships" r:id="rId546"/>
        </xdr:cNvPr>
        <xdr:cNvSpPr>
          <a:spLocks noChangeAspect="1" noChangeArrowheads="1"/>
        </xdr:cNvSpPr>
      </xdr:nvSpPr>
      <xdr:spPr bwMode="auto">
        <a:xfrm>
          <a:off x="165735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329</xdr:row>
      <xdr:rowOff>0</xdr:rowOff>
    </xdr:from>
    <xdr:to>
      <xdr:col>2</xdr:col>
      <xdr:colOff>123825</xdr:colOff>
      <xdr:row>329</xdr:row>
      <xdr:rowOff>123825</xdr:rowOff>
    </xdr:to>
    <xdr:sp macro="" textlink="">
      <xdr:nvSpPr>
        <xdr:cNvPr id="4640" name="AutoShape 536" descr="Bonis de performance"/>
        <xdr:cNvSpPr>
          <a:spLocks noChangeAspect="1" noChangeArrowheads="1"/>
        </xdr:cNvSpPr>
      </xdr:nvSpPr>
      <xdr:spPr bwMode="auto">
        <a:xfrm>
          <a:off x="152400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329</xdr:row>
      <xdr:rowOff>0</xdr:rowOff>
    </xdr:from>
    <xdr:to>
      <xdr:col>2</xdr:col>
      <xdr:colOff>257175</xdr:colOff>
      <xdr:row>329</xdr:row>
      <xdr:rowOff>123825</xdr:rowOff>
    </xdr:to>
    <xdr:sp macro="" textlink="">
      <xdr:nvSpPr>
        <xdr:cNvPr id="4641" name="AutoShape 537" descr="Exempté du ballottage">
          <a:hlinkClick xmlns:r="http://schemas.openxmlformats.org/officeDocument/2006/relationships" r:id="rId547"/>
        </xdr:cNvPr>
        <xdr:cNvSpPr>
          <a:spLocks noChangeAspect="1" noChangeArrowheads="1"/>
        </xdr:cNvSpPr>
      </xdr:nvSpPr>
      <xdr:spPr bwMode="auto">
        <a:xfrm>
          <a:off x="165735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290</xdr:row>
      <xdr:rowOff>0</xdr:rowOff>
    </xdr:from>
    <xdr:to>
      <xdr:col>7</xdr:col>
      <xdr:colOff>123825</xdr:colOff>
      <xdr:row>290</xdr:row>
      <xdr:rowOff>104775</xdr:rowOff>
    </xdr:to>
    <xdr:sp macro="" textlink="">
      <xdr:nvSpPr>
        <xdr:cNvPr id="4642" name="AutoShape 538" descr="Éligible à l'arbitrage">
          <a:hlinkClick xmlns:r="http://schemas.openxmlformats.org/officeDocument/2006/relationships" r:id="rId548"/>
        </xdr:cNvPr>
        <xdr:cNvSpPr>
          <a:spLocks noChangeAspect="1" noChangeArrowheads="1"/>
        </xdr:cNvSpPr>
      </xdr:nvSpPr>
      <xdr:spPr bwMode="auto">
        <a:xfrm>
          <a:off x="5334000" y="197967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731</xdr:row>
      <xdr:rowOff>0</xdr:rowOff>
    </xdr:from>
    <xdr:to>
      <xdr:col>2</xdr:col>
      <xdr:colOff>123825</xdr:colOff>
      <xdr:row>731</xdr:row>
      <xdr:rowOff>123825</xdr:rowOff>
    </xdr:to>
    <xdr:sp macro="" textlink="">
      <xdr:nvSpPr>
        <xdr:cNvPr id="4643" name="AutoShape 539" descr="Bonis de performance"/>
        <xdr:cNvSpPr>
          <a:spLocks noChangeAspect="1" noChangeArrowheads="1"/>
        </xdr:cNvSpPr>
      </xdr:nvSpPr>
      <xdr:spPr bwMode="auto">
        <a:xfrm>
          <a:off x="152400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731</xdr:row>
      <xdr:rowOff>0</xdr:rowOff>
    </xdr:from>
    <xdr:to>
      <xdr:col>2</xdr:col>
      <xdr:colOff>257175</xdr:colOff>
      <xdr:row>731</xdr:row>
      <xdr:rowOff>123825</xdr:rowOff>
    </xdr:to>
    <xdr:sp macro="" textlink="">
      <xdr:nvSpPr>
        <xdr:cNvPr id="4644" name="AutoShape 540" descr="Exempté du ballottage">
          <a:hlinkClick xmlns:r="http://schemas.openxmlformats.org/officeDocument/2006/relationships" r:id="rId549"/>
        </xdr:cNvPr>
        <xdr:cNvSpPr>
          <a:spLocks noChangeAspect="1" noChangeArrowheads="1"/>
        </xdr:cNvSpPr>
      </xdr:nvSpPr>
      <xdr:spPr bwMode="auto">
        <a:xfrm>
          <a:off x="165735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1231</xdr:row>
      <xdr:rowOff>0</xdr:rowOff>
    </xdr:from>
    <xdr:to>
      <xdr:col>2</xdr:col>
      <xdr:colOff>123825</xdr:colOff>
      <xdr:row>1231</xdr:row>
      <xdr:rowOff>123825</xdr:rowOff>
    </xdr:to>
    <xdr:sp macro="" textlink="">
      <xdr:nvSpPr>
        <xdr:cNvPr id="4645" name="AutoShape 541" descr="Bonis de performance"/>
        <xdr:cNvSpPr>
          <a:spLocks noChangeAspect="1" noChangeArrowheads="1"/>
        </xdr:cNvSpPr>
      </xdr:nvSpPr>
      <xdr:spPr bwMode="auto">
        <a:xfrm>
          <a:off x="152400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1231</xdr:row>
      <xdr:rowOff>0</xdr:rowOff>
    </xdr:from>
    <xdr:to>
      <xdr:col>2</xdr:col>
      <xdr:colOff>257175</xdr:colOff>
      <xdr:row>1231</xdr:row>
      <xdr:rowOff>123825</xdr:rowOff>
    </xdr:to>
    <xdr:sp macro="" textlink="">
      <xdr:nvSpPr>
        <xdr:cNvPr id="4646" name="AutoShape 542" descr="Exempté du ballottage">
          <a:hlinkClick xmlns:r="http://schemas.openxmlformats.org/officeDocument/2006/relationships" r:id="rId550"/>
        </xdr:cNvPr>
        <xdr:cNvSpPr>
          <a:spLocks noChangeAspect="1" noChangeArrowheads="1"/>
        </xdr:cNvSpPr>
      </xdr:nvSpPr>
      <xdr:spPr bwMode="auto">
        <a:xfrm>
          <a:off x="165735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1078</xdr:row>
      <xdr:rowOff>0</xdr:rowOff>
    </xdr:from>
    <xdr:to>
      <xdr:col>7</xdr:col>
      <xdr:colOff>123825</xdr:colOff>
      <xdr:row>1078</xdr:row>
      <xdr:rowOff>104775</xdr:rowOff>
    </xdr:to>
    <xdr:sp macro="" textlink="">
      <xdr:nvSpPr>
        <xdr:cNvPr id="4647" name="AutoShape 543" descr="Éligible à l'arbitrage">
          <a:hlinkClick xmlns:r="http://schemas.openxmlformats.org/officeDocument/2006/relationships" r:id="rId551"/>
        </xdr:cNvPr>
        <xdr:cNvSpPr>
          <a:spLocks noChangeAspect="1" noChangeArrowheads="1"/>
        </xdr:cNvSpPr>
      </xdr:nvSpPr>
      <xdr:spPr bwMode="auto">
        <a:xfrm>
          <a:off x="5334000" y="1985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721</xdr:row>
      <xdr:rowOff>0</xdr:rowOff>
    </xdr:from>
    <xdr:to>
      <xdr:col>7</xdr:col>
      <xdr:colOff>123825</xdr:colOff>
      <xdr:row>721</xdr:row>
      <xdr:rowOff>104775</xdr:rowOff>
    </xdr:to>
    <xdr:sp macro="" textlink="">
      <xdr:nvSpPr>
        <xdr:cNvPr id="4648" name="AutoShape 544" descr="Éligible à l'arbitrage">
          <a:hlinkClick xmlns:r="http://schemas.openxmlformats.org/officeDocument/2006/relationships" r:id="rId552"/>
        </xdr:cNvPr>
        <xdr:cNvSpPr>
          <a:spLocks noChangeAspect="1" noChangeArrowheads="1"/>
        </xdr:cNvSpPr>
      </xdr:nvSpPr>
      <xdr:spPr bwMode="auto">
        <a:xfrm>
          <a:off x="5334000" y="198729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783</xdr:row>
      <xdr:rowOff>0</xdr:rowOff>
    </xdr:from>
    <xdr:to>
      <xdr:col>2</xdr:col>
      <xdr:colOff>123825</xdr:colOff>
      <xdr:row>783</xdr:row>
      <xdr:rowOff>123825</xdr:rowOff>
    </xdr:to>
    <xdr:sp macro="" textlink="">
      <xdr:nvSpPr>
        <xdr:cNvPr id="4649" name="AutoShape 545" descr="Exempté du ballottage">
          <a:hlinkClick xmlns:r="http://schemas.openxmlformats.org/officeDocument/2006/relationships" r:id="rId553"/>
        </xdr:cNvPr>
        <xdr:cNvSpPr>
          <a:spLocks noChangeAspect="1" noChangeArrowheads="1"/>
        </xdr:cNvSpPr>
      </xdr:nvSpPr>
      <xdr:spPr bwMode="auto">
        <a:xfrm>
          <a:off x="1524000" y="2000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xdr:row>
      <xdr:rowOff>0</xdr:rowOff>
    </xdr:from>
    <xdr:to>
      <xdr:col>2</xdr:col>
      <xdr:colOff>123825</xdr:colOff>
      <xdr:row>92</xdr:row>
      <xdr:rowOff>123825</xdr:rowOff>
    </xdr:to>
    <xdr:sp macro="" textlink="">
      <xdr:nvSpPr>
        <xdr:cNvPr id="4650" name="AutoShape 546" descr="Bonis de performance"/>
        <xdr:cNvSpPr>
          <a:spLocks noChangeAspect="1" noChangeArrowheads="1"/>
        </xdr:cNvSpPr>
      </xdr:nvSpPr>
      <xdr:spPr bwMode="auto">
        <a:xfrm>
          <a:off x="152400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xdr:row>
      <xdr:rowOff>0</xdr:rowOff>
    </xdr:from>
    <xdr:to>
      <xdr:col>2</xdr:col>
      <xdr:colOff>257175</xdr:colOff>
      <xdr:row>92</xdr:row>
      <xdr:rowOff>123825</xdr:rowOff>
    </xdr:to>
    <xdr:sp macro="" textlink="">
      <xdr:nvSpPr>
        <xdr:cNvPr id="4651" name="AutoShape 547" descr="Exempté du ballottage">
          <a:hlinkClick xmlns:r="http://schemas.openxmlformats.org/officeDocument/2006/relationships" r:id="rId554"/>
        </xdr:cNvPr>
        <xdr:cNvSpPr>
          <a:spLocks noChangeAspect="1" noChangeArrowheads="1"/>
        </xdr:cNvSpPr>
      </xdr:nvSpPr>
      <xdr:spPr bwMode="auto">
        <a:xfrm>
          <a:off x="165735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860</xdr:row>
      <xdr:rowOff>0</xdr:rowOff>
    </xdr:from>
    <xdr:to>
      <xdr:col>2</xdr:col>
      <xdr:colOff>123825</xdr:colOff>
      <xdr:row>860</xdr:row>
      <xdr:rowOff>123825</xdr:rowOff>
    </xdr:to>
    <xdr:sp macro="" textlink="">
      <xdr:nvSpPr>
        <xdr:cNvPr id="4652" name="AutoShape 548" descr="Bonis de performance"/>
        <xdr:cNvSpPr>
          <a:spLocks noChangeAspect="1" noChangeArrowheads="1"/>
        </xdr:cNvSpPr>
      </xdr:nvSpPr>
      <xdr:spPr bwMode="auto">
        <a:xfrm>
          <a:off x="152400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860</xdr:row>
      <xdr:rowOff>0</xdr:rowOff>
    </xdr:from>
    <xdr:to>
      <xdr:col>2</xdr:col>
      <xdr:colOff>257175</xdr:colOff>
      <xdr:row>860</xdr:row>
      <xdr:rowOff>123825</xdr:rowOff>
    </xdr:to>
    <xdr:sp macro="" textlink="">
      <xdr:nvSpPr>
        <xdr:cNvPr id="4653" name="AutoShape 549" descr="Exempté du ballottage">
          <a:hlinkClick xmlns:r="http://schemas.openxmlformats.org/officeDocument/2006/relationships" r:id="rId555"/>
        </xdr:cNvPr>
        <xdr:cNvSpPr>
          <a:spLocks noChangeAspect="1" noChangeArrowheads="1"/>
        </xdr:cNvSpPr>
      </xdr:nvSpPr>
      <xdr:spPr bwMode="auto">
        <a:xfrm>
          <a:off x="165735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1233</xdr:row>
      <xdr:rowOff>0</xdr:rowOff>
    </xdr:from>
    <xdr:to>
      <xdr:col>7</xdr:col>
      <xdr:colOff>123825</xdr:colOff>
      <xdr:row>1233</xdr:row>
      <xdr:rowOff>104775</xdr:rowOff>
    </xdr:to>
    <xdr:sp macro="" textlink="">
      <xdr:nvSpPr>
        <xdr:cNvPr id="4654" name="AutoShape 550" descr="Éligible à l'arbitrage">
          <a:hlinkClick xmlns:r="http://schemas.openxmlformats.org/officeDocument/2006/relationships" r:id="rId556"/>
        </xdr:cNvPr>
        <xdr:cNvSpPr>
          <a:spLocks noChangeAspect="1" noChangeArrowheads="1"/>
        </xdr:cNvSpPr>
      </xdr:nvSpPr>
      <xdr:spPr bwMode="auto">
        <a:xfrm>
          <a:off x="5334000" y="200996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1118</xdr:row>
      <xdr:rowOff>0</xdr:rowOff>
    </xdr:from>
    <xdr:to>
      <xdr:col>2</xdr:col>
      <xdr:colOff>123825</xdr:colOff>
      <xdr:row>1118</xdr:row>
      <xdr:rowOff>123825</xdr:rowOff>
    </xdr:to>
    <xdr:sp macro="" textlink="">
      <xdr:nvSpPr>
        <xdr:cNvPr id="4655" name="AutoShape 551" descr="Bonis de performance"/>
        <xdr:cNvSpPr>
          <a:spLocks noChangeAspect="1" noChangeArrowheads="1"/>
        </xdr:cNvSpPr>
      </xdr:nvSpPr>
      <xdr:spPr bwMode="auto">
        <a:xfrm>
          <a:off x="152400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1118</xdr:row>
      <xdr:rowOff>0</xdr:rowOff>
    </xdr:from>
    <xdr:to>
      <xdr:col>2</xdr:col>
      <xdr:colOff>257175</xdr:colOff>
      <xdr:row>1118</xdr:row>
      <xdr:rowOff>123825</xdr:rowOff>
    </xdr:to>
    <xdr:sp macro="" textlink="">
      <xdr:nvSpPr>
        <xdr:cNvPr id="4656" name="AutoShape 552" descr="Exempté du ballottage">
          <a:hlinkClick xmlns:r="http://schemas.openxmlformats.org/officeDocument/2006/relationships" r:id="rId557"/>
        </xdr:cNvPr>
        <xdr:cNvSpPr>
          <a:spLocks noChangeAspect="1" noChangeArrowheads="1"/>
        </xdr:cNvSpPr>
      </xdr:nvSpPr>
      <xdr:spPr bwMode="auto">
        <a:xfrm>
          <a:off x="165735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328</xdr:row>
      <xdr:rowOff>0</xdr:rowOff>
    </xdr:from>
    <xdr:to>
      <xdr:col>2</xdr:col>
      <xdr:colOff>123825</xdr:colOff>
      <xdr:row>328</xdr:row>
      <xdr:rowOff>123825</xdr:rowOff>
    </xdr:to>
    <xdr:sp macro="" textlink="">
      <xdr:nvSpPr>
        <xdr:cNvPr id="4657" name="AutoShape 553" descr="Bonis de performance"/>
        <xdr:cNvSpPr>
          <a:spLocks noChangeAspect="1" noChangeArrowheads="1"/>
        </xdr:cNvSpPr>
      </xdr:nvSpPr>
      <xdr:spPr bwMode="auto">
        <a:xfrm>
          <a:off x="15240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328</xdr:row>
      <xdr:rowOff>0</xdr:rowOff>
    </xdr:from>
    <xdr:to>
      <xdr:col>2</xdr:col>
      <xdr:colOff>257175</xdr:colOff>
      <xdr:row>328</xdr:row>
      <xdr:rowOff>123825</xdr:rowOff>
    </xdr:to>
    <xdr:sp macro="" textlink="">
      <xdr:nvSpPr>
        <xdr:cNvPr id="4658" name="AutoShape 554" descr="Transaction avec retenue de salaire"/>
        <xdr:cNvSpPr>
          <a:spLocks noChangeAspect="1" noChangeArrowheads="1"/>
        </xdr:cNvSpPr>
      </xdr:nvSpPr>
      <xdr:spPr bwMode="auto">
        <a:xfrm>
          <a:off x="165735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328</xdr:row>
      <xdr:rowOff>0</xdr:rowOff>
    </xdr:from>
    <xdr:to>
      <xdr:col>2</xdr:col>
      <xdr:colOff>390525</xdr:colOff>
      <xdr:row>328</xdr:row>
      <xdr:rowOff>123825</xdr:rowOff>
    </xdr:to>
    <xdr:sp macro="" textlink="">
      <xdr:nvSpPr>
        <xdr:cNvPr id="4659" name="AutoShape 555" descr="Exempté du ballottage">
          <a:hlinkClick xmlns:r="http://schemas.openxmlformats.org/officeDocument/2006/relationships" r:id="rId558"/>
        </xdr:cNvPr>
        <xdr:cNvSpPr>
          <a:spLocks noChangeAspect="1" noChangeArrowheads="1"/>
        </xdr:cNvSpPr>
      </xdr:nvSpPr>
      <xdr:spPr bwMode="auto">
        <a:xfrm>
          <a:off x="17907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385</xdr:row>
      <xdr:rowOff>0</xdr:rowOff>
    </xdr:from>
    <xdr:to>
      <xdr:col>2</xdr:col>
      <xdr:colOff>123825</xdr:colOff>
      <xdr:row>385</xdr:row>
      <xdr:rowOff>123825</xdr:rowOff>
    </xdr:to>
    <xdr:sp macro="" textlink="">
      <xdr:nvSpPr>
        <xdr:cNvPr id="4660" name="AutoShape 556" descr="Bonis de performance"/>
        <xdr:cNvSpPr>
          <a:spLocks noChangeAspect="1" noChangeArrowheads="1"/>
        </xdr:cNvSpPr>
      </xdr:nvSpPr>
      <xdr:spPr bwMode="auto">
        <a:xfrm>
          <a:off x="152400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385</xdr:row>
      <xdr:rowOff>0</xdr:rowOff>
    </xdr:from>
    <xdr:to>
      <xdr:col>2</xdr:col>
      <xdr:colOff>257175</xdr:colOff>
      <xdr:row>385</xdr:row>
      <xdr:rowOff>123825</xdr:rowOff>
    </xdr:to>
    <xdr:sp macro="" textlink="">
      <xdr:nvSpPr>
        <xdr:cNvPr id="4661" name="AutoShape 557" descr="Exempté du ballottage">
          <a:hlinkClick xmlns:r="http://schemas.openxmlformats.org/officeDocument/2006/relationships" r:id="rId559"/>
        </xdr:cNvPr>
        <xdr:cNvSpPr>
          <a:spLocks noChangeAspect="1" noChangeArrowheads="1"/>
        </xdr:cNvSpPr>
      </xdr:nvSpPr>
      <xdr:spPr bwMode="auto">
        <a:xfrm>
          <a:off x="165735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xdr:row>
      <xdr:rowOff>0</xdr:rowOff>
    </xdr:from>
    <xdr:to>
      <xdr:col>2</xdr:col>
      <xdr:colOff>123825</xdr:colOff>
      <xdr:row>67</xdr:row>
      <xdr:rowOff>123825</xdr:rowOff>
    </xdr:to>
    <xdr:sp macro="" textlink="">
      <xdr:nvSpPr>
        <xdr:cNvPr id="4662" name="AutoShape 558" descr="Bonis de performance"/>
        <xdr:cNvSpPr>
          <a:spLocks noChangeAspect="1" noChangeArrowheads="1"/>
        </xdr:cNvSpPr>
      </xdr:nvSpPr>
      <xdr:spPr bwMode="auto">
        <a:xfrm>
          <a:off x="1524000" y="19731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1094</xdr:row>
      <xdr:rowOff>0</xdr:rowOff>
    </xdr:from>
    <xdr:to>
      <xdr:col>7</xdr:col>
      <xdr:colOff>123825</xdr:colOff>
      <xdr:row>1094</xdr:row>
      <xdr:rowOff>104775</xdr:rowOff>
    </xdr:to>
    <xdr:sp macro="" textlink="">
      <xdr:nvSpPr>
        <xdr:cNvPr id="4663" name="AutoShape 559" descr="Éligible à l'arbitrage">
          <a:hlinkClick xmlns:r="http://schemas.openxmlformats.org/officeDocument/2006/relationships" r:id="rId560"/>
        </xdr:cNvPr>
        <xdr:cNvSpPr>
          <a:spLocks noChangeAspect="1" noChangeArrowheads="1"/>
        </xdr:cNvSpPr>
      </xdr:nvSpPr>
      <xdr:spPr bwMode="auto">
        <a:xfrm>
          <a:off x="5334000" y="19959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1042</xdr:row>
      <xdr:rowOff>0</xdr:rowOff>
    </xdr:from>
    <xdr:to>
      <xdr:col>8</xdr:col>
      <xdr:colOff>123825</xdr:colOff>
      <xdr:row>1042</xdr:row>
      <xdr:rowOff>104775</xdr:rowOff>
    </xdr:to>
    <xdr:sp macro="" textlink="">
      <xdr:nvSpPr>
        <xdr:cNvPr id="4664" name="AutoShape 560" descr="Éligible à l'arbitrage">
          <a:hlinkClick xmlns:r="http://schemas.openxmlformats.org/officeDocument/2006/relationships" r:id="rId561"/>
        </xdr:cNvPr>
        <xdr:cNvSpPr>
          <a:spLocks noChangeAspect="1" noChangeArrowheads="1"/>
        </xdr:cNvSpPr>
      </xdr:nvSpPr>
      <xdr:spPr bwMode="auto">
        <a:xfrm>
          <a:off x="6096000" y="19978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1357</xdr:row>
      <xdr:rowOff>0</xdr:rowOff>
    </xdr:from>
    <xdr:to>
      <xdr:col>7</xdr:col>
      <xdr:colOff>123825</xdr:colOff>
      <xdr:row>1357</xdr:row>
      <xdr:rowOff>104775</xdr:rowOff>
    </xdr:to>
    <xdr:sp macro="" textlink="">
      <xdr:nvSpPr>
        <xdr:cNvPr id="4665" name="AutoShape 561" descr="Éligible à l'arbitrage">
          <a:hlinkClick xmlns:r="http://schemas.openxmlformats.org/officeDocument/2006/relationships" r:id="rId562"/>
        </xdr:cNvPr>
        <xdr:cNvSpPr>
          <a:spLocks noChangeAspect="1" noChangeArrowheads="1"/>
        </xdr:cNvSpPr>
      </xdr:nvSpPr>
      <xdr:spPr bwMode="auto">
        <a:xfrm>
          <a:off x="5334000" y="200167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6" name="AutoShape 562" descr="https://capfriendly-wlb8ng5.stackpathdns.com/assets/images/icons/general/q.svg"/>
        <xdr:cNvSpPr>
          <a:spLocks noChangeAspect="1" noChangeArrowheads="1"/>
        </xdr:cNvSpPr>
      </xdr:nvSpPr>
      <xdr:spPr bwMode="auto">
        <a:xfrm>
          <a:off x="1524000" y="2030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7" name="AutoShape 563" descr="https://capfriendly-wlb8ng5.stackpathdns.com/assets/images/icons/general/q.svg"/>
        <xdr:cNvSpPr>
          <a:spLocks noChangeAspect="1" noChangeArrowheads="1"/>
        </xdr:cNvSpPr>
      </xdr:nvSpPr>
      <xdr:spPr bwMode="auto">
        <a:xfrm>
          <a:off x="1524000" y="2031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8" name="AutoShape 564" descr="https://capfriendly-wlb8ng5.stackpathdns.com/assets/images/icons/general/q.svg"/>
        <xdr:cNvSpPr>
          <a:spLocks noChangeAspect="1" noChangeArrowheads="1"/>
        </xdr:cNvSpPr>
      </xdr:nvSpPr>
      <xdr:spPr bwMode="auto">
        <a:xfrm>
          <a:off x="1524000" y="2033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9" name="AutoShape 565" descr="https://capfriendly-wlb8ng5.stackpathdns.com/assets/images/icons/general/q.svg"/>
        <xdr:cNvSpPr>
          <a:spLocks noChangeAspect="1" noChangeArrowheads="1"/>
        </xdr:cNvSpPr>
      </xdr:nvSpPr>
      <xdr:spPr bwMode="auto">
        <a:xfrm>
          <a:off x="1524000" y="2035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0" name="AutoShape 566" descr="https://capfriendly-wlb8ng5.stackpathdns.com/assets/images/icons/general/q.svg"/>
        <xdr:cNvSpPr>
          <a:spLocks noChangeAspect="1" noChangeArrowheads="1"/>
        </xdr:cNvSpPr>
      </xdr:nvSpPr>
      <xdr:spPr bwMode="auto">
        <a:xfrm>
          <a:off x="1524000" y="2037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1" name="AutoShape 567" descr="https://capfriendly-wlb8ng5.stackpathdns.com/assets/images/icons/general/q.svg"/>
        <xdr:cNvSpPr>
          <a:spLocks noChangeAspect="1" noChangeArrowheads="1"/>
        </xdr:cNvSpPr>
      </xdr:nvSpPr>
      <xdr:spPr bwMode="auto">
        <a:xfrm>
          <a:off x="1524000" y="2039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2" name="AutoShape 568" descr="https://capfriendly-wlb8ng5.stackpathdns.com/assets/images/icons/general/q.svg"/>
        <xdr:cNvSpPr>
          <a:spLocks noChangeAspect="1" noChangeArrowheads="1"/>
        </xdr:cNvSpPr>
      </xdr:nvSpPr>
      <xdr:spPr bwMode="auto">
        <a:xfrm>
          <a:off x="1524000" y="2041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3" name="AutoShape 569" descr="https://capfriendly-wlb8ng5.stackpathdns.com/assets/images/icons/general/q.svg"/>
        <xdr:cNvSpPr>
          <a:spLocks noChangeAspect="1" noChangeArrowheads="1"/>
        </xdr:cNvSpPr>
      </xdr:nvSpPr>
      <xdr:spPr bwMode="auto">
        <a:xfrm>
          <a:off x="1524000" y="2043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4" name="AutoShape 570" descr="https://capfriendly-wlb8ng5.stackpathdns.com/assets/images/icons/general/q.svg"/>
        <xdr:cNvSpPr>
          <a:spLocks noChangeAspect="1" noChangeArrowheads="1"/>
        </xdr:cNvSpPr>
      </xdr:nvSpPr>
      <xdr:spPr bwMode="auto">
        <a:xfrm>
          <a:off x="1524000" y="2045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5" name="AutoShape 571" descr="https://capfriendly-wlb8ng5.stackpathdns.com/assets/images/icons/general/q.svg"/>
        <xdr:cNvSpPr>
          <a:spLocks noChangeAspect="1" noChangeArrowheads="1"/>
        </xdr:cNvSpPr>
      </xdr:nvSpPr>
      <xdr:spPr bwMode="auto">
        <a:xfrm>
          <a:off x="1524000" y="20472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6" name="AutoShape 572" descr="https://capfriendly-wlb8ng5.stackpathdns.com/assets/images/icons/general/q.svg"/>
        <xdr:cNvSpPr>
          <a:spLocks noChangeAspect="1" noChangeArrowheads="1"/>
        </xdr:cNvSpPr>
      </xdr:nvSpPr>
      <xdr:spPr bwMode="auto">
        <a:xfrm>
          <a:off x="1524000" y="20491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7" name="AutoShape 573" descr="Transaction avec retenue de salaire"/>
        <xdr:cNvSpPr>
          <a:spLocks noChangeAspect="1" noChangeArrowheads="1"/>
        </xdr:cNvSpPr>
      </xdr:nvSpPr>
      <xdr:spPr bwMode="auto">
        <a:xfrm>
          <a:off x="152400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600</xdr:row>
      <xdr:rowOff>0</xdr:rowOff>
    </xdr:from>
    <xdr:to>
      <xdr:col>2</xdr:col>
      <xdr:colOff>257175</xdr:colOff>
      <xdr:row>600</xdr:row>
      <xdr:rowOff>123825</xdr:rowOff>
    </xdr:to>
    <xdr:sp macro="" textlink="">
      <xdr:nvSpPr>
        <xdr:cNvPr id="4678" name="AutoShape 574" descr="Exempté du ballottage">
          <a:hlinkClick xmlns:r="http://schemas.openxmlformats.org/officeDocument/2006/relationships" r:id="rId563"/>
        </xdr:cNvPr>
        <xdr:cNvSpPr>
          <a:spLocks noChangeAspect="1" noChangeArrowheads="1"/>
        </xdr:cNvSpPr>
      </xdr:nvSpPr>
      <xdr:spPr bwMode="auto">
        <a:xfrm>
          <a:off x="165735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1413</xdr:row>
      <xdr:rowOff>0</xdr:rowOff>
    </xdr:from>
    <xdr:to>
      <xdr:col>2</xdr:col>
      <xdr:colOff>123825</xdr:colOff>
      <xdr:row>1413</xdr:row>
      <xdr:rowOff>123825</xdr:rowOff>
    </xdr:to>
    <xdr:sp macro="" textlink="">
      <xdr:nvSpPr>
        <xdr:cNvPr id="4679" name="AutoShape 575" descr="Bonis de performance"/>
        <xdr:cNvSpPr>
          <a:spLocks noChangeAspect="1" noChangeArrowheads="1"/>
        </xdr:cNvSpPr>
      </xdr:nvSpPr>
      <xdr:spPr bwMode="auto">
        <a:xfrm>
          <a:off x="15240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1413</xdr:row>
      <xdr:rowOff>0</xdr:rowOff>
    </xdr:from>
    <xdr:to>
      <xdr:col>2</xdr:col>
      <xdr:colOff>257175</xdr:colOff>
      <xdr:row>1413</xdr:row>
      <xdr:rowOff>123825</xdr:rowOff>
    </xdr:to>
    <xdr:sp macro="" textlink="">
      <xdr:nvSpPr>
        <xdr:cNvPr id="4680" name="AutoShape 576" descr="Transaction avec retenue de salaire"/>
        <xdr:cNvSpPr>
          <a:spLocks noChangeAspect="1" noChangeArrowheads="1"/>
        </xdr:cNvSpPr>
      </xdr:nvSpPr>
      <xdr:spPr bwMode="auto">
        <a:xfrm>
          <a:off x="165735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1413</xdr:row>
      <xdr:rowOff>0</xdr:rowOff>
    </xdr:from>
    <xdr:to>
      <xdr:col>2</xdr:col>
      <xdr:colOff>390525</xdr:colOff>
      <xdr:row>1413</xdr:row>
      <xdr:rowOff>123825</xdr:rowOff>
    </xdr:to>
    <xdr:sp macro="" textlink="">
      <xdr:nvSpPr>
        <xdr:cNvPr id="4681" name="AutoShape 577" descr="Exempté du ballottage">
          <a:hlinkClick xmlns:r="http://schemas.openxmlformats.org/officeDocument/2006/relationships" r:id="rId564"/>
        </xdr:cNvPr>
        <xdr:cNvSpPr>
          <a:spLocks noChangeAspect="1" noChangeArrowheads="1"/>
        </xdr:cNvSpPr>
      </xdr:nvSpPr>
      <xdr:spPr bwMode="auto">
        <a:xfrm>
          <a:off x="17907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xdr:row>
      <xdr:rowOff>0</xdr:rowOff>
    </xdr:from>
    <xdr:to>
      <xdr:col>2</xdr:col>
      <xdr:colOff>123825</xdr:colOff>
      <xdr:row>83</xdr:row>
      <xdr:rowOff>123825</xdr:rowOff>
    </xdr:to>
    <xdr:sp macro="" textlink="">
      <xdr:nvSpPr>
        <xdr:cNvPr id="4682" name="AutoShape 578" descr="Bonis de performance"/>
        <xdr:cNvSpPr>
          <a:spLocks noChangeAspect="1" noChangeArrowheads="1"/>
        </xdr:cNvSpPr>
      </xdr:nvSpPr>
      <xdr:spPr bwMode="auto">
        <a:xfrm>
          <a:off x="152400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xdr:row>
      <xdr:rowOff>0</xdr:rowOff>
    </xdr:from>
    <xdr:to>
      <xdr:col>2</xdr:col>
      <xdr:colOff>257175</xdr:colOff>
      <xdr:row>83</xdr:row>
      <xdr:rowOff>123825</xdr:rowOff>
    </xdr:to>
    <xdr:sp macro="" textlink="">
      <xdr:nvSpPr>
        <xdr:cNvPr id="4683" name="AutoShape 579" descr="Exempté du ballottage">
          <a:hlinkClick xmlns:r="http://schemas.openxmlformats.org/officeDocument/2006/relationships" r:id="rId565"/>
        </xdr:cNvPr>
        <xdr:cNvSpPr>
          <a:spLocks noChangeAspect="1" noChangeArrowheads="1"/>
        </xdr:cNvSpPr>
      </xdr:nvSpPr>
      <xdr:spPr bwMode="auto">
        <a:xfrm>
          <a:off x="165735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196</xdr:row>
      <xdr:rowOff>0</xdr:rowOff>
    </xdr:from>
    <xdr:to>
      <xdr:col>2</xdr:col>
      <xdr:colOff>123825</xdr:colOff>
      <xdr:row>196</xdr:row>
      <xdr:rowOff>123825</xdr:rowOff>
    </xdr:to>
    <xdr:sp macro="" textlink="">
      <xdr:nvSpPr>
        <xdr:cNvPr id="4684" name="AutoShape 580" descr="Bonis de performance"/>
        <xdr:cNvSpPr>
          <a:spLocks noChangeAspect="1" noChangeArrowheads="1"/>
        </xdr:cNvSpPr>
      </xdr:nvSpPr>
      <xdr:spPr bwMode="auto">
        <a:xfrm>
          <a:off x="152400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196</xdr:row>
      <xdr:rowOff>0</xdr:rowOff>
    </xdr:from>
    <xdr:to>
      <xdr:col>2</xdr:col>
      <xdr:colOff>257175</xdr:colOff>
      <xdr:row>196</xdr:row>
      <xdr:rowOff>123825</xdr:rowOff>
    </xdr:to>
    <xdr:sp macro="" textlink="">
      <xdr:nvSpPr>
        <xdr:cNvPr id="4685" name="AutoShape 581" descr="Exempté du ballottage">
          <a:hlinkClick xmlns:r="http://schemas.openxmlformats.org/officeDocument/2006/relationships" r:id="rId566"/>
        </xdr:cNvPr>
        <xdr:cNvSpPr>
          <a:spLocks noChangeAspect="1" noChangeArrowheads="1"/>
        </xdr:cNvSpPr>
      </xdr:nvSpPr>
      <xdr:spPr bwMode="auto">
        <a:xfrm>
          <a:off x="165735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641</xdr:row>
      <xdr:rowOff>0</xdr:rowOff>
    </xdr:from>
    <xdr:to>
      <xdr:col>2</xdr:col>
      <xdr:colOff>123825</xdr:colOff>
      <xdr:row>641</xdr:row>
      <xdr:rowOff>123825</xdr:rowOff>
    </xdr:to>
    <xdr:sp macro="" textlink="">
      <xdr:nvSpPr>
        <xdr:cNvPr id="4686" name="AutoShape 582" descr="Exempté du ballottage">
          <a:hlinkClick xmlns:r="http://schemas.openxmlformats.org/officeDocument/2006/relationships" r:id="rId567"/>
        </xdr:cNvPr>
        <xdr:cNvSpPr>
          <a:spLocks noChangeAspect="1" noChangeArrowheads="1"/>
        </xdr:cNvSpPr>
      </xdr:nvSpPr>
      <xdr:spPr bwMode="auto">
        <a:xfrm>
          <a:off x="1524000" y="2065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727</xdr:row>
      <xdr:rowOff>0</xdr:rowOff>
    </xdr:from>
    <xdr:to>
      <xdr:col>2</xdr:col>
      <xdr:colOff>123825</xdr:colOff>
      <xdr:row>727</xdr:row>
      <xdr:rowOff>123825</xdr:rowOff>
    </xdr:to>
    <xdr:sp macro="" textlink="">
      <xdr:nvSpPr>
        <xdr:cNvPr id="4687" name="AutoShape 583" descr="Bonis de performance"/>
        <xdr:cNvSpPr>
          <a:spLocks noChangeAspect="1" noChangeArrowheads="1"/>
        </xdr:cNvSpPr>
      </xdr:nvSpPr>
      <xdr:spPr bwMode="auto">
        <a:xfrm>
          <a:off x="152400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727</xdr:row>
      <xdr:rowOff>0</xdr:rowOff>
    </xdr:from>
    <xdr:to>
      <xdr:col>2</xdr:col>
      <xdr:colOff>257175</xdr:colOff>
      <xdr:row>727</xdr:row>
      <xdr:rowOff>123825</xdr:rowOff>
    </xdr:to>
    <xdr:sp macro="" textlink="">
      <xdr:nvSpPr>
        <xdr:cNvPr id="4688" name="AutoShape 584" descr="Exempté du ballottage">
          <a:hlinkClick xmlns:r="http://schemas.openxmlformats.org/officeDocument/2006/relationships" r:id="rId568"/>
        </xdr:cNvPr>
        <xdr:cNvSpPr>
          <a:spLocks noChangeAspect="1" noChangeArrowheads="1"/>
        </xdr:cNvSpPr>
      </xdr:nvSpPr>
      <xdr:spPr bwMode="auto">
        <a:xfrm>
          <a:off x="165735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351</xdr:row>
      <xdr:rowOff>0</xdr:rowOff>
    </xdr:from>
    <xdr:to>
      <xdr:col>2</xdr:col>
      <xdr:colOff>123825</xdr:colOff>
      <xdr:row>351</xdr:row>
      <xdr:rowOff>123825</xdr:rowOff>
    </xdr:to>
    <xdr:sp macro="" textlink="">
      <xdr:nvSpPr>
        <xdr:cNvPr id="4689" name="AutoShape 585" descr="Exempté du ballottage">
          <a:hlinkClick xmlns:r="http://schemas.openxmlformats.org/officeDocument/2006/relationships" r:id="rId569"/>
        </xdr:cNvPr>
        <xdr:cNvSpPr>
          <a:spLocks noChangeAspect="1" noChangeArrowheads="1"/>
        </xdr:cNvSpPr>
      </xdr:nvSpPr>
      <xdr:spPr bwMode="auto">
        <a:xfrm>
          <a:off x="1524000" y="2069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357</xdr:row>
      <xdr:rowOff>0</xdr:rowOff>
    </xdr:from>
    <xdr:to>
      <xdr:col>2</xdr:col>
      <xdr:colOff>123825</xdr:colOff>
      <xdr:row>357</xdr:row>
      <xdr:rowOff>123825</xdr:rowOff>
    </xdr:to>
    <xdr:sp macro="" textlink="">
      <xdr:nvSpPr>
        <xdr:cNvPr id="4690" name="AutoShape 586" descr="Exempté du ballottage">
          <a:hlinkClick xmlns:r="http://schemas.openxmlformats.org/officeDocument/2006/relationships" r:id="rId570"/>
        </xdr:cNvPr>
        <xdr:cNvSpPr>
          <a:spLocks noChangeAspect="1" noChangeArrowheads="1"/>
        </xdr:cNvSpPr>
      </xdr:nvSpPr>
      <xdr:spPr bwMode="auto">
        <a:xfrm>
          <a:off x="1524000" y="2071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624</xdr:row>
      <xdr:rowOff>0</xdr:rowOff>
    </xdr:from>
    <xdr:to>
      <xdr:col>2</xdr:col>
      <xdr:colOff>123825</xdr:colOff>
      <xdr:row>624</xdr:row>
      <xdr:rowOff>123825</xdr:rowOff>
    </xdr:to>
    <xdr:sp macro="" textlink="">
      <xdr:nvSpPr>
        <xdr:cNvPr id="4691" name="AutoShape 587" descr="Exempté du ballottage">
          <a:hlinkClick xmlns:r="http://schemas.openxmlformats.org/officeDocument/2006/relationships" r:id="rId571"/>
        </xdr:cNvPr>
        <xdr:cNvSpPr>
          <a:spLocks noChangeAspect="1" noChangeArrowheads="1"/>
        </xdr:cNvSpPr>
      </xdr:nvSpPr>
      <xdr:spPr bwMode="auto">
        <a:xfrm>
          <a:off x="1524000" y="20899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320</xdr:row>
      <xdr:rowOff>0</xdr:rowOff>
    </xdr:from>
    <xdr:to>
      <xdr:col>2</xdr:col>
      <xdr:colOff>123825</xdr:colOff>
      <xdr:row>320</xdr:row>
      <xdr:rowOff>123825</xdr:rowOff>
    </xdr:to>
    <xdr:sp macro="" textlink="">
      <xdr:nvSpPr>
        <xdr:cNvPr id="4692" name="AutoShape 588" descr="Bonis de performance"/>
        <xdr:cNvSpPr>
          <a:spLocks noChangeAspect="1" noChangeArrowheads="1"/>
        </xdr:cNvSpPr>
      </xdr:nvSpPr>
      <xdr:spPr bwMode="auto">
        <a:xfrm>
          <a:off x="15240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320</xdr:row>
      <xdr:rowOff>0</xdr:rowOff>
    </xdr:from>
    <xdr:to>
      <xdr:col>2</xdr:col>
      <xdr:colOff>257175</xdr:colOff>
      <xdr:row>320</xdr:row>
      <xdr:rowOff>123825</xdr:rowOff>
    </xdr:to>
    <xdr:sp macro="" textlink="">
      <xdr:nvSpPr>
        <xdr:cNvPr id="4693" name="AutoShape 589" descr="Transaction avec retenue de salaire"/>
        <xdr:cNvSpPr>
          <a:spLocks noChangeAspect="1" noChangeArrowheads="1"/>
        </xdr:cNvSpPr>
      </xdr:nvSpPr>
      <xdr:spPr bwMode="auto">
        <a:xfrm>
          <a:off x="16573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320</xdr:row>
      <xdr:rowOff>0</xdr:rowOff>
    </xdr:from>
    <xdr:to>
      <xdr:col>2</xdr:col>
      <xdr:colOff>390525</xdr:colOff>
      <xdr:row>320</xdr:row>
      <xdr:rowOff>123825</xdr:rowOff>
    </xdr:to>
    <xdr:sp macro="" textlink="">
      <xdr:nvSpPr>
        <xdr:cNvPr id="4694" name="AutoShape 590" descr="Exempté du ballottage">
          <a:hlinkClick xmlns:r="http://schemas.openxmlformats.org/officeDocument/2006/relationships" r:id="rId572"/>
        </xdr:cNvPr>
        <xdr:cNvSpPr>
          <a:spLocks noChangeAspect="1" noChangeArrowheads="1"/>
        </xdr:cNvSpPr>
      </xdr:nvSpPr>
      <xdr:spPr bwMode="auto">
        <a:xfrm>
          <a:off x="17907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320</xdr:row>
      <xdr:rowOff>0</xdr:rowOff>
    </xdr:from>
    <xdr:to>
      <xdr:col>2</xdr:col>
      <xdr:colOff>523875</xdr:colOff>
      <xdr:row>320</xdr:row>
      <xdr:rowOff>123825</xdr:rowOff>
    </xdr:to>
    <xdr:sp macro="" textlink="">
      <xdr:nvSpPr>
        <xdr:cNvPr id="4695" name="AutoShape 591" descr="Exempté de la limite des 50 contrats"/>
        <xdr:cNvSpPr>
          <a:spLocks noChangeAspect="1" noChangeArrowheads="1"/>
        </xdr:cNvSpPr>
      </xdr:nvSpPr>
      <xdr:spPr bwMode="auto">
        <a:xfrm>
          <a:off x="19240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1442</xdr:row>
      <xdr:rowOff>0</xdr:rowOff>
    </xdr:from>
    <xdr:to>
      <xdr:col>2</xdr:col>
      <xdr:colOff>123825</xdr:colOff>
      <xdr:row>1442</xdr:row>
      <xdr:rowOff>123825</xdr:rowOff>
    </xdr:to>
    <xdr:sp macro="" textlink="">
      <xdr:nvSpPr>
        <xdr:cNvPr id="4696" name="AutoShape 592" descr="Bonis de performance"/>
        <xdr:cNvSpPr>
          <a:spLocks noChangeAspect="1" noChangeArrowheads="1"/>
        </xdr:cNvSpPr>
      </xdr:nvSpPr>
      <xdr:spPr bwMode="auto">
        <a:xfrm>
          <a:off x="15240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1442</xdr:row>
      <xdr:rowOff>0</xdr:rowOff>
    </xdr:from>
    <xdr:to>
      <xdr:col>2</xdr:col>
      <xdr:colOff>257175</xdr:colOff>
      <xdr:row>1442</xdr:row>
      <xdr:rowOff>123825</xdr:rowOff>
    </xdr:to>
    <xdr:sp macro="" textlink="">
      <xdr:nvSpPr>
        <xdr:cNvPr id="4697" name="AutoShape 593" descr="Transaction avec retenue de salaire"/>
        <xdr:cNvSpPr>
          <a:spLocks noChangeAspect="1" noChangeArrowheads="1"/>
        </xdr:cNvSpPr>
      </xdr:nvSpPr>
      <xdr:spPr bwMode="auto">
        <a:xfrm>
          <a:off x="16573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1442</xdr:row>
      <xdr:rowOff>0</xdr:rowOff>
    </xdr:from>
    <xdr:to>
      <xdr:col>2</xdr:col>
      <xdr:colOff>390525</xdr:colOff>
      <xdr:row>1442</xdr:row>
      <xdr:rowOff>123825</xdr:rowOff>
    </xdr:to>
    <xdr:sp macro="" textlink="">
      <xdr:nvSpPr>
        <xdr:cNvPr id="4698" name="AutoShape 594" descr="Exempté du ballottage">
          <a:hlinkClick xmlns:r="http://schemas.openxmlformats.org/officeDocument/2006/relationships" r:id="rId573"/>
        </xdr:cNvPr>
        <xdr:cNvSpPr>
          <a:spLocks noChangeAspect="1" noChangeArrowheads="1"/>
        </xdr:cNvSpPr>
      </xdr:nvSpPr>
      <xdr:spPr bwMode="auto">
        <a:xfrm>
          <a:off x="17907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1442</xdr:row>
      <xdr:rowOff>0</xdr:rowOff>
    </xdr:from>
    <xdr:to>
      <xdr:col>2</xdr:col>
      <xdr:colOff>523875</xdr:colOff>
      <xdr:row>1442</xdr:row>
      <xdr:rowOff>123825</xdr:rowOff>
    </xdr:to>
    <xdr:sp macro="" textlink="">
      <xdr:nvSpPr>
        <xdr:cNvPr id="4699" name="AutoShape 595" descr="Exempté de la limite des 50 contrats"/>
        <xdr:cNvSpPr>
          <a:spLocks noChangeAspect="1" noChangeArrowheads="1"/>
        </xdr:cNvSpPr>
      </xdr:nvSpPr>
      <xdr:spPr bwMode="auto">
        <a:xfrm>
          <a:off x="19240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1096</xdr:row>
      <xdr:rowOff>0</xdr:rowOff>
    </xdr:from>
    <xdr:to>
      <xdr:col>2</xdr:col>
      <xdr:colOff>123825</xdr:colOff>
      <xdr:row>1096</xdr:row>
      <xdr:rowOff>123825</xdr:rowOff>
    </xdr:to>
    <xdr:sp macro="" textlink="">
      <xdr:nvSpPr>
        <xdr:cNvPr id="4700" name="AutoShape 596" descr="Bonis de performance"/>
        <xdr:cNvSpPr>
          <a:spLocks noChangeAspect="1" noChangeArrowheads="1"/>
        </xdr:cNvSpPr>
      </xdr:nvSpPr>
      <xdr:spPr bwMode="auto">
        <a:xfrm>
          <a:off x="152400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1096</xdr:row>
      <xdr:rowOff>0</xdr:rowOff>
    </xdr:from>
    <xdr:to>
      <xdr:col>2</xdr:col>
      <xdr:colOff>257175</xdr:colOff>
      <xdr:row>1096</xdr:row>
      <xdr:rowOff>123825</xdr:rowOff>
    </xdr:to>
    <xdr:sp macro="" textlink="">
      <xdr:nvSpPr>
        <xdr:cNvPr id="4701" name="AutoShape 597" descr="Exempté du ballottage">
          <a:hlinkClick xmlns:r="http://schemas.openxmlformats.org/officeDocument/2006/relationships" r:id="rId574"/>
        </xdr:cNvPr>
        <xdr:cNvSpPr>
          <a:spLocks noChangeAspect="1" noChangeArrowheads="1"/>
        </xdr:cNvSpPr>
      </xdr:nvSpPr>
      <xdr:spPr bwMode="auto">
        <a:xfrm>
          <a:off x="165735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xdr:row>
      <xdr:rowOff>0</xdr:rowOff>
    </xdr:from>
    <xdr:to>
      <xdr:col>2</xdr:col>
      <xdr:colOff>123825</xdr:colOff>
      <xdr:row>9</xdr:row>
      <xdr:rowOff>123825</xdr:rowOff>
    </xdr:to>
    <xdr:sp macro="" textlink="">
      <xdr:nvSpPr>
        <xdr:cNvPr id="4702" name="AutoShape 598" descr="Bonis de performance"/>
        <xdr:cNvSpPr>
          <a:spLocks noChangeAspect="1" noChangeArrowheads="1"/>
        </xdr:cNvSpPr>
      </xdr:nvSpPr>
      <xdr:spPr bwMode="auto">
        <a:xfrm>
          <a:off x="152400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xdr:row>
      <xdr:rowOff>0</xdr:rowOff>
    </xdr:from>
    <xdr:to>
      <xdr:col>2</xdr:col>
      <xdr:colOff>257175</xdr:colOff>
      <xdr:row>9</xdr:row>
      <xdr:rowOff>123825</xdr:rowOff>
    </xdr:to>
    <xdr:sp macro="" textlink="">
      <xdr:nvSpPr>
        <xdr:cNvPr id="4703" name="AutoShape 599" descr="Exempté du ballottage">
          <a:hlinkClick xmlns:r="http://schemas.openxmlformats.org/officeDocument/2006/relationships" r:id="rId575"/>
        </xdr:cNvPr>
        <xdr:cNvSpPr>
          <a:spLocks noChangeAspect="1" noChangeArrowheads="1"/>
        </xdr:cNvSpPr>
      </xdr:nvSpPr>
      <xdr:spPr bwMode="auto">
        <a:xfrm>
          <a:off x="165735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1456</xdr:row>
      <xdr:rowOff>0</xdr:rowOff>
    </xdr:from>
    <xdr:to>
      <xdr:col>2</xdr:col>
      <xdr:colOff>123825</xdr:colOff>
      <xdr:row>1456</xdr:row>
      <xdr:rowOff>123825</xdr:rowOff>
    </xdr:to>
    <xdr:sp macro="" textlink="">
      <xdr:nvSpPr>
        <xdr:cNvPr id="4704" name="AutoShape 600" descr="Bonis de performance"/>
        <xdr:cNvSpPr>
          <a:spLocks noChangeAspect="1" noChangeArrowheads="1"/>
        </xdr:cNvSpPr>
      </xdr:nvSpPr>
      <xdr:spPr bwMode="auto">
        <a:xfrm>
          <a:off x="152400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1456</xdr:row>
      <xdr:rowOff>0</xdr:rowOff>
    </xdr:from>
    <xdr:to>
      <xdr:col>2</xdr:col>
      <xdr:colOff>257175</xdr:colOff>
      <xdr:row>1456</xdr:row>
      <xdr:rowOff>123825</xdr:rowOff>
    </xdr:to>
    <xdr:sp macro="" textlink="">
      <xdr:nvSpPr>
        <xdr:cNvPr id="4705" name="AutoShape 601" descr="Exempté du ballottage">
          <a:hlinkClick xmlns:r="http://schemas.openxmlformats.org/officeDocument/2006/relationships" r:id="rId576"/>
        </xdr:cNvPr>
        <xdr:cNvSpPr>
          <a:spLocks noChangeAspect="1" noChangeArrowheads="1"/>
        </xdr:cNvSpPr>
      </xdr:nvSpPr>
      <xdr:spPr bwMode="auto">
        <a:xfrm>
          <a:off x="165735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1385</xdr:row>
      <xdr:rowOff>0</xdr:rowOff>
    </xdr:from>
    <xdr:to>
      <xdr:col>2</xdr:col>
      <xdr:colOff>123825</xdr:colOff>
      <xdr:row>1385</xdr:row>
      <xdr:rowOff>123825</xdr:rowOff>
    </xdr:to>
    <xdr:sp macro="" textlink="">
      <xdr:nvSpPr>
        <xdr:cNvPr id="4706" name="AutoShape 602" descr="Bonis de performance"/>
        <xdr:cNvSpPr>
          <a:spLocks noChangeAspect="1" noChangeArrowheads="1"/>
        </xdr:cNvSpPr>
      </xdr:nvSpPr>
      <xdr:spPr bwMode="auto">
        <a:xfrm>
          <a:off x="152400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1385</xdr:row>
      <xdr:rowOff>0</xdr:rowOff>
    </xdr:from>
    <xdr:to>
      <xdr:col>2</xdr:col>
      <xdr:colOff>257175</xdr:colOff>
      <xdr:row>1385</xdr:row>
      <xdr:rowOff>123825</xdr:rowOff>
    </xdr:to>
    <xdr:sp macro="" textlink="">
      <xdr:nvSpPr>
        <xdr:cNvPr id="4707" name="AutoShape 603" descr="Exempté du ballottage">
          <a:hlinkClick xmlns:r="http://schemas.openxmlformats.org/officeDocument/2006/relationships" r:id="rId577"/>
        </xdr:cNvPr>
        <xdr:cNvSpPr>
          <a:spLocks noChangeAspect="1" noChangeArrowheads="1"/>
        </xdr:cNvSpPr>
      </xdr:nvSpPr>
      <xdr:spPr bwMode="auto">
        <a:xfrm>
          <a:off x="165735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177</xdr:row>
      <xdr:rowOff>0</xdr:rowOff>
    </xdr:from>
    <xdr:to>
      <xdr:col>7</xdr:col>
      <xdr:colOff>123825</xdr:colOff>
      <xdr:row>177</xdr:row>
      <xdr:rowOff>104775</xdr:rowOff>
    </xdr:to>
    <xdr:sp macro="" textlink="">
      <xdr:nvSpPr>
        <xdr:cNvPr id="4708" name="AutoShape 604" descr="Éligible à l'arbitrage">
          <a:hlinkClick xmlns:r="http://schemas.openxmlformats.org/officeDocument/2006/relationships" r:id="rId578"/>
        </xdr:cNvPr>
        <xdr:cNvSpPr>
          <a:spLocks noChangeAspect="1" noChangeArrowheads="1"/>
        </xdr:cNvSpPr>
      </xdr:nvSpPr>
      <xdr:spPr bwMode="auto">
        <a:xfrm>
          <a:off x="5334000" y="210331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1264</xdr:row>
      <xdr:rowOff>0</xdr:rowOff>
    </xdr:from>
    <xdr:to>
      <xdr:col>2</xdr:col>
      <xdr:colOff>123825</xdr:colOff>
      <xdr:row>1264</xdr:row>
      <xdr:rowOff>123825</xdr:rowOff>
    </xdr:to>
    <xdr:sp macro="" textlink="">
      <xdr:nvSpPr>
        <xdr:cNvPr id="4709" name="AutoShape 605" descr="Exempté du ballottage">
          <a:hlinkClick xmlns:r="http://schemas.openxmlformats.org/officeDocument/2006/relationships" r:id="rId579"/>
        </xdr:cNvPr>
        <xdr:cNvSpPr>
          <a:spLocks noChangeAspect="1" noChangeArrowheads="1"/>
        </xdr:cNvSpPr>
      </xdr:nvSpPr>
      <xdr:spPr bwMode="auto">
        <a:xfrm>
          <a:off x="1524000" y="2114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1242</xdr:row>
      <xdr:rowOff>0</xdr:rowOff>
    </xdr:from>
    <xdr:to>
      <xdr:col>2</xdr:col>
      <xdr:colOff>123825</xdr:colOff>
      <xdr:row>1242</xdr:row>
      <xdr:rowOff>123825</xdr:rowOff>
    </xdr:to>
    <xdr:sp macro="" textlink="">
      <xdr:nvSpPr>
        <xdr:cNvPr id="4710" name="AutoShape 606" descr="Bonis de performance"/>
        <xdr:cNvSpPr>
          <a:spLocks noChangeAspect="1" noChangeArrowheads="1"/>
        </xdr:cNvSpPr>
      </xdr:nvSpPr>
      <xdr:spPr bwMode="auto">
        <a:xfrm>
          <a:off x="15240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1242</xdr:row>
      <xdr:rowOff>0</xdr:rowOff>
    </xdr:from>
    <xdr:to>
      <xdr:col>2</xdr:col>
      <xdr:colOff>257175</xdr:colOff>
      <xdr:row>1242</xdr:row>
      <xdr:rowOff>123825</xdr:rowOff>
    </xdr:to>
    <xdr:sp macro="" textlink="">
      <xdr:nvSpPr>
        <xdr:cNvPr id="4711" name="AutoShape 607" descr="Transaction avec retenue de salaire"/>
        <xdr:cNvSpPr>
          <a:spLocks noChangeAspect="1" noChangeArrowheads="1"/>
        </xdr:cNvSpPr>
      </xdr:nvSpPr>
      <xdr:spPr bwMode="auto">
        <a:xfrm>
          <a:off x="16573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1242</xdr:row>
      <xdr:rowOff>0</xdr:rowOff>
    </xdr:from>
    <xdr:to>
      <xdr:col>2</xdr:col>
      <xdr:colOff>390525</xdr:colOff>
      <xdr:row>1242</xdr:row>
      <xdr:rowOff>123825</xdr:rowOff>
    </xdr:to>
    <xdr:sp macro="" textlink="">
      <xdr:nvSpPr>
        <xdr:cNvPr id="4712" name="AutoShape 608" descr="Exempté du ballottage">
          <a:hlinkClick xmlns:r="http://schemas.openxmlformats.org/officeDocument/2006/relationships" r:id="rId580"/>
        </xdr:cNvPr>
        <xdr:cNvSpPr>
          <a:spLocks noChangeAspect="1" noChangeArrowheads="1"/>
        </xdr:cNvSpPr>
      </xdr:nvSpPr>
      <xdr:spPr bwMode="auto">
        <a:xfrm>
          <a:off x="17907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1242</xdr:row>
      <xdr:rowOff>0</xdr:rowOff>
    </xdr:from>
    <xdr:to>
      <xdr:col>2</xdr:col>
      <xdr:colOff>523875</xdr:colOff>
      <xdr:row>1242</xdr:row>
      <xdr:rowOff>123825</xdr:rowOff>
    </xdr:to>
    <xdr:sp macro="" textlink="">
      <xdr:nvSpPr>
        <xdr:cNvPr id="4713" name="AutoShape 609" descr="Exempté de la limite des 50 contrats"/>
        <xdr:cNvSpPr>
          <a:spLocks noChangeAspect="1" noChangeArrowheads="1"/>
        </xdr:cNvSpPr>
      </xdr:nvSpPr>
      <xdr:spPr bwMode="auto">
        <a:xfrm>
          <a:off x="19240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1455</xdr:row>
      <xdr:rowOff>0</xdr:rowOff>
    </xdr:from>
    <xdr:to>
      <xdr:col>9</xdr:col>
      <xdr:colOff>123825</xdr:colOff>
      <xdr:row>1455</xdr:row>
      <xdr:rowOff>104775</xdr:rowOff>
    </xdr:to>
    <xdr:sp macro="" textlink="">
      <xdr:nvSpPr>
        <xdr:cNvPr id="4714" name="AutoShape 610" descr="Éligible à l'arbitrage">
          <a:hlinkClick xmlns:r="http://schemas.openxmlformats.org/officeDocument/2006/relationships" r:id="rId581"/>
        </xdr:cNvPr>
        <xdr:cNvSpPr>
          <a:spLocks noChangeAspect="1" noChangeArrowheads="1"/>
        </xdr:cNvSpPr>
      </xdr:nvSpPr>
      <xdr:spPr bwMode="auto">
        <a:xfrm>
          <a:off x="6858000" y="20570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614</xdr:row>
      <xdr:rowOff>0</xdr:rowOff>
    </xdr:from>
    <xdr:to>
      <xdr:col>2</xdr:col>
      <xdr:colOff>123825</xdr:colOff>
      <xdr:row>614</xdr:row>
      <xdr:rowOff>123825</xdr:rowOff>
    </xdr:to>
    <xdr:sp macro="" textlink="">
      <xdr:nvSpPr>
        <xdr:cNvPr id="4715" name="AutoShape 611" descr="Bonis de performance"/>
        <xdr:cNvSpPr>
          <a:spLocks noChangeAspect="1" noChangeArrowheads="1"/>
        </xdr:cNvSpPr>
      </xdr:nvSpPr>
      <xdr:spPr bwMode="auto">
        <a:xfrm>
          <a:off x="15240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614</xdr:row>
      <xdr:rowOff>0</xdr:rowOff>
    </xdr:from>
    <xdr:to>
      <xdr:col>2</xdr:col>
      <xdr:colOff>257175</xdr:colOff>
      <xdr:row>614</xdr:row>
      <xdr:rowOff>123825</xdr:rowOff>
    </xdr:to>
    <xdr:sp macro="" textlink="">
      <xdr:nvSpPr>
        <xdr:cNvPr id="4716" name="AutoShape 612" descr="Transaction avec retenue de salaire"/>
        <xdr:cNvSpPr>
          <a:spLocks noChangeAspect="1" noChangeArrowheads="1"/>
        </xdr:cNvSpPr>
      </xdr:nvSpPr>
      <xdr:spPr bwMode="auto">
        <a:xfrm>
          <a:off x="16573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614</xdr:row>
      <xdr:rowOff>0</xdr:rowOff>
    </xdr:from>
    <xdr:to>
      <xdr:col>2</xdr:col>
      <xdr:colOff>390525</xdr:colOff>
      <xdr:row>614</xdr:row>
      <xdr:rowOff>123825</xdr:rowOff>
    </xdr:to>
    <xdr:sp macro="" textlink="">
      <xdr:nvSpPr>
        <xdr:cNvPr id="4717" name="AutoShape 613" descr="Exempté du ballottage">
          <a:hlinkClick xmlns:r="http://schemas.openxmlformats.org/officeDocument/2006/relationships" r:id="rId582"/>
        </xdr:cNvPr>
        <xdr:cNvSpPr>
          <a:spLocks noChangeAspect="1" noChangeArrowheads="1"/>
        </xdr:cNvSpPr>
      </xdr:nvSpPr>
      <xdr:spPr bwMode="auto">
        <a:xfrm>
          <a:off x="17907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614</xdr:row>
      <xdr:rowOff>0</xdr:rowOff>
    </xdr:from>
    <xdr:to>
      <xdr:col>2</xdr:col>
      <xdr:colOff>523875</xdr:colOff>
      <xdr:row>614</xdr:row>
      <xdr:rowOff>123825</xdr:rowOff>
    </xdr:to>
    <xdr:sp macro="" textlink="">
      <xdr:nvSpPr>
        <xdr:cNvPr id="4718" name="AutoShape 614" descr="Exempté de la limite des 50 contrats"/>
        <xdr:cNvSpPr>
          <a:spLocks noChangeAspect="1" noChangeArrowheads="1"/>
        </xdr:cNvSpPr>
      </xdr:nvSpPr>
      <xdr:spPr bwMode="auto">
        <a:xfrm>
          <a:off x="19240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591</xdr:row>
      <xdr:rowOff>0</xdr:rowOff>
    </xdr:from>
    <xdr:to>
      <xdr:col>2</xdr:col>
      <xdr:colOff>123825</xdr:colOff>
      <xdr:row>591</xdr:row>
      <xdr:rowOff>123825</xdr:rowOff>
    </xdr:to>
    <xdr:sp macro="" textlink="">
      <xdr:nvSpPr>
        <xdr:cNvPr id="4719" name="AutoShape 615" descr="Bonis de performance"/>
        <xdr:cNvSpPr>
          <a:spLocks noChangeAspect="1" noChangeArrowheads="1"/>
        </xdr:cNvSpPr>
      </xdr:nvSpPr>
      <xdr:spPr bwMode="auto">
        <a:xfrm>
          <a:off x="152400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591</xdr:row>
      <xdr:rowOff>0</xdr:rowOff>
    </xdr:from>
    <xdr:to>
      <xdr:col>2</xdr:col>
      <xdr:colOff>257175</xdr:colOff>
      <xdr:row>591</xdr:row>
      <xdr:rowOff>123825</xdr:rowOff>
    </xdr:to>
    <xdr:sp macro="" textlink="">
      <xdr:nvSpPr>
        <xdr:cNvPr id="4720" name="AutoShape 616" descr="Exempté du ballottage">
          <a:hlinkClick xmlns:r="http://schemas.openxmlformats.org/officeDocument/2006/relationships" r:id="rId583"/>
        </xdr:cNvPr>
        <xdr:cNvSpPr>
          <a:spLocks noChangeAspect="1" noChangeArrowheads="1"/>
        </xdr:cNvSpPr>
      </xdr:nvSpPr>
      <xdr:spPr bwMode="auto">
        <a:xfrm>
          <a:off x="165735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565</xdr:row>
      <xdr:rowOff>0</xdr:rowOff>
    </xdr:from>
    <xdr:to>
      <xdr:col>7</xdr:col>
      <xdr:colOff>123825</xdr:colOff>
      <xdr:row>565</xdr:row>
      <xdr:rowOff>104775</xdr:rowOff>
    </xdr:to>
    <xdr:sp macro="" textlink="">
      <xdr:nvSpPr>
        <xdr:cNvPr id="4721" name="AutoShape 617" descr="Éligible à l'arbitrage">
          <a:hlinkClick xmlns:r="http://schemas.openxmlformats.org/officeDocument/2006/relationships" r:id="rId584"/>
        </xdr:cNvPr>
        <xdr:cNvSpPr>
          <a:spLocks noChangeAspect="1" noChangeArrowheads="1"/>
        </xdr:cNvSpPr>
      </xdr:nvSpPr>
      <xdr:spPr bwMode="auto">
        <a:xfrm>
          <a:off x="5334000" y="20646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151</xdr:row>
      <xdr:rowOff>0</xdr:rowOff>
    </xdr:from>
    <xdr:to>
      <xdr:col>2</xdr:col>
      <xdr:colOff>123825</xdr:colOff>
      <xdr:row>151</xdr:row>
      <xdr:rowOff>123825</xdr:rowOff>
    </xdr:to>
    <xdr:sp macro="" textlink="">
      <xdr:nvSpPr>
        <xdr:cNvPr id="4722" name="AutoShape 618" descr="Bonis de performance"/>
        <xdr:cNvSpPr>
          <a:spLocks noChangeAspect="1" noChangeArrowheads="1"/>
        </xdr:cNvSpPr>
      </xdr:nvSpPr>
      <xdr:spPr bwMode="auto">
        <a:xfrm>
          <a:off x="152400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151</xdr:row>
      <xdr:rowOff>0</xdr:rowOff>
    </xdr:from>
    <xdr:to>
      <xdr:col>2</xdr:col>
      <xdr:colOff>257175</xdr:colOff>
      <xdr:row>151</xdr:row>
      <xdr:rowOff>123825</xdr:rowOff>
    </xdr:to>
    <xdr:sp macro="" textlink="">
      <xdr:nvSpPr>
        <xdr:cNvPr id="4723" name="AutoShape 619" descr="Exempté du ballottage">
          <a:hlinkClick xmlns:r="http://schemas.openxmlformats.org/officeDocument/2006/relationships" r:id="rId585"/>
        </xdr:cNvPr>
        <xdr:cNvSpPr>
          <a:spLocks noChangeAspect="1" noChangeArrowheads="1"/>
        </xdr:cNvSpPr>
      </xdr:nvSpPr>
      <xdr:spPr bwMode="auto">
        <a:xfrm>
          <a:off x="165735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959</xdr:row>
      <xdr:rowOff>0</xdr:rowOff>
    </xdr:from>
    <xdr:to>
      <xdr:col>7</xdr:col>
      <xdr:colOff>123825</xdr:colOff>
      <xdr:row>959</xdr:row>
      <xdr:rowOff>104775</xdr:rowOff>
    </xdr:to>
    <xdr:sp macro="" textlink="">
      <xdr:nvSpPr>
        <xdr:cNvPr id="4724" name="AutoShape 620" descr="Éligible à l'arbitrage">
          <a:hlinkClick xmlns:r="http://schemas.openxmlformats.org/officeDocument/2006/relationships" r:id="rId586"/>
        </xdr:cNvPr>
        <xdr:cNvSpPr>
          <a:spLocks noChangeAspect="1" noChangeArrowheads="1"/>
        </xdr:cNvSpPr>
      </xdr:nvSpPr>
      <xdr:spPr bwMode="auto">
        <a:xfrm>
          <a:off x="5334000" y="20912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xdr:row>
      <xdr:rowOff>0</xdr:rowOff>
    </xdr:from>
    <xdr:to>
      <xdr:col>2</xdr:col>
      <xdr:colOff>123825</xdr:colOff>
      <xdr:row>118</xdr:row>
      <xdr:rowOff>123825</xdr:rowOff>
    </xdr:to>
    <xdr:sp macro="" textlink="">
      <xdr:nvSpPr>
        <xdr:cNvPr id="4725" name="AutoShape 621" descr="Bonis de performance"/>
        <xdr:cNvSpPr>
          <a:spLocks noChangeAspect="1" noChangeArrowheads="1"/>
        </xdr:cNvSpPr>
      </xdr:nvSpPr>
      <xdr:spPr bwMode="auto">
        <a:xfrm>
          <a:off x="152400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xdr:row>
      <xdr:rowOff>0</xdr:rowOff>
    </xdr:from>
    <xdr:to>
      <xdr:col>2</xdr:col>
      <xdr:colOff>257175</xdr:colOff>
      <xdr:row>118</xdr:row>
      <xdr:rowOff>123825</xdr:rowOff>
    </xdr:to>
    <xdr:sp macro="" textlink="">
      <xdr:nvSpPr>
        <xdr:cNvPr id="4726" name="AutoShape 622" descr="Exempté du ballottage">
          <a:hlinkClick xmlns:r="http://schemas.openxmlformats.org/officeDocument/2006/relationships" r:id="rId587"/>
        </xdr:cNvPr>
        <xdr:cNvSpPr>
          <a:spLocks noChangeAspect="1" noChangeArrowheads="1"/>
        </xdr:cNvSpPr>
      </xdr:nvSpPr>
      <xdr:spPr bwMode="auto">
        <a:xfrm>
          <a:off x="165735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7" name="AutoShape 623" descr="https://capfriendly-wlb8ng5.stackpathdns.com/assets/images/icons/general/q.svg"/>
        <xdr:cNvSpPr>
          <a:spLocks noChangeAspect="1" noChangeArrowheads="1"/>
        </xdr:cNvSpPr>
      </xdr:nvSpPr>
      <xdr:spPr bwMode="auto">
        <a:xfrm>
          <a:off x="1524000" y="2129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8" name="AutoShape 624" descr="https://capfriendly-wlb8ng5.stackpathdns.com/assets/images/icons/general/q.svg"/>
        <xdr:cNvSpPr>
          <a:spLocks noChangeAspect="1" noChangeArrowheads="1"/>
        </xdr:cNvSpPr>
      </xdr:nvSpPr>
      <xdr:spPr bwMode="auto">
        <a:xfrm>
          <a:off x="1524000" y="21309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9" name="AutoShape 625" descr="https://capfriendly-wlb8ng5.stackpathdns.com/assets/images/icons/general/q.svg"/>
        <xdr:cNvSpPr>
          <a:spLocks noChangeAspect="1" noChangeArrowheads="1"/>
        </xdr:cNvSpPr>
      </xdr:nvSpPr>
      <xdr:spPr bwMode="auto">
        <a:xfrm>
          <a:off x="1524000" y="21328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0" name="AutoShape 626" descr="https://capfriendly-wlb8ng5.stackpathdns.com/assets/images/icons/general/q.svg"/>
        <xdr:cNvSpPr>
          <a:spLocks noChangeAspect="1" noChangeArrowheads="1"/>
        </xdr:cNvSpPr>
      </xdr:nvSpPr>
      <xdr:spPr bwMode="auto">
        <a:xfrm>
          <a:off x="1524000" y="21347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1" name="AutoShape 627" descr="https://capfriendly-wlb8ng5.stackpathdns.com/assets/images/icons/general/q.svg"/>
        <xdr:cNvSpPr>
          <a:spLocks noChangeAspect="1" noChangeArrowheads="1"/>
        </xdr:cNvSpPr>
      </xdr:nvSpPr>
      <xdr:spPr bwMode="auto">
        <a:xfrm>
          <a:off x="1524000" y="21366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2" name="AutoShape 628" descr="https://capfriendly-wlb8ng5.stackpathdns.com/assets/images/icons/general/q.svg"/>
        <xdr:cNvSpPr>
          <a:spLocks noChangeAspect="1" noChangeArrowheads="1"/>
        </xdr:cNvSpPr>
      </xdr:nvSpPr>
      <xdr:spPr bwMode="auto">
        <a:xfrm>
          <a:off x="1524000" y="21385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3" name="AutoShape 629" descr="https://capfriendly-wlb8ng5.stackpathdns.com/assets/images/icons/general/q.svg"/>
        <xdr:cNvSpPr>
          <a:spLocks noChangeAspect="1" noChangeArrowheads="1"/>
        </xdr:cNvSpPr>
      </xdr:nvSpPr>
      <xdr:spPr bwMode="auto">
        <a:xfrm>
          <a:off x="1524000" y="21404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4" name="AutoShape 630" descr="https://capfriendly-wlb8ng5.stackpathdns.com/assets/images/icons/general/q.svg"/>
        <xdr:cNvSpPr>
          <a:spLocks noChangeAspect="1" noChangeArrowheads="1"/>
        </xdr:cNvSpPr>
      </xdr:nvSpPr>
      <xdr:spPr bwMode="auto">
        <a:xfrm>
          <a:off x="1524000" y="21423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5" name="AutoShape 631" descr="https://capfriendly-wlb8ng5.stackpathdns.com/assets/images/icons/general/q.svg"/>
        <xdr:cNvSpPr>
          <a:spLocks noChangeAspect="1" noChangeArrowheads="1"/>
        </xdr:cNvSpPr>
      </xdr:nvSpPr>
      <xdr:spPr bwMode="auto">
        <a:xfrm>
          <a:off x="1524000" y="21442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6" name="AutoShape 632" descr="https://capfriendly-wlb8ng5.stackpathdns.com/assets/images/icons/general/q.svg"/>
        <xdr:cNvSpPr>
          <a:spLocks noChangeAspect="1" noChangeArrowheads="1"/>
        </xdr:cNvSpPr>
      </xdr:nvSpPr>
      <xdr:spPr bwMode="auto">
        <a:xfrm>
          <a:off x="1524000" y="21461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7" name="AutoShape 633" descr="https://capfriendly-wlb8ng5.stackpathdns.com/assets/images/icons/general/q.svg"/>
        <xdr:cNvSpPr>
          <a:spLocks noChangeAspect="1" noChangeArrowheads="1"/>
        </xdr:cNvSpPr>
      </xdr:nvSpPr>
      <xdr:spPr bwMode="auto">
        <a:xfrm>
          <a:off x="1524000" y="21480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8" name="AutoShape 634" descr="Exempté du ballottage">
          <a:hlinkClick xmlns:r="http://schemas.openxmlformats.org/officeDocument/2006/relationships" r:id="rId588"/>
        </xdr:cNvPr>
        <xdr:cNvSpPr>
          <a:spLocks noChangeAspect="1" noChangeArrowheads="1"/>
        </xdr:cNvSpPr>
      </xdr:nvSpPr>
      <xdr:spPr bwMode="auto">
        <a:xfrm>
          <a:off x="1524000" y="21567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739" name="AutoShape 635" descr="https://capfriendly-wlb8ng5.stackpathdns.com/assets/images/icons/general/q2.svg"/>
        <xdr:cNvSpPr>
          <a:spLocks noChangeAspect="1" noChangeArrowheads="1"/>
        </xdr:cNvSpPr>
      </xdr:nvSpPr>
      <xdr:spPr bwMode="auto">
        <a:xfrm>
          <a:off x="5334000" y="2158650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xdr:row>
      <xdr:rowOff>0</xdr:rowOff>
    </xdr:from>
    <xdr:to>
      <xdr:col>2</xdr:col>
      <xdr:colOff>123825</xdr:colOff>
      <xdr:row>132</xdr:row>
      <xdr:rowOff>123825</xdr:rowOff>
    </xdr:to>
    <xdr:sp macro="" textlink="">
      <xdr:nvSpPr>
        <xdr:cNvPr id="4740" name="AutoShape 636" descr="Exempté du ballottage">
          <a:hlinkClick xmlns:r="http://schemas.openxmlformats.org/officeDocument/2006/relationships" r:id="rId589"/>
        </xdr:cNvPr>
        <xdr:cNvSpPr>
          <a:spLocks noChangeAspect="1" noChangeArrowheads="1"/>
        </xdr:cNvSpPr>
      </xdr:nvSpPr>
      <xdr:spPr bwMode="auto">
        <a:xfrm>
          <a:off x="1524000" y="21605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916</xdr:row>
      <xdr:rowOff>0</xdr:rowOff>
    </xdr:from>
    <xdr:to>
      <xdr:col>2</xdr:col>
      <xdr:colOff>123825</xdr:colOff>
      <xdr:row>916</xdr:row>
      <xdr:rowOff>123825</xdr:rowOff>
    </xdr:to>
    <xdr:sp macro="" textlink="">
      <xdr:nvSpPr>
        <xdr:cNvPr id="4741" name="AutoShape 637" descr="Bonis de performance"/>
        <xdr:cNvSpPr>
          <a:spLocks noChangeAspect="1" noChangeArrowheads="1"/>
        </xdr:cNvSpPr>
      </xdr:nvSpPr>
      <xdr:spPr bwMode="auto">
        <a:xfrm>
          <a:off x="152400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916</xdr:row>
      <xdr:rowOff>0</xdr:rowOff>
    </xdr:from>
    <xdr:to>
      <xdr:col>2</xdr:col>
      <xdr:colOff>257175</xdr:colOff>
      <xdr:row>916</xdr:row>
      <xdr:rowOff>123825</xdr:rowOff>
    </xdr:to>
    <xdr:sp macro="" textlink="">
      <xdr:nvSpPr>
        <xdr:cNvPr id="4742" name="AutoShape 638" descr="Exempté du ballottage">
          <a:hlinkClick xmlns:r="http://schemas.openxmlformats.org/officeDocument/2006/relationships" r:id="rId590"/>
        </xdr:cNvPr>
        <xdr:cNvSpPr>
          <a:spLocks noChangeAspect="1" noChangeArrowheads="1"/>
        </xdr:cNvSpPr>
      </xdr:nvSpPr>
      <xdr:spPr bwMode="auto">
        <a:xfrm>
          <a:off x="165735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1473</xdr:row>
      <xdr:rowOff>0</xdr:rowOff>
    </xdr:from>
    <xdr:to>
      <xdr:col>2</xdr:col>
      <xdr:colOff>123825</xdr:colOff>
      <xdr:row>1473</xdr:row>
      <xdr:rowOff>123825</xdr:rowOff>
    </xdr:to>
    <xdr:sp macro="" textlink="">
      <xdr:nvSpPr>
        <xdr:cNvPr id="4743" name="AutoShape 639" descr="Bonis de performance"/>
        <xdr:cNvSpPr>
          <a:spLocks noChangeAspect="1" noChangeArrowheads="1"/>
        </xdr:cNvSpPr>
      </xdr:nvSpPr>
      <xdr:spPr bwMode="auto">
        <a:xfrm>
          <a:off x="152400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1473</xdr:row>
      <xdr:rowOff>0</xdr:rowOff>
    </xdr:from>
    <xdr:to>
      <xdr:col>2</xdr:col>
      <xdr:colOff>257175</xdr:colOff>
      <xdr:row>1473</xdr:row>
      <xdr:rowOff>123825</xdr:rowOff>
    </xdr:to>
    <xdr:sp macro="" textlink="">
      <xdr:nvSpPr>
        <xdr:cNvPr id="4744" name="AutoShape 640" descr="Exempté du ballottage">
          <a:hlinkClick xmlns:r="http://schemas.openxmlformats.org/officeDocument/2006/relationships" r:id="rId591"/>
        </xdr:cNvPr>
        <xdr:cNvSpPr>
          <a:spLocks noChangeAspect="1" noChangeArrowheads="1"/>
        </xdr:cNvSpPr>
      </xdr:nvSpPr>
      <xdr:spPr bwMode="auto">
        <a:xfrm>
          <a:off x="165735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868</xdr:row>
      <xdr:rowOff>0</xdr:rowOff>
    </xdr:from>
    <xdr:to>
      <xdr:col>2</xdr:col>
      <xdr:colOff>123825</xdr:colOff>
      <xdr:row>868</xdr:row>
      <xdr:rowOff>123825</xdr:rowOff>
    </xdr:to>
    <xdr:sp macro="" textlink="">
      <xdr:nvSpPr>
        <xdr:cNvPr id="4745" name="AutoShape 641" descr="Bonis de performance"/>
        <xdr:cNvSpPr>
          <a:spLocks noChangeAspect="1" noChangeArrowheads="1"/>
        </xdr:cNvSpPr>
      </xdr:nvSpPr>
      <xdr:spPr bwMode="auto">
        <a:xfrm>
          <a:off x="152400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868</xdr:row>
      <xdr:rowOff>0</xdr:rowOff>
    </xdr:from>
    <xdr:to>
      <xdr:col>2</xdr:col>
      <xdr:colOff>257175</xdr:colOff>
      <xdr:row>868</xdr:row>
      <xdr:rowOff>123825</xdr:rowOff>
    </xdr:to>
    <xdr:sp macro="" textlink="">
      <xdr:nvSpPr>
        <xdr:cNvPr id="4746" name="AutoShape 642" descr="Exempté du ballottage">
          <a:hlinkClick xmlns:r="http://schemas.openxmlformats.org/officeDocument/2006/relationships" r:id="rId592"/>
        </xdr:cNvPr>
        <xdr:cNvSpPr>
          <a:spLocks noChangeAspect="1" noChangeArrowheads="1"/>
        </xdr:cNvSpPr>
      </xdr:nvSpPr>
      <xdr:spPr bwMode="auto">
        <a:xfrm>
          <a:off x="165735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1216</xdr:row>
      <xdr:rowOff>0</xdr:rowOff>
    </xdr:from>
    <xdr:to>
      <xdr:col>2</xdr:col>
      <xdr:colOff>123825</xdr:colOff>
      <xdr:row>1216</xdr:row>
      <xdr:rowOff>123825</xdr:rowOff>
    </xdr:to>
    <xdr:sp macro="" textlink="">
      <xdr:nvSpPr>
        <xdr:cNvPr id="4747" name="AutoShape 643" descr="Bonis de performance"/>
        <xdr:cNvSpPr>
          <a:spLocks noChangeAspect="1" noChangeArrowheads="1"/>
        </xdr:cNvSpPr>
      </xdr:nvSpPr>
      <xdr:spPr bwMode="auto">
        <a:xfrm>
          <a:off x="152400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1216</xdr:row>
      <xdr:rowOff>0</xdr:rowOff>
    </xdr:from>
    <xdr:to>
      <xdr:col>2</xdr:col>
      <xdr:colOff>257175</xdr:colOff>
      <xdr:row>1216</xdr:row>
      <xdr:rowOff>123825</xdr:rowOff>
    </xdr:to>
    <xdr:sp macro="" textlink="">
      <xdr:nvSpPr>
        <xdr:cNvPr id="4748" name="AutoShape 644" descr="Exempté du ballottage">
          <a:hlinkClick xmlns:r="http://schemas.openxmlformats.org/officeDocument/2006/relationships" r:id="rId593"/>
        </xdr:cNvPr>
        <xdr:cNvSpPr>
          <a:spLocks noChangeAspect="1" noChangeArrowheads="1"/>
        </xdr:cNvSpPr>
      </xdr:nvSpPr>
      <xdr:spPr bwMode="auto">
        <a:xfrm>
          <a:off x="165735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1309</xdr:row>
      <xdr:rowOff>0</xdr:rowOff>
    </xdr:from>
    <xdr:to>
      <xdr:col>2</xdr:col>
      <xdr:colOff>123825</xdr:colOff>
      <xdr:row>1309</xdr:row>
      <xdr:rowOff>123825</xdr:rowOff>
    </xdr:to>
    <xdr:sp macro="" textlink="">
      <xdr:nvSpPr>
        <xdr:cNvPr id="4749" name="AutoShape 645" descr="Bonis de performance"/>
        <xdr:cNvSpPr>
          <a:spLocks noChangeAspect="1" noChangeArrowheads="1"/>
        </xdr:cNvSpPr>
      </xdr:nvSpPr>
      <xdr:spPr bwMode="auto">
        <a:xfrm>
          <a:off x="152400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1309</xdr:row>
      <xdr:rowOff>0</xdr:rowOff>
    </xdr:from>
    <xdr:to>
      <xdr:col>2</xdr:col>
      <xdr:colOff>257175</xdr:colOff>
      <xdr:row>1309</xdr:row>
      <xdr:rowOff>123825</xdr:rowOff>
    </xdr:to>
    <xdr:sp macro="" textlink="">
      <xdr:nvSpPr>
        <xdr:cNvPr id="4750" name="AutoShape 646" descr="Exempté du ballottage">
          <a:hlinkClick xmlns:r="http://schemas.openxmlformats.org/officeDocument/2006/relationships" r:id="rId594"/>
        </xdr:cNvPr>
        <xdr:cNvSpPr>
          <a:spLocks noChangeAspect="1" noChangeArrowheads="1"/>
        </xdr:cNvSpPr>
      </xdr:nvSpPr>
      <xdr:spPr bwMode="auto">
        <a:xfrm>
          <a:off x="165735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1210</xdr:row>
      <xdr:rowOff>0</xdr:rowOff>
    </xdr:from>
    <xdr:to>
      <xdr:col>2</xdr:col>
      <xdr:colOff>123825</xdr:colOff>
      <xdr:row>1210</xdr:row>
      <xdr:rowOff>123825</xdr:rowOff>
    </xdr:to>
    <xdr:sp macro="" textlink="">
      <xdr:nvSpPr>
        <xdr:cNvPr id="4751" name="AutoShape 647" descr="Bonis de performance"/>
        <xdr:cNvSpPr>
          <a:spLocks noChangeAspect="1" noChangeArrowheads="1"/>
        </xdr:cNvSpPr>
      </xdr:nvSpPr>
      <xdr:spPr bwMode="auto">
        <a:xfrm>
          <a:off x="152400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1210</xdr:row>
      <xdr:rowOff>0</xdr:rowOff>
    </xdr:from>
    <xdr:to>
      <xdr:col>2</xdr:col>
      <xdr:colOff>257175</xdr:colOff>
      <xdr:row>1210</xdr:row>
      <xdr:rowOff>123825</xdr:rowOff>
    </xdr:to>
    <xdr:sp macro="" textlink="">
      <xdr:nvSpPr>
        <xdr:cNvPr id="4752" name="AutoShape 648" descr="Exempté du ballottage">
          <a:hlinkClick xmlns:r="http://schemas.openxmlformats.org/officeDocument/2006/relationships" r:id="rId595"/>
        </xdr:cNvPr>
        <xdr:cNvSpPr>
          <a:spLocks noChangeAspect="1" noChangeArrowheads="1"/>
        </xdr:cNvSpPr>
      </xdr:nvSpPr>
      <xdr:spPr bwMode="auto">
        <a:xfrm>
          <a:off x="165735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1274</xdr:row>
      <xdr:rowOff>0</xdr:rowOff>
    </xdr:from>
    <xdr:to>
      <xdr:col>2</xdr:col>
      <xdr:colOff>123825</xdr:colOff>
      <xdr:row>1274</xdr:row>
      <xdr:rowOff>123825</xdr:rowOff>
    </xdr:to>
    <xdr:sp macro="" textlink="">
      <xdr:nvSpPr>
        <xdr:cNvPr id="4753" name="AutoShape 649" descr="Bonis de performance"/>
        <xdr:cNvSpPr>
          <a:spLocks noChangeAspect="1" noChangeArrowheads="1"/>
        </xdr:cNvSpPr>
      </xdr:nvSpPr>
      <xdr:spPr bwMode="auto">
        <a:xfrm>
          <a:off x="152400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1274</xdr:row>
      <xdr:rowOff>0</xdr:rowOff>
    </xdr:from>
    <xdr:to>
      <xdr:col>2</xdr:col>
      <xdr:colOff>257175</xdr:colOff>
      <xdr:row>1274</xdr:row>
      <xdr:rowOff>123825</xdr:rowOff>
    </xdr:to>
    <xdr:sp macro="" textlink="">
      <xdr:nvSpPr>
        <xdr:cNvPr id="4754" name="AutoShape 650" descr="Exempté du ballottage">
          <a:hlinkClick xmlns:r="http://schemas.openxmlformats.org/officeDocument/2006/relationships" r:id="rId596"/>
        </xdr:cNvPr>
        <xdr:cNvSpPr>
          <a:spLocks noChangeAspect="1" noChangeArrowheads="1"/>
        </xdr:cNvSpPr>
      </xdr:nvSpPr>
      <xdr:spPr bwMode="auto">
        <a:xfrm>
          <a:off x="165735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xdr:row>
      <xdr:rowOff>0</xdr:rowOff>
    </xdr:from>
    <xdr:to>
      <xdr:col>2</xdr:col>
      <xdr:colOff>123825</xdr:colOff>
      <xdr:row>68</xdr:row>
      <xdr:rowOff>123825</xdr:rowOff>
    </xdr:to>
    <xdr:sp macro="" textlink="">
      <xdr:nvSpPr>
        <xdr:cNvPr id="4755" name="AutoShape 651" descr="Bonis de performance"/>
        <xdr:cNvSpPr>
          <a:spLocks noChangeAspect="1" noChangeArrowheads="1"/>
        </xdr:cNvSpPr>
      </xdr:nvSpPr>
      <xdr:spPr bwMode="auto">
        <a:xfrm>
          <a:off x="152400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xdr:row>
      <xdr:rowOff>0</xdr:rowOff>
    </xdr:from>
    <xdr:to>
      <xdr:col>2</xdr:col>
      <xdr:colOff>257175</xdr:colOff>
      <xdr:row>68</xdr:row>
      <xdr:rowOff>123825</xdr:rowOff>
    </xdr:to>
    <xdr:sp macro="" textlink="">
      <xdr:nvSpPr>
        <xdr:cNvPr id="4756" name="AutoShape 652" descr="Exempté du ballottage">
          <a:hlinkClick xmlns:r="http://schemas.openxmlformats.org/officeDocument/2006/relationships" r:id="rId597"/>
        </xdr:cNvPr>
        <xdr:cNvSpPr>
          <a:spLocks noChangeAspect="1" noChangeArrowheads="1"/>
        </xdr:cNvSpPr>
      </xdr:nvSpPr>
      <xdr:spPr bwMode="auto">
        <a:xfrm>
          <a:off x="165735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123825</xdr:colOff>
      <xdr:row>480</xdr:row>
      <xdr:rowOff>123825</xdr:rowOff>
    </xdr:to>
    <xdr:sp macro="" textlink="">
      <xdr:nvSpPr>
        <xdr:cNvPr id="4757" name="AutoShape 653" descr="Bonis de performance"/>
        <xdr:cNvSpPr>
          <a:spLocks noChangeAspect="1" noChangeArrowheads="1"/>
        </xdr:cNvSpPr>
      </xdr:nvSpPr>
      <xdr:spPr bwMode="auto">
        <a:xfrm>
          <a:off x="152400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480</xdr:row>
      <xdr:rowOff>0</xdr:rowOff>
    </xdr:from>
    <xdr:to>
      <xdr:col>2</xdr:col>
      <xdr:colOff>257175</xdr:colOff>
      <xdr:row>480</xdr:row>
      <xdr:rowOff>123825</xdr:rowOff>
    </xdr:to>
    <xdr:sp macro="" textlink="">
      <xdr:nvSpPr>
        <xdr:cNvPr id="4758" name="AutoShape 654" descr="Exempté du ballottage">
          <a:hlinkClick xmlns:r="http://schemas.openxmlformats.org/officeDocument/2006/relationships" r:id="rId598"/>
        </xdr:cNvPr>
        <xdr:cNvSpPr>
          <a:spLocks noChangeAspect="1" noChangeArrowheads="1"/>
        </xdr:cNvSpPr>
      </xdr:nvSpPr>
      <xdr:spPr bwMode="auto">
        <a:xfrm>
          <a:off x="165735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xdr:row>
      <xdr:rowOff>0</xdr:rowOff>
    </xdr:from>
    <xdr:to>
      <xdr:col>7</xdr:col>
      <xdr:colOff>123825</xdr:colOff>
      <xdr:row>50</xdr:row>
      <xdr:rowOff>104775</xdr:rowOff>
    </xdr:to>
    <xdr:sp macro="" textlink="">
      <xdr:nvSpPr>
        <xdr:cNvPr id="4759" name="AutoShape 655" descr="Éligible à l'arbitrage">
          <a:hlinkClick xmlns:r="http://schemas.openxmlformats.org/officeDocument/2006/relationships" r:id="rId599"/>
        </xdr:cNvPr>
        <xdr:cNvSpPr>
          <a:spLocks noChangeAspect="1" noChangeArrowheads="1"/>
        </xdr:cNvSpPr>
      </xdr:nvSpPr>
      <xdr:spPr bwMode="auto">
        <a:xfrm>
          <a:off x="5334000" y="21815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1257</xdr:row>
      <xdr:rowOff>0</xdr:rowOff>
    </xdr:from>
    <xdr:to>
      <xdr:col>2</xdr:col>
      <xdr:colOff>123825</xdr:colOff>
      <xdr:row>1257</xdr:row>
      <xdr:rowOff>123825</xdr:rowOff>
    </xdr:to>
    <xdr:sp macro="" textlink="">
      <xdr:nvSpPr>
        <xdr:cNvPr id="4760" name="AutoShape 656" descr="Bonis de performance"/>
        <xdr:cNvSpPr>
          <a:spLocks noChangeAspect="1" noChangeArrowheads="1"/>
        </xdr:cNvSpPr>
      </xdr:nvSpPr>
      <xdr:spPr bwMode="auto">
        <a:xfrm>
          <a:off x="15240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1257</xdr:row>
      <xdr:rowOff>0</xdr:rowOff>
    </xdr:from>
    <xdr:to>
      <xdr:col>2</xdr:col>
      <xdr:colOff>257175</xdr:colOff>
      <xdr:row>1257</xdr:row>
      <xdr:rowOff>123825</xdr:rowOff>
    </xdr:to>
    <xdr:sp macro="" textlink="">
      <xdr:nvSpPr>
        <xdr:cNvPr id="4761" name="AutoShape 657" descr="Transaction avec retenue de salaire"/>
        <xdr:cNvSpPr>
          <a:spLocks noChangeAspect="1" noChangeArrowheads="1"/>
        </xdr:cNvSpPr>
      </xdr:nvSpPr>
      <xdr:spPr bwMode="auto">
        <a:xfrm>
          <a:off x="16573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1257</xdr:row>
      <xdr:rowOff>0</xdr:rowOff>
    </xdr:from>
    <xdr:to>
      <xdr:col>2</xdr:col>
      <xdr:colOff>390525</xdr:colOff>
      <xdr:row>1257</xdr:row>
      <xdr:rowOff>123825</xdr:rowOff>
    </xdr:to>
    <xdr:sp macro="" textlink="">
      <xdr:nvSpPr>
        <xdr:cNvPr id="4762" name="AutoShape 658" descr="Exempté du ballottage">
          <a:hlinkClick xmlns:r="http://schemas.openxmlformats.org/officeDocument/2006/relationships" r:id="rId600"/>
        </xdr:cNvPr>
        <xdr:cNvSpPr>
          <a:spLocks noChangeAspect="1" noChangeArrowheads="1"/>
        </xdr:cNvSpPr>
      </xdr:nvSpPr>
      <xdr:spPr bwMode="auto">
        <a:xfrm>
          <a:off x="17907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1257</xdr:row>
      <xdr:rowOff>0</xdr:rowOff>
    </xdr:from>
    <xdr:to>
      <xdr:col>2</xdr:col>
      <xdr:colOff>523875</xdr:colOff>
      <xdr:row>1257</xdr:row>
      <xdr:rowOff>123825</xdr:rowOff>
    </xdr:to>
    <xdr:sp macro="" textlink="">
      <xdr:nvSpPr>
        <xdr:cNvPr id="4763" name="AutoShape 659" descr="Exempté de la limite des 50 contrats"/>
        <xdr:cNvSpPr>
          <a:spLocks noChangeAspect="1" noChangeArrowheads="1"/>
        </xdr:cNvSpPr>
      </xdr:nvSpPr>
      <xdr:spPr bwMode="auto">
        <a:xfrm>
          <a:off x="19240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123825</xdr:colOff>
      <xdr:row>517</xdr:row>
      <xdr:rowOff>123825</xdr:rowOff>
    </xdr:to>
    <xdr:sp macro="" textlink="">
      <xdr:nvSpPr>
        <xdr:cNvPr id="4764" name="AutoShape 660" descr="Transaction avec retenue de salaire"/>
        <xdr:cNvSpPr>
          <a:spLocks noChangeAspect="1" noChangeArrowheads="1"/>
        </xdr:cNvSpPr>
      </xdr:nvSpPr>
      <xdr:spPr bwMode="auto">
        <a:xfrm>
          <a:off x="15240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517</xdr:row>
      <xdr:rowOff>0</xdr:rowOff>
    </xdr:from>
    <xdr:to>
      <xdr:col>2</xdr:col>
      <xdr:colOff>257175</xdr:colOff>
      <xdr:row>517</xdr:row>
      <xdr:rowOff>123825</xdr:rowOff>
    </xdr:to>
    <xdr:sp macro="" textlink="">
      <xdr:nvSpPr>
        <xdr:cNvPr id="4765" name="AutoShape 661" descr="Exempté du ballottage">
          <a:hlinkClick xmlns:r="http://schemas.openxmlformats.org/officeDocument/2006/relationships" r:id="rId601"/>
        </xdr:cNvPr>
        <xdr:cNvSpPr>
          <a:spLocks noChangeAspect="1" noChangeArrowheads="1"/>
        </xdr:cNvSpPr>
      </xdr:nvSpPr>
      <xdr:spPr bwMode="auto">
        <a:xfrm>
          <a:off x="165735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517</xdr:row>
      <xdr:rowOff>0</xdr:rowOff>
    </xdr:from>
    <xdr:to>
      <xdr:col>2</xdr:col>
      <xdr:colOff>390525</xdr:colOff>
      <xdr:row>517</xdr:row>
      <xdr:rowOff>123825</xdr:rowOff>
    </xdr:to>
    <xdr:sp macro="" textlink="">
      <xdr:nvSpPr>
        <xdr:cNvPr id="4766" name="AutoShape 662" descr="Exempté de la limite des 50 contrats"/>
        <xdr:cNvSpPr>
          <a:spLocks noChangeAspect="1" noChangeArrowheads="1"/>
        </xdr:cNvSpPr>
      </xdr:nvSpPr>
      <xdr:spPr bwMode="auto">
        <a:xfrm>
          <a:off x="17907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1438</xdr:row>
      <xdr:rowOff>0</xdr:rowOff>
    </xdr:from>
    <xdr:to>
      <xdr:col>2</xdr:col>
      <xdr:colOff>123825</xdr:colOff>
      <xdr:row>1438</xdr:row>
      <xdr:rowOff>123825</xdr:rowOff>
    </xdr:to>
    <xdr:sp macro="" textlink="">
      <xdr:nvSpPr>
        <xdr:cNvPr id="4767" name="AutoShape 663" descr="Bonis de performance"/>
        <xdr:cNvSpPr>
          <a:spLocks noChangeAspect="1" noChangeArrowheads="1"/>
        </xdr:cNvSpPr>
      </xdr:nvSpPr>
      <xdr:spPr bwMode="auto">
        <a:xfrm>
          <a:off x="152400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1438</xdr:row>
      <xdr:rowOff>0</xdr:rowOff>
    </xdr:from>
    <xdr:to>
      <xdr:col>2</xdr:col>
      <xdr:colOff>257175</xdr:colOff>
      <xdr:row>1438</xdr:row>
      <xdr:rowOff>123825</xdr:rowOff>
    </xdr:to>
    <xdr:sp macro="" textlink="">
      <xdr:nvSpPr>
        <xdr:cNvPr id="4768" name="AutoShape 664" descr="Exempté du ballottage">
          <a:hlinkClick xmlns:r="http://schemas.openxmlformats.org/officeDocument/2006/relationships" r:id="rId602"/>
        </xdr:cNvPr>
        <xdr:cNvSpPr>
          <a:spLocks noChangeAspect="1" noChangeArrowheads="1"/>
        </xdr:cNvSpPr>
      </xdr:nvSpPr>
      <xdr:spPr bwMode="auto">
        <a:xfrm>
          <a:off x="165735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929</xdr:row>
      <xdr:rowOff>0</xdr:rowOff>
    </xdr:from>
    <xdr:to>
      <xdr:col>7</xdr:col>
      <xdr:colOff>123825</xdr:colOff>
      <xdr:row>929</xdr:row>
      <xdr:rowOff>104775</xdr:rowOff>
    </xdr:to>
    <xdr:sp macro="" textlink="">
      <xdr:nvSpPr>
        <xdr:cNvPr id="4769" name="AutoShape 665" descr="Éligible à l'arbitrage">
          <a:hlinkClick xmlns:r="http://schemas.openxmlformats.org/officeDocument/2006/relationships" r:id="rId603"/>
        </xdr:cNvPr>
        <xdr:cNvSpPr>
          <a:spLocks noChangeAspect="1" noChangeArrowheads="1"/>
        </xdr:cNvSpPr>
      </xdr:nvSpPr>
      <xdr:spPr bwMode="auto">
        <a:xfrm>
          <a:off x="5334000" y="22003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1240</xdr:row>
      <xdr:rowOff>0</xdr:rowOff>
    </xdr:from>
    <xdr:to>
      <xdr:col>2</xdr:col>
      <xdr:colOff>123825</xdr:colOff>
      <xdr:row>1240</xdr:row>
      <xdr:rowOff>123825</xdr:rowOff>
    </xdr:to>
    <xdr:sp macro="" textlink="">
      <xdr:nvSpPr>
        <xdr:cNvPr id="4770" name="AutoShape 666" descr="Exempté du ballottage">
          <a:hlinkClick xmlns:r="http://schemas.openxmlformats.org/officeDocument/2006/relationships" r:id="rId604"/>
        </xdr:cNvPr>
        <xdr:cNvSpPr>
          <a:spLocks noChangeAspect="1" noChangeArrowheads="1"/>
        </xdr:cNvSpPr>
      </xdr:nvSpPr>
      <xdr:spPr bwMode="auto">
        <a:xfrm>
          <a:off x="1524000" y="22041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1211</xdr:row>
      <xdr:rowOff>0</xdr:rowOff>
    </xdr:from>
    <xdr:to>
      <xdr:col>2</xdr:col>
      <xdr:colOff>123825</xdr:colOff>
      <xdr:row>1211</xdr:row>
      <xdr:rowOff>123825</xdr:rowOff>
    </xdr:to>
    <xdr:sp macro="" textlink="">
      <xdr:nvSpPr>
        <xdr:cNvPr id="4771" name="AutoShape 667" descr="Bonis de performance"/>
        <xdr:cNvSpPr>
          <a:spLocks noChangeAspect="1" noChangeArrowheads="1"/>
        </xdr:cNvSpPr>
      </xdr:nvSpPr>
      <xdr:spPr bwMode="auto">
        <a:xfrm>
          <a:off x="152400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1211</xdr:row>
      <xdr:rowOff>0</xdr:rowOff>
    </xdr:from>
    <xdr:to>
      <xdr:col>2</xdr:col>
      <xdr:colOff>257175</xdr:colOff>
      <xdr:row>1211</xdr:row>
      <xdr:rowOff>123825</xdr:rowOff>
    </xdr:to>
    <xdr:sp macro="" textlink="">
      <xdr:nvSpPr>
        <xdr:cNvPr id="4772" name="AutoShape 668" descr="Exempté du ballottage">
          <a:hlinkClick xmlns:r="http://schemas.openxmlformats.org/officeDocument/2006/relationships" r:id="rId605"/>
        </xdr:cNvPr>
        <xdr:cNvSpPr>
          <a:spLocks noChangeAspect="1" noChangeArrowheads="1"/>
        </xdr:cNvSpPr>
      </xdr:nvSpPr>
      <xdr:spPr bwMode="auto">
        <a:xfrm>
          <a:off x="165735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251</xdr:row>
      <xdr:rowOff>0</xdr:rowOff>
    </xdr:from>
    <xdr:to>
      <xdr:col>2</xdr:col>
      <xdr:colOff>123825</xdr:colOff>
      <xdr:row>251</xdr:row>
      <xdr:rowOff>123825</xdr:rowOff>
    </xdr:to>
    <xdr:sp macro="" textlink="">
      <xdr:nvSpPr>
        <xdr:cNvPr id="4773" name="AutoShape 669" descr="Exempté du ballottage">
          <a:hlinkClick xmlns:r="http://schemas.openxmlformats.org/officeDocument/2006/relationships" r:id="rId606"/>
        </xdr:cNvPr>
        <xdr:cNvSpPr>
          <a:spLocks noChangeAspect="1" noChangeArrowheads="1"/>
        </xdr:cNvSpPr>
      </xdr:nvSpPr>
      <xdr:spPr bwMode="auto">
        <a:xfrm>
          <a:off x="1524000" y="22174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829</xdr:row>
      <xdr:rowOff>0</xdr:rowOff>
    </xdr:from>
    <xdr:to>
      <xdr:col>2</xdr:col>
      <xdr:colOff>123825</xdr:colOff>
      <xdr:row>829</xdr:row>
      <xdr:rowOff>123825</xdr:rowOff>
    </xdr:to>
    <xdr:sp macro="" textlink="">
      <xdr:nvSpPr>
        <xdr:cNvPr id="4774" name="AutoShape 670" descr="Bonis de performance"/>
        <xdr:cNvSpPr>
          <a:spLocks noChangeAspect="1" noChangeArrowheads="1"/>
        </xdr:cNvSpPr>
      </xdr:nvSpPr>
      <xdr:spPr bwMode="auto">
        <a:xfrm>
          <a:off x="152400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829</xdr:row>
      <xdr:rowOff>0</xdr:rowOff>
    </xdr:from>
    <xdr:to>
      <xdr:col>2</xdr:col>
      <xdr:colOff>257175</xdr:colOff>
      <xdr:row>829</xdr:row>
      <xdr:rowOff>123825</xdr:rowOff>
    </xdr:to>
    <xdr:sp macro="" textlink="">
      <xdr:nvSpPr>
        <xdr:cNvPr id="4775" name="AutoShape 671" descr="Exempté du ballottage">
          <a:hlinkClick xmlns:r="http://schemas.openxmlformats.org/officeDocument/2006/relationships" r:id="rId607"/>
        </xdr:cNvPr>
        <xdr:cNvSpPr>
          <a:spLocks noChangeAspect="1" noChangeArrowheads="1"/>
        </xdr:cNvSpPr>
      </xdr:nvSpPr>
      <xdr:spPr bwMode="auto">
        <a:xfrm>
          <a:off x="165735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776" name="AutoShape 672" descr="https://capfriendly-wlb8ng5.stackpathdns.com/assets/images/icons/general/q2.svg"/>
        <xdr:cNvSpPr>
          <a:spLocks noChangeAspect="1" noChangeArrowheads="1"/>
        </xdr:cNvSpPr>
      </xdr:nvSpPr>
      <xdr:spPr bwMode="auto">
        <a:xfrm>
          <a:off x="6096000" y="215417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123825</xdr:colOff>
      <xdr:row>523</xdr:row>
      <xdr:rowOff>123825</xdr:rowOff>
    </xdr:to>
    <xdr:sp macro="" textlink="">
      <xdr:nvSpPr>
        <xdr:cNvPr id="4777" name="AutoShape 673" descr="Exempté du ballottage">
          <a:hlinkClick xmlns:r="http://schemas.openxmlformats.org/officeDocument/2006/relationships" r:id="rId608"/>
        </xdr:cNvPr>
        <xdr:cNvSpPr>
          <a:spLocks noChangeAspect="1" noChangeArrowheads="1"/>
        </xdr:cNvSpPr>
      </xdr:nvSpPr>
      <xdr:spPr bwMode="auto">
        <a:xfrm>
          <a:off x="1524000" y="2156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1411</xdr:row>
      <xdr:rowOff>0</xdr:rowOff>
    </xdr:from>
    <xdr:to>
      <xdr:col>2</xdr:col>
      <xdr:colOff>123825</xdr:colOff>
      <xdr:row>1411</xdr:row>
      <xdr:rowOff>123825</xdr:rowOff>
    </xdr:to>
    <xdr:sp macro="" textlink="">
      <xdr:nvSpPr>
        <xdr:cNvPr id="4778" name="AutoShape 674" descr="Bonis de performance"/>
        <xdr:cNvSpPr>
          <a:spLocks noChangeAspect="1" noChangeArrowheads="1"/>
        </xdr:cNvSpPr>
      </xdr:nvSpPr>
      <xdr:spPr bwMode="auto">
        <a:xfrm>
          <a:off x="152400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1411</xdr:row>
      <xdr:rowOff>0</xdr:rowOff>
    </xdr:from>
    <xdr:to>
      <xdr:col>2</xdr:col>
      <xdr:colOff>257175</xdr:colOff>
      <xdr:row>1411</xdr:row>
      <xdr:rowOff>123825</xdr:rowOff>
    </xdr:to>
    <xdr:sp macro="" textlink="">
      <xdr:nvSpPr>
        <xdr:cNvPr id="4779" name="AutoShape 675" descr="Exempté du ballottage">
          <a:hlinkClick xmlns:r="http://schemas.openxmlformats.org/officeDocument/2006/relationships" r:id="rId609"/>
        </xdr:cNvPr>
        <xdr:cNvSpPr>
          <a:spLocks noChangeAspect="1" noChangeArrowheads="1"/>
        </xdr:cNvSpPr>
      </xdr:nvSpPr>
      <xdr:spPr bwMode="auto">
        <a:xfrm>
          <a:off x="165735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1417</xdr:row>
      <xdr:rowOff>0</xdr:rowOff>
    </xdr:from>
    <xdr:to>
      <xdr:col>2</xdr:col>
      <xdr:colOff>123825</xdr:colOff>
      <xdr:row>1417</xdr:row>
      <xdr:rowOff>123825</xdr:rowOff>
    </xdr:to>
    <xdr:sp macro="" textlink="">
      <xdr:nvSpPr>
        <xdr:cNvPr id="4780" name="AutoShape 676" descr="Exempté du ballottage">
          <a:hlinkClick xmlns:r="http://schemas.openxmlformats.org/officeDocument/2006/relationships" r:id="rId610"/>
        </xdr:cNvPr>
        <xdr:cNvSpPr>
          <a:spLocks noChangeAspect="1" noChangeArrowheads="1"/>
        </xdr:cNvSpPr>
      </xdr:nvSpPr>
      <xdr:spPr bwMode="auto">
        <a:xfrm>
          <a:off x="1524000" y="21788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1152</xdr:row>
      <xdr:rowOff>0</xdr:rowOff>
    </xdr:from>
    <xdr:to>
      <xdr:col>2</xdr:col>
      <xdr:colOff>123825</xdr:colOff>
      <xdr:row>1152</xdr:row>
      <xdr:rowOff>123825</xdr:rowOff>
    </xdr:to>
    <xdr:sp macro="" textlink="">
      <xdr:nvSpPr>
        <xdr:cNvPr id="4781" name="AutoShape 677" descr="Exempté du ballottage">
          <a:hlinkClick xmlns:r="http://schemas.openxmlformats.org/officeDocument/2006/relationships" r:id="rId611"/>
        </xdr:cNvPr>
        <xdr:cNvSpPr>
          <a:spLocks noChangeAspect="1" noChangeArrowheads="1"/>
        </xdr:cNvSpPr>
      </xdr:nvSpPr>
      <xdr:spPr bwMode="auto">
        <a:xfrm>
          <a:off x="1524000" y="2182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1152</xdr:row>
      <xdr:rowOff>0</xdr:rowOff>
    </xdr:from>
    <xdr:to>
      <xdr:col>8</xdr:col>
      <xdr:colOff>123825</xdr:colOff>
      <xdr:row>1152</xdr:row>
      <xdr:rowOff>104775</xdr:rowOff>
    </xdr:to>
    <xdr:sp macro="" textlink="">
      <xdr:nvSpPr>
        <xdr:cNvPr id="4782" name="AutoShape 678" descr="Éligible à l'arbitrage">
          <a:hlinkClick xmlns:r="http://schemas.openxmlformats.org/officeDocument/2006/relationships" r:id="rId612"/>
        </xdr:cNvPr>
        <xdr:cNvSpPr>
          <a:spLocks noChangeAspect="1" noChangeArrowheads="1"/>
        </xdr:cNvSpPr>
      </xdr:nvSpPr>
      <xdr:spPr bwMode="auto">
        <a:xfrm>
          <a:off x="6096000" y="21826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851</xdr:row>
      <xdr:rowOff>0</xdr:rowOff>
    </xdr:from>
    <xdr:to>
      <xdr:col>7</xdr:col>
      <xdr:colOff>123825</xdr:colOff>
      <xdr:row>851</xdr:row>
      <xdr:rowOff>104775</xdr:rowOff>
    </xdr:to>
    <xdr:sp macro="" textlink="">
      <xdr:nvSpPr>
        <xdr:cNvPr id="4783" name="AutoShape 679" descr="Éligible à l'arbitrage">
          <a:hlinkClick xmlns:r="http://schemas.openxmlformats.org/officeDocument/2006/relationships" r:id="rId613"/>
        </xdr:cNvPr>
        <xdr:cNvSpPr>
          <a:spLocks noChangeAspect="1" noChangeArrowheads="1"/>
        </xdr:cNvSpPr>
      </xdr:nvSpPr>
      <xdr:spPr bwMode="auto">
        <a:xfrm>
          <a:off x="5334000" y="21845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4" name="AutoShape 680" descr="https://capfriendly-wlb8ng5.stackpathdns.com/assets/images/icons/general/q.svg"/>
        <xdr:cNvSpPr>
          <a:spLocks noChangeAspect="1" noChangeArrowheads="1"/>
        </xdr:cNvSpPr>
      </xdr:nvSpPr>
      <xdr:spPr bwMode="auto">
        <a:xfrm>
          <a:off x="1524000" y="22300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5" name="AutoShape 681" descr="https://capfriendly-wlb8ng5.stackpathdns.com/assets/images/icons/general/q.svg"/>
        <xdr:cNvSpPr>
          <a:spLocks noChangeAspect="1" noChangeArrowheads="1"/>
        </xdr:cNvSpPr>
      </xdr:nvSpPr>
      <xdr:spPr bwMode="auto">
        <a:xfrm>
          <a:off x="1524000" y="22319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6" name="AutoShape 682" descr="https://capfriendly-wlb8ng5.stackpathdns.com/assets/images/icons/general/q.svg"/>
        <xdr:cNvSpPr>
          <a:spLocks noChangeAspect="1" noChangeArrowheads="1"/>
        </xdr:cNvSpPr>
      </xdr:nvSpPr>
      <xdr:spPr bwMode="auto">
        <a:xfrm>
          <a:off x="1524000" y="22338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7" name="AutoShape 683" descr="https://capfriendly-wlb8ng5.stackpathdns.com/assets/images/icons/general/q.svg"/>
        <xdr:cNvSpPr>
          <a:spLocks noChangeAspect="1" noChangeArrowheads="1"/>
        </xdr:cNvSpPr>
      </xdr:nvSpPr>
      <xdr:spPr bwMode="auto">
        <a:xfrm>
          <a:off x="1524000" y="22358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8" name="AutoShape 684" descr="https://capfriendly-wlb8ng5.stackpathdns.com/assets/images/icons/general/q.svg"/>
        <xdr:cNvSpPr>
          <a:spLocks noChangeAspect="1" noChangeArrowheads="1"/>
        </xdr:cNvSpPr>
      </xdr:nvSpPr>
      <xdr:spPr bwMode="auto">
        <a:xfrm>
          <a:off x="1524000" y="22377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9" name="AutoShape 685" descr="https://capfriendly-wlb8ng5.stackpathdns.com/assets/images/icons/general/q.svg"/>
        <xdr:cNvSpPr>
          <a:spLocks noChangeAspect="1" noChangeArrowheads="1"/>
        </xdr:cNvSpPr>
      </xdr:nvSpPr>
      <xdr:spPr bwMode="auto">
        <a:xfrm>
          <a:off x="1524000" y="22396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0" name="AutoShape 686" descr="https://capfriendly-wlb8ng5.stackpathdns.com/assets/images/icons/general/q.svg"/>
        <xdr:cNvSpPr>
          <a:spLocks noChangeAspect="1" noChangeArrowheads="1"/>
        </xdr:cNvSpPr>
      </xdr:nvSpPr>
      <xdr:spPr bwMode="auto">
        <a:xfrm>
          <a:off x="1524000" y="22415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1" name="AutoShape 687" descr="https://capfriendly-wlb8ng5.stackpathdns.com/assets/images/icons/general/q.svg"/>
        <xdr:cNvSpPr>
          <a:spLocks noChangeAspect="1" noChangeArrowheads="1"/>
        </xdr:cNvSpPr>
      </xdr:nvSpPr>
      <xdr:spPr bwMode="auto">
        <a:xfrm>
          <a:off x="1524000" y="22434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2" name="AutoShape 688" descr="https://capfriendly-wlb8ng5.stackpathdns.com/assets/images/icons/general/q.svg"/>
        <xdr:cNvSpPr>
          <a:spLocks noChangeAspect="1" noChangeArrowheads="1"/>
        </xdr:cNvSpPr>
      </xdr:nvSpPr>
      <xdr:spPr bwMode="auto">
        <a:xfrm>
          <a:off x="1524000" y="2245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3" name="AutoShape 689" descr="https://capfriendly-wlb8ng5.stackpathdns.com/assets/images/icons/general/q.svg"/>
        <xdr:cNvSpPr>
          <a:spLocks noChangeAspect="1" noChangeArrowheads="1"/>
        </xdr:cNvSpPr>
      </xdr:nvSpPr>
      <xdr:spPr bwMode="auto">
        <a:xfrm>
          <a:off x="1524000" y="2247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4" name="AutoShape 690" descr="https://capfriendly-wlb8ng5.stackpathdns.com/assets/images/icons/general/q.svg"/>
        <xdr:cNvSpPr>
          <a:spLocks noChangeAspect="1" noChangeArrowheads="1"/>
        </xdr:cNvSpPr>
      </xdr:nvSpPr>
      <xdr:spPr bwMode="auto">
        <a:xfrm>
          <a:off x="1524000" y="2249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5" name="AutoShape 691" descr="Bonis de performance"/>
        <xdr:cNvSpPr>
          <a:spLocks noChangeAspect="1" noChangeArrowheads="1"/>
        </xdr:cNvSpPr>
      </xdr:nvSpPr>
      <xdr:spPr bwMode="auto">
        <a:xfrm>
          <a:off x="152400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1084</xdr:row>
      <xdr:rowOff>0</xdr:rowOff>
    </xdr:from>
    <xdr:to>
      <xdr:col>2</xdr:col>
      <xdr:colOff>257175</xdr:colOff>
      <xdr:row>1084</xdr:row>
      <xdr:rowOff>123825</xdr:rowOff>
    </xdr:to>
    <xdr:sp macro="" textlink="">
      <xdr:nvSpPr>
        <xdr:cNvPr id="4796" name="AutoShape 692" descr="Exempté du ballottage">
          <a:hlinkClick xmlns:r="http://schemas.openxmlformats.org/officeDocument/2006/relationships" r:id="rId614"/>
        </xdr:cNvPr>
        <xdr:cNvSpPr>
          <a:spLocks noChangeAspect="1" noChangeArrowheads="1"/>
        </xdr:cNvSpPr>
      </xdr:nvSpPr>
      <xdr:spPr bwMode="auto">
        <a:xfrm>
          <a:off x="165735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760</xdr:row>
      <xdr:rowOff>0</xdr:rowOff>
    </xdr:from>
    <xdr:to>
      <xdr:col>2</xdr:col>
      <xdr:colOff>123825</xdr:colOff>
      <xdr:row>760</xdr:row>
      <xdr:rowOff>123825</xdr:rowOff>
    </xdr:to>
    <xdr:sp macro="" textlink="">
      <xdr:nvSpPr>
        <xdr:cNvPr id="4797" name="AutoShape 693" descr="Transaction avec retenue de salaire"/>
        <xdr:cNvSpPr>
          <a:spLocks noChangeAspect="1" noChangeArrowheads="1"/>
        </xdr:cNvSpPr>
      </xdr:nvSpPr>
      <xdr:spPr bwMode="auto">
        <a:xfrm>
          <a:off x="152400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760</xdr:row>
      <xdr:rowOff>0</xdr:rowOff>
    </xdr:from>
    <xdr:to>
      <xdr:col>2</xdr:col>
      <xdr:colOff>257175</xdr:colOff>
      <xdr:row>760</xdr:row>
      <xdr:rowOff>123825</xdr:rowOff>
    </xdr:to>
    <xdr:sp macro="" textlink="">
      <xdr:nvSpPr>
        <xdr:cNvPr id="4798" name="AutoShape 694" descr="Exempté du ballottage">
          <a:hlinkClick xmlns:r="http://schemas.openxmlformats.org/officeDocument/2006/relationships" r:id="rId615"/>
        </xdr:cNvPr>
        <xdr:cNvSpPr>
          <a:spLocks noChangeAspect="1" noChangeArrowheads="1"/>
        </xdr:cNvSpPr>
      </xdr:nvSpPr>
      <xdr:spPr bwMode="auto">
        <a:xfrm>
          <a:off x="165735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1402</xdr:row>
      <xdr:rowOff>0</xdr:rowOff>
    </xdr:from>
    <xdr:to>
      <xdr:col>2</xdr:col>
      <xdr:colOff>123825</xdr:colOff>
      <xdr:row>1402</xdr:row>
      <xdr:rowOff>123825</xdr:rowOff>
    </xdr:to>
    <xdr:sp macro="" textlink="">
      <xdr:nvSpPr>
        <xdr:cNvPr id="4799" name="AutoShape 695" descr="Bonis de performance"/>
        <xdr:cNvSpPr>
          <a:spLocks noChangeAspect="1" noChangeArrowheads="1"/>
        </xdr:cNvSpPr>
      </xdr:nvSpPr>
      <xdr:spPr bwMode="auto">
        <a:xfrm>
          <a:off x="152400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1402</xdr:row>
      <xdr:rowOff>0</xdr:rowOff>
    </xdr:from>
    <xdr:to>
      <xdr:col>2</xdr:col>
      <xdr:colOff>257175</xdr:colOff>
      <xdr:row>1402</xdr:row>
      <xdr:rowOff>123825</xdr:rowOff>
    </xdr:to>
    <xdr:sp macro="" textlink="">
      <xdr:nvSpPr>
        <xdr:cNvPr id="4800" name="AutoShape 696" descr="Exempté du ballottage">
          <a:hlinkClick xmlns:r="http://schemas.openxmlformats.org/officeDocument/2006/relationships" r:id="rId616"/>
        </xdr:cNvPr>
        <xdr:cNvSpPr>
          <a:spLocks noChangeAspect="1" noChangeArrowheads="1"/>
        </xdr:cNvSpPr>
      </xdr:nvSpPr>
      <xdr:spPr bwMode="auto">
        <a:xfrm>
          <a:off x="165735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1123</xdr:row>
      <xdr:rowOff>0</xdr:rowOff>
    </xdr:from>
    <xdr:to>
      <xdr:col>2</xdr:col>
      <xdr:colOff>123825</xdr:colOff>
      <xdr:row>1123</xdr:row>
      <xdr:rowOff>123825</xdr:rowOff>
    </xdr:to>
    <xdr:sp macro="" textlink="">
      <xdr:nvSpPr>
        <xdr:cNvPr id="4801" name="AutoShape 697" descr="Exempté du ballottage">
          <a:hlinkClick xmlns:r="http://schemas.openxmlformats.org/officeDocument/2006/relationships" r:id="rId617"/>
        </xdr:cNvPr>
        <xdr:cNvSpPr>
          <a:spLocks noChangeAspect="1" noChangeArrowheads="1"/>
        </xdr:cNvSpPr>
      </xdr:nvSpPr>
      <xdr:spPr bwMode="auto">
        <a:xfrm>
          <a:off x="1524000" y="2263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389</xdr:row>
      <xdr:rowOff>0</xdr:rowOff>
    </xdr:from>
    <xdr:to>
      <xdr:col>2</xdr:col>
      <xdr:colOff>123825</xdr:colOff>
      <xdr:row>389</xdr:row>
      <xdr:rowOff>123825</xdr:rowOff>
    </xdr:to>
    <xdr:sp macro="" textlink="">
      <xdr:nvSpPr>
        <xdr:cNvPr id="4802" name="AutoShape 698" descr="Exempté du ballottage">
          <a:hlinkClick xmlns:r="http://schemas.openxmlformats.org/officeDocument/2006/relationships" r:id="rId618"/>
        </xdr:cNvPr>
        <xdr:cNvSpPr>
          <a:spLocks noChangeAspect="1" noChangeArrowheads="1"/>
        </xdr:cNvSpPr>
      </xdr:nvSpPr>
      <xdr:spPr bwMode="auto">
        <a:xfrm>
          <a:off x="1524000" y="2265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392</xdr:row>
      <xdr:rowOff>0</xdr:rowOff>
    </xdr:from>
    <xdr:to>
      <xdr:col>2</xdr:col>
      <xdr:colOff>123825</xdr:colOff>
      <xdr:row>392</xdr:row>
      <xdr:rowOff>123825</xdr:rowOff>
    </xdr:to>
    <xdr:sp macro="" textlink="">
      <xdr:nvSpPr>
        <xdr:cNvPr id="4803" name="AutoShape 699" descr="Bonis de performance"/>
        <xdr:cNvSpPr>
          <a:spLocks noChangeAspect="1" noChangeArrowheads="1"/>
        </xdr:cNvSpPr>
      </xdr:nvSpPr>
      <xdr:spPr bwMode="auto">
        <a:xfrm>
          <a:off x="15240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392</xdr:row>
      <xdr:rowOff>0</xdr:rowOff>
    </xdr:from>
    <xdr:to>
      <xdr:col>2</xdr:col>
      <xdr:colOff>257175</xdr:colOff>
      <xdr:row>392</xdr:row>
      <xdr:rowOff>123825</xdr:rowOff>
    </xdr:to>
    <xdr:sp macro="" textlink="">
      <xdr:nvSpPr>
        <xdr:cNvPr id="4804" name="AutoShape 700" descr="Transaction avec retenue de salaire"/>
        <xdr:cNvSpPr>
          <a:spLocks noChangeAspect="1" noChangeArrowheads="1"/>
        </xdr:cNvSpPr>
      </xdr:nvSpPr>
      <xdr:spPr bwMode="auto">
        <a:xfrm>
          <a:off x="165735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392</xdr:row>
      <xdr:rowOff>0</xdr:rowOff>
    </xdr:from>
    <xdr:to>
      <xdr:col>2</xdr:col>
      <xdr:colOff>390525</xdr:colOff>
      <xdr:row>392</xdr:row>
      <xdr:rowOff>123825</xdr:rowOff>
    </xdr:to>
    <xdr:sp macro="" textlink="">
      <xdr:nvSpPr>
        <xdr:cNvPr id="4805" name="AutoShape 701" descr="Exempté du ballottage">
          <a:hlinkClick xmlns:r="http://schemas.openxmlformats.org/officeDocument/2006/relationships" r:id="rId619"/>
        </xdr:cNvPr>
        <xdr:cNvSpPr>
          <a:spLocks noChangeAspect="1" noChangeArrowheads="1"/>
        </xdr:cNvSpPr>
      </xdr:nvSpPr>
      <xdr:spPr bwMode="auto">
        <a:xfrm>
          <a:off x="17907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1342</xdr:row>
      <xdr:rowOff>0</xdr:rowOff>
    </xdr:from>
    <xdr:to>
      <xdr:col>2</xdr:col>
      <xdr:colOff>123825</xdr:colOff>
      <xdr:row>1342</xdr:row>
      <xdr:rowOff>123825</xdr:rowOff>
    </xdr:to>
    <xdr:sp macro="" textlink="">
      <xdr:nvSpPr>
        <xdr:cNvPr id="4806" name="AutoShape 702" descr="Bonis de performance"/>
        <xdr:cNvSpPr>
          <a:spLocks noChangeAspect="1" noChangeArrowheads="1"/>
        </xdr:cNvSpPr>
      </xdr:nvSpPr>
      <xdr:spPr bwMode="auto">
        <a:xfrm>
          <a:off x="15240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1342</xdr:row>
      <xdr:rowOff>0</xdr:rowOff>
    </xdr:from>
    <xdr:to>
      <xdr:col>2</xdr:col>
      <xdr:colOff>257175</xdr:colOff>
      <xdr:row>1342</xdr:row>
      <xdr:rowOff>123825</xdr:rowOff>
    </xdr:to>
    <xdr:sp macro="" textlink="">
      <xdr:nvSpPr>
        <xdr:cNvPr id="4807" name="AutoShape 703" descr="Transaction avec retenue de salaire"/>
        <xdr:cNvSpPr>
          <a:spLocks noChangeAspect="1" noChangeArrowheads="1"/>
        </xdr:cNvSpPr>
      </xdr:nvSpPr>
      <xdr:spPr bwMode="auto">
        <a:xfrm>
          <a:off x="16573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1342</xdr:row>
      <xdr:rowOff>0</xdr:rowOff>
    </xdr:from>
    <xdr:to>
      <xdr:col>2</xdr:col>
      <xdr:colOff>390525</xdr:colOff>
      <xdr:row>1342</xdr:row>
      <xdr:rowOff>123825</xdr:rowOff>
    </xdr:to>
    <xdr:sp macro="" textlink="">
      <xdr:nvSpPr>
        <xdr:cNvPr id="2752" name="AutoShape 704" descr="Exempté du ballottage">
          <a:hlinkClick xmlns:r="http://schemas.openxmlformats.org/officeDocument/2006/relationships" r:id="rId620"/>
        </xdr:cNvPr>
        <xdr:cNvSpPr>
          <a:spLocks noChangeAspect="1" noChangeArrowheads="1"/>
        </xdr:cNvSpPr>
      </xdr:nvSpPr>
      <xdr:spPr bwMode="auto">
        <a:xfrm>
          <a:off x="17907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1342</xdr:row>
      <xdr:rowOff>0</xdr:rowOff>
    </xdr:from>
    <xdr:to>
      <xdr:col>2</xdr:col>
      <xdr:colOff>523875</xdr:colOff>
      <xdr:row>1342</xdr:row>
      <xdr:rowOff>123825</xdr:rowOff>
    </xdr:to>
    <xdr:sp macro="" textlink="">
      <xdr:nvSpPr>
        <xdr:cNvPr id="2753" name="AutoShape 705" descr="Exempté de la limite des 50 contrats"/>
        <xdr:cNvSpPr>
          <a:spLocks noChangeAspect="1" noChangeArrowheads="1"/>
        </xdr:cNvSpPr>
      </xdr:nvSpPr>
      <xdr:spPr bwMode="auto">
        <a:xfrm>
          <a:off x="19240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1262</xdr:row>
      <xdr:rowOff>0</xdr:rowOff>
    </xdr:from>
    <xdr:to>
      <xdr:col>2</xdr:col>
      <xdr:colOff>123825</xdr:colOff>
      <xdr:row>1262</xdr:row>
      <xdr:rowOff>123825</xdr:rowOff>
    </xdr:to>
    <xdr:sp macro="" textlink="">
      <xdr:nvSpPr>
        <xdr:cNvPr id="2754" name="AutoShape 706" descr="Exempté du ballottage">
          <a:hlinkClick xmlns:r="http://schemas.openxmlformats.org/officeDocument/2006/relationships" r:id="rId621"/>
        </xdr:cNvPr>
        <xdr:cNvSpPr>
          <a:spLocks noChangeAspect="1" noChangeArrowheads="1"/>
        </xdr:cNvSpPr>
      </xdr:nvSpPr>
      <xdr:spPr bwMode="auto">
        <a:xfrm>
          <a:off x="1524000" y="2271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2755" name="AutoShape 707" descr="Bonis de performance"/>
        <xdr:cNvSpPr>
          <a:spLocks noChangeAspect="1" noChangeArrowheads="1"/>
        </xdr:cNvSpPr>
      </xdr:nvSpPr>
      <xdr:spPr bwMode="auto">
        <a:xfrm>
          <a:off x="152400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xdr:row>
      <xdr:rowOff>0</xdr:rowOff>
    </xdr:from>
    <xdr:to>
      <xdr:col>2</xdr:col>
      <xdr:colOff>257175</xdr:colOff>
      <xdr:row>29</xdr:row>
      <xdr:rowOff>123825</xdr:rowOff>
    </xdr:to>
    <xdr:sp macro="" textlink="">
      <xdr:nvSpPr>
        <xdr:cNvPr id="2756" name="AutoShape 708" descr="Exempté du ballottage">
          <a:hlinkClick xmlns:r="http://schemas.openxmlformats.org/officeDocument/2006/relationships" r:id="rId622"/>
        </xdr:cNvPr>
        <xdr:cNvSpPr>
          <a:spLocks noChangeAspect="1" noChangeArrowheads="1"/>
        </xdr:cNvSpPr>
      </xdr:nvSpPr>
      <xdr:spPr bwMode="auto">
        <a:xfrm>
          <a:off x="165735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953</xdr:row>
      <xdr:rowOff>0</xdr:rowOff>
    </xdr:from>
    <xdr:to>
      <xdr:col>2</xdr:col>
      <xdr:colOff>123825</xdr:colOff>
      <xdr:row>953</xdr:row>
      <xdr:rowOff>123825</xdr:rowOff>
    </xdr:to>
    <xdr:sp macro="" textlink="">
      <xdr:nvSpPr>
        <xdr:cNvPr id="2757" name="AutoShape 709" descr="Exempté du ballottage">
          <a:hlinkClick xmlns:r="http://schemas.openxmlformats.org/officeDocument/2006/relationships" r:id="rId623"/>
        </xdr:cNvPr>
        <xdr:cNvSpPr>
          <a:spLocks noChangeAspect="1" noChangeArrowheads="1"/>
        </xdr:cNvSpPr>
      </xdr:nvSpPr>
      <xdr:spPr bwMode="auto">
        <a:xfrm>
          <a:off x="1524000" y="2274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1167</xdr:row>
      <xdr:rowOff>0</xdr:rowOff>
    </xdr:from>
    <xdr:to>
      <xdr:col>2</xdr:col>
      <xdr:colOff>123825</xdr:colOff>
      <xdr:row>1167</xdr:row>
      <xdr:rowOff>123825</xdr:rowOff>
    </xdr:to>
    <xdr:sp macro="" textlink="">
      <xdr:nvSpPr>
        <xdr:cNvPr id="2758" name="AutoShape 710" descr="Exempté du ballottage">
          <a:hlinkClick xmlns:r="http://schemas.openxmlformats.org/officeDocument/2006/relationships" r:id="rId624"/>
        </xdr:cNvPr>
        <xdr:cNvSpPr>
          <a:spLocks noChangeAspect="1" noChangeArrowheads="1"/>
        </xdr:cNvSpPr>
      </xdr:nvSpPr>
      <xdr:spPr bwMode="auto">
        <a:xfrm>
          <a:off x="1524000" y="2276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627</xdr:row>
      <xdr:rowOff>0</xdr:rowOff>
    </xdr:from>
    <xdr:to>
      <xdr:col>2</xdr:col>
      <xdr:colOff>123825</xdr:colOff>
      <xdr:row>627</xdr:row>
      <xdr:rowOff>123825</xdr:rowOff>
    </xdr:to>
    <xdr:sp macro="" textlink="">
      <xdr:nvSpPr>
        <xdr:cNvPr id="2759" name="AutoShape 711" descr="Exempté du ballottage">
          <a:hlinkClick xmlns:r="http://schemas.openxmlformats.org/officeDocument/2006/relationships" r:id="rId625"/>
        </xdr:cNvPr>
        <xdr:cNvSpPr>
          <a:spLocks noChangeAspect="1" noChangeArrowheads="1"/>
        </xdr:cNvSpPr>
      </xdr:nvSpPr>
      <xdr:spPr bwMode="auto">
        <a:xfrm>
          <a:off x="1524000" y="2278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443</xdr:row>
      <xdr:rowOff>0</xdr:rowOff>
    </xdr:from>
    <xdr:to>
      <xdr:col>7</xdr:col>
      <xdr:colOff>123825</xdr:colOff>
      <xdr:row>443</xdr:row>
      <xdr:rowOff>104775</xdr:rowOff>
    </xdr:to>
    <xdr:sp macro="" textlink="">
      <xdr:nvSpPr>
        <xdr:cNvPr id="2760" name="AutoShape 712" descr="Éligible à l'arbitrage">
          <a:hlinkClick xmlns:r="http://schemas.openxmlformats.org/officeDocument/2006/relationships" r:id="rId626"/>
        </xdr:cNvPr>
        <xdr:cNvSpPr>
          <a:spLocks noChangeAspect="1" noChangeArrowheads="1"/>
        </xdr:cNvSpPr>
      </xdr:nvSpPr>
      <xdr:spPr bwMode="auto">
        <a:xfrm>
          <a:off x="5334000" y="22825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2761" name="AutoShape 713" descr="Exempté du ballottage">
          <a:hlinkClick xmlns:r="http://schemas.openxmlformats.org/officeDocument/2006/relationships" r:id="rId627"/>
        </xdr:cNvPr>
        <xdr:cNvSpPr>
          <a:spLocks noChangeAspect="1" noChangeArrowheads="1"/>
        </xdr:cNvSpPr>
      </xdr:nvSpPr>
      <xdr:spPr bwMode="auto">
        <a:xfrm>
          <a:off x="1524000" y="2284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xdr:row>
      <xdr:rowOff>0</xdr:rowOff>
    </xdr:from>
    <xdr:to>
      <xdr:col>2</xdr:col>
      <xdr:colOff>123825</xdr:colOff>
      <xdr:row>115</xdr:row>
      <xdr:rowOff>123825</xdr:rowOff>
    </xdr:to>
    <xdr:sp macro="" textlink="">
      <xdr:nvSpPr>
        <xdr:cNvPr id="2762" name="AutoShape 714" descr="Transaction avec retenue de salaire"/>
        <xdr:cNvSpPr>
          <a:spLocks noChangeAspect="1" noChangeArrowheads="1"/>
        </xdr:cNvSpPr>
      </xdr:nvSpPr>
      <xdr:spPr bwMode="auto">
        <a:xfrm>
          <a:off x="152400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xdr:row>
      <xdr:rowOff>0</xdr:rowOff>
    </xdr:from>
    <xdr:to>
      <xdr:col>2</xdr:col>
      <xdr:colOff>257175</xdr:colOff>
      <xdr:row>115</xdr:row>
      <xdr:rowOff>123825</xdr:rowOff>
    </xdr:to>
    <xdr:sp macro="" textlink="">
      <xdr:nvSpPr>
        <xdr:cNvPr id="2763" name="AutoShape 715" descr="Exempté du ballottage">
          <a:hlinkClick xmlns:r="http://schemas.openxmlformats.org/officeDocument/2006/relationships" r:id="rId628"/>
        </xdr:cNvPr>
        <xdr:cNvSpPr>
          <a:spLocks noChangeAspect="1" noChangeArrowheads="1"/>
        </xdr:cNvSpPr>
      </xdr:nvSpPr>
      <xdr:spPr bwMode="auto">
        <a:xfrm>
          <a:off x="165735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xdr:row>
      <xdr:rowOff>0</xdr:rowOff>
    </xdr:from>
    <xdr:to>
      <xdr:col>2</xdr:col>
      <xdr:colOff>123825</xdr:colOff>
      <xdr:row>28</xdr:row>
      <xdr:rowOff>123825</xdr:rowOff>
    </xdr:to>
    <xdr:sp macro="" textlink="">
      <xdr:nvSpPr>
        <xdr:cNvPr id="2764" name="AutoShape 716" descr="Bonis de performance"/>
        <xdr:cNvSpPr>
          <a:spLocks noChangeAspect="1" noChangeArrowheads="1"/>
        </xdr:cNvSpPr>
      </xdr:nvSpPr>
      <xdr:spPr bwMode="auto">
        <a:xfrm>
          <a:off x="152400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xdr:row>
      <xdr:rowOff>0</xdr:rowOff>
    </xdr:from>
    <xdr:to>
      <xdr:col>2</xdr:col>
      <xdr:colOff>257175</xdr:colOff>
      <xdr:row>28</xdr:row>
      <xdr:rowOff>123825</xdr:rowOff>
    </xdr:to>
    <xdr:sp macro="" textlink="">
      <xdr:nvSpPr>
        <xdr:cNvPr id="2765" name="AutoShape 717" descr="Exempté du ballottage">
          <a:hlinkClick xmlns:r="http://schemas.openxmlformats.org/officeDocument/2006/relationships" r:id="rId629"/>
        </xdr:cNvPr>
        <xdr:cNvSpPr>
          <a:spLocks noChangeAspect="1" noChangeArrowheads="1"/>
        </xdr:cNvSpPr>
      </xdr:nvSpPr>
      <xdr:spPr bwMode="auto">
        <a:xfrm>
          <a:off x="165735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352</xdr:row>
      <xdr:rowOff>0</xdr:rowOff>
    </xdr:from>
    <xdr:to>
      <xdr:col>2</xdr:col>
      <xdr:colOff>123825</xdr:colOff>
      <xdr:row>352</xdr:row>
      <xdr:rowOff>123825</xdr:rowOff>
    </xdr:to>
    <xdr:sp macro="" textlink="">
      <xdr:nvSpPr>
        <xdr:cNvPr id="2766" name="AutoShape 718" descr="Bonis de performance"/>
        <xdr:cNvSpPr>
          <a:spLocks noChangeAspect="1" noChangeArrowheads="1"/>
        </xdr:cNvSpPr>
      </xdr:nvSpPr>
      <xdr:spPr bwMode="auto">
        <a:xfrm>
          <a:off x="152400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352</xdr:row>
      <xdr:rowOff>0</xdr:rowOff>
    </xdr:from>
    <xdr:to>
      <xdr:col>2</xdr:col>
      <xdr:colOff>257175</xdr:colOff>
      <xdr:row>352</xdr:row>
      <xdr:rowOff>123825</xdr:rowOff>
    </xdr:to>
    <xdr:sp macro="" textlink="">
      <xdr:nvSpPr>
        <xdr:cNvPr id="2767" name="AutoShape 719" descr="Exempté du ballottage">
          <a:hlinkClick xmlns:r="http://schemas.openxmlformats.org/officeDocument/2006/relationships" r:id="rId630"/>
        </xdr:cNvPr>
        <xdr:cNvSpPr>
          <a:spLocks noChangeAspect="1" noChangeArrowheads="1"/>
        </xdr:cNvSpPr>
      </xdr:nvSpPr>
      <xdr:spPr bwMode="auto">
        <a:xfrm>
          <a:off x="165735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1056</xdr:row>
      <xdr:rowOff>0</xdr:rowOff>
    </xdr:from>
    <xdr:to>
      <xdr:col>2</xdr:col>
      <xdr:colOff>123825</xdr:colOff>
      <xdr:row>1056</xdr:row>
      <xdr:rowOff>123825</xdr:rowOff>
    </xdr:to>
    <xdr:sp macro="" textlink="">
      <xdr:nvSpPr>
        <xdr:cNvPr id="2768" name="AutoShape 720" descr="Exempté du ballottage">
          <a:hlinkClick xmlns:r="http://schemas.openxmlformats.org/officeDocument/2006/relationships" r:id="rId631"/>
        </xdr:cNvPr>
        <xdr:cNvSpPr>
          <a:spLocks noChangeAspect="1" noChangeArrowheads="1"/>
        </xdr:cNvSpPr>
      </xdr:nvSpPr>
      <xdr:spPr bwMode="auto">
        <a:xfrm>
          <a:off x="1524000" y="230143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225</xdr:row>
      <xdr:rowOff>0</xdr:rowOff>
    </xdr:from>
    <xdr:to>
      <xdr:col>2</xdr:col>
      <xdr:colOff>123825</xdr:colOff>
      <xdr:row>225</xdr:row>
      <xdr:rowOff>123825</xdr:rowOff>
    </xdr:to>
    <xdr:sp macro="" textlink="">
      <xdr:nvSpPr>
        <xdr:cNvPr id="2769" name="AutoShape 721" descr="Bonis de performance"/>
        <xdr:cNvSpPr>
          <a:spLocks noChangeAspect="1" noChangeArrowheads="1"/>
        </xdr:cNvSpPr>
      </xdr:nvSpPr>
      <xdr:spPr bwMode="auto">
        <a:xfrm>
          <a:off x="152400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225</xdr:row>
      <xdr:rowOff>0</xdr:rowOff>
    </xdr:from>
    <xdr:to>
      <xdr:col>2</xdr:col>
      <xdr:colOff>257175</xdr:colOff>
      <xdr:row>225</xdr:row>
      <xdr:rowOff>123825</xdr:rowOff>
    </xdr:to>
    <xdr:sp macro="" textlink="">
      <xdr:nvSpPr>
        <xdr:cNvPr id="2770" name="AutoShape 722" descr="Exempté du ballottage">
          <a:hlinkClick xmlns:r="http://schemas.openxmlformats.org/officeDocument/2006/relationships" r:id="rId632"/>
        </xdr:cNvPr>
        <xdr:cNvSpPr>
          <a:spLocks noChangeAspect="1" noChangeArrowheads="1"/>
        </xdr:cNvSpPr>
      </xdr:nvSpPr>
      <xdr:spPr bwMode="auto">
        <a:xfrm>
          <a:off x="165735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1304</xdr:row>
      <xdr:rowOff>0</xdr:rowOff>
    </xdr:from>
    <xdr:to>
      <xdr:col>2</xdr:col>
      <xdr:colOff>123825</xdr:colOff>
      <xdr:row>1304</xdr:row>
      <xdr:rowOff>123825</xdr:rowOff>
    </xdr:to>
    <xdr:sp macro="" textlink="">
      <xdr:nvSpPr>
        <xdr:cNvPr id="2771" name="AutoShape 723" descr="Bonis de performance"/>
        <xdr:cNvSpPr>
          <a:spLocks noChangeAspect="1" noChangeArrowheads="1"/>
        </xdr:cNvSpPr>
      </xdr:nvSpPr>
      <xdr:spPr bwMode="auto">
        <a:xfrm>
          <a:off x="152400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1304</xdr:row>
      <xdr:rowOff>0</xdr:rowOff>
    </xdr:from>
    <xdr:to>
      <xdr:col>2</xdr:col>
      <xdr:colOff>257175</xdr:colOff>
      <xdr:row>1304</xdr:row>
      <xdr:rowOff>123825</xdr:rowOff>
    </xdr:to>
    <xdr:sp macro="" textlink="">
      <xdr:nvSpPr>
        <xdr:cNvPr id="2772" name="AutoShape 724" descr="Exempté du ballottage">
          <a:hlinkClick xmlns:r="http://schemas.openxmlformats.org/officeDocument/2006/relationships" r:id="rId633"/>
        </xdr:cNvPr>
        <xdr:cNvSpPr>
          <a:spLocks noChangeAspect="1" noChangeArrowheads="1"/>
        </xdr:cNvSpPr>
      </xdr:nvSpPr>
      <xdr:spPr bwMode="auto">
        <a:xfrm>
          <a:off x="165735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1117</xdr:row>
      <xdr:rowOff>0</xdr:rowOff>
    </xdr:from>
    <xdr:to>
      <xdr:col>2</xdr:col>
      <xdr:colOff>123825</xdr:colOff>
      <xdr:row>1117</xdr:row>
      <xdr:rowOff>123825</xdr:rowOff>
    </xdr:to>
    <xdr:sp macro="" textlink="">
      <xdr:nvSpPr>
        <xdr:cNvPr id="2773" name="AutoShape 725" descr="Exempté du ballottage">
          <a:hlinkClick xmlns:r="http://schemas.openxmlformats.org/officeDocument/2006/relationships" r:id="rId634"/>
        </xdr:cNvPr>
        <xdr:cNvSpPr>
          <a:spLocks noChangeAspect="1" noChangeArrowheads="1"/>
        </xdr:cNvSpPr>
      </xdr:nvSpPr>
      <xdr:spPr bwMode="auto">
        <a:xfrm>
          <a:off x="1524000" y="230714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956</xdr:row>
      <xdr:rowOff>0</xdr:rowOff>
    </xdr:from>
    <xdr:to>
      <xdr:col>2</xdr:col>
      <xdr:colOff>123825</xdr:colOff>
      <xdr:row>956</xdr:row>
      <xdr:rowOff>123825</xdr:rowOff>
    </xdr:to>
    <xdr:sp macro="" textlink="">
      <xdr:nvSpPr>
        <xdr:cNvPr id="2774" name="AutoShape 726" descr="Exempté du ballottage">
          <a:hlinkClick xmlns:r="http://schemas.openxmlformats.org/officeDocument/2006/relationships" r:id="rId635"/>
        </xdr:cNvPr>
        <xdr:cNvSpPr>
          <a:spLocks noChangeAspect="1" noChangeArrowheads="1"/>
        </xdr:cNvSpPr>
      </xdr:nvSpPr>
      <xdr:spPr bwMode="auto">
        <a:xfrm>
          <a:off x="1524000" y="23090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154</xdr:row>
      <xdr:rowOff>0</xdr:rowOff>
    </xdr:from>
    <xdr:to>
      <xdr:col>2</xdr:col>
      <xdr:colOff>123825</xdr:colOff>
      <xdr:row>154</xdr:row>
      <xdr:rowOff>123825</xdr:rowOff>
    </xdr:to>
    <xdr:sp macro="" textlink="">
      <xdr:nvSpPr>
        <xdr:cNvPr id="2775" name="AutoShape 727" descr="Exempté du ballottage">
          <a:hlinkClick xmlns:r="http://schemas.openxmlformats.org/officeDocument/2006/relationships" r:id="rId636"/>
        </xdr:cNvPr>
        <xdr:cNvSpPr>
          <a:spLocks noChangeAspect="1" noChangeArrowheads="1"/>
        </xdr:cNvSpPr>
      </xdr:nvSpPr>
      <xdr:spPr bwMode="auto">
        <a:xfrm>
          <a:off x="1524000" y="23109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1051</xdr:row>
      <xdr:rowOff>0</xdr:rowOff>
    </xdr:from>
    <xdr:to>
      <xdr:col>2</xdr:col>
      <xdr:colOff>123825</xdr:colOff>
      <xdr:row>1051</xdr:row>
      <xdr:rowOff>123825</xdr:rowOff>
    </xdr:to>
    <xdr:sp macro="" textlink="">
      <xdr:nvSpPr>
        <xdr:cNvPr id="2776" name="AutoShape 728" descr="Exempté du ballottage">
          <a:hlinkClick xmlns:r="http://schemas.openxmlformats.org/officeDocument/2006/relationships" r:id="rId637"/>
        </xdr:cNvPr>
        <xdr:cNvSpPr>
          <a:spLocks noChangeAspect="1" noChangeArrowheads="1"/>
        </xdr:cNvSpPr>
      </xdr:nvSpPr>
      <xdr:spPr bwMode="auto">
        <a:xfrm>
          <a:off x="1524000" y="2320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1403</xdr:row>
      <xdr:rowOff>0</xdr:rowOff>
    </xdr:from>
    <xdr:to>
      <xdr:col>2</xdr:col>
      <xdr:colOff>123825</xdr:colOff>
      <xdr:row>1403</xdr:row>
      <xdr:rowOff>123825</xdr:rowOff>
    </xdr:to>
    <xdr:sp macro="" textlink="">
      <xdr:nvSpPr>
        <xdr:cNvPr id="2777" name="AutoShape 729" descr="Bonis de performance"/>
        <xdr:cNvSpPr>
          <a:spLocks noChangeAspect="1" noChangeArrowheads="1"/>
        </xdr:cNvSpPr>
      </xdr:nvSpPr>
      <xdr:spPr bwMode="auto">
        <a:xfrm>
          <a:off x="152400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1403</xdr:row>
      <xdr:rowOff>0</xdr:rowOff>
    </xdr:from>
    <xdr:to>
      <xdr:col>2</xdr:col>
      <xdr:colOff>257175</xdr:colOff>
      <xdr:row>1403</xdr:row>
      <xdr:rowOff>123825</xdr:rowOff>
    </xdr:to>
    <xdr:sp macro="" textlink="">
      <xdr:nvSpPr>
        <xdr:cNvPr id="2778" name="AutoShape 730" descr="Exempté du ballottage">
          <a:hlinkClick xmlns:r="http://schemas.openxmlformats.org/officeDocument/2006/relationships" r:id="rId638"/>
        </xdr:cNvPr>
        <xdr:cNvSpPr>
          <a:spLocks noChangeAspect="1" noChangeArrowheads="1"/>
        </xdr:cNvSpPr>
      </xdr:nvSpPr>
      <xdr:spPr bwMode="auto">
        <a:xfrm>
          <a:off x="165735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695</xdr:row>
      <xdr:rowOff>0</xdr:rowOff>
    </xdr:from>
    <xdr:to>
      <xdr:col>2</xdr:col>
      <xdr:colOff>123825</xdr:colOff>
      <xdr:row>695</xdr:row>
      <xdr:rowOff>123825</xdr:rowOff>
    </xdr:to>
    <xdr:sp macro="" textlink="">
      <xdr:nvSpPr>
        <xdr:cNvPr id="2779" name="AutoShape 731" descr="Bonis de performance"/>
        <xdr:cNvSpPr>
          <a:spLocks noChangeAspect="1" noChangeArrowheads="1"/>
        </xdr:cNvSpPr>
      </xdr:nvSpPr>
      <xdr:spPr bwMode="auto">
        <a:xfrm>
          <a:off x="152400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695</xdr:row>
      <xdr:rowOff>0</xdr:rowOff>
    </xdr:from>
    <xdr:to>
      <xdr:col>2</xdr:col>
      <xdr:colOff>257175</xdr:colOff>
      <xdr:row>695</xdr:row>
      <xdr:rowOff>123825</xdr:rowOff>
    </xdr:to>
    <xdr:sp macro="" textlink="">
      <xdr:nvSpPr>
        <xdr:cNvPr id="2780" name="AutoShape 732" descr="Exempté du ballottage">
          <a:hlinkClick xmlns:r="http://schemas.openxmlformats.org/officeDocument/2006/relationships" r:id="rId639"/>
        </xdr:cNvPr>
        <xdr:cNvSpPr>
          <a:spLocks noChangeAspect="1" noChangeArrowheads="1"/>
        </xdr:cNvSpPr>
      </xdr:nvSpPr>
      <xdr:spPr bwMode="auto">
        <a:xfrm>
          <a:off x="165735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223</xdr:row>
      <xdr:rowOff>0</xdr:rowOff>
    </xdr:from>
    <xdr:to>
      <xdr:col>2</xdr:col>
      <xdr:colOff>123825</xdr:colOff>
      <xdr:row>223</xdr:row>
      <xdr:rowOff>123825</xdr:rowOff>
    </xdr:to>
    <xdr:sp macro="" textlink="">
      <xdr:nvSpPr>
        <xdr:cNvPr id="2781" name="AutoShape 733" descr="Bonis de performance"/>
        <xdr:cNvSpPr>
          <a:spLocks noChangeAspect="1" noChangeArrowheads="1"/>
        </xdr:cNvSpPr>
      </xdr:nvSpPr>
      <xdr:spPr bwMode="auto">
        <a:xfrm>
          <a:off x="152400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223</xdr:row>
      <xdr:rowOff>0</xdr:rowOff>
    </xdr:from>
    <xdr:to>
      <xdr:col>2</xdr:col>
      <xdr:colOff>257175</xdr:colOff>
      <xdr:row>223</xdr:row>
      <xdr:rowOff>123825</xdr:rowOff>
    </xdr:to>
    <xdr:sp macro="" textlink="">
      <xdr:nvSpPr>
        <xdr:cNvPr id="2782" name="AutoShape 734" descr="Exempté du ballottage">
          <a:hlinkClick xmlns:r="http://schemas.openxmlformats.org/officeDocument/2006/relationships" r:id="rId640"/>
        </xdr:cNvPr>
        <xdr:cNvSpPr>
          <a:spLocks noChangeAspect="1" noChangeArrowheads="1"/>
        </xdr:cNvSpPr>
      </xdr:nvSpPr>
      <xdr:spPr bwMode="auto">
        <a:xfrm>
          <a:off x="165735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662</xdr:row>
      <xdr:rowOff>0</xdr:rowOff>
    </xdr:from>
    <xdr:to>
      <xdr:col>2</xdr:col>
      <xdr:colOff>123825</xdr:colOff>
      <xdr:row>662</xdr:row>
      <xdr:rowOff>123825</xdr:rowOff>
    </xdr:to>
    <xdr:sp macro="" textlink="">
      <xdr:nvSpPr>
        <xdr:cNvPr id="2783" name="AutoShape 735" descr="Bonis de performance"/>
        <xdr:cNvSpPr>
          <a:spLocks noChangeAspect="1" noChangeArrowheads="1"/>
        </xdr:cNvSpPr>
      </xdr:nvSpPr>
      <xdr:spPr bwMode="auto">
        <a:xfrm>
          <a:off x="152400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662</xdr:row>
      <xdr:rowOff>0</xdr:rowOff>
    </xdr:from>
    <xdr:to>
      <xdr:col>2</xdr:col>
      <xdr:colOff>257175</xdr:colOff>
      <xdr:row>662</xdr:row>
      <xdr:rowOff>123825</xdr:rowOff>
    </xdr:to>
    <xdr:sp macro="" textlink="">
      <xdr:nvSpPr>
        <xdr:cNvPr id="2784" name="AutoShape 736" descr="Exempté du ballottage">
          <a:hlinkClick xmlns:r="http://schemas.openxmlformats.org/officeDocument/2006/relationships" r:id="rId641"/>
        </xdr:cNvPr>
        <xdr:cNvSpPr>
          <a:spLocks noChangeAspect="1" noChangeArrowheads="1"/>
        </xdr:cNvSpPr>
      </xdr:nvSpPr>
      <xdr:spPr bwMode="auto">
        <a:xfrm>
          <a:off x="165735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883</xdr:row>
      <xdr:rowOff>0</xdr:rowOff>
    </xdr:from>
    <xdr:to>
      <xdr:col>7</xdr:col>
      <xdr:colOff>123825</xdr:colOff>
      <xdr:row>883</xdr:row>
      <xdr:rowOff>104775</xdr:rowOff>
    </xdr:to>
    <xdr:sp macro="" textlink="">
      <xdr:nvSpPr>
        <xdr:cNvPr id="2785" name="AutoShape 737" descr="Éligible à l'arbitrage">
          <a:hlinkClick xmlns:r="http://schemas.openxmlformats.org/officeDocument/2006/relationships" r:id="rId642"/>
        </xdr:cNvPr>
        <xdr:cNvSpPr>
          <a:spLocks noChangeAspect="1" noChangeArrowheads="1"/>
        </xdr:cNvSpPr>
      </xdr:nvSpPr>
      <xdr:spPr bwMode="auto">
        <a:xfrm>
          <a:off x="5334000" y="2251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387</xdr:row>
      <xdr:rowOff>0</xdr:rowOff>
    </xdr:from>
    <xdr:to>
      <xdr:col>6</xdr:col>
      <xdr:colOff>123825</xdr:colOff>
      <xdr:row>387</xdr:row>
      <xdr:rowOff>104775</xdr:rowOff>
    </xdr:to>
    <xdr:sp macro="" textlink="">
      <xdr:nvSpPr>
        <xdr:cNvPr id="2786" name="AutoShape 738" descr="Éligible à l'arbitrage">
          <a:hlinkClick xmlns:r="http://schemas.openxmlformats.org/officeDocument/2006/relationships" r:id="rId643"/>
        </xdr:cNvPr>
        <xdr:cNvSpPr>
          <a:spLocks noChangeAspect="1" noChangeArrowheads="1"/>
        </xdr:cNvSpPr>
      </xdr:nvSpPr>
      <xdr:spPr bwMode="auto">
        <a:xfrm>
          <a:off x="4572000" y="2255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1213</xdr:row>
      <xdr:rowOff>0</xdr:rowOff>
    </xdr:from>
    <xdr:to>
      <xdr:col>2</xdr:col>
      <xdr:colOff>123825</xdr:colOff>
      <xdr:row>1213</xdr:row>
      <xdr:rowOff>123825</xdr:rowOff>
    </xdr:to>
    <xdr:sp macro="" textlink="">
      <xdr:nvSpPr>
        <xdr:cNvPr id="2787" name="AutoShape 739" descr="Bonis de performance"/>
        <xdr:cNvSpPr>
          <a:spLocks noChangeAspect="1" noChangeArrowheads="1"/>
        </xdr:cNvSpPr>
      </xdr:nvSpPr>
      <xdr:spPr bwMode="auto">
        <a:xfrm>
          <a:off x="1524000" y="2274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209</xdr:row>
      <xdr:rowOff>0</xdr:rowOff>
    </xdr:from>
    <xdr:to>
      <xdr:col>2</xdr:col>
      <xdr:colOff>123825</xdr:colOff>
      <xdr:row>209</xdr:row>
      <xdr:rowOff>123825</xdr:rowOff>
    </xdr:to>
    <xdr:sp macro="" textlink="">
      <xdr:nvSpPr>
        <xdr:cNvPr id="2788" name="AutoShape 740" descr="Bonis de performance"/>
        <xdr:cNvSpPr>
          <a:spLocks noChangeAspect="1" noChangeArrowheads="1"/>
        </xdr:cNvSpPr>
      </xdr:nvSpPr>
      <xdr:spPr bwMode="auto">
        <a:xfrm>
          <a:off x="152400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209</xdr:row>
      <xdr:rowOff>0</xdr:rowOff>
    </xdr:from>
    <xdr:to>
      <xdr:col>2</xdr:col>
      <xdr:colOff>257175</xdr:colOff>
      <xdr:row>209</xdr:row>
      <xdr:rowOff>123825</xdr:rowOff>
    </xdr:to>
    <xdr:sp macro="" textlink="">
      <xdr:nvSpPr>
        <xdr:cNvPr id="2789" name="AutoShape 741" descr="Exempté du ballottage">
          <a:hlinkClick xmlns:r="http://schemas.openxmlformats.org/officeDocument/2006/relationships" r:id="rId644"/>
        </xdr:cNvPr>
        <xdr:cNvSpPr>
          <a:spLocks noChangeAspect="1" noChangeArrowheads="1"/>
        </xdr:cNvSpPr>
      </xdr:nvSpPr>
      <xdr:spPr bwMode="auto">
        <a:xfrm>
          <a:off x="165735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0" name="AutoShape 742" descr="https://capfriendly-wlb8ng5.stackpathdns.com/assets/images/icons/general/q.svg"/>
        <xdr:cNvSpPr>
          <a:spLocks noChangeAspect="1" noChangeArrowheads="1"/>
        </xdr:cNvSpPr>
      </xdr:nvSpPr>
      <xdr:spPr bwMode="auto">
        <a:xfrm>
          <a:off x="1524000" y="23214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1" name="AutoShape 743" descr="https://capfriendly-wlb8ng5.stackpathdns.com/assets/images/icons/general/q.svg"/>
        <xdr:cNvSpPr>
          <a:spLocks noChangeAspect="1" noChangeArrowheads="1"/>
        </xdr:cNvSpPr>
      </xdr:nvSpPr>
      <xdr:spPr bwMode="auto">
        <a:xfrm>
          <a:off x="1524000" y="23233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2" name="AutoShape 744" descr="https://capfriendly-wlb8ng5.stackpathdns.com/assets/images/icons/general/q.svg"/>
        <xdr:cNvSpPr>
          <a:spLocks noChangeAspect="1" noChangeArrowheads="1"/>
        </xdr:cNvSpPr>
      </xdr:nvSpPr>
      <xdr:spPr bwMode="auto">
        <a:xfrm>
          <a:off x="1524000" y="23252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3" name="AutoShape 745" descr="https://capfriendly-wlb8ng5.stackpathdns.com/assets/images/icons/general/q.svg"/>
        <xdr:cNvSpPr>
          <a:spLocks noChangeAspect="1" noChangeArrowheads="1"/>
        </xdr:cNvSpPr>
      </xdr:nvSpPr>
      <xdr:spPr bwMode="auto">
        <a:xfrm>
          <a:off x="1524000" y="23271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4" name="AutoShape 746" descr="https://capfriendly-wlb8ng5.stackpathdns.com/assets/images/icons/general/q.svg"/>
        <xdr:cNvSpPr>
          <a:spLocks noChangeAspect="1" noChangeArrowheads="1"/>
        </xdr:cNvSpPr>
      </xdr:nvSpPr>
      <xdr:spPr bwMode="auto">
        <a:xfrm>
          <a:off x="1524000" y="23290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5" name="AutoShape 747" descr="https://capfriendly-wlb8ng5.stackpathdns.com/assets/images/icons/general/q.svg"/>
        <xdr:cNvSpPr>
          <a:spLocks noChangeAspect="1" noChangeArrowheads="1"/>
        </xdr:cNvSpPr>
      </xdr:nvSpPr>
      <xdr:spPr bwMode="auto">
        <a:xfrm>
          <a:off x="1524000" y="23309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6" name="AutoShape 748" descr="https://capfriendly-wlb8ng5.stackpathdns.com/assets/images/icons/general/q.svg"/>
        <xdr:cNvSpPr>
          <a:spLocks noChangeAspect="1" noChangeArrowheads="1"/>
        </xdr:cNvSpPr>
      </xdr:nvSpPr>
      <xdr:spPr bwMode="auto">
        <a:xfrm>
          <a:off x="1524000" y="23328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7" name="AutoShape 749" descr="https://capfriendly-wlb8ng5.stackpathdns.com/assets/images/icons/general/q.svg"/>
        <xdr:cNvSpPr>
          <a:spLocks noChangeAspect="1" noChangeArrowheads="1"/>
        </xdr:cNvSpPr>
      </xdr:nvSpPr>
      <xdr:spPr bwMode="auto">
        <a:xfrm>
          <a:off x="1524000" y="23347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8" name="AutoShape 750" descr="https://capfriendly-wlb8ng5.stackpathdns.com/assets/images/icons/general/q.svg"/>
        <xdr:cNvSpPr>
          <a:spLocks noChangeAspect="1" noChangeArrowheads="1"/>
        </xdr:cNvSpPr>
      </xdr:nvSpPr>
      <xdr:spPr bwMode="auto">
        <a:xfrm>
          <a:off x="1524000" y="2336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9" name="AutoShape 751" descr="https://capfriendly-wlb8ng5.stackpathdns.com/assets/images/icons/general/q.svg"/>
        <xdr:cNvSpPr>
          <a:spLocks noChangeAspect="1" noChangeArrowheads="1"/>
        </xdr:cNvSpPr>
      </xdr:nvSpPr>
      <xdr:spPr bwMode="auto">
        <a:xfrm>
          <a:off x="1524000" y="2338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0" name="AutoShape 752" descr="https://capfriendly-wlb8ng5.stackpathdns.com/assets/images/icons/general/q.svg"/>
        <xdr:cNvSpPr>
          <a:spLocks noChangeAspect="1" noChangeArrowheads="1"/>
        </xdr:cNvSpPr>
      </xdr:nvSpPr>
      <xdr:spPr bwMode="auto">
        <a:xfrm>
          <a:off x="1524000" y="2340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1" name="AutoShape 753" descr="Transaction avec retenue de salaire"/>
        <xdr:cNvSpPr>
          <a:spLocks noChangeAspect="1" noChangeArrowheads="1"/>
        </xdr:cNvSpPr>
      </xdr:nvSpPr>
      <xdr:spPr bwMode="auto">
        <a:xfrm>
          <a:off x="152400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425</xdr:row>
      <xdr:rowOff>0</xdr:rowOff>
    </xdr:from>
    <xdr:to>
      <xdr:col>2</xdr:col>
      <xdr:colOff>257175</xdr:colOff>
      <xdr:row>425</xdr:row>
      <xdr:rowOff>123825</xdr:rowOff>
    </xdr:to>
    <xdr:sp macro="" textlink="">
      <xdr:nvSpPr>
        <xdr:cNvPr id="2802" name="AutoShape 754" descr="Exempté du ballottage">
          <a:hlinkClick xmlns:r="http://schemas.openxmlformats.org/officeDocument/2006/relationships" r:id="rId645"/>
        </xdr:cNvPr>
        <xdr:cNvSpPr>
          <a:spLocks noChangeAspect="1" noChangeArrowheads="1"/>
        </xdr:cNvSpPr>
      </xdr:nvSpPr>
      <xdr:spPr bwMode="auto">
        <a:xfrm>
          <a:off x="165735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1407</xdr:row>
      <xdr:rowOff>0</xdr:rowOff>
    </xdr:from>
    <xdr:to>
      <xdr:col>2</xdr:col>
      <xdr:colOff>123825</xdr:colOff>
      <xdr:row>1407</xdr:row>
      <xdr:rowOff>123825</xdr:rowOff>
    </xdr:to>
    <xdr:sp macro="" textlink="">
      <xdr:nvSpPr>
        <xdr:cNvPr id="2803" name="AutoShape 755" descr="Exempté du ballottage">
          <a:hlinkClick xmlns:r="http://schemas.openxmlformats.org/officeDocument/2006/relationships" r:id="rId646"/>
        </xdr:cNvPr>
        <xdr:cNvSpPr>
          <a:spLocks noChangeAspect="1" noChangeArrowheads="1"/>
        </xdr:cNvSpPr>
      </xdr:nvSpPr>
      <xdr:spPr bwMode="auto">
        <a:xfrm>
          <a:off x="1524000" y="23510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1296</xdr:row>
      <xdr:rowOff>0</xdr:rowOff>
    </xdr:from>
    <xdr:to>
      <xdr:col>2</xdr:col>
      <xdr:colOff>123825</xdr:colOff>
      <xdr:row>1296</xdr:row>
      <xdr:rowOff>123825</xdr:rowOff>
    </xdr:to>
    <xdr:sp macro="" textlink="">
      <xdr:nvSpPr>
        <xdr:cNvPr id="2804" name="AutoShape 756" descr="Exempté du ballottage">
          <a:hlinkClick xmlns:r="http://schemas.openxmlformats.org/officeDocument/2006/relationships" r:id="rId647"/>
        </xdr:cNvPr>
        <xdr:cNvSpPr>
          <a:spLocks noChangeAspect="1" noChangeArrowheads="1"/>
        </xdr:cNvSpPr>
      </xdr:nvSpPr>
      <xdr:spPr bwMode="auto">
        <a:xfrm>
          <a:off x="1524000" y="23529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691</xdr:row>
      <xdr:rowOff>0</xdr:rowOff>
    </xdr:from>
    <xdr:to>
      <xdr:col>2</xdr:col>
      <xdr:colOff>123825</xdr:colOff>
      <xdr:row>691</xdr:row>
      <xdr:rowOff>123825</xdr:rowOff>
    </xdr:to>
    <xdr:sp macro="" textlink="">
      <xdr:nvSpPr>
        <xdr:cNvPr id="2805" name="AutoShape 757" descr="Exempté du ballottage">
          <a:hlinkClick xmlns:r="http://schemas.openxmlformats.org/officeDocument/2006/relationships" r:id="rId648"/>
        </xdr:cNvPr>
        <xdr:cNvSpPr>
          <a:spLocks noChangeAspect="1" noChangeArrowheads="1"/>
        </xdr:cNvSpPr>
      </xdr:nvSpPr>
      <xdr:spPr bwMode="auto">
        <a:xfrm>
          <a:off x="1524000" y="23548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1103</xdr:row>
      <xdr:rowOff>0</xdr:rowOff>
    </xdr:from>
    <xdr:to>
      <xdr:col>2</xdr:col>
      <xdr:colOff>123825</xdr:colOff>
      <xdr:row>1103</xdr:row>
      <xdr:rowOff>123825</xdr:rowOff>
    </xdr:to>
    <xdr:sp macro="" textlink="">
      <xdr:nvSpPr>
        <xdr:cNvPr id="2806" name="AutoShape 758" descr="Exempté du ballottage">
          <a:hlinkClick xmlns:r="http://schemas.openxmlformats.org/officeDocument/2006/relationships" r:id="rId649"/>
        </xdr:cNvPr>
        <xdr:cNvSpPr>
          <a:spLocks noChangeAspect="1" noChangeArrowheads="1"/>
        </xdr:cNvSpPr>
      </xdr:nvSpPr>
      <xdr:spPr bwMode="auto">
        <a:xfrm>
          <a:off x="1524000" y="23567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618</xdr:row>
      <xdr:rowOff>0</xdr:rowOff>
    </xdr:from>
    <xdr:to>
      <xdr:col>2</xdr:col>
      <xdr:colOff>123825</xdr:colOff>
      <xdr:row>618</xdr:row>
      <xdr:rowOff>123825</xdr:rowOff>
    </xdr:to>
    <xdr:sp macro="" textlink="">
      <xdr:nvSpPr>
        <xdr:cNvPr id="2807" name="AutoShape 759" descr="Bonis de performance"/>
        <xdr:cNvSpPr>
          <a:spLocks noChangeAspect="1" noChangeArrowheads="1"/>
        </xdr:cNvSpPr>
      </xdr:nvSpPr>
      <xdr:spPr bwMode="auto">
        <a:xfrm>
          <a:off x="152400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618</xdr:row>
      <xdr:rowOff>0</xdr:rowOff>
    </xdr:from>
    <xdr:to>
      <xdr:col>2</xdr:col>
      <xdr:colOff>257175</xdr:colOff>
      <xdr:row>618</xdr:row>
      <xdr:rowOff>123825</xdr:rowOff>
    </xdr:to>
    <xdr:sp macro="" textlink="">
      <xdr:nvSpPr>
        <xdr:cNvPr id="2808" name="AutoShape 760" descr="Exempté du ballottage">
          <a:hlinkClick xmlns:r="http://schemas.openxmlformats.org/officeDocument/2006/relationships" r:id="rId650"/>
        </xdr:cNvPr>
        <xdr:cNvSpPr>
          <a:spLocks noChangeAspect="1" noChangeArrowheads="1"/>
        </xdr:cNvSpPr>
      </xdr:nvSpPr>
      <xdr:spPr bwMode="auto">
        <a:xfrm>
          <a:off x="165735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123825</xdr:colOff>
      <xdr:row>431</xdr:row>
      <xdr:rowOff>123825</xdr:rowOff>
    </xdr:to>
    <xdr:sp macro="" textlink="">
      <xdr:nvSpPr>
        <xdr:cNvPr id="2809" name="AutoShape 761" descr="Bonis de performance"/>
        <xdr:cNvSpPr>
          <a:spLocks noChangeAspect="1" noChangeArrowheads="1"/>
        </xdr:cNvSpPr>
      </xdr:nvSpPr>
      <xdr:spPr bwMode="auto">
        <a:xfrm>
          <a:off x="15240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431</xdr:row>
      <xdr:rowOff>0</xdr:rowOff>
    </xdr:from>
    <xdr:to>
      <xdr:col>2</xdr:col>
      <xdr:colOff>257175</xdr:colOff>
      <xdr:row>431</xdr:row>
      <xdr:rowOff>123825</xdr:rowOff>
    </xdr:to>
    <xdr:sp macro="" textlink="">
      <xdr:nvSpPr>
        <xdr:cNvPr id="2810" name="AutoShape 762" descr="Transaction avec retenue de salaire"/>
        <xdr:cNvSpPr>
          <a:spLocks noChangeAspect="1" noChangeArrowheads="1"/>
        </xdr:cNvSpPr>
      </xdr:nvSpPr>
      <xdr:spPr bwMode="auto">
        <a:xfrm>
          <a:off x="165735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431</xdr:row>
      <xdr:rowOff>0</xdr:rowOff>
    </xdr:from>
    <xdr:to>
      <xdr:col>2</xdr:col>
      <xdr:colOff>390525</xdr:colOff>
      <xdr:row>431</xdr:row>
      <xdr:rowOff>123825</xdr:rowOff>
    </xdr:to>
    <xdr:sp macro="" textlink="">
      <xdr:nvSpPr>
        <xdr:cNvPr id="2811" name="AutoShape 763" descr="Exempté du ballottage">
          <a:hlinkClick xmlns:r="http://schemas.openxmlformats.org/officeDocument/2006/relationships" r:id="rId651"/>
        </xdr:cNvPr>
        <xdr:cNvSpPr>
          <a:spLocks noChangeAspect="1" noChangeArrowheads="1"/>
        </xdr:cNvSpPr>
      </xdr:nvSpPr>
      <xdr:spPr bwMode="auto">
        <a:xfrm>
          <a:off x="17907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831</xdr:row>
      <xdr:rowOff>0</xdr:rowOff>
    </xdr:from>
    <xdr:to>
      <xdr:col>2</xdr:col>
      <xdr:colOff>123825</xdr:colOff>
      <xdr:row>831</xdr:row>
      <xdr:rowOff>123825</xdr:rowOff>
    </xdr:to>
    <xdr:sp macro="" textlink="">
      <xdr:nvSpPr>
        <xdr:cNvPr id="2812" name="AutoShape 764" descr="Bonis de performance"/>
        <xdr:cNvSpPr>
          <a:spLocks noChangeAspect="1" noChangeArrowheads="1"/>
        </xdr:cNvSpPr>
      </xdr:nvSpPr>
      <xdr:spPr bwMode="auto">
        <a:xfrm>
          <a:off x="152400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831</xdr:row>
      <xdr:rowOff>0</xdr:rowOff>
    </xdr:from>
    <xdr:to>
      <xdr:col>2</xdr:col>
      <xdr:colOff>257175</xdr:colOff>
      <xdr:row>831</xdr:row>
      <xdr:rowOff>123825</xdr:rowOff>
    </xdr:to>
    <xdr:sp macro="" textlink="">
      <xdr:nvSpPr>
        <xdr:cNvPr id="2813" name="AutoShape 765" descr="Exempté du ballottage">
          <a:hlinkClick xmlns:r="http://schemas.openxmlformats.org/officeDocument/2006/relationships" r:id="rId652"/>
        </xdr:cNvPr>
        <xdr:cNvSpPr>
          <a:spLocks noChangeAspect="1" noChangeArrowheads="1"/>
        </xdr:cNvSpPr>
      </xdr:nvSpPr>
      <xdr:spPr bwMode="auto">
        <a:xfrm>
          <a:off x="165735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238</xdr:row>
      <xdr:rowOff>0</xdr:rowOff>
    </xdr:from>
    <xdr:to>
      <xdr:col>2</xdr:col>
      <xdr:colOff>123825</xdr:colOff>
      <xdr:row>238</xdr:row>
      <xdr:rowOff>123825</xdr:rowOff>
    </xdr:to>
    <xdr:sp macro="" textlink="">
      <xdr:nvSpPr>
        <xdr:cNvPr id="2814" name="AutoShape 766" descr="Bonis de performance"/>
        <xdr:cNvSpPr>
          <a:spLocks noChangeAspect="1" noChangeArrowheads="1"/>
        </xdr:cNvSpPr>
      </xdr:nvSpPr>
      <xdr:spPr bwMode="auto">
        <a:xfrm>
          <a:off x="152400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238</xdr:row>
      <xdr:rowOff>0</xdr:rowOff>
    </xdr:from>
    <xdr:to>
      <xdr:col>2</xdr:col>
      <xdr:colOff>257175</xdr:colOff>
      <xdr:row>238</xdr:row>
      <xdr:rowOff>123825</xdr:rowOff>
    </xdr:to>
    <xdr:sp macro="" textlink="">
      <xdr:nvSpPr>
        <xdr:cNvPr id="2815" name="AutoShape 767" descr="Exempté du ballottage">
          <a:hlinkClick xmlns:r="http://schemas.openxmlformats.org/officeDocument/2006/relationships" r:id="rId653"/>
        </xdr:cNvPr>
        <xdr:cNvSpPr>
          <a:spLocks noChangeAspect="1" noChangeArrowheads="1"/>
        </xdr:cNvSpPr>
      </xdr:nvSpPr>
      <xdr:spPr bwMode="auto">
        <a:xfrm>
          <a:off x="165735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1268</xdr:row>
      <xdr:rowOff>0</xdr:rowOff>
    </xdr:from>
    <xdr:to>
      <xdr:col>2</xdr:col>
      <xdr:colOff>123825</xdr:colOff>
      <xdr:row>1268</xdr:row>
      <xdr:rowOff>123825</xdr:rowOff>
    </xdr:to>
    <xdr:sp macro="" textlink="">
      <xdr:nvSpPr>
        <xdr:cNvPr id="2816" name="AutoShape 768" descr="Bonis de performance"/>
        <xdr:cNvSpPr>
          <a:spLocks noChangeAspect="1" noChangeArrowheads="1"/>
        </xdr:cNvSpPr>
      </xdr:nvSpPr>
      <xdr:spPr bwMode="auto">
        <a:xfrm>
          <a:off x="152400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1268</xdr:row>
      <xdr:rowOff>0</xdr:rowOff>
    </xdr:from>
    <xdr:to>
      <xdr:col>2</xdr:col>
      <xdr:colOff>257175</xdr:colOff>
      <xdr:row>1268</xdr:row>
      <xdr:rowOff>123825</xdr:rowOff>
    </xdr:to>
    <xdr:sp macro="" textlink="">
      <xdr:nvSpPr>
        <xdr:cNvPr id="2817" name="AutoShape 769" descr="Exempté du ballottage">
          <a:hlinkClick xmlns:r="http://schemas.openxmlformats.org/officeDocument/2006/relationships" r:id="rId654"/>
        </xdr:cNvPr>
        <xdr:cNvSpPr>
          <a:spLocks noChangeAspect="1" noChangeArrowheads="1"/>
        </xdr:cNvSpPr>
      </xdr:nvSpPr>
      <xdr:spPr bwMode="auto">
        <a:xfrm>
          <a:off x="165735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xdr:row>
      <xdr:rowOff>0</xdr:rowOff>
    </xdr:from>
    <xdr:to>
      <xdr:col>2</xdr:col>
      <xdr:colOff>123825</xdr:colOff>
      <xdr:row>63</xdr:row>
      <xdr:rowOff>123825</xdr:rowOff>
    </xdr:to>
    <xdr:sp macro="" textlink="">
      <xdr:nvSpPr>
        <xdr:cNvPr id="2818" name="AutoShape 770" descr="Exempté du ballottage">
          <a:hlinkClick xmlns:r="http://schemas.openxmlformats.org/officeDocument/2006/relationships" r:id="rId655"/>
        </xdr:cNvPr>
        <xdr:cNvSpPr>
          <a:spLocks noChangeAspect="1" noChangeArrowheads="1"/>
        </xdr:cNvSpPr>
      </xdr:nvSpPr>
      <xdr:spPr bwMode="auto">
        <a:xfrm>
          <a:off x="1524000" y="23682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826</xdr:row>
      <xdr:rowOff>0</xdr:rowOff>
    </xdr:from>
    <xdr:to>
      <xdr:col>2</xdr:col>
      <xdr:colOff>123825</xdr:colOff>
      <xdr:row>826</xdr:row>
      <xdr:rowOff>123825</xdr:rowOff>
    </xdr:to>
    <xdr:sp macro="" textlink="">
      <xdr:nvSpPr>
        <xdr:cNvPr id="2819" name="AutoShape 771" descr="Bonis de performance"/>
        <xdr:cNvSpPr>
          <a:spLocks noChangeAspect="1" noChangeArrowheads="1"/>
        </xdr:cNvSpPr>
      </xdr:nvSpPr>
      <xdr:spPr bwMode="auto">
        <a:xfrm>
          <a:off x="152400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826</xdr:row>
      <xdr:rowOff>0</xdr:rowOff>
    </xdr:from>
    <xdr:to>
      <xdr:col>2</xdr:col>
      <xdr:colOff>257175</xdr:colOff>
      <xdr:row>826</xdr:row>
      <xdr:rowOff>123825</xdr:rowOff>
    </xdr:to>
    <xdr:sp macro="" textlink="">
      <xdr:nvSpPr>
        <xdr:cNvPr id="2820" name="AutoShape 772" descr="Exempté du ballottage">
          <a:hlinkClick xmlns:r="http://schemas.openxmlformats.org/officeDocument/2006/relationships" r:id="rId656"/>
        </xdr:cNvPr>
        <xdr:cNvSpPr>
          <a:spLocks noChangeAspect="1" noChangeArrowheads="1"/>
        </xdr:cNvSpPr>
      </xdr:nvSpPr>
      <xdr:spPr bwMode="auto">
        <a:xfrm>
          <a:off x="165735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1459</xdr:row>
      <xdr:rowOff>0</xdr:rowOff>
    </xdr:from>
    <xdr:to>
      <xdr:col>2</xdr:col>
      <xdr:colOff>123825</xdr:colOff>
      <xdr:row>1459</xdr:row>
      <xdr:rowOff>123825</xdr:rowOff>
    </xdr:to>
    <xdr:sp macro="" textlink="">
      <xdr:nvSpPr>
        <xdr:cNvPr id="2821" name="AutoShape 773" descr="Bonis de performance"/>
        <xdr:cNvSpPr>
          <a:spLocks noChangeAspect="1" noChangeArrowheads="1"/>
        </xdr:cNvSpPr>
      </xdr:nvSpPr>
      <xdr:spPr bwMode="auto">
        <a:xfrm>
          <a:off x="152400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1459</xdr:row>
      <xdr:rowOff>0</xdr:rowOff>
    </xdr:from>
    <xdr:to>
      <xdr:col>2</xdr:col>
      <xdr:colOff>257175</xdr:colOff>
      <xdr:row>1459</xdr:row>
      <xdr:rowOff>123825</xdr:rowOff>
    </xdr:to>
    <xdr:sp macro="" textlink="">
      <xdr:nvSpPr>
        <xdr:cNvPr id="2822" name="AutoShape 774" descr="Exempté du ballottage">
          <a:hlinkClick xmlns:r="http://schemas.openxmlformats.org/officeDocument/2006/relationships" r:id="rId657"/>
        </xdr:cNvPr>
        <xdr:cNvSpPr>
          <a:spLocks noChangeAspect="1" noChangeArrowheads="1"/>
        </xdr:cNvSpPr>
      </xdr:nvSpPr>
      <xdr:spPr bwMode="auto">
        <a:xfrm>
          <a:off x="165735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1253</xdr:row>
      <xdr:rowOff>0</xdr:rowOff>
    </xdr:from>
    <xdr:to>
      <xdr:col>7</xdr:col>
      <xdr:colOff>123825</xdr:colOff>
      <xdr:row>1253</xdr:row>
      <xdr:rowOff>104775</xdr:rowOff>
    </xdr:to>
    <xdr:sp macro="" textlink="">
      <xdr:nvSpPr>
        <xdr:cNvPr id="2823" name="AutoShape 775" descr="Éligible à l'arbitrage">
          <a:hlinkClick xmlns:r="http://schemas.openxmlformats.org/officeDocument/2006/relationships" r:id="rId658"/>
        </xdr:cNvPr>
        <xdr:cNvSpPr>
          <a:spLocks noChangeAspect="1" noChangeArrowheads="1"/>
        </xdr:cNvSpPr>
      </xdr:nvSpPr>
      <xdr:spPr bwMode="auto">
        <a:xfrm>
          <a:off x="5334000" y="237391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1397</xdr:row>
      <xdr:rowOff>0</xdr:rowOff>
    </xdr:from>
    <xdr:to>
      <xdr:col>7</xdr:col>
      <xdr:colOff>123825</xdr:colOff>
      <xdr:row>1397</xdr:row>
      <xdr:rowOff>104775</xdr:rowOff>
    </xdr:to>
    <xdr:sp macro="" textlink="">
      <xdr:nvSpPr>
        <xdr:cNvPr id="2824" name="AutoShape 776" descr="Éligible à l'arbitrage">
          <a:hlinkClick xmlns:r="http://schemas.openxmlformats.org/officeDocument/2006/relationships" r:id="rId659"/>
        </xdr:cNvPr>
        <xdr:cNvSpPr>
          <a:spLocks noChangeAspect="1" noChangeArrowheads="1"/>
        </xdr:cNvSpPr>
      </xdr:nvSpPr>
      <xdr:spPr bwMode="auto">
        <a:xfrm>
          <a:off x="5334000" y="237963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123825</xdr:colOff>
      <xdr:row>424</xdr:row>
      <xdr:rowOff>123825</xdr:rowOff>
    </xdr:to>
    <xdr:sp macro="" textlink="">
      <xdr:nvSpPr>
        <xdr:cNvPr id="2825" name="AutoShape 777" descr="Bonis de performance"/>
        <xdr:cNvSpPr>
          <a:spLocks noChangeAspect="1" noChangeArrowheads="1"/>
        </xdr:cNvSpPr>
      </xdr:nvSpPr>
      <xdr:spPr bwMode="auto">
        <a:xfrm>
          <a:off x="152400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424</xdr:row>
      <xdr:rowOff>0</xdr:rowOff>
    </xdr:from>
    <xdr:to>
      <xdr:col>2</xdr:col>
      <xdr:colOff>257175</xdr:colOff>
      <xdr:row>424</xdr:row>
      <xdr:rowOff>123825</xdr:rowOff>
    </xdr:to>
    <xdr:sp macro="" textlink="">
      <xdr:nvSpPr>
        <xdr:cNvPr id="2826" name="AutoShape 778" descr="Exempté du ballottage">
          <a:hlinkClick xmlns:r="http://schemas.openxmlformats.org/officeDocument/2006/relationships" r:id="rId660"/>
        </xdr:cNvPr>
        <xdr:cNvSpPr>
          <a:spLocks noChangeAspect="1" noChangeArrowheads="1"/>
        </xdr:cNvSpPr>
      </xdr:nvSpPr>
      <xdr:spPr bwMode="auto">
        <a:xfrm>
          <a:off x="165735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1275</xdr:row>
      <xdr:rowOff>0</xdr:rowOff>
    </xdr:from>
    <xdr:to>
      <xdr:col>2</xdr:col>
      <xdr:colOff>123825</xdr:colOff>
      <xdr:row>1275</xdr:row>
      <xdr:rowOff>123825</xdr:rowOff>
    </xdr:to>
    <xdr:sp macro="" textlink="">
      <xdr:nvSpPr>
        <xdr:cNvPr id="2827" name="AutoShape 779" descr="Bonis de performance"/>
        <xdr:cNvSpPr>
          <a:spLocks noChangeAspect="1" noChangeArrowheads="1"/>
        </xdr:cNvSpPr>
      </xdr:nvSpPr>
      <xdr:spPr bwMode="auto">
        <a:xfrm>
          <a:off x="152400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1275</xdr:row>
      <xdr:rowOff>0</xdr:rowOff>
    </xdr:from>
    <xdr:to>
      <xdr:col>2</xdr:col>
      <xdr:colOff>257175</xdr:colOff>
      <xdr:row>1275</xdr:row>
      <xdr:rowOff>123825</xdr:rowOff>
    </xdr:to>
    <xdr:sp macro="" textlink="">
      <xdr:nvSpPr>
        <xdr:cNvPr id="2828" name="AutoShape 780" descr="Exempté du ballottage">
          <a:hlinkClick xmlns:r="http://schemas.openxmlformats.org/officeDocument/2006/relationships" r:id="rId661"/>
        </xdr:cNvPr>
        <xdr:cNvSpPr>
          <a:spLocks noChangeAspect="1" noChangeArrowheads="1"/>
        </xdr:cNvSpPr>
      </xdr:nvSpPr>
      <xdr:spPr bwMode="auto">
        <a:xfrm>
          <a:off x="165735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1270</xdr:row>
      <xdr:rowOff>0</xdr:rowOff>
    </xdr:from>
    <xdr:to>
      <xdr:col>2</xdr:col>
      <xdr:colOff>123825</xdr:colOff>
      <xdr:row>1270</xdr:row>
      <xdr:rowOff>123825</xdr:rowOff>
    </xdr:to>
    <xdr:sp macro="" textlink="">
      <xdr:nvSpPr>
        <xdr:cNvPr id="2829" name="AutoShape 781" descr="Exempté du ballottage">
          <a:hlinkClick xmlns:r="http://schemas.openxmlformats.org/officeDocument/2006/relationships" r:id="rId662"/>
        </xdr:cNvPr>
        <xdr:cNvSpPr>
          <a:spLocks noChangeAspect="1" noChangeArrowheads="1"/>
        </xdr:cNvSpPr>
      </xdr:nvSpPr>
      <xdr:spPr bwMode="auto">
        <a:xfrm>
          <a:off x="1524000" y="23946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1415</xdr:row>
      <xdr:rowOff>0</xdr:rowOff>
    </xdr:from>
    <xdr:to>
      <xdr:col>7</xdr:col>
      <xdr:colOff>123825</xdr:colOff>
      <xdr:row>1415</xdr:row>
      <xdr:rowOff>104775</xdr:rowOff>
    </xdr:to>
    <xdr:sp macro="" textlink="">
      <xdr:nvSpPr>
        <xdr:cNvPr id="2830" name="AutoShape 782" descr="Éligible à l'arbitrage">
          <a:hlinkClick xmlns:r="http://schemas.openxmlformats.org/officeDocument/2006/relationships" r:id="rId663"/>
        </xdr:cNvPr>
        <xdr:cNvSpPr>
          <a:spLocks noChangeAspect="1" noChangeArrowheads="1"/>
        </xdr:cNvSpPr>
      </xdr:nvSpPr>
      <xdr:spPr bwMode="auto">
        <a:xfrm>
          <a:off x="5334000" y="240039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885</xdr:row>
      <xdr:rowOff>0</xdr:rowOff>
    </xdr:from>
    <xdr:to>
      <xdr:col>7</xdr:col>
      <xdr:colOff>123825</xdr:colOff>
      <xdr:row>885</xdr:row>
      <xdr:rowOff>104775</xdr:rowOff>
    </xdr:to>
    <xdr:sp macro="" textlink="">
      <xdr:nvSpPr>
        <xdr:cNvPr id="2831" name="AutoShape 783" descr="Éligible à l'arbitrage">
          <a:hlinkClick xmlns:r="http://schemas.openxmlformats.org/officeDocument/2006/relationships" r:id="rId664"/>
        </xdr:cNvPr>
        <xdr:cNvSpPr>
          <a:spLocks noChangeAspect="1" noChangeArrowheads="1"/>
        </xdr:cNvSpPr>
      </xdr:nvSpPr>
      <xdr:spPr bwMode="auto">
        <a:xfrm>
          <a:off x="5334000" y="24155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561</xdr:row>
      <xdr:rowOff>0</xdr:rowOff>
    </xdr:from>
    <xdr:to>
      <xdr:col>8</xdr:col>
      <xdr:colOff>123825</xdr:colOff>
      <xdr:row>561</xdr:row>
      <xdr:rowOff>104775</xdr:rowOff>
    </xdr:to>
    <xdr:sp macro="" textlink="">
      <xdr:nvSpPr>
        <xdr:cNvPr id="2832" name="AutoShape 784" descr="Éligible à l'arbitrage">
          <a:hlinkClick xmlns:r="http://schemas.openxmlformats.org/officeDocument/2006/relationships" r:id="rId665"/>
        </xdr:cNvPr>
        <xdr:cNvSpPr>
          <a:spLocks noChangeAspect="1" noChangeArrowheads="1"/>
        </xdr:cNvSpPr>
      </xdr:nvSpPr>
      <xdr:spPr bwMode="auto">
        <a:xfrm>
          <a:off x="6096000" y="23465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324</xdr:row>
      <xdr:rowOff>0</xdr:rowOff>
    </xdr:from>
    <xdr:to>
      <xdr:col>2</xdr:col>
      <xdr:colOff>123825</xdr:colOff>
      <xdr:row>324</xdr:row>
      <xdr:rowOff>123825</xdr:rowOff>
    </xdr:to>
    <xdr:sp macro="" textlink="">
      <xdr:nvSpPr>
        <xdr:cNvPr id="2833" name="AutoShape 785" descr="Exempté du ballottage">
          <a:hlinkClick xmlns:r="http://schemas.openxmlformats.org/officeDocument/2006/relationships" r:id="rId666"/>
        </xdr:cNvPr>
        <xdr:cNvSpPr>
          <a:spLocks noChangeAspect="1" noChangeArrowheads="1"/>
        </xdr:cNvSpPr>
      </xdr:nvSpPr>
      <xdr:spPr bwMode="auto">
        <a:xfrm>
          <a:off x="1524000" y="23484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324</xdr:row>
      <xdr:rowOff>0</xdr:rowOff>
    </xdr:from>
    <xdr:to>
      <xdr:col>8</xdr:col>
      <xdr:colOff>123825</xdr:colOff>
      <xdr:row>324</xdr:row>
      <xdr:rowOff>104775</xdr:rowOff>
    </xdr:to>
    <xdr:sp macro="" textlink="">
      <xdr:nvSpPr>
        <xdr:cNvPr id="2834" name="AutoShape 786" descr="Éligible à l'arbitrage">
          <a:hlinkClick xmlns:r="http://schemas.openxmlformats.org/officeDocument/2006/relationships" r:id="rId667"/>
        </xdr:cNvPr>
        <xdr:cNvSpPr>
          <a:spLocks noChangeAspect="1" noChangeArrowheads="1"/>
        </xdr:cNvSpPr>
      </xdr:nvSpPr>
      <xdr:spPr bwMode="auto">
        <a:xfrm>
          <a:off x="6096000" y="23484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5" name="AutoShape 787" descr="https://capfriendly-wlb8ng5.stackpathdns.com/assets/images/icons/general/q.svg"/>
        <xdr:cNvSpPr>
          <a:spLocks noChangeAspect="1" noChangeArrowheads="1"/>
        </xdr:cNvSpPr>
      </xdr:nvSpPr>
      <xdr:spPr bwMode="auto">
        <a:xfrm>
          <a:off x="1524000" y="2403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6" name="AutoShape 788" descr="https://capfriendly-wlb8ng5.stackpathdns.com/assets/images/icons/general/q.svg"/>
        <xdr:cNvSpPr>
          <a:spLocks noChangeAspect="1" noChangeArrowheads="1"/>
        </xdr:cNvSpPr>
      </xdr:nvSpPr>
      <xdr:spPr bwMode="auto">
        <a:xfrm>
          <a:off x="1524000" y="2405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7" name="AutoShape 789" descr="https://capfriendly-wlb8ng5.stackpathdns.com/assets/images/icons/general/q.svg"/>
        <xdr:cNvSpPr>
          <a:spLocks noChangeAspect="1" noChangeArrowheads="1"/>
        </xdr:cNvSpPr>
      </xdr:nvSpPr>
      <xdr:spPr bwMode="auto">
        <a:xfrm>
          <a:off x="1524000" y="2407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8" name="AutoShape 790" descr="https://capfriendly-wlb8ng5.stackpathdns.com/assets/images/icons/general/q.svg"/>
        <xdr:cNvSpPr>
          <a:spLocks noChangeAspect="1" noChangeArrowheads="1"/>
        </xdr:cNvSpPr>
      </xdr:nvSpPr>
      <xdr:spPr bwMode="auto">
        <a:xfrm>
          <a:off x="1524000" y="2409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9" name="AutoShape 791" descr="https://capfriendly-wlb8ng5.stackpathdns.com/assets/images/icons/general/q.svg"/>
        <xdr:cNvSpPr>
          <a:spLocks noChangeAspect="1" noChangeArrowheads="1"/>
        </xdr:cNvSpPr>
      </xdr:nvSpPr>
      <xdr:spPr bwMode="auto">
        <a:xfrm>
          <a:off x="1524000" y="2411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0" name="AutoShape 792" descr="https://capfriendly-wlb8ng5.stackpathdns.com/assets/images/icons/general/q.svg"/>
        <xdr:cNvSpPr>
          <a:spLocks noChangeAspect="1" noChangeArrowheads="1"/>
        </xdr:cNvSpPr>
      </xdr:nvSpPr>
      <xdr:spPr bwMode="auto">
        <a:xfrm>
          <a:off x="1524000" y="2412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1" name="AutoShape 793" descr="https://capfriendly-wlb8ng5.stackpathdns.com/assets/images/icons/general/q.svg"/>
        <xdr:cNvSpPr>
          <a:spLocks noChangeAspect="1" noChangeArrowheads="1"/>
        </xdr:cNvSpPr>
      </xdr:nvSpPr>
      <xdr:spPr bwMode="auto">
        <a:xfrm>
          <a:off x="1524000" y="2414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2" name="AutoShape 794" descr="https://capfriendly-wlb8ng5.stackpathdns.com/assets/images/icons/general/q.svg"/>
        <xdr:cNvSpPr>
          <a:spLocks noChangeAspect="1" noChangeArrowheads="1"/>
        </xdr:cNvSpPr>
      </xdr:nvSpPr>
      <xdr:spPr bwMode="auto">
        <a:xfrm>
          <a:off x="1524000" y="2416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3" name="AutoShape 795" descr="https://capfriendly-wlb8ng5.stackpathdns.com/assets/images/icons/general/q.svg"/>
        <xdr:cNvSpPr>
          <a:spLocks noChangeAspect="1" noChangeArrowheads="1"/>
        </xdr:cNvSpPr>
      </xdr:nvSpPr>
      <xdr:spPr bwMode="auto">
        <a:xfrm>
          <a:off x="1524000" y="2418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4" name="AutoShape 796" descr="https://capfriendly-wlb8ng5.stackpathdns.com/assets/images/icons/general/q.svg"/>
        <xdr:cNvSpPr>
          <a:spLocks noChangeAspect="1" noChangeArrowheads="1"/>
        </xdr:cNvSpPr>
      </xdr:nvSpPr>
      <xdr:spPr bwMode="auto">
        <a:xfrm>
          <a:off x="1524000" y="2420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5" name="AutoShape 797" descr="https://capfriendly-wlb8ng5.stackpathdns.com/assets/images/icons/general/q.svg"/>
        <xdr:cNvSpPr>
          <a:spLocks noChangeAspect="1" noChangeArrowheads="1"/>
        </xdr:cNvSpPr>
      </xdr:nvSpPr>
      <xdr:spPr bwMode="auto">
        <a:xfrm>
          <a:off x="1524000" y="2422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6" name="AutoShape 798" descr="Exempté du ballottage">
          <a:hlinkClick xmlns:r="http://schemas.openxmlformats.org/officeDocument/2006/relationships" r:id="rId668"/>
        </xdr:cNvPr>
        <xdr:cNvSpPr>
          <a:spLocks noChangeAspect="1" noChangeArrowheads="1"/>
        </xdr:cNvSpPr>
      </xdr:nvSpPr>
      <xdr:spPr bwMode="auto">
        <a:xfrm>
          <a:off x="1524000" y="2431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758</xdr:row>
      <xdr:rowOff>0</xdr:rowOff>
    </xdr:from>
    <xdr:to>
      <xdr:col>2</xdr:col>
      <xdr:colOff>123825</xdr:colOff>
      <xdr:row>758</xdr:row>
      <xdr:rowOff>123825</xdr:rowOff>
    </xdr:to>
    <xdr:sp macro="" textlink="">
      <xdr:nvSpPr>
        <xdr:cNvPr id="2847" name="AutoShape 799" descr="Bonis de performance"/>
        <xdr:cNvSpPr>
          <a:spLocks noChangeAspect="1" noChangeArrowheads="1"/>
        </xdr:cNvSpPr>
      </xdr:nvSpPr>
      <xdr:spPr bwMode="auto">
        <a:xfrm>
          <a:off x="152400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758</xdr:row>
      <xdr:rowOff>0</xdr:rowOff>
    </xdr:from>
    <xdr:to>
      <xdr:col>2</xdr:col>
      <xdr:colOff>257175</xdr:colOff>
      <xdr:row>758</xdr:row>
      <xdr:rowOff>123825</xdr:rowOff>
    </xdr:to>
    <xdr:sp macro="" textlink="">
      <xdr:nvSpPr>
        <xdr:cNvPr id="2848" name="AutoShape 800" descr="Exempté du ballottage">
          <a:hlinkClick xmlns:r="http://schemas.openxmlformats.org/officeDocument/2006/relationships" r:id="rId669"/>
        </xdr:cNvPr>
        <xdr:cNvSpPr>
          <a:spLocks noChangeAspect="1" noChangeArrowheads="1"/>
        </xdr:cNvSpPr>
      </xdr:nvSpPr>
      <xdr:spPr bwMode="auto">
        <a:xfrm>
          <a:off x="165735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123825</xdr:colOff>
      <xdr:row>511</xdr:row>
      <xdr:rowOff>123825</xdr:rowOff>
    </xdr:to>
    <xdr:sp macro="" textlink="">
      <xdr:nvSpPr>
        <xdr:cNvPr id="2849" name="AutoShape 801" descr="Bonis de performance"/>
        <xdr:cNvSpPr>
          <a:spLocks noChangeAspect="1" noChangeArrowheads="1"/>
        </xdr:cNvSpPr>
      </xdr:nvSpPr>
      <xdr:spPr bwMode="auto">
        <a:xfrm>
          <a:off x="152400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511</xdr:row>
      <xdr:rowOff>0</xdr:rowOff>
    </xdr:from>
    <xdr:to>
      <xdr:col>2</xdr:col>
      <xdr:colOff>257175</xdr:colOff>
      <xdr:row>511</xdr:row>
      <xdr:rowOff>123825</xdr:rowOff>
    </xdr:to>
    <xdr:sp macro="" textlink="">
      <xdr:nvSpPr>
        <xdr:cNvPr id="2850" name="AutoShape 802" descr="Exempté du ballottage">
          <a:hlinkClick xmlns:r="http://schemas.openxmlformats.org/officeDocument/2006/relationships" r:id="rId670"/>
        </xdr:cNvPr>
        <xdr:cNvSpPr>
          <a:spLocks noChangeAspect="1" noChangeArrowheads="1"/>
        </xdr:cNvSpPr>
      </xdr:nvSpPr>
      <xdr:spPr bwMode="auto">
        <a:xfrm>
          <a:off x="165735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1311</xdr:row>
      <xdr:rowOff>0</xdr:rowOff>
    </xdr:from>
    <xdr:to>
      <xdr:col>2</xdr:col>
      <xdr:colOff>123825</xdr:colOff>
      <xdr:row>1311</xdr:row>
      <xdr:rowOff>123825</xdr:rowOff>
    </xdr:to>
    <xdr:sp macro="" textlink="">
      <xdr:nvSpPr>
        <xdr:cNvPr id="2851" name="AutoShape 803" descr="Exempté du ballottage">
          <a:hlinkClick xmlns:r="http://schemas.openxmlformats.org/officeDocument/2006/relationships" r:id="rId671"/>
        </xdr:cNvPr>
        <xdr:cNvSpPr>
          <a:spLocks noChangeAspect="1" noChangeArrowheads="1"/>
        </xdr:cNvSpPr>
      </xdr:nvSpPr>
      <xdr:spPr bwMode="auto">
        <a:xfrm>
          <a:off x="1524000" y="2436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709</xdr:row>
      <xdr:rowOff>0</xdr:rowOff>
    </xdr:from>
    <xdr:to>
      <xdr:col>2</xdr:col>
      <xdr:colOff>123825</xdr:colOff>
      <xdr:row>709</xdr:row>
      <xdr:rowOff>123825</xdr:rowOff>
    </xdr:to>
    <xdr:sp macro="" textlink="">
      <xdr:nvSpPr>
        <xdr:cNvPr id="2852" name="AutoShape 804" descr="Bonis de performance"/>
        <xdr:cNvSpPr>
          <a:spLocks noChangeAspect="1" noChangeArrowheads="1"/>
        </xdr:cNvSpPr>
      </xdr:nvSpPr>
      <xdr:spPr bwMode="auto">
        <a:xfrm>
          <a:off x="15240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709</xdr:row>
      <xdr:rowOff>0</xdr:rowOff>
    </xdr:from>
    <xdr:to>
      <xdr:col>2</xdr:col>
      <xdr:colOff>257175</xdr:colOff>
      <xdr:row>709</xdr:row>
      <xdr:rowOff>123825</xdr:rowOff>
    </xdr:to>
    <xdr:sp macro="" textlink="">
      <xdr:nvSpPr>
        <xdr:cNvPr id="2853" name="AutoShape 805" descr="Transaction avec retenue de salaire"/>
        <xdr:cNvSpPr>
          <a:spLocks noChangeAspect="1" noChangeArrowheads="1"/>
        </xdr:cNvSpPr>
      </xdr:nvSpPr>
      <xdr:spPr bwMode="auto">
        <a:xfrm>
          <a:off x="165735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709</xdr:row>
      <xdr:rowOff>0</xdr:rowOff>
    </xdr:from>
    <xdr:to>
      <xdr:col>2</xdr:col>
      <xdr:colOff>390525</xdr:colOff>
      <xdr:row>709</xdr:row>
      <xdr:rowOff>123825</xdr:rowOff>
    </xdr:to>
    <xdr:sp macro="" textlink="">
      <xdr:nvSpPr>
        <xdr:cNvPr id="2854" name="AutoShape 806" descr="Exempté du ballottage">
          <a:hlinkClick xmlns:r="http://schemas.openxmlformats.org/officeDocument/2006/relationships" r:id="rId672"/>
        </xdr:cNvPr>
        <xdr:cNvSpPr>
          <a:spLocks noChangeAspect="1" noChangeArrowheads="1"/>
        </xdr:cNvSpPr>
      </xdr:nvSpPr>
      <xdr:spPr bwMode="auto">
        <a:xfrm>
          <a:off x="17907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310</xdr:row>
      <xdr:rowOff>0</xdr:rowOff>
    </xdr:from>
    <xdr:to>
      <xdr:col>2</xdr:col>
      <xdr:colOff>123825</xdr:colOff>
      <xdr:row>310</xdr:row>
      <xdr:rowOff>123825</xdr:rowOff>
    </xdr:to>
    <xdr:sp macro="" textlink="">
      <xdr:nvSpPr>
        <xdr:cNvPr id="2855" name="AutoShape 807" descr="Bonis de performance"/>
        <xdr:cNvSpPr>
          <a:spLocks noChangeAspect="1" noChangeArrowheads="1"/>
        </xdr:cNvSpPr>
      </xdr:nvSpPr>
      <xdr:spPr bwMode="auto">
        <a:xfrm>
          <a:off x="152400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310</xdr:row>
      <xdr:rowOff>0</xdr:rowOff>
    </xdr:from>
    <xdr:to>
      <xdr:col>2</xdr:col>
      <xdr:colOff>257175</xdr:colOff>
      <xdr:row>310</xdr:row>
      <xdr:rowOff>123825</xdr:rowOff>
    </xdr:to>
    <xdr:sp macro="" textlink="">
      <xdr:nvSpPr>
        <xdr:cNvPr id="2856" name="AutoShape 808" descr="Exempté du ballottage">
          <a:hlinkClick xmlns:r="http://schemas.openxmlformats.org/officeDocument/2006/relationships" r:id="rId673"/>
        </xdr:cNvPr>
        <xdr:cNvSpPr>
          <a:spLocks noChangeAspect="1" noChangeArrowheads="1"/>
        </xdr:cNvSpPr>
      </xdr:nvSpPr>
      <xdr:spPr bwMode="auto">
        <a:xfrm>
          <a:off x="165735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xdr:row>
      <xdr:rowOff>0</xdr:rowOff>
    </xdr:from>
    <xdr:to>
      <xdr:col>2</xdr:col>
      <xdr:colOff>123825</xdr:colOff>
      <xdr:row>110</xdr:row>
      <xdr:rowOff>123825</xdr:rowOff>
    </xdr:to>
    <xdr:sp macro="" textlink="">
      <xdr:nvSpPr>
        <xdr:cNvPr id="2857" name="AutoShape 809" descr="Bonis de performance"/>
        <xdr:cNvSpPr>
          <a:spLocks noChangeAspect="1" noChangeArrowheads="1"/>
        </xdr:cNvSpPr>
      </xdr:nvSpPr>
      <xdr:spPr bwMode="auto">
        <a:xfrm>
          <a:off x="152400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110</xdr:row>
      <xdr:rowOff>0</xdr:rowOff>
    </xdr:from>
    <xdr:to>
      <xdr:col>2</xdr:col>
      <xdr:colOff>257175</xdr:colOff>
      <xdr:row>110</xdr:row>
      <xdr:rowOff>123825</xdr:rowOff>
    </xdr:to>
    <xdr:sp macro="" textlink="">
      <xdr:nvSpPr>
        <xdr:cNvPr id="2858" name="AutoShape 810" descr="Exempté du ballottage">
          <a:hlinkClick xmlns:r="http://schemas.openxmlformats.org/officeDocument/2006/relationships" r:id="rId674"/>
        </xdr:cNvPr>
        <xdr:cNvSpPr>
          <a:spLocks noChangeAspect="1" noChangeArrowheads="1"/>
        </xdr:cNvSpPr>
      </xdr:nvSpPr>
      <xdr:spPr bwMode="auto">
        <a:xfrm>
          <a:off x="165735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1220</xdr:row>
      <xdr:rowOff>0</xdr:rowOff>
    </xdr:from>
    <xdr:to>
      <xdr:col>2</xdr:col>
      <xdr:colOff>123825</xdr:colOff>
      <xdr:row>1220</xdr:row>
      <xdr:rowOff>123825</xdr:rowOff>
    </xdr:to>
    <xdr:sp macro="" textlink="">
      <xdr:nvSpPr>
        <xdr:cNvPr id="2859" name="AutoShape 811" descr="Bonis de performance"/>
        <xdr:cNvSpPr>
          <a:spLocks noChangeAspect="1" noChangeArrowheads="1"/>
        </xdr:cNvSpPr>
      </xdr:nvSpPr>
      <xdr:spPr bwMode="auto">
        <a:xfrm>
          <a:off x="152400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1220</xdr:row>
      <xdr:rowOff>0</xdr:rowOff>
    </xdr:from>
    <xdr:to>
      <xdr:col>2</xdr:col>
      <xdr:colOff>257175</xdr:colOff>
      <xdr:row>1220</xdr:row>
      <xdr:rowOff>123825</xdr:rowOff>
    </xdr:to>
    <xdr:sp macro="" textlink="">
      <xdr:nvSpPr>
        <xdr:cNvPr id="2860" name="AutoShape 812" descr="Exempté du ballottage">
          <a:hlinkClick xmlns:r="http://schemas.openxmlformats.org/officeDocument/2006/relationships" r:id="rId675"/>
        </xdr:cNvPr>
        <xdr:cNvSpPr>
          <a:spLocks noChangeAspect="1" noChangeArrowheads="1"/>
        </xdr:cNvSpPr>
      </xdr:nvSpPr>
      <xdr:spPr bwMode="auto">
        <a:xfrm>
          <a:off x="165735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1266</xdr:row>
      <xdr:rowOff>0</xdr:rowOff>
    </xdr:from>
    <xdr:to>
      <xdr:col>2</xdr:col>
      <xdr:colOff>123825</xdr:colOff>
      <xdr:row>1266</xdr:row>
      <xdr:rowOff>123825</xdr:rowOff>
    </xdr:to>
    <xdr:sp macro="" textlink="">
      <xdr:nvSpPr>
        <xdr:cNvPr id="2861" name="AutoShape 813" descr="Bonis de performance"/>
        <xdr:cNvSpPr>
          <a:spLocks noChangeAspect="1" noChangeArrowheads="1"/>
        </xdr:cNvSpPr>
      </xdr:nvSpPr>
      <xdr:spPr bwMode="auto">
        <a:xfrm>
          <a:off x="152400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1266</xdr:row>
      <xdr:rowOff>0</xdr:rowOff>
    </xdr:from>
    <xdr:to>
      <xdr:col>2</xdr:col>
      <xdr:colOff>257175</xdr:colOff>
      <xdr:row>1266</xdr:row>
      <xdr:rowOff>123825</xdr:rowOff>
    </xdr:to>
    <xdr:sp macro="" textlink="">
      <xdr:nvSpPr>
        <xdr:cNvPr id="2862" name="AutoShape 814" descr="Exempté du ballottage">
          <a:hlinkClick xmlns:r="http://schemas.openxmlformats.org/officeDocument/2006/relationships" r:id="rId676"/>
        </xdr:cNvPr>
        <xdr:cNvSpPr>
          <a:spLocks noChangeAspect="1" noChangeArrowheads="1"/>
        </xdr:cNvSpPr>
      </xdr:nvSpPr>
      <xdr:spPr bwMode="auto">
        <a:xfrm>
          <a:off x="165735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830</xdr:row>
      <xdr:rowOff>0</xdr:rowOff>
    </xdr:from>
    <xdr:to>
      <xdr:col>2</xdr:col>
      <xdr:colOff>123825</xdr:colOff>
      <xdr:row>830</xdr:row>
      <xdr:rowOff>123825</xdr:rowOff>
    </xdr:to>
    <xdr:sp macro="" textlink="">
      <xdr:nvSpPr>
        <xdr:cNvPr id="2863" name="AutoShape 815" descr="Bonis de performance"/>
        <xdr:cNvSpPr>
          <a:spLocks noChangeAspect="1" noChangeArrowheads="1"/>
        </xdr:cNvSpPr>
      </xdr:nvSpPr>
      <xdr:spPr bwMode="auto">
        <a:xfrm>
          <a:off x="152400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830</xdr:row>
      <xdr:rowOff>0</xdr:rowOff>
    </xdr:from>
    <xdr:to>
      <xdr:col>2</xdr:col>
      <xdr:colOff>257175</xdr:colOff>
      <xdr:row>830</xdr:row>
      <xdr:rowOff>123825</xdr:rowOff>
    </xdr:to>
    <xdr:sp macro="" textlink="">
      <xdr:nvSpPr>
        <xdr:cNvPr id="2864" name="AutoShape 816" descr="Exempté du ballottage">
          <a:hlinkClick xmlns:r="http://schemas.openxmlformats.org/officeDocument/2006/relationships" r:id="rId677"/>
        </xdr:cNvPr>
        <xdr:cNvSpPr>
          <a:spLocks noChangeAspect="1" noChangeArrowheads="1"/>
        </xdr:cNvSpPr>
      </xdr:nvSpPr>
      <xdr:spPr bwMode="auto">
        <a:xfrm>
          <a:off x="165735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2865" name="AutoShape 817" descr="Exempté du ballottage">
          <a:hlinkClick xmlns:r="http://schemas.openxmlformats.org/officeDocument/2006/relationships" r:id="rId678"/>
        </xdr:cNvPr>
        <xdr:cNvSpPr>
          <a:spLocks noChangeAspect="1" noChangeArrowheads="1"/>
        </xdr:cNvSpPr>
      </xdr:nvSpPr>
      <xdr:spPr bwMode="auto">
        <a:xfrm>
          <a:off x="1524000" y="2452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650</xdr:row>
      <xdr:rowOff>0</xdr:rowOff>
    </xdr:from>
    <xdr:to>
      <xdr:col>8</xdr:col>
      <xdr:colOff>123825</xdr:colOff>
      <xdr:row>650</xdr:row>
      <xdr:rowOff>104775</xdr:rowOff>
    </xdr:to>
    <xdr:sp macro="" textlink="">
      <xdr:nvSpPr>
        <xdr:cNvPr id="2866" name="AutoShape 818" descr="Éligible à l'arbitrage">
          <a:hlinkClick xmlns:r="http://schemas.openxmlformats.org/officeDocument/2006/relationships" r:id="rId679"/>
        </xdr:cNvPr>
        <xdr:cNvSpPr>
          <a:spLocks noChangeAspect="1" noChangeArrowheads="1"/>
        </xdr:cNvSpPr>
      </xdr:nvSpPr>
      <xdr:spPr bwMode="auto">
        <a:xfrm>
          <a:off x="6096000" y="24559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123825</xdr:colOff>
      <xdr:row>495</xdr:row>
      <xdr:rowOff>123825</xdr:rowOff>
    </xdr:to>
    <xdr:sp macro="" textlink="">
      <xdr:nvSpPr>
        <xdr:cNvPr id="2867" name="AutoShape 819" descr="Exempté du ballottage">
          <a:hlinkClick xmlns:r="http://schemas.openxmlformats.org/officeDocument/2006/relationships" r:id="rId680"/>
        </xdr:cNvPr>
        <xdr:cNvSpPr>
          <a:spLocks noChangeAspect="1" noChangeArrowheads="1"/>
        </xdr:cNvSpPr>
      </xdr:nvSpPr>
      <xdr:spPr bwMode="auto">
        <a:xfrm>
          <a:off x="1524000" y="2472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1271</xdr:row>
      <xdr:rowOff>0</xdr:rowOff>
    </xdr:from>
    <xdr:to>
      <xdr:col>2</xdr:col>
      <xdr:colOff>123825</xdr:colOff>
      <xdr:row>1271</xdr:row>
      <xdr:rowOff>123825</xdr:rowOff>
    </xdr:to>
    <xdr:sp macro="" textlink="">
      <xdr:nvSpPr>
        <xdr:cNvPr id="2868" name="AutoShape 820" descr="Exempté du ballottage">
          <a:hlinkClick xmlns:r="http://schemas.openxmlformats.org/officeDocument/2006/relationships" r:id="rId681"/>
        </xdr:cNvPr>
        <xdr:cNvSpPr>
          <a:spLocks noChangeAspect="1" noChangeArrowheads="1"/>
        </xdr:cNvSpPr>
      </xdr:nvSpPr>
      <xdr:spPr bwMode="auto">
        <a:xfrm>
          <a:off x="1524000" y="2474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1271</xdr:row>
      <xdr:rowOff>0</xdr:rowOff>
    </xdr:from>
    <xdr:to>
      <xdr:col>7</xdr:col>
      <xdr:colOff>123825</xdr:colOff>
      <xdr:row>1271</xdr:row>
      <xdr:rowOff>104775</xdr:rowOff>
    </xdr:to>
    <xdr:sp macro="" textlink="">
      <xdr:nvSpPr>
        <xdr:cNvPr id="2869" name="AutoShape 821" descr="Éligible à l'arbitrage">
          <a:hlinkClick xmlns:r="http://schemas.openxmlformats.org/officeDocument/2006/relationships" r:id="rId682"/>
        </xdr:cNvPr>
        <xdr:cNvSpPr>
          <a:spLocks noChangeAspect="1" noChangeArrowheads="1"/>
        </xdr:cNvSpPr>
      </xdr:nvSpPr>
      <xdr:spPr bwMode="auto">
        <a:xfrm>
          <a:off x="5334000" y="247478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xdr:row>
      <xdr:rowOff>0</xdr:rowOff>
    </xdr:from>
    <xdr:to>
      <xdr:col>2</xdr:col>
      <xdr:colOff>123825</xdr:colOff>
      <xdr:row>140</xdr:row>
      <xdr:rowOff>123825</xdr:rowOff>
    </xdr:to>
    <xdr:sp macro="" textlink="">
      <xdr:nvSpPr>
        <xdr:cNvPr id="2870" name="AutoShape 822" descr="Bonis de performance"/>
        <xdr:cNvSpPr>
          <a:spLocks noChangeAspect="1" noChangeArrowheads="1"/>
        </xdr:cNvSpPr>
      </xdr:nvSpPr>
      <xdr:spPr bwMode="auto">
        <a:xfrm>
          <a:off x="152400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xdr:row>
      <xdr:rowOff>0</xdr:rowOff>
    </xdr:from>
    <xdr:to>
      <xdr:col>2</xdr:col>
      <xdr:colOff>257175</xdr:colOff>
      <xdr:row>140</xdr:row>
      <xdr:rowOff>123825</xdr:rowOff>
    </xdr:to>
    <xdr:sp macro="" textlink="">
      <xdr:nvSpPr>
        <xdr:cNvPr id="2871" name="AutoShape 823" descr="Exempté du ballottage">
          <a:hlinkClick xmlns:r="http://schemas.openxmlformats.org/officeDocument/2006/relationships" r:id="rId683"/>
        </xdr:cNvPr>
        <xdr:cNvSpPr>
          <a:spLocks noChangeAspect="1" noChangeArrowheads="1"/>
        </xdr:cNvSpPr>
      </xdr:nvSpPr>
      <xdr:spPr bwMode="auto">
        <a:xfrm>
          <a:off x="165735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926</xdr:row>
      <xdr:rowOff>0</xdr:rowOff>
    </xdr:from>
    <xdr:to>
      <xdr:col>2</xdr:col>
      <xdr:colOff>123825</xdr:colOff>
      <xdr:row>926</xdr:row>
      <xdr:rowOff>123825</xdr:rowOff>
    </xdr:to>
    <xdr:sp macro="" textlink="">
      <xdr:nvSpPr>
        <xdr:cNvPr id="2872" name="AutoShape 824" descr="Exempté du ballottage">
          <a:hlinkClick xmlns:r="http://schemas.openxmlformats.org/officeDocument/2006/relationships" r:id="rId684"/>
        </xdr:cNvPr>
        <xdr:cNvSpPr>
          <a:spLocks noChangeAspect="1" noChangeArrowheads="1"/>
        </xdr:cNvSpPr>
      </xdr:nvSpPr>
      <xdr:spPr bwMode="auto">
        <a:xfrm>
          <a:off x="1524000" y="2478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394</xdr:row>
      <xdr:rowOff>0</xdr:rowOff>
    </xdr:from>
    <xdr:to>
      <xdr:col>2</xdr:col>
      <xdr:colOff>123825</xdr:colOff>
      <xdr:row>394</xdr:row>
      <xdr:rowOff>123825</xdr:rowOff>
    </xdr:to>
    <xdr:sp macro="" textlink="">
      <xdr:nvSpPr>
        <xdr:cNvPr id="2873" name="AutoShape 825" descr="Exempté du ballottage">
          <a:hlinkClick xmlns:r="http://schemas.openxmlformats.org/officeDocument/2006/relationships" r:id="rId685"/>
        </xdr:cNvPr>
        <xdr:cNvSpPr>
          <a:spLocks noChangeAspect="1" noChangeArrowheads="1"/>
        </xdr:cNvSpPr>
      </xdr:nvSpPr>
      <xdr:spPr bwMode="auto">
        <a:xfrm>
          <a:off x="1524000" y="24843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xdr:row>
      <xdr:rowOff>0</xdr:rowOff>
    </xdr:from>
    <xdr:to>
      <xdr:col>2</xdr:col>
      <xdr:colOff>123825</xdr:colOff>
      <xdr:row>84</xdr:row>
      <xdr:rowOff>123825</xdr:rowOff>
    </xdr:to>
    <xdr:sp macro="" textlink="">
      <xdr:nvSpPr>
        <xdr:cNvPr id="2874" name="AutoShape 826" descr="Exempté du ballottage">
          <a:hlinkClick xmlns:r="http://schemas.openxmlformats.org/officeDocument/2006/relationships" r:id="rId686"/>
        </xdr:cNvPr>
        <xdr:cNvSpPr>
          <a:spLocks noChangeAspect="1" noChangeArrowheads="1"/>
        </xdr:cNvSpPr>
      </xdr:nvSpPr>
      <xdr:spPr bwMode="auto">
        <a:xfrm>
          <a:off x="1524000" y="24862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84</xdr:row>
      <xdr:rowOff>0</xdr:rowOff>
    </xdr:from>
    <xdr:to>
      <xdr:col>6</xdr:col>
      <xdr:colOff>123825</xdr:colOff>
      <xdr:row>84</xdr:row>
      <xdr:rowOff>104775</xdr:rowOff>
    </xdr:to>
    <xdr:sp macro="" textlink="">
      <xdr:nvSpPr>
        <xdr:cNvPr id="2875" name="AutoShape 827" descr="Éligible à l'arbitrage">
          <a:hlinkClick xmlns:r="http://schemas.openxmlformats.org/officeDocument/2006/relationships" r:id="rId687"/>
        </xdr:cNvPr>
        <xdr:cNvSpPr>
          <a:spLocks noChangeAspect="1" noChangeArrowheads="1"/>
        </xdr:cNvSpPr>
      </xdr:nvSpPr>
      <xdr:spPr bwMode="auto">
        <a:xfrm>
          <a:off x="4572000" y="24862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1139</xdr:row>
      <xdr:rowOff>0</xdr:rowOff>
    </xdr:from>
    <xdr:to>
      <xdr:col>2</xdr:col>
      <xdr:colOff>123825</xdr:colOff>
      <xdr:row>1139</xdr:row>
      <xdr:rowOff>123825</xdr:rowOff>
    </xdr:to>
    <xdr:sp macro="" textlink="">
      <xdr:nvSpPr>
        <xdr:cNvPr id="2876" name="AutoShape 828" descr="Bonis de performance"/>
        <xdr:cNvSpPr>
          <a:spLocks noChangeAspect="1" noChangeArrowheads="1"/>
        </xdr:cNvSpPr>
      </xdr:nvSpPr>
      <xdr:spPr bwMode="auto">
        <a:xfrm>
          <a:off x="152400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1139</xdr:row>
      <xdr:rowOff>0</xdr:rowOff>
    </xdr:from>
    <xdr:to>
      <xdr:col>2</xdr:col>
      <xdr:colOff>257175</xdr:colOff>
      <xdr:row>1139</xdr:row>
      <xdr:rowOff>123825</xdr:rowOff>
    </xdr:to>
    <xdr:sp macro="" textlink="">
      <xdr:nvSpPr>
        <xdr:cNvPr id="2877" name="AutoShape 829" descr="Exempté du ballottage">
          <a:hlinkClick xmlns:r="http://schemas.openxmlformats.org/officeDocument/2006/relationships" r:id="rId688"/>
        </xdr:cNvPr>
        <xdr:cNvSpPr>
          <a:spLocks noChangeAspect="1" noChangeArrowheads="1"/>
        </xdr:cNvSpPr>
      </xdr:nvSpPr>
      <xdr:spPr bwMode="auto">
        <a:xfrm>
          <a:off x="165735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878" name="AutoShape 830" descr="https://capfriendly-wlb8ng5.stackpathdns.com/assets/images/icons/general/q2.svg"/>
        <xdr:cNvSpPr>
          <a:spLocks noChangeAspect="1" noChangeArrowheads="1"/>
        </xdr:cNvSpPr>
      </xdr:nvSpPr>
      <xdr:spPr bwMode="auto">
        <a:xfrm>
          <a:off x="5334000" y="2497550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671</xdr:row>
      <xdr:rowOff>0</xdr:rowOff>
    </xdr:from>
    <xdr:to>
      <xdr:col>2</xdr:col>
      <xdr:colOff>123825</xdr:colOff>
      <xdr:row>671</xdr:row>
      <xdr:rowOff>123825</xdr:rowOff>
    </xdr:to>
    <xdr:sp macro="" textlink="">
      <xdr:nvSpPr>
        <xdr:cNvPr id="2879" name="AutoShape 831" descr="Bonis de performance"/>
        <xdr:cNvSpPr>
          <a:spLocks noChangeAspect="1" noChangeArrowheads="1"/>
        </xdr:cNvSpPr>
      </xdr:nvSpPr>
      <xdr:spPr bwMode="auto">
        <a:xfrm>
          <a:off x="152400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671</xdr:row>
      <xdr:rowOff>0</xdr:rowOff>
    </xdr:from>
    <xdr:to>
      <xdr:col>2</xdr:col>
      <xdr:colOff>257175</xdr:colOff>
      <xdr:row>671</xdr:row>
      <xdr:rowOff>123825</xdr:rowOff>
    </xdr:to>
    <xdr:sp macro="" textlink="">
      <xdr:nvSpPr>
        <xdr:cNvPr id="2880" name="AutoShape 832" descr="Exempté du ballottage">
          <a:hlinkClick xmlns:r="http://schemas.openxmlformats.org/officeDocument/2006/relationships" r:id="rId689"/>
        </xdr:cNvPr>
        <xdr:cNvSpPr>
          <a:spLocks noChangeAspect="1" noChangeArrowheads="1"/>
        </xdr:cNvSpPr>
      </xdr:nvSpPr>
      <xdr:spPr bwMode="auto">
        <a:xfrm>
          <a:off x="165735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xdr:row>
      <xdr:rowOff>0</xdr:rowOff>
    </xdr:from>
    <xdr:to>
      <xdr:col>2</xdr:col>
      <xdr:colOff>123825</xdr:colOff>
      <xdr:row>61</xdr:row>
      <xdr:rowOff>123825</xdr:rowOff>
    </xdr:to>
    <xdr:sp macro="" textlink="">
      <xdr:nvSpPr>
        <xdr:cNvPr id="2881" name="AutoShape 833" descr="Exempté du ballottage">
          <a:hlinkClick xmlns:r="http://schemas.openxmlformats.org/officeDocument/2006/relationships" r:id="rId690"/>
        </xdr:cNvPr>
        <xdr:cNvSpPr>
          <a:spLocks noChangeAspect="1" noChangeArrowheads="1"/>
        </xdr:cNvSpPr>
      </xdr:nvSpPr>
      <xdr:spPr bwMode="auto">
        <a:xfrm>
          <a:off x="1524000" y="2501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1033</xdr:row>
      <xdr:rowOff>0</xdr:rowOff>
    </xdr:from>
    <xdr:to>
      <xdr:col>2</xdr:col>
      <xdr:colOff>123825</xdr:colOff>
      <xdr:row>1033</xdr:row>
      <xdr:rowOff>123825</xdr:rowOff>
    </xdr:to>
    <xdr:sp macro="" textlink="">
      <xdr:nvSpPr>
        <xdr:cNvPr id="2882" name="AutoShape 834" descr="Bonis de performance"/>
        <xdr:cNvSpPr>
          <a:spLocks noChangeAspect="1" noChangeArrowheads="1"/>
        </xdr:cNvSpPr>
      </xdr:nvSpPr>
      <xdr:spPr bwMode="auto">
        <a:xfrm>
          <a:off x="152400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1033</xdr:row>
      <xdr:rowOff>0</xdr:rowOff>
    </xdr:from>
    <xdr:to>
      <xdr:col>2</xdr:col>
      <xdr:colOff>257175</xdr:colOff>
      <xdr:row>1033</xdr:row>
      <xdr:rowOff>123825</xdr:rowOff>
    </xdr:to>
    <xdr:sp macro="" textlink="">
      <xdr:nvSpPr>
        <xdr:cNvPr id="2883" name="AutoShape 835" descr="Exempté du ballottage">
          <a:hlinkClick xmlns:r="http://schemas.openxmlformats.org/officeDocument/2006/relationships" r:id="rId691"/>
        </xdr:cNvPr>
        <xdr:cNvSpPr>
          <a:spLocks noChangeAspect="1" noChangeArrowheads="1"/>
        </xdr:cNvSpPr>
      </xdr:nvSpPr>
      <xdr:spPr bwMode="auto">
        <a:xfrm>
          <a:off x="165735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815</xdr:row>
      <xdr:rowOff>0</xdr:rowOff>
    </xdr:from>
    <xdr:to>
      <xdr:col>2</xdr:col>
      <xdr:colOff>123825</xdr:colOff>
      <xdr:row>815</xdr:row>
      <xdr:rowOff>123825</xdr:rowOff>
    </xdr:to>
    <xdr:sp macro="" textlink="">
      <xdr:nvSpPr>
        <xdr:cNvPr id="2884" name="AutoShape 836" descr="Bonis de performance"/>
        <xdr:cNvSpPr>
          <a:spLocks noChangeAspect="1" noChangeArrowheads="1"/>
        </xdr:cNvSpPr>
      </xdr:nvSpPr>
      <xdr:spPr bwMode="auto">
        <a:xfrm>
          <a:off x="1524000" y="2447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538</xdr:row>
      <xdr:rowOff>0</xdr:rowOff>
    </xdr:from>
    <xdr:to>
      <xdr:col>7</xdr:col>
      <xdr:colOff>123825</xdr:colOff>
      <xdr:row>538</xdr:row>
      <xdr:rowOff>104775</xdr:rowOff>
    </xdr:to>
    <xdr:sp macro="" textlink="">
      <xdr:nvSpPr>
        <xdr:cNvPr id="2885" name="AutoShape 837" descr="Éligible à l'arbitrage">
          <a:hlinkClick xmlns:r="http://schemas.openxmlformats.org/officeDocument/2006/relationships" r:id="rId692"/>
        </xdr:cNvPr>
        <xdr:cNvSpPr>
          <a:spLocks noChangeAspect="1" noChangeArrowheads="1"/>
        </xdr:cNvSpPr>
      </xdr:nvSpPr>
      <xdr:spPr bwMode="auto">
        <a:xfrm>
          <a:off x="5334000" y="24684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964</xdr:row>
      <xdr:rowOff>0</xdr:rowOff>
    </xdr:from>
    <xdr:to>
      <xdr:col>2</xdr:col>
      <xdr:colOff>123825</xdr:colOff>
      <xdr:row>964</xdr:row>
      <xdr:rowOff>123825</xdr:rowOff>
    </xdr:to>
    <xdr:sp macro="" textlink="">
      <xdr:nvSpPr>
        <xdr:cNvPr id="2886" name="AutoShape 838" descr="Exempté du ballottage">
          <a:hlinkClick xmlns:r="http://schemas.openxmlformats.org/officeDocument/2006/relationships" r:id="rId693"/>
        </xdr:cNvPr>
        <xdr:cNvSpPr>
          <a:spLocks noChangeAspect="1" noChangeArrowheads="1"/>
        </xdr:cNvSpPr>
      </xdr:nvSpPr>
      <xdr:spPr bwMode="auto">
        <a:xfrm>
          <a:off x="1524000" y="2472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123825</xdr:colOff>
      <xdr:row>560</xdr:row>
      <xdr:rowOff>123825</xdr:rowOff>
    </xdr:to>
    <xdr:sp macro="" textlink="">
      <xdr:nvSpPr>
        <xdr:cNvPr id="2887" name="AutoShape 839" descr="Bonis de performance"/>
        <xdr:cNvSpPr>
          <a:spLocks noChangeAspect="1" noChangeArrowheads="1"/>
        </xdr:cNvSpPr>
      </xdr:nvSpPr>
      <xdr:spPr bwMode="auto">
        <a:xfrm>
          <a:off x="152400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560</xdr:row>
      <xdr:rowOff>0</xdr:rowOff>
    </xdr:from>
    <xdr:to>
      <xdr:col>2</xdr:col>
      <xdr:colOff>257175</xdr:colOff>
      <xdr:row>560</xdr:row>
      <xdr:rowOff>123825</xdr:rowOff>
    </xdr:to>
    <xdr:sp macro="" textlink="">
      <xdr:nvSpPr>
        <xdr:cNvPr id="2888" name="AutoShape 840" descr="Exempté du ballottage">
          <a:hlinkClick xmlns:r="http://schemas.openxmlformats.org/officeDocument/2006/relationships" r:id="rId694"/>
        </xdr:cNvPr>
        <xdr:cNvSpPr>
          <a:spLocks noChangeAspect="1" noChangeArrowheads="1"/>
        </xdr:cNvSpPr>
      </xdr:nvSpPr>
      <xdr:spPr bwMode="auto">
        <a:xfrm>
          <a:off x="165735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89" name="AutoShape 841" descr="https://capfriendly-wlb8ng5.stackpathdns.com/assets/images/icons/general/q.svg"/>
        <xdr:cNvSpPr>
          <a:spLocks noChangeAspect="1" noChangeArrowheads="1"/>
        </xdr:cNvSpPr>
      </xdr:nvSpPr>
      <xdr:spPr bwMode="auto">
        <a:xfrm>
          <a:off x="1524000" y="25193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0" name="AutoShape 842" descr="https://capfriendly-wlb8ng5.stackpathdns.com/assets/images/icons/general/q.svg"/>
        <xdr:cNvSpPr>
          <a:spLocks noChangeAspect="1" noChangeArrowheads="1"/>
        </xdr:cNvSpPr>
      </xdr:nvSpPr>
      <xdr:spPr bwMode="auto">
        <a:xfrm>
          <a:off x="1524000" y="25212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1" name="AutoShape 843" descr="https://capfriendly-wlb8ng5.stackpathdns.com/assets/images/icons/general/q.svg"/>
        <xdr:cNvSpPr>
          <a:spLocks noChangeAspect="1" noChangeArrowheads="1"/>
        </xdr:cNvSpPr>
      </xdr:nvSpPr>
      <xdr:spPr bwMode="auto">
        <a:xfrm>
          <a:off x="1524000" y="25231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2" name="AutoShape 844" descr="https://capfriendly-wlb8ng5.stackpathdns.com/assets/images/icons/general/q.svg"/>
        <xdr:cNvSpPr>
          <a:spLocks noChangeAspect="1" noChangeArrowheads="1"/>
        </xdr:cNvSpPr>
      </xdr:nvSpPr>
      <xdr:spPr bwMode="auto">
        <a:xfrm>
          <a:off x="1524000" y="25250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3" name="AutoShape 845" descr="https://capfriendly-wlb8ng5.stackpathdns.com/assets/images/icons/general/q.svg"/>
        <xdr:cNvSpPr>
          <a:spLocks noChangeAspect="1" noChangeArrowheads="1"/>
        </xdr:cNvSpPr>
      </xdr:nvSpPr>
      <xdr:spPr bwMode="auto">
        <a:xfrm>
          <a:off x="1524000" y="25269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4" name="AutoShape 846" descr="https://capfriendly-wlb8ng5.stackpathdns.com/assets/images/icons/general/q.svg"/>
        <xdr:cNvSpPr>
          <a:spLocks noChangeAspect="1" noChangeArrowheads="1"/>
        </xdr:cNvSpPr>
      </xdr:nvSpPr>
      <xdr:spPr bwMode="auto">
        <a:xfrm>
          <a:off x="1524000" y="252888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5" name="AutoShape 847" descr="https://capfriendly-wlb8ng5.stackpathdns.com/assets/images/icons/general/q.svg"/>
        <xdr:cNvSpPr>
          <a:spLocks noChangeAspect="1" noChangeArrowheads="1"/>
        </xdr:cNvSpPr>
      </xdr:nvSpPr>
      <xdr:spPr bwMode="auto">
        <a:xfrm>
          <a:off x="1524000" y="253079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6" name="AutoShape 848" descr="https://capfriendly-wlb8ng5.stackpathdns.com/assets/images/icons/general/q.svg"/>
        <xdr:cNvSpPr>
          <a:spLocks noChangeAspect="1" noChangeArrowheads="1"/>
        </xdr:cNvSpPr>
      </xdr:nvSpPr>
      <xdr:spPr bwMode="auto">
        <a:xfrm>
          <a:off x="1524000" y="253269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7" name="AutoShape 849" descr="https://capfriendly-wlb8ng5.stackpathdns.com/assets/images/icons/general/q.svg"/>
        <xdr:cNvSpPr>
          <a:spLocks noChangeAspect="1" noChangeArrowheads="1"/>
        </xdr:cNvSpPr>
      </xdr:nvSpPr>
      <xdr:spPr bwMode="auto">
        <a:xfrm>
          <a:off x="1524000" y="253460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8" name="AutoShape 850" descr="https://capfriendly-wlb8ng5.stackpathdns.com/assets/images/icons/general/q.svg"/>
        <xdr:cNvSpPr>
          <a:spLocks noChangeAspect="1" noChangeArrowheads="1"/>
        </xdr:cNvSpPr>
      </xdr:nvSpPr>
      <xdr:spPr bwMode="auto">
        <a:xfrm>
          <a:off x="1524000" y="253650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9" name="AutoShape 851" descr="https://capfriendly-wlb8ng5.stackpathdns.com/assets/images/icons/general/q.svg"/>
        <xdr:cNvSpPr>
          <a:spLocks noChangeAspect="1" noChangeArrowheads="1"/>
        </xdr:cNvSpPr>
      </xdr:nvSpPr>
      <xdr:spPr bwMode="auto">
        <a:xfrm>
          <a:off x="1524000" y="2538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900" name="AutoShape 852" descr="Bonis de performance"/>
        <xdr:cNvSpPr>
          <a:spLocks noChangeAspect="1" noChangeArrowheads="1"/>
        </xdr:cNvSpPr>
      </xdr:nvSpPr>
      <xdr:spPr bwMode="auto">
        <a:xfrm>
          <a:off x="15240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396</xdr:row>
      <xdr:rowOff>0</xdr:rowOff>
    </xdr:from>
    <xdr:to>
      <xdr:col>2</xdr:col>
      <xdr:colOff>257175</xdr:colOff>
      <xdr:row>396</xdr:row>
      <xdr:rowOff>123825</xdr:rowOff>
    </xdr:to>
    <xdr:sp macro="" textlink="">
      <xdr:nvSpPr>
        <xdr:cNvPr id="2901" name="AutoShape 853" descr="Transaction avec retenue de salaire"/>
        <xdr:cNvSpPr>
          <a:spLocks noChangeAspect="1" noChangeArrowheads="1"/>
        </xdr:cNvSpPr>
      </xdr:nvSpPr>
      <xdr:spPr bwMode="auto">
        <a:xfrm>
          <a:off x="165735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396</xdr:row>
      <xdr:rowOff>0</xdr:rowOff>
    </xdr:from>
    <xdr:to>
      <xdr:col>2</xdr:col>
      <xdr:colOff>390525</xdr:colOff>
      <xdr:row>396</xdr:row>
      <xdr:rowOff>123825</xdr:rowOff>
    </xdr:to>
    <xdr:sp macro="" textlink="">
      <xdr:nvSpPr>
        <xdr:cNvPr id="2902" name="AutoShape 854" descr="Exempté du ballottage">
          <a:hlinkClick xmlns:r="http://schemas.openxmlformats.org/officeDocument/2006/relationships" r:id="rId695"/>
        </xdr:cNvPr>
        <xdr:cNvSpPr>
          <a:spLocks noChangeAspect="1" noChangeArrowheads="1"/>
        </xdr:cNvSpPr>
      </xdr:nvSpPr>
      <xdr:spPr bwMode="auto">
        <a:xfrm>
          <a:off x="17907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1154</xdr:row>
      <xdr:rowOff>0</xdr:rowOff>
    </xdr:from>
    <xdr:to>
      <xdr:col>2</xdr:col>
      <xdr:colOff>123825</xdr:colOff>
      <xdr:row>1154</xdr:row>
      <xdr:rowOff>123825</xdr:rowOff>
    </xdr:to>
    <xdr:sp macro="" textlink="">
      <xdr:nvSpPr>
        <xdr:cNvPr id="2903" name="AutoShape 855" descr="Bonis de performance"/>
        <xdr:cNvSpPr>
          <a:spLocks noChangeAspect="1" noChangeArrowheads="1"/>
        </xdr:cNvSpPr>
      </xdr:nvSpPr>
      <xdr:spPr bwMode="auto">
        <a:xfrm>
          <a:off x="152400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1154</xdr:row>
      <xdr:rowOff>0</xdr:rowOff>
    </xdr:from>
    <xdr:to>
      <xdr:col>2</xdr:col>
      <xdr:colOff>257175</xdr:colOff>
      <xdr:row>1154</xdr:row>
      <xdr:rowOff>123825</xdr:rowOff>
    </xdr:to>
    <xdr:sp macro="" textlink="">
      <xdr:nvSpPr>
        <xdr:cNvPr id="2904" name="AutoShape 856" descr="Exempté du ballottage">
          <a:hlinkClick xmlns:r="http://schemas.openxmlformats.org/officeDocument/2006/relationships" r:id="rId696"/>
        </xdr:cNvPr>
        <xdr:cNvSpPr>
          <a:spLocks noChangeAspect="1" noChangeArrowheads="1"/>
        </xdr:cNvSpPr>
      </xdr:nvSpPr>
      <xdr:spPr bwMode="auto">
        <a:xfrm>
          <a:off x="165735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123825</xdr:colOff>
      <xdr:row>446</xdr:row>
      <xdr:rowOff>123825</xdr:rowOff>
    </xdr:to>
    <xdr:sp macro="" textlink="">
      <xdr:nvSpPr>
        <xdr:cNvPr id="2905" name="AutoShape 857" descr="Exempté du ballottage">
          <a:hlinkClick xmlns:r="http://schemas.openxmlformats.org/officeDocument/2006/relationships" r:id="rId697"/>
        </xdr:cNvPr>
        <xdr:cNvSpPr>
          <a:spLocks noChangeAspect="1" noChangeArrowheads="1"/>
        </xdr:cNvSpPr>
      </xdr:nvSpPr>
      <xdr:spPr bwMode="auto">
        <a:xfrm>
          <a:off x="1524000" y="25508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1409</xdr:row>
      <xdr:rowOff>0</xdr:rowOff>
    </xdr:from>
    <xdr:to>
      <xdr:col>2</xdr:col>
      <xdr:colOff>123825</xdr:colOff>
      <xdr:row>1409</xdr:row>
      <xdr:rowOff>123825</xdr:rowOff>
    </xdr:to>
    <xdr:sp macro="" textlink="">
      <xdr:nvSpPr>
        <xdr:cNvPr id="2906" name="AutoShape 858" descr="Bonis de performance"/>
        <xdr:cNvSpPr>
          <a:spLocks noChangeAspect="1" noChangeArrowheads="1"/>
        </xdr:cNvSpPr>
      </xdr:nvSpPr>
      <xdr:spPr bwMode="auto">
        <a:xfrm>
          <a:off x="152400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1409</xdr:row>
      <xdr:rowOff>0</xdr:rowOff>
    </xdr:from>
    <xdr:to>
      <xdr:col>2</xdr:col>
      <xdr:colOff>257175</xdr:colOff>
      <xdr:row>1409</xdr:row>
      <xdr:rowOff>123825</xdr:rowOff>
    </xdr:to>
    <xdr:sp macro="" textlink="">
      <xdr:nvSpPr>
        <xdr:cNvPr id="2907" name="AutoShape 859" descr="Exempté du ballottage">
          <a:hlinkClick xmlns:r="http://schemas.openxmlformats.org/officeDocument/2006/relationships" r:id="rId698"/>
        </xdr:cNvPr>
        <xdr:cNvSpPr>
          <a:spLocks noChangeAspect="1" noChangeArrowheads="1"/>
        </xdr:cNvSpPr>
      </xdr:nvSpPr>
      <xdr:spPr bwMode="auto">
        <a:xfrm>
          <a:off x="165735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767</xdr:row>
      <xdr:rowOff>0</xdr:rowOff>
    </xdr:from>
    <xdr:to>
      <xdr:col>2</xdr:col>
      <xdr:colOff>123825</xdr:colOff>
      <xdr:row>767</xdr:row>
      <xdr:rowOff>123825</xdr:rowOff>
    </xdr:to>
    <xdr:sp macro="" textlink="">
      <xdr:nvSpPr>
        <xdr:cNvPr id="2908" name="AutoShape 860" descr="Bonis de performance"/>
        <xdr:cNvSpPr>
          <a:spLocks noChangeAspect="1" noChangeArrowheads="1"/>
        </xdr:cNvSpPr>
      </xdr:nvSpPr>
      <xdr:spPr bwMode="auto">
        <a:xfrm>
          <a:off x="152400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767</xdr:row>
      <xdr:rowOff>0</xdr:rowOff>
    </xdr:from>
    <xdr:to>
      <xdr:col>2</xdr:col>
      <xdr:colOff>257175</xdr:colOff>
      <xdr:row>767</xdr:row>
      <xdr:rowOff>123825</xdr:rowOff>
    </xdr:to>
    <xdr:sp macro="" textlink="">
      <xdr:nvSpPr>
        <xdr:cNvPr id="2909" name="AutoShape 861" descr="Exempté du ballottage">
          <a:hlinkClick xmlns:r="http://schemas.openxmlformats.org/officeDocument/2006/relationships" r:id="rId699"/>
        </xdr:cNvPr>
        <xdr:cNvSpPr>
          <a:spLocks noChangeAspect="1" noChangeArrowheads="1"/>
        </xdr:cNvSpPr>
      </xdr:nvSpPr>
      <xdr:spPr bwMode="auto">
        <a:xfrm>
          <a:off x="165735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1113</xdr:row>
      <xdr:rowOff>0</xdr:rowOff>
    </xdr:from>
    <xdr:to>
      <xdr:col>2</xdr:col>
      <xdr:colOff>123825</xdr:colOff>
      <xdr:row>1113</xdr:row>
      <xdr:rowOff>123825</xdr:rowOff>
    </xdr:to>
    <xdr:sp macro="" textlink="">
      <xdr:nvSpPr>
        <xdr:cNvPr id="2910" name="AutoShape 862" descr="Bonis de performance"/>
        <xdr:cNvSpPr>
          <a:spLocks noChangeAspect="1" noChangeArrowheads="1"/>
        </xdr:cNvSpPr>
      </xdr:nvSpPr>
      <xdr:spPr bwMode="auto">
        <a:xfrm>
          <a:off x="152400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1113</xdr:row>
      <xdr:rowOff>0</xdr:rowOff>
    </xdr:from>
    <xdr:to>
      <xdr:col>2</xdr:col>
      <xdr:colOff>257175</xdr:colOff>
      <xdr:row>1113</xdr:row>
      <xdr:rowOff>123825</xdr:rowOff>
    </xdr:to>
    <xdr:sp macro="" textlink="">
      <xdr:nvSpPr>
        <xdr:cNvPr id="2911" name="AutoShape 863" descr="Exempté du ballottage">
          <a:hlinkClick xmlns:r="http://schemas.openxmlformats.org/officeDocument/2006/relationships" r:id="rId700"/>
        </xdr:cNvPr>
        <xdr:cNvSpPr>
          <a:spLocks noChangeAspect="1" noChangeArrowheads="1"/>
        </xdr:cNvSpPr>
      </xdr:nvSpPr>
      <xdr:spPr bwMode="auto">
        <a:xfrm>
          <a:off x="165735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2912" name="AutoShape 864" descr="Bonis de performance"/>
        <xdr:cNvSpPr>
          <a:spLocks noChangeAspect="1" noChangeArrowheads="1"/>
        </xdr:cNvSpPr>
      </xdr:nvSpPr>
      <xdr:spPr bwMode="auto">
        <a:xfrm>
          <a:off x="152400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1375</xdr:row>
      <xdr:rowOff>0</xdr:rowOff>
    </xdr:from>
    <xdr:to>
      <xdr:col>2</xdr:col>
      <xdr:colOff>257175</xdr:colOff>
      <xdr:row>1375</xdr:row>
      <xdr:rowOff>123825</xdr:rowOff>
    </xdr:to>
    <xdr:sp macro="" textlink="">
      <xdr:nvSpPr>
        <xdr:cNvPr id="2913" name="AutoShape 865" descr="Exempté du ballottage">
          <a:hlinkClick xmlns:r="http://schemas.openxmlformats.org/officeDocument/2006/relationships" r:id="rId701"/>
        </xdr:cNvPr>
        <xdr:cNvSpPr>
          <a:spLocks noChangeAspect="1" noChangeArrowheads="1"/>
        </xdr:cNvSpPr>
      </xdr:nvSpPr>
      <xdr:spPr bwMode="auto">
        <a:xfrm>
          <a:off x="165735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1319</xdr:row>
      <xdr:rowOff>0</xdr:rowOff>
    </xdr:from>
    <xdr:to>
      <xdr:col>2</xdr:col>
      <xdr:colOff>123825</xdr:colOff>
      <xdr:row>1319</xdr:row>
      <xdr:rowOff>123825</xdr:rowOff>
    </xdr:to>
    <xdr:sp macro="" textlink="">
      <xdr:nvSpPr>
        <xdr:cNvPr id="2914" name="AutoShape 866" descr="Bonis de performance"/>
        <xdr:cNvSpPr>
          <a:spLocks noChangeAspect="1" noChangeArrowheads="1"/>
        </xdr:cNvSpPr>
      </xdr:nvSpPr>
      <xdr:spPr bwMode="auto">
        <a:xfrm>
          <a:off x="152400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1319</xdr:row>
      <xdr:rowOff>0</xdr:rowOff>
    </xdr:from>
    <xdr:to>
      <xdr:col>2</xdr:col>
      <xdr:colOff>257175</xdr:colOff>
      <xdr:row>1319</xdr:row>
      <xdr:rowOff>123825</xdr:rowOff>
    </xdr:to>
    <xdr:sp macro="" textlink="">
      <xdr:nvSpPr>
        <xdr:cNvPr id="2915" name="AutoShape 867" descr="Exempté du ballottage">
          <a:hlinkClick xmlns:r="http://schemas.openxmlformats.org/officeDocument/2006/relationships" r:id="rId702"/>
        </xdr:cNvPr>
        <xdr:cNvSpPr>
          <a:spLocks noChangeAspect="1" noChangeArrowheads="1"/>
        </xdr:cNvSpPr>
      </xdr:nvSpPr>
      <xdr:spPr bwMode="auto">
        <a:xfrm>
          <a:off x="165735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1307</xdr:row>
      <xdr:rowOff>0</xdr:rowOff>
    </xdr:from>
    <xdr:to>
      <xdr:col>2</xdr:col>
      <xdr:colOff>123825</xdr:colOff>
      <xdr:row>1307</xdr:row>
      <xdr:rowOff>123825</xdr:rowOff>
    </xdr:to>
    <xdr:sp macro="" textlink="">
      <xdr:nvSpPr>
        <xdr:cNvPr id="2916" name="AutoShape 868" descr="Bonis de performance"/>
        <xdr:cNvSpPr>
          <a:spLocks noChangeAspect="1" noChangeArrowheads="1"/>
        </xdr:cNvSpPr>
      </xdr:nvSpPr>
      <xdr:spPr bwMode="auto">
        <a:xfrm>
          <a:off x="152400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1307</xdr:row>
      <xdr:rowOff>0</xdr:rowOff>
    </xdr:from>
    <xdr:to>
      <xdr:col>2</xdr:col>
      <xdr:colOff>257175</xdr:colOff>
      <xdr:row>1307</xdr:row>
      <xdr:rowOff>123825</xdr:rowOff>
    </xdr:to>
    <xdr:sp macro="" textlink="">
      <xdr:nvSpPr>
        <xdr:cNvPr id="2917" name="AutoShape 869" descr="Exempté du ballottage">
          <a:hlinkClick xmlns:r="http://schemas.openxmlformats.org/officeDocument/2006/relationships" r:id="rId703"/>
        </xdr:cNvPr>
        <xdr:cNvSpPr>
          <a:spLocks noChangeAspect="1" noChangeArrowheads="1"/>
        </xdr:cNvSpPr>
      </xdr:nvSpPr>
      <xdr:spPr bwMode="auto">
        <a:xfrm>
          <a:off x="165735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685</xdr:row>
      <xdr:rowOff>0</xdr:rowOff>
    </xdr:from>
    <xdr:to>
      <xdr:col>2</xdr:col>
      <xdr:colOff>123825</xdr:colOff>
      <xdr:row>685</xdr:row>
      <xdr:rowOff>123825</xdr:rowOff>
    </xdr:to>
    <xdr:sp macro="" textlink="">
      <xdr:nvSpPr>
        <xdr:cNvPr id="2918" name="AutoShape 870" descr="Bonis de performance"/>
        <xdr:cNvSpPr>
          <a:spLocks noChangeAspect="1" noChangeArrowheads="1"/>
        </xdr:cNvSpPr>
      </xdr:nvSpPr>
      <xdr:spPr bwMode="auto">
        <a:xfrm>
          <a:off x="152400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685</xdr:row>
      <xdr:rowOff>0</xdr:rowOff>
    </xdr:from>
    <xdr:to>
      <xdr:col>2</xdr:col>
      <xdr:colOff>257175</xdr:colOff>
      <xdr:row>685</xdr:row>
      <xdr:rowOff>123825</xdr:rowOff>
    </xdr:to>
    <xdr:sp macro="" textlink="">
      <xdr:nvSpPr>
        <xdr:cNvPr id="2919" name="AutoShape 871" descr="Exempté du ballottage">
          <a:hlinkClick xmlns:r="http://schemas.openxmlformats.org/officeDocument/2006/relationships" r:id="rId704"/>
        </xdr:cNvPr>
        <xdr:cNvSpPr>
          <a:spLocks noChangeAspect="1" noChangeArrowheads="1"/>
        </xdr:cNvSpPr>
      </xdr:nvSpPr>
      <xdr:spPr bwMode="auto">
        <a:xfrm>
          <a:off x="165735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172</xdr:row>
      <xdr:rowOff>0</xdr:rowOff>
    </xdr:from>
    <xdr:to>
      <xdr:col>2</xdr:col>
      <xdr:colOff>123825</xdr:colOff>
      <xdr:row>172</xdr:row>
      <xdr:rowOff>123825</xdr:rowOff>
    </xdr:to>
    <xdr:sp macro="" textlink="">
      <xdr:nvSpPr>
        <xdr:cNvPr id="2920" name="AutoShape 872" descr="Bonis de performance"/>
        <xdr:cNvSpPr>
          <a:spLocks noChangeAspect="1" noChangeArrowheads="1"/>
        </xdr:cNvSpPr>
      </xdr:nvSpPr>
      <xdr:spPr bwMode="auto">
        <a:xfrm>
          <a:off x="152400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172</xdr:row>
      <xdr:rowOff>0</xdr:rowOff>
    </xdr:from>
    <xdr:to>
      <xdr:col>2</xdr:col>
      <xdr:colOff>257175</xdr:colOff>
      <xdr:row>172</xdr:row>
      <xdr:rowOff>123825</xdr:rowOff>
    </xdr:to>
    <xdr:sp macro="" textlink="">
      <xdr:nvSpPr>
        <xdr:cNvPr id="2921" name="AutoShape 873" descr="Exempté du ballottage">
          <a:hlinkClick xmlns:r="http://schemas.openxmlformats.org/officeDocument/2006/relationships" r:id="rId705"/>
        </xdr:cNvPr>
        <xdr:cNvSpPr>
          <a:spLocks noChangeAspect="1" noChangeArrowheads="1"/>
        </xdr:cNvSpPr>
      </xdr:nvSpPr>
      <xdr:spPr bwMode="auto">
        <a:xfrm>
          <a:off x="165735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1469</xdr:row>
      <xdr:rowOff>0</xdr:rowOff>
    </xdr:from>
    <xdr:to>
      <xdr:col>2</xdr:col>
      <xdr:colOff>123825</xdr:colOff>
      <xdr:row>1469</xdr:row>
      <xdr:rowOff>123825</xdr:rowOff>
    </xdr:to>
    <xdr:sp macro="" textlink="">
      <xdr:nvSpPr>
        <xdr:cNvPr id="2922" name="AutoShape 874" descr="Bonis de performance"/>
        <xdr:cNvSpPr>
          <a:spLocks noChangeAspect="1" noChangeArrowheads="1"/>
        </xdr:cNvSpPr>
      </xdr:nvSpPr>
      <xdr:spPr bwMode="auto">
        <a:xfrm>
          <a:off x="15240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1469</xdr:row>
      <xdr:rowOff>0</xdr:rowOff>
    </xdr:from>
    <xdr:to>
      <xdr:col>2</xdr:col>
      <xdr:colOff>257175</xdr:colOff>
      <xdr:row>1469</xdr:row>
      <xdr:rowOff>123825</xdr:rowOff>
    </xdr:to>
    <xdr:sp macro="" textlink="">
      <xdr:nvSpPr>
        <xdr:cNvPr id="2923" name="AutoShape 875" descr="Transaction avec retenue de salaire"/>
        <xdr:cNvSpPr>
          <a:spLocks noChangeAspect="1" noChangeArrowheads="1"/>
        </xdr:cNvSpPr>
      </xdr:nvSpPr>
      <xdr:spPr bwMode="auto">
        <a:xfrm>
          <a:off x="16573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1469</xdr:row>
      <xdr:rowOff>0</xdr:rowOff>
    </xdr:from>
    <xdr:to>
      <xdr:col>2</xdr:col>
      <xdr:colOff>390525</xdr:colOff>
      <xdr:row>1469</xdr:row>
      <xdr:rowOff>123825</xdr:rowOff>
    </xdr:to>
    <xdr:sp macro="" textlink="">
      <xdr:nvSpPr>
        <xdr:cNvPr id="2924" name="AutoShape 876" descr="Exempté du ballottage">
          <a:hlinkClick xmlns:r="http://schemas.openxmlformats.org/officeDocument/2006/relationships" r:id="rId706"/>
        </xdr:cNvPr>
        <xdr:cNvSpPr>
          <a:spLocks noChangeAspect="1" noChangeArrowheads="1"/>
        </xdr:cNvSpPr>
      </xdr:nvSpPr>
      <xdr:spPr bwMode="auto">
        <a:xfrm>
          <a:off x="17907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1469</xdr:row>
      <xdr:rowOff>0</xdr:rowOff>
    </xdr:from>
    <xdr:to>
      <xdr:col>2</xdr:col>
      <xdr:colOff>523875</xdr:colOff>
      <xdr:row>1469</xdr:row>
      <xdr:rowOff>123825</xdr:rowOff>
    </xdr:to>
    <xdr:sp macro="" textlink="">
      <xdr:nvSpPr>
        <xdr:cNvPr id="2925" name="AutoShape 877" descr="Exempté de la limite des 50 contrats"/>
        <xdr:cNvSpPr>
          <a:spLocks noChangeAspect="1" noChangeArrowheads="1"/>
        </xdr:cNvSpPr>
      </xdr:nvSpPr>
      <xdr:spPr bwMode="auto">
        <a:xfrm>
          <a:off x="19240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123825</xdr:colOff>
      <xdr:row>441</xdr:row>
      <xdr:rowOff>123825</xdr:rowOff>
    </xdr:to>
    <xdr:sp macro="" textlink="">
      <xdr:nvSpPr>
        <xdr:cNvPr id="2926" name="AutoShape 878" descr="Bonis de performance"/>
        <xdr:cNvSpPr>
          <a:spLocks noChangeAspect="1" noChangeArrowheads="1"/>
        </xdr:cNvSpPr>
      </xdr:nvSpPr>
      <xdr:spPr bwMode="auto">
        <a:xfrm>
          <a:off x="152400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441</xdr:row>
      <xdr:rowOff>0</xdr:rowOff>
    </xdr:from>
    <xdr:to>
      <xdr:col>2</xdr:col>
      <xdr:colOff>257175</xdr:colOff>
      <xdr:row>441</xdr:row>
      <xdr:rowOff>123825</xdr:rowOff>
    </xdr:to>
    <xdr:sp macro="" textlink="">
      <xdr:nvSpPr>
        <xdr:cNvPr id="2927" name="AutoShape 879" descr="Exempté du ballottage">
          <a:hlinkClick xmlns:r="http://schemas.openxmlformats.org/officeDocument/2006/relationships" r:id="rId707"/>
        </xdr:cNvPr>
        <xdr:cNvSpPr>
          <a:spLocks noChangeAspect="1" noChangeArrowheads="1"/>
        </xdr:cNvSpPr>
      </xdr:nvSpPr>
      <xdr:spPr bwMode="auto">
        <a:xfrm>
          <a:off x="165735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102</xdr:row>
      <xdr:rowOff>0</xdr:rowOff>
    </xdr:from>
    <xdr:to>
      <xdr:col>8</xdr:col>
      <xdr:colOff>123825</xdr:colOff>
      <xdr:row>102</xdr:row>
      <xdr:rowOff>104775</xdr:rowOff>
    </xdr:to>
    <xdr:sp macro="" textlink="">
      <xdr:nvSpPr>
        <xdr:cNvPr id="2928" name="AutoShape 880" descr="Éligible à l'arbitrage">
          <a:hlinkClick xmlns:r="http://schemas.openxmlformats.org/officeDocument/2006/relationships" r:id="rId708"/>
        </xdr:cNvPr>
        <xdr:cNvSpPr>
          <a:spLocks noChangeAspect="1" noChangeArrowheads="1"/>
        </xdr:cNvSpPr>
      </xdr:nvSpPr>
      <xdr:spPr bwMode="auto">
        <a:xfrm>
          <a:off x="6096000" y="259070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1444</xdr:row>
      <xdr:rowOff>0</xdr:rowOff>
    </xdr:from>
    <xdr:to>
      <xdr:col>7</xdr:col>
      <xdr:colOff>123825</xdr:colOff>
      <xdr:row>1444</xdr:row>
      <xdr:rowOff>104775</xdr:rowOff>
    </xdr:to>
    <xdr:sp macro="" textlink="">
      <xdr:nvSpPr>
        <xdr:cNvPr id="2929" name="AutoShape 881" descr="Éligible à l'arbitrage">
          <a:hlinkClick xmlns:r="http://schemas.openxmlformats.org/officeDocument/2006/relationships" r:id="rId709"/>
        </xdr:cNvPr>
        <xdr:cNvSpPr>
          <a:spLocks noChangeAspect="1" noChangeArrowheads="1"/>
        </xdr:cNvSpPr>
      </xdr:nvSpPr>
      <xdr:spPr bwMode="auto">
        <a:xfrm>
          <a:off x="5334000" y="25945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1378</xdr:row>
      <xdr:rowOff>0</xdr:rowOff>
    </xdr:from>
    <xdr:to>
      <xdr:col>2</xdr:col>
      <xdr:colOff>123825</xdr:colOff>
      <xdr:row>1378</xdr:row>
      <xdr:rowOff>123825</xdr:rowOff>
    </xdr:to>
    <xdr:sp macro="" textlink="">
      <xdr:nvSpPr>
        <xdr:cNvPr id="2930" name="AutoShape 882" descr="Bonis de performance"/>
        <xdr:cNvSpPr>
          <a:spLocks noChangeAspect="1" noChangeArrowheads="1"/>
        </xdr:cNvSpPr>
      </xdr:nvSpPr>
      <xdr:spPr bwMode="auto">
        <a:xfrm>
          <a:off x="152400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1378</xdr:row>
      <xdr:rowOff>0</xdr:rowOff>
    </xdr:from>
    <xdr:to>
      <xdr:col>2</xdr:col>
      <xdr:colOff>257175</xdr:colOff>
      <xdr:row>1378</xdr:row>
      <xdr:rowOff>123825</xdr:rowOff>
    </xdr:to>
    <xdr:sp macro="" textlink="">
      <xdr:nvSpPr>
        <xdr:cNvPr id="2931" name="AutoShape 883" descr="Exempté du ballottage">
          <a:hlinkClick xmlns:r="http://schemas.openxmlformats.org/officeDocument/2006/relationships" r:id="rId710"/>
        </xdr:cNvPr>
        <xdr:cNvSpPr>
          <a:spLocks noChangeAspect="1" noChangeArrowheads="1"/>
        </xdr:cNvSpPr>
      </xdr:nvSpPr>
      <xdr:spPr bwMode="auto">
        <a:xfrm>
          <a:off x="165735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1176</xdr:row>
      <xdr:rowOff>0</xdr:rowOff>
    </xdr:from>
    <xdr:to>
      <xdr:col>2</xdr:col>
      <xdr:colOff>123825</xdr:colOff>
      <xdr:row>1176</xdr:row>
      <xdr:rowOff>123825</xdr:rowOff>
    </xdr:to>
    <xdr:sp macro="" textlink="">
      <xdr:nvSpPr>
        <xdr:cNvPr id="2932" name="AutoShape 884" descr="Bonis de performance"/>
        <xdr:cNvSpPr>
          <a:spLocks noChangeAspect="1" noChangeArrowheads="1"/>
        </xdr:cNvSpPr>
      </xdr:nvSpPr>
      <xdr:spPr bwMode="auto">
        <a:xfrm>
          <a:off x="152400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1176</xdr:row>
      <xdr:rowOff>0</xdr:rowOff>
    </xdr:from>
    <xdr:to>
      <xdr:col>2</xdr:col>
      <xdr:colOff>257175</xdr:colOff>
      <xdr:row>1176</xdr:row>
      <xdr:rowOff>123825</xdr:rowOff>
    </xdr:to>
    <xdr:sp macro="" textlink="">
      <xdr:nvSpPr>
        <xdr:cNvPr id="2933" name="AutoShape 885" descr="Exempté du ballottage">
          <a:hlinkClick xmlns:r="http://schemas.openxmlformats.org/officeDocument/2006/relationships" r:id="rId711"/>
        </xdr:cNvPr>
        <xdr:cNvSpPr>
          <a:spLocks noChangeAspect="1" noChangeArrowheads="1"/>
        </xdr:cNvSpPr>
      </xdr:nvSpPr>
      <xdr:spPr bwMode="auto">
        <a:xfrm>
          <a:off x="165735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1350</xdr:row>
      <xdr:rowOff>0</xdr:rowOff>
    </xdr:from>
    <xdr:to>
      <xdr:col>7</xdr:col>
      <xdr:colOff>123825</xdr:colOff>
      <xdr:row>1350</xdr:row>
      <xdr:rowOff>104775</xdr:rowOff>
    </xdr:to>
    <xdr:sp macro="" textlink="">
      <xdr:nvSpPr>
        <xdr:cNvPr id="2934" name="AutoShape 886" descr="Éligible à l'arbitrage">
          <a:hlinkClick xmlns:r="http://schemas.openxmlformats.org/officeDocument/2006/relationships" r:id="rId712"/>
        </xdr:cNvPr>
        <xdr:cNvSpPr>
          <a:spLocks noChangeAspect="1" noChangeArrowheads="1"/>
        </xdr:cNvSpPr>
      </xdr:nvSpPr>
      <xdr:spPr bwMode="auto">
        <a:xfrm>
          <a:off x="5334000" y="25294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164</xdr:row>
      <xdr:rowOff>0</xdr:rowOff>
    </xdr:from>
    <xdr:to>
      <xdr:col>7</xdr:col>
      <xdr:colOff>123825</xdr:colOff>
      <xdr:row>164</xdr:row>
      <xdr:rowOff>104775</xdr:rowOff>
    </xdr:to>
    <xdr:sp macro="" textlink="">
      <xdr:nvSpPr>
        <xdr:cNvPr id="2935" name="AutoShape 887" descr="Éligible à l'arbitrage">
          <a:hlinkClick xmlns:r="http://schemas.openxmlformats.org/officeDocument/2006/relationships" r:id="rId713"/>
        </xdr:cNvPr>
        <xdr:cNvSpPr>
          <a:spLocks noChangeAspect="1" noChangeArrowheads="1"/>
        </xdr:cNvSpPr>
      </xdr:nvSpPr>
      <xdr:spPr bwMode="auto">
        <a:xfrm>
          <a:off x="5334000" y="253136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344</xdr:row>
      <xdr:rowOff>0</xdr:rowOff>
    </xdr:from>
    <xdr:to>
      <xdr:col>7</xdr:col>
      <xdr:colOff>123825</xdr:colOff>
      <xdr:row>344</xdr:row>
      <xdr:rowOff>104775</xdr:rowOff>
    </xdr:to>
    <xdr:sp macro="" textlink="">
      <xdr:nvSpPr>
        <xdr:cNvPr id="2936" name="AutoShape 888" descr="Éligible à l'arbitrage">
          <a:hlinkClick xmlns:r="http://schemas.openxmlformats.org/officeDocument/2006/relationships" r:id="rId714"/>
        </xdr:cNvPr>
        <xdr:cNvSpPr>
          <a:spLocks noChangeAspect="1" noChangeArrowheads="1"/>
        </xdr:cNvSpPr>
      </xdr:nvSpPr>
      <xdr:spPr bwMode="auto">
        <a:xfrm>
          <a:off x="5334000" y="25332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1398</xdr:row>
      <xdr:rowOff>0</xdr:rowOff>
    </xdr:from>
    <xdr:to>
      <xdr:col>2</xdr:col>
      <xdr:colOff>123825</xdr:colOff>
      <xdr:row>1398</xdr:row>
      <xdr:rowOff>123825</xdr:rowOff>
    </xdr:to>
    <xdr:sp macro="" textlink="">
      <xdr:nvSpPr>
        <xdr:cNvPr id="2937" name="AutoShape 889" descr="Bonis de performance"/>
        <xdr:cNvSpPr>
          <a:spLocks noChangeAspect="1" noChangeArrowheads="1"/>
        </xdr:cNvSpPr>
      </xdr:nvSpPr>
      <xdr:spPr bwMode="auto">
        <a:xfrm>
          <a:off x="152400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1398</xdr:row>
      <xdr:rowOff>0</xdr:rowOff>
    </xdr:from>
    <xdr:to>
      <xdr:col>2</xdr:col>
      <xdr:colOff>257175</xdr:colOff>
      <xdr:row>1398</xdr:row>
      <xdr:rowOff>123825</xdr:rowOff>
    </xdr:to>
    <xdr:sp macro="" textlink="">
      <xdr:nvSpPr>
        <xdr:cNvPr id="2938" name="AutoShape 890" descr="Exempté du ballottage">
          <a:hlinkClick xmlns:r="http://schemas.openxmlformats.org/officeDocument/2006/relationships" r:id="rId715"/>
        </xdr:cNvPr>
        <xdr:cNvSpPr>
          <a:spLocks noChangeAspect="1" noChangeArrowheads="1"/>
        </xdr:cNvSpPr>
      </xdr:nvSpPr>
      <xdr:spPr bwMode="auto">
        <a:xfrm>
          <a:off x="165735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1355</xdr:row>
      <xdr:rowOff>0</xdr:rowOff>
    </xdr:from>
    <xdr:to>
      <xdr:col>2</xdr:col>
      <xdr:colOff>123825</xdr:colOff>
      <xdr:row>1355</xdr:row>
      <xdr:rowOff>123825</xdr:rowOff>
    </xdr:to>
    <xdr:sp macro="" textlink="">
      <xdr:nvSpPr>
        <xdr:cNvPr id="2939" name="AutoShape 891" descr="Bonis de performance"/>
        <xdr:cNvSpPr>
          <a:spLocks noChangeAspect="1" noChangeArrowheads="1"/>
        </xdr:cNvSpPr>
      </xdr:nvSpPr>
      <xdr:spPr bwMode="auto">
        <a:xfrm>
          <a:off x="152400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1355</xdr:row>
      <xdr:rowOff>0</xdr:rowOff>
    </xdr:from>
    <xdr:to>
      <xdr:col>2</xdr:col>
      <xdr:colOff>257175</xdr:colOff>
      <xdr:row>1355</xdr:row>
      <xdr:rowOff>123825</xdr:rowOff>
    </xdr:to>
    <xdr:sp macro="" textlink="">
      <xdr:nvSpPr>
        <xdr:cNvPr id="2940" name="AutoShape 892" descr="Exempté du ballottage">
          <a:hlinkClick xmlns:r="http://schemas.openxmlformats.org/officeDocument/2006/relationships" r:id="rId716"/>
        </xdr:cNvPr>
        <xdr:cNvSpPr>
          <a:spLocks noChangeAspect="1" noChangeArrowheads="1"/>
        </xdr:cNvSpPr>
      </xdr:nvSpPr>
      <xdr:spPr bwMode="auto">
        <a:xfrm>
          <a:off x="165735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168</xdr:row>
      <xdr:rowOff>0</xdr:rowOff>
    </xdr:from>
    <xdr:to>
      <xdr:col>2</xdr:col>
      <xdr:colOff>123825</xdr:colOff>
      <xdr:row>168</xdr:row>
      <xdr:rowOff>123825</xdr:rowOff>
    </xdr:to>
    <xdr:sp macro="" textlink="">
      <xdr:nvSpPr>
        <xdr:cNvPr id="2941" name="AutoShape 893" descr="Bonis de performance"/>
        <xdr:cNvSpPr>
          <a:spLocks noChangeAspect="1" noChangeArrowheads="1"/>
        </xdr:cNvSpPr>
      </xdr:nvSpPr>
      <xdr:spPr bwMode="auto">
        <a:xfrm>
          <a:off x="152400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168</xdr:row>
      <xdr:rowOff>0</xdr:rowOff>
    </xdr:from>
    <xdr:to>
      <xdr:col>2</xdr:col>
      <xdr:colOff>257175</xdr:colOff>
      <xdr:row>168</xdr:row>
      <xdr:rowOff>123825</xdr:rowOff>
    </xdr:to>
    <xdr:sp macro="" textlink="">
      <xdr:nvSpPr>
        <xdr:cNvPr id="2942" name="AutoShape 894" descr="Exempté du ballottage">
          <a:hlinkClick xmlns:r="http://schemas.openxmlformats.org/officeDocument/2006/relationships" r:id="rId717"/>
        </xdr:cNvPr>
        <xdr:cNvSpPr>
          <a:spLocks noChangeAspect="1" noChangeArrowheads="1"/>
        </xdr:cNvSpPr>
      </xdr:nvSpPr>
      <xdr:spPr bwMode="auto">
        <a:xfrm>
          <a:off x="165735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xdr:row>
      <xdr:rowOff>0</xdr:rowOff>
    </xdr:from>
    <xdr:to>
      <xdr:col>2</xdr:col>
      <xdr:colOff>123825</xdr:colOff>
      <xdr:row>69</xdr:row>
      <xdr:rowOff>123825</xdr:rowOff>
    </xdr:to>
    <xdr:sp macro="" textlink="">
      <xdr:nvSpPr>
        <xdr:cNvPr id="2943" name="AutoShape 895" descr="Bonis de performance"/>
        <xdr:cNvSpPr>
          <a:spLocks noChangeAspect="1" noChangeArrowheads="1"/>
        </xdr:cNvSpPr>
      </xdr:nvSpPr>
      <xdr:spPr bwMode="auto">
        <a:xfrm>
          <a:off x="152400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xdr:row>
      <xdr:rowOff>0</xdr:rowOff>
    </xdr:from>
    <xdr:to>
      <xdr:col>2</xdr:col>
      <xdr:colOff>257175</xdr:colOff>
      <xdr:row>69</xdr:row>
      <xdr:rowOff>123825</xdr:rowOff>
    </xdr:to>
    <xdr:sp macro="" textlink="">
      <xdr:nvSpPr>
        <xdr:cNvPr id="2944" name="AutoShape 896" descr="Exempté du ballottage">
          <a:hlinkClick xmlns:r="http://schemas.openxmlformats.org/officeDocument/2006/relationships" r:id="rId718"/>
        </xdr:cNvPr>
        <xdr:cNvSpPr>
          <a:spLocks noChangeAspect="1" noChangeArrowheads="1"/>
        </xdr:cNvSpPr>
      </xdr:nvSpPr>
      <xdr:spPr bwMode="auto">
        <a:xfrm>
          <a:off x="165735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1437</xdr:row>
      <xdr:rowOff>0</xdr:rowOff>
    </xdr:from>
    <xdr:to>
      <xdr:col>2</xdr:col>
      <xdr:colOff>123825</xdr:colOff>
      <xdr:row>1437</xdr:row>
      <xdr:rowOff>123825</xdr:rowOff>
    </xdr:to>
    <xdr:sp macro="" textlink="">
      <xdr:nvSpPr>
        <xdr:cNvPr id="2945" name="AutoShape 897" descr="Exempté du ballottage">
          <a:hlinkClick xmlns:r="http://schemas.openxmlformats.org/officeDocument/2006/relationships" r:id="rId719"/>
        </xdr:cNvPr>
        <xdr:cNvSpPr>
          <a:spLocks noChangeAspect="1" noChangeArrowheads="1"/>
        </xdr:cNvSpPr>
      </xdr:nvSpPr>
      <xdr:spPr bwMode="auto">
        <a:xfrm>
          <a:off x="1524000" y="25446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946" name="AutoShape 898" descr="https://capfriendly-wlb8ng5.stackpathdns.com/assets/images/icons/general/q2.svg"/>
        <xdr:cNvSpPr>
          <a:spLocks noChangeAspect="1" noChangeArrowheads="1"/>
        </xdr:cNvSpPr>
      </xdr:nvSpPr>
      <xdr:spPr bwMode="auto">
        <a:xfrm>
          <a:off x="4572000" y="254660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1451</xdr:row>
      <xdr:rowOff>0</xdr:rowOff>
    </xdr:from>
    <xdr:to>
      <xdr:col>2</xdr:col>
      <xdr:colOff>123825</xdr:colOff>
      <xdr:row>1451</xdr:row>
      <xdr:rowOff>123825</xdr:rowOff>
    </xdr:to>
    <xdr:sp macro="" textlink="">
      <xdr:nvSpPr>
        <xdr:cNvPr id="2947" name="AutoShape 899" descr="Exempté du ballottage">
          <a:hlinkClick xmlns:r="http://schemas.openxmlformats.org/officeDocument/2006/relationships" r:id="rId720"/>
        </xdr:cNvPr>
        <xdr:cNvSpPr>
          <a:spLocks noChangeAspect="1" noChangeArrowheads="1"/>
        </xdr:cNvSpPr>
      </xdr:nvSpPr>
      <xdr:spPr bwMode="auto">
        <a:xfrm>
          <a:off x="1524000" y="2563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210</xdr:row>
      <xdr:rowOff>0</xdr:rowOff>
    </xdr:from>
    <xdr:to>
      <xdr:col>2</xdr:col>
      <xdr:colOff>123825</xdr:colOff>
      <xdr:row>210</xdr:row>
      <xdr:rowOff>123825</xdr:rowOff>
    </xdr:to>
    <xdr:sp macro="" textlink="">
      <xdr:nvSpPr>
        <xdr:cNvPr id="2948" name="AutoShape 900" descr="Bonis de performance"/>
        <xdr:cNvSpPr>
          <a:spLocks noChangeAspect="1" noChangeArrowheads="1"/>
        </xdr:cNvSpPr>
      </xdr:nvSpPr>
      <xdr:spPr bwMode="auto">
        <a:xfrm>
          <a:off x="152400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210</xdr:row>
      <xdr:rowOff>0</xdr:rowOff>
    </xdr:from>
    <xdr:to>
      <xdr:col>2</xdr:col>
      <xdr:colOff>257175</xdr:colOff>
      <xdr:row>210</xdr:row>
      <xdr:rowOff>123825</xdr:rowOff>
    </xdr:to>
    <xdr:sp macro="" textlink="">
      <xdr:nvSpPr>
        <xdr:cNvPr id="2949" name="AutoShape 901" descr="Exempté du ballottage">
          <a:hlinkClick xmlns:r="http://schemas.openxmlformats.org/officeDocument/2006/relationships" r:id="rId721"/>
        </xdr:cNvPr>
        <xdr:cNvSpPr>
          <a:spLocks noChangeAspect="1" noChangeArrowheads="1"/>
        </xdr:cNvSpPr>
      </xdr:nvSpPr>
      <xdr:spPr bwMode="auto">
        <a:xfrm>
          <a:off x="165735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634</xdr:row>
      <xdr:rowOff>0</xdr:rowOff>
    </xdr:from>
    <xdr:to>
      <xdr:col>2</xdr:col>
      <xdr:colOff>123825</xdr:colOff>
      <xdr:row>634</xdr:row>
      <xdr:rowOff>123825</xdr:rowOff>
    </xdr:to>
    <xdr:sp macro="" textlink="">
      <xdr:nvSpPr>
        <xdr:cNvPr id="2950" name="AutoShape 902" descr="Exempté du ballottage">
          <a:hlinkClick xmlns:r="http://schemas.openxmlformats.org/officeDocument/2006/relationships" r:id="rId722"/>
        </xdr:cNvPr>
        <xdr:cNvSpPr>
          <a:spLocks noChangeAspect="1" noChangeArrowheads="1"/>
        </xdr:cNvSpPr>
      </xdr:nvSpPr>
      <xdr:spPr bwMode="auto">
        <a:xfrm>
          <a:off x="1524000" y="25674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185</xdr:row>
      <xdr:rowOff>0</xdr:rowOff>
    </xdr:from>
    <xdr:to>
      <xdr:col>4</xdr:col>
      <xdr:colOff>114300</xdr:colOff>
      <xdr:row>185</xdr:row>
      <xdr:rowOff>114300</xdr:rowOff>
    </xdr:to>
    <xdr:sp macro="" textlink="">
      <xdr:nvSpPr>
        <xdr:cNvPr id="2951" name="AutoShape 903" descr="https://capfriendly-wlb8ng5.stackpathdns.com/assets/images/icons/players/injury.svg"/>
        <xdr:cNvSpPr>
          <a:spLocks noChangeAspect="1" noChangeArrowheads="1"/>
        </xdr:cNvSpPr>
      </xdr:nvSpPr>
      <xdr:spPr bwMode="auto">
        <a:xfrm>
          <a:off x="3048000" y="258822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448</xdr:row>
      <xdr:rowOff>0</xdr:rowOff>
    </xdr:from>
    <xdr:to>
      <xdr:col>4</xdr:col>
      <xdr:colOff>114300</xdr:colOff>
      <xdr:row>448</xdr:row>
      <xdr:rowOff>114300</xdr:rowOff>
    </xdr:to>
    <xdr:sp macro="" textlink="">
      <xdr:nvSpPr>
        <xdr:cNvPr id="2952" name="AutoShape 904" descr="https://capfriendly-wlb8ng5.stackpathdns.com/assets/images/icons/players/injury.svg"/>
        <xdr:cNvSpPr>
          <a:spLocks noChangeAspect="1" noChangeArrowheads="1"/>
        </xdr:cNvSpPr>
      </xdr:nvSpPr>
      <xdr:spPr bwMode="auto">
        <a:xfrm>
          <a:off x="3048000" y="259013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850</xdr:row>
      <xdr:rowOff>0</xdr:rowOff>
    </xdr:from>
    <xdr:to>
      <xdr:col>4</xdr:col>
      <xdr:colOff>114300</xdr:colOff>
      <xdr:row>850</xdr:row>
      <xdr:rowOff>114300</xdr:rowOff>
    </xdr:to>
    <xdr:sp macro="" textlink="">
      <xdr:nvSpPr>
        <xdr:cNvPr id="2953" name="AutoShape 905" descr="https://capfriendly-wlb8ng5.stackpathdns.com/assets/images/icons/players/injury.svg"/>
        <xdr:cNvSpPr>
          <a:spLocks noChangeAspect="1" noChangeArrowheads="1"/>
        </xdr:cNvSpPr>
      </xdr:nvSpPr>
      <xdr:spPr bwMode="auto">
        <a:xfrm>
          <a:off x="3048000" y="259203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4" name="AutoShape 906" descr="https://capfriendly-wlb8ng5.stackpathdns.com/assets/images/icons/general/q.svg"/>
        <xdr:cNvSpPr>
          <a:spLocks noChangeAspect="1" noChangeArrowheads="1"/>
        </xdr:cNvSpPr>
      </xdr:nvSpPr>
      <xdr:spPr bwMode="auto">
        <a:xfrm>
          <a:off x="1524000" y="26109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5" name="AutoShape 907" descr="https://capfriendly-wlb8ng5.stackpathdns.com/assets/images/icons/general/q.svg"/>
        <xdr:cNvSpPr>
          <a:spLocks noChangeAspect="1" noChangeArrowheads="1"/>
        </xdr:cNvSpPr>
      </xdr:nvSpPr>
      <xdr:spPr bwMode="auto">
        <a:xfrm>
          <a:off x="1524000" y="26128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6" name="AutoShape 908" descr="https://capfriendly-wlb8ng5.stackpathdns.com/assets/images/icons/general/q.svg"/>
        <xdr:cNvSpPr>
          <a:spLocks noChangeAspect="1" noChangeArrowheads="1"/>
        </xdr:cNvSpPr>
      </xdr:nvSpPr>
      <xdr:spPr bwMode="auto">
        <a:xfrm>
          <a:off x="1524000" y="26148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7" name="AutoShape 909" descr="https://capfriendly-wlb8ng5.stackpathdns.com/assets/images/icons/general/q.svg"/>
        <xdr:cNvSpPr>
          <a:spLocks noChangeAspect="1" noChangeArrowheads="1"/>
        </xdr:cNvSpPr>
      </xdr:nvSpPr>
      <xdr:spPr bwMode="auto">
        <a:xfrm>
          <a:off x="1524000" y="26167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8" name="AutoShape 910" descr="https://capfriendly-wlb8ng5.stackpathdns.com/assets/images/icons/general/q.svg"/>
        <xdr:cNvSpPr>
          <a:spLocks noChangeAspect="1" noChangeArrowheads="1"/>
        </xdr:cNvSpPr>
      </xdr:nvSpPr>
      <xdr:spPr bwMode="auto">
        <a:xfrm>
          <a:off x="1524000" y="26186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9" name="AutoShape 911" descr="https://capfriendly-wlb8ng5.stackpathdns.com/assets/images/icons/general/q.svg"/>
        <xdr:cNvSpPr>
          <a:spLocks noChangeAspect="1" noChangeArrowheads="1"/>
        </xdr:cNvSpPr>
      </xdr:nvSpPr>
      <xdr:spPr bwMode="auto">
        <a:xfrm>
          <a:off x="1524000" y="2620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0" name="AutoShape 912" descr="https://capfriendly-wlb8ng5.stackpathdns.com/assets/images/icons/general/q.svg"/>
        <xdr:cNvSpPr>
          <a:spLocks noChangeAspect="1" noChangeArrowheads="1"/>
        </xdr:cNvSpPr>
      </xdr:nvSpPr>
      <xdr:spPr bwMode="auto">
        <a:xfrm>
          <a:off x="1524000" y="2622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1" name="AutoShape 913" descr="https://capfriendly-wlb8ng5.stackpathdns.com/assets/images/icons/general/q.svg"/>
        <xdr:cNvSpPr>
          <a:spLocks noChangeAspect="1" noChangeArrowheads="1"/>
        </xdr:cNvSpPr>
      </xdr:nvSpPr>
      <xdr:spPr bwMode="auto">
        <a:xfrm>
          <a:off x="1524000" y="2624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2" name="AutoShape 914" descr="https://capfriendly-wlb8ng5.stackpathdns.com/assets/images/icons/general/q.svg"/>
        <xdr:cNvSpPr>
          <a:spLocks noChangeAspect="1" noChangeArrowheads="1"/>
        </xdr:cNvSpPr>
      </xdr:nvSpPr>
      <xdr:spPr bwMode="auto">
        <a:xfrm>
          <a:off x="1524000" y="2626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3" name="AutoShape 915" descr="https://capfriendly-wlb8ng5.stackpathdns.com/assets/images/icons/general/q.svg"/>
        <xdr:cNvSpPr>
          <a:spLocks noChangeAspect="1" noChangeArrowheads="1"/>
        </xdr:cNvSpPr>
      </xdr:nvSpPr>
      <xdr:spPr bwMode="auto">
        <a:xfrm>
          <a:off x="1524000" y="2628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4" name="AutoShape 916" descr="https://capfriendly-wlb8ng5.stackpathdns.com/assets/images/icons/general/q.svg"/>
        <xdr:cNvSpPr>
          <a:spLocks noChangeAspect="1" noChangeArrowheads="1"/>
        </xdr:cNvSpPr>
      </xdr:nvSpPr>
      <xdr:spPr bwMode="auto">
        <a:xfrm>
          <a:off x="1524000" y="2630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5" name="AutoShape 917" descr="Bonis de performance"/>
        <xdr:cNvSpPr>
          <a:spLocks noChangeAspect="1" noChangeArrowheads="1"/>
        </xdr:cNvSpPr>
      </xdr:nvSpPr>
      <xdr:spPr bwMode="auto">
        <a:xfrm>
          <a:off x="152400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992</xdr:row>
      <xdr:rowOff>0</xdr:rowOff>
    </xdr:from>
    <xdr:to>
      <xdr:col>2</xdr:col>
      <xdr:colOff>257175</xdr:colOff>
      <xdr:row>992</xdr:row>
      <xdr:rowOff>123825</xdr:rowOff>
    </xdr:to>
    <xdr:sp macro="" textlink="">
      <xdr:nvSpPr>
        <xdr:cNvPr id="2966" name="AutoShape 918" descr="Exempté du ballottage">
          <a:hlinkClick xmlns:r="http://schemas.openxmlformats.org/officeDocument/2006/relationships" r:id="rId723"/>
        </xdr:cNvPr>
        <xdr:cNvSpPr>
          <a:spLocks noChangeAspect="1" noChangeArrowheads="1"/>
        </xdr:cNvSpPr>
      </xdr:nvSpPr>
      <xdr:spPr bwMode="auto">
        <a:xfrm>
          <a:off x="165735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123825</xdr:colOff>
      <xdr:row>522</xdr:row>
      <xdr:rowOff>123825</xdr:rowOff>
    </xdr:to>
    <xdr:sp macro="" textlink="">
      <xdr:nvSpPr>
        <xdr:cNvPr id="2967" name="AutoShape 919" descr="Bonis de performance"/>
        <xdr:cNvSpPr>
          <a:spLocks noChangeAspect="1" noChangeArrowheads="1"/>
        </xdr:cNvSpPr>
      </xdr:nvSpPr>
      <xdr:spPr bwMode="auto">
        <a:xfrm>
          <a:off x="15240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522</xdr:row>
      <xdr:rowOff>0</xdr:rowOff>
    </xdr:from>
    <xdr:to>
      <xdr:col>2</xdr:col>
      <xdr:colOff>257175</xdr:colOff>
      <xdr:row>522</xdr:row>
      <xdr:rowOff>123825</xdr:rowOff>
    </xdr:to>
    <xdr:sp macro="" textlink="">
      <xdr:nvSpPr>
        <xdr:cNvPr id="2968" name="AutoShape 920" descr="Transaction avec retenue de salaire"/>
        <xdr:cNvSpPr>
          <a:spLocks noChangeAspect="1" noChangeArrowheads="1"/>
        </xdr:cNvSpPr>
      </xdr:nvSpPr>
      <xdr:spPr bwMode="auto">
        <a:xfrm>
          <a:off x="16573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522</xdr:row>
      <xdr:rowOff>0</xdr:rowOff>
    </xdr:from>
    <xdr:to>
      <xdr:col>2</xdr:col>
      <xdr:colOff>390525</xdr:colOff>
      <xdr:row>522</xdr:row>
      <xdr:rowOff>123825</xdr:rowOff>
    </xdr:to>
    <xdr:sp macro="" textlink="">
      <xdr:nvSpPr>
        <xdr:cNvPr id="2969" name="AutoShape 921" descr="Exempté du ballottage">
          <a:hlinkClick xmlns:r="http://schemas.openxmlformats.org/officeDocument/2006/relationships" r:id="rId724"/>
        </xdr:cNvPr>
        <xdr:cNvSpPr>
          <a:spLocks noChangeAspect="1" noChangeArrowheads="1"/>
        </xdr:cNvSpPr>
      </xdr:nvSpPr>
      <xdr:spPr bwMode="auto">
        <a:xfrm>
          <a:off x="17907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522</xdr:row>
      <xdr:rowOff>0</xdr:rowOff>
    </xdr:from>
    <xdr:to>
      <xdr:col>2</xdr:col>
      <xdr:colOff>523875</xdr:colOff>
      <xdr:row>522</xdr:row>
      <xdr:rowOff>123825</xdr:rowOff>
    </xdr:to>
    <xdr:sp macro="" textlink="">
      <xdr:nvSpPr>
        <xdr:cNvPr id="2970" name="AutoShape 922" descr="Exempté de la limite des 50 contrats"/>
        <xdr:cNvSpPr>
          <a:spLocks noChangeAspect="1" noChangeArrowheads="1"/>
        </xdr:cNvSpPr>
      </xdr:nvSpPr>
      <xdr:spPr bwMode="auto">
        <a:xfrm>
          <a:off x="19240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284</xdr:row>
      <xdr:rowOff>0</xdr:rowOff>
    </xdr:from>
    <xdr:to>
      <xdr:col>2</xdr:col>
      <xdr:colOff>123825</xdr:colOff>
      <xdr:row>284</xdr:row>
      <xdr:rowOff>123825</xdr:rowOff>
    </xdr:to>
    <xdr:sp macro="" textlink="">
      <xdr:nvSpPr>
        <xdr:cNvPr id="2971" name="AutoShape 923" descr="Bonis de performance"/>
        <xdr:cNvSpPr>
          <a:spLocks noChangeAspect="1" noChangeArrowheads="1"/>
        </xdr:cNvSpPr>
      </xdr:nvSpPr>
      <xdr:spPr bwMode="auto">
        <a:xfrm>
          <a:off x="152400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284</xdr:row>
      <xdr:rowOff>0</xdr:rowOff>
    </xdr:from>
    <xdr:to>
      <xdr:col>2</xdr:col>
      <xdr:colOff>257175</xdr:colOff>
      <xdr:row>284</xdr:row>
      <xdr:rowOff>123825</xdr:rowOff>
    </xdr:to>
    <xdr:sp macro="" textlink="">
      <xdr:nvSpPr>
        <xdr:cNvPr id="2972" name="AutoShape 924" descr="Exempté du ballottage">
          <a:hlinkClick xmlns:r="http://schemas.openxmlformats.org/officeDocument/2006/relationships" r:id="rId725"/>
        </xdr:cNvPr>
        <xdr:cNvSpPr>
          <a:spLocks noChangeAspect="1" noChangeArrowheads="1"/>
        </xdr:cNvSpPr>
      </xdr:nvSpPr>
      <xdr:spPr bwMode="auto">
        <a:xfrm>
          <a:off x="165735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1312</xdr:row>
      <xdr:rowOff>0</xdr:rowOff>
    </xdr:from>
    <xdr:to>
      <xdr:col>2</xdr:col>
      <xdr:colOff>123825</xdr:colOff>
      <xdr:row>1312</xdr:row>
      <xdr:rowOff>123825</xdr:rowOff>
    </xdr:to>
    <xdr:sp macro="" textlink="">
      <xdr:nvSpPr>
        <xdr:cNvPr id="2973" name="AutoShape 925" descr="Bonis de performance"/>
        <xdr:cNvSpPr>
          <a:spLocks noChangeAspect="1" noChangeArrowheads="1"/>
        </xdr:cNvSpPr>
      </xdr:nvSpPr>
      <xdr:spPr bwMode="auto">
        <a:xfrm>
          <a:off x="152400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1312</xdr:row>
      <xdr:rowOff>0</xdr:rowOff>
    </xdr:from>
    <xdr:to>
      <xdr:col>2</xdr:col>
      <xdr:colOff>257175</xdr:colOff>
      <xdr:row>1312</xdr:row>
      <xdr:rowOff>123825</xdr:rowOff>
    </xdr:to>
    <xdr:sp macro="" textlink="">
      <xdr:nvSpPr>
        <xdr:cNvPr id="2974" name="AutoShape 926" descr="Exempté du ballottage">
          <a:hlinkClick xmlns:r="http://schemas.openxmlformats.org/officeDocument/2006/relationships" r:id="rId726"/>
        </xdr:cNvPr>
        <xdr:cNvSpPr>
          <a:spLocks noChangeAspect="1" noChangeArrowheads="1"/>
        </xdr:cNvSpPr>
      </xdr:nvSpPr>
      <xdr:spPr bwMode="auto">
        <a:xfrm>
          <a:off x="165735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xdr:row>
      <xdr:rowOff>0</xdr:rowOff>
    </xdr:from>
    <xdr:to>
      <xdr:col>2</xdr:col>
      <xdr:colOff>123825</xdr:colOff>
      <xdr:row>74</xdr:row>
      <xdr:rowOff>123825</xdr:rowOff>
    </xdr:to>
    <xdr:sp macro="" textlink="">
      <xdr:nvSpPr>
        <xdr:cNvPr id="2975" name="AutoShape 927" descr="Bonis de performance"/>
        <xdr:cNvSpPr>
          <a:spLocks noChangeAspect="1" noChangeArrowheads="1"/>
        </xdr:cNvSpPr>
      </xdr:nvSpPr>
      <xdr:spPr bwMode="auto">
        <a:xfrm>
          <a:off x="152400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xdr:row>
      <xdr:rowOff>0</xdr:rowOff>
    </xdr:from>
    <xdr:to>
      <xdr:col>2</xdr:col>
      <xdr:colOff>257175</xdr:colOff>
      <xdr:row>74</xdr:row>
      <xdr:rowOff>123825</xdr:rowOff>
    </xdr:to>
    <xdr:sp macro="" textlink="">
      <xdr:nvSpPr>
        <xdr:cNvPr id="2976" name="AutoShape 928" descr="Exempté du ballottage">
          <a:hlinkClick xmlns:r="http://schemas.openxmlformats.org/officeDocument/2006/relationships" r:id="rId727"/>
        </xdr:cNvPr>
        <xdr:cNvSpPr>
          <a:spLocks noChangeAspect="1" noChangeArrowheads="1"/>
        </xdr:cNvSpPr>
      </xdr:nvSpPr>
      <xdr:spPr bwMode="auto">
        <a:xfrm>
          <a:off x="165735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xdr:row>
      <xdr:rowOff>0</xdr:rowOff>
    </xdr:from>
    <xdr:to>
      <xdr:col>2</xdr:col>
      <xdr:colOff>123825</xdr:colOff>
      <xdr:row>56</xdr:row>
      <xdr:rowOff>123825</xdr:rowOff>
    </xdr:to>
    <xdr:sp macro="" textlink="">
      <xdr:nvSpPr>
        <xdr:cNvPr id="2977" name="AutoShape 929" descr="Bonis de performance"/>
        <xdr:cNvSpPr>
          <a:spLocks noChangeAspect="1" noChangeArrowheads="1"/>
        </xdr:cNvSpPr>
      </xdr:nvSpPr>
      <xdr:spPr bwMode="auto">
        <a:xfrm>
          <a:off x="152400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xdr:row>
      <xdr:rowOff>0</xdr:rowOff>
    </xdr:from>
    <xdr:to>
      <xdr:col>2</xdr:col>
      <xdr:colOff>257175</xdr:colOff>
      <xdr:row>56</xdr:row>
      <xdr:rowOff>123825</xdr:rowOff>
    </xdr:to>
    <xdr:sp macro="" textlink="">
      <xdr:nvSpPr>
        <xdr:cNvPr id="2978" name="AutoShape 930" descr="Exempté du ballottage">
          <a:hlinkClick xmlns:r="http://schemas.openxmlformats.org/officeDocument/2006/relationships" r:id="rId728"/>
        </xdr:cNvPr>
        <xdr:cNvSpPr>
          <a:spLocks noChangeAspect="1" noChangeArrowheads="1"/>
        </xdr:cNvSpPr>
      </xdr:nvSpPr>
      <xdr:spPr bwMode="auto">
        <a:xfrm>
          <a:off x="165735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1034</xdr:row>
      <xdr:rowOff>0</xdr:rowOff>
    </xdr:from>
    <xdr:to>
      <xdr:col>7</xdr:col>
      <xdr:colOff>123825</xdr:colOff>
      <xdr:row>1034</xdr:row>
      <xdr:rowOff>104775</xdr:rowOff>
    </xdr:to>
    <xdr:sp macro="" textlink="">
      <xdr:nvSpPr>
        <xdr:cNvPr id="2979" name="AutoShape 931" descr="Éligible à l'arbitrage">
          <a:hlinkClick xmlns:r="http://schemas.openxmlformats.org/officeDocument/2006/relationships" r:id="rId729"/>
        </xdr:cNvPr>
        <xdr:cNvSpPr>
          <a:spLocks noChangeAspect="1" noChangeArrowheads="1"/>
        </xdr:cNvSpPr>
      </xdr:nvSpPr>
      <xdr:spPr bwMode="auto">
        <a:xfrm>
          <a:off x="5334000" y="265204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123825</xdr:colOff>
      <xdr:row>427</xdr:row>
      <xdr:rowOff>123825</xdr:rowOff>
    </xdr:to>
    <xdr:sp macro="" textlink="">
      <xdr:nvSpPr>
        <xdr:cNvPr id="2980" name="AutoShape 932" descr="Bonis de performance"/>
        <xdr:cNvSpPr>
          <a:spLocks noChangeAspect="1" noChangeArrowheads="1"/>
        </xdr:cNvSpPr>
      </xdr:nvSpPr>
      <xdr:spPr bwMode="auto">
        <a:xfrm>
          <a:off x="152400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427</xdr:row>
      <xdr:rowOff>0</xdr:rowOff>
    </xdr:from>
    <xdr:to>
      <xdr:col>2</xdr:col>
      <xdr:colOff>257175</xdr:colOff>
      <xdr:row>427</xdr:row>
      <xdr:rowOff>123825</xdr:rowOff>
    </xdr:to>
    <xdr:sp macro="" textlink="">
      <xdr:nvSpPr>
        <xdr:cNvPr id="2981" name="AutoShape 933" descr="Exempté du ballottage">
          <a:hlinkClick xmlns:r="http://schemas.openxmlformats.org/officeDocument/2006/relationships" r:id="rId730"/>
        </xdr:cNvPr>
        <xdr:cNvSpPr>
          <a:spLocks noChangeAspect="1" noChangeArrowheads="1"/>
        </xdr:cNvSpPr>
      </xdr:nvSpPr>
      <xdr:spPr bwMode="auto">
        <a:xfrm>
          <a:off x="165735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xdr:row>
      <xdr:rowOff>0</xdr:rowOff>
    </xdr:from>
    <xdr:to>
      <xdr:col>2</xdr:col>
      <xdr:colOff>123825</xdr:colOff>
      <xdr:row>4</xdr:row>
      <xdr:rowOff>123825</xdr:rowOff>
    </xdr:to>
    <xdr:sp macro="" textlink="">
      <xdr:nvSpPr>
        <xdr:cNvPr id="2982" name="AutoShape 934" descr="Bonis de performance"/>
        <xdr:cNvSpPr>
          <a:spLocks noChangeAspect="1" noChangeArrowheads="1"/>
        </xdr:cNvSpPr>
      </xdr:nvSpPr>
      <xdr:spPr bwMode="auto">
        <a:xfrm>
          <a:off x="1524000" y="2655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xdr:row>
      <xdr:rowOff>0</xdr:rowOff>
    </xdr:from>
    <xdr:to>
      <xdr:col>2</xdr:col>
      <xdr:colOff>257175</xdr:colOff>
      <xdr:row>4</xdr:row>
      <xdr:rowOff>123825</xdr:rowOff>
    </xdr:to>
    <xdr:sp macro="" textlink="">
      <xdr:nvSpPr>
        <xdr:cNvPr id="2983" name="AutoShape 935" descr="Exempté du ballottage">
          <a:hlinkClick xmlns:r="http://schemas.openxmlformats.org/officeDocument/2006/relationships" r:id="rId731"/>
        </xdr:cNvPr>
        <xdr:cNvSpPr>
          <a:spLocks noChangeAspect="1" noChangeArrowheads="1"/>
        </xdr:cNvSpPr>
      </xdr:nvSpPr>
      <xdr:spPr bwMode="auto">
        <a:xfrm>
          <a:off x="1657350" y="2655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218</xdr:row>
      <xdr:rowOff>0</xdr:rowOff>
    </xdr:from>
    <xdr:to>
      <xdr:col>2</xdr:col>
      <xdr:colOff>123825</xdr:colOff>
      <xdr:row>218</xdr:row>
      <xdr:rowOff>123825</xdr:rowOff>
    </xdr:to>
    <xdr:sp macro="" textlink="">
      <xdr:nvSpPr>
        <xdr:cNvPr id="2984" name="AutoShape 936" descr="Bonis de performance"/>
        <xdr:cNvSpPr>
          <a:spLocks noChangeAspect="1" noChangeArrowheads="1"/>
        </xdr:cNvSpPr>
      </xdr:nvSpPr>
      <xdr:spPr bwMode="auto">
        <a:xfrm>
          <a:off x="152400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218</xdr:row>
      <xdr:rowOff>0</xdr:rowOff>
    </xdr:from>
    <xdr:to>
      <xdr:col>2</xdr:col>
      <xdr:colOff>257175</xdr:colOff>
      <xdr:row>218</xdr:row>
      <xdr:rowOff>123825</xdr:rowOff>
    </xdr:to>
    <xdr:sp macro="" textlink="">
      <xdr:nvSpPr>
        <xdr:cNvPr id="2985" name="AutoShape 937" descr="Exempté du ballottage">
          <a:hlinkClick xmlns:r="http://schemas.openxmlformats.org/officeDocument/2006/relationships" r:id="rId732"/>
        </xdr:cNvPr>
        <xdr:cNvSpPr>
          <a:spLocks noChangeAspect="1" noChangeArrowheads="1"/>
        </xdr:cNvSpPr>
      </xdr:nvSpPr>
      <xdr:spPr bwMode="auto">
        <a:xfrm>
          <a:off x="165735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699</xdr:row>
      <xdr:rowOff>0</xdr:rowOff>
    </xdr:from>
    <xdr:to>
      <xdr:col>2</xdr:col>
      <xdr:colOff>123825</xdr:colOff>
      <xdr:row>699</xdr:row>
      <xdr:rowOff>123825</xdr:rowOff>
    </xdr:to>
    <xdr:sp macro="" textlink="">
      <xdr:nvSpPr>
        <xdr:cNvPr id="2986" name="AutoShape 938" descr="Exempté du ballottage">
          <a:hlinkClick xmlns:r="http://schemas.openxmlformats.org/officeDocument/2006/relationships" r:id="rId733"/>
        </xdr:cNvPr>
        <xdr:cNvSpPr>
          <a:spLocks noChangeAspect="1" noChangeArrowheads="1"/>
        </xdr:cNvSpPr>
      </xdr:nvSpPr>
      <xdr:spPr bwMode="auto">
        <a:xfrm>
          <a:off x="1524000" y="2659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1140</xdr:row>
      <xdr:rowOff>0</xdr:rowOff>
    </xdr:from>
    <xdr:to>
      <xdr:col>2</xdr:col>
      <xdr:colOff>123825</xdr:colOff>
      <xdr:row>1140</xdr:row>
      <xdr:rowOff>123825</xdr:rowOff>
    </xdr:to>
    <xdr:sp macro="" textlink="">
      <xdr:nvSpPr>
        <xdr:cNvPr id="2987" name="AutoShape 939" descr="Exempté du ballottage">
          <a:hlinkClick xmlns:r="http://schemas.openxmlformats.org/officeDocument/2006/relationships" r:id="rId734"/>
        </xdr:cNvPr>
        <xdr:cNvSpPr>
          <a:spLocks noChangeAspect="1" noChangeArrowheads="1"/>
        </xdr:cNvSpPr>
      </xdr:nvSpPr>
      <xdr:spPr bwMode="auto">
        <a:xfrm>
          <a:off x="1524000" y="2661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1140</xdr:row>
      <xdr:rowOff>0</xdr:rowOff>
    </xdr:from>
    <xdr:to>
      <xdr:col>7</xdr:col>
      <xdr:colOff>123825</xdr:colOff>
      <xdr:row>1140</xdr:row>
      <xdr:rowOff>104775</xdr:rowOff>
    </xdr:to>
    <xdr:sp macro="" textlink="">
      <xdr:nvSpPr>
        <xdr:cNvPr id="2988" name="AutoShape 940" descr="Éligible à l'arbitrage">
          <a:hlinkClick xmlns:r="http://schemas.openxmlformats.org/officeDocument/2006/relationships" r:id="rId735"/>
        </xdr:cNvPr>
        <xdr:cNvSpPr>
          <a:spLocks noChangeAspect="1" noChangeArrowheads="1"/>
        </xdr:cNvSpPr>
      </xdr:nvSpPr>
      <xdr:spPr bwMode="auto">
        <a:xfrm>
          <a:off x="5334000" y="266157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719</xdr:row>
      <xdr:rowOff>0</xdr:rowOff>
    </xdr:from>
    <xdr:to>
      <xdr:col>7</xdr:col>
      <xdr:colOff>123825</xdr:colOff>
      <xdr:row>719</xdr:row>
      <xdr:rowOff>104775</xdr:rowOff>
    </xdr:to>
    <xdr:sp macro="" textlink="">
      <xdr:nvSpPr>
        <xdr:cNvPr id="2989" name="AutoShape 941" descr="Éligible à l'arbitrage">
          <a:hlinkClick xmlns:r="http://schemas.openxmlformats.org/officeDocument/2006/relationships" r:id="rId736"/>
        </xdr:cNvPr>
        <xdr:cNvSpPr>
          <a:spLocks noChangeAspect="1" noChangeArrowheads="1"/>
        </xdr:cNvSpPr>
      </xdr:nvSpPr>
      <xdr:spPr bwMode="auto">
        <a:xfrm>
          <a:off x="5334000" y="266538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1348</xdr:row>
      <xdr:rowOff>0</xdr:rowOff>
    </xdr:from>
    <xdr:to>
      <xdr:col>2</xdr:col>
      <xdr:colOff>123825</xdr:colOff>
      <xdr:row>1348</xdr:row>
      <xdr:rowOff>123825</xdr:rowOff>
    </xdr:to>
    <xdr:sp macro="" textlink="">
      <xdr:nvSpPr>
        <xdr:cNvPr id="2990" name="AutoShape 942" descr="Bonis de performance"/>
        <xdr:cNvSpPr>
          <a:spLocks noChangeAspect="1" noChangeArrowheads="1"/>
        </xdr:cNvSpPr>
      </xdr:nvSpPr>
      <xdr:spPr bwMode="auto">
        <a:xfrm>
          <a:off x="15240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1348</xdr:row>
      <xdr:rowOff>0</xdr:rowOff>
    </xdr:from>
    <xdr:to>
      <xdr:col>2</xdr:col>
      <xdr:colOff>257175</xdr:colOff>
      <xdr:row>1348</xdr:row>
      <xdr:rowOff>123825</xdr:rowOff>
    </xdr:to>
    <xdr:sp macro="" textlink="">
      <xdr:nvSpPr>
        <xdr:cNvPr id="2991" name="AutoShape 943" descr="Transaction avec retenue de salaire"/>
        <xdr:cNvSpPr>
          <a:spLocks noChangeAspect="1" noChangeArrowheads="1"/>
        </xdr:cNvSpPr>
      </xdr:nvSpPr>
      <xdr:spPr bwMode="auto">
        <a:xfrm>
          <a:off x="165735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1348</xdr:row>
      <xdr:rowOff>0</xdr:rowOff>
    </xdr:from>
    <xdr:to>
      <xdr:col>2</xdr:col>
      <xdr:colOff>390525</xdr:colOff>
      <xdr:row>1348</xdr:row>
      <xdr:rowOff>123825</xdr:rowOff>
    </xdr:to>
    <xdr:sp macro="" textlink="">
      <xdr:nvSpPr>
        <xdr:cNvPr id="2992" name="AutoShape 944" descr="Exempté du ballottage">
          <a:hlinkClick xmlns:r="http://schemas.openxmlformats.org/officeDocument/2006/relationships" r:id="rId737"/>
        </xdr:cNvPr>
        <xdr:cNvSpPr>
          <a:spLocks noChangeAspect="1" noChangeArrowheads="1"/>
        </xdr:cNvSpPr>
      </xdr:nvSpPr>
      <xdr:spPr bwMode="auto">
        <a:xfrm>
          <a:off x="17907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150</xdr:row>
      <xdr:rowOff>0</xdr:rowOff>
    </xdr:from>
    <xdr:to>
      <xdr:col>2</xdr:col>
      <xdr:colOff>123825</xdr:colOff>
      <xdr:row>150</xdr:row>
      <xdr:rowOff>123825</xdr:rowOff>
    </xdr:to>
    <xdr:sp macro="" textlink="">
      <xdr:nvSpPr>
        <xdr:cNvPr id="2993" name="AutoShape 945" descr="Bonis de performance"/>
        <xdr:cNvSpPr>
          <a:spLocks noChangeAspect="1" noChangeArrowheads="1"/>
        </xdr:cNvSpPr>
      </xdr:nvSpPr>
      <xdr:spPr bwMode="auto">
        <a:xfrm>
          <a:off x="152400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150</xdr:row>
      <xdr:rowOff>0</xdr:rowOff>
    </xdr:from>
    <xdr:to>
      <xdr:col>2</xdr:col>
      <xdr:colOff>257175</xdr:colOff>
      <xdr:row>150</xdr:row>
      <xdr:rowOff>123825</xdr:rowOff>
    </xdr:to>
    <xdr:sp macro="" textlink="">
      <xdr:nvSpPr>
        <xdr:cNvPr id="2994" name="AutoShape 946" descr="Exempté du ballottage">
          <a:hlinkClick xmlns:r="http://schemas.openxmlformats.org/officeDocument/2006/relationships" r:id="rId738"/>
        </xdr:cNvPr>
        <xdr:cNvSpPr>
          <a:spLocks noChangeAspect="1" noChangeArrowheads="1"/>
        </xdr:cNvSpPr>
      </xdr:nvSpPr>
      <xdr:spPr bwMode="auto">
        <a:xfrm>
          <a:off x="165735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xdr:row>
      <xdr:rowOff>0</xdr:rowOff>
    </xdr:from>
    <xdr:to>
      <xdr:col>2</xdr:col>
      <xdr:colOff>123825</xdr:colOff>
      <xdr:row>18</xdr:row>
      <xdr:rowOff>123825</xdr:rowOff>
    </xdr:to>
    <xdr:sp macro="" textlink="">
      <xdr:nvSpPr>
        <xdr:cNvPr id="2995" name="AutoShape 947" descr="Bonis de performance"/>
        <xdr:cNvSpPr>
          <a:spLocks noChangeAspect="1" noChangeArrowheads="1"/>
        </xdr:cNvSpPr>
      </xdr:nvSpPr>
      <xdr:spPr bwMode="auto">
        <a:xfrm>
          <a:off x="152400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xdr:row>
      <xdr:rowOff>0</xdr:rowOff>
    </xdr:from>
    <xdr:to>
      <xdr:col>2</xdr:col>
      <xdr:colOff>257175</xdr:colOff>
      <xdr:row>18</xdr:row>
      <xdr:rowOff>123825</xdr:rowOff>
    </xdr:to>
    <xdr:sp macro="" textlink="">
      <xdr:nvSpPr>
        <xdr:cNvPr id="2996" name="AutoShape 948" descr="Exempté du ballottage">
          <a:hlinkClick xmlns:r="http://schemas.openxmlformats.org/officeDocument/2006/relationships" r:id="rId739"/>
        </xdr:cNvPr>
        <xdr:cNvSpPr>
          <a:spLocks noChangeAspect="1" noChangeArrowheads="1"/>
        </xdr:cNvSpPr>
      </xdr:nvSpPr>
      <xdr:spPr bwMode="auto">
        <a:xfrm>
          <a:off x="165735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774</xdr:row>
      <xdr:rowOff>0</xdr:rowOff>
    </xdr:from>
    <xdr:to>
      <xdr:col>2</xdr:col>
      <xdr:colOff>123825</xdr:colOff>
      <xdr:row>774</xdr:row>
      <xdr:rowOff>123825</xdr:rowOff>
    </xdr:to>
    <xdr:sp macro="" textlink="">
      <xdr:nvSpPr>
        <xdr:cNvPr id="2997" name="AutoShape 949" descr="Bonis de performance"/>
        <xdr:cNvSpPr>
          <a:spLocks noChangeAspect="1" noChangeArrowheads="1"/>
        </xdr:cNvSpPr>
      </xdr:nvSpPr>
      <xdr:spPr bwMode="auto">
        <a:xfrm>
          <a:off x="152400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774</xdr:row>
      <xdr:rowOff>0</xdr:rowOff>
    </xdr:from>
    <xdr:to>
      <xdr:col>2</xdr:col>
      <xdr:colOff>257175</xdr:colOff>
      <xdr:row>774</xdr:row>
      <xdr:rowOff>123825</xdr:rowOff>
    </xdr:to>
    <xdr:sp macro="" textlink="">
      <xdr:nvSpPr>
        <xdr:cNvPr id="2998" name="AutoShape 950" descr="Exempté du ballottage">
          <a:hlinkClick xmlns:r="http://schemas.openxmlformats.org/officeDocument/2006/relationships" r:id="rId740"/>
        </xdr:cNvPr>
        <xdr:cNvSpPr>
          <a:spLocks noChangeAspect="1" noChangeArrowheads="1"/>
        </xdr:cNvSpPr>
      </xdr:nvSpPr>
      <xdr:spPr bwMode="auto">
        <a:xfrm>
          <a:off x="165735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269</xdr:row>
      <xdr:rowOff>0</xdr:rowOff>
    </xdr:from>
    <xdr:to>
      <xdr:col>2</xdr:col>
      <xdr:colOff>123825</xdr:colOff>
      <xdr:row>269</xdr:row>
      <xdr:rowOff>123825</xdr:rowOff>
    </xdr:to>
    <xdr:sp macro="" textlink="">
      <xdr:nvSpPr>
        <xdr:cNvPr id="2999" name="AutoShape 951" descr="Exempté du ballottage">
          <a:hlinkClick xmlns:r="http://schemas.openxmlformats.org/officeDocument/2006/relationships" r:id="rId741"/>
        </xdr:cNvPr>
        <xdr:cNvSpPr>
          <a:spLocks noChangeAspect="1" noChangeArrowheads="1"/>
        </xdr:cNvSpPr>
      </xdr:nvSpPr>
      <xdr:spPr bwMode="auto">
        <a:xfrm>
          <a:off x="1524000" y="2697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00" name="AutoShape 952" descr="https://capfriendly-wlb8ng5.stackpathdns.com/assets/images/icons/general/q2.svg"/>
        <xdr:cNvSpPr>
          <a:spLocks noChangeAspect="1" noChangeArrowheads="1"/>
        </xdr:cNvSpPr>
      </xdr:nvSpPr>
      <xdr:spPr bwMode="auto">
        <a:xfrm>
          <a:off x="5334000" y="2699385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123825</xdr:colOff>
      <xdr:row>534</xdr:row>
      <xdr:rowOff>123825</xdr:rowOff>
    </xdr:to>
    <xdr:sp macro="" textlink="">
      <xdr:nvSpPr>
        <xdr:cNvPr id="3001" name="AutoShape 953" descr="Bonis de performance"/>
        <xdr:cNvSpPr>
          <a:spLocks noChangeAspect="1" noChangeArrowheads="1"/>
        </xdr:cNvSpPr>
      </xdr:nvSpPr>
      <xdr:spPr bwMode="auto">
        <a:xfrm>
          <a:off x="152400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534</xdr:row>
      <xdr:rowOff>0</xdr:rowOff>
    </xdr:from>
    <xdr:to>
      <xdr:col>2</xdr:col>
      <xdr:colOff>257175</xdr:colOff>
      <xdr:row>534</xdr:row>
      <xdr:rowOff>123825</xdr:rowOff>
    </xdr:to>
    <xdr:sp macro="" textlink="">
      <xdr:nvSpPr>
        <xdr:cNvPr id="3002" name="AutoShape 954" descr="Exempté du ballottage">
          <a:hlinkClick xmlns:r="http://schemas.openxmlformats.org/officeDocument/2006/relationships" r:id="rId742"/>
        </xdr:cNvPr>
        <xdr:cNvSpPr>
          <a:spLocks noChangeAspect="1" noChangeArrowheads="1"/>
        </xdr:cNvSpPr>
      </xdr:nvSpPr>
      <xdr:spPr bwMode="auto">
        <a:xfrm>
          <a:off x="165735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596</xdr:row>
      <xdr:rowOff>0</xdr:rowOff>
    </xdr:from>
    <xdr:to>
      <xdr:col>2</xdr:col>
      <xdr:colOff>123825</xdr:colOff>
      <xdr:row>596</xdr:row>
      <xdr:rowOff>123825</xdr:rowOff>
    </xdr:to>
    <xdr:sp macro="" textlink="">
      <xdr:nvSpPr>
        <xdr:cNvPr id="3003" name="AutoShape 955" descr="Exempté du ballottage">
          <a:hlinkClick xmlns:r="http://schemas.openxmlformats.org/officeDocument/2006/relationships" r:id="rId743"/>
        </xdr:cNvPr>
        <xdr:cNvSpPr>
          <a:spLocks noChangeAspect="1" noChangeArrowheads="1"/>
        </xdr:cNvSpPr>
      </xdr:nvSpPr>
      <xdr:spPr bwMode="auto">
        <a:xfrm>
          <a:off x="1524000" y="27031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596</xdr:row>
      <xdr:rowOff>0</xdr:rowOff>
    </xdr:from>
    <xdr:to>
      <xdr:col>8</xdr:col>
      <xdr:colOff>123825</xdr:colOff>
      <xdr:row>596</xdr:row>
      <xdr:rowOff>104775</xdr:rowOff>
    </xdr:to>
    <xdr:sp macro="" textlink="">
      <xdr:nvSpPr>
        <xdr:cNvPr id="3004" name="AutoShape 956" descr="Éligible à l'arbitrage">
          <a:hlinkClick xmlns:r="http://schemas.openxmlformats.org/officeDocument/2006/relationships" r:id="rId744"/>
        </xdr:cNvPr>
        <xdr:cNvSpPr>
          <a:spLocks noChangeAspect="1" noChangeArrowheads="1"/>
        </xdr:cNvSpPr>
      </xdr:nvSpPr>
      <xdr:spPr bwMode="auto">
        <a:xfrm>
          <a:off x="6096000" y="27031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114</xdr:row>
      <xdr:rowOff>0</xdr:rowOff>
    </xdr:from>
    <xdr:to>
      <xdr:col>8</xdr:col>
      <xdr:colOff>123825</xdr:colOff>
      <xdr:row>114</xdr:row>
      <xdr:rowOff>104775</xdr:rowOff>
    </xdr:to>
    <xdr:sp macro="" textlink="">
      <xdr:nvSpPr>
        <xdr:cNvPr id="3005" name="AutoShape 957" descr="Éligible à l'arbitrage">
          <a:hlinkClick xmlns:r="http://schemas.openxmlformats.org/officeDocument/2006/relationships" r:id="rId745"/>
        </xdr:cNvPr>
        <xdr:cNvSpPr>
          <a:spLocks noChangeAspect="1" noChangeArrowheads="1"/>
        </xdr:cNvSpPr>
      </xdr:nvSpPr>
      <xdr:spPr bwMode="auto">
        <a:xfrm>
          <a:off x="6096000" y="2634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xdr:row>
      <xdr:rowOff>0</xdr:rowOff>
    </xdr:from>
    <xdr:to>
      <xdr:col>7</xdr:col>
      <xdr:colOff>123825</xdr:colOff>
      <xdr:row>27</xdr:row>
      <xdr:rowOff>104775</xdr:rowOff>
    </xdr:to>
    <xdr:sp macro="" textlink="">
      <xdr:nvSpPr>
        <xdr:cNvPr id="3006" name="AutoShape 958" descr="Éligible à l'arbitrage">
          <a:hlinkClick xmlns:r="http://schemas.openxmlformats.org/officeDocument/2006/relationships" r:id="rId746"/>
        </xdr:cNvPr>
        <xdr:cNvSpPr>
          <a:spLocks noChangeAspect="1" noChangeArrowheads="1"/>
        </xdr:cNvSpPr>
      </xdr:nvSpPr>
      <xdr:spPr bwMode="auto">
        <a:xfrm>
          <a:off x="5334000" y="2636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342</xdr:row>
      <xdr:rowOff>0</xdr:rowOff>
    </xdr:from>
    <xdr:to>
      <xdr:col>2</xdr:col>
      <xdr:colOff>123825</xdr:colOff>
      <xdr:row>342</xdr:row>
      <xdr:rowOff>123825</xdr:rowOff>
    </xdr:to>
    <xdr:sp macro="" textlink="">
      <xdr:nvSpPr>
        <xdr:cNvPr id="3007" name="AutoShape 959" descr="Bonis de performance"/>
        <xdr:cNvSpPr>
          <a:spLocks noChangeAspect="1" noChangeArrowheads="1"/>
        </xdr:cNvSpPr>
      </xdr:nvSpPr>
      <xdr:spPr bwMode="auto">
        <a:xfrm>
          <a:off x="1524000" y="26380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1138</xdr:row>
      <xdr:rowOff>0</xdr:rowOff>
    </xdr:from>
    <xdr:to>
      <xdr:col>2</xdr:col>
      <xdr:colOff>123825</xdr:colOff>
      <xdr:row>1138</xdr:row>
      <xdr:rowOff>123825</xdr:rowOff>
    </xdr:to>
    <xdr:sp macro="" textlink="">
      <xdr:nvSpPr>
        <xdr:cNvPr id="3008" name="AutoShape 960" descr="Exempté du ballottage">
          <a:hlinkClick xmlns:r="http://schemas.openxmlformats.org/officeDocument/2006/relationships" r:id="rId747"/>
        </xdr:cNvPr>
        <xdr:cNvSpPr>
          <a:spLocks noChangeAspect="1" noChangeArrowheads="1"/>
        </xdr:cNvSpPr>
      </xdr:nvSpPr>
      <xdr:spPr bwMode="auto">
        <a:xfrm>
          <a:off x="1524000" y="2639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755</xdr:row>
      <xdr:rowOff>0</xdr:rowOff>
    </xdr:from>
    <xdr:to>
      <xdr:col>7</xdr:col>
      <xdr:colOff>123825</xdr:colOff>
      <xdr:row>755</xdr:row>
      <xdr:rowOff>104775</xdr:rowOff>
    </xdr:to>
    <xdr:sp macro="" textlink="">
      <xdr:nvSpPr>
        <xdr:cNvPr id="3009" name="AutoShape 961" descr="Éligible à l'arbitrage">
          <a:hlinkClick xmlns:r="http://schemas.openxmlformats.org/officeDocument/2006/relationships" r:id="rId748"/>
        </xdr:cNvPr>
        <xdr:cNvSpPr>
          <a:spLocks noChangeAspect="1" noChangeArrowheads="1"/>
        </xdr:cNvSpPr>
      </xdr:nvSpPr>
      <xdr:spPr bwMode="auto">
        <a:xfrm>
          <a:off x="5334000" y="266080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735</xdr:row>
      <xdr:rowOff>0</xdr:rowOff>
    </xdr:from>
    <xdr:to>
      <xdr:col>7</xdr:col>
      <xdr:colOff>123825</xdr:colOff>
      <xdr:row>735</xdr:row>
      <xdr:rowOff>104775</xdr:rowOff>
    </xdr:to>
    <xdr:sp macro="" textlink="">
      <xdr:nvSpPr>
        <xdr:cNvPr id="3010" name="AutoShape 962" descr="Éligible à l'arbitrage">
          <a:hlinkClick xmlns:r="http://schemas.openxmlformats.org/officeDocument/2006/relationships" r:id="rId749"/>
        </xdr:cNvPr>
        <xdr:cNvSpPr>
          <a:spLocks noChangeAspect="1" noChangeArrowheads="1"/>
        </xdr:cNvSpPr>
      </xdr:nvSpPr>
      <xdr:spPr bwMode="auto">
        <a:xfrm>
          <a:off x="5334000" y="267404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932</xdr:row>
      <xdr:rowOff>0</xdr:rowOff>
    </xdr:from>
    <xdr:to>
      <xdr:col>2</xdr:col>
      <xdr:colOff>123825</xdr:colOff>
      <xdr:row>932</xdr:row>
      <xdr:rowOff>123825</xdr:rowOff>
    </xdr:to>
    <xdr:sp macro="" textlink="">
      <xdr:nvSpPr>
        <xdr:cNvPr id="3011" name="AutoShape 963" descr="Exempté du ballottage">
          <a:hlinkClick xmlns:r="http://schemas.openxmlformats.org/officeDocument/2006/relationships" r:id="rId750"/>
        </xdr:cNvPr>
        <xdr:cNvSpPr>
          <a:spLocks noChangeAspect="1" noChangeArrowheads="1"/>
        </xdr:cNvSpPr>
      </xdr:nvSpPr>
      <xdr:spPr bwMode="auto">
        <a:xfrm>
          <a:off x="1524000" y="2675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2" name="AutoShape 964" descr="https://capfriendly-wlb8ng5.stackpathdns.com/assets/images/icons/general/q.svg"/>
        <xdr:cNvSpPr>
          <a:spLocks noChangeAspect="1" noChangeArrowheads="1"/>
        </xdr:cNvSpPr>
      </xdr:nvSpPr>
      <xdr:spPr bwMode="auto">
        <a:xfrm>
          <a:off x="1524000" y="2694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3" name="AutoShape 965" descr="https://capfriendly-wlb8ng5.stackpathdns.com/assets/images/icons/general/q.svg"/>
        <xdr:cNvSpPr>
          <a:spLocks noChangeAspect="1" noChangeArrowheads="1"/>
        </xdr:cNvSpPr>
      </xdr:nvSpPr>
      <xdr:spPr bwMode="auto">
        <a:xfrm>
          <a:off x="1524000" y="2696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4" name="AutoShape 966" descr="https://capfriendly-wlb8ng5.stackpathdns.com/assets/images/icons/general/q.svg"/>
        <xdr:cNvSpPr>
          <a:spLocks noChangeAspect="1" noChangeArrowheads="1"/>
        </xdr:cNvSpPr>
      </xdr:nvSpPr>
      <xdr:spPr bwMode="auto">
        <a:xfrm>
          <a:off x="1524000" y="2698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5" name="AutoShape 967" descr="https://capfriendly-wlb8ng5.stackpathdns.com/assets/images/icons/general/q.svg"/>
        <xdr:cNvSpPr>
          <a:spLocks noChangeAspect="1" noChangeArrowheads="1"/>
        </xdr:cNvSpPr>
      </xdr:nvSpPr>
      <xdr:spPr bwMode="auto">
        <a:xfrm>
          <a:off x="1524000" y="2700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6" name="AutoShape 968" descr="https://capfriendly-wlb8ng5.stackpathdns.com/assets/images/icons/general/q.svg"/>
        <xdr:cNvSpPr>
          <a:spLocks noChangeAspect="1" noChangeArrowheads="1"/>
        </xdr:cNvSpPr>
      </xdr:nvSpPr>
      <xdr:spPr bwMode="auto">
        <a:xfrm>
          <a:off x="1524000" y="2702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7" name="AutoShape 969" descr="https://capfriendly-wlb8ng5.stackpathdns.com/assets/images/icons/general/q.svg"/>
        <xdr:cNvSpPr>
          <a:spLocks noChangeAspect="1" noChangeArrowheads="1"/>
        </xdr:cNvSpPr>
      </xdr:nvSpPr>
      <xdr:spPr bwMode="auto">
        <a:xfrm>
          <a:off x="1524000" y="2704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8" name="AutoShape 970" descr="https://capfriendly-wlb8ng5.stackpathdns.com/assets/images/icons/general/q.svg"/>
        <xdr:cNvSpPr>
          <a:spLocks noChangeAspect="1" noChangeArrowheads="1"/>
        </xdr:cNvSpPr>
      </xdr:nvSpPr>
      <xdr:spPr bwMode="auto">
        <a:xfrm>
          <a:off x="1524000" y="2706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9" name="AutoShape 971" descr="https://capfriendly-wlb8ng5.stackpathdns.com/assets/images/icons/general/q.svg"/>
        <xdr:cNvSpPr>
          <a:spLocks noChangeAspect="1" noChangeArrowheads="1"/>
        </xdr:cNvSpPr>
      </xdr:nvSpPr>
      <xdr:spPr bwMode="auto">
        <a:xfrm>
          <a:off x="1524000" y="2708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0" name="AutoShape 972" descr="https://capfriendly-wlb8ng5.stackpathdns.com/assets/images/icons/general/q.svg"/>
        <xdr:cNvSpPr>
          <a:spLocks noChangeAspect="1" noChangeArrowheads="1"/>
        </xdr:cNvSpPr>
      </xdr:nvSpPr>
      <xdr:spPr bwMode="auto">
        <a:xfrm>
          <a:off x="1524000" y="2710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1" name="AutoShape 973" descr="https://capfriendly-wlb8ng5.stackpathdns.com/assets/images/icons/general/q.svg"/>
        <xdr:cNvSpPr>
          <a:spLocks noChangeAspect="1" noChangeArrowheads="1"/>
        </xdr:cNvSpPr>
      </xdr:nvSpPr>
      <xdr:spPr bwMode="auto">
        <a:xfrm>
          <a:off x="1524000" y="2712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2" name="AutoShape 974" descr="https://capfriendly-wlb8ng5.stackpathdns.com/assets/images/icons/general/q.svg"/>
        <xdr:cNvSpPr>
          <a:spLocks noChangeAspect="1" noChangeArrowheads="1"/>
        </xdr:cNvSpPr>
      </xdr:nvSpPr>
      <xdr:spPr bwMode="auto">
        <a:xfrm>
          <a:off x="1524000" y="2713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3" name="AutoShape 975" descr="Bonis de performance"/>
        <xdr:cNvSpPr>
          <a:spLocks noChangeAspect="1" noChangeArrowheads="1"/>
        </xdr:cNvSpPr>
      </xdr:nvSpPr>
      <xdr:spPr bwMode="auto">
        <a:xfrm>
          <a:off x="152400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xdr:row>
      <xdr:rowOff>0</xdr:rowOff>
    </xdr:from>
    <xdr:to>
      <xdr:col>2</xdr:col>
      <xdr:colOff>257175</xdr:colOff>
      <xdr:row>86</xdr:row>
      <xdr:rowOff>123825</xdr:rowOff>
    </xdr:to>
    <xdr:sp macro="" textlink="">
      <xdr:nvSpPr>
        <xdr:cNvPr id="3024" name="AutoShape 976" descr="Exempté du ballottage">
          <a:hlinkClick xmlns:r="http://schemas.openxmlformats.org/officeDocument/2006/relationships" r:id="rId751"/>
        </xdr:cNvPr>
        <xdr:cNvSpPr>
          <a:spLocks noChangeAspect="1" noChangeArrowheads="1"/>
        </xdr:cNvSpPr>
      </xdr:nvSpPr>
      <xdr:spPr bwMode="auto">
        <a:xfrm>
          <a:off x="165735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1340</xdr:row>
      <xdr:rowOff>0</xdr:rowOff>
    </xdr:from>
    <xdr:to>
      <xdr:col>2</xdr:col>
      <xdr:colOff>123825</xdr:colOff>
      <xdr:row>1340</xdr:row>
      <xdr:rowOff>123825</xdr:rowOff>
    </xdr:to>
    <xdr:sp macro="" textlink="">
      <xdr:nvSpPr>
        <xdr:cNvPr id="3025" name="AutoShape 977" descr="Exempté du ballottage">
          <a:hlinkClick xmlns:r="http://schemas.openxmlformats.org/officeDocument/2006/relationships" r:id="rId752"/>
        </xdr:cNvPr>
        <xdr:cNvSpPr>
          <a:spLocks noChangeAspect="1" noChangeArrowheads="1"/>
        </xdr:cNvSpPr>
      </xdr:nvSpPr>
      <xdr:spPr bwMode="auto">
        <a:xfrm>
          <a:off x="1524000" y="2724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123825</xdr:colOff>
      <xdr:row>435</xdr:row>
      <xdr:rowOff>123825</xdr:rowOff>
    </xdr:to>
    <xdr:sp macro="" textlink="">
      <xdr:nvSpPr>
        <xdr:cNvPr id="3026" name="AutoShape 978" descr="Bonis de performance"/>
        <xdr:cNvSpPr>
          <a:spLocks noChangeAspect="1" noChangeArrowheads="1"/>
        </xdr:cNvSpPr>
      </xdr:nvSpPr>
      <xdr:spPr bwMode="auto">
        <a:xfrm>
          <a:off x="15240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435</xdr:row>
      <xdr:rowOff>0</xdr:rowOff>
    </xdr:from>
    <xdr:to>
      <xdr:col>2</xdr:col>
      <xdr:colOff>257175</xdr:colOff>
      <xdr:row>435</xdr:row>
      <xdr:rowOff>123825</xdr:rowOff>
    </xdr:to>
    <xdr:sp macro="" textlink="">
      <xdr:nvSpPr>
        <xdr:cNvPr id="3027" name="AutoShape 979" descr="Transaction avec retenue de salaire"/>
        <xdr:cNvSpPr>
          <a:spLocks noChangeAspect="1" noChangeArrowheads="1"/>
        </xdr:cNvSpPr>
      </xdr:nvSpPr>
      <xdr:spPr bwMode="auto">
        <a:xfrm>
          <a:off x="165735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435</xdr:row>
      <xdr:rowOff>0</xdr:rowOff>
    </xdr:from>
    <xdr:to>
      <xdr:col>2</xdr:col>
      <xdr:colOff>390525</xdr:colOff>
      <xdr:row>435</xdr:row>
      <xdr:rowOff>123825</xdr:rowOff>
    </xdr:to>
    <xdr:sp macro="" textlink="">
      <xdr:nvSpPr>
        <xdr:cNvPr id="3028" name="AutoShape 980" descr="Exempté du ballottage">
          <a:hlinkClick xmlns:r="http://schemas.openxmlformats.org/officeDocument/2006/relationships" r:id="rId753"/>
        </xdr:cNvPr>
        <xdr:cNvSpPr>
          <a:spLocks noChangeAspect="1" noChangeArrowheads="1"/>
        </xdr:cNvSpPr>
      </xdr:nvSpPr>
      <xdr:spPr bwMode="auto">
        <a:xfrm>
          <a:off x="17907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1293</xdr:row>
      <xdr:rowOff>0</xdr:rowOff>
    </xdr:from>
    <xdr:to>
      <xdr:col>2</xdr:col>
      <xdr:colOff>123825</xdr:colOff>
      <xdr:row>1293</xdr:row>
      <xdr:rowOff>123825</xdr:rowOff>
    </xdr:to>
    <xdr:sp macro="" textlink="">
      <xdr:nvSpPr>
        <xdr:cNvPr id="3029" name="AutoShape 981" descr="Exempté du ballottage">
          <a:hlinkClick xmlns:r="http://schemas.openxmlformats.org/officeDocument/2006/relationships" r:id="rId754"/>
        </xdr:cNvPr>
        <xdr:cNvSpPr>
          <a:spLocks noChangeAspect="1" noChangeArrowheads="1"/>
        </xdr:cNvSpPr>
      </xdr:nvSpPr>
      <xdr:spPr bwMode="auto">
        <a:xfrm>
          <a:off x="1524000" y="2732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413</xdr:row>
      <xdr:rowOff>0</xdr:rowOff>
    </xdr:from>
    <xdr:to>
      <xdr:col>2</xdr:col>
      <xdr:colOff>123825</xdr:colOff>
      <xdr:row>413</xdr:row>
      <xdr:rowOff>123825</xdr:rowOff>
    </xdr:to>
    <xdr:sp macro="" textlink="">
      <xdr:nvSpPr>
        <xdr:cNvPr id="3030" name="AutoShape 982" descr="Bonis de performance"/>
        <xdr:cNvSpPr>
          <a:spLocks noChangeAspect="1" noChangeArrowheads="1"/>
        </xdr:cNvSpPr>
      </xdr:nvSpPr>
      <xdr:spPr bwMode="auto">
        <a:xfrm>
          <a:off x="152400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413</xdr:row>
      <xdr:rowOff>0</xdr:rowOff>
    </xdr:from>
    <xdr:to>
      <xdr:col>2</xdr:col>
      <xdr:colOff>257175</xdr:colOff>
      <xdr:row>413</xdr:row>
      <xdr:rowOff>123825</xdr:rowOff>
    </xdr:to>
    <xdr:sp macro="" textlink="">
      <xdr:nvSpPr>
        <xdr:cNvPr id="3031" name="AutoShape 983" descr="Exempté du ballottage">
          <a:hlinkClick xmlns:r="http://schemas.openxmlformats.org/officeDocument/2006/relationships" r:id="rId755"/>
        </xdr:cNvPr>
        <xdr:cNvSpPr>
          <a:spLocks noChangeAspect="1" noChangeArrowheads="1"/>
        </xdr:cNvSpPr>
      </xdr:nvSpPr>
      <xdr:spPr bwMode="auto">
        <a:xfrm>
          <a:off x="165735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280</xdr:row>
      <xdr:rowOff>0</xdr:rowOff>
    </xdr:from>
    <xdr:to>
      <xdr:col>7</xdr:col>
      <xdr:colOff>123825</xdr:colOff>
      <xdr:row>280</xdr:row>
      <xdr:rowOff>104775</xdr:rowOff>
    </xdr:to>
    <xdr:sp macro="" textlink="">
      <xdr:nvSpPr>
        <xdr:cNvPr id="3032" name="AutoShape 984" descr="Éligible à l'arbitrage">
          <a:hlinkClick xmlns:r="http://schemas.openxmlformats.org/officeDocument/2006/relationships" r:id="rId756"/>
        </xdr:cNvPr>
        <xdr:cNvSpPr>
          <a:spLocks noChangeAspect="1" noChangeArrowheads="1"/>
        </xdr:cNvSpPr>
      </xdr:nvSpPr>
      <xdr:spPr bwMode="auto">
        <a:xfrm>
          <a:off x="5334000" y="273596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812</xdr:row>
      <xdr:rowOff>0</xdr:rowOff>
    </xdr:from>
    <xdr:to>
      <xdr:col>2</xdr:col>
      <xdr:colOff>123825</xdr:colOff>
      <xdr:row>812</xdr:row>
      <xdr:rowOff>123825</xdr:rowOff>
    </xdr:to>
    <xdr:sp macro="" textlink="">
      <xdr:nvSpPr>
        <xdr:cNvPr id="3033" name="AutoShape 985" descr="Bonis de performance"/>
        <xdr:cNvSpPr>
          <a:spLocks noChangeAspect="1" noChangeArrowheads="1"/>
        </xdr:cNvSpPr>
      </xdr:nvSpPr>
      <xdr:spPr bwMode="auto">
        <a:xfrm>
          <a:off x="152400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812</xdr:row>
      <xdr:rowOff>0</xdr:rowOff>
    </xdr:from>
    <xdr:to>
      <xdr:col>2</xdr:col>
      <xdr:colOff>257175</xdr:colOff>
      <xdr:row>812</xdr:row>
      <xdr:rowOff>123825</xdr:rowOff>
    </xdr:to>
    <xdr:sp macro="" textlink="">
      <xdr:nvSpPr>
        <xdr:cNvPr id="3034" name="AutoShape 986" descr="Exempté du ballottage">
          <a:hlinkClick xmlns:r="http://schemas.openxmlformats.org/officeDocument/2006/relationships" r:id="rId757"/>
        </xdr:cNvPr>
        <xdr:cNvSpPr>
          <a:spLocks noChangeAspect="1" noChangeArrowheads="1"/>
        </xdr:cNvSpPr>
      </xdr:nvSpPr>
      <xdr:spPr bwMode="auto">
        <a:xfrm>
          <a:off x="165735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123825</xdr:colOff>
      <xdr:row>432</xdr:row>
      <xdr:rowOff>123825</xdr:rowOff>
    </xdr:to>
    <xdr:sp macro="" textlink="">
      <xdr:nvSpPr>
        <xdr:cNvPr id="3035" name="AutoShape 987" descr="Bonis de performance"/>
        <xdr:cNvSpPr>
          <a:spLocks noChangeAspect="1" noChangeArrowheads="1"/>
        </xdr:cNvSpPr>
      </xdr:nvSpPr>
      <xdr:spPr bwMode="auto">
        <a:xfrm>
          <a:off x="152400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432</xdr:row>
      <xdr:rowOff>0</xdr:rowOff>
    </xdr:from>
    <xdr:to>
      <xdr:col>2</xdr:col>
      <xdr:colOff>257175</xdr:colOff>
      <xdr:row>432</xdr:row>
      <xdr:rowOff>123825</xdr:rowOff>
    </xdr:to>
    <xdr:sp macro="" textlink="">
      <xdr:nvSpPr>
        <xdr:cNvPr id="3036" name="AutoShape 988" descr="Exempté du ballottage">
          <a:hlinkClick xmlns:r="http://schemas.openxmlformats.org/officeDocument/2006/relationships" r:id="rId758"/>
        </xdr:cNvPr>
        <xdr:cNvSpPr>
          <a:spLocks noChangeAspect="1" noChangeArrowheads="1"/>
        </xdr:cNvSpPr>
      </xdr:nvSpPr>
      <xdr:spPr bwMode="auto">
        <a:xfrm>
          <a:off x="165735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xdr:row>
      <xdr:rowOff>0</xdr:rowOff>
    </xdr:from>
    <xdr:to>
      <xdr:col>2</xdr:col>
      <xdr:colOff>123825</xdr:colOff>
      <xdr:row>111</xdr:row>
      <xdr:rowOff>123825</xdr:rowOff>
    </xdr:to>
    <xdr:sp macro="" textlink="">
      <xdr:nvSpPr>
        <xdr:cNvPr id="3037" name="AutoShape 989" descr="Bonis de performance"/>
        <xdr:cNvSpPr>
          <a:spLocks noChangeAspect="1" noChangeArrowheads="1"/>
        </xdr:cNvSpPr>
      </xdr:nvSpPr>
      <xdr:spPr bwMode="auto">
        <a:xfrm>
          <a:off x="1524000" y="2743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1349</xdr:row>
      <xdr:rowOff>0</xdr:rowOff>
    </xdr:from>
    <xdr:to>
      <xdr:col>2</xdr:col>
      <xdr:colOff>123825</xdr:colOff>
      <xdr:row>1349</xdr:row>
      <xdr:rowOff>123825</xdr:rowOff>
    </xdr:to>
    <xdr:sp macro="" textlink="">
      <xdr:nvSpPr>
        <xdr:cNvPr id="3038" name="AutoShape 990" descr="Exempté du ballottage">
          <a:hlinkClick xmlns:r="http://schemas.openxmlformats.org/officeDocument/2006/relationships" r:id="rId759"/>
        </xdr:cNvPr>
        <xdr:cNvSpPr>
          <a:spLocks noChangeAspect="1" noChangeArrowheads="1"/>
        </xdr:cNvSpPr>
      </xdr:nvSpPr>
      <xdr:spPr bwMode="auto">
        <a:xfrm>
          <a:off x="1524000" y="2745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1202</xdr:row>
      <xdr:rowOff>0</xdr:rowOff>
    </xdr:from>
    <xdr:to>
      <xdr:col>7</xdr:col>
      <xdr:colOff>123825</xdr:colOff>
      <xdr:row>1202</xdr:row>
      <xdr:rowOff>104775</xdr:rowOff>
    </xdr:to>
    <xdr:sp macro="" textlink="">
      <xdr:nvSpPr>
        <xdr:cNvPr id="3039" name="AutoShape 991" descr="Éligible à l'arbitrage">
          <a:hlinkClick xmlns:r="http://schemas.openxmlformats.org/officeDocument/2006/relationships" r:id="rId760"/>
        </xdr:cNvPr>
        <xdr:cNvSpPr>
          <a:spLocks noChangeAspect="1" noChangeArrowheads="1"/>
        </xdr:cNvSpPr>
      </xdr:nvSpPr>
      <xdr:spPr bwMode="auto">
        <a:xfrm>
          <a:off x="5334000" y="2747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1225</xdr:row>
      <xdr:rowOff>0</xdr:rowOff>
    </xdr:from>
    <xdr:to>
      <xdr:col>2</xdr:col>
      <xdr:colOff>123825</xdr:colOff>
      <xdr:row>1225</xdr:row>
      <xdr:rowOff>123825</xdr:rowOff>
    </xdr:to>
    <xdr:sp macro="" textlink="">
      <xdr:nvSpPr>
        <xdr:cNvPr id="3040" name="AutoShape 992" descr="Bonis de performance"/>
        <xdr:cNvSpPr>
          <a:spLocks noChangeAspect="1" noChangeArrowheads="1"/>
        </xdr:cNvSpPr>
      </xdr:nvSpPr>
      <xdr:spPr bwMode="auto">
        <a:xfrm>
          <a:off x="152400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1225</xdr:row>
      <xdr:rowOff>0</xdr:rowOff>
    </xdr:from>
    <xdr:to>
      <xdr:col>2</xdr:col>
      <xdr:colOff>257175</xdr:colOff>
      <xdr:row>1225</xdr:row>
      <xdr:rowOff>123825</xdr:rowOff>
    </xdr:to>
    <xdr:sp macro="" textlink="">
      <xdr:nvSpPr>
        <xdr:cNvPr id="3041" name="AutoShape 993" descr="Exempté du ballottage">
          <a:hlinkClick xmlns:r="http://schemas.openxmlformats.org/officeDocument/2006/relationships" r:id="rId761"/>
        </xdr:cNvPr>
        <xdr:cNvSpPr>
          <a:spLocks noChangeAspect="1" noChangeArrowheads="1"/>
        </xdr:cNvSpPr>
      </xdr:nvSpPr>
      <xdr:spPr bwMode="auto">
        <a:xfrm>
          <a:off x="165735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123825</xdr:colOff>
      <xdr:row>467</xdr:row>
      <xdr:rowOff>123825</xdr:rowOff>
    </xdr:to>
    <xdr:sp macro="" textlink="">
      <xdr:nvSpPr>
        <xdr:cNvPr id="3042" name="AutoShape 994" descr="Bonis de performance"/>
        <xdr:cNvSpPr>
          <a:spLocks noChangeAspect="1" noChangeArrowheads="1"/>
        </xdr:cNvSpPr>
      </xdr:nvSpPr>
      <xdr:spPr bwMode="auto">
        <a:xfrm>
          <a:off x="152400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467</xdr:row>
      <xdr:rowOff>0</xdr:rowOff>
    </xdr:from>
    <xdr:to>
      <xdr:col>2</xdr:col>
      <xdr:colOff>257175</xdr:colOff>
      <xdr:row>467</xdr:row>
      <xdr:rowOff>123825</xdr:rowOff>
    </xdr:to>
    <xdr:sp macro="" textlink="">
      <xdr:nvSpPr>
        <xdr:cNvPr id="3043" name="AutoShape 995" descr="Exempté du ballottage">
          <a:hlinkClick xmlns:r="http://schemas.openxmlformats.org/officeDocument/2006/relationships" r:id="rId762"/>
        </xdr:cNvPr>
        <xdr:cNvSpPr>
          <a:spLocks noChangeAspect="1" noChangeArrowheads="1"/>
        </xdr:cNvSpPr>
      </xdr:nvSpPr>
      <xdr:spPr bwMode="auto">
        <a:xfrm>
          <a:off x="165735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44" name="AutoShape 996" descr="https://capfriendly-wlb8ng5.stackpathdns.com/assets/images/icons/general/q2.svg"/>
        <xdr:cNvSpPr>
          <a:spLocks noChangeAspect="1" noChangeArrowheads="1"/>
        </xdr:cNvSpPr>
      </xdr:nvSpPr>
      <xdr:spPr bwMode="auto">
        <a:xfrm>
          <a:off x="5334000" y="276434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1040</xdr:row>
      <xdr:rowOff>0</xdr:rowOff>
    </xdr:from>
    <xdr:to>
      <xdr:col>2</xdr:col>
      <xdr:colOff>123825</xdr:colOff>
      <xdr:row>1040</xdr:row>
      <xdr:rowOff>123825</xdr:rowOff>
    </xdr:to>
    <xdr:sp macro="" textlink="">
      <xdr:nvSpPr>
        <xdr:cNvPr id="3045" name="AutoShape 997" descr="Bonis de performance"/>
        <xdr:cNvSpPr>
          <a:spLocks noChangeAspect="1" noChangeArrowheads="1"/>
        </xdr:cNvSpPr>
      </xdr:nvSpPr>
      <xdr:spPr bwMode="auto">
        <a:xfrm>
          <a:off x="152400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1040</xdr:row>
      <xdr:rowOff>0</xdr:rowOff>
    </xdr:from>
    <xdr:to>
      <xdr:col>2</xdr:col>
      <xdr:colOff>257175</xdr:colOff>
      <xdr:row>1040</xdr:row>
      <xdr:rowOff>123825</xdr:rowOff>
    </xdr:to>
    <xdr:sp macro="" textlink="">
      <xdr:nvSpPr>
        <xdr:cNvPr id="3046" name="AutoShape 998" descr="Exempté du ballottage">
          <a:hlinkClick xmlns:r="http://schemas.openxmlformats.org/officeDocument/2006/relationships" r:id="rId763"/>
        </xdr:cNvPr>
        <xdr:cNvSpPr>
          <a:spLocks noChangeAspect="1" noChangeArrowheads="1"/>
        </xdr:cNvSpPr>
      </xdr:nvSpPr>
      <xdr:spPr bwMode="auto">
        <a:xfrm>
          <a:off x="165735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3047" name="AutoShape 999" descr="https://capfriendly-wlb8ng5.stackpathdns.com/assets/images/icons/general/q2.svg"/>
        <xdr:cNvSpPr>
          <a:spLocks noChangeAspect="1" noChangeArrowheads="1"/>
        </xdr:cNvSpPr>
      </xdr:nvSpPr>
      <xdr:spPr bwMode="auto">
        <a:xfrm>
          <a:off x="6096000" y="276815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194</xdr:row>
      <xdr:rowOff>0</xdr:rowOff>
    </xdr:from>
    <xdr:to>
      <xdr:col>2</xdr:col>
      <xdr:colOff>123825</xdr:colOff>
      <xdr:row>194</xdr:row>
      <xdr:rowOff>123825</xdr:rowOff>
    </xdr:to>
    <xdr:sp macro="" textlink="">
      <xdr:nvSpPr>
        <xdr:cNvPr id="3048" name="AutoShape 1000" descr="Exempté du ballottage">
          <a:hlinkClick xmlns:r="http://schemas.openxmlformats.org/officeDocument/2006/relationships" r:id="rId764"/>
        </xdr:cNvPr>
        <xdr:cNvSpPr>
          <a:spLocks noChangeAspect="1" noChangeArrowheads="1"/>
        </xdr:cNvSpPr>
      </xdr:nvSpPr>
      <xdr:spPr bwMode="auto">
        <a:xfrm>
          <a:off x="1524000" y="277006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237</xdr:row>
      <xdr:rowOff>0</xdr:rowOff>
    </xdr:from>
    <xdr:to>
      <xdr:col>2</xdr:col>
      <xdr:colOff>123825</xdr:colOff>
      <xdr:row>237</xdr:row>
      <xdr:rowOff>123825</xdr:rowOff>
    </xdr:to>
    <xdr:sp macro="" textlink="">
      <xdr:nvSpPr>
        <xdr:cNvPr id="3049" name="AutoShape 1001" descr="Exempté du ballottage">
          <a:hlinkClick xmlns:r="http://schemas.openxmlformats.org/officeDocument/2006/relationships" r:id="rId765"/>
        </xdr:cNvPr>
        <xdr:cNvSpPr>
          <a:spLocks noChangeAspect="1" noChangeArrowheads="1"/>
        </xdr:cNvSpPr>
      </xdr:nvSpPr>
      <xdr:spPr bwMode="auto">
        <a:xfrm>
          <a:off x="1524000" y="2771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1080</xdr:row>
      <xdr:rowOff>0</xdr:rowOff>
    </xdr:from>
    <xdr:to>
      <xdr:col>2</xdr:col>
      <xdr:colOff>123825</xdr:colOff>
      <xdr:row>1080</xdr:row>
      <xdr:rowOff>123825</xdr:rowOff>
    </xdr:to>
    <xdr:sp macro="" textlink="">
      <xdr:nvSpPr>
        <xdr:cNvPr id="3050" name="AutoShape 1002" descr="Exempté du ballottage">
          <a:hlinkClick xmlns:r="http://schemas.openxmlformats.org/officeDocument/2006/relationships" r:id="rId766"/>
        </xdr:cNvPr>
        <xdr:cNvSpPr>
          <a:spLocks noChangeAspect="1" noChangeArrowheads="1"/>
        </xdr:cNvSpPr>
      </xdr:nvSpPr>
      <xdr:spPr bwMode="auto">
        <a:xfrm>
          <a:off x="1524000" y="2773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1267</xdr:row>
      <xdr:rowOff>0</xdr:rowOff>
    </xdr:from>
    <xdr:to>
      <xdr:col>2</xdr:col>
      <xdr:colOff>123825</xdr:colOff>
      <xdr:row>1267</xdr:row>
      <xdr:rowOff>123825</xdr:rowOff>
    </xdr:to>
    <xdr:sp macro="" textlink="">
      <xdr:nvSpPr>
        <xdr:cNvPr id="3051" name="AutoShape 1003" descr="Exempté du ballottage">
          <a:hlinkClick xmlns:r="http://schemas.openxmlformats.org/officeDocument/2006/relationships" r:id="rId767"/>
        </xdr:cNvPr>
        <xdr:cNvSpPr>
          <a:spLocks noChangeAspect="1" noChangeArrowheads="1"/>
        </xdr:cNvSpPr>
      </xdr:nvSpPr>
      <xdr:spPr bwMode="auto">
        <a:xfrm>
          <a:off x="1524000" y="2775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1267</xdr:row>
      <xdr:rowOff>0</xdr:rowOff>
    </xdr:from>
    <xdr:to>
      <xdr:col>7</xdr:col>
      <xdr:colOff>123825</xdr:colOff>
      <xdr:row>1267</xdr:row>
      <xdr:rowOff>104775</xdr:rowOff>
    </xdr:to>
    <xdr:sp macro="" textlink="">
      <xdr:nvSpPr>
        <xdr:cNvPr id="3052" name="AutoShape 1004" descr="Éligible à l'arbitrage">
          <a:hlinkClick xmlns:r="http://schemas.openxmlformats.org/officeDocument/2006/relationships" r:id="rId768"/>
        </xdr:cNvPr>
        <xdr:cNvSpPr>
          <a:spLocks noChangeAspect="1" noChangeArrowheads="1"/>
        </xdr:cNvSpPr>
      </xdr:nvSpPr>
      <xdr:spPr bwMode="auto">
        <a:xfrm>
          <a:off x="5334000" y="277577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1331</xdr:row>
      <xdr:rowOff>0</xdr:rowOff>
    </xdr:from>
    <xdr:to>
      <xdr:col>2</xdr:col>
      <xdr:colOff>123825</xdr:colOff>
      <xdr:row>1331</xdr:row>
      <xdr:rowOff>123825</xdr:rowOff>
    </xdr:to>
    <xdr:sp macro="" textlink="">
      <xdr:nvSpPr>
        <xdr:cNvPr id="3053" name="AutoShape 1005" descr="Exempté du ballottage">
          <a:hlinkClick xmlns:r="http://schemas.openxmlformats.org/officeDocument/2006/relationships" r:id="rId769"/>
        </xdr:cNvPr>
        <xdr:cNvSpPr>
          <a:spLocks noChangeAspect="1" noChangeArrowheads="1"/>
        </xdr:cNvSpPr>
      </xdr:nvSpPr>
      <xdr:spPr bwMode="auto">
        <a:xfrm>
          <a:off x="1524000" y="27871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717</xdr:row>
      <xdr:rowOff>0</xdr:rowOff>
    </xdr:from>
    <xdr:to>
      <xdr:col>2</xdr:col>
      <xdr:colOff>123825</xdr:colOff>
      <xdr:row>717</xdr:row>
      <xdr:rowOff>123825</xdr:rowOff>
    </xdr:to>
    <xdr:sp macro="" textlink="">
      <xdr:nvSpPr>
        <xdr:cNvPr id="3054" name="AutoShape 1006" descr="Bonis de performance"/>
        <xdr:cNvSpPr>
          <a:spLocks noChangeAspect="1" noChangeArrowheads="1"/>
        </xdr:cNvSpPr>
      </xdr:nvSpPr>
      <xdr:spPr bwMode="auto">
        <a:xfrm>
          <a:off x="152400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717</xdr:row>
      <xdr:rowOff>0</xdr:rowOff>
    </xdr:from>
    <xdr:to>
      <xdr:col>2</xdr:col>
      <xdr:colOff>257175</xdr:colOff>
      <xdr:row>717</xdr:row>
      <xdr:rowOff>123825</xdr:rowOff>
    </xdr:to>
    <xdr:sp macro="" textlink="">
      <xdr:nvSpPr>
        <xdr:cNvPr id="3055" name="AutoShape 1007" descr="Exempté du ballottage">
          <a:hlinkClick xmlns:r="http://schemas.openxmlformats.org/officeDocument/2006/relationships" r:id="rId770"/>
        </xdr:cNvPr>
        <xdr:cNvSpPr>
          <a:spLocks noChangeAspect="1" noChangeArrowheads="1"/>
        </xdr:cNvSpPr>
      </xdr:nvSpPr>
      <xdr:spPr bwMode="auto">
        <a:xfrm>
          <a:off x="165735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1393</xdr:row>
      <xdr:rowOff>0</xdr:rowOff>
    </xdr:from>
    <xdr:to>
      <xdr:col>2</xdr:col>
      <xdr:colOff>123825</xdr:colOff>
      <xdr:row>1393</xdr:row>
      <xdr:rowOff>123825</xdr:rowOff>
    </xdr:to>
    <xdr:sp macro="" textlink="">
      <xdr:nvSpPr>
        <xdr:cNvPr id="3056" name="AutoShape 1008" descr="Exempté du ballottage">
          <a:hlinkClick xmlns:r="http://schemas.openxmlformats.org/officeDocument/2006/relationships" r:id="rId771"/>
        </xdr:cNvPr>
        <xdr:cNvSpPr>
          <a:spLocks noChangeAspect="1" noChangeArrowheads="1"/>
        </xdr:cNvSpPr>
      </xdr:nvSpPr>
      <xdr:spPr bwMode="auto">
        <a:xfrm>
          <a:off x="1524000" y="27909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174</xdr:row>
      <xdr:rowOff>0</xdr:rowOff>
    </xdr:from>
    <xdr:to>
      <xdr:col>7</xdr:col>
      <xdr:colOff>123825</xdr:colOff>
      <xdr:row>174</xdr:row>
      <xdr:rowOff>104775</xdr:rowOff>
    </xdr:to>
    <xdr:sp macro="" textlink="">
      <xdr:nvSpPr>
        <xdr:cNvPr id="3057" name="AutoShape 1009" descr="Éligible à l'arbitrage">
          <a:hlinkClick xmlns:r="http://schemas.openxmlformats.org/officeDocument/2006/relationships" r:id="rId772"/>
        </xdr:cNvPr>
        <xdr:cNvSpPr>
          <a:spLocks noChangeAspect="1" noChangeArrowheads="1"/>
        </xdr:cNvSpPr>
      </xdr:nvSpPr>
      <xdr:spPr bwMode="auto">
        <a:xfrm>
          <a:off x="5334000" y="27256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666</xdr:row>
      <xdr:rowOff>0</xdr:rowOff>
    </xdr:from>
    <xdr:to>
      <xdr:col>2</xdr:col>
      <xdr:colOff>123825</xdr:colOff>
      <xdr:row>666</xdr:row>
      <xdr:rowOff>123825</xdr:rowOff>
    </xdr:to>
    <xdr:sp macro="" textlink="">
      <xdr:nvSpPr>
        <xdr:cNvPr id="3058" name="AutoShape 1010" descr="Bonis de performance"/>
        <xdr:cNvSpPr>
          <a:spLocks noChangeAspect="1" noChangeArrowheads="1"/>
        </xdr:cNvSpPr>
      </xdr:nvSpPr>
      <xdr:spPr bwMode="auto">
        <a:xfrm>
          <a:off x="152400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666</xdr:row>
      <xdr:rowOff>0</xdr:rowOff>
    </xdr:from>
    <xdr:to>
      <xdr:col>2</xdr:col>
      <xdr:colOff>257175</xdr:colOff>
      <xdr:row>666</xdr:row>
      <xdr:rowOff>123825</xdr:rowOff>
    </xdr:to>
    <xdr:sp macro="" textlink="">
      <xdr:nvSpPr>
        <xdr:cNvPr id="3059" name="AutoShape 1011" descr="Exempté du ballottage">
          <a:hlinkClick xmlns:r="http://schemas.openxmlformats.org/officeDocument/2006/relationships" r:id="rId773"/>
        </xdr:cNvPr>
        <xdr:cNvSpPr>
          <a:spLocks noChangeAspect="1" noChangeArrowheads="1"/>
        </xdr:cNvSpPr>
      </xdr:nvSpPr>
      <xdr:spPr bwMode="auto">
        <a:xfrm>
          <a:off x="165735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1465</xdr:row>
      <xdr:rowOff>0</xdr:rowOff>
    </xdr:from>
    <xdr:to>
      <xdr:col>7</xdr:col>
      <xdr:colOff>123825</xdr:colOff>
      <xdr:row>1465</xdr:row>
      <xdr:rowOff>104775</xdr:rowOff>
    </xdr:to>
    <xdr:sp macro="" textlink="">
      <xdr:nvSpPr>
        <xdr:cNvPr id="3060" name="AutoShape 1012" descr="Éligible à l'arbitrage">
          <a:hlinkClick xmlns:r="http://schemas.openxmlformats.org/officeDocument/2006/relationships" r:id="rId774"/>
        </xdr:cNvPr>
        <xdr:cNvSpPr>
          <a:spLocks noChangeAspect="1" noChangeArrowheads="1"/>
        </xdr:cNvSpPr>
      </xdr:nvSpPr>
      <xdr:spPr bwMode="auto">
        <a:xfrm>
          <a:off x="5334000" y="27541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862</xdr:row>
      <xdr:rowOff>0</xdr:rowOff>
    </xdr:from>
    <xdr:to>
      <xdr:col>2</xdr:col>
      <xdr:colOff>123825</xdr:colOff>
      <xdr:row>862</xdr:row>
      <xdr:rowOff>123825</xdr:rowOff>
    </xdr:to>
    <xdr:sp macro="" textlink="">
      <xdr:nvSpPr>
        <xdr:cNvPr id="3061" name="AutoShape 1013" descr="Bonis de performance"/>
        <xdr:cNvSpPr>
          <a:spLocks noChangeAspect="1" noChangeArrowheads="1"/>
        </xdr:cNvSpPr>
      </xdr:nvSpPr>
      <xdr:spPr bwMode="auto">
        <a:xfrm>
          <a:off x="152400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862</xdr:row>
      <xdr:rowOff>0</xdr:rowOff>
    </xdr:from>
    <xdr:to>
      <xdr:col>2</xdr:col>
      <xdr:colOff>257175</xdr:colOff>
      <xdr:row>862</xdr:row>
      <xdr:rowOff>123825</xdr:rowOff>
    </xdr:to>
    <xdr:sp macro="" textlink="">
      <xdr:nvSpPr>
        <xdr:cNvPr id="3062" name="AutoShape 1014" descr="Exempté du ballottage">
          <a:hlinkClick xmlns:r="http://schemas.openxmlformats.org/officeDocument/2006/relationships" r:id="rId775"/>
        </xdr:cNvPr>
        <xdr:cNvSpPr>
          <a:spLocks noChangeAspect="1" noChangeArrowheads="1"/>
        </xdr:cNvSpPr>
      </xdr:nvSpPr>
      <xdr:spPr bwMode="auto">
        <a:xfrm>
          <a:off x="165735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506</xdr:row>
      <xdr:rowOff>0</xdr:rowOff>
    </xdr:from>
    <xdr:to>
      <xdr:col>7</xdr:col>
      <xdr:colOff>123825</xdr:colOff>
      <xdr:row>506</xdr:row>
      <xdr:rowOff>104775</xdr:rowOff>
    </xdr:to>
    <xdr:sp macro="" textlink="">
      <xdr:nvSpPr>
        <xdr:cNvPr id="3063" name="AutoShape 1015" descr="Éligible à l'arbitrage">
          <a:hlinkClick xmlns:r="http://schemas.openxmlformats.org/officeDocument/2006/relationships" r:id="rId776"/>
        </xdr:cNvPr>
        <xdr:cNvSpPr>
          <a:spLocks noChangeAspect="1" noChangeArrowheads="1"/>
        </xdr:cNvSpPr>
      </xdr:nvSpPr>
      <xdr:spPr bwMode="auto">
        <a:xfrm>
          <a:off x="5334000" y="27617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123825</xdr:colOff>
      <xdr:row>485</xdr:row>
      <xdr:rowOff>123825</xdr:rowOff>
    </xdr:to>
    <xdr:sp macro="" textlink="">
      <xdr:nvSpPr>
        <xdr:cNvPr id="3064" name="AutoShape 1016" descr="Bonis de performance"/>
        <xdr:cNvSpPr>
          <a:spLocks noChangeAspect="1" noChangeArrowheads="1"/>
        </xdr:cNvSpPr>
      </xdr:nvSpPr>
      <xdr:spPr bwMode="auto">
        <a:xfrm>
          <a:off x="1524000" y="2763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5" name="AutoShape 1017" descr="https://capfriendly-wlb8ng5.stackpathdns.com/assets/images/icons/general/q.svg"/>
        <xdr:cNvSpPr>
          <a:spLocks noChangeAspect="1" noChangeArrowheads="1"/>
        </xdr:cNvSpPr>
      </xdr:nvSpPr>
      <xdr:spPr bwMode="auto">
        <a:xfrm>
          <a:off x="1524000" y="28051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6" name="AutoShape 1018" descr="https://capfriendly-wlb8ng5.stackpathdns.com/assets/images/icons/general/q.svg"/>
        <xdr:cNvSpPr>
          <a:spLocks noChangeAspect="1" noChangeArrowheads="1"/>
        </xdr:cNvSpPr>
      </xdr:nvSpPr>
      <xdr:spPr bwMode="auto">
        <a:xfrm>
          <a:off x="1524000" y="28070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7" name="AutoShape 1019" descr="https://capfriendly-wlb8ng5.stackpathdns.com/assets/images/icons/general/q.svg"/>
        <xdr:cNvSpPr>
          <a:spLocks noChangeAspect="1" noChangeArrowheads="1"/>
        </xdr:cNvSpPr>
      </xdr:nvSpPr>
      <xdr:spPr bwMode="auto">
        <a:xfrm>
          <a:off x="1524000" y="28089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8" name="AutoShape 1020" descr="https://capfriendly-wlb8ng5.stackpathdns.com/assets/images/icons/general/q.svg"/>
        <xdr:cNvSpPr>
          <a:spLocks noChangeAspect="1" noChangeArrowheads="1"/>
        </xdr:cNvSpPr>
      </xdr:nvSpPr>
      <xdr:spPr bwMode="auto">
        <a:xfrm>
          <a:off x="1524000" y="28108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9" name="AutoShape 1021" descr="https://capfriendly-wlb8ng5.stackpathdns.com/assets/images/icons/general/q.svg"/>
        <xdr:cNvSpPr>
          <a:spLocks noChangeAspect="1" noChangeArrowheads="1"/>
        </xdr:cNvSpPr>
      </xdr:nvSpPr>
      <xdr:spPr bwMode="auto">
        <a:xfrm>
          <a:off x="1524000" y="28127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0" name="AutoShape 1022" descr="https://capfriendly-wlb8ng5.stackpathdns.com/assets/images/icons/general/q.svg"/>
        <xdr:cNvSpPr>
          <a:spLocks noChangeAspect="1" noChangeArrowheads="1"/>
        </xdr:cNvSpPr>
      </xdr:nvSpPr>
      <xdr:spPr bwMode="auto">
        <a:xfrm>
          <a:off x="1524000" y="28146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1" name="AutoShape 1023" descr="https://capfriendly-wlb8ng5.stackpathdns.com/assets/images/icons/general/q.svg"/>
        <xdr:cNvSpPr>
          <a:spLocks noChangeAspect="1" noChangeArrowheads="1"/>
        </xdr:cNvSpPr>
      </xdr:nvSpPr>
      <xdr:spPr bwMode="auto">
        <a:xfrm>
          <a:off x="1524000" y="28165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8" name="AutoShape 1024" descr="https://capfriendly-wlb8ng5.stackpathdns.com/assets/images/icons/general/q.svg"/>
        <xdr:cNvSpPr>
          <a:spLocks noChangeAspect="1" noChangeArrowheads="1"/>
        </xdr:cNvSpPr>
      </xdr:nvSpPr>
      <xdr:spPr bwMode="auto">
        <a:xfrm>
          <a:off x="1524000" y="28184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9" name="AutoShape 1025" descr="https://capfriendly-wlb8ng5.stackpathdns.com/assets/images/icons/general/q.svg"/>
        <xdr:cNvSpPr>
          <a:spLocks noChangeAspect="1" noChangeArrowheads="1"/>
        </xdr:cNvSpPr>
      </xdr:nvSpPr>
      <xdr:spPr bwMode="auto">
        <a:xfrm>
          <a:off x="1524000" y="28203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0" name="AutoShape 1026" descr="https://capfriendly-wlb8ng5.stackpathdns.com/assets/images/icons/general/q.svg"/>
        <xdr:cNvSpPr>
          <a:spLocks noChangeAspect="1" noChangeArrowheads="1"/>
        </xdr:cNvSpPr>
      </xdr:nvSpPr>
      <xdr:spPr bwMode="auto">
        <a:xfrm>
          <a:off x="1524000" y="2822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1" name="AutoShape 1027" descr="https://capfriendly-wlb8ng5.stackpathdns.com/assets/images/icons/general/q.svg"/>
        <xdr:cNvSpPr>
          <a:spLocks noChangeAspect="1" noChangeArrowheads="1"/>
        </xdr:cNvSpPr>
      </xdr:nvSpPr>
      <xdr:spPr bwMode="auto">
        <a:xfrm>
          <a:off x="1524000" y="2824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2" name="AutoShape 1028" descr="Bonis de performance"/>
        <xdr:cNvSpPr>
          <a:spLocks noChangeAspect="1" noChangeArrowheads="1"/>
        </xdr:cNvSpPr>
      </xdr:nvSpPr>
      <xdr:spPr bwMode="auto">
        <a:xfrm>
          <a:off x="152400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313</xdr:row>
      <xdr:rowOff>0</xdr:rowOff>
    </xdr:from>
    <xdr:to>
      <xdr:col>2</xdr:col>
      <xdr:colOff>257175</xdr:colOff>
      <xdr:row>313</xdr:row>
      <xdr:rowOff>123825</xdr:rowOff>
    </xdr:to>
    <xdr:sp macro="" textlink="">
      <xdr:nvSpPr>
        <xdr:cNvPr id="4813" name="AutoShape 1029" descr="Exempté du ballottage">
          <a:hlinkClick xmlns:r="http://schemas.openxmlformats.org/officeDocument/2006/relationships" r:id="rId777"/>
        </xdr:cNvPr>
        <xdr:cNvSpPr>
          <a:spLocks noChangeAspect="1" noChangeArrowheads="1"/>
        </xdr:cNvSpPr>
      </xdr:nvSpPr>
      <xdr:spPr bwMode="auto">
        <a:xfrm>
          <a:off x="165735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xdr:row>
      <xdr:rowOff>0</xdr:rowOff>
    </xdr:from>
    <xdr:to>
      <xdr:col>2</xdr:col>
      <xdr:colOff>123825</xdr:colOff>
      <xdr:row>143</xdr:row>
      <xdr:rowOff>123825</xdr:rowOff>
    </xdr:to>
    <xdr:sp macro="" textlink="">
      <xdr:nvSpPr>
        <xdr:cNvPr id="4814" name="AutoShape 1030" descr="Bonis de performance"/>
        <xdr:cNvSpPr>
          <a:spLocks noChangeAspect="1" noChangeArrowheads="1"/>
        </xdr:cNvSpPr>
      </xdr:nvSpPr>
      <xdr:spPr bwMode="auto">
        <a:xfrm>
          <a:off x="152400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xdr:row>
      <xdr:rowOff>0</xdr:rowOff>
    </xdr:from>
    <xdr:to>
      <xdr:col>2</xdr:col>
      <xdr:colOff>257175</xdr:colOff>
      <xdr:row>143</xdr:row>
      <xdr:rowOff>123825</xdr:rowOff>
    </xdr:to>
    <xdr:sp macro="" textlink="">
      <xdr:nvSpPr>
        <xdr:cNvPr id="4815" name="AutoShape 1031" descr="Exempté du ballottage">
          <a:hlinkClick xmlns:r="http://schemas.openxmlformats.org/officeDocument/2006/relationships" r:id="rId778"/>
        </xdr:cNvPr>
        <xdr:cNvSpPr>
          <a:spLocks noChangeAspect="1" noChangeArrowheads="1"/>
        </xdr:cNvSpPr>
      </xdr:nvSpPr>
      <xdr:spPr bwMode="auto">
        <a:xfrm>
          <a:off x="165735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1003</xdr:row>
      <xdr:rowOff>0</xdr:rowOff>
    </xdr:from>
    <xdr:to>
      <xdr:col>2</xdr:col>
      <xdr:colOff>123825</xdr:colOff>
      <xdr:row>1003</xdr:row>
      <xdr:rowOff>123825</xdr:rowOff>
    </xdr:to>
    <xdr:sp macro="" textlink="">
      <xdr:nvSpPr>
        <xdr:cNvPr id="4816" name="AutoShape 1032" descr="Bonis de performance"/>
        <xdr:cNvSpPr>
          <a:spLocks noChangeAspect="1" noChangeArrowheads="1"/>
        </xdr:cNvSpPr>
      </xdr:nvSpPr>
      <xdr:spPr bwMode="auto">
        <a:xfrm>
          <a:off x="152400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1003</xdr:row>
      <xdr:rowOff>0</xdr:rowOff>
    </xdr:from>
    <xdr:to>
      <xdr:col>2</xdr:col>
      <xdr:colOff>257175</xdr:colOff>
      <xdr:row>1003</xdr:row>
      <xdr:rowOff>123825</xdr:rowOff>
    </xdr:to>
    <xdr:sp macro="" textlink="">
      <xdr:nvSpPr>
        <xdr:cNvPr id="4817" name="AutoShape 1033" descr="Exempté du ballottage">
          <a:hlinkClick xmlns:r="http://schemas.openxmlformats.org/officeDocument/2006/relationships" r:id="rId779"/>
        </xdr:cNvPr>
        <xdr:cNvSpPr>
          <a:spLocks noChangeAspect="1" noChangeArrowheads="1"/>
        </xdr:cNvSpPr>
      </xdr:nvSpPr>
      <xdr:spPr bwMode="auto">
        <a:xfrm>
          <a:off x="165735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692</xdr:row>
      <xdr:rowOff>0</xdr:rowOff>
    </xdr:from>
    <xdr:to>
      <xdr:col>2</xdr:col>
      <xdr:colOff>123825</xdr:colOff>
      <xdr:row>692</xdr:row>
      <xdr:rowOff>123825</xdr:rowOff>
    </xdr:to>
    <xdr:sp macro="" textlink="">
      <xdr:nvSpPr>
        <xdr:cNvPr id="4818" name="AutoShape 1034" descr="Bonis de performance"/>
        <xdr:cNvSpPr>
          <a:spLocks noChangeAspect="1" noChangeArrowheads="1"/>
        </xdr:cNvSpPr>
      </xdr:nvSpPr>
      <xdr:spPr bwMode="auto">
        <a:xfrm>
          <a:off x="15240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692</xdr:row>
      <xdr:rowOff>0</xdr:rowOff>
    </xdr:from>
    <xdr:to>
      <xdr:col>2</xdr:col>
      <xdr:colOff>257175</xdr:colOff>
      <xdr:row>692</xdr:row>
      <xdr:rowOff>123825</xdr:rowOff>
    </xdr:to>
    <xdr:sp macro="" textlink="">
      <xdr:nvSpPr>
        <xdr:cNvPr id="4819" name="AutoShape 1035" descr="Transaction avec retenue de salaire"/>
        <xdr:cNvSpPr>
          <a:spLocks noChangeAspect="1" noChangeArrowheads="1"/>
        </xdr:cNvSpPr>
      </xdr:nvSpPr>
      <xdr:spPr bwMode="auto">
        <a:xfrm>
          <a:off x="165735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692</xdr:row>
      <xdr:rowOff>0</xdr:rowOff>
    </xdr:from>
    <xdr:to>
      <xdr:col>2</xdr:col>
      <xdr:colOff>390525</xdr:colOff>
      <xdr:row>692</xdr:row>
      <xdr:rowOff>123825</xdr:rowOff>
    </xdr:to>
    <xdr:sp macro="" textlink="">
      <xdr:nvSpPr>
        <xdr:cNvPr id="4820" name="AutoShape 1036" descr="Exempté du ballottage">
          <a:hlinkClick xmlns:r="http://schemas.openxmlformats.org/officeDocument/2006/relationships" r:id="rId780"/>
        </xdr:cNvPr>
        <xdr:cNvSpPr>
          <a:spLocks noChangeAspect="1" noChangeArrowheads="1"/>
        </xdr:cNvSpPr>
      </xdr:nvSpPr>
      <xdr:spPr bwMode="auto">
        <a:xfrm>
          <a:off x="17907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580</xdr:row>
      <xdr:rowOff>0</xdr:rowOff>
    </xdr:from>
    <xdr:to>
      <xdr:col>2</xdr:col>
      <xdr:colOff>123825</xdr:colOff>
      <xdr:row>580</xdr:row>
      <xdr:rowOff>123825</xdr:rowOff>
    </xdr:to>
    <xdr:sp macro="" textlink="">
      <xdr:nvSpPr>
        <xdr:cNvPr id="4821" name="AutoShape 1037" descr="Bonis de performance"/>
        <xdr:cNvSpPr>
          <a:spLocks noChangeAspect="1" noChangeArrowheads="1"/>
        </xdr:cNvSpPr>
      </xdr:nvSpPr>
      <xdr:spPr bwMode="auto">
        <a:xfrm>
          <a:off x="152400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580</xdr:row>
      <xdr:rowOff>0</xdr:rowOff>
    </xdr:from>
    <xdr:to>
      <xdr:col>2</xdr:col>
      <xdr:colOff>257175</xdr:colOff>
      <xdr:row>580</xdr:row>
      <xdr:rowOff>123825</xdr:rowOff>
    </xdr:to>
    <xdr:sp macro="" textlink="">
      <xdr:nvSpPr>
        <xdr:cNvPr id="4822" name="AutoShape 1038" descr="Exempté du ballottage">
          <a:hlinkClick xmlns:r="http://schemas.openxmlformats.org/officeDocument/2006/relationships" r:id="rId781"/>
        </xdr:cNvPr>
        <xdr:cNvSpPr>
          <a:spLocks noChangeAspect="1" noChangeArrowheads="1"/>
        </xdr:cNvSpPr>
      </xdr:nvSpPr>
      <xdr:spPr bwMode="auto">
        <a:xfrm>
          <a:off x="165735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1230</xdr:row>
      <xdr:rowOff>0</xdr:rowOff>
    </xdr:from>
    <xdr:to>
      <xdr:col>2</xdr:col>
      <xdr:colOff>123825</xdr:colOff>
      <xdr:row>1230</xdr:row>
      <xdr:rowOff>123825</xdr:rowOff>
    </xdr:to>
    <xdr:sp macro="" textlink="">
      <xdr:nvSpPr>
        <xdr:cNvPr id="4823" name="AutoShape 1039" descr="Bonis de performance"/>
        <xdr:cNvSpPr>
          <a:spLocks noChangeAspect="1" noChangeArrowheads="1"/>
        </xdr:cNvSpPr>
      </xdr:nvSpPr>
      <xdr:spPr bwMode="auto">
        <a:xfrm>
          <a:off x="152400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1230</xdr:row>
      <xdr:rowOff>0</xdr:rowOff>
    </xdr:from>
    <xdr:to>
      <xdr:col>2</xdr:col>
      <xdr:colOff>257175</xdr:colOff>
      <xdr:row>1230</xdr:row>
      <xdr:rowOff>123825</xdr:rowOff>
    </xdr:to>
    <xdr:sp macro="" textlink="">
      <xdr:nvSpPr>
        <xdr:cNvPr id="4824" name="AutoShape 1040" descr="Exempté du ballottage">
          <a:hlinkClick xmlns:r="http://schemas.openxmlformats.org/officeDocument/2006/relationships" r:id="rId782"/>
        </xdr:cNvPr>
        <xdr:cNvSpPr>
          <a:spLocks noChangeAspect="1" noChangeArrowheads="1"/>
        </xdr:cNvSpPr>
      </xdr:nvSpPr>
      <xdr:spPr bwMode="auto">
        <a:xfrm>
          <a:off x="165735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xdr:row>
      <xdr:rowOff>0</xdr:rowOff>
    </xdr:from>
    <xdr:to>
      <xdr:col>2</xdr:col>
      <xdr:colOff>123825</xdr:colOff>
      <xdr:row>65</xdr:row>
      <xdr:rowOff>123825</xdr:rowOff>
    </xdr:to>
    <xdr:sp macro="" textlink="">
      <xdr:nvSpPr>
        <xdr:cNvPr id="4825" name="AutoShape 1041" descr="Exempté du ballottage">
          <a:hlinkClick xmlns:r="http://schemas.openxmlformats.org/officeDocument/2006/relationships" r:id="rId783"/>
        </xdr:cNvPr>
        <xdr:cNvSpPr>
          <a:spLocks noChangeAspect="1" noChangeArrowheads="1"/>
        </xdr:cNvSpPr>
      </xdr:nvSpPr>
      <xdr:spPr bwMode="auto">
        <a:xfrm>
          <a:off x="1524000" y="28442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336</xdr:row>
      <xdr:rowOff>0</xdr:rowOff>
    </xdr:from>
    <xdr:to>
      <xdr:col>2</xdr:col>
      <xdr:colOff>123825</xdr:colOff>
      <xdr:row>336</xdr:row>
      <xdr:rowOff>123825</xdr:rowOff>
    </xdr:to>
    <xdr:sp macro="" textlink="">
      <xdr:nvSpPr>
        <xdr:cNvPr id="4826" name="AutoShape 1042" descr="Exempté du ballottage">
          <a:hlinkClick xmlns:r="http://schemas.openxmlformats.org/officeDocument/2006/relationships" r:id="rId784"/>
        </xdr:cNvPr>
        <xdr:cNvSpPr>
          <a:spLocks noChangeAspect="1" noChangeArrowheads="1"/>
        </xdr:cNvSpPr>
      </xdr:nvSpPr>
      <xdr:spPr bwMode="auto">
        <a:xfrm>
          <a:off x="1524000" y="28480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336</xdr:row>
      <xdr:rowOff>0</xdr:rowOff>
    </xdr:from>
    <xdr:to>
      <xdr:col>7</xdr:col>
      <xdr:colOff>123825</xdr:colOff>
      <xdr:row>336</xdr:row>
      <xdr:rowOff>104775</xdr:rowOff>
    </xdr:to>
    <xdr:sp macro="" textlink="">
      <xdr:nvSpPr>
        <xdr:cNvPr id="4827" name="AutoShape 1043" descr="Éligible à l'arbitrage">
          <a:hlinkClick xmlns:r="http://schemas.openxmlformats.org/officeDocument/2006/relationships" r:id="rId785"/>
        </xdr:cNvPr>
        <xdr:cNvSpPr>
          <a:spLocks noChangeAspect="1" noChangeArrowheads="1"/>
        </xdr:cNvSpPr>
      </xdr:nvSpPr>
      <xdr:spPr bwMode="auto">
        <a:xfrm>
          <a:off x="5334000" y="28480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810</xdr:row>
      <xdr:rowOff>0</xdr:rowOff>
    </xdr:from>
    <xdr:to>
      <xdr:col>2</xdr:col>
      <xdr:colOff>123825</xdr:colOff>
      <xdr:row>810</xdr:row>
      <xdr:rowOff>123825</xdr:rowOff>
    </xdr:to>
    <xdr:sp macro="" textlink="">
      <xdr:nvSpPr>
        <xdr:cNvPr id="4828" name="AutoShape 1044" descr="Exempté du ballottage">
          <a:hlinkClick xmlns:r="http://schemas.openxmlformats.org/officeDocument/2006/relationships" r:id="rId786"/>
        </xdr:cNvPr>
        <xdr:cNvSpPr>
          <a:spLocks noChangeAspect="1" noChangeArrowheads="1"/>
        </xdr:cNvSpPr>
      </xdr:nvSpPr>
      <xdr:spPr bwMode="auto">
        <a:xfrm>
          <a:off x="1524000" y="28499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1352</xdr:row>
      <xdr:rowOff>0</xdr:rowOff>
    </xdr:from>
    <xdr:to>
      <xdr:col>2</xdr:col>
      <xdr:colOff>123825</xdr:colOff>
      <xdr:row>1352</xdr:row>
      <xdr:rowOff>123825</xdr:rowOff>
    </xdr:to>
    <xdr:sp macro="" textlink="">
      <xdr:nvSpPr>
        <xdr:cNvPr id="4829" name="AutoShape 1045" descr="Exempté du ballottage">
          <a:hlinkClick xmlns:r="http://schemas.openxmlformats.org/officeDocument/2006/relationships" r:id="rId787"/>
        </xdr:cNvPr>
        <xdr:cNvSpPr>
          <a:spLocks noChangeAspect="1" noChangeArrowheads="1"/>
        </xdr:cNvSpPr>
      </xdr:nvSpPr>
      <xdr:spPr bwMode="auto">
        <a:xfrm>
          <a:off x="1524000" y="28650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180</xdr:row>
      <xdr:rowOff>0</xdr:rowOff>
    </xdr:from>
    <xdr:to>
      <xdr:col>2</xdr:col>
      <xdr:colOff>123825</xdr:colOff>
      <xdr:row>180</xdr:row>
      <xdr:rowOff>123825</xdr:rowOff>
    </xdr:to>
    <xdr:sp macro="" textlink="">
      <xdr:nvSpPr>
        <xdr:cNvPr id="4830" name="AutoShape 1046" descr="Bonis de performance"/>
        <xdr:cNvSpPr>
          <a:spLocks noChangeAspect="1" noChangeArrowheads="1"/>
        </xdr:cNvSpPr>
      </xdr:nvSpPr>
      <xdr:spPr bwMode="auto">
        <a:xfrm>
          <a:off x="15240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180</xdr:row>
      <xdr:rowOff>0</xdr:rowOff>
    </xdr:from>
    <xdr:to>
      <xdr:col>2</xdr:col>
      <xdr:colOff>257175</xdr:colOff>
      <xdr:row>180</xdr:row>
      <xdr:rowOff>123825</xdr:rowOff>
    </xdr:to>
    <xdr:sp macro="" textlink="">
      <xdr:nvSpPr>
        <xdr:cNvPr id="4831" name="AutoShape 1047" descr="Transaction avec retenue de salaire"/>
        <xdr:cNvSpPr>
          <a:spLocks noChangeAspect="1" noChangeArrowheads="1"/>
        </xdr:cNvSpPr>
      </xdr:nvSpPr>
      <xdr:spPr bwMode="auto">
        <a:xfrm>
          <a:off x="16573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180</xdr:row>
      <xdr:rowOff>0</xdr:rowOff>
    </xdr:from>
    <xdr:to>
      <xdr:col>2</xdr:col>
      <xdr:colOff>390525</xdr:colOff>
      <xdr:row>180</xdr:row>
      <xdr:rowOff>123825</xdr:rowOff>
    </xdr:to>
    <xdr:sp macro="" textlink="">
      <xdr:nvSpPr>
        <xdr:cNvPr id="4832" name="AutoShape 1048" descr="Exempté du ballottage">
          <a:hlinkClick xmlns:r="http://schemas.openxmlformats.org/officeDocument/2006/relationships" r:id="rId788"/>
        </xdr:cNvPr>
        <xdr:cNvSpPr>
          <a:spLocks noChangeAspect="1" noChangeArrowheads="1"/>
        </xdr:cNvSpPr>
      </xdr:nvSpPr>
      <xdr:spPr bwMode="auto">
        <a:xfrm>
          <a:off x="17907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180</xdr:row>
      <xdr:rowOff>0</xdr:rowOff>
    </xdr:from>
    <xdr:to>
      <xdr:col>2</xdr:col>
      <xdr:colOff>523875</xdr:colOff>
      <xdr:row>180</xdr:row>
      <xdr:rowOff>123825</xdr:rowOff>
    </xdr:to>
    <xdr:sp macro="" textlink="">
      <xdr:nvSpPr>
        <xdr:cNvPr id="4833" name="AutoShape 1049" descr="Exempté de la limite des 50 contrats"/>
        <xdr:cNvSpPr>
          <a:spLocks noChangeAspect="1" noChangeArrowheads="1"/>
        </xdr:cNvSpPr>
      </xdr:nvSpPr>
      <xdr:spPr bwMode="auto">
        <a:xfrm>
          <a:off x="19240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925</xdr:row>
      <xdr:rowOff>0</xdr:rowOff>
    </xdr:from>
    <xdr:to>
      <xdr:col>2</xdr:col>
      <xdr:colOff>123825</xdr:colOff>
      <xdr:row>925</xdr:row>
      <xdr:rowOff>123825</xdr:rowOff>
    </xdr:to>
    <xdr:sp macro="" textlink="">
      <xdr:nvSpPr>
        <xdr:cNvPr id="4834" name="AutoShape 1050" descr="Exempté du ballottage">
          <a:hlinkClick xmlns:r="http://schemas.openxmlformats.org/officeDocument/2006/relationships" r:id="rId789"/>
        </xdr:cNvPr>
        <xdr:cNvSpPr>
          <a:spLocks noChangeAspect="1" noChangeArrowheads="1"/>
        </xdr:cNvSpPr>
      </xdr:nvSpPr>
      <xdr:spPr bwMode="auto">
        <a:xfrm>
          <a:off x="1524000" y="28688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xdr:row>
      <xdr:rowOff>0</xdr:rowOff>
    </xdr:from>
    <xdr:to>
      <xdr:col>2</xdr:col>
      <xdr:colOff>123825</xdr:colOff>
      <xdr:row>26</xdr:row>
      <xdr:rowOff>123825</xdr:rowOff>
    </xdr:to>
    <xdr:sp macro="" textlink="">
      <xdr:nvSpPr>
        <xdr:cNvPr id="4835" name="AutoShape 1051" descr="Bonis de performance"/>
        <xdr:cNvSpPr>
          <a:spLocks noChangeAspect="1" noChangeArrowheads="1"/>
        </xdr:cNvSpPr>
      </xdr:nvSpPr>
      <xdr:spPr bwMode="auto">
        <a:xfrm>
          <a:off x="152400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xdr:row>
      <xdr:rowOff>0</xdr:rowOff>
    </xdr:from>
    <xdr:to>
      <xdr:col>2</xdr:col>
      <xdr:colOff>257175</xdr:colOff>
      <xdr:row>26</xdr:row>
      <xdr:rowOff>123825</xdr:rowOff>
    </xdr:to>
    <xdr:sp macro="" textlink="">
      <xdr:nvSpPr>
        <xdr:cNvPr id="4836" name="AutoShape 1052" descr="Exempté du ballottage">
          <a:hlinkClick xmlns:r="http://schemas.openxmlformats.org/officeDocument/2006/relationships" r:id="rId790"/>
        </xdr:cNvPr>
        <xdr:cNvSpPr>
          <a:spLocks noChangeAspect="1" noChangeArrowheads="1"/>
        </xdr:cNvSpPr>
      </xdr:nvSpPr>
      <xdr:spPr bwMode="auto">
        <a:xfrm>
          <a:off x="165735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1146</xdr:row>
      <xdr:rowOff>0</xdr:rowOff>
    </xdr:from>
    <xdr:to>
      <xdr:col>2</xdr:col>
      <xdr:colOff>123825</xdr:colOff>
      <xdr:row>1146</xdr:row>
      <xdr:rowOff>123825</xdr:rowOff>
    </xdr:to>
    <xdr:sp macro="" textlink="">
      <xdr:nvSpPr>
        <xdr:cNvPr id="4837" name="AutoShape 1053" descr="Exempté du ballottage">
          <a:hlinkClick xmlns:r="http://schemas.openxmlformats.org/officeDocument/2006/relationships" r:id="rId791"/>
        </xdr:cNvPr>
        <xdr:cNvSpPr>
          <a:spLocks noChangeAspect="1" noChangeArrowheads="1"/>
        </xdr:cNvSpPr>
      </xdr:nvSpPr>
      <xdr:spPr bwMode="auto">
        <a:xfrm>
          <a:off x="1524000" y="28745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820</xdr:row>
      <xdr:rowOff>0</xdr:rowOff>
    </xdr:from>
    <xdr:to>
      <xdr:col>8</xdr:col>
      <xdr:colOff>123825</xdr:colOff>
      <xdr:row>820</xdr:row>
      <xdr:rowOff>104775</xdr:rowOff>
    </xdr:to>
    <xdr:sp macro="" textlink="">
      <xdr:nvSpPr>
        <xdr:cNvPr id="4838" name="AutoShape 1054" descr="Éligible à l'arbitrage">
          <a:hlinkClick xmlns:r="http://schemas.openxmlformats.org/officeDocument/2006/relationships" r:id="rId792"/>
        </xdr:cNvPr>
        <xdr:cNvSpPr>
          <a:spLocks noChangeAspect="1" noChangeArrowheads="1"/>
        </xdr:cNvSpPr>
      </xdr:nvSpPr>
      <xdr:spPr bwMode="auto">
        <a:xfrm>
          <a:off x="6096000" y="287645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1434</xdr:row>
      <xdr:rowOff>0</xdr:rowOff>
    </xdr:from>
    <xdr:to>
      <xdr:col>2</xdr:col>
      <xdr:colOff>123825</xdr:colOff>
      <xdr:row>1434</xdr:row>
      <xdr:rowOff>123825</xdr:rowOff>
    </xdr:to>
    <xdr:sp macro="" textlink="">
      <xdr:nvSpPr>
        <xdr:cNvPr id="4839" name="AutoShape 1055" descr="Bonis de performance"/>
        <xdr:cNvSpPr>
          <a:spLocks noChangeAspect="1" noChangeArrowheads="1"/>
        </xdr:cNvSpPr>
      </xdr:nvSpPr>
      <xdr:spPr bwMode="auto">
        <a:xfrm>
          <a:off x="152400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1434</xdr:row>
      <xdr:rowOff>0</xdr:rowOff>
    </xdr:from>
    <xdr:to>
      <xdr:col>2</xdr:col>
      <xdr:colOff>257175</xdr:colOff>
      <xdr:row>1434</xdr:row>
      <xdr:rowOff>123825</xdr:rowOff>
    </xdr:to>
    <xdr:sp macro="" textlink="">
      <xdr:nvSpPr>
        <xdr:cNvPr id="4840" name="AutoShape 1056" descr="Exempté du ballottage">
          <a:hlinkClick xmlns:r="http://schemas.openxmlformats.org/officeDocument/2006/relationships" r:id="rId793"/>
        </xdr:cNvPr>
        <xdr:cNvSpPr>
          <a:spLocks noChangeAspect="1" noChangeArrowheads="1"/>
        </xdr:cNvSpPr>
      </xdr:nvSpPr>
      <xdr:spPr bwMode="auto">
        <a:xfrm>
          <a:off x="165735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249</xdr:row>
      <xdr:rowOff>0</xdr:rowOff>
    </xdr:from>
    <xdr:to>
      <xdr:col>8</xdr:col>
      <xdr:colOff>123825</xdr:colOff>
      <xdr:row>249</xdr:row>
      <xdr:rowOff>104775</xdr:rowOff>
    </xdr:to>
    <xdr:sp macro="" textlink="">
      <xdr:nvSpPr>
        <xdr:cNvPr id="4841" name="AutoShape 1057" descr="Éligible à l'arbitrage">
          <a:hlinkClick xmlns:r="http://schemas.openxmlformats.org/officeDocument/2006/relationships" r:id="rId794"/>
        </xdr:cNvPr>
        <xdr:cNvSpPr>
          <a:spLocks noChangeAspect="1" noChangeArrowheads="1"/>
        </xdr:cNvSpPr>
      </xdr:nvSpPr>
      <xdr:spPr bwMode="auto">
        <a:xfrm>
          <a:off x="6096000" y="28133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1147</xdr:row>
      <xdr:rowOff>0</xdr:rowOff>
    </xdr:from>
    <xdr:to>
      <xdr:col>2</xdr:col>
      <xdr:colOff>123825</xdr:colOff>
      <xdr:row>1147</xdr:row>
      <xdr:rowOff>123825</xdr:rowOff>
    </xdr:to>
    <xdr:sp macro="" textlink="">
      <xdr:nvSpPr>
        <xdr:cNvPr id="4842" name="AutoShape 1058" descr="Bonis de performance"/>
        <xdr:cNvSpPr>
          <a:spLocks noChangeAspect="1" noChangeArrowheads="1"/>
        </xdr:cNvSpPr>
      </xdr:nvSpPr>
      <xdr:spPr bwMode="auto">
        <a:xfrm>
          <a:off x="152400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1147</xdr:row>
      <xdr:rowOff>0</xdr:rowOff>
    </xdr:from>
    <xdr:to>
      <xdr:col>2</xdr:col>
      <xdr:colOff>257175</xdr:colOff>
      <xdr:row>1147</xdr:row>
      <xdr:rowOff>123825</xdr:rowOff>
    </xdr:to>
    <xdr:sp macro="" textlink="">
      <xdr:nvSpPr>
        <xdr:cNvPr id="4843" name="AutoShape 1059" descr="Exempté du ballottage">
          <a:hlinkClick xmlns:r="http://schemas.openxmlformats.org/officeDocument/2006/relationships" r:id="rId795"/>
        </xdr:cNvPr>
        <xdr:cNvSpPr>
          <a:spLocks noChangeAspect="1" noChangeArrowheads="1"/>
        </xdr:cNvSpPr>
      </xdr:nvSpPr>
      <xdr:spPr bwMode="auto">
        <a:xfrm>
          <a:off x="165735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954</xdr:row>
      <xdr:rowOff>0</xdr:rowOff>
    </xdr:from>
    <xdr:to>
      <xdr:col>7</xdr:col>
      <xdr:colOff>123825</xdr:colOff>
      <xdr:row>954</xdr:row>
      <xdr:rowOff>104775</xdr:rowOff>
    </xdr:to>
    <xdr:sp macro="" textlink="">
      <xdr:nvSpPr>
        <xdr:cNvPr id="4844" name="AutoShape 1060" descr="Éligible à l'arbitrage">
          <a:hlinkClick xmlns:r="http://schemas.openxmlformats.org/officeDocument/2006/relationships" r:id="rId796"/>
        </xdr:cNvPr>
        <xdr:cNvSpPr>
          <a:spLocks noChangeAspect="1" noChangeArrowheads="1"/>
        </xdr:cNvSpPr>
      </xdr:nvSpPr>
      <xdr:spPr bwMode="auto">
        <a:xfrm>
          <a:off x="5334000" y="28322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1065</xdr:row>
      <xdr:rowOff>0</xdr:rowOff>
    </xdr:from>
    <xdr:to>
      <xdr:col>8</xdr:col>
      <xdr:colOff>123825</xdr:colOff>
      <xdr:row>1065</xdr:row>
      <xdr:rowOff>104775</xdr:rowOff>
    </xdr:to>
    <xdr:sp macro="" textlink="">
      <xdr:nvSpPr>
        <xdr:cNvPr id="4845" name="AutoShape 1061" descr="Éligible à l'arbitrage">
          <a:hlinkClick xmlns:r="http://schemas.openxmlformats.org/officeDocument/2006/relationships" r:id="rId797"/>
        </xdr:cNvPr>
        <xdr:cNvSpPr>
          <a:spLocks noChangeAspect="1" noChangeArrowheads="1"/>
        </xdr:cNvSpPr>
      </xdr:nvSpPr>
      <xdr:spPr bwMode="auto">
        <a:xfrm>
          <a:off x="6096000" y="2834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983</xdr:row>
      <xdr:rowOff>0</xdr:rowOff>
    </xdr:from>
    <xdr:to>
      <xdr:col>2</xdr:col>
      <xdr:colOff>123825</xdr:colOff>
      <xdr:row>983</xdr:row>
      <xdr:rowOff>123825</xdr:rowOff>
    </xdr:to>
    <xdr:sp macro="" textlink="">
      <xdr:nvSpPr>
        <xdr:cNvPr id="4846" name="AutoShape 1062" descr="Bonis de performance"/>
        <xdr:cNvSpPr>
          <a:spLocks noChangeAspect="1" noChangeArrowheads="1"/>
        </xdr:cNvSpPr>
      </xdr:nvSpPr>
      <xdr:spPr bwMode="auto">
        <a:xfrm>
          <a:off x="152400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983</xdr:row>
      <xdr:rowOff>0</xdr:rowOff>
    </xdr:from>
    <xdr:to>
      <xdr:col>2</xdr:col>
      <xdr:colOff>257175</xdr:colOff>
      <xdr:row>983</xdr:row>
      <xdr:rowOff>123825</xdr:rowOff>
    </xdr:to>
    <xdr:sp macro="" textlink="">
      <xdr:nvSpPr>
        <xdr:cNvPr id="4847" name="AutoShape 1063" descr="Exempté du ballottage">
          <a:hlinkClick xmlns:r="http://schemas.openxmlformats.org/officeDocument/2006/relationships" r:id="rId798"/>
        </xdr:cNvPr>
        <xdr:cNvSpPr>
          <a:spLocks noChangeAspect="1" noChangeArrowheads="1"/>
        </xdr:cNvSpPr>
      </xdr:nvSpPr>
      <xdr:spPr bwMode="auto">
        <a:xfrm>
          <a:off x="165735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241</xdr:row>
      <xdr:rowOff>0</xdr:rowOff>
    </xdr:from>
    <xdr:to>
      <xdr:col>6</xdr:col>
      <xdr:colOff>123825</xdr:colOff>
      <xdr:row>241</xdr:row>
      <xdr:rowOff>104775</xdr:rowOff>
    </xdr:to>
    <xdr:sp macro="" textlink="">
      <xdr:nvSpPr>
        <xdr:cNvPr id="4848" name="AutoShape 1064" descr="Éligible à l'arbitrage">
          <a:hlinkClick xmlns:r="http://schemas.openxmlformats.org/officeDocument/2006/relationships" r:id="rId799"/>
        </xdr:cNvPr>
        <xdr:cNvSpPr>
          <a:spLocks noChangeAspect="1" noChangeArrowheads="1"/>
        </xdr:cNvSpPr>
      </xdr:nvSpPr>
      <xdr:spPr bwMode="auto">
        <a:xfrm>
          <a:off x="4572000" y="285311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49" name="AutoShape 1065" descr="https://capfriendly-wlb8ng5.stackpathdns.com/assets/images/icons/general/q.svg"/>
        <xdr:cNvSpPr>
          <a:spLocks noChangeAspect="1" noChangeArrowheads="1"/>
        </xdr:cNvSpPr>
      </xdr:nvSpPr>
      <xdr:spPr bwMode="auto">
        <a:xfrm>
          <a:off x="1524000" y="2858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0" name="AutoShape 1066" descr="https://capfriendly-wlb8ng5.stackpathdns.com/assets/images/icons/general/q.svg"/>
        <xdr:cNvSpPr>
          <a:spLocks noChangeAspect="1" noChangeArrowheads="1"/>
        </xdr:cNvSpPr>
      </xdr:nvSpPr>
      <xdr:spPr bwMode="auto">
        <a:xfrm>
          <a:off x="1524000" y="2860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1" name="AutoShape 1067" descr="https://capfriendly-wlb8ng5.stackpathdns.com/assets/images/icons/general/q.svg"/>
        <xdr:cNvSpPr>
          <a:spLocks noChangeAspect="1" noChangeArrowheads="1"/>
        </xdr:cNvSpPr>
      </xdr:nvSpPr>
      <xdr:spPr bwMode="auto">
        <a:xfrm>
          <a:off x="1524000" y="2862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2" name="AutoShape 1068" descr="https://capfriendly-wlb8ng5.stackpathdns.com/assets/images/icons/general/q.svg"/>
        <xdr:cNvSpPr>
          <a:spLocks noChangeAspect="1" noChangeArrowheads="1"/>
        </xdr:cNvSpPr>
      </xdr:nvSpPr>
      <xdr:spPr bwMode="auto">
        <a:xfrm>
          <a:off x="1524000" y="2864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3" name="AutoShape 1069" descr="https://capfriendly-wlb8ng5.stackpathdns.com/assets/images/icons/general/q.svg"/>
        <xdr:cNvSpPr>
          <a:spLocks noChangeAspect="1" noChangeArrowheads="1"/>
        </xdr:cNvSpPr>
      </xdr:nvSpPr>
      <xdr:spPr bwMode="auto">
        <a:xfrm>
          <a:off x="1524000" y="2866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4" name="AutoShape 1070" descr="https://capfriendly-wlb8ng5.stackpathdns.com/assets/images/icons/general/q.svg"/>
        <xdr:cNvSpPr>
          <a:spLocks noChangeAspect="1" noChangeArrowheads="1"/>
        </xdr:cNvSpPr>
      </xdr:nvSpPr>
      <xdr:spPr bwMode="auto">
        <a:xfrm>
          <a:off x="1524000" y="2868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5" name="AutoShape 1071" descr="https://capfriendly-wlb8ng5.stackpathdns.com/assets/images/icons/general/q.svg"/>
        <xdr:cNvSpPr>
          <a:spLocks noChangeAspect="1" noChangeArrowheads="1"/>
        </xdr:cNvSpPr>
      </xdr:nvSpPr>
      <xdr:spPr bwMode="auto">
        <a:xfrm>
          <a:off x="1524000" y="2870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6" name="AutoShape 1072" descr="https://capfriendly-wlb8ng5.stackpathdns.com/assets/images/icons/general/q.svg"/>
        <xdr:cNvSpPr>
          <a:spLocks noChangeAspect="1" noChangeArrowheads="1"/>
        </xdr:cNvSpPr>
      </xdr:nvSpPr>
      <xdr:spPr bwMode="auto">
        <a:xfrm>
          <a:off x="1524000" y="2872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7" name="AutoShape 1073" descr="https://capfriendly-wlb8ng5.stackpathdns.com/assets/images/icons/general/q.svg"/>
        <xdr:cNvSpPr>
          <a:spLocks noChangeAspect="1" noChangeArrowheads="1"/>
        </xdr:cNvSpPr>
      </xdr:nvSpPr>
      <xdr:spPr bwMode="auto">
        <a:xfrm>
          <a:off x="1524000" y="2874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8" name="AutoShape 1074" descr="https://capfriendly-wlb8ng5.stackpathdns.com/assets/images/icons/general/q.svg"/>
        <xdr:cNvSpPr>
          <a:spLocks noChangeAspect="1" noChangeArrowheads="1"/>
        </xdr:cNvSpPr>
      </xdr:nvSpPr>
      <xdr:spPr bwMode="auto">
        <a:xfrm>
          <a:off x="1524000" y="2876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9" name="AutoShape 1075" descr="https://capfriendly-wlb8ng5.stackpathdns.com/assets/images/icons/general/q.svg"/>
        <xdr:cNvSpPr>
          <a:spLocks noChangeAspect="1" noChangeArrowheads="1"/>
        </xdr:cNvSpPr>
      </xdr:nvSpPr>
      <xdr:spPr bwMode="auto">
        <a:xfrm>
          <a:off x="1524000" y="28779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60" name="AutoShape 1076" descr="Exempté du ballottage">
          <a:hlinkClick xmlns:r="http://schemas.openxmlformats.org/officeDocument/2006/relationships" r:id="rId800"/>
        </xdr:cNvPr>
        <xdr:cNvSpPr>
          <a:spLocks noChangeAspect="1" noChangeArrowheads="1"/>
        </xdr:cNvSpPr>
      </xdr:nvSpPr>
      <xdr:spPr bwMode="auto">
        <a:xfrm>
          <a:off x="1524000" y="28866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123825</xdr:colOff>
      <xdr:row>532</xdr:row>
      <xdr:rowOff>123825</xdr:rowOff>
    </xdr:to>
    <xdr:sp macro="" textlink="">
      <xdr:nvSpPr>
        <xdr:cNvPr id="4861" name="AutoShape 1077" descr="Bonis de performance"/>
        <xdr:cNvSpPr>
          <a:spLocks noChangeAspect="1" noChangeArrowheads="1"/>
        </xdr:cNvSpPr>
      </xdr:nvSpPr>
      <xdr:spPr bwMode="auto">
        <a:xfrm>
          <a:off x="15240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532</xdr:row>
      <xdr:rowOff>0</xdr:rowOff>
    </xdr:from>
    <xdr:to>
      <xdr:col>2</xdr:col>
      <xdr:colOff>257175</xdr:colOff>
      <xdr:row>532</xdr:row>
      <xdr:rowOff>123825</xdr:rowOff>
    </xdr:to>
    <xdr:sp macro="" textlink="">
      <xdr:nvSpPr>
        <xdr:cNvPr id="4862" name="AutoShape 1078" descr="Transaction avec retenue de salaire"/>
        <xdr:cNvSpPr>
          <a:spLocks noChangeAspect="1" noChangeArrowheads="1"/>
        </xdr:cNvSpPr>
      </xdr:nvSpPr>
      <xdr:spPr bwMode="auto">
        <a:xfrm>
          <a:off x="165735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532</xdr:row>
      <xdr:rowOff>0</xdr:rowOff>
    </xdr:from>
    <xdr:to>
      <xdr:col>2</xdr:col>
      <xdr:colOff>390525</xdr:colOff>
      <xdr:row>532</xdr:row>
      <xdr:rowOff>123825</xdr:rowOff>
    </xdr:to>
    <xdr:sp macro="" textlink="">
      <xdr:nvSpPr>
        <xdr:cNvPr id="4863" name="AutoShape 1079" descr="Exempté du ballottage">
          <a:hlinkClick xmlns:r="http://schemas.openxmlformats.org/officeDocument/2006/relationships" r:id="rId801"/>
        </xdr:cNvPr>
        <xdr:cNvSpPr>
          <a:spLocks noChangeAspect="1" noChangeArrowheads="1"/>
        </xdr:cNvSpPr>
      </xdr:nvSpPr>
      <xdr:spPr bwMode="auto">
        <a:xfrm>
          <a:off x="17907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217</xdr:row>
      <xdr:rowOff>0</xdr:rowOff>
    </xdr:from>
    <xdr:to>
      <xdr:col>2</xdr:col>
      <xdr:colOff>123825</xdr:colOff>
      <xdr:row>217</xdr:row>
      <xdr:rowOff>123825</xdr:rowOff>
    </xdr:to>
    <xdr:sp macro="" textlink="">
      <xdr:nvSpPr>
        <xdr:cNvPr id="4864" name="AutoShape 1080" descr="Bonis de performance"/>
        <xdr:cNvSpPr>
          <a:spLocks noChangeAspect="1" noChangeArrowheads="1"/>
        </xdr:cNvSpPr>
      </xdr:nvSpPr>
      <xdr:spPr bwMode="auto">
        <a:xfrm>
          <a:off x="152400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217</xdr:row>
      <xdr:rowOff>0</xdr:rowOff>
    </xdr:from>
    <xdr:to>
      <xdr:col>2</xdr:col>
      <xdr:colOff>257175</xdr:colOff>
      <xdr:row>217</xdr:row>
      <xdr:rowOff>123825</xdr:rowOff>
    </xdr:to>
    <xdr:sp macro="" textlink="">
      <xdr:nvSpPr>
        <xdr:cNvPr id="4865" name="AutoShape 1081" descr="Exempté du ballottage">
          <a:hlinkClick xmlns:r="http://schemas.openxmlformats.org/officeDocument/2006/relationships" r:id="rId802"/>
        </xdr:cNvPr>
        <xdr:cNvSpPr>
          <a:spLocks noChangeAspect="1" noChangeArrowheads="1"/>
        </xdr:cNvSpPr>
      </xdr:nvSpPr>
      <xdr:spPr bwMode="auto">
        <a:xfrm>
          <a:off x="165735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4866" name="AutoShape 1082" descr="Bonis de performance"/>
        <xdr:cNvSpPr>
          <a:spLocks noChangeAspect="1" noChangeArrowheads="1"/>
        </xdr:cNvSpPr>
      </xdr:nvSpPr>
      <xdr:spPr bwMode="auto">
        <a:xfrm>
          <a:off x="152400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557</xdr:row>
      <xdr:rowOff>0</xdr:rowOff>
    </xdr:from>
    <xdr:to>
      <xdr:col>2</xdr:col>
      <xdr:colOff>257175</xdr:colOff>
      <xdr:row>557</xdr:row>
      <xdr:rowOff>123825</xdr:rowOff>
    </xdr:to>
    <xdr:sp macro="" textlink="">
      <xdr:nvSpPr>
        <xdr:cNvPr id="4867" name="AutoShape 1083" descr="Exempté du ballottage">
          <a:hlinkClick xmlns:r="http://schemas.openxmlformats.org/officeDocument/2006/relationships" r:id="rId803"/>
        </xdr:cNvPr>
        <xdr:cNvSpPr>
          <a:spLocks noChangeAspect="1" noChangeArrowheads="1"/>
        </xdr:cNvSpPr>
      </xdr:nvSpPr>
      <xdr:spPr bwMode="auto">
        <a:xfrm>
          <a:off x="165735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1272</xdr:row>
      <xdr:rowOff>0</xdr:rowOff>
    </xdr:from>
    <xdr:to>
      <xdr:col>2</xdr:col>
      <xdr:colOff>123825</xdr:colOff>
      <xdr:row>1272</xdr:row>
      <xdr:rowOff>123825</xdr:rowOff>
    </xdr:to>
    <xdr:sp macro="" textlink="">
      <xdr:nvSpPr>
        <xdr:cNvPr id="4868" name="AutoShape 1084" descr="Bonis de performance"/>
        <xdr:cNvSpPr>
          <a:spLocks noChangeAspect="1" noChangeArrowheads="1"/>
        </xdr:cNvSpPr>
      </xdr:nvSpPr>
      <xdr:spPr bwMode="auto">
        <a:xfrm>
          <a:off x="152400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1272</xdr:row>
      <xdr:rowOff>0</xdr:rowOff>
    </xdr:from>
    <xdr:to>
      <xdr:col>2</xdr:col>
      <xdr:colOff>257175</xdr:colOff>
      <xdr:row>1272</xdr:row>
      <xdr:rowOff>123825</xdr:rowOff>
    </xdr:to>
    <xdr:sp macro="" textlink="">
      <xdr:nvSpPr>
        <xdr:cNvPr id="4869" name="AutoShape 1085" descr="Exempté du ballottage">
          <a:hlinkClick xmlns:r="http://schemas.openxmlformats.org/officeDocument/2006/relationships" r:id="rId804"/>
        </xdr:cNvPr>
        <xdr:cNvSpPr>
          <a:spLocks noChangeAspect="1" noChangeArrowheads="1"/>
        </xdr:cNvSpPr>
      </xdr:nvSpPr>
      <xdr:spPr bwMode="auto">
        <a:xfrm>
          <a:off x="165735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845</xdr:row>
      <xdr:rowOff>0</xdr:rowOff>
    </xdr:from>
    <xdr:to>
      <xdr:col>2</xdr:col>
      <xdr:colOff>123825</xdr:colOff>
      <xdr:row>845</xdr:row>
      <xdr:rowOff>123825</xdr:rowOff>
    </xdr:to>
    <xdr:sp macro="" textlink="">
      <xdr:nvSpPr>
        <xdr:cNvPr id="4870" name="AutoShape 1086" descr="Exempté du ballottage">
          <a:hlinkClick xmlns:r="http://schemas.openxmlformats.org/officeDocument/2006/relationships" r:id="rId805"/>
        </xdr:cNvPr>
        <xdr:cNvSpPr>
          <a:spLocks noChangeAspect="1" noChangeArrowheads="1"/>
        </xdr:cNvSpPr>
      </xdr:nvSpPr>
      <xdr:spPr bwMode="auto">
        <a:xfrm>
          <a:off x="1524000" y="28961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xdr:row>
      <xdr:rowOff>0</xdr:rowOff>
    </xdr:from>
    <xdr:to>
      <xdr:col>2</xdr:col>
      <xdr:colOff>123825</xdr:colOff>
      <xdr:row>37</xdr:row>
      <xdr:rowOff>123825</xdr:rowOff>
    </xdr:to>
    <xdr:sp macro="" textlink="">
      <xdr:nvSpPr>
        <xdr:cNvPr id="4871" name="AutoShape 1087" descr="Exempté du ballottage">
          <a:hlinkClick xmlns:r="http://schemas.openxmlformats.org/officeDocument/2006/relationships" r:id="rId806"/>
        </xdr:cNvPr>
        <xdr:cNvSpPr>
          <a:spLocks noChangeAspect="1" noChangeArrowheads="1"/>
        </xdr:cNvSpPr>
      </xdr:nvSpPr>
      <xdr:spPr bwMode="auto">
        <a:xfrm>
          <a:off x="1524000" y="28980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914</xdr:row>
      <xdr:rowOff>0</xdr:rowOff>
    </xdr:from>
    <xdr:to>
      <xdr:col>2</xdr:col>
      <xdr:colOff>123825</xdr:colOff>
      <xdr:row>914</xdr:row>
      <xdr:rowOff>123825</xdr:rowOff>
    </xdr:to>
    <xdr:sp macro="" textlink="">
      <xdr:nvSpPr>
        <xdr:cNvPr id="4872" name="AutoShape 1088" descr="Exempté du ballottage">
          <a:hlinkClick xmlns:r="http://schemas.openxmlformats.org/officeDocument/2006/relationships" r:id="rId807"/>
        </xdr:cNvPr>
        <xdr:cNvSpPr>
          <a:spLocks noChangeAspect="1" noChangeArrowheads="1"/>
        </xdr:cNvSpPr>
      </xdr:nvSpPr>
      <xdr:spPr bwMode="auto">
        <a:xfrm>
          <a:off x="1524000" y="28999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1315</xdr:row>
      <xdr:rowOff>0</xdr:rowOff>
    </xdr:from>
    <xdr:to>
      <xdr:col>2</xdr:col>
      <xdr:colOff>123825</xdr:colOff>
      <xdr:row>1315</xdr:row>
      <xdr:rowOff>123825</xdr:rowOff>
    </xdr:to>
    <xdr:sp macro="" textlink="">
      <xdr:nvSpPr>
        <xdr:cNvPr id="4873" name="AutoShape 1089" descr="Exempté du ballottage">
          <a:hlinkClick xmlns:r="http://schemas.openxmlformats.org/officeDocument/2006/relationships" r:id="rId808"/>
        </xdr:cNvPr>
        <xdr:cNvSpPr>
          <a:spLocks noChangeAspect="1" noChangeArrowheads="1"/>
        </xdr:cNvSpPr>
      </xdr:nvSpPr>
      <xdr:spPr bwMode="auto">
        <a:xfrm>
          <a:off x="1524000" y="29056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1315</xdr:row>
      <xdr:rowOff>0</xdr:rowOff>
    </xdr:from>
    <xdr:to>
      <xdr:col>7</xdr:col>
      <xdr:colOff>123825</xdr:colOff>
      <xdr:row>1315</xdr:row>
      <xdr:rowOff>104775</xdr:rowOff>
    </xdr:to>
    <xdr:sp macro="" textlink="">
      <xdr:nvSpPr>
        <xdr:cNvPr id="4874" name="AutoShape 1090" descr="Éligible à l'arbitrage">
          <a:hlinkClick xmlns:r="http://schemas.openxmlformats.org/officeDocument/2006/relationships" r:id="rId809"/>
        </xdr:cNvPr>
        <xdr:cNvSpPr>
          <a:spLocks noChangeAspect="1" noChangeArrowheads="1"/>
        </xdr:cNvSpPr>
      </xdr:nvSpPr>
      <xdr:spPr bwMode="auto">
        <a:xfrm>
          <a:off x="5334000" y="290569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827</xdr:row>
      <xdr:rowOff>0</xdr:rowOff>
    </xdr:from>
    <xdr:to>
      <xdr:col>7</xdr:col>
      <xdr:colOff>123825</xdr:colOff>
      <xdr:row>827</xdr:row>
      <xdr:rowOff>104775</xdr:rowOff>
    </xdr:to>
    <xdr:sp macro="" textlink="">
      <xdr:nvSpPr>
        <xdr:cNvPr id="4875" name="AutoShape 1091" descr="Éligible à l'arbitrage">
          <a:hlinkClick xmlns:r="http://schemas.openxmlformats.org/officeDocument/2006/relationships" r:id="rId810"/>
        </xdr:cNvPr>
        <xdr:cNvSpPr>
          <a:spLocks noChangeAspect="1" noChangeArrowheads="1"/>
        </xdr:cNvSpPr>
      </xdr:nvSpPr>
      <xdr:spPr bwMode="auto">
        <a:xfrm>
          <a:off x="5334000" y="29095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573</xdr:row>
      <xdr:rowOff>0</xdr:rowOff>
    </xdr:from>
    <xdr:to>
      <xdr:col>2</xdr:col>
      <xdr:colOff>123825</xdr:colOff>
      <xdr:row>573</xdr:row>
      <xdr:rowOff>123825</xdr:rowOff>
    </xdr:to>
    <xdr:sp macro="" textlink="">
      <xdr:nvSpPr>
        <xdr:cNvPr id="4876" name="AutoShape 1092" descr="Transaction avec retenue de salaire"/>
        <xdr:cNvSpPr>
          <a:spLocks noChangeAspect="1" noChangeArrowheads="1"/>
        </xdr:cNvSpPr>
      </xdr:nvSpPr>
      <xdr:spPr bwMode="auto">
        <a:xfrm>
          <a:off x="152400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573</xdr:row>
      <xdr:rowOff>0</xdr:rowOff>
    </xdr:from>
    <xdr:to>
      <xdr:col>2</xdr:col>
      <xdr:colOff>257175</xdr:colOff>
      <xdr:row>573</xdr:row>
      <xdr:rowOff>123825</xdr:rowOff>
    </xdr:to>
    <xdr:sp macro="" textlink="">
      <xdr:nvSpPr>
        <xdr:cNvPr id="4877" name="AutoShape 1093" descr="Exempté du ballottage">
          <a:hlinkClick xmlns:r="http://schemas.openxmlformats.org/officeDocument/2006/relationships" r:id="rId811"/>
        </xdr:cNvPr>
        <xdr:cNvSpPr>
          <a:spLocks noChangeAspect="1" noChangeArrowheads="1"/>
        </xdr:cNvSpPr>
      </xdr:nvSpPr>
      <xdr:spPr bwMode="auto">
        <a:xfrm>
          <a:off x="165735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1285</xdr:row>
      <xdr:rowOff>0</xdr:rowOff>
    </xdr:from>
    <xdr:to>
      <xdr:col>2</xdr:col>
      <xdr:colOff>123825</xdr:colOff>
      <xdr:row>1285</xdr:row>
      <xdr:rowOff>123825</xdr:rowOff>
    </xdr:to>
    <xdr:sp macro="" textlink="">
      <xdr:nvSpPr>
        <xdr:cNvPr id="4878" name="AutoShape 1094" descr="Bonis de performance"/>
        <xdr:cNvSpPr>
          <a:spLocks noChangeAspect="1" noChangeArrowheads="1"/>
        </xdr:cNvSpPr>
      </xdr:nvSpPr>
      <xdr:spPr bwMode="auto">
        <a:xfrm>
          <a:off x="152400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1285</xdr:row>
      <xdr:rowOff>0</xdr:rowOff>
    </xdr:from>
    <xdr:to>
      <xdr:col>2</xdr:col>
      <xdr:colOff>257175</xdr:colOff>
      <xdr:row>1285</xdr:row>
      <xdr:rowOff>123825</xdr:rowOff>
    </xdr:to>
    <xdr:sp macro="" textlink="">
      <xdr:nvSpPr>
        <xdr:cNvPr id="4879" name="AutoShape 1095" descr="Exempté du ballottage">
          <a:hlinkClick xmlns:r="http://schemas.openxmlformats.org/officeDocument/2006/relationships" r:id="rId812"/>
        </xdr:cNvPr>
        <xdr:cNvSpPr>
          <a:spLocks noChangeAspect="1" noChangeArrowheads="1"/>
        </xdr:cNvSpPr>
      </xdr:nvSpPr>
      <xdr:spPr bwMode="auto">
        <a:xfrm>
          <a:off x="165735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123825</xdr:colOff>
      <xdr:row>468</xdr:row>
      <xdr:rowOff>123825</xdr:rowOff>
    </xdr:to>
    <xdr:sp macro="" textlink="">
      <xdr:nvSpPr>
        <xdr:cNvPr id="4880" name="AutoShape 1096" descr="Bonis de performance"/>
        <xdr:cNvSpPr>
          <a:spLocks noChangeAspect="1" noChangeArrowheads="1"/>
        </xdr:cNvSpPr>
      </xdr:nvSpPr>
      <xdr:spPr bwMode="auto">
        <a:xfrm>
          <a:off x="152400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468</xdr:row>
      <xdr:rowOff>0</xdr:rowOff>
    </xdr:from>
    <xdr:to>
      <xdr:col>2</xdr:col>
      <xdr:colOff>257175</xdr:colOff>
      <xdr:row>468</xdr:row>
      <xdr:rowOff>123825</xdr:rowOff>
    </xdr:to>
    <xdr:sp macro="" textlink="">
      <xdr:nvSpPr>
        <xdr:cNvPr id="4881" name="AutoShape 1097" descr="Exempté du ballottage">
          <a:hlinkClick xmlns:r="http://schemas.openxmlformats.org/officeDocument/2006/relationships" r:id="rId813"/>
        </xdr:cNvPr>
        <xdr:cNvSpPr>
          <a:spLocks noChangeAspect="1" noChangeArrowheads="1"/>
        </xdr:cNvSpPr>
      </xdr:nvSpPr>
      <xdr:spPr bwMode="auto">
        <a:xfrm>
          <a:off x="165735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742</xdr:row>
      <xdr:rowOff>0</xdr:rowOff>
    </xdr:from>
    <xdr:to>
      <xdr:col>2</xdr:col>
      <xdr:colOff>123825</xdr:colOff>
      <xdr:row>742</xdr:row>
      <xdr:rowOff>123825</xdr:rowOff>
    </xdr:to>
    <xdr:sp macro="" textlink="">
      <xdr:nvSpPr>
        <xdr:cNvPr id="4882" name="AutoShape 1098" descr="Bonis de performance"/>
        <xdr:cNvSpPr>
          <a:spLocks noChangeAspect="1" noChangeArrowheads="1"/>
        </xdr:cNvSpPr>
      </xdr:nvSpPr>
      <xdr:spPr bwMode="auto">
        <a:xfrm>
          <a:off x="152400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742</xdr:row>
      <xdr:rowOff>0</xdr:rowOff>
    </xdr:from>
    <xdr:to>
      <xdr:col>2</xdr:col>
      <xdr:colOff>257175</xdr:colOff>
      <xdr:row>742</xdr:row>
      <xdr:rowOff>123825</xdr:rowOff>
    </xdr:to>
    <xdr:sp macro="" textlink="">
      <xdr:nvSpPr>
        <xdr:cNvPr id="4883" name="AutoShape 1099" descr="Exempté du ballottage">
          <a:hlinkClick xmlns:r="http://schemas.openxmlformats.org/officeDocument/2006/relationships" r:id="rId814"/>
        </xdr:cNvPr>
        <xdr:cNvSpPr>
          <a:spLocks noChangeAspect="1" noChangeArrowheads="1"/>
        </xdr:cNvSpPr>
      </xdr:nvSpPr>
      <xdr:spPr bwMode="auto">
        <a:xfrm>
          <a:off x="165735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123825</xdr:colOff>
      <xdr:row>508</xdr:row>
      <xdr:rowOff>123825</xdr:rowOff>
    </xdr:to>
    <xdr:sp macro="" textlink="">
      <xdr:nvSpPr>
        <xdr:cNvPr id="4884" name="AutoShape 1100" descr="Bonis de performance"/>
        <xdr:cNvSpPr>
          <a:spLocks noChangeAspect="1" noChangeArrowheads="1"/>
        </xdr:cNvSpPr>
      </xdr:nvSpPr>
      <xdr:spPr bwMode="auto">
        <a:xfrm>
          <a:off x="152400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508</xdr:row>
      <xdr:rowOff>0</xdr:rowOff>
    </xdr:from>
    <xdr:to>
      <xdr:col>2</xdr:col>
      <xdr:colOff>257175</xdr:colOff>
      <xdr:row>508</xdr:row>
      <xdr:rowOff>123825</xdr:rowOff>
    </xdr:to>
    <xdr:sp macro="" textlink="">
      <xdr:nvSpPr>
        <xdr:cNvPr id="4885" name="AutoShape 1101" descr="Exempté du ballottage">
          <a:hlinkClick xmlns:r="http://schemas.openxmlformats.org/officeDocument/2006/relationships" r:id="rId815"/>
        </xdr:cNvPr>
        <xdr:cNvSpPr>
          <a:spLocks noChangeAspect="1" noChangeArrowheads="1"/>
        </xdr:cNvSpPr>
      </xdr:nvSpPr>
      <xdr:spPr bwMode="auto">
        <a:xfrm>
          <a:off x="165735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xdr:row>
      <xdr:rowOff>0</xdr:rowOff>
    </xdr:from>
    <xdr:to>
      <xdr:col>2</xdr:col>
      <xdr:colOff>123825</xdr:colOff>
      <xdr:row>94</xdr:row>
      <xdr:rowOff>123825</xdr:rowOff>
    </xdr:to>
    <xdr:sp macro="" textlink="">
      <xdr:nvSpPr>
        <xdr:cNvPr id="4886" name="AutoShape 1102" descr="Exempté du ballottage">
          <a:hlinkClick xmlns:r="http://schemas.openxmlformats.org/officeDocument/2006/relationships" r:id="rId816"/>
        </xdr:cNvPr>
        <xdr:cNvSpPr>
          <a:spLocks noChangeAspect="1" noChangeArrowheads="1"/>
        </xdr:cNvSpPr>
      </xdr:nvSpPr>
      <xdr:spPr bwMode="auto">
        <a:xfrm>
          <a:off x="1524000" y="29435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657</xdr:row>
      <xdr:rowOff>0</xdr:rowOff>
    </xdr:from>
    <xdr:to>
      <xdr:col>0</xdr:col>
      <xdr:colOff>304800</xdr:colOff>
      <xdr:row>658</xdr:row>
      <xdr:rowOff>121920</xdr:rowOff>
    </xdr:to>
    <xdr:sp macro="" textlink="">
      <xdr:nvSpPr>
        <xdr:cNvPr id="3073" name="AutoShape 1" descr="Chicago Blackhawks">
          <a:extLst>
            <a:ext uri="{FF2B5EF4-FFF2-40B4-BE49-F238E27FC236}">
              <a16:creationId xmlns:a16="http://schemas.microsoft.com/office/drawing/2014/main" xmlns="" id="{00000000-0008-0000-0D00-0000010C0000}"/>
            </a:ext>
          </a:extLst>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412</xdr:row>
      <xdr:rowOff>0</xdr:rowOff>
    </xdr:from>
    <xdr:to>
      <xdr:col>0</xdr:col>
      <xdr:colOff>304800</xdr:colOff>
      <xdr:row>413</xdr:row>
      <xdr:rowOff>121920</xdr:rowOff>
    </xdr:to>
    <xdr:sp macro="" textlink="">
      <xdr:nvSpPr>
        <xdr:cNvPr id="3074" name="AutoShape 2" descr="Chicago Blackhawks">
          <a:extLst>
            <a:ext uri="{FF2B5EF4-FFF2-40B4-BE49-F238E27FC236}">
              <a16:creationId xmlns:a16="http://schemas.microsoft.com/office/drawing/2014/main" xmlns="" id="{00000000-0008-0000-0D00-0000020C0000}"/>
            </a:ext>
          </a:extLst>
        </xdr:cNvPr>
        <xdr:cNvSpPr>
          <a:spLocks noChangeAspect="1" noChangeArrowheads="1"/>
        </xdr:cNvSpPr>
      </xdr:nvSpPr>
      <xdr:spPr bwMode="auto">
        <a:xfrm>
          <a:off x="0" y="74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xdr:row>
      <xdr:rowOff>0</xdr:rowOff>
    </xdr:from>
    <xdr:to>
      <xdr:col>0</xdr:col>
      <xdr:colOff>304800</xdr:colOff>
      <xdr:row>75</xdr:row>
      <xdr:rowOff>121920</xdr:rowOff>
    </xdr:to>
    <xdr:sp macro="" textlink="">
      <xdr:nvSpPr>
        <xdr:cNvPr id="3075" name="AutoShape 3" descr="Los Angeles Kings">
          <a:extLst>
            <a:ext uri="{FF2B5EF4-FFF2-40B4-BE49-F238E27FC236}">
              <a16:creationId xmlns:a16="http://schemas.microsoft.com/office/drawing/2014/main" xmlns="" id="{00000000-0008-0000-0D00-0000030C0000}"/>
            </a:ext>
          </a:extLst>
        </xdr:cNvPr>
        <xdr:cNvSpPr>
          <a:spLocks noChangeAspect="1" noChangeArrowheads="1"/>
        </xdr:cNvSpPr>
      </xdr:nvSpPr>
      <xdr:spPr bwMode="auto">
        <a:xfrm>
          <a:off x="0" y="111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xdr:row>
      <xdr:rowOff>0</xdr:rowOff>
    </xdr:from>
    <xdr:to>
      <xdr:col>0</xdr:col>
      <xdr:colOff>304800</xdr:colOff>
      <xdr:row>30</xdr:row>
      <xdr:rowOff>121920</xdr:rowOff>
    </xdr:to>
    <xdr:sp macro="" textlink="">
      <xdr:nvSpPr>
        <xdr:cNvPr id="3076" name="AutoShape 4" descr="Washington Capitals">
          <a:extLst>
            <a:ext uri="{FF2B5EF4-FFF2-40B4-BE49-F238E27FC236}">
              <a16:creationId xmlns:a16="http://schemas.microsoft.com/office/drawing/2014/main" xmlns="" id="{00000000-0008-0000-0D00-0000040C0000}"/>
            </a:ext>
          </a:extLst>
        </xdr:cNvPr>
        <xdr:cNvSpPr>
          <a:spLocks noChangeAspect="1" noChangeArrowheads="1"/>
        </xdr:cNvSpPr>
      </xdr:nvSpPr>
      <xdr:spPr bwMode="auto">
        <a:xfrm>
          <a:off x="0" y="147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283</xdr:row>
      <xdr:rowOff>0</xdr:rowOff>
    </xdr:from>
    <xdr:to>
      <xdr:col>0</xdr:col>
      <xdr:colOff>304800</xdr:colOff>
      <xdr:row>284</xdr:row>
      <xdr:rowOff>121920</xdr:rowOff>
    </xdr:to>
    <xdr:sp macro="" textlink="">
      <xdr:nvSpPr>
        <xdr:cNvPr id="3077" name="AutoShape 5" descr="Pittsburgh Penguins">
          <a:extLst>
            <a:ext uri="{FF2B5EF4-FFF2-40B4-BE49-F238E27FC236}">
              <a16:creationId xmlns:a16="http://schemas.microsoft.com/office/drawing/2014/main" xmlns="" id="{00000000-0008-0000-0D00-0000050C0000}"/>
            </a:ext>
          </a:extLst>
        </xdr:cNvPr>
        <xdr:cNvSpPr>
          <a:spLocks noChangeAspect="1" noChangeArrowheads="1"/>
        </xdr:cNvSpPr>
      </xdr:nvSpPr>
      <xdr:spPr bwMode="auto">
        <a:xfrm>
          <a:off x="0" y="185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362</xdr:row>
      <xdr:rowOff>0</xdr:rowOff>
    </xdr:from>
    <xdr:to>
      <xdr:col>0</xdr:col>
      <xdr:colOff>304800</xdr:colOff>
      <xdr:row>363</xdr:row>
      <xdr:rowOff>121920</xdr:rowOff>
    </xdr:to>
    <xdr:sp macro="" textlink="">
      <xdr:nvSpPr>
        <xdr:cNvPr id="3078" name="AutoShape 6" descr="Dallas Stars">
          <a:extLst>
            <a:ext uri="{FF2B5EF4-FFF2-40B4-BE49-F238E27FC236}">
              <a16:creationId xmlns:a16="http://schemas.microsoft.com/office/drawing/2014/main" xmlns="" id="{00000000-0008-0000-0D00-0000060C0000}"/>
            </a:ext>
          </a:extLst>
        </xdr:cNvPr>
        <xdr:cNvSpPr>
          <a:spLocks noChangeAspect="1" noChangeArrowheads="1"/>
        </xdr:cNvSpPr>
      </xdr:nvSpPr>
      <xdr:spPr bwMode="auto">
        <a:xfrm>
          <a:off x="0" y="222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651</xdr:row>
      <xdr:rowOff>0</xdr:rowOff>
    </xdr:from>
    <xdr:to>
      <xdr:col>0</xdr:col>
      <xdr:colOff>304800</xdr:colOff>
      <xdr:row>652</xdr:row>
      <xdr:rowOff>121920</xdr:rowOff>
    </xdr:to>
    <xdr:sp macro="" textlink="">
      <xdr:nvSpPr>
        <xdr:cNvPr id="3079" name="AutoShape 7" descr="Nashville Predators">
          <a:extLst>
            <a:ext uri="{FF2B5EF4-FFF2-40B4-BE49-F238E27FC236}">
              <a16:creationId xmlns:a16="http://schemas.microsoft.com/office/drawing/2014/main" xmlns="" id="{00000000-0008-0000-0D00-0000070C0000}"/>
            </a:ext>
          </a:extLst>
        </xdr:cNvPr>
        <xdr:cNvSpPr>
          <a:spLocks noChangeAspect="1" noChangeArrowheads="1"/>
        </xdr:cNvSpPr>
      </xdr:nvSpPr>
      <xdr:spPr bwMode="auto">
        <a:xfrm>
          <a:off x="0" y="240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744</xdr:row>
      <xdr:rowOff>0</xdr:rowOff>
    </xdr:from>
    <xdr:to>
      <xdr:col>0</xdr:col>
      <xdr:colOff>304800</xdr:colOff>
      <xdr:row>745</xdr:row>
      <xdr:rowOff>121920</xdr:rowOff>
    </xdr:to>
    <xdr:sp macro="" textlink="">
      <xdr:nvSpPr>
        <xdr:cNvPr id="3080" name="AutoShape 8" descr="Pittsburgh Penguins">
          <a:extLst>
            <a:ext uri="{FF2B5EF4-FFF2-40B4-BE49-F238E27FC236}">
              <a16:creationId xmlns:a16="http://schemas.microsoft.com/office/drawing/2014/main" xmlns="" id="{00000000-0008-0000-0D00-0000080C0000}"/>
            </a:ext>
          </a:extLst>
        </xdr:cNvPr>
        <xdr:cNvSpPr>
          <a:spLocks noChangeAspect="1" noChangeArrowheads="1"/>
        </xdr:cNvSpPr>
      </xdr:nvSpPr>
      <xdr:spPr bwMode="auto">
        <a:xfrm>
          <a:off x="0" y="27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204</xdr:row>
      <xdr:rowOff>0</xdr:rowOff>
    </xdr:from>
    <xdr:to>
      <xdr:col>0</xdr:col>
      <xdr:colOff>304800</xdr:colOff>
      <xdr:row>205</xdr:row>
      <xdr:rowOff>121920</xdr:rowOff>
    </xdr:to>
    <xdr:sp macro="" textlink="">
      <xdr:nvSpPr>
        <xdr:cNvPr id="3081" name="AutoShape 9" descr="Anaheim Ducks">
          <a:extLst>
            <a:ext uri="{FF2B5EF4-FFF2-40B4-BE49-F238E27FC236}">
              <a16:creationId xmlns:a16="http://schemas.microsoft.com/office/drawing/2014/main" xmlns="" id="{00000000-0008-0000-0D00-0000090C0000}"/>
            </a:ext>
          </a:extLst>
        </xdr:cNvPr>
        <xdr:cNvSpPr>
          <a:spLocks noChangeAspect="1" noChangeArrowheads="1"/>
        </xdr:cNvSpPr>
      </xdr:nvSpPr>
      <xdr:spPr bwMode="auto">
        <a:xfrm>
          <a:off x="0" y="31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325</xdr:row>
      <xdr:rowOff>0</xdr:rowOff>
    </xdr:from>
    <xdr:to>
      <xdr:col>0</xdr:col>
      <xdr:colOff>304800</xdr:colOff>
      <xdr:row>326</xdr:row>
      <xdr:rowOff>121920</xdr:rowOff>
    </xdr:to>
    <xdr:sp macro="" textlink="">
      <xdr:nvSpPr>
        <xdr:cNvPr id="3082" name="AutoShape 10" descr="New York Rangers">
          <a:extLst>
            <a:ext uri="{FF2B5EF4-FFF2-40B4-BE49-F238E27FC236}">
              <a16:creationId xmlns:a16="http://schemas.microsoft.com/office/drawing/2014/main" xmlns="" id="{00000000-0008-0000-0D00-00000A0C0000}"/>
            </a:ext>
          </a:extLst>
        </xdr:cNvPr>
        <xdr:cNvSpPr>
          <a:spLocks noChangeAspect="1" noChangeArrowheads="1"/>
        </xdr:cNvSpPr>
      </xdr:nvSpPr>
      <xdr:spPr bwMode="auto">
        <a:xfrm>
          <a:off x="0" y="352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757</xdr:row>
      <xdr:rowOff>0</xdr:rowOff>
    </xdr:from>
    <xdr:to>
      <xdr:col>0</xdr:col>
      <xdr:colOff>304800</xdr:colOff>
      <xdr:row>758</xdr:row>
      <xdr:rowOff>121920</xdr:rowOff>
    </xdr:to>
    <xdr:sp macro="" textlink="">
      <xdr:nvSpPr>
        <xdr:cNvPr id="3083" name="AutoShape 11" descr="Tampa Bay Lightning">
          <a:extLst>
            <a:ext uri="{FF2B5EF4-FFF2-40B4-BE49-F238E27FC236}">
              <a16:creationId xmlns:a16="http://schemas.microsoft.com/office/drawing/2014/main" xmlns="" id="{00000000-0008-0000-0D00-00000B0C0000}"/>
            </a:ext>
          </a:extLst>
        </xdr:cNvPr>
        <xdr:cNvSpPr>
          <a:spLocks noChangeAspect="1" noChangeArrowheads="1"/>
        </xdr:cNvSpPr>
      </xdr:nvSpPr>
      <xdr:spPr bwMode="auto">
        <a:xfrm>
          <a:off x="0" y="389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491</xdr:row>
      <xdr:rowOff>0</xdr:rowOff>
    </xdr:from>
    <xdr:to>
      <xdr:col>0</xdr:col>
      <xdr:colOff>304800</xdr:colOff>
      <xdr:row>492</xdr:row>
      <xdr:rowOff>121920</xdr:rowOff>
    </xdr:to>
    <xdr:sp macro="" textlink="">
      <xdr:nvSpPr>
        <xdr:cNvPr id="3084" name="AutoShape 12" descr="Edmonton Oilers">
          <a:extLst>
            <a:ext uri="{FF2B5EF4-FFF2-40B4-BE49-F238E27FC236}">
              <a16:creationId xmlns:a16="http://schemas.microsoft.com/office/drawing/2014/main" xmlns="" id="{00000000-0008-0000-0D00-00000C0C0000}"/>
            </a:ext>
          </a:extLst>
        </xdr:cNvPr>
        <xdr:cNvSpPr>
          <a:spLocks noChangeAspect="1" noChangeArrowheads="1"/>
        </xdr:cNvSpPr>
      </xdr:nvSpPr>
      <xdr:spPr bwMode="auto">
        <a:xfrm>
          <a:off x="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178</xdr:row>
      <xdr:rowOff>0</xdr:rowOff>
    </xdr:from>
    <xdr:to>
      <xdr:col>0</xdr:col>
      <xdr:colOff>304800</xdr:colOff>
      <xdr:row>179</xdr:row>
      <xdr:rowOff>121920</xdr:rowOff>
    </xdr:to>
    <xdr:sp macro="" textlink="">
      <xdr:nvSpPr>
        <xdr:cNvPr id="3085" name="AutoShape 13" descr="Philadelphia Flyers">
          <a:extLst>
            <a:ext uri="{FF2B5EF4-FFF2-40B4-BE49-F238E27FC236}">
              <a16:creationId xmlns:a16="http://schemas.microsoft.com/office/drawing/2014/main" xmlns="" id="{00000000-0008-0000-0D00-00000D0C0000}"/>
            </a:ext>
          </a:extLst>
        </xdr:cNvPr>
        <xdr:cNvSpPr>
          <a:spLocks noChangeAspect="1" noChangeArrowheads="1"/>
        </xdr:cNvSpPr>
      </xdr:nvSpPr>
      <xdr:spPr bwMode="auto">
        <a:xfrm>
          <a:off x="0" y="46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704</xdr:row>
      <xdr:rowOff>0</xdr:rowOff>
    </xdr:from>
    <xdr:to>
      <xdr:col>0</xdr:col>
      <xdr:colOff>304800</xdr:colOff>
      <xdr:row>705</xdr:row>
      <xdr:rowOff>121920</xdr:rowOff>
    </xdr:to>
    <xdr:sp macro="" textlink="">
      <xdr:nvSpPr>
        <xdr:cNvPr id="3086" name="AutoShape 14" descr="Anaheim Ducks">
          <a:extLst>
            <a:ext uri="{FF2B5EF4-FFF2-40B4-BE49-F238E27FC236}">
              <a16:creationId xmlns:a16="http://schemas.microsoft.com/office/drawing/2014/main" xmlns="" id="{00000000-0008-0000-0D00-00000E0C0000}"/>
            </a:ext>
          </a:extLst>
        </xdr:cNvPr>
        <xdr:cNvSpPr>
          <a:spLocks noChangeAspect="1" noChangeArrowheads="1"/>
        </xdr:cNvSpPr>
      </xdr:nvSpPr>
      <xdr:spPr bwMode="auto">
        <a:xfrm>
          <a:off x="0" y="49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356</xdr:row>
      <xdr:rowOff>0</xdr:rowOff>
    </xdr:from>
    <xdr:to>
      <xdr:col>0</xdr:col>
      <xdr:colOff>304800</xdr:colOff>
      <xdr:row>357</xdr:row>
      <xdr:rowOff>121920</xdr:rowOff>
    </xdr:to>
    <xdr:sp macro="" textlink="">
      <xdr:nvSpPr>
        <xdr:cNvPr id="3087" name="AutoShape 15" descr="Philadelphia Flyers">
          <a:extLst>
            <a:ext uri="{FF2B5EF4-FFF2-40B4-BE49-F238E27FC236}">
              <a16:creationId xmlns:a16="http://schemas.microsoft.com/office/drawing/2014/main" xmlns="" id="{00000000-0008-0000-0D00-00000F0C0000}"/>
            </a:ext>
          </a:extLst>
        </xdr:cNvPr>
        <xdr:cNvSpPr>
          <a:spLocks noChangeAspect="1" noChangeArrowheads="1"/>
        </xdr:cNvSpPr>
      </xdr:nvSpPr>
      <xdr:spPr bwMode="auto">
        <a:xfrm>
          <a:off x="0" y="53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xdr:row>
      <xdr:rowOff>0</xdr:rowOff>
    </xdr:from>
    <xdr:to>
      <xdr:col>0</xdr:col>
      <xdr:colOff>304800</xdr:colOff>
      <xdr:row>123</xdr:row>
      <xdr:rowOff>121920</xdr:rowOff>
    </xdr:to>
    <xdr:sp macro="" textlink="">
      <xdr:nvSpPr>
        <xdr:cNvPr id="3088" name="AutoShape 16" descr="San Jose Sharks">
          <a:extLst>
            <a:ext uri="{FF2B5EF4-FFF2-40B4-BE49-F238E27FC236}">
              <a16:creationId xmlns:a16="http://schemas.microsoft.com/office/drawing/2014/main" xmlns="" id="{00000000-0008-0000-0D00-0000100C0000}"/>
            </a:ext>
          </a:extLst>
        </xdr:cNvPr>
        <xdr:cNvSpPr>
          <a:spLocks noChangeAspect="1" noChangeArrowheads="1"/>
        </xdr:cNvSpPr>
      </xdr:nvSpPr>
      <xdr:spPr bwMode="auto">
        <a:xfrm>
          <a:off x="0" y="573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672</xdr:row>
      <xdr:rowOff>0</xdr:rowOff>
    </xdr:from>
    <xdr:to>
      <xdr:col>0</xdr:col>
      <xdr:colOff>304800</xdr:colOff>
      <xdr:row>673</xdr:row>
      <xdr:rowOff>121920</xdr:rowOff>
    </xdr:to>
    <xdr:sp macro="" textlink="">
      <xdr:nvSpPr>
        <xdr:cNvPr id="3089" name="AutoShape 17" descr="Pittsburgh Penguins">
          <a:extLst>
            <a:ext uri="{FF2B5EF4-FFF2-40B4-BE49-F238E27FC236}">
              <a16:creationId xmlns:a16="http://schemas.microsoft.com/office/drawing/2014/main" xmlns="" id="{00000000-0008-0000-0D00-0000110C0000}"/>
            </a:ext>
          </a:extLst>
        </xdr:cNvPr>
        <xdr:cNvSpPr>
          <a:spLocks noChangeAspect="1" noChangeArrowheads="1"/>
        </xdr:cNvSpPr>
      </xdr:nvSpPr>
      <xdr:spPr bwMode="auto">
        <a:xfrm>
          <a:off x="0" y="610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304800</xdr:colOff>
      <xdr:row>707</xdr:row>
      <xdr:rowOff>121920</xdr:rowOff>
    </xdr:to>
    <xdr:sp macro="" textlink="">
      <xdr:nvSpPr>
        <xdr:cNvPr id="3090" name="AutoShape 18" descr="Nashville Predators">
          <a:extLst>
            <a:ext uri="{FF2B5EF4-FFF2-40B4-BE49-F238E27FC236}">
              <a16:creationId xmlns:a16="http://schemas.microsoft.com/office/drawing/2014/main" xmlns="" id="{00000000-0008-0000-0D00-0000120C0000}"/>
            </a:ext>
          </a:extLst>
        </xdr:cNvPr>
        <xdr:cNvSpPr>
          <a:spLocks noChangeAspect="1" noChangeArrowheads="1"/>
        </xdr:cNvSpPr>
      </xdr:nvSpPr>
      <xdr:spPr bwMode="auto">
        <a:xfrm>
          <a:off x="0"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806</xdr:row>
      <xdr:rowOff>0</xdr:rowOff>
    </xdr:from>
    <xdr:to>
      <xdr:col>0</xdr:col>
      <xdr:colOff>304800</xdr:colOff>
      <xdr:row>807</xdr:row>
      <xdr:rowOff>121920</xdr:rowOff>
    </xdr:to>
    <xdr:sp macro="" textlink="">
      <xdr:nvSpPr>
        <xdr:cNvPr id="3091" name="AutoShape 19" descr="Tampa Bay Lightning">
          <a:extLst>
            <a:ext uri="{FF2B5EF4-FFF2-40B4-BE49-F238E27FC236}">
              <a16:creationId xmlns:a16="http://schemas.microsoft.com/office/drawing/2014/main" xmlns="" id="{00000000-0008-0000-0D00-0000130C0000}"/>
            </a:ext>
          </a:extLst>
        </xdr:cNvPr>
        <xdr:cNvSpPr>
          <a:spLocks noChangeAspect="1" noChangeArrowheads="1"/>
        </xdr:cNvSpPr>
      </xdr:nvSpPr>
      <xdr:spPr bwMode="auto">
        <a:xfrm>
          <a:off x="0" y="68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743</xdr:row>
      <xdr:rowOff>0</xdr:rowOff>
    </xdr:from>
    <xdr:to>
      <xdr:col>0</xdr:col>
      <xdr:colOff>304800</xdr:colOff>
      <xdr:row>744</xdr:row>
      <xdr:rowOff>121920</xdr:rowOff>
    </xdr:to>
    <xdr:sp macro="" textlink="">
      <xdr:nvSpPr>
        <xdr:cNvPr id="3092" name="AutoShape 20" descr="Montreal Canadiens">
          <a:extLst>
            <a:ext uri="{FF2B5EF4-FFF2-40B4-BE49-F238E27FC236}">
              <a16:creationId xmlns:a16="http://schemas.microsoft.com/office/drawing/2014/main" xmlns="" id="{00000000-0008-0000-0D00-0000140C0000}"/>
            </a:ext>
          </a:extLst>
        </xdr:cNvPr>
        <xdr:cNvSpPr>
          <a:spLocks noChangeAspect="1" noChangeArrowheads="1"/>
        </xdr:cNvSpPr>
      </xdr:nvSpPr>
      <xdr:spPr bwMode="auto">
        <a:xfrm>
          <a:off x="0" y="720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285</xdr:row>
      <xdr:rowOff>0</xdr:rowOff>
    </xdr:from>
    <xdr:to>
      <xdr:col>0</xdr:col>
      <xdr:colOff>304800</xdr:colOff>
      <xdr:row>286</xdr:row>
      <xdr:rowOff>121920</xdr:rowOff>
    </xdr:to>
    <xdr:sp macro="" textlink="">
      <xdr:nvSpPr>
        <xdr:cNvPr id="3093" name="AutoShape 21" descr="Washington Capitals">
          <a:extLst>
            <a:ext uri="{FF2B5EF4-FFF2-40B4-BE49-F238E27FC236}">
              <a16:creationId xmlns:a16="http://schemas.microsoft.com/office/drawing/2014/main" xmlns="" id="{00000000-0008-0000-0D00-0000150C0000}"/>
            </a:ext>
          </a:extLst>
        </xdr:cNvPr>
        <xdr:cNvSpPr>
          <a:spLocks noChangeAspect="1" noChangeArrowheads="1"/>
        </xdr:cNvSpPr>
      </xdr:nvSpPr>
      <xdr:spPr bwMode="auto">
        <a:xfrm>
          <a:off x="0" y="757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257</xdr:row>
      <xdr:rowOff>0</xdr:rowOff>
    </xdr:from>
    <xdr:to>
      <xdr:col>0</xdr:col>
      <xdr:colOff>304800</xdr:colOff>
      <xdr:row>258</xdr:row>
      <xdr:rowOff>121920</xdr:rowOff>
    </xdr:to>
    <xdr:sp macro="" textlink="">
      <xdr:nvSpPr>
        <xdr:cNvPr id="3094" name="AutoShape 22" descr="Winnipeg Jets">
          <a:extLst>
            <a:ext uri="{FF2B5EF4-FFF2-40B4-BE49-F238E27FC236}">
              <a16:creationId xmlns:a16="http://schemas.microsoft.com/office/drawing/2014/main" xmlns="" id="{00000000-0008-0000-0D00-0000160C0000}"/>
            </a:ext>
          </a:extLst>
        </xdr:cNvPr>
        <xdr:cNvSpPr>
          <a:spLocks noChangeAspect="1" noChangeArrowheads="1"/>
        </xdr:cNvSpPr>
      </xdr:nvSpPr>
      <xdr:spPr bwMode="auto">
        <a:xfrm>
          <a:off x="0" y="79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835</xdr:row>
      <xdr:rowOff>0</xdr:rowOff>
    </xdr:from>
    <xdr:to>
      <xdr:col>0</xdr:col>
      <xdr:colOff>304800</xdr:colOff>
      <xdr:row>836</xdr:row>
      <xdr:rowOff>121920</xdr:rowOff>
    </xdr:to>
    <xdr:sp macro="" textlink="">
      <xdr:nvSpPr>
        <xdr:cNvPr id="3095" name="AutoShape 23" descr="Minnesota Wild">
          <a:extLst>
            <a:ext uri="{FF2B5EF4-FFF2-40B4-BE49-F238E27FC236}">
              <a16:creationId xmlns:a16="http://schemas.microsoft.com/office/drawing/2014/main" xmlns="" id="{00000000-0008-0000-0D00-0000170C0000}"/>
            </a:ext>
          </a:extLst>
        </xdr:cNvPr>
        <xdr:cNvSpPr>
          <a:spLocks noChangeAspect="1" noChangeArrowheads="1"/>
        </xdr:cNvSpPr>
      </xdr:nvSpPr>
      <xdr:spPr bwMode="auto">
        <a:xfrm>
          <a:off x="0" y="83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716</xdr:row>
      <xdr:rowOff>0</xdr:rowOff>
    </xdr:from>
    <xdr:to>
      <xdr:col>0</xdr:col>
      <xdr:colOff>304800</xdr:colOff>
      <xdr:row>717</xdr:row>
      <xdr:rowOff>121920</xdr:rowOff>
    </xdr:to>
    <xdr:sp macro="" textlink="">
      <xdr:nvSpPr>
        <xdr:cNvPr id="3096" name="AutoShape 24" descr="Minnesota Wild">
          <a:extLst>
            <a:ext uri="{FF2B5EF4-FFF2-40B4-BE49-F238E27FC236}">
              <a16:creationId xmlns:a16="http://schemas.microsoft.com/office/drawing/2014/main" xmlns="" id="{00000000-0008-0000-0D00-0000180C0000}"/>
            </a:ext>
          </a:extLst>
        </xdr:cNvPr>
        <xdr:cNvSpPr>
          <a:spLocks noChangeAspect="1" noChangeArrowheads="1"/>
        </xdr:cNvSpPr>
      </xdr:nvSpPr>
      <xdr:spPr bwMode="auto">
        <a:xfrm>
          <a:off x="0" y="867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714</xdr:row>
      <xdr:rowOff>0</xdr:rowOff>
    </xdr:from>
    <xdr:to>
      <xdr:col>0</xdr:col>
      <xdr:colOff>304800</xdr:colOff>
      <xdr:row>715</xdr:row>
      <xdr:rowOff>121920</xdr:rowOff>
    </xdr:to>
    <xdr:sp macro="" textlink="">
      <xdr:nvSpPr>
        <xdr:cNvPr id="3097" name="AutoShape 25" descr="St Louis Blues">
          <a:extLst>
            <a:ext uri="{FF2B5EF4-FFF2-40B4-BE49-F238E27FC236}">
              <a16:creationId xmlns:a16="http://schemas.microsoft.com/office/drawing/2014/main" xmlns="" id="{00000000-0008-0000-0D00-0000190C0000}"/>
            </a:ext>
          </a:extLst>
        </xdr:cNvPr>
        <xdr:cNvSpPr>
          <a:spLocks noChangeAspect="1" noChangeArrowheads="1"/>
        </xdr:cNvSpPr>
      </xdr:nvSpPr>
      <xdr:spPr bwMode="auto">
        <a:xfrm>
          <a:off x="0" y="904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121920</xdr:rowOff>
    </xdr:to>
    <xdr:sp macro="" textlink="">
      <xdr:nvSpPr>
        <xdr:cNvPr id="3098" name="AutoShape 26" descr="Florida Panthers">
          <a:extLst>
            <a:ext uri="{FF2B5EF4-FFF2-40B4-BE49-F238E27FC236}">
              <a16:creationId xmlns:a16="http://schemas.microsoft.com/office/drawing/2014/main" xmlns="" id="{00000000-0008-0000-0D00-00001A0C0000}"/>
            </a:ext>
          </a:extLst>
        </xdr:cNvPr>
        <xdr:cNvSpPr>
          <a:spLocks noChangeAspect="1" noChangeArrowheads="1"/>
        </xdr:cNvSpPr>
      </xdr:nvSpPr>
      <xdr:spPr bwMode="auto">
        <a:xfrm>
          <a:off x="0" y="94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820</xdr:row>
      <xdr:rowOff>0</xdr:rowOff>
    </xdr:from>
    <xdr:to>
      <xdr:col>0</xdr:col>
      <xdr:colOff>304800</xdr:colOff>
      <xdr:row>821</xdr:row>
      <xdr:rowOff>121920</xdr:rowOff>
    </xdr:to>
    <xdr:sp macro="" textlink="">
      <xdr:nvSpPr>
        <xdr:cNvPr id="3099" name="AutoShape 27" descr="St Louis Blues">
          <a:extLst>
            <a:ext uri="{FF2B5EF4-FFF2-40B4-BE49-F238E27FC236}">
              <a16:creationId xmlns:a16="http://schemas.microsoft.com/office/drawing/2014/main" xmlns="" id="{00000000-0008-0000-0D00-00001B0C0000}"/>
            </a:ext>
          </a:extLst>
        </xdr:cNvPr>
        <xdr:cNvSpPr>
          <a:spLocks noChangeAspect="1" noChangeArrowheads="1"/>
        </xdr:cNvSpPr>
      </xdr:nvSpPr>
      <xdr:spPr bwMode="auto">
        <a:xfrm>
          <a:off x="0" y="97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370</xdr:row>
      <xdr:rowOff>0</xdr:rowOff>
    </xdr:from>
    <xdr:to>
      <xdr:col>0</xdr:col>
      <xdr:colOff>304800</xdr:colOff>
      <xdr:row>371</xdr:row>
      <xdr:rowOff>121920</xdr:rowOff>
    </xdr:to>
    <xdr:sp macro="" textlink="">
      <xdr:nvSpPr>
        <xdr:cNvPr id="3100" name="AutoShape 28" descr="Dallas Stars">
          <a:extLst>
            <a:ext uri="{FF2B5EF4-FFF2-40B4-BE49-F238E27FC236}">
              <a16:creationId xmlns:a16="http://schemas.microsoft.com/office/drawing/2014/main" xmlns="" id="{00000000-0008-0000-0D00-00001C0C0000}"/>
            </a:ext>
          </a:extLst>
        </xdr:cNvPr>
        <xdr:cNvSpPr>
          <a:spLocks noChangeAspect="1" noChangeArrowheads="1"/>
        </xdr:cNvSpPr>
      </xdr:nvSpPr>
      <xdr:spPr bwMode="auto">
        <a:xfrm>
          <a:off x="0" y="1014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737</xdr:row>
      <xdr:rowOff>0</xdr:rowOff>
    </xdr:from>
    <xdr:to>
      <xdr:col>0</xdr:col>
      <xdr:colOff>304800</xdr:colOff>
      <xdr:row>738</xdr:row>
      <xdr:rowOff>121920</xdr:rowOff>
    </xdr:to>
    <xdr:sp macro="" textlink="">
      <xdr:nvSpPr>
        <xdr:cNvPr id="3101" name="AutoShape 29" descr="Columbus Blue Jackets">
          <a:extLst>
            <a:ext uri="{FF2B5EF4-FFF2-40B4-BE49-F238E27FC236}">
              <a16:creationId xmlns:a16="http://schemas.microsoft.com/office/drawing/2014/main" xmlns="" id="{00000000-0008-0000-0D00-00001D0C0000}"/>
            </a:ext>
          </a:extLst>
        </xdr:cNvPr>
        <xdr:cNvSpPr>
          <a:spLocks noChangeAspect="1" noChangeArrowheads="1"/>
        </xdr:cNvSpPr>
      </xdr:nvSpPr>
      <xdr:spPr bwMode="auto">
        <a:xfrm>
          <a:off x="0" y="1051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121920</xdr:rowOff>
    </xdr:to>
    <xdr:sp macro="" textlink="">
      <xdr:nvSpPr>
        <xdr:cNvPr id="3102" name="AutoShape 30" descr="Ottawa Senators">
          <a:extLst>
            <a:ext uri="{FF2B5EF4-FFF2-40B4-BE49-F238E27FC236}">
              <a16:creationId xmlns:a16="http://schemas.microsoft.com/office/drawing/2014/main" xmlns="" id="{00000000-0008-0000-0D00-00001E0C0000}"/>
            </a:ext>
          </a:extLst>
        </xdr:cNvPr>
        <xdr:cNvSpPr>
          <a:spLocks noChangeAspect="1" noChangeArrowheads="1"/>
        </xdr:cNvSpPr>
      </xdr:nvSpPr>
      <xdr:spPr bwMode="auto">
        <a:xfrm>
          <a:off x="0" y="1088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478</xdr:row>
      <xdr:rowOff>0</xdr:rowOff>
    </xdr:from>
    <xdr:to>
      <xdr:col>0</xdr:col>
      <xdr:colOff>304800</xdr:colOff>
      <xdr:row>479</xdr:row>
      <xdr:rowOff>121920</xdr:rowOff>
    </xdr:to>
    <xdr:sp macro="" textlink="">
      <xdr:nvSpPr>
        <xdr:cNvPr id="3103" name="AutoShape 31" descr="Pittsburgh Penguins">
          <a:extLst>
            <a:ext uri="{FF2B5EF4-FFF2-40B4-BE49-F238E27FC236}">
              <a16:creationId xmlns:a16="http://schemas.microsoft.com/office/drawing/2014/main" xmlns="" id="{00000000-0008-0000-0D00-00001F0C0000}"/>
            </a:ext>
          </a:extLst>
        </xdr:cNvPr>
        <xdr:cNvSpPr>
          <a:spLocks noChangeAspect="1" noChangeArrowheads="1"/>
        </xdr:cNvSpPr>
      </xdr:nvSpPr>
      <xdr:spPr bwMode="auto">
        <a:xfrm>
          <a:off x="0" y="1126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223</xdr:row>
      <xdr:rowOff>0</xdr:rowOff>
    </xdr:from>
    <xdr:to>
      <xdr:col>0</xdr:col>
      <xdr:colOff>304800</xdr:colOff>
      <xdr:row>224</xdr:row>
      <xdr:rowOff>121920</xdr:rowOff>
    </xdr:to>
    <xdr:sp macro="" textlink="">
      <xdr:nvSpPr>
        <xdr:cNvPr id="3104" name="AutoShape 32" descr="Boston Bruins">
          <a:extLst>
            <a:ext uri="{FF2B5EF4-FFF2-40B4-BE49-F238E27FC236}">
              <a16:creationId xmlns:a16="http://schemas.microsoft.com/office/drawing/2014/main" xmlns="" id="{00000000-0008-0000-0D00-0000200C0000}"/>
            </a:ext>
          </a:extLst>
        </xdr:cNvPr>
        <xdr:cNvSpPr>
          <a:spLocks noChangeAspect="1" noChangeArrowheads="1"/>
        </xdr:cNvSpPr>
      </xdr:nvSpPr>
      <xdr:spPr bwMode="auto">
        <a:xfrm>
          <a:off x="0" y="1163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791</xdr:row>
      <xdr:rowOff>0</xdr:rowOff>
    </xdr:from>
    <xdr:to>
      <xdr:col>0</xdr:col>
      <xdr:colOff>304800</xdr:colOff>
      <xdr:row>792</xdr:row>
      <xdr:rowOff>121920</xdr:rowOff>
    </xdr:to>
    <xdr:sp macro="" textlink="">
      <xdr:nvSpPr>
        <xdr:cNvPr id="3105" name="AutoShape 33" descr="Boston Bruins">
          <a:extLst>
            <a:ext uri="{FF2B5EF4-FFF2-40B4-BE49-F238E27FC236}">
              <a16:creationId xmlns:a16="http://schemas.microsoft.com/office/drawing/2014/main" xmlns="" id="{00000000-0008-0000-0D00-0000210C0000}"/>
            </a:ext>
          </a:extLst>
        </xdr:cNvPr>
        <xdr:cNvSpPr>
          <a:spLocks noChangeAspect="1" noChangeArrowheads="1"/>
        </xdr:cNvSpPr>
      </xdr:nvSpPr>
      <xdr:spPr bwMode="auto">
        <a:xfrm>
          <a:off x="0" y="1200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242</xdr:row>
      <xdr:rowOff>0</xdr:rowOff>
    </xdr:from>
    <xdr:to>
      <xdr:col>0</xdr:col>
      <xdr:colOff>304800</xdr:colOff>
      <xdr:row>243</xdr:row>
      <xdr:rowOff>121920</xdr:rowOff>
    </xdr:to>
    <xdr:sp macro="" textlink="">
      <xdr:nvSpPr>
        <xdr:cNvPr id="3106" name="AutoShape 34" descr="Los Angeles Kings">
          <a:extLst>
            <a:ext uri="{FF2B5EF4-FFF2-40B4-BE49-F238E27FC236}">
              <a16:creationId xmlns:a16="http://schemas.microsoft.com/office/drawing/2014/main" xmlns="" id="{00000000-0008-0000-0D00-0000220C0000}"/>
            </a:ext>
          </a:extLst>
        </xdr:cNvPr>
        <xdr:cNvSpPr>
          <a:spLocks noChangeAspect="1" noChangeArrowheads="1"/>
        </xdr:cNvSpPr>
      </xdr:nvSpPr>
      <xdr:spPr bwMode="auto">
        <a:xfrm>
          <a:off x="0" y="1238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667</xdr:row>
      <xdr:rowOff>0</xdr:rowOff>
    </xdr:from>
    <xdr:to>
      <xdr:col>0</xdr:col>
      <xdr:colOff>304800</xdr:colOff>
      <xdr:row>668</xdr:row>
      <xdr:rowOff>121920</xdr:rowOff>
    </xdr:to>
    <xdr:sp macro="" textlink="">
      <xdr:nvSpPr>
        <xdr:cNvPr id="3107" name="AutoShape 35" descr="Nashville Predators">
          <a:extLst>
            <a:ext uri="{FF2B5EF4-FFF2-40B4-BE49-F238E27FC236}">
              <a16:creationId xmlns:a16="http://schemas.microsoft.com/office/drawing/2014/main" xmlns="" id="{00000000-0008-0000-0D00-0000230C0000}"/>
            </a:ext>
          </a:extLst>
        </xdr:cNvPr>
        <xdr:cNvSpPr>
          <a:spLocks noChangeAspect="1" noChangeArrowheads="1"/>
        </xdr:cNvSpPr>
      </xdr:nvSpPr>
      <xdr:spPr bwMode="auto">
        <a:xfrm>
          <a:off x="0" y="1275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253</xdr:row>
      <xdr:rowOff>0</xdr:rowOff>
    </xdr:from>
    <xdr:to>
      <xdr:col>0</xdr:col>
      <xdr:colOff>304800</xdr:colOff>
      <xdr:row>254</xdr:row>
      <xdr:rowOff>121920</xdr:rowOff>
    </xdr:to>
    <xdr:sp macro="" textlink="">
      <xdr:nvSpPr>
        <xdr:cNvPr id="3108" name="AutoShape 36" descr="Los Angeles Kings">
          <a:extLst>
            <a:ext uri="{FF2B5EF4-FFF2-40B4-BE49-F238E27FC236}">
              <a16:creationId xmlns:a16="http://schemas.microsoft.com/office/drawing/2014/main" xmlns="" id="{00000000-0008-0000-0D00-0000240C0000}"/>
            </a:ext>
          </a:extLst>
        </xdr:cNvPr>
        <xdr:cNvSpPr>
          <a:spLocks noChangeAspect="1" noChangeArrowheads="1"/>
        </xdr:cNvSpPr>
      </xdr:nvSpPr>
      <xdr:spPr bwMode="auto">
        <a:xfrm>
          <a:off x="0" y="131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655</xdr:row>
      <xdr:rowOff>0</xdr:rowOff>
    </xdr:from>
    <xdr:to>
      <xdr:col>0</xdr:col>
      <xdr:colOff>304800</xdr:colOff>
      <xdr:row>656</xdr:row>
      <xdr:rowOff>121920</xdr:rowOff>
    </xdr:to>
    <xdr:sp macro="" textlink="">
      <xdr:nvSpPr>
        <xdr:cNvPr id="3109" name="AutoShape 37" descr="Boston Bruins">
          <a:extLst>
            <a:ext uri="{FF2B5EF4-FFF2-40B4-BE49-F238E27FC236}">
              <a16:creationId xmlns:a16="http://schemas.microsoft.com/office/drawing/2014/main" xmlns="" id="{00000000-0008-0000-0D00-0000250C0000}"/>
            </a:ext>
          </a:extLst>
        </xdr:cNvPr>
        <xdr:cNvSpPr>
          <a:spLocks noChangeAspect="1" noChangeArrowheads="1"/>
        </xdr:cNvSpPr>
      </xdr:nvSpPr>
      <xdr:spPr bwMode="auto">
        <a:xfrm>
          <a:off x="0" y="135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123</xdr:row>
      <xdr:rowOff>0</xdr:rowOff>
    </xdr:from>
    <xdr:to>
      <xdr:col>0</xdr:col>
      <xdr:colOff>304800</xdr:colOff>
      <xdr:row>124</xdr:row>
      <xdr:rowOff>121920</xdr:rowOff>
    </xdr:to>
    <xdr:sp macro="" textlink="">
      <xdr:nvSpPr>
        <xdr:cNvPr id="3110" name="AutoShape 38" descr="Chicago Blackhawks">
          <a:extLst>
            <a:ext uri="{FF2B5EF4-FFF2-40B4-BE49-F238E27FC236}">
              <a16:creationId xmlns:a16="http://schemas.microsoft.com/office/drawing/2014/main" xmlns="" id="{00000000-0008-0000-0D00-0000260C0000}"/>
            </a:ext>
          </a:extLst>
        </xdr:cNvPr>
        <xdr:cNvSpPr>
          <a:spLocks noChangeAspect="1" noChangeArrowheads="1"/>
        </xdr:cNvSpPr>
      </xdr:nvSpPr>
      <xdr:spPr bwMode="auto">
        <a:xfrm>
          <a:off x="0" y="138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707</xdr:row>
      <xdr:rowOff>0</xdr:rowOff>
    </xdr:from>
    <xdr:to>
      <xdr:col>0</xdr:col>
      <xdr:colOff>304800</xdr:colOff>
      <xdr:row>708</xdr:row>
      <xdr:rowOff>121920</xdr:rowOff>
    </xdr:to>
    <xdr:sp macro="" textlink="">
      <xdr:nvSpPr>
        <xdr:cNvPr id="3111" name="AutoShape 39" descr="Anaheim Ducks">
          <a:extLst>
            <a:ext uri="{FF2B5EF4-FFF2-40B4-BE49-F238E27FC236}">
              <a16:creationId xmlns:a16="http://schemas.microsoft.com/office/drawing/2014/main" xmlns="" id="{00000000-0008-0000-0D00-0000270C0000}"/>
            </a:ext>
          </a:extLst>
        </xdr:cNvPr>
        <xdr:cNvSpPr>
          <a:spLocks noChangeAspect="1" noChangeArrowheads="1"/>
        </xdr:cNvSpPr>
      </xdr:nvSpPr>
      <xdr:spPr bwMode="auto">
        <a:xfrm>
          <a:off x="0" y="142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525</xdr:row>
      <xdr:rowOff>0</xdr:rowOff>
    </xdr:from>
    <xdr:to>
      <xdr:col>0</xdr:col>
      <xdr:colOff>304800</xdr:colOff>
      <xdr:row>526</xdr:row>
      <xdr:rowOff>121920</xdr:rowOff>
    </xdr:to>
    <xdr:sp macro="" textlink="">
      <xdr:nvSpPr>
        <xdr:cNvPr id="3112" name="AutoShape 40" descr="Calgary Flames">
          <a:extLst>
            <a:ext uri="{FF2B5EF4-FFF2-40B4-BE49-F238E27FC236}">
              <a16:creationId xmlns:a16="http://schemas.microsoft.com/office/drawing/2014/main" xmlns="" id="{00000000-0008-0000-0D00-0000280C0000}"/>
            </a:ext>
          </a:extLst>
        </xdr:cNvPr>
        <xdr:cNvSpPr>
          <a:spLocks noChangeAspect="1" noChangeArrowheads="1"/>
        </xdr:cNvSpPr>
      </xdr:nvSpPr>
      <xdr:spPr bwMode="auto">
        <a:xfrm>
          <a:off x="0" y="1461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401</xdr:row>
      <xdr:rowOff>0</xdr:rowOff>
    </xdr:from>
    <xdr:to>
      <xdr:col>0</xdr:col>
      <xdr:colOff>304800</xdr:colOff>
      <xdr:row>402</xdr:row>
      <xdr:rowOff>121920</xdr:rowOff>
    </xdr:to>
    <xdr:sp macro="" textlink="">
      <xdr:nvSpPr>
        <xdr:cNvPr id="3113" name="AutoShape 41" descr="Calgary Flames">
          <a:extLst>
            <a:ext uri="{FF2B5EF4-FFF2-40B4-BE49-F238E27FC236}">
              <a16:creationId xmlns:a16="http://schemas.microsoft.com/office/drawing/2014/main" xmlns="" id="{00000000-0008-0000-0D00-0000290C0000}"/>
            </a:ext>
          </a:extLst>
        </xdr:cNvPr>
        <xdr:cNvSpPr>
          <a:spLocks noChangeAspect="1" noChangeArrowheads="1"/>
        </xdr:cNvSpPr>
      </xdr:nvSpPr>
      <xdr:spPr bwMode="auto">
        <a:xfrm>
          <a:off x="0" y="1498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623</xdr:row>
      <xdr:rowOff>0</xdr:rowOff>
    </xdr:from>
    <xdr:to>
      <xdr:col>0</xdr:col>
      <xdr:colOff>304800</xdr:colOff>
      <xdr:row>624</xdr:row>
      <xdr:rowOff>121920</xdr:rowOff>
    </xdr:to>
    <xdr:sp macro="" textlink="">
      <xdr:nvSpPr>
        <xdr:cNvPr id="3114" name="AutoShape 42" descr="Washington Capitals">
          <a:extLst>
            <a:ext uri="{FF2B5EF4-FFF2-40B4-BE49-F238E27FC236}">
              <a16:creationId xmlns:a16="http://schemas.microsoft.com/office/drawing/2014/main" xmlns="" id="{00000000-0008-0000-0D00-00002A0C0000}"/>
            </a:ext>
          </a:extLst>
        </xdr:cNvPr>
        <xdr:cNvSpPr>
          <a:spLocks noChangeAspect="1" noChangeArrowheads="1"/>
        </xdr:cNvSpPr>
      </xdr:nvSpPr>
      <xdr:spPr bwMode="auto">
        <a:xfrm>
          <a:off x="0" y="1536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224</xdr:row>
      <xdr:rowOff>0</xdr:rowOff>
    </xdr:from>
    <xdr:to>
      <xdr:col>0</xdr:col>
      <xdr:colOff>304800</xdr:colOff>
      <xdr:row>225</xdr:row>
      <xdr:rowOff>121920</xdr:rowOff>
    </xdr:to>
    <xdr:sp macro="" textlink="">
      <xdr:nvSpPr>
        <xdr:cNvPr id="3115" name="AutoShape 43" descr="Boston Bruins">
          <a:extLst>
            <a:ext uri="{FF2B5EF4-FFF2-40B4-BE49-F238E27FC236}">
              <a16:creationId xmlns:a16="http://schemas.microsoft.com/office/drawing/2014/main" xmlns="" id="{00000000-0008-0000-0D00-00002B0C0000}"/>
            </a:ext>
          </a:extLst>
        </xdr:cNvPr>
        <xdr:cNvSpPr>
          <a:spLocks noChangeAspect="1" noChangeArrowheads="1"/>
        </xdr:cNvSpPr>
      </xdr:nvSpPr>
      <xdr:spPr bwMode="auto">
        <a:xfrm>
          <a:off x="0" y="1573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471</xdr:row>
      <xdr:rowOff>0</xdr:rowOff>
    </xdr:from>
    <xdr:to>
      <xdr:col>0</xdr:col>
      <xdr:colOff>304800</xdr:colOff>
      <xdr:row>472</xdr:row>
      <xdr:rowOff>121920</xdr:rowOff>
    </xdr:to>
    <xdr:sp macro="" textlink="">
      <xdr:nvSpPr>
        <xdr:cNvPr id="3116" name="AutoShape 44" descr="New York Rangers">
          <a:extLst>
            <a:ext uri="{FF2B5EF4-FFF2-40B4-BE49-F238E27FC236}">
              <a16:creationId xmlns:a16="http://schemas.microsoft.com/office/drawing/2014/main" xmlns="" id="{00000000-0008-0000-0D00-00002C0C0000}"/>
            </a:ext>
          </a:extLst>
        </xdr:cNvPr>
        <xdr:cNvSpPr>
          <a:spLocks noChangeAspect="1" noChangeArrowheads="1"/>
        </xdr:cNvSpPr>
      </xdr:nvSpPr>
      <xdr:spPr bwMode="auto">
        <a:xfrm>
          <a:off x="0" y="1610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xdr:row>
      <xdr:rowOff>0</xdr:rowOff>
    </xdr:from>
    <xdr:to>
      <xdr:col>0</xdr:col>
      <xdr:colOff>304800</xdr:colOff>
      <xdr:row>31</xdr:row>
      <xdr:rowOff>121920</xdr:rowOff>
    </xdr:to>
    <xdr:sp macro="" textlink="">
      <xdr:nvSpPr>
        <xdr:cNvPr id="3117" name="AutoShape 45" descr="St Louis Blues">
          <a:extLst>
            <a:ext uri="{FF2B5EF4-FFF2-40B4-BE49-F238E27FC236}">
              <a16:creationId xmlns:a16="http://schemas.microsoft.com/office/drawing/2014/main" xmlns="" id="{00000000-0008-0000-0D00-00002D0C0000}"/>
            </a:ext>
          </a:extLst>
        </xdr:cNvPr>
        <xdr:cNvSpPr>
          <a:spLocks noChangeAspect="1" noChangeArrowheads="1"/>
        </xdr:cNvSpPr>
      </xdr:nvSpPr>
      <xdr:spPr bwMode="auto">
        <a:xfrm>
          <a:off x="0" y="1647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236</xdr:row>
      <xdr:rowOff>0</xdr:rowOff>
    </xdr:from>
    <xdr:to>
      <xdr:col>0</xdr:col>
      <xdr:colOff>304800</xdr:colOff>
      <xdr:row>237</xdr:row>
      <xdr:rowOff>121920</xdr:rowOff>
    </xdr:to>
    <xdr:sp macro="" textlink="">
      <xdr:nvSpPr>
        <xdr:cNvPr id="3118" name="AutoShape 46" descr="Arizona Coyotes">
          <a:extLst>
            <a:ext uri="{FF2B5EF4-FFF2-40B4-BE49-F238E27FC236}">
              <a16:creationId xmlns:a16="http://schemas.microsoft.com/office/drawing/2014/main" xmlns="" id="{00000000-0008-0000-0D00-00002E0C0000}"/>
            </a:ext>
          </a:extLst>
        </xdr:cNvPr>
        <xdr:cNvSpPr>
          <a:spLocks noChangeAspect="1" noChangeArrowheads="1"/>
        </xdr:cNvSpPr>
      </xdr:nvSpPr>
      <xdr:spPr bwMode="auto">
        <a:xfrm>
          <a:off x="0" y="168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277</xdr:row>
      <xdr:rowOff>0</xdr:rowOff>
    </xdr:from>
    <xdr:to>
      <xdr:col>0</xdr:col>
      <xdr:colOff>304800</xdr:colOff>
      <xdr:row>278</xdr:row>
      <xdr:rowOff>121920</xdr:rowOff>
    </xdr:to>
    <xdr:sp macro="" textlink="">
      <xdr:nvSpPr>
        <xdr:cNvPr id="3119" name="AutoShape 47" descr="Ottawa Senators">
          <a:extLst>
            <a:ext uri="{FF2B5EF4-FFF2-40B4-BE49-F238E27FC236}">
              <a16:creationId xmlns:a16="http://schemas.microsoft.com/office/drawing/2014/main" xmlns="" id="{00000000-0008-0000-0D00-00002F0C0000}"/>
            </a:ext>
          </a:extLst>
        </xdr:cNvPr>
        <xdr:cNvSpPr>
          <a:spLocks noChangeAspect="1" noChangeArrowheads="1"/>
        </xdr:cNvSpPr>
      </xdr:nvSpPr>
      <xdr:spPr bwMode="auto">
        <a:xfrm>
          <a:off x="0" y="172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733</xdr:row>
      <xdr:rowOff>0</xdr:rowOff>
    </xdr:from>
    <xdr:to>
      <xdr:col>0</xdr:col>
      <xdr:colOff>304800</xdr:colOff>
      <xdr:row>734</xdr:row>
      <xdr:rowOff>121920</xdr:rowOff>
    </xdr:to>
    <xdr:sp macro="" textlink="">
      <xdr:nvSpPr>
        <xdr:cNvPr id="3120" name="AutoShape 48" descr="Calgary Flames">
          <a:extLst>
            <a:ext uri="{FF2B5EF4-FFF2-40B4-BE49-F238E27FC236}">
              <a16:creationId xmlns:a16="http://schemas.microsoft.com/office/drawing/2014/main" xmlns="" id="{00000000-0008-0000-0D00-0000300C0000}"/>
            </a:ext>
          </a:extLst>
        </xdr:cNvPr>
        <xdr:cNvSpPr>
          <a:spLocks noChangeAspect="1" noChangeArrowheads="1"/>
        </xdr:cNvSpPr>
      </xdr:nvSpPr>
      <xdr:spPr bwMode="auto">
        <a:xfrm>
          <a:off x="0" y="175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466</xdr:row>
      <xdr:rowOff>0</xdr:rowOff>
    </xdr:from>
    <xdr:to>
      <xdr:col>0</xdr:col>
      <xdr:colOff>304800</xdr:colOff>
      <xdr:row>467</xdr:row>
      <xdr:rowOff>121920</xdr:rowOff>
    </xdr:to>
    <xdr:sp macro="" textlink="">
      <xdr:nvSpPr>
        <xdr:cNvPr id="3121" name="AutoShape 49" descr="Florida Panthers">
          <a:extLst>
            <a:ext uri="{FF2B5EF4-FFF2-40B4-BE49-F238E27FC236}">
              <a16:creationId xmlns:a16="http://schemas.microsoft.com/office/drawing/2014/main" xmlns="" id="{00000000-0008-0000-0D00-0000310C0000}"/>
            </a:ext>
          </a:extLst>
        </xdr:cNvPr>
        <xdr:cNvSpPr>
          <a:spLocks noChangeAspect="1" noChangeArrowheads="1"/>
        </xdr:cNvSpPr>
      </xdr:nvSpPr>
      <xdr:spPr bwMode="auto">
        <a:xfrm>
          <a:off x="0" y="179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304800</xdr:colOff>
      <xdr:row>606</xdr:row>
      <xdr:rowOff>121920</xdr:rowOff>
    </xdr:to>
    <xdr:sp macro="" textlink="">
      <xdr:nvSpPr>
        <xdr:cNvPr id="3122" name="AutoShape 50" descr="Colorado Avalanche">
          <a:extLst>
            <a:ext uri="{FF2B5EF4-FFF2-40B4-BE49-F238E27FC236}">
              <a16:creationId xmlns:a16="http://schemas.microsoft.com/office/drawing/2014/main" xmlns="" id="{00000000-0008-0000-0D00-0000320C0000}"/>
            </a:ext>
          </a:extLst>
        </xdr:cNvPr>
        <xdr:cNvSpPr>
          <a:spLocks noChangeAspect="1" noChangeArrowheads="1"/>
        </xdr:cNvSpPr>
      </xdr:nvSpPr>
      <xdr:spPr bwMode="auto">
        <a:xfrm>
          <a:off x="0" y="183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658</xdr:row>
      <xdr:rowOff>0</xdr:rowOff>
    </xdr:from>
    <xdr:to>
      <xdr:col>0</xdr:col>
      <xdr:colOff>304800</xdr:colOff>
      <xdr:row>659</xdr:row>
      <xdr:rowOff>121920</xdr:rowOff>
    </xdr:to>
    <xdr:sp macro="" textlink="">
      <xdr:nvSpPr>
        <xdr:cNvPr id="3123" name="AutoShape 51" descr="Toronto Maple Leafs">
          <a:extLst>
            <a:ext uri="{FF2B5EF4-FFF2-40B4-BE49-F238E27FC236}">
              <a16:creationId xmlns:a16="http://schemas.microsoft.com/office/drawing/2014/main" xmlns="" id="{00000000-0008-0000-0D00-0000330C0000}"/>
            </a:ext>
          </a:extLst>
        </xdr:cNvPr>
        <xdr:cNvSpPr>
          <a:spLocks noChangeAspect="1" noChangeArrowheads="1"/>
        </xdr:cNvSpPr>
      </xdr:nvSpPr>
      <xdr:spPr bwMode="auto">
        <a:xfrm>
          <a:off x="0" y="186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xdr:row>
      <xdr:rowOff>0</xdr:rowOff>
    </xdr:from>
    <xdr:to>
      <xdr:col>0</xdr:col>
      <xdr:colOff>304800</xdr:colOff>
      <xdr:row>39</xdr:row>
      <xdr:rowOff>121920</xdr:rowOff>
    </xdr:to>
    <xdr:sp macro="" textlink="">
      <xdr:nvSpPr>
        <xdr:cNvPr id="3124" name="AutoShape 52" descr="Dallas Stars">
          <a:extLst>
            <a:ext uri="{FF2B5EF4-FFF2-40B4-BE49-F238E27FC236}">
              <a16:creationId xmlns:a16="http://schemas.microsoft.com/office/drawing/2014/main" xmlns="" id="{00000000-0008-0000-0D00-0000340C0000}"/>
            </a:ext>
          </a:extLst>
        </xdr:cNvPr>
        <xdr:cNvSpPr>
          <a:spLocks noChangeAspect="1" noChangeArrowheads="1"/>
        </xdr:cNvSpPr>
      </xdr:nvSpPr>
      <xdr:spPr bwMode="auto">
        <a:xfrm>
          <a:off x="0" y="19065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527</xdr:row>
      <xdr:rowOff>0</xdr:rowOff>
    </xdr:from>
    <xdr:to>
      <xdr:col>0</xdr:col>
      <xdr:colOff>304800</xdr:colOff>
      <xdr:row>528</xdr:row>
      <xdr:rowOff>121920</xdr:rowOff>
    </xdr:to>
    <xdr:sp macro="" textlink="">
      <xdr:nvSpPr>
        <xdr:cNvPr id="3125" name="AutoShape 53" descr="Winnipeg Jets">
          <a:extLst>
            <a:ext uri="{FF2B5EF4-FFF2-40B4-BE49-F238E27FC236}">
              <a16:creationId xmlns:a16="http://schemas.microsoft.com/office/drawing/2014/main" xmlns="" id="{00000000-0008-0000-0D00-0000350C0000}"/>
            </a:ext>
          </a:extLst>
        </xdr:cNvPr>
        <xdr:cNvSpPr>
          <a:spLocks noChangeAspect="1" noChangeArrowheads="1"/>
        </xdr:cNvSpPr>
      </xdr:nvSpPr>
      <xdr:spPr bwMode="auto">
        <a:xfrm>
          <a:off x="0" y="19438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101</xdr:row>
      <xdr:rowOff>0</xdr:rowOff>
    </xdr:from>
    <xdr:to>
      <xdr:col>0</xdr:col>
      <xdr:colOff>304800</xdr:colOff>
      <xdr:row>102</xdr:row>
      <xdr:rowOff>121920</xdr:rowOff>
    </xdr:to>
    <xdr:sp macro="" textlink="">
      <xdr:nvSpPr>
        <xdr:cNvPr id="3126" name="AutoShape 54" descr="Boston Bruins">
          <a:extLst>
            <a:ext uri="{FF2B5EF4-FFF2-40B4-BE49-F238E27FC236}">
              <a16:creationId xmlns:a16="http://schemas.microsoft.com/office/drawing/2014/main" xmlns="" id="{00000000-0008-0000-0D00-0000360C0000}"/>
            </a:ext>
          </a:extLst>
        </xdr:cNvPr>
        <xdr:cNvSpPr>
          <a:spLocks noChangeAspect="1" noChangeArrowheads="1"/>
        </xdr:cNvSpPr>
      </xdr:nvSpPr>
      <xdr:spPr bwMode="auto">
        <a:xfrm>
          <a:off x="0" y="1980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121920</xdr:rowOff>
    </xdr:to>
    <xdr:sp macro="" textlink="">
      <xdr:nvSpPr>
        <xdr:cNvPr id="3127" name="AutoShape 55" descr="Washington Capitals">
          <a:extLst>
            <a:ext uri="{FF2B5EF4-FFF2-40B4-BE49-F238E27FC236}">
              <a16:creationId xmlns:a16="http://schemas.microsoft.com/office/drawing/2014/main" xmlns="" id="{00000000-0008-0000-0D00-0000370C0000}"/>
            </a:ext>
          </a:extLst>
        </xdr:cNvPr>
        <xdr:cNvSpPr>
          <a:spLocks noChangeAspect="1" noChangeArrowheads="1"/>
        </xdr:cNvSpPr>
      </xdr:nvSpPr>
      <xdr:spPr bwMode="auto">
        <a:xfrm>
          <a:off x="0" y="2017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326</xdr:row>
      <xdr:rowOff>0</xdr:rowOff>
    </xdr:from>
    <xdr:to>
      <xdr:col>0</xdr:col>
      <xdr:colOff>304800</xdr:colOff>
      <xdr:row>327</xdr:row>
      <xdr:rowOff>121920</xdr:rowOff>
    </xdr:to>
    <xdr:sp macro="" textlink="">
      <xdr:nvSpPr>
        <xdr:cNvPr id="3128" name="AutoShape 56" descr="Detroit Red Wings">
          <a:extLst>
            <a:ext uri="{FF2B5EF4-FFF2-40B4-BE49-F238E27FC236}">
              <a16:creationId xmlns:a16="http://schemas.microsoft.com/office/drawing/2014/main" xmlns="" id="{00000000-0008-0000-0D00-0000380C0000}"/>
            </a:ext>
          </a:extLst>
        </xdr:cNvPr>
        <xdr:cNvSpPr>
          <a:spLocks noChangeAspect="1" noChangeArrowheads="1"/>
        </xdr:cNvSpPr>
      </xdr:nvSpPr>
      <xdr:spPr bwMode="auto">
        <a:xfrm>
          <a:off x="0" y="2054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425</xdr:row>
      <xdr:rowOff>0</xdr:rowOff>
    </xdr:from>
    <xdr:to>
      <xdr:col>0</xdr:col>
      <xdr:colOff>304800</xdr:colOff>
      <xdr:row>426</xdr:row>
      <xdr:rowOff>121920</xdr:rowOff>
    </xdr:to>
    <xdr:sp macro="" textlink="">
      <xdr:nvSpPr>
        <xdr:cNvPr id="3129" name="AutoShape 57" descr="Carolina Hurricanes">
          <a:extLst>
            <a:ext uri="{FF2B5EF4-FFF2-40B4-BE49-F238E27FC236}">
              <a16:creationId xmlns:a16="http://schemas.microsoft.com/office/drawing/2014/main" xmlns="" id="{00000000-0008-0000-0D00-0000390C0000}"/>
            </a:ext>
          </a:extLst>
        </xdr:cNvPr>
        <xdr:cNvSpPr>
          <a:spLocks noChangeAspect="1" noChangeArrowheads="1"/>
        </xdr:cNvSpPr>
      </xdr:nvSpPr>
      <xdr:spPr bwMode="auto">
        <a:xfrm>
          <a:off x="0" y="2091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108</xdr:row>
      <xdr:rowOff>0</xdr:rowOff>
    </xdr:from>
    <xdr:to>
      <xdr:col>0</xdr:col>
      <xdr:colOff>304800</xdr:colOff>
      <xdr:row>109</xdr:row>
      <xdr:rowOff>121920</xdr:rowOff>
    </xdr:to>
    <xdr:sp macro="" textlink="">
      <xdr:nvSpPr>
        <xdr:cNvPr id="3130" name="AutoShape 58" descr="Chicago Blackhawks">
          <a:extLst>
            <a:ext uri="{FF2B5EF4-FFF2-40B4-BE49-F238E27FC236}">
              <a16:creationId xmlns:a16="http://schemas.microsoft.com/office/drawing/2014/main" xmlns="" id="{00000000-0008-0000-0D00-00003A0C0000}"/>
            </a:ext>
          </a:extLst>
        </xdr:cNvPr>
        <xdr:cNvSpPr>
          <a:spLocks noChangeAspect="1" noChangeArrowheads="1"/>
        </xdr:cNvSpPr>
      </xdr:nvSpPr>
      <xdr:spPr bwMode="auto">
        <a:xfrm>
          <a:off x="0" y="2128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498</xdr:row>
      <xdr:rowOff>0</xdr:rowOff>
    </xdr:from>
    <xdr:to>
      <xdr:col>0</xdr:col>
      <xdr:colOff>304800</xdr:colOff>
      <xdr:row>499</xdr:row>
      <xdr:rowOff>121920</xdr:rowOff>
    </xdr:to>
    <xdr:sp macro="" textlink="">
      <xdr:nvSpPr>
        <xdr:cNvPr id="3131" name="AutoShape 59" descr="Vancouver Canucks">
          <a:extLst>
            <a:ext uri="{FF2B5EF4-FFF2-40B4-BE49-F238E27FC236}">
              <a16:creationId xmlns:a16="http://schemas.microsoft.com/office/drawing/2014/main" xmlns="" id="{00000000-0008-0000-0D00-00003B0C0000}"/>
            </a:ext>
          </a:extLst>
        </xdr:cNvPr>
        <xdr:cNvSpPr>
          <a:spLocks noChangeAspect="1" noChangeArrowheads="1"/>
        </xdr:cNvSpPr>
      </xdr:nvSpPr>
      <xdr:spPr bwMode="auto">
        <a:xfrm>
          <a:off x="0" y="2165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xdr:row>
      <xdr:rowOff>0</xdr:rowOff>
    </xdr:from>
    <xdr:to>
      <xdr:col>0</xdr:col>
      <xdr:colOff>304800</xdr:colOff>
      <xdr:row>77</xdr:row>
      <xdr:rowOff>121920</xdr:rowOff>
    </xdr:to>
    <xdr:sp macro="" textlink="">
      <xdr:nvSpPr>
        <xdr:cNvPr id="3132" name="AutoShape 60" descr="Columbus Blue Jackets">
          <a:extLst>
            <a:ext uri="{FF2B5EF4-FFF2-40B4-BE49-F238E27FC236}">
              <a16:creationId xmlns:a16="http://schemas.microsoft.com/office/drawing/2014/main" xmlns="" id="{00000000-0008-0000-0D00-00003C0C0000}"/>
            </a:ext>
          </a:extLst>
        </xdr:cNvPr>
        <xdr:cNvSpPr>
          <a:spLocks noChangeAspect="1" noChangeArrowheads="1"/>
        </xdr:cNvSpPr>
      </xdr:nvSpPr>
      <xdr:spPr bwMode="auto">
        <a:xfrm>
          <a:off x="0" y="2202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496</xdr:row>
      <xdr:rowOff>0</xdr:rowOff>
    </xdr:from>
    <xdr:to>
      <xdr:col>0</xdr:col>
      <xdr:colOff>304800</xdr:colOff>
      <xdr:row>497</xdr:row>
      <xdr:rowOff>121920</xdr:rowOff>
    </xdr:to>
    <xdr:sp macro="" textlink="">
      <xdr:nvSpPr>
        <xdr:cNvPr id="3133" name="AutoShape 61" descr="San Jose Sharks">
          <a:extLst>
            <a:ext uri="{FF2B5EF4-FFF2-40B4-BE49-F238E27FC236}">
              <a16:creationId xmlns:a16="http://schemas.microsoft.com/office/drawing/2014/main" xmlns="" id="{00000000-0008-0000-0D00-00003D0C0000}"/>
            </a:ext>
          </a:extLst>
        </xdr:cNvPr>
        <xdr:cNvSpPr>
          <a:spLocks noChangeAspect="1" noChangeArrowheads="1"/>
        </xdr:cNvSpPr>
      </xdr:nvSpPr>
      <xdr:spPr bwMode="auto">
        <a:xfrm>
          <a:off x="0" y="2240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391</xdr:row>
      <xdr:rowOff>0</xdr:rowOff>
    </xdr:from>
    <xdr:to>
      <xdr:col>0</xdr:col>
      <xdr:colOff>304800</xdr:colOff>
      <xdr:row>392</xdr:row>
      <xdr:rowOff>121920</xdr:rowOff>
    </xdr:to>
    <xdr:sp macro="" textlink="">
      <xdr:nvSpPr>
        <xdr:cNvPr id="3134" name="AutoShape 62" descr="San Jose Sharks">
          <a:extLst>
            <a:ext uri="{FF2B5EF4-FFF2-40B4-BE49-F238E27FC236}">
              <a16:creationId xmlns:a16="http://schemas.microsoft.com/office/drawing/2014/main" xmlns="" id="{00000000-0008-0000-0D00-00003E0C0000}"/>
            </a:ext>
          </a:extLst>
        </xdr:cNvPr>
        <xdr:cNvSpPr>
          <a:spLocks noChangeAspect="1" noChangeArrowheads="1"/>
        </xdr:cNvSpPr>
      </xdr:nvSpPr>
      <xdr:spPr bwMode="auto">
        <a:xfrm>
          <a:off x="0" y="227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206</xdr:row>
      <xdr:rowOff>0</xdr:rowOff>
    </xdr:from>
    <xdr:to>
      <xdr:col>0</xdr:col>
      <xdr:colOff>304800</xdr:colOff>
      <xdr:row>207</xdr:row>
      <xdr:rowOff>121920</xdr:rowOff>
    </xdr:to>
    <xdr:sp macro="" textlink="">
      <xdr:nvSpPr>
        <xdr:cNvPr id="3135" name="AutoShape 63" descr="New Jersey Devils">
          <a:extLst>
            <a:ext uri="{FF2B5EF4-FFF2-40B4-BE49-F238E27FC236}">
              <a16:creationId xmlns:a16="http://schemas.microsoft.com/office/drawing/2014/main" xmlns="" id="{00000000-0008-0000-0D00-00003F0C0000}"/>
            </a:ext>
          </a:extLst>
        </xdr:cNvPr>
        <xdr:cNvSpPr>
          <a:spLocks noChangeAspect="1" noChangeArrowheads="1"/>
        </xdr:cNvSpPr>
      </xdr:nvSpPr>
      <xdr:spPr bwMode="auto">
        <a:xfrm>
          <a:off x="0" y="2314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289</xdr:row>
      <xdr:rowOff>0</xdr:rowOff>
    </xdr:from>
    <xdr:to>
      <xdr:col>0</xdr:col>
      <xdr:colOff>304800</xdr:colOff>
      <xdr:row>290</xdr:row>
      <xdr:rowOff>121920</xdr:rowOff>
    </xdr:to>
    <xdr:sp macro="" textlink="">
      <xdr:nvSpPr>
        <xdr:cNvPr id="3136" name="AutoShape 64" descr="Nashville Predators">
          <a:extLst>
            <a:ext uri="{FF2B5EF4-FFF2-40B4-BE49-F238E27FC236}">
              <a16:creationId xmlns:a16="http://schemas.microsoft.com/office/drawing/2014/main" xmlns="" id="{00000000-0008-0000-0D00-0000400C0000}"/>
            </a:ext>
          </a:extLst>
        </xdr:cNvPr>
        <xdr:cNvSpPr>
          <a:spLocks noChangeAspect="1" noChangeArrowheads="1"/>
        </xdr:cNvSpPr>
      </xdr:nvSpPr>
      <xdr:spPr bwMode="auto">
        <a:xfrm>
          <a:off x="0" y="2352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539</xdr:row>
      <xdr:rowOff>0</xdr:rowOff>
    </xdr:from>
    <xdr:to>
      <xdr:col>0</xdr:col>
      <xdr:colOff>304800</xdr:colOff>
      <xdr:row>540</xdr:row>
      <xdr:rowOff>121920</xdr:rowOff>
    </xdr:to>
    <xdr:sp macro="" textlink="">
      <xdr:nvSpPr>
        <xdr:cNvPr id="3137" name="AutoShape 65" descr="Ottawa Senators">
          <a:extLst>
            <a:ext uri="{FF2B5EF4-FFF2-40B4-BE49-F238E27FC236}">
              <a16:creationId xmlns:a16="http://schemas.microsoft.com/office/drawing/2014/main" xmlns="" id="{00000000-0008-0000-0D00-0000410C0000}"/>
            </a:ext>
          </a:extLst>
        </xdr:cNvPr>
        <xdr:cNvSpPr>
          <a:spLocks noChangeAspect="1" noChangeArrowheads="1"/>
        </xdr:cNvSpPr>
      </xdr:nvSpPr>
      <xdr:spPr bwMode="auto">
        <a:xfrm>
          <a:off x="0" y="2389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276</xdr:row>
      <xdr:rowOff>0</xdr:rowOff>
    </xdr:from>
    <xdr:to>
      <xdr:col>0</xdr:col>
      <xdr:colOff>304800</xdr:colOff>
      <xdr:row>277</xdr:row>
      <xdr:rowOff>121920</xdr:rowOff>
    </xdr:to>
    <xdr:sp macro="" textlink="">
      <xdr:nvSpPr>
        <xdr:cNvPr id="3138" name="AutoShape 66" descr="Colorado Avalanche">
          <a:extLst>
            <a:ext uri="{FF2B5EF4-FFF2-40B4-BE49-F238E27FC236}">
              <a16:creationId xmlns:a16="http://schemas.microsoft.com/office/drawing/2014/main" xmlns="" id="{00000000-0008-0000-0D00-0000420C0000}"/>
            </a:ext>
          </a:extLst>
        </xdr:cNvPr>
        <xdr:cNvSpPr>
          <a:spLocks noChangeAspect="1" noChangeArrowheads="1"/>
        </xdr:cNvSpPr>
      </xdr:nvSpPr>
      <xdr:spPr bwMode="auto">
        <a:xfrm>
          <a:off x="0" y="2426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220</xdr:row>
      <xdr:rowOff>0</xdr:rowOff>
    </xdr:from>
    <xdr:to>
      <xdr:col>0</xdr:col>
      <xdr:colOff>304800</xdr:colOff>
      <xdr:row>221</xdr:row>
      <xdr:rowOff>121920</xdr:rowOff>
    </xdr:to>
    <xdr:sp macro="" textlink="">
      <xdr:nvSpPr>
        <xdr:cNvPr id="3139" name="AutoShape 67" descr="Boston Bruins">
          <a:extLst>
            <a:ext uri="{FF2B5EF4-FFF2-40B4-BE49-F238E27FC236}">
              <a16:creationId xmlns:a16="http://schemas.microsoft.com/office/drawing/2014/main" xmlns="" id="{00000000-0008-0000-0D00-0000430C0000}"/>
            </a:ext>
          </a:extLst>
        </xdr:cNvPr>
        <xdr:cNvSpPr>
          <a:spLocks noChangeAspect="1" noChangeArrowheads="1"/>
        </xdr:cNvSpPr>
      </xdr:nvSpPr>
      <xdr:spPr bwMode="auto">
        <a:xfrm>
          <a:off x="0" y="2463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713</xdr:row>
      <xdr:rowOff>0</xdr:rowOff>
    </xdr:from>
    <xdr:to>
      <xdr:col>0</xdr:col>
      <xdr:colOff>304800</xdr:colOff>
      <xdr:row>714</xdr:row>
      <xdr:rowOff>121920</xdr:rowOff>
    </xdr:to>
    <xdr:sp macro="" textlink="">
      <xdr:nvSpPr>
        <xdr:cNvPr id="3140" name="AutoShape 68" descr="Edmonton Oilers">
          <a:extLst>
            <a:ext uri="{FF2B5EF4-FFF2-40B4-BE49-F238E27FC236}">
              <a16:creationId xmlns:a16="http://schemas.microsoft.com/office/drawing/2014/main" xmlns="" id="{00000000-0008-0000-0D00-0000440C0000}"/>
            </a:ext>
          </a:extLst>
        </xdr:cNvPr>
        <xdr:cNvSpPr>
          <a:spLocks noChangeAspect="1" noChangeArrowheads="1"/>
        </xdr:cNvSpPr>
      </xdr:nvSpPr>
      <xdr:spPr bwMode="auto">
        <a:xfrm>
          <a:off x="0" y="2500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484</xdr:row>
      <xdr:rowOff>0</xdr:rowOff>
    </xdr:from>
    <xdr:to>
      <xdr:col>0</xdr:col>
      <xdr:colOff>304800</xdr:colOff>
      <xdr:row>485</xdr:row>
      <xdr:rowOff>121920</xdr:rowOff>
    </xdr:to>
    <xdr:sp macro="" textlink="">
      <xdr:nvSpPr>
        <xdr:cNvPr id="3141" name="AutoShape 69" descr="Buffalo Sabres">
          <a:extLst>
            <a:ext uri="{FF2B5EF4-FFF2-40B4-BE49-F238E27FC236}">
              <a16:creationId xmlns:a16="http://schemas.microsoft.com/office/drawing/2014/main" xmlns="" id="{00000000-0008-0000-0D00-0000450C0000}"/>
            </a:ext>
          </a:extLst>
        </xdr:cNvPr>
        <xdr:cNvSpPr>
          <a:spLocks noChangeAspect="1" noChangeArrowheads="1"/>
        </xdr:cNvSpPr>
      </xdr:nvSpPr>
      <xdr:spPr bwMode="auto">
        <a:xfrm>
          <a:off x="0" y="25565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588</xdr:row>
      <xdr:rowOff>0</xdr:rowOff>
    </xdr:from>
    <xdr:to>
      <xdr:col>0</xdr:col>
      <xdr:colOff>304800</xdr:colOff>
      <xdr:row>589</xdr:row>
      <xdr:rowOff>121920</xdr:rowOff>
    </xdr:to>
    <xdr:sp macro="" textlink="">
      <xdr:nvSpPr>
        <xdr:cNvPr id="3142" name="AutoShape 70" descr="Edmonton Oilers">
          <a:extLst>
            <a:ext uri="{FF2B5EF4-FFF2-40B4-BE49-F238E27FC236}">
              <a16:creationId xmlns:a16="http://schemas.microsoft.com/office/drawing/2014/main" xmlns="" id="{00000000-0008-0000-0D00-0000460C0000}"/>
            </a:ext>
          </a:extLst>
        </xdr:cNvPr>
        <xdr:cNvSpPr>
          <a:spLocks noChangeAspect="1" noChangeArrowheads="1"/>
        </xdr:cNvSpPr>
      </xdr:nvSpPr>
      <xdr:spPr bwMode="auto">
        <a:xfrm>
          <a:off x="0" y="25930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766</xdr:row>
      <xdr:rowOff>0</xdr:rowOff>
    </xdr:from>
    <xdr:to>
      <xdr:col>0</xdr:col>
      <xdr:colOff>304800</xdr:colOff>
      <xdr:row>767</xdr:row>
      <xdr:rowOff>121920</xdr:rowOff>
    </xdr:to>
    <xdr:sp macro="" textlink="">
      <xdr:nvSpPr>
        <xdr:cNvPr id="3143" name="AutoShape 71" descr="New Jersey Devils">
          <a:extLst>
            <a:ext uri="{FF2B5EF4-FFF2-40B4-BE49-F238E27FC236}">
              <a16:creationId xmlns:a16="http://schemas.microsoft.com/office/drawing/2014/main" xmlns="" id="{00000000-0008-0000-0D00-0000470C0000}"/>
            </a:ext>
          </a:extLst>
        </xdr:cNvPr>
        <xdr:cNvSpPr>
          <a:spLocks noChangeAspect="1" noChangeArrowheads="1"/>
        </xdr:cNvSpPr>
      </xdr:nvSpPr>
      <xdr:spPr bwMode="auto">
        <a:xfrm>
          <a:off x="0" y="2629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419</xdr:row>
      <xdr:rowOff>0</xdr:rowOff>
    </xdr:from>
    <xdr:to>
      <xdr:col>0</xdr:col>
      <xdr:colOff>304800</xdr:colOff>
      <xdr:row>420</xdr:row>
      <xdr:rowOff>121920</xdr:rowOff>
    </xdr:to>
    <xdr:sp macro="" textlink="">
      <xdr:nvSpPr>
        <xdr:cNvPr id="3144" name="AutoShape 72" descr="New York Islanders">
          <a:extLst>
            <a:ext uri="{FF2B5EF4-FFF2-40B4-BE49-F238E27FC236}">
              <a16:creationId xmlns:a16="http://schemas.microsoft.com/office/drawing/2014/main" xmlns="" id="{00000000-0008-0000-0D00-0000480C0000}"/>
            </a:ext>
          </a:extLst>
        </xdr:cNvPr>
        <xdr:cNvSpPr>
          <a:spLocks noChangeAspect="1" noChangeArrowheads="1"/>
        </xdr:cNvSpPr>
      </xdr:nvSpPr>
      <xdr:spPr bwMode="auto">
        <a:xfrm>
          <a:off x="0" y="2667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203</xdr:row>
      <xdr:rowOff>0</xdr:rowOff>
    </xdr:from>
    <xdr:to>
      <xdr:col>0</xdr:col>
      <xdr:colOff>304800</xdr:colOff>
      <xdr:row>204</xdr:row>
      <xdr:rowOff>121920</xdr:rowOff>
    </xdr:to>
    <xdr:sp macro="" textlink="">
      <xdr:nvSpPr>
        <xdr:cNvPr id="3145" name="AutoShape 73" descr="Chicago Blackhawks">
          <a:extLst>
            <a:ext uri="{FF2B5EF4-FFF2-40B4-BE49-F238E27FC236}">
              <a16:creationId xmlns:a16="http://schemas.microsoft.com/office/drawing/2014/main" xmlns="" id="{00000000-0008-0000-0D00-0000490C0000}"/>
            </a:ext>
          </a:extLst>
        </xdr:cNvPr>
        <xdr:cNvSpPr>
          <a:spLocks noChangeAspect="1" noChangeArrowheads="1"/>
        </xdr:cNvSpPr>
      </xdr:nvSpPr>
      <xdr:spPr bwMode="auto">
        <a:xfrm>
          <a:off x="0" y="27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400</xdr:row>
      <xdr:rowOff>0</xdr:rowOff>
    </xdr:from>
    <xdr:to>
      <xdr:col>0</xdr:col>
      <xdr:colOff>304800</xdr:colOff>
      <xdr:row>401</xdr:row>
      <xdr:rowOff>121920</xdr:rowOff>
    </xdr:to>
    <xdr:sp macro="" textlink="">
      <xdr:nvSpPr>
        <xdr:cNvPr id="3146" name="AutoShape 74" descr="New York Islanders">
          <a:extLst>
            <a:ext uri="{FF2B5EF4-FFF2-40B4-BE49-F238E27FC236}">
              <a16:creationId xmlns:a16="http://schemas.microsoft.com/office/drawing/2014/main" xmlns="" id="{00000000-0008-0000-0D00-00004A0C0000}"/>
            </a:ext>
          </a:extLst>
        </xdr:cNvPr>
        <xdr:cNvSpPr>
          <a:spLocks noChangeAspect="1" noChangeArrowheads="1"/>
        </xdr:cNvSpPr>
      </xdr:nvSpPr>
      <xdr:spPr bwMode="auto">
        <a:xfrm>
          <a:off x="0" y="2741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304800</xdr:colOff>
      <xdr:row>737</xdr:row>
      <xdr:rowOff>121920</xdr:rowOff>
    </xdr:to>
    <xdr:sp macro="" textlink="">
      <xdr:nvSpPr>
        <xdr:cNvPr id="3147" name="AutoShape 75" descr="Colorado Avalanche">
          <a:extLst>
            <a:ext uri="{FF2B5EF4-FFF2-40B4-BE49-F238E27FC236}">
              <a16:creationId xmlns:a16="http://schemas.microsoft.com/office/drawing/2014/main" xmlns="" id="{00000000-0008-0000-0D00-00004B0C0000}"/>
            </a:ext>
          </a:extLst>
        </xdr:cNvPr>
        <xdr:cNvSpPr>
          <a:spLocks noChangeAspect="1" noChangeArrowheads="1"/>
        </xdr:cNvSpPr>
      </xdr:nvSpPr>
      <xdr:spPr bwMode="auto">
        <a:xfrm>
          <a:off x="0" y="2779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xdr:row>
      <xdr:rowOff>0</xdr:rowOff>
    </xdr:from>
    <xdr:to>
      <xdr:col>0</xdr:col>
      <xdr:colOff>304800</xdr:colOff>
      <xdr:row>17</xdr:row>
      <xdr:rowOff>121920</xdr:rowOff>
    </xdr:to>
    <xdr:sp macro="" textlink="">
      <xdr:nvSpPr>
        <xdr:cNvPr id="3148" name="AutoShape 76" descr="Florida Panthers">
          <a:extLst>
            <a:ext uri="{FF2B5EF4-FFF2-40B4-BE49-F238E27FC236}">
              <a16:creationId xmlns:a16="http://schemas.microsoft.com/office/drawing/2014/main" xmlns="" id="{00000000-0008-0000-0D00-00004C0C0000}"/>
            </a:ext>
          </a:extLst>
        </xdr:cNvPr>
        <xdr:cNvSpPr>
          <a:spLocks noChangeAspect="1" noChangeArrowheads="1"/>
        </xdr:cNvSpPr>
      </xdr:nvSpPr>
      <xdr:spPr bwMode="auto">
        <a:xfrm>
          <a:off x="0" y="2816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410</xdr:row>
      <xdr:rowOff>0</xdr:rowOff>
    </xdr:from>
    <xdr:to>
      <xdr:col>0</xdr:col>
      <xdr:colOff>304800</xdr:colOff>
      <xdr:row>411</xdr:row>
      <xdr:rowOff>121920</xdr:rowOff>
    </xdr:to>
    <xdr:sp macro="" textlink="">
      <xdr:nvSpPr>
        <xdr:cNvPr id="3149" name="AutoShape 77" descr="Florida Panthers">
          <a:extLst>
            <a:ext uri="{FF2B5EF4-FFF2-40B4-BE49-F238E27FC236}">
              <a16:creationId xmlns:a16="http://schemas.microsoft.com/office/drawing/2014/main" xmlns="" id="{00000000-0008-0000-0D00-00004D0C0000}"/>
            </a:ext>
          </a:extLst>
        </xdr:cNvPr>
        <xdr:cNvSpPr>
          <a:spLocks noChangeAspect="1" noChangeArrowheads="1"/>
        </xdr:cNvSpPr>
      </xdr:nvSpPr>
      <xdr:spPr bwMode="auto">
        <a:xfrm>
          <a:off x="0" y="2853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256</xdr:row>
      <xdr:rowOff>0</xdr:rowOff>
    </xdr:from>
    <xdr:to>
      <xdr:col>0</xdr:col>
      <xdr:colOff>304800</xdr:colOff>
      <xdr:row>257</xdr:row>
      <xdr:rowOff>121920</xdr:rowOff>
    </xdr:to>
    <xdr:sp macro="" textlink="">
      <xdr:nvSpPr>
        <xdr:cNvPr id="3150" name="AutoShape 78" descr="Los Angeles Kings">
          <a:extLst>
            <a:ext uri="{FF2B5EF4-FFF2-40B4-BE49-F238E27FC236}">
              <a16:creationId xmlns:a16="http://schemas.microsoft.com/office/drawing/2014/main" xmlns="" id="{00000000-0008-0000-0D00-00004E0C0000}"/>
            </a:ext>
          </a:extLst>
        </xdr:cNvPr>
        <xdr:cNvSpPr>
          <a:spLocks noChangeAspect="1" noChangeArrowheads="1"/>
        </xdr:cNvSpPr>
      </xdr:nvSpPr>
      <xdr:spPr bwMode="auto">
        <a:xfrm>
          <a:off x="0" y="2890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121920</xdr:rowOff>
    </xdr:to>
    <xdr:sp macro="" textlink="">
      <xdr:nvSpPr>
        <xdr:cNvPr id="3151" name="AutoShape 79" descr="Columbus Blue Jackets">
          <a:extLst>
            <a:ext uri="{FF2B5EF4-FFF2-40B4-BE49-F238E27FC236}">
              <a16:creationId xmlns:a16="http://schemas.microsoft.com/office/drawing/2014/main" xmlns="" id="{00000000-0008-0000-0D00-00004F0C0000}"/>
            </a:ext>
          </a:extLst>
        </xdr:cNvPr>
        <xdr:cNvSpPr>
          <a:spLocks noChangeAspect="1" noChangeArrowheads="1"/>
        </xdr:cNvSpPr>
      </xdr:nvSpPr>
      <xdr:spPr bwMode="auto">
        <a:xfrm>
          <a:off x="0" y="2927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411</xdr:row>
      <xdr:rowOff>0</xdr:rowOff>
    </xdr:from>
    <xdr:to>
      <xdr:col>0</xdr:col>
      <xdr:colOff>304800</xdr:colOff>
      <xdr:row>412</xdr:row>
      <xdr:rowOff>121920</xdr:rowOff>
    </xdr:to>
    <xdr:sp macro="" textlink="">
      <xdr:nvSpPr>
        <xdr:cNvPr id="3152" name="AutoShape 80" descr="Los Angeles Kings">
          <a:extLst>
            <a:ext uri="{FF2B5EF4-FFF2-40B4-BE49-F238E27FC236}">
              <a16:creationId xmlns:a16="http://schemas.microsoft.com/office/drawing/2014/main" xmlns="" id="{00000000-0008-0000-0D00-0000500C0000}"/>
            </a:ext>
          </a:extLst>
        </xdr:cNvPr>
        <xdr:cNvSpPr>
          <a:spLocks noChangeAspect="1" noChangeArrowheads="1"/>
        </xdr:cNvSpPr>
      </xdr:nvSpPr>
      <xdr:spPr bwMode="auto">
        <a:xfrm>
          <a:off x="0" y="2964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697</xdr:row>
      <xdr:rowOff>0</xdr:rowOff>
    </xdr:from>
    <xdr:to>
      <xdr:col>0</xdr:col>
      <xdr:colOff>304800</xdr:colOff>
      <xdr:row>698</xdr:row>
      <xdr:rowOff>121920</xdr:rowOff>
    </xdr:to>
    <xdr:sp macro="" textlink="">
      <xdr:nvSpPr>
        <xdr:cNvPr id="3153" name="AutoShape 81" descr="Tampa Bay Lightning">
          <a:extLst>
            <a:ext uri="{FF2B5EF4-FFF2-40B4-BE49-F238E27FC236}">
              <a16:creationId xmlns:a16="http://schemas.microsoft.com/office/drawing/2014/main" xmlns="" id="{00000000-0008-0000-0D00-0000510C0000}"/>
            </a:ext>
          </a:extLst>
        </xdr:cNvPr>
        <xdr:cNvSpPr>
          <a:spLocks noChangeAspect="1" noChangeArrowheads="1"/>
        </xdr:cNvSpPr>
      </xdr:nvSpPr>
      <xdr:spPr bwMode="auto">
        <a:xfrm>
          <a:off x="0" y="3001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578</xdr:row>
      <xdr:rowOff>0</xdr:rowOff>
    </xdr:from>
    <xdr:to>
      <xdr:col>0</xdr:col>
      <xdr:colOff>304800</xdr:colOff>
      <xdr:row>579</xdr:row>
      <xdr:rowOff>121920</xdr:rowOff>
    </xdr:to>
    <xdr:sp macro="" textlink="">
      <xdr:nvSpPr>
        <xdr:cNvPr id="3154" name="AutoShape 82" descr="Minnesota Wild">
          <a:extLst>
            <a:ext uri="{FF2B5EF4-FFF2-40B4-BE49-F238E27FC236}">
              <a16:creationId xmlns:a16="http://schemas.microsoft.com/office/drawing/2014/main" xmlns="" id="{00000000-0008-0000-0D00-0000520C0000}"/>
            </a:ext>
          </a:extLst>
        </xdr:cNvPr>
        <xdr:cNvSpPr>
          <a:spLocks noChangeAspect="1" noChangeArrowheads="1"/>
        </xdr:cNvSpPr>
      </xdr:nvSpPr>
      <xdr:spPr bwMode="auto">
        <a:xfrm>
          <a:off x="0" y="3038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514</xdr:row>
      <xdr:rowOff>0</xdr:rowOff>
    </xdr:from>
    <xdr:to>
      <xdr:col>0</xdr:col>
      <xdr:colOff>304800</xdr:colOff>
      <xdr:row>515</xdr:row>
      <xdr:rowOff>121920</xdr:rowOff>
    </xdr:to>
    <xdr:sp macro="" textlink="">
      <xdr:nvSpPr>
        <xdr:cNvPr id="3155" name="AutoShape 83" descr="Vegas Golden Knights">
          <a:extLst>
            <a:ext uri="{FF2B5EF4-FFF2-40B4-BE49-F238E27FC236}">
              <a16:creationId xmlns:a16="http://schemas.microsoft.com/office/drawing/2014/main" xmlns="" id="{00000000-0008-0000-0D00-0000530C0000}"/>
            </a:ext>
          </a:extLst>
        </xdr:cNvPr>
        <xdr:cNvSpPr>
          <a:spLocks noChangeAspect="1" noChangeArrowheads="1"/>
        </xdr:cNvSpPr>
      </xdr:nvSpPr>
      <xdr:spPr bwMode="auto">
        <a:xfrm>
          <a:off x="0" y="307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545</xdr:row>
      <xdr:rowOff>0</xdr:rowOff>
    </xdr:from>
    <xdr:to>
      <xdr:col>0</xdr:col>
      <xdr:colOff>304800</xdr:colOff>
      <xdr:row>546</xdr:row>
      <xdr:rowOff>121920</xdr:rowOff>
    </xdr:to>
    <xdr:sp macro="" textlink="">
      <xdr:nvSpPr>
        <xdr:cNvPr id="3156" name="AutoShape 84" descr="Washington Capitals">
          <a:extLst>
            <a:ext uri="{FF2B5EF4-FFF2-40B4-BE49-F238E27FC236}">
              <a16:creationId xmlns:a16="http://schemas.microsoft.com/office/drawing/2014/main" xmlns="" id="{00000000-0008-0000-0D00-0000540C0000}"/>
            </a:ext>
          </a:extLst>
        </xdr:cNvPr>
        <xdr:cNvSpPr>
          <a:spLocks noChangeAspect="1" noChangeArrowheads="1"/>
        </xdr:cNvSpPr>
      </xdr:nvSpPr>
      <xdr:spPr bwMode="auto">
        <a:xfrm>
          <a:off x="0" y="3131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785</xdr:row>
      <xdr:rowOff>0</xdr:rowOff>
    </xdr:from>
    <xdr:to>
      <xdr:col>0</xdr:col>
      <xdr:colOff>304800</xdr:colOff>
      <xdr:row>786</xdr:row>
      <xdr:rowOff>121920</xdr:rowOff>
    </xdr:to>
    <xdr:sp macro="" textlink="">
      <xdr:nvSpPr>
        <xdr:cNvPr id="3157" name="AutoShape 85" descr="New Jersey Devils">
          <a:extLst>
            <a:ext uri="{FF2B5EF4-FFF2-40B4-BE49-F238E27FC236}">
              <a16:creationId xmlns:a16="http://schemas.microsoft.com/office/drawing/2014/main" xmlns="" id="{00000000-0008-0000-0D00-0000550C0000}"/>
            </a:ext>
          </a:extLst>
        </xdr:cNvPr>
        <xdr:cNvSpPr>
          <a:spLocks noChangeAspect="1" noChangeArrowheads="1"/>
        </xdr:cNvSpPr>
      </xdr:nvSpPr>
      <xdr:spPr bwMode="auto">
        <a:xfrm>
          <a:off x="0" y="3169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xdr:row>
      <xdr:rowOff>0</xdr:rowOff>
    </xdr:from>
    <xdr:to>
      <xdr:col>0</xdr:col>
      <xdr:colOff>304800</xdr:colOff>
      <xdr:row>34</xdr:row>
      <xdr:rowOff>121920</xdr:rowOff>
    </xdr:to>
    <xdr:sp macro="" textlink="">
      <xdr:nvSpPr>
        <xdr:cNvPr id="3158" name="AutoShape 86" descr="St Louis Blues">
          <a:extLst>
            <a:ext uri="{FF2B5EF4-FFF2-40B4-BE49-F238E27FC236}">
              <a16:creationId xmlns:a16="http://schemas.microsoft.com/office/drawing/2014/main" xmlns="" id="{00000000-0008-0000-0D00-0000560C0000}"/>
            </a:ext>
          </a:extLst>
        </xdr:cNvPr>
        <xdr:cNvSpPr>
          <a:spLocks noChangeAspect="1" noChangeArrowheads="1"/>
        </xdr:cNvSpPr>
      </xdr:nvSpPr>
      <xdr:spPr bwMode="auto">
        <a:xfrm>
          <a:off x="0" y="3206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251</xdr:row>
      <xdr:rowOff>0</xdr:rowOff>
    </xdr:from>
    <xdr:to>
      <xdr:col>0</xdr:col>
      <xdr:colOff>304800</xdr:colOff>
      <xdr:row>252</xdr:row>
      <xdr:rowOff>121920</xdr:rowOff>
    </xdr:to>
    <xdr:sp macro="" textlink="">
      <xdr:nvSpPr>
        <xdr:cNvPr id="3159" name="AutoShape 87" descr="Carolina Hurricanes">
          <a:extLst>
            <a:ext uri="{FF2B5EF4-FFF2-40B4-BE49-F238E27FC236}">
              <a16:creationId xmlns:a16="http://schemas.microsoft.com/office/drawing/2014/main" xmlns="" id="{00000000-0008-0000-0D00-0000570C0000}"/>
            </a:ext>
          </a:extLst>
        </xdr:cNvPr>
        <xdr:cNvSpPr>
          <a:spLocks noChangeAspect="1" noChangeArrowheads="1"/>
        </xdr:cNvSpPr>
      </xdr:nvSpPr>
      <xdr:spPr bwMode="auto">
        <a:xfrm>
          <a:off x="0" y="3243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800</xdr:row>
      <xdr:rowOff>0</xdr:rowOff>
    </xdr:from>
    <xdr:to>
      <xdr:col>0</xdr:col>
      <xdr:colOff>304800</xdr:colOff>
      <xdr:row>801</xdr:row>
      <xdr:rowOff>121920</xdr:rowOff>
    </xdr:to>
    <xdr:sp macro="" textlink="">
      <xdr:nvSpPr>
        <xdr:cNvPr id="3160" name="AutoShape 88" descr="Dallas Stars">
          <a:extLst>
            <a:ext uri="{FF2B5EF4-FFF2-40B4-BE49-F238E27FC236}">
              <a16:creationId xmlns:a16="http://schemas.microsoft.com/office/drawing/2014/main" xmlns="" id="{00000000-0008-0000-0D00-0000580C0000}"/>
            </a:ext>
          </a:extLst>
        </xdr:cNvPr>
        <xdr:cNvSpPr>
          <a:spLocks noChangeAspect="1" noChangeArrowheads="1"/>
        </xdr:cNvSpPr>
      </xdr:nvSpPr>
      <xdr:spPr bwMode="auto">
        <a:xfrm>
          <a:off x="0" y="32811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760</xdr:row>
      <xdr:rowOff>0</xdr:rowOff>
    </xdr:from>
    <xdr:to>
      <xdr:col>0</xdr:col>
      <xdr:colOff>304800</xdr:colOff>
      <xdr:row>761</xdr:row>
      <xdr:rowOff>121920</xdr:rowOff>
    </xdr:to>
    <xdr:sp macro="" textlink="">
      <xdr:nvSpPr>
        <xdr:cNvPr id="3161" name="AutoShape 89" descr="Washington Capitals">
          <a:extLst>
            <a:ext uri="{FF2B5EF4-FFF2-40B4-BE49-F238E27FC236}">
              <a16:creationId xmlns:a16="http://schemas.microsoft.com/office/drawing/2014/main" xmlns="" id="{00000000-0008-0000-0D00-0000590C0000}"/>
            </a:ext>
          </a:extLst>
        </xdr:cNvPr>
        <xdr:cNvSpPr>
          <a:spLocks noChangeAspect="1" noChangeArrowheads="1"/>
        </xdr:cNvSpPr>
      </xdr:nvSpPr>
      <xdr:spPr bwMode="auto">
        <a:xfrm>
          <a:off x="0" y="3300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377</xdr:row>
      <xdr:rowOff>0</xdr:rowOff>
    </xdr:from>
    <xdr:to>
      <xdr:col>0</xdr:col>
      <xdr:colOff>304800</xdr:colOff>
      <xdr:row>378</xdr:row>
      <xdr:rowOff>121920</xdr:rowOff>
    </xdr:to>
    <xdr:sp macro="" textlink="">
      <xdr:nvSpPr>
        <xdr:cNvPr id="3162" name="AutoShape 90" descr="Buffalo Sabres">
          <a:extLst>
            <a:ext uri="{FF2B5EF4-FFF2-40B4-BE49-F238E27FC236}">
              <a16:creationId xmlns:a16="http://schemas.microsoft.com/office/drawing/2014/main" xmlns="" id="{00000000-0008-0000-0D00-00005A0C0000}"/>
            </a:ext>
          </a:extLst>
        </xdr:cNvPr>
        <xdr:cNvSpPr>
          <a:spLocks noChangeAspect="1" noChangeArrowheads="1"/>
        </xdr:cNvSpPr>
      </xdr:nvSpPr>
      <xdr:spPr bwMode="auto">
        <a:xfrm>
          <a:off x="0" y="333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513</xdr:row>
      <xdr:rowOff>0</xdr:rowOff>
    </xdr:from>
    <xdr:to>
      <xdr:col>0</xdr:col>
      <xdr:colOff>304800</xdr:colOff>
      <xdr:row>514</xdr:row>
      <xdr:rowOff>121920</xdr:rowOff>
    </xdr:to>
    <xdr:sp macro="" textlink="">
      <xdr:nvSpPr>
        <xdr:cNvPr id="3163" name="AutoShape 91" descr="New York Rangers">
          <a:extLst>
            <a:ext uri="{FF2B5EF4-FFF2-40B4-BE49-F238E27FC236}">
              <a16:creationId xmlns:a16="http://schemas.microsoft.com/office/drawing/2014/main" xmlns="" id="{00000000-0008-0000-0D00-00005B0C0000}"/>
            </a:ext>
          </a:extLst>
        </xdr:cNvPr>
        <xdr:cNvSpPr>
          <a:spLocks noChangeAspect="1" noChangeArrowheads="1"/>
        </xdr:cNvSpPr>
      </xdr:nvSpPr>
      <xdr:spPr bwMode="auto">
        <a:xfrm>
          <a:off x="0" y="337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583</xdr:row>
      <xdr:rowOff>0</xdr:rowOff>
    </xdr:from>
    <xdr:to>
      <xdr:col>0</xdr:col>
      <xdr:colOff>304800</xdr:colOff>
      <xdr:row>584</xdr:row>
      <xdr:rowOff>121920</xdr:rowOff>
    </xdr:to>
    <xdr:sp macro="" textlink="">
      <xdr:nvSpPr>
        <xdr:cNvPr id="3164" name="AutoShape 92" descr="Calgary Flames">
          <a:extLst>
            <a:ext uri="{FF2B5EF4-FFF2-40B4-BE49-F238E27FC236}">
              <a16:creationId xmlns:a16="http://schemas.microsoft.com/office/drawing/2014/main" xmlns="" id="{00000000-0008-0000-0D00-00005C0C0000}"/>
            </a:ext>
          </a:extLst>
        </xdr:cNvPr>
        <xdr:cNvSpPr>
          <a:spLocks noChangeAspect="1" noChangeArrowheads="1"/>
        </xdr:cNvSpPr>
      </xdr:nvSpPr>
      <xdr:spPr bwMode="auto">
        <a:xfrm>
          <a:off x="0" y="341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369</xdr:row>
      <xdr:rowOff>0</xdr:rowOff>
    </xdr:from>
    <xdr:to>
      <xdr:col>0</xdr:col>
      <xdr:colOff>304800</xdr:colOff>
      <xdr:row>370</xdr:row>
      <xdr:rowOff>121920</xdr:rowOff>
    </xdr:to>
    <xdr:sp macro="" textlink="">
      <xdr:nvSpPr>
        <xdr:cNvPr id="3165" name="AutoShape 93" descr="Buffalo Sabres">
          <a:extLst>
            <a:ext uri="{FF2B5EF4-FFF2-40B4-BE49-F238E27FC236}">
              <a16:creationId xmlns:a16="http://schemas.microsoft.com/office/drawing/2014/main" xmlns="" id="{00000000-0008-0000-0D00-00005D0C0000}"/>
            </a:ext>
          </a:extLst>
        </xdr:cNvPr>
        <xdr:cNvSpPr>
          <a:spLocks noChangeAspect="1" noChangeArrowheads="1"/>
        </xdr:cNvSpPr>
      </xdr:nvSpPr>
      <xdr:spPr bwMode="auto">
        <a:xfrm>
          <a:off x="0" y="344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121920</xdr:rowOff>
    </xdr:to>
    <xdr:sp macro="" textlink="">
      <xdr:nvSpPr>
        <xdr:cNvPr id="3166" name="AutoShape 94" descr="Winnipeg Jets">
          <a:extLst>
            <a:ext uri="{FF2B5EF4-FFF2-40B4-BE49-F238E27FC236}">
              <a16:creationId xmlns:a16="http://schemas.microsoft.com/office/drawing/2014/main" xmlns="" id="{00000000-0008-0000-0D00-00005E0C0000}"/>
            </a:ext>
          </a:extLst>
        </xdr:cNvPr>
        <xdr:cNvSpPr>
          <a:spLocks noChangeAspect="1" noChangeArrowheads="1"/>
        </xdr:cNvSpPr>
      </xdr:nvSpPr>
      <xdr:spPr bwMode="auto">
        <a:xfrm>
          <a:off x="0" y="348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304800</xdr:colOff>
      <xdr:row>304</xdr:row>
      <xdr:rowOff>121920</xdr:rowOff>
    </xdr:to>
    <xdr:sp macro="" textlink="">
      <xdr:nvSpPr>
        <xdr:cNvPr id="3167" name="AutoShape 95" descr="Colorado Avalanche">
          <a:extLst>
            <a:ext uri="{FF2B5EF4-FFF2-40B4-BE49-F238E27FC236}">
              <a16:creationId xmlns:a16="http://schemas.microsoft.com/office/drawing/2014/main" xmlns="" id="{00000000-0008-0000-0D00-00005F0C0000}"/>
            </a:ext>
          </a:extLst>
        </xdr:cNvPr>
        <xdr:cNvSpPr>
          <a:spLocks noChangeAspect="1" noChangeArrowheads="1"/>
        </xdr:cNvSpPr>
      </xdr:nvSpPr>
      <xdr:spPr bwMode="auto">
        <a:xfrm>
          <a:off x="0" y="352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255</xdr:row>
      <xdr:rowOff>0</xdr:rowOff>
    </xdr:from>
    <xdr:to>
      <xdr:col>0</xdr:col>
      <xdr:colOff>304800</xdr:colOff>
      <xdr:row>256</xdr:row>
      <xdr:rowOff>121920</xdr:rowOff>
    </xdr:to>
    <xdr:sp macro="" textlink="">
      <xdr:nvSpPr>
        <xdr:cNvPr id="3168" name="AutoShape 96" descr="Chicago Blackhawks">
          <a:extLst>
            <a:ext uri="{FF2B5EF4-FFF2-40B4-BE49-F238E27FC236}">
              <a16:creationId xmlns:a16="http://schemas.microsoft.com/office/drawing/2014/main" xmlns="" id="{00000000-0008-0000-0D00-0000600C0000}"/>
            </a:ext>
          </a:extLst>
        </xdr:cNvPr>
        <xdr:cNvSpPr>
          <a:spLocks noChangeAspect="1" noChangeArrowheads="1"/>
        </xdr:cNvSpPr>
      </xdr:nvSpPr>
      <xdr:spPr bwMode="auto">
        <a:xfrm>
          <a:off x="0" y="356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642</xdr:row>
      <xdr:rowOff>0</xdr:rowOff>
    </xdr:from>
    <xdr:to>
      <xdr:col>0</xdr:col>
      <xdr:colOff>304800</xdr:colOff>
      <xdr:row>643</xdr:row>
      <xdr:rowOff>121920</xdr:rowOff>
    </xdr:to>
    <xdr:sp macro="" textlink="">
      <xdr:nvSpPr>
        <xdr:cNvPr id="3169" name="AutoShape 97" descr="Arizona Coyotes">
          <a:extLst>
            <a:ext uri="{FF2B5EF4-FFF2-40B4-BE49-F238E27FC236}">
              <a16:creationId xmlns:a16="http://schemas.microsoft.com/office/drawing/2014/main" xmlns="" id="{00000000-0008-0000-0D00-0000610C0000}"/>
            </a:ext>
          </a:extLst>
        </xdr:cNvPr>
        <xdr:cNvSpPr>
          <a:spLocks noChangeAspect="1" noChangeArrowheads="1"/>
        </xdr:cNvSpPr>
      </xdr:nvSpPr>
      <xdr:spPr bwMode="auto">
        <a:xfrm>
          <a:off x="0" y="3597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121920</xdr:rowOff>
    </xdr:to>
    <xdr:sp macro="" textlink="">
      <xdr:nvSpPr>
        <xdr:cNvPr id="3170" name="AutoShape 98" descr="Vancouver Canucks">
          <a:extLst>
            <a:ext uri="{FF2B5EF4-FFF2-40B4-BE49-F238E27FC236}">
              <a16:creationId xmlns:a16="http://schemas.microsoft.com/office/drawing/2014/main" xmlns="" id="{00000000-0008-0000-0D00-0000620C0000}"/>
            </a:ext>
          </a:extLst>
        </xdr:cNvPr>
        <xdr:cNvSpPr>
          <a:spLocks noChangeAspect="1" noChangeArrowheads="1"/>
        </xdr:cNvSpPr>
      </xdr:nvSpPr>
      <xdr:spPr bwMode="auto">
        <a:xfrm>
          <a:off x="0" y="3653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134</xdr:row>
      <xdr:rowOff>0</xdr:rowOff>
    </xdr:from>
    <xdr:to>
      <xdr:col>0</xdr:col>
      <xdr:colOff>304800</xdr:colOff>
      <xdr:row>135</xdr:row>
      <xdr:rowOff>121920</xdr:rowOff>
    </xdr:to>
    <xdr:sp macro="" textlink="">
      <xdr:nvSpPr>
        <xdr:cNvPr id="3171" name="AutoShape 99" descr="Colorado Avalanche">
          <a:extLst>
            <a:ext uri="{FF2B5EF4-FFF2-40B4-BE49-F238E27FC236}">
              <a16:creationId xmlns:a16="http://schemas.microsoft.com/office/drawing/2014/main" xmlns="" id="{00000000-0008-0000-0D00-0000630C0000}"/>
            </a:ext>
          </a:extLst>
        </xdr:cNvPr>
        <xdr:cNvSpPr>
          <a:spLocks noChangeAspect="1" noChangeArrowheads="1"/>
        </xdr:cNvSpPr>
      </xdr:nvSpPr>
      <xdr:spPr bwMode="auto">
        <a:xfrm>
          <a:off x="0" y="3689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191</xdr:row>
      <xdr:rowOff>0</xdr:rowOff>
    </xdr:from>
    <xdr:to>
      <xdr:col>0</xdr:col>
      <xdr:colOff>304800</xdr:colOff>
      <xdr:row>192</xdr:row>
      <xdr:rowOff>121920</xdr:rowOff>
    </xdr:to>
    <xdr:sp macro="" textlink="">
      <xdr:nvSpPr>
        <xdr:cNvPr id="3172" name="AutoShape 100" descr="St Louis Blues">
          <a:extLst>
            <a:ext uri="{FF2B5EF4-FFF2-40B4-BE49-F238E27FC236}">
              <a16:creationId xmlns:a16="http://schemas.microsoft.com/office/drawing/2014/main" xmlns="" id="{00000000-0008-0000-0D00-0000640C0000}"/>
            </a:ext>
          </a:extLst>
        </xdr:cNvPr>
        <xdr:cNvSpPr>
          <a:spLocks noChangeAspect="1" noChangeArrowheads="1"/>
        </xdr:cNvSpPr>
      </xdr:nvSpPr>
      <xdr:spPr bwMode="auto">
        <a:xfrm>
          <a:off x="0" y="3726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376</xdr:row>
      <xdr:rowOff>0</xdr:rowOff>
    </xdr:from>
    <xdr:to>
      <xdr:col>0</xdr:col>
      <xdr:colOff>304800</xdr:colOff>
      <xdr:row>377</xdr:row>
      <xdr:rowOff>121920</xdr:rowOff>
    </xdr:to>
    <xdr:sp macro="" textlink="">
      <xdr:nvSpPr>
        <xdr:cNvPr id="3173" name="AutoShape 101" descr="Montreal Canadiens">
          <a:extLst>
            <a:ext uri="{FF2B5EF4-FFF2-40B4-BE49-F238E27FC236}">
              <a16:creationId xmlns:a16="http://schemas.microsoft.com/office/drawing/2014/main" xmlns="" id="{00000000-0008-0000-0D00-0000650C0000}"/>
            </a:ext>
          </a:extLst>
        </xdr:cNvPr>
        <xdr:cNvSpPr>
          <a:spLocks noChangeAspect="1" noChangeArrowheads="1"/>
        </xdr:cNvSpPr>
      </xdr:nvSpPr>
      <xdr:spPr bwMode="auto">
        <a:xfrm>
          <a:off x="0" y="3764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121920</xdr:rowOff>
    </xdr:to>
    <xdr:sp macro="" textlink="">
      <xdr:nvSpPr>
        <xdr:cNvPr id="3174" name="AutoShape 102" descr="New York Islanders">
          <a:extLst>
            <a:ext uri="{FF2B5EF4-FFF2-40B4-BE49-F238E27FC236}">
              <a16:creationId xmlns:a16="http://schemas.microsoft.com/office/drawing/2014/main" xmlns="" id="{00000000-0008-0000-0D00-0000660C0000}"/>
            </a:ext>
          </a:extLst>
        </xdr:cNvPr>
        <xdr:cNvSpPr>
          <a:spLocks noChangeAspect="1" noChangeArrowheads="1"/>
        </xdr:cNvSpPr>
      </xdr:nvSpPr>
      <xdr:spPr bwMode="auto">
        <a:xfrm>
          <a:off x="0" y="38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618</xdr:row>
      <xdr:rowOff>0</xdr:rowOff>
    </xdr:from>
    <xdr:to>
      <xdr:col>0</xdr:col>
      <xdr:colOff>304800</xdr:colOff>
      <xdr:row>619</xdr:row>
      <xdr:rowOff>121920</xdr:rowOff>
    </xdr:to>
    <xdr:sp macro="" textlink="">
      <xdr:nvSpPr>
        <xdr:cNvPr id="3175" name="AutoShape 103" descr="New York Islanders">
          <a:extLst>
            <a:ext uri="{FF2B5EF4-FFF2-40B4-BE49-F238E27FC236}">
              <a16:creationId xmlns:a16="http://schemas.microsoft.com/office/drawing/2014/main" xmlns="" id="{00000000-0008-0000-0D00-0000670C0000}"/>
            </a:ext>
          </a:extLst>
        </xdr:cNvPr>
        <xdr:cNvSpPr>
          <a:spLocks noChangeAspect="1" noChangeArrowheads="1"/>
        </xdr:cNvSpPr>
      </xdr:nvSpPr>
      <xdr:spPr bwMode="auto">
        <a:xfrm>
          <a:off x="0" y="383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454</xdr:row>
      <xdr:rowOff>0</xdr:rowOff>
    </xdr:from>
    <xdr:to>
      <xdr:col>0</xdr:col>
      <xdr:colOff>304800</xdr:colOff>
      <xdr:row>455</xdr:row>
      <xdr:rowOff>121920</xdr:rowOff>
    </xdr:to>
    <xdr:sp macro="" textlink="">
      <xdr:nvSpPr>
        <xdr:cNvPr id="3176" name="AutoShape 104" descr="Pittsburgh Penguins">
          <a:extLst>
            <a:ext uri="{FF2B5EF4-FFF2-40B4-BE49-F238E27FC236}">
              <a16:creationId xmlns:a16="http://schemas.microsoft.com/office/drawing/2014/main" xmlns="" id="{00000000-0008-0000-0D00-0000680C0000}"/>
            </a:ext>
          </a:extLst>
        </xdr:cNvPr>
        <xdr:cNvSpPr>
          <a:spLocks noChangeAspect="1" noChangeArrowheads="1"/>
        </xdr:cNvSpPr>
      </xdr:nvSpPr>
      <xdr:spPr bwMode="auto">
        <a:xfrm>
          <a:off x="0" y="387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797</xdr:row>
      <xdr:rowOff>0</xdr:rowOff>
    </xdr:from>
    <xdr:to>
      <xdr:col>0</xdr:col>
      <xdr:colOff>304800</xdr:colOff>
      <xdr:row>798</xdr:row>
      <xdr:rowOff>121920</xdr:rowOff>
    </xdr:to>
    <xdr:sp macro="" textlink="">
      <xdr:nvSpPr>
        <xdr:cNvPr id="3177" name="AutoShape 105" descr="Winnipeg Jets">
          <a:extLst>
            <a:ext uri="{FF2B5EF4-FFF2-40B4-BE49-F238E27FC236}">
              <a16:creationId xmlns:a16="http://schemas.microsoft.com/office/drawing/2014/main" xmlns="" id="{00000000-0008-0000-0D00-0000690C0000}"/>
            </a:ext>
          </a:extLst>
        </xdr:cNvPr>
        <xdr:cNvSpPr>
          <a:spLocks noChangeAspect="1" noChangeArrowheads="1"/>
        </xdr:cNvSpPr>
      </xdr:nvSpPr>
      <xdr:spPr bwMode="auto">
        <a:xfrm>
          <a:off x="0" y="391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616</xdr:row>
      <xdr:rowOff>0</xdr:rowOff>
    </xdr:from>
    <xdr:to>
      <xdr:col>0</xdr:col>
      <xdr:colOff>304800</xdr:colOff>
      <xdr:row>617</xdr:row>
      <xdr:rowOff>121920</xdr:rowOff>
    </xdr:to>
    <xdr:sp macro="" textlink="">
      <xdr:nvSpPr>
        <xdr:cNvPr id="3178" name="AutoShape 106" descr="Columbus Blue Jackets">
          <a:extLst>
            <a:ext uri="{FF2B5EF4-FFF2-40B4-BE49-F238E27FC236}">
              <a16:creationId xmlns:a16="http://schemas.microsoft.com/office/drawing/2014/main" xmlns="" id="{00000000-0008-0000-0D00-00006A0C0000}"/>
            </a:ext>
          </a:extLst>
        </xdr:cNvPr>
        <xdr:cNvSpPr>
          <a:spLocks noChangeAspect="1" noChangeArrowheads="1"/>
        </xdr:cNvSpPr>
      </xdr:nvSpPr>
      <xdr:spPr bwMode="auto">
        <a:xfrm>
          <a:off x="0" y="395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121920</xdr:rowOff>
    </xdr:to>
    <xdr:sp macro="" textlink="">
      <xdr:nvSpPr>
        <xdr:cNvPr id="3179" name="AutoShape 107" descr="Edmonton Oilers">
          <a:extLst>
            <a:ext uri="{FF2B5EF4-FFF2-40B4-BE49-F238E27FC236}">
              <a16:creationId xmlns:a16="http://schemas.microsoft.com/office/drawing/2014/main" xmlns="" id="{00000000-0008-0000-0D00-00006B0C0000}"/>
            </a:ext>
          </a:extLst>
        </xdr:cNvPr>
        <xdr:cNvSpPr>
          <a:spLocks noChangeAspect="1" noChangeArrowheads="1"/>
        </xdr:cNvSpPr>
      </xdr:nvSpPr>
      <xdr:spPr bwMode="auto">
        <a:xfrm>
          <a:off x="0" y="398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802</xdr:row>
      <xdr:rowOff>0</xdr:rowOff>
    </xdr:from>
    <xdr:to>
      <xdr:col>0</xdr:col>
      <xdr:colOff>304800</xdr:colOff>
      <xdr:row>803</xdr:row>
      <xdr:rowOff>121920</xdr:rowOff>
    </xdr:to>
    <xdr:sp macro="" textlink="">
      <xdr:nvSpPr>
        <xdr:cNvPr id="3180" name="AutoShape 108" descr="Colorado Avalanche">
          <a:extLst>
            <a:ext uri="{FF2B5EF4-FFF2-40B4-BE49-F238E27FC236}">
              <a16:creationId xmlns:a16="http://schemas.microsoft.com/office/drawing/2014/main" xmlns="" id="{00000000-0008-0000-0D00-00006C0C0000}"/>
            </a:ext>
          </a:extLst>
        </xdr:cNvPr>
        <xdr:cNvSpPr>
          <a:spLocks noChangeAspect="1" noChangeArrowheads="1"/>
        </xdr:cNvSpPr>
      </xdr:nvSpPr>
      <xdr:spPr bwMode="auto">
        <a:xfrm>
          <a:off x="0" y="402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219</xdr:row>
      <xdr:rowOff>0</xdr:rowOff>
    </xdr:from>
    <xdr:to>
      <xdr:col>0</xdr:col>
      <xdr:colOff>304800</xdr:colOff>
      <xdr:row>220</xdr:row>
      <xdr:rowOff>121920</xdr:rowOff>
    </xdr:to>
    <xdr:sp macro="" textlink="">
      <xdr:nvSpPr>
        <xdr:cNvPr id="3181" name="AutoShape 109" descr="Arizona Coyotes">
          <a:extLst>
            <a:ext uri="{FF2B5EF4-FFF2-40B4-BE49-F238E27FC236}">
              <a16:creationId xmlns:a16="http://schemas.microsoft.com/office/drawing/2014/main" xmlns="" id="{00000000-0008-0000-0D00-00006D0C0000}"/>
            </a:ext>
          </a:extLst>
        </xdr:cNvPr>
        <xdr:cNvSpPr>
          <a:spLocks noChangeAspect="1" noChangeArrowheads="1"/>
        </xdr:cNvSpPr>
      </xdr:nvSpPr>
      <xdr:spPr bwMode="auto">
        <a:xfrm>
          <a:off x="0" y="406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408</xdr:row>
      <xdr:rowOff>0</xdr:rowOff>
    </xdr:from>
    <xdr:to>
      <xdr:col>0</xdr:col>
      <xdr:colOff>304800</xdr:colOff>
      <xdr:row>409</xdr:row>
      <xdr:rowOff>121920</xdr:rowOff>
    </xdr:to>
    <xdr:sp macro="" textlink="">
      <xdr:nvSpPr>
        <xdr:cNvPr id="3182" name="AutoShape 110" descr="Montreal Canadiens">
          <a:extLst>
            <a:ext uri="{FF2B5EF4-FFF2-40B4-BE49-F238E27FC236}">
              <a16:creationId xmlns:a16="http://schemas.microsoft.com/office/drawing/2014/main" xmlns="" id="{00000000-0008-0000-0D00-00006E0C0000}"/>
            </a:ext>
          </a:extLst>
        </xdr:cNvPr>
        <xdr:cNvSpPr>
          <a:spLocks noChangeAspect="1" noChangeArrowheads="1"/>
        </xdr:cNvSpPr>
      </xdr:nvSpPr>
      <xdr:spPr bwMode="auto">
        <a:xfrm>
          <a:off x="0" y="409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xdr:row>
      <xdr:rowOff>0</xdr:rowOff>
    </xdr:from>
    <xdr:to>
      <xdr:col>0</xdr:col>
      <xdr:colOff>304800</xdr:colOff>
      <xdr:row>25</xdr:row>
      <xdr:rowOff>121920</xdr:rowOff>
    </xdr:to>
    <xdr:sp macro="" textlink="">
      <xdr:nvSpPr>
        <xdr:cNvPr id="3183" name="AutoShape 111" descr="Arizona Coyotes">
          <a:extLst>
            <a:ext uri="{FF2B5EF4-FFF2-40B4-BE49-F238E27FC236}">
              <a16:creationId xmlns:a16="http://schemas.microsoft.com/office/drawing/2014/main" xmlns="" id="{00000000-0008-0000-0D00-00006F0C0000}"/>
            </a:ext>
          </a:extLst>
        </xdr:cNvPr>
        <xdr:cNvSpPr>
          <a:spLocks noChangeAspect="1" noChangeArrowheads="1"/>
        </xdr:cNvSpPr>
      </xdr:nvSpPr>
      <xdr:spPr bwMode="auto">
        <a:xfrm>
          <a:off x="0" y="4136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740</xdr:row>
      <xdr:rowOff>0</xdr:rowOff>
    </xdr:from>
    <xdr:to>
      <xdr:col>0</xdr:col>
      <xdr:colOff>304800</xdr:colOff>
      <xdr:row>741</xdr:row>
      <xdr:rowOff>121920</xdr:rowOff>
    </xdr:to>
    <xdr:sp macro="" textlink="">
      <xdr:nvSpPr>
        <xdr:cNvPr id="3184" name="AutoShape 112" descr="Columbus Blue Jackets">
          <a:extLst>
            <a:ext uri="{FF2B5EF4-FFF2-40B4-BE49-F238E27FC236}">
              <a16:creationId xmlns:a16="http://schemas.microsoft.com/office/drawing/2014/main" xmlns="" id="{00000000-0008-0000-0D00-0000700C0000}"/>
            </a:ext>
          </a:extLst>
        </xdr:cNvPr>
        <xdr:cNvSpPr>
          <a:spLocks noChangeAspect="1" noChangeArrowheads="1"/>
        </xdr:cNvSpPr>
      </xdr:nvSpPr>
      <xdr:spPr bwMode="auto">
        <a:xfrm>
          <a:off x="0" y="417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371</xdr:row>
      <xdr:rowOff>0</xdr:rowOff>
    </xdr:from>
    <xdr:to>
      <xdr:col>0</xdr:col>
      <xdr:colOff>304800</xdr:colOff>
      <xdr:row>372</xdr:row>
      <xdr:rowOff>121920</xdr:rowOff>
    </xdr:to>
    <xdr:sp macro="" textlink="">
      <xdr:nvSpPr>
        <xdr:cNvPr id="3185" name="AutoShape 113" descr="St Louis Blues">
          <a:extLst>
            <a:ext uri="{FF2B5EF4-FFF2-40B4-BE49-F238E27FC236}">
              <a16:creationId xmlns:a16="http://schemas.microsoft.com/office/drawing/2014/main" xmlns="" id="{00000000-0008-0000-0D00-0000710C0000}"/>
            </a:ext>
          </a:extLst>
        </xdr:cNvPr>
        <xdr:cNvSpPr>
          <a:spLocks noChangeAspect="1" noChangeArrowheads="1"/>
        </xdr:cNvSpPr>
      </xdr:nvSpPr>
      <xdr:spPr bwMode="auto">
        <a:xfrm>
          <a:off x="0" y="4210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304800</xdr:colOff>
      <xdr:row>682</xdr:row>
      <xdr:rowOff>121920</xdr:rowOff>
    </xdr:to>
    <xdr:sp macro="" textlink="">
      <xdr:nvSpPr>
        <xdr:cNvPr id="3186" name="AutoShape 114" descr="Buffalo Sabres">
          <a:extLst>
            <a:ext uri="{FF2B5EF4-FFF2-40B4-BE49-F238E27FC236}">
              <a16:creationId xmlns:a16="http://schemas.microsoft.com/office/drawing/2014/main" xmlns="" id="{00000000-0008-0000-0D00-0000720C0000}"/>
            </a:ext>
          </a:extLst>
        </xdr:cNvPr>
        <xdr:cNvSpPr>
          <a:spLocks noChangeAspect="1" noChangeArrowheads="1"/>
        </xdr:cNvSpPr>
      </xdr:nvSpPr>
      <xdr:spPr bwMode="auto">
        <a:xfrm>
          <a:off x="0" y="4266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342</xdr:row>
      <xdr:rowOff>0</xdr:rowOff>
    </xdr:from>
    <xdr:to>
      <xdr:col>0</xdr:col>
      <xdr:colOff>304800</xdr:colOff>
      <xdr:row>343</xdr:row>
      <xdr:rowOff>121920</xdr:rowOff>
    </xdr:to>
    <xdr:sp macro="" textlink="">
      <xdr:nvSpPr>
        <xdr:cNvPr id="3187" name="AutoShape 115" descr="St Louis Blues">
          <a:extLst>
            <a:ext uri="{FF2B5EF4-FFF2-40B4-BE49-F238E27FC236}">
              <a16:creationId xmlns:a16="http://schemas.microsoft.com/office/drawing/2014/main" xmlns="" id="{00000000-0008-0000-0D00-0000730C0000}"/>
            </a:ext>
          </a:extLst>
        </xdr:cNvPr>
        <xdr:cNvSpPr>
          <a:spLocks noChangeAspect="1" noChangeArrowheads="1"/>
        </xdr:cNvSpPr>
      </xdr:nvSpPr>
      <xdr:spPr bwMode="auto">
        <a:xfrm>
          <a:off x="0" y="43037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577</xdr:row>
      <xdr:rowOff>0</xdr:rowOff>
    </xdr:from>
    <xdr:to>
      <xdr:col>0</xdr:col>
      <xdr:colOff>304800</xdr:colOff>
      <xdr:row>578</xdr:row>
      <xdr:rowOff>121920</xdr:rowOff>
    </xdr:to>
    <xdr:sp macro="" textlink="">
      <xdr:nvSpPr>
        <xdr:cNvPr id="3188" name="AutoShape 116" descr="New York Rangers">
          <a:extLst>
            <a:ext uri="{FF2B5EF4-FFF2-40B4-BE49-F238E27FC236}">
              <a16:creationId xmlns:a16="http://schemas.microsoft.com/office/drawing/2014/main" xmlns="" id="{00000000-0008-0000-0D00-0000740C0000}"/>
            </a:ext>
          </a:extLst>
        </xdr:cNvPr>
        <xdr:cNvSpPr>
          <a:spLocks noChangeAspect="1" noChangeArrowheads="1"/>
        </xdr:cNvSpPr>
      </xdr:nvSpPr>
      <xdr:spPr bwMode="auto">
        <a:xfrm>
          <a:off x="0" y="4341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689</xdr:row>
      <xdr:rowOff>0</xdr:rowOff>
    </xdr:from>
    <xdr:to>
      <xdr:col>0</xdr:col>
      <xdr:colOff>304800</xdr:colOff>
      <xdr:row>690</xdr:row>
      <xdr:rowOff>121920</xdr:rowOff>
    </xdr:to>
    <xdr:sp macro="" textlink="">
      <xdr:nvSpPr>
        <xdr:cNvPr id="3189" name="AutoShape 117" descr="Florida Panthers">
          <a:extLst>
            <a:ext uri="{FF2B5EF4-FFF2-40B4-BE49-F238E27FC236}">
              <a16:creationId xmlns:a16="http://schemas.microsoft.com/office/drawing/2014/main" xmlns="" id="{00000000-0008-0000-0D00-0000750C0000}"/>
            </a:ext>
          </a:extLst>
        </xdr:cNvPr>
        <xdr:cNvSpPr>
          <a:spLocks noChangeAspect="1" noChangeArrowheads="1"/>
        </xdr:cNvSpPr>
      </xdr:nvSpPr>
      <xdr:spPr bwMode="auto">
        <a:xfrm>
          <a:off x="0" y="43784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645</xdr:row>
      <xdr:rowOff>0</xdr:rowOff>
    </xdr:from>
    <xdr:to>
      <xdr:col>0</xdr:col>
      <xdr:colOff>304800</xdr:colOff>
      <xdr:row>646</xdr:row>
      <xdr:rowOff>121920</xdr:rowOff>
    </xdr:to>
    <xdr:sp macro="" textlink="">
      <xdr:nvSpPr>
        <xdr:cNvPr id="3190" name="AutoShape 118" descr="Tampa Bay Lightning">
          <a:extLst>
            <a:ext uri="{FF2B5EF4-FFF2-40B4-BE49-F238E27FC236}">
              <a16:creationId xmlns:a16="http://schemas.microsoft.com/office/drawing/2014/main" xmlns="" id="{00000000-0008-0000-0D00-0000760C0000}"/>
            </a:ext>
          </a:extLst>
        </xdr:cNvPr>
        <xdr:cNvSpPr>
          <a:spLocks noChangeAspect="1" noChangeArrowheads="1"/>
        </xdr:cNvSpPr>
      </xdr:nvSpPr>
      <xdr:spPr bwMode="auto">
        <a:xfrm>
          <a:off x="0" y="441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779</xdr:row>
      <xdr:rowOff>0</xdr:rowOff>
    </xdr:from>
    <xdr:to>
      <xdr:col>0</xdr:col>
      <xdr:colOff>304800</xdr:colOff>
      <xdr:row>780</xdr:row>
      <xdr:rowOff>121920</xdr:rowOff>
    </xdr:to>
    <xdr:sp macro="" textlink="">
      <xdr:nvSpPr>
        <xdr:cNvPr id="3191" name="AutoShape 119" descr="Vegas Golden Knights">
          <a:extLst>
            <a:ext uri="{FF2B5EF4-FFF2-40B4-BE49-F238E27FC236}">
              <a16:creationId xmlns:a16="http://schemas.microsoft.com/office/drawing/2014/main" xmlns="" id="{00000000-0008-0000-0D00-0000770C0000}"/>
            </a:ext>
          </a:extLst>
        </xdr:cNvPr>
        <xdr:cNvSpPr>
          <a:spLocks noChangeAspect="1" noChangeArrowheads="1"/>
        </xdr:cNvSpPr>
      </xdr:nvSpPr>
      <xdr:spPr bwMode="auto">
        <a:xfrm>
          <a:off x="0" y="4453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604</xdr:row>
      <xdr:rowOff>0</xdr:rowOff>
    </xdr:from>
    <xdr:to>
      <xdr:col>0</xdr:col>
      <xdr:colOff>304800</xdr:colOff>
      <xdr:row>605</xdr:row>
      <xdr:rowOff>121920</xdr:rowOff>
    </xdr:to>
    <xdr:sp macro="" textlink="">
      <xdr:nvSpPr>
        <xdr:cNvPr id="3192" name="AutoShape 120" descr="Toronto Maple Leafs">
          <a:extLst>
            <a:ext uri="{FF2B5EF4-FFF2-40B4-BE49-F238E27FC236}">
              <a16:creationId xmlns:a16="http://schemas.microsoft.com/office/drawing/2014/main" xmlns="" id="{00000000-0008-0000-0D00-0000780C0000}"/>
            </a:ext>
          </a:extLst>
        </xdr:cNvPr>
        <xdr:cNvSpPr>
          <a:spLocks noChangeAspect="1" noChangeArrowheads="1"/>
        </xdr:cNvSpPr>
      </xdr:nvSpPr>
      <xdr:spPr bwMode="auto">
        <a:xfrm>
          <a:off x="0" y="4508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388</xdr:row>
      <xdr:rowOff>0</xdr:rowOff>
    </xdr:from>
    <xdr:to>
      <xdr:col>0</xdr:col>
      <xdr:colOff>304800</xdr:colOff>
      <xdr:row>389</xdr:row>
      <xdr:rowOff>121920</xdr:rowOff>
    </xdr:to>
    <xdr:sp macro="" textlink="">
      <xdr:nvSpPr>
        <xdr:cNvPr id="3193" name="AutoShape 121" descr="Detroit Red Wings">
          <a:extLst>
            <a:ext uri="{FF2B5EF4-FFF2-40B4-BE49-F238E27FC236}">
              <a16:creationId xmlns:a16="http://schemas.microsoft.com/office/drawing/2014/main" xmlns="" id="{00000000-0008-0000-0D00-0000790C0000}"/>
            </a:ext>
          </a:extLst>
        </xdr:cNvPr>
        <xdr:cNvSpPr>
          <a:spLocks noChangeAspect="1" noChangeArrowheads="1"/>
        </xdr:cNvSpPr>
      </xdr:nvSpPr>
      <xdr:spPr bwMode="auto">
        <a:xfrm>
          <a:off x="0" y="4546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375</xdr:row>
      <xdr:rowOff>0</xdr:rowOff>
    </xdr:from>
    <xdr:to>
      <xdr:col>0</xdr:col>
      <xdr:colOff>304800</xdr:colOff>
      <xdr:row>376</xdr:row>
      <xdr:rowOff>121920</xdr:rowOff>
    </xdr:to>
    <xdr:sp macro="" textlink="">
      <xdr:nvSpPr>
        <xdr:cNvPr id="3194" name="AutoShape 122" descr="Los Angeles Kings">
          <a:extLst>
            <a:ext uri="{FF2B5EF4-FFF2-40B4-BE49-F238E27FC236}">
              <a16:creationId xmlns:a16="http://schemas.microsoft.com/office/drawing/2014/main" xmlns="" id="{00000000-0008-0000-0D00-00007A0C0000}"/>
            </a:ext>
          </a:extLst>
        </xdr:cNvPr>
        <xdr:cNvSpPr>
          <a:spLocks noChangeAspect="1" noChangeArrowheads="1"/>
        </xdr:cNvSpPr>
      </xdr:nvSpPr>
      <xdr:spPr bwMode="auto">
        <a:xfrm>
          <a:off x="0" y="4583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780</xdr:row>
      <xdr:rowOff>0</xdr:rowOff>
    </xdr:from>
    <xdr:to>
      <xdr:col>0</xdr:col>
      <xdr:colOff>304800</xdr:colOff>
      <xdr:row>781</xdr:row>
      <xdr:rowOff>121920</xdr:rowOff>
    </xdr:to>
    <xdr:sp macro="" textlink="">
      <xdr:nvSpPr>
        <xdr:cNvPr id="3195" name="AutoShape 123" descr="Boston Bruins">
          <a:extLst>
            <a:ext uri="{FF2B5EF4-FFF2-40B4-BE49-F238E27FC236}">
              <a16:creationId xmlns:a16="http://schemas.microsoft.com/office/drawing/2014/main" xmlns="" id="{00000000-0008-0000-0D00-00007B0C0000}"/>
            </a:ext>
          </a:extLst>
        </xdr:cNvPr>
        <xdr:cNvSpPr>
          <a:spLocks noChangeAspect="1" noChangeArrowheads="1"/>
        </xdr:cNvSpPr>
      </xdr:nvSpPr>
      <xdr:spPr bwMode="auto">
        <a:xfrm>
          <a:off x="0" y="4620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637</xdr:row>
      <xdr:rowOff>0</xdr:rowOff>
    </xdr:from>
    <xdr:to>
      <xdr:col>0</xdr:col>
      <xdr:colOff>304800</xdr:colOff>
      <xdr:row>638</xdr:row>
      <xdr:rowOff>121920</xdr:rowOff>
    </xdr:to>
    <xdr:sp macro="" textlink="">
      <xdr:nvSpPr>
        <xdr:cNvPr id="3196" name="AutoShape 124" descr="Minnesota Wild">
          <a:extLst>
            <a:ext uri="{FF2B5EF4-FFF2-40B4-BE49-F238E27FC236}">
              <a16:creationId xmlns:a16="http://schemas.microsoft.com/office/drawing/2014/main" xmlns="" id="{00000000-0008-0000-0D00-00007C0C0000}"/>
            </a:ext>
          </a:extLst>
        </xdr:cNvPr>
        <xdr:cNvSpPr>
          <a:spLocks noChangeAspect="1" noChangeArrowheads="1"/>
        </xdr:cNvSpPr>
      </xdr:nvSpPr>
      <xdr:spPr bwMode="auto">
        <a:xfrm>
          <a:off x="0" y="4658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221</xdr:row>
      <xdr:rowOff>0</xdr:rowOff>
    </xdr:from>
    <xdr:to>
      <xdr:col>0</xdr:col>
      <xdr:colOff>304800</xdr:colOff>
      <xdr:row>222</xdr:row>
      <xdr:rowOff>121920</xdr:rowOff>
    </xdr:to>
    <xdr:sp macro="" textlink="">
      <xdr:nvSpPr>
        <xdr:cNvPr id="3197" name="AutoShape 125" descr="Vegas Golden Knights">
          <a:extLst>
            <a:ext uri="{FF2B5EF4-FFF2-40B4-BE49-F238E27FC236}">
              <a16:creationId xmlns:a16="http://schemas.microsoft.com/office/drawing/2014/main" xmlns="" id="{00000000-0008-0000-0D00-00007D0C0000}"/>
            </a:ext>
          </a:extLst>
        </xdr:cNvPr>
        <xdr:cNvSpPr>
          <a:spLocks noChangeAspect="1" noChangeArrowheads="1"/>
        </xdr:cNvSpPr>
      </xdr:nvSpPr>
      <xdr:spPr bwMode="auto">
        <a:xfrm>
          <a:off x="0" y="4695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294</xdr:row>
      <xdr:rowOff>0</xdr:rowOff>
    </xdr:from>
    <xdr:to>
      <xdr:col>0</xdr:col>
      <xdr:colOff>304800</xdr:colOff>
      <xdr:row>295</xdr:row>
      <xdr:rowOff>121920</xdr:rowOff>
    </xdr:to>
    <xdr:sp macro="" textlink="">
      <xdr:nvSpPr>
        <xdr:cNvPr id="3198" name="AutoShape 126" descr="Detroit Red Wings">
          <a:extLst>
            <a:ext uri="{FF2B5EF4-FFF2-40B4-BE49-F238E27FC236}">
              <a16:creationId xmlns:a16="http://schemas.microsoft.com/office/drawing/2014/main" xmlns="" id="{00000000-0008-0000-0D00-00007E0C0000}"/>
            </a:ext>
          </a:extLst>
        </xdr:cNvPr>
        <xdr:cNvSpPr>
          <a:spLocks noChangeAspect="1" noChangeArrowheads="1"/>
        </xdr:cNvSpPr>
      </xdr:nvSpPr>
      <xdr:spPr bwMode="auto">
        <a:xfrm>
          <a:off x="0" y="475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322</xdr:row>
      <xdr:rowOff>0</xdr:rowOff>
    </xdr:from>
    <xdr:to>
      <xdr:col>0</xdr:col>
      <xdr:colOff>304800</xdr:colOff>
      <xdr:row>323</xdr:row>
      <xdr:rowOff>121920</xdr:rowOff>
    </xdr:to>
    <xdr:sp macro="" textlink="">
      <xdr:nvSpPr>
        <xdr:cNvPr id="3199" name="AutoShape 127" descr="Anaheim Ducks">
          <a:extLst>
            <a:ext uri="{FF2B5EF4-FFF2-40B4-BE49-F238E27FC236}">
              <a16:creationId xmlns:a16="http://schemas.microsoft.com/office/drawing/2014/main" xmlns="" id="{00000000-0008-0000-0D00-00007F0C0000}"/>
            </a:ext>
          </a:extLst>
        </xdr:cNvPr>
        <xdr:cNvSpPr>
          <a:spLocks noChangeAspect="1" noChangeArrowheads="1"/>
        </xdr:cNvSpPr>
      </xdr:nvSpPr>
      <xdr:spPr bwMode="auto">
        <a:xfrm>
          <a:off x="0" y="4788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523</xdr:row>
      <xdr:rowOff>0</xdr:rowOff>
    </xdr:from>
    <xdr:to>
      <xdr:col>0</xdr:col>
      <xdr:colOff>304800</xdr:colOff>
      <xdr:row>524</xdr:row>
      <xdr:rowOff>121920</xdr:rowOff>
    </xdr:to>
    <xdr:sp macro="" textlink="">
      <xdr:nvSpPr>
        <xdr:cNvPr id="3200" name="AutoShape 128" descr="Arizona Coyotes">
          <a:extLst>
            <a:ext uri="{FF2B5EF4-FFF2-40B4-BE49-F238E27FC236}">
              <a16:creationId xmlns:a16="http://schemas.microsoft.com/office/drawing/2014/main" xmlns="" id="{00000000-0008-0000-0D00-0000800C0000}"/>
            </a:ext>
          </a:extLst>
        </xdr:cNvPr>
        <xdr:cNvSpPr>
          <a:spLocks noChangeAspect="1" noChangeArrowheads="1"/>
        </xdr:cNvSpPr>
      </xdr:nvSpPr>
      <xdr:spPr bwMode="auto">
        <a:xfrm>
          <a:off x="0" y="4825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581</xdr:row>
      <xdr:rowOff>0</xdr:rowOff>
    </xdr:from>
    <xdr:to>
      <xdr:col>0</xdr:col>
      <xdr:colOff>304800</xdr:colOff>
      <xdr:row>582</xdr:row>
      <xdr:rowOff>121920</xdr:rowOff>
    </xdr:to>
    <xdr:sp macro="" textlink="">
      <xdr:nvSpPr>
        <xdr:cNvPr id="3201" name="AutoShape 129" descr="Florida Panthers">
          <a:extLst>
            <a:ext uri="{FF2B5EF4-FFF2-40B4-BE49-F238E27FC236}">
              <a16:creationId xmlns:a16="http://schemas.microsoft.com/office/drawing/2014/main" xmlns="" id="{00000000-0008-0000-0D00-0000810C0000}"/>
            </a:ext>
          </a:extLst>
        </xdr:cNvPr>
        <xdr:cNvSpPr>
          <a:spLocks noChangeAspect="1" noChangeArrowheads="1"/>
        </xdr:cNvSpPr>
      </xdr:nvSpPr>
      <xdr:spPr bwMode="auto">
        <a:xfrm>
          <a:off x="0" y="4863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366</xdr:row>
      <xdr:rowOff>0</xdr:rowOff>
    </xdr:from>
    <xdr:to>
      <xdr:col>0</xdr:col>
      <xdr:colOff>304800</xdr:colOff>
      <xdr:row>367</xdr:row>
      <xdr:rowOff>121920</xdr:rowOff>
    </xdr:to>
    <xdr:sp macro="" textlink="">
      <xdr:nvSpPr>
        <xdr:cNvPr id="3202" name="AutoShape 130" descr="Minnesota Wild">
          <a:extLst>
            <a:ext uri="{FF2B5EF4-FFF2-40B4-BE49-F238E27FC236}">
              <a16:creationId xmlns:a16="http://schemas.microsoft.com/office/drawing/2014/main" xmlns="" id="{00000000-0008-0000-0D00-0000820C0000}"/>
            </a:ext>
          </a:extLst>
        </xdr:cNvPr>
        <xdr:cNvSpPr>
          <a:spLocks noChangeAspect="1" noChangeArrowheads="1"/>
        </xdr:cNvSpPr>
      </xdr:nvSpPr>
      <xdr:spPr bwMode="auto">
        <a:xfrm>
          <a:off x="0" y="4900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832</xdr:row>
      <xdr:rowOff>0</xdr:rowOff>
    </xdr:from>
    <xdr:to>
      <xdr:col>0</xdr:col>
      <xdr:colOff>304800</xdr:colOff>
      <xdr:row>833</xdr:row>
      <xdr:rowOff>121920</xdr:rowOff>
    </xdr:to>
    <xdr:sp macro="" textlink="">
      <xdr:nvSpPr>
        <xdr:cNvPr id="3203" name="AutoShape 131" descr="Buffalo Sabres">
          <a:extLst>
            <a:ext uri="{FF2B5EF4-FFF2-40B4-BE49-F238E27FC236}">
              <a16:creationId xmlns:a16="http://schemas.microsoft.com/office/drawing/2014/main" xmlns="" id="{00000000-0008-0000-0D00-0000830C0000}"/>
            </a:ext>
          </a:extLst>
        </xdr:cNvPr>
        <xdr:cNvSpPr>
          <a:spLocks noChangeAspect="1" noChangeArrowheads="1"/>
        </xdr:cNvSpPr>
      </xdr:nvSpPr>
      <xdr:spPr bwMode="auto">
        <a:xfrm>
          <a:off x="0" y="4937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111</xdr:row>
      <xdr:rowOff>0</xdr:rowOff>
    </xdr:from>
    <xdr:to>
      <xdr:col>0</xdr:col>
      <xdr:colOff>304800</xdr:colOff>
      <xdr:row>112</xdr:row>
      <xdr:rowOff>121920</xdr:rowOff>
    </xdr:to>
    <xdr:sp macro="" textlink="">
      <xdr:nvSpPr>
        <xdr:cNvPr id="3204" name="AutoShape 132" descr="St Louis Blues">
          <a:extLst>
            <a:ext uri="{FF2B5EF4-FFF2-40B4-BE49-F238E27FC236}">
              <a16:creationId xmlns:a16="http://schemas.microsoft.com/office/drawing/2014/main" xmlns="" id="{00000000-0008-0000-0D00-0000840C0000}"/>
            </a:ext>
          </a:extLst>
        </xdr:cNvPr>
        <xdr:cNvSpPr>
          <a:spLocks noChangeAspect="1" noChangeArrowheads="1"/>
        </xdr:cNvSpPr>
      </xdr:nvSpPr>
      <xdr:spPr bwMode="auto">
        <a:xfrm>
          <a:off x="0" y="4975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243</xdr:row>
      <xdr:rowOff>0</xdr:rowOff>
    </xdr:from>
    <xdr:to>
      <xdr:col>0</xdr:col>
      <xdr:colOff>304800</xdr:colOff>
      <xdr:row>244</xdr:row>
      <xdr:rowOff>121920</xdr:rowOff>
    </xdr:to>
    <xdr:sp macro="" textlink="">
      <xdr:nvSpPr>
        <xdr:cNvPr id="3205" name="AutoShape 133" descr="Washington Capitals">
          <a:extLst>
            <a:ext uri="{FF2B5EF4-FFF2-40B4-BE49-F238E27FC236}">
              <a16:creationId xmlns:a16="http://schemas.microsoft.com/office/drawing/2014/main" xmlns="" id="{00000000-0008-0000-0D00-0000850C0000}"/>
            </a:ext>
          </a:extLst>
        </xdr:cNvPr>
        <xdr:cNvSpPr>
          <a:spLocks noChangeAspect="1" noChangeArrowheads="1"/>
        </xdr:cNvSpPr>
      </xdr:nvSpPr>
      <xdr:spPr bwMode="auto">
        <a:xfrm>
          <a:off x="0" y="50124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xdr:row>
      <xdr:rowOff>0</xdr:rowOff>
    </xdr:from>
    <xdr:to>
      <xdr:col>0</xdr:col>
      <xdr:colOff>304800</xdr:colOff>
      <xdr:row>63</xdr:row>
      <xdr:rowOff>121920</xdr:rowOff>
    </xdr:to>
    <xdr:sp macro="" textlink="">
      <xdr:nvSpPr>
        <xdr:cNvPr id="3206" name="AutoShape 134" descr="New Jersey Devils">
          <a:extLst>
            <a:ext uri="{FF2B5EF4-FFF2-40B4-BE49-F238E27FC236}">
              <a16:creationId xmlns:a16="http://schemas.microsoft.com/office/drawing/2014/main" xmlns="" id="{00000000-0008-0000-0D00-0000860C0000}"/>
            </a:ext>
          </a:extLst>
        </xdr:cNvPr>
        <xdr:cNvSpPr>
          <a:spLocks noChangeAspect="1" noChangeArrowheads="1"/>
        </xdr:cNvSpPr>
      </xdr:nvSpPr>
      <xdr:spPr bwMode="auto">
        <a:xfrm>
          <a:off x="0" y="504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794</xdr:row>
      <xdr:rowOff>0</xdr:rowOff>
    </xdr:from>
    <xdr:to>
      <xdr:col>0</xdr:col>
      <xdr:colOff>304800</xdr:colOff>
      <xdr:row>795</xdr:row>
      <xdr:rowOff>121920</xdr:rowOff>
    </xdr:to>
    <xdr:sp macro="" textlink="">
      <xdr:nvSpPr>
        <xdr:cNvPr id="3207" name="AutoShape 135" descr="Tampa Bay Lightning">
          <a:extLst>
            <a:ext uri="{FF2B5EF4-FFF2-40B4-BE49-F238E27FC236}">
              <a16:creationId xmlns:a16="http://schemas.microsoft.com/office/drawing/2014/main" xmlns="" id="{00000000-0008-0000-0D00-0000870C0000}"/>
            </a:ext>
          </a:extLst>
        </xdr:cNvPr>
        <xdr:cNvSpPr>
          <a:spLocks noChangeAspect="1" noChangeArrowheads="1"/>
        </xdr:cNvSpPr>
      </xdr:nvSpPr>
      <xdr:spPr bwMode="auto">
        <a:xfrm>
          <a:off x="0" y="508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212</xdr:row>
      <xdr:rowOff>0</xdr:rowOff>
    </xdr:from>
    <xdr:to>
      <xdr:col>0</xdr:col>
      <xdr:colOff>304800</xdr:colOff>
      <xdr:row>213</xdr:row>
      <xdr:rowOff>121920</xdr:rowOff>
    </xdr:to>
    <xdr:sp macro="" textlink="">
      <xdr:nvSpPr>
        <xdr:cNvPr id="3208" name="AutoShape 136" descr="Detroit Red Wings">
          <a:extLst>
            <a:ext uri="{FF2B5EF4-FFF2-40B4-BE49-F238E27FC236}">
              <a16:creationId xmlns:a16="http://schemas.microsoft.com/office/drawing/2014/main" xmlns="" id="{00000000-0008-0000-0D00-0000880C0000}"/>
            </a:ext>
          </a:extLst>
        </xdr:cNvPr>
        <xdr:cNvSpPr>
          <a:spLocks noChangeAspect="1" noChangeArrowheads="1"/>
        </xdr:cNvSpPr>
      </xdr:nvSpPr>
      <xdr:spPr bwMode="auto">
        <a:xfrm>
          <a:off x="0" y="512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304800</xdr:colOff>
      <xdr:row>599</xdr:row>
      <xdr:rowOff>121920</xdr:rowOff>
    </xdr:to>
    <xdr:sp macro="" textlink="">
      <xdr:nvSpPr>
        <xdr:cNvPr id="3209" name="AutoShape 137" descr="Toronto Maple Leafs">
          <a:extLst>
            <a:ext uri="{FF2B5EF4-FFF2-40B4-BE49-F238E27FC236}">
              <a16:creationId xmlns:a16="http://schemas.microsoft.com/office/drawing/2014/main" xmlns="" id="{00000000-0008-0000-0D00-0000890C0000}"/>
            </a:ext>
          </a:extLst>
        </xdr:cNvPr>
        <xdr:cNvSpPr>
          <a:spLocks noChangeAspect="1" noChangeArrowheads="1"/>
        </xdr:cNvSpPr>
      </xdr:nvSpPr>
      <xdr:spPr bwMode="auto">
        <a:xfrm>
          <a:off x="0" y="516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543</xdr:row>
      <xdr:rowOff>0</xdr:rowOff>
    </xdr:from>
    <xdr:to>
      <xdr:col>0</xdr:col>
      <xdr:colOff>304800</xdr:colOff>
      <xdr:row>544</xdr:row>
      <xdr:rowOff>121920</xdr:rowOff>
    </xdr:to>
    <xdr:sp macro="" textlink="">
      <xdr:nvSpPr>
        <xdr:cNvPr id="3210" name="AutoShape 138" descr="Buffalo Sabres">
          <a:extLst>
            <a:ext uri="{FF2B5EF4-FFF2-40B4-BE49-F238E27FC236}">
              <a16:creationId xmlns:a16="http://schemas.microsoft.com/office/drawing/2014/main" xmlns="" id="{00000000-0008-0000-0D00-00008A0C0000}"/>
            </a:ext>
          </a:extLst>
        </xdr:cNvPr>
        <xdr:cNvSpPr>
          <a:spLocks noChangeAspect="1" noChangeArrowheads="1"/>
        </xdr:cNvSpPr>
      </xdr:nvSpPr>
      <xdr:spPr bwMode="auto">
        <a:xfrm>
          <a:off x="0" y="519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683</xdr:row>
      <xdr:rowOff>0</xdr:rowOff>
    </xdr:from>
    <xdr:to>
      <xdr:col>0</xdr:col>
      <xdr:colOff>304800</xdr:colOff>
      <xdr:row>684</xdr:row>
      <xdr:rowOff>121920</xdr:rowOff>
    </xdr:to>
    <xdr:sp macro="" textlink="">
      <xdr:nvSpPr>
        <xdr:cNvPr id="3211" name="AutoShape 139" descr="Vegas Golden Knights">
          <a:extLst>
            <a:ext uri="{FF2B5EF4-FFF2-40B4-BE49-F238E27FC236}">
              <a16:creationId xmlns:a16="http://schemas.microsoft.com/office/drawing/2014/main" xmlns="" id="{00000000-0008-0000-0D00-00008B0C0000}"/>
            </a:ext>
          </a:extLst>
        </xdr:cNvPr>
        <xdr:cNvSpPr>
          <a:spLocks noChangeAspect="1" noChangeArrowheads="1"/>
        </xdr:cNvSpPr>
      </xdr:nvSpPr>
      <xdr:spPr bwMode="auto">
        <a:xfrm>
          <a:off x="0" y="5234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435</xdr:row>
      <xdr:rowOff>0</xdr:rowOff>
    </xdr:from>
    <xdr:to>
      <xdr:col>0</xdr:col>
      <xdr:colOff>304800</xdr:colOff>
      <xdr:row>436</xdr:row>
      <xdr:rowOff>121920</xdr:rowOff>
    </xdr:to>
    <xdr:sp macro="" textlink="">
      <xdr:nvSpPr>
        <xdr:cNvPr id="3212" name="AutoShape 140" descr="New York Islanders">
          <a:extLst>
            <a:ext uri="{FF2B5EF4-FFF2-40B4-BE49-F238E27FC236}">
              <a16:creationId xmlns:a16="http://schemas.microsoft.com/office/drawing/2014/main" xmlns="" id="{00000000-0008-0000-0D00-00008C0C0000}"/>
            </a:ext>
          </a:extLst>
        </xdr:cNvPr>
        <xdr:cNvSpPr>
          <a:spLocks noChangeAspect="1" noChangeArrowheads="1"/>
        </xdr:cNvSpPr>
      </xdr:nvSpPr>
      <xdr:spPr bwMode="auto">
        <a:xfrm>
          <a:off x="0" y="5290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237</xdr:row>
      <xdr:rowOff>0</xdr:rowOff>
    </xdr:from>
    <xdr:to>
      <xdr:col>0</xdr:col>
      <xdr:colOff>304800</xdr:colOff>
      <xdr:row>238</xdr:row>
      <xdr:rowOff>121920</xdr:rowOff>
    </xdr:to>
    <xdr:sp macro="" textlink="">
      <xdr:nvSpPr>
        <xdr:cNvPr id="3213" name="AutoShape 141" descr="Pittsburgh Penguins">
          <a:extLst>
            <a:ext uri="{FF2B5EF4-FFF2-40B4-BE49-F238E27FC236}">
              <a16:creationId xmlns:a16="http://schemas.microsoft.com/office/drawing/2014/main" xmlns="" id="{00000000-0008-0000-0D00-00008D0C0000}"/>
            </a:ext>
          </a:extLst>
        </xdr:cNvPr>
        <xdr:cNvSpPr>
          <a:spLocks noChangeAspect="1" noChangeArrowheads="1"/>
        </xdr:cNvSpPr>
      </xdr:nvSpPr>
      <xdr:spPr bwMode="auto">
        <a:xfrm>
          <a:off x="0" y="53271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121920</xdr:rowOff>
    </xdr:to>
    <xdr:sp macro="" textlink="">
      <xdr:nvSpPr>
        <xdr:cNvPr id="3214" name="AutoShape 142" descr="Philadelphia Flyers">
          <a:extLst>
            <a:ext uri="{FF2B5EF4-FFF2-40B4-BE49-F238E27FC236}">
              <a16:creationId xmlns:a16="http://schemas.microsoft.com/office/drawing/2014/main" xmlns="" id="{00000000-0008-0000-0D00-00008E0C0000}"/>
            </a:ext>
          </a:extLst>
        </xdr:cNvPr>
        <xdr:cNvSpPr>
          <a:spLocks noChangeAspect="1" noChangeArrowheads="1"/>
        </xdr:cNvSpPr>
      </xdr:nvSpPr>
      <xdr:spPr bwMode="auto">
        <a:xfrm>
          <a:off x="0" y="53644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297</xdr:row>
      <xdr:rowOff>0</xdr:rowOff>
    </xdr:from>
    <xdr:to>
      <xdr:col>0</xdr:col>
      <xdr:colOff>304800</xdr:colOff>
      <xdr:row>298</xdr:row>
      <xdr:rowOff>121920</xdr:rowOff>
    </xdr:to>
    <xdr:sp macro="" textlink="">
      <xdr:nvSpPr>
        <xdr:cNvPr id="3215" name="AutoShape 143" descr="Toronto Maple Leafs">
          <a:extLst>
            <a:ext uri="{FF2B5EF4-FFF2-40B4-BE49-F238E27FC236}">
              <a16:creationId xmlns:a16="http://schemas.microsoft.com/office/drawing/2014/main" xmlns="" id="{00000000-0008-0000-0D00-00008F0C0000}"/>
            </a:ext>
          </a:extLst>
        </xdr:cNvPr>
        <xdr:cNvSpPr>
          <a:spLocks noChangeAspect="1" noChangeArrowheads="1"/>
        </xdr:cNvSpPr>
      </xdr:nvSpPr>
      <xdr:spPr bwMode="auto">
        <a:xfrm>
          <a:off x="0" y="5401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xdr:row>
      <xdr:rowOff>0</xdr:rowOff>
    </xdr:from>
    <xdr:to>
      <xdr:col>0</xdr:col>
      <xdr:colOff>304800</xdr:colOff>
      <xdr:row>37</xdr:row>
      <xdr:rowOff>121920</xdr:rowOff>
    </xdr:to>
    <xdr:sp macro="" textlink="">
      <xdr:nvSpPr>
        <xdr:cNvPr id="3216" name="AutoShape 144" descr="Vancouver Canucks">
          <a:extLst>
            <a:ext uri="{FF2B5EF4-FFF2-40B4-BE49-F238E27FC236}">
              <a16:creationId xmlns:a16="http://schemas.microsoft.com/office/drawing/2014/main" xmlns="" id="{00000000-0008-0000-0D00-0000900C0000}"/>
            </a:ext>
          </a:extLst>
        </xdr:cNvPr>
        <xdr:cNvSpPr>
          <a:spLocks noChangeAspect="1" noChangeArrowheads="1"/>
        </xdr:cNvSpPr>
      </xdr:nvSpPr>
      <xdr:spPr bwMode="auto">
        <a:xfrm>
          <a:off x="0" y="54391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121920</xdr:rowOff>
    </xdr:to>
    <xdr:sp macro="" textlink="">
      <xdr:nvSpPr>
        <xdr:cNvPr id="3217" name="AutoShape 145" descr="Dallas Stars">
          <a:extLst>
            <a:ext uri="{FF2B5EF4-FFF2-40B4-BE49-F238E27FC236}">
              <a16:creationId xmlns:a16="http://schemas.microsoft.com/office/drawing/2014/main" xmlns="" id="{00000000-0008-0000-0D00-0000910C0000}"/>
            </a:ext>
          </a:extLst>
        </xdr:cNvPr>
        <xdr:cNvSpPr>
          <a:spLocks noChangeAspect="1" noChangeArrowheads="1"/>
        </xdr:cNvSpPr>
      </xdr:nvSpPr>
      <xdr:spPr bwMode="auto">
        <a:xfrm>
          <a:off x="0" y="5476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304800</xdr:colOff>
      <xdr:row>24</xdr:row>
      <xdr:rowOff>121920</xdr:rowOff>
    </xdr:to>
    <xdr:sp macro="" textlink="">
      <xdr:nvSpPr>
        <xdr:cNvPr id="3218" name="AutoShape 146" descr="Arizona Coyotes">
          <a:extLst>
            <a:ext uri="{FF2B5EF4-FFF2-40B4-BE49-F238E27FC236}">
              <a16:creationId xmlns:a16="http://schemas.microsoft.com/office/drawing/2014/main" xmlns="" id="{00000000-0008-0000-0D00-0000920C0000}"/>
            </a:ext>
          </a:extLst>
        </xdr:cNvPr>
        <xdr:cNvSpPr>
          <a:spLocks noChangeAspect="1" noChangeArrowheads="1"/>
        </xdr:cNvSpPr>
      </xdr:nvSpPr>
      <xdr:spPr bwMode="auto">
        <a:xfrm>
          <a:off x="0" y="549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121920</xdr:rowOff>
    </xdr:to>
    <xdr:sp macro="" textlink="">
      <xdr:nvSpPr>
        <xdr:cNvPr id="3219" name="AutoShape 147" descr="Columbus Blue Jackets">
          <a:extLst>
            <a:ext uri="{FF2B5EF4-FFF2-40B4-BE49-F238E27FC236}">
              <a16:creationId xmlns:a16="http://schemas.microsoft.com/office/drawing/2014/main" xmlns="" id="{00000000-0008-0000-0D00-0000930C0000}"/>
            </a:ext>
          </a:extLst>
        </xdr:cNvPr>
        <xdr:cNvSpPr>
          <a:spLocks noChangeAspect="1" noChangeArrowheads="1"/>
        </xdr:cNvSpPr>
      </xdr:nvSpPr>
      <xdr:spPr bwMode="auto">
        <a:xfrm>
          <a:off x="0" y="553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512</xdr:row>
      <xdr:rowOff>0</xdr:rowOff>
    </xdr:from>
    <xdr:to>
      <xdr:col>0</xdr:col>
      <xdr:colOff>304800</xdr:colOff>
      <xdr:row>513</xdr:row>
      <xdr:rowOff>121920</xdr:rowOff>
    </xdr:to>
    <xdr:sp macro="" textlink="">
      <xdr:nvSpPr>
        <xdr:cNvPr id="3220" name="AutoShape 148" descr="Dallas Stars">
          <a:extLst>
            <a:ext uri="{FF2B5EF4-FFF2-40B4-BE49-F238E27FC236}">
              <a16:creationId xmlns:a16="http://schemas.microsoft.com/office/drawing/2014/main" xmlns="" id="{00000000-0008-0000-0D00-0000940C0000}"/>
            </a:ext>
          </a:extLst>
        </xdr:cNvPr>
        <xdr:cNvSpPr>
          <a:spLocks noChangeAspect="1" noChangeArrowheads="1"/>
        </xdr:cNvSpPr>
      </xdr:nvSpPr>
      <xdr:spPr bwMode="auto">
        <a:xfrm>
          <a:off x="0" y="556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724</xdr:row>
      <xdr:rowOff>0</xdr:rowOff>
    </xdr:from>
    <xdr:to>
      <xdr:col>0</xdr:col>
      <xdr:colOff>304800</xdr:colOff>
      <xdr:row>725</xdr:row>
      <xdr:rowOff>121920</xdr:rowOff>
    </xdr:to>
    <xdr:sp macro="" textlink="">
      <xdr:nvSpPr>
        <xdr:cNvPr id="3221" name="AutoShape 149" descr="New Jersey Devils">
          <a:extLst>
            <a:ext uri="{FF2B5EF4-FFF2-40B4-BE49-F238E27FC236}">
              <a16:creationId xmlns:a16="http://schemas.microsoft.com/office/drawing/2014/main" xmlns="" id="{00000000-0008-0000-0D00-0000950C0000}"/>
            </a:ext>
          </a:extLst>
        </xdr:cNvPr>
        <xdr:cNvSpPr>
          <a:spLocks noChangeAspect="1" noChangeArrowheads="1"/>
        </xdr:cNvSpPr>
      </xdr:nvSpPr>
      <xdr:spPr bwMode="auto">
        <a:xfrm>
          <a:off x="0" y="560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522</xdr:row>
      <xdr:rowOff>0</xdr:rowOff>
    </xdr:from>
    <xdr:to>
      <xdr:col>0</xdr:col>
      <xdr:colOff>304800</xdr:colOff>
      <xdr:row>523</xdr:row>
      <xdr:rowOff>121920</xdr:rowOff>
    </xdr:to>
    <xdr:sp macro="" textlink="">
      <xdr:nvSpPr>
        <xdr:cNvPr id="3222" name="AutoShape 150" descr="Ottawa Senators">
          <a:extLst>
            <a:ext uri="{FF2B5EF4-FFF2-40B4-BE49-F238E27FC236}">
              <a16:creationId xmlns:a16="http://schemas.microsoft.com/office/drawing/2014/main" xmlns="" id="{00000000-0008-0000-0D00-0000960C0000}"/>
            </a:ext>
          </a:extLst>
        </xdr:cNvPr>
        <xdr:cNvSpPr>
          <a:spLocks noChangeAspect="1" noChangeArrowheads="1"/>
        </xdr:cNvSpPr>
      </xdr:nvSpPr>
      <xdr:spPr bwMode="auto">
        <a:xfrm>
          <a:off x="0" y="564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663</xdr:row>
      <xdr:rowOff>0</xdr:rowOff>
    </xdr:from>
    <xdr:to>
      <xdr:col>0</xdr:col>
      <xdr:colOff>304800</xdr:colOff>
      <xdr:row>664</xdr:row>
      <xdr:rowOff>121920</xdr:rowOff>
    </xdr:to>
    <xdr:sp macro="" textlink="">
      <xdr:nvSpPr>
        <xdr:cNvPr id="3223" name="AutoShape 151" descr="San Jose Sharks">
          <a:extLst>
            <a:ext uri="{FF2B5EF4-FFF2-40B4-BE49-F238E27FC236}">
              <a16:creationId xmlns:a16="http://schemas.microsoft.com/office/drawing/2014/main" xmlns="" id="{00000000-0008-0000-0D00-0000970C0000}"/>
            </a:ext>
          </a:extLst>
        </xdr:cNvPr>
        <xdr:cNvSpPr>
          <a:spLocks noChangeAspect="1" noChangeArrowheads="1"/>
        </xdr:cNvSpPr>
      </xdr:nvSpPr>
      <xdr:spPr bwMode="auto">
        <a:xfrm>
          <a:off x="0" y="568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452</xdr:row>
      <xdr:rowOff>0</xdr:rowOff>
    </xdr:from>
    <xdr:to>
      <xdr:col>0</xdr:col>
      <xdr:colOff>304800</xdr:colOff>
      <xdr:row>453</xdr:row>
      <xdr:rowOff>121920</xdr:rowOff>
    </xdr:to>
    <xdr:sp macro="" textlink="">
      <xdr:nvSpPr>
        <xdr:cNvPr id="3224" name="AutoShape 152" descr="Carolina Hurricanes">
          <a:extLst>
            <a:ext uri="{FF2B5EF4-FFF2-40B4-BE49-F238E27FC236}">
              <a16:creationId xmlns:a16="http://schemas.microsoft.com/office/drawing/2014/main" xmlns="" id="{00000000-0008-0000-0D00-0000980C0000}"/>
            </a:ext>
          </a:extLst>
        </xdr:cNvPr>
        <xdr:cNvSpPr>
          <a:spLocks noChangeAspect="1" noChangeArrowheads="1"/>
        </xdr:cNvSpPr>
      </xdr:nvSpPr>
      <xdr:spPr bwMode="auto">
        <a:xfrm>
          <a:off x="0" y="571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629</xdr:row>
      <xdr:rowOff>0</xdr:rowOff>
    </xdr:from>
    <xdr:to>
      <xdr:col>0</xdr:col>
      <xdr:colOff>304800</xdr:colOff>
      <xdr:row>630</xdr:row>
      <xdr:rowOff>121920</xdr:rowOff>
    </xdr:to>
    <xdr:sp macro="" textlink="">
      <xdr:nvSpPr>
        <xdr:cNvPr id="3225" name="AutoShape 153" descr="Tampa Bay Lightning">
          <a:extLst>
            <a:ext uri="{FF2B5EF4-FFF2-40B4-BE49-F238E27FC236}">
              <a16:creationId xmlns:a16="http://schemas.microsoft.com/office/drawing/2014/main" xmlns="" id="{00000000-0008-0000-0D00-0000990C0000}"/>
            </a:ext>
          </a:extLst>
        </xdr:cNvPr>
        <xdr:cNvSpPr>
          <a:spLocks noChangeAspect="1" noChangeArrowheads="1"/>
        </xdr:cNvSpPr>
      </xdr:nvSpPr>
      <xdr:spPr bwMode="auto">
        <a:xfrm>
          <a:off x="0" y="575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150</xdr:row>
      <xdr:rowOff>0</xdr:rowOff>
    </xdr:from>
    <xdr:to>
      <xdr:col>0</xdr:col>
      <xdr:colOff>304800</xdr:colOff>
      <xdr:row>151</xdr:row>
      <xdr:rowOff>121920</xdr:rowOff>
    </xdr:to>
    <xdr:sp macro="" textlink="">
      <xdr:nvSpPr>
        <xdr:cNvPr id="3226" name="AutoShape 154" descr="Colorado Avalanche">
          <a:extLst>
            <a:ext uri="{FF2B5EF4-FFF2-40B4-BE49-F238E27FC236}">
              <a16:creationId xmlns:a16="http://schemas.microsoft.com/office/drawing/2014/main" xmlns="" id="{00000000-0008-0000-0D00-00009A0C0000}"/>
            </a:ext>
          </a:extLst>
        </xdr:cNvPr>
        <xdr:cNvSpPr>
          <a:spLocks noChangeAspect="1" noChangeArrowheads="1"/>
        </xdr:cNvSpPr>
      </xdr:nvSpPr>
      <xdr:spPr bwMode="auto">
        <a:xfrm>
          <a:off x="0" y="579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635</xdr:row>
      <xdr:rowOff>0</xdr:rowOff>
    </xdr:from>
    <xdr:to>
      <xdr:col>0</xdr:col>
      <xdr:colOff>304800</xdr:colOff>
      <xdr:row>636</xdr:row>
      <xdr:rowOff>121920</xdr:rowOff>
    </xdr:to>
    <xdr:sp macro="" textlink="">
      <xdr:nvSpPr>
        <xdr:cNvPr id="3227" name="AutoShape 155" descr="Detroit Red Wings">
          <a:extLst>
            <a:ext uri="{FF2B5EF4-FFF2-40B4-BE49-F238E27FC236}">
              <a16:creationId xmlns:a16="http://schemas.microsoft.com/office/drawing/2014/main" xmlns="" id="{00000000-0008-0000-0D00-00009B0C0000}"/>
            </a:ext>
          </a:extLst>
        </xdr:cNvPr>
        <xdr:cNvSpPr>
          <a:spLocks noChangeAspect="1" noChangeArrowheads="1"/>
        </xdr:cNvSpPr>
      </xdr:nvSpPr>
      <xdr:spPr bwMode="auto">
        <a:xfrm>
          <a:off x="0" y="583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815</xdr:row>
      <xdr:rowOff>0</xdr:rowOff>
    </xdr:from>
    <xdr:to>
      <xdr:col>0</xdr:col>
      <xdr:colOff>304800</xdr:colOff>
      <xdr:row>816</xdr:row>
      <xdr:rowOff>121920</xdr:rowOff>
    </xdr:to>
    <xdr:sp macro="" textlink="">
      <xdr:nvSpPr>
        <xdr:cNvPr id="3228" name="AutoShape 156" descr="Florida Panthers">
          <a:extLst>
            <a:ext uri="{FF2B5EF4-FFF2-40B4-BE49-F238E27FC236}">
              <a16:creationId xmlns:a16="http://schemas.microsoft.com/office/drawing/2014/main" xmlns="" id="{00000000-0008-0000-0D00-00009C0C0000}"/>
            </a:ext>
          </a:extLst>
        </xdr:cNvPr>
        <xdr:cNvSpPr>
          <a:spLocks noChangeAspect="1" noChangeArrowheads="1"/>
        </xdr:cNvSpPr>
      </xdr:nvSpPr>
      <xdr:spPr bwMode="auto">
        <a:xfrm>
          <a:off x="0" y="586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319</xdr:row>
      <xdr:rowOff>0</xdr:rowOff>
    </xdr:from>
    <xdr:to>
      <xdr:col>0</xdr:col>
      <xdr:colOff>304800</xdr:colOff>
      <xdr:row>320</xdr:row>
      <xdr:rowOff>121920</xdr:rowOff>
    </xdr:to>
    <xdr:sp macro="" textlink="">
      <xdr:nvSpPr>
        <xdr:cNvPr id="3229" name="AutoShape 157" descr="Detroit Red Wings">
          <a:extLst>
            <a:ext uri="{FF2B5EF4-FFF2-40B4-BE49-F238E27FC236}">
              <a16:creationId xmlns:a16="http://schemas.microsoft.com/office/drawing/2014/main" xmlns="" id="{00000000-0008-0000-0D00-00009D0C0000}"/>
            </a:ext>
          </a:extLst>
        </xdr:cNvPr>
        <xdr:cNvSpPr>
          <a:spLocks noChangeAspect="1" noChangeArrowheads="1"/>
        </xdr:cNvSpPr>
      </xdr:nvSpPr>
      <xdr:spPr bwMode="auto">
        <a:xfrm>
          <a:off x="0" y="590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529</xdr:row>
      <xdr:rowOff>0</xdr:rowOff>
    </xdr:from>
    <xdr:to>
      <xdr:col>0</xdr:col>
      <xdr:colOff>304800</xdr:colOff>
      <xdr:row>530</xdr:row>
      <xdr:rowOff>121920</xdr:rowOff>
    </xdr:to>
    <xdr:sp macro="" textlink="">
      <xdr:nvSpPr>
        <xdr:cNvPr id="3230" name="AutoShape 158" descr="Dallas Stars">
          <a:extLst>
            <a:ext uri="{FF2B5EF4-FFF2-40B4-BE49-F238E27FC236}">
              <a16:creationId xmlns:a16="http://schemas.microsoft.com/office/drawing/2014/main" xmlns="" id="{00000000-0008-0000-0D00-00009E0C0000}"/>
            </a:ext>
          </a:extLst>
        </xdr:cNvPr>
        <xdr:cNvSpPr>
          <a:spLocks noChangeAspect="1" noChangeArrowheads="1"/>
        </xdr:cNvSpPr>
      </xdr:nvSpPr>
      <xdr:spPr bwMode="auto">
        <a:xfrm>
          <a:off x="0" y="594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430</xdr:row>
      <xdr:rowOff>0</xdr:rowOff>
    </xdr:from>
    <xdr:to>
      <xdr:col>0</xdr:col>
      <xdr:colOff>304800</xdr:colOff>
      <xdr:row>431</xdr:row>
      <xdr:rowOff>121920</xdr:rowOff>
    </xdr:to>
    <xdr:sp macro="" textlink="">
      <xdr:nvSpPr>
        <xdr:cNvPr id="3231" name="AutoShape 159" descr="Philadelphia Flyers">
          <a:extLst>
            <a:ext uri="{FF2B5EF4-FFF2-40B4-BE49-F238E27FC236}">
              <a16:creationId xmlns:a16="http://schemas.microsoft.com/office/drawing/2014/main" xmlns="" id="{00000000-0008-0000-0D00-00009F0C0000}"/>
            </a:ext>
          </a:extLst>
        </xdr:cNvPr>
        <xdr:cNvSpPr>
          <a:spLocks noChangeAspect="1" noChangeArrowheads="1"/>
        </xdr:cNvSpPr>
      </xdr:nvSpPr>
      <xdr:spPr bwMode="auto">
        <a:xfrm>
          <a:off x="0" y="597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711</xdr:row>
      <xdr:rowOff>0</xdr:rowOff>
    </xdr:from>
    <xdr:to>
      <xdr:col>0</xdr:col>
      <xdr:colOff>304800</xdr:colOff>
      <xdr:row>712</xdr:row>
      <xdr:rowOff>121920</xdr:rowOff>
    </xdr:to>
    <xdr:sp macro="" textlink="">
      <xdr:nvSpPr>
        <xdr:cNvPr id="3232" name="AutoShape 160" descr="Tampa Bay Lightning">
          <a:extLst>
            <a:ext uri="{FF2B5EF4-FFF2-40B4-BE49-F238E27FC236}">
              <a16:creationId xmlns:a16="http://schemas.microsoft.com/office/drawing/2014/main" xmlns="" id="{00000000-0008-0000-0D00-0000A00C0000}"/>
            </a:ext>
          </a:extLst>
        </xdr:cNvPr>
        <xdr:cNvSpPr>
          <a:spLocks noChangeAspect="1" noChangeArrowheads="1"/>
        </xdr:cNvSpPr>
      </xdr:nvSpPr>
      <xdr:spPr bwMode="auto">
        <a:xfrm>
          <a:off x="0" y="601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177</xdr:row>
      <xdr:rowOff>0</xdr:rowOff>
    </xdr:from>
    <xdr:to>
      <xdr:col>0</xdr:col>
      <xdr:colOff>304800</xdr:colOff>
      <xdr:row>178</xdr:row>
      <xdr:rowOff>121920</xdr:rowOff>
    </xdr:to>
    <xdr:sp macro="" textlink="">
      <xdr:nvSpPr>
        <xdr:cNvPr id="3233" name="AutoShape 161" descr="Ottawa Senators">
          <a:extLst>
            <a:ext uri="{FF2B5EF4-FFF2-40B4-BE49-F238E27FC236}">
              <a16:creationId xmlns:a16="http://schemas.microsoft.com/office/drawing/2014/main" xmlns="" id="{00000000-0008-0000-0D00-0000A10C0000}"/>
            </a:ext>
          </a:extLst>
        </xdr:cNvPr>
        <xdr:cNvSpPr>
          <a:spLocks noChangeAspect="1" noChangeArrowheads="1"/>
        </xdr:cNvSpPr>
      </xdr:nvSpPr>
      <xdr:spPr bwMode="auto">
        <a:xfrm>
          <a:off x="0" y="605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485</xdr:row>
      <xdr:rowOff>0</xdr:rowOff>
    </xdr:from>
    <xdr:to>
      <xdr:col>0</xdr:col>
      <xdr:colOff>304800</xdr:colOff>
      <xdr:row>486</xdr:row>
      <xdr:rowOff>121920</xdr:rowOff>
    </xdr:to>
    <xdr:sp macro="" textlink="">
      <xdr:nvSpPr>
        <xdr:cNvPr id="3234" name="AutoShape 162" descr="New Jersey Devils">
          <a:extLst>
            <a:ext uri="{FF2B5EF4-FFF2-40B4-BE49-F238E27FC236}">
              <a16:creationId xmlns:a16="http://schemas.microsoft.com/office/drawing/2014/main" xmlns="" id="{00000000-0008-0000-0D00-0000A20C0000}"/>
            </a:ext>
          </a:extLst>
        </xdr:cNvPr>
        <xdr:cNvSpPr>
          <a:spLocks noChangeAspect="1" noChangeArrowheads="1"/>
        </xdr:cNvSpPr>
      </xdr:nvSpPr>
      <xdr:spPr bwMode="auto">
        <a:xfrm>
          <a:off x="0" y="609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759</xdr:row>
      <xdr:rowOff>0</xdr:rowOff>
    </xdr:from>
    <xdr:to>
      <xdr:col>0</xdr:col>
      <xdr:colOff>304800</xdr:colOff>
      <xdr:row>760</xdr:row>
      <xdr:rowOff>121920</xdr:rowOff>
    </xdr:to>
    <xdr:sp macro="" textlink="">
      <xdr:nvSpPr>
        <xdr:cNvPr id="3235" name="AutoShape 163" descr="Calgary Flames">
          <a:extLst>
            <a:ext uri="{FF2B5EF4-FFF2-40B4-BE49-F238E27FC236}">
              <a16:creationId xmlns:a16="http://schemas.microsoft.com/office/drawing/2014/main" xmlns="" id="{00000000-0008-0000-0D00-0000A30C0000}"/>
            </a:ext>
          </a:extLst>
        </xdr:cNvPr>
        <xdr:cNvSpPr>
          <a:spLocks noChangeAspect="1" noChangeArrowheads="1"/>
        </xdr:cNvSpPr>
      </xdr:nvSpPr>
      <xdr:spPr bwMode="auto">
        <a:xfrm>
          <a:off x="0" y="612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164</xdr:row>
      <xdr:rowOff>0</xdr:rowOff>
    </xdr:from>
    <xdr:to>
      <xdr:col>0</xdr:col>
      <xdr:colOff>304800</xdr:colOff>
      <xdr:row>165</xdr:row>
      <xdr:rowOff>121920</xdr:rowOff>
    </xdr:to>
    <xdr:sp macro="" textlink="">
      <xdr:nvSpPr>
        <xdr:cNvPr id="3236" name="AutoShape 164" descr="New York Rangers">
          <a:extLst>
            <a:ext uri="{FF2B5EF4-FFF2-40B4-BE49-F238E27FC236}">
              <a16:creationId xmlns:a16="http://schemas.microsoft.com/office/drawing/2014/main" xmlns="" id="{00000000-0008-0000-0D00-0000A40C0000}"/>
            </a:ext>
          </a:extLst>
        </xdr:cNvPr>
        <xdr:cNvSpPr>
          <a:spLocks noChangeAspect="1" noChangeArrowheads="1"/>
        </xdr:cNvSpPr>
      </xdr:nvSpPr>
      <xdr:spPr bwMode="auto">
        <a:xfrm>
          <a:off x="0" y="616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460</xdr:row>
      <xdr:rowOff>0</xdr:rowOff>
    </xdr:from>
    <xdr:to>
      <xdr:col>0</xdr:col>
      <xdr:colOff>304800</xdr:colOff>
      <xdr:row>461</xdr:row>
      <xdr:rowOff>121920</xdr:rowOff>
    </xdr:to>
    <xdr:sp macro="" textlink="">
      <xdr:nvSpPr>
        <xdr:cNvPr id="3237" name="AutoShape 165" descr="Montreal Canadiens">
          <a:extLst>
            <a:ext uri="{FF2B5EF4-FFF2-40B4-BE49-F238E27FC236}">
              <a16:creationId xmlns:a16="http://schemas.microsoft.com/office/drawing/2014/main" xmlns="" id="{00000000-0008-0000-0D00-0000A50C0000}"/>
            </a:ext>
          </a:extLst>
        </xdr:cNvPr>
        <xdr:cNvSpPr>
          <a:spLocks noChangeAspect="1" noChangeArrowheads="1"/>
        </xdr:cNvSpPr>
      </xdr:nvSpPr>
      <xdr:spPr bwMode="auto">
        <a:xfrm>
          <a:off x="0" y="620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793</xdr:row>
      <xdr:rowOff>0</xdr:rowOff>
    </xdr:from>
    <xdr:to>
      <xdr:col>0</xdr:col>
      <xdr:colOff>304800</xdr:colOff>
      <xdr:row>794</xdr:row>
      <xdr:rowOff>121920</xdr:rowOff>
    </xdr:to>
    <xdr:sp macro="" textlink="">
      <xdr:nvSpPr>
        <xdr:cNvPr id="3238" name="AutoShape 166" descr="Minnesota Wild">
          <a:extLst>
            <a:ext uri="{FF2B5EF4-FFF2-40B4-BE49-F238E27FC236}">
              <a16:creationId xmlns:a16="http://schemas.microsoft.com/office/drawing/2014/main" xmlns="" id="{00000000-0008-0000-0D00-0000A60C0000}"/>
            </a:ext>
          </a:extLst>
        </xdr:cNvPr>
        <xdr:cNvSpPr>
          <a:spLocks noChangeAspect="1" noChangeArrowheads="1"/>
        </xdr:cNvSpPr>
      </xdr:nvSpPr>
      <xdr:spPr bwMode="auto">
        <a:xfrm>
          <a:off x="0" y="6240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801</xdr:row>
      <xdr:rowOff>0</xdr:rowOff>
    </xdr:from>
    <xdr:to>
      <xdr:col>0</xdr:col>
      <xdr:colOff>304800</xdr:colOff>
      <xdr:row>802</xdr:row>
      <xdr:rowOff>121920</xdr:rowOff>
    </xdr:to>
    <xdr:sp macro="" textlink="">
      <xdr:nvSpPr>
        <xdr:cNvPr id="3239" name="AutoShape 167" descr="Los Angeles Kings">
          <a:extLst>
            <a:ext uri="{FF2B5EF4-FFF2-40B4-BE49-F238E27FC236}">
              <a16:creationId xmlns:a16="http://schemas.microsoft.com/office/drawing/2014/main" xmlns="" id="{00000000-0008-0000-0D00-0000A70C0000}"/>
            </a:ext>
          </a:extLst>
        </xdr:cNvPr>
        <xdr:cNvSpPr>
          <a:spLocks noChangeAspect="1" noChangeArrowheads="1"/>
        </xdr:cNvSpPr>
      </xdr:nvSpPr>
      <xdr:spPr bwMode="auto">
        <a:xfrm>
          <a:off x="0" y="62781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518</xdr:row>
      <xdr:rowOff>0</xdr:rowOff>
    </xdr:from>
    <xdr:to>
      <xdr:col>0</xdr:col>
      <xdr:colOff>304800</xdr:colOff>
      <xdr:row>519</xdr:row>
      <xdr:rowOff>121920</xdr:rowOff>
    </xdr:to>
    <xdr:sp macro="" textlink="">
      <xdr:nvSpPr>
        <xdr:cNvPr id="3240" name="AutoShape 168" descr="New Jersey Devils">
          <a:extLst>
            <a:ext uri="{FF2B5EF4-FFF2-40B4-BE49-F238E27FC236}">
              <a16:creationId xmlns:a16="http://schemas.microsoft.com/office/drawing/2014/main" xmlns="" id="{00000000-0008-0000-0D00-0000A80C0000}"/>
            </a:ext>
          </a:extLst>
        </xdr:cNvPr>
        <xdr:cNvSpPr>
          <a:spLocks noChangeAspect="1" noChangeArrowheads="1"/>
        </xdr:cNvSpPr>
      </xdr:nvSpPr>
      <xdr:spPr bwMode="auto">
        <a:xfrm>
          <a:off x="0" y="63154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xdr:row>
      <xdr:rowOff>0</xdr:rowOff>
    </xdr:from>
    <xdr:to>
      <xdr:col>0</xdr:col>
      <xdr:colOff>304800</xdr:colOff>
      <xdr:row>76</xdr:row>
      <xdr:rowOff>121920</xdr:rowOff>
    </xdr:to>
    <xdr:sp macro="" textlink="">
      <xdr:nvSpPr>
        <xdr:cNvPr id="3241" name="AutoShape 169" descr="Chicago Blackhawks">
          <a:extLst>
            <a:ext uri="{FF2B5EF4-FFF2-40B4-BE49-F238E27FC236}">
              <a16:creationId xmlns:a16="http://schemas.microsoft.com/office/drawing/2014/main" xmlns="" id="{00000000-0008-0000-0D00-0000A90C0000}"/>
            </a:ext>
          </a:extLst>
        </xdr:cNvPr>
        <xdr:cNvSpPr>
          <a:spLocks noChangeAspect="1" noChangeArrowheads="1"/>
        </xdr:cNvSpPr>
      </xdr:nvSpPr>
      <xdr:spPr bwMode="auto">
        <a:xfrm>
          <a:off x="0" y="6352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608</xdr:row>
      <xdr:rowOff>0</xdr:rowOff>
    </xdr:from>
    <xdr:to>
      <xdr:col>0</xdr:col>
      <xdr:colOff>304800</xdr:colOff>
      <xdr:row>609</xdr:row>
      <xdr:rowOff>121920</xdr:rowOff>
    </xdr:to>
    <xdr:sp macro="" textlink="">
      <xdr:nvSpPr>
        <xdr:cNvPr id="3242" name="AutoShape 170" descr="Toronto Maple Leafs">
          <a:extLst>
            <a:ext uri="{FF2B5EF4-FFF2-40B4-BE49-F238E27FC236}">
              <a16:creationId xmlns:a16="http://schemas.microsoft.com/office/drawing/2014/main" xmlns="" id="{00000000-0008-0000-0D00-0000AA0C0000}"/>
            </a:ext>
          </a:extLst>
        </xdr:cNvPr>
        <xdr:cNvSpPr>
          <a:spLocks noChangeAspect="1" noChangeArrowheads="1"/>
        </xdr:cNvSpPr>
      </xdr:nvSpPr>
      <xdr:spPr bwMode="auto">
        <a:xfrm>
          <a:off x="0" y="6390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368</xdr:row>
      <xdr:rowOff>0</xdr:rowOff>
    </xdr:from>
    <xdr:to>
      <xdr:col>0</xdr:col>
      <xdr:colOff>304800</xdr:colOff>
      <xdr:row>369</xdr:row>
      <xdr:rowOff>121920</xdr:rowOff>
    </xdr:to>
    <xdr:sp macro="" textlink="">
      <xdr:nvSpPr>
        <xdr:cNvPr id="3243" name="AutoShape 171" descr="Arizona Coyotes">
          <a:extLst>
            <a:ext uri="{FF2B5EF4-FFF2-40B4-BE49-F238E27FC236}">
              <a16:creationId xmlns:a16="http://schemas.microsoft.com/office/drawing/2014/main" xmlns="" id="{00000000-0008-0000-0D00-0000AB0C0000}"/>
            </a:ext>
          </a:extLst>
        </xdr:cNvPr>
        <xdr:cNvSpPr>
          <a:spLocks noChangeAspect="1" noChangeArrowheads="1"/>
        </xdr:cNvSpPr>
      </xdr:nvSpPr>
      <xdr:spPr bwMode="auto">
        <a:xfrm>
          <a:off x="0" y="6427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632</xdr:row>
      <xdr:rowOff>0</xdr:rowOff>
    </xdr:from>
    <xdr:to>
      <xdr:col>0</xdr:col>
      <xdr:colOff>304800</xdr:colOff>
      <xdr:row>633</xdr:row>
      <xdr:rowOff>121920</xdr:rowOff>
    </xdr:to>
    <xdr:sp macro="" textlink="">
      <xdr:nvSpPr>
        <xdr:cNvPr id="3244" name="AutoShape 172" descr="Toronto Maple Leafs">
          <a:extLst>
            <a:ext uri="{FF2B5EF4-FFF2-40B4-BE49-F238E27FC236}">
              <a16:creationId xmlns:a16="http://schemas.microsoft.com/office/drawing/2014/main" xmlns="" id="{00000000-0008-0000-0D00-0000AC0C0000}"/>
            </a:ext>
          </a:extLst>
        </xdr:cNvPr>
        <xdr:cNvSpPr>
          <a:spLocks noChangeAspect="1" noChangeArrowheads="1"/>
        </xdr:cNvSpPr>
      </xdr:nvSpPr>
      <xdr:spPr bwMode="auto">
        <a:xfrm>
          <a:off x="0" y="64648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742</xdr:row>
      <xdr:rowOff>0</xdr:rowOff>
    </xdr:from>
    <xdr:to>
      <xdr:col>0</xdr:col>
      <xdr:colOff>304800</xdr:colOff>
      <xdr:row>743</xdr:row>
      <xdr:rowOff>121920</xdr:rowOff>
    </xdr:to>
    <xdr:sp macro="" textlink="">
      <xdr:nvSpPr>
        <xdr:cNvPr id="3245" name="AutoShape 173" descr="Philadelphia Flyers">
          <a:extLst>
            <a:ext uri="{FF2B5EF4-FFF2-40B4-BE49-F238E27FC236}">
              <a16:creationId xmlns:a16="http://schemas.microsoft.com/office/drawing/2014/main" xmlns="" id="{00000000-0008-0000-0D00-0000AD0C0000}"/>
            </a:ext>
          </a:extLst>
        </xdr:cNvPr>
        <xdr:cNvSpPr>
          <a:spLocks noChangeAspect="1" noChangeArrowheads="1"/>
        </xdr:cNvSpPr>
      </xdr:nvSpPr>
      <xdr:spPr bwMode="auto">
        <a:xfrm>
          <a:off x="0" y="6501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121920</xdr:rowOff>
    </xdr:to>
    <xdr:sp macro="" textlink="">
      <xdr:nvSpPr>
        <xdr:cNvPr id="3246" name="AutoShape 174" descr="Tampa Bay Lightning">
          <a:extLst>
            <a:ext uri="{FF2B5EF4-FFF2-40B4-BE49-F238E27FC236}">
              <a16:creationId xmlns:a16="http://schemas.microsoft.com/office/drawing/2014/main" xmlns="" id="{00000000-0008-0000-0D00-0000AE0C0000}"/>
            </a:ext>
          </a:extLst>
        </xdr:cNvPr>
        <xdr:cNvSpPr>
          <a:spLocks noChangeAspect="1" noChangeArrowheads="1"/>
        </xdr:cNvSpPr>
      </xdr:nvSpPr>
      <xdr:spPr bwMode="auto">
        <a:xfrm>
          <a:off x="0" y="655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537</xdr:row>
      <xdr:rowOff>0</xdr:rowOff>
    </xdr:from>
    <xdr:to>
      <xdr:col>0</xdr:col>
      <xdr:colOff>304800</xdr:colOff>
      <xdr:row>538</xdr:row>
      <xdr:rowOff>121920</xdr:rowOff>
    </xdr:to>
    <xdr:sp macro="" textlink="">
      <xdr:nvSpPr>
        <xdr:cNvPr id="3247" name="AutoShape 175" descr="New York Rangers">
          <a:extLst>
            <a:ext uri="{FF2B5EF4-FFF2-40B4-BE49-F238E27FC236}">
              <a16:creationId xmlns:a16="http://schemas.microsoft.com/office/drawing/2014/main" xmlns="" id="{00000000-0008-0000-0D00-0000AF0C0000}"/>
            </a:ext>
          </a:extLst>
        </xdr:cNvPr>
        <xdr:cNvSpPr>
          <a:spLocks noChangeAspect="1" noChangeArrowheads="1"/>
        </xdr:cNvSpPr>
      </xdr:nvSpPr>
      <xdr:spPr bwMode="auto">
        <a:xfrm>
          <a:off x="0" y="659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789</xdr:row>
      <xdr:rowOff>0</xdr:rowOff>
    </xdr:from>
    <xdr:to>
      <xdr:col>0</xdr:col>
      <xdr:colOff>304800</xdr:colOff>
      <xdr:row>790</xdr:row>
      <xdr:rowOff>121920</xdr:rowOff>
    </xdr:to>
    <xdr:sp macro="" textlink="">
      <xdr:nvSpPr>
        <xdr:cNvPr id="3248" name="AutoShape 176" descr="Calgary Flames">
          <a:extLst>
            <a:ext uri="{FF2B5EF4-FFF2-40B4-BE49-F238E27FC236}">
              <a16:creationId xmlns:a16="http://schemas.microsoft.com/office/drawing/2014/main" xmlns="" id="{00000000-0008-0000-0D00-0000B00C0000}"/>
            </a:ext>
          </a:extLst>
        </xdr:cNvPr>
        <xdr:cNvSpPr>
          <a:spLocks noChangeAspect="1" noChangeArrowheads="1"/>
        </xdr:cNvSpPr>
      </xdr:nvSpPr>
      <xdr:spPr bwMode="auto">
        <a:xfrm>
          <a:off x="0" y="663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555</xdr:row>
      <xdr:rowOff>0</xdr:rowOff>
    </xdr:from>
    <xdr:to>
      <xdr:col>0</xdr:col>
      <xdr:colOff>304800</xdr:colOff>
      <xdr:row>556</xdr:row>
      <xdr:rowOff>121920</xdr:rowOff>
    </xdr:to>
    <xdr:sp macro="" textlink="">
      <xdr:nvSpPr>
        <xdr:cNvPr id="3249" name="AutoShape 177" descr="Montreal Canadiens">
          <a:extLst>
            <a:ext uri="{FF2B5EF4-FFF2-40B4-BE49-F238E27FC236}">
              <a16:creationId xmlns:a16="http://schemas.microsoft.com/office/drawing/2014/main" xmlns="" id="{00000000-0008-0000-0D00-0000B10C0000}"/>
            </a:ext>
          </a:extLst>
        </xdr:cNvPr>
        <xdr:cNvSpPr>
          <a:spLocks noChangeAspect="1" noChangeArrowheads="1"/>
        </xdr:cNvSpPr>
      </xdr:nvSpPr>
      <xdr:spPr bwMode="auto">
        <a:xfrm>
          <a:off x="0" y="666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456</xdr:row>
      <xdr:rowOff>0</xdr:rowOff>
    </xdr:from>
    <xdr:to>
      <xdr:col>0</xdr:col>
      <xdr:colOff>304800</xdr:colOff>
      <xdr:row>457</xdr:row>
      <xdr:rowOff>121920</xdr:rowOff>
    </xdr:to>
    <xdr:sp macro="" textlink="">
      <xdr:nvSpPr>
        <xdr:cNvPr id="3250" name="AutoShape 178" descr="Carolina Hurricanes">
          <a:extLst>
            <a:ext uri="{FF2B5EF4-FFF2-40B4-BE49-F238E27FC236}">
              <a16:creationId xmlns:a16="http://schemas.microsoft.com/office/drawing/2014/main" xmlns="" id="{00000000-0008-0000-0D00-0000B20C0000}"/>
            </a:ext>
          </a:extLst>
        </xdr:cNvPr>
        <xdr:cNvSpPr>
          <a:spLocks noChangeAspect="1" noChangeArrowheads="1"/>
        </xdr:cNvSpPr>
      </xdr:nvSpPr>
      <xdr:spPr bwMode="auto">
        <a:xfrm>
          <a:off x="0" y="670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xdr:row>
      <xdr:rowOff>0</xdr:rowOff>
    </xdr:from>
    <xdr:to>
      <xdr:col>0</xdr:col>
      <xdr:colOff>304800</xdr:colOff>
      <xdr:row>27</xdr:row>
      <xdr:rowOff>121920</xdr:rowOff>
    </xdr:to>
    <xdr:sp macro="" textlink="">
      <xdr:nvSpPr>
        <xdr:cNvPr id="3251" name="AutoShape 179" descr="Tampa Bay Lightning">
          <a:extLst>
            <a:ext uri="{FF2B5EF4-FFF2-40B4-BE49-F238E27FC236}">
              <a16:creationId xmlns:a16="http://schemas.microsoft.com/office/drawing/2014/main" xmlns="" id="{00000000-0008-0000-0D00-0000B30C0000}"/>
            </a:ext>
          </a:extLst>
        </xdr:cNvPr>
        <xdr:cNvSpPr>
          <a:spLocks noChangeAspect="1" noChangeArrowheads="1"/>
        </xdr:cNvSpPr>
      </xdr:nvSpPr>
      <xdr:spPr bwMode="auto">
        <a:xfrm>
          <a:off x="0" y="674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169</xdr:row>
      <xdr:rowOff>0</xdr:rowOff>
    </xdr:from>
    <xdr:to>
      <xdr:col>0</xdr:col>
      <xdr:colOff>304800</xdr:colOff>
      <xdr:row>170</xdr:row>
      <xdr:rowOff>121920</xdr:rowOff>
    </xdr:to>
    <xdr:sp macro="" textlink="">
      <xdr:nvSpPr>
        <xdr:cNvPr id="3252" name="AutoShape 180" descr="Vancouver Canucks">
          <a:extLst>
            <a:ext uri="{FF2B5EF4-FFF2-40B4-BE49-F238E27FC236}">
              <a16:creationId xmlns:a16="http://schemas.microsoft.com/office/drawing/2014/main" xmlns="" id="{00000000-0008-0000-0D00-0000B40C0000}"/>
            </a:ext>
          </a:extLst>
        </xdr:cNvPr>
        <xdr:cNvSpPr>
          <a:spLocks noChangeAspect="1" noChangeArrowheads="1"/>
        </xdr:cNvSpPr>
      </xdr:nvSpPr>
      <xdr:spPr bwMode="auto">
        <a:xfrm>
          <a:off x="0" y="6779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109</xdr:row>
      <xdr:rowOff>0</xdr:rowOff>
    </xdr:from>
    <xdr:to>
      <xdr:col>0</xdr:col>
      <xdr:colOff>304800</xdr:colOff>
      <xdr:row>110</xdr:row>
      <xdr:rowOff>121920</xdr:rowOff>
    </xdr:to>
    <xdr:sp macro="" textlink="">
      <xdr:nvSpPr>
        <xdr:cNvPr id="3253" name="AutoShape 181" descr="Vancouver Canucks">
          <a:extLst>
            <a:ext uri="{FF2B5EF4-FFF2-40B4-BE49-F238E27FC236}">
              <a16:creationId xmlns:a16="http://schemas.microsoft.com/office/drawing/2014/main" xmlns="" id="{00000000-0008-0000-0D00-0000B50C0000}"/>
            </a:ext>
          </a:extLst>
        </xdr:cNvPr>
        <xdr:cNvSpPr>
          <a:spLocks noChangeAspect="1" noChangeArrowheads="1"/>
        </xdr:cNvSpPr>
      </xdr:nvSpPr>
      <xdr:spPr bwMode="auto">
        <a:xfrm>
          <a:off x="0" y="6816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xdr:row>
      <xdr:rowOff>0</xdr:rowOff>
    </xdr:from>
    <xdr:to>
      <xdr:col>0</xdr:col>
      <xdr:colOff>304800</xdr:colOff>
      <xdr:row>120</xdr:row>
      <xdr:rowOff>121920</xdr:rowOff>
    </xdr:to>
    <xdr:sp macro="" textlink="">
      <xdr:nvSpPr>
        <xdr:cNvPr id="3254" name="AutoShape 182" descr="New York Rangers">
          <a:extLst>
            <a:ext uri="{FF2B5EF4-FFF2-40B4-BE49-F238E27FC236}">
              <a16:creationId xmlns:a16="http://schemas.microsoft.com/office/drawing/2014/main" xmlns="" id="{00000000-0008-0000-0D00-0000B60C0000}"/>
            </a:ext>
          </a:extLst>
        </xdr:cNvPr>
        <xdr:cNvSpPr>
          <a:spLocks noChangeAspect="1" noChangeArrowheads="1"/>
        </xdr:cNvSpPr>
      </xdr:nvSpPr>
      <xdr:spPr bwMode="auto">
        <a:xfrm>
          <a:off x="0" y="6854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343</xdr:row>
      <xdr:rowOff>0</xdr:rowOff>
    </xdr:from>
    <xdr:to>
      <xdr:col>0</xdr:col>
      <xdr:colOff>304800</xdr:colOff>
      <xdr:row>344</xdr:row>
      <xdr:rowOff>121920</xdr:rowOff>
    </xdr:to>
    <xdr:sp macro="" textlink="">
      <xdr:nvSpPr>
        <xdr:cNvPr id="3255" name="AutoShape 183" descr="St Louis Blues">
          <a:extLst>
            <a:ext uri="{FF2B5EF4-FFF2-40B4-BE49-F238E27FC236}">
              <a16:creationId xmlns:a16="http://schemas.microsoft.com/office/drawing/2014/main" xmlns="" id="{00000000-0008-0000-0D00-0000B70C0000}"/>
            </a:ext>
          </a:extLst>
        </xdr:cNvPr>
        <xdr:cNvSpPr>
          <a:spLocks noChangeAspect="1" noChangeArrowheads="1"/>
        </xdr:cNvSpPr>
      </xdr:nvSpPr>
      <xdr:spPr bwMode="auto">
        <a:xfrm>
          <a:off x="0" y="68915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731</xdr:row>
      <xdr:rowOff>0</xdr:rowOff>
    </xdr:from>
    <xdr:to>
      <xdr:col>0</xdr:col>
      <xdr:colOff>304800</xdr:colOff>
      <xdr:row>732</xdr:row>
      <xdr:rowOff>121920</xdr:rowOff>
    </xdr:to>
    <xdr:sp macro="" textlink="">
      <xdr:nvSpPr>
        <xdr:cNvPr id="3256" name="AutoShape 184" descr="Philadelphia Flyers">
          <a:extLst>
            <a:ext uri="{FF2B5EF4-FFF2-40B4-BE49-F238E27FC236}">
              <a16:creationId xmlns:a16="http://schemas.microsoft.com/office/drawing/2014/main" xmlns="" id="{00000000-0008-0000-0D00-0000B80C0000}"/>
            </a:ext>
          </a:extLst>
        </xdr:cNvPr>
        <xdr:cNvSpPr>
          <a:spLocks noChangeAspect="1" noChangeArrowheads="1"/>
        </xdr:cNvSpPr>
      </xdr:nvSpPr>
      <xdr:spPr bwMode="auto">
        <a:xfrm>
          <a:off x="0" y="6928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238</xdr:row>
      <xdr:rowOff>0</xdr:rowOff>
    </xdr:from>
    <xdr:to>
      <xdr:col>0</xdr:col>
      <xdr:colOff>304800</xdr:colOff>
      <xdr:row>239</xdr:row>
      <xdr:rowOff>121920</xdr:rowOff>
    </xdr:to>
    <xdr:sp macro="" textlink="">
      <xdr:nvSpPr>
        <xdr:cNvPr id="3257" name="AutoShape 185" descr="Minnesota Wild">
          <a:extLst>
            <a:ext uri="{FF2B5EF4-FFF2-40B4-BE49-F238E27FC236}">
              <a16:creationId xmlns:a16="http://schemas.microsoft.com/office/drawing/2014/main" xmlns="" id="{00000000-0008-0000-0D00-0000B90C0000}"/>
            </a:ext>
          </a:extLst>
        </xdr:cNvPr>
        <xdr:cNvSpPr>
          <a:spLocks noChangeAspect="1" noChangeArrowheads="1"/>
        </xdr:cNvSpPr>
      </xdr:nvSpPr>
      <xdr:spPr bwMode="auto">
        <a:xfrm>
          <a:off x="0" y="69662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246</xdr:row>
      <xdr:rowOff>0</xdr:rowOff>
    </xdr:from>
    <xdr:to>
      <xdr:col>0</xdr:col>
      <xdr:colOff>304800</xdr:colOff>
      <xdr:row>247</xdr:row>
      <xdr:rowOff>121920</xdr:rowOff>
    </xdr:to>
    <xdr:sp macro="" textlink="">
      <xdr:nvSpPr>
        <xdr:cNvPr id="3258" name="AutoShape 186" descr="Winnipeg Jets">
          <a:extLst>
            <a:ext uri="{FF2B5EF4-FFF2-40B4-BE49-F238E27FC236}">
              <a16:creationId xmlns:a16="http://schemas.microsoft.com/office/drawing/2014/main" xmlns="" id="{00000000-0008-0000-0D00-0000BA0C0000}"/>
            </a:ext>
          </a:extLst>
        </xdr:cNvPr>
        <xdr:cNvSpPr>
          <a:spLocks noChangeAspect="1" noChangeArrowheads="1"/>
        </xdr:cNvSpPr>
      </xdr:nvSpPr>
      <xdr:spPr bwMode="auto">
        <a:xfrm>
          <a:off x="0" y="70035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565</xdr:row>
      <xdr:rowOff>0</xdr:rowOff>
    </xdr:from>
    <xdr:to>
      <xdr:col>0</xdr:col>
      <xdr:colOff>304800</xdr:colOff>
      <xdr:row>566</xdr:row>
      <xdr:rowOff>121920</xdr:rowOff>
    </xdr:to>
    <xdr:sp macro="" textlink="">
      <xdr:nvSpPr>
        <xdr:cNvPr id="3259" name="AutoShape 187" descr="Calgary Flames">
          <a:extLst>
            <a:ext uri="{FF2B5EF4-FFF2-40B4-BE49-F238E27FC236}">
              <a16:creationId xmlns:a16="http://schemas.microsoft.com/office/drawing/2014/main" xmlns="" id="{00000000-0008-0000-0D00-0000BB0C0000}"/>
            </a:ext>
          </a:extLst>
        </xdr:cNvPr>
        <xdr:cNvSpPr>
          <a:spLocks noChangeAspect="1" noChangeArrowheads="1"/>
        </xdr:cNvSpPr>
      </xdr:nvSpPr>
      <xdr:spPr bwMode="auto">
        <a:xfrm>
          <a:off x="0" y="7040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xdr:row>
      <xdr:rowOff>0</xdr:rowOff>
    </xdr:from>
    <xdr:to>
      <xdr:col>0</xdr:col>
      <xdr:colOff>304800</xdr:colOff>
      <xdr:row>74</xdr:row>
      <xdr:rowOff>121920</xdr:rowOff>
    </xdr:to>
    <xdr:sp macro="" textlink="">
      <xdr:nvSpPr>
        <xdr:cNvPr id="3260" name="AutoShape 188" descr="Arizona Coyotes">
          <a:extLst>
            <a:ext uri="{FF2B5EF4-FFF2-40B4-BE49-F238E27FC236}">
              <a16:creationId xmlns:a16="http://schemas.microsoft.com/office/drawing/2014/main" xmlns="" id="{00000000-0008-0000-0D00-0000BC0C0000}"/>
            </a:ext>
          </a:extLst>
        </xdr:cNvPr>
        <xdr:cNvSpPr>
          <a:spLocks noChangeAspect="1" noChangeArrowheads="1"/>
        </xdr:cNvSpPr>
      </xdr:nvSpPr>
      <xdr:spPr bwMode="auto">
        <a:xfrm>
          <a:off x="0" y="7078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449</xdr:row>
      <xdr:rowOff>0</xdr:rowOff>
    </xdr:from>
    <xdr:to>
      <xdr:col>0</xdr:col>
      <xdr:colOff>304800</xdr:colOff>
      <xdr:row>450</xdr:row>
      <xdr:rowOff>121920</xdr:rowOff>
    </xdr:to>
    <xdr:sp macro="" textlink="">
      <xdr:nvSpPr>
        <xdr:cNvPr id="3261" name="AutoShape 189" descr="Detroit Red Wings">
          <a:extLst>
            <a:ext uri="{FF2B5EF4-FFF2-40B4-BE49-F238E27FC236}">
              <a16:creationId xmlns:a16="http://schemas.microsoft.com/office/drawing/2014/main" xmlns="" id="{00000000-0008-0000-0D00-0000BD0C0000}"/>
            </a:ext>
          </a:extLst>
        </xdr:cNvPr>
        <xdr:cNvSpPr>
          <a:spLocks noChangeAspect="1" noChangeArrowheads="1"/>
        </xdr:cNvSpPr>
      </xdr:nvSpPr>
      <xdr:spPr bwMode="auto">
        <a:xfrm>
          <a:off x="0" y="7115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396</xdr:row>
      <xdr:rowOff>0</xdr:rowOff>
    </xdr:from>
    <xdr:to>
      <xdr:col>0</xdr:col>
      <xdr:colOff>304800</xdr:colOff>
      <xdr:row>397</xdr:row>
      <xdr:rowOff>121920</xdr:rowOff>
    </xdr:to>
    <xdr:sp macro="" textlink="">
      <xdr:nvSpPr>
        <xdr:cNvPr id="3262" name="AutoShape 190" descr="Dallas Stars">
          <a:extLst>
            <a:ext uri="{FF2B5EF4-FFF2-40B4-BE49-F238E27FC236}">
              <a16:creationId xmlns:a16="http://schemas.microsoft.com/office/drawing/2014/main" xmlns="" id="{00000000-0008-0000-0D00-0000BE0C0000}"/>
            </a:ext>
          </a:extLst>
        </xdr:cNvPr>
        <xdr:cNvSpPr>
          <a:spLocks noChangeAspect="1" noChangeArrowheads="1"/>
        </xdr:cNvSpPr>
      </xdr:nvSpPr>
      <xdr:spPr bwMode="auto">
        <a:xfrm>
          <a:off x="0" y="7152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809</xdr:row>
      <xdr:rowOff>0</xdr:rowOff>
    </xdr:from>
    <xdr:to>
      <xdr:col>0</xdr:col>
      <xdr:colOff>304800</xdr:colOff>
      <xdr:row>810</xdr:row>
      <xdr:rowOff>121920</xdr:rowOff>
    </xdr:to>
    <xdr:sp macro="" textlink="">
      <xdr:nvSpPr>
        <xdr:cNvPr id="3263" name="AutoShape 191" descr="Nashville Predators">
          <a:extLst>
            <a:ext uri="{FF2B5EF4-FFF2-40B4-BE49-F238E27FC236}">
              <a16:creationId xmlns:a16="http://schemas.microsoft.com/office/drawing/2014/main" xmlns="" id="{00000000-0008-0000-0D00-0000BF0C0000}"/>
            </a:ext>
          </a:extLst>
        </xdr:cNvPr>
        <xdr:cNvSpPr>
          <a:spLocks noChangeAspect="1" noChangeArrowheads="1"/>
        </xdr:cNvSpPr>
      </xdr:nvSpPr>
      <xdr:spPr bwMode="auto">
        <a:xfrm>
          <a:off x="0" y="7189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409</xdr:row>
      <xdr:rowOff>0</xdr:rowOff>
    </xdr:from>
    <xdr:to>
      <xdr:col>0</xdr:col>
      <xdr:colOff>304800</xdr:colOff>
      <xdr:row>410</xdr:row>
      <xdr:rowOff>121920</xdr:rowOff>
    </xdr:to>
    <xdr:sp macro="" textlink="">
      <xdr:nvSpPr>
        <xdr:cNvPr id="3264" name="AutoShape 192" descr="Detroit Red Wings">
          <a:extLst>
            <a:ext uri="{FF2B5EF4-FFF2-40B4-BE49-F238E27FC236}">
              <a16:creationId xmlns:a16="http://schemas.microsoft.com/office/drawing/2014/main" xmlns="" id="{00000000-0008-0000-0D00-0000C00C0000}"/>
            </a:ext>
          </a:extLst>
        </xdr:cNvPr>
        <xdr:cNvSpPr>
          <a:spLocks noChangeAspect="1" noChangeArrowheads="1"/>
        </xdr:cNvSpPr>
      </xdr:nvSpPr>
      <xdr:spPr bwMode="auto">
        <a:xfrm>
          <a:off x="0" y="7226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225</xdr:row>
      <xdr:rowOff>0</xdr:rowOff>
    </xdr:from>
    <xdr:to>
      <xdr:col>0</xdr:col>
      <xdr:colOff>304800</xdr:colOff>
      <xdr:row>226</xdr:row>
      <xdr:rowOff>121920</xdr:rowOff>
    </xdr:to>
    <xdr:sp macro="" textlink="">
      <xdr:nvSpPr>
        <xdr:cNvPr id="3265" name="AutoShape 193" descr="Columbus Blue Jackets">
          <a:extLst>
            <a:ext uri="{FF2B5EF4-FFF2-40B4-BE49-F238E27FC236}">
              <a16:creationId xmlns:a16="http://schemas.microsoft.com/office/drawing/2014/main" xmlns="" id="{00000000-0008-0000-0D00-0000C10C0000}"/>
            </a:ext>
          </a:extLst>
        </xdr:cNvPr>
        <xdr:cNvSpPr>
          <a:spLocks noChangeAspect="1" noChangeArrowheads="1"/>
        </xdr:cNvSpPr>
      </xdr:nvSpPr>
      <xdr:spPr bwMode="auto">
        <a:xfrm>
          <a:off x="0" y="7263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304800</xdr:colOff>
      <xdr:row>208</xdr:row>
      <xdr:rowOff>121920</xdr:rowOff>
    </xdr:to>
    <xdr:sp macro="" textlink="">
      <xdr:nvSpPr>
        <xdr:cNvPr id="3266" name="AutoShape 194" descr="Nashville Predators">
          <a:extLst>
            <a:ext uri="{FF2B5EF4-FFF2-40B4-BE49-F238E27FC236}">
              <a16:creationId xmlns:a16="http://schemas.microsoft.com/office/drawing/2014/main" xmlns="" id="{00000000-0008-0000-0D00-0000C20C0000}"/>
            </a:ext>
          </a:extLst>
        </xdr:cNvPr>
        <xdr:cNvSpPr>
          <a:spLocks noChangeAspect="1" noChangeArrowheads="1"/>
        </xdr:cNvSpPr>
      </xdr:nvSpPr>
      <xdr:spPr bwMode="auto">
        <a:xfrm>
          <a:off x="0" y="730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647</xdr:row>
      <xdr:rowOff>0</xdr:rowOff>
    </xdr:from>
    <xdr:to>
      <xdr:col>0</xdr:col>
      <xdr:colOff>304800</xdr:colOff>
      <xdr:row>648</xdr:row>
      <xdr:rowOff>121920</xdr:rowOff>
    </xdr:to>
    <xdr:sp macro="" textlink="">
      <xdr:nvSpPr>
        <xdr:cNvPr id="3267" name="AutoShape 195" descr="Edmonton Oilers">
          <a:extLst>
            <a:ext uri="{FF2B5EF4-FFF2-40B4-BE49-F238E27FC236}">
              <a16:creationId xmlns:a16="http://schemas.microsoft.com/office/drawing/2014/main" xmlns="" id="{00000000-0008-0000-0D00-0000C30C0000}"/>
            </a:ext>
          </a:extLst>
        </xdr:cNvPr>
        <xdr:cNvSpPr>
          <a:spLocks noChangeAspect="1" noChangeArrowheads="1"/>
        </xdr:cNvSpPr>
      </xdr:nvSpPr>
      <xdr:spPr bwMode="auto">
        <a:xfrm>
          <a:off x="0" y="7338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304800</xdr:colOff>
      <xdr:row>9</xdr:row>
      <xdr:rowOff>121920</xdr:rowOff>
    </xdr:to>
    <xdr:sp macro="" textlink="">
      <xdr:nvSpPr>
        <xdr:cNvPr id="3268" name="AutoShape 196" descr="Edmonton Oilers">
          <a:extLst>
            <a:ext uri="{FF2B5EF4-FFF2-40B4-BE49-F238E27FC236}">
              <a16:creationId xmlns:a16="http://schemas.microsoft.com/office/drawing/2014/main" xmlns="" id="{00000000-0008-0000-0D00-0000C40C0000}"/>
            </a:ext>
          </a:extLst>
        </xdr:cNvPr>
        <xdr:cNvSpPr>
          <a:spLocks noChangeAspect="1" noChangeArrowheads="1"/>
        </xdr:cNvSpPr>
      </xdr:nvSpPr>
      <xdr:spPr bwMode="auto">
        <a:xfrm>
          <a:off x="0" y="7374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403</xdr:row>
      <xdr:rowOff>0</xdr:rowOff>
    </xdr:from>
    <xdr:to>
      <xdr:col>0</xdr:col>
      <xdr:colOff>304800</xdr:colOff>
      <xdr:row>404</xdr:row>
      <xdr:rowOff>121920</xdr:rowOff>
    </xdr:to>
    <xdr:sp macro="" textlink="">
      <xdr:nvSpPr>
        <xdr:cNvPr id="3269" name="AutoShape 197" descr="Minnesota Wild">
          <a:extLst>
            <a:ext uri="{FF2B5EF4-FFF2-40B4-BE49-F238E27FC236}">
              <a16:creationId xmlns:a16="http://schemas.microsoft.com/office/drawing/2014/main" xmlns="" id="{00000000-0008-0000-0D00-0000C50C0000}"/>
            </a:ext>
          </a:extLst>
        </xdr:cNvPr>
        <xdr:cNvSpPr>
          <a:spLocks noChangeAspect="1" noChangeArrowheads="1"/>
        </xdr:cNvSpPr>
      </xdr:nvSpPr>
      <xdr:spPr bwMode="auto">
        <a:xfrm>
          <a:off x="0" y="7411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211</xdr:row>
      <xdr:rowOff>0</xdr:rowOff>
    </xdr:from>
    <xdr:to>
      <xdr:col>0</xdr:col>
      <xdr:colOff>304800</xdr:colOff>
      <xdr:row>212</xdr:row>
      <xdr:rowOff>121920</xdr:rowOff>
    </xdr:to>
    <xdr:sp macro="" textlink="">
      <xdr:nvSpPr>
        <xdr:cNvPr id="3270" name="AutoShape 198" descr="New Jersey Devils">
          <a:extLst>
            <a:ext uri="{FF2B5EF4-FFF2-40B4-BE49-F238E27FC236}">
              <a16:creationId xmlns:a16="http://schemas.microsoft.com/office/drawing/2014/main" xmlns="" id="{00000000-0008-0000-0D00-0000C60C0000}"/>
            </a:ext>
          </a:extLst>
        </xdr:cNvPr>
        <xdr:cNvSpPr>
          <a:spLocks noChangeAspect="1" noChangeArrowheads="1"/>
        </xdr:cNvSpPr>
      </xdr:nvSpPr>
      <xdr:spPr bwMode="auto">
        <a:xfrm>
          <a:off x="0" y="7449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146</xdr:row>
      <xdr:rowOff>0</xdr:rowOff>
    </xdr:from>
    <xdr:to>
      <xdr:col>0</xdr:col>
      <xdr:colOff>304800</xdr:colOff>
      <xdr:row>147</xdr:row>
      <xdr:rowOff>121920</xdr:rowOff>
    </xdr:to>
    <xdr:sp macro="" textlink="">
      <xdr:nvSpPr>
        <xdr:cNvPr id="3271" name="AutoShape 199" descr="Edmonton Oilers">
          <a:extLst>
            <a:ext uri="{FF2B5EF4-FFF2-40B4-BE49-F238E27FC236}">
              <a16:creationId xmlns:a16="http://schemas.microsoft.com/office/drawing/2014/main" xmlns="" id="{00000000-0008-0000-0D00-0000C70C0000}"/>
            </a:ext>
          </a:extLst>
        </xdr:cNvPr>
        <xdr:cNvSpPr>
          <a:spLocks noChangeAspect="1" noChangeArrowheads="1"/>
        </xdr:cNvSpPr>
      </xdr:nvSpPr>
      <xdr:spPr bwMode="auto">
        <a:xfrm>
          <a:off x="0" y="74858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728</xdr:row>
      <xdr:rowOff>0</xdr:rowOff>
    </xdr:from>
    <xdr:to>
      <xdr:col>0</xdr:col>
      <xdr:colOff>304800</xdr:colOff>
      <xdr:row>729</xdr:row>
      <xdr:rowOff>121920</xdr:rowOff>
    </xdr:to>
    <xdr:sp macro="" textlink="">
      <xdr:nvSpPr>
        <xdr:cNvPr id="3272" name="AutoShape 200" descr="Carolina Hurricanes">
          <a:extLst>
            <a:ext uri="{FF2B5EF4-FFF2-40B4-BE49-F238E27FC236}">
              <a16:creationId xmlns:a16="http://schemas.microsoft.com/office/drawing/2014/main" xmlns="" id="{00000000-0008-0000-0D00-0000C80C0000}"/>
            </a:ext>
          </a:extLst>
        </xdr:cNvPr>
        <xdr:cNvSpPr>
          <a:spLocks noChangeAspect="1" noChangeArrowheads="1"/>
        </xdr:cNvSpPr>
      </xdr:nvSpPr>
      <xdr:spPr bwMode="auto">
        <a:xfrm>
          <a:off x="0" y="7523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535</xdr:row>
      <xdr:rowOff>0</xdr:rowOff>
    </xdr:from>
    <xdr:to>
      <xdr:col>0</xdr:col>
      <xdr:colOff>304800</xdr:colOff>
      <xdr:row>536</xdr:row>
      <xdr:rowOff>121920</xdr:rowOff>
    </xdr:to>
    <xdr:sp macro="" textlink="">
      <xdr:nvSpPr>
        <xdr:cNvPr id="3273" name="AutoShape 201" descr="Winnipeg Jets">
          <a:extLst>
            <a:ext uri="{FF2B5EF4-FFF2-40B4-BE49-F238E27FC236}">
              <a16:creationId xmlns:a16="http://schemas.microsoft.com/office/drawing/2014/main" xmlns="" id="{00000000-0008-0000-0D00-0000C90C0000}"/>
            </a:ext>
          </a:extLst>
        </xdr:cNvPr>
        <xdr:cNvSpPr>
          <a:spLocks noChangeAspect="1" noChangeArrowheads="1"/>
        </xdr:cNvSpPr>
      </xdr:nvSpPr>
      <xdr:spPr bwMode="auto">
        <a:xfrm>
          <a:off x="0" y="7560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753</xdr:row>
      <xdr:rowOff>0</xdr:rowOff>
    </xdr:from>
    <xdr:to>
      <xdr:col>0</xdr:col>
      <xdr:colOff>304800</xdr:colOff>
      <xdr:row>754</xdr:row>
      <xdr:rowOff>121920</xdr:rowOff>
    </xdr:to>
    <xdr:sp macro="" textlink="">
      <xdr:nvSpPr>
        <xdr:cNvPr id="3274" name="AutoShape 202" descr="Montreal Canadiens">
          <a:extLst>
            <a:ext uri="{FF2B5EF4-FFF2-40B4-BE49-F238E27FC236}">
              <a16:creationId xmlns:a16="http://schemas.microsoft.com/office/drawing/2014/main" xmlns="" id="{00000000-0008-0000-0D00-0000CA0C0000}"/>
            </a:ext>
          </a:extLst>
        </xdr:cNvPr>
        <xdr:cNvSpPr>
          <a:spLocks noChangeAspect="1" noChangeArrowheads="1"/>
        </xdr:cNvSpPr>
      </xdr:nvSpPr>
      <xdr:spPr bwMode="auto">
        <a:xfrm>
          <a:off x="0" y="7597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612</xdr:row>
      <xdr:rowOff>0</xdr:rowOff>
    </xdr:from>
    <xdr:to>
      <xdr:col>0</xdr:col>
      <xdr:colOff>304800</xdr:colOff>
      <xdr:row>613</xdr:row>
      <xdr:rowOff>121920</xdr:rowOff>
    </xdr:to>
    <xdr:sp macro="" textlink="">
      <xdr:nvSpPr>
        <xdr:cNvPr id="3275" name="AutoShape 203" descr="Florida Panthers">
          <a:extLst>
            <a:ext uri="{FF2B5EF4-FFF2-40B4-BE49-F238E27FC236}">
              <a16:creationId xmlns:a16="http://schemas.microsoft.com/office/drawing/2014/main" xmlns="" id="{00000000-0008-0000-0D00-0000CB0C0000}"/>
            </a:ext>
          </a:extLst>
        </xdr:cNvPr>
        <xdr:cNvSpPr>
          <a:spLocks noChangeAspect="1" noChangeArrowheads="1"/>
        </xdr:cNvSpPr>
      </xdr:nvSpPr>
      <xdr:spPr bwMode="auto">
        <a:xfrm>
          <a:off x="0" y="7635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613</xdr:row>
      <xdr:rowOff>0</xdr:rowOff>
    </xdr:from>
    <xdr:to>
      <xdr:col>0</xdr:col>
      <xdr:colOff>304800</xdr:colOff>
      <xdr:row>614</xdr:row>
      <xdr:rowOff>121920</xdr:rowOff>
    </xdr:to>
    <xdr:sp macro="" textlink="">
      <xdr:nvSpPr>
        <xdr:cNvPr id="3276" name="AutoShape 204" descr="Nashville Predators">
          <a:extLst>
            <a:ext uri="{FF2B5EF4-FFF2-40B4-BE49-F238E27FC236}">
              <a16:creationId xmlns:a16="http://schemas.microsoft.com/office/drawing/2014/main" xmlns="" id="{00000000-0008-0000-0D00-0000CC0C0000}"/>
            </a:ext>
          </a:extLst>
        </xdr:cNvPr>
        <xdr:cNvSpPr>
          <a:spLocks noChangeAspect="1" noChangeArrowheads="1"/>
        </xdr:cNvSpPr>
      </xdr:nvSpPr>
      <xdr:spPr bwMode="auto">
        <a:xfrm>
          <a:off x="0" y="767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129</xdr:row>
      <xdr:rowOff>0</xdr:rowOff>
    </xdr:from>
    <xdr:to>
      <xdr:col>0</xdr:col>
      <xdr:colOff>304800</xdr:colOff>
      <xdr:row>130</xdr:row>
      <xdr:rowOff>121920</xdr:rowOff>
    </xdr:to>
    <xdr:sp macro="" textlink="">
      <xdr:nvSpPr>
        <xdr:cNvPr id="3277" name="AutoShape 205" descr="Pittsburgh Penguins">
          <a:extLst>
            <a:ext uri="{FF2B5EF4-FFF2-40B4-BE49-F238E27FC236}">
              <a16:creationId xmlns:a16="http://schemas.microsoft.com/office/drawing/2014/main" xmlns="" id="{00000000-0008-0000-0D00-0000CD0C0000}"/>
            </a:ext>
          </a:extLst>
        </xdr:cNvPr>
        <xdr:cNvSpPr>
          <a:spLocks noChangeAspect="1" noChangeArrowheads="1"/>
        </xdr:cNvSpPr>
      </xdr:nvSpPr>
      <xdr:spPr bwMode="auto">
        <a:xfrm>
          <a:off x="0" y="7709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634</xdr:row>
      <xdr:rowOff>0</xdr:rowOff>
    </xdr:from>
    <xdr:to>
      <xdr:col>0</xdr:col>
      <xdr:colOff>304800</xdr:colOff>
      <xdr:row>635</xdr:row>
      <xdr:rowOff>121920</xdr:rowOff>
    </xdr:to>
    <xdr:sp macro="" textlink="">
      <xdr:nvSpPr>
        <xdr:cNvPr id="3278" name="AutoShape 206" descr="Arizona Coyotes">
          <a:extLst>
            <a:ext uri="{FF2B5EF4-FFF2-40B4-BE49-F238E27FC236}">
              <a16:creationId xmlns:a16="http://schemas.microsoft.com/office/drawing/2014/main" xmlns="" id="{00000000-0008-0000-0D00-0000CE0C0000}"/>
            </a:ext>
          </a:extLst>
        </xdr:cNvPr>
        <xdr:cNvSpPr>
          <a:spLocks noChangeAspect="1" noChangeArrowheads="1"/>
        </xdr:cNvSpPr>
      </xdr:nvSpPr>
      <xdr:spPr bwMode="auto">
        <a:xfrm>
          <a:off x="0" y="7746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644</xdr:row>
      <xdr:rowOff>0</xdr:rowOff>
    </xdr:from>
    <xdr:to>
      <xdr:col>0</xdr:col>
      <xdr:colOff>304800</xdr:colOff>
      <xdr:row>645</xdr:row>
      <xdr:rowOff>121920</xdr:rowOff>
    </xdr:to>
    <xdr:sp macro="" textlink="">
      <xdr:nvSpPr>
        <xdr:cNvPr id="3279" name="AutoShape 207" descr="Pittsburgh Penguins">
          <a:extLst>
            <a:ext uri="{FF2B5EF4-FFF2-40B4-BE49-F238E27FC236}">
              <a16:creationId xmlns:a16="http://schemas.microsoft.com/office/drawing/2014/main" xmlns="" id="{00000000-0008-0000-0D00-0000CF0C0000}"/>
            </a:ext>
          </a:extLst>
        </xdr:cNvPr>
        <xdr:cNvSpPr>
          <a:spLocks noChangeAspect="1" noChangeArrowheads="1"/>
        </xdr:cNvSpPr>
      </xdr:nvSpPr>
      <xdr:spPr bwMode="auto">
        <a:xfrm>
          <a:off x="0" y="7783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348</xdr:row>
      <xdr:rowOff>0</xdr:rowOff>
    </xdr:from>
    <xdr:to>
      <xdr:col>0</xdr:col>
      <xdr:colOff>304800</xdr:colOff>
      <xdr:row>349</xdr:row>
      <xdr:rowOff>121920</xdr:rowOff>
    </xdr:to>
    <xdr:sp macro="" textlink="">
      <xdr:nvSpPr>
        <xdr:cNvPr id="3280" name="AutoShape 208" descr="Toronto Maple Leafs">
          <a:extLst>
            <a:ext uri="{FF2B5EF4-FFF2-40B4-BE49-F238E27FC236}">
              <a16:creationId xmlns:a16="http://schemas.microsoft.com/office/drawing/2014/main" xmlns="" id="{00000000-0008-0000-0D00-0000D00C0000}"/>
            </a:ext>
          </a:extLst>
        </xdr:cNvPr>
        <xdr:cNvSpPr>
          <a:spLocks noChangeAspect="1" noChangeArrowheads="1"/>
        </xdr:cNvSpPr>
      </xdr:nvSpPr>
      <xdr:spPr bwMode="auto">
        <a:xfrm>
          <a:off x="0" y="7821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0</xdr:rowOff>
    </xdr:from>
    <xdr:to>
      <xdr:col>0</xdr:col>
      <xdr:colOff>304800</xdr:colOff>
      <xdr:row>16</xdr:row>
      <xdr:rowOff>121920</xdr:rowOff>
    </xdr:to>
    <xdr:sp macro="" textlink="">
      <xdr:nvSpPr>
        <xdr:cNvPr id="3281" name="AutoShape 209" descr="Los Angeles Kings">
          <a:extLst>
            <a:ext uri="{FF2B5EF4-FFF2-40B4-BE49-F238E27FC236}">
              <a16:creationId xmlns:a16="http://schemas.microsoft.com/office/drawing/2014/main" xmlns="" id="{00000000-0008-0000-0D00-0000D10C0000}"/>
            </a:ext>
          </a:extLst>
        </xdr:cNvPr>
        <xdr:cNvSpPr>
          <a:spLocks noChangeAspect="1" noChangeArrowheads="1"/>
        </xdr:cNvSpPr>
      </xdr:nvSpPr>
      <xdr:spPr bwMode="auto">
        <a:xfrm>
          <a:off x="0" y="7858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515</xdr:row>
      <xdr:rowOff>0</xdr:rowOff>
    </xdr:from>
    <xdr:to>
      <xdr:col>0</xdr:col>
      <xdr:colOff>304800</xdr:colOff>
      <xdr:row>516</xdr:row>
      <xdr:rowOff>121920</xdr:rowOff>
    </xdr:to>
    <xdr:sp macro="" textlink="">
      <xdr:nvSpPr>
        <xdr:cNvPr id="3282" name="AutoShape 210" descr="Buffalo Sabres">
          <a:extLst>
            <a:ext uri="{FF2B5EF4-FFF2-40B4-BE49-F238E27FC236}">
              <a16:creationId xmlns:a16="http://schemas.microsoft.com/office/drawing/2014/main" xmlns="" id="{00000000-0008-0000-0D00-0000D20C0000}"/>
            </a:ext>
          </a:extLst>
        </xdr:cNvPr>
        <xdr:cNvSpPr>
          <a:spLocks noChangeAspect="1" noChangeArrowheads="1"/>
        </xdr:cNvSpPr>
      </xdr:nvSpPr>
      <xdr:spPr bwMode="auto">
        <a:xfrm>
          <a:off x="0" y="7895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808</xdr:row>
      <xdr:rowOff>0</xdr:rowOff>
    </xdr:from>
    <xdr:to>
      <xdr:col>0</xdr:col>
      <xdr:colOff>304800</xdr:colOff>
      <xdr:row>809</xdr:row>
      <xdr:rowOff>121920</xdr:rowOff>
    </xdr:to>
    <xdr:sp macro="" textlink="">
      <xdr:nvSpPr>
        <xdr:cNvPr id="3283" name="AutoShape 211" descr="Carolina Hurricanes">
          <a:extLst>
            <a:ext uri="{FF2B5EF4-FFF2-40B4-BE49-F238E27FC236}">
              <a16:creationId xmlns:a16="http://schemas.microsoft.com/office/drawing/2014/main" xmlns="" id="{00000000-0008-0000-0D00-0000D30C0000}"/>
            </a:ext>
          </a:extLst>
        </xdr:cNvPr>
        <xdr:cNvSpPr>
          <a:spLocks noChangeAspect="1" noChangeArrowheads="1"/>
        </xdr:cNvSpPr>
      </xdr:nvSpPr>
      <xdr:spPr bwMode="auto">
        <a:xfrm>
          <a:off x="0" y="7933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479</xdr:row>
      <xdr:rowOff>0</xdr:rowOff>
    </xdr:from>
    <xdr:to>
      <xdr:col>0</xdr:col>
      <xdr:colOff>304800</xdr:colOff>
      <xdr:row>480</xdr:row>
      <xdr:rowOff>121920</xdr:rowOff>
    </xdr:to>
    <xdr:sp macro="" textlink="">
      <xdr:nvSpPr>
        <xdr:cNvPr id="3284" name="AutoShape 212" descr="Edmonton Oilers">
          <a:extLst>
            <a:ext uri="{FF2B5EF4-FFF2-40B4-BE49-F238E27FC236}">
              <a16:creationId xmlns:a16="http://schemas.microsoft.com/office/drawing/2014/main" xmlns="" id="{00000000-0008-0000-0D00-0000D40C0000}"/>
            </a:ext>
          </a:extLst>
        </xdr:cNvPr>
        <xdr:cNvSpPr>
          <a:spLocks noChangeAspect="1" noChangeArrowheads="1"/>
        </xdr:cNvSpPr>
      </xdr:nvSpPr>
      <xdr:spPr bwMode="auto">
        <a:xfrm>
          <a:off x="0" y="7970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351</xdr:row>
      <xdr:rowOff>0</xdr:rowOff>
    </xdr:from>
    <xdr:to>
      <xdr:col>0</xdr:col>
      <xdr:colOff>304800</xdr:colOff>
      <xdr:row>352</xdr:row>
      <xdr:rowOff>121920</xdr:rowOff>
    </xdr:to>
    <xdr:sp macro="" textlink="">
      <xdr:nvSpPr>
        <xdr:cNvPr id="3285" name="AutoShape 213" descr="Los Angeles Kings">
          <a:extLst>
            <a:ext uri="{FF2B5EF4-FFF2-40B4-BE49-F238E27FC236}">
              <a16:creationId xmlns:a16="http://schemas.microsoft.com/office/drawing/2014/main" xmlns="" id="{00000000-0008-0000-0D00-0000D50C0000}"/>
            </a:ext>
          </a:extLst>
        </xdr:cNvPr>
        <xdr:cNvSpPr>
          <a:spLocks noChangeAspect="1" noChangeArrowheads="1"/>
        </xdr:cNvSpPr>
      </xdr:nvSpPr>
      <xdr:spPr bwMode="auto">
        <a:xfrm>
          <a:off x="0" y="80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0</xdr:col>
      <xdr:colOff>304800</xdr:colOff>
      <xdr:row>7</xdr:row>
      <xdr:rowOff>121920</xdr:rowOff>
    </xdr:to>
    <xdr:sp macro="" textlink="">
      <xdr:nvSpPr>
        <xdr:cNvPr id="3286" name="AutoShape 214" descr="Anaheim Ducks">
          <a:extLst>
            <a:ext uri="{FF2B5EF4-FFF2-40B4-BE49-F238E27FC236}">
              <a16:creationId xmlns:a16="http://schemas.microsoft.com/office/drawing/2014/main" xmlns="" id="{00000000-0008-0000-0D00-0000D60C0000}"/>
            </a:ext>
          </a:extLst>
        </xdr:cNvPr>
        <xdr:cNvSpPr>
          <a:spLocks noChangeAspect="1" noChangeArrowheads="1"/>
        </xdr:cNvSpPr>
      </xdr:nvSpPr>
      <xdr:spPr bwMode="auto">
        <a:xfrm>
          <a:off x="0" y="8045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692</xdr:row>
      <xdr:rowOff>0</xdr:rowOff>
    </xdr:from>
    <xdr:to>
      <xdr:col>0</xdr:col>
      <xdr:colOff>304800</xdr:colOff>
      <xdr:row>693</xdr:row>
      <xdr:rowOff>121920</xdr:rowOff>
    </xdr:to>
    <xdr:sp macro="" textlink="">
      <xdr:nvSpPr>
        <xdr:cNvPr id="3287" name="AutoShape 215" descr="Nashville Predators">
          <a:extLst>
            <a:ext uri="{FF2B5EF4-FFF2-40B4-BE49-F238E27FC236}">
              <a16:creationId xmlns:a16="http://schemas.microsoft.com/office/drawing/2014/main" xmlns="" id="{00000000-0008-0000-0D00-0000D70C0000}"/>
            </a:ext>
          </a:extLst>
        </xdr:cNvPr>
        <xdr:cNvSpPr>
          <a:spLocks noChangeAspect="1" noChangeArrowheads="1"/>
        </xdr:cNvSpPr>
      </xdr:nvSpPr>
      <xdr:spPr bwMode="auto">
        <a:xfrm>
          <a:off x="0" y="808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284</xdr:row>
      <xdr:rowOff>0</xdr:rowOff>
    </xdr:from>
    <xdr:to>
      <xdr:col>0</xdr:col>
      <xdr:colOff>304800</xdr:colOff>
      <xdr:row>285</xdr:row>
      <xdr:rowOff>121920</xdr:rowOff>
    </xdr:to>
    <xdr:sp macro="" textlink="">
      <xdr:nvSpPr>
        <xdr:cNvPr id="3288" name="AutoShape 216" descr="Florida Panthers">
          <a:extLst>
            <a:ext uri="{FF2B5EF4-FFF2-40B4-BE49-F238E27FC236}">
              <a16:creationId xmlns:a16="http://schemas.microsoft.com/office/drawing/2014/main" xmlns="" id="{00000000-0008-0000-0D00-0000D80C0000}"/>
            </a:ext>
          </a:extLst>
        </xdr:cNvPr>
        <xdr:cNvSpPr>
          <a:spLocks noChangeAspect="1" noChangeArrowheads="1"/>
        </xdr:cNvSpPr>
      </xdr:nvSpPr>
      <xdr:spPr bwMode="auto">
        <a:xfrm>
          <a:off x="0" y="811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304800</xdr:colOff>
      <xdr:row>150</xdr:row>
      <xdr:rowOff>121920</xdr:rowOff>
    </xdr:to>
    <xdr:sp macro="" textlink="">
      <xdr:nvSpPr>
        <xdr:cNvPr id="3289" name="AutoShape 217" descr="Pittsburgh Penguins">
          <a:extLst>
            <a:ext uri="{FF2B5EF4-FFF2-40B4-BE49-F238E27FC236}">
              <a16:creationId xmlns:a16="http://schemas.microsoft.com/office/drawing/2014/main" xmlns="" id="{00000000-0008-0000-0D00-0000D90C0000}"/>
            </a:ext>
          </a:extLst>
        </xdr:cNvPr>
        <xdr:cNvSpPr>
          <a:spLocks noChangeAspect="1" noChangeArrowheads="1"/>
        </xdr:cNvSpPr>
      </xdr:nvSpPr>
      <xdr:spPr bwMode="auto">
        <a:xfrm>
          <a:off x="0" y="815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586</xdr:row>
      <xdr:rowOff>0</xdr:rowOff>
    </xdr:from>
    <xdr:to>
      <xdr:col>0</xdr:col>
      <xdr:colOff>304800</xdr:colOff>
      <xdr:row>587</xdr:row>
      <xdr:rowOff>121920</xdr:rowOff>
    </xdr:to>
    <xdr:sp macro="" textlink="">
      <xdr:nvSpPr>
        <xdr:cNvPr id="3290" name="AutoShape 218" descr="Ottawa Senators">
          <a:extLst>
            <a:ext uri="{FF2B5EF4-FFF2-40B4-BE49-F238E27FC236}">
              <a16:creationId xmlns:a16="http://schemas.microsoft.com/office/drawing/2014/main" xmlns="" id="{00000000-0008-0000-0D00-0000DA0C0000}"/>
            </a:ext>
          </a:extLst>
        </xdr:cNvPr>
        <xdr:cNvSpPr>
          <a:spLocks noChangeAspect="1" noChangeArrowheads="1"/>
        </xdr:cNvSpPr>
      </xdr:nvSpPr>
      <xdr:spPr bwMode="auto">
        <a:xfrm>
          <a:off x="0" y="8194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823</xdr:row>
      <xdr:rowOff>0</xdr:rowOff>
    </xdr:from>
    <xdr:to>
      <xdr:col>0</xdr:col>
      <xdr:colOff>304800</xdr:colOff>
      <xdr:row>824</xdr:row>
      <xdr:rowOff>121920</xdr:rowOff>
    </xdr:to>
    <xdr:sp macro="" textlink="">
      <xdr:nvSpPr>
        <xdr:cNvPr id="3291" name="AutoShape 219" descr="Philadelphia Flyers">
          <a:extLst>
            <a:ext uri="{FF2B5EF4-FFF2-40B4-BE49-F238E27FC236}">
              <a16:creationId xmlns:a16="http://schemas.microsoft.com/office/drawing/2014/main" xmlns="" id="{00000000-0008-0000-0D00-0000DB0C0000}"/>
            </a:ext>
          </a:extLst>
        </xdr:cNvPr>
        <xdr:cNvSpPr>
          <a:spLocks noChangeAspect="1" noChangeArrowheads="1"/>
        </xdr:cNvSpPr>
      </xdr:nvSpPr>
      <xdr:spPr bwMode="auto">
        <a:xfrm>
          <a:off x="0" y="823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393</xdr:row>
      <xdr:rowOff>0</xdr:rowOff>
    </xdr:from>
    <xdr:to>
      <xdr:col>0</xdr:col>
      <xdr:colOff>304800</xdr:colOff>
      <xdr:row>394</xdr:row>
      <xdr:rowOff>121920</xdr:rowOff>
    </xdr:to>
    <xdr:sp macro="" textlink="">
      <xdr:nvSpPr>
        <xdr:cNvPr id="3292" name="AutoShape 220" descr="Detroit Red Wings">
          <a:extLst>
            <a:ext uri="{FF2B5EF4-FFF2-40B4-BE49-F238E27FC236}">
              <a16:creationId xmlns:a16="http://schemas.microsoft.com/office/drawing/2014/main" xmlns="" id="{00000000-0008-0000-0D00-0000DC0C0000}"/>
            </a:ext>
          </a:extLst>
        </xdr:cNvPr>
        <xdr:cNvSpPr>
          <a:spLocks noChangeAspect="1" noChangeArrowheads="1"/>
        </xdr:cNvSpPr>
      </xdr:nvSpPr>
      <xdr:spPr bwMode="auto">
        <a:xfrm>
          <a:off x="0" y="8269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189</xdr:row>
      <xdr:rowOff>0</xdr:rowOff>
    </xdr:from>
    <xdr:to>
      <xdr:col>0</xdr:col>
      <xdr:colOff>304800</xdr:colOff>
      <xdr:row>190</xdr:row>
      <xdr:rowOff>121920</xdr:rowOff>
    </xdr:to>
    <xdr:sp macro="" textlink="">
      <xdr:nvSpPr>
        <xdr:cNvPr id="3293" name="AutoShape 221" descr="Colorado Avalanche">
          <a:extLst>
            <a:ext uri="{FF2B5EF4-FFF2-40B4-BE49-F238E27FC236}">
              <a16:creationId xmlns:a16="http://schemas.microsoft.com/office/drawing/2014/main" xmlns="" id="{00000000-0008-0000-0D00-0000DD0C0000}"/>
            </a:ext>
          </a:extLst>
        </xdr:cNvPr>
        <xdr:cNvSpPr>
          <a:spLocks noChangeAspect="1" noChangeArrowheads="1"/>
        </xdr:cNvSpPr>
      </xdr:nvSpPr>
      <xdr:spPr bwMode="auto">
        <a:xfrm>
          <a:off x="0" y="8306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xdr:row>
      <xdr:rowOff>0</xdr:rowOff>
    </xdr:from>
    <xdr:to>
      <xdr:col>0</xdr:col>
      <xdr:colOff>304800</xdr:colOff>
      <xdr:row>61</xdr:row>
      <xdr:rowOff>121920</xdr:rowOff>
    </xdr:to>
    <xdr:sp macro="" textlink="">
      <xdr:nvSpPr>
        <xdr:cNvPr id="3294" name="AutoShape 222" descr="Montreal Canadiens">
          <a:extLst>
            <a:ext uri="{FF2B5EF4-FFF2-40B4-BE49-F238E27FC236}">
              <a16:creationId xmlns:a16="http://schemas.microsoft.com/office/drawing/2014/main" xmlns="" id="{00000000-0008-0000-0D00-0000DE0C0000}"/>
            </a:ext>
          </a:extLst>
        </xdr:cNvPr>
        <xdr:cNvSpPr>
          <a:spLocks noChangeAspect="1" noChangeArrowheads="1"/>
        </xdr:cNvSpPr>
      </xdr:nvSpPr>
      <xdr:spPr bwMode="auto">
        <a:xfrm>
          <a:off x="0" y="8343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782</xdr:row>
      <xdr:rowOff>0</xdr:rowOff>
    </xdr:from>
    <xdr:to>
      <xdr:col>0</xdr:col>
      <xdr:colOff>304800</xdr:colOff>
      <xdr:row>783</xdr:row>
      <xdr:rowOff>121920</xdr:rowOff>
    </xdr:to>
    <xdr:sp macro="" textlink="">
      <xdr:nvSpPr>
        <xdr:cNvPr id="3295" name="AutoShape 223" descr="Calgary Flames">
          <a:extLst>
            <a:ext uri="{FF2B5EF4-FFF2-40B4-BE49-F238E27FC236}">
              <a16:creationId xmlns:a16="http://schemas.microsoft.com/office/drawing/2014/main" xmlns="" id="{00000000-0008-0000-0D00-0000DF0C0000}"/>
            </a:ext>
          </a:extLst>
        </xdr:cNvPr>
        <xdr:cNvSpPr>
          <a:spLocks noChangeAspect="1" noChangeArrowheads="1"/>
        </xdr:cNvSpPr>
      </xdr:nvSpPr>
      <xdr:spPr bwMode="auto">
        <a:xfrm>
          <a:off x="0" y="8381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199</xdr:row>
      <xdr:rowOff>0</xdr:rowOff>
    </xdr:from>
    <xdr:to>
      <xdr:col>0</xdr:col>
      <xdr:colOff>304800</xdr:colOff>
      <xdr:row>200</xdr:row>
      <xdr:rowOff>121920</xdr:rowOff>
    </xdr:to>
    <xdr:sp macro="" textlink="">
      <xdr:nvSpPr>
        <xdr:cNvPr id="3296" name="AutoShape 224" descr="Chicago Blackhawks">
          <a:extLst>
            <a:ext uri="{FF2B5EF4-FFF2-40B4-BE49-F238E27FC236}">
              <a16:creationId xmlns:a16="http://schemas.microsoft.com/office/drawing/2014/main" xmlns="" id="{00000000-0008-0000-0D00-0000E00C0000}"/>
            </a:ext>
          </a:extLst>
        </xdr:cNvPr>
        <xdr:cNvSpPr>
          <a:spLocks noChangeAspect="1" noChangeArrowheads="1"/>
        </xdr:cNvSpPr>
      </xdr:nvSpPr>
      <xdr:spPr bwMode="auto">
        <a:xfrm>
          <a:off x="0" y="8418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182</xdr:row>
      <xdr:rowOff>0</xdr:rowOff>
    </xdr:from>
    <xdr:to>
      <xdr:col>0</xdr:col>
      <xdr:colOff>304800</xdr:colOff>
      <xdr:row>183</xdr:row>
      <xdr:rowOff>121920</xdr:rowOff>
    </xdr:to>
    <xdr:sp macro="" textlink="">
      <xdr:nvSpPr>
        <xdr:cNvPr id="3297" name="AutoShape 225" descr="Vegas Golden Knights">
          <a:extLst>
            <a:ext uri="{FF2B5EF4-FFF2-40B4-BE49-F238E27FC236}">
              <a16:creationId xmlns:a16="http://schemas.microsoft.com/office/drawing/2014/main" xmlns="" id="{00000000-0008-0000-0D00-0000E10C0000}"/>
            </a:ext>
          </a:extLst>
        </xdr:cNvPr>
        <xdr:cNvSpPr>
          <a:spLocks noChangeAspect="1" noChangeArrowheads="1"/>
        </xdr:cNvSpPr>
      </xdr:nvSpPr>
      <xdr:spPr bwMode="auto">
        <a:xfrm>
          <a:off x="0" y="8455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218</xdr:row>
      <xdr:rowOff>0</xdr:rowOff>
    </xdr:from>
    <xdr:to>
      <xdr:col>0</xdr:col>
      <xdr:colOff>304800</xdr:colOff>
      <xdr:row>219</xdr:row>
      <xdr:rowOff>121920</xdr:rowOff>
    </xdr:to>
    <xdr:sp macro="" textlink="">
      <xdr:nvSpPr>
        <xdr:cNvPr id="3298" name="AutoShape 226" descr="Detroit Red Wings">
          <a:extLst>
            <a:ext uri="{FF2B5EF4-FFF2-40B4-BE49-F238E27FC236}">
              <a16:creationId xmlns:a16="http://schemas.microsoft.com/office/drawing/2014/main" xmlns="" id="{00000000-0008-0000-0D00-0000E20C0000}"/>
            </a:ext>
          </a:extLst>
        </xdr:cNvPr>
        <xdr:cNvSpPr>
          <a:spLocks noChangeAspect="1" noChangeArrowheads="1"/>
        </xdr:cNvSpPr>
      </xdr:nvSpPr>
      <xdr:spPr bwMode="auto">
        <a:xfrm>
          <a:off x="0" y="8511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659</xdr:row>
      <xdr:rowOff>0</xdr:rowOff>
    </xdr:from>
    <xdr:to>
      <xdr:col>0</xdr:col>
      <xdr:colOff>304800</xdr:colOff>
      <xdr:row>660</xdr:row>
      <xdr:rowOff>121920</xdr:rowOff>
    </xdr:to>
    <xdr:sp macro="" textlink="">
      <xdr:nvSpPr>
        <xdr:cNvPr id="3299" name="AutoShape 227" descr="Buffalo Sabres">
          <a:extLst>
            <a:ext uri="{FF2B5EF4-FFF2-40B4-BE49-F238E27FC236}">
              <a16:creationId xmlns:a16="http://schemas.microsoft.com/office/drawing/2014/main" xmlns="" id="{00000000-0008-0000-0D00-0000E30C0000}"/>
            </a:ext>
          </a:extLst>
        </xdr:cNvPr>
        <xdr:cNvSpPr>
          <a:spLocks noChangeAspect="1" noChangeArrowheads="1"/>
        </xdr:cNvSpPr>
      </xdr:nvSpPr>
      <xdr:spPr bwMode="auto">
        <a:xfrm>
          <a:off x="0" y="8548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538</xdr:row>
      <xdr:rowOff>0</xdr:rowOff>
    </xdr:from>
    <xdr:to>
      <xdr:col>0</xdr:col>
      <xdr:colOff>304800</xdr:colOff>
      <xdr:row>539</xdr:row>
      <xdr:rowOff>121920</xdr:rowOff>
    </xdr:to>
    <xdr:sp macro="" textlink="">
      <xdr:nvSpPr>
        <xdr:cNvPr id="3300" name="AutoShape 228" descr="New York Rangers">
          <a:extLst>
            <a:ext uri="{FF2B5EF4-FFF2-40B4-BE49-F238E27FC236}">
              <a16:creationId xmlns:a16="http://schemas.microsoft.com/office/drawing/2014/main" xmlns="" id="{00000000-0008-0000-0D00-0000E40C0000}"/>
            </a:ext>
          </a:extLst>
        </xdr:cNvPr>
        <xdr:cNvSpPr>
          <a:spLocks noChangeAspect="1" noChangeArrowheads="1"/>
        </xdr:cNvSpPr>
      </xdr:nvSpPr>
      <xdr:spPr bwMode="auto">
        <a:xfrm>
          <a:off x="0" y="8586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450</xdr:row>
      <xdr:rowOff>0</xdr:rowOff>
    </xdr:from>
    <xdr:to>
      <xdr:col>0</xdr:col>
      <xdr:colOff>304800</xdr:colOff>
      <xdr:row>451</xdr:row>
      <xdr:rowOff>121920</xdr:rowOff>
    </xdr:to>
    <xdr:sp macro="" textlink="">
      <xdr:nvSpPr>
        <xdr:cNvPr id="3301" name="AutoShape 229" descr="San Jose Sharks">
          <a:extLst>
            <a:ext uri="{FF2B5EF4-FFF2-40B4-BE49-F238E27FC236}">
              <a16:creationId xmlns:a16="http://schemas.microsoft.com/office/drawing/2014/main" xmlns="" id="{00000000-0008-0000-0D00-0000E50C0000}"/>
            </a:ext>
          </a:extLst>
        </xdr:cNvPr>
        <xdr:cNvSpPr>
          <a:spLocks noChangeAspect="1" noChangeArrowheads="1"/>
        </xdr:cNvSpPr>
      </xdr:nvSpPr>
      <xdr:spPr bwMode="auto">
        <a:xfrm>
          <a:off x="0" y="862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685</xdr:row>
      <xdr:rowOff>0</xdr:rowOff>
    </xdr:from>
    <xdr:to>
      <xdr:col>0</xdr:col>
      <xdr:colOff>304800</xdr:colOff>
      <xdr:row>686</xdr:row>
      <xdr:rowOff>121920</xdr:rowOff>
    </xdr:to>
    <xdr:sp macro="" textlink="">
      <xdr:nvSpPr>
        <xdr:cNvPr id="3302" name="AutoShape 230" descr="Anaheim Ducks">
          <a:extLst>
            <a:ext uri="{FF2B5EF4-FFF2-40B4-BE49-F238E27FC236}">
              <a16:creationId xmlns:a16="http://schemas.microsoft.com/office/drawing/2014/main" xmlns="" id="{00000000-0008-0000-0D00-0000E60C0000}"/>
            </a:ext>
          </a:extLst>
        </xdr:cNvPr>
        <xdr:cNvSpPr>
          <a:spLocks noChangeAspect="1" noChangeArrowheads="1"/>
        </xdr:cNvSpPr>
      </xdr:nvSpPr>
      <xdr:spPr bwMode="auto">
        <a:xfrm>
          <a:off x="0" y="8660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121920</xdr:rowOff>
    </xdr:to>
    <xdr:sp macro="" textlink="">
      <xdr:nvSpPr>
        <xdr:cNvPr id="3303" name="AutoShape 231" descr="Toronto Maple Leafs">
          <a:extLst>
            <a:ext uri="{FF2B5EF4-FFF2-40B4-BE49-F238E27FC236}">
              <a16:creationId xmlns:a16="http://schemas.microsoft.com/office/drawing/2014/main" xmlns="" id="{00000000-0008-0000-0D00-0000E70C0000}"/>
            </a:ext>
          </a:extLst>
        </xdr:cNvPr>
        <xdr:cNvSpPr>
          <a:spLocks noChangeAspect="1" noChangeArrowheads="1"/>
        </xdr:cNvSpPr>
      </xdr:nvSpPr>
      <xdr:spPr bwMode="auto">
        <a:xfrm>
          <a:off x="0" y="8698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824</xdr:row>
      <xdr:rowOff>0</xdr:rowOff>
    </xdr:from>
    <xdr:to>
      <xdr:col>0</xdr:col>
      <xdr:colOff>304800</xdr:colOff>
      <xdr:row>825</xdr:row>
      <xdr:rowOff>121920</xdr:rowOff>
    </xdr:to>
    <xdr:sp macro="" textlink="">
      <xdr:nvSpPr>
        <xdr:cNvPr id="3304" name="AutoShape 232" descr="New Jersey Devils">
          <a:extLst>
            <a:ext uri="{FF2B5EF4-FFF2-40B4-BE49-F238E27FC236}">
              <a16:creationId xmlns:a16="http://schemas.microsoft.com/office/drawing/2014/main" xmlns="" id="{00000000-0008-0000-0D00-0000E80C0000}"/>
            </a:ext>
          </a:extLst>
        </xdr:cNvPr>
        <xdr:cNvSpPr>
          <a:spLocks noChangeAspect="1" noChangeArrowheads="1"/>
        </xdr:cNvSpPr>
      </xdr:nvSpPr>
      <xdr:spPr bwMode="auto">
        <a:xfrm>
          <a:off x="0" y="8735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624</xdr:row>
      <xdr:rowOff>0</xdr:rowOff>
    </xdr:from>
    <xdr:to>
      <xdr:col>0</xdr:col>
      <xdr:colOff>304800</xdr:colOff>
      <xdr:row>625</xdr:row>
      <xdr:rowOff>121920</xdr:rowOff>
    </xdr:to>
    <xdr:sp macro="" textlink="">
      <xdr:nvSpPr>
        <xdr:cNvPr id="3305" name="AutoShape 233" descr="New Jersey Devils">
          <a:extLst>
            <a:ext uri="{FF2B5EF4-FFF2-40B4-BE49-F238E27FC236}">
              <a16:creationId xmlns:a16="http://schemas.microsoft.com/office/drawing/2014/main" xmlns="" id="{00000000-0008-0000-0D00-0000E90C0000}"/>
            </a:ext>
          </a:extLst>
        </xdr:cNvPr>
        <xdr:cNvSpPr>
          <a:spLocks noChangeAspect="1" noChangeArrowheads="1"/>
        </xdr:cNvSpPr>
      </xdr:nvSpPr>
      <xdr:spPr bwMode="auto">
        <a:xfrm>
          <a:off x="0" y="8772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355</xdr:row>
      <xdr:rowOff>0</xdr:rowOff>
    </xdr:from>
    <xdr:to>
      <xdr:col>0</xdr:col>
      <xdr:colOff>304800</xdr:colOff>
      <xdr:row>356</xdr:row>
      <xdr:rowOff>121920</xdr:rowOff>
    </xdr:to>
    <xdr:sp macro="" textlink="">
      <xdr:nvSpPr>
        <xdr:cNvPr id="3306" name="AutoShape 234" descr="Anaheim Ducks">
          <a:extLst>
            <a:ext uri="{FF2B5EF4-FFF2-40B4-BE49-F238E27FC236}">
              <a16:creationId xmlns:a16="http://schemas.microsoft.com/office/drawing/2014/main" xmlns="" id="{00000000-0008-0000-0D00-0000EA0C0000}"/>
            </a:ext>
          </a:extLst>
        </xdr:cNvPr>
        <xdr:cNvSpPr>
          <a:spLocks noChangeAspect="1" noChangeArrowheads="1"/>
        </xdr:cNvSpPr>
      </xdr:nvSpPr>
      <xdr:spPr bwMode="auto">
        <a:xfrm>
          <a:off x="0" y="88102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764</xdr:row>
      <xdr:rowOff>0</xdr:rowOff>
    </xdr:from>
    <xdr:to>
      <xdr:col>0</xdr:col>
      <xdr:colOff>304800</xdr:colOff>
      <xdr:row>765</xdr:row>
      <xdr:rowOff>121920</xdr:rowOff>
    </xdr:to>
    <xdr:sp macro="" textlink="">
      <xdr:nvSpPr>
        <xdr:cNvPr id="3307" name="AutoShape 235" descr="Los Angeles Kings">
          <a:extLst>
            <a:ext uri="{FF2B5EF4-FFF2-40B4-BE49-F238E27FC236}">
              <a16:creationId xmlns:a16="http://schemas.microsoft.com/office/drawing/2014/main" xmlns="" id="{00000000-0008-0000-0D00-0000EB0C0000}"/>
            </a:ext>
          </a:extLst>
        </xdr:cNvPr>
        <xdr:cNvSpPr>
          <a:spLocks noChangeAspect="1" noChangeArrowheads="1"/>
        </xdr:cNvSpPr>
      </xdr:nvSpPr>
      <xdr:spPr bwMode="auto">
        <a:xfrm>
          <a:off x="0" y="8847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113</xdr:row>
      <xdr:rowOff>0</xdr:rowOff>
    </xdr:from>
    <xdr:to>
      <xdr:col>0</xdr:col>
      <xdr:colOff>304800</xdr:colOff>
      <xdr:row>114</xdr:row>
      <xdr:rowOff>121920</xdr:rowOff>
    </xdr:to>
    <xdr:sp macro="" textlink="">
      <xdr:nvSpPr>
        <xdr:cNvPr id="3308" name="AutoShape 236" descr="Montreal Canadiens">
          <a:extLst>
            <a:ext uri="{FF2B5EF4-FFF2-40B4-BE49-F238E27FC236}">
              <a16:creationId xmlns:a16="http://schemas.microsoft.com/office/drawing/2014/main" xmlns="" id="{00000000-0008-0000-0D00-0000EC0C0000}"/>
            </a:ext>
          </a:extLst>
        </xdr:cNvPr>
        <xdr:cNvSpPr>
          <a:spLocks noChangeAspect="1" noChangeArrowheads="1"/>
        </xdr:cNvSpPr>
      </xdr:nvSpPr>
      <xdr:spPr bwMode="auto">
        <a:xfrm>
          <a:off x="0" y="8884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544</xdr:row>
      <xdr:rowOff>0</xdr:rowOff>
    </xdr:from>
    <xdr:to>
      <xdr:col>0</xdr:col>
      <xdr:colOff>304800</xdr:colOff>
      <xdr:row>545</xdr:row>
      <xdr:rowOff>121920</xdr:rowOff>
    </xdr:to>
    <xdr:sp macro="" textlink="">
      <xdr:nvSpPr>
        <xdr:cNvPr id="3309" name="AutoShape 237" descr="Pittsburgh Penguins">
          <a:extLst>
            <a:ext uri="{FF2B5EF4-FFF2-40B4-BE49-F238E27FC236}">
              <a16:creationId xmlns:a16="http://schemas.microsoft.com/office/drawing/2014/main" xmlns="" id="{00000000-0008-0000-0D00-0000ED0C0000}"/>
            </a:ext>
          </a:extLst>
        </xdr:cNvPr>
        <xdr:cNvSpPr>
          <a:spLocks noChangeAspect="1" noChangeArrowheads="1"/>
        </xdr:cNvSpPr>
      </xdr:nvSpPr>
      <xdr:spPr bwMode="auto">
        <a:xfrm>
          <a:off x="0" y="89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552</xdr:row>
      <xdr:rowOff>0</xdr:rowOff>
    </xdr:from>
    <xdr:to>
      <xdr:col>0</xdr:col>
      <xdr:colOff>304800</xdr:colOff>
      <xdr:row>553</xdr:row>
      <xdr:rowOff>121920</xdr:rowOff>
    </xdr:to>
    <xdr:sp macro="" textlink="">
      <xdr:nvSpPr>
        <xdr:cNvPr id="3310" name="AutoShape 238" descr="Nashville Predators">
          <a:extLst>
            <a:ext uri="{FF2B5EF4-FFF2-40B4-BE49-F238E27FC236}">
              <a16:creationId xmlns:a16="http://schemas.microsoft.com/office/drawing/2014/main" xmlns="" id="{00000000-0008-0000-0D00-0000EE0C0000}"/>
            </a:ext>
          </a:extLst>
        </xdr:cNvPr>
        <xdr:cNvSpPr>
          <a:spLocks noChangeAspect="1" noChangeArrowheads="1"/>
        </xdr:cNvSpPr>
      </xdr:nvSpPr>
      <xdr:spPr bwMode="auto">
        <a:xfrm>
          <a:off x="0" y="8959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xdr:row>
      <xdr:rowOff>0</xdr:rowOff>
    </xdr:from>
    <xdr:to>
      <xdr:col>0</xdr:col>
      <xdr:colOff>304800</xdr:colOff>
      <xdr:row>47</xdr:row>
      <xdr:rowOff>121920</xdr:rowOff>
    </xdr:to>
    <xdr:sp macro="" textlink="">
      <xdr:nvSpPr>
        <xdr:cNvPr id="3311" name="AutoShape 239" descr="New York Islanders">
          <a:extLst>
            <a:ext uri="{FF2B5EF4-FFF2-40B4-BE49-F238E27FC236}">
              <a16:creationId xmlns:a16="http://schemas.microsoft.com/office/drawing/2014/main" xmlns="" id="{00000000-0008-0000-0D00-0000EF0C0000}"/>
            </a:ext>
          </a:extLst>
        </xdr:cNvPr>
        <xdr:cNvSpPr>
          <a:spLocks noChangeAspect="1" noChangeArrowheads="1"/>
        </xdr:cNvSpPr>
      </xdr:nvSpPr>
      <xdr:spPr bwMode="auto">
        <a:xfrm>
          <a:off x="0" y="8996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xdr:row>
      <xdr:rowOff>0</xdr:rowOff>
    </xdr:from>
    <xdr:to>
      <xdr:col>0</xdr:col>
      <xdr:colOff>304800</xdr:colOff>
      <xdr:row>113</xdr:row>
      <xdr:rowOff>121920</xdr:rowOff>
    </xdr:to>
    <xdr:sp macro="" textlink="">
      <xdr:nvSpPr>
        <xdr:cNvPr id="3312" name="AutoShape 240" descr="Tampa Bay Lightning">
          <a:extLst>
            <a:ext uri="{FF2B5EF4-FFF2-40B4-BE49-F238E27FC236}">
              <a16:creationId xmlns:a16="http://schemas.microsoft.com/office/drawing/2014/main" xmlns="" id="{00000000-0008-0000-0D00-0000F00C0000}"/>
            </a:ext>
          </a:extLst>
        </xdr:cNvPr>
        <xdr:cNvSpPr>
          <a:spLocks noChangeAspect="1" noChangeArrowheads="1"/>
        </xdr:cNvSpPr>
      </xdr:nvSpPr>
      <xdr:spPr bwMode="auto">
        <a:xfrm>
          <a:off x="0" y="9034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340</xdr:row>
      <xdr:rowOff>0</xdr:rowOff>
    </xdr:from>
    <xdr:to>
      <xdr:col>0</xdr:col>
      <xdr:colOff>304800</xdr:colOff>
      <xdr:row>341</xdr:row>
      <xdr:rowOff>121920</xdr:rowOff>
    </xdr:to>
    <xdr:sp macro="" textlink="">
      <xdr:nvSpPr>
        <xdr:cNvPr id="3313" name="AutoShape 241" descr="Vancouver Canucks">
          <a:extLst>
            <a:ext uri="{FF2B5EF4-FFF2-40B4-BE49-F238E27FC236}">
              <a16:creationId xmlns:a16="http://schemas.microsoft.com/office/drawing/2014/main" xmlns="" id="{00000000-0008-0000-0D00-0000F10C0000}"/>
            </a:ext>
          </a:extLst>
        </xdr:cNvPr>
        <xdr:cNvSpPr>
          <a:spLocks noChangeAspect="1" noChangeArrowheads="1"/>
        </xdr:cNvSpPr>
      </xdr:nvSpPr>
      <xdr:spPr bwMode="auto">
        <a:xfrm>
          <a:off x="0" y="9071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660</xdr:row>
      <xdr:rowOff>0</xdr:rowOff>
    </xdr:from>
    <xdr:to>
      <xdr:col>0</xdr:col>
      <xdr:colOff>304800</xdr:colOff>
      <xdr:row>661</xdr:row>
      <xdr:rowOff>121920</xdr:rowOff>
    </xdr:to>
    <xdr:sp macro="" textlink="">
      <xdr:nvSpPr>
        <xdr:cNvPr id="3314" name="AutoShape 242" descr="Winnipeg Jets">
          <a:extLst>
            <a:ext uri="{FF2B5EF4-FFF2-40B4-BE49-F238E27FC236}">
              <a16:creationId xmlns:a16="http://schemas.microsoft.com/office/drawing/2014/main" xmlns="" id="{00000000-0008-0000-0D00-0000F20C0000}"/>
            </a:ext>
          </a:extLst>
        </xdr:cNvPr>
        <xdr:cNvSpPr>
          <a:spLocks noChangeAspect="1" noChangeArrowheads="1"/>
        </xdr:cNvSpPr>
      </xdr:nvSpPr>
      <xdr:spPr bwMode="auto">
        <a:xfrm>
          <a:off x="0" y="9108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640</xdr:row>
      <xdr:rowOff>0</xdr:rowOff>
    </xdr:from>
    <xdr:to>
      <xdr:col>0</xdr:col>
      <xdr:colOff>304800</xdr:colOff>
      <xdr:row>641</xdr:row>
      <xdr:rowOff>121920</xdr:rowOff>
    </xdr:to>
    <xdr:sp macro="" textlink="">
      <xdr:nvSpPr>
        <xdr:cNvPr id="3315" name="AutoShape 243" descr="Philadelphia Flyers">
          <a:extLst>
            <a:ext uri="{FF2B5EF4-FFF2-40B4-BE49-F238E27FC236}">
              <a16:creationId xmlns:a16="http://schemas.microsoft.com/office/drawing/2014/main" xmlns="" id="{00000000-0008-0000-0D00-0000F30C0000}"/>
            </a:ext>
          </a:extLst>
        </xdr:cNvPr>
        <xdr:cNvSpPr>
          <a:spLocks noChangeAspect="1" noChangeArrowheads="1"/>
        </xdr:cNvSpPr>
      </xdr:nvSpPr>
      <xdr:spPr bwMode="auto">
        <a:xfrm>
          <a:off x="0" y="9146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819</xdr:row>
      <xdr:rowOff>0</xdr:rowOff>
    </xdr:from>
    <xdr:to>
      <xdr:col>0</xdr:col>
      <xdr:colOff>304800</xdr:colOff>
      <xdr:row>820</xdr:row>
      <xdr:rowOff>121920</xdr:rowOff>
    </xdr:to>
    <xdr:sp macro="" textlink="">
      <xdr:nvSpPr>
        <xdr:cNvPr id="3316" name="AutoShape 244" descr="Buffalo Sabres">
          <a:extLst>
            <a:ext uri="{FF2B5EF4-FFF2-40B4-BE49-F238E27FC236}">
              <a16:creationId xmlns:a16="http://schemas.microsoft.com/office/drawing/2014/main" xmlns="" id="{00000000-0008-0000-0D00-0000F40C0000}"/>
            </a:ext>
          </a:extLst>
        </xdr:cNvPr>
        <xdr:cNvSpPr>
          <a:spLocks noChangeAspect="1" noChangeArrowheads="1"/>
        </xdr:cNvSpPr>
      </xdr:nvSpPr>
      <xdr:spPr bwMode="auto">
        <a:xfrm>
          <a:off x="0" y="91836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137</xdr:row>
      <xdr:rowOff>0</xdr:rowOff>
    </xdr:from>
    <xdr:to>
      <xdr:col>0</xdr:col>
      <xdr:colOff>304800</xdr:colOff>
      <xdr:row>138</xdr:row>
      <xdr:rowOff>121920</xdr:rowOff>
    </xdr:to>
    <xdr:sp macro="" textlink="">
      <xdr:nvSpPr>
        <xdr:cNvPr id="3317" name="AutoShape 245" descr="New York Islanders">
          <a:extLst>
            <a:ext uri="{FF2B5EF4-FFF2-40B4-BE49-F238E27FC236}">
              <a16:creationId xmlns:a16="http://schemas.microsoft.com/office/drawing/2014/main" xmlns="" id="{00000000-0008-0000-0D00-0000F50C0000}"/>
            </a:ext>
          </a:extLst>
        </xdr:cNvPr>
        <xdr:cNvSpPr>
          <a:spLocks noChangeAspect="1" noChangeArrowheads="1"/>
        </xdr:cNvSpPr>
      </xdr:nvSpPr>
      <xdr:spPr bwMode="auto">
        <a:xfrm>
          <a:off x="0" y="922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271</xdr:row>
      <xdr:rowOff>0</xdr:rowOff>
    </xdr:from>
    <xdr:to>
      <xdr:col>0</xdr:col>
      <xdr:colOff>304800</xdr:colOff>
      <xdr:row>272</xdr:row>
      <xdr:rowOff>121920</xdr:rowOff>
    </xdr:to>
    <xdr:sp macro="" textlink="">
      <xdr:nvSpPr>
        <xdr:cNvPr id="3318" name="AutoShape 246" descr="Minnesota Wild">
          <a:extLst>
            <a:ext uri="{FF2B5EF4-FFF2-40B4-BE49-F238E27FC236}">
              <a16:creationId xmlns:a16="http://schemas.microsoft.com/office/drawing/2014/main" xmlns="" id="{00000000-0008-0000-0D00-0000F60C0000}"/>
            </a:ext>
          </a:extLst>
        </xdr:cNvPr>
        <xdr:cNvSpPr>
          <a:spLocks noChangeAspect="1" noChangeArrowheads="1"/>
        </xdr:cNvSpPr>
      </xdr:nvSpPr>
      <xdr:spPr bwMode="auto">
        <a:xfrm>
          <a:off x="0" y="9258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572</xdr:row>
      <xdr:rowOff>0</xdr:rowOff>
    </xdr:from>
    <xdr:to>
      <xdr:col>0</xdr:col>
      <xdr:colOff>304800</xdr:colOff>
      <xdr:row>573</xdr:row>
      <xdr:rowOff>121920</xdr:rowOff>
    </xdr:to>
    <xdr:sp macro="" textlink="">
      <xdr:nvSpPr>
        <xdr:cNvPr id="3319" name="AutoShape 247" descr="Calgary Flames">
          <a:extLst>
            <a:ext uri="{FF2B5EF4-FFF2-40B4-BE49-F238E27FC236}">
              <a16:creationId xmlns:a16="http://schemas.microsoft.com/office/drawing/2014/main" xmlns="" id="{00000000-0008-0000-0D00-0000F70C0000}"/>
            </a:ext>
          </a:extLst>
        </xdr:cNvPr>
        <xdr:cNvSpPr>
          <a:spLocks noChangeAspect="1" noChangeArrowheads="1"/>
        </xdr:cNvSpPr>
      </xdr:nvSpPr>
      <xdr:spPr bwMode="auto">
        <a:xfrm>
          <a:off x="0" y="92956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121920</xdr:rowOff>
    </xdr:to>
    <xdr:sp macro="" textlink="">
      <xdr:nvSpPr>
        <xdr:cNvPr id="3320" name="AutoShape 248" descr="Tampa Bay Lightning">
          <a:extLst>
            <a:ext uri="{FF2B5EF4-FFF2-40B4-BE49-F238E27FC236}">
              <a16:creationId xmlns:a16="http://schemas.microsoft.com/office/drawing/2014/main" xmlns="" id="{00000000-0008-0000-0D00-0000F80C0000}"/>
            </a:ext>
          </a:extLst>
        </xdr:cNvPr>
        <xdr:cNvSpPr>
          <a:spLocks noChangeAspect="1" noChangeArrowheads="1"/>
        </xdr:cNvSpPr>
      </xdr:nvSpPr>
      <xdr:spPr bwMode="auto">
        <a:xfrm>
          <a:off x="0" y="93329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591</xdr:row>
      <xdr:rowOff>0</xdr:rowOff>
    </xdr:from>
    <xdr:to>
      <xdr:col>0</xdr:col>
      <xdr:colOff>304800</xdr:colOff>
      <xdr:row>592</xdr:row>
      <xdr:rowOff>121920</xdr:rowOff>
    </xdr:to>
    <xdr:sp macro="" textlink="">
      <xdr:nvSpPr>
        <xdr:cNvPr id="3321" name="AutoShape 249" descr="Dallas Stars">
          <a:extLst>
            <a:ext uri="{FF2B5EF4-FFF2-40B4-BE49-F238E27FC236}">
              <a16:creationId xmlns:a16="http://schemas.microsoft.com/office/drawing/2014/main" xmlns="" id="{00000000-0008-0000-0D00-0000F90C0000}"/>
            </a:ext>
          </a:extLst>
        </xdr:cNvPr>
        <xdr:cNvSpPr>
          <a:spLocks noChangeAspect="1" noChangeArrowheads="1"/>
        </xdr:cNvSpPr>
      </xdr:nvSpPr>
      <xdr:spPr bwMode="auto">
        <a:xfrm>
          <a:off x="0" y="9370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386</xdr:row>
      <xdr:rowOff>0</xdr:rowOff>
    </xdr:from>
    <xdr:to>
      <xdr:col>0</xdr:col>
      <xdr:colOff>304800</xdr:colOff>
      <xdr:row>387</xdr:row>
      <xdr:rowOff>121920</xdr:rowOff>
    </xdr:to>
    <xdr:sp macro="" textlink="">
      <xdr:nvSpPr>
        <xdr:cNvPr id="3322" name="AutoShape 250" descr="Edmonton Oilers">
          <a:extLst>
            <a:ext uri="{FF2B5EF4-FFF2-40B4-BE49-F238E27FC236}">
              <a16:creationId xmlns:a16="http://schemas.microsoft.com/office/drawing/2014/main" xmlns="" id="{00000000-0008-0000-0D00-0000FA0C0000}"/>
            </a:ext>
          </a:extLst>
        </xdr:cNvPr>
        <xdr:cNvSpPr>
          <a:spLocks noChangeAspect="1" noChangeArrowheads="1"/>
        </xdr:cNvSpPr>
      </xdr:nvSpPr>
      <xdr:spPr bwMode="auto">
        <a:xfrm>
          <a:off x="0" y="94076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361</xdr:row>
      <xdr:rowOff>0</xdr:rowOff>
    </xdr:from>
    <xdr:to>
      <xdr:col>0</xdr:col>
      <xdr:colOff>304800</xdr:colOff>
      <xdr:row>362</xdr:row>
      <xdr:rowOff>121920</xdr:rowOff>
    </xdr:to>
    <xdr:sp macro="" textlink="">
      <xdr:nvSpPr>
        <xdr:cNvPr id="3323" name="AutoShape 251" descr="Florida Panthers">
          <a:extLst>
            <a:ext uri="{FF2B5EF4-FFF2-40B4-BE49-F238E27FC236}">
              <a16:creationId xmlns:a16="http://schemas.microsoft.com/office/drawing/2014/main" xmlns="" id="{00000000-0008-0000-0D00-0000FB0C0000}"/>
            </a:ext>
          </a:extLst>
        </xdr:cNvPr>
        <xdr:cNvSpPr>
          <a:spLocks noChangeAspect="1" noChangeArrowheads="1"/>
        </xdr:cNvSpPr>
      </xdr:nvSpPr>
      <xdr:spPr bwMode="auto">
        <a:xfrm>
          <a:off x="0" y="94449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675</xdr:row>
      <xdr:rowOff>0</xdr:rowOff>
    </xdr:from>
    <xdr:to>
      <xdr:col>0</xdr:col>
      <xdr:colOff>304800</xdr:colOff>
      <xdr:row>676</xdr:row>
      <xdr:rowOff>121920</xdr:rowOff>
    </xdr:to>
    <xdr:sp macro="" textlink="">
      <xdr:nvSpPr>
        <xdr:cNvPr id="3324" name="AutoShape 252" descr="Columbus Blue Jackets">
          <a:extLst>
            <a:ext uri="{FF2B5EF4-FFF2-40B4-BE49-F238E27FC236}">
              <a16:creationId xmlns:a16="http://schemas.microsoft.com/office/drawing/2014/main" xmlns="" id="{00000000-0008-0000-0D00-0000FC0C0000}"/>
            </a:ext>
          </a:extLst>
        </xdr:cNvPr>
        <xdr:cNvSpPr>
          <a:spLocks noChangeAspect="1" noChangeArrowheads="1"/>
        </xdr:cNvSpPr>
      </xdr:nvSpPr>
      <xdr:spPr bwMode="auto">
        <a:xfrm>
          <a:off x="0" y="94823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679</xdr:row>
      <xdr:rowOff>0</xdr:rowOff>
    </xdr:from>
    <xdr:to>
      <xdr:col>0</xdr:col>
      <xdr:colOff>304800</xdr:colOff>
      <xdr:row>680</xdr:row>
      <xdr:rowOff>121920</xdr:rowOff>
    </xdr:to>
    <xdr:sp macro="" textlink="">
      <xdr:nvSpPr>
        <xdr:cNvPr id="3325" name="AutoShape 253" descr="Philadelphia Flyers">
          <a:extLst>
            <a:ext uri="{FF2B5EF4-FFF2-40B4-BE49-F238E27FC236}">
              <a16:creationId xmlns:a16="http://schemas.microsoft.com/office/drawing/2014/main" xmlns="" id="{00000000-0008-0000-0D00-0000FD0C0000}"/>
            </a:ext>
          </a:extLst>
        </xdr:cNvPr>
        <xdr:cNvSpPr>
          <a:spLocks noChangeAspect="1" noChangeArrowheads="1"/>
        </xdr:cNvSpPr>
      </xdr:nvSpPr>
      <xdr:spPr bwMode="auto">
        <a:xfrm>
          <a:off x="0" y="951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153</xdr:row>
      <xdr:rowOff>0</xdr:rowOff>
    </xdr:from>
    <xdr:to>
      <xdr:col>0</xdr:col>
      <xdr:colOff>304800</xdr:colOff>
      <xdr:row>154</xdr:row>
      <xdr:rowOff>121920</xdr:rowOff>
    </xdr:to>
    <xdr:sp macro="" textlink="">
      <xdr:nvSpPr>
        <xdr:cNvPr id="3326" name="AutoShape 254" descr="New York Islanders">
          <a:extLst>
            <a:ext uri="{FF2B5EF4-FFF2-40B4-BE49-F238E27FC236}">
              <a16:creationId xmlns:a16="http://schemas.microsoft.com/office/drawing/2014/main" xmlns="" id="{00000000-0008-0000-0D00-0000FE0C0000}"/>
            </a:ext>
          </a:extLst>
        </xdr:cNvPr>
        <xdr:cNvSpPr>
          <a:spLocks noChangeAspect="1" noChangeArrowheads="1"/>
        </xdr:cNvSpPr>
      </xdr:nvSpPr>
      <xdr:spPr bwMode="auto">
        <a:xfrm>
          <a:off x="0" y="9557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262</xdr:row>
      <xdr:rowOff>0</xdr:rowOff>
    </xdr:from>
    <xdr:to>
      <xdr:col>0</xdr:col>
      <xdr:colOff>304800</xdr:colOff>
      <xdr:row>263</xdr:row>
      <xdr:rowOff>121920</xdr:rowOff>
    </xdr:to>
    <xdr:sp macro="" textlink="">
      <xdr:nvSpPr>
        <xdr:cNvPr id="3327" name="AutoShape 255" descr="Arizona Coyotes">
          <a:extLst>
            <a:ext uri="{FF2B5EF4-FFF2-40B4-BE49-F238E27FC236}">
              <a16:creationId xmlns:a16="http://schemas.microsoft.com/office/drawing/2014/main" xmlns="" id="{00000000-0008-0000-0D00-0000FF0C0000}"/>
            </a:ext>
          </a:extLst>
        </xdr:cNvPr>
        <xdr:cNvSpPr>
          <a:spLocks noChangeAspect="1" noChangeArrowheads="1"/>
        </xdr:cNvSpPr>
      </xdr:nvSpPr>
      <xdr:spPr bwMode="auto">
        <a:xfrm>
          <a:off x="0" y="9594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771</xdr:row>
      <xdr:rowOff>0</xdr:rowOff>
    </xdr:from>
    <xdr:to>
      <xdr:col>0</xdr:col>
      <xdr:colOff>304800</xdr:colOff>
      <xdr:row>772</xdr:row>
      <xdr:rowOff>121920</xdr:rowOff>
    </xdr:to>
    <xdr:sp macro="" textlink="">
      <xdr:nvSpPr>
        <xdr:cNvPr id="3328" name="AutoShape 256" descr="New York Islanders">
          <a:extLst>
            <a:ext uri="{FF2B5EF4-FFF2-40B4-BE49-F238E27FC236}">
              <a16:creationId xmlns:a16="http://schemas.microsoft.com/office/drawing/2014/main" xmlns="" id="{00000000-0008-0000-0D00-0000000D0000}"/>
            </a:ext>
          </a:extLst>
        </xdr:cNvPr>
        <xdr:cNvSpPr>
          <a:spLocks noChangeAspect="1" noChangeArrowheads="1"/>
        </xdr:cNvSpPr>
      </xdr:nvSpPr>
      <xdr:spPr bwMode="auto">
        <a:xfrm>
          <a:off x="0" y="9631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363</xdr:row>
      <xdr:rowOff>0</xdr:rowOff>
    </xdr:from>
    <xdr:to>
      <xdr:col>0</xdr:col>
      <xdr:colOff>304800</xdr:colOff>
      <xdr:row>364</xdr:row>
      <xdr:rowOff>121920</xdr:rowOff>
    </xdr:to>
    <xdr:sp macro="" textlink="">
      <xdr:nvSpPr>
        <xdr:cNvPr id="3329" name="AutoShape 257" descr="Florida Panthers">
          <a:extLst>
            <a:ext uri="{FF2B5EF4-FFF2-40B4-BE49-F238E27FC236}">
              <a16:creationId xmlns:a16="http://schemas.microsoft.com/office/drawing/2014/main" xmlns="" id="{00000000-0008-0000-0D00-0000010D0000}"/>
            </a:ext>
          </a:extLst>
        </xdr:cNvPr>
        <xdr:cNvSpPr>
          <a:spLocks noChangeAspect="1" noChangeArrowheads="1"/>
        </xdr:cNvSpPr>
      </xdr:nvSpPr>
      <xdr:spPr bwMode="auto">
        <a:xfrm>
          <a:off x="0" y="9669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xdr:row>
      <xdr:rowOff>0</xdr:rowOff>
    </xdr:from>
    <xdr:to>
      <xdr:col>0</xdr:col>
      <xdr:colOff>304800</xdr:colOff>
      <xdr:row>121</xdr:row>
      <xdr:rowOff>121920</xdr:rowOff>
    </xdr:to>
    <xdr:sp macro="" textlink="">
      <xdr:nvSpPr>
        <xdr:cNvPr id="3330" name="AutoShape 258" descr="San Jose Sharks">
          <a:extLst>
            <a:ext uri="{FF2B5EF4-FFF2-40B4-BE49-F238E27FC236}">
              <a16:creationId xmlns:a16="http://schemas.microsoft.com/office/drawing/2014/main" xmlns="" id="{00000000-0008-0000-0D00-0000020D0000}"/>
            </a:ext>
          </a:extLst>
        </xdr:cNvPr>
        <xdr:cNvSpPr>
          <a:spLocks noChangeAspect="1" noChangeArrowheads="1"/>
        </xdr:cNvSpPr>
      </xdr:nvSpPr>
      <xdr:spPr bwMode="auto">
        <a:xfrm>
          <a:off x="0" y="9706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840</xdr:row>
      <xdr:rowOff>0</xdr:rowOff>
    </xdr:from>
    <xdr:to>
      <xdr:col>0</xdr:col>
      <xdr:colOff>304800</xdr:colOff>
      <xdr:row>841</xdr:row>
      <xdr:rowOff>121920</xdr:rowOff>
    </xdr:to>
    <xdr:sp macro="" textlink="">
      <xdr:nvSpPr>
        <xdr:cNvPr id="3331" name="AutoShape 259" descr="Ottawa Senators">
          <a:extLst>
            <a:ext uri="{FF2B5EF4-FFF2-40B4-BE49-F238E27FC236}">
              <a16:creationId xmlns:a16="http://schemas.microsoft.com/office/drawing/2014/main" xmlns="" id="{00000000-0008-0000-0D00-0000030D0000}"/>
            </a:ext>
          </a:extLst>
        </xdr:cNvPr>
        <xdr:cNvSpPr>
          <a:spLocks noChangeAspect="1" noChangeArrowheads="1"/>
        </xdr:cNvSpPr>
      </xdr:nvSpPr>
      <xdr:spPr bwMode="auto">
        <a:xfrm>
          <a:off x="0" y="9743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159</xdr:row>
      <xdr:rowOff>0</xdr:rowOff>
    </xdr:from>
    <xdr:to>
      <xdr:col>0</xdr:col>
      <xdr:colOff>304800</xdr:colOff>
      <xdr:row>160</xdr:row>
      <xdr:rowOff>121920</xdr:rowOff>
    </xdr:to>
    <xdr:sp macro="" textlink="">
      <xdr:nvSpPr>
        <xdr:cNvPr id="3332" name="AutoShape 260" descr="Minnesota Wild">
          <a:extLst>
            <a:ext uri="{FF2B5EF4-FFF2-40B4-BE49-F238E27FC236}">
              <a16:creationId xmlns:a16="http://schemas.microsoft.com/office/drawing/2014/main" xmlns="" id="{00000000-0008-0000-0D00-0000040D0000}"/>
            </a:ext>
          </a:extLst>
        </xdr:cNvPr>
        <xdr:cNvSpPr>
          <a:spLocks noChangeAspect="1" noChangeArrowheads="1"/>
        </xdr:cNvSpPr>
      </xdr:nvSpPr>
      <xdr:spPr bwMode="auto">
        <a:xfrm>
          <a:off x="0" y="9781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786</xdr:row>
      <xdr:rowOff>0</xdr:rowOff>
    </xdr:from>
    <xdr:to>
      <xdr:col>0</xdr:col>
      <xdr:colOff>304800</xdr:colOff>
      <xdr:row>787</xdr:row>
      <xdr:rowOff>121920</xdr:rowOff>
    </xdr:to>
    <xdr:sp macro="" textlink="">
      <xdr:nvSpPr>
        <xdr:cNvPr id="3333" name="AutoShape 261" descr="Detroit Red Wings">
          <a:extLst>
            <a:ext uri="{FF2B5EF4-FFF2-40B4-BE49-F238E27FC236}">
              <a16:creationId xmlns:a16="http://schemas.microsoft.com/office/drawing/2014/main" xmlns="" id="{00000000-0008-0000-0D00-0000050D0000}"/>
            </a:ext>
          </a:extLst>
        </xdr:cNvPr>
        <xdr:cNvSpPr>
          <a:spLocks noChangeAspect="1" noChangeArrowheads="1"/>
        </xdr:cNvSpPr>
      </xdr:nvSpPr>
      <xdr:spPr bwMode="auto">
        <a:xfrm>
          <a:off x="0" y="98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656</xdr:row>
      <xdr:rowOff>0</xdr:rowOff>
    </xdr:from>
    <xdr:to>
      <xdr:col>0</xdr:col>
      <xdr:colOff>304800</xdr:colOff>
      <xdr:row>657</xdr:row>
      <xdr:rowOff>121920</xdr:rowOff>
    </xdr:to>
    <xdr:sp macro="" textlink="">
      <xdr:nvSpPr>
        <xdr:cNvPr id="3334" name="AutoShape 262" descr="Anaheim Ducks">
          <a:extLst>
            <a:ext uri="{FF2B5EF4-FFF2-40B4-BE49-F238E27FC236}">
              <a16:creationId xmlns:a16="http://schemas.microsoft.com/office/drawing/2014/main" xmlns="" id="{00000000-0008-0000-0D00-0000060D0000}"/>
            </a:ext>
          </a:extLst>
        </xdr:cNvPr>
        <xdr:cNvSpPr>
          <a:spLocks noChangeAspect="1" noChangeArrowheads="1"/>
        </xdr:cNvSpPr>
      </xdr:nvSpPr>
      <xdr:spPr bwMode="auto">
        <a:xfrm>
          <a:off x="0" y="9855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719</xdr:row>
      <xdr:rowOff>0</xdr:rowOff>
    </xdr:from>
    <xdr:to>
      <xdr:col>0</xdr:col>
      <xdr:colOff>304800</xdr:colOff>
      <xdr:row>720</xdr:row>
      <xdr:rowOff>121920</xdr:rowOff>
    </xdr:to>
    <xdr:sp macro="" textlink="">
      <xdr:nvSpPr>
        <xdr:cNvPr id="3335" name="AutoShape 263" descr="Vancouver Canucks">
          <a:extLst>
            <a:ext uri="{FF2B5EF4-FFF2-40B4-BE49-F238E27FC236}">
              <a16:creationId xmlns:a16="http://schemas.microsoft.com/office/drawing/2014/main" xmlns="" id="{00000000-0008-0000-0D00-0000070D0000}"/>
            </a:ext>
          </a:extLst>
        </xdr:cNvPr>
        <xdr:cNvSpPr>
          <a:spLocks noChangeAspect="1" noChangeArrowheads="1"/>
        </xdr:cNvSpPr>
      </xdr:nvSpPr>
      <xdr:spPr bwMode="auto">
        <a:xfrm>
          <a:off x="0" y="9893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266</xdr:row>
      <xdr:rowOff>0</xdr:rowOff>
    </xdr:from>
    <xdr:to>
      <xdr:col>0</xdr:col>
      <xdr:colOff>304800</xdr:colOff>
      <xdr:row>267</xdr:row>
      <xdr:rowOff>121920</xdr:rowOff>
    </xdr:to>
    <xdr:sp macro="" textlink="">
      <xdr:nvSpPr>
        <xdr:cNvPr id="3336" name="AutoShape 264" descr="Nashville Predators">
          <a:extLst>
            <a:ext uri="{FF2B5EF4-FFF2-40B4-BE49-F238E27FC236}">
              <a16:creationId xmlns:a16="http://schemas.microsoft.com/office/drawing/2014/main" xmlns="" id="{00000000-0008-0000-0D00-0000080D0000}"/>
            </a:ext>
          </a:extLst>
        </xdr:cNvPr>
        <xdr:cNvSpPr>
          <a:spLocks noChangeAspect="1" noChangeArrowheads="1"/>
        </xdr:cNvSpPr>
      </xdr:nvSpPr>
      <xdr:spPr bwMode="auto">
        <a:xfrm>
          <a:off x="0" y="9930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374</xdr:row>
      <xdr:rowOff>0</xdr:rowOff>
    </xdr:from>
    <xdr:to>
      <xdr:col>0</xdr:col>
      <xdr:colOff>304800</xdr:colOff>
      <xdr:row>375</xdr:row>
      <xdr:rowOff>121920</xdr:rowOff>
    </xdr:to>
    <xdr:sp macro="" textlink="">
      <xdr:nvSpPr>
        <xdr:cNvPr id="3337" name="AutoShape 265" descr="Ottawa Senators">
          <a:extLst>
            <a:ext uri="{FF2B5EF4-FFF2-40B4-BE49-F238E27FC236}">
              <a16:creationId xmlns:a16="http://schemas.microsoft.com/office/drawing/2014/main" xmlns="" id="{00000000-0008-0000-0D00-0000090D0000}"/>
            </a:ext>
          </a:extLst>
        </xdr:cNvPr>
        <xdr:cNvSpPr>
          <a:spLocks noChangeAspect="1" noChangeArrowheads="1"/>
        </xdr:cNvSpPr>
      </xdr:nvSpPr>
      <xdr:spPr bwMode="auto">
        <a:xfrm>
          <a:off x="0" y="9967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519</xdr:row>
      <xdr:rowOff>0</xdr:rowOff>
    </xdr:from>
    <xdr:to>
      <xdr:col>0</xdr:col>
      <xdr:colOff>304800</xdr:colOff>
      <xdr:row>520</xdr:row>
      <xdr:rowOff>121920</xdr:rowOff>
    </xdr:to>
    <xdr:sp macro="" textlink="">
      <xdr:nvSpPr>
        <xdr:cNvPr id="3338" name="AutoShape 266" descr="Chicago Blackhawks">
          <a:extLst>
            <a:ext uri="{FF2B5EF4-FFF2-40B4-BE49-F238E27FC236}">
              <a16:creationId xmlns:a16="http://schemas.microsoft.com/office/drawing/2014/main" xmlns="" id="{00000000-0008-0000-0D00-00000A0D0000}"/>
            </a:ext>
          </a:extLst>
        </xdr:cNvPr>
        <xdr:cNvSpPr>
          <a:spLocks noChangeAspect="1" noChangeArrowheads="1"/>
        </xdr:cNvSpPr>
      </xdr:nvSpPr>
      <xdr:spPr bwMode="auto">
        <a:xfrm>
          <a:off x="0" y="10005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562</xdr:row>
      <xdr:rowOff>0</xdr:rowOff>
    </xdr:from>
    <xdr:to>
      <xdr:col>0</xdr:col>
      <xdr:colOff>304800</xdr:colOff>
      <xdr:row>563</xdr:row>
      <xdr:rowOff>121920</xdr:rowOff>
    </xdr:to>
    <xdr:sp macro="" textlink="">
      <xdr:nvSpPr>
        <xdr:cNvPr id="3339" name="AutoShape 267" descr="New York Islanders">
          <a:extLst>
            <a:ext uri="{FF2B5EF4-FFF2-40B4-BE49-F238E27FC236}">
              <a16:creationId xmlns:a16="http://schemas.microsoft.com/office/drawing/2014/main" xmlns="" id="{00000000-0008-0000-0D00-00000B0D0000}"/>
            </a:ext>
          </a:extLst>
        </xdr:cNvPr>
        <xdr:cNvSpPr>
          <a:spLocks noChangeAspect="1" noChangeArrowheads="1"/>
        </xdr:cNvSpPr>
      </xdr:nvSpPr>
      <xdr:spPr bwMode="auto">
        <a:xfrm>
          <a:off x="0" y="10042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201</xdr:row>
      <xdr:rowOff>0</xdr:rowOff>
    </xdr:from>
    <xdr:to>
      <xdr:col>0</xdr:col>
      <xdr:colOff>304800</xdr:colOff>
      <xdr:row>202</xdr:row>
      <xdr:rowOff>121920</xdr:rowOff>
    </xdr:to>
    <xdr:sp macro="" textlink="">
      <xdr:nvSpPr>
        <xdr:cNvPr id="3340" name="AutoShape 268" descr="Buffalo Sabres">
          <a:extLst>
            <a:ext uri="{FF2B5EF4-FFF2-40B4-BE49-F238E27FC236}">
              <a16:creationId xmlns:a16="http://schemas.microsoft.com/office/drawing/2014/main" xmlns="" id="{00000000-0008-0000-0D00-00000C0D0000}"/>
            </a:ext>
          </a:extLst>
        </xdr:cNvPr>
        <xdr:cNvSpPr>
          <a:spLocks noChangeAspect="1" noChangeArrowheads="1"/>
        </xdr:cNvSpPr>
      </xdr:nvSpPr>
      <xdr:spPr bwMode="auto">
        <a:xfrm>
          <a:off x="0" y="10079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xdr:row>
      <xdr:rowOff>0</xdr:rowOff>
    </xdr:from>
    <xdr:to>
      <xdr:col>0</xdr:col>
      <xdr:colOff>304800</xdr:colOff>
      <xdr:row>49</xdr:row>
      <xdr:rowOff>121920</xdr:rowOff>
    </xdr:to>
    <xdr:sp macro="" textlink="">
      <xdr:nvSpPr>
        <xdr:cNvPr id="3341" name="AutoShape 269" descr="Washington Capitals">
          <a:extLst>
            <a:ext uri="{FF2B5EF4-FFF2-40B4-BE49-F238E27FC236}">
              <a16:creationId xmlns:a16="http://schemas.microsoft.com/office/drawing/2014/main" xmlns="" id="{00000000-0008-0000-0D00-00000D0D0000}"/>
            </a:ext>
          </a:extLst>
        </xdr:cNvPr>
        <xdr:cNvSpPr>
          <a:spLocks noChangeAspect="1" noChangeArrowheads="1"/>
        </xdr:cNvSpPr>
      </xdr:nvSpPr>
      <xdr:spPr bwMode="auto">
        <a:xfrm>
          <a:off x="0" y="1011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693</xdr:row>
      <xdr:rowOff>0</xdr:rowOff>
    </xdr:from>
    <xdr:to>
      <xdr:col>0</xdr:col>
      <xdr:colOff>304800</xdr:colOff>
      <xdr:row>694</xdr:row>
      <xdr:rowOff>121920</xdr:rowOff>
    </xdr:to>
    <xdr:sp macro="" textlink="">
      <xdr:nvSpPr>
        <xdr:cNvPr id="3342" name="AutoShape 270" descr="Toronto Maple Leafs">
          <a:extLst>
            <a:ext uri="{FF2B5EF4-FFF2-40B4-BE49-F238E27FC236}">
              <a16:creationId xmlns:a16="http://schemas.microsoft.com/office/drawing/2014/main" xmlns="" id="{00000000-0008-0000-0D00-00000E0D0000}"/>
            </a:ext>
          </a:extLst>
        </xdr:cNvPr>
        <xdr:cNvSpPr>
          <a:spLocks noChangeAspect="1" noChangeArrowheads="1"/>
        </xdr:cNvSpPr>
      </xdr:nvSpPr>
      <xdr:spPr bwMode="auto">
        <a:xfrm>
          <a:off x="0" y="10154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213</xdr:row>
      <xdr:rowOff>0</xdr:rowOff>
    </xdr:from>
    <xdr:to>
      <xdr:col>0</xdr:col>
      <xdr:colOff>304800</xdr:colOff>
      <xdr:row>214</xdr:row>
      <xdr:rowOff>121920</xdr:rowOff>
    </xdr:to>
    <xdr:sp macro="" textlink="">
      <xdr:nvSpPr>
        <xdr:cNvPr id="3343" name="AutoShape 271" descr="Tampa Bay Lightning">
          <a:extLst>
            <a:ext uri="{FF2B5EF4-FFF2-40B4-BE49-F238E27FC236}">
              <a16:creationId xmlns:a16="http://schemas.microsoft.com/office/drawing/2014/main" xmlns="" id="{00000000-0008-0000-0D00-00000F0D0000}"/>
            </a:ext>
          </a:extLst>
        </xdr:cNvPr>
        <xdr:cNvSpPr>
          <a:spLocks noChangeAspect="1" noChangeArrowheads="1"/>
        </xdr:cNvSpPr>
      </xdr:nvSpPr>
      <xdr:spPr bwMode="auto">
        <a:xfrm>
          <a:off x="0" y="10191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563</xdr:row>
      <xdr:rowOff>0</xdr:rowOff>
    </xdr:from>
    <xdr:to>
      <xdr:col>0</xdr:col>
      <xdr:colOff>304800</xdr:colOff>
      <xdr:row>564</xdr:row>
      <xdr:rowOff>121920</xdr:rowOff>
    </xdr:to>
    <xdr:sp macro="" textlink="">
      <xdr:nvSpPr>
        <xdr:cNvPr id="3344" name="AutoShape 272" descr="Vancouver Canucks">
          <a:extLst>
            <a:ext uri="{FF2B5EF4-FFF2-40B4-BE49-F238E27FC236}">
              <a16:creationId xmlns:a16="http://schemas.microsoft.com/office/drawing/2014/main" xmlns="" id="{00000000-0008-0000-0D00-0000100D0000}"/>
            </a:ext>
          </a:extLst>
        </xdr:cNvPr>
        <xdr:cNvSpPr>
          <a:spLocks noChangeAspect="1" noChangeArrowheads="1"/>
        </xdr:cNvSpPr>
      </xdr:nvSpPr>
      <xdr:spPr bwMode="auto">
        <a:xfrm>
          <a:off x="0" y="10229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769</xdr:row>
      <xdr:rowOff>0</xdr:rowOff>
    </xdr:from>
    <xdr:to>
      <xdr:col>0</xdr:col>
      <xdr:colOff>304800</xdr:colOff>
      <xdr:row>770</xdr:row>
      <xdr:rowOff>121920</xdr:rowOff>
    </xdr:to>
    <xdr:sp macro="" textlink="">
      <xdr:nvSpPr>
        <xdr:cNvPr id="3345" name="AutoShape 273" descr="Vancouver Canucks">
          <a:extLst>
            <a:ext uri="{FF2B5EF4-FFF2-40B4-BE49-F238E27FC236}">
              <a16:creationId xmlns:a16="http://schemas.microsoft.com/office/drawing/2014/main" xmlns="" id="{00000000-0008-0000-0D00-0000110D0000}"/>
            </a:ext>
          </a:extLst>
        </xdr:cNvPr>
        <xdr:cNvSpPr>
          <a:spLocks noChangeAspect="1" noChangeArrowheads="1"/>
        </xdr:cNvSpPr>
      </xdr:nvSpPr>
      <xdr:spPr bwMode="auto">
        <a:xfrm>
          <a:off x="0" y="10266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148</xdr:row>
      <xdr:rowOff>0</xdr:rowOff>
    </xdr:from>
    <xdr:to>
      <xdr:col>0</xdr:col>
      <xdr:colOff>304800</xdr:colOff>
      <xdr:row>149</xdr:row>
      <xdr:rowOff>121920</xdr:rowOff>
    </xdr:to>
    <xdr:sp macro="" textlink="">
      <xdr:nvSpPr>
        <xdr:cNvPr id="3346" name="AutoShape 274" descr="St Louis Blues">
          <a:extLst>
            <a:ext uri="{FF2B5EF4-FFF2-40B4-BE49-F238E27FC236}">
              <a16:creationId xmlns:a16="http://schemas.microsoft.com/office/drawing/2014/main" xmlns="" id="{00000000-0008-0000-0D00-0000120D0000}"/>
            </a:ext>
          </a:extLst>
        </xdr:cNvPr>
        <xdr:cNvSpPr>
          <a:spLocks noChangeAspect="1" noChangeArrowheads="1"/>
        </xdr:cNvSpPr>
      </xdr:nvSpPr>
      <xdr:spPr bwMode="auto">
        <a:xfrm>
          <a:off x="0" y="10303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516</xdr:row>
      <xdr:rowOff>0</xdr:rowOff>
    </xdr:from>
    <xdr:to>
      <xdr:col>0</xdr:col>
      <xdr:colOff>304800</xdr:colOff>
      <xdr:row>517</xdr:row>
      <xdr:rowOff>121920</xdr:rowOff>
    </xdr:to>
    <xdr:sp macro="" textlink="">
      <xdr:nvSpPr>
        <xdr:cNvPr id="3347" name="AutoShape 275" descr="Minnesota Wild">
          <a:extLst>
            <a:ext uri="{FF2B5EF4-FFF2-40B4-BE49-F238E27FC236}">
              <a16:creationId xmlns:a16="http://schemas.microsoft.com/office/drawing/2014/main" xmlns="" id="{00000000-0008-0000-0D00-0000130D0000}"/>
            </a:ext>
          </a:extLst>
        </xdr:cNvPr>
        <xdr:cNvSpPr>
          <a:spLocks noChangeAspect="1" noChangeArrowheads="1"/>
        </xdr:cNvSpPr>
      </xdr:nvSpPr>
      <xdr:spPr bwMode="auto">
        <a:xfrm>
          <a:off x="0" y="10341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768</xdr:row>
      <xdr:rowOff>0</xdr:rowOff>
    </xdr:from>
    <xdr:to>
      <xdr:col>0</xdr:col>
      <xdr:colOff>304800</xdr:colOff>
      <xdr:row>769</xdr:row>
      <xdr:rowOff>121920</xdr:rowOff>
    </xdr:to>
    <xdr:sp macro="" textlink="">
      <xdr:nvSpPr>
        <xdr:cNvPr id="3348" name="AutoShape 276" descr="Carolina Hurricanes">
          <a:extLst>
            <a:ext uri="{FF2B5EF4-FFF2-40B4-BE49-F238E27FC236}">
              <a16:creationId xmlns:a16="http://schemas.microsoft.com/office/drawing/2014/main" xmlns="" id="{00000000-0008-0000-0D00-0000140D0000}"/>
            </a:ext>
          </a:extLst>
        </xdr:cNvPr>
        <xdr:cNvSpPr>
          <a:spLocks noChangeAspect="1" noChangeArrowheads="1"/>
        </xdr:cNvSpPr>
      </xdr:nvSpPr>
      <xdr:spPr bwMode="auto">
        <a:xfrm>
          <a:off x="0" y="10378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684</xdr:row>
      <xdr:rowOff>0</xdr:rowOff>
    </xdr:from>
    <xdr:to>
      <xdr:col>0</xdr:col>
      <xdr:colOff>304800</xdr:colOff>
      <xdr:row>685</xdr:row>
      <xdr:rowOff>121920</xdr:rowOff>
    </xdr:to>
    <xdr:sp macro="" textlink="">
      <xdr:nvSpPr>
        <xdr:cNvPr id="3349" name="AutoShape 277" descr="Arizona Coyotes">
          <a:extLst>
            <a:ext uri="{FF2B5EF4-FFF2-40B4-BE49-F238E27FC236}">
              <a16:creationId xmlns:a16="http://schemas.microsoft.com/office/drawing/2014/main" xmlns="" id="{00000000-0008-0000-0D00-0000150D0000}"/>
            </a:ext>
          </a:extLst>
        </xdr:cNvPr>
        <xdr:cNvSpPr>
          <a:spLocks noChangeAspect="1" noChangeArrowheads="1"/>
        </xdr:cNvSpPr>
      </xdr:nvSpPr>
      <xdr:spPr bwMode="auto">
        <a:xfrm>
          <a:off x="0" y="1041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xdr:row>
      <xdr:rowOff>0</xdr:rowOff>
    </xdr:from>
    <xdr:to>
      <xdr:col>0</xdr:col>
      <xdr:colOff>304800</xdr:colOff>
      <xdr:row>88</xdr:row>
      <xdr:rowOff>121920</xdr:rowOff>
    </xdr:to>
    <xdr:sp macro="" textlink="">
      <xdr:nvSpPr>
        <xdr:cNvPr id="3350" name="AutoShape 278" descr="Vancouver Canucks">
          <a:extLst>
            <a:ext uri="{FF2B5EF4-FFF2-40B4-BE49-F238E27FC236}">
              <a16:creationId xmlns:a16="http://schemas.microsoft.com/office/drawing/2014/main" xmlns="" id="{00000000-0008-0000-0D00-0000160D0000}"/>
            </a:ext>
          </a:extLst>
        </xdr:cNvPr>
        <xdr:cNvSpPr>
          <a:spLocks noChangeAspect="1" noChangeArrowheads="1"/>
        </xdr:cNvSpPr>
      </xdr:nvSpPr>
      <xdr:spPr bwMode="auto">
        <a:xfrm>
          <a:off x="0" y="10453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130</xdr:row>
      <xdr:rowOff>0</xdr:rowOff>
    </xdr:from>
    <xdr:to>
      <xdr:col>0</xdr:col>
      <xdr:colOff>304800</xdr:colOff>
      <xdr:row>131</xdr:row>
      <xdr:rowOff>121920</xdr:rowOff>
    </xdr:to>
    <xdr:sp macro="" textlink="">
      <xdr:nvSpPr>
        <xdr:cNvPr id="3351" name="AutoShape 279" descr="Philadelphia Flyers">
          <a:extLst>
            <a:ext uri="{FF2B5EF4-FFF2-40B4-BE49-F238E27FC236}">
              <a16:creationId xmlns:a16="http://schemas.microsoft.com/office/drawing/2014/main" xmlns="" id="{00000000-0008-0000-0D00-0000170D0000}"/>
            </a:ext>
          </a:extLst>
        </xdr:cNvPr>
        <xdr:cNvSpPr>
          <a:spLocks noChangeAspect="1" noChangeArrowheads="1"/>
        </xdr:cNvSpPr>
      </xdr:nvSpPr>
      <xdr:spPr bwMode="auto">
        <a:xfrm>
          <a:off x="0" y="10490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275</xdr:row>
      <xdr:rowOff>0</xdr:rowOff>
    </xdr:from>
    <xdr:to>
      <xdr:col>0</xdr:col>
      <xdr:colOff>304800</xdr:colOff>
      <xdr:row>276</xdr:row>
      <xdr:rowOff>121920</xdr:rowOff>
    </xdr:to>
    <xdr:sp macro="" textlink="">
      <xdr:nvSpPr>
        <xdr:cNvPr id="3352" name="AutoShape 280" descr="Vegas Golden Knights">
          <a:extLst>
            <a:ext uri="{FF2B5EF4-FFF2-40B4-BE49-F238E27FC236}">
              <a16:creationId xmlns:a16="http://schemas.microsoft.com/office/drawing/2014/main" xmlns="" id="{00000000-0008-0000-0D00-0000180D0000}"/>
            </a:ext>
          </a:extLst>
        </xdr:cNvPr>
        <xdr:cNvSpPr>
          <a:spLocks noChangeAspect="1" noChangeArrowheads="1"/>
        </xdr:cNvSpPr>
      </xdr:nvSpPr>
      <xdr:spPr bwMode="auto">
        <a:xfrm>
          <a:off x="0" y="10527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xdr:row>
      <xdr:rowOff>0</xdr:rowOff>
    </xdr:from>
    <xdr:to>
      <xdr:col>0</xdr:col>
      <xdr:colOff>304800</xdr:colOff>
      <xdr:row>10</xdr:row>
      <xdr:rowOff>121920</xdr:rowOff>
    </xdr:to>
    <xdr:sp macro="" textlink="">
      <xdr:nvSpPr>
        <xdr:cNvPr id="3353" name="AutoShape 281" descr="Boston Bruins">
          <a:extLst>
            <a:ext uri="{FF2B5EF4-FFF2-40B4-BE49-F238E27FC236}">
              <a16:creationId xmlns:a16="http://schemas.microsoft.com/office/drawing/2014/main" xmlns="" id="{00000000-0008-0000-0D00-0000190D0000}"/>
            </a:ext>
          </a:extLst>
        </xdr:cNvPr>
        <xdr:cNvSpPr>
          <a:spLocks noChangeAspect="1" noChangeArrowheads="1"/>
        </xdr:cNvSpPr>
      </xdr:nvSpPr>
      <xdr:spPr bwMode="auto">
        <a:xfrm>
          <a:off x="0" y="10583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128</xdr:row>
      <xdr:rowOff>0</xdr:rowOff>
    </xdr:from>
    <xdr:to>
      <xdr:col>0</xdr:col>
      <xdr:colOff>304800</xdr:colOff>
      <xdr:row>129</xdr:row>
      <xdr:rowOff>121920</xdr:rowOff>
    </xdr:to>
    <xdr:sp macro="" textlink="">
      <xdr:nvSpPr>
        <xdr:cNvPr id="3354" name="AutoShape 282" descr="New Jersey Devils">
          <a:extLst>
            <a:ext uri="{FF2B5EF4-FFF2-40B4-BE49-F238E27FC236}">
              <a16:creationId xmlns:a16="http://schemas.microsoft.com/office/drawing/2014/main" xmlns="" id="{00000000-0008-0000-0D00-00001A0D0000}"/>
            </a:ext>
          </a:extLst>
        </xdr:cNvPr>
        <xdr:cNvSpPr>
          <a:spLocks noChangeAspect="1" noChangeArrowheads="1"/>
        </xdr:cNvSpPr>
      </xdr:nvSpPr>
      <xdr:spPr bwMode="auto">
        <a:xfrm>
          <a:off x="0" y="106207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526</xdr:row>
      <xdr:rowOff>0</xdr:rowOff>
    </xdr:from>
    <xdr:to>
      <xdr:col>0</xdr:col>
      <xdr:colOff>304800</xdr:colOff>
      <xdr:row>527</xdr:row>
      <xdr:rowOff>121920</xdr:rowOff>
    </xdr:to>
    <xdr:sp macro="" textlink="">
      <xdr:nvSpPr>
        <xdr:cNvPr id="3355" name="AutoShape 283" descr="Florida Panthers">
          <a:extLst>
            <a:ext uri="{FF2B5EF4-FFF2-40B4-BE49-F238E27FC236}">
              <a16:creationId xmlns:a16="http://schemas.microsoft.com/office/drawing/2014/main" xmlns="" id="{00000000-0008-0000-0D00-00001B0D0000}"/>
            </a:ext>
          </a:extLst>
        </xdr:cNvPr>
        <xdr:cNvSpPr>
          <a:spLocks noChangeAspect="1" noChangeArrowheads="1"/>
        </xdr:cNvSpPr>
      </xdr:nvSpPr>
      <xdr:spPr bwMode="auto">
        <a:xfrm>
          <a:off x="0" y="106580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xdr:row>
      <xdr:rowOff>0</xdr:rowOff>
    </xdr:from>
    <xdr:to>
      <xdr:col>0</xdr:col>
      <xdr:colOff>304800</xdr:colOff>
      <xdr:row>89</xdr:row>
      <xdr:rowOff>121920</xdr:rowOff>
    </xdr:to>
    <xdr:sp macro="" textlink="">
      <xdr:nvSpPr>
        <xdr:cNvPr id="3356" name="AutoShape 284" descr="New Jersey Devils">
          <a:extLst>
            <a:ext uri="{FF2B5EF4-FFF2-40B4-BE49-F238E27FC236}">
              <a16:creationId xmlns:a16="http://schemas.microsoft.com/office/drawing/2014/main" xmlns="" id="{00000000-0008-0000-0D00-00001C0D0000}"/>
            </a:ext>
          </a:extLst>
        </xdr:cNvPr>
        <xdr:cNvSpPr>
          <a:spLocks noChangeAspect="1" noChangeArrowheads="1"/>
        </xdr:cNvSpPr>
      </xdr:nvSpPr>
      <xdr:spPr bwMode="auto">
        <a:xfrm>
          <a:off x="0" y="106954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234</xdr:row>
      <xdr:rowOff>0</xdr:rowOff>
    </xdr:from>
    <xdr:to>
      <xdr:col>0</xdr:col>
      <xdr:colOff>304800</xdr:colOff>
      <xdr:row>235</xdr:row>
      <xdr:rowOff>121920</xdr:rowOff>
    </xdr:to>
    <xdr:sp macro="" textlink="">
      <xdr:nvSpPr>
        <xdr:cNvPr id="3357" name="AutoShape 285" descr="Vancouver Canucks">
          <a:extLst>
            <a:ext uri="{FF2B5EF4-FFF2-40B4-BE49-F238E27FC236}">
              <a16:creationId xmlns:a16="http://schemas.microsoft.com/office/drawing/2014/main" xmlns="" id="{00000000-0008-0000-0D00-00001D0D0000}"/>
            </a:ext>
          </a:extLst>
        </xdr:cNvPr>
        <xdr:cNvSpPr>
          <a:spLocks noChangeAspect="1" noChangeArrowheads="1"/>
        </xdr:cNvSpPr>
      </xdr:nvSpPr>
      <xdr:spPr bwMode="auto">
        <a:xfrm>
          <a:off x="0" y="107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702</xdr:row>
      <xdr:rowOff>0</xdr:rowOff>
    </xdr:from>
    <xdr:to>
      <xdr:col>0</xdr:col>
      <xdr:colOff>304800</xdr:colOff>
      <xdr:row>703</xdr:row>
      <xdr:rowOff>121920</xdr:rowOff>
    </xdr:to>
    <xdr:sp macro="" textlink="">
      <xdr:nvSpPr>
        <xdr:cNvPr id="3358" name="AutoShape 286" descr="Nashville Predators">
          <a:extLst>
            <a:ext uri="{FF2B5EF4-FFF2-40B4-BE49-F238E27FC236}">
              <a16:creationId xmlns:a16="http://schemas.microsoft.com/office/drawing/2014/main" xmlns="" id="{00000000-0008-0000-0D00-00001E0D0000}"/>
            </a:ext>
          </a:extLst>
        </xdr:cNvPr>
        <xdr:cNvSpPr>
          <a:spLocks noChangeAspect="1" noChangeArrowheads="1"/>
        </xdr:cNvSpPr>
      </xdr:nvSpPr>
      <xdr:spPr bwMode="auto">
        <a:xfrm>
          <a:off x="0" y="107701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574</xdr:row>
      <xdr:rowOff>0</xdr:rowOff>
    </xdr:from>
    <xdr:to>
      <xdr:col>0</xdr:col>
      <xdr:colOff>304800</xdr:colOff>
      <xdr:row>575</xdr:row>
      <xdr:rowOff>121920</xdr:rowOff>
    </xdr:to>
    <xdr:sp macro="" textlink="">
      <xdr:nvSpPr>
        <xdr:cNvPr id="3359" name="AutoShape 287" descr="Philadelphia Flyers">
          <a:extLst>
            <a:ext uri="{FF2B5EF4-FFF2-40B4-BE49-F238E27FC236}">
              <a16:creationId xmlns:a16="http://schemas.microsoft.com/office/drawing/2014/main" xmlns="" id="{00000000-0008-0000-0D00-00001F0D0000}"/>
            </a:ext>
          </a:extLst>
        </xdr:cNvPr>
        <xdr:cNvSpPr>
          <a:spLocks noChangeAspect="1" noChangeArrowheads="1"/>
        </xdr:cNvSpPr>
      </xdr:nvSpPr>
      <xdr:spPr bwMode="auto">
        <a:xfrm>
          <a:off x="0" y="108074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542</xdr:row>
      <xdr:rowOff>0</xdr:rowOff>
    </xdr:from>
    <xdr:to>
      <xdr:col>0</xdr:col>
      <xdr:colOff>304800</xdr:colOff>
      <xdr:row>543</xdr:row>
      <xdr:rowOff>121920</xdr:rowOff>
    </xdr:to>
    <xdr:sp macro="" textlink="">
      <xdr:nvSpPr>
        <xdr:cNvPr id="3360" name="AutoShape 288" descr="New York Islanders">
          <a:extLst>
            <a:ext uri="{FF2B5EF4-FFF2-40B4-BE49-F238E27FC236}">
              <a16:creationId xmlns:a16="http://schemas.microsoft.com/office/drawing/2014/main" xmlns="" id="{00000000-0008-0000-0D00-0000200D0000}"/>
            </a:ext>
          </a:extLst>
        </xdr:cNvPr>
        <xdr:cNvSpPr>
          <a:spLocks noChangeAspect="1" noChangeArrowheads="1"/>
        </xdr:cNvSpPr>
      </xdr:nvSpPr>
      <xdr:spPr bwMode="auto">
        <a:xfrm>
          <a:off x="0" y="108447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xdr:row>
      <xdr:rowOff>0</xdr:rowOff>
    </xdr:from>
    <xdr:to>
      <xdr:col>0</xdr:col>
      <xdr:colOff>304800</xdr:colOff>
      <xdr:row>42</xdr:row>
      <xdr:rowOff>121920</xdr:rowOff>
    </xdr:to>
    <xdr:sp macro="" textlink="">
      <xdr:nvSpPr>
        <xdr:cNvPr id="3361" name="AutoShape 289" descr="Ottawa Senators">
          <a:extLst>
            <a:ext uri="{FF2B5EF4-FFF2-40B4-BE49-F238E27FC236}">
              <a16:creationId xmlns:a16="http://schemas.microsoft.com/office/drawing/2014/main" xmlns="" id="{00000000-0008-0000-0D00-0000210D0000}"/>
            </a:ext>
          </a:extLst>
        </xdr:cNvPr>
        <xdr:cNvSpPr>
          <a:spLocks noChangeAspect="1" noChangeArrowheads="1"/>
        </xdr:cNvSpPr>
      </xdr:nvSpPr>
      <xdr:spPr bwMode="auto">
        <a:xfrm>
          <a:off x="0" y="10882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xdr:row>
      <xdr:rowOff>0</xdr:rowOff>
    </xdr:from>
    <xdr:to>
      <xdr:col>0</xdr:col>
      <xdr:colOff>304800</xdr:colOff>
      <xdr:row>48</xdr:row>
      <xdr:rowOff>121920</xdr:rowOff>
    </xdr:to>
    <xdr:sp macro="" textlink="">
      <xdr:nvSpPr>
        <xdr:cNvPr id="3362" name="AutoShape 290" descr="Vancouver Canucks">
          <a:extLst>
            <a:ext uri="{FF2B5EF4-FFF2-40B4-BE49-F238E27FC236}">
              <a16:creationId xmlns:a16="http://schemas.microsoft.com/office/drawing/2014/main" xmlns="" id="{00000000-0008-0000-0D00-0000220D0000}"/>
            </a:ext>
          </a:extLst>
        </xdr:cNvPr>
        <xdr:cNvSpPr>
          <a:spLocks noChangeAspect="1" noChangeArrowheads="1"/>
        </xdr:cNvSpPr>
      </xdr:nvSpPr>
      <xdr:spPr bwMode="auto">
        <a:xfrm>
          <a:off x="0" y="10919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467</xdr:row>
      <xdr:rowOff>0</xdr:rowOff>
    </xdr:from>
    <xdr:to>
      <xdr:col>0</xdr:col>
      <xdr:colOff>304800</xdr:colOff>
      <xdr:row>468</xdr:row>
      <xdr:rowOff>121920</xdr:rowOff>
    </xdr:to>
    <xdr:sp macro="" textlink="">
      <xdr:nvSpPr>
        <xdr:cNvPr id="3363" name="AutoShape 291" descr="Boston Bruins">
          <a:extLst>
            <a:ext uri="{FF2B5EF4-FFF2-40B4-BE49-F238E27FC236}">
              <a16:creationId xmlns:a16="http://schemas.microsoft.com/office/drawing/2014/main" xmlns="" id="{00000000-0008-0000-0D00-0000230D0000}"/>
            </a:ext>
          </a:extLst>
        </xdr:cNvPr>
        <xdr:cNvSpPr>
          <a:spLocks noChangeAspect="1" noChangeArrowheads="1"/>
        </xdr:cNvSpPr>
      </xdr:nvSpPr>
      <xdr:spPr bwMode="auto">
        <a:xfrm>
          <a:off x="0" y="1095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603</xdr:row>
      <xdr:rowOff>0</xdr:rowOff>
    </xdr:from>
    <xdr:to>
      <xdr:col>0</xdr:col>
      <xdr:colOff>304800</xdr:colOff>
      <xdr:row>604</xdr:row>
      <xdr:rowOff>121920</xdr:rowOff>
    </xdr:to>
    <xdr:sp macro="" textlink="">
      <xdr:nvSpPr>
        <xdr:cNvPr id="3364" name="AutoShape 292" descr="Buffalo Sabres">
          <a:extLst>
            <a:ext uri="{FF2B5EF4-FFF2-40B4-BE49-F238E27FC236}">
              <a16:creationId xmlns:a16="http://schemas.microsoft.com/office/drawing/2014/main" xmlns="" id="{00000000-0008-0000-0D00-0000240D0000}"/>
            </a:ext>
          </a:extLst>
        </xdr:cNvPr>
        <xdr:cNvSpPr>
          <a:spLocks noChangeAspect="1" noChangeArrowheads="1"/>
        </xdr:cNvSpPr>
      </xdr:nvSpPr>
      <xdr:spPr bwMode="auto">
        <a:xfrm>
          <a:off x="0" y="1099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580</xdr:row>
      <xdr:rowOff>0</xdr:rowOff>
    </xdr:from>
    <xdr:to>
      <xdr:col>0</xdr:col>
      <xdr:colOff>304800</xdr:colOff>
      <xdr:row>581</xdr:row>
      <xdr:rowOff>121920</xdr:rowOff>
    </xdr:to>
    <xdr:sp macro="" textlink="">
      <xdr:nvSpPr>
        <xdr:cNvPr id="3365" name="AutoShape 293" descr="Ottawa Senators">
          <a:extLst>
            <a:ext uri="{FF2B5EF4-FFF2-40B4-BE49-F238E27FC236}">
              <a16:creationId xmlns:a16="http://schemas.microsoft.com/office/drawing/2014/main" xmlns="" id="{00000000-0008-0000-0D00-0000250D0000}"/>
            </a:ext>
          </a:extLst>
        </xdr:cNvPr>
        <xdr:cNvSpPr>
          <a:spLocks noChangeAspect="1" noChangeArrowheads="1"/>
        </xdr:cNvSpPr>
      </xdr:nvSpPr>
      <xdr:spPr bwMode="auto">
        <a:xfrm>
          <a:off x="0" y="1103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569</xdr:row>
      <xdr:rowOff>0</xdr:rowOff>
    </xdr:from>
    <xdr:to>
      <xdr:col>0</xdr:col>
      <xdr:colOff>304800</xdr:colOff>
      <xdr:row>570</xdr:row>
      <xdr:rowOff>121920</xdr:rowOff>
    </xdr:to>
    <xdr:sp macro="" textlink="">
      <xdr:nvSpPr>
        <xdr:cNvPr id="3366" name="AutoShape 294" descr="Philadelphia Flyers">
          <a:extLst>
            <a:ext uri="{FF2B5EF4-FFF2-40B4-BE49-F238E27FC236}">
              <a16:creationId xmlns:a16="http://schemas.microsoft.com/office/drawing/2014/main" xmlns="" id="{00000000-0008-0000-0D00-0000260D0000}"/>
            </a:ext>
          </a:extLst>
        </xdr:cNvPr>
        <xdr:cNvSpPr>
          <a:spLocks noChangeAspect="1" noChangeArrowheads="1"/>
        </xdr:cNvSpPr>
      </xdr:nvSpPr>
      <xdr:spPr bwMode="auto">
        <a:xfrm>
          <a:off x="0" y="1106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210</xdr:row>
      <xdr:rowOff>0</xdr:rowOff>
    </xdr:from>
    <xdr:to>
      <xdr:col>0</xdr:col>
      <xdr:colOff>304800</xdr:colOff>
      <xdr:row>211</xdr:row>
      <xdr:rowOff>121920</xdr:rowOff>
    </xdr:to>
    <xdr:sp macro="" textlink="">
      <xdr:nvSpPr>
        <xdr:cNvPr id="3367" name="AutoShape 295" descr="Philadelphia Flyers">
          <a:extLst>
            <a:ext uri="{FF2B5EF4-FFF2-40B4-BE49-F238E27FC236}">
              <a16:creationId xmlns:a16="http://schemas.microsoft.com/office/drawing/2014/main" xmlns="" id="{00000000-0008-0000-0D00-0000270D0000}"/>
            </a:ext>
          </a:extLst>
        </xdr:cNvPr>
        <xdr:cNvSpPr>
          <a:spLocks noChangeAspect="1" noChangeArrowheads="1"/>
        </xdr:cNvSpPr>
      </xdr:nvSpPr>
      <xdr:spPr bwMode="auto">
        <a:xfrm>
          <a:off x="0" y="1110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395</xdr:row>
      <xdr:rowOff>0</xdr:rowOff>
    </xdr:from>
    <xdr:to>
      <xdr:col>0</xdr:col>
      <xdr:colOff>304800</xdr:colOff>
      <xdr:row>396</xdr:row>
      <xdr:rowOff>121920</xdr:rowOff>
    </xdr:to>
    <xdr:sp macro="" textlink="">
      <xdr:nvSpPr>
        <xdr:cNvPr id="3368" name="AutoShape 296" descr="Anaheim Ducks">
          <a:extLst>
            <a:ext uri="{FF2B5EF4-FFF2-40B4-BE49-F238E27FC236}">
              <a16:creationId xmlns:a16="http://schemas.microsoft.com/office/drawing/2014/main" xmlns="" id="{00000000-0008-0000-0D00-0000280D0000}"/>
            </a:ext>
          </a:extLst>
        </xdr:cNvPr>
        <xdr:cNvSpPr>
          <a:spLocks noChangeAspect="1" noChangeArrowheads="1"/>
        </xdr:cNvSpPr>
      </xdr:nvSpPr>
      <xdr:spPr bwMode="auto">
        <a:xfrm>
          <a:off x="0" y="1114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834</xdr:row>
      <xdr:rowOff>0</xdr:rowOff>
    </xdr:from>
    <xdr:to>
      <xdr:col>0</xdr:col>
      <xdr:colOff>304800</xdr:colOff>
      <xdr:row>835</xdr:row>
      <xdr:rowOff>121920</xdr:rowOff>
    </xdr:to>
    <xdr:sp macro="" textlink="">
      <xdr:nvSpPr>
        <xdr:cNvPr id="3369" name="AutoShape 297" descr="Toronto Maple Leafs">
          <a:extLst>
            <a:ext uri="{FF2B5EF4-FFF2-40B4-BE49-F238E27FC236}">
              <a16:creationId xmlns:a16="http://schemas.microsoft.com/office/drawing/2014/main" xmlns="" id="{00000000-0008-0000-0D00-0000290D0000}"/>
            </a:ext>
          </a:extLst>
        </xdr:cNvPr>
        <xdr:cNvSpPr>
          <a:spLocks noChangeAspect="1" noChangeArrowheads="1"/>
        </xdr:cNvSpPr>
      </xdr:nvSpPr>
      <xdr:spPr bwMode="auto">
        <a:xfrm>
          <a:off x="0" y="1118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540</xdr:row>
      <xdr:rowOff>0</xdr:rowOff>
    </xdr:from>
    <xdr:to>
      <xdr:col>0</xdr:col>
      <xdr:colOff>304800</xdr:colOff>
      <xdr:row>541</xdr:row>
      <xdr:rowOff>121920</xdr:rowOff>
    </xdr:to>
    <xdr:sp macro="" textlink="">
      <xdr:nvSpPr>
        <xdr:cNvPr id="3370" name="AutoShape 298" descr="Buffalo Sabres">
          <a:extLst>
            <a:ext uri="{FF2B5EF4-FFF2-40B4-BE49-F238E27FC236}">
              <a16:creationId xmlns:a16="http://schemas.microsoft.com/office/drawing/2014/main" xmlns="" id="{00000000-0008-0000-0D00-00002A0D0000}"/>
            </a:ext>
          </a:extLst>
        </xdr:cNvPr>
        <xdr:cNvSpPr>
          <a:spLocks noChangeAspect="1" noChangeArrowheads="1"/>
        </xdr:cNvSpPr>
      </xdr:nvSpPr>
      <xdr:spPr bwMode="auto">
        <a:xfrm>
          <a:off x="0" y="11218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600</xdr:row>
      <xdr:rowOff>0</xdr:rowOff>
    </xdr:from>
    <xdr:to>
      <xdr:col>0</xdr:col>
      <xdr:colOff>304800</xdr:colOff>
      <xdr:row>601</xdr:row>
      <xdr:rowOff>121920</xdr:rowOff>
    </xdr:to>
    <xdr:sp macro="" textlink="">
      <xdr:nvSpPr>
        <xdr:cNvPr id="3371" name="AutoShape 299" descr="Vegas Golden Knights">
          <a:extLst>
            <a:ext uri="{FF2B5EF4-FFF2-40B4-BE49-F238E27FC236}">
              <a16:creationId xmlns:a16="http://schemas.microsoft.com/office/drawing/2014/main" xmlns="" id="{00000000-0008-0000-0D00-00002B0D0000}"/>
            </a:ext>
          </a:extLst>
        </xdr:cNvPr>
        <xdr:cNvSpPr>
          <a:spLocks noChangeAspect="1" noChangeArrowheads="1"/>
        </xdr:cNvSpPr>
      </xdr:nvSpPr>
      <xdr:spPr bwMode="auto">
        <a:xfrm>
          <a:off x="0" y="11255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278</xdr:row>
      <xdr:rowOff>0</xdr:rowOff>
    </xdr:from>
    <xdr:to>
      <xdr:col>0</xdr:col>
      <xdr:colOff>304800</xdr:colOff>
      <xdr:row>279</xdr:row>
      <xdr:rowOff>121920</xdr:rowOff>
    </xdr:to>
    <xdr:sp macro="" textlink="">
      <xdr:nvSpPr>
        <xdr:cNvPr id="3372" name="AutoShape 300" descr="Dallas Stars">
          <a:extLst>
            <a:ext uri="{FF2B5EF4-FFF2-40B4-BE49-F238E27FC236}">
              <a16:creationId xmlns:a16="http://schemas.microsoft.com/office/drawing/2014/main" xmlns="" id="{00000000-0008-0000-0D00-00002C0D0000}"/>
            </a:ext>
          </a:extLst>
        </xdr:cNvPr>
        <xdr:cNvSpPr>
          <a:spLocks noChangeAspect="1" noChangeArrowheads="1"/>
        </xdr:cNvSpPr>
      </xdr:nvSpPr>
      <xdr:spPr bwMode="auto">
        <a:xfrm>
          <a:off x="0" y="11311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677</xdr:row>
      <xdr:rowOff>0</xdr:rowOff>
    </xdr:from>
    <xdr:to>
      <xdr:col>0</xdr:col>
      <xdr:colOff>304800</xdr:colOff>
      <xdr:row>678</xdr:row>
      <xdr:rowOff>121920</xdr:rowOff>
    </xdr:to>
    <xdr:sp macro="" textlink="">
      <xdr:nvSpPr>
        <xdr:cNvPr id="3373" name="AutoShape 301" descr="Dallas Stars">
          <a:extLst>
            <a:ext uri="{FF2B5EF4-FFF2-40B4-BE49-F238E27FC236}">
              <a16:creationId xmlns:a16="http://schemas.microsoft.com/office/drawing/2014/main" xmlns="" id="{00000000-0008-0000-0D00-00002D0D0000}"/>
            </a:ext>
          </a:extLst>
        </xdr:cNvPr>
        <xdr:cNvSpPr>
          <a:spLocks noChangeAspect="1" noChangeArrowheads="1"/>
        </xdr:cNvSpPr>
      </xdr:nvSpPr>
      <xdr:spPr bwMode="auto">
        <a:xfrm>
          <a:off x="0" y="11330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631</xdr:row>
      <xdr:rowOff>0</xdr:rowOff>
    </xdr:from>
    <xdr:to>
      <xdr:col>0</xdr:col>
      <xdr:colOff>304800</xdr:colOff>
      <xdr:row>632</xdr:row>
      <xdr:rowOff>121920</xdr:rowOff>
    </xdr:to>
    <xdr:sp macro="" textlink="">
      <xdr:nvSpPr>
        <xdr:cNvPr id="3374" name="AutoShape 302" descr="Colorado Avalanche">
          <a:extLst>
            <a:ext uri="{FF2B5EF4-FFF2-40B4-BE49-F238E27FC236}">
              <a16:creationId xmlns:a16="http://schemas.microsoft.com/office/drawing/2014/main" xmlns="" id="{00000000-0008-0000-0D00-00002E0D0000}"/>
            </a:ext>
          </a:extLst>
        </xdr:cNvPr>
        <xdr:cNvSpPr>
          <a:spLocks noChangeAspect="1" noChangeArrowheads="1"/>
        </xdr:cNvSpPr>
      </xdr:nvSpPr>
      <xdr:spPr bwMode="auto">
        <a:xfrm>
          <a:off x="0" y="113492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226</xdr:row>
      <xdr:rowOff>0</xdr:rowOff>
    </xdr:from>
    <xdr:to>
      <xdr:col>0</xdr:col>
      <xdr:colOff>304800</xdr:colOff>
      <xdr:row>227</xdr:row>
      <xdr:rowOff>121920</xdr:rowOff>
    </xdr:to>
    <xdr:sp macro="" textlink="">
      <xdr:nvSpPr>
        <xdr:cNvPr id="3375" name="AutoShape 303" descr="Montreal Canadiens">
          <a:extLst>
            <a:ext uri="{FF2B5EF4-FFF2-40B4-BE49-F238E27FC236}">
              <a16:creationId xmlns:a16="http://schemas.microsoft.com/office/drawing/2014/main" xmlns="" id="{00000000-0008-0000-0D00-00002F0D0000}"/>
            </a:ext>
          </a:extLst>
        </xdr:cNvPr>
        <xdr:cNvSpPr>
          <a:spLocks noChangeAspect="1" noChangeArrowheads="1"/>
        </xdr:cNvSpPr>
      </xdr:nvSpPr>
      <xdr:spPr bwMode="auto">
        <a:xfrm>
          <a:off x="0" y="11386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195</xdr:row>
      <xdr:rowOff>0</xdr:rowOff>
    </xdr:from>
    <xdr:to>
      <xdr:col>0</xdr:col>
      <xdr:colOff>304800</xdr:colOff>
      <xdr:row>196</xdr:row>
      <xdr:rowOff>121920</xdr:rowOff>
    </xdr:to>
    <xdr:sp macro="" textlink="">
      <xdr:nvSpPr>
        <xdr:cNvPr id="3376" name="AutoShape 304" descr="Toronto Maple Leafs">
          <a:extLst>
            <a:ext uri="{FF2B5EF4-FFF2-40B4-BE49-F238E27FC236}">
              <a16:creationId xmlns:a16="http://schemas.microsoft.com/office/drawing/2014/main" xmlns="" id="{00000000-0008-0000-0D00-0000300D0000}"/>
            </a:ext>
          </a:extLst>
        </xdr:cNvPr>
        <xdr:cNvSpPr>
          <a:spLocks noChangeAspect="1" noChangeArrowheads="1"/>
        </xdr:cNvSpPr>
      </xdr:nvSpPr>
      <xdr:spPr bwMode="auto">
        <a:xfrm>
          <a:off x="0" y="114239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559</xdr:row>
      <xdr:rowOff>0</xdr:rowOff>
    </xdr:from>
    <xdr:to>
      <xdr:col>0</xdr:col>
      <xdr:colOff>304800</xdr:colOff>
      <xdr:row>560</xdr:row>
      <xdr:rowOff>121920</xdr:rowOff>
    </xdr:to>
    <xdr:sp macro="" textlink="">
      <xdr:nvSpPr>
        <xdr:cNvPr id="3377" name="AutoShape 305" descr="San Jose Sharks">
          <a:extLst>
            <a:ext uri="{FF2B5EF4-FFF2-40B4-BE49-F238E27FC236}">
              <a16:creationId xmlns:a16="http://schemas.microsoft.com/office/drawing/2014/main" xmlns="" id="{00000000-0008-0000-0D00-0000310D0000}"/>
            </a:ext>
          </a:extLst>
        </xdr:cNvPr>
        <xdr:cNvSpPr>
          <a:spLocks noChangeAspect="1" noChangeArrowheads="1"/>
        </xdr:cNvSpPr>
      </xdr:nvSpPr>
      <xdr:spPr bwMode="auto">
        <a:xfrm>
          <a:off x="0" y="11461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141</xdr:row>
      <xdr:rowOff>0</xdr:rowOff>
    </xdr:from>
    <xdr:to>
      <xdr:col>0</xdr:col>
      <xdr:colOff>304800</xdr:colOff>
      <xdr:row>142</xdr:row>
      <xdr:rowOff>121920</xdr:rowOff>
    </xdr:to>
    <xdr:sp macro="" textlink="">
      <xdr:nvSpPr>
        <xdr:cNvPr id="3378" name="AutoShape 306" descr="Nashville Predators">
          <a:extLst>
            <a:ext uri="{FF2B5EF4-FFF2-40B4-BE49-F238E27FC236}">
              <a16:creationId xmlns:a16="http://schemas.microsoft.com/office/drawing/2014/main" xmlns="" id="{00000000-0008-0000-0D00-0000320D0000}"/>
            </a:ext>
          </a:extLst>
        </xdr:cNvPr>
        <xdr:cNvSpPr>
          <a:spLocks noChangeAspect="1" noChangeArrowheads="1"/>
        </xdr:cNvSpPr>
      </xdr:nvSpPr>
      <xdr:spPr bwMode="auto">
        <a:xfrm>
          <a:off x="0" y="114985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712</xdr:row>
      <xdr:rowOff>0</xdr:rowOff>
    </xdr:from>
    <xdr:to>
      <xdr:col>0</xdr:col>
      <xdr:colOff>304800</xdr:colOff>
      <xdr:row>713</xdr:row>
      <xdr:rowOff>121920</xdr:rowOff>
    </xdr:to>
    <xdr:sp macro="" textlink="">
      <xdr:nvSpPr>
        <xdr:cNvPr id="3379" name="AutoShape 307" descr="Anaheim Ducks">
          <a:extLst>
            <a:ext uri="{FF2B5EF4-FFF2-40B4-BE49-F238E27FC236}">
              <a16:creationId xmlns:a16="http://schemas.microsoft.com/office/drawing/2014/main" xmlns="" id="{00000000-0008-0000-0D00-0000330D0000}"/>
            </a:ext>
          </a:extLst>
        </xdr:cNvPr>
        <xdr:cNvSpPr>
          <a:spLocks noChangeAspect="1" noChangeArrowheads="1"/>
        </xdr:cNvSpPr>
      </xdr:nvSpPr>
      <xdr:spPr bwMode="auto">
        <a:xfrm>
          <a:off x="0" y="11535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787</xdr:row>
      <xdr:rowOff>0</xdr:rowOff>
    </xdr:from>
    <xdr:to>
      <xdr:col>0</xdr:col>
      <xdr:colOff>304800</xdr:colOff>
      <xdr:row>788</xdr:row>
      <xdr:rowOff>121920</xdr:rowOff>
    </xdr:to>
    <xdr:sp macro="" textlink="">
      <xdr:nvSpPr>
        <xdr:cNvPr id="3380" name="AutoShape 308" descr="Los Angeles Kings">
          <a:extLst>
            <a:ext uri="{FF2B5EF4-FFF2-40B4-BE49-F238E27FC236}">
              <a16:creationId xmlns:a16="http://schemas.microsoft.com/office/drawing/2014/main" xmlns="" id="{00000000-0008-0000-0D00-0000340D0000}"/>
            </a:ext>
          </a:extLst>
        </xdr:cNvPr>
        <xdr:cNvSpPr>
          <a:spLocks noChangeAspect="1" noChangeArrowheads="1"/>
        </xdr:cNvSpPr>
      </xdr:nvSpPr>
      <xdr:spPr bwMode="auto">
        <a:xfrm>
          <a:off x="0" y="115732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838</xdr:row>
      <xdr:rowOff>0</xdr:rowOff>
    </xdr:from>
    <xdr:to>
      <xdr:col>0</xdr:col>
      <xdr:colOff>304800</xdr:colOff>
      <xdr:row>839</xdr:row>
      <xdr:rowOff>121920</xdr:rowOff>
    </xdr:to>
    <xdr:sp macro="" textlink="">
      <xdr:nvSpPr>
        <xdr:cNvPr id="3381" name="AutoShape 309" descr="Edmonton Oilers">
          <a:extLst>
            <a:ext uri="{FF2B5EF4-FFF2-40B4-BE49-F238E27FC236}">
              <a16:creationId xmlns:a16="http://schemas.microsoft.com/office/drawing/2014/main" xmlns="" id="{00000000-0008-0000-0D00-0000350D0000}"/>
            </a:ext>
          </a:extLst>
        </xdr:cNvPr>
        <xdr:cNvSpPr>
          <a:spLocks noChangeAspect="1" noChangeArrowheads="1"/>
        </xdr:cNvSpPr>
      </xdr:nvSpPr>
      <xdr:spPr bwMode="auto">
        <a:xfrm>
          <a:off x="0" y="11610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717</xdr:row>
      <xdr:rowOff>0</xdr:rowOff>
    </xdr:from>
    <xdr:to>
      <xdr:col>0</xdr:col>
      <xdr:colOff>304800</xdr:colOff>
      <xdr:row>718</xdr:row>
      <xdr:rowOff>121920</xdr:rowOff>
    </xdr:to>
    <xdr:sp macro="" textlink="">
      <xdr:nvSpPr>
        <xdr:cNvPr id="3382" name="AutoShape 310" descr="Calgary Flames">
          <a:extLst>
            <a:ext uri="{FF2B5EF4-FFF2-40B4-BE49-F238E27FC236}">
              <a16:creationId xmlns:a16="http://schemas.microsoft.com/office/drawing/2014/main" xmlns="" id="{00000000-0008-0000-0D00-0000360D0000}"/>
            </a:ext>
          </a:extLst>
        </xdr:cNvPr>
        <xdr:cNvSpPr>
          <a:spLocks noChangeAspect="1" noChangeArrowheads="1"/>
        </xdr:cNvSpPr>
      </xdr:nvSpPr>
      <xdr:spPr bwMode="auto">
        <a:xfrm>
          <a:off x="0" y="116479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416</xdr:row>
      <xdr:rowOff>0</xdr:rowOff>
    </xdr:from>
    <xdr:to>
      <xdr:col>0</xdr:col>
      <xdr:colOff>304800</xdr:colOff>
      <xdr:row>417</xdr:row>
      <xdr:rowOff>121920</xdr:rowOff>
    </xdr:to>
    <xdr:sp macro="" textlink="">
      <xdr:nvSpPr>
        <xdr:cNvPr id="3383" name="AutoShape 311" descr="San Jose Sharks">
          <a:extLst>
            <a:ext uri="{FF2B5EF4-FFF2-40B4-BE49-F238E27FC236}">
              <a16:creationId xmlns:a16="http://schemas.microsoft.com/office/drawing/2014/main" xmlns="" id="{00000000-0008-0000-0D00-0000370D0000}"/>
            </a:ext>
          </a:extLst>
        </xdr:cNvPr>
        <xdr:cNvSpPr>
          <a:spLocks noChangeAspect="1" noChangeArrowheads="1"/>
        </xdr:cNvSpPr>
      </xdr:nvSpPr>
      <xdr:spPr bwMode="auto">
        <a:xfrm>
          <a:off x="0" y="116852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433</xdr:row>
      <xdr:rowOff>0</xdr:rowOff>
    </xdr:from>
    <xdr:to>
      <xdr:col>0</xdr:col>
      <xdr:colOff>304800</xdr:colOff>
      <xdr:row>434</xdr:row>
      <xdr:rowOff>121920</xdr:rowOff>
    </xdr:to>
    <xdr:sp macro="" textlink="">
      <xdr:nvSpPr>
        <xdr:cNvPr id="3384" name="AutoShape 312" descr="Columbus Blue Jackets">
          <a:extLst>
            <a:ext uri="{FF2B5EF4-FFF2-40B4-BE49-F238E27FC236}">
              <a16:creationId xmlns:a16="http://schemas.microsoft.com/office/drawing/2014/main" xmlns="" id="{00000000-0008-0000-0D00-0000380D0000}"/>
            </a:ext>
          </a:extLst>
        </xdr:cNvPr>
        <xdr:cNvSpPr>
          <a:spLocks noChangeAspect="1" noChangeArrowheads="1"/>
        </xdr:cNvSpPr>
      </xdr:nvSpPr>
      <xdr:spPr bwMode="auto">
        <a:xfrm>
          <a:off x="0" y="11722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384</xdr:row>
      <xdr:rowOff>0</xdr:rowOff>
    </xdr:from>
    <xdr:to>
      <xdr:col>0</xdr:col>
      <xdr:colOff>304800</xdr:colOff>
      <xdr:row>385</xdr:row>
      <xdr:rowOff>121920</xdr:rowOff>
    </xdr:to>
    <xdr:sp macro="" textlink="">
      <xdr:nvSpPr>
        <xdr:cNvPr id="3385" name="AutoShape 313" descr="New York Rangers">
          <a:extLst>
            <a:ext uri="{FF2B5EF4-FFF2-40B4-BE49-F238E27FC236}">
              <a16:creationId xmlns:a16="http://schemas.microsoft.com/office/drawing/2014/main" xmlns="" id="{00000000-0008-0000-0D00-0000390D0000}"/>
            </a:ext>
          </a:extLst>
        </xdr:cNvPr>
        <xdr:cNvSpPr>
          <a:spLocks noChangeAspect="1" noChangeArrowheads="1"/>
        </xdr:cNvSpPr>
      </xdr:nvSpPr>
      <xdr:spPr bwMode="auto">
        <a:xfrm>
          <a:off x="0" y="11759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502</xdr:row>
      <xdr:rowOff>0</xdr:rowOff>
    </xdr:from>
    <xdr:to>
      <xdr:col>0</xdr:col>
      <xdr:colOff>304800</xdr:colOff>
      <xdr:row>503</xdr:row>
      <xdr:rowOff>121920</xdr:rowOff>
    </xdr:to>
    <xdr:sp macro="" textlink="">
      <xdr:nvSpPr>
        <xdr:cNvPr id="3386" name="AutoShape 314" descr="Detroit Red Wings">
          <a:extLst>
            <a:ext uri="{FF2B5EF4-FFF2-40B4-BE49-F238E27FC236}">
              <a16:creationId xmlns:a16="http://schemas.microsoft.com/office/drawing/2014/main" xmlns="" id="{00000000-0008-0000-0D00-00003A0D0000}"/>
            </a:ext>
          </a:extLst>
        </xdr:cNvPr>
        <xdr:cNvSpPr>
          <a:spLocks noChangeAspect="1" noChangeArrowheads="1"/>
        </xdr:cNvSpPr>
      </xdr:nvSpPr>
      <xdr:spPr bwMode="auto">
        <a:xfrm>
          <a:off x="0" y="11797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422</xdr:row>
      <xdr:rowOff>0</xdr:rowOff>
    </xdr:from>
    <xdr:to>
      <xdr:col>0</xdr:col>
      <xdr:colOff>304800</xdr:colOff>
      <xdr:row>423</xdr:row>
      <xdr:rowOff>121920</xdr:rowOff>
    </xdr:to>
    <xdr:sp macro="" textlink="">
      <xdr:nvSpPr>
        <xdr:cNvPr id="3387" name="AutoShape 315" descr="Carolina Hurricanes">
          <a:extLst>
            <a:ext uri="{FF2B5EF4-FFF2-40B4-BE49-F238E27FC236}">
              <a16:creationId xmlns:a16="http://schemas.microsoft.com/office/drawing/2014/main" xmlns="" id="{00000000-0008-0000-0D00-00003B0D0000}"/>
            </a:ext>
          </a:extLst>
        </xdr:cNvPr>
        <xdr:cNvSpPr>
          <a:spLocks noChangeAspect="1" noChangeArrowheads="1"/>
        </xdr:cNvSpPr>
      </xdr:nvSpPr>
      <xdr:spPr bwMode="auto">
        <a:xfrm>
          <a:off x="0" y="11834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701</xdr:row>
      <xdr:rowOff>0</xdr:rowOff>
    </xdr:from>
    <xdr:to>
      <xdr:col>0</xdr:col>
      <xdr:colOff>304800</xdr:colOff>
      <xdr:row>702</xdr:row>
      <xdr:rowOff>121920</xdr:rowOff>
    </xdr:to>
    <xdr:sp macro="" textlink="">
      <xdr:nvSpPr>
        <xdr:cNvPr id="3388" name="AutoShape 316" descr="Ottawa Senators">
          <a:extLst>
            <a:ext uri="{FF2B5EF4-FFF2-40B4-BE49-F238E27FC236}">
              <a16:creationId xmlns:a16="http://schemas.microsoft.com/office/drawing/2014/main" xmlns="" id="{00000000-0008-0000-0D00-00003C0D0000}"/>
            </a:ext>
          </a:extLst>
        </xdr:cNvPr>
        <xdr:cNvSpPr>
          <a:spLocks noChangeAspect="1" noChangeArrowheads="1"/>
        </xdr:cNvSpPr>
      </xdr:nvSpPr>
      <xdr:spPr bwMode="auto">
        <a:xfrm>
          <a:off x="0" y="11871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734</xdr:row>
      <xdr:rowOff>0</xdr:rowOff>
    </xdr:from>
    <xdr:to>
      <xdr:col>0</xdr:col>
      <xdr:colOff>304800</xdr:colOff>
      <xdr:row>735</xdr:row>
      <xdr:rowOff>121920</xdr:rowOff>
    </xdr:to>
    <xdr:sp macro="" textlink="">
      <xdr:nvSpPr>
        <xdr:cNvPr id="3389" name="AutoShape 317" descr="Carolina Hurricanes">
          <a:extLst>
            <a:ext uri="{FF2B5EF4-FFF2-40B4-BE49-F238E27FC236}">
              <a16:creationId xmlns:a16="http://schemas.microsoft.com/office/drawing/2014/main" xmlns="" id="{00000000-0008-0000-0D00-00003D0D0000}"/>
            </a:ext>
          </a:extLst>
        </xdr:cNvPr>
        <xdr:cNvSpPr>
          <a:spLocks noChangeAspect="1" noChangeArrowheads="1"/>
        </xdr:cNvSpPr>
      </xdr:nvSpPr>
      <xdr:spPr bwMode="auto">
        <a:xfrm>
          <a:off x="0" y="1190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482</xdr:row>
      <xdr:rowOff>0</xdr:rowOff>
    </xdr:from>
    <xdr:to>
      <xdr:col>0</xdr:col>
      <xdr:colOff>304800</xdr:colOff>
      <xdr:row>483</xdr:row>
      <xdr:rowOff>121920</xdr:rowOff>
    </xdr:to>
    <xdr:sp macro="" textlink="">
      <xdr:nvSpPr>
        <xdr:cNvPr id="3390" name="AutoShape 318" descr="Winnipeg Jets">
          <a:extLst>
            <a:ext uri="{FF2B5EF4-FFF2-40B4-BE49-F238E27FC236}">
              <a16:creationId xmlns:a16="http://schemas.microsoft.com/office/drawing/2014/main" xmlns="" id="{00000000-0008-0000-0D00-00003E0D0000}"/>
            </a:ext>
          </a:extLst>
        </xdr:cNvPr>
        <xdr:cNvSpPr>
          <a:spLocks noChangeAspect="1" noChangeArrowheads="1"/>
        </xdr:cNvSpPr>
      </xdr:nvSpPr>
      <xdr:spPr bwMode="auto">
        <a:xfrm>
          <a:off x="0" y="11946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492</xdr:row>
      <xdr:rowOff>0</xdr:rowOff>
    </xdr:from>
    <xdr:to>
      <xdr:col>0</xdr:col>
      <xdr:colOff>304800</xdr:colOff>
      <xdr:row>493</xdr:row>
      <xdr:rowOff>121920</xdr:rowOff>
    </xdr:to>
    <xdr:sp macro="" textlink="">
      <xdr:nvSpPr>
        <xdr:cNvPr id="3391" name="AutoShape 319" descr="New York Rangers">
          <a:extLst>
            <a:ext uri="{FF2B5EF4-FFF2-40B4-BE49-F238E27FC236}">
              <a16:creationId xmlns:a16="http://schemas.microsoft.com/office/drawing/2014/main" xmlns="" id="{00000000-0008-0000-0D00-00003F0D0000}"/>
            </a:ext>
          </a:extLst>
        </xdr:cNvPr>
        <xdr:cNvSpPr>
          <a:spLocks noChangeAspect="1" noChangeArrowheads="1"/>
        </xdr:cNvSpPr>
      </xdr:nvSpPr>
      <xdr:spPr bwMode="auto">
        <a:xfrm>
          <a:off x="0" y="11983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183</xdr:row>
      <xdr:rowOff>0</xdr:rowOff>
    </xdr:from>
    <xdr:to>
      <xdr:col>0</xdr:col>
      <xdr:colOff>304800</xdr:colOff>
      <xdr:row>184</xdr:row>
      <xdr:rowOff>121920</xdr:rowOff>
    </xdr:to>
    <xdr:sp macro="" textlink="">
      <xdr:nvSpPr>
        <xdr:cNvPr id="3392" name="AutoShape 320" descr="Vegas Golden Knights">
          <a:extLst>
            <a:ext uri="{FF2B5EF4-FFF2-40B4-BE49-F238E27FC236}">
              <a16:creationId xmlns:a16="http://schemas.microsoft.com/office/drawing/2014/main" xmlns="" id="{00000000-0008-0000-0D00-0000400D0000}"/>
            </a:ext>
          </a:extLst>
        </xdr:cNvPr>
        <xdr:cNvSpPr>
          <a:spLocks noChangeAspect="1" noChangeArrowheads="1"/>
        </xdr:cNvSpPr>
      </xdr:nvSpPr>
      <xdr:spPr bwMode="auto">
        <a:xfrm>
          <a:off x="0" y="12021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836</xdr:row>
      <xdr:rowOff>0</xdr:rowOff>
    </xdr:from>
    <xdr:to>
      <xdr:col>0</xdr:col>
      <xdr:colOff>304800</xdr:colOff>
      <xdr:row>837</xdr:row>
      <xdr:rowOff>121920</xdr:rowOff>
    </xdr:to>
    <xdr:sp macro="" textlink="">
      <xdr:nvSpPr>
        <xdr:cNvPr id="3393" name="AutoShape 321" descr="Columbus Blue Jackets">
          <a:extLst>
            <a:ext uri="{FF2B5EF4-FFF2-40B4-BE49-F238E27FC236}">
              <a16:creationId xmlns:a16="http://schemas.microsoft.com/office/drawing/2014/main" xmlns="" id="{00000000-0008-0000-0D00-0000410D0000}"/>
            </a:ext>
          </a:extLst>
        </xdr:cNvPr>
        <xdr:cNvSpPr>
          <a:spLocks noChangeAspect="1" noChangeArrowheads="1"/>
        </xdr:cNvSpPr>
      </xdr:nvSpPr>
      <xdr:spPr bwMode="auto">
        <a:xfrm>
          <a:off x="0" y="12076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551</xdr:row>
      <xdr:rowOff>0</xdr:rowOff>
    </xdr:from>
    <xdr:to>
      <xdr:col>0</xdr:col>
      <xdr:colOff>304800</xdr:colOff>
      <xdr:row>552</xdr:row>
      <xdr:rowOff>121920</xdr:rowOff>
    </xdr:to>
    <xdr:sp macro="" textlink="">
      <xdr:nvSpPr>
        <xdr:cNvPr id="3394" name="AutoShape 322" descr="Calgary Flames">
          <a:extLst>
            <a:ext uri="{FF2B5EF4-FFF2-40B4-BE49-F238E27FC236}">
              <a16:creationId xmlns:a16="http://schemas.microsoft.com/office/drawing/2014/main" xmlns="" id="{00000000-0008-0000-0D00-0000420D0000}"/>
            </a:ext>
          </a:extLst>
        </xdr:cNvPr>
        <xdr:cNvSpPr>
          <a:spLocks noChangeAspect="1" noChangeArrowheads="1"/>
        </xdr:cNvSpPr>
      </xdr:nvSpPr>
      <xdr:spPr bwMode="auto">
        <a:xfrm>
          <a:off x="0" y="1211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327</xdr:row>
      <xdr:rowOff>0</xdr:rowOff>
    </xdr:from>
    <xdr:to>
      <xdr:col>0</xdr:col>
      <xdr:colOff>304800</xdr:colOff>
      <xdr:row>328</xdr:row>
      <xdr:rowOff>121920</xdr:rowOff>
    </xdr:to>
    <xdr:sp macro="" textlink="">
      <xdr:nvSpPr>
        <xdr:cNvPr id="3395" name="AutoShape 323" descr="Arizona Coyotes">
          <a:extLst>
            <a:ext uri="{FF2B5EF4-FFF2-40B4-BE49-F238E27FC236}">
              <a16:creationId xmlns:a16="http://schemas.microsoft.com/office/drawing/2014/main" xmlns="" id="{00000000-0008-0000-0D00-0000430D0000}"/>
            </a:ext>
          </a:extLst>
        </xdr:cNvPr>
        <xdr:cNvSpPr>
          <a:spLocks noChangeAspect="1" noChangeArrowheads="1"/>
        </xdr:cNvSpPr>
      </xdr:nvSpPr>
      <xdr:spPr bwMode="auto">
        <a:xfrm>
          <a:off x="0" y="12151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609</xdr:row>
      <xdr:rowOff>0</xdr:rowOff>
    </xdr:from>
    <xdr:to>
      <xdr:col>0</xdr:col>
      <xdr:colOff>304800</xdr:colOff>
      <xdr:row>610</xdr:row>
      <xdr:rowOff>121920</xdr:rowOff>
    </xdr:to>
    <xdr:sp macro="" textlink="">
      <xdr:nvSpPr>
        <xdr:cNvPr id="3396" name="AutoShape 324" descr="New York Rangers">
          <a:extLst>
            <a:ext uri="{FF2B5EF4-FFF2-40B4-BE49-F238E27FC236}">
              <a16:creationId xmlns:a16="http://schemas.microsoft.com/office/drawing/2014/main" xmlns="" id="{00000000-0008-0000-0D00-0000440D0000}"/>
            </a:ext>
          </a:extLst>
        </xdr:cNvPr>
        <xdr:cNvSpPr>
          <a:spLocks noChangeAspect="1" noChangeArrowheads="1"/>
        </xdr:cNvSpPr>
      </xdr:nvSpPr>
      <xdr:spPr bwMode="auto">
        <a:xfrm>
          <a:off x="0" y="12188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xdr:row>
      <xdr:rowOff>0</xdr:rowOff>
    </xdr:from>
    <xdr:to>
      <xdr:col>0</xdr:col>
      <xdr:colOff>304800</xdr:colOff>
      <xdr:row>50</xdr:row>
      <xdr:rowOff>121920</xdr:rowOff>
    </xdr:to>
    <xdr:sp macro="" textlink="">
      <xdr:nvSpPr>
        <xdr:cNvPr id="3397" name="AutoShape 325" descr="Toronto Maple Leafs">
          <a:extLst>
            <a:ext uri="{FF2B5EF4-FFF2-40B4-BE49-F238E27FC236}">
              <a16:creationId xmlns:a16="http://schemas.microsoft.com/office/drawing/2014/main" xmlns="" id="{00000000-0008-0000-0D00-0000450D0000}"/>
            </a:ext>
          </a:extLst>
        </xdr:cNvPr>
        <xdr:cNvSpPr>
          <a:spLocks noChangeAspect="1" noChangeArrowheads="1"/>
        </xdr:cNvSpPr>
      </xdr:nvSpPr>
      <xdr:spPr bwMode="auto">
        <a:xfrm>
          <a:off x="0" y="1222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747</xdr:row>
      <xdr:rowOff>0</xdr:rowOff>
    </xdr:from>
    <xdr:to>
      <xdr:col>0</xdr:col>
      <xdr:colOff>304800</xdr:colOff>
      <xdr:row>748</xdr:row>
      <xdr:rowOff>121920</xdr:rowOff>
    </xdr:to>
    <xdr:sp macro="" textlink="">
      <xdr:nvSpPr>
        <xdr:cNvPr id="3398" name="AutoShape 326" descr="Calgary Flames">
          <a:extLst>
            <a:ext uri="{FF2B5EF4-FFF2-40B4-BE49-F238E27FC236}">
              <a16:creationId xmlns:a16="http://schemas.microsoft.com/office/drawing/2014/main" xmlns="" id="{00000000-0008-0000-0D00-0000460D0000}"/>
            </a:ext>
          </a:extLst>
        </xdr:cNvPr>
        <xdr:cNvSpPr>
          <a:spLocks noChangeAspect="1" noChangeArrowheads="1"/>
        </xdr:cNvSpPr>
      </xdr:nvSpPr>
      <xdr:spPr bwMode="auto">
        <a:xfrm>
          <a:off x="0" y="12263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788</xdr:row>
      <xdr:rowOff>0</xdr:rowOff>
    </xdr:from>
    <xdr:to>
      <xdr:col>0</xdr:col>
      <xdr:colOff>304800</xdr:colOff>
      <xdr:row>789</xdr:row>
      <xdr:rowOff>121920</xdr:rowOff>
    </xdr:to>
    <xdr:sp macro="" textlink="">
      <xdr:nvSpPr>
        <xdr:cNvPr id="3399" name="AutoShape 327" descr="Toronto Maple Leafs">
          <a:extLst>
            <a:ext uri="{FF2B5EF4-FFF2-40B4-BE49-F238E27FC236}">
              <a16:creationId xmlns:a16="http://schemas.microsoft.com/office/drawing/2014/main" xmlns="" id="{00000000-0008-0000-0D00-0000470D0000}"/>
            </a:ext>
          </a:extLst>
        </xdr:cNvPr>
        <xdr:cNvSpPr>
          <a:spLocks noChangeAspect="1" noChangeArrowheads="1"/>
        </xdr:cNvSpPr>
      </xdr:nvSpPr>
      <xdr:spPr bwMode="auto">
        <a:xfrm>
          <a:off x="0" y="12300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142</xdr:row>
      <xdr:rowOff>0</xdr:rowOff>
    </xdr:from>
    <xdr:to>
      <xdr:col>0</xdr:col>
      <xdr:colOff>304800</xdr:colOff>
      <xdr:row>143</xdr:row>
      <xdr:rowOff>121920</xdr:rowOff>
    </xdr:to>
    <xdr:sp macro="" textlink="">
      <xdr:nvSpPr>
        <xdr:cNvPr id="3400" name="AutoShape 328" descr="Toronto Maple Leafs">
          <a:extLst>
            <a:ext uri="{FF2B5EF4-FFF2-40B4-BE49-F238E27FC236}">
              <a16:creationId xmlns:a16="http://schemas.microsoft.com/office/drawing/2014/main" xmlns="" id="{00000000-0008-0000-0D00-0000480D0000}"/>
            </a:ext>
          </a:extLst>
        </xdr:cNvPr>
        <xdr:cNvSpPr>
          <a:spLocks noChangeAspect="1" noChangeArrowheads="1"/>
        </xdr:cNvSpPr>
      </xdr:nvSpPr>
      <xdr:spPr bwMode="auto">
        <a:xfrm>
          <a:off x="0" y="12338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650</xdr:row>
      <xdr:rowOff>0</xdr:rowOff>
    </xdr:from>
    <xdr:to>
      <xdr:col>0</xdr:col>
      <xdr:colOff>304800</xdr:colOff>
      <xdr:row>651</xdr:row>
      <xdr:rowOff>121920</xdr:rowOff>
    </xdr:to>
    <xdr:sp macro="" textlink="">
      <xdr:nvSpPr>
        <xdr:cNvPr id="3401" name="AutoShape 329" descr="Florida Panthers">
          <a:extLst>
            <a:ext uri="{FF2B5EF4-FFF2-40B4-BE49-F238E27FC236}">
              <a16:creationId xmlns:a16="http://schemas.microsoft.com/office/drawing/2014/main" xmlns="" id="{00000000-0008-0000-0D00-0000490D0000}"/>
            </a:ext>
          </a:extLst>
        </xdr:cNvPr>
        <xdr:cNvSpPr>
          <a:spLocks noChangeAspect="1" noChangeArrowheads="1"/>
        </xdr:cNvSpPr>
      </xdr:nvSpPr>
      <xdr:spPr bwMode="auto">
        <a:xfrm>
          <a:off x="0" y="12375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575</xdr:row>
      <xdr:rowOff>0</xdr:rowOff>
    </xdr:from>
    <xdr:to>
      <xdr:col>0</xdr:col>
      <xdr:colOff>304800</xdr:colOff>
      <xdr:row>576</xdr:row>
      <xdr:rowOff>121920</xdr:rowOff>
    </xdr:to>
    <xdr:sp macro="" textlink="">
      <xdr:nvSpPr>
        <xdr:cNvPr id="3402" name="AutoShape 330" descr="Carolina Hurricanes">
          <a:extLst>
            <a:ext uri="{FF2B5EF4-FFF2-40B4-BE49-F238E27FC236}">
              <a16:creationId xmlns:a16="http://schemas.microsoft.com/office/drawing/2014/main" xmlns="" id="{00000000-0008-0000-0D00-00004A0D0000}"/>
            </a:ext>
          </a:extLst>
        </xdr:cNvPr>
        <xdr:cNvSpPr>
          <a:spLocks noChangeAspect="1" noChangeArrowheads="1"/>
        </xdr:cNvSpPr>
      </xdr:nvSpPr>
      <xdr:spPr bwMode="auto">
        <a:xfrm>
          <a:off x="0" y="12412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427</xdr:row>
      <xdr:rowOff>0</xdr:rowOff>
    </xdr:from>
    <xdr:to>
      <xdr:col>0</xdr:col>
      <xdr:colOff>304800</xdr:colOff>
      <xdr:row>428</xdr:row>
      <xdr:rowOff>121920</xdr:rowOff>
    </xdr:to>
    <xdr:sp macro="" textlink="">
      <xdr:nvSpPr>
        <xdr:cNvPr id="3403" name="AutoShape 331" descr="Philadelphia Flyers">
          <a:extLst>
            <a:ext uri="{FF2B5EF4-FFF2-40B4-BE49-F238E27FC236}">
              <a16:creationId xmlns:a16="http://schemas.microsoft.com/office/drawing/2014/main" xmlns="" id="{00000000-0008-0000-0D00-00004B0D0000}"/>
            </a:ext>
          </a:extLst>
        </xdr:cNvPr>
        <xdr:cNvSpPr>
          <a:spLocks noChangeAspect="1" noChangeArrowheads="1"/>
        </xdr:cNvSpPr>
      </xdr:nvSpPr>
      <xdr:spPr bwMode="auto">
        <a:xfrm>
          <a:off x="0" y="12450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xdr:row>
      <xdr:rowOff>0</xdr:rowOff>
    </xdr:from>
    <xdr:to>
      <xdr:col>0</xdr:col>
      <xdr:colOff>304800</xdr:colOff>
      <xdr:row>128</xdr:row>
      <xdr:rowOff>121920</xdr:rowOff>
    </xdr:to>
    <xdr:sp macro="" textlink="">
      <xdr:nvSpPr>
        <xdr:cNvPr id="3404" name="AutoShape 332" descr="Dallas Stars">
          <a:extLst>
            <a:ext uri="{FF2B5EF4-FFF2-40B4-BE49-F238E27FC236}">
              <a16:creationId xmlns:a16="http://schemas.microsoft.com/office/drawing/2014/main" xmlns="" id="{00000000-0008-0000-0D00-00004C0D0000}"/>
            </a:ext>
          </a:extLst>
        </xdr:cNvPr>
        <xdr:cNvSpPr>
          <a:spLocks noChangeAspect="1" noChangeArrowheads="1"/>
        </xdr:cNvSpPr>
      </xdr:nvSpPr>
      <xdr:spPr bwMode="auto">
        <a:xfrm>
          <a:off x="0" y="12487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666</xdr:row>
      <xdr:rowOff>0</xdr:rowOff>
    </xdr:from>
    <xdr:to>
      <xdr:col>0</xdr:col>
      <xdr:colOff>304800</xdr:colOff>
      <xdr:row>667</xdr:row>
      <xdr:rowOff>121920</xdr:rowOff>
    </xdr:to>
    <xdr:sp macro="" textlink="">
      <xdr:nvSpPr>
        <xdr:cNvPr id="3405" name="AutoShape 333" descr="New Jersey Devils">
          <a:extLst>
            <a:ext uri="{FF2B5EF4-FFF2-40B4-BE49-F238E27FC236}">
              <a16:creationId xmlns:a16="http://schemas.microsoft.com/office/drawing/2014/main" xmlns="" id="{00000000-0008-0000-0D00-00004D0D0000}"/>
            </a:ext>
          </a:extLst>
        </xdr:cNvPr>
        <xdr:cNvSpPr>
          <a:spLocks noChangeAspect="1" noChangeArrowheads="1"/>
        </xdr:cNvSpPr>
      </xdr:nvSpPr>
      <xdr:spPr bwMode="auto">
        <a:xfrm>
          <a:off x="0" y="1250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332</xdr:row>
      <xdr:rowOff>0</xdr:rowOff>
    </xdr:from>
    <xdr:to>
      <xdr:col>0</xdr:col>
      <xdr:colOff>304800</xdr:colOff>
      <xdr:row>333</xdr:row>
      <xdr:rowOff>121920</xdr:rowOff>
    </xdr:to>
    <xdr:sp macro="" textlink="">
      <xdr:nvSpPr>
        <xdr:cNvPr id="3406" name="AutoShape 334" descr="Philadelphia Flyers">
          <a:extLst>
            <a:ext uri="{FF2B5EF4-FFF2-40B4-BE49-F238E27FC236}">
              <a16:creationId xmlns:a16="http://schemas.microsoft.com/office/drawing/2014/main" xmlns="" id="{00000000-0008-0000-0D00-00004E0D0000}"/>
            </a:ext>
          </a:extLst>
        </xdr:cNvPr>
        <xdr:cNvSpPr>
          <a:spLocks noChangeAspect="1" noChangeArrowheads="1"/>
        </xdr:cNvSpPr>
      </xdr:nvSpPr>
      <xdr:spPr bwMode="auto">
        <a:xfrm>
          <a:off x="0" y="12544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594</xdr:row>
      <xdr:rowOff>0</xdr:rowOff>
    </xdr:from>
    <xdr:to>
      <xdr:col>0</xdr:col>
      <xdr:colOff>304800</xdr:colOff>
      <xdr:row>595</xdr:row>
      <xdr:rowOff>121920</xdr:rowOff>
    </xdr:to>
    <xdr:sp macro="" textlink="">
      <xdr:nvSpPr>
        <xdr:cNvPr id="3407" name="AutoShape 335" descr="Toronto Maple Leafs">
          <a:extLst>
            <a:ext uri="{FF2B5EF4-FFF2-40B4-BE49-F238E27FC236}">
              <a16:creationId xmlns:a16="http://schemas.microsoft.com/office/drawing/2014/main" xmlns="" id="{00000000-0008-0000-0D00-00004F0D0000}"/>
            </a:ext>
          </a:extLst>
        </xdr:cNvPr>
        <xdr:cNvSpPr>
          <a:spLocks noChangeAspect="1" noChangeArrowheads="1"/>
        </xdr:cNvSpPr>
      </xdr:nvSpPr>
      <xdr:spPr bwMode="auto">
        <a:xfrm>
          <a:off x="0" y="12581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584</xdr:row>
      <xdr:rowOff>0</xdr:rowOff>
    </xdr:from>
    <xdr:to>
      <xdr:col>0</xdr:col>
      <xdr:colOff>304800</xdr:colOff>
      <xdr:row>585</xdr:row>
      <xdr:rowOff>121920</xdr:rowOff>
    </xdr:to>
    <xdr:sp macro="" textlink="">
      <xdr:nvSpPr>
        <xdr:cNvPr id="3408" name="AutoShape 336" descr="Tampa Bay Lightning">
          <a:extLst>
            <a:ext uri="{FF2B5EF4-FFF2-40B4-BE49-F238E27FC236}">
              <a16:creationId xmlns:a16="http://schemas.microsoft.com/office/drawing/2014/main" xmlns="" id="{00000000-0008-0000-0D00-0000500D0000}"/>
            </a:ext>
          </a:extLst>
        </xdr:cNvPr>
        <xdr:cNvSpPr>
          <a:spLocks noChangeAspect="1" noChangeArrowheads="1"/>
        </xdr:cNvSpPr>
      </xdr:nvSpPr>
      <xdr:spPr bwMode="auto">
        <a:xfrm>
          <a:off x="0" y="12618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xdr:row>
      <xdr:rowOff>0</xdr:rowOff>
    </xdr:from>
    <xdr:to>
      <xdr:col>0</xdr:col>
      <xdr:colOff>304800</xdr:colOff>
      <xdr:row>29</xdr:row>
      <xdr:rowOff>121920</xdr:rowOff>
    </xdr:to>
    <xdr:sp macro="" textlink="">
      <xdr:nvSpPr>
        <xdr:cNvPr id="3409" name="AutoShape 337" descr="Buffalo Sabres">
          <a:extLst>
            <a:ext uri="{FF2B5EF4-FFF2-40B4-BE49-F238E27FC236}">
              <a16:creationId xmlns:a16="http://schemas.microsoft.com/office/drawing/2014/main" xmlns="" id="{00000000-0008-0000-0D00-0000510D0000}"/>
            </a:ext>
          </a:extLst>
        </xdr:cNvPr>
        <xdr:cNvSpPr>
          <a:spLocks noChangeAspect="1" noChangeArrowheads="1"/>
        </xdr:cNvSpPr>
      </xdr:nvSpPr>
      <xdr:spPr bwMode="auto">
        <a:xfrm>
          <a:off x="0" y="12656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570</xdr:row>
      <xdr:rowOff>0</xdr:rowOff>
    </xdr:from>
    <xdr:to>
      <xdr:col>0</xdr:col>
      <xdr:colOff>304800</xdr:colOff>
      <xdr:row>571</xdr:row>
      <xdr:rowOff>121920</xdr:rowOff>
    </xdr:to>
    <xdr:sp macro="" textlink="">
      <xdr:nvSpPr>
        <xdr:cNvPr id="3410" name="AutoShape 338" descr="Detroit Red Wings">
          <a:extLst>
            <a:ext uri="{FF2B5EF4-FFF2-40B4-BE49-F238E27FC236}">
              <a16:creationId xmlns:a16="http://schemas.microsoft.com/office/drawing/2014/main" xmlns="" id="{00000000-0008-0000-0D00-0000520D0000}"/>
            </a:ext>
          </a:extLst>
        </xdr:cNvPr>
        <xdr:cNvSpPr>
          <a:spLocks noChangeAspect="1" noChangeArrowheads="1"/>
        </xdr:cNvSpPr>
      </xdr:nvSpPr>
      <xdr:spPr bwMode="auto">
        <a:xfrm>
          <a:off x="0" y="12693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323</xdr:row>
      <xdr:rowOff>0</xdr:rowOff>
    </xdr:from>
    <xdr:to>
      <xdr:col>0</xdr:col>
      <xdr:colOff>304800</xdr:colOff>
      <xdr:row>324</xdr:row>
      <xdr:rowOff>121920</xdr:rowOff>
    </xdr:to>
    <xdr:sp macro="" textlink="">
      <xdr:nvSpPr>
        <xdr:cNvPr id="3411" name="AutoShape 339" descr="Carolina Hurricanes">
          <a:extLst>
            <a:ext uri="{FF2B5EF4-FFF2-40B4-BE49-F238E27FC236}">
              <a16:creationId xmlns:a16="http://schemas.microsoft.com/office/drawing/2014/main" xmlns="" id="{00000000-0008-0000-0D00-0000530D0000}"/>
            </a:ext>
          </a:extLst>
        </xdr:cNvPr>
        <xdr:cNvSpPr>
          <a:spLocks noChangeAspect="1" noChangeArrowheads="1"/>
        </xdr:cNvSpPr>
      </xdr:nvSpPr>
      <xdr:spPr bwMode="auto">
        <a:xfrm>
          <a:off x="0" y="12730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803</xdr:row>
      <xdr:rowOff>0</xdr:rowOff>
    </xdr:from>
    <xdr:to>
      <xdr:col>0</xdr:col>
      <xdr:colOff>304800</xdr:colOff>
      <xdr:row>804</xdr:row>
      <xdr:rowOff>121920</xdr:rowOff>
    </xdr:to>
    <xdr:sp macro="" textlink="">
      <xdr:nvSpPr>
        <xdr:cNvPr id="3412" name="AutoShape 340" descr="Colorado Avalanche">
          <a:extLst>
            <a:ext uri="{FF2B5EF4-FFF2-40B4-BE49-F238E27FC236}">
              <a16:creationId xmlns:a16="http://schemas.microsoft.com/office/drawing/2014/main" xmlns="" id="{00000000-0008-0000-0D00-0000540D0000}"/>
            </a:ext>
          </a:extLst>
        </xdr:cNvPr>
        <xdr:cNvSpPr>
          <a:spLocks noChangeAspect="1" noChangeArrowheads="1"/>
        </xdr:cNvSpPr>
      </xdr:nvSpPr>
      <xdr:spPr bwMode="auto">
        <a:xfrm>
          <a:off x="0" y="12768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648</xdr:row>
      <xdr:rowOff>0</xdr:rowOff>
    </xdr:from>
    <xdr:to>
      <xdr:col>0</xdr:col>
      <xdr:colOff>304800</xdr:colOff>
      <xdr:row>649</xdr:row>
      <xdr:rowOff>121920</xdr:rowOff>
    </xdr:to>
    <xdr:sp macro="" textlink="">
      <xdr:nvSpPr>
        <xdr:cNvPr id="3413" name="AutoShape 341" descr="Vegas Golden Knights">
          <a:extLst>
            <a:ext uri="{FF2B5EF4-FFF2-40B4-BE49-F238E27FC236}">
              <a16:creationId xmlns:a16="http://schemas.microsoft.com/office/drawing/2014/main" xmlns="" id="{00000000-0008-0000-0D00-0000550D0000}"/>
            </a:ext>
          </a:extLst>
        </xdr:cNvPr>
        <xdr:cNvSpPr>
          <a:spLocks noChangeAspect="1" noChangeArrowheads="1"/>
        </xdr:cNvSpPr>
      </xdr:nvSpPr>
      <xdr:spPr bwMode="auto">
        <a:xfrm>
          <a:off x="0" y="1280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229</xdr:row>
      <xdr:rowOff>0</xdr:rowOff>
    </xdr:from>
    <xdr:to>
      <xdr:col>0</xdr:col>
      <xdr:colOff>304800</xdr:colOff>
      <xdr:row>230</xdr:row>
      <xdr:rowOff>121920</xdr:rowOff>
    </xdr:to>
    <xdr:sp macro="" textlink="">
      <xdr:nvSpPr>
        <xdr:cNvPr id="3414" name="AutoShape 342" descr="Dallas Stars">
          <a:extLst>
            <a:ext uri="{FF2B5EF4-FFF2-40B4-BE49-F238E27FC236}">
              <a16:creationId xmlns:a16="http://schemas.microsoft.com/office/drawing/2014/main" xmlns="" id="{00000000-0008-0000-0D00-0000560D0000}"/>
            </a:ext>
          </a:extLst>
        </xdr:cNvPr>
        <xdr:cNvSpPr>
          <a:spLocks noChangeAspect="1" noChangeArrowheads="1"/>
        </xdr:cNvSpPr>
      </xdr:nvSpPr>
      <xdr:spPr bwMode="auto">
        <a:xfrm>
          <a:off x="0" y="128610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179</xdr:row>
      <xdr:rowOff>0</xdr:rowOff>
    </xdr:from>
    <xdr:to>
      <xdr:col>0</xdr:col>
      <xdr:colOff>304800</xdr:colOff>
      <xdr:row>180</xdr:row>
      <xdr:rowOff>121920</xdr:rowOff>
    </xdr:to>
    <xdr:sp macro="" textlink="">
      <xdr:nvSpPr>
        <xdr:cNvPr id="3415" name="AutoShape 343" descr="Arizona Coyotes">
          <a:extLst>
            <a:ext uri="{FF2B5EF4-FFF2-40B4-BE49-F238E27FC236}">
              <a16:creationId xmlns:a16="http://schemas.microsoft.com/office/drawing/2014/main" xmlns="" id="{00000000-0008-0000-0D00-0000570D0000}"/>
            </a:ext>
          </a:extLst>
        </xdr:cNvPr>
        <xdr:cNvSpPr>
          <a:spLocks noChangeAspect="1" noChangeArrowheads="1"/>
        </xdr:cNvSpPr>
      </xdr:nvSpPr>
      <xdr:spPr bwMode="auto">
        <a:xfrm>
          <a:off x="0" y="128983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601</xdr:row>
      <xdr:rowOff>0</xdr:rowOff>
    </xdr:from>
    <xdr:to>
      <xdr:col>0</xdr:col>
      <xdr:colOff>304800</xdr:colOff>
      <xdr:row>602</xdr:row>
      <xdr:rowOff>121920</xdr:rowOff>
    </xdr:to>
    <xdr:sp macro="" textlink="">
      <xdr:nvSpPr>
        <xdr:cNvPr id="3416" name="AutoShape 344" descr="Los Angeles Kings">
          <a:extLst>
            <a:ext uri="{FF2B5EF4-FFF2-40B4-BE49-F238E27FC236}">
              <a16:creationId xmlns:a16="http://schemas.microsoft.com/office/drawing/2014/main" xmlns="" id="{00000000-0008-0000-0D00-0000580D0000}"/>
            </a:ext>
          </a:extLst>
        </xdr:cNvPr>
        <xdr:cNvSpPr>
          <a:spLocks noChangeAspect="1" noChangeArrowheads="1"/>
        </xdr:cNvSpPr>
      </xdr:nvSpPr>
      <xdr:spPr bwMode="auto">
        <a:xfrm>
          <a:off x="0" y="129357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776</xdr:row>
      <xdr:rowOff>0</xdr:rowOff>
    </xdr:from>
    <xdr:to>
      <xdr:col>0</xdr:col>
      <xdr:colOff>304800</xdr:colOff>
      <xdr:row>777</xdr:row>
      <xdr:rowOff>121920</xdr:rowOff>
    </xdr:to>
    <xdr:sp macro="" textlink="">
      <xdr:nvSpPr>
        <xdr:cNvPr id="3417" name="AutoShape 345" descr="San Jose Sharks">
          <a:extLst>
            <a:ext uri="{FF2B5EF4-FFF2-40B4-BE49-F238E27FC236}">
              <a16:creationId xmlns:a16="http://schemas.microsoft.com/office/drawing/2014/main" xmlns="" id="{00000000-0008-0000-0D00-0000590D0000}"/>
            </a:ext>
          </a:extLst>
        </xdr:cNvPr>
        <xdr:cNvSpPr>
          <a:spLocks noChangeAspect="1" noChangeArrowheads="1"/>
        </xdr:cNvSpPr>
      </xdr:nvSpPr>
      <xdr:spPr bwMode="auto">
        <a:xfrm>
          <a:off x="0" y="12973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587</xdr:row>
      <xdr:rowOff>0</xdr:rowOff>
    </xdr:from>
    <xdr:to>
      <xdr:col>0</xdr:col>
      <xdr:colOff>304800</xdr:colOff>
      <xdr:row>588</xdr:row>
      <xdr:rowOff>121920</xdr:rowOff>
    </xdr:to>
    <xdr:sp macro="" textlink="">
      <xdr:nvSpPr>
        <xdr:cNvPr id="3418" name="AutoShape 346" descr="Colorado Avalanche">
          <a:extLst>
            <a:ext uri="{FF2B5EF4-FFF2-40B4-BE49-F238E27FC236}">
              <a16:creationId xmlns:a16="http://schemas.microsoft.com/office/drawing/2014/main" xmlns="" id="{00000000-0008-0000-0D00-00005A0D0000}"/>
            </a:ext>
          </a:extLst>
        </xdr:cNvPr>
        <xdr:cNvSpPr>
          <a:spLocks noChangeAspect="1" noChangeArrowheads="1"/>
        </xdr:cNvSpPr>
      </xdr:nvSpPr>
      <xdr:spPr bwMode="auto">
        <a:xfrm>
          <a:off x="0" y="130103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495</xdr:row>
      <xdr:rowOff>0</xdr:rowOff>
    </xdr:from>
    <xdr:to>
      <xdr:col>0</xdr:col>
      <xdr:colOff>304800</xdr:colOff>
      <xdr:row>496</xdr:row>
      <xdr:rowOff>121920</xdr:rowOff>
    </xdr:to>
    <xdr:sp macro="" textlink="">
      <xdr:nvSpPr>
        <xdr:cNvPr id="3419" name="AutoShape 347" descr="Ottawa Senators">
          <a:extLst>
            <a:ext uri="{FF2B5EF4-FFF2-40B4-BE49-F238E27FC236}">
              <a16:creationId xmlns:a16="http://schemas.microsoft.com/office/drawing/2014/main" xmlns="" id="{00000000-0008-0000-0D00-00005B0D0000}"/>
            </a:ext>
          </a:extLst>
        </xdr:cNvPr>
        <xdr:cNvSpPr>
          <a:spLocks noChangeAspect="1" noChangeArrowheads="1"/>
        </xdr:cNvSpPr>
      </xdr:nvSpPr>
      <xdr:spPr bwMode="auto">
        <a:xfrm>
          <a:off x="0" y="130477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490</xdr:row>
      <xdr:rowOff>0</xdr:rowOff>
    </xdr:from>
    <xdr:to>
      <xdr:col>0</xdr:col>
      <xdr:colOff>304800</xdr:colOff>
      <xdr:row>491</xdr:row>
      <xdr:rowOff>121920</xdr:rowOff>
    </xdr:to>
    <xdr:sp macro="" textlink="">
      <xdr:nvSpPr>
        <xdr:cNvPr id="3420" name="AutoShape 348" descr="Arizona Coyotes">
          <a:extLst>
            <a:ext uri="{FF2B5EF4-FFF2-40B4-BE49-F238E27FC236}">
              <a16:creationId xmlns:a16="http://schemas.microsoft.com/office/drawing/2014/main" xmlns="" id="{00000000-0008-0000-0D00-00005C0D0000}"/>
            </a:ext>
          </a:extLst>
        </xdr:cNvPr>
        <xdr:cNvSpPr>
          <a:spLocks noChangeAspect="1" noChangeArrowheads="1"/>
        </xdr:cNvSpPr>
      </xdr:nvSpPr>
      <xdr:spPr bwMode="auto">
        <a:xfrm>
          <a:off x="0" y="130850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0</xdr:rowOff>
    </xdr:from>
    <xdr:to>
      <xdr:col>0</xdr:col>
      <xdr:colOff>304800</xdr:colOff>
      <xdr:row>12</xdr:row>
      <xdr:rowOff>121920</xdr:rowOff>
    </xdr:to>
    <xdr:sp macro="" textlink="">
      <xdr:nvSpPr>
        <xdr:cNvPr id="3421" name="AutoShape 349" descr="New York Islanders">
          <a:extLst>
            <a:ext uri="{FF2B5EF4-FFF2-40B4-BE49-F238E27FC236}">
              <a16:creationId xmlns:a16="http://schemas.microsoft.com/office/drawing/2014/main" xmlns="" id="{00000000-0008-0000-0D00-00005D0D0000}"/>
            </a:ext>
          </a:extLst>
        </xdr:cNvPr>
        <xdr:cNvSpPr>
          <a:spLocks noChangeAspect="1" noChangeArrowheads="1"/>
        </xdr:cNvSpPr>
      </xdr:nvSpPr>
      <xdr:spPr bwMode="auto">
        <a:xfrm>
          <a:off x="0" y="1312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481</xdr:row>
      <xdr:rowOff>0</xdr:rowOff>
    </xdr:from>
    <xdr:to>
      <xdr:col>0</xdr:col>
      <xdr:colOff>304800</xdr:colOff>
      <xdr:row>482</xdr:row>
      <xdr:rowOff>121920</xdr:rowOff>
    </xdr:to>
    <xdr:sp macro="" textlink="">
      <xdr:nvSpPr>
        <xdr:cNvPr id="3422" name="AutoShape 350" descr="Los Angeles Kings">
          <a:extLst>
            <a:ext uri="{FF2B5EF4-FFF2-40B4-BE49-F238E27FC236}">
              <a16:creationId xmlns:a16="http://schemas.microsoft.com/office/drawing/2014/main" xmlns="" id="{00000000-0008-0000-0D00-00005E0D0000}"/>
            </a:ext>
          </a:extLst>
        </xdr:cNvPr>
        <xdr:cNvSpPr>
          <a:spLocks noChangeAspect="1" noChangeArrowheads="1"/>
        </xdr:cNvSpPr>
      </xdr:nvSpPr>
      <xdr:spPr bwMode="auto">
        <a:xfrm>
          <a:off x="0" y="131597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350</xdr:row>
      <xdr:rowOff>0</xdr:rowOff>
    </xdr:from>
    <xdr:to>
      <xdr:col>0</xdr:col>
      <xdr:colOff>304800</xdr:colOff>
      <xdr:row>351</xdr:row>
      <xdr:rowOff>121920</xdr:rowOff>
    </xdr:to>
    <xdr:sp macro="" textlink="">
      <xdr:nvSpPr>
        <xdr:cNvPr id="3423" name="AutoShape 351" descr="Buffalo Sabres">
          <a:extLst>
            <a:ext uri="{FF2B5EF4-FFF2-40B4-BE49-F238E27FC236}">
              <a16:creationId xmlns:a16="http://schemas.microsoft.com/office/drawing/2014/main" xmlns="" id="{00000000-0008-0000-0D00-00005F0D0000}"/>
            </a:ext>
          </a:extLst>
        </xdr:cNvPr>
        <xdr:cNvSpPr>
          <a:spLocks noChangeAspect="1" noChangeArrowheads="1"/>
        </xdr:cNvSpPr>
      </xdr:nvSpPr>
      <xdr:spPr bwMode="auto">
        <a:xfrm>
          <a:off x="0" y="131970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842</xdr:row>
      <xdr:rowOff>0</xdr:rowOff>
    </xdr:from>
    <xdr:to>
      <xdr:col>0</xdr:col>
      <xdr:colOff>304800</xdr:colOff>
      <xdr:row>843</xdr:row>
      <xdr:rowOff>121920</xdr:rowOff>
    </xdr:to>
    <xdr:sp macro="" textlink="">
      <xdr:nvSpPr>
        <xdr:cNvPr id="3424" name="AutoShape 352" descr="Buffalo Sabres">
          <a:extLst>
            <a:ext uri="{FF2B5EF4-FFF2-40B4-BE49-F238E27FC236}">
              <a16:creationId xmlns:a16="http://schemas.microsoft.com/office/drawing/2014/main" xmlns="" id="{00000000-0008-0000-0D00-0000600D0000}"/>
            </a:ext>
          </a:extLst>
        </xdr:cNvPr>
        <xdr:cNvSpPr>
          <a:spLocks noChangeAspect="1" noChangeArrowheads="1"/>
        </xdr:cNvSpPr>
      </xdr:nvSpPr>
      <xdr:spPr bwMode="auto">
        <a:xfrm>
          <a:off x="0" y="132344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620</xdr:row>
      <xdr:rowOff>0</xdr:rowOff>
    </xdr:from>
    <xdr:to>
      <xdr:col>0</xdr:col>
      <xdr:colOff>304800</xdr:colOff>
      <xdr:row>621</xdr:row>
      <xdr:rowOff>121920</xdr:rowOff>
    </xdr:to>
    <xdr:sp macro="" textlink="">
      <xdr:nvSpPr>
        <xdr:cNvPr id="3425" name="AutoShape 353" descr="Chicago Blackhawks">
          <a:extLst>
            <a:ext uri="{FF2B5EF4-FFF2-40B4-BE49-F238E27FC236}">
              <a16:creationId xmlns:a16="http://schemas.microsoft.com/office/drawing/2014/main" xmlns="" id="{00000000-0008-0000-0D00-0000610D0000}"/>
            </a:ext>
          </a:extLst>
        </xdr:cNvPr>
        <xdr:cNvSpPr>
          <a:spLocks noChangeAspect="1" noChangeArrowheads="1"/>
        </xdr:cNvSpPr>
      </xdr:nvSpPr>
      <xdr:spPr bwMode="auto">
        <a:xfrm>
          <a:off x="0" y="13271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124</xdr:row>
      <xdr:rowOff>0</xdr:rowOff>
    </xdr:from>
    <xdr:to>
      <xdr:col>0</xdr:col>
      <xdr:colOff>304800</xdr:colOff>
      <xdr:row>125</xdr:row>
      <xdr:rowOff>121920</xdr:rowOff>
    </xdr:to>
    <xdr:sp macro="" textlink="">
      <xdr:nvSpPr>
        <xdr:cNvPr id="3426" name="AutoShape 354" descr="Washington Capitals">
          <a:extLst>
            <a:ext uri="{FF2B5EF4-FFF2-40B4-BE49-F238E27FC236}">
              <a16:creationId xmlns:a16="http://schemas.microsoft.com/office/drawing/2014/main" xmlns="" id="{00000000-0008-0000-0D00-0000620D0000}"/>
            </a:ext>
          </a:extLst>
        </xdr:cNvPr>
        <xdr:cNvSpPr>
          <a:spLocks noChangeAspect="1" noChangeArrowheads="1"/>
        </xdr:cNvSpPr>
      </xdr:nvSpPr>
      <xdr:spPr bwMode="auto">
        <a:xfrm>
          <a:off x="0" y="13309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132</xdr:row>
      <xdr:rowOff>0</xdr:rowOff>
    </xdr:from>
    <xdr:to>
      <xdr:col>0</xdr:col>
      <xdr:colOff>304800</xdr:colOff>
      <xdr:row>133</xdr:row>
      <xdr:rowOff>121920</xdr:rowOff>
    </xdr:to>
    <xdr:sp macro="" textlink="">
      <xdr:nvSpPr>
        <xdr:cNvPr id="3427" name="AutoShape 355" descr="Vancouver Canucks">
          <a:extLst>
            <a:ext uri="{FF2B5EF4-FFF2-40B4-BE49-F238E27FC236}">
              <a16:creationId xmlns:a16="http://schemas.microsoft.com/office/drawing/2014/main" xmlns="" id="{00000000-0008-0000-0D00-0000630D0000}"/>
            </a:ext>
          </a:extLst>
        </xdr:cNvPr>
        <xdr:cNvSpPr>
          <a:spLocks noChangeAspect="1" noChangeArrowheads="1"/>
        </xdr:cNvSpPr>
      </xdr:nvSpPr>
      <xdr:spPr bwMode="auto">
        <a:xfrm>
          <a:off x="0" y="133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5</xdr:row>
      <xdr:rowOff>121920</xdr:rowOff>
    </xdr:to>
    <xdr:sp macro="" textlink="">
      <xdr:nvSpPr>
        <xdr:cNvPr id="3428" name="AutoShape 356" descr="Vancouver Canucks">
          <a:extLst>
            <a:ext uri="{FF2B5EF4-FFF2-40B4-BE49-F238E27FC236}">
              <a16:creationId xmlns:a16="http://schemas.microsoft.com/office/drawing/2014/main" xmlns="" id="{00000000-0008-0000-0D00-0000640D0000}"/>
            </a:ext>
          </a:extLst>
        </xdr:cNvPr>
        <xdr:cNvSpPr>
          <a:spLocks noChangeAspect="1" noChangeArrowheads="1"/>
        </xdr:cNvSpPr>
      </xdr:nvSpPr>
      <xdr:spPr bwMode="auto">
        <a:xfrm>
          <a:off x="0" y="13383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394</xdr:row>
      <xdr:rowOff>0</xdr:rowOff>
    </xdr:from>
    <xdr:to>
      <xdr:col>0</xdr:col>
      <xdr:colOff>304800</xdr:colOff>
      <xdr:row>395</xdr:row>
      <xdr:rowOff>121920</xdr:rowOff>
    </xdr:to>
    <xdr:sp macro="" textlink="">
      <xdr:nvSpPr>
        <xdr:cNvPr id="3429" name="AutoShape 357" descr="Buffalo Sabres">
          <a:extLst>
            <a:ext uri="{FF2B5EF4-FFF2-40B4-BE49-F238E27FC236}">
              <a16:creationId xmlns:a16="http://schemas.microsoft.com/office/drawing/2014/main" xmlns="" id="{00000000-0008-0000-0D00-0000650D0000}"/>
            </a:ext>
          </a:extLst>
        </xdr:cNvPr>
        <xdr:cNvSpPr>
          <a:spLocks noChangeAspect="1" noChangeArrowheads="1"/>
        </xdr:cNvSpPr>
      </xdr:nvSpPr>
      <xdr:spPr bwMode="auto">
        <a:xfrm>
          <a:off x="0" y="1342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674</xdr:row>
      <xdr:rowOff>0</xdr:rowOff>
    </xdr:from>
    <xdr:to>
      <xdr:col>0</xdr:col>
      <xdr:colOff>304800</xdr:colOff>
      <xdr:row>675</xdr:row>
      <xdr:rowOff>121920</xdr:rowOff>
    </xdr:to>
    <xdr:sp macro="" textlink="">
      <xdr:nvSpPr>
        <xdr:cNvPr id="3430" name="AutoShape 358" descr="Vegas Golden Knights">
          <a:extLst>
            <a:ext uri="{FF2B5EF4-FFF2-40B4-BE49-F238E27FC236}">
              <a16:creationId xmlns:a16="http://schemas.microsoft.com/office/drawing/2014/main" xmlns="" id="{00000000-0008-0000-0D00-0000660D0000}"/>
            </a:ext>
          </a:extLst>
        </xdr:cNvPr>
        <xdr:cNvSpPr>
          <a:spLocks noChangeAspect="1" noChangeArrowheads="1"/>
        </xdr:cNvSpPr>
      </xdr:nvSpPr>
      <xdr:spPr bwMode="auto">
        <a:xfrm>
          <a:off x="0" y="13458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505</xdr:row>
      <xdr:rowOff>0</xdr:rowOff>
    </xdr:from>
    <xdr:to>
      <xdr:col>0</xdr:col>
      <xdr:colOff>304800</xdr:colOff>
      <xdr:row>506</xdr:row>
      <xdr:rowOff>121920</xdr:rowOff>
    </xdr:to>
    <xdr:sp macro="" textlink="">
      <xdr:nvSpPr>
        <xdr:cNvPr id="3431" name="AutoShape 359" descr="Minnesota Wild">
          <a:extLst>
            <a:ext uri="{FF2B5EF4-FFF2-40B4-BE49-F238E27FC236}">
              <a16:creationId xmlns:a16="http://schemas.microsoft.com/office/drawing/2014/main" xmlns="" id="{00000000-0008-0000-0D00-0000670D0000}"/>
            </a:ext>
          </a:extLst>
        </xdr:cNvPr>
        <xdr:cNvSpPr>
          <a:spLocks noChangeAspect="1" noChangeArrowheads="1"/>
        </xdr:cNvSpPr>
      </xdr:nvSpPr>
      <xdr:spPr bwMode="auto">
        <a:xfrm>
          <a:off x="0" y="13514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567</xdr:row>
      <xdr:rowOff>0</xdr:rowOff>
    </xdr:from>
    <xdr:to>
      <xdr:col>0</xdr:col>
      <xdr:colOff>304800</xdr:colOff>
      <xdr:row>568</xdr:row>
      <xdr:rowOff>121920</xdr:rowOff>
    </xdr:to>
    <xdr:sp macro="" textlink="">
      <xdr:nvSpPr>
        <xdr:cNvPr id="3432" name="AutoShape 360" descr="New Jersey Devils">
          <a:extLst>
            <a:ext uri="{FF2B5EF4-FFF2-40B4-BE49-F238E27FC236}">
              <a16:creationId xmlns:a16="http://schemas.microsoft.com/office/drawing/2014/main" xmlns="" id="{00000000-0008-0000-0D00-0000680D0000}"/>
            </a:ext>
          </a:extLst>
        </xdr:cNvPr>
        <xdr:cNvSpPr>
          <a:spLocks noChangeAspect="1" noChangeArrowheads="1"/>
        </xdr:cNvSpPr>
      </xdr:nvSpPr>
      <xdr:spPr bwMode="auto">
        <a:xfrm>
          <a:off x="0" y="13551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86</xdr:row>
      <xdr:rowOff>0</xdr:rowOff>
    </xdr:from>
    <xdr:to>
      <xdr:col>0</xdr:col>
      <xdr:colOff>304800</xdr:colOff>
      <xdr:row>87</xdr:row>
      <xdr:rowOff>121920</xdr:rowOff>
    </xdr:to>
    <xdr:sp macro="" textlink="">
      <xdr:nvSpPr>
        <xdr:cNvPr id="3433" name="AutoShape 361" descr="Winnipeg Jets">
          <a:extLst>
            <a:ext uri="{FF2B5EF4-FFF2-40B4-BE49-F238E27FC236}">
              <a16:creationId xmlns:a16="http://schemas.microsoft.com/office/drawing/2014/main" xmlns="" id="{00000000-0008-0000-0D00-0000690D0000}"/>
            </a:ext>
          </a:extLst>
        </xdr:cNvPr>
        <xdr:cNvSpPr>
          <a:spLocks noChangeAspect="1" noChangeArrowheads="1"/>
        </xdr:cNvSpPr>
      </xdr:nvSpPr>
      <xdr:spPr bwMode="auto">
        <a:xfrm>
          <a:off x="0" y="13588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758</xdr:row>
      <xdr:rowOff>0</xdr:rowOff>
    </xdr:from>
    <xdr:to>
      <xdr:col>0</xdr:col>
      <xdr:colOff>304800</xdr:colOff>
      <xdr:row>759</xdr:row>
      <xdr:rowOff>121920</xdr:rowOff>
    </xdr:to>
    <xdr:sp macro="" textlink="">
      <xdr:nvSpPr>
        <xdr:cNvPr id="3434" name="AutoShape 362" descr="Colorado Avalanche">
          <a:extLst>
            <a:ext uri="{FF2B5EF4-FFF2-40B4-BE49-F238E27FC236}">
              <a16:creationId xmlns:a16="http://schemas.microsoft.com/office/drawing/2014/main" xmlns="" id="{00000000-0008-0000-0D00-00006A0D0000}"/>
            </a:ext>
          </a:extLst>
        </xdr:cNvPr>
        <xdr:cNvSpPr>
          <a:spLocks noChangeAspect="1" noChangeArrowheads="1"/>
        </xdr:cNvSpPr>
      </xdr:nvSpPr>
      <xdr:spPr bwMode="auto">
        <a:xfrm>
          <a:off x="0" y="13626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344</xdr:row>
      <xdr:rowOff>0</xdr:rowOff>
    </xdr:from>
    <xdr:to>
      <xdr:col>0</xdr:col>
      <xdr:colOff>304800</xdr:colOff>
      <xdr:row>345</xdr:row>
      <xdr:rowOff>121920</xdr:rowOff>
    </xdr:to>
    <xdr:sp macro="" textlink="">
      <xdr:nvSpPr>
        <xdr:cNvPr id="3435" name="AutoShape 363" descr="Carolina Hurricanes">
          <a:extLst>
            <a:ext uri="{FF2B5EF4-FFF2-40B4-BE49-F238E27FC236}">
              <a16:creationId xmlns:a16="http://schemas.microsoft.com/office/drawing/2014/main" xmlns="" id="{00000000-0008-0000-0D00-00006B0D0000}"/>
            </a:ext>
          </a:extLst>
        </xdr:cNvPr>
        <xdr:cNvSpPr>
          <a:spLocks noChangeAspect="1" noChangeArrowheads="1"/>
        </xdr:cNvSpPr>
      </xdr:nvSpPr>
      <xdr:spPr bwMode="auto">
        <a:xfrm>
          <a:off x="0" y="13663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304800</xdr:colOff>
      <xdr:row>623</xdr:row>
      <xdr:rowOff>121920</xdr:rowOff>
    </xdr:to>
    <xdr:sp macro="" textlink="">
      <xdr:nvSpPr>
        <xdr:cNvPr id="3436" name="AutoShape 364" descr="Vegas Golden Knights">
          <a:extLst>
            <a:ext uri="{FF2B5EF4-FFF2-40B4-BE49-F238E27FC236}">
              <a16:creationId xmlns:a16="http://schemas.microsoft.com/office/drawing/2014/main" xmlns="" id="{00000000-0008-0000-0D00-00006C0D0000}"/>
            </a:ext>
          </a:extLst>
        </xdr:cNvPr>
        <xdr:cNvSpPr>
          <a:spLocks noChangeAspect="1" noChangeArrowheads="1"/>
        </xdr:cNvSpPr>
      </xdr:nvSpPr>
      <xdr:spPr bwMode="auto">
        <a:xfrm>
          <a:off x="0" y="13700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272</xdr:row>
      <xdr:rowOff>0</xdr:rowOff>
    </xdr:from>
    <xdr:to>
      <xdr:col>0</xdr:col>
      <xdr:colOff>304800</xdr:colOff>
      <xdr:row>273</xdr:row>
      <xdr:rowOff>121920</xdr:rowOff>
    </xdr:to>
    <xdr:sp macro="" textlink="">
      <xdr:nvSpPr>
        <xdr:cNvPr id="3437" name="AutoShape 365" descr="Vegas Golden Knights">
          <a:extLst>
            <a:ext uri="{FF2B5EF4-FFF2-40B4-BE49-F238E27FC236}">
              <a16:creationId xmlns:a16="http://schemas.microsoft.com/office/drawing/2014/main" xmlns="" id="{00000000-0008-0000-0D00-00006D0D0000}"/>
            </a:ext>
          </a:extLst>
        </xdr:cNvPr>
        <xdr:cNvSpPr>
          <a:spLocks noChangeAspect="1" noChangeArrowheads="1"/>
        </xdr:cNvSpPr>
      </xdr:nvSpPr>
      <xdr:spPr bwMode="auto">
        <a:xfrm>
          <a:off x="0" y="1375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235</xdr:row>
      <xdr:rowOff>0</xdr:rowOff>
    </xdr:from>
    <xdr:to>
      <xdr:col>0</xdr:col>
      <xdr:colOff>304800</xdr:colOff>
      <xdr:row>236</xdr:row>
      <xdr:rowOff>121920</xdr:rowOff>
    </xdr:to>
    <xdr:sp macro="" textlink="">
      <xdr:nvSpPr>
        <xdr:cNvPr id="3438" name="AutoShape 366" descr="Florida Panthers">
          <a:extLst>
            <a:ext uri="{FF2B5EF4-FFF2-40B4-BE49-F238E27FC236}">
              <a16:creationId xmlns:a16="http://schemas.microsoft.com/office/drawing/2014/main" xmlns="" id="{00000000-0008-0000-0D00-00006E0D0000}"/>
            </a:ext>
          </a:extLst>
        </xdr:cNvPr>
        <xdr:cNvSpPr>
          <a:spLocks noChangeAspect="1" noChangeArrowheads="1"/>
        </xdr:cNvSpPr>
      </xdr:nvSpPr>
      <xdr:spPr bwMode="auto">
        <a:xfrm>
          <a:off x="0" y="13812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118</xdr:row>
      <xdr:rowOff>0</xdr:rowOff>
    </xdr:from>
    <xdr:to>
      <xdr:col>0</xdr:col>
      <xdr:colOff>304800</xdr:colOff>
      <xdr:row>119</xdr:row>
      <xdr:rowOff>121920</xdr:rowOff>
    </xdr:to>
    <xdr:sp macro="" textlink="">
      <xdr:nvSpPr>
        <xdr:cNvPr id="3439" name="AutoShape 367" descr="Arizona Coyotes">
          <a:extLst>
            <a:ext uri="{FF2B5EF4-FFF2-40B4-BE49-F238E27FC236}">
              <a16:creationId xmlns:a16="http://schemas.microsoft.com/office/drawing/2014/main" xmlns="" id="{00000000-0008-0000-0D00-00006F0D0000}"/>
            </a:ext>
          </a:extLst>
        </xdr:cNvPr>
        <xdr:cNvSpPr>
          <a:spLocks noChangeAspect="1" noChangeArrowheads="1"/>
        </xdr:cNvSpPr>
      </xdr:nvSpPr>
      <xdr:spPr bwMode="auto">
        <a:xfrm>
          <a:off x="0" y="13849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468</xdr:row>
      <xdr:rowOff>0</xdr:rowOff>
    </xdr:from>
    <xdr:to>
      <xdr:col>0</xdr:col>
      <xdr:colOff>304800</xdr:colOff>
      <xdr:row>469</xdr:row>
      <xdr:rowOff>121920</xdr:rowOff>
    </xdr:to>
    <xdr:sp macro="" textlink="">
      <xdr:nvSpPr>
        <xdr:cNvPr id="3440" name="AutoShape 368" descr="Nashville Predators">
          <a:extLst>
            <a:ext uri="{FF2B5EF4-FFF2-40B4-BE49-F238E27FC236}">
              <a16:creationId xmlns:a16="http://schemas.microsoft.com/office/drawing/2014/main" xmlns="" id="{00000000-0008-0000-0D00-0000700D0000}"/>
            </a:ext>
          </a:extLst>
        </xdr:cNvPr>
        <xdr:cNvSpPr>
          <a:spLocks noChangeAspect="1" noChangeArrowheads="1"/>
        </xdr:cNvSpPr>
      </xdr:nvSpPr>
      <xdr:spPr bwMode="auto">
        <a:xfrm>
          <a:off x="0" y="13886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447</xdr:row>
      <xdr:rowOff>0</xdr:rowOff>
    </xdr:from>
    <xdr:to>
      <xdr:col>0</xdr:col>
      <xdr:colOff>304800</xdr:colOff>
      <xdr:row>448</xdr:row>
      <xdr:rowOff>121920</xdr:rowOff>
    </xdr:to>
    <xdr:sp macro="" textlink="">
      <xdr:nvSpPr>
        <xdr:cNvPr id="3441" name="AutoShape 369" descr="Dallas Stars">
          <a:extLst>
            <a:ext uri="{FF2B5EF4-FFF2-40B4-BE49-F238E27FC236}">
              <a16:creationId xmlns:a16="http://schemas.microsoft.com/office/drawing/2014/main" xmlns="" id="{00000000-0008-0000-0D00-0000710D0000}"/>
            </a:ext>
          </a:extLst>
        </xdr:cNvPr>
        <xdr:cNvSpPr>
          <a:spLocks noChangeAspect="1" noChangeArrowheads="1"/>
        </xdr:cNvSpPr>
      </xdr:nvSpPr>
      <xdr:spPr bwMode="auto">
        <a:xfrm>
          <a:off x="0" y="13924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357</xdr:row>
      <xdr:rowOff>0</xdr:rowOff>
    </xdr:from>
    <xdr:to>
      <xdr:col>0</xdr:col>
      <xdr:colOff>304800</xdr:colOff>
      <xdr:row>358</xdr:row>
      <xdr:rowOff>121920</xdr:rowOff>
    </xdr:to>
    <xdr:sp macro="" textlink="">
      <xdr:nvSpPr>
        <xdr:cNvPr id="3442" name="AutoShape 370" descr="Washington Capitals">
          <a:extLst>
            <a:ext uri="{FF2B5EF4-FFF2-40B4-BE49-F238E27FC236}">
              <a16:creationId xmlns:a16="http://schemas.microsoft.com/office/drawing/2014/main" xmlns="" id="{00000000-0008-0000-0D00-0000720D0000}"/>
            </a:ext>
          </a:extLst>
        </xdr:cNvPr>
        <xdr:cNvSpPr>
          <a:spLocks noChangeAspect="1" noChangeArrowheads="1"/>
        </xdr:cNvSpPr>
      </xdr:nvSpPr>
      <xdr:spPr bwMode="auto">
        <a:xfrm>
          <a:off x="0" y="13943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700</xdr:row>
      <xdr:rowOff>0</xdr:rowOff>
    </xdr:from>
    <xdr:to>
      <xdr:col>0</xdr:col>
      <xdr:colOff>304800</xdr:colOff>
      <xdr:row>701</xdr:row>
      <xdr:rowOff>121920</xdr:rowOff>
    </xdr:to>
    <xdr:sp macro="" textlink="">
      <xdr:nvSpPr>
        <xdr:cNvPr id="3443" name="AutoShape 371" descr="Boston Bruins">
          <a:extLst>
            <a:ext uri="{FF2B5EF4-FFF2-40B4-BE49-F238E27FC236}">
              <a16:creationId xmlns:a16="http://schemas.microsoft.com/office/drawing/2014/main" xmlns="" id="{00000000-0008-0000-0D00-0000730D0000}"/>
            </a:ext>
          </a:extLst>
        </xdr:cNvPr>
        <xdr:cNvSpPr>
          <a:spLocks noChangeAspect="1" noChangeArrowheads="1"/>
        </xdr:cNvSpPr>
      </xdr:nvSpPr>
      <xdr:spPr bwMode="auto">
        <a:xfrm>
          <a:off x="0" y="13980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xdr:row>
      <xdr:rowOff>0</xdr:rowOff>
    </xdr:from>
    <xdr:to>
      <xdr:col>0</xdr:col>
      <xdr:colOff>304800</xdr:colOff>
      <xdr:row>35</xdr:row>
      <xdr:rowOff>121920</xdr:rowOff>
    </xdr:to>
    <xdr:sp macro="" textlink="">
      <xdr:nvSpPr>
        <xdr:cNvPr id="3444" name="AutoShape 372" descr="Vegas Golden Knights">
          <a:extLst>
            <a:ext uri="{FF2B5EF4-FFF2-40B4-BE49-F238E27FC236}">
              <a16:creationId xmlns:a16="http://schemas.microsoft.com/office/drawing/2014/main" xmlns="" id="{00000000-0008-0000-0D00-0000740D0000}"/>
            </a:ext>
          </a:extLst>
        </xdr:cNvPr>
        <xdr:cNvSpPr>
          <a:spLocks noChangeAspect="1" noChangeArrowheads="1"/>
        </xdr:cNvSpPr>
      </xdr:nvSpPr>
      <xdr:spPr bwMode="auto">
        <a:xfrm>
          <a:off x="0" y="14017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324</xdr:row>
      <xdr:rowOff>0</xdr:rowOff>
    </xdr:from>
    <xdr:to>
      <xdr:col>0</xdr:col>
      <xdr:colOff>304800</xdr:colOff>
      <xdr:row>325</xdr:row>
      <xdr:rowOff>121920</xdr:rowOff>
    </xdr:to>
    <xdr:sp macro="" textlink="">
      <xdr:nvSpPr>
        <xdr:cNvPr id="3445" name="AutoShape 373" descr="Florida Panthers">
          <a:extLst>
            <a:ext uri="{FF2B5EF4-FFF2-40B4-BE49-F238E27FC236}">
              <a16:creationId xmlns:a16="http://schemas.microsoft.com/office/drawing/2014/main" xmlns="" id="{00000000-0008-0000-0D00-0000750D0000}"/>
            </a:ext>
          </a:extLst>
        </xdr:cNvPr>
        <xdr:cNvSpPr>
          <a:spLocks noChangeAspect="1" noChangeArrowheads="1"/>
        </xdr:cNvSpPr>
      </xdr:nvSpPr>
      <xdr:spPr bwMode="auto">
        <a:xfrm>
          <a:off x="0" y="1407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304800</xdr:colOff>
      <xdr:row>354</xdr:row>
      <xdr:rowOff>121920</xdr:rowOff>
    </xdr:to>
    <xdr:sp macro="" textlink="">
      <xdr:nvSpPr>
        <xdr:cNvPr id="3446" name="AutoShape 374" descr="Arizona Coyotes">
          <a:extLst>
            <a:ext uri="{FF2B5EF4-FFF2-40B4-BE49-F238E27FC236}">
              <a16:creationId xmlns:a16="http://schemas.microsoft.com/office/drawing/2014/main" xmlns="" id="{00000000-0008-0000-0D00-0000760D0000}"/>
            </a:ext>
          </a:extLst>
        </xdr:cNvPr>
        <xdr:cNvSpPr>
          <a:spLocks noChangeAspect="1" noChangeArrowheads="1"/>
        </xdr:cNvSpPr>
      </xdr:nvSpPr>
      <xdr:spPr bwMode="auto">
        <a:xfrm>
          <a:off x="0" y="14110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457</xdr:row>
      <xdr:rowOff>0</xdr:rowOff>
    </xdr:from>
    <xdr:to>
      <xdr:col>0</xdr:col>
      <xdr:colOff>304800</xdr:colOff>
      <xdr:row>458</xdr:row>
      <xdr:rowOff>121920</xdr:rowOff>
    </xdr:to>
    <xdr:sp macro="" textlink="">
      <xdr:nvSpPr>
        <xdr:cNvPr id="3447" name="AutoShape 375" descr="Calgary Flames">
          <a:extLst>
            <a:ext uri="{FF2B5EF4-FFF2-40B4-BE49-F238E27FC236}">
              <a16:creationId xmlns:a16="http://schemas.microsoft.com/office/drawing/2014/main" xmlns="" id="{00000000-0008-0000-0D00-0000770D0000}"/>
            </a:ext>
          </a:extLst>
        </xdr:cNvPr>
        <xdr:cNvSpPr>
          <a:spLocks noChangeAspect="1" noChangeArrowheads="1"/>
        </xdr:cNvSpPr>
      </xdr:nvSpPr>
      <xdr:spPr bwMode="auto">
        <a:xfrm>
          <a:off x="0" y="14148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777</xdr:row>
      <xdr:rowOff>0</xdr:rowOff>
    </xdr:from>
    <xdr:to>
      <xdr:col>0</xdr:col>
      <xdr:colOff>304800</xdr:colOff>
      <xdr:row>778</xdr:row>
      <xdr:rowOff>121920</xdr:rowOff>
    </xdr:to>
    <xdr:sp macro="" textlink="">
      <xdr:nvSpPr>
        <xdr:cNvPr id="3448" name="AutoShape 376" descr="Toronto Maple Leafs">
          <a:extLst>
            <a:ext uri="{FF2B5EF4-FFF2-40B4-BE49-F238E27FC236}">
              <a16:creationId xmlns:a16="http://schemas.microsoft.com/office/drawing/2014/main" xmlns="" id="{00000000-0008-0000-0D00-0000780D0000}"/>
            </a:ext>
          </a:extLst>
        </xdr:cNvPr>
        <xdr:cNvSpPr>
          <a:spLocks noChangeAspect="1" noChangeArrowheads="1"/>
        </xdr:cNvSpPr>
      </xdr:nvSpPr>
      <xdr:spPr bwMode="auto">
        <a:xfrm>
          <a:off x="0" y="14185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784</xdr:row>
      <xdr:rowOff>0</xdr:rowOff>
    </xdr:from>
    <xdr:to>
      <xdr:col>0</xdr:col>
      <xdr:colOff>304800</xdr:colOff>
      <xdr:row>785</xdr:row>
      <xdr:rowOff>121920</xdr:rowOff>
    </xdr:to>
    <xdr:sp macro="" textlink="">
      <xdr:nvSpPr>
        <xdr:cNvPr id="3449" name="AutoShape 377" descr="Philadelphia Flyers">
          <a:extLst>
            <a:ext uri="{FF2B5EF4-FFF2-40B4-BE49-F238E27FC236}">
              <a16:creationId xmlns:a16="http://schemas.microsoft.com/office/drawing/2014/main" xmlns="" id="{00000000-0008-0000-0D00-0000790D0000}"/>
            </a:ext>
          </a:extLst>
        </xdr:cNvPr>
        <xdr:cNvSpPr>
          <a:spLocks noChangeAspect="1" noChangeArrowheads="1"/>
        </xdr:cNvSpPr>
      </xdr:nvSpPr>
      <xdr:spPr bwMode="auto">
        <a:xfrm>
          <a:off x="0" y="14222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358</xdr:row>
      <xdr:rowOff>0</xdr:rowOff>
    </xdr:from>
    <xdr:to>
      <xdr:col>0</xdr:col>
      <xdr:colOff>304800</xdr:colOff>
      <xdr:row>359</xdr:row>
      <xdr:rowOff>121920</xdr:rowOff>
    </xdr:to>
    <xdr:sp macro="" textlink="">
      <xdr:nvSpPr>
        <xdr:cNvPr id="3450" name="AutoShape 378" descr="Boston Bruins">
          <a:extLst>
            <a:ext uri="{FF2B5EF4-FFF2-40B4-BE49-F238E27FC236}">
              <a16:creationId xmlns:a16="http://schemas.microsoft.com/office/drawing/2014/main" xmlns="" id="{00000000-0008-0000-0D00-00007A0D0000}"/>
            </a:ext>
          </a:extLst>
        </xdr:cNvPr>
        <xdr:cNvSpPr>
          <a:spLocks noChangeAspect="1" noChangeArrowheads="1"/>
        </xdr:cNvSpPr>
      </xdr:nvSpPr>
      <xdr:spPr bwMode="auto">
        <a:xfrm>
          <a:off x="0" y="14260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346</xdr:row>
      <xdr:rowOff>0</xdr:rowOff>
    </xdr:from>
    <xdr:to>
      <xdr:col>0</xdr:col>
      <xdr:colOff>304800</xdr:colOff>
      <xdr:row>347</xdr:row>
      <xdr:rowOff>121920</xdr:rowOff>
    </xdr:to>
    <xdr:sp macro="" textlink="">
      <xdr:nvSpPr>
        <xdr:cNvPr id="3451" name="AutoShape 379" descr="Boston Bruins">
          <a:extLst>
            <a:ext uri="{FF2B5EF4-FFF2-40B4-BE49-F238E27FC236}">
              <a16:creationId xmlns:a16="http://schemas.microsoft.com/office/drawing/2014/main" xmlns="" id="{00000000-0008-0000-0D00-00007B0D0000}"/>
            </a:ext>
          </a:extLst>
        </xdr:cNvPr>
        <xdr:cNvSpPr>
          <a:spLocks noChangeAspect="1" noChangeArrowheads="1"/>
        </xdr:cNvSpPr>
      </xdr:nvSpPr>
      <xdr:spPr bwMode="auto">
        <a:xfrm>
          <a:off x="0" y="14297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837</xdr:row>
      <xdr:rowOff>0</xdr:rowOff>
    </xdr:from>
    <xdr:to>
      <xdr:col>0</xdr:col>
      <xdr:colOff>304800</xdr:colOff>
      <xdr:row>838</xdr:row>
      <xdr:rowOff>121920</xdr:rowOff>
    </xdr:to>
    <xdr:sp macro="" textlink="">
      <xdr:nvSpPr>
        <xdr:cNvPr id="3452" name="AutoShape 380" descr="Boston Bruins">
          <a:extLst>
            <a:ext uri="{FF2B5EF4-FFF2-40B4-BE49-F238E27FC236}">
              <a16:creationId xmlns:a16="http://schemas.microsoft.com/office/drawing/2014/main" xmlns="" id="{00000000-0008-0000-0D00-00007C0D0000}"/>
            </a:ext>
          </a:extLst>
        </xdr:cNvPr>
        <xdr:cNvSpPr>
          <a:spLocks noChangeAspect="1" noChangeArrowheads="1"/>
        </xdr:cNvSpPr>
      </xdr:nvSpPr>
      <xdr:spPr bwMode="auto">
        <a:xfrm>
          <a:off x="0" y="14334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188</xdr:row>
      <xdr:rowOff>0</xdr:rowOff>
    </xdr:from>
    <xdr:to>
      <xdr:col>0</xdr:col>
      <xdr:colOff>304800</xdr:colOff>
      <xdr:row>189</xdr:row>
      <xdr:rowOff>121920</xdr:rowOff>
    </xdr:to>
    <xdr:sp macro="" textlink="">
      <xdr:nvSpPr>
        <xdr:cNvPr id="3453" name="AutoShape 381" descr="Ottawa Senators">
          <a:extLst>
            <a:ext uri="{FF2B5EF4-FFF2-40B4-BE49-F238E27FC236}">
              <a16:creationId xmlns:a16="http://schemas.microsoft.com/office/drawing/2014/main" xmlns="" id="{00000000-0008-0000-0D00-00007D0D0000}"/>
            </a:ext>
          </a:extLst>
        </xdr:cNvPr>
        <xdr:cNvSpPr>
          <a:spLocks noChangeAspect="1" noChangeArrowheads="1"/>
        </xdr:cNvSpPr>
      </xdr:nvSpPr>
      <xdr:spPr bwMode="auto">
        <a:xfrm>
          <a:off x="0" y="1437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288</xdr:row>
      <xdr:rowOff>0</xdr:rowOff>
    </xdr:from>
    <xdr:to>
      <xdr:col>0</xdr:col>
      <xdr:colOff>304800</xdr:colOff>
      <xdr:row>289</xdr:row>
      <xdr:rowOff>121920</xdr:rowOff>
    </xdr:to>
    <xdr:sp macro="" textlink="">
      <xdr:nvSpPr>
        <xdr:cNvPr id="3454" name="AutoShape 382" descr="New York Rangers">
          <a:extLst>
            <a:ext uri="{FF2B5EF4-FFF2-40B4-BE49-F238E27FC236}">
              <a16:creationId xmlns:a16="http://schemas.microsoft.com/office/drawing/2014/main" xmlns="" id="{00000000-0008-0000-0D00-00007E0D0000}"/>
            </a:ext>
          </a:extLst>
        </xdr:cNvPr>
        <xdr:cNvSpPr>
          <a:spLocks noChangeAspect="1" noChangeArrowheads="1"/>
        </xdr:cNvSpPr>
      </xdr:nvSpPr>
      <xdr:spPr bwMode="auto">
        <a:xfrm>
          <a:off x="0" y="14409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121920</xdr:rowOff>
    </xdr:to>
    <xdr:sp macro="" textlink="">
      <xdr:nvSpPr>
        <xdr:cNvPr id="3455" name="AutoShape 383" descr="New York Rangers">
          <a:extLst>
            <a:ext uri="{FF2B5EF4-FFF2-40B4-BE49-F238E27FC236}">
              <a16:creationId xmlns:a16="http://schemas.microsoft.com/office/drawing/2014/main" xmlns="" id="{00000000-0008-0000-0D00-00007F0D0000}"/>
            </a:ext>
          </a:extLst>
        </xdr:cNvPr>
        <xdr:cNvSpPr>
          <a:spLocks noChangeAspect="1" noChangeArrowheads="1"/>
        </xdr:cNvSpPr>
      </xdr:nvSpPr>
      <xdr:spPr bwMode="auto">
        <a:xfrm>
          <a:off x="0" y="14446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746</xdr:row>
      <xdr:rowOff>0</xdr:rowOff>
    </xdr:from>
    <xdr:to>
      <xdr:col>0</xdr:col>
      <xdr:colOff>304800</xdr:colOff>
      <xdr:row>747</xdr:row>
      <xdr:rowOff>121920</xdr:rowOff>
    </xdr:to>
    <xdr:sp macro="" textlink="">
      <xdr:nvSpPr>
        <xdr:cNvPr id="3456" name="AutoShape 384" descr="Columbus Blue Jackets">
          <a:extLst>
            <a:ext uri="{FF2B5EF4-FFF2-40B4-BE49-F238E27FC236}">
              <a16:creationId xmlns:a16="http://schemas.microsoft.com/office/drawing/2014/main" xmlns="" id="{00000000-0008-0000-0D00-0000800D0000}"/>
            </a:ext>
          </a:extLst>
        </xdr:cNvPr>
        <xdr:cNvSpPr>
          <a:spLocks noChangeAspect="1" noChangeArrowheads="1"/>
        </xdr:cNvSpPr>
      </xdr:nvSpPr>
      <xdr:spPr bwMode="auto">
        <a:xfrm>
          <a:off x="0" y="14484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160</xdr:row>
      <xdr:rowOff>0</xdr:rowOff>
    </xdr:from>
    <xdr:to>
      <xdr:col>0</xdr:col>
      <xdr:colOff>304800</xdr:colOff>
      <xdr:row>161</xdr:row>
      <xdr:rowOff>121920</xdr:rowOff>
    </xdr:to>
    <xdr:sp macro="" textlink="">
      <xdr:nvSpPr>
        <xdr:cNvPr id="3457" name="AutoShape 385" descr="Boston Bruins">
          <a:extLst>
            <a:ext uri="{FF2B5EF4-FFF2-40B4-BE49-F238E27FC236}">
              <a16:creationId xmlns:a16="http://schemas.microsoft.com/office/drawing/2014/main" xmlns="" id="{00000000-0008-0000-0D00-0000810D0000}"/>
            </a:ext>
          </a:extLst>
        </xdr:cNvPr>
        <xdr:cNvSpPr>
          <a:spLocks noChangeAspect="1" noChangeArrowheads="1"/>
        </xdr:cNvSpPr>
      </xdr:nvSpPr>
      <xdr:spPr bwMode="auto">
        <a:xfrm>
          <a:off x="0" y="14521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304800</xdr:colOff>
      <xdr:row>466</xdr:row>
      <xdr:rowOff>121920</xdr:rowOff>
    </xdr:to>
    <xdr:sp macro="" textlink="">
      <xdr:nvSpPr>
        <xdr:cNvPr id="3458" name="AutoShape 386" descr="New Jersey Devils">
          <a:extLst>
            <a:ext uri="{FF2B5EF4-FFF2-40B4-BE49-F238E27FC236}">
              <a16:creationId xmlns:a16="http://schemas.microsoft.com/office/drawing/2014/main" xmlns="" id="{00000000-0008-0000-0D00-0000820D0000}"/>
            </a:ext>
          </a:extLst>
        </xdr:cNvPr>
        <xdr:cNvSpPr>
          <a:spLocks noChangeAspect="1" noChangeArrowheads="1"/>
        </xdr:cNvSpPr>
      </xdr:nvSpPr>
      <xdr:spPr bwMode="auto">
        <a:xfrm>
          <a:off x="0" y="14558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825</xdr:row>
      <xdr:rowOff>0</xdr:rowOff>
    </xdr:from>
    <xdr:to>
      <xdr:col>0</xdr:col>
      <xdr:colOff>304800</xdr:colOff>
      <xdr:row>826</xdr:row>
      <xdr:rowOff>121920</xdr:rowOff>
    </xdr:to>
    <xdr:sp macro="" textlink="">
      <xdr:nvSpPr>
        <xdr:cNvPr id="3459" name="AutoShape 387" descr="Detroit Red Wings">
          <a:extLst>
            <a:ext uri="{FF2B5EF4-FFF2-40B4-BE49-F238E27FC236}">
              <a16:creationId xmlns:a16="http://schemas.microsoft.com/office/drawing/2014/main" xmlns="" id="{00000000-0008-0000-0D00-0000830D0000}"/>
            </a:ext>
          </a:extLst>
        </xdr:cNvPr>
        <xdr:cNvSpPr>
          <a:spLocks noChangeAspect="1" noChangeArrowheads="1"/>
        </xdr:cNvSpPr>
      </xdr:nvSpPr>
      <xdr:spPr bwMode="auto">
        <a:xfrm>
          <a:off x="0" y="14596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770</xdr:row>
      <xdr:rowOff>0</xdr:rowOff>
    </xdr:from>
    <xdr:to>
      <xdr:col>0</xdr:col>
      <xdr:colOff>304800</xdr:colOff>
      <xdr:row>771</xdr:row>
      <xdr:rowOff>121920</xdr:rowOff>
    </xdr:to>
    <xdr:sp macro="" textlink="">
      <xdr:nvSpPr>
        <xdr:cNvPr id="3460" name="AutoShape 388" descr="Ottawa Senators">
          <a:extLst>
            <a:ext uri="{FF2B5EF4-FFF2-40B4-BE49-F238E27FC236}">
              <a16:creationId xmlns:a16="http://schemas.microsoft.com/office/drawing/2014/main" xmlns="" id="{00000000-0008-0000-0D00-0000840D0000}"/>
            </a:ext>
          </a:extLst>
        </xdr:cNvPr>
        <xdr:cNvSpPr>
          <a:spLocks noChangeAspect="1" noChangeArrowheads="1"/>
        </xdr:cNvSpPr>
      </xdr:nvSpPr>
      <xdr:spPr bwMode="auto">
        <a:xfrm>
          <a:off x="0" y="14633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688</xdr:row>
      <xdr:rowOff>0</xdr:rowOff>
    </xdr:from>
    <xdr:to>
      <xdr:col>0</xdr:col>
      <xdr:colOff>304800</xdr:colOff>
      <xdr:row>689</xdr:row>
      <xdr:rowOff>121920</xdr:rowOff>
    </xdr:to>
    <xdr:sp macro="" textlink="">
      <xdr:nvSpPr>
        <xdr:cNvPr id="3461" name="AutoShape 389" descr="St Louis Blues">
          <a:extLst>
            <a:ext uri="{FF2B5EF4-FFF2-40B4-BE49-F238E27FC236}">
              <a16:creationId xmlns:a16="http://schemas.microsoft.com/office/drawing/2014/main" xmlns="" id="{00000000-0008-0000-0D00-0000850D0000}"/>
            </a:ext>
          </a:extLst>
        </xdr:cNvPr>
        <xdr:cNvSpPr>
          <a:spLocks noChangeAspect="1" noChangeArrowheads="1"/>
        </xdr:cNvSpPr>
      </xdr:nvSpPr>
      <xdr:spPr bwMode="auto">
        <a:xfrm>
          <a:off x="0" y="1467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444</xdr:row>
      <xdr:rowOff>0</xdr:rowOff>
    </xdr:from>
    <xdr:to>
      <xdr:col>0</xdr:col>
      <xdr:colOff>304800</xdr:colOff>
      <xdr:row>445</xdr:row>
      <xdr:rowOff>121920</xdr:rowOff>
    </xdr:to>
    <xdr:sp macro="" textlink="">
      <xdr:nvSpPr>
        <xdr:cNvPr id="3462" name="AutoShape 390" descr="Carolina Hurricanes">
          <a:extLst>
            <a:ext uri="{FF2B5EF4-FFF2-40B4-BE49-F238E27FC236}">
              <a16:creationId xmlns:a16="http://schemas.microsoft.com/office/drawing/2014/main" xmlns="" id="{00000000-0008-0000-0D00-0000860D0000}"/>
            </a:ext>
          </a:extLst>
        </xdr:cNvPr>
        <xdr:cNvSpPr>
          <a:spLocks noChangeAspect="1" noChangeArrowheads="1"/>
        </xdr:cNvSpPr>
      </xdr:nvSpPr>
      <xdr:spPr bwMode="auto">
        <a:xfrm>
          <a:off x="0" y="14708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662</xdr:row>
      <xdr:rowOff>0</xdr:rowOff>
    </xdr:from>
    <xdr:to>
      <xdr:col>0</xdr:col>
      <xdr:colOff>304800</xdr:colOff>
      <xdr:row>663</xdr:row>
      <xdr:rowOff>121920</xdr:rowOff>
    </xdr:to>
    <xdr:sp macro="" textlink="">
      <xdr:nvSpPr>
        <xdr:cNvPr id="3463" name="AutoShape 391" descr="Montreal Canadiens">
          <a:extLst>
            <a:ext uri="{FF2B5EF4-FFF2-40B4-BE49-F238E27FC236}">
              <a16:creationId xmlns:a16="http://schemas.microsoft.com/office/drawing/2014/main" xmlns="" id="{00000000-0008-0000-0D00-0000870D0000}"/>
            </a:ext>
          </a:extLst>
        </xdr:cNvPr>
        <xdr:cNvSpPr>
          <a:spLocks noChangeAspect="1" noChangeArrowheads="1"/>
        </xdr:cNvSpPr>
      </xdr:nvSpPr>
      <xdr:spPr bwMode="auto">
        <a:xfrm>
          <a:off x="0" y="14745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458</xdr:row>
      <xdr:rowOff>0</xdr:rowOff>
    </xdr:from>
    <xdr:to>
      <xdr:col>0</xdr:col>
      <xdr:colOff>304800</xdr:colOff>
      <xdr:row>459</xdr:row>
      <xdr:rowOff>121920</xdr:rowOff>
    </xdr:to>
    <xdr:sp macro="" textlink="">
      <xdr:nvSpPr>
        <xdr:cNvPr id="3464" name="AutoShape 392" descr="Edmonton Oilers">
          <a:extLst>
            <a:ext uri="{FF2B5EF4-FFF2-40B4-BE49-F238E27FC236}">
              <a16:creationId xmlns:a16="http://schemas.microsoft.com/office/drawing/2014/main" xmlns="" id="{00000000-0008-0000-0D00-0000880D0000}"/>
            </a:ext>
          </a:extLst>
        </xdr:cNvPr>
        <xdr:cNvSpPr>
          <a:spLocks noChangeAspect="1" noChangeArrowheads="1"/>
        </xdr:cNvSpPr>
      </xdr:nvSpPr>
      <xdr:spPr bwMode="auto">
        <a:xfrm>
          <a:off x="0" y="14782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687</xdr:row>
      <xdr:rowOff>0</xdr:rowOff>
    </xdr:from>
    <xdr:to>
      <xdr:col>0</xdr:col>
      <xdr:colOff>304800</xdr:colOff>
      <xdr:row>688</xdr:row>
      <xdr:rowOff>121920</xdr:rowOff>
    </xdr:to>
    <xdr:sp macro="" textlink="">
      <xdr:nvSpPr>
        <xdr:cNvPr id="3465" name="AutoShape 393" descr="St Louis Blues">
          <a:extLst>
            <a:ext uri="{FF2B5EF4-FFF2-40B4-BE49-F238E27FC236}">
              <a16:creationId xmlns:a16="http://schemas.microsoft.com/office/drawing/2014/main" xmlns="" id="{00000000-0008-0000-0D00-0000890D0000}"/>
            </a:ext>
          </a:extLst>
        </xdr:cNvPr>
        <xdr:cNvSpPr>
          <a:spLocks noChangeAspect="1" noChangeArrowheads="1"/>
        </xdr:cNvSpPr>
      </xdr:nvSpPr>
      <xdr:spPr bwMode="auto">
        <a:xfrm>
          <a:off x="0" y="14820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308</xdr:row>
      <xdr:rowOff>0</xdr:rowOff>
    </xdr:from>
    <xdr:to>
      <xdr:col>0</xdr:col>
      <xdr:colOff>304800</xdr:colOff>
      <xdr:row>309</xdr:row>
      <xdr:rowOff>121920</xdr:rowOff>
    </xdr:to>
    <xdr:sp macro="" textlink="">
      <xdr:nvSpPr>
        <xdr:cNvPr id="3466" name="AutoShape 394" descr="Philadelphia Flyers">
          <a:extLst>
            <a:ext uri="{FF2B5EF4-FFF2-40B4-BE49-F238E27FC236}">
              <a16:creationId xmlns:a16="http://schemas.microsoft.com/office/drawing/2014/main" xmlns="" id="{00000000-0008-0000-0D00-00008A0D0000}"/>
            </a:ext>
          </a:extLst>
        </xdr:cNvPr>
        <xdr:cNvSpPr>
          <a:spLocks noChangeAspect="1" noChangeArrowheads="1"/>
        </xdr:cNvSpPr>
      </xdr:nvSpPr>
      <xdr:spPr bwMode="auto">
        <a:xfrm>
          <a:off x="0" y="14857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473</xdr:row>
      <xdr:rowOff>0</xdr:rowOff>
    </xdr:from>
    <xdr:to>
      <xdr:col>0</xdr:col>
      <xdr:colOff>304800</xdr:colOff>
      <xdr:row>474</xdr:row>
      <xdr:rowOff>121920</xdr:rowOff>
    </xdr:to>
    <xdr:sp macro="" textlink="">
      <xdr:nvSpPr>
        <xdr:cNvPr id="3467" name="AutoShape 395" descr="New York Islanders">
          <a:extLst>
            <a:ext uri="{FF2B5EF4-FFF2-40B4-BE49-F238E27FC236}">
              <a16:creationId xmlns:a16="http://schemas.microsoft.com/office/drawing/2014/main" xmlns="" id="{00000000-0008-0000-0D00-00008B0D0000}"/>
            </a:ext>
          </a:extLst>
        </xdr:cNvPr>
        <xdr:cNvSpPr>
          <a:spLocks noChangeAspect="1" noChangeArrowheads="1"/>
        </xdr:cNvSpPr>
      </xdr:nvSpPr>
      <xdr:spPr bwMode="auto">
        <a:xfrm>
          <a:off x="0" y="14894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xdr:row>
      <xdr:rowOff>0</xdr:rowOff>
    </xdr:from>
    <xdr:to>
      <xdr:col>0</xdr:col>
      <xdr:colOff>304800</xdr:colOff>
      <xdr:row>38</xdr:row>
      <xdr:rowOff>121920</xdr:rowOff>
    </xdr:to>
    <xdr:sp macro="" textlink="">
      <xdr:nvSpPr>
        <xdr:cNvPr id="3468" name="AutoShape 396" descr="Colorado Avalanche">
          <a:extLst>
            <a:ext uri="{FF2B5EF4-FFF2-40B4-BE49-F238E27FC236}">
              <a16:creationId xmlns:a16="http://schemas.microsoft.com/office/drawing/2014/main" xmlns="" id="{00000000-0008-0000-0D00-00008C0D0000}"/>
            </a:ext>
          </a:extLst>
        </xdr:cNvPr>
        <xdr:cNvSpPr>
          <a:spLocks noChangeAspect="1" noChangeArrowheads="1"/>
        </xdr:cNvSpPr>
      </xdr:nvSpPr>
      <xdr:spPr bwMode="auto">
        <a:xfrm>
          <a:off x="0" y="14932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474</xdr:row>
      <xdr:rowOff>0</xdr:rowOff>
    </xdr:from>
    <xdr:to>
      <xdr:col>0</xdr:col>
      <xdr:colOff>304800</xdr:colOff>
      <xdr:row>475</xdr:row>
      <xdr:rowOff>121920</xdr:rowOff>
    </xdr:to>
    <xdr:sp macro="" textlink="">
      <xdr:nvSpPr>
        <xdr:cNvPr id="3469" name="AutoShape 397" descr="St Louis Blues">
          <a:extLst>
            <a:ext uri="{FF2B5EF4-FFF2-40B4-BE49-F238E27FC236}">
              <a16:creationId xmlns:a16="http://schemas.microsoft.com/office/drawing/2014/main" xmlns="" id="{00000000-0008-0000-0D00-00008D0D0000}"/>
            </a:ext>
          </a:extLst>
        </xdr:cNvPr>
        <xdr:cNvSpPr>
          <a:spLocks noChangeAspect="1" noChangeArrowheads="1"/>
        </xdr:cNvSpPr>
      </xdr:nvSpPr>
      <xdr:spPr bwMode="auto">
        <a:xfrm>
          <a:off x="0" y="1496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649</xdr:row>
      <xdr:rowOff>0</xdr:rowOff>
    </xdr:from>
    <xdr:to>
      <xdr:col>0</xdr:col>
      <xdr:colOff>304800</xdr:colOff>
      <xdr:row>650</xdr:row>
      <xdr:rowOff>121920</xdr:rowOff>
    </xdr:to>
    <xdr:sp macro="" textlink="">
      <xdr:nvSpPr>
        <xdr:cNvPr id="3470" name="AutoShape 398" descr="Philadelphia Flyers">
          <a:extLst>
            <a:ext uri="{FF2B5EF4-FFF2-40B4-BE49-F238E27FC236}">
              <a16:creationId xmlns:a16="http://schemas.microsoft.com/office/drawing/2014/main" xmlns="" id="{00000000-0008-0000-0D00-00008E0D0000}"/>
            </a:ext>
          </a:extLst>
        </xdr:cNvPr>
        <xdr:cNvSpPr>
          <a:spLocks noChangeAspect="1" noChangeArrowheads="1"/>
        </xdr:cNvSpPr>
      </xdr:nvSpPr>
      <xdr:spPr bwMode="auto">
        <a:xfrm>
          <a:off x="0" y="15006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762</xdr:row>
      <xdr:rowOff>0</xdr:rowOff>
    </xdr:from>
    <xdr:to>
      <xdr:col>0</xdr:col>
      <xdr:colOff>304800</xdr:colOff>
      <xdr:row>763</xdr:row>
      <xdr:rowOff>121920</xdr:rowOff>
    </xdr:to>
    <xdr:sp macro="" textlink="">
      <xdr:nvSpPr>
        <xdr:cNvPr id="3471" name="AutoShape 399" descr="Buffalo Sabres">
          <a:extLst>
            <a:ext uri="{FF2B5EF4-FFF2-40B4-BE49-F238E27FC236}">
              <a16:creationId xmlns:a16="http://schemas.microsoft.com/office/drawing/2014/main" xmlns="" id="{00000000-0008-0000-0D00-00008F0D0000}"/>
            </a:ext>
          </a:extLst>
        </xdr:cNvPr>
        <xdr:cNvSpPr>
          <a:spLocks noChangeAspect="1" noChangeArrowheads="1"/>
        </xdr:cNvSpPr>
      </xdr:nvSpPr>
      <xdr:spPr bwMode="auto">
        <a:xfrm>
          <a:off x="0" y="15044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783</xdr:row>
      <xdr:rowOff>0</xdr:rowOff>
    </xdr:from>
    <xdr:to>
      <xdr:col>0</xdr:col>
      <xdr:colOff>304800</xdr:colOff>
      <xdr:row>784</xdr:row>
      <xdr:rowOff>121920</xdr:rowOff>
    </xdr:to>
    <xdr:sp macro="" textlink="">
      <xdr:nvSpPr>
        <xdr:cNvPr id="3472" name="AutoShape 400" descr="Philadelphia Flyers">
          <a:extLst>
            <a:ext uri="{FF2B5EF4-FFF2-40B4-BE49-F238E27FC236}">
              <a16:creationId xmlns:a16="http://schemas.microsoft.com/office/drawing/2014/main" xmlns="" id="{00000000-0008-0000-0D00-0000900D0000}"/>
            </a:ext>
          </a:extLst>
        </xdr:cNvPr>
        <xdr:cNvSpPr>
          <a:spLocks noChangeAspect="1" noChangeArrowheads="1"/>
        </xdr:cNvSpPr>
      </xdr:nvSpPr>
      <xdr:spPr bwMode="auto">
        <a:xfrm>
          <a:off x="0" y="15081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392</xdr:row>
      <xdr:rowOff>0</xdr:rowOff>
    </xdr:from>
    <xdr:to>
      <xdr:col>0</xdr:col>
      <xdr:colOff>304800</xdr:colOff>
      <xdr:row>393</xdr:row>
      <xdr:rowOff>121920</xdr:rowOff>
    </xdr:to>
    <xdr:sp macro="" textlink="">
      <xdr:nvSpPr>
        <xdr:cNvPr id="3473" name="AutoShape 401" descr="Minnesota Wild">
          <a:extLst>
            <a:ext uri="{FF2B5EF4-FFF2-40B4-BE49-F238E27FC236}">
              <a16:creationId xmlns:a16="http://schemas.microsoft.com/office/drawing/2014/main" xmlns="" id="{00000000-0008-0000-0D00-0000910D0000}"/>
            </a:ext>
          </a:extLst>
        </xdr:cNvPr>
        <xdr:cNvSpPr>
          <a:spLocks noChangeAspect="1" noChangeArrowheads="1"/>
        </xdr:cNvSpPr>
      </xdr:nvSpPr>
      <xdr:spPr bwMode="auto">
        <a:xfrm>
          <a:off x="0" y="15118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336</xdr:row>
      <xdr:rowOff>0</xdr:rowOff>
    </xdr:from>
    <xdr:to>
      <xdr:col>0</xdr:col>
      <xdr:colOff>304800</xdr:colOff>
      <xdr:row>337</xdr:row>
      <xdr:rowOff>121920</xdr:rowOff>
    </xdr:to>
    <xdr:sp macro="" textlink="">
      <xdr:nvSpPr>
        <xdr:cNvPr id="3474" name="AutoShape 402" descr="Winnipeg Jets">
          <a:extLst>
            <a:ext uri="{FF2B5EF4-FFF2-40B4-BE49-F238E27FC236}">
              <a16:creationId xmlns:a16="http://schemas.microsoft.com/office/drawing/2014/main" xmlns="" id="{00000000-0008-0000-0D00-0000920D0000}"/>
            </a:ext>
          </a:extLst>
        </xdr:cNvPr>
        <xdr:cNvSpPr>
          <a:spLocks noChangeAspect="1" noChangeArrowheads="1"/>
        </xdr:cNvSpPr>
      </xdr:nvSpPr>
      <xdr:spPr bwMode="auto">
        <a:xfrm>
          <a:off x="0" y="15156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497</xdr:row>
      <xdr:rowOff>0</xdr:rowOff>
    </xdr:from>
    <xdr:to>
      <xdr:col>0</xdr:col>
      <xdr:colOff>304800</xdr:colOff>
      <xdr:row>498</xdr:row>
      <xdr:rowOff>121920</xdr:rowOff>
    </xdr:to>
    <xdr:sp macro="" textlink="">
      <xdr:nvSpPr>
        <xdr:cNvPr id="3475" name="AutoShape 403" descr="Winnipeg Jets">
          <a:extLst>
            <a:ext uri="{FF2B5EF4-FFF2-40B4-BE49-F238E27FC236}">
              <a16:creationId xmlns:a16="http://schemas.microsoft.com/office/drawing/2014/main" xmlns="" id="{00000000-0008-0000-0D00-0000930D0000}"/>
            </a:ext>
          </a:extLst>
        </xdr:cNvPr>
        <xdr:cNvSpPr>
          <a:spLocks noChangeAspect="1" noChangeArrowheads="1"/>
        </xdr:cNvSpPr>
      </xdr:nvSpPr>
      <xdr:spPr bwMode="auto">
        <a:xfrm>
          <a:off x="0" y="15193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304800</xdr:colOff>
      <xdr:row>65</xdr:row>
      <xdr:rowOff>121920</xdr:rowOff>
    </xdr:to>
    <xdr:sp macro="" textlink="">
      <xdr:nvSpPr>
        <xdr:cNvPr id="3476" name="AutoShape 404" descr="New York Islanders">
          <a:extLst>
            <a:ext uri="{FF2B5EF4-FFF2-40B4-BE49-F238E27FC236}">
              <a16:creationId xmlns:a16="http://schemas.microsoft.com/office/drawing/2014/main" xmlns="" id="{00000000-0008-0000-0D00-0000940D0000}"/>
            </a:ext>
          </a:extLst>
        </xdr:cNvPr>
        <xdr:cNvSpPr>
          <a:spLocks noChangeAspect="1" noChangeArrowheads="1"/>
        </xdr:cNvSpPr>
      </xdr:nvSpPr>
      <xdr:spPr bwMode="auto">
        <a:xfrm>
          <a:off x="0" y="15230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xdr:row>
      <xdr:rowOff>0</xdr:rowOff>
    </xdr:from>
    <xdr:to>
      <xdr:col>0</xdr:col>
      <xdr:colOff>304800</xdr:colOff>
      <xdr:row>81</xdr:row>
      <xdr:rowOff>121920</xdr:rowOff>
    </xdr:to>
    <xdr:sp macro="" textlink="">
      <xdr:nvSpPr>
        <xdr:cNvPr id="3477" name="AutoShape 405" descr="Nashville Predators">
          <a:extLst>
            <a:ext uri="{FF2B5EF4-FFF2-40B4-BE49-F238E27FC236}">
              <a16:creationId xmlns:a16="http://schemas.microsoft.com/office/drawing/2014/main" xmlns="" id="{00000000-0008-0000-0D00-0000950D0000}"/>
            </a:ext>
          </a:extLst>
        </xdr:cNvPr>
        <xdr:cNvSpPr>
          <a:spLocks noChangeAspect="1" noChangeArrowheads="1"/>
        </xdr:cNvSpPr>
      </xdr:nvSpPr>
      <xdr:spPr bwMode="auto">
        <a:xfrm>
          <a:off x="0" y="152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428</xdr:row>
      <xdr:rowOff>0</xdr:rowOff>
    </xdr:from>
    <xdr:to>
      <xdr:col>0</xdr:col>
      <xdr:colOff>304800</xdr:colOff>
      <xdr:row>429</xdr:row>
      <xdr:rowOff>121920</xdr:rowOff>
    </xdr:to>
    <xdr:sp macro="" textlink="">
      <xdr:nvSpPr>
        <xdr:cNvPr id="3478" name="AutoShape 406" descr="Montreal Canadiens">
          <a:extLst>
            <a:ext uri="{FF2B5EF4-FFF2-40B4-BE49-F238E27FC236}">
              <a16:creationId xmlns:a16="http://schemas.microsoft.com/office/drawing/2014/main" xmlns="" id="{00000000-0008-0000-0D00-0000960D0000}"/>
            </a:ext>
          </a:extLst>
        </xdr:cNvPr>
        <xdr:cNvSpPr>
          <a:spLocks noChangeAspect="1" noChangeArrowheads="1"/>
        </xdr:cNvSpPr>
      </xdr:nvSpPr>
      <xdr:spPr bwMode="auto">
        <a:xfrm>
          <a:off x="0" y="1530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778</xdr:row>
      <xdr:rowOff>0</xdr:rowOff>
    </xdr:from>
    <xdr:to>
      <xdr:col>0</xdr:col>
      <xdr:colOff>304800</xdr:colOff>
      <xdr:row>779</xdr:row>
      <xdr:rowOff>121920</xdr:rowOff>
    </xdr:to>
    <xdr:sp macro="" textlink="">
      <xdr:nvSpPr>
        <xdr:cNvPr id="3479" name="AutoShape 407" descr="Ottawa Senators">
          <a:extLst>
            <a:ext uri="{FF2B5EF4-FFF2-40B4-BE49-F238E27FC236}">
              <a16:creationId xmlns:a16="http://schemas.microsoft.com/office/drawing/2014/main" xmlns="" id="{00000000-0008-0000-0D00-0000970D0000}"/>
            </a:ext>
          </a:extLst>
        </xdr:cNvPr>
        <xdr:cNvSpPr>
          <a:spLocks noChangeAspect="1" noChangeArrowheads="1"/>
        </xdr:cNvSpPr>
      </xdr:nvSpPr>
      <xdr:spPr bwMode="auto">
        <a:xfrm>
          <a:off x="0" y="1534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286</xdr:row>
      <xdr:rowOff>0</xdr:rowOff>
    </xdr:from>
    <xdr:to>
      <xdr:col>0</xdr:col>
      <xdr:colOff>304800</xdr:colOff>
      <xdr:row>287</xdr:row>
      <xdr:rowOff>121920</xdr:rowOff>
    </xdr:to>
    <xdr:sp macro="" textlink="">
      <xdr:nvSpPr>
        <xdr:cNvPr id="3480" name="AutoShape 408" descr="Detroit Red Wings">
          <a:extLst>
            <a:ext uri="{FF2B5EF4-FFF2-40B4-BE49-F238E27FC236}">
              <a16:creationId xmlns:a16="http://schemas.microsoft.com/office/drawing/2014/main" xmlns="" id="{00000000-0008-0000-0D00-0000980D0000}"/>
            </a:ext>
          </a:extLst>
        </xdr:cNvPr>
        <xdr:cNvSpPr>
          <a:spLocks noChangeAspect="1" noChangeArrowheads="1"/>
        </xdr:cNvSpPr>
      </xdr:nvSpPr>
      <xdr:spPr bwMode="auto">
        <a:xfrm>
          <a:off x="0" y="1538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437</xdr:row>
      <xdr:rowOff>0</xdr:rowOff>
    </xdr:from>
    <xdr:to>
      <xdr:col>0</xdr:col>
      <xdr:colOff>304800</xdr:colOff>
      <xdr:row>438</xdr:row>
      <xdr:rowOff>121920</xdr:rowOff>
    </xdr:to>
    <xdr:sp macro="" textlink="">
      <xdr:nvSpPr>
        <xdr:cNvPr id="3481" name="AutoShape 409" descr="New York Islanders">
          <a:extLst>
            <a:ext uri="{FF2B5EF4-FFF2-40B4-BE49-F238E27FC236}">
              <a16:creationId xmlns:a16="http://schemas.microsoft.com/office/drawing/2014/main" xmlns="" id="{00000000-0008-0000-0D00-0000990D0000}"/>
            </a:ext>
          </a:extLst>
        </xdr:cNvPr>
        <xdr:cNvSpPr>
          <a:spLocks noChangeAspect="1" noChangeArrowheads="1"/>
        </xdr:cNvSpPr>
      </xdr:nvSpPr>
      <xdr:spPr bwMode="auto">
        <a:xfrm>
          <a:off x="0" y="1541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173</xdr:row>
      <xdr:rowOff>0</xdr:rowOff>
    </xdr:from>
    <xdr:to>
      <xdr:col>0</xdr:col>
      <xdr:colOff>304800</xdr:colOff>
      <xdr:row>174</xdr:row>
      <xdr:rowOff>121920</xdr:rowOff>
    </xdr:to>
    <xdr:sp macro="" textlink="">
      <xdr:nvSpPr>
        <xdr:cNvPr id="3482" name="AutoShape 410" descr="Arizona Coyotes">
          <a:extLst>
            <a:ext uri="{FF2B5EF4-FFF2-40B4-BE49-F238E27FC236}">
              <a16:creationId xmlns:a16="http://schemas.microsoft.com/office/drawing/2014/main" xmlns="" id="{00000000-0008-0000-0D00-00009A0D0000}"/>
            </a:ext>
          </a:extLst>
        </xdr:cNvPr>
        <xdr:cNvSpPr>
          <a:spLocks noChangeAspect="1" noChangeArrowheads="1"/>
        </xdr:cNvSpPr>
      </xdr:nvSpPr>
      <xdr:spPr bwMode="auto">
        <a:xfrm>
          <a:off x="0" y="1545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636</xdr:row>
      <xdr:rowOff>0</xdr:rowOff>
    </xdr:from>
    <xdr:to>
      <xdr:col>0</xdr:col>
      <xdr:colOff>304800</xdr:colOff>
      <xdr:row>637</xdr:row>
      <xdr:rowOff>121920</xdr:rowOff>
    </xdr:to>
    <xdr:sp macro="" textlink="">
      <xdr:nvSpPr>
        <xdr:cNvPr id="3483" name="AutoShape 411" descr="Vancouver Canucks">
          <a:extLst>
            <a:ext uri="{FF2B5EF4-FFF2-40B4-BE49-F238E27FC236}">
              <a16:creationId xmlns:a16="http://schemas.microsoft.com/office/drawing/2014/main" xmlns="" id="{00000000-0008-0000-0D00-00009B0D0000}"/>
            </a:ext>
          </a:extLst>
        </xdr:cNvPr>
        <xdr:cNvSpPr>
          <a:spLocks noChangeAspect="1" noChangeArrowheads="1"/>
        </xdr:cNvSpPr>
      </xdr:nvSpPr>
      <xdr:spPr bwMode="auto">
        <a:xfrm>
          <a:off x="0" y="1549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619</xdr:row>
      <xdr:rowOff>0</xdr:rowOff>
    </xdr:from>
    <xdr:to>
      <xdr:col>0</xdr:col>
      <xdr:colOff>304800</xdr:colOff>
      <xdr:row>620</xdr:row>
      <xdr:rowOff>121920</xdr:rowOff>
    </xdr:to>
    <xdr:sp macro="" textlink="">
      <xdr:nvSpPr>
        <xdr:cNvPr id="3484" name="AutoShape 412" descr="Arizona Coyotes">
          <a:extLst>
            <a:ext uri="{FF2B5EF4-FFF2-40B4-BE49-F238E27FC236}">
              <a16:creationId xmlns:a16="http://schemas.microsoft.com/office/drawing/2014/main" xmlns="" id="{00000000-0008-0000-0D00-00009C0D0000}"/>
            </a:ext>
          </a:extLst>
        </xdr:cNvPr>
        <xdr:cNvSpPr>
          <a:spLocks noChangeAspect="1" noChangeArrowheads="1"/>
        </xdr:cNvSpPr>
      </xdr:nvSpPr>
      <xdr:spPr bwMode="auto">
        <a:xfrm>
          <a:off x="0" y="1552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304800</xdr:colOff>
      <xdr:row>46</xdr:row>
      <xdr:rowOff>121920</xdr:rowOff>
    </xdr:to>
    <xdr:sp macro="" textlink="">
      <xdr:nvSpPr>
        <xdr:cNvPr id="3485" name="AutoShape 413" descr="Boston Bruins">
          <a:extLst>
            <a:ext uri="{FF2B5EF4-FFF2-40B4-BE49-F238E27FC236}">
              <a16:creationId xmlns:a16="http://schemas.microsoft.com/office/drawing/2014/main" xmlns="" id="{00000000-0008-0000-0D00-00009D0D0000}"/>
            </a:ext>
          </a:extLst>
        </xdr:cNvPr>
        <xdr:cNvSpPr>
          <a:spLocks noChangeAspect="1" noChangeArrowheads="1"/>
        </xdr:cNvSpPr>
      </xdr:nvSpPr>
      <xdr:spPr bwMode="auto">
        <a:xfrm>
          <a:off x="0" y="1556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536</xdr:row>
      <xdr:rowOff>0</xdr:rowOff>
    </xdr:from>
    <xdr:to>
      <xdr:col>0</xdr:col>
      <xdr:colOff>304800</xdr:colOff>
      <xdr:row>537</xdr:row>
      <xdr:rowOff>121920</xdr:rowOff>
    </xdr:to>
    <xdr:sp macro="" textlink="">
      <xdr:nvSpPr>
        <xdr:cNvPr id="3486" name="AutoShape 414" descr="Columbus Blue Jackets">
          <a:extLst>
            <a:ext uri="{FF2B5EF4-FFF2-40B4-BE49-F238E27FC236}">
              <a16:creationId xmlns:a16="http://schemas.microsoft.com/office/drawing/2014/main" xmlns="" id="{00000000-0008-0000-0D00-00009E0D0000}"/>
            </a:ext>
          </a:extLst>
        </xdr:cNvPr>
        <xdr:cNvSpPr>
          <a:spLocks noChangeAspect="1" noChangeArrowheads="1"/>
        </xdr:cNvSpPr>
      </xdr:nvSpPr>
      <xdr:spPr bwMode="auto">
        <a:xfrm>
          <a:off x="0" y="15604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630</xdr:row>
      <xdr:rowOff>0</xdr:rowOff>
    </xdr:from>
    <xdr:to>
      <xdr:col>0</xdr:col>
      <xdr:colOff>304800</xdr:colOff>
      <xdr:row>631</xdr:row>
      <xdr:rowOff>121920</xdr:rowOff>
    </xdr:to>
    <xdr:sp macro="" textlink="">
      <xdr:nvSpPr>
        <xdr:cNvPr id="3487" name="AutoShape 415" descr="Montreal Canadiens">
          <a:extLst>
            <a:ext uri="{FF2B5EF4-FFF2-40B4-BE49-F238E27FC236}">
              <a16:creationId xmlns:a16="http://schemas.microsoft.com/office/drawing/2014/main" xmlns="" id="{00000000-0008-0000-0D00-00009F0D0000}"/>
            </a:ext>
          </a:extLst>
        </xdr:cNvPr>
        <xdr:cNvSpPr>
          <a:spLocks noChangeAspect="1" noChangeArrowheads="1"/>
        </xdr:cNvSpPr>
      </xdr:nvSpPr>
      <xdr:spPr bwMode="auto">
        <a:xfrm>
          <a:off x="0" y="15641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638</xdr:row>
      <xdr:rowOff>0</xdr:rowOff>
    </xdr:from>
    <xdr:to>
      <xdr:col>0</xdr:col>
      <xdr:colOff>304800</xdr:colOff>
      <xdr:row>639</xdr:row>
      <xdr:rowOff>121920</xdr:rowOff>
    </xdr:to>
    <xdr:sp macro="" textlink="">
      <xdr:nvSpPr>
        <xdr:cNvPr id="3488" name="AutoShape 416" descr="Montreal Canadiens">
          <a:extLst>
            <a:ext uri="{FF2B5EF4-FFF2-40B4-BE49-F238E27FC236}">
              <a16:creationId xmlns:a16="http://schemas.microsoft.com/office/drawing/2014/main" xmlns="" id="{00000000-0008-0000-0D00-0000A00D0000}"/>
            </a:ext>
          </a:extLst>
        </xdr:cNvPr>
        <xdr:cNvSpPr>
          <a:spLocks noChangeAspect="1" noChangeArrowheads="1"/>
        </xdr:cNvSpPr>
      </xdr:nvSpPr>
      <xdr:spPr bwMode="auto">
        <a:xfrm>
          <a:off x="0" y="15678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xdr:row>
      <xdr:rowOff>0</xdr:rowOff>
    </xdr:from>
    <xdr:to>
      <xdr:col>0</xdr:col>
      <xdr:colOff>304800</xdr:colOff>
      <xdr:row>15</xdr:row>
      <xdr:rowOff>121920</xdr:rowOff>
    </xdr:to>
    <xdr:sp macro="" textlink="">
      <xdr:nvSpPr>
        <xdr:cNvPr id="3489" name="AutoShape 417" descr="Edmonton Oilers">
          <a:extLst>
            <a:ext uri="{FF2B5EF4-FFF2-40B4-BE49-F238E27FC236}">
              <a16:creationId xmlns:a16="http://schemas.microsoft.com/office/drawing/2014/main" xmlns="" id="{00000000-0008-0000-0D00-0000A10D0000}"/>
            </a:ext>
          </a:extLst>
        </xdr:cNvPr>
        <xdr:cNvSpPr>
          <a:spLocks noChangeAspect="1" noChangeArrowheads="1"/>
        </xdr:cNvSpPr>
      </xdr:nvSpPr>
      <xdr:spPr bwMode="auto">
        <a:xfrm>
          <a:off x="0" y="1571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172</xdr:row>
      <xdr:rowOff>0</xdr:rowOff>
    </xdr:from>
    <xdr:to>
      <xdr:col>0</xdr:col>
      <xdr:colOff>304800</xdr:colOff>
      <xdr:row>173</xdr:row>
      <xdr:rowOff>121920</xdr:rowOff>
    </xdr:to>
    <xdr:sp macro="" textlink="">
      <xdr:nvSpPr>
        <xdr:cNvPr id="3490" name="AutoShape 418" descr="Arizona Coyotes">
          <a:extLst>
            <a:ext uri="{FF2B5EF4-FFF2-40B4-BE49-F238E27FC236}">
              <a16:creationId xmlns:a16="http://schemas.microsoft.com/office/drawing/2014/main" xmlns="" id="{00000000-0008-0000-0D00-0000A20D0000}"/>
            </a:ext>
          </a:extLst>
        </xdr:cNvPr>
        <xdr:cNvSpPr>
          <a:spLocks noChangeAspect="1" noChangeArrowheads="1"/>
        </xdr:cNvSpPr>
      </xdr:nvSpPr>
      <xdr:spPr bwMode="auto">
        <a:xfrm>
          <a:off x="0" y="15753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xdr:row>
      <xdr:rowOff>0</xdr:rowOff>
    </xdr:from>
    <xdr:to>
      <xdr:col>0</xdr:col>
      <xdr:colOff>304800</xdr:colOff>
      <xdr:row>118</xdr:row>
      <xdr:rowOff>121920</xdr:rowOff>
    </xdr:to>
    <xdr:sp macro="" textlink="">
      <xdr:nvSpPr>
        <xdr:cNvPr id="3491" name="AutoShape 419" descr="Winnipeg Jets">
          <a:extLst>
            <a:ext uri="{FF2B5EF4-FFF2-40B4-BE49-F238E27FC236}">
              <a16:creationId xmlns:a16="http://schemas.microsoft.com/office/drawing/2014/main" xmlns="" id="{00000000-0008-0000-0D00-0000A30D0000}"/>
            </a:ext>
          </a:extLst>
        </xdr:cNvPr>
        <xdr:cNvSpPr>
          <a:spLocks noChangeAspect="1" noChangeArrowheads="1"/>
        </xdr:cNvSpPr>
      </xdr:nvSpPr>
      <xdr:spPr bwMode="auto">
        <a:xfrm>
          <a:off x="0" y="15790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329</xdr:row>
      <xdr:rowOff>0</xdr:rowOff>
    </xdr:from>
    <xdr:to>
      <xdr:col>0</xdr:col>
      <xdr:colOff>304800</xdr:colOff>
      <xdr:row>330</xdr:row>
      <xdr:rowOff>121920</xdr:rowOff>
    </xdr:to>
    <xdr:sp macro="" textlink="">
      <xdr:nvSpPr>
        <xdr:cNvPr id="3492" name="AutoShape 420" descr="Florida Panthers">
          <a:extLst>
            <a:ext uri="{FF2B5EF4-FFF2-40B4-BE49-F238E27FC236}">
              <a16:creationId xmlns:a16="http://schemas.microsoft.com/office/drawing/2014/main" xmlns="" id="{00000000-0008-0000-0D00-0000A40D0000}"/>
            </a:ext>
          </a:extLst>
        </xdr:cNvPr>
        <xdr:cNvSpPr>
          <a:spLocks noChangeAspect="1" noChangeArrowheads="1"/>
        </xdr:cNvSpPr>
      </xdr:nvSpPr>
      <xdr:spPr bwMode="auto">
        <a:xfrm>
          <a:off x="0" y="15828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668</xdr:row>
      <xdr:rowOff>0</xdr:rowOff>
    </xdr:from>
    <xdr:to>
      <xdr:col>0</xdr:col>
      <xdr:colOff>304800</xdr:colOff>
      <xdr:row>669</xdr:row>
      <xdr:rowOff>121920</xdr:rowOff>
    </xdr:to>
    <xdr:sp macro="" textlink="">
      <xdr:nvSpPr>
        <xdr:cNvPr id="3493" name="AutoShape 421" descr="Los Angeles Kings">
          <a:extLst>
            <a:ext uri="{FF2B5EF4-FFF2-40B4-BE49-F238E27FC236}">
              <a16:creationId xmlns:a16="http://schemas.microsoft.com/office/drawing/2014/main" xmlns="" id="{00000000-0008-0000-0D00-0000A50D0000}"/>
            </a:ext>
          </a:extLst>
        </xdr:cNvPr>
        <xdr:cNvSpPr>
          <a:spLocks noChangeAspect="1" noChangeArrowheads="1"/>
        </xdr:cNvSpPr>
      </xdr:nvSpPr>
      <xdr:spPr bwMode="auto">
        <a:xfrm>
          <a:off x="0" y="15865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441</xdr:row>
      <xdr:rowOff>0</xdr:rowOff>
    </xdr:from>
    <xdr:to>
      <xdr:col>0</xdr:col>
      <xdr:colOff>304800</xdr:colOff>
      <xdr:row>442</xdr:row>
      <xdr:rowOff>121920</xdr:rowOff>
    </xdr:to>
    <xdr:sp macro="" textlink="">
      <xdr:nvSpPr>
        <xdr:cNvPr id="3494" name="AutoShape 422" descr="Colorado Avalanche">
          <a:extLst>
            <a:ext uri="{FF2B5EF4-FFF2-40B4-BE49-F238E27FC236}">
              <a16:creationId xmlns:a16="http://schemas.microsoft.com/office/drawing/2014/main" xmlns="" id="{00000000-0008-0000-0D00-0000A60D0000}"/>
            </a:ext>
          </a:extLst>
        </xdr:cNvPr>
        <xdr:cNvSpPr>
          <a:spLocks noChangeAspect="1" noChangeArrowheads="1"/>
        </xdr:cNvSpPr>
      </xdr:nvSpPr>
      <xdr:spPr bwMode="auto">
        <a:xfrm>
          <a:off x="0" y="15902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614</xdr:row>
      <xdr:rowOff>0</xdr:rowOff>
    </xdr:from>
    <xdr:to>
      <xdr:col>0</xdr:col>
      <xdr:colOff>304800</xdr:colOff>
      <xdr:row>615</xdr:row>
      <xdr:rowOff>121920</xdr:rowOff>
    </xdr:to>
    <xdr:sp macro="" textlink="">
      <xdr:nvSpPr>
        <xdr:cNvPr id="3495" name="AutoShape 423" descr="Arizona Coyotes">
          <a:extLst>
            <a:ext uri="{FF2B5EF4-FFF2-40B4-BE49-F238E27FC236}">
              <a16:creationId xmlns:a16="http://schemas.microsoft.com/office/drawing/2014/main" xmlns="" id="{00000000-0008-0000-0D00-0000A70D0000}"/>
            </a:ext>
          </a:extLst>
        </xdr:cNvPr>
        <xdr:cNvSpPr>
          <a:spLocks noChangeAspect="1" noChangeArrowheads="1"/>
        </xdr:cNvSpPr>
      </xdr:nvSpPr>
      <xdr:spPr bwMode="auto">
        <a:xfrm>
          <a:off x="0" y="15940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799</xdr:row>
      <xdr:rowOff>0</xdr:rowOff>
    </xdr:from>
    <xdr:to>
      <xdr:col>0</xdr:col>
      <xdr:colOff>304800</xdr:colOff>
      <xdr:row>800</xdr:row>
      <xdr:rowOff>121920</xdr:rowOff>
    </xdr:to>
    <xdr:sp macro="" textlink="">
      <xdr:nvSpPr>
        <xdr:cNvPr id="3496" name="AutoShape 424" descr="Dallas Stars">
          <a:extLst>
            <a:ext uri="{FF2B5EF4-FFF2-40B4-BE49-F238E27FC236}">
              <a16:creationId xmlns:a16="http://schemas.microsoft.com/office/drawing/2014/main" xmlns="" id="{00000000-0008-0000-0D00-0000A80D0000}"/>
            </a:ext>
          </a:extLst>
        </xdr:cNvPr>
        <xdr:cNvSpPr>
          <a:spLocks noChangeAspect="1" noChangeArrowheads="1"/>
        </xdr:cNvSpPr>
      </xdr:nvSpPr>
      <xdr:spPr bwMode="auto">
        <a:xfrm>
          <a:off x="0" y="15977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827</xdr:row>
      <xdr:rowOff>0</xdr:rowOff>
    </xdr:from>
    <xdr:to>
      <xdr:col>0</xdr:col>
      <xdr:colOff>304800</xdr:colOff>
      <xdr:row>828</xdr:row>
      <xdr:rowOff>121920</xdr:rowOff>
    </xdr:to>
    <xdr:sp macro="" textlink="">
      <xdr:nvSpPr>
        <xdr:cNvPr id="3497" name="AutoShape 425" descr="Tampa Bay Lightning">
          <a:extLst>
            <a:ext uri="{FF2B5EF4-FFF2-40B4-BE49-F238E27FC236}">
              <a16:creationId xmlns:a16="http://schemas.microsoft.com/office/drawing/2014/main" xmlns="" id="{00000000-0008-0000-0D00-0000A90D0000}"/>
            </a:ext>
          </a:extLst>
        </xdr:cNvPr>
        <xdr:cNvSpPr>
          <a:spLocks noChangeAspect="1" noChangeArrowheads="1"/>
        </xdr:cNvSpPr>
      </xdr:nvSpPr>
      <xdr:spPr bwMode="auto">
        <a:xfrm>
          <a:off x="0" y="15996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xdr:row>
      <xdr:rowOff>0</xdr:rowOff>
    </xdr:from>
    <xdr:to>
      <xdr:col>0</xdr:col>
      <xdr:colOff>304800</xdr:colOff>
      <xdr:row>56</xdr:row>
      <xdr:rowOff>121920</xdr:rowOff>
    </xdr:to>
    <xdr:sp macro="" textlink="">
      <xdr:nvSpPr>
        <xdr:cNvPr id="3498" name="AutoShape 426" descr="Winnipeg Jets">
          <a:extLst>
            <a:ext uri="{FF2B5EF4-FFF2-40B4-BE49-F238E27FC236}">
              <a16:creationId xmlns:a16="http://schemas.microsoft.com/office/drawing/2014/main" xmlns="" id="{00000000-0008-0000-0D00-0000AA0D0000}"/>
            </a:ext>
          </a:extLst>
        </xdr:cNvPr>
        <xdr:cNvSpPr>
          <a:spLocks noChangeAspect="1" noChangeArrowheads="1"/>
        </xdr:cNvSpPr>
      </xdr:nvSpPr>
      <xdr:spPr bwMode="auto">
        <a:xfrm>
          <a:off x="0" y="1603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839</xdr:row>
      <xdr:rowOff>0</xdr:rowOff>
    </xdr:from>
    <xdr:to>
      <xdr:col>0</xdr:col>
      <xdr:colOff>304800</xdr:colOff>
      <xdr:row>840</xdr:row>
      <xdr:rowOff>121920</xdr:rowOff>
    </xdr:to>
    <xdr:sp macro="" textlink="">
      <xdr:nvSpPr>
        <xdr:cNvPr id="3499" name="AutoShape 427" descr="Vancouver Canucks">
          <a:extLst>
            <a:ext uri="{FF2B5EF4-FFF2-40B4-BE49-F238E27FC236}">
              <a16:creationId xmlns:a16="http://schemas.microsoft.com/office/drawing/2014/main" xmlns="" id="{00000000-0008-0000-0D00-0000AB0D0000}"/>
            </a:ext>
          </a:extLst>
        </xdr:cNvPr>
        <xdr:cNvSpPr>
          <a:spLocks noChangeAspect="1" noChangeArrowheads="1"/>
        </xdr:cNvSpPr>
      </xdr:nvSpPr>
      <xdr:spPr bwMode="auto">
        <a:xfrm>
          <a:off x="0" y="1607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217</xdr:row>
      <xdr:rowOff>0</xdr:rowOff>
    </xdr:from>
    <xdr:to>
      <xdr:col>0</xdr:col>
      <xdr:colOff>304800</xdr:colOff>
      <xdr:row>218</xdr:row>
      <xdr:rowOff>121920</xdr:rowOff>
    </xdr:to>
    <xdr:sp macro="" textlink="">
      <xdr:nvSpPr>
        <xdr:cNvPr id="3500" name="AutoShape 428" descr="Boston Bruins">
          <a:extLst>
            <a:ext uri="{FF2B5EF4-FFF2-40B4-BE49-F238E27FC236}">
              <a16:creationId xmlns:a16="http://schemas.microsoft.com/office/drawing/2014/main" xmlns="" id="{00000000-0008-0000-0D00-0000AC0D0000}"/>
            </a:ext>
          </a:extLst>
        </xdr:cNvPr>
        <xdr:cNvSpPr>
          <a:spLocks noChangeAspect="1" noChangeArrowheads="1"/>
        </xdr:cNvSpPr>
      </xdr:nvSpPr>
      <xdr:spPr bwMode="auto">
        <a:xfrm>
          <a:off x="0" y="16108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730</xdr:row>
      <xdr:rowOff>0</xdr:rowOff>
    </xdr:from>
    <xdr:to>
      <xdr:col>0</xdr:col>
      <xdr:colOff>304800</xdr:colOff>
      <xdr:row>731</xdr:row>
      <xdr:rowOff>121920</xdr:rowOff>
    </xdr:to>
    <xdr:sp macro="" textlink="">
      <xdr:nvSpPr>
        <xdr:cNvPr id="3501" name="AutoShape 429" descr="Philadelphia Flyers">
          <a:extLst>
            <a:ext uri="{FF2B5EF4-FFF2-40B4-BE49-F238E27FC236}">
              <a16:creationId xmlns:a16="http://schemas.microsoft.com/office/drawing/2014/main" xmlns="" id="{00000000-0008-0000-0D00-0000AD0D0000}"/>
            </a:ext>
          </a:extLst>
        </xdr:cNvPr>
        <xdr:cNvSpPr>
          <a:spLocks noChangeAspect="1" noChangeArrowheads="1"/>
        </xdr:cNvSpPr>
      </xdr:nvSpPr>
      <xdr:spPr bwMode="auto">
        <a:xfrm>
          <a:off x="0" y="161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265</xdr:row>
      <xdr:rowOff>0</xdr:rowOff>
    </xdr:from>
    <xdr:to>
      <xdr:col>0</xdr:col>
      <xdr:colOff>304800</xdr:colOff>
      <xdr:row>266</xdr:row>
      <xdr:rowOff>121920</xdr:rowOff>
    </xdr:to>
    <xdr:sp macro="" textlink="">
      <xdr:nvSpPr>
        <xdr:cNvPr id="3502" name="AutoShape 430" descr="New York Islanders">
          <a:extLst>
            <a:ext uri="{FF2B5EF4-FFF2-40B4-BE49-F238E27FC236}">
              <a16:creationId xmlns:a16="http://schemas.microsoft.com/office/drawing/2014/main" xmlns="" id="{00000000-0008-0000-0D00-0000AE0D0000}"/>
            </a:ext>
          </a:extLst>
        </xdr:cNvPr>
        <xdr:cNvSpPr>
          <a:spLocks noChangeAspect="1" noChangeArrowheads="1"/>
        </xdr:cNvSpPr>
      </xdr:nvSpPr>
      <xdr:spPr bwMode="auto">
        <a:xfrm>
          <a:off x="0" y="16183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208</xdr:row>
      <xdr:rowOff>0</xdr:rowOff>
    </xdr:from>
    <xdr:to>
      <xdr:col>0</xdr:col>
      <xdr:colOff>304800</xdr:colOff>
      <xdr:row>209</xdr:row>
      <xdr:rowOff>121920</xdr:rowOff>
    </xdr:to>
    <xdr:sp macro="" textlink="">
      <xdr:nvSpPr>
        <xdr:cNvPr id="3503" name="AutoShape 431" descr="Calgary Flames">
          <a:extLst>
            <a:ext uri="{FF2B5EF4-FFF2-40B4-BE49-F238E27FC236}">
              <a16:creationId xmlns:a16="http://schemas.microsoft.com/office/drawing/2014/main" xmlns="" id="{00000000-0008-0000-0D00-0000AF0D0000}"/>
            </a:ext>
          </a:extLst>
        </xdr:cNvPr>
        <xdr:cNvSpPr>
          <a:spLocks noChangeAspect="1" noChangeArrowheads="1"/>
        </xdr:cNvSpPr>
      </xdr:nvSpPr>
      <xdr:spPr bwMode="auto">
        <a:xfrm>
          <a:off x="0" y="16220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121920</xdr:rowOff>
    </xdr:to>
    <xdr:sp macro="" textlink="">
      <xdr:nvSpPr>
        <xdr:cNvPr id="3504" name="AutoShape 432" descr="Anaheim Ducks">
          <a:extLst>
            <a:ext uri="{FF2B5EF4-FFF2-40B4-BE49-F238E27FC236}">
              <a16:creationId xmlns:a16="http://schemas.microsoft.com/office/drawing/2014/main" xmlns="" id="{00000000-0008-0000-0D00-0000B00D0000}"/>
            </a:ext>
          </a:extLst>
        </xdr:cNvPr>
        <xdr:cNvSpPr>
          <a:spLocks noChangeAspect="1" noChangeArrowheads="1"/>
        </xdr:cNvSpPr>
      </xdr:nvSpPr>
      <xdr:spPr bwMode="auto">
        <a:xfrm>
          <a:off x="0" y="16258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231</xdr:row>
      <xdr:rowOff>0</xdr:rowOff>
    </xdr:from>
    <xdr:to>
      <xdr:col>0</xdr:col>
      <xdr:colOff>304800</xdr:colOff>
      <xdr:row>232</xdr:row>
      <xdr:rowOff>121920</xdr:rowOff>
    </xdr:to>
    <xdr:sp macro="" textlink="">
      <xdr:nvSpPr>
        <xdr:cNvPr id="3505" name="AutoShape 433" descr="Detroit Red Wings">
          <a:extLst>
            <a:ext uri="{FF2B5EF4-FFF2-40B4-BE49-F238E27FC236}">
              <a16:creationId xmlns:a16="http://schemas.microsoft.com/office/drawing/2014/main" xmlns="" id="{00000000-0008-0000-0D00-0000B10D0000}"/>
            </a:ext>
          </a:extLst>
        </xdr:cNvPr>
        <xdr:cNvSpPr>
          <a:spLocks noChangeAspect="1" noChangeArrowheads="1"/>
        </xdr:cNvSpPr>
      </xdr:nvSpPr>
      <xdr:spPr bwMode="auto">
        <a:xfrm>
          <a:off x="0" y="16295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696</xdr:row>
      <xdr:rowOff>0</xdr:rowOff>
    </xdr:from>
    <xdr:to>
      <xdr:col>0</xdr:col>
      <xdr:colOff>304800</xdr:colOff>
      <xdr:row>697</xdr:row>
      <xdr:rowOff>121920</xdr:rowOff>
    </xdr:to>
    <xdr:sp macro="" textlink="">
      <xdr:nvSpPr>
        <xdr:cNvPr id="3506" name="AutoShape 434" descr="San Jose Sharks">
          <a:extLst>
            <a:ext uri="{FF2B5EF4-FFF2-40B4-BE49-F238E27FC236}">
              <a16:creationId xmlns:a16="http://schemas.microsoft.com/office/drawing/2014/main" xmlns="" id="{00000000-0008-0000-0D00-0000B20D0000}"/>
            </a:ext>
          </a:extLst>
        </xdr:cNvPr>
        <xdr:cNvSpPr>
          <a:spLocks noChangeAspect="1" noChangeArrowheads="1"/>
        </xdr:cNvSpPr>
      </xdr:nvSpPr>
      <xdr:spPr bwMode="auto">
        <a:xfrm>
          <a:off x="0" y="16332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190</xdr:row>
      <xdr:rowOff>0</xdr:rowOff>
    </xdr:from>
    <xdr:to>
      <xdr:col>0</xdr:col>
      <xdr:colOff>304800</xdr:colOff>
      <xdr:row>191</xdr:row>
      <xdr:rowOff>121920</xdr:rowOff>
    </xdr:to>
    <xdr:sp macro="" textlink="">
      <xdr:nvSpPr>
        <xdr:cNvPr id="3507" name="AutoShape 435" descr="Chicago Blackhawks">
          <a:extLst>
            <a:ext uri="{FF2B5EF4-FFF2-40B4-BE49-F238E27FC236}">
              <a16:creationId xmlns:a16="http://schemas.microsoft.com/office/drawing/2014/main" xmlns="" id="{00000000-0008-0000-0D00-0000B30D0000}"/>
            </a:ext>
          </a:extLst>
        </xdr:cNvPr>
        <xdr:cNvSpPr>
          <a:spLocks noChangeAspect="1" noChangeArrowheads="1"/>
        </xdr:cNvSpPr>
      </xdr:nvSpPr>
      <xdr:spPr bwMode="auto">
        <a:xfrm>
          <a:off x="0" y="16370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248</xdr:row>
      <xdr:rowOff>0</xdr:rowOff>
    </xdr:from>
    <xdr:to>
      <xdr:col>0</xdr:col>
      <xdr:colOff>304800</xdr:colOff>
      <xdr:row>249</xdr:row>
      <xdr:rowOff>121920</xdr:rowOff>
    </xdr:to>
    <xdr:sp macro="" textlink="">
      <xdr:nvSpPr>
        <xdr:cNvPr id="3508" name="AutoShape 436" descr="Colorado Avalanche">
          <a:extLst>
            <a:ext uri="{FF2B5EF4-FFF2-40B4-BE49-F238E27FC236}">
              <a16:creationId xmlns:a16="http://schemas.microsoft.com/office/drawing/2014/main" xmlns="" id="{00000000-0008-0000-0D00-0000B40D0000}"/>
            </a:ext>
          </a:extLst>
        </xdr:cNvPr>
        <xdr:cNvSpPr>
          <a:spLocks noChangeAspect="1" noChangeArrowheads="1"/>
        </xdr:cNvSpPr>
      </xdr:nvSpPr>
      <xdr:spPr bwMode="auto">
        <a:xfrm>
          <a:off x="0" y="16407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330</xdr:row>
      <xdr:rowOff>0</xdr:rowOff>
    </xdr:from>
    <xdr:to>
      <xdr:col>0</xdr:col>
      <xdr:colOff>304800</xdr:colOff>
      <xdr:row>331</xdr:row>
      <xdr:rowOff>121920</xdr:rowOff>
    </xdr:to>
    <xdr:sp macro="" textlink="">
      <xdr:nvSpPr>
        <xdr:cNvPr id="3509" name="AutoShape 437" descr="Philadelphia Flyers">
          <a:extLst>
            <a:ext uri="{FF2B5EF4-FFF2-40B4-BE49-F238E27FC236}">
              <a16:creationId xmlns:a16="http://schemas.microsoft.com/office/drawing/2014/main" xmlns="" id="{00000000-0008-0000-0D00-0000B50D0000}"/>
            </a:ext>
          </a:extLst>
        </xdr:cNvPr>
        <xdr:cNvSpPr>
          <a:spLocks noChangeAspect="1" noChangeArrowheads="1"/>
        </xdr:cNvSpPr>
      </xdr:nvSpPr>
      <xdr:spPr bwMode="auto">
        <a:xfrm>
          <a:off x="0" y="1644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699</xdr:row>
      <xdr:rowOff>0</xdr:rowOff>
    </xdr:from>
    <xdr:to>
      <xdr:col>0</xdr:col>
      <xdr:colOff>304800</xdr:colOff>
      <xdr:row>700</xdr:row>
      <xdr:rowOff>121920</xdr:rowOff>
    </xdr:to>
    <xdr:sp macro="" textlink="">
      <xdr:nvSpPr>
        <xdr:cNvPr id="3510" name="AutoShape 438" descr="Columbus Blue Jackets">
          <a:extLst>
            <a:ext uri="{FF2B5EF4-FFF2-40B4-BE49-F238E27FC236}">
              <a16:creationId xmlns:a16="http://schemas.microsoft.com/office/drawing/2014/main" xmlns="" id="{00000000-0008-0000-0D00-0000B60D0000}"/>
            </a:ext>
          </a:extLst>
        </xdr:cNvPr>
        <xdr:cNvSpPr>
          <a:spLocks noChangeAspect="1" noChangeArrowheads="1"/>
        </xdr:cNvSpPr>
      </xdr:nvSpPr>
      <xdr:spPr bwMode="auto">
        <a:xfrm>
          <a:off x="0" y="16482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597</xdr:row>
      <xdr:rowOff>0</xdr:rowOff>
    </xdr:from>
    <xdr:to>
      <xdr:col>0</xdr:col>
      <xdr:colOff>304800</xdr:colOff>
      <xdr:row>598</xdr:row>
      <xdr:rowOff>121920</xdr:rowOff>
    </xdr:to>
    <xdr:sp macro="" textlink="">
      <xdr:nvSpPr>
        <xdr:cNvPr id="3511" name="AutoShape 439" descr="Philadelphia Flyers">
          <a:extLst>
            <a:ext uri="{FF2B5EF4-FFF2-40B4-BE49-F238E27FC236}">
              <a16:creationId xmlns:a16="http://schemas.microsoft.com/office/drawing/2014/main" xmlns="" id="{00000000-0008-0000-0D00-0000B70D0000}"/>
            </a:ext>
          </a:extLst>
        </xdr:cNvPr>
        <xdr:cNvSpPr>
          <a:spLocks noChangeAspect="1" noChangeArrowheads="1"/>
        </xdr:cNvSpPr>
      </xdr:nvSpPr>
      <xdr:spPr bwMode="auto">
        <a:xfrm>
          <a:off x="0" y="16519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198</xdr:row>
      <xdr:rowOff>0</xdr:rowOff>
    </xdr:from>
    <xdr:to>
      <xdr:col>0</xdr:col>
      <xdr:colOff>304800</xdr:colOff>
      <xdr:row>199</xdr:row>
      <xdr:rowOff>121920</xdr:rowOff>
    </xdr:to>
    <xdr:sp macro="" textlink="">
      <xdr:nvSpPr>
        <xdr:cNvPr id="3512" name="AutoShape 440" descr="Tampa Bay Lightning">
          <a:extLst>
            <a:ext uri="{FF2B5EF4-FFF2-40B4-BE49-F238E27FC236}">
              <a16:creationId xmlns:a16="http://schemas.microsoft.com/office/drawing/2014/main" xmlns="" id="{00000000-0008-0000-0D00-0000B80D0000}"/>
            </a:ext>
          </a:extLst>
        </xdr:cNvPr>
        <xdr:cNvSpPr>
          <a:spLocks noChangeAspect="1" noChangeArrowheads="1"/>
        </xdr:cNvSpPr>
      </xdr:nvSpPr>
      <xdr:spPr bwMode="auto">
        <a:xfrm>
          <a:off x="0" y="16556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354</xdr:row>
      <xdr:rowOff>0</xdr:rowOff>
    </xdr:from>
    <xdr:to>
      <xdr:col>0</xdr:col>
      <xdr:colOff>304800</xdr:colOff>
      <xdr:row>355</xdr:row>
      <xdr:rowOff>121920</xdr:rowOff>
    </xdr:to>
    <xdr:sp macro="" textlink="">
      <xdr:nvSpPr>
        <xdr:cNvPr id="3513" name="AutoShape 441" descr="Boston Bruins">
          <a:extLst>
            <a:ext uri="{FF2B5EF4-FFF2-40B4-BE49-F238E27FC236}">
              <a16:creationId xmlns:a16="http://schemas.microsoft.com/office/drawing/2014/main" xmlns="" id="{00000000-0008-0000-0D00-0000B90D0000}"/>
            </a:ext>
          </a:extLst>
        </xdr:cNvPr>
        <xdr:cNvSpPr>
          <a:spLocks noChangeAspect="1" noChangeArrowheads="1"/>
        </xdr:cNvSpPr>
      </xdr:nvSpPr>
      <xdr:spPr bwMode="auto">
        <a:xfrm>
          <a:off x="0" y="16594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244</xdr:row>
      <xdr:rowOff>0</xdr:rowOff>
    </xdr:from>
    <xdr:to>
      <xdr:col>0</xdr:col>
      <xdr:colOff>304800</xdr:colOff>
      <xdr:row>245</xdr:row>
      <xdr:rowOff>121920</xdr:rowOff>
    </xdr:to>
    <xdr:sp macro="" textlink="">
      <xdr:nvSpPr>
        <xdr:cNvPr id="3514" name="AutoShape 442" descr="Edmonton Oilers">
          <a:extLst>
            <a:ext uri="{FF2B5EF4-FFF2-40B4-BE49-F238E27FC236}">
              <a16:creationId xmlns:a16="http://schemas.microsoft.com/office/drawing/2014/main" xmlns="" id="{00000000-0008-0000-0D00-0000BA0D0000}"/>
            </a:ext>
          </a:extLst>
        </xdr:cNvPr>
        <xdr:cNvSpPr>
          <a:spLocks noChangeAspect="1" noChangeArrowheads="1"/>
        </xdr:cNvSpPr>
      </xdr:nvSpPr>
      <xdr:spPr bwMode="auto">
        <a:xfrm>
          <a:off x="0" y="16649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367</xdr:row>
      <xdr:rowOff>0</xdr:rowOff>
    </xdr:from>
    <xdr:to>
      <xdr:col>0</xdr:col>
      <xdr:colOff>304800</xdr:colOff>
      <xdr:row>368</xdr:row>
      <xdr:rowOff>121920</xdr:rowOff>
    </xdr:to>
    <xdr:sp macro="" textlink="">
      <xdr:nvSpPr>
        <xdr:cNvPr id="3515" name="AutoShape 443" descr="Los Angeles Kings">
          <a:extLst>
            <a:ext uri="{FF2B5EF4-FFF2-40B4-BE49-F238E27FC236}">
              <a16:creationId xmlns:a16="http://schemas.microsoft.com/office/drawing/2014/main" xmlns="" id="{00000000-0008-0000-0D00-0000BB0D0000}"/>
            </a:ext>
          </a:extLst>
        </xdr:cNvPr>
        <xdr:cNvSpPr>
          <a:spLocks noChangeAspect="1" noChangeArrowheads="1"/>
        </xdr:cNvSpPr>
      </xdr:nvSpPr>
      <xdr:spPr bwMode="auto">
        <a:xfrm>
          <a:off x="0" y="166870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337</xdr:row>
      <xdr:rowOff>0</xdr:rowOff>
    </xdr:from>
    <xdr:to>
      <xdr:col>0</xdr:col>
      <xdr:colOff>304800</xdr:colOff>
      <xdr:row>338</xdr:row>
      <xdr:rowOff>121920</xdr:rowOff>
    </xdr:to>
    <xdr:sp macro="" textlink="">
      <xdr:nvSpPr>
        <xdr:cNvPr id="3516" name="AutoShape 444" descr="Boston Bruins">
          <a:extLst>
            <a:ext uri="{FF2B5EF4-FFF2-40B4-BE49-F238E27FC236}">
              <a16:creationId xmlns:a16="http://schemas.microsoft.com/office/drawing/2014/main" xmlns="" id="{00000000-0008-0000-0D00-0000BC0D0000}"/>
            </a:ext>
          </a:extLst>
        </xdr:cNvPr>
        <xdr:cNvSpPr>
          <a:spLocks noChangeAspect="1" noChangeArrowheads="1"/>
        </xdr:cNvSpPr>
      </xdr:nvSpPr>
      <xdr:spPr bwMode="auto">
        <a:xfrm>
          <a:off x="0" y="16742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615</xdr:row>
      <xdr:rowOff>0</xdr:rowOff>
    </xdr:from>
    <xdr:to>
      <xdr:col>0</xdr:col>
      <xdr:colOff>304800</xdr:colOff>
      <xdr:row>616</xdr:row>
      <xdr:rowOff>121920</xdr:rowOff>
    </xdr:to>
    <xdr:sp macro="" textlink="">
      <xdr:nvSpPr>
        <xdr:cNvPr id="3517" name="AutoShape 445" descr="San Jose Sharks">
          <a:extLst>
            <a:ext uri="{FF2B5EF4-FFF2-40B4-BE49-F238E27FC236}">
              <a16:creationId xmlns:a16="http://schemas.microsoft.com/office/drawing/2014/main" xmlns="" id="{00000000-0008-0000-0D00-0000BD0D0000}"/>
            </a:ext>
          </a:extLst>
        </xdr:cNvPr>
        <xdr:cNvSpPr>
          <a:spLocks noChangeAspect="1" noChangeArrowheads="1"/>
        </xdr:cNvSpPr>
      </xdr:nvSpPr>
      <xdr:spPr bwMode="auto">
        <a:xfrm>
          <a:off x="0" y="1678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334</xdr:row>
      <xdr:rowOff>0</xdr:rowOff>
    </xdr:from>
    <xdr:to>
      <xdr:col>0</xdr:col>
      <xdr:colOff>304800</xdr:colOff>
      <xdr:row>335</xdr:row>
      <xdr:rowOff>121920</xdr:rowOff>
    </xdr:to>
    <xdr:sp macro="" textlink="">
      <xdr:nvSpPr>
        <xdr:cNvPr id="3518" name="AutoShape 446" descr="Anaheim Ducks">
          <a:extLst>
            <a:ext uri="{FF2B5EF4-FFF2-40B4-BE49-F238E27FC236}">
              <a16:creationId xmlns:a16="http://schemas.microsoft.com/office/drawing/2014/main" xmlns="" id="{00000000-0008-0000-0D00-0000BE0D0000}"/>
            </a:ext>
          </a:extLst>
        </xdr:cNvPr>
        <xdr:cNvSpPr>
          <a:spLocks noChangeAspect="1" noChangeArrowheads="1"/>
        </xdr:cNvSpPr>
      </xdr:nvSpPr>
      <xdr:spPr bwMode="auto">
        <a:xfrm>
          <a:off x="0" y="16817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121920</xdr:rowOff>
    </xdr:to>
    <xdr:sp macro="" textlink="">
      <xdr:nvSpPr>
        <xdr:cNvPr id="3519" name="AutoShape 447" descr="Tampa Bay Lightning">
          <a:extLst>
            <a:ext uri="{FF2B5EF4-FFF2-40B4-BE49-F238E27FC236}">
              <a16:creationId xmlns:a16="http://schemas.microsoft.com/office/drawing/2014/main" xmlns="" id="{00000000-0008-0000-0D00-0000BF0D0000}"/>
            </a:ext>
          </a:extLst>
        </xdr:cNvPr>
        <xdr:cNvSpPr>
          <a:spLocks noChangeAspect="1" noChangeArrowheads="1"/>
        </xdr:cNvSpPr>
      </xdr:nvSpPr>
      <xdr:spPr bwMode="auto">
        <a:xfrm>
          <a:off x="0" y="168546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626</xdr:row>
      <xdr:rowOff>0</xdr:rowOff>
    </xdr:from>
    <xdr:to>
      <xdr:col>0</xdr:col>
      <xdr:colOff>304800</xdr:colOff>
      <xdr:row>627</xdr:row>
      <xdr:rowOff>121920</xdr:rowOff>
    </xdr:to>
    <xdr:sp macro="" textlink="">
      <xdr:nvSpPr>
        <xdr:cNvPr id="3520" name="AutoShape 448" descr="Vegas Golden Knights">
          <a:extLst>
            <a:ext uri="{FF2B5EF4-FFF2-40B4-BE49-F238E27FC236}">
              <a16:creationId xmlns:a16="http://schemas.microsoft.com/office/drawing/2014/main" xmlns="" id="{00000000-0008-0000-0D00-0000C00D0000}"/>
            </a:ext>
          </a:extLst>
        </xdr:cNvPr>
        <xdr:cNvSpPr>
          <a:spLocks noChangeAspect="1" noChangeArrowheads="1"/>
        </xdr:cNvSpPr>
      </xdr:nvSpPr>
      <xdr:spPr bwMode="auto">
        <a:xfrm>
          <a:off x="0" y="168920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305</xdr:row>
      <xdr:rowOff>0</xdr:rowOff>
    </xdr:from>
    <xdr:to>
      <xdr:col>0</xdr:col>
      <xdr:colOff>304800</xdr:colOff>
      <xdr:row>306</xdr:row>
      <xdr:rowOff>121920</xdr:rowOff>
    </xdr:to>
    <xdr:sp macro="" textlink="">
      <xdr:nvSpPr>
        <xdr:cNvPr id="3521" name="AutoShape 449" descr="Washington Capitals">
          <a:extLst>
            <a:ext uri="{FF2B5EF4-FFF2-40B4-BE49-F238E27FC236}">
              <a16:creationId xmlns:a16="http://schemas.microsoft.com/office/drawing/2014/main" xmlns="" id="{00000000-0008-0000-0D00-0000C10D0000}"/>
            </a:ext>
          </a:extLst>
        </xdr:cNvPr>
        <xdr:cNvSpPr>
          <a:spLocks noChangeAspect="1" noChangeArrowheads="1"/>
        </xdr:cNvSpPr>
      </xdr:nvSpPr>
      <xdr:spPr bwMode="auto">
        <a:xfrm>
          <a:off x="0" y="16947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0</xdr:rowOff>
    </xdr:from>
    <xdr:to>
      <xdr:col>0</xdr:col>
      <xdr:colOff>304800</xdr:colOff>
      <xdr:row>23</xdr:row>
      <xdr:rowOff>121920</xdr:rowOff>
    </xdr:to>
    <xdr:sp macro="" textlink="">
      <xdr:nvSpPr>
        <xdr:cNvPr id="3522" name="AutoShape 450" descr="Ottawa Senators">
          <a:extLst>
            <a:ext uri="{FF2B5EF4-FFF2-40B4-BE49-F238E27FC236}">
              <a16:creationId xmlns:a16="http://schemas.microsoft.com/office/drawing/2014/main" xmlns="" id="{00000000-0008-0000-0D00-0000C20D0000}"/>
            </a:ext>
          </a:extLst>
        </xdr:cNvPr>
        <xdr:cNvSpPr>
          <a:spLocks noChangeAspect="1" noChangeArrowheads="1"/>
        </xdr:cNvSpPr>
      </xdr:nvSpPr>
      <xdr:spPr bwMode="auto">
        <a:xfrm>
          <a:off x="0" y="16984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402</xdr:row>
      <xdr:rowOff>0</xdr:rowOff>
    </xdr:from>
    <xdr:to>
      <xdr:col>0</xdr:col>
      <xdr:colOff>304800</xdr:colOff>
      <xdr:row>403</xdr:row>
      <xdr:rowOff>121920</xdr:rowOff>
    </xdr:to>
    <xdr:sp macro="" textlink="">
      <xdr:nvSpPr>
        <xdr:cNvPr id="3523" name="AutoShape 451" descr="Vancouver Canucks">
          <a:extLst>
            <a:ext uri="{FF2B5EF4-FFF2-40B4-BE49-F238E27FC236}">
              <a16:creationId xmlns:a16="http://schemas.microsoft.com/office/drawing/2014/main" xmlns="" id="{00000000-0008-0000-0D00-0000C30D0000}"/>
            </a:ext>
          </a:extLst>
        </xdr:cNvPr>
        <xdr:cNvSpPr>
          <a:spLocks noChangeAspect="1" noChangeArrowheads="1"/>
        </xdr:cNvSpPr>
      </xdr:nvSpPr>
      <xdr:spPr bwMode="auto">
        <a:xfrm>
          <a:off x="0" y="17022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406</xdr:row>
      <xdr:rowOff>0</xdr:rowOff>
    </xdr:from>
    <xdr:to>
      <xdr:col>0</xdr:col>
      <xdr:colOff>304800</xdr:colOff>
      <xdr:row>407</xdr:row>
      <xdr:rowOff>121920</xdr:rowOff>
    </xdr:to>
    <xdr:sp macro="" textlink="">
      <xdr:nvSpPr>
        <xdr:cNvPr id="3524" name="AutoShape 452" descr="Florida Panthers">
          <a:extLst>
            <a:ext uri="{FF2B5EF4-FFF2-40B4-BE49-F238E27FC236}">
              <a16:creationId xmlns:a16="http://schemas.microsoft.com/office/drawing/2014/main" xmlns="" id="{00000000-0008-0000-0D00-0000C40D0000}"/>
            </a:ext>
          </a:extLst>
        </xdr:cNvPr>
        <xdr:cNvSpPr>
          <a:spLocks noChangeAspect="1" noChangeArrowheads="1"/>
        </xdr:cNvSpPr>
      </xdr:nvSpPr>
      <xdr:spPr bwMode="auto">
        <a:xfrm>
          <a:off x="0" y="17059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314</xdr:row>
      <xdr:rowOff>0</xdr:rowOff>
    </xdr:from>
    <xdr:to>
      <xdr:col>0</xdr:col>
      <xdr:colOff>304800</xdr:colOff>
      <xdr:row>315</xdr:row>
      <xdr:rowOff>121920</xdr:rowOff>
    </xdr:to>
    <xdr:sp macro="" textlink="">
      <xdr:nvSpPr>
        <xdr:cNvPr id="3525" name="AutoShape 453" descr="Vancouver Canucks">
          <a:extLst>
            <a:ext uri="{FF2B5EF4-FFF2-40B4-BE49-F238E27FC236}">
              <a16:creationId xmlns:a16="http://schemas.microsoft.com/office/drawing/2014/main" xmlns="" id="{00000000-0008-0000-0D00-0000C50D0000}"/>
            </a:ext>
          </a:extLst>
        </xdr:cNvPr>
        <xdr:cNvSpPr>
          <a:spLocks noChangeAspect="1" noChangeArrowheads="1"/>
        </xdr:cNvSpPr>
      </xdr:nvSpPr>
      <xdr:spPr bwMode="auto">
        <a:xfrm>
          <a:off x="0" y="170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557</xdr:row>
      <xdr:rowOff>0</xdr:rowOff>
    </xdr:from>
    <xdr:to>
      <xdr:col>0</xdr:col>
      <xdr:colOff>304800</xdr:colOff>
      <xdr:row>558</xdr:row>
      <xdr:rowOff>121920</xdr:rowOff>
    </xdr:to>
    <xdr:sp macro="" textlink="">
      <xdr:nvSpPr>
        <xdr:cNvPr id="3526" name="AutoShape 454" descr="Columbus Blue Jackets">
          <a:extLst>
            <a:ext uri="{FF2B5EF4-FFF2-40B4-BE49-F238E27FC236}">
              <a16:creationId xmlns:a16="http://schemas.microsoft.com/office/drawing/2014/main" xmlns="" id="{00000000-0008-0000-0D00-0000C60D0000}"/>
            </a:ext>
          </a:extLst>
        </xdr:cNvPr>
        <xdr:cNvSpPr>
          <a:spLocks noChangeAspect="1" noChangeArrowheads="1"/>
        </xdr:cNvSpPr>
      </xdr:nvSpPr>
      <xdr:spPr bwMode="auto">
        <a:xfrm>
          <a:off x="0" y="171343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352</xdr:row>
      <xdr:rowOff>0</xdr:rowOff>
    </xdr:from>
    <xdr:to>
      <xdr:col>0</xdr:col>
      <xdr:colOff>304800</xdr:colOff>
      <xdr:row>353</xdr:row>
      <xdr:rowOff>121920</xdr:rowOff>
    </xdr:to>
    <xdr:sp macro="" textlink="">
      <xdr:nvSpPr>
        <xdr:cNvPr id="3527" name="AutoShape 455" descr="St Louis Blues">
          <a:extLst>
            <a:ext uri="{FF2B5EF4-FFF2-40B4-BE49-F238E27FC236}">
              <a16:creationId xmlns:a16="http://schemas.microsoft.com/office/drawing/2014/main" xmlns="" id="{00000000-0008-0000-0D00-0000C70D0000}"/>
            </a:ext>
          </a:extLst>
        </xdr:cNvPr>
        <xdr:cNvSpPr>
          <a:spLocks noChangeAspect="1" noChangeArrowheads="1"/>
        </xdr:cNvSpPr>
      </xdr:nvSpPr>
      <xdr:spPr bwMode="auto">
        <a:xfrm>
          <a:off x="0" y="171716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311</xdr:row>
      <xdr:rowOff>0</xdr:rowOff>
    </xdr:from>
    <xdr:to>
      <xdr:col>0</xdr:col>
      <xdr:colOff>304800</xdr:colOff>
      <xdr:row>312</xdr:row>
      <xdr:rowOff>121920</xdr:rowOff>
    </xdr:to>
    <xdr:sp macro="" textlink="">
      <xdr:nvSpPr>
        <xdr:cNvPr id="3528" name="AutoShape 456" descr="Calgary Flames">
          <a:extLst>
            <a:ext uri="{FF2B5EF4-FFF2-40B4-BE49-F238E27FC236}">
              <a16:creationId xmlns:a16="http://schemas.microsoft.com/office/drawing/2014/main" xmlns="" id="{00000000-0008-0000-0D00-0000C80D0000}"/>
            </a:ext>
          </a:extLst>
        </xdr:cNvPr>
        <xdr:cNvSpPr>
          <a:spLocks noChangeAspect="1" noChangeArrowheads="1"/>
        </xdr:cNvSpPr>
      </xdr:nvSpPr>
      <xdr:spPr bwMode="auto">
        <a:xfrm>
          <a:off x="0" y="172090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566</xdr:row>
      <xdr:rowOff>0</xdr:rowOff>
    </xdr:from>
    <xdr:to>
      <xdr:col>0</xdr:col>
      <xdr:colOff>304800</xdr:colOff>
      <xdr:row>567</xdr:row>
      <xdr:rowOff>121920</xdr:rowOff>
    </xdr:to>
    <xdr:sp macro="" textlink="">
      <xdr:nvSpPr>
        <xdr:cNvPr id="3529" name="AutoShape 457" descr="New Jersey Devils">
          <a:extLst>
            <a:ext uri="{FF2B5EF4-FFF2-40B4-BE49-F238E27FC236}">
              <a16:creationId xmlns:a16="http://schemas.microsoft.com/office/drawing/2014/main" xmlns="" id="{00000000-0008-0000-0D00-0000C90D0000}"/>
            </a:ext>
          </a:extLst>
        </xdr:cNvPr>
        <xdr:cNvSpPr>
          <a:spLocks noChangeAspect="1" noChangeArrowheads="1"/>
        </xdr:cNvSpPr>
      </xdr:nvSpPr>
      <xdr:spPr bwMode="auto">
        <a:xfrm>
          <a:off x="0" y="17246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xdr:row>
      <xdr:rowOff>0</xdr:rowOff>
    </xdr:from>
    <xdr:to>
      <xdr:col>0</xdr:col>
      <xdr:colOff>304800</xdr:colOff>
      <xdr:row>79</xdr:row>
      <xdr:rowOff>121920</xdr:rowOff>
    </xdr:to>
    <xdr:sp macro="" textlink="">
      <xdr:nvSpPr>
        <xdr:cNvPr id="3530" name="AutoShape 458" descr="Los Angeles Kings">
          <a:extLst>
            <a:ext uri="{FF2B5EF4-FFF2-40B4-BE49-F238E27FC236}">
              <a16:creationId xmlns:a16="http://schemas.microsoft.com/office/drawing/2014/main" xmlns="" id="{00000000-0008-0000-0D00-0000CA0D0000}"/>
            </a:ext>
          </a:extLst>
        </xdr:cNvPr>
        <xdr:cNvSpPr>
          <a:spLocks noChangeAspect="1" noChangeArrowheads="1"/>
        </xdr:cNvSpPr>
      </xdr:nvSpPr>
      <xdr:spPr bwMode="auto">
        <a:xfrm>
          <a:off x="0" y="172836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345</xdr:row>
      <xdr:rowOff>0</xdr:rowOff>
    </xdr:from>
    <xdr:to>
      <xdr:col>0</xdr:col>
      <xdr:colOff>304800</xdr:colOff>
      <xdr:row>346</xdr:row>
      <xdr:rowOff>121920</xdr:rowOff>
    </xdr:to>
    <xdr:sp macro="" textlink="">
      <xdr:nvSpPr>
        <xdr:cNvPr id="3531" name="AutoShape 459" descr="Vegas Golden Knights">
          <a:extLst>
            <a:ext uri="{FF2B5EF4-FFF2-40B4-BE49-F238E27FC236}">
              <a16:creationId xmlns:a16="http://schemas.microsoft.com/office/drawing/2014/main" xmlns="" id="{00000000-0008-0000-0D00-0000CB0D0000}"/>
            </a:ext>
          </a:extLst>
        </xdr:cNvPr>
        <xdr:cNvSpPr>
          <a:spLocks noChangeAspect="1" noChangeArrowheads="1"/>
        </xdr:cNvSpPr>
      </xdr:nvSpPr>
      <xdr:spPr bwMode="auto">
        <a:xfrm>
          <a:off x="0" y="173210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533</xdr:row>
      <xdr:rowOff>0</xdr:rowOff>
    </xdr:from>
    <xdr:to>
      <xdr:col>0</xdr:col>
      <xdr:colOff>304800</xdr:colOff>
      <xdr:row>534</xdr:row>
      <xdr:rowOff>121920</xdr:rowOff>
    </xdr:to>
    <xdr:sp macro="" textlink="">
      <xdr:nvSpPr>
        <xdr:cNvPr id="3532" name="AutoShape 460" descr="Chicago Blackhawks">
          <a:extLst>
            <a:ext uri="{FF2B5EF4-FFF2-40B4-BE49-F238E27FC236}">
              <a16:creationId xmlns:a16="http://schemas.microsoft.com/office/drawing/2014/main" xmlns="" id="{00000000-0008-0000-0D00-0000CC0D0000}"/>
            </a:ext>
          </a:extLst>
        </xdr:cNvPr>
        <xdr:cNvSpPr>
          <a:spLocks noChangeAspect="1" noChangeArrowheads="1"/>
        </xdr:cNvSpPr>
      </xdr:nvSpPr>
      <xdr:spPr bwMode="auto">
        <a:xfrm>
          <a:off x="0" y="17376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304800</xdr:colOff>
      <xdr:row>814</xdr:row>
      <xdr:rowOff>121920</xdr:rowOff>
    </xdr:to>
    <xdr:sp macro="" textlink="">
      <xdr:nvSpPr>
        <xdr:cNvPr id="3533" name="AutoShape 461" descr="New York Rangers">
          <a:extLst>
            <a:ext uri="{FF2B5EF4-FFF2-40B4-BE49-F238E27FC236}">
              <a16:creationId xmlns:a16="http://schemas.microsoft.com/office/drawing/2014/main" xmlns="" id="{00000000-0008-0000-0D00-0000CD0D0000}"/>
            </a:ext>
          </a:extLst>
        </xdr:cNvPr>
        <xdr:cNvSpPr>
          <a:spLocks noChangeAspect="1" noChangeArrowheads="1"/>
        </xdr:cNvSpPr>
      </xdr:nvSpPr>
      <xdr:spPr bwMode="auto">
        <a:xfrm>
          <a:off x="0" y="1741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816</xdr:row>
      <xdr:rowOff>0</xdr:rowOff>
    </xdr:from>
    <xdr:to>
      <xdr:col>0</xdr:col>
      <xdr:colOff>304800</xdr:colOff>
      <xdr:row>817</xdr:row>
      <xdr:rowOff>121920</xdr:rowOff>
    </xdr:to>
    <xdr:sp macro="" textlink="">
      <xdr:nvSpPr>
        <xdr:cNvPr id="3534" name="AutoShape 462" descr="New York Rangers">
          <a:extLst>
            <a:ext uri="{FF2B5EF4-FFF2-40B4-BE49-F238E27FC236}">
              <a16:creationId xmlns:a16="http://schemas.microsoft.com/office/drawing/2014/main" xmlns="" id="{00000000-0008-0000-0D00-0000CE0D0000}"/>
            </a:ext>
          </a:extLst>
        </xdr:cNvPr>
        <xdr:cNvSpPr>
          <a:spLocks noChangeAspect="1" noChangeArrowheads="1"/>
        </xdr:cNvSpPr>
      </xdr:nvSpPr>
      <xdr:spPr bwMode="auto">
        <a:xfrm>
          <a:off x="0" y="17451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xdr:row>
      <xdr:rowOff>0</xdr:rowOff>
    </xdr:from>
    <xdr:to>
      <xdr:col>0</xdr:col>
      <xdr:colOff>304800</xdr:colOff>
      <xdr:row>36</xdr:row>
      <xdr:rowOff>121920</xdr:rowOff>
    </xdr:to>
    <xdr:sp macro="" textlink="">
      <xdr:nvSpPr>
        <xdr:cNvPr id="3535" name="AutoShape 463" descr="New York Rangers">
          <a:extLst>
            <a:ext uri="{FF2B5EF4-FFF2-40B4-BE49-F238E27FC236}">
              <a16:creationId xmlns:a16="http://schemas.microsoft.com/office/drawing/2014/main" xmlns="" id="{00000000-0008-0000-0D00-0000CF0D0000}"/>
            </a:ext>
          </a:extLst>
        </xdr:cNvPr>
        <xdr:cNvSpPr>
          <a:spLocks noChangeAspect="1" noChangeArrowheads="1"/>
        </xdr:cNvSpPr>
      </xdr:nvSpPr>
      <xdr:spPr bwMode="auto">
        <a:xfrm>
          <a:off x="0" y="17488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378</xdr:row>
      <xdr:rowOff>0</xdr:rowOff>
    </xdr:from>
    <xdr:to>
      <xdr:col>0</xdr:col>
      <xdr:colOff>304800</xdr:colOff>
      <xdr:row>379</xdr:row>
      <xdr:rowOff>121920</xdr:rowOff>
    </xdr:to>
    <xdr:sp macro="" textlink="">
      <xdr:nvSpPr>
        <xdr:cNvPr id="3536" name="AutoShape 464" descr="Pittsburgh Penguins">
          <a:extLst>
            <a:ext uri="{FF2B5EF4-FFF2-40B4-BE49-F238E27FC236}">
              <a16:creationId xmlns:a16="http://schemas.microsoft.com/office/drawing/2014/main" xmlns="" id="{00000000-0008-0000-0D00-0000D00D0000}"/>
            </a:ext>
          </a:extLst>
        </xdr:cNvPr>
        <xdr:cNvSpPr>
          <a:spLocks noChangeAspect="1" noChangeArrowheads="1"/>
        </xdr:cNvSpPr>
      </xdr:nvSpPr>
      <xdr:spPr bwMode="auto">
        <a:xfrm>
          <a:off x="0" y="17526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546</xdr:row>
      <xdr:rowOff>0</xdr:rowOff>
    </xdr:from>
    <xdr:to>
      <xdr:col>0</xdr:col>
      <xdr:colOff>304800</xdr:colOff>
      <xdr:row>547</xdr:row>
      <xdr:rowOff>121920</xdr:rowOff>
    </xdr:to>
    <xdr:sp macro="" textlink="">
      <xdr:nvSpPr>
        <xdr:cNvPr id="3537" name="AutoShape 465" descr="Los Angeles Kings">
          <a:extLst>
            <a:ext uri="{FF2B5EF4-FFF2-40B4-BE49-F238E27FC236}">
              <a16:creationId xmlns:a16="http://schemas.microsoft.com/office/drawing/2014/main" xmlns="" id="{00000000-0008-0000-0D00-0000D10D0000}"/>
            </a:ext>
          </a:extLst>
        </xdr:cNvPr>
        <xdr:cNvSpPr>
          <a:spLocks noChangeAspect="1" noChangeArrowheads="1"/>
        </xdr:cNvSpPr>
      </xdr:nvSpPr>
      <xdr:spPr bwMode="auto">
        <a:xfrm>
          <a:off x="0" y="17563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180</xdr:row>
      <xdr:rowOff>0</xdr:rowOff>
    </xdr:from>
    <xdr:to>
      <xdr:col>0</xdr:col>
      <xdr:colOff>304800</xdr:colOff>
      <xdr:row>181</xdr:row>
      <xdr:rowOff>121920</xdr:rowOff>
    </xdr:to>
    <xdr:sp macro="" textlink="">
      <xdr:nvSpPr>
        <xdr:cNvPr id="3538" name="AutoShape 466" descr="Carolina Hurricanes">
          <a:extLst>
            <a:ext uri="{FF2B5EF4-FFF2-40B4-BE49-F238E27FC236}">
              <a16:creationId xmlns:a16="http://schemas.microsoft.com/office/drawing/2014/main" xmlns="" id="{00000000-0008-0000-0D00-0000D20D0000}"/>
            </a:ext>
          </a:extLst>
        </xdr:cNvPr>
        <xdr:cNvSpPr>
          <a:spLocks noChangeAspect="1" noChangeArrowheads="1"/>
        </xdr:cNvSpPr>
      </xdr:nvSpPr>
      <xdr:spPr bwMode="auto">
        <a:xfrm>
          <a:off x="0" y="17600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280</xdr:row>
      <xdr:rowOff>0</xdr:rowOff>
    </xdr:from>
    <xdr:to>
      <xdr:col>0</xdr:col>
      <xdr:colOff>304800</xdr:colOff>
      <xdr:row>281</xdr:row>
      <xdr:rowOff>121920</xdr:rowOff>
    </xdr:to>
    <xdr:sp macro="" textlink="">
      <xdr:nvSpPr>
        <xdr:cNvPr id="3539" name="AutoShape 467" descr="St Louis Blues">
          <a:extLst>
            <a:ext uri="{FF2B5EF4-FFF2-40B4-BE49-F238E27FC236}">
              <a16:creationId xmlns:a16="http://schemas.microsoft.com/office/drawing/2014/main" xmlns="" id="{00000000-0008-0000-0D00-0000D30D0000}"/>
            </a:ext>
          </a:extLst>
        </xdr:cNvPr>
        <xdr:cNvSpPr>
          <a:spLocks noChangeAspect="1" noChangeArrowheads="1"/>
        </xdr:cNvSpPr>
      </xdr:nvSpPr>
      <xdr:spPr bwMode="auto">
        <a:xfrm>
          <a:off x="0" y="17638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413</xdr:row>
      <xdr:rowOff>0</xdr:rowOff>
    </xdr:from>
    <xdr:to>
      <xdr:col>0</xdr:col>
      <xdr:colOff>304800</xdr:colOff>
      <xdr:row>414</xdr:row>
      <xdr:rowOff>121920</xdr:rowOff>
    </xdr:to>
    <xdr:sp macro="" textlink="">
      <xdr:nvSpPr>
        <xdr:cNvPr id="3540" name="AutoShape 468" descr="San Jose Sharks">
          <a:extLst>
            <a:ext uri="{FF2B5EF4-FFF2-40B4-BE49-F238E27FC236}">
              <a16:creationId xmlns:a16="http://schemas.microsoft.com/office/drawing/2014/main" xmlns="" id="{00000000-0008-0000-0D00-0000D40D0000}"/>
            </a:ext>
          </a:extLst>
        </xdr:cNvPr>
        <xdr:cNvSpPr>
          <a:spLocks noChangeAspect="1" noChangeArrowheads="1"/>
        </xdr:cNvSpPr>
      </xdr:nvSpPr>
      <xdr:spPr bwMode="auto">
        <a:xfrm>
          <a:off x="0" y="17675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436</xdr:row>
      <xdr:rowOff>0</xdr:rowOff>
    </xdr:from>
    <xdr:to>
      <xdr:col>0</xdr:col>
      <xdr:colOff>304800</xdr:colOff>
      <xdr:row>437</xdr:row>
      <xdr:rowOff>121920</xdr:rowOff>
    </xdr:to>
    <xdr:sp macro="" textlink="">
      <xdr:nvSpPr>
        <xdr:cNvPr id="3541" name="AutoShape 469" descr="Calgary Flames">
          <a:extLst>
            <a:ext uri="{FF2B5EF4-FFF2-40B4-BE49-F238E27FC236}">
              <a16:creationId xmlns:a16="http://schemas.microsoft.com/office/drawing/2014/main" xmlns="" id="{00000000-0008-0000-0D00-0000D50D0000}"/>
            </a:ext>
          </a:extLst>
        </xdr:cNvPr>
        <xdr:cNvSpPr>
          <a:spLocks noChangeAspect="1" noChangeArrowheads="1"/>
        </xdr:cNvSpPr>
      </xdr:nvSpPr>
      <xdr:spPr bwMode="auto">
        <a:xfrm>
          <a:off x="0" y="1771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241</xdr:row>
      <xdr:rowOff>0</xdr:rowOff>
    </xdr:from>
    <xdr:to>
      <xdr:col>0</xdr:col>
      <xdr:colOff>304800</xdr:colOff>
      <xdr:row>242</xdr:row>
      <xdr:rowOff>121920</xdr:rowOff>
    </xdr:to>
    <xdr:sp macro="" textlink="">
      <xdr:nvSpPr>
        <xdr:cNvPr id="3542" name="AutoShape 470" descr="Calgary Flames">
          <a:extLst>
            <a:ext uri="{FF2B5EF4-FFF2-40B4-BE49-F238E27FC236}">
              <a16:creationId xmlns:a16="http://schemas.microsoft.com/office/drawing/2014/main" xmlns="" id="{00000000-0008-0000-0D00-0000D60D0000}"/>
            </a:ext>
          </a:extLst>
        </xdr:cNvPr>
        <xdr:cNvSpPr>
          <a:spLocks noChangeAspect="1" noChangeArrowheads="1"/>
        </xdr:cNvSpPr>
      </xdr:nvSpPr>
      <xdr:spPr bwMode="auto">
        <a:xfrm>
          <a:off x="0" y="17750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469</xdr:row>
      <xdr:rowOff>0</xdr:rowOff>
    </xdr:from>
    <xdr:to>
      <xdr:col>0</xdr:col>
      <xdr:colOff>304800</xdr:colOff>
      <xdr:row>470</xdr:row>
      <xdr:rowOff>121920</xdr:rowOff>
    </xdr:to>
    <xdr:sp macro="" textlink="">
      <xdr:nvSpPr>
        <xdr:cNvPr id="3543" name="AutoShape 471" descr="San Jose Sharks">
          <a:extLst>
            <a:ext uri="{FF2B5EF4-FFF2-40B4-BE49-F238E27FC236}">
              <a16:creationId xmlns:a16="http://schemas.microsoft.com/office/drawing/2014/main" xmlns="" id="{00000000-0008-0000-0D00-0000D70D0000}"/>
            </a:ext>
          </a:extLst>
        </xdr:cNvPr>
        <xdr:cNvSpPr>
          <a:spLocks noChangeAspect="1" noChangeArrowheads="1"/>
        </xdr:cNvSpPr>
      </xdr:nvSpPr>
      <xdr:spPr bwMode="auto">
        <a:xfrm>
          <a:off x="0" y="17787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579</xdr:row>
      <xdr:rowOff>0</xdr:rowOff>
    </xdr:from>
    <xdr:to>
      <xdr:col>0</xdr:col>
      <xdr:colOff>304800</xdr:colOff>
      <xdr:row>580</xdr:row>
      <xdr:rowOff>121920</xdr:rowOff>
    </xdr:to>
    <xdr:sp macro="" textlink="">
      <xdr:nvSpPr>
        <xdr:cNvPr id="3544" name="AutoShape 472" descr="Los Angeles Kings">
          <a:extLst>
            <a:ext uri="{FF2B5EF4-FFF2-40B4-BE49-F238E27FC236}">
              <a16:creationId xmlns:a16="http://schemas.microsoft.com/office/drawing/2014/main" xmlns="" id="{00000000-0008-0000-0D00-0000D80D0000}"/>
            </a:ext>
          </a:extLst>
        </xdr:cNvPr>
        <xdr:cNvSpPr>
          <a:spLocks noChangeAspect="1" noChangeArrowheads="1"/>
        </xdr:cNvSpPr>
      </xdr:nvSpPr>
      <xdr:spPr bwMode="auto">
        <a:xfrm>
          <a:off x="0" y="17824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293</xdr:row>
      <xdr:rowOff>0</xdr:rowOff>
    </xdr:from>
    <xdr:to>
      <xdr:col>0</xdr:col>
      <xdr:colOff>304800</xdr:colOff>
      <xdr:row>294</xdr:row>
      <xdr:rowOff>121920</xdr:rowOff>
    </xdr:to>
    <xdr:sp macro="" textlink="">
      <xdr:nvSpPr>
        <xdr:cNvPr id="3545" name="AutoShape 473" descr="Ottawa Senators">
          <a:extLst>
            <a:ext uri="{FF2B5EF4-FFF2-40B4-BE49-F238E27FC236}">
              <a16:creationId xmlns:a16="http://schemas.microsoft.com/office/drawing/2014/main" xmlns="" id="{00000000-0008-0000-0D00-0000D90D0000}"/>
            </a:ext>
          </a:extLst>
        </xdr:cNvPr>
        <xdr:cNvSpPr>
          <a:spLocks noChangeAspect="1" noChangeArrowheads="1"/>
        </xdr:cNvSpPr>
      </xdr:nvSpPr>
      <xdr:spPr bwMode="auto">
        <a:xfrm>
          <a:off x="0" y="17862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267</xdr:row>
      <xdr:rowOff>0</xdr:rowOff>
    </xdr:from>
    <xdr:to>
      <xdr:col>0</xdr:col>
      <xdr:colOff>304800</xdr:colOff>
      <xdr:row>268</xdr:row>
      <xdr:rowOff>121920</xdr:rowOff>
    </xdr:to>
    <xdr:sp macro="" textlink="">
      <xdr:nvSpPr>
        <xdr:cNvPr id="3546" name="AutoShape 474" descr="Boston Bruins">
          <a:extLst>
            <a:ext uri="{FF2B5EF4-FFF2-40B4-BE49-F238E27FC236}">
              <a16:creationId xmlns:a16="http://schemas.microsoft.com/office/drawing/2014/main" xmlns="" id="{00000000-0008-0000-0D00-0000DA0D0000}"/>
            </a:ext>
          </a:extLst>
        </xdr:cNvPr>
        <xdr:cNvSpPr>
          <a:spLocks noChangeAspect="1" noChangeArrowheads="1"/>
        </xdr:cNvSpPr>
      </xdr:nvSpPr>
      <xdr:spPr bwMode="auto">
        <a:xfrm>
          <a:off x="0" y="178993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633</xdr:row>
      <xdr:rowOff>0</xdr:rowOff>
    </xdr:from>
    <xdr:to>
      <xdr:col>0</xdr:col>
      <xdr:colOff>304800</xdr:colOff>
      <xdr:row>634</xdr:row>
      <xdr:rowOff>121920</xdr:rowOff>
    </xdr:to>
    <xdr:sp macro="" textlink="">
      <xdr:nvSpPr>
        <xdr:cNvPr id="3547" name="AutoShape 475" descr="Dallas Stars">
          <a:extLst>
            <a:ext uri="{FF2B5EF4-FFF2-40B4-BE49-F238E27FC236}">
              <a16:creationId xmlns:a16="http://schemas.microsoft.com/office/drawing/2014/main" xmlns="" id="{00000000-0008-0000-0D00-0000DB0D0000}"/>
            </a:ext>
          </a:extLst>
        </xdr:cNvPr>
        <xdr:cNvSpPr>
          <a:spLocks noChangeAspect="1" noChangeArrowheads="1"/>
        </xdr:cNvSpPr>
      </xdr:nvSpPr>
      <xdr:spPr bwMode="auto">
        <a:xfrm>
          <a:off x="0" y="179367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269</xdr:row>
      <xdr:rowOff>0</xdr:rowOff>
    </xdr:from>
    <xdr:to>
      <xdr:col>0</xdr:col>
      <xdr:colOff>304800</xdr:colOff>
      <xdr:row>270</xdr:row>
      <xdr:rowOff>121920</xdr:rowOff>
    </xdr:to>
    <xdr:sp macro="" textlink="">
      <xdr:nvSpPr>
        <xdr:cNvPr id="3548" name="AutoShape 476" descr="Buffalo Sabres">
          <a:extLst>
            <a:ext uri="{FF2B5EF4-FFF2-40B4-BE49-F238E27FC236}">
              <a16:creationId xmlns:a16="http://schemas.microsoft.com/office/drawing/2014/main" xmlns="" id="{00000000-0008-0000-0D00-0000DC0D0000}"/>
            </a:ext>
          </a:extLst>
        </xdr:cNvPr>
        <xdr:cNvSpPr>
          <a:spLocks noChangeAspect="1" noChangeArrowheads="1"/>
        </xdr:cNvSpPr>
      </xdr:nvSpPr>
      <xdr:spPr bwMode="auto">
        <a:xfrm>
          <a:off x="0" y="179740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560</xdr:row>
      <xdr:rowOff>0</xdr:rowOff>
    </xdr:from>
    <xdr:to>
      <xdr:col>0</xdr:col>
      <xdr:colOff>304800</xdr:colOff>
      <xdr:row>561</xdr:row>
      <xdr:rowOff>121920</xdr:rowOff>
    </xdr:to>
    <xdr:sp macro="" textlink="">
      <xdr:nvSpPr>
        <xdr:cNvPr id="3549" name="AutoShape 477" descr="San Jose Sharks">
          <a:extLst>
            <a:ext uri="{FF2B5EF4-FFF2-40B4-BE49-F238E27FC236}">
              <a16:creationId xmlns:a16="http://schemas.microsoft.com/office/drawing/2014/main" xmlns="" id="{00000000-0008-0000-0D00-0000DD0D0000}"/>
            </a:ext>
          </a:extLst>
        </xdr:cNvPr>
        <xdr:cNvSpPr>
          <a:spLocks noChangeAspect="1" noChangeArrowheads="1"/>
        </xdr:cNvSpPr>
      </xdr:nvSpPr>
      <xdr:spPr bwMode="auto">
        <a:xfrm>
          <a:off x="0" y="180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486</xdr:row>
      <xdr:rowOff>0</xdr:rowOff>
    </xdr:from>
    <xdr:to>
      <xdr:col>0</xdr:col>
      <xdr:colOff>304800</xdr:colOff>
      <xdr:row>487</xdr:row>
      <xdr:rowOff>121920</xdr:rowOff>
    </xdr:to>
    <xdr:sp macro="" textlink="">
      <xdr:nvSpPr>
        <xdr:cNvPr id="3550" name="AutoShape 478" descr="Arizona Coyotes">
          <a:extLst>
            <a:ext uri="{FF2B5EF4-FFF2-40B4-BE49-F238E27FC236}">
              <a16:creationId xmlns:a16="http://schemas.microsoft.com/office/drawing/2014/main" xmlns="" id="{00000000-0008-0000-0D00-0000DE0D0000}"/>
            </a:ext>
          </a:extLst>
        </xdr:cNvPr>
        <xdr:cNvSpPr>
          <a:spLocks noChangeAspect="1" noChangeArrowheads="1"/>
        </xdr:cNvSpPr>
      </xdr:nvSpPr>
      <xdr:spPr bwMode="auto">
        <a:xfrm>
          <a:off x="0" y="180487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772</xdr:row>
      <xdr:rowOff>0</xdr:rowOff>
    </xdr:from>
    <xdr:to>
      <xdr:col>0</xdr:col>
      <xdr:colOff>304800</xdr:colOff>
      <xdr:row>773</xdr:row>
      <xdr:rowOff>121920</xdr:rowOff>
    </xdr:to>
    <xdr:sp macro="" textlink="">
      <xdr:nvSpPr>
        <xdr:cNvPr id="3551" name="AutoShape 479" descr="Florida Panthers">
          <a:extLst>
            <a:ext uri="{FF2B5EF4-FFF2-40B4-BE49-F238E27FC236}">
              <a16:creationId xmlns:a16="http://schemas.microsoft.com/office/drawing/2014/main" xmlns="" id="{00000000-0008-0000-0D00-0000DF0D0000}"/>
            </a:ext>
          </a:extLst>
        </xdr:cNvPr>
        <xdr:cNvSpPr>
          <a:spLocks noChangeAspect="1" noChangeArrowheads="1"/>
        </xdr:cNvSpPr>
      </xdr:nvSpPr>
      <xdr:spPr bwMode="auto">
        <a:xfrm>
          <a:off x="0" y="18086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564</xdr:row>
      <xdr:rowOff>0</xdr:rowOff>
    </xdr:from>
    <xdr:to>
      <xdr:col>0</xdr:col>
      <xdr:colOff>304800</xdr:colOff>
      <xdr:row>565</xdr:row>
      <xdr:rowOff>121920</xdr:rowOff>
    </xdr:to>
    <xdr:sp macro="" textlink="">
      <xdr:nvSpPr>
        <xdr:cNvPr id="3552" name="AutoShape 480" descr="Florida Panthers">
          <a:extLst>
            <a:ext uri="{FF2B5EF4-FFF2-40B4-BE49-F238E27FC236}">
              <a16:creationId xmlns:a16="http://schemas.microsoft.com/office/drawing/2014/main" xmlns="" id="{00000000-0008-0000-0D00-0000E00D0000}"/>
            </a:ext>
          </a:extLst>
        </xdr:cNvPr>
        <xdr:cNvSpPr>
          <a:spLocks noChangeAspect="1" noChangeArrowheads="1"/>
        </xdr:cNvSpPr>
      </xdr:nvSpPr>
      <xdr:spPr bwMode="auto">
        <a:xfrm>
          <a:off x="0" y="18123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703</xdr:row>
      <xdr:rowOff>0</xdr:rowOff>
    </xdr:from>
    <xdr:to>
      <xdr:col>0</xdr:col>
      <xdr:colOff>304800</xdr:colOff>
      <xdr:row>704</xdr:row>
      <xdr:rowOff>121920</xdr:rowOff>
    </xdr:to>
    <xdr:sp macro="" textlink="">
      <xdr:nvSpPr>
        <xdr:cNvPr id="3553" name="AutoShape 481" descr="Boston Bruins">
          <a:extLst>
            <a:ext uri="{FF2B5EF4-FFF2-40B4-BE49-F238E27FC236}">
              <a16:creationId xmlns:a16="http://schemas.microsoft.com/office/drawing/2014/main" xmlns="" id="{00000000-0008-0000-0D00-0000E10D0000}"/>
            </a:ext>
          </a:extLst>
        </xdr:cNvPr>
        <xdr:cNvSpPr>
          <a:spLocks noChangeAspect="1" noChangeArrowheads="1"/>
        </xdr:cNvSpPr>
      </xdr:nvSpPr>
      <xdr:spPr bwMode="auto">
        <a:xfrm>
          <a:off x="0" y="18160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690</xdr:row>
      <xdr:rowOff>0</xdr:rowOff>
    </xdr:from>
    <xdr:to>
      <xdr:col>0</xdr:col>
      <xdr:colOff>304800</xdr:colOff>
      <xdr:row>691</xdr:row>
      <xdr:rowOff>121920</xdr:rowOff>
    </xdr:to>
    <xdr:sp macro="" textlink="">
      <xdr:nvSpPr>
        <xdr:cNvPr id="3554" name="AutoShape 482" descr="Chicago Blackhawks">
          <a:extLst>
            <a:ext uri="{FF2B5EF4-FFF2-40B4-BE49-F238E27FC236}">
              <a16:creationId xmlns:a16="http://schemas.microsoft.com/office/drawing/2014/main" xmlns="" id="{00000000-0008-0000-0D00-0000E20D0000}"/>
            </a:ext>
          </a:extLst>
        </xdr:cNvPr>
        <xdr:cNvSpPr>
          <a:spLocks noChangeAspect="1" noChangeArrowheads="1"/>
        </xdr:cNvSpPr>
      </xdr:nvSpPr>
      <xdr:spPr bwMode="auto">
        <a:xfrm>
          <a:off x="0" y="18198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167</xdr:row>
      <xdr:rowOff>0</xdr:rowOff>
    </xdr:from>
    <xdr:to>
      <xdr:col>0</xdr:col>
      <xdr:colOff>304800</xdr:colOff>
      <xdr:row>168</xdr:row>
      <xdr:rowOff>121920</xdr:rowOff>
    </xdr:to>
    <xdr:sp macro="" textlink="">
      <xdr:nvSpPr>
        <xdr:cNvPr id="3555" name="AutoShape 483" descr="New York Rangers">
          <a:extLst>
            <a:ext uri="{FF2B5EF4-FFF2-40B4-BE49-F238E27FC236}">
              <a16:creationId xmlns:a16="http://schemas.microsoft.com/office/drawing/2014/main" xmlns="" id="{00000000-0008-0000-0D00-0000E30D0000}"/>
            </a:ext>
          </a:extLst>
        </xdr:cNvPr>
        <xdr:cNvSpPr>
          <a:spLocks noChangeAspect="1" noChangeArrowheads="1"/>
        </xdr:cNvSpPr>
      </xdr:nvSpPr>
      <xdr:spPr bwMode="auto">
        <a:xfrm>
          <a:off x="0" y="18235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596</xdr:row>
      <xdr:rowOff>0</xdr:rowOff>
    </xdr:from>
    <xdr:to>
      <xdr:col>0</xdr:col>
      <xdr:colOff>304800</xdr:colOff>
      <xdr:row>597</xdr:row>
      <xdr:rowOff>121920</xdr:rowOff>
    </xdr:to>
    <xdr:sp macro="" textlink="">
      <xdr:nvSpPr>
        <xdr:cNvPr id="3556" name="AutoShape 484" descr="New York Islanders">
          <a:extLst>
            <a:ext uri="{FF2B5EF4-FFF2-40B4-BE49-F238E27FC236}">
              <a16:creationId xmlns:a16="http://schemas.microsoft.com/office/drawing/2014/main" xmlns="" id="{00000000-0008-0000-0D00-0000E40D0000}"/>
            </a:ext>
          </a:extLst>
        </xdr:cNvPr>
        <xdr:cNvSpPr>
          <a:spLocks noChangeAspect="1" noChangeArrowheads="1"/>
        </xdr:cNvSpPr>
      </xdr:nvSpPr>
      <xdr:spPr bwMode="auto">
        <a:xfrm>
          <a:off x="0" y="18272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299</xdr:row>
      <xdr:rowOff>0</xdr:rowOff>
    </xdr:from>
    <xdr:to>
      <xdr:col>0</xdr:col>
      <xdr:colOff>304800</xdr:colOff>
      <xdr:row>300</xdr:row>
      <xdr:rowOff>121920</xdr:rowOff>
    </xdr:to>
    <xdr:sp macro="" textlink="">
      <xdr:nvSpPr>
        <xdr:cNvPr id="3557" name="AutoShape 485" descr="Columbus Blue Jackets">
          <a:extLst>
            <a:ext uri="{FF2B5EF4-FFF2-40B4-BE49-F238E27FC236}">
              <a16:creationId xmlns:a16="http://schemas.microsoft.com/office/drawing/2014/main" xmlns="" id="{00000000-0008-0000-0D00-0000E50D0000}"/>
            </a:ext>
          </a:extLst>
        </xdr:cNvPr>
        <xdr:cNvSpPr>
          <a:spLocks noChangeAspect="1" noChangeArrowheads="1"/>
        </xdr:cNvSpPr>
      </xdr:nvSpPr>
      <xdr:spPr bwMode="auto">
        <a:xfrm>
          <a:off x="0" y="18328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310</xdr:row>
      <xdr:rowOff>0</xdr:rowOff>
    </xdr:from>
    <xdr:to>
      <xdr:col>0</xdr:col>
      <xdr:colOff>304800</xdr:colOff>
      <xdr:row>311</xdr:row>
      <xdr:rowOff>121920</xdr:rowOff>
    </xdr:to>
    <xdr:sp macro="" textlink="">
      <xdr:nvSpPr>
        <xdr:cNvPr id="3558" name="AutoShape 486" descr="Detroit Red Wings">
          <a:extLst>
            <a:ext uri="{FF2B5EF4-FFF2-40B4-BE49-F238E27FC236}">
              <a16:creationId xmlns:a16="http://schemas.microsoft.com/office/drawing/2014/main" xmlns="" id="{00000000-0008-0000-0D00-0000E60D0000}"/>
            </a:ext>
          </a:extLst>
        </xdr:cNvPr>
        <xdr:cNvSpPr>
          <a:spLocks noChangeAspect="1" noChangeArrowheads="1"/>
        </xdr:cNvSpPr>
      </xdr:nvSpPr>
      <xdr:spPr bwMode="auto">
        <a:xfrm>
          <a:off x="0" y="18365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147</xdr:row>
      <xdr:rowOff>0</xdr:rowOff>
    </xdr:from>
    <xdr:to>
      <xdr:col>0</xdr:col>
      <xdr:colOff>304800</xdr:colOff>
      <xdr:row>148</xdr:row>
      <xdr:rowOff>121920</xdr:rowOff>
    </xdr:to>
    <xdr:sp macro="" textlink="">
      <xdr:nvSpPr>
        <xdr:cNvPr id="3559" name="AutoShape 487" descr="Chicago Blackhawks">
          <a:extLst>
            <a:ext uri="{FF2B5EF4-FFF2-40B4-BE49-F238E27FC236}">
              <a16:creationId xmlns:a16="http://schemas.microsoft.com/office/drawing/2014/main" xmlns="" id="{00000000-0008-0000-0D00-0000E70D0000}"/>
            </a:ext>
          </a:extLst>
        </xdr:cNvPr>
        <xdr:cNvSpPr>
          <a:spLocks noChangeAspect="1" noChangeArrowheads="1"/>
        </xdr:cNvSpPr>
      </xdr:nvSpPr>
      <xdr:spPr bwMode="auto">
        <a:xfrm>
          <a:off x="0" y="18403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295</xdr:row>
      <xdr:rowOff>0</xdr:rowOff>
    </xdr:from>
    <xdr:to>
      <xdr:col>0</xdr:col>
      <xdr:colOff>304800</xdr:colOff>
      <xdr:row>296</xdr:row>
      <xdr:rowOff>121920</xdr:rowOff>
    </xdr:to>
    <xdr:sp macro="" textlink="">
      <xdr:nvSpPr>
        <xdr:cNvPr id="3560" name="AutoShape 488" descr="Nashville Predators">
          <a:extLst>
            <a:ext uri="{FF2B5EF4-FFF2-40B4-BE49-F238E27FC236}">
              <a16:creationId xmlns:a16="http://schemas.microsoft.com/office/drawing/2014/main" xmlns="" id="{00000000-0008-0000-0D00-0000E80D0000}"/>
            </a:ext>
          </a:extLst>
        </xdr:cNvPr>
        <xdr:cNvSpPr>
          <a:spLocks noChangeAspect="1" noChangeArrowheads="1"/>
        </xdr:cNvSpPr>
      </xdr:nvSpPr>
      <xdr:spPr bwMode="auto">
        <a:xfrm>
          <a:off x="0" y="18440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547</xdr:row>
      <xdr:rowOff>0</xdr:rowOff>
    </xdr:from>
    <xdr:to>
      <xdr:col>0</xdr:col>
      <xdr:colOff>304800</xdr:colOff>
      <xdr:row>548</xdr:row>
      <xdr:rowOff>121920</xdr:rowOff>
    </xdr:to>
    <xdr:sp macro="" textlink="">
      <xdr:nvSpPr>
        <xdr:cNvPr id="3561" name="AutoShape 489" descr="Tampa Bay Lightning">
          <a:extLst>
            <a:ext uri="{FF2B5EF4-FFF2-40B4-BE49-F238E27FC236}">
              <a16:creationId xmlns:a16="http://schemas.microsoft.com/office/drawing/2014/main" xmlns="" id="{00000000-0008-0000-0D00-0000E90D0000}"/>
            </a:ext>
          </a:extLst>
        </xdr:cNvPr>
        <xdr:cNvSpPr>
          <a:spLocks noChangeAspect="1" noChangeArrowheads="1"/>
        </xdr:cNvSpPr>
      </xdr:nvSpPr>
      <xdr:spPr bwMode="auto">
        <a:xfrm>
          <a:off x="0" y="18477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805</xdr:row>
      <xdr:rowOff>0</xdr:rowOff>
    </xdr:from>
    <xdr:to>
      <xdr:col>0</xdr:col>
      <xdr:colOff>304800</xdr:colOff>
      <xdr:row>806</xdr:row>
      <xdr:rowOff>121920</xdr:rowOff>
    </xdr:to>
    <xdr:sp macro="" textlink="">
      <xdr:nvSpPr>
        <xdr:cNvPr id="3562" name="AutoShape 490" descr="Chicago Blackhawks">
          <a:extLst>
            <a:ext uri="{FF2B5EF4-FFF2-40B4-BE49-F238E27FC236}">
              <a16:creationId xmlns:a16="http://schemas.microsoft.com/office/drawing/2014/main" xmlns="" id="{00000000-0008-0000-0D00-0000EA0D0000}"/>
            </a:ext>
          </a:extLst>
        </xdr:cNvPr>
        <xdr:cNvSpPr>
          <a:spLocks noChangeAspect="1" noChangeArrowheads="1"/>
        </xdr:cNvSpPr>
      </xdr:nvSpPr>
      <xdr:spPr bwMode="auto">
        <a:xfrm>
          <a:off x="0" y="18515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263</xdr:row>
      <xdr:rowOff>0</xdr:rowOff>
    </xdr:from>
    <xdr:to>
      <xdr:col>0</xdr:col>
      <xdr:colOff>304800</xdr:colOff>
      <xdr:row>264</xdr:row>
      <xdr:rowOff>121920</xdr:rowOff>
    </xdr:to>
    <xdr:sp macro="" textlink="">
      <xdr:nvSpPr>
        <xdr:cNvPr id="3563" name="AutoShape 491" descr="Edmonton Oilers">
          <a:extLst>
            <a:ext uri="{FF2B5EF4-FFF2-40B4-BE49-F238E27FC236}">
              <a16:creationId xmlns:a16="http://schemas.microsoft.com/office/drawing/2014/main" xmlns="" id="{00000000-0008-0000-0D00-0000EB0D0000}"/>
            </a:ext>
          </a:extLst>
        </xdr:cNvPr>
        <xdr:cNvSpPr>
          <a:spLocks noChangeAspect="1" noChangeArrowheads="1"/>
        </xdr:cNvSpPr>
      </xdr:nvSpPr>
      <xdr:spPr bwMode="auto">
        <a:xfrm>
          <a:off x="0" y="18552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439</xdr:row>
      <xdr:rowOff>0</xdr:rowOff>
    </xdr:from>
    <xdr:to>
      <xdr:col>0</xdr:col>
      <xdr:colOff>304800</xdr:colOff>
      <xdr:row>440</xdr:row>
      <xdr:rowOff>121920</xdr:rowOff>
    </xdr:to>
    <xdr:sp macro="" textlink="">
      <xdr:nvSpPr>
        <xdr:cNvPr id="3564" name="AutoShape 492" descr="Anaheim Ducks">
          <a:extLst>
            <a:ext uri="{FF2B5EF4-FFF2-40B4-BE49-F238E27FC236}">
              <a16:creationId xmlns:a16="http://schemas.microsoft.com/office/drawing/2014/main" xmlns="" id="{00000000-0008-0000-0D00-0000EC0D0000}"/>
            </a:ext>
          </a:extLst>
        </xdr:cNvPr>
        <xdr:cNvSpPr>
          <a:spLocks noChangeAspect="1" noChangeArrowheads="1"/>
        </xdr:cNvSpPr>
      </xdr:nvSpPr>
      <xdr:spPr bwMode="auto">
        <a:xfrm>
          <a:off x="0" y="18589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292</xdr:row>
      <xdr:rowOff>0</xdr:rowOff>
    </xdr:from>
    <xdr:to>
      <xdr:col>0</xdr:col>
      <xdr:colOff>304800</xdr:colOff>
      <xdr:row>293</xdr:row>
      <xdr:rowOff>121920</xdr:rowOff>
    </xdr:to>
    <xdr:sp macro="" textlink="">
      <xdr:nvSpPr>
        <xdr:cNvPr id="3565" name="AutoShape 493" descr="San Jose Sharks">
          <a:extLst>
            <a:ext uri="{FF2B5EF4-FFF2-40B4-BE49-F238E27FC236}">
              <a16:creationId xmlns:a16="http://schemas.microsoft.com/office/drawing/2014/main" xmlns="" id="{00000000-0008-0000-0D00-0000ED0D0000}"/>
            </a:ext>
          </a:extLst>
        </xdr:cNvPr>
        <xdr:cNvSpPr>
          <a:spLocks noChangeAspect="1" noChangeArrowheads="1"/>
        </xdr:cNvSpPr>
      </xdr:nvSpPr>
      <xdr:spPr bwMode="auto">
        <a:xfrm>
          <a:off x="0" y="1862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767</xdr:row>
      <xdr:rowOff>0</xdr:rowOff>
    </xdr:from>
    <xdr:to>
      <xdr:col>0</xdr:col>
      <xdr:colOff>304800</xdr:colOff>
      <xdr:row>768</xdr:row>
      <xdr:rowOff>121920</xdr:rowOff>
    </xdr:to>
    <xdr:sp macro="" textlink="">
      <xdr:nvSpPr>
        <xdr:cNvPr id="3566" name="AutoShape 494" descr="Tampa Bay Lightning">
          <a:extLst>
            <a:ext uri="{FF2B5EF4-FFF2-40B4-BE49-F238E27FC236}">
              <a16:creationId xmlns:a16="http://schemas.microsoft.com/office/drawing/2014/main" xmlns="" id="{00000000-0008-0000-0D00-0000EE0D0000}"/>
            </a:ext>
          </a:extLst>
        </xdr:cNvPr>
        <xdr:cNvSpPr>
          <a:spLocks noChangeAspect="1" noChangeArrowheads="1"/>
        </xdr:cNvSpPr>
      </xdr:nvSpPr>
      <xdr:spPr bwMode="auto">
        <a:xfrm>
          <a:off x="0" y="18664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472</xdr:row>
      <xdr:rowOff>0</xdr:rowOff>
    </xdr:from>
    <xdr:to>
      <xdr:col>0</xdr:col>
      <xdr:colOff>304800</xdr:colOff>
      <xdr:row>473</xdr:row>
      <xdr:rowOff>121920</xdr:rowOff>
    </xdr:to>
    <xdr:sp macro="" textlink="">
      <xdr:nvSpPr>
        <xdr:cNvPr id="3567" name="AutoShape 495" descr="Columbus Blue Jackets">
          <a:extLst>
            <a:ext uri="{FF2B5EF4-FFF2-40B4-BE49-F238E27FC236}">
              <a16:creationId xmlns:a16="http://schemas.microsoft.com/office/drawing/2014/main" xmlns="" id="{00000000-0008-0000-0D00-0000EF0D0000}"/>
            </a:ext>
          </a:extLst>
        </xdr:cNvPr>
        <xdr:cNvSpPr>
          <a:spLocks noChangeAspect="1" noChangeArrowheads="1"/>
        </xdr:cNvSpPr>
      </xdr:nvSpPr>
      <xdr:spPr bwMode="auto">
        <a:xfrm>
          <a:off x="0" y="18701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694</xdr:row>
      <xdr:rowOff>0</xdr:rowOff>
    </xdr:from>
    <xdr:to>
      <xdr:col>0</xdr:col>
      <xdr:colOff>304800</xdr:colOff>
      <xdr:row>695</xdr:row>
      <xdr:rowOff>121920</xdr:rowOff>
    </xdr:to>
    <xdr:sp macro="" textlink="">
      <xdr:nvSpPr>
        <xdr:cNvPr id="3568" name="AutoShape 496" descr="Dallas Stars">
          <a:extLst>
            <a:ext uri="{FF2B5EF4-FFF2-40B4-BE49-F238E27FC236}">
              <a16:creationId xmlns:a16="http://schemas.microsoft.com/office/drawing/2014/main" xmlns="" id="{00000000-0008-0000-0D00-0000F00D0000}"/>
            </a:ext>
          </a:extLst>
        </xdr:cNvPr>
        <xdr:cNvSpPr>
          <a:spLocks noChangeAspect="1" noChangeArrowheads="1"/>
        </xdr:cNvSpPr>
      </xdr:nvSpPr>
      <xdr:spPr bwMode="auto">
        <a:xfrm>
          <a:off x="0" y="18739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145</xdr:row>
      <xdr:rowOff>0</xdr:rowOff>
    </xdr:from>
    <xdr:to>
      <xdr:col>0</xdr:col>
      <xdr:colOff>304800</xdr:colOff>
      <xdr:row>146</xdr:row>
      <xdr:rowOff>121920</xdr:rowOff>
    </xdr:to>
    <xdr:sp macro="" textlink="">
      <xdr:nvSpPr>
        <xdr:cNvPr id="3569" name="AutoShape 497" descr="Arizona Coyotes">
          <a:extLst>
            <a:ext uri="{FF2B5EF4-FFF2-40B4-BE49-F238E27FC236}">
              <a16:creationId xmlns:a16="http://schemas.microsoft.com/office/drawing/2014/main" xmlns="" id="{00000000-0008-0000-0D00-0000F10D0000}"/>
            </a:ext>
          </a:extLst>
        </xdr:cNvPr>
        <xdr:cNvSpPr>
          <a:spLocks noChangeAspect="1" noChangeArrowheads="1"/>
        </xdr:cNvSpPr>
      </xdr:nvSpPr>
      <xdr:spPr bwMode="auto">
        <a:xfrm>
          <a:off x="0" y="18758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222</xdr:row>
      <xdr:rowOff>0</xdr:rowOff>
    </xdr:from>
    <xdr:to>
      <xdr:col>0</xdr:col>
      <xdr:colOff>304800</xdr:colOff>
      <xdr:row>223</xdr:row>
      <xdr:rowOff>121920</xdr:rowOff>
    </xdr:to>
    <xdr:sp macro="" textlink="">
      <xdr:nvSpPr>
        <xdr:cNvPr id="3570" name="AutoShape 498" descr="Chicago Blackhawks">
          <a:extLst>
            <a:ext uri="{FF2B5EF4-FFF2-40B4-BE49-F238E27FC236}">
              <a16:creationId xmlns:a16="http://schemas.microsoft.com/office/drawing/2014/main" xmlns="" id="{00000000-0008-0000-0D00-0000F20D0000}"/>
            </a:ext>
          </a:extLst>
        </xdr:cNvPr>
        <xdr:cNvSpPr>
          <a:spLocks noChangeAspect="1" noChangeArrowheads="1"/>
        </xdr:cNvSpPr>
      </xdr:nvSpPr>
      <xdr:spPr bwMode="auto">
        <a:xfrm>
          <a:off x="0" y="18795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268</xdr:row>
      <xdr:rowOff>0</xdr:rowOff>
    </xdr:from>
    <xdr:to>
      <xdr:col>0</xdr:col>
      <xdr:colOff>304800</xdr:colOff>
      <xdr:row>269</xdr:row>
      <xdr:rowOff>121920</xdr:rowOff>
    </xdr:to>
    <xdr:sp macro="" textlink="">
      <xdr:nvSpPr>
        <xdr:cNvPr id="3571" name="AutoShape 499" descr="Nashville Predators">
          <a:extLst>
            <a:ext uri="{FF2B5EF4-FFF2-40B4-BE49-F238E27FC236}">
              <a16:creationId xmlns:a16="http://schemas.microsoft.com/office/drawing/2014/main" xmlns="" id="{00000000-0008-0000-0D00-0000F30D0000}"/>
            </a:ext>
          </a:extLst>
        </xdr:cNvPr>
        <xdr:cNvSpPr>
          <a:spLocks noChangeAspect="1" noChangeArrowheads="1"/>
        </xdr:cNvSpPr>
      </xdr:nvSpPr>
      <xdr:spPr bwMode="auto">
        <a:xfrm>
          <a:off x="0" y="18832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585</xdr:row>
      <xdr:rowOff>0</xdr:rowOff>
    </xdr:from>
    <xdr:to>
      <xdr:col>0</xdr:col>
      <xdr:colOff>304800</xdr:colOff>
      <xdr:row>586</xdr:row>
      <xdr:rowOff>121920</xdr:rowOff>
    </xdr:to>
    <xdr:sp macro="" textlink="">
      <xdr:nvSpPr>
        <xdr:cNvPr id="3572" name="AutoShape 500" descr="Philadelphia Flyers">
          <a:extLst>
            <a:ext uri="{FF2B5EF4-FFF2-40B4-BE49-F238E27FC236}">
              <a16:creationId xmlns:a16="http://schemas.microsoft.com/office/drawing/2014/main" xmlns="" id="{00000000-0008-0000-0D00-0000F40D0000}"/>
            </a:ext>
          </a:extLst>
        </xdr:cNvPr>
        <xdr:cNvSpPr>
          <a:spLocks noChangeAspect="1" noChangeArrowheads="1"/>
        </xdr:cNvSpPr>
      </xdr:nvSpPr>
      <xdr:spPr bwMode="auto">
        <a:xfrm>
          <a:off x="0" y="18870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606</xdr:row>
      <xdr:rowOff>0</xdr:rowOff>
    </xdr:from>
    <xdr:to>
      <xdr:col>0</xdr:col>
      <xdr:colOff>304800</xdr:colOff>
      <xdr:row>607</xdr:row>
      <xdr:rowOff>121920</xdr:rowOff>
    </xdr:to>
    <xdr:sp macro="" textlink="">
      <xdr:nvSpPr>
        <xdr:cNvPr id="3573" name="AutoShape 501" descr="Chicago Blackhawks">
          <a:extLst>
            <a:ext uri="{FF2B5EF4-FFF2-40B4-BE49-F238E27FC236}">
              <a16:creationId xmlns:a16="http://schemas.microsoft.com/office/drawing/2014/main" xmlns="" id="{00000000-0008-0000-0D00-0000F50D0000}"/>
            </a:ext>
          </a:extLst>
        </xdr:cNvPr>
        <xdr:cNvSpPr>
          <a:spLocks noChangeAspect="1" noChangeArrowheads="1"/>
        </xdr:cNvSpPr>
      </xdr:nvSpPr>
      <xdr:spPr bwMode="auto">
        <a:xfrm>
          <a:off x="0" y="189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121920</xdr:rowOff>
    </xdr:to>
    <xdr:sp macro="" textlink="">
      <xdr:nvSpPr>
        <xdr:cNvPr id="3574" name="AutoShape 502" descr="Tampa Bay Lightning">
          <a:extLst>
            <a:ext uri="{FF2B5EF4-FFF2-40B4-BE49-F238E27FC236}">
              <a16:creationId xmlns:a16="http://schemas.microsoft.com/office/drawing/2014/main" xmlns="" id="{00000000-0008-0000-0D00-0000F60D0000}"/>
            </a:ext>
          </a:extLst>
        </xdr:cNvPr>
        <xdr:cNvSpPr>
          <a:spLocks noChangeAspect="1" noChangeArrowheads="1"/>
        </xdr:cNvSpPr>
      </xdr:nvSpPr>
      <xdr:spPr bwMode="auto">
        <a:xfrm>
          <a:off x="0" y="18944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175</xdr:row>
      <xdr:rowOff>0</xdr:rowOff>
    </xdr:from>
    <xdr:to>
      <xdr:col>0</xdr:col>
      <xdr:colOff>304800</xdr:colOff>
      <xdr:row>176</xdr:row>
      <xdr:rowOff>121920</xdr:rowOff>
    </xdr:to>
    <xdr:sp macro="" textlink="">
      <xdr:nvSpPr>
        <xdr:cNvPr id="3575" name="AutoShape 503" descr="Detroit Red Wings">
          <a:extLst>
            <a:ext uri="{FF2B5EF4-FFF2-40B4-BE49-F238E27FC236}">
              <a16:creationId xmlns:a16="http://schemas.microsoft.com/office/drawing/2014/main" xmlns="" id="{00000000-0008-0000-0D00-0000F70D0000}"/>
            </a:ext>
          </a:extLst>
        </xdr:cNvPr>
        <xdr:cNvSpPr>
          <a:spLocks noChangeAspect="1" noChangeArrowheads="1"/>
        </xdr:cNvSpPr>
      </xdr:nvSpPr>
      <xdr:spPr bwMode="auto">
        <a:xfrm>
          <a:off x="0" y="18982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404</xdr:row>
      <xdr:rowOff>0</xdr:rowOff>
    </xdr:from>
    <xdr:to>
      <xdr:col>0</xdr:col>
      <xdr:colOff>304800</xdr:colOff>
      <xdr:row>405</xdr:row>
      <xdr:rowOff>121920</xdr:rowOff>
    </xdr:to>
    <xdr:sp macro="" textlink="">
      <xdr:nvSpPr>
        <xdr:cNvPr id="3576" name="AutoShape 504" descr="Buffalo Sabres">
          <a:extLst>
            <a:ext uri="{FF2B5EF4-FFF2-40B4-BE49-F238E27FC236}">
              <a16:creationId xmlns:a16="http://schemas.microsoft.com/office/drawing/2014/main" xmlns="" id="{00000000-0008-0000-0D00-0000F80D0000}"/>
            </a:ext>
          </a:extLst>
        </xdr:cNvPr>
        <xdr:cNvSpPr>
          <a:spLocks noChangeAspect="1" noChangeArrowheads="1"/>
        </xdr:cNvSpPr>
      </xdr:nvSpPr>
      <xdr:spPr bwMode="auto">
        <a:xfrm>
          <a:off x="0" y="19019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407</xdr:row>
      <xdr:rowOff>0</xdr:rowOff>
    </xdr:from>
    <xdr:to>
      <xdr:col>0</xdr:col>
      <xdr:colOff>304800</xdr:colOff>
      <xdr:row>408</xdr:row>
      <xdr:rowOff>121920</xdr:rowOff>
    </xdr:to>
    <xdr:sp macro="" textlink="">
      <xdr:nvSpPr>
        <xdr:cNvPr id="3577" name="AutoShape 505" descr="Vancouver Canucks">
          <a:extLst>
            <a:ext uri="{FF2B5EF4-FFF2-40B4-BE49-F238E27FC236}">
              <a16:creationId xmlns:a16="http://schemas.microsoft.com/office/drawing/2014/main" xmlns="" id="{00000000-0008-0000-0D00-0000F90D0000}"/>
            </a:ext>
          </a:extLst>
        </xdr:cNvPr>
        <xdr:cNvSpPr>
          <a:spLocks noChangeAspect="1" noChangeArrowheads="1"/>
        </xdr:cNvSpPr>
      </xdr:nvSpPr>
      <xdr:spPr bwMode="auto">
        <a:xfrm>
          <a:off x="0" y="19056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829</xdr:row>
      <xdr:rowOff>0</xdr:rowOff>
    </xdr:from>
    <xdr:to>
      <xdr:col>0</xdr:col>
      <xdr:colOff>304800</xdr:colOff>
      <xdr:row>830</xdr:row>
      <xdr:rowOff>121920</xdr:rowOff>
    </xdr:to>
    <xdr:sp macro="" textlink="">
      <xdr:nvSpPr>
        <xdr:cNvPr id="3578" name="AutoShape 506" descr="New Jersey Devils">
          <a:extLst>
            <a:ext uri="{FF2B5EF4-FFF2-40B4-BE49-F238E27FC236}">
              <a16:creationId xmlns:a16="http://schemas.microsoft.com/office/drawing/2014/main" xmlns="" id="{00000000-0008-0000-0D00-0000FA0D0000}"/>
            </a:ext>
          </a:extLst>
        </xdr:cNvPr>
        <xdr:cNvSpPr>
          <a:spLocks noChangeAspect="1" noChangeArrowheads="1"/>
        </xdr:cNvSpPr>
      </xdr:nvSpPr>
      <xdr:spPr bwMode="auto">
        <a:xfrm>
          <a:off x="0" y="19094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556</xdr:row>
      <xdr:rowOff>0</xdr:rowOff>
    </xdr:from>
    <xdr:to>
      <xdr:col>0</xdr:col>
      <xdr:colOff>304800</xdr:colOff>
      <xdr:row>557</xdr:row>
      <xdr:rowOff>121920</xdr:rowOff>
    </xdr:to>
    <xdr:sp macro="" textlink="">
      <xdr:nvSpPr>
        <xdr:cNvPr id="3579" name="AutoShape 507" descr="Florida Panthers">
          <a:extLst>
            <a:ext uri="{FF2B5EF4-FFF2-40B4-BE49-F238E27FC236}">
              <a16:creationId xmlns:a16="http://schemas.microsoft.com/office/drawing/2014/main" xmlns="" id="{00000000-0008-0000-0D00-0000FB0D0000}"/>
            </a:ext>
          </a:extLst>
        </xdr:cNvPr>
        <xdr:cNvSpPr>
          <a:spLocks noChangeAspect="1" noChangeArrowheads="1"/>
        </xdr:cNvSpPr>
      </xdr:nvSpPr>
      <xdr:spPr bwMode="auto">
        <a:xfrm>
          <a:off x="0" y="19131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290</xdr:row>
      <xdr:rowOff>0</xdr:rowOff>
    </xdr:from>
    <xdr:to>
      <xdr:col>0</xdr:col>
      <xdr:colOff>304800</xdr:colOff>
      <xdr:row>291</xdr:row>
      <xdr:rowOff>121920</xdr:rowOff>
    </xdr:to>
    <xdr:sp macro="" textlink="">
      <xdr:nvSpPr>
        <xdr:cNvPr id="3580" name="AutoShape 508" descr="Ottawa Senators">
          <a:extLst>
            <a:ext uri="{FF2B5EF4-FFF2-40B4-BE49-F238E27FC236}">
              <a16:creationId xmlns:a16="http://schemas.microsoft.com/office/drawing/2014/main" xmlns="" id="{00000000-0008-0000-0D00-0000FC0D0000}"/>
            </a:ext>
          </a:extLst>
        </xdr:cNvPr>
        <xdr:cNvSpPr>
          <a:spLocks noChangeAspect="1" noChangeArrowheads="1"/>
        </xdr:cNvSpPr>
      </xdr:nvSpPr>
      <xdr:spPr bwMode="auto">
        <a:xfrm>
          <a:off x="0" y="19168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xdr:row>
      <xdr:rowOff>0</xdr:rowOff>
    </xdr:from>
    <xdr:to>
      <xdr:col>0</xdr:col>
      <xdr:colOff>304800</xdr:colOff>
      <xdr:row>26</xdr:row>
      <xdr:rowOff>121920</xdr:rowOff>
    </xdr:to>
    <xdr:sp macro="" textlink="">
      <xdr:nvSpPr>
        <xdr:cNvPr id="3581" name="AutoShape 509" descr="Los Angeles Kings">
          <a:extLst>
            <a:ext uri="{FF2B5EF4-FFF2-40B4-BE49-F238E27FC236}">
              <a16:creationId xmlns:a16="http://schemas.microsoft.com/office/drawing/2014/main" xmlns="" id="{00000000-0008-0000-0D00-0000FD0D0000}"/>
            </a:ext>
          </a:extLst>
        </xdr:cNvPr>
        <xdr:cNvSpPr>
          <a:spLocks noChangeAspect="1" noChangeArrowheads="1"/>
        </xdr:cNvSpPr>
      </xdr:nvSpPr>
      <xdr:spPr bwMode="auto">
        <a:xfrm>
          <a:off x="0" y="1920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298</xdr:row>
      <xdr:rowOff>0</xdr:rowOff>
    </xdr:from>
    <xdr:to>
      <xdr:col>0</xdr:col>
      <xdr:colOff>304800</xdr:colOff>
      <xdr:row>299</xdr:row>
      <xdr:rowOff>121920</xdr:rowOff>
    </xdr:to>
    <xdr:sp macro="" textlink="">
      <xdr:nvSpPr>
        <xdr:cNvPr id="3582" name="AutoShape 510" descr="Pittsburgh Penguins">
          <a:extLst>
            <a:ext uri="{FF2B5EF4-FFF2-40B4-BE49-F238E27FC236}">
              <a16:creationId xmlns:a16="http://schemas.microsoft.com/office/drawing/2014/main" xmlns="" id="{00000000-0008-0000-0D00-0000FE0D0000}"/>
            </a:ext>
          </a:extLst>
        </xdr:cNvPr>
        <xdr:cNvSpPr>
          <a:spLocks noChangeAspect="1" noChangeArrowheads="1"/>
        </xdr:cNvSpPr>
      </xdr:nvSpPr>
      <xdr:spPr bwMode="auto">
        <a:xfrm>
          <a:off x="0" y="19243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379</xdr:row>
      <xdr:rowOff>0</xdr:rowOff>
    </xdr:from>
    <xdr:to>
      <xdr:col>0</xdr:col>
      <xdr:colOff>304800</xdr:colOff>
      <xdr:row>380</xdr:row>
      <xdr:rowOff>121920</xdr:rowOff>
    </xdr:to>
    <xdr:sp macro="" textlink="">
      <xdr:nvSpPr>
        <xdr:cNvPr id="3583" name="AutoShape 511" descr="Arizona Coyotes">
          <a:extLst>
            <a:ext uri="{FF2B5EF4-FFF2-40B4-BE49-F238E27FC236}">
              <a16:creationId xmlns:a16="http://schemas.microsoft.com/office/drawing/2014/main" xmlns="" id="{00000000-0008-0000-0D00-0000FF0D0000}"/>
            </a:ext>
          </a:extLst>
        </xdr:cNvPr>
        <xdr:cNvSpPr>
          <a:spLocks noChangeAspect="1" noChangeArrowheads="1"/>
        </xdr:cNvSpPr>
      </xdr:nvSpPr>
      <xdr:spPr bwMode="auto">
        <a:xfrm>
          <a:off x="0" y="19280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741</xdr:row>
      <xdr:rowOff>0</xdr:rowOff>
    </xdr:from>
    <xdr:to>
      <xdr:col>0</xdr:col>
      <xdr:colOff>304800</xdr:colOff>
      <xdr:row>742</xdr:row>
      <xdr:rowOff>121920</xdr:rowOff>
    </xdr:to>
    <xdr:sp macro="" textlink="">
      <xdr:nvSpPr>
        <xdr:cNvPr id="3584" name="AutoShape 512" descr="Edmonton Oilers">
          <a:extLst>
            <a:ext uri="{FF2B5EF4-FFF2-40B4-BE49-F238E27FC236}">
              <a16:creationId xmlns:a16="http://schemas.microsoft.com/office/drawing/2014/main" xmlns="" id="{00000000-0008-0000-0D00-0000000E0000}"/>
            </a:ext>
          </a:extLst>
        </xdr:cNvPr>
        <xdr:cNvSpPr>
          <a:spLocks noChangeAspect="1" noChangeArrowheads="1"/>
        </xdr:cNvSpPr>
      </xdr:nvSpPr>
      <xdr:spPr bwMode="auto">
        <a:xfrm>
          <a:off x="0" y="19318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421</xdr:row>
      <xdr:rowOff>0</xdr:rowOff>
    </xdr:from>
    <xdr:to>
      <xdr:col>0</xdr:col>
      <xdr:colOff>304800</xdr:colOff>
      <xdr:row>422</xdr:row>
      <xdr:rowOff>121920</xdr:rowOff>
    </xdr:to>
    <xdr:sp macro="" textlink="">
      <xdr:nvSpPr>
        <xdr:cNvPr id="3585" name="AutoShape 513" descr="Chicago Blackhawks">
          <a:extLst>
            <a:ext uri="{FF2B5EF4-FFF2-40B4-BE49-F238E27FC236}">
              <a16:creationId xmlns:a16="http://schemas.microsoft.com/office/drawing/2014/main" xmlns="" id="{00000000-0008-0000-0D00-0000010E0000}"/>
            </a:ext>
          </a:extLst>
        </xdr:cNvPr>
        <xdr:cNvSpPr>
          <a:spLocks noChangeAspect="1" noChangeArrowheads="1"/>
        </xdr:cNvSpPr>
      </xdr:nvSpPr>
      <xdr:spPr bwMode="auto">
        <a:xfrm>
          <a:off x="0" y="19355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151</xdr:row>
      <xdr:rowOff>0</xdr:rowOff>
    </xdr:from>
    <xdr:to>
      <xdr:col>0</xdr:col>
      <xdr:colOff>304800</xdr:colOff>
      <xdr:row>152</xdr:row>
      <xdr:rowOff>121920</xdr:rowOff>
    </xdr:to>
    <xdr:sp macro="" textlink="">
      <xdr:nvSpPr>
        <xdr:cNvPr id="3586" name="AutoShape 514" descr="Minnesota Wild">
          <a:extLst>
            <a:ext uri="{FF2B5EF4-FFF2-40B4-BE49-F238E27FC236}">
              <a16:creationId xmlns:a16="http://schemas.microsoft.com/office/drawing/2014/main" xmlns="" id="{00000000-0008-0000-0D00-0000020E0000}"/>
            </a:ext>
          </a:extLst>
        </xdr:cNvPr>
        <xdr:cNvSpPr>
          <a:spLocks noChangeAspect="1" noChangeArrowheads="1"/>
        </xdr:cNvSpPr>
      </xdr:nvSpPr>
      <xdr:spPr bwMode="auto">
        <a:xfrm>
          <a:off x="0" y="1939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xdr:row>
      <xdr:rowOff>0</xdr:rowOff>
    </xdr:from>
    <xdr:to>
      <xdr:col>0</xdr:col>
      <xdr:colOff>304800</xdr:colOff>
      <xdr:row>40</xdr:row>
      <xdr:rowOff>121920</xdr:rowOff>
    </xdr:to>
    <xdr:sp macro="" textlink="">
      <xdr:nvSpPr>
        <xdr:cNvPr id="3587" name="AutoShape 515" descr="Tampa Bay Lightning">
          <a:extLst>
            <a:ext uri="{FF2B5EF4-FFF2-40B4-BE49-F238E27FC236}">
              <a16:creationId xmlns:a16="http://schemas.microsoft.com/office/drawing/2014/main" xmlns="" id="{00000000-0008-0000-0D00-0000030E0000}"/>
            </a:ext>
          </a:extLst>
        </xdr:cNvPr>
        <xdr:cNvSpPr>
          <a:spLocks noChangeAspect="1" noChangeArrowheads="1"/>
        </xdr:cNvSpPr>
      </xdr:nvSpPr>
      <xdr:spPr bwMode="auto">
        <a:xfrm>
          <a:off x="0" y="19430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121920</xdr:rowOff>
    </xdr:to>
    <xdr:sp macro="" textlink="">
      <xdr:nvSpPr>
        <xdr:cNvPr id="3588" name="AutoShape 516" descr="Toronto Maple Leafs">
          <a:extLst>
            <a:ext uri="{FF2B5EF4-FFF2-40B4-BE49-F238E27FC236}">
              <a16:creationId xmlns:a16="http://schemas.microsoft.com/office/drawing/2014/main" xmlns="" id="{00000000-0008-0000-0D00-0000040E0000}"/>
            </a:ext>
          </a:extLst>
        </xdr:cNvPr>
        <xdr:cNvSpPr>
          <a:spLocks noChangeAspect="1" noChangeArrowheads="1"/>
        </xdr:cNvSpPr>
      </xdr:nvSpPr>
      <xdr:spPr bwMode="auto">
        <a:xfrm>
          <a:off x="0" y="19467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365</xdr:row>
      <xdr:rowOff>0</xdr:rowOff>
    </xdr:from>
    <xdr:to>
      <xdr:col>0</xdr:col>
      <xdr:colOff>304800</xdr:colOff>
      <xdr:row>366</xdr:row>
      <xdr:rowOff>121920</xdr:rowOff>
    </xdr:to>
    <xdr:sp macro="" textlink="">
      <xdr:nvSpPr>
        <xdr:cNvPr id="3589" name="AutoShape 517" descr="Winnipeg Jets">
          <a:extLst>
            <a:ext uri="{FF2B5EF4-FFF2-40B4-BE49-F238E27FC236}">
              <a16:creationId xmlns:a16="http://schemas.microsoft.com/office/drawing/2014/main" xmlns="" id="{00000000-0008-0000-0D00-0000050E0000}"/>
            </a:ext>
          </a:extLst>
        </xdr:cNvPr>
        <xdr:cNvSpPr>
          <a:spLocks noChangeAspect="1" noChangeArrowheads="1"/>
        </xdr:cNvSpPr>
      </xdr:nvSpPr>
      <xdr:spPr bwMode="auto">
        <a:xfrm>
          <a:off x="0" y="1950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139</xdr:row>
      <xdr:rowOff>0</xdr:rowOff>
    </xdr:from>
    <xdr:to>
      <xdr:col>0</xdr:col>
      <xdr:colOff>304800</xdr:colOff>
      <xdr:row>140</xdr:row>
      <xdr:rowOff>121920</xdr:rowOff>
    </xdr:to>
    <xdr:sp macro="" textlink="">
      <xdr:nvSpPr>
        <xdr:cNvPr id="3590" name="AutoShape 518" descr="Los Angeles Kings">
          <a:extLst>
            <a:ext uri="{FF2B5EF4-FFF2-40B4-BE49-F238E27FC236}">
              <a16:creationId xmlns:a16="http://schemas.microsoft.com/office/drawing/2014/main" xmlns="" id="{00000000-0008-0000-0D00-0000060E0000}"/>
            </a:ext>
          </a:extLst>
        </xdr:cNvPr>
        <xdr:cNvSpPr>
          <a:spLocks noChangeAspect="1" noChangeArrowheads="1"/>
        </xdr:cNvSpPr>
      </xdr:nvSpPr>
      <xdr:spPr bwMode="auto">
        <a:xfrm>
          <a:off x="0" y="19542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xdr:row>
      <xdr:rowOff>0</xdr:rowOff>
    </xdr:from>
    <xdr:to>
      <xdr:col>0</xdr:col>
      <xdr:colOff>304800</xdr:colOff>
      <xdr:row>64</xdr:row>
      <xdr:rowOff>121920</xdr:rowOff>
    </xdr:to>
    <xdr:sp macro="" textlink="">
      <xdr:nvSpPr>
        <xdr:cNvPr id="3591" name="AutoShape 519" descr="Anaheim Ducks">
          <a:extLst>
            <a:ext uri="{FF2B5EF4-FFF2-40B4-BE49-F238E27FC236}">
              <a16:creationId xmlns:a16="http://schemas.microsoft.com/office/drawing/2014/main" xmlns="" id="{00000000-0008-0000-0D00-0000070E0000}"/>
            </a:ext>
          </a:extLst>
        </xdr:cNvPr>
        <xdr:cNvSpPr>
          <a:spLocks noChangeAspect="1" noChangeArrowheads="1"/>
        </xdr:cNvSpPr>
      </xdr:nvSpPr>
      <xdr:spPr bwMode="auto">
        <a:xfrm>
          <a:off x="0" y="195795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735</xdr:row>
      <xdr:rowOff>0</xdr:rowOff>
    </xdr:from>
    <xdr:to>
      <xdr:col>0</xdr:col>
      <xdr:colOff>304800</xdr:colOff>
      <xdr:row>736</xdr:row>
      <xdr:rowOff>121920</xdr:rowOff>
    </xdr:to>
    <xdr:sp macro="" textlink="">
      <xdr:nvSpPr>
        <xdr:cNvPr id="3592" name="AutoShape 520" descr="New York Islanders">
          <a:extLst>
            <a:ext uri="{FF2B5EF4-FFF2-40B4-BE49-F238E27FC236}">
              <a16:creationId xmlns:a16="http://schemas.microsoft.com/office/drawing/2014/main" xmlns="" id="{00000000-0008-0000-0D00-0000080E0000}"/>
            </a:ext>
          </a:extLst>
        </xdr:cNvPr>
        <xdr:cNvSpPr>
          <a:spLocks noChangeAspect="1" noChangeArrowheads="1"/>
        </xdr:cNvSpPr>
      </xdr:nvSpPr>
      <xdr:spPr bwMode="auto">
        <a:xfrm>
          <a:off x="0" y="196169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304800</xdr:colOff>
      <xdr:row>8</xdr:row>
      <xdr:rowOff>121920</xdr:rowOff>
    </xdr:to>
    <xdr:sp macro="" textlink="">
      <xdr:nvSpPr>
        <xdr:cNvPr id="3593" name="AutoShape 521" descr="Pittsburgh Penguins">
          <a:extLst>
            <a:ext uri="{FF2B5EF4-FFF2-40B4-BE49-F238E27FC236}">
              <a16:creationId xmlns:a16="http://schemas.microsoft.com/office/drawing/2014/main" xmlns="" id="{00000000-0008-0000-0D00-0000090E0000}"/>
            </a:ext>
          </a:extLst>
        </xdr:cNvPr>
        <xdr:cNvSpPr>
          <a:spLocks noChangeAspect="1" noChangeArrowheads="1"/>
        </xdr:cNvSpPr>
      </xdr:nvSpPr>
      <xdr:spPr bwMode="auto">
        <a:xfrm>
          <a:off x="0" y="19654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338</xdr:row>
      <xdr:rowOff>0</xdr:rowOff>
    </xdr:from>
    <xdr:to>
      <xdr:col>0</xdr:col>
      <xdr:colOff>304800</xdr:colOff>
      <xdr:row>339</xdr:row>
      <xdr:rowOff>121920</xdr:rowOff>
    </xdr:to>
    <xdr:sp macro="" textlink="">
      <xdr:nvSpPr>
        <xdr:cNvPr id="3594" name="AutoShape 522" descr="Columbus Blue Jackets">
          <a:extLst>
            <a:ext uri="{FF2B5EF4-FFF2-40B4-BE49-F238E27FC236}">
              <a16:creationId xmlns:a16="http://schemas.microsoft.com/office/drawing/2014/main" xmlns="" id="{00000000-0008-0000-0D00-00000A0E0000}"/>
            </a:ext>
          </a:extLst>
        </xdr:cNvPr>
        <xdr:cNvSpPr>
          <a:spLocks noChangeAspect="1" noChangeArrowheads="1"/>
        </xdr:cNvSpPr>
      </xdr:nvSpPr>
      <xdr:spPr bwMode="auto">
        <a:xfrm>
          <a:off x="0" y="19691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534</xdr:row>
      <xdr:rowOff>0</xdr:rowOff>
    </xdr:from>
    <xdr:to>
      <xdr:col>0</xdr:col>
      <xdr:colOff>304800</xdr:colOff>
      <xdr:row>535</xdr:row>
      <xdr:rowOff>121920</xdr:rowOff>
    </xdr:to>
    <xdr:sp macro="" textlink="">
      <xdr:nvSpPr>
        <xdr:cNvPr id="3595" name="AutoShape 523" descr="Tampa Bay Lightning">
          <a:extLst>
            <a:ext uri="{FF2B5EF4-FFF2-40B4-BE49-F238E27FC236}">
              <a16:creationId xmlns:a16="http://schemas.microsoft.com/office/drawing/2014/main" xmlns="" id="{00000000-0008-0000-0D00-00000B0E0000}"/>
            </a:ext>
          </a:extLst>
        </xdr:cNvPr>
        <xdr:cNvSpPr>
          <a:spLocks noChangeAspect="1" noChangeArrowheads="1"/>
        </xdr:cNvSpPr>
      </xdr:nvSpPr>
      <xdr:spPr bwMode="auto">
        <a:xfrm>
          <a:off x="0" y="1972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710</xdr:row>
      <xdr:rowOff>0</xdr:rowOff>
    </xdr:from>
    <xdr:to>
      <xdr:col>0</xdr:col>
      <xdr:colOff>304800</xdr:colOff>
      <xdr:row>711</xdr:row>
      <xdr:rowOff>121920</xdr:rowOff>
    </xdr:to>
    <xdr:sp macro="" textlink="">
      <xdr:nvSpPr>
        <xdr:cNvPr id="3596" name="AutoShape 524" descr="Edmonton Oilers">
          <a:extLst>
            <a:ext uri="{FF2B5EF4-FFF2-40B4-BE49-F238E27FC236}">
              <a16:creationId xmlns:a16="http://schemas.microsoft.com/office/drawing/2014/main" xmlns="" id="{00000000-0008-0000-0D00-00000C0E0000}"/>
            </a:ext>
          </a:extLst>
        </xdr:cNvPr>
        <xdr:cNvSpPr>
          <a:spLocks noChangeAspect="1" noChangeArrowheads="1"/>
        </xdr:cNvSpPr>
      </xdr:nvSpPr>
      <xdr:spPr bwMode="auto">
        <a:xfrm>
          <a:off x="0" y="19766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304800</xdr:colOff>
      <xdr:row>501</xdr:row>
      <xdr:rowOff>121920</xdr:rowOff>
    </xdr:to>
    <xdr:sp macro="" textlink="">
      <xdr:nvSpPr>
        <xdr:cNvPr id="3597" name="AutoShape 525" descr="Washington Capitals">
          <a:extLst>
            <a:ext uri="{FF2B5EF4-FFF2-40B4-BE49-F238E27FC236}">
              <a16:creationId xmlns:a16="http://schemas.microsoft.com/office/drawing/2014/main" xmlns="" id="{00000000-0008-0000-0D00-00000D0E0000}"/>
            </a:ext>
          </a:extLst>
        </xdr:cNvPr>
        <xdr:cNvSpPr>
          <a:spLocks noChangeAspect="1" noChangeArrowheads="1"/>
        </xdr:cNvSpPr>
      </xdr:nvSpPr>
      <xdr:spPr bwMode="auto">
        <a:xfrm>
          <a:off x="0" y="198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532</xdr:row>
      <xdr:rowOff>0</xdr:rowOff>
    </xdr:from>
    <xdr:to>
      <xdr:col>0</xdr:col>
      <xdr:colOff>304800</xdr:colOff>
      <xdr:row>533</xdr:row>
      <xdr:rowOff>121920</xdr:rowOff>
    </xdr:to>
    <xdr:sp macro="" textlink="">
      <xdr:nvSpPr>
        <xdr:cNvPr id="3598" name="AutoShape 526" descr="Washington Capitals">
          <a:extLst>
            <a:ext uri="{FF2B5EF4-FFF2-40B4-BE49-F238E27FC236}">
              <a16:creationId xmlns:a16="http://schemas.microsoft.com/office/drawing/2014/main" xmlns="" id="{00000000-0008-0000-0D00-00000E0E0000}"/>
            </a:ext>
          </a:extLst>
        </xdr:cNvPr>
        <xdr:cNvSpPr>
          <a:spLocks noChangeAspect="1" noChangeArrowheads="1"/>
        </xdr:cNvSpPr>
      </xdr:nvSpPr>
      <xdr:spPr bwMode="auto">
        <a:xfrm>
          <a:off x="0" y="19840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291</xdr:row>
      <xdr:rowOff>0</xdr:rowOff>
    </xdr:from>
    <xdr:to>
      <xdr:col>0</xdr:col>
      <xdr:colOff>304800</xdr:colOff>
      <xdr:row>292</xdr:row>
      <xdr:rowOff>121920</xdr:rowOff>
    </xdr:to>
    <xdr:sp macro="" textlink="">
      <xdr:nvSpPr>
        <xdr:cNvPr id="3599" name="AutoShape 527" descr="Detroit Red Wings">
          <a:extLst>
            <a:ext uri="{FF2B5EF4-FFF2-40B4-BE49-F238E27FC236}">
              <a16:creationId xmlns:a16="http://schemas.microsoft.com/office/drawing/2014/main" xmlns="" id="{00000000-0008-0000-0D00-00000F0E0000}"/>
            </a:ext>
          </a:extLst>
        </xdr:cNvPr>
        <xdr:cNvSpPr>
          <a:spLocks noChangeAspect="1" noChangeArrowheads="1"/>
        </xdr:cNvSpPr>
      </xdr:nvSpPr>
      <xdr:spPr bwMode="auto">
        <a:xfrm>
          <a:off x="0" y="19878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654</xdr:row>
      <xdr:rowOff>0</xdr:rowOff>
    </xdr:from>
    <xdr:to>
      <xdr:col>0</xdr:col>
      <xdr:colOff>304800</xdr:colOff>
      <xdr:row>655</xdr:row>
      <xdr:rowOff>121920</xdr:rowOff>
    </xdr:to>
    <xdr:sp macro="" textlink="">
      <xdr:nvSpPr>
        <xdr:cNvPr id="3600" name="AutoShape 528" descr="Philadelphia Flyers">
          <a:extLst>
            <a:ext uri="{FF2B5EF4-FFF2-40B4-BE49-F238E27FC236}">
              <a16:creationId xmlns:a16="http://schemas.microsoft.com/office/drawing/2014/main" xmlns="" id="{00000000-0008-0000-0D00-0000100E0000}"/>
            </a:ext>
          </a:extLst>
        </xdr:cNvPr>
        <xdr:cNvSpPr>
          <a:spLocks noChangeAspect="1" noChangeArrowheads="1"/>
        </xdr:cNvSpPr>
      </xdr:nvSpPr>
      <xdr:spPr bwMode="auto">
        <a:xfrm>
          <a:off x="0" y="19915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550</xdr:row>
      <xdr:rowOff>0</xdr:rowOff>
    </xdr:from>
    <xdr:to>
      <xdr:col>0</xdr:col>
      <xdr:colOff>304800</xdr:colOff>
      <xdr:row>551</xdr:row>
      <xdr:rowOff>121920</xdr:rowOff>
    </xdr:to>
    <xdr:sp macro="" textlink="">
      <xdr:nvSpPr>
        <xdr:cNvPr id="3601" name="AutoShape 529" descr="Chicago Blackhawks">
          <a:extLst>
            <a:ext uri="{FF2B5EF4-FFF2-40B4-BE49-F238E27FC236}">
              <a16:creationId xmlns:a16="http://schemas.microsoft.com/office/drawing/2014/main" xmlns="" id="{00000000-0008-0000-0D00-0000110E0000}"/>
            </a:ext>
          </a:extLst>
        </xdr:cNvPr>
        <xdr:cNvSpPr>
          <a:spLocks noChangeAspect="1" noChangeArrowheads="1"/>
        </xdr:cNvSpPr>
      </xdr:nvSpPr>
      <xdr:spPr bwMode="auto">
        <a:xfrm>
          <a:off x="0" y="19952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420</xdr:row>
      <xdr:rowOff>0</xdr:rowOff>
    </xdr:from>
    <xdr:to>
      <xdr:col>0</xdr:col>
      <xdr:colOff>304800</xdr:colOff>
      <xdr:row>421</xdr:row>
      <xdr:rowOff>121920</xdr:rowOff>
    </xdr:to>
    <xdr:sp macro="" textlink="">
      <xdr:nvSpPr>
        <xdr:cNvPr id="3602" name="AutoShape 530" descr="St Louis Blues">
          <a:extLst>
            <a:ext uri="{FF2B5EF4-FFF2-40B4-BE49-F238E27FC236}">
              <a16:creationId xmlns:a16="http://schemas.microsoft.com/office/drawing/2014/main" xmlns="" id="{00000000-0008-0000-0D00-0000120E0000}"/>
            </a:ext>
          </a:extLst>
        </xdr:cNvPr>
        <xdr:cNvSpPr>
          <a:spLocks noChangeAspect="1" noChangeArrowheads="1"/>
        </xdr:cNvSpPr>
      </xdr:nvSpPr>
      <xdr:spPr bwMode="auto">
        <a:xfrm>
          <a:off x="0" y="199903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312</xdr:row>
      <xdr:rowOff>0</xdr:rowOff>
    </xdr:from>
    <xdr:to>
      <xdr:col>0</xdr:col>
      <xdr:colOff>304800</xdr:colOff>
      <xdr:row>313</xdr:row>
      <xdr:rowOff>121920</xdr:rowOff>
    </xdr:to>
    <xdr:sp macro="" textlink="">
      <xdr:nvSpPr>
        <xdr:cNvPr id="3603" name="AutoShape 531" descr="Chicago Blackhawks">
          <a:extLst>
            <a:ext uri="{FF2B5EF4-FFF2-40B4-BE49-F238E27FC236}">
              <a16:creationId xmlns:a16="http://schemas.microsoft.com/office/drawing/2014/main" xmlns="" id="{00000000-0008-0000-0D00-0000130E0000}"/>
            </a:ext>
          </a:extLst>
        </xdr:cNvPr>
        <xdr:cNvSpPr>
          <a:spLocks noChangeAspect="1" noChangeArrowheads="1"/>
        </xdr:cNvSpPr>
      </xdr:nvSpPr>
      <xdr:spPr bwMode="auto">
        <a:xfrm>
          <a:off x="0" y="2002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364</xdr:row>
      <xdr:rowOff>0</xdr:rowOff>
    </xdr:from>
    <xdr:to>
      <xdr:col>0</xdr:col>
      <xdr:colOff>304800</xdr:colOff>
      <xdr:row>365</xdr:row>
      <xdr:rowOff>121920</xdr:rowOff>
    </xdr:to>
    <xdr:sp macro="" textlink="">
      <xdr:nvSpPr>
        <xdr:cNvPr id="3604" name="AutoShape 532" descr="Carolina Hurricanes">
          <a:extLst>
            <a:ext uri="{FF2B5EF4-FFF2-40B4-BE49-F238E27FC236}">
              <a16:creationId xmlns:a16="http://schemas.microsoft.com/office/drawing/2014/main" xmlns="" id="{00000000-0008-0000-0D00-0000140E0000}"/>
            </a:ext>
          </a:extLst>
        </xdr:cNvPr>
        <xdr:cNvSpPr>
          <a:spLocks noChangeAspect="1" noChangeArrowheads="1"/>
        </xdr:cNvSpPr>
      </xdr:nvSpPr>
      <xdr:spPr bwMode="auto">
        <a:xfrm>
          <a:off x="0" y="20064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756</xdr:row>
      <xdr:rowOff>0</xdr:rowOff>
    </xdr:from>
    <xdr:to>
      <xdr:col>0</xdr:col>
      <xdr:colOff>304800</xdr:colOff>
      <xdr:row>757</xdr:row>
      <xdr:rowOff>121920</xdr:rowOff>
    </xdr:to>
    <xdr:sp macro="" textlink="">
      <xdr:nvSpPr>
        <xdr:cNvPr id="3605" name="AutoShape 533" descr="New Jersey Devils">
          <a:extLst>
            <a:ext uri="{FF2B5EF4-FFF2-40B4-BE49-F238E27FC236}">
              <a16:creationId xmlns:a16="http://schemas.microsoft.com/office/drawing/2014/main" xmlns="" id="{00000000-0008-0000-0D00-0000150E0000}"/>
            </a:ext>
          </a:extLst>
        </xdr:cNvPr>
        <xdr:cNvSpPr>
          <a:spLocks noChangeAspect="1" noChangeArrowheads="1"/>
        </xdr:cNvSpPr>
      </xdr:nvSpPr>
      <xdr:spPr bwMode="auto">
        <a:xfrm>
          <a:off x="0" y="20102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795</xdr:row>
      <xdr:rowOff>0</xdr:rowOff>
    </xdr:from>
    <xdr:to>
      <xdr:col>0</xdr:col>
      <xdr:colOff>304800</xdr:colOff>
      <xdr:row>796</xdr:row>
      <xdr:rowOff>121920</xdr:rowOff>
    </xdr:to>
    <xdr:sp macro="" textlink="">
      <xdr:nvSpPr>
        <xdr:cNvPr id="3606" name="AutoShape 534" descr="Vancouver Canucks">
          <a:extLst>
            <a:ext uri="{FF2B5EF4-FFF2-40B4-BE49-F238E27FC236}">
              <a16:creationId xmlns:a16="http://schemas.microsoft.com/office/drawing/2014/main" xmlns="" id="{00000000-0008-0000-0D00-0000160E0000}"/>
            </a:ext>
          </a:extLst>
        </xdr:cNvPr>
        <xdr:cNvSpPr>
          <a:spLocks noChangeAspect="1" noChangeArrowheads="1"/>
        </xdr:cNvSpPr>
      </xdr:nvSpPr>
      <xdr:spPr bwMode="auto">
        <a:xfrm>
          <a:off x="0" y="201396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xdr:row>
      <xdr:rowOff>0</xdr:rowOff>
    </xdr:from>
    <xdr:to>
      <xdr:col>0</xdr:col>
      <xdr:colOff>304800</xdr:colOff>
      <xdr:row>51</xdr:row>
      <xdr:rowOff>121920</xdr:rowOff>
    </xdr:to>
    <xdr:sp macro="" textlink="">
      <xdr:nvSpPr>
        <xdr:cNvPr id="3607" name="AutoShape 535" descr="Ottawa Senators">
          <a:extLst>
            <a:ext uri="{FF2B5EF4-FFF2-40B4-BE49-F238E27FC236}">
              <a16:creationId xmlns:a16="http://schemas.microsoft.com/office/drawing/2014/main" xmlns="" id="{00000000-0008-0000-0D00-0000170E0000}"/>
            </a:ext>
          </a:extLst>
        </xdr:cNvPr>
        <xdr:cNvSpPr>
          <a:spLocks noChangeAspect="1" noChangeArrowheads="1"/>
        </xdr:cNvSpPr>
      </xdr:nvSpPr>
      <xdr:spPr bwMode="auto">
        <a:xfrm>
          <a:off x="0" y="201769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xdr:row>
      <xdr:rowOff>0</xdr:rowOff>
    </xdr:from>
    <xdr:to>
      <xdr:col>0</xdr:col>
      <xdr:colOff>304800</xdr:colOff>
      <xdr:row>13</xdr:row>
      <xdr:rowOff>121920</xdr:rowOff>
    </xdr:to>
    <xdr:sp macro="" textlink="">
      <xdr:nvSpPr>
        <xdr:cNvPr id="3608" name="AutoShape 536" descr="Arizona Coyotes">
          <a:extLst>
            <a:ext uri="{FF2B5EF4-FFF2-40B4-BE49-F238E27FC236}">
              <a16:creationId xmlns:a16="http://schemas.microsoft.com/office/drawing/2014/main" xmlns="" id="{00000000-0008-0000-0D00-0000180E0000}"/>
            </a:ext>
          </a:extLst>
        </xdr:cNvPr>
        <xdr:cNvSpPr>
          <a:spLocks noChangeAspect="1" noChangeArrowheads="1"/>
        </xdr:cNvSpPr>
      </xdr:nvSpPr>
      <xdr:spPr bwMode="auto">
        <a:xfrm>
          <a:off x="0" y="202143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595</xdr:row>
      <xdr:rowOff>0</xdr:rowOff>
    </xdr:from>
    <xdr:to>
      <xdr:col>0</xdr:col>
      <xdr:colOff>304800</xdr:colOff>
      <xdr:row>596</xdr:row>
      <xdr:rowOff>121920</xdr:rowOff>
    </xdr:to>
    <xdr:sp macro="" textlink="">
      <xdr:nvSpPr>
        <xdr:cNvPr id="3609" name="AutoShape 537" descr="Tampa Bay Lightning">
          <a:extLst>
            <a:ext uri="{FF2B5EF4-FFF2-40B4-BE49-F238E27FC236}">
              <a16:creationId xmlns:a16="http://schemas.microsoft.com/office/drawing/2014/main" xmlns="" id="{00000000-0008-0000-0D00-0000190E0000}"/>
            </a:ext>
          </a:extLst>
        </xdr:cNvPr>
        <xdr:cNvSpPr>
          <a:spLocks noChangeAspect="1" noChangeArrowheads="1"/>
        </xdr:cNvSpPr>
      </xdr:nvSpPr>
      <xdr:spPr bwMode="auto">
        <a:xfrm>
          <a:off x="0" y="20251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493</xdr:row>
      <xdr:rowOff>0</xdr:rowOff>
    </xdr:from>
    <xdr:to>
      <xdr:col>0</xdr:col>
      <xdr:colOff>304800</xdr:colOff>
      <xdr:row>494</xdr:row>
      <xdr:rowOff>121920</xdr:rowOff>
    </xdr:to>
    <xdr:sp macro="" textlink="">
      <xdr:nvSpPr>
        <xdr:cNvPr id="3610" name="AutoShape 538" descr="New York Rangers">
          <a:extLst>
            <a:ext uri="{FF2B5EF4-FFF2-40B4-BE49-F238E27FC236}">
              <a16:creationId xmlns:a16="http://schemas.microsoft.com/office/drawing/2014/main" xmlns="" id="{00000000-0008-0000-0D00-00001A0E0000}"/>
            </a:ext>
          </a:extLst>
        </xdr:cNvPr>
        <xdr:cNvSpPr>
          <a:spLocks noChangeAspect="1" noChangeArrowheads="1"/>
        </xdr:cNvSpPr>
      </xdr:nvSpPr>
      <xdr:spPr bwMode="auto">
        <a:xfrm>
          <a:off x="0" y="2028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602</xdr:row>
      <xdr:rowOff>0</xdr:rowOff>
    </xdr:from>
    <xdr:to>
      <xdr:col>0</xdr:col>
      <xdr:colOff>304800</xdr:colOff>
      <xdr:row>603</xdr:row>
      <xdr:rowOff>121920</xdr:rowOff>
    </xdr:to>
    <xdr:sp macro="" textlink="">
      <xdr:nvSpPr>
        <xdr:cNvPr id="3611" name="AutoShape 539" descr="New Jersey Devils">
          <a:extLst>
            <a:ext uri="{FF2B5EF4-FFF2-40B4-BE49-F238E27FC236}">
              <a16:creationId xmlns:a16="http://schemas.microsoft.com/office/drawing/2014/main" xmlns="" id="{00000000-0008-0000-0D00-00001B0E0000}"/>
            </a:ext>
          </a:extLst>
        </xdr:cNvPr>
        <xdr:cNvSpPr>
          <a:spLocks noChangeAspect="1" noChangeArrowheads="1"/>
        </xdr:cNvSpPr>
      </xdr:nvSpPr>
      <xdr:spPr bwMode="auto">
        <a:xfrm>
          <a:off x="0" y="2032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xdr:row>
      <xdr:rowOff>0</xdr:rowOff>
    </xdr:from>
    <xdr:to>
      <xdr:col>0</xdr:col>
      <xdr:colOff>304800</xdr:colOff>
      <xdr:row>32</xdr:row>
      <xdr:rowOff>121920</xdr:rowOff>
    </xdr:to>
    <xdr:sp macro="" textlink="">
      <xdr:nvSpPr>
        <xdr:cNvPr id="3612" name="AutoShape 540" descr="San Jose Sharks">
          <a:extLst>
            <a:ext uri="{FF2B5EF4-FFF2-40B4-BE49-F238E27FC236}">
              <a16:creationId xmlns:a16="http://schemas.microsoft.com/office/drawing/2014/main" xmlns="" id="{00000000-0008-0000-0D00-00001C0E0000}"/>
            </a:ext>
          </a:extLst>
        </xdr:cNvPr>
        <xdr:cNvSpPr>
          <a:spLocks noChangeAspect="1" noChangeArrowheads="1"/>
        </xdr:cNvSpPr>
      </xdr:nvSpPr>
      <xdr:spPr bwMode="auto">
        <a:xfrm>
          <a:off x="0" y="20363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593</xdr:row>
      <xdr:rowOff>0</xdr:rowOff>
    </xdr:from>
    <xdr:to>
      <xdr:col>0</xdr:col>
      <xdr:colOff>304800</xdr:colOff>
      <xdr:row>594</xdr:row>
      <xdr:rowOff>121920</xdr:rowOff>
    </xdr:to>
    <xdr:sp macro="" textlink="">
      <xdr:nvSpPr>
        <xdr:cNvPr id="3613" name="AutoShape 541" descr="Anaheim Ducks">
          <a:extLst>
            <a:ext uri="{FF2B5EF4-FFF2-40B4-BE49-F238E27FC236}">
              <a16:creationId xmlns:a16="http://schemas.microsoft.com/office/drawing/2014/main" xmlns="" id="{00000000-0008-0000-0D00-00001D0E0000}"/>
            </a:ext>
          </a:extLst>
        </xdr:cNvPr>
        <xdr:cNvSpPr>
          <a:spLocks noChangeAspect="1" noChangeArrowheads="1"/>
        </xdr:cNvSpPr>
      </xdr:nvSpPr>
      <xdr:spPr bwMode="auto">
        <a:xfrm>
          <a:off x="0" y="2040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798</xdr:row>
      <xdr:rowOff>0</xdr:rowOff>
    </xdr:from>
    <xdr:to>
      <xdr:col>0</xdr:col>
      <xdr:colOff>304800</xdr:colOff>
      <xdr:row>799</xdr:row>
      <xdr:rowOff>121920</xdr:rowOff>
    </xdr:to>
    <xdr:sp macro="" textlink="">
      <xdr:nvSpPr>
        <xdr:cNvPr id="3614" name="AutoShape 542" descr="Calgary Flames">
          <a:extLst>
            <a:ext uri="{FF2B5EF4-FFF2-40B4-BE49-F238E27FC236}">
              <a16:creationId xmlns:a16="http://schemas.microsoft.com/office/drawing/2014/main" xmlns="" id="{00000000-0008-0000-0D00-00001E0E0000}"/>
            </a:ext>
          </a:extLst>
        </xdr:cNvPr>
        <xdr:cNvSpPr>
          <a:spLocks noChangeAspect="1" noChangeArrowheads="1"/>
        </xdr:cNvSpPr>
      </xdr:nvSpPr>
      <xdr:spPr bwMode="auto">
        <a:xfrm>
          <a:off x="0" y="204383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438</xdr:row>
      <xdr:rowOff>0</xdr:rowOff>
    </xdr:from>
    <xdr:to>
      <xdr:col>0</xdr:col>
      <xdr:colOff>304800</xdr:colOff>
      <xdr:row>439</xdr:row>
      <xdr:rowOff>121920</xdr:rowOff>
    </xdr:to>
    <xdr:sp macro="" textlink="">
      <xdr:nvSpPr>
        <xdr:cNvPr id="3615" name="AutoShape 543" descr="New Jersey Devils">
          <a:extLst>
            <a:ext uri="{FF2B5EF4-FFF2-40B4-BE49-F238E27FC236}">
              <a16:creationId xmlns:a16="http://schemas.microsoft.com/office/drawing/2014/main" xmlns="" id="{00000000-0008-0000-0D00-00001F0E0000}"/>
            </a:ext>
          </a:extLst>
        </xdr:cNvPr>
        <xdr:cNvSpPr>
          <a:spLocks noChangeAspect="1" noChangeArrowheads="1"/>
        </xdr:cNvSpPr>
      </xdr:nvSpPr>
      <xdr:spPr bwMode="auto">
        <a:xfrm>
          <a:off x="0" y="204757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589</xdr:row>
      <xdr:rowOff>0</xdr:rowOff>
    </xdr:from>
    <xdr:to>
      <xdr:col>0</xdr:col>
      <xdr:colOff>304800</xdr:colOff>
      <xdr:row>590</xdr:row>
      <xdr:rowOff>121920</xdr:rowOff>
    </xdr:to>
    <xdr:sp macro="" textlink="">
      <xdr:nvSpPr>
        <xdr:cNvPr id="3616" name="AutoShape 544" descr="New Jersey Devils">
          <a:extLst>
            <a:ext uri="{FF2B5EF4-FFF2-40B4-BE49-F238E27FC236}">
              <a16:creationId xmlns:a16="http://schemas.microsoft.com/office/drawing/2014/main" xmlns="" id="{00000000-0008-0000-0D00-0000200E0000}"/>
            </a:ext>
          </a:extLst>
        </xdr:cNvPr>
        <xdr:cNvSpPr>
          <a:spLocks noChangeAspect="1" noChangeArrowheads="1"/>
        </xdr:cNvSpPr>
      </xdr:nvSpPr>
      <xdr:spPr bwMode="auto">
        <a:xfrm>
          <a:off x="0" y="20513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455</xdr:row>
      <xdr:rowOff>0</xdr:rowOff>
    </xdr:from>
    <xdr:to>
      <xdr:col>0</xdr:col>
      <xdr:colOff>304800</xdr:colOff>
      <xdr:row>456</xdr:row>
      <xdr:rowOff>121920</xdr:rowOff>
    </xdr:to>
    <xdr:sp macro="" textlink="">
      <xdr:nvSpPr>
        <xdr:cNvPr id="3617" name="AutoShape 545" descr="Columbus Blue Jackets">
          <a:extLst>
            <a:ext uri="{FF2B5EF4-FFF2-40B4-BE49-F238E27FC236}">
              <a16:creationId xmlns:a16="http://schemas.microsoft.com/office/drawing/2014/main" xmlns="" id="{00000000-0008-0000-0D00-0000210E0000}"/>
            </a:ext>
          </a:extLst>
        </xdr:cNvPr>
        <xdr:cNvSpPr>
          <a:spLocks noChangeAspect="1" noChangeArrowheads="1"/>
        </xdr:cNvSpPr>
      </xdr:nvSpPr>
      <xdr:spPr bwMode="auto">
        <a:xfrm>
          <a:off x="0" y="20550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442</xdr:row>
      <xdr:rowOff>0</xdr:rowOff>
    </xdr:from>
    <xdr:to>
      <xdr:col>0</xdr:col>
      <xdr:colOff>304800</xdr:colOff>
      <xdr:row>443</xdr:row>
      <xdr:rowOff>121920</xdr:rowOff>
    </xdr:to>
    <xdr:sp macro="" textlink="">
      <xdr:nvSpPr>
        <xdr:cNvPr id="3618" name="AutoShape 546" descr="Florida Panthers">
          <a:extLst>
            <a:ext uri="{FF2B5EF4-FFF2-40B4-BE49-F238E27FC236}">
              <a16:creationId xmlns:a16="http://schemas.microsoft.com/office/drawing/2014/main" xmlns="" id="{00000000-0008-0000-0D00-0000220E0000}"/>
            </a:ext>
          </a:extLst>
        </xdr:cNvPr>
        <xdr:cNvSpPr>
          <a:spLocks noChangeAspect="1" noChangeArrowheads="1"/>
        </xdr:cNvSpPr>
      </xdr:nvSpPr>
      <xdr:spPr bwMode="auto">
        <a:xfrm>
          <a:off x="0" y="20587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463</xdr:row>
      <xdr:rowOff>0</xdr:rowOff>
    </xdr:from>
    <xdr:to>
      <xdr:col>0</xdr:col>
      <xdr:colOff>304800</xdr:colOff>
      <xdr:row>464</xdr:row>
      <xdr:rowOff>121920</xdr:rowOff>
    </xdr:to>
    <xdr:sp macro="" textlink="">
      <xdr:nvSpPr>
        <xdr:cNvPr id="3619" name="AutoShape 547" descr="Anaheim Ducks">
          <a:extLst>
            <a:ext uri="{FF2B5EF4-FFF2-40B4-BE49-F238E27FC236}">
              <a16:creationId xmlns:a16="http://schemas.microsoft.com/office/drawing/2014/main" xmlns="" id="{00000000-0008-0000-0D00-0000230E0000}"/>
            </a:ext>
          </a:extLst>
        </xdr:cNvPr>
        <xdr:cNvSpPr>
          <a:spLocks noChangeAspect="1" noChangeArrowheads="1"/>
        </xdr:cNvSpPr>
      </xdr:nvSpPr>
      <xdr:spPr bwMode="auto">
        <a:xfrm>
          <a:off x="0" y="20625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121920</xdr:rowOff>
    </xdr:to>
    <xdr:sp macro="" textlink="">
      <xdr:nvSpPr>
        <xdr:cNvPr id="3620" name="AutoShape 548" descr="New Jersey Devils">
          <a:extLst>
            <a:ext uri="{FF2B5EF4-FFF2-40B4-BE49-F238E27FC236}">
              <a16:creationId xmlns:a16="http://schemas.microsoft.com/office/drawing/2014/main" xmlns="" id="{00000000-0008-0000-0D00-0000240E0000}"/>
            </a:ext>
          </a:extLst>
        </xdr:cNvPr>
        <xdr:cNvSpPr>
          <a:spLocks noChangeAspect="1" noChangeArrowheads="1"/>
        </xdr:cNvSpPr>
      </xdr:nvSpPr>
      <xdr:spPr bwMode="auto">
        <a:xfrm>
          <a:off x="0" y="20662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504</xdr:row>
      <xdr:rowOff>0</xdr:rowOff>
    </xdr:from>
    <xdr:to>
      <xdr:col>0</xdr:col>
      <xdr:colOff>304800</xdr:colOff>
      <xdr:row>505</xdr:row>
      <xdr:rowOff>121920</xdr:rowOff>
    </xdr:to>
    <xdr:sp macro="" textlink="">
      <xdr:nvSpPr>
        <xdr:cNvPr id="3621" name="AutoShape 549" descr="Chicago Blackhawks">
          <a:extLst>
            <a:ext uri="{FF2B5EF4-FFF2-40B4-BE49-F238E27FC236}">
              <a16:creationId xmlns:a16="http://schemas.microsoft.com/office/drawing/2014/main" xmlns="" id="{00000000-0008-0000-0D00-0000250E0000}"/>
            </a:ext>
          </a:extLst>
        </xdr:cNvPr>
        <xdr:cNvSpPr>
          <a:spLocks noChangeAspect="1" noChangeArrowheads="1"/>
        </xdr:cNvSpPr>
      </xdr:nvSpPr>
      <xdr:spPr bwMode="auto">
        <a:xfrm>
          <a:off x="0" y="206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381</xdr:row>
      <xdr:rowOff>0</xdr:rowOff>
    </xdr:from>
    <xdr:to>
      <xdr:col>0</xdr:col>
      <xdr:colOff>304800</xdr:colOff>
      <xdr:row>382</xdr:row>
      <xdr:rowOff>121920</xdr:rowOff>
    </xdr:to>
    <xdr:sp macro="" textlink="">
      <xdr:nvSpPr>
        <xdr:cNvPr id="3622" name="AutoShape 550" descr="Toronto Maple Leafs">
          <a:extLst>
            <a:ext uri="{FF2B5EF4-FFF2-40B4-BE49-F238E27FC236}">
              <a16:creationId xmlns:a16="http://schemas.microsoft.com/office/drawing/2014/main" xmlns="" id="{00000000-0008-0000-0D00-0000260E0000}"/>
            </a:ext>
          </a:extLst>
        </xdr:cNvPr>
        <xdr:cNvSpPr>
          <a:spLocks noChangeAspect="1" noChangeArrowheads="1"/>
        </xdr:cNvSpPr>
      </xdr:nvSpPr>
      <xdr:spPr bwMode="auto">
        <a:xfrm>
          <a:off x="0" y="20737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xdr:row>
      <xdr:rowOff>0</xdr:rowOff>
    </xdr:from>
    <xdr:to>
      <xdr:col>0</xdr:col>
      <xdr:colOff>304800</xdr:colOff>
      <xdr:row>78</xdr:row>
      <xdr:rowOff>121920</xdr:rowOff>
    </xdr:to>
    <xdr:sp macro="" textlink="">
      <xdr:nvSpPr>
        <xdr:cNvPr id="3623" name="AutoShape 551" descr="Montreal Canadiens">
          <a:extLst>
            <a:ext uri="{FF2B5EF4-FFF2-40B4-BE49-F238E27FC236}">
              <a16:creationId xmlns:a16="http://schemas.microsoft.com/office/drawing/2014/main" xmlns="" id="{00000000-0008-0000-0D00-0000270E0000}"/>
            </a:ext>
          </a:extLst>
        </xdr:cNvPr>
        <xdr:cNvSpPr>
          <a:spLocks noChangeAspect="1" noChangeArrowheads="1"/>
        </xdr:cNvSpPr>
      </xdr:nvSpPr>
      <xdr:spPr bwMode="auto">
        <a:xfrm>
          <a:off x="0" y="20774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727</xdr:row>
      <xdr:rowOff>0</xdr:rowOff>
    </xdr:from>
    <xdr:to>
      <xdr:col>0</xdr:col>
      <xdr:colOff>304800</xdr:colOff>
      <xdr:row>728</xdr:row>
      <xdr:rowOff>121920</xdr:rowOff>
    </xdr:to>
    <xdr:sp macro="" textlink="">
      <xdr:nvSpPr>
        <xdr:cNvPr id="3624" name="AutoShape 552" descr="Florida Panthers">
          <a:extLst>
            <a:ext uri="{FF2B5EF4-FFF2-40B4-BE49-F238E27FC236}">
              <a16:creationId xmlns:a16="http://schemas.microsoft.com/office/drawing/2014/main" xmlns="" id="{00000000-0008-0000-0D00-0000280E0000}"/>
            </a:ext>
          </a:extLst>
        </xdr:cNvPr>
        <xdr:cNvSpPr>
          <a:spLocks noChangeAspect="1" noChangeArrowheads="1"/>
        </xdr:cNvSpPr>
      </xdr:nvSpPr>
      <xdr:spPr bwMode="auto">
        <a:xfrm>
          <a:off x="0" y="20811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811</xdr:row>
      <xdr:rowOff>0</xdr:rowOff>
    </xdr:from>
    <xdr:to>
      <xdr:col>0</xdr:col>
      <xdr:colOff>304800</xdr:colOff>
      <xdr:row>812</xdr:row>
      <xdr:rowOff>121920</xdr:rowOff>
    </xdr:to>
    <xdr:sp macro="" textlink="">
      <xdr:nvSpPr>
        <xdr:cNvPr id="3625" name="AutoShape 553" descr="St Louis Blues">
          <a:extLst>
            <a:ext uri="{FF2B5EF4-FFF2-40B4-BE49-F238E27FC236}">
              <a16:creationId xmlns:a16="http://schemas.microsoft.com/office/drawing/2014/main" xmlns="" id="{00000000-0008-0000-0D00-0000290E0000}"/>
            </a:ext>
          </a:extLst>
        </xdr:cNvPr>
        <xdr:cNvSpPr>
          <a:spLocks noChangeAspect="1" noChangeArrowheads="1"/>
        </xdr:cNvSpPr>
      </xdr:nvSpPr>
      <xdr:spPr bwMode="auto">
        <a:xfrm>
          <a:off x="0" y="20867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318</xdr:row>
      <xdr:rowOff>0</xdr:rowOff>
    </xdr:from>
    <xdr:to>
      <xdr:col>0</xdr:col>
      <xdr:colOff>304800</xdr:colOff>
      <xdr:row>319</xdr:row>
      <xdr:rowOff>121920</xdr:rowOff>
    </xdr:to>
    <xdr:sp macro="" textlink="">
      <xdr:nvSpPr>
        <xdr:cNvPr id="3626" name="AutoShape 554" descr="Chicago Blackhawks">
          <a:extLst>
            <a:ext uri="{FF2B5EF4-FFF2-40B4-BE49-F238E27FC236}">
              <a16:creationId xmlns:a16="http://schemas.microsoft.com/office/drawing/2014/main" xmlns="" id="{00000000-0008-0000-0D00-00002A0E0000}"/>
            </a:ext>
          </a:extLst>
        </xdr:cNvPr>
        <xdr:cNvSpPr>
          <a:spLocks noChangeAspect="1" noChangeArrowheads="1"/>
        </xdr:cNvSpPr>
      </xdr:nvSpPr>
      <xdr:spPr bwMode="auto">
        <a:xfrm>
          <a:off x="0" y="20904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664</xdr:row>
      <xdr:rowOff>0</xdr:rowOff>
    </xdr:from>
    <xdr:to>
      <xdr:col>0</xdr:col>
      <xdr:colOff>304800</xdr:colOff>
      <xdr:row>665</xdr:row>
      <xdr:rowOff>121920</xdr:rowOff>
    </xdr:to>
    <xdr:sp macro="" textlink="">
      <xdr:nvSpPr>
        <xdr:cNvPr id="3627" name="AutoShape 555" descr="New York Rangers">
          <a:extLst>
            <a:ext uri="{FF2B5EF4-FFF2-40B4-BE49-F238E27FC236}">
              <a16:creationId xmlns:a16="http://schemas.microsoft.com/office/drawing/2014/main" xmlns="" id="{00000000-0008-0000-0D00-00002B0E0000}"/>
            </a:ext>
          </a:extLst>
        </xdr:cNvPr>
        <xdr:cNvSpPr>
          <a:spLocks noChangeAspect="1" noChangeArrowheads="1"/>
        </xdr:cNvSpPr>
      </xdr:nvSpPr>
      <xdr:spPr bwMode="auto">
        <a:xfrm>
          <a:off x="0" y="20942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739</xdr:row>
      <xdr:rowOff>0</xdr:rowOff>
    </xdr:from>
    <xdr:to>
      <xdr:col>0</xdr:col>
      <xdr:colOff>304800</xdr:colOff>
      <xdr:row>740</xdr:row>
      <xdr:rowOff>121920</xdr:rowOff>
    </xdr:to>
    <xdr:sp macro="" textlink="">
      <xdr:nvSpPr>
        <xdr:cNvPr id="3628" name="AutoShape 556" descr="New York Rangers">
          <a:extLst>
            <a:ext uri="{FF2B5EF4-FFF2-40B4-BE49-F238E27FC236}">
              <a16:creationId xmlns:a16="http://schemas.microsoft.com/office/drawing/2014/main" xmlns="" id="{00000000-0008-0000-0D00-00002C0E0000}"/>
            </a:ext>
          </a:extLst>
        </xdr:cNvPr>
        <xdr:cNvSpPr>
          <a:spLocks noChangeAspect="1" noChangeArrowheads="1"/>
        </xdr:cNvSpPr>
      </xdr:nvSpPr>
      <xdr:spPr bwMode="auto">
        <a:xfrm>
          <a:off x="0" y="20979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828</xdr:row>
      <xdr:rowOff>0</xdr:rowOff>
    </xdr:from>
    <xdr:to>
      <xdr:col>0</xdr:col>
      <xdr:colOff>304800</xdr:colOff>
      <xdr:row>829</xdr:row>
      <xdr:rowOff>121920</xdr:rowOff>
    </xdr:to>
    <xdr:sp macro="" textlink="">
      <xdr:nvSpPr>
        <xdr:cNvPr id="3629" name="AutoShape 557" descr="Vancouver Canucks">
          <a:extLst>
            <a:ext uri="{FF2B5EF4-FFF2-40B4-BE49-F238E27FC236}">
              <a16:creationId xmlns:a16="http://schemas.microsoft.com/office/drawing/2014/main" xmlns="" id="{00000000-0008-0000-0D00-00002D0E0000}"/>
            </a:ext>
          </a:extLst>
        </xdr:cNvPr>
        <xdr:cNvSpPr>
          <a:spLocks noChangeAspect="1" noChangeArrowheads="1"/>
        </xdr:cNvSpPr>
      </xdr:nvSpPr>
      <xdr:spPr bwMode="auto">
        <a:xfrm>
          <a:off x="0" y="2101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453</xdr:row>
      <xdr:rowOff>0</xdr:rowOff>
    </xdr:from>
    <xdr:to>
      <xdr:col>0</xdr:col>
      <xdr:colOff>304800</xdr:colOff>
      <xdr:row>454</xdr:row>
      <xdr:rowOff>121920</xdr:rowOff>
    </xdr:to>
    <xdr:sp macro="" textlink="">
      <xdr:nvSpPr>
        <xdr:cNvPr id="3630" name="AutoShape 558" descr="Nashville Predators">
          <a:extLst>
            <a:ext uri="{FF2B5EF4-FFF2-40B4-BE49-F238E27FC236}">
              <a16:creationId xmlns:a16="http://schemas.microsoft.com/office/drawing/2014/main" xmlns="" id="{00000000-0008-0000-0D00-00002E0E0000}"/>
            </a:ext>
          </a:extLst>
        </xdr:cNvPr>
        <xdr:cNvSpPr>
          <a:spLocks noChangeAspect="1" noChangeArrowheads="1"/>
        </xdr:cNvSpPr>
      </xdr:nvSpPr>
      <xdr:spPr bwMode="auto">
        <a:xfrm>
          <a:off x="0" y="21054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722</xdr:row>
      <xdr:rowOff>0</xdr:rowOff>
    </xdr:from>
    <xdr:to>
      <xdr:col>0</xdr:col>
      <xdr:colOff>304800</xdr:colOff>
      <xdr:row>723</xdr:row>
      <xdr:rowOff>121920</xdr:rowOff>
    </xdr:to>
    <xdr:sp macro="" textlink="">
      <xdr:nvSpPr>
        <xdr:cNvPr id="3631" name="AutoShape 559" descr="Columbus Blue Jackets">
          <a:extLst>
            <a:ext uri="{FF2B5EF4-FFF2-40B4-BE49-F238E27FC236}">
              <a16:creationId xmlns:a16="http://schemas.microsoft.com/office/drawing/2014/main" xmlns="" id="{00000000-0008-0000-0D00-00002F0E0000}"/>
            </a:ext>
          </a:extLst>
        </xdr:cNvPr>
        <xdr:cNvSpPr>
          <a:spLocks noChangeAspect="1" noChangeArrowheads="1"/>
        </xdr:cNvSpPr>
      </xdr:nvSpPr>
      <xdr:spPr bwMode="auto">
        <a:xfrm>
          <a:off x="0" y="21091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xdr:row>
      <xdr:rowOff>0</xdr:rowOff>
    </xdr:from>
    <xdr:to>
      <xdr:col>0</xdr:col>
      <xdr:colOff>304800</xdr:colOff>
      <xdr:row>66</xdr:row>
      <xdr:rowOff>121920</xdr:rowOff>
    </xdr:to>
    <xdr:sp macro="" textlink="">
      <xdr:nvSpPr>
        <xdr:cNvPr id="3632" name="AutoShape 560" descr="Tampa Bay Lightning">
          <a:extLst>
            <a:ext uri="{FF2B5EF4-FFF2-40B4-BE49-F238E27FC236}">
              <a16:creationId xmlns:a16="http://schemas.microsoft.com/office/drawing/2014/main" xmlns="" id="{00000000-0008-0000-0D00-0000300E0000}"/>
            </a:ext>
          </a:extLst>
        </xdr:cNvPr>
        <xdr:cNvSpPr>
          <a:spLocks noChangeAspect="1" noChangeArrowheads="1"/>
        </xdr:cNvSpPr>
      </xdr:nvSpPr>
      <xdr:spPr bwMode="auto">
        <a:xfrm>
          <a:off x="0" y="21128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339</xdr:row>
      <xdr:rowOff>0</xdr:rowOff>
    </xdr:from>
    <xdr:to>
      <xdr:col>0</xdr:col>
      <xdr:colOff>304800</xdr:colOff>
      <xdr:row>340</xdr:row>
      <xdr:rowOff>121920</xdr:rowOff>
    </xdr:to>
    <xdr:sp macro="" textlink="">
      <xdr:nvSpPr>
        <xdr:cNvPr id="3633" name="AutoShape 561" descr="Anaheim Ducks">
          <a:extLst>
            <a:ext uri="{FF2B5EF4-FFF2-40B4-BE49-F238E27FC236}">
              <a16:creationId xmlns:a16="http://schemas.microsoft.com/office/drawing/2014/main" xmlns="" id="{00000000-0008-0000-0D00-0000310E0000}"/>
            </a:ext>
          </a:extLst>
        </xdr:cNvPr>
        <xdr:cNvSpPr>
          <a:spLocks noChangeAspect="1" noChangeArrowheads="1"/>
        </xdr:cNvSpPr>
      </xdr:nvSpPr>
      <xdr:spPr bwMode="auto">
        <a:xfrm>
          <a:off x="0" y="21166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307</xdr:row>
      <xdr:rowOff>0</xdr:rowOff>
    </xdr:from>
    <xdr:to>
      <xdr:col>0</xdr:col>
      <xdr:colOff>304800</xdr:colOff>
      <xdr:row>308</xdr:row>
      <xdr:rowOff>121920</xdr:rowOff>
    </xdr:to>
    <xdr:sp macro="" textlink="">
      <xdr:nvSpPr>
        <xdr:cNvPr id="3634" name="AutoShape 562" descr="Dallas Stars">
          <a:extLst>
            <a:ext uri="{FF2B5EF4-FFF2-40B4-BE49-F238E27FC236}">
              <a16:creationId xmlns:a16="http://schemas.microsoft.com/office/drawing/2014/main" xmlns="" id="{00000000-0008-0000-0D00-0000320E0000}"/>
            </a:ext>
          </a:extLst>
        </xdr:cNvPr>
        <xdr:cNvSpPr>
          <a:spLocks noChangeAspect="1" noChangeArrowheads="1"/>
        </xdr:cNvSpPr>
      </xdr:nvSpPr>
      <xdr:spPr bwMode="auto">
        <a:xfrm>
          <a:off x="0" y="21203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349</xdr:row>
      <xdr:rowOff>0</xdr:rowOff>
    </xdr:from>
    <xdr:to>
      <xdr:col>0</xdr:col>
      <xdr:colOff>304800</xdr:colOff>
      <xdr:row>350</xdr:row>
      <xdr:rowOff>121920</xdr:rowOff>
    </xdr:to>
    <xdr:sp macro="" textlink="">
      <xdr:nvSpPr>
        <xdr:cNvPr id="3635" name="AutoShape 563" descr="Pittsburgh Penguins">
          <a:extLst>
            <a:ext uri="{FF2B5EF4-FFF2-40B4-BE49-F238E27FC236}">
              <a16:creationId xmlns:a16="http://schemas.microsoft.com/office/drawing/2014/main" xmlns="" id="{00000000-0008-0000-0D00-0000330E0000}"/>
            </a:ext>
          </a:extLst>
        </xdr:cNvPr>
        <xdr:cNvSpPr>
          <a:spLocks noChangeAspect="1" noChangeArrowheads="1"/>
        </xdr:cNvSpPr>
      </xdr:nvSpPr>
      <xdr:spPr bwMode="auto">
        <a:xfrm>
          <a:off x="0" y="21240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499</xdr:row>
      <xdr:rowOff>0</xdr:rowOff>
    </xdr:from>
    <xdr:to>
      <xdr:col>0</xdr:col>
      <xdr:colOff>304800</xdr:colOff>
      <xdr:row>500</xdr:row>
      <xdr:rowOff>121920</xdr:rowOff>
    </xdr:to>
    <xdr:sp macro="" textlink="">
      <xdr:nvSpPr>
        <xdr:cNvPr id="3636" name="AutoShape 564" descr="Chicago Blackhawks">
          <a:extLst>
            <a:ext uri="{FF2B5EF4-FFF2-40B4-BE49-F238E27FC236}">
              <a16:creationId xmlns:a16="http://schemas.microsoft.com/office/drawing/2014/main" xmlns="" id="{00000000-0008-0000-0D00-0000340E0000}"/>
            </a:ext>
          </a:extLst>
        </xdr:cNvPr>
        <xdr:cNvSpPr>
          <a:spLocks noChangeAspect="1" noChangeArrowheads="1"/>
        </xdr:cNvSpPr>
      </xdr:nvSpPr>
      <xdr:spPr bwMode="auto">
        <a:xfrm>
          <a:off x="0" y="21278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xdr:row>
      <xdr:rowOff>0</xdr:rowOff>
    </xdr:from>
    <xdr:to>
      <xdr:col>0</xdr:col>
      <xdr:colOff>304800</xdr:colOff>
      <xdr:row>68</xdr:row>
      <xdr:rowOff>121920</xdr:rowOff>
    </xdr:to>
    <xdr:sp macro="" textlink="">
      <xdr:nvSpPr>
        <xdr:cNvPr id="3637" name="AutoShape 565" descr="Chicago Blackhawks">
          <a:extLst>
            <a:ext uri="{FF2B5EF4-FFF2-40B4-BE49-F238E27FC236}">
              <a16:creationId xmlns:a16="http://schemas.microsoft.com/office/drawing/2014/main" xmlns="" id="{00000000-0008-0000-0D00-0000350E0000}"/>
            </a:ext>
          </a:extLst>
        </xdr:cNvPr>
        <xdr:cNvSpPr>
          <a:spLocks noChangeAspect="1" noChangeArrowheads="1"/>
        </xdr:cNvSpPr>
      </xdr:nvSpPr>
      <xdr:spPr bwMode="auto">
        <a:xfrm>
          <a:off x="0" y="21315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831</xdr:row>
      <xdr:rowOff>0</xdr:rowOff>
    </xdr:from>
    <xdr:to>
      <xdr:col>0</xdr:col>
      <xdr:colOff>304800</xdr:colOff>
      <xdr:row>832</xdr:row>
      <xdr:rowOff>121920</xdr:rowOff>
    </xdr:to>
    <xdr:sp macro="" textlink="">
      <xdr:nvSpPr>
        <xdr:cNvPr id="3638" name="AutoShape 566" descr="Pittsburgh Penguins">
          <a:extLst>
            <a:ext uri="{FF2B5EF4-FFF2-40B4-BE49-F238E27FC236}">
              <a16:creationId xmlns:a16="http://schemas.microsoft.com/office/drawing/2014/main" xmlns="" id="{00000000-0008-0000-0D00-0000360E0000}"/>
            </a:ext>
          </a:extLst>
        </xdr:cNvPr>
        <xdr:cNvSpPr>
          <a:spLocks noChangeAspect="1" noChangeArrowheads="1"/>
        </xdr:cNvSpPr>
      </xdr:nvSpPr>
      <xdr:spPr bwMode="auto">
        <a:xfrm>
          <a:off x="0" y="21352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xdr:row>
      <xdr:rowOff>0</xdr:rowOff>
    </xdr:from>
    <xdr:to>
      <xdr:col>0</xdr:col>
      <xdr:colOff>304800</xdr:colOff>
      <xdr:row>72</xdr:row>
      <xdr:rowOff>121920</xdr:rowOff>
    </xdr:to>
    <xdr:sp macro="" textlink="">
      <xdr:nvSpPr>
        <xdr:cNvPr id="3639" name="AutoShape 567" descr="Colorado Avalanche">
          <a:extLst>
            <a:ext uri="{FF2B5EF4-FFF2-40B4-BE49-F238E27FC236}">
              <a16:creationId xmlns:a16="http://schemas.microsoft.com/office/drawing/2014/main" xmlns="" id="{00000000-0008-0000-0D00-0000370E0000}"/>
            </a:ext>
          </a:extLst>
        </xdr:cNvPr>
        <xdr:cNvSpPr>
          <a:spLocks noChangeAspect="1" noChangeArrowheads="1"/>
        </xdr:cNvSpPr>
      </xdr:nvSpPr>
      <xdr:spPr bwMode="auto">
        <a:xfrm>
          <a:off x="0" y="21390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261</xdr:row>
      <xdr:rowOff>0</xdr:rowOff>
    </xdr:from>
    <xdr:to>
      <xdr:col>0</xdr:col>
      <xdr:colOff>304800</xdr:colOff>
      <xdr:row>262</xdr:row>
      <xdr:rowOff>121920</xdr:rowOff>
    </xdr:to>
    <xdr:sp macro="" textlink="">
      <xdr:nvSpPr>
        <xdr:cNvPr id="3640" name="AutoShape 568" descr="Detroit Red Wings">
          <a:extLst>
            <a:ext uri="{FF2B5EF4-FFF2-40B4-BE49-F238E27FC236}">
              <a16:creationId xmlns:a16="http://schemas.microsoft.com/office/drawing/2014/main" xmlns="" id="{00000000-0008-0000-0D00-0000380E0000}"/>
            </a:ext>
          </a:extLst>
        </xdr:cNvPr>
        <xdr:cNvSpPr>
          <a:spLocks noChangeAspect="1" noChangeArrowheads="1"/>
        </xdr:cNvSpPr>
      </xdr:nvSpPr>
      <xdr:spPr bwMode="auto">
        <a:xfrm>
          <a:off x="0" y="21427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627</xdr:row>
      <xdr:rowOff>0</xdr:rowOff>
    </xdr:from>
    <xdr:to>
      <xdr:col>0</xdr:col>
      <xdr:colOff>304800</xdr:colOff>
      <xdr:row>628</xdr:row>
      <xdr:rowOff>121920</xdr:rowOff>
    </xdr:to>
    <xdr:sp macro="" textlink="">
      <xdr:nvSpPr>
        <xdr:cNvPr id="3641" name="AutoShape 569" descr="Colorado Avalanche">
          <a:extLst>
            <a:ext uri="{FF2B5EF4-FFF2-40B4-BE49-F238E27FC236}">
              <a16:creationId xmlns:a16="http://schemas.microsoft.com/office/drawing/2014/main" xmlns="" id="{00000000-0008-0000-0D00-0000390E0000}"/>
            </a:ext>
          </a:extLst>
        </xdr:cNvPr>
        <xdr:cNvSpPr>
          <a:spLocks noChangeAspect="1" noChangeArrowheads="1"/>
        </xdr:cNvSpPr>
      </xdr:nvSpPr>
      <xdr:spPr bwMode="auto">
        <a:xfrm>
          <a:off x="0" y="21464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321</xdr:row>
      <xdr:rowOff>0</xdr:rowOff>
    </xdr:from>
    <xdr:to>
      <xdr:col>0</xdr:col>
      <xdr:colOff>304800</xdr:colOff>
      <xdr:row>322</xdr:row>
      <xdr:rowOff>121920</xdr:rowOff>
    </xdr:to>
    <xdr:sp macro="" textlink="">
      <xdr:nvSpPr>
        <xdr:cNvPr id="3642" name="AutoShape 570" descr="Washington Capitals">
          <a:extLst>
            <a:ext uri="{FF2B5EF4-FFF2-40B4-BE49-F238E27FC236}">
              <a16:creationId xmlns:a16="http://schemas.microsoft.com/office/drawing/2014/main" xmlns="" id="{00000000-0008-0000-0D00-00003A0E0000}"/>
            </a:ext>
          </a:extLst>
        </xdr:cNvPr>
        <xdr:cNvSpPr>
          <a:spLocks noChangeAspect="1" noChangeArrowheads="1"/>
        </xdr:cNvSpPr>
      </xdr:nvSpPr>
      <xdr:spPr bwMode="auto">
        <a:xfrm>
          <a:off x="0" y="21502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477</xdr:row>
      <xdr:rowOff>0</xdr:rowOff>
    </xdr:from>
    <xdr:to>
      <xdr:col>0</xdr:col>
      <xdr:colOff>304800</xdr:colOff>
      <xdr:row>478</xdr:row>
      <xdr:rowOff>121920</xdr:rowOff>
    </xdr:to>
    <xdr:sp macro="" textlink="">
      <xdr:nvSpPr>
        <xdr:cNvPr id="3643" name="AutoShape 571" descr="Washington Capitals">
          <a:extLst>
            <a:ext uri="{FF2B5EF4-FFF2-40B4-BE49-F238E27FC236}">
              <a16:creationId xmlns:a16="http://schemas.microsoft.com/office/drawing/2014/main" xmlns="" id="{00000000-0008-0000-0D00-00003B0E0000}"/>
            </a:ext>
          </a:extLst>
        </xdr:cNvPr>
        <xdr:cNvSpPr>
          <a:spLocks noChangeAspect="1" noChangeArrowheads="1"/>
        </xdr:cNvSpPr>
      </xdr:nvSpPr>
      <xdr:spPr bwMode="auto">
        <a:xfrm>
          <a:off x="0" y="21539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302</xdr:row>
      <xdr:rowOff>0</xdr:rowOff>
    </xdr:from>
    <xdr:to>
      <xdr:col>0</xdr:col>
      <xdr:colOff>304800</xdr:colOff>
      <xdr:row>303</xdr:row>
      <xdr:rowOff>121920</xdr:rowOff>
    </xdr:to>
    <xdr:sp macro="" textlink="">
      <xdr:nvSpPr>
        <xdr:cNvPr id="3644" name="AutoShape 572" descr="Ottawa Senators">
          <a:extLst>
            <a:ext uri="{FF2B5EF4-FFF2-40B4-BE49-F238E27FC236}">
              <a16:creationId xmlns:a16="http://schemas.microsoft.com/office/drawing/2014/main" xmlns="" id="{00000000-0008-0000-0D00-00003C0E0000}"/>
            </a:ext>
          </a:extLst>
        </xdr:cNvPr>
        <xdr:cNvSpPr>
          <a:spLocks noChangeAspect="1" noChangeArrowheads="1"/>
        </xdr:cNvSpPr>
      </xdr:nvSpPr>
      <xdr:spPr bwMode="auto">
        <a:xfrm>
          <a:off x="0" y="21576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xdr:row>
      <xdr:rowOff>0</xdr:rowOff>
    </xdr:from>
    <xdr:to>
      <xdr:col>0</xdr:col>
      <xdr:colOff>304800</xdr:colOff>
      <xdr:row>94</xdr:row>
      <xdr:rowOff>121920</xdr:rowOff>
    </xdr:to>
    <xdr:sp macro="" textlink="">
      <xdr:nvSpPr>
        <xdr:cNvPr id="3645" name="AutoShape 573" descr="New Jersey Devils">
          <a:extLst>
            <a:ext uri="{FF2B5EF4-FFF2-40B4-BE49-F238E27FC236}">
              <a16:creationId xmlns:a16="http://schemas.microsoft.com/office/drawing/2014/main" xmlns="" id="{00000000-0008-0000-0D00-00003D0E0000}"/>
            </a:ext>
          </a:extLst>
        </xdr:cNvPr>
        <xdr:cNvSpPr>
          <a:spLocks noChangeAspect="1" noChangeArrowheads="1"/>
        </xdr:cNvSpPr>
      </xdr:nvSpPr>
      <xdr:spPr bwMode="auto">
        <a:xfrm>
          <a:off x="0" y="2161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669</xdr:row>
      <xdr:rowOff>0</xdr:rowOff>
    </xdr:from>
    <xdr:to>
      <xdr:col>0</xdr:col>
      <xdr:colOff>304800</xdr:colOff>
      <xdr:row>670</xdr:row>
      <xdr:rowOff>121920</xdr:rowOff>
    </xdr:to>
    <xdr:sp macro="" textlink="">
      <xdr:nvSpPr>
        <xdr:cNvPr id="3646" name="AutoShape 574" descr="Boston Bruins">
          <a:extLst>
            <a:ext uri="{FF2B5EF4-FFF2-40B4-BE49-F238E27FC236}">
              <a16:creationId xmlns:a16="http://schemas.microsoft.com/office/drawing/2014/main" xmlns="" id="{00000000-0008-0000-0D00-00003E0E0000}"/>
            </a:ext>
          </a:extLst>
        </xdr:cNvPr>
        <xdr:cNvSpPr>
          <a:spLocks noChangeAspect="1" noChangeArrowheads="1"/>
        </xdr:cNvSpPr>
      </xdr:nvSpPr>
      <xdr:spPr bwMode="auto">
        <a:xfrm>
          <a:off x="0" y="216514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193</xdr:row>
      <xdr:rowOff>0</xdr:rowOff>
    </xdr:from>
    <xdr:to>
      <xdr:col>0</xdr:col>
      <xdr:colOff>304800</xdr:colOff>
      <xdr:row>194</xdr:row>
      <xdr:rowOff>121920</xdr:rowOff>
    </xdr:to>
    <xdr:sp macro="" textlink="">
      <xdr:nvSpPr>
        <xdr:cNvPr id="3647" name="AutoShape 575" descr="New Jersey Devils">
          <a:extLst>
            <a:ext uri="{FF2B5EF4-FFF2-40B4-BE49-F238E27FC236}">
              <a16:creationId xmlns:a16="http://schemas.microsoft.com/office/drawing/2014/main" xmlns="" id="{00000000-0008-0000-0D00-00003F0E0000}"/>
            </a:ext>
          </a:extLst>
        </xdr:cNvPr>
        <xdr:cNvSpPr>
          <a:spLocks noChangeAspect="1" noChangeArrowheads="1"/>
        </xdr:cNvSpPr>
      </xdr:nvSpPr>
      <xdr:spPr bwMode="auto">
        <a:xfrm>
          <a:off x="0" y="216888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726</xdr:row>
      <xdr:rowOff>0</xdr:rowOff>
    </xdr:from>
    <xdr:to>
      <xdr:col>0</xdr:col>
      <xdr:colOff>304800</xdr:colOff>
      <xdr:row>727</xdr:row>
      <xdr:rowOff>121920</xdr:rowOff>
    </xdr:to>
    <xdr:sp macro="" textlink="">
      <xdr:nvSpPr>
        <xdr:cNvPr id="3648" name="AutoShape 576" descr="Colorado Avalanche">
          <a:extLst>
            <a:ext uri="{FF2B5EF4-FFF2-40B4-BE49-F238E27FC236}">
              <a16:creationId xmlns:a16="http://schemas.microsoft.com/office/drawing/2014/main" xmlns="" id="{00000000-0008-0000-0D00-0000400E0000}"/>
            </a:ext>
          </a:extLst>
        </xdr:cNvPr>
        <xdr:cNvSpPr>
          <a:spLocks noChangeAspect="1" noChangeArrowheads="1"/>
        </xdr:cNvSpPr>
      </xdr:nvSpPr>
      <xdr:spPr bwMode="auto">
        <a:xfrm>
          <a:off x="0" y="217261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152</xdr:row>
      <xdr:rowOff>0</xdr:rowOff>
    </xdr:from>
    <xdr:to>
      <xdr:col>0</xdr:col>
      <xdr:colOff>304800</xdr:colOff>
      <xdr:row>153</xdr:row>
      <xdr:rowOff>121920</xdr:rowOff>
    </xdr:to>
    <xdr:sp macro="" textlink="">
      <xdr:nvSpPr>
        <xdr:cNvPr id="3649" name="AutoShape 577" descr="Philadelphia Flyers">
          <a:extLst>
            <a:ext uri="{FF2B5EF4-FFF2-40B4-BE49-F238E27FC236}">
              <a16:creationId xmlns:a16="http://schemas.microsoft.com/office/drawing/2014/main" xmlns="" id="{00000000-0008-0000-0D00-0000410E0000}"/>
            </a:ext>
          </a:extLst>
        </xdr:cNvPr>
        <xdr:cNvSpPr>
          <a:spLocks noChangeAspect="1" noChangeArrowheads="1"/>
        </xdr:cNvSpPr>
      </xdr:nvSpPr>
      <xdr:spPr bwMode="auto">
        <a:xfrm>
          <a:off x="0" y="21763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732</xdr:row>
      <xdr:rowOff>0</xdr:rowOff>
    </xdr:from>
    <xdr:to>
      <xdr:col>0</xdr:col>
      <xdr:colOff>304800</xdr:colOff>
      <xdr:row>733</xdr:row>
      <xdr:rowOff>121920</xdr:rowOff>
    </xdr:to>
    <xdr:sp macro="" textlink="">
      <xdr:nvSpPr>
        <xdr:cNvPr id="3650" name="AutoShape 578" descr="New York Rangers">
          <a:extLst>
            <a:ext uri="{FF2B5EF4-FFF2-40B4-BE49-F238E27FC236}">
              <a16:creationId xmlns:a16="http://schemas.microsoft.com/office/drawing/2014/main" xmlns="" id="{00000000-0008-0000-0D00-0000420E0000}"/>
            </a:ext>
          </a:extLst>
        </xdr:cNvPr>
        <xdr:cNvSpPr>
          <a:spLocks noChangeAspect="1" noChangeArrowheads="1"/>
        </xdr:cNvSpPr>
      </xdr:nvSpPr>
      <xdr:spPr bwMode="auto">
        <a:xfrm>
          <a:off x="0" y="21800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459</xdr:row>
      <xdr:rowOff>0</xdr:rowOff>
    </xdr:from>
    <xdr:to>
      <xdr:col>0</xdr:col>
      <xdr:colOff>304800</xdr:colOff>
      <xdr:row>460</xdr:row>
      <xdr:rowOff>121920</xdr:rowOff>
    </xdr:to>
    <xdr:sp macro="" textlink="">
      <xdr:nvSpPr>
        <xdr:cNvPr id="3651" name="AutoShape 579" descr="Los Angeles Kings">
          <a:extLst>
            <a:ext uri="{FF2B5EF4-FFF2-40B4-BE49-F238E27FC236}">
              <a16:creationId xmlns:a16="http://schemas.microsoft.com/office/drawing/2014/main" xmlns="" id="{00000000-0008-0000-0D00-0000430E0000}"/>
            </a:ext>
          </a:extLst>
        </xdr:cNvPr>
        <xdr:cNvSpPr>
          <a:spLocks noChangeAspect="1" noChangeArrowheads="1"/>
        </xdr:cNvSpPr>
      </xdr:nvSpPr>
      <xdr:spPr bwMode="auto">
        <a:xfrm>
          <a:off x="0" y="21838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xdr:row>
      <xdr:rowOff>0</xdr:rowOff>
    </xdr:from>
    <xdr:to>
      <xdr:col>0</xdr:col>
      <xdr:colOff>304800</xdr:colOff>
      <xdr:row>80</xdr:row>
      <xdr:rowOff>121920</xdr:rowOff>
    </xdr:to>
    <xdr:sp macro="" textlink="">
      <xdr:nvSpPr>
        <xdr:cNvPr id="3652" name="AutoShape 580" descr="Los Angeles Kings">
          <a:extLst>
            <a:ext uri="{FF2B5EF4-FFF2-40B4-BE49-F238E27FC236}">
              <a16:creationId xmlns:a16="http://schemas.microsoft.com/office/drawing/2014/main" xmlns="" id="{00000000-0008-0000-0D00-0000440E0000}"/>
            </a:ext>
          </a:extLst>
        </xdr:cNvPr>
        <xdr:cNvSpPr>
          <a:spLocks noChangeAspect="1" noChangeArrowheads="1"/>
        </xdr:cNvSpPr>
      </xdr:nvSpPr>
      <xdr:spPr bwMode="auto">
        <a:xfrm>
          <a:off x="0" y="21875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682</xdr:row>
      <xdr:rowOff>0</xdr:rowOff>
    </xdr:from>
    <xdr:to>
      <xdr:col>0</xdr:col>
      <xdr:colOff>304800</xdr:colOff>
      <xdr:row>683</xdr:row>
      <xdr:rowOff>121920</xdr:rowOff>
    </xdr:to>
    <xdr:sp macro="" textlink="">
      <xdr:nvSpPr>
        <xdr:cNvPr id="3653" name="AutoShape 581" descr="Vegas Golden Knights">
          <a:extLst>
            <a:ext uri="{FF2B5EF4-FFF2-40B4-BE49-F238E27FC236}">
              <a16:creationId xmlns:a16="http://schemas.microsoft.com/office/drawing/2014/main" xmlns="" id="{00000000-0008-0000-0D00-0000450E0000}"/>
            </a:ext>
          </a:extLst>
        </xdr:cNvPr>
        <xdr:cNvSpPr>
          <a:spLocks noChangeAspect="1" noChangeArrowheads="1"/>
        </xdr:cNvSpPr>
      </xdr:nvSpPr>
      <xdr:spPr bwMode="auto">
        <a:xfrm>
          <a:off x="0" y="2191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232</xdr:row>
      <xdr:rowOff>0</xdr:rowOff>
    </xdr:from>
    <xdr:to>
      <xdr:col>0</xdr:col>
      <xdr:colOff>304800</xdr:colOff>
      <xdr:row>233</xdr:row>
      <xdr:rowOff>121920</xdr:rowOff>
    </xdr:to>
    <xdr:sp macro="" textlink="">
      <xdr:nvSpPr>
        <xdr:cNvPr id="3654" name="AutoShape 582" descr="Tampa Bay Lightning">
          <a:extLst>
            <a:ext uri="{FF2B5EF4-FFF2-40B4-BE49-F238E27FC236}">
              <a16:creationId xmlns:a16="http://schemas.microsoft.com/office/drawing/2014/main" xmlns="" id="{00000000-0008-0000-0D00-0000460E0000}"/>
            </a:ext>
          </a:extLst>
        </xdr:cNvPr>
        <xdr:cNvSpPr>
          <a:spLocks noChangeAspect="1" noChangeArrowheads="1"/>
        </xdr:cNvSpPr>
      </xdr:nvSpPr>
      <xdr:spPr bwMode="auto">
        <a:xfrm>
          <a:off x="0" y="21968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817</xdr:row>
      <xdr:rowOff>0</xdr:rowOff>
    </xdr:from>
    <xdr:to>
      <xdr:col>0</xdr:col>
      <xdr:colOff>304800</xdr:colOff>
      <xdr:row>818</xdr:row>
      <xdr:rowOff>121920</xdr:rowOff>
    </xdr:to>
    <xdr:sp macro="" textlink="">
      <xdr:nvSpPr>
        <xdr:cNvPr id="3655" name="AutoShape 583" descr="Columbus Blue Jackets">
          <a:extLst>
            <a:ext uri="{FF2B5EF4-FFF2-40B4-BE49-F238E27FC236}">
              <a16:creationId xmlns:a16="http://schemas.microsoft.com/office/drawing/2014/main" xmlns="" id="{00000000-0008-0000-0D00-0000470E0000}"/>
            </a:ext>
          </a:extLst>
        </xdr:cNvPr>
        <xdr:cNvSpPr>
          <a:spLocks noChangeAspect="1" noChangeArrowheads="1"/>
        </xdr:cNvSpPr>
      </xdr:nvSpPr>
      <xdr:spPr bwMode="auto">
        <a:xfrm>
          <a:off x="0" y="22005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xdr:row>
      <xdr:rowOff>0</xdr:rowOff>
    </xdr:from>
    <xdr:to>
      <xdr:col>0</xdr:col>
      <xdr:colOff>304800</xdr:colOff>
      <xdr:row>60</xdr:row>
      <xdr:rowOff>121920</xdr:rowOff>
    </xdr:to>
    <xdr:sp macro="" textlink="">
      <xdr:nvSpPr>
        <xdr:cNvPr id="3656" name="AutoShape 584" descr="Toronto Maple Leafs">
          <a:extLst>
            <a:ext uri="{FF2B5EF4-FFF2-40B4-BE49-F238E27FC236}">
              <a16:creationId xmlns:a16="http://schemas.microsoft.com/office/drawing/2014/main" xmlns="" id="{00000000-0008-0000-0D00-0000480E0000}"/>
            </a:ext>
          </a:extLst>
        </xdr:cNvPr>
        <xdr:cNvSpPr>
          <a:spLocks noChangeAspect="1" noChangeArrowheads="1"/>
        </xdr:cNvSpPr>
      </xdr:nvSpPr>
      <xdr:spPr bwMode="auto">
        <a:xfrm>
          <a:off x="0" y="22043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723</xdr:row>
      <xdr:rowOff>0</xdr:rowOff>
    </xdr:from>
    <xdr:to>
      <xdr:col>0</xdr:col>
      <xdr:colOff>304800</xdr:colOff>
      <xdr:row>724</xdr:row>
      <xdr:rowOff>121920</xdr:rowOff>
    </xdr:to>
    <xdr:sp macro="" textlink="">
      <xdr:nvSpPr>
        <xdr:cNvPr id="3657" name="AutoShape 585" descr="Winnipeg Jets">
          <a:extLst>
            <a:ext uri="{FF2B5EF4-FFF2-40B4-BE49-F238E27FC236}">
              <a16:creationId xmlns:a16="http://schemas.microsoft.com/office/drawing/2014/main" xmlns="" id="{00000000-0008-0000-0D00-0000490E0000}"/>
            </a:ext>
          </a:extLst>
        </xdr:cNvPr>
        <xdr:cNvSpPr>
          <a:spLocks noChangeAspect="1" noChangeArrowheads="1"/>
        </xdr:cNvSpPr>
      </xdr:nvSpPr>
      <xdr:spPr bwMode="auto">
        <a:xfrm>
          <a:off x="0" y="22080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240</xdr:row>
      <xdr:rowOff>0</xdr:rowOff>
    </xdr:from>
    <xdr:to>
      <xdr:col>0</xdr:col>
      <xdr:colOff>304800</xdr:colOff>
      <xdr:row>241</xdr:row>
      <xdr:rowOff>121920</xdr:rowOff>
    </xdr:to>
    <xdr:sp macro="" textlink="">
      <xdr:nvSpPr>
        <xdr:cNvPr id="3658" name="AutoShape 586" descr="Anaheim Ducks">
          <a:extLst>
            <a:ext uri="{FF2B5EF4-FFF2-40B4-BE49-F238E27FC236}">
              <a16:creationId xmlns:a16="http://schemas.microsoft.com/office/drawing/2014/main" xmlns="" id="{00000000-0008-0000-0D00-00004A0E0000}"/>
            </a:ext>
          </a:extLst>
        </xdr:cNvPr>
        <xdr:cNvSpPr>
          <a:spLocks noChangeAspect="1" noChangeArrowheads="1"/>
        </xdr:cNvSpPr>
      </xdr:nvSpPr>
      <xdr:spPr bwMode="auto">
        <a:xfrm>
          <a:off x="0" y="22117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270</xdr:row>
      <xdr:rowOff>0</xdr:rowOff>
    </xdr:from>
    <xdr:to>
      <xdr:col>0</xdr:col>
      <xdr:colOff>304800</xdr:colOff>
      <xdr:row>271</xdr:row>
      <xdr:rowOff>121920</xdr:rowOff>
    </xdr:to>
    <xdr:sp macro="" textlink="">
      <xdr:nvSpPr>
        <xdr:cNvPr id="3659" name="AutoShape 587" descr="Edmonton Oilers">
          <a:extLst>
            <a:ext uri="{FF2B5EF4-FFF2-40B4-BE49-F238E27FC236}">
              <a16:creationId xmlns:a16="http://schemas.microsoft.com/office/drawing/2014/main" xmlns="" id="{00000000-0008-0000-0D00-00004B0E0000}"/>
            </a:ext>
          </a:extLst>
        </xdr:cNvPr>
        <xdr:cNvSpPr>
          <a:spLocks noChangeAspect="1" noChangeArrowheads="1"/>
        </xdr:cNvSpPr>
      </xdr:nvSpPr>
      <xdr:spPr bwMode="auto">
        <a:xfrm>
          <a:off x="0" y="22155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573</xdr:row>
      <xdr:rowOff>0</xdr:rowOff>
    </xdr:from>
    <xdr:to>
      <xdr:col>0</xdr:col>
      <xdr:colOff>304800</xdr:colOff>
      <xdr:row>574</xdr:row>
      <xdr:rowOff>121920</xdr:rowOff>
    </xdr:to>
    <xdr:sp macro="" textlink="">
      <xdr:nvSpPr>
        <xdr:cNvPr id="3660" name="AutoShape 588" descr="Philadelphia Flyers">
          <a:extLst>
            <a:ext uri="{FF2B5EF4-FFF2-40B4-BE49-F238E27FC236}">
              <a16:creationId xmlns:a16="http://schemas.microsoft.com/office/drawing/2014/main" xmlns="" id="{00000000-0008-0000-0D00-00004C0E0000}"/>
            </a:ext>
          </a:extLst>
        </xdr:cNvPr>
        <xdr:cNvSpPr>
          <a:spLocks noChangeAspect="1" noChangeArrowheads="1"/>
        </xdr:cNvSpPr>
      </xdr:nvSpPr>
      <xdr:spPr bwMode="auto">
        <a:xfrm>
          <a:off x="0" y="22192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170</xdr:row>
      <xdr:rowOff>0</xdr:rowOff>
    </xdr:from>
    <xdr:to>
      <xdr:col>0</xdr:col>
      <xdr:colOff>304800</xdr:colOff>
      <xdr:row>171</xdr:row>
      <xdr:rowOff>121920</xdr:rowOff>
    </xdr:to>
    <xdr:sp macro="" textlink="">
      <xdr:nvSpPr>
        <xdr:cNvPr id="3661" name="AutoShape 589" descr="St Louis Blues">
          <a:extLst>
            <a:ext uri="{FF2B5EF4-FFF2-40B4-BE49-F238E27FC236}">
              <a16:creationId xmlns:a16="http://schemas.microsoft.com/office/drawing/2014/main" xmlns="" id="{00000000-0008-0000-0D00-00004D0E0000}"/>
            </a:ext>
          </a:extLst>
        </xdr:cNvPr>
        <xdr:cNvSpPr>
          <a:spLocks noChangeAspect="1" noChangeArrowheads="1"/>
        </xdr:cNvSpPr>
      </xdr:nvSpPr>
      <xdr:spPr bwMode="auto">
        <a:xfrm>
          <a:off x="0" y="2222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417</xdr:row>
      <xdr:rowOff>0</xdr:rowOff>
    </xdr:from>
    <xdr:to>
      <xdr:col>0</xdr:col>
      <xdr:colOff>304800</xdr:colOff>
      <xdr:row>418</xdr:row>
      <xdr:rowOff>121920</xdr:rowOff>
    </xdr:to>
    <xdr:sp macro="" textlink="">
      <xdr:nvSpPr>
        <xdr:cNvPr id="3662" name="AutoShape 590" descr="Columbus Blue Jackets">
          <a:extLst>
            <a:ext uri="{FF2B5EF4-FFF2-40B4-BE49-F238E27FC236}">
              <a16:creationId xmlns:a16="http://schemas.microsoft.com/office/drawing/2014/main" xmlns="" id="{00000000-0008-0000-0D00-00004E0E0000}"/>
            </a:ext>
          </a:extLst>
        </xdr:cNvPr>
        <xdr:cNvSpPr>
          <a:spLocks noChangeAspect="1" noChangeArrowheads="1"/>
        </xdr:cNvSpPr>
      </xdr:nvSpPr>
      <xdr:spPr bwMode="auto">
        <a:xfrm>
          <a:off x="0" y="22267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418</xdr:row>
      <xdr:rowOff>0</xdr:rowOff>
    </xdr:from>
    <xdr:to>
      <xdr:col>0</xdr:col>
      <xdr:colOff>304800</xdr:colOff>
      <xdr:row>419</xdr:row>
      <xdr:rowOff>121920</xdr:rowOff>
    </xdr:to>
    <xdr:sp macro="" textlink="">
      <xdr:nvSpPr>
        <xdr:cNvPr id="3663" name="AutoShape 591" descr="Nashville Predators">
          <a:extLst>
            <a:ext uri="{FF2B5EF4-FFF2-40B4-BE49-F238E27FC236}">
              <a16:creationId xmlns:a16="http://schemas.microsoft.com/office/drawing/2014/main" xmlns="" id="{00000000-0008-0000-0D00-00004F0E0000}"/>
            </a:ext>
          </a:extLst>
        </xdr:cNvPr>
        <xdr:cNvSpPr>
          <a:spLocks noChangeAspect="1" noChangeArrowheads="1"/>
        </xdr:cNvSpPr>
      </xdr:nvSpPr>
      <xdr:spPr bwMode="auto">
        <a:xfrm>
          <a:off x="0" y="22304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476</xdr:row>
      <xdr:rowOff>0</xdr:rowOff>
    </xdr:from>
    <xdr:to>
      <xdr:col>0</xdr:col>
      <xdr:colOff>304800</xdr:colOff>
      <xdr:row>477</xdr:row>
      <xdr:rowOff>121920</xdr:rowOff>
    </xdr:to>
    <xdr:sp macro="" textlink="">
      <xdr:nvSpPr>
        <xdr:cNvPr id="3664" name="AutoShape 592" descr="Anaheim Ducks">
          <a:extLst>
            <a:ext uri="{FF2B5EF4-FFF2-40B4-BE49-F238E27FC236}">
              <a16:creationId xmlns:a16="http://schemas.microsoft.com/office/drawing/2014/main" xmlns="" id="{00000000-0008-0000-0D00-0000500E0000}"/>
            </a:ext>
          </a:extLst>
        </xdr:cNvPr>
        <xdr:cNvSpPr>
          <a:spLocks noChangeAspect="1" noChangeArrowheads="1"/>
        </xdr:cNvSpPr>
      </xdr:nvSpPr>
      <xdr:spPr bwMode="auto">
        <a:xfrm>
          <a:off x="0" y="22341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287</xdr:row>
      <xdr:rowOff>0</xdr:rowOff>
    </xdr:from>
    <xdr:to>
      <xdr:col>0</xdr:col>
      <xdr:colOff>304800</xdr:colOff>
      <xdr:row>288</xdr:row>
      <xdr:rowOff>121920</xdr:rowOff>
    </xdr:to>
    <xdr:sp macro="" textlink="">
      <xdr:nvSpPr>
        <xdr:cNvPr id="3665" name="AutoShape 593" descr="Ottawa Senators">
          <a:extLst>
            <a:ext uri="{FF2B5EF4-FFF2-40B4-BE49-F238E27FC236}">
              <a16:creationId xmlns:a16="http://schemas.microsoft.com/office/drawing/2014/main" xmlns="" id="{00000000-0008-0000-0D00-0000510E0000}"/>
            </a:ext>
          </a:extLst>
        </xdr:cNvPr>
        <xdr:cNvSpPr>
          <a:spLocks noChangeAspect="1" noChangeArrowheads="1"/>
        </xdr:cNvSpPr>
      </xdr:nvSpPr>
      <xdr:spPr bwMode="auto">
        <a:xfrm>
          <a:off x="0" y="22379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xdr:row>
      <xdr:rowOff>0</xdr:rowOff>
    </xdr:from>
    <xdr:to>
      <xdr:col>0</xdr:col>
      <xdr:colOff>304800</xdr:colOff>
      <xdr:row>28</xdr:row>
      <xdr:rowOff>121920</xdr:rowOff>
    </xdr:to>
    <xdr:sp macro="" textlink="">
      <xdr:nvSpPr>
        <xdr:cNvPr id="3666" name="AutoShape 594" descr="Carolina Hurricanes">
          <a:extLst>
            <a:ext uri="{FF2B5EF4-FFF2-40B4-BE49-F238E27FC236}">
              <a16:creationId xmlns:a16="http://schemas.microsoft.com/office/drawing/2014/main" xmlns="" id="{00000000-0008-0000-0D00-0000520E0000}"/>
            </a:ext>
          </a:extLst>
        </xdr:cNvPr>
        <xdr:cNvSpPr>
          <a:spLocks noChangeAspect="1" noChangeArrowheads="1"/>
        </xdr:cNvSpPr>
      </xdr:nvSpPr>
      <xdr:spPr bwMode="auto">
        <a:xfrm>
          <a:off x="0" y="22416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691</xdr:row>
      <xdr:rowOff>0</xdr:rowOff>
    </xdr:from>
    <xdr:to>
      <xdr:col>0</xdr:col>
      <xdr:colOff>304800</xdr:colOff>
      <xdr:row>692</xdr:row>
      <xdr:rowOff>121920</xdr:rowOff>
    </xdr:to>
    <xdr:sp macro="" textlink="">
      <xdr:nvSpPr>
        <xdr:cNvPr id="3667" name="AutoShape 595" descr="Carolina Hurricanes">
          <a:extLst>
            <a:ext uri="{FF2B5EF4-FFF2-40B4-BE49-F238E27FC236}">
              <a16:creationId xmlns:a16="http://schemas.microsoft.com/office/drawing/2014/main" xmlns="" id="{00000000-0008-0000-0D00-0000530E0000}"/>
            </a:ext>
          </a:extLst>
        </xdr:cNvPr>
        <xdr:cNvSpPr>
          <a:spLocks noChangeAspect="1" noChangeArrowheads="1"/>
        </xdr:cNvSpPr>
      </xdr:nvSpPr>
      <xdr:spPr bwMode="auto">
        <a:xfrm>
          <a:off x="0" y="22453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520</xdr:row>
      <xdr:rowOff>0</xdr:rowOff>
    </xdr:from>
    <xdr:to>
      <xdr:col>0</xdr:col>
      <xdr:colOff>304800</xdr:colOff>
      <xdr:row>521</xdr:row>
      <xdr:rowOff>121920</xdr:rowOff>
    </xdr:to>
    <xdr:sp macro="" textlink="">
      <xdr:nvSpPr>
        <xdr:cNvPr id="3668" name="AutoShape 596" descr="Anaheim Ducks">
          <a:extLst>
            <a:ext uri="{FF2B5EF4-FFF2-40B4-BE49-F238E27FC236}">
              <a16:creationId xmlns:a16="http://schemas.microsoft.com/office/drawing/2014/main" xmlns="" id="{00000000-0008-0000-0D00-0000540E0000}"/>
            </a:ext>
          </a:extLst>
        </xdr:cNvPr>
        <xdr:cNvSpPr>
          <a:spLocks noChangeAspect="1" noChangeArrowheads="1"/>
        </xdr:cNvSpPr>
      </xdr:nvSpPr>
      <xdr:spPr bwMode="auto">
        <a:xfrm>
          <a:off x="0" y="22491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709</xdr:row>
      <xdr:rowOff>0</xdr:rowOff>
    </xdr:from>
    <xdr:to>
      <xdr:col>0</xdr:col>
      <xdr:colOff>304800</xdr:colOff>
      <xdr:row>710</xdr:row>
      <xdr:rowOff>121920</xdr:rowOff>
    </xdr:to>
    <xdr:sp macro="" textlink="">
      <xdr:nvSpPr>
        <xdr:cNvPr id="3669" name="AutoShape 597" descr="Arizona Coyotes">
          <a:extLst>
            <a:ext uri="{FF2B5EF4-FFF2-40B4-BE49-F238E27FC236}">
              <a16:creationId xmlns:a16="http://schemas.microsoft.com/office/drawing/2014/main" xmlns="" id="{00000000-0008-0000-0D00-0000550E0000}"/>
            </a:ext>
          </a:extLst>
        </xdr:cNvPr>
        <xdr:cNvSpPr>
          <a:spLocks noChangeAspect="1" noChangeArrowheads="1"/>
        </xdr:cNvSpPr>
      </xdr:nvSpPr>
      <xdr:spPr bwMode="auto">
        <a:xfrm>
          <a:off x="0" y="2252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121920</xdr:rowOff>
    </xdr:to>
    <xdr:sp macro="" textlink="">
      <xdr:nvSpPr>
        <xdr:cNvPr id="3670" name="AutoShape 598" descr="Columbus Blue Jackets">
          <a:extLst>
            <a:ext uri="{FF2B5EF4-FFF2-40B4-BE49-F238E27FC236}">
              <a16:creationId xmlns:a16="http://schemas.microsoft.com/office/drawing/2014/main" xmlns="" id="{00000000-0008-0000-0D00-0000560E0000}"/>
            </a:ext>
          </a:extLst>
        </xdr:cNvPr>
        <xdr:cNvSpPr>
          <a:spLocks noChangeAspect="1" noChangeArrowheads="1"/>
        </xdr:cNvSpPr>
      </xdr:nvSpPr>
      <xdr:spPr bwMode="auto">
        <a:xfrm>
          <a:off x="0" y="22565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xdr:row>
      <xdr:rowOff>0</xdr:rowOff>
    </xdr:from>
    <xdr:to>
      <xdr:col>0</xdr:col>
      <xdr:colOff>304800</xdr:colOff>
      <xdr:row>83</xdr:row>
      <xdr:rowOff>121920</xdr:rowOff>
    </xdr:to>
    <xdr:sp macro="" textlink="">
      <xdr:nvSpPr>
        <xdr:cNvPr id="3671" name="AutoShape 599" descr="Detroit Red Wings">
          <a:extLst>
            <a:ext uri="{FF2B5EF4-FFF2-40B4-BE49-F238E27FC236}">
              <a16:creationId xmlns:a16="http://schemas.microsoft.com/office/drawing/2014/main" xmlns="" id="{00000000-0008-0000-0D00-0000570E0000}"/>
            </a:ext>
          </a:extLst>
        </xdr:cNvPr>
        <xdr:cNvSpPr>
          <a:spLocks noChangeAspect="1" noChangeArrowheads="1"/>
        </xdr:cNvSpPr>
      </xdr:nvSpPr>
      <xdr:spPr bwMode="auto">
        <a:xfrm>
          <a:off x="0" y="22603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304800</xdr:colOff>
      <xdr:row>14</xdr:row>
      <xdr:rowOff>121920</xdr:rowOff>
    </xdr:to>
    <xdr:sp macro="" textlink="">
      <xdr:nvSpPr>
        <xdr:cNvPr id="3672" name="AutoShape 600" descr="Los Angeles Kings">
          <a:extLst>
            <a:ext uri="{FF2B5EF4-FFF2-40B4-BE49-F238E27FC236}">
              <a16:creationId xmlns:a16="http://schemas.microsoft.com/office/drawing/2014/main" xmlns="" id="{00000000-0008-0000-0D00-0000580E0000}"/>
            </a:ext>
          </a:extLst>
        </xdr:cNvPr>
        <xdr:cNvSpPr>
          <a:spLocks noChangeAspect="1" noChangeArrowheads="1"/>
        </xdr:cNvSpPr>
      </xdr:nvSpPr>
      <xdr:spPr bwMode="auto">
        <a:xfrm>
          <a:off x="0" y="22640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110</xdr:row>
      <xdr:rowOff>0</xdr:rowOff>
    </xdr:from>
    <xdr:to>
      <xdr:col>0</xdr:col>
      <xdr:colOff>304800</xdr:colOff>
      <xdr:row>111</xdr:row>
      <xdr:rowOff>121920</xdr:rowOff>
    </xdr:to>
    <xdr:sp macro="" textlink="">
      <xdr:nvSpPr>
        <xdr:cNvPr id="3673" name="AutoShape 601" descr="Tampa Bay Lightning">
          <a:extLst>
            <a:ext uri="{FF2B5EF4-FFF2-40B4-BE49-F238E27FC236}">
              <a16:creationId xmlns:a16="http://schemas.microsoft.com/office/drawing/2014/main" xmlns="" id="{00000000-0008-0000-0D00-0000590E0000}"/>
            </a:ext>
          </a:extLst>
        </xdr:cNvPr>
        <xdr:cNvSpPr>
          <a:spLocks noChangeAspect="1" noChangeArrowheads="1"/>
        </xdr:cNvSpPr>
      </xdr:nvSpPr>
      <xdr:spPr bwMode="auto">
        <a:xfrm>
          <a:off x="0" y="22677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531</xdr:row>
      <xdr:rowOff>0</xdr:rowOff>
    </xdr:from>
    <xdr:to>
      <xdr:col>0</xdr:col>
      <xdr:colOff>304800</xdr:colOff>
      <xdr:row>532</xdr:row>
      <xdr:rowOff>121920</xdr:rowOff>
    </xdr:to>
    <xdr:sp macro="" textlink="">
      <xdr:nvSpPr>
        <xdr:cNvPr id="3674" name="AutoShape 602" descr="Calgary Flames">
          <a:extLst>
            <a:ext uri="{FF2B5EF4-FFF2-40B4-BE49-F238E27FC236}">
              <a16:creationId xmlns:a16="http://schemas.microsoft.com/office/drawing/2014/main" xmlns="" id="{00000000-0008-0000-0D00-00005A0E0000}"/>
            </a:ext>
          </a:extLst>
        </xdr:cNvPr>
        <xdr:cNvSpPr>
          <a:spLocks noChangeAspect="1" noChangeArrowheads="1"/>
        </xdr:cNvSpPr>
      </xdr:nvSpPr>
      <xdr:spPr bwMode="auto">
        <a:xfrm>
          <a:off x="0" y="22715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274</xdr:row>
      <xdr:rowOff>0</xdr:rowOff>
    </xdr:from>
    <xdr:to>
      <xdr:col>0</xdr:col>
      <xdr:colOff>304800</xdr:colOff>
      <xdr:row>275</xdr:row>
      <xdr:rowOff>121920</xdr:rowOff>
    </xdr:to>
    <xdr:sp macro="" textlink="">
      <xdr:nvSpPr>
        <xdr:cNvPr id="3675" name="AutoShape 603" descr="Tampa Bay Lightning">
          <a:extLst>
            <a:ext uri="{FF2B5EF4-FFF2-40B4-BE49-F238E27FC236}">
              <a16:creationId xmlns:a16="http://schemas.microsoft.com/office/drawing/2014/main" xmlns="" id="{00000000-0008-0000-0D00-00005B0E0000}"/>
            </a:ext>
          </a:extLst>
        </xdr:cNvPr>
        <xdr:cNvSpPr>
          <a:spLocks noChangeAspect="1" noChangeArrowheads="1"/>
        </xdr:cNvSpPr>
      </xdr:nvSpPr>
      <xdr:spPr bwMode="auto">
        <a:xfrm>
          <a:off x="0" y="22752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249</xdr:row>
      <xdr:rowOff>0</xdr:rowOff>
    </xdr:from>
    <xdr:to>
      <xdr:col>0</xdr:col>
      <xdr:colOff>304800</xdr:colOff>
      <xdr:row>250</xdr:row>
      <xdr:rowOff>121920</xdr:rowOff>
    </xdr:to>
    <xdr:sp macro="" textlink="">
      <xdr:nvSpPr>
        <xdr:cNvPr id="3676" name="AutoShape 604" descr="Detroit Red Wings">
          <a:extLst>
            <a:ext uri="{FF2B5EF4-FFF2-40B4-BE49-F238E27FC236}">
              <a16:creationId xmlns:a16="http://schemas.microsoft.com/office/drawing/2014/main" xmlns="" id="{00000000-0008-0000-0D00-00005C0E0000}"/>
            </a:ext>
          </a:extLst>
        </xdr:cNvPr>
        <xdr:cNvSpPr>
          <a:spLocks noChangeAspect="1" noChangeArrowheads="1"/>
        </xdr:cNvSpPr>
      </xdr:nvSpPr>
      <xdr:spPr bwMode="auto">
        <a:xfrm>
          <a:off x="0" y="22789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810</xdr:row>
      <xdr:rowOff>0</xdr:rowOff>
    </xdr:from>
    <xdr:to>
      <xdr:col>0</xdr:col>
      <xdr:colOff>304800</xdr:colOff>
      <xdr:row>811</xdr:row>
      <xdr:rowOff>121920</xdr:rowOff>
    </xdr:to>
    <xdr:sp macro="" textlink="">
      <xdr:nvSpPr>
        <xdr:cNvPr id="3677" name="AutoShape 605" descr="Detroit Red Wings">
          <a:extLst>
            <a:ext uri="{FF2B5EF4-FFF2-40B4-BE49-F238E27FC236}">
              <a16:creationId xmlns:a16="http://schemas.microsoft.com/office/drawing/2014/main" xmlns="" id="{00000000-0008-0000-0D00-00005D0E0000}"/>
            </a:ext>
          </a:extLst>
        </xdr:cNvPr>
        <xdr:cNvSpPr>
          <a:spLocks noChangeAspect="1" noChangeArrowheads="1"/>
        </xdr:cNvSpPr>
      </xdr:nvSpPr>
      <xdr:spPr bwMode="auto">
        <a:xfrm>
          <a:off x="0" y="2282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826</xdr:row>
      <xdr:rowOff>0</xdr:rowOff>
    </xdr:from>
    <xdr:to>
      <xdr:col>0</xdr:col>
      <xdr:colOff>304800</xdr:colOff>
      <xdr:row>827</xdr:row>
      <xdr:rowOff>121920</xdr:rowOff>
    </xdr:to>
    <xdr:sp macro="" textlink="">
      <xdr:nvSpPr>
        <xdr:cNvPr id="3678" name="AutoShape 606" descr="Nashville Predators">
          <a:extLst>
            <a:ext uri="{FF2B5EF4-FFF2-40B4-BE49-F238E27FC236}">
              <a16:creationId xmlns:a16="http://schemas.microsoft.com/office/drawing/2014/main" xmlns="" id="{00000000-0008-0000-0D00-00005E0E0000}"/>
            </a:ext>
          </a:extLst>
        </xdr:cNvPr>
        <xdr:cNvSpPr>
          <a:spLocks noChangeAspect="1" noChangeArrowheads="1"/>
        </xdr:cNvSpPr>
      </xdr:nvSpPr>
      <xdr:spPr bwMode="auto">
        <a:xfrm>
          <a:off x="0" y="22864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821</xdr:row>
      <xdr:rowOff>0</xdr:rowOff>
    </xdr:from>
    <xdr:to>
      <xdr:col>0</xdr:col>
      <xdr:colOff>304800</xdr:colOff>
      <xdr:row>822</xdr:row>
      <xdr:rowOff>121920</xdr:rowOff>
    </xdr:to>
    <xdr:sp macro="" textlink="">
      <xdr:nvSpPr>
        <xdr:cNvPr id="3679" name="AutoShape 607" descr="Colorado Avalanche">
          <a:extLst>
            <a:ext uri="{FF2B5EF4-FFF2-40B4-BE49-F238E27FC236}">
              <a16:creationId xmlns:a16="http://schemas.microsoft.com/office/drawing/2014/main" xmlns="" id="{00000000-0008-0000-0D00-00005F0E0000}"/>
            </a:ext>
          </a:extLst>
        </xdr:cNvPr>
        <xdr:cNvSpPr>
          <a:spLocks noChangeAspect="1" noChangeArrowheads="1"/>
        </xdr:cNvSpPr>
      </xdr:nvSpPr>
      <xdr:spPr bwMode="auto">
        <a:xfrm>
          <a:off x="0" y="22901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398</xdr:row>
      <xdr:rowOff>0</xdr:rowOff>
    </xdr:from>
    <xdr:to>
      <xdr:col>0</xdr:col>
      <xdr:colOff>304800</xdr:colOff>
      <xdr:row>399</xdr:row>
      <xdr:rowOff>121920</xdr:rowOff>
    </xdr:to>
    <xdr:sp macro="" textlink="">
      <xdr:nvSpPr>
        <xdr:cNvPr id="3680" name="AutoShape 608" descr="New Jersey Devils">
          <a:extLst>
            <a:ext uri="{FF2B5EF4-FFF2-40B4-BE49-F238E27FC236}">
              <a16:creationId xmlns:a16="http://schemas.microsoft.com/office/drawing/2014/main" xmlns="" id="{00000000-0008-0000-0D00-0000600E0000}"/>
            </a:ext>
          </a:extLst>
        </xdr:cNvPr>
        <xdr:cNvSpPr>
          <a:spLocks noChangeAspect="1" noChangeArrowheads="1"/>
        </xdr:cNvSpPr>
      </xdr:nvSpPr>
      <xdr:spPr bwMode="auto">
        <a:xfrm>
          <a:off x="0" y="22939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121920</xdr:rowOff>
    </xdr:to>
    <xdr:sp macro="" textlink="">
      <xdr:nvSpPr>
        <xdr:cNvPr id="3681" name="AutoShape 609" descr="New York Rangers">
          <a:extLst>
            <a:ext uri="{FF2B5EF4-FFF2-40B4-BE49-F238E27FC236}">
              <a16:creationId xmlns:a16="http://schemas.microsoft.com/office/drawing/2014/main" xmlns="" id="{00000000-0008-0000-0D00-0000610E0000}"/>
            </a:ext>
          </a:extLst>
        </xdr:cNvPr>
        <xdr:cNvSpPr>
          <a:spLocks noChangeAspect="1" noChangeArrowheads="1"/>
        </xdr:cNvSpPr>
      </xdr:nvSpPr>
      <xdr:spPr bwMode="auto">
        <a:xfrm>
          <a:off x="0" y="22976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506</xdr:row>
      <xdr:rowOff>0</xdr:rowOff>
    </xdr:from>
    <xdr:to>
      <xdr:col>0</xdr:col>
      <xdr:colOff>304800</xdr:colOff>
      <xdr:row>507</xdr:row>
      <xdr:rowOff>121920</xdr:rowOff>
    </xdr:to>
    <xdr:sp macro="" textlink="">
      <xdr:nvSpPr>
        <xdr:cNvPr id="3682" name="AutoShape 610" descr="St Louis Blues">
          <a:extLst>
            <a:ext uri="{FF2B5EF4-FFF2-40B4-BE49-F238E27FC236}">
              <a16:creationId xmlns:a16="http://schemas.microsoft.com/office/drawing/2014/main" xmlns="" id="{00000000-0008-0000-0D00-0000620E0000}"/>
            </a:ext>
          </a:extLst>
        </xdr:cNvPr>
        <xdr:cNvSpPr>
          <a:spLocks noChangeAspect="1" noChangeArrowheads="1"/>
        </xdr:cNvSpPr>
      </xdr:nvSpPr>
      <xdr:spPr bwMode="auto">
        <a:xfrm>
          <a:off x="0" y="23013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250</xdr:row>
      <xdr:rowOff>0</xdr:rowOff>
    </xdr:from>
    <xdr:to>
      <xdr:col>0</xdr:col>
      <xdr:colOff>304800</xdr:colOff>
      <xdr:row>251</xdr:row>
      <xdr:rowOff>121920</xdr:rowOff>
    </xdr:to>
    <xdr:sp macro="" textlink="">
      <xdr:nvSpPr>
        <xdr:cNvPr id="3683" name="AutoShape 611" descr="Tampa Bay Lightning">
          <a:extLst>
            <a:ext uri="{FF2B5EF4-FFF2-40B4-BE49-F238E27FC236}">
              <a16:creationId xmlns:a16="http://schemas.microsoft.com/office/drawing/2014/main" xmlns="" id="{00000000-0008-0000-0D00-0000630E0000}"/>
            </a:ext>
          </a:extLst>
        </xdr:cNvPr>
        <xdr:cNvSpPr>
          <a:spLocks noChangeAspect="1" noChangeArrowheads="1"/>
        </xdr:cNvSpPr>
      </xdr:nvSpPr>
      <xdr:spPr bwMode="auto">
        <a:xfrm>
          <a:off x="0" y="23051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126</xdr:row>
      <xdr:rowOff>0</xdr:rowOff>
    </xdr:from>
    <xdr:to>
      <xdr:col>0</xdr:col>
      <xdr:colOff>304800</xdr:colOff>
      <xdr:row>127</xdr:row>
      <xdr:rowOff>121920</xdr:rowOff>
    </xdr:to>
    <xdr:sp macro="" textlink="">
      <xdr:nvSpPr>
        <xdr:cNvPr id="3684" name="AutoShape 612" descr="Calgary Flames">
          <a:extLst>
            <a:ext uri="{FF2B5EF4-FFF2-40B4-BE49-F238E27FC236}">
              <a16:creationId xmlns:a16="http://schemas.microsoft.com/office/drawing/2014/main" xmlns="" id="{00000000-0008-0000-0D00-0000640E0000}"/>
            </a:ext>
          </a:extLst>
        </xdr:cNvPr>
        <xdr:cNvSpPr>
          <a:spLocks noChangeAspect="1" noChangeArrowheads="1"/>
        </xdr:cNvSpPr>
      </xdr:nvSpPr>
      <xdr:spPr bwMode="auto">
        <a:xfrm>
          <a:off x="0" y="2308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464</xdr:row>
      <xdr:rowOff>0</xdr:rowOff>
    </xdr:from>
    <xdr:to>
      <xdr:col>0</xdr:col>
      <xdr:colOff>304800</xdr:colOff>
      <xdr:row>465</xdr:row>
      <xdr:rowOff>121920</xdr:rowOff>
    </xdr:to>
    <xdr:sp macro="" textlink="">
      <xdr:nvSpPr>
        <xdr:cNvPr id="3685" name="AutoShape 613" descr="Vegas Golden Knights">
          <a:extLst>
            <a:ext uri="{FF2B5EF4-FFF2-40B4-BE49-F238E27FC236}">
              <a16:creationId xmlns:a16="http://schemas.microsoft.com/office/drawing/2014/main" xmlns="" id="{00000000-0008-0000-0D00-0000650E0000}"/>
            </a:ext>
          </a:extLst>
        </xdr:cNvPr>
        <xdr:cNvSpPr>
          <a:spLocks noChangeAspect="1" noChangeArrowheads="1"/>
        </xdr:cNvSpPr>
      </xdr:nvSpPr>
      <xdr:spPr bwMode="auto">
        <a:xfrm>
          <a:off x="0" y="2312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508</xdr:row>
      <xdr:rowOff>0</xdr:rowOff>
    </xdr:from>
    <xdr:to>
      <xdr:col>0</xdr:col>
      <xdr:colOff>304800</xdr:colOff>
      <xdr:row>509</xdr:row>
      <xdr:rowOff>121920</xdr:rowOff>
    </xdr:to>
    <xdr:sp macro="" textlink="">
      <xdr:nvSpPr>
        <xdr:cNvPr id="3686" name="AutoShape 614" descr="New Jersey Devils">
          <a:extLst>
            <a:ext uri="{FF2B5EF4-FFF2-40B4-BE49-F238E27FC236}">
              <a16:creationId xmlns:a16="http://schemas.microsoft.com/office/drawing/2014/main" xmlns="" id="{00000000-0008-0000-0D00-0000660E0000}"/>
            </a:ext>
          </a:extLst>
        </xdr:cNvPr>
        <xdr:cNvSpPr>
          <a:spLocks noChangeAspect="1" noChangeArrowheads="1"/>
        </xdr:cNvSpPr>
      </xdr:nvSpPr>
      <xdr:spPr bwMode="auto">
        <a:xfrm>
          <a:off x="0" y="23181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705</xdr:row>
      <xdr:rowOff>0</xdr:rowOff>
    </xdr:from>
    <xdr:to>
      <xdr:col>0</xdr:col>
      <xdr:colOff>304800</xdr:colOff>
      <xdr:row>706</xdr:row>
      <xdr:rowOff>121920</xdr:rowOff>
    </xdr:to>
    <xdr:sp macro="" textlink="">
      <xdr:nvSpPr>
        <xdr:cNvPr id="3687" name="AutoShape 615" descr="New York Rangers">
          <a:extLst>
            <a:ext uri="{FF2B5EF4-FFF2-40B4-BE49-F238E27FC236}">
              <a16:creationId xmlns:a16="http://schemas.microsoft.com/office/drawing/2014/main" xmlns="" id="{00000000-0008-0000-0D00-0000670E0000}"/>
            </a:ext>
          </a:extLst>
        </xdr:cNvPr>
        <xdr:cNvSpPr>
          <a:spLocks noChangeAspect="1" noChangeArrowheads="1"/>
        </xdr:cNvSpPr>
      </xdr:nvSpPr>
      <xdr:spPr bwMode="auto">
        <a:xfrm>
          <a:off x="0" y="23218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121920</xdr:rowOff>
    </xdr:to>
    <xdr:sp macro="" textlink="">
      <xdr:nvSpPr>
        <xdr:cNvPr id="3688" name="AutoShape 616" descr="Boston Bruins">
          <a:extLst>
            <a:ext uri="{FF2B5EF4-FFF2-40B4-BE49-F238E27FC236}">
              <a16:creationId xmlns:a16="http://schemas.microsoft.com/office/drawing/2014/main" xmlns="" id="{00000000-0008-0000-0D00-0000680E0000}"/>
            </a:ext>
          </a:extLst>
        </xdr:cNvPr>
        <xdr:cNvSpPr>
          <a:spLocks noChangeAspect="1" noChangeArrowheads="1"/>
        </xdr:cNvSpPr>
      </xdr:nvSpPr>
      <xdr:spPr bwMode="auto">
        <a:xfrm>
          <a:off x="0" y="23256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215</xdr:row>
      <xdr:rowOff>0</xdr:rowOff>
    </xdr:from>
    <xdr:to>
      <xdr:col>0</xdr:col>
      <xdr:colOff>304800</xdr:colOff>
      <xdr:row>216</xdr:row>
      <xdr:rowOff>121920</xdr:rowOff>
    </xdr:to>
    <xdr:sp macro="" textlink="">
      <xdr:nvSpPr>
        <xdr:cNvPr id="3689" name="AutoShape 617" descr="Boston Bruins">
          <a:extLst>
            <a:ext uri="{FF2B5EF4-FFF2-40B4-BE49-F238E27FC236}">
              <a16:creationId xmlns:a16="http://schemas.microsoft.com/office/drawing/2014/main" xmlns="" id="{00000000-0008-0000-0D00-0000690E0000}"/>
            </a:ext>
          </a:extLst>
        </xdr:cNvPr>
        <xdr:cNvSpPr>
          <a:spLocks noChangeAspect="1" noChangeArrowheads="1"/>
        </xdr:cNvSpPr>
      </xdr:nvSpPr>
      <xdr:spPr bwMode="auto">
        <a:xfrm>
          <a:off x="0" y="23293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0</xdr:rowOff>
    </xdr:from>
    <xdr:to>
      <xdr:col>0</xdr:col>
      <xdr:colOff>304800</xdr:colOff>
      <xdr:row>18</xdr:row>
      <xdr:rowOff>121920</xdr:rowOff>
    </xdr:to>
    <xdr:sp macro="" textlink="">
      <xdr:nvSpPr>
        <xdr:cNvPr id="3690" name="AutoShape 618" descr="Carolina Hurricanes">
          <a:extLst>
            <a:ext uri="{FF2B5EF4-FFF2-40B4-BE49-F238E27FC236}">
              <a16:creationId xmlns:a16="http://schemas.microsoft.com/office/drawing/2014/main" xmlns="" id="{00000000-0008-0000-0D00-00006A0E0000}"/>
            </a:ext>
          </a:extLst>
        </xdr:cNvPr>
        <xdr:cNvSpPr>
          <a:spLocks noChangeAspect="1" noChangeArrowheads="1"/>
        </xdr:cNvSpPr>
      </xdr:nvSpPr>
      <xdr:spPr bwMode="auto">
        <a:xfrm>
          <a:off x="0" y="23330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553</xdr:row>
      <xdr:rowOff>0</xdr:rowOff>
    </xdr:from>
    <xdr:to>
      <xdr:col>0</xdr:col>
      <xdr:colOff>304800</xdr:colOff>
      <xdr:row>554</xdr:row>
      <xdr:rowOff>121920</xdr:rowOff>
    </xdr:to>
    <xdr:sp macro="" textlink="">
      <xdr:nvSpPr>
        <xdr:cNvPr id="3691" name="AutoShape 619" descr="Anaheim Ducks">
          <a:extLst>
            <a:ext uri="{FF2B5EF4-FFF2-40B4-BE49-F238E27FC236}">
              <a16:creationId xmlns:a16="http://schemas.microsoft.com/office/drawing/2014/main" xmlns="" id="{00000000-0008-0000-0D00-00006B0E0000}"/>
            </a:ext>
          </a:extLst>
        </xdr:cNvPr>
        <xdr:cNvSpPr>
          <a:spLocks noChangeAspect="1" noChangeArrowheads="1"/>
        </xdr:cNvSpPr>
      </xdr:nvSpPr>
      <xdr:spPr bwMode="auto">
        <a:xfrm>
          <a:off x="0" y="233682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812</xdr:row>
      <xdr:rowOff>0</xdr:rowOff>
    </xdr:from>
    <xdr:to>
      <xdr:col>0</xdr:col>
      <xdr:colOff>304800</xdr:colOff>
      <xdr:row>813</xdr:row>
      <xdr:rowOff>121920</xdr:rowOff>
    </xdr:to>
    <xdr:sp macro="" textlink="">
      <xdr:nvSpPr>
        <xdr:cNvPr id="3692" name="AutoShape 620" descr="St Louis Blues">
          <a:extLst>
            <a:ext uri="{FF2B5EF4-FFF2-40B4-BE49-F238E27FC236}">
              <a16:creationId xmlns:a16="http://schemas.microsoft.com/office/drawing/2014/main" xmlns="" id="{00000000-0008-0000-0D00-00006C0E0000}"/>
            </a:ext>
          </a:extLst>
        </xdr:cNvPr>
        <xdr:cNvSpPr>
          <a:spLocks noChangeAspect="1" noChangeArrowheads="1"/>
        </xdr:cNvSpPr>
      </xdr:nvSpPr>
      <xdr:spPr bwMode="auto">
        <a:xfrm>
          <a:off x="0" y="234055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480</xdr:row>
      <xdr:rowOff>0</xdr:rowOff>
    </xdr:from>
    <xdr:to>
      <xdr:col>0</xdr:col>
      <xdr:colOff>304800</xdr:colOff>
      <xdr:row>481</xdr:row>
      <xdr:rowOff>121920</xdr:rowOff>
    </xdr:to>
    <xdr:sp macro="" textlink="">
      <xdr:nvSpPr>
        <xdr:cNvPr id="3693" name="AutoShape 621" descr="Arizona Coyotes">
          <a:extLst>
            <a:ext uri="{FF2B5EF4-FFF2-40B4-BE49-F238E27FC236}">
              <a16:creationId xmlns:a16="http://schemas.microsoft.com/office/drawing/2014/main" xmlns="" id="{00000000-0008-0000-0D00-00006D0E0000}"/>
            </a:ext>
          </a:extLst>
        </xdr:cNvPr>
        <xdr:cNvSpPr>
          <a:spLocks noChangeAspect="1" noChangeArrowheads="1"/>
        </xdr:cNvSpPr>
      </xdr:nvSpPr>
      <xdr:spPr bwMode="auto">
        <a:xfrm>
          <a:off x="0" y="2344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xdr:row>
      <xdr:rowOff>0</xdr:rowOff>
    </xdr:from>
    <xdr:to>
      <xdr:col>0</xdr:col>
      <xdr:colOff>304800</xdr:colOff>
      <xdr:row>20</xdr:row>
      <xdr:rowOff>121920</xdr:rowOff>
    </xdr:to>
    <xdr:sp macro="" textlink="">
      <xdr:nvSpPr>
        <xdr:cNvPr id="3694" name="AutoShape 622" descr="Chicago Blackhawks">
          <a:extLst>
            <a:ext uri="{FF2B5EF4-FFF2-40B4-BE49-F238E27FC236}">
              <a16:creationId xmlns:a16="http://schemas.microsoft.com/office/drawing/2014/main" xmlns="" id="{00000000-0008-0000-0D00-00006E0E0000}"/>
            </a:ext>
          </a:extLst>
        </xdr:cNvPr>
        <xdr:cNvSpPr>
          <a:spLocks noChangeAspect="1" noChangeArrowheads="1"/>
        </xdr:cNvSpPr>
      </xdr:nvSpPr>
      <xdr:spPr bwMode="auto">
        <a:xfrm>
          <a:off x="0" y="234802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385</xdr:row>
      <xdr:rowOff>0</xdr:rowOff>
    </xdr:from>
    <xdr:to>
      <xdr:col>0</xdr:col>
      <xdr:colOff>304800</xdr:colOff>
      <xdr:row>386</xdr:row>
      <xdr:rowOff>121920</xdr:rowOff>
    </xdr:to>
    <xdr:sp macro="" textlink="">
      <xdr:nvSpPr>
        <xdr:cNvPr id="3695" name="AutoShape 623" descr="Boston Bruins">
          <a:extLst>
            <a:ext uri="{FF2B5EF4-FFF2-40B4-BE49-F238E27FC236}">
              <a16:creationId xmlns:a16="http://schemas.microsoft.com/office/drawing/2014/main" xmlns="" id="{00000000-0008-0000-0D00-00006F0E0000}"/>
            </a:ext>
          </a:extLst>
        </xdr:cNvPr>
        <xdr:cNvSpPr>
          <a:spLocks noChangeAspect="1" noChangeArrowheads="1"/>
        </xdr:cNvSpPr>
      </xdr:nvSpPr>
      <xdr:spPr bwMode="auto">
        <a:xfrm>
          <a:off x="0" y="235176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721</xdr:row>
      <xdr:rowOff>0</xdr:rowOff>
    </xdr:from>
    <xdr:to>
      <xdr:col>0</xdr:col>
      <xdr:colOff>304800</xdr:colOff>
      <xdr:row>722</xdr:row>
      <xdr:rowOff>121920</xdr:rowOff>
    </xdr:to>
    <xdr:sp macro="" textlink="">
      <xdr:nvSpPr>
        <xdr:cNvPr id="3696" name="AutoShape 624" descr="Anaheim Ducks">
          <a:extLst>
            <a:ext uri="{FF2B5EF4-FFF2-40B4-BE49-F238E27FC236}">
              <a16:creationId xmlns:a16="http://schemas.microsoft.com/office/drawing/2014/main" xmlns="" id="{00000000-0008-0000-0D00-0000700E0000}"/>
            </a:ext>
          </a:extLst>
        </xdr:cNvPr>
        <xdr:cNvSpPr>
          <a:spLocks noChangeAspect="1" noChangeArrowheads="1"/>
        </xdr:cNvSpPr>
      </xdr:nvSpPr>
      <xdr:spPr bwMode="auto">
        <a:xfrm>
          <a:off x="0" y="235549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792</xdr:row>
      <xdr:rowOff>0</xdr:rowOff>
    </xdr:from>
    <xdr:to>
      <xdr:col>0</xdr:col>
      <xdr:colOff>304800</xdr:colOff>
      <xdr:row>793</xdr:row>
      <xdr:rowOff>121920</xdr:rowOff>
    </xdr:to>
    <xdr:sp macro="" textlink="">
      <xdr:nvSpPr>
        <xdr:cNvPr id="3697" name="AutoShape 625" descr="Edmonton Oilers">
          <a:extLst>
            <a:ext uri="{FF2B5EF4-FFF2-40B4-BE49-F238E27FC236}">
              <a16:creationId xmlns:a16="http://schemas.microsoft.com/office/drawing/2014/main" xmlns="" id="{00000000-0008-0000-0D00-0000710E0000}"/>
            </a:ext>
          </a:extLst>
        </xdr:cNvPr>
        <xdr:cNvSpPr>
          <a:spLocks noChangeAspect="1" noChangeArrowheads="1"/>
        </xdr:cNvSpPr>
      </xdr:nvSpPr>
      <xdr:spPr bwMode="auto">
        <a:xfrm>
          <a:off x="0" y="23592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133</xdr:row>
      <xdr:rowOff>0</xdr:rowOff>
    </xdr:from>
    <xdr:to>
      <xdr:col>0</xdr:col>
      <xdr:colOff>304800</xdr:colOff>
      <xdr:row>134</xdr:row>
      <xdr:rowOff>121920</xdr:rowOff>
    </xdr:to>
    <xdr:sp macro="" textlink="">
      <xdr:nvSpPr>
        <xdr:cNvPr id="3698" name="AutoShape 626" descr="Carolina Hurricanes">
          <a:extLst>
            <a:ext uri="{FF2B5EF4-FFF2-40B4-BE49-F238E27FC236}">
              <a16:creationId xmlns:a16="http://schemas.microsoft.com/office/drawing/2014/main" xmlns="" id="{00000000-0008-0000-0D00-0000720E0000}"/>
            </a:ext>
          </a:extLst>
        </xdr:cNvPr>
        <xdr:cNvSpPr>
          <a:spLocks noChangeAspect="1" noChangeArrowheads="1"/>
        </xdr:cNvSpPr>
      </xdr:nvSpPr>
      <xdr:spPr bwMode="auto">
        <a:xfrm>
          <a:off x="0" y="236296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625</xdr:row>
      <xdr:rowOff>0</xdr:rowOff>
    </xdr:from>
    <xdr:to>
      <xdr:col>0</xdr:col>
      <xdr:colOff>304800</xdr:colOff>
      <xdr:row>626</xdr:row>
      <xdr:rowOff>121920</xdr:rowOff>
    </xdr:to>
    <xdr:sp macro="" textlink="">
      <xdr:nvSpPr>
        <xdr:cNvPr id="3699" name="AutoShape 627" descr="Philadelphia Flyers">
          <a:extLst>
            <a:ext uri="{FF2B5EF4-FFF2-40B4-BE49-F238E27FC236}">
              <a16:creationId xmlns:a16="http://schemas.microsoft.com/office/drawing/2014/main" xmlns="" id="{00000000-0008-0000-0D00-0000730E0000}"/>
            </a:ext>
          </a:extLst>
        </xdr:cNvPr>
        <xdr:cNvSpPr>
          <a:spLocks noChangeAspect="1" noChangeArrowheads="1"/>
        </xdr:cNvSpPr>
      </xdr:nvSpPr>
      <xdr:spPr bwMode="auto">
        <a:xfrm>
          <a:off x="0" y="23666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807</xdr:row>
      <xdr:rowOff>0</xdr:rowOff>
    </xdr:from>
    <xdr:to>
      <xdr:col>0</xdr:col>
      <xdr:colOff>304800</xdr:colOff>
      <xdr:row>808</xdr:row>
      <xdr:rowOff>121920</xdr:rowOff>
    </xdr:to>
    <xdr:sp macro="" textlink="">
      <xdr:nvSpPr>
        <xdr:cNvPr id="3700" name="AutoShape 628" descr="Montreal Canadiens">
          <a:extLst>
            <a:ext uri="{FF2B5EF4-FFF2-40B4-BE49-F238E27FC236}">
              <a16:creationId xmlns:a16="http://schemas.microsoft.com/office/drawing/2014/main" xmlns="" id="{00000000-0008-0000-0D00-0000740E0000}"/>
            </a:ext>
          </a:extLst>
        </xdr:cNvPr>
        <xdr:cNvSpPr>
          <a:spLocks noChangeAspect="1" noChangeArrowheads="1"/>
        </xdr:cNvSpPr>
      </xdr:nvSpPr>
      <xdr:spPr bwMode="auto">
        <a:xfrm>
          <a:off x="0" y="237042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405</xdr:row>
      <xdr:rowOff>0</xdr:rowOff>
    </xdr:from>
    <xdr:to>
      <xdr:col>0</xdr:col>
      <xdr:colOff>304800</xdr:colOff>
      <xdr:row>406</xdr:row>
      <xdr:rowOff>121920</xdr:rowOff>
    </xdr:to>
    <xdr:sp macro="" textlink="">
      <xdr:nvSpPr>
        <xdr:cNvPr id="3701" name="AutoShape 629" descr="Washington Capitals">
          <a:extLst>
            <a:ext uri="{FF2B5EF4-FFF2-40B4-BE49-F238E27FC236}">
              <a16:creationId xmlns:a16="http://schemas.microsoft.com/office/drawing/2014/main" xmlns="" id="{00000000-0008-0000-0D00-0000750E0000}"/>
            </a:ext>
          </a:extLst>
        </xdr:cNvPr>
        <xdr:cNvSpPr>
          <a:spLocks noChangeAspect="1" noChangeArrowheads="1"/>
        </xdr:cNvSpPr>
      </xdr:nvSpPr>
      <xdr:spPr bwMode="auto">
        <a:xfrm>
          <a:off x="0" y="2374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661</xdr:row>
      <xdr:rowOff>0</xdr:rowOff>
    </xdr:from>
    <xdr:to>
      <xdr:col>0</xdr:col>
      <xdr:colOff>304800</xdr:colOff>
      <xdr:row>662</xdr:row>
      <xdr:rowOff>121920</xdr:rowOff>
    </xdr:to>
    <xdr:sp macro="" textlink="">
      <xdr:nvSpPr>
        <xdr:cNvPr id="3702" name="AutoShape 630" descr="Columbus Blue Jackets">
          <a:extLst>
            <a:ext uri="{FF2B5EF4-FFF2-40B4-BE49-F238E27FC236}">
              <a16:creationId xmlns:a16="http://schemas.microsoft.com/office/drawing/2014/main" xmlns="" id="{00000000-0008-0000-0D00-0000760E0000}"/>
            </a:ext>
          </a:extLst>
        </xdr:cNvPr>
        <xdr:cNvSpPr>
          <a:spLocks noChangeAspect="1" noChangeArrowheads="1"/>
        </xdr:cNvSpPr>
      </xdr:nvSpPr>
      <xdr:spPr bwMode="auto">
        <a:xfrm>
          <a:off x="0" y="237789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446</xdr:row>
      <xdr:rowOff>0</xdr:rowOff>
    </xdr:from>
    <xdr:to>
      <xdr:col>0</xdr:col>
      <xdr:colOff>304800</xdr:colOff>
      <xdr:row>447</xdr:row>
      <xdr:rowOff>121920</xdr:rowOff>
    </xdr:to>
    <xdr:sp macro="" textlink="">
      <xdr:nvSpPr>
        <xdr:cNvPr id="3703" name="AutoShape 631" descr="Ottawa Senators">
          <a:extLst>
            <a:ext uri="{FF2B5EF4-FFF2-40B4-BE49-F238E27FC236}">
              <a16:creationId xmlns:a16="http://schemas.microsoft.com/office/drawing/2014/main" xmlns="" id="{00000000-0008-0000-0D00-0000770E0000}"/>
            </a:ext>
          </a:extLst>
        </xdr:cNvPr>
        <xdr:cNvSpPr>
          <a:spLocks noChangeAspect="1" noChangeArrowheads="1"/>
        </xdr:cNvSpPr>
      </xdr:nvSpPr>
      <xdr:spPr bwMode="auto">
        <a:xfrm>
          <a:off x="0" y="238163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316</xdr:row>
      <xdr:rowOff>0</xdr:rowOff>
    </xdr:from>
    <xdr:to>
      <xdr:col>0</xdr:col>
      <xdr:colOff>304800</xdr:colOff>
      <xdr:row>317</xdr:row>
      <xdr:rowOff>121920</xdr:rowOff>
    </xdr:to>
    <xdr:sp macro="" textlink="">
      <xdr:nvSpPr>
        <xdr:cNvPr id="3704" name="AutoShape 632" descr="Vancouver Canucks">
          <a:extLst>
            <a:ext uri="{FF2B5EF4-FFF2-40B4-BE49-F238E27FC236}">
              <a16:creationId xmlns:a16="http://schemas.microsoft.com/office/drawing/2014/main" xmlns="" id="{00000000-0008-0000-0D00-0000780E0000}"/>
            </a:ext>
          </a:extLst>
        </xdr:cNvPr>
        <xdr:cNvSpPr>
          <a:spLocks noChangeAspect="1" noChangeArrowheads="1"/>
        </xdr:cNvSpPr>
      </xdr:nvSpPr>
      <xdr:spPr bwMode="auto">
        <a:xfrm>
          <a:off x="0" y="23853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461</xdr:row>
      <xdr:rowOff>0</xdr:rowOff>
    </xdr:from>
    <xdr:to>
      <xdr:col>0</xdr:col>
      <xdr:colOff>304800</xdr:colOff>
      <xdr:row>462</xdr:row>
      <xdr:rowOff>121920</xdr:rowOff>
    </xdr:to>
    <xdr:sp macro="" textlink="">
      <xdr:nvSpPr>
        <xdr:cNvPr id="3705" name="AutoShape 633" descr="Toronto Maple Leafs">
          <a:extLst>
            <a:ext uri="{FF2B5EF4-FFF2-40B4-BE49-F238E27FC236}">
              <a16:creationId xmlns:a16="http://schemas.microsoft.com/office/drawing/2014/main" xmlns="" id="{00000000-0008-0000-0D00-0000790E0000}"/>
            </a:ext>
          </a:extLst>
        </xdr:cNvPr>
        <xdr:cNvSpPr>
          <a:spLocks noChangeAspect="1" noChangeArrowheads="1"/>
        </xdr:cNvSpPr>
      </xdr:nvSpPr>
      <xdr:spPr bwMode="auto">
        <a:xfrm>
          <a:off x="0" y="23890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781</xdr:row>
      <xdr:rowOff>0</xdr:rowOff>
    </xdr:from>
    <xdr:to>
      <xdr:col>0</xdr:col>
      <xdr:colOff>304800</xdr:colOff>
      <xdr:row>782</xdr:row>
      <xdr:rowOff>121920</xdr:rowOff>
    </xdr:to>
    <xdr:sp macro="" textlink="">
      <xdr:nvSpPr>
        <xdr:cNvPr id="3706" name="AutoShape 634" descr="Toronto Maple Leafs">
          <a:extLst>
            <a:ext uri="{FF2B5EF4-FFF2-40B4-BE49-F238E27FC236}">
              <a16:creationId xmlns:a16="http://schemas.microsoft.com/office/drawing/2014/main" xmlns="" id="{00000000-0008-0000-0D00-00007A0E0000}"/>
            </a:ext>
          </a:extLst>
        </xdr:cNvPr>
        <xdr:cNvSpPr>
          <a:spLocks noChangeAspect="1" noChangeArrowheads="1"/>
        </xdr:cNvSpPr>
      </xdr:nvSpPr>
      <xdr:spPr bwMode="auto">
        <a:xfrm>
          <a:off x="0" y="23928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818</xdr:row>
      <xdr:rowOff>0</xdr:rowOff>
    </xdr:from>
    <xdr:to>
      <xdr:col>0</xdr:col>
      <xdr:colOff>304800</xdr:colOff>
      <xdr:row>819</xdr:row>
      <xdr:rowOff>121920</xdr:rowOff>
    </xdr:to>
    <xdr:sp macro="" textlink="">
      <xdr:nvSpPr>
        <xdr:cNvPr id="3707" name="AutoShape 635" descr="Washington Capitals">
          <a:extLst>
            <a:ext uri="{FF2B5EF4-FFF2-40B4-BE49-F238E27FC236}">
              <a16:creationId xmlns:a16="http://schemas.microsoft.com/office/drawing/2014/main" xmlns="" id="{00000000-0008-0000-0D00-00007B0E0000}"/>
            </a:ext>
          </a:extLst>
        </xdr:cNvPr>
        <xdr:cNvSpPr>
          <a:spLocks noChangeAspect="1" noChangeArrowheads="1"/>
        </xdr:cNvSpPr>
      </xdr:nvSpPr>
      <xdr:spPr bwMode="auto">
        <a:xfrm>
          <a:off x="0" y="23965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382</xdr:row>
      <xdr:rowOff>0</xdr:rowOff>
    </xdr:from>
    <xdr:to>
      <xdr:col>0</xdr:col>
      <xdr:colOff>304800</xdr:colOff>
      <xdr:row>383</xdr:row>
      <xdr:rowOff>121920</xdr:rowOff>
    </xdr:to>
    <xdr:sp macro="" textlink="">
      <xdr:nvSpPr>
        <xdr:cNvPr id="3708" name="AutoShape 636" descr="Boston Bruins">
          <a:extLst>
            <a:ext uri="{FF2B5EF4-FFF2-40B4-BE49-F238E27FC236}">
              <a16:creationId xmlns:a16="http://schemas.microsoft.com/office/drawing/2014/main" xmlns="" id="{00000000-0008-0000-0D00-00007C0E0000}"/>
            </a:ext>
          </a:extLst>
        </xdr:cNvPr>
        <xdr:cNvSpPr>
          <a:spLocks noChangeAspect="1" noChangeArrowheads="1"/>
        </xdr:cNvSpPr>
      </xdr:nvSpPr>
      <xdr:spPr bwMode="auto">
        <a:xfrm>
          <a:off x="0" y="24003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331</xdr:row>
      <xdr:rowOff>0</xdr:rowOff>
    </xdr:from>
    <xdr:to>
      <xdr:col>0</xdr:col>
      <xdr:colOff>304800</xdr:colOff>
      <xdr:row>332</xdr:row>
      <xdr:rowOff>121920</xdr:rowOff>
    </xdr:to>
    <xdr:sp macro="" textlink="">
      <xdr:nvSpPr>
        <xdr:cNvPr id="3709" name="AutoShape 637" descr="St Louis Blues">
          <a:extLst>
            <a:ext uri="{FF2B5EF4-FFF2-40B4-BE49-F238E27FC236}">
              <a16:creationId xmlns:a16="http://schemas.microsoft.com/office/drawing/2014/main" xmlns="" id="{00000000-0008-0000-0D00-00007D0E0000}"/>
            </a:ext>
          </a:extLst>
        </xdr:cNvPr>
        <xdr:cNvSpPr>
          <a:spLocks noChangeAspect="1" noChangeArrowheads="1"/>
        </xdr:cNvSpPr>
      </xdr:nvSpPr>
      <xdr:spPr bwMode="auto">
        <a:xfrm>
          <a:off x="0" y="2404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680</xdr:row>
      <xdr:rowOff>0</xdr:rowOff>
    </xdr:from>
    <xdr:to>
      <xdr:col>0</xdr:col>
      <xdr:colOff>304800</xdr:colOff>
      <xdr:row>681</xdr:row>
      <xdr:rowOff>121920</xdr:rowOff>
    </xdr:to>
    <xdr:sp macro="" textlink="">
      <xdr:nvSpPr>
        <xdr:cNvPr id="3710" name="AutoShape 638" descr="Calgary Flames">
          <a:extLst>
            <a:ext uri="{FF2B5EF4-FFF2-40B4-BE49-F238E27FC236}">
              <a16:creationId xmlns:a16="http://schemas.microsoft.com/office/drawing/2014/main" xmlns="" id="{00000000-0008-0000-0D00-00007E0E0000}"/>
            </a:ext>
          </a:extLst>
        </xdr:cNvPr>
        <xdr:cNvSpPr>
          <a:spLocks noChangeAspect="1" noChangeArrowheads="1"/>
        </xdr:cNvSpPr>
      </xdr:nvSpPr>
      <xdr:spPr bwMode="auto">
        <a:xfrm>
          <a:off x="0" y="24077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643</xdr:row>
      <xdr:rowOff>0</xdr:rowOff>
    </xdr:from>
    <xdr:to>
      <xdr:col>0</xdr:col>
      <xdr:colOff>304800</xdr:colOff>
      <xdr:row>644</xdr:row>
      <xdr:rowOff>121920</xdr:rowOff>
    </xdr:to>
    <xdr:sp macro="" textlink="">
      <xdr:nvSpPr>
        <xdr:cNvPr id="3711" name="AutoShape 639" descr="Calgary Flames">
          <a:extLst>
            <a:ext uri="{FF2B5EF4-FFF2-40B4-BE49-F238E27FC236}">
              <a16:creationId xmlns:a16="http://schemas.microsoft.com/office/drawing/2014/main" xmlns="" id="{00000000-0008-0000-0D00-00007F0E0000}"/>
            </a:ext>
          </a:extLst>
        </xdr:cNvPr>
        <xdr:cNvSpPr>
          <a:spLocks noChangeAspect="1" noChangeArrowheads="1"/>
        </xdr:cNvSpPr>
      </xdr:nvSpPr>
      <xdr:spPr bwMode="auto">
        <a:xfrm>
          <a:off x="0" y="24115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115</xdr:row>
      <xdr:rowOff>0</xdr:rowOff>
    </xdr:from>
    <xdr:to>
      <xdr:col>0</xdr:col>
      <xdr:colOff>304800</xdr:colOff>
      <xdr:row>116</xdr:row>
      <xdr:rowOff>121920</xdr:rowOff>
    </xdr:to>
    <xdr:sp macro="" textlink="">
      <xdr:nvSpPr>
        <xdr:cNvPr id="3712" name="AutoShape 640" descr="Buffalo Sabres">
          <a:extLst>
            <a:ext uri="{FF2B5EF4-FFF2-40B4-BE49-F238E27FC236}">
              <a16:creationId xmlns:a16="http://schemas.microsoft.com/office/drawing/2014/main" xmlns="" id="{00000000-0008-0000-0D00-0000800E0000}"/>
            </a:ext>
          </a:extLst>
        </xdr:cNvPr>
        <xdr:cNvSpPr>
          <a:spLocks noChangeAspect="1" noChangeArrowheads="1"/>
        </xdr:cNvSpPr>
      </xdr:nvSpPr>
      <xdr:spPr bwMode="auto">
        <a:xfrm>
          <a:off x="0" y="24152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448</xdr:row>
      <xdr:rowOff>0</xdr:rowOff>
    </xdr:from>
    <xdr:to>
      <xdr:col>0</xdr:col>
      <xdr:colOff>304800</xdr:colOff>
      <xdr:row>449</xdr:row>
      <xdr:rowOff>121920</xdr:rowOff>
    </xdr:to>
    <xdr:sp macro="" textlink="">
      <xdr:nvSpPr>
        <xdr:cNvPr id="3713" name="AutoShape 641" descr="Anaheim Ducks">
          <a:extLst>
            <a:ext uri="{FF2B5EF4-FFF2-40B4-BE49-F238E27FC236}">
              <a16:creationId xmlns:a16="http://schemas.microsoft.com/office/drawing/2014/main" xmlns="" id="{00000000-0008-0000-0D00-0000810E0000}"/>
            </a:ext>
          </a:extLst>
        </xdr:cNvPr>
        <xdr:cNvSpPr>
          <a:spLocks noChangeAspect="1" noChangeArrowheads="1"/>
        </xdr:cNvSpPr>
      </xdr:nvSpPr>
      <xdr:spPr bwMode="auto">
        <a:xfrm>
          <a:off x="0" y="24189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695</xdr:row>
      <xdr:rowOff>0</xdr:rowOff>
    </xdr:from>
    <xdr:to>
      <xdr:col>0</xdr:col>
      <xdr:colOff>304800</xdr:colOff>
      <xdr:row>696</xdr:row>
      <xdr:rowOff>121920</xdr:rowOff>
    </xdr:to>
    <xdr:sp macro="" textlink="">
      <xdr:nvSpPr>
        <xdr:cNvPr id="3714" name="AutoShape 642" descr="San Jose Sharks">
          <a:extLst>
            <a:ext uri="{FF2B5EF4-FFF2-40B4-BE49-F238E27FC236}">
              <a16:creationId xmlns:a16="http://schemas.microsoft.com/office/drawing/2014/main" xmlns="" id="{00000000-0008-0000-0D00-0000820E0000}"/>
            </a:ext>
          </a:extLst>
        </xdr:cNvPr>
        <xdr:cNvSpPr>
          <a:spLocks noChangeAspect="1" noChangeArrowheads="1"/>
        </xdr:cNvSpPr>
      </xdr:nvSpPr>
      <xdr:spPr bwMode="auto">
        <a:xfrm>
          <a:off x="0" y="24227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xdr:row>
      <xdr:rowOff>0</xdr:rowOff>
    </xdr:from>
    <xdr:to>
      <xdr:col>0</xdr:col>
      <xdr:colOff>304800</xdr:colOff>
      <xdr:row>11</xdr:row>
      <xdr:rowOff>121920</xdr:rowOff>
    </xdr:to>
    <xdr:sp macro="" textlink="">
      <xdr:nvSpPr>
        <xdr:cNvPr id="3715" name="AutoShape 643" descr="St Louis Blues">
          <a:extLst>
            <a:ext uri="{FF2B5EF4-FFF2-40B4-BE49-F238E27FC236}">
              <a16:creationId xmlns:a16="http://schemas.microsoft.com/office/drawing/2014/main" xmlns="" id="{00000000-0008-0000-0D00-0000830E0000}"/>
            </a:ext>
          </a:extLst>
        </xdr:cNvPr>
        <xdr:cNvSpPr>
          <a:spLocks noChangeAspect="1" noChangeArrowheads="1"/>
        </xdr:cNvSpPr>
      </xdr:nvSpPr>
      <xdr:spPr bwMode="auto">
        <a:xfrm>
          <a:off x="0" y="24264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653</xdr:row>
      <xdr:rowOff>0</xdr:rowOff>
    </xdr:from>
    <xdr:to>
      <xdr:col>0</xdr:col>
      <xdr:colOff>304800</xdr:colOff>
      <xdr:row>654</xdr:row>
      <xdr:rowOff>121920</xdr:rowOff>
    </xdr:to>
    <xdr:sp macro="" textlink="">
      <xdr:nvSpPr>
        <xdr:cNvPr id="3716" name="AutoShape 644" descr="New York Islanders">
          <a:extLst>
            <a:ext uri="{FF2B5EF4-FFF2-40B4-BE49-F238E27FC236}">
              <a16:creationId xmlns:a16="http://schemas.microsoft.com/office/drawing/2014/main" xmlns="" id="{00000000-0008-0000-0D00-0000840E0000}"/>
            </a:ext>
          </a:extLst>
        </xdr:cNvPr>
        <xdr:cNvSpPr>
          <a:spLocks noChangeAspect="1" noChangeArrowheads="1"/>
        </xdr:cNvSpPr>
      </xdr:nvSpPr>
      <xdr:spPr bwMode="auto">
        <a:xfrm>
          <a:off x="0" y="24301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209</xdr:row>
      <xdr:rowOff>0</xdr:rowOff>
    </xdr:from>
    <xdr:to>
      <xdr:col>0</xdr:col>
      <xdr:colOff>304800</xdr:colOff>
      <xdr:row>210</xdr:row>
      <xdr:rowOff>121920</xdr:rowOff>
    </xdr:to>
    <xdr:sp macro="" textlink="">
      <xdr:nvSpPr>
        <xdr:cNvPr id="3717" name="AutoShape 645" descr="Toronto Maple Leafs">
          <a:extLst>
            <a:ext uri="{FF2B5EF4-FFF2-40B4-BE49-F238E27FC236}">
              <a16:creationId xmlns:a16="http://schemas.microsoft.com/office/drawing/2014/main" xmlns="" id="{00000000-0008-0000-0D00-0000850E0000}"/>
            </a:ext>
          </a:extLst>
        </xdr:cNvPr>
        <xdr:cNvSpPr>
          <a:spLocks noChangeAspect="1" noChangeArrowheads="1"/>
        </xdr:cNvSpPr>
      </xdr:nvSpPr>
      <xdr:spPr bwMode="auto">
        <a:xfrm>
          <a:off x="0" y="2435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571</xdr:row>
      <xdr:rowOff>0</xdr:rowOff>
    </xdr:from>
    <xdr:to>
      <xdr:col>0</xdr:col>
      <xdr:colOff>304800</xdr:colOff>
      <xdr:row>572</xdr:row>
      <xdr:rowOff>121920</xdr:rowOff>
    </xdr:to>
    <xdr:sp macro="" textlink="">
      <xdr:nvSpPr>
        <xdr:cNvPr id="3718" name="AutoShape 646" descr="Winnipeg Jets">
          <a:extLst>
            <a:ext uri="{FF2B5EF4-FFF2-40B4-BE49-F238E27FC236}">
              <a16:creationId xmlns:a16="http://schemas.microsoft.com/office/drawing/2014/main" xmlns="" id="{00000000-0008-0000-0D00-0000860E0000}"/>
            </a:ext>
          </a:extLst>
        </xdr:cNvPr>
        <xdr:cNvSpPr>
          <a:spLocks noChangeAspect="1" noChangeArrowheads="1"/>
        </xdr:cNvSpPr>
      </xdr:nvSpPr>
      <xdr:spPr bwMode="auto">
        <a:xfrm>
          <a:off x="0" y="243946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590</xdr:row>
      <xdr:rowOff>0</xdr:rowOff>
    </xdr:from>
    <xdr:to>
      <xdr:col>0</xdr:col>
      <xdr:colOff>304800</xdr:colOff>
      <xdr:row>591</xdr:row>
      <xdr:rowOff>121920</xdr:rowOff>
    </xdr:to>
    <xdr:sp macro="" textlink="">
      <xdr:nvSpPr>
        <xdr:cNvPr id="3719" name="AutoShape 647" descr="New Jersey Devils">
          <a:extLst>
            <a:ext uri="{FF2B5EF4-FFF2-40B4-BE49-F238E27FC236}">
              <a16:creationId xmlns:a16="http://schemas.microsoft.com/office/drawing/2014/main" xmlns="" id="{00000000-0008-0000-0D00-0000870E0000}"/>
            </a:ext>
          </a:extLst>
        </xdr:cNvPr>
        <xdr:cNvSpPr>
          <a:spLocks noChangeAspect="1" noChangeArrowheads="1"/>
        </xdr:cNvSpPr>
      </xdr:nvSpPr>
      <xdr:spPr bwMode="auto">
        <a:xfrm>
          <a:off x="0" y="244320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517</xdr:row>
      <xdr:rowOff>0</xdr:rowOff>
    </xdr:from>
    <xdr:to>
      <xdr:col>0</xdr:col>
      <xdr:colOff>304800</xdr:colOff>
      <xdr:row>518</xdr:row>
      <xdr:rowOff>121920</xdr:rowOff>
    </xdr:to>
    <xdr:sp macro="" textlink="">
      <xdr:nvSpPr>
        <xdr:cNvPr id="3720" name="AutoShape 648" descr="Ottawa Senators">
          <a:extLst>
            <a:ext uri="{FF2B5EF4-FFF2-40B4-BE49-F238E27FC236}">
              <a16:creationId xmlns:a16="http://schemas.microsoft.com/office/drawing/2014/main" xmlns="" id="{00000000-0008-0000-0D00-0000880E0000}"/>
            </a:ext>
          </a:extLst>
        </xdr:cNvPr>
        <xdr:cNvSpPr>
          <a:spLocks noChangeAspect="1" noChangeArrowheads="1"/>
        </xdr:cNvSpPr>
      </xdr:nvSpPr>
      <xdr:spPr bwMode="auto">
        <a:xfrm>
          <a:off x="0" y="244693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503</xdr:row>
      <xdr:rowOff>0</xdr:rowOff>
    </xdr:from>
    <xdr:to>
      <xdr:col>0</xdr:col>
      <xdr:colOff>304800</xdr:colOff>
      <xdr:row>504</xdr:row>
      <xdr:rowOff>121920</xdr:rowOff>
    </xdr:to>
    <xdr:sp macro="" textlink="">
      <xdr:nvSpPr>
        <xdr:cNvPr id="3721" name="AutoShape 649" descr="Winnipeg Jets">
          <a:extLst>
            <a:ext uri="{FF2B5EF4-FFF2-40B4-BE49-F238E27FC236}">
              <a16:creationId xmlns:a16="http://schemas.microsoft.com/office/drawing/2014/main" xmlns="" id="{00000000-0008-0000-0D00-0000890E0000}"/>
            </a:ext>
          </a:extLst>
        </xdr:cNvPr>
        <xdr:cNvSpPr>
          <a:spLocks noChangeAspect="1" noChangeArrowheads="1"/>
        </xdr:cNvSpPr>
      </xdr:nvSpPr>
      <xdr:spPr bwMode="auto">
        <a:xfrm>
          <a:off x="0" y="24506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247</xdr:row>
      <xdr:rowOff>0</xdr:rowOff>
    </xdr:from>
    <xdr:to>
      <xdr:col>0</xdr:col>
      <xdr:colOff>304800</xdr:colOff>
      <xdr:row>248</xdr:row>
      <xdr:rowOff>121920</xdr:rowOff>
    </xdr:to>
    <xdr:sp macro="" textlink="">
      <xdr:nvSpPr>
        <xdr:cNvPr id="3722" name="AutoShape 650" descr="Toronto Maple Leafs">
          <a:extLst>
            <a:ext uri="{FF2B5EF4-FFF2-40B4-BE49-F238E27FC236}">
              <a16:creationId xmlns:a16="http://schemas.microsoft.com/office/drawing/2014/main" xmlns="" id="{00000000-0008-0000-0D00-00008A0E0000}"/>
            </a:ext>
          </a:extLst>
        </xdr:cNvPr>
        <xdr:cNvSpPr>
          <a:spLocks noChangeAspect="1" noChangeArrowheads="1"/>
        </xdr:cNvSpPr>
      </xdr:nvSpPr>
      <xdr:spPr bwMode="auto">
        <a:xfrm>
          <a:off x="0" y="245440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501</xdr:row>
      <xdr:rowOff>0</xdr:rowOff>
    </xdr:from>
    <xdr:to>
      <xdr:col>0</xdr:col>
      <xdr:colOff>304800</xdr:colOff>
      <xdr:row>502</xdr:row>
      <xdr:rowOff>121920</xdr:rowOff>
    </xdr:to>
    <xdr:sp macro="" textlink="">
      <xdr:nvSpPr>
        <xdr:cNvPr id="3723" name="AutoShape 651" descr="Columbus Blue Jackets">
          <a:extLst>
            <a:ext uri="{FF2B5EF4-FFF2-40B4-BE49-F238E27FC236}">
              <a16:creationId xmlns:a16="http://schemas.microsoft.com/office/drawing/2014/main" xmlns="" id="{00000000-0008-0000-0D00-00008B0E0000}"/>
            </a:ext>
          </a:extLst>
        </xdr:cNvPr>
        <xdr:cNvSpPr>
          <a:spLocks noChangeAspect="1" noChangeArrowheads="1"/>
        </xdr:cNvSpPr>
      </xdr:nvSpPr>
      <xdr:spPr bwMode="auto">
        <a:xfrm>
          <a:off x="0" y="245813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524</xdr:row>
      <xdr:rowOff>0</xdr:rowOff>
    </xdr:from>
    <xdr:to>
      <xdr:col>0</xdr:col>
      <xdr:colOff>304800</xdr:colOff>
      <xdr:row>525</xdr:row>
      <xdr:rowOff>121920</xdr:rowOff>
    </xdr:to>
    <xdr:sp macro="" textlink="">
      <xdr:nvSpPr>
        <xdr:cNvPr id="3724" name="AutoShape 652" descr="Philadelphia Flyers">
          <a:extLst>
            <a:ext uri="{FF2B5EF4-FFF2-40B4-BE49-F238E27FC236}">
              <a16:creationId xmlns:a16="http://schemas.microsoft.com/office/drawing/2014/main" xmlns="" id="{00000000-0008-0000-0D00-00008C0E0000}"/>
            </a:ext>
          </a:extLst>
        </xdr:cNvPr>
        <xdr:cNvSpPr>
          <a:spLocks noChangeAspect="1" noChangeArrowheads="1"/>
        </xdr:cNvSpPr>
      </xdr:nvSpPr>
      <xdr:spPr bwMode="auto">
        <a:xfrm>
          <a:off x="0" y="2461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576</xdr:row>
      <xdr:rowOff>0</xdr:rowOff>
    </xdr:from>
    <xdr:to>
      <xdr:col>0</xdr:col>
      <xdr:colOff>304800</xdr:colOff>
      <xdr:row>577</xdr:row>
      <xdr:rowOff>121920</xdr:rowOff>
    </xdr:to>
    <xdr:sp macro="" textlink="">
      <xdr:nvSpPr>
        <xdr:cNvPr id="3725" name="AutoShape 653" descr="Florida Panthers">
          <a:extLst>
            <a:ext uri="{FF2B5EF4-FFF2-40B4-BE49-F238E27FC236}">
              <a16:creationId xmlns:a16="http://schemas.microsoft.com/office/drawing/2014/main" xmlns="" id="{00000000-0008-0000-0D00-00008D0E0000}"/>
            </a:ext>
          </a:extLst>
        </xdr:cNvPr>
        <xdr:cNvSpPr>
          <a:spLocks noChangeAspect="1" noChangeArrowheads="1"/>
        </xdr:cNvSpPr>
      </xdr:nvSpPr>
      <xdr:spPr bwMode="auto">
        <a:xfrm>
          <a:off x="0" y="2465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xdr:row>
      <xdr:rowOff>0</xdr:rowOff>
    </xdr:from>
    <xdr:to>
      <xdr:col>0</xdr:col>
      <xdr:colOff>304800</xdr:colOff>
      <xdr:row>19</xdr:row>
      <xdr:rowOff>121920</xdr:rowOff>
    </xdr:to>
    <xdr:sp macro="" textlink="">
      <xdr:nvSpPr>
        <xdr:cNvPr id="3726" name="AutoShape 654" descr="Vancouver Canucks">
          <a:extLst>
            <a:ext uri="{FF2B5EF4-FFF2-40B4-BE49-F238E27FC236}">
              <a16:creationId xmlns:a16="http://schemas.microsoft.com/office/drawing/2014/main" xmlns="" id="{00000000-0008-0000-0D00-00008E0E0000}"/>
            </a:ext>
          </a:extLst>
        </xdr:cNvPr>
        <xdr:cNvSpPr>
          <a:spLocks noChangeAspect="1" noChangeArrowheads="1"/>
        </xdr:cNvSpPr>
      </xdr:nvSpPr>
      <xdr:spPr bwMode="auto">
        <a:xfrm>
          <a:off x="0" y="2469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383</xdr:row>
      <xdr:rowOff>0</xdr:rowOff>
    </xdr:from>
    <xdr:to>
      <xdr:col>0</xdr:col>
      <xdr:colOff>304800</xdr:colOff>
      <xdr:row>384</xdr:row>
      <xdr:rowOff>121920</xdr:rowOff>
    </xdr:to>
    <xdr:sp macro="" textlink="">
      <xdr:nvSpPr>
        <xdr:cNvPr id="3727" name="AutoShape 655" descr="New Jersey Devils">
          <a:extLst>
            <a:ext uri="{FF2B5EF4-FFF2-40B4-BE49-F238E27FC236}">
              <a16:creationId xmlns:a16="http://schemas.microsoft.com/office/drawing/2014/main" xmlns="" id="{00000000-0008-0000-0D00-00008F0E0000}"/>
            </a:ext>
          </a:extLst>
        </xdr:cNvPr>
        <xdr:cNvSpPr>
          <a:spLocks noChangeAspect="1" noChangeArrowheads="1"/>
        </xdr:cNvSpPr>
      </xdr:nvSpPr>
      <xdr:spPr bwMode="auto">
        <a:xfrm>
          <a:off x="0" y="2473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125</xdr:row>
      <xdr:rowOff>0</xdr:rowOff>
    </xdr:from>
    <xdr:to>
      <xdr:col>0</xdr:col>
      <xdr:colOff>304800</xdr:colOff>
      <xdr:row>126</xdr:row>
      <xdr:rowOff>121920</xdr:rowOff>
    </xdr:to>
    <xdr:sp macro="" textlink="">
      <xdr:nvSpPr>
        <xdr:cNvPr id="3728" name="AutoShape 656" descr="Montreal Canadiens">
          <a:extLst>
            <a:ext uri="{FF2B5EF4-FFF2-40B4-BE49-F238E27FC236}">
              <a16:creationId xmlns:a16="http://schemas.microsoft.com/office/drawing/2014/main" xmlns="" id="{00000000-0008-0000-0D00-0000900E0000}"/>
            </a:ext>
          </a:extLst>
        </xdr:cNvPr>
        <xdr:cNvSpPr>
          <a:spLocks noChangeAspect="1" noChangeArrowheads="1"/>
        </xdr:cNvSpPr>
      </xdr:nvSpPr>
      <xdr:spPr bwMode="auto">
        <a:xfrm>
          <a:off x="0" y="2476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228</xdr:row>
      <xdr:rowOff>0</xdr:rowOff>
    </xdr:from>
    <xdr:to>
      <xdr:col>0</xdr:col>
      <xdr:colOff>304800</xdr:colOff>
      <xdr:row>229</xdr:row>
      <xdr:rowOff>121920</xdr:rowOff>
    </xdr:to>
    <xdr:sp macro="" textlink="">
      <xdr:nvSpPr>
        <xdr:cNvPr id="3729" name="AutoShape 657" descr="New York Rangers">
          <a:extLst>
            <a:ext uri="{FF2B5EF4-FFF2-40B4-BE49-F238E27FC236}">
              <a16:creationId xmlns:a16="http://schemas.microsoft.com/office/drawing/2014/main" xmlns="" id="{00000000-0008-0000-0D00-0000910E0000}"/>
            </a:ext>
          </a:extLst>
        </xdr:cNvPr>
        <xdr:cNvSpPr>
          <a:spLocks noChangeAspect="1" noChangeArrowheads="1"/>
        </xdr:cNvSpPr>
      </xdr:nvSpPr>
      <xdr:spPr bwMode="auto">
        <a:xfrm>
          <a:off x="0" y="2480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200</xdr:row>
      <xdr:rowOff>0</xdr:rowOff>
    </xdr:from>
    <xdr:to>
      <xdr:col>0</xdr:col>
      <xdr:colOff>304800</xdr:colOff>
      <xdr:row>201</xdr:row>
      <xdr:rowOff>121920</xdr:rowOff>
    </xdr:to>
    <xdr:sp macro="" textlink="">
      <xdr:nvSpPr>
        <xdr:cNvPr id="3730" name="AutoShape 658" descr="Arizona Coyotes">
          <a:extLst>
            <a:ext uri="{FF2B5EF4-FFF2-40B4-BE49-F238E27FC236}">
              <a16:creationId xmlns:a16="http://schemas.microsoft.com/office/drawing/2014/main" xmlns="" id="{00000000-0008-0000-0D00-0000920E0000}"/>
            </a:ext>
          </a:extLst>
        </xdr:cNvPr>
        <xdr:cNvSpPr>
          <a:spLocks noChangeAspect="1" noChangeArrowheads="1"/>
        </xdr:cNvSpPr>
      </xdr:nvSpPr>
      <xdr:spPr bwMode="auto">
        <a:xfrm>
          <a:off x="0" y="2484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333</xdr:row>
      <xdr:rowOff>0</xdr:rowOff>
    </xdr:from>
    <xdr:to>
      <xdr:col>0</xdr:col>
      <xdr:colOff>304800</xdr:colOff>
      <xdr:row>334</xdr:row>
      <xdr:rowOff>121920</xdr:rowOff>
    </xdr:to>
    <xdr:sp macro="" textlink="">
      <xdr:nvSpPr>
        <xdr:cNvPr id="3731" name="AutoShape 659" descr="Colorado Avalanche">
          <a:extLst>
            <a:ext uri="{FF2B5EF4-FFF2-40B4-BE49-F238E27FC236}">
              <a16:creationId xmlns:a16="http://schemas.microsoft.com/office/drawing/2014/main" xmlns="" id="{00000000-0008-0000-0D00-0000930E0000}"/>
            </a:ext>
          </a:extLst>
        </xdr:cNvPr>
        <xdr:cNvSpPr>
          <a:spLocks noChangeAspect="1" noChangeArrowheads="1"/>
        </xdr:cNvSpPr>
      </xdr:nvSpPr>
      <xdr:spPr bwMode="auto">
        <a:xfrm>
          <a:off x="0" y="2488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617</xdr:row>
      <xdr:rowOff>0</xdr:rowOff>
    </xdr:from>
    <xdr:to>
      <xdr:col>0</xdr:col>
      <xdr:colOff>304800</xdr:colOff>
      <xdr:row>618</xdr:row>
      <xdr:rowOff>121920</xdr:rowOff>
    </xdr:to>
    <xdr:sp macro="" textlink="">
      <xdr:nvSpPr>
        <xdr:cNvPr id="3732" name="AutoShape 660" descr="Detroit Red Wings">
          <a:extLst>
            <a:ext uri="{FF2B5EF4-FFF2-40B4-BE49-F238E27FC236}">
              <a16:creationId xmlns:a16="http://schemas.microsoft.com/office/drawing/2014/main" xmlns="" id="{00000000-0008-0000-0D00-0000940E0000}"/>
            </a:ext>
          </a:extLst>
        </xdr:cNvPr>
        <xdr:cNvSpPr>
          <a:spLocks noChangeAspect="1" noChangeArrowheads="1"/>
        </xdr:cNvSpPr>
      </xdr:nvSpPr>
      <xdr:spPr bwMode="auto">
        <a:xfrm>
          <a:off x="0" y="2491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347</xdr:row>
      <xdr:rowOff>0</xdr:rowOff>
    </xdr:from>
    <xdr:to>
      <xdr:col>0</xdr:col>
      <xdr:colOff>304800</xdr:colOff>
      <xdr:row>348</xdr:row>
      <xdr:rowOff>121920</xdr:rowOff>
    </xdr:to>
    <xdr:sp macro="" textlink="">
      <xdr:nvSpPr>
        <xdr:cNvPr id="3733" name="AutoShape 661" descr="Tampa Bay Lightning">
          <a:extLst>
            <a:ext uri="{FF2B5EF4-FFF2-40B4-BE49-F238E27FC236}">
              <a16:creationId xmlns:a16="http://schemas.microsoft.com/office/drawing/2014/main" xmlns="" id="{00000000-0008-0000-0D00-0000950E0000}"/>
            </a:ext>
          </a:extLst>
        </xdr:cNvPr>
        <xdr:cNvSpPr>
          <a:spLocks noChangeAspect="1" noChangeArrowheads="1"/>
        </xdr:cNvSpPr>
      </xdr:nvSpPr>
      <xdr:spPr bwMode="auto">
        <a:xfrm>
          <a:off x="0" y="2495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254</xdr:row>
      <xdr:rowOff>0</xdr:rowOff>
    </xdr:from>
    <xdr:to>
      <xdr:col>0</xdr:col>
      <xdr:colOff>304800</xdr:colOff>
      <xdr:row>255</xdr:row>
      <xdr:rowOff>121920</xdr:rowOff>
    </xdr:to>
    <xdr:sp macro="" textlink="">
      <xdr:nvSpPr>
        <xdr:cNvPr id="3734" name="AutoShape 662" descr="Florida Panthers">
          <a:extLst>
            <a:ext uri="{FF2B5EF4-FFF2-40B4-BE49-F238E27FC236}">
              <a16:creationId xmlns:a16="http://schemas.microsoft.com/office/drawing/2014/main" xmlns="" id="{00000000-0008-0000-0D00-0000960E0000}"/>
            </a:ext>
          </a:extLst>
        </xdr:cNvPr>
        <xdr:cNvSpPr>
          <a:spLocks noChangeAspect="1" noChangeArrowheads="1"/>
        </xdr:cNvSpPr>
      </xdr:nvSpPr>
      <xdr:spPr bwMode="auto">
        <a:xfrm>
          <a:off x="0" y="2499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749</xdr:row>
      <xdr:rowOff>0</xdr:rowOff>
    </xdr:from>
    <xdr:to>
      <xdr:col>0</xdr:col>
      <xdr:colOff>304800</xdr:colOff>
      <xdr:row>750</xdr:row>
      <xdr:rowOff>121920</xdr:rowOff>
    </xdr:to>
    <xdr:sp macro="" textlink="">
      <xdr:nvSpPr>
        <xdr:cNvPr id="3735" name="AutoShape 663" descr="Los Angeles Kings">
          <a:extLst>
            <a:ext uri="{FF2B5EF4-FFF2-40B4-BE49-F238E27FC236}">
              <a16:creationId xmlns:a16="http://schemas.microsoft.com/office/drawing/2014/main" xmlns="" id="{00000000-0008-0000-0D00-0000970E0000}"/>
            </a:ext>
          </a:extLst>
        </xdr:cNvPr>
        <xdr:cNvSpPr>
          <a:spLocks noChangeAspect="1" noChangeArrowheads="1"/>
        </xdr:cNvSpPr>
      </xdr:nvSpPr>
      <xdr:spPr bwMode="auto">
        <a:xfrm>
          <a:off x="0" y="2502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475</xdr:row>
      <xdr:rowOff>0</xdr:rowOff>
    </xdr:from>
    <xdr:to>
      <xdr:col>0</xdr:col>
      <xdr:colOff>304800</xdr:colOff>
      <xdr:row>476</xdr:row>
      <xdr:rowOff>121920</xdr:rowOff>
    </xdr:to>
    <xdr:sp macro="" textlink="">
      <xdr:nvSpPr>
        <xdr:cNvPr id="3736" name="AutoShape 664" descr="Columbus Blue Jackets">
          <a:extLst>
            <a:ext uri="{FF2B5EF4-FFF2-40B4-BE49-F238E27FC236}">
              <a16:creationId xmlns:a16="http://schemas.microsoft.com/office/drawing/2014/main" xmlns="" id="{00000000-0008-0000-0D00-0000980E0000}"/>
            </a:ext>
          </a:extLst>
        </xdr:cNvPr>
        <xdr:cNvSpPr>
          <a:spLocks noChangeAspect="1" noChangeArrowheads="1"/>
        </xdr:cNvSpPr>
      </xdr:nvSpPr>
      <xdr:spPr bwMode="auto">
        <a:xfrm>
          <a:off x="0" y="2506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174</xdr:row>
      <xdr:rowOff>0</xdr:rowOff>
    </xdr:from>
    <xdr:to>
      <xdr:col>0</xdr:col>
      <xdr:colOff>304800</xdr:colOff>
      <xdr:row>175</xdr:row>
      <xdr:rowOff>121920</xdr:rowOff>
    </xdr:to>
    <xdr:sp macro="" textlink="">
      <xdr:nvSpPr>
        <xdr:cNvPr id="3737" name="AutoShape 665" descr="Ottawa Senators">
          <a:extLst>
            <a:ext uri="{FF2B5EF4-FFF2-40B4-BE49-F238E27FC236}">
              <a16:creationId xmlns:a16="http://schemas.microsoft.com/office/drawing/2014/main" xmlns="" id="{00000000-0008-0000-0D00-0000990E0000}"/>
            </a:ext>
          </a:extLst>
        </xdr:cNvPr>
        <xdr:cNvSpPr>
          <a:spLocks noChangeAspect="1" noChangeArrowheads="1"/>
        </xdr:cNvSpPr>
      </xdr:nvSpPr>
      <xdr:spPr bwMode="auto">
        <a:xfrm>
          <a:off x="0" y="2510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xdr:row>
      <xdr:rowOff>0</xdr:rowOff>
    </xdr:from>
    <xdr:to>
      <xdr:col>0</xdr:col>
      <xdr:colOff>304800</xdr:colOff>
      <xdr:row>6</xdr:row>
      <xdr:rowOff>121920</xdr:rowOff>
    </xdr:to>
    <xdr:sp macro="" textlink="">
      <xdr:nvSpPr>
        <xdr:cNvPr id="3738" name="AutoShape 666" descr="San Jose Sharks">
          <a:extLst>
            <a:ext uri="{FF2B5EF4-FFF2-40B4-BE49-F238E27FC236}">
              <a16:creationId xmlns:a16="http://schemas.microsoft.com/office/drawing/2014/main" xmlns="" id="{00000000-0008-0000-0D00-00009A0E0000}"/>
            </a:ext>
          </a:extLst>
        </xdr:cNvPr>
        <xdr:cNvSpPr>
          <a:spLocks noChangeAspect="1" noChangeArrowheads="1"/>
        </xdr:cNvSpPr>
      </xdr:nvSpPr>
      <xdr:spPr bwMode="auto">
        <a:xfrm>
          <a:off x="0" y="2514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317</xdr:row>
      <xdr:rowOff>0</xdr:rowOff>
    </xdr:from>
    <xdr:to>
      <xdr:col>0</xdr:col>
      <xdr:colOff>304800</xdr:colOff>
      <xdr:row>318</xdr:row>
      <xdr:rowOff>121920</xdr:rowOff>
    </xdr:to>
    <xdr:sp macro="" textlink="">
      <xdr:nvSpPr>
        <xdr:cNvPr id="3739" name="AutoShape 667" descr="Minnesota Wild">
          <a:extLst>
            <a:ext uri="{FF2B5EF4-FFF2-40B4-BE49-F238E27FC236}">
              <a16:creationId xmlns:a16="http://schemas.microsoft.com/office/drawing/2014/main" xmlns="" id="{00000000-0008-0000-0D00-00009B0E0000}"/>
            </a:ext>
          </a:extLst>
        </xdr:cNvPr>
        <xdr:cNvSpPr>
          <a:spLocks noChangeAspect="1" noChangeArrowheads="1"/>
        </xdr:cNvSpPr>
      </xdr:nvSpPr>
      <xdr:spPr bwMode="auto">
        <a:xfrm>
          <a:off x="0" y="2517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315</xdr:row>
      <xdr:rowOff>0</xdr:rowOff>
    </xdr:from>
    <xdr:to>
      <xdr:col>0</xdr:col>
      <xdr:colOff>304800</xdr:colOff>
      <xdr:row>316</xdr:row>
      <xdr:rowOff>121920</xdr:rowOff>
    </xdr:to>
    <xdr:sp macro="" textlink="">
      <xdr:nvSpPr>
        <xdr:cNvPr id="3740" name="AutoShape 668" descr="Vegas Golden Knights">
          <a:extLst>
            <a:ext uri="{FF2B5EF4-FFF2-40B4-BE49-F238E27FC236}">
              <a16:creationId xmlns:a16="http://schemas.microsoft.com/office/drawing/2014/main" xmlns="" id="{00000000-0008-0000-0D00-00009C0E0000}"/>
            </a:ext>
          </a:extLst>
        </xdr:cNvPr>
        <xdr:cNvSpPr>
          <a:spLocks noChangeAspect="1" noChangeArrowheads="1"/>
        </xdr:cNvSpPr>
      </xdr:nvSpPr>
      <xdr:spPr bwMode="auto">
        <a:xfrm>
          <a:off x="0" y="2521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196</xdr:row>
      <xdr:rowOff>0</xdr:rowOff>
    </xdr:from>
    <xdr:to>
      <xdr:col>0</xdr:col>
      <xdr:colOff>304800</xdr:colOff>
      <xdr:row>197</xdr:row>
      <xdr:rowOff>121920</xdr:rowOff>
    </xdr:to>
    <xdr:sp macro="" textlink="">
      <xdr:nvSpPr>
        <xdr:cNvPr id="3741" name="AutoShape 669" descr="Philadelphia Flyers">
          <a:extLst>
            <a:ext uri="{FF2B5EF4-FFF2-40B4-BE49-F238E27FC236}">
              <a16:creationId xmlns:a16="http://schemas.microsoft.com/office/drawing/2014/main" xmlns="" id="{00000000-0008-0000-0D00-00009D0E0000}"/>
            </a:ext>
          </a:extLst>
        </xdr:cNvPr>
        <xdr:cNvSpPr>
          <a:spLocks noChangeAspect="1" noChangeArrowheads="1"/>
        </xdr:cNvSpPr>
      </xdr:nvSpPr>
      <xdr:spPr bwMode="auto">
        <a:xfrm>
          <a:off x="0" y="2527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121920</xdr:rowOff>
    </xdr:to>
    <xdr:sp macro="" textlink="">
      <xdr:nvSpPr>
        <xdr:cNvPr id="3742" name="AutoShape 670" descr="Washington Capitals">
          <a:extLst>
            <a:ext uri="{FF2B5EF4-FFF2-40B4-BE49-F238E27FC236}">
              <a16:creationId xmlns:a16="http://schemas.microsoft.com/office/drawing/2014/main" xmlns="" id="{00000000-0008-0000-0D00-00009E0E0000}"/>
            </a:ext>
          </a:extLst>
        </xdr:cNvPr>
        <xdr:cNvSpPr>
          <a:spLocks noChangeAspect="1" noChangeArrowheads="1"/>
        </xdr:cNvSpPr>
      </xdr:nvSpPr>
      <xdr:spPr bwMode="auto">
        <a:xfrm>
          <a:off x="0" y="25309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822</xdr:row>
      <xdr:rowOff>0</xdr:rowOff>
    </xdr:from>
    <xdr:to>
      <xdr:col>0</xdr:col>
      <xdr:colOff>304800</xdr:colOff>
      <xdr:row>823</xdr:row>
      <xdr:rowOff>121920</xdr:rowOff>
    </xdr:to>
    <xdr:sp macro="" textlink="">
      <xdr:nvSpPr>
        <xdr:cNvPr id="3743" name="AutoShape 671" descr="Carolina Hurricanes">
          <a:extLst>
            <a:ext uri="{FF2B5EF4-FFF2-40B4-BE49-F238E27FC236}">
              <a16:creationId xmlns:a16="http://schemas.microsoft.com/office/drawing/2014/main" xmlns="" id="{00000000-0008-0000-0D00-00009F0E0000}"/>
            </a:ext>
          </a:extLst>
        </xdr:cNvPr>
        <xdr:cNvSpPr>
          <a:spLocks noChangeAspect="1" noChangeArrowheads="1"/>
        </xdr:cNvSpPr>
      </xdr:nvSpPr>
      <xdr:spPr bwMode="auto">
        <a:xfrm>
          <a:off x="0" y="25346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xdr:row>
      <xdr:rowOff>0</xdr:rowOff>
    </xdr:from>
    <xdr:to>
      <xdr:col>0</xdr:col>
      <xdr:colOff>304800</xdr:colOff>
      <xdr:row>59</xdr:row>
      <xdr:rowOff>121920</xdr:rowOff>
    </xdr:to>
    <xdr:sp macro="" textlink="">
      <xdr:nvSpPr>
        <xdr:cNvPr id="3744" name="AutoShape 672" descr="Calgary Flames">
          <a:extLst>
            <a:ext uri="{FF2B5EF4-FFF2-40B4-BE49-F238E27FC236}">
              <a16:creationId xmlns:a16="http://schemas.microsoft.com/office/drawing/2014/main" xmlns="" id="{00000000-0008-0000-0D00-0000A00E0000}"/>
            </a:ext>
          </a:extLst>
        </xdr:cNvPr>
        <xdr:cNvSpPr>
          <a:spLocks noChangeAspect="1" noChangeArrowheads="1"/>
        </xdr:cNvSpPr>
      </xdr:nvSpPr>
      <xdr:spPr bwMode="auto">
        <a:xfrm>
          <a:off x="0" y="25383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264</xdr:row>
      <xdr:rowOff>0</xdr:rowOff>
    </xdr:from>
    <xdr:to>
      <xdr:col>0</xdr:col>
      <xdr:colOff>304800</xdr:colOff>
      <xdr:row>265</xdr:row>
      <xdr:rowOff>121920</xdr:rowOff>
    </xdr:to>
    <xdr:sp macro="" textlink="">
      <xdr:nvSpPr>
        <xdr:cNvPr id="3745" name="AutoShape 673" descr="Arizona Coyotes">
          <a:extLst>
            <a:ext uri="{FF2B5EF4-FFF2-40B4-BE49-F238E27FC236}">
              <a16:creationId xmlns:a16="http://schemas.microsoft.com/office/drawing/2014/main" xmlns="" id="{00000000-0008-0000-0D00-0000A10E0000}"/>
            </a:ext>
          </a:extLst>
        </xdr:cNvPr>
        <xdr:cNvSpPr>
          <a:spLocks noChangeAspect="1" noChangeArrowheads="1"/>
        </xdr:cNvSpPr>
      </xdr:nvSpPr>
      <xdr:spPr bwMode="auto">
        <a:xfrm>
          <a:off x="0" y="25421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628</xdr:row>
      <xdr:rowOff>0</xdr:rowOff>
    </xdr:from>
    <xdr:to>
      <xdr:col>0</xdr:col>
      <xdr:colOff>304800</xdr:colOff>
      <xdr:row>629</xdr:row>
      <xdr:rowOff>121920</xdr:rowOff>
    </xdr:to>
    <xdr:sp macro="" textlink="">
      <xdr:nvSpPr>
        <xdr:cNvPr id="3746" name="AutoShape 674" descr="Carolina Hurricanes">
          <a:extLst>
            <a:ext uri="{FF2B5EF4-FFF2-40B4-BE49-F238E27FC236}">
              <a16:creationId xmlns:a16="http://schemas.microsoft.com/office/drawing/2014/main" xmlns="" id="{00000000-0008-0000-0D00-0000A20E0000}"/>
            </a:ext>
          </a:extLst>
        </xdr:cNvPr>
        <xdr:cNvSpPr>
          <a:spLocks noChangeAspect="1" noChangeArrowheads="1"/>
        </xdr:cNvSpPr>
      </xdr:nvSpPr>
      <xdr:spPr bwMode="auto">
        <a:xfrm>
          <a:off x="0" y="25458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304800</xdr:colOff>
      <xdr:row>559</xdr:row>
      <xdr:rowOff>121920</xdr:rowOff>
    </xdr:to>
    <xdr:sp macro="" textlink="">
      <xdr:nvSpPr>
        <xdr:cNvPr id="3747" name="AutoShape 675" descr="Ottawa Senators">
          <a:extLst>
            <a:ext uri="{FF2B5EF4-FFF2-40B4-BE49-F238E27FC236}">
              <a16:creationId xmlns:a16="http://schemas.microsoft.com/office/drawing/2014/main" xmlns="" id="{00000000-0008-0000-0D00-0000A30E0000}"/>
            </a:ext>
          </a:extLst>
        </xdr:cNvPr>
        <xdr:cNvSpPr>
          <a:spLocks noChangeAspect="1" noChangeArrowheads="1"/>
        </xdr:cNvSpPr>
      </xdr:nvSpPr>
      <xdr:spPr bwMode="auto">
        <a:xfrm>
          <a:off x="0" y="25495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140</xdr:row>
      <xdr:rowOff>0</xdr:rowOff>
    </xdr:from>
    <xdr:to>
      <xdr:col>0</xdr:col>
      <xdr:colOff>304800</xdr:colOff>
      <xdr:row>141</xdr:row>
      <xdr:rowOff>121920</xdr:rowOff>
    </xdr:to>
    <xdr:sp macro="" textlink="">
      <xdr:nvSpPr>
        <xdr:cNvPr id="3748" name="AutoShape 676" descr="Edmonton Oilers">
          <a:extLst>
            <a:ext uri="{FF2B5EF4-FFF2-40B4-BE49-F238E27FC236}">
              <a16:creationId xmlns:a16="http://schemas.microsoft.com/office/drawing/2014/main" xmlns="" id="{00000000-0008-0000-0D00-0000A40E0000}"/>
            </a:ext>
          </a:extLst>
        </xdr:cNvPr>
        <xdr:cNvSpPr>
          <a:spLocks noChangeAspect="1" noChangeArrowheads="1"/>
        </xdr:cNvSpPr>
      </xdr:nvSpPr>
      <xdr:spPr bwMode="auto">
        <a:xfrm>
          <a:off x="0" y="25533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665</xdr:row>
      <xdr:rowOff>0</xdr:rowOff>
    </xdr:from>
    <xdr:to>
      <xdr:col>0</xdr:col>
      <xdr:colOff>304800</xdr:colOff>
      <xdr:row>666</xdr:row>
      <xdr:rowOff>121920</xdr:rowOff>
    </xdr:to>
    <xdr:sp macro="" textlink="">
      <xdr:nvSpPr>
        <xdr:cNvPr id="3749" name="AutoShape 677" descr="Minnesota Wild">
          <a:extLst>
            <a:ext uri="{FF2B5EF4-FFF2-40B4-BE49-F238E27FC236}">
              <a16:creationId xmlns:a16="http://schemas.microsoft.com/office/drawing/2014/main" xmlns="" id="{00000000-0008-0000-0D00-0000A50E0000}"/>
            </a:ext>
          </a:extLst>
        </xdr:cNvPr>
        <xdr:cNvSpPr>
          <a:spLocks noChangeAspect="1" noChangeArrowheads="1"/>
        </xdr:cNvSpPr>
      </xdr:nvSpPr>
      <xdr:spPr bwMode="auto">
        <a:xfrm>
          <a:off x="0" y="2557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279</xdr:row>
      <xdr:rowOff>0</xdr:rowOff>
    </xdr:from>
    <xdr:to>
      <xdr:col>0</xdr:col>
      <xdr:colOff>304800</xdr:colOff>
      <xdr:row>280</xdr:row>
      <xdr:rowOff>121920</xdr:rowOff>
    </xdr:to>
    <xdr:sp macro="" textlink="">
      <xdr:nvSpPr>
        <xdr:cNvPr id="3750" name="AutoShape 678" descr="Edmonton Oilers">
          <a:extLst>
            <a:ext uri="{FF2B5EF4-FFF2-40B4-BE49-F238E27FC236}">
              <a16:creationId xmlns:a16="http://schemas.microsoft.com/office/drawing/2014/main" xmlns="" id="{00000000-0008-0000-0D00-0000A60E0000}"/>
            </a:ext>
          </a:extLst>
        </xdr:cNvPr>
        <xdr:cNvSpPr>
          <a:spLocks noChangeAspect="1" noChangeArrowheads="1"/>
        </xdr:cNvSpPr>
      </xdr:nvSpPr>
      <xdr:spPr bwMode="auto">
        <a:xfrm>
          <a:off x="0" y="25607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197</xdr:row>
      <xdr:rowOff>0</xdr:rowOff>
    </xdr:from>
    <xdr:to>
      <xdr:col>0</xdr:col>
      <xdr:colOff>304800</xdr:colOff>
      <xdr:row>198</xdr:row>
      <xdr:rowOff>121920</xdr:rowOff>
    </xdr:to>
    <xdr:sp macro="" textlink="">
      <xdr:nvSpPr>
        <xdr:cNvPr id="3751" name="AutoShape 679" descr="Washington Capitals">
          <a:extLst>
            <a:ext uri="{FF2B5EF4-FFF2-40B4-BE49-F238E27FC236}">
              <a16:creationId xmlns:a16="http://schemas.microsoft.com/office/drawing/2014/main" xmlns="" id="{00000000-0008-0000-0D00-0000A70E0000}"/>
            </a:ext>
          </a:extLst>
        </xdr:cNvPr>
        <xdr:cNvSpPr>
          <a:spLocks noChangeAspect="1" noChangeArrowheads="1"/>
        </xdr:cNvSpPr>
      </xdr:nvSpPr>
      <xdr:spPr bwMode="auto">
        <a:xfrm>
          <a:off x="0" y="25645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610</xdr:row>
      <xdr:rowOff>0</xdr:rowOff>
    </xdr:from>
    <xdr:to>
      <xdr:col>0</xdr:col>
      <xdr:colOff>304800</xdr:colOff>
      <xdr:row>611</xdr:row>
      <xdr:rowOff>121920</xdr:rowOff>
    </xdr:to>
    <xdr:sp macro="" textlink="">
      <xdr:nvSpPr>
        <xdr:cNvPr id="3752" name="AutoShape 680" descr="Winnipeg Jets">
          <a:extLst>
            <a:ext uri="{FF2B5EF4-FFF2-40B4-BE49-F238E27FC236}">
              <a16:creationId xmlns:a16="http://schemas.microsoft.com/office/drawing/2014/main" xmlns="" id="{00000000-0008-0000-0D00-0000A80E0000}"/>
            </a:ext>
          </a:extLst>
        </xdr:cNvPr>
        <xdr:cNvSpPr>
          <a:spLocks noChangeAspect="1" noChangeArrowheads="1"/>
        </xdr:cNvSpPr>
      </xdr:nvSpPr>
      <xdr:spPr bwMode="auto">
        <a:xfrm>
          <a:off x="0" y="25682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239</xdr:row>
      <xdr:rowOff>0</xdr:rowOff>
    </xdr:from>
    <xdr:to>
      <xdr:col>0</xdr:col>
      <xdr:colOff>304800</xdr:colOff>
      <xdr:row>240</xdr:row>
      <xdr:rowOff>121920</xdr:rowOff>
    </xdr:to>
    <xdr:sp macro="" textlink="">
      <xdr:nvSpPr>
        <xdr:cNvPr id="3753" name="AutoShape 681" descr="Buffalo Sabres">
          <a:extLst>
            <a:ext uri="{FF2B5EF4-FFF2-40B4-BE49-F238E27FC236}">
              <a16:creationId xmlns:a16="http://schemas.microsoft.com/office/drawing/2014/main" xmlns="" id="{00000000-0008-0000-0D00-0000A90E0000}"/>
            </a:ext>
          </a:extLst>
        </xdr:cNvPr>
        <xdr:cNvSpPr>
          <a:spLocks noChangeAspect="1" noChangeArrowheads="1"/>
        </xdr:cNvSpPr>
      </xdr:nvSpPr>
      <xdr:spPr bwMode="auto">
        <a:xfrm>
          <a:off x="0" y="25719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233</xdr:row>
      <xdr:rowOff>0</xdr:rowOff>
    </xdr:from>
    <xdr:to>
      <xdr:col>0</xdr:col>
      <xdr:colOff>304800</xdr:colOff>
      <xdr:row>234</xdr:row>
      <xdr:rowOff>121920</xdr:rowOff>
    </xdr:to>
    <xdr:sp macro="" textlink="">
      <xdr:nvSpPr>
        <xdr:cNvPr id="3754" name="AutoShape 682" descr="Minnesota Wild">
          <a:extLst>
            <a:ext uri="{FF2B5EF4-FFF2-40B4-BE49-F238E27FC236}">
              <a16:creationId xmlns:a16="http://schemas.microsoft.com/office/drawing/2014/main" xmlns="" id="{00000000-0008-0000-0D00-0000AA0E0000}"/>
            </a:ext>
          </a:extLst>
        </xdr:cNvPr>
        <xdr:cNvSpPr>
          <a:spLocks noChangeAspect="1" noChangeArrowheads="1"/>
        </xdr:cNvSpPr>
      </xdr:nvSpPr>
      <xdr:spPr bwMode="auto">
        <a:xfrm>
          <a:off x="0" y="25757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359</xdr:row>
      <xdr:rowOff>0</xdr:rowOff>
    </xdr:from>
    <xdr:to>
      <xdr:col>0</xdr:col>
      <xdr:colOff>304800</xdr:colOff>
      <xdr:row>360</xdr:row>
      <xdr:rowOff>121920</xdr:rowOff>
    </xdr:to>
    <xdr:sp macro="" textlink="">
      <xdr:nvSpPr>
        <xdr:cNvPr id="3755" name="AutoShape 683" descr="Vancouver Canucks">
          <a:extLst>
            <a:ext uri="{FF2B5EF4-FFF2-40B4-BE49-F238E27FC236}">
              <a16:creationId xmlns:a16="http://schemas.microsoft.com/office/drawing/2014/main" xmlns="" id="{00000000-0008-0000-0D00-0000AB0E0000}"/>
            </a:ext>
          </a:extLst>
        </xdr:cNvPr>
        <xdr:cNvSpPr>
          <a:spLocks noChangeAspect="1" noChangeArrowheads="1"/>
        </xdr:cNvSpPr>
      </xdr:nvSpPr>
      <xdr:spPr bwMode="auto">
        <a:xfrm>
          <a:off x="0" y="25794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185</xdr:row>
      <xdr:rowOff>0</xdr:rowOff>
    </xdr:from>
    <xdr:to>
      <xdr:col>0</xdr:col>
      <xdr:colOff>304800</xdr:colOff>
      <xdr:row>186</xdr:row>
      <xdr:rowOff>121920</xdr:rowOff>
    </xdr:to>
    <xdr:sp macro="" textlink="">
      <xdr:nvSpPr>
        <xdr:cNvPr id="3756" name="AutoShape 684" descr="Washington Capitals">
          <a:extLst>
            <a:ext uri="{FF2B5EF4-FFF2-40B4-BE49-F238E27FC236}">
              <a16:creationId xmlns:a16="http://schemas.microsoft.com/office/drawing/2014/main" xmlns="" id="{00000000-0008-0000-0D00-0000AC0E0000}"/>
            </a:ext>
          </a:extLst>
        </xdr:cNvPr>
        <xdr:cNvSpPr>
          <a:spLocks noChangeAspect="1" noChangeArrowheads="1"/>
        </xdr:cNvSpPr>
      </xdr:nvSpPr>
      <xdr:spPr bwMode="auto">
        <a:xfrm>
          <a:off x="0" y="25831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530</xdr:row>
      <xdr:rowOff>0</xdr:rowOff>
    </xdr:from>
    <xdr:to>
      <xdr:col>0</xdr:col>
      <xdr:colOff>304800</xdr:colOff>
      <xdr:row>531</xdr:row>
      <xdr:rowOff>121920</xdr:rowOff>
    </xdr:to>
    <xdr:sp macro="" textlink="">
      <xdr:nvSpPr>
        <xdr:cNvPr id="3757" name="AutoShape 685" descr="Winnipeg Jets">
          <a:extLst>
            <a:ext uri="{FF2B5EF4-FFF2-40B4-BE49-F238E27FC236}">
              <a16:creationId xmlns:a16="http://schemas.microsoft.com/office/drawing/2014/main" xmlns="" id="{00000000-0008-0000-0D00-0000AD0E0000}"/>
            </a:ext>
          </a:extLst>
        </xdr:cNvPr>
        <xdr:cNvSpPr>
          <a:spLocks noChangeAspect="1" noChangeArrowheads="1"/>
        </xdr:cNvSpPr>
      </xdr:nvSpPr>
      <xdr:spPr bwMode="auto">
        <a:xfrm>
          <a:off x="0" y="25869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143</xdr:row>
      <xdr:rowOff>0</xdr:rowOff>
    </xdr:from>
    <xdr:to>
      <xdr:col>0</xdr:col>
      <xdr:colOff>304800</xdr:colOff>
      <xdr:row>144</xdr:row>
      <xdr:rowOff>121920</xdr:rowOff>
    </xdr:to>
    <xdr:sp macro="" textlink="">
      <xdr:nvSpPr>
        <xdr:cNvPr id="3758" name="AutoShape 686" descr="Carolina Hurricanes">
          <a:extLst>
            <a:ext uri="{FF2B5EF4-FFF2-40B4-BE49-F238E27FC236}">
              <a16:creationId xmlns:a16="http://schemas.microsoft.com/office/drawing/2014/main" xmlns="" id="{00000000-0008-0000-0D00-0000AE0E0000}"/>
            </a:ext>
          </a:extLst>
        </xdr:cNvPr>
        <xdr:cNvSpPr>
          <a:spLocks noChangeAspect="1" noChangeArrowheads="1"/>
        </xdr:cNvSpPr>
      </xdr:nvSpPr>
      <xdr:spPr bwMode="auto">
        <a:xfrm>
          <a:off x="0" y="25906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748</xdr:row>
      <xdr:rowOff>0</xdr:rowOff>
    </xdr:from>
    <xdr:to>
      <xdr:col>0</xdr:col>
      <xdr:colOff>304800</xdr:colOff>
      <xdr:row>749</xdr:row>
      <xdr:rowOff>121920</xdr:rowOff>
    </xdr:to>
    <xdr:sp macro="" textlink="">
      <xdr:nvSpPr>
        <xdr:cNvPr id="3759" name="AutoShape 687" descr="Carolina Hurricanes">
          <a:extLst>
            <a:ext uri="{FF2B5EF4-FFF2-40B4-BE49-F238E27FC236}">
              <a16:creationId xmlns:a16="http://schemas.microsoft.com/office/drawing/2014/main" xmlns="" id="{00000000-0008-0000-0D00-0000AF0E0000}"/>
            </a:ext>
          </a:extLst>
        </xdr:cNvPr>
        <xdr:cNvSpPr>
          <a:spLocks noChangeAspect="1" noChangeArrowheads="1"/>
        </xdr:cNvSpPr>
      </xdr:nvSpPr>
      <xdr:spPr bwMode="auto">
        <a:xfrm>
          <a:off x="0" y="25943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507</xdr:row>
      <xdr:rowOff>0</xdr:rowOff>
    </xdr:from>
    <xdr:to>
      <xdr:col>0</xdr:col>
      <xdr:colOff>304800</xdr:colOff>
      <xdr:row>508</xdr:row>
      <xdr:rowOff>121920</xdr:rowOff>
    </xdr:to>
    <xdr:sp macro="" textlink="">
      <xdr:nvSpPr>
        <xdr:cNvPr id="3760" name="AutoShape 688" descr="Detroit Red Wings">
          <a:extLst>
            <a:ext uri="{FF2B5EF4-FFF2-40B4-BE49-F238E27FC236}">
              <a16:creationId xmlns:a16="http://schemas.microsoft.com/office/drawing/2014/main" xmlns="" id="{00000000-0008-0000-0D00-0000B00E0000}"/>
            </a:ext>
          </a:extLst>
        </xdr:cNvPr>
        <xdr:cNvSpPr>
          <a:spLocks noChangeAspect="1" noChangeArrowheads="1"/>
        </xdr:cNvSpPr>
      </xdr:nvSpPr>
      <xdr:spPr bwMode="auto">
        <a:xfrm>
          <a:off x="0" y="25981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252</xdr:row>
      <xdr:rowOff>0</xdr:rowOff>
    </xdr:from>
    <xdr:to>
      <xdr:col>0</xdr:col>
      <xdr:colOff>304800</xdr:colOff>
      <xdr:row>253</xdr:row>
      <xdr:rowOff>121920</xdr:rowOff>
    </xdr:to>
    <xdr:sp macro="" textlink="">
      <xdr:nvSpPr>
        <xdr:cNvPr id="3761" name="AutoShape 689" descr="Columbus Blue Jackets">
          <a:extLst>
            <a:ext uri="{FF2B5EF4-FFF2-40B4-BE49-F238E27FC236}">
              <a16:creationId xmlns:a16="http://schemas.microsoft.com/office/drawing/2014/main" xmlns="" id="{00000000-0008-0000-0D00-0000B10E0000}"/>
            </a:ext>
          </a:extLst>
        </xdr:cNvPr>
        <xdr:cNvSpPr>
          <a:spLocks noChangeAspect="1" noChangeArrowheads="1"/>
        </xdr:cNvSpPr>
      </xdr:nvSpPr>
      <xdr:spPr bwMode="auto">
        <a:xfrm>
          <a:off x="0" y="26018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121920</xdr:rowOff>
    </xdr:to>
    <xdr:sp macro="" textlink="">
      <xdr:nvSpPr>
        <xdr:cNvPr id="3762" name="AutoShape 690" descr="Chicago Blackhawks">
          <a:extLst>
            <a:ext uri="{FF2B5EF4-FFF2-40B4-BE49-F238E27FC236}">
              <a16:creationId xmlns:a16="http://schemas.microsoft.com/office/drawing/2014/main" xmlns="" id="{00000000-0008-0000-0D00-0000B20E0000}"/>
            </a:ext>
          </a:extLst>
        </xdr:cNvPr>
        <xdr:cNvSpPr>
          <a:spLocks noChangeAspect="1" noChangeArrowheads="1"/>
        </xdr:cNvSpPr>
      </xdr:nvSpPr>
      <xdr:spPr bwMode="auto">
        <a:xfrm>
          <a:off x="0" y="26055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494</xdr:row>
      <xdr:rowOff>0</xdr:rowOff>
    </xdr:from>
    <xdr:to>
      <xdr:col>0</xdr:col>
      <xdr:colOff>304800</xdr:colOff>
      <xdr:row>495</xdr:row>
      <xdr:rowOff>121920</xdr:rowOff>
    </xdr:to>
    <xdr:sp macro="" textlink="">
      <xdr:nvSpPr>
        <xdr:cNvPr id="3763" name="AutoShape 691" descr="Buffalo Sabres">
          <a:extLst>
            <a:ext uri="{FF2B5EF4-FFF2-40B4-BE49-F238E27FC236}">
              <a16:creationId xmlns:a16="http://schemas.microsoft.com/office/drawing/2014/main" xmlns="" id="{00000000-0008-0000-0D00-0000B30E0000}"/>
            </a:ext>
          </a:extLst>
        </xdr:cNvPr>
        <xdr:cNvSpPr>
          <a:spLocks noChangeAspect="1" noChangeArrowheads="1"/>
        </xdr:cNvSpPr>
      </xdr:nvSpPr>
      <xdr:spPr bwMode="auto">
        <a:xfrm>
          <a:off x="0" y="26093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114</xdr:row>
      <xdr:rowOff>0</xdr:rowOff>
    </xdr:from>
    <xdr:to>
      <xdr:col>0</xdr:col>
      <xdr:colOff>304800</xdr:colOff>
      <xdr:row>115</xdr:row>
      <xdr:rowOff>121920</xdr:rowOff>
    </xdr:to>
    <xdr:sp macro="" textlink="">
      <xdr:nvSpPr>
        <xdr:cNvPr id="3764" name="AutoShape 692" descr="Vancouver Canucks">
          <a:extLst>
            <a:ext uri="{FF2B5EF4-FFF2-40B4-BE49-F238E27FC236}">
              <a16:creationId xmlns:a16="http://schemas.microsoft.com/office/drawing/2014/main" xmlns="" id="{00000000-0008-0000-0D00-0000B40E0000}"/>
            </a:ext>
          </a:extLst>
        </xdr:cNvPr>
        <xdr:cNvSpPr>
          <a:spLocks noChangeAspect="1" noChangeArrowheads="1"/>
        </xdr:cNvSpPr>
      </xdr:nvSpPr>
      <xdr:spPr bwMode="auto">
        <a:xfrm>
          <a:off x="0" y="26130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763</xdr:row>
      <xdr:rowOff>0</xdr:rowOff>
    </xdr:from>
    <xdr:to>
      <xdr:col>0</xdr:col>
      <xdr:colOff>304800</xdr:colOff>
      <xdr:row>764</xdr:row>
      <xdr:rowOff>121920</xdr:rowOff>
    </xdr:to>
    <xdr:sp macro="" textlink="">
      <xdr:nvSpPr>
        <xdr:cNvPr id="3765" name="AutoShape 693" descr="Chicago Blackhawks">
          <a:extLst>
            <a:ext uri="{FF2B5EF4-FFF2-40B4-BE49-F238E27FC236}">
              <a16:creationId xmlns:a16="http://schemas.microsoft.com/office/drawing/2014/main" xmlns="" id="{00000000-0008-0000-0D00-0000B50E0000}"/>
            </a:ext>
          </a:extLst>
        </xdr:cNvPr>
        <xdr:cNvSpPr>
          <a:spLocks noChangeAspect="1" noChangeArrowheads="1"/>
        </xdr:cNvSpPr>
      </xdr:nvSpPr>
      <xdr:spPr bwMode="auto">
        <a:xfrm>
          <a:off x="0" y="2616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194</xdr:row>
      <xdr:rowOff>0</xdr:rowOff>
    </xdr:from>
    <xdr:to>
      <xdr:col>0</xdr:col>
      <xdr:colOff>304800</xdr:colOff>
      <xdr:row>195</xdr:row>
      <xdr:rowOff>121920</xdr:rowOff>
    </xdr:to>
    <xdr:sp macro="" textlink="">
      <xdr:nvSpPr>
        <xdr:cNvPr id="3766" name="AutoShape 694" descr="St Louis Blues">
          <a:extLst>
            <a:ext uri="{FF2B5EF4-FFF2-40B4-BE49-F238E27FC236}">
              <a16:creationId xmlns:a16="http://schemas.microsoft.com/office/drawing/2014/main" xmlns="" id="{00000000-0008-0000-0D00-0000B60E0000}"/>
            </a:ext>
          </a:extLst>
        </xdr:cNvPr>
        <xdr:cNvSpPr>
          <a:spLocks noChangeAspect="1" noChangeArrowheads="1"/>
        </xdr:cNvSpPr>
      </xdr:nvSpPr>
      <xdr:spPr bwMode="auto">
        <a:xfrm>
          <a:off x="0" y="26205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121920</xdr:rowOff>
    </xdr:to>
    <xdr:sp macro="" textlink="">
      <xdr:nvSpPr>
        <xdr:cNvPr id="3767" name="AutoShape 695" descr="Colorado Avalanche">
          <a:extLst>
            <a:ext uri="{FF2B5EF4-FFF2-40B4-BE49-F238E27FC236}">
              <a16:creationId xmlns:a16="http://schemas.microsoft.com/office/drawing/2014/main" xmlns="" id="{00000000-0008-0000-0D00-0000B70E0000}"/>
            </a:ext>
          </a:extLst>
        </xdr:cNvPr>
        <xdr:cNvSpPr>
          <a:spLocks noChangeAspect="1" noChangeArrowheads="1"/>
        </xdr:cNvSpPr>
      </xdr:nvSpPr>
      <xdr:spPr bwMode="auto">
        <a:xfrm>
          <a:off x="0" y="26242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678</xdr:row>
      <xdr:rowOff>0</xdr:rowOff>
    </xdr:from>
    <xdr:to>
      <xdr:col>0</xdr:col>
      <xdr:colOff>304800</xdr:colOff>
      <xdr:row>679</xdr:row>
      <xdr:rowOff>121920</xdr:rowOff>
    </xdr:to>
    <xdr:sp macro="" textlink="">
      <xdr:nvSpPr>
        <xdr:cNvPr id="3768" name="AutoShape 696" descr="Philadelphia Flyers">
          <a:extLst>
            <a:ext uri="{FF2B5EF4-FFF2-40B4-BE49-F238E27FC236}">
              <a16:creationId xmlns:a16="http://schemas.microsoft.com/office/drawing/2014/main" xmlns="" id="{00000000-0008-0000-0D00-0000B80E0000}"/>
            </a:ext>
          </a:extLst>
        </xdr:cNvPr>
        <xdr:cNvSpPr>
          <a:spLocks noChangeAspect="1" noChangeArrowheads="1"/>
        </xdr:cNvSpPr>
      </xdr:nvSpPr>
      <xdr:spPr bwMode="auto">
        <a:xfrm>
          <a:off x="0" y="26279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652</xdr:row>
      <xdr:rowOff>0</xdr:rowOff>
    </xdr:from>
    <xdr:to>
      <xdr:col>0</xdr:col>
      <xdr:colOff>304800</xdr:colOff>
      <xdr:row>653</xdr:row>
      <xdr:rowOff>121920</xdr:rowOff>
    </xdr:to>
    <xdr:sp macro="" textlink="">
      <xdr:nvSpPr>
        <xdr:cNvPr id="3769" name="AutoShape 697" descr="Ottawa Senators">
          <a:extLst>
            <a:ext uri="{FF2B5EF4-FFF2-40B4-BE49-F238E27FC236}">
              <a16:creationId xmlns:a16="http://schemas.microsoft.com/office/drawing/2014/main" xmlns="" id="{00000000-0008-0000-0D00-0000B90E0000}"/>
            </a:ext>
          </a:extLst>
        </xdr:cNvPr>
        <xdr:cNvSpPr>
          <a:spLocks noChangeAspect="1" noChangeArrowheads="1"/>
        </xdr:cNvSpPr>
      </xdr:nvSpPr>
      <xdr:spPr bwMode="auto">
        <a:xfrm>
          <a:off x="0" y="26317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397</xdr:row>
      <xdr:rowOff>0</xdr:rowOff>
    </xdr:from>
    <xdr:to>
      <xdr:col>0</xdr:col>
      <xdr:colOff>304800</xdr:colOff>
      <xdr:row>398</xdr:row>
      <xdr:rowOff>121920</xdr:rowOff>
    </xdr:to>
    <xdr:sp macro="" textlink="">
      <xdr:nvSpPr>
        <xdr:cNvPr id="3770" name="AutoShape 698" descr="Dallas Stars">
          <a:extLst>
            <a:ext uri="{FF2B5EF4-FFF2-40B4-BE49-F238E27FC236}">
              <a16:creationId xmlns:a16="http://schemas.microsoft.com/office/drawing/2014/main" xmlns="" id="{00000000-0008-0000-0D00-0000BA0E0000}"/>
            </a:ext>
          </a:extLst>
        </xdr:cNvPr>
        <xdr:cNvSpPr>
          <a:spLocks noChangeAspect="1" noChangeArrowheads="1"/>
        </xdr:cNvSpPr>
      </xdr:nvSpPr>
      <xdr:spPr bwMode="auto">
        <a:xfrm>
          <a:off x="0" y="26354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611</xdr:row>
      <xdr:rowOff>0</xdr:rowOff>
    </xdr:from>
    <xdr:to>
      <xdr:col>0</xdr:col>
      <xdr:colOff>304800</xdr:colOff>
      <xdr:row>612</xdr:row>
      <xdr:rowOff>121920</xdr:rowOff>
    </xdr:to>
    <xdr:sp macro="" textlink="">
      <xdr:nvSpPr>
        <xdr:cNvPr id="3771" name="AutoShape 699" descr="Dallas Stars">
          <a:extLst>
            <a:ext uri="{FF2B5EF4-FFF2-40B4-BE49-F238E27FC236}">
              <a16:creationId xmlns:a16="http://schemas.microsoft.com/office/drawing/2014/main" xmlns="" id="{00000000-0008-0000-0D00-0000BB0E0000}"/>
            </a:ext>
          </a:extLst>
        </xdr:cNvPr>
        <xdr:cNvSpPr>
          <a:spLocks noChangeAspect="1" noChangeArrowheads="1"/>
        </xdr:cNvSpPr>
      </xdr:nvSpPr>
      <xdr:spPr bwMode="auto">
        <a:xfrm>
          <a:off x="0" y="26373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xdr:row>
      <xdr:rowOff>0</xdr:rowOff>
    </xdr:from>
    <xdr:to>
      <xdr:col>0</xdr:col>
      <xdr:colOff>304800</xdr:colOff>
      <xdr:row>145</xdr:row>
      <xdr:rowOff>121920</xdr:rowOff>
    </xdr:to>
    <xdr:sp macro="" textlink="">
      <xdr:nvSpPr>
        <xdr:cNvPr id="3772" name="AutoShape 700" descr="Columbus Blue Jackets">
          <a:extLst>
            <a:ext uri="{FF2B5EF4-FFF2-40B4-BE49-F238E27FC236}">
              <a16:creationId xmlns:a16="http://schemas.microsoft.com/office/drawing/2014/main" xmlns="" id="{00000000-0008-0000-0D00-0000BC0E0000}"/>
            </a:ext>
          </a:extLst>
        </xdr:cNvPr>
        <xdr:cNvSpPr>
          <a:spLocks noChangeAspect="1" noChangeArrowheads="1"/>
        </xdr:cNvSpPr>
      </xdr:nvSpPr>
      <xdr:spPr bwMode="auto">
        <a:xfrm>
          <a:off x="0" y="26410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774</xdr:row>
      <xdr:rowOff>0</xdr:rowOff>
    </xdr:from>
    <xdr:to>
      <xdr:col>0</xdr:col>
      <xdr:colOff>304800</xdr:colOff>
      <xdr:row>775</xdr:row>
      <xdr:rowOff>121920</xdr:rowOff>
    </xdr:to>
    <xdr:sp macro="" textlink="">
      <xdr:nvSpPr>
        <xdr:cNvPr id="3773" name="AutoShape 701" descr="New York Rangers">
          <a:extLst>
            <a:ext uri="{FF2B5EF4-FFF2-40B4-BE49-F238E27FC236}">
              <a16:creationId xmlns:a16="http://schemas.microsoft.com/office/drawing/2014/main" xmlns="" id="{00000000-0008-0000-0D00-0000BD0E0000}"/>
            </a:ext>
          </a:extLst>
        </xdr:cNvPr>
        <xdr:cNvSpPr>
          <a:spLocks noChangeAspect="1" noChangeArrowheads="1"/>
        </xdr:cNvSpPr>
      </xdr:nvSpPr>
      <xdr:spPr bwMode="auto">
        <a:xfrm>
          <a:off x="0" y="26448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511</xdr:row>
      <xdr:rowOff>0</xdr:rowOff>
    </xdr:from>
    <xdr:to>
      <xdr:col>0</xdr:col>
      <xdr:colOff>304800</xdr:colOff>
      <xdr:row>512</xdr:row>
      <xdr:rowOff>121920</xdr:rowOff>
    </xdr:to>
    <xdr:sp macro="" textlink="">
      <xdr:nvSpPr>
        <xdr:cNvPr id="3774" name="AutoShape 702" descr="San Jose Sharks">
          <a:extLst>
            <a:ext uri="{FF2B5EF4-FFF2-40B4-BE49-F238E27FC236}">
              <a16:creationId xmlns:a16="http://schemas.microsoft.com/office/drawing/2014/main" xmlns="" id="{00000000-0008-0000-0D00-0000BE0E0000}"/>
            </a:ext>
          </a:extLst>
        </xdr:cNvPr>
        <xdr:cNvSpPr>
          <a:spLocks noChangeAspect="1" noChangeArrowheads="1"/>
        </xdr:cNvSpPr>
      </xdr:nvSpPr>
      <xdr:spPr bwMode="auto">
        <a:xfrm>
          <a:off x="0" y="26485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301</xdr:row>
      <xdr:rowOff>0</xdr:rowOff>
    </xdr:from>
    <xdr:to>
      <xdr:col>0</xdr:col>
      <xdr:colOff>304800</xdr:colOff>
      <xdr:row>302</xdr:row>
      <xdr:rowOff>121920</xdr:rowOff>
    </xdr:to>
    <xdr:sp macro="" textlink="">
      <xdr:nvSpPr>
        <xdr:cNvPr id="3775" name="AutoShape 703" descr="New York Rangers">
          <a:extLst>
            <a:ext uri="{FF2B5EF4-FFF2-40B4-BE49-F238E27FC236}">
              <a16:creationId xmlns:a16="http://schemas.microsoft.com/office/drawing/2014/main" xmlns="" id="{00000000-0008-0000-0D00-0000BF0E0000}"/>
            </a:ext>
          </a:extLst>
        </xdr:cNvPr>
        <xdr:cNvSpPr>
          <a:spLocks noChangeAspect="1" noChangeArrowheads="1"/>
        </xdr:cNvSpPr>
      </xdr:nvSpPr>
      <xdr:spPr bwMode="auto">
        <a:xfrm>
          <a:off x="0" y="26522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462</xdr:row>
      <xdr:rowOff>0</xdr:rowOff>
    </xdr:from>
    <xdr:to>
      <xdr:col>0</xdr:col>
      <xdr:colOff>304800</xdr:colOff>
      <xdr:row>463</xdr:row>
      <xdr:rowOff>121920</xdr:rowOff>
    </xdr:to>
    <xdr:sp macro="" textlink="">
      <xdr:nvSpPr>
        <xdr:cNvPr id="3776" name="AutoShape 704" descr="San Jose Sharks">
          <a:extLst>
            <a:ext uri="{FF2B5EF4-FFF2-40B4-BE49-F238E27FC236}">
              <a16:creationId xmlns:a16="http://schemas.microsoft.com/office/drawing/2014/main" xmlns="" id="{00000000-0008-0000-0D00-0000C00E0000}"/>
            </a:ext>
          </a:extLst>
        </xdr:cNvPr>
        <xdr:cNvSpPr>
          <a:spLocks noChangeAspect="1" noChangeArrowheads="1"/>
        </xdr:cNvSpPr>
      </xdr:nvSpPr>
      <xdr:spPr bwMode="auto">
        <a:xfrm>
          <a:off x="0" y="26560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216</xdr:row>
      <xdr:rowOff>0</xdr:rowOff>
    </xdr:from>
    <xdr:to>
      <xdr:col>0</xdr:col>
      <xdr:colOff>304800</xdr:colOff>
      <xdr:row>217</xdr:row>
      <xdr:rowOff>121920</xdr:rowOff>
    </xdr:to>
    <xdr:sp macro="" textlink="">
      <xdr:nvSpPr>
        <xdr:cNvPr id="3777" name="AutoShape 705" descr="Minnesota Wild">
          <a:extLst>
            <a:ext uri="{FF2B5EF4-FFF2-40B4-BE49-F238E27FC236}">
              <a16:creationId xmlns:a16="http://schemas.microsoft.com/office/drawing/2014/main" xmlns="" id="{00000000-0008-0000-0D00-0000C10E0000}"/>
            </a:ext>
          </a:extLst>
        </xdr:cNvPr>
        <xdr:cNvSpPr>
          <a:spLocks noChangeAspect="1" noChangeArrowheads="1"/>
        </xdr:cNvSpPr>
      </xdr:nvSpPr>
      <xdr:spPr bwMode="auto">
        <a:xfrm>
          <a:off x="0" y="26597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162</xdr:row>
      <xdr:rowOff>0</xdr:rowOff>
    </xdr:from>
    <xdr:to>
      <xdr:col>0</xdr:col>
      <xdr:colOff>304800</xdr:colOff>
      <xdr:row>163</xdr:row>
      <xdr:rowOff>121920</xdr:rowOff>
    </xdr:to>
    <xdr:sp macro="" textlink="">
      <xdr:nvSpPr>
        <xdr:cNvPr id="3778" name="AutoShape 706" descr="Los Angeles Kings">
          <a:extLst>
            <a:ext uri="{FF2B5EF4-FFF2-40B4-BE49-F238E27FC236}">
              <a16:creationId xmlns:a16="http://schemas.microsoft.com/office/drawing/2014/main" xmlns="" id="{00000000-0008-0000-0D00-0000C20E0000}"/>
            </a:ext>
          </a:extLst>
        </xdr:cNvPr>
        <xdr:cNvSpPr>
          <a:spLocks noChangeAspect="1" noChangeArrowheads="1"/>
        </xdr:cNvSpPr>
      </xdr:nvSpPr>
      <xdr:spPr bwMode="auto">
        <a:xfrm>
          <a:off x="0" y="26634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258</xdr:row>
      <xdr:rowOff>0</xdr:rowOff>
    </xdr:from>
    <xdr:to>
      <xdr:col>0</xdr:col>
      <xdr:colOff>304800</xdr:colOff>
      <xdr:row>259</xdr:row>
      <xdr:rowOff>121920</xdr:rowOff>
    </xdr:to>
    <xdr:sp macro="" textlink="">
      <xdr:nvSpPr>
        <xdr:cNvPr id="3779" name="AutoShape 707" descr="Vegas Golden Knights">
          <a:extLst>
            <a:ext uri="{FF2B5EF4-FFF2-40B4-BE49-F238E27FC236}">
              <a16:creationId xmlns:a16="http://schemas.microsoft.com/office/drawing/2014/main" xmlns="" id="{00000000-0008-0000-0D00-0000C30E0000}"/>
            </a:ext>
          </a:extLst>
        </xdr:cNvPr>
        <xdr:cNvSpPr>
          <a:spLocks noChangeAspect="1" noChangeArrowheads="1"/>
        </xdr:cNvSpPr>
      </xdr:nvSpPr>
      <xdr:spPr bwMode="auto">
        <a:xfrm>
          <a:off x="0" y="26672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754</xdr:row>
      <xdr:rowOff>0</xdr:rowOff>
    </xdr:from>
    <xdr:to>
      <xdr:col>0</xdr:col>
      <xdr:colOff>304800</xdr:colOff>
      <xdr:row>755</xdr:row>
      <xdr:rowOff>121920</xdr:rowOff>
    </xdr:to>
    <xdr:sp macro="" textlink="">
      <xdr:nvSpPr>
        <xdr:cNvPr id="3780" name="AutoShape 708" descr="Carolina Hurricanes">
          <a:extLst>
            <a:ext uri="{FF2B5EF4-FFF2-40B4-BE49-F238E27FC236}">
              <a16:creationId xmlns:a16="http://schemas.microsoft.com/office/drawing/2014/main" xmlns="" id="{00000000-0008-0000-0D00-0000C40E0000}"/>
            </a:ext>
          </a:extLst>
        </xdr:cNvPr>
        <xdr:cNvSpPr>
          <a:spLocks noChangeAspect="1" noChangeArrowheads="1"/>
        </xdr:cNvSpPr>
      </xdr:nvSpPr>
      <xdr:spPr bwMode="auto">
        <a:xfrm>
          <a:off x="0" y="26727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xdr:row>
      <xdr:rowOff>0</xdr:rowOff>
    </xdr:from>
    <xdr:to>
      <xdr:col>0</xdr:col>
      <xdr:colOff>304800</xdr:colOff>
      <xdr:row>70</xdr:row>
      <xdr:rowOff>121920</xdr:rowOff>
    </xdr:to>
    <xdr:sp macro="" textlink="">
      <xdr:nvSpPr>
        <xdr:cNvPr id="3781" name="AutoShape 709" descr="Montreal Canadiens">
          <a:extLst>
            <a:ext uri="{FF2B5EF4-FFF2-40B4-BE49-F238E27FC236}">
              <a16:creationId xmlns:a16="http://schemas.microsoft.com/office/drawing/2014/main" xmlns="" id="{00000000-0008-0000-0D00-0000C50E0000}"/>
            </a:ext>
          </a:extLst>
        </xdr:cNvPr>
        <xdr:cNvSpPr>
          <a:spLocks noChangeAspect="1" noChangeArrowheads="1"/>
        </xdr:cNvSpPr>
      </xdr:nvSpPr>
      <xdr:spPr bwMode="auto">
        <a:xfrm>
          <a:off x="0" y="2676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814</xdr:row>
      <xdr:rowOff>0</xdr:rowOff>
    </xdr:from>
    <xdr:to>
      <xdr:col>0</xdr:col>
      <xdr:colOff>304800</xdr:colOff>
      <xdr:row>815</xdr:row>
      <xdr:rowOff>121920</xdr:rowOff>
    </xdr:to>
    <xdr:sp macro="" textlink="">
      <xdr:nvSpPr>
        <xdr:cNvPr id="3782" name="AutoShape 710" descr="Toronto Maple Leafs">
          <a:extLst>
            <a:ext uri="{FF2B5EF4-FFF2-40B4-BE49-F238E27FC236}">
              <a16:creationId xmlns:a16="http://schemas.microsoft.com/office/drawing/2014/main" xmlns="" id="{00000000-0008-0000-0D00-0000C60E0000}"/>
            </a:ext>
          </a:extLst>
        </xdr:cNvPr>
        <xdr:cNvSpPr>
          <a:spLocks noChangeAspect="1" noChangeArrowheads="1"/>
        </xdr:cNvSpPr>
      </xdr:nvSpPr>
      <xdr:spPr bwMode="auto">
        <a:xfrm>
          <a:off x="0" y="26802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582</xdr:row>
      <xdr:rowOff>0</xdr:rowOff>
    </xdr:from>
    <xdr:to>
      <xdr:col>0</xdr:col>
      <xdr:colOff>304800</xdr:colOff>
      <xdr:row>583</xdr:row>
      <xdr:rowOff>121920</xdr:rowOff>
    </xdr:to>
    <xdr:sp macro="" textlink="">
      <xdr:nvSpPr>
        <xdr:cNvPr id="3783" name="AutoShape 711" descr="Montreal Canadiens">
          <a:extLst>
            <a:ext uri="{FF2B5EF4-FFF2-40B4-BE49-F238E27FC236}">
              <a16:creationId xmlns:a16="http://schemas.microsoft.com/office/drawing/2014/main" xmlns="" id="{00000000-0008-0000-0D00-0000C70E0000}"/>
            </a:ext>
          </a:extLst>
        </xdr:cNvPr>
        <xdr:cNvSpPr>
          <a:spLocks noChangeAspect="1" noChangeArrowheads="1"/>
        </xdr:cNvSpPr>
      </xdr:nvSpPr>
      <xdr:spPr bwMode="auto">
        <a:xfrm>
          <a:off x="0" y="26839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639</xdr:row>
      <xdr:rowOff>0</xdr:rowOff>
    </xdr:from>
    <xdr:to>
      <xdr:col>0</xdr:col>
      <xdr:colOff>304800</xdr:colOff>
      <xdr:row>640</xdr:row>
      <xdr:rowOff>121920</xdr:rowOff>
    </xdr:to>
    <xdr:sp macro="" textlink="">
      <xdr:nvSpPr>
        <xdr:cNvPr id="3784" name="AutoShape 712" descr="Boston Bruins">
          <a:extLst>
            <a:ext uri="{FF2B5EF4-FFF2-40B4-BE49-F238E27FC236}">
              <a16:creationId xmlns:a16="http://schemas.microsoft.com/office/drawing/2014/main" xmlns="" id="{00000000-0008-0000-0D00-0000C80E0000}"/>
            </a:ext>
          </a:extLst>
        </xdr:cNvPr>
        <xdr:cNvSpPr>
          <a:spLocks noChangeAspect="1" noChangeArrowheads="1"/>
        </xdr:cNvSpPr>
      </xdr:nvSpPr>
      <xdr:spPr bwMode="auto">
        <a:xfrm>
          <a:off x="0" y="26877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89</xdr:row>
      <xdr:rowOff>0</xdr:rowOff>
    </xdr:from>
    <xdr:to>
      <xdr:col>0</xdr:col>
      <xdr:colOff>304800</xdr:colOff>
      <xdr:row>90</xdr:row>
      <xdr:rowOff>121920</xdr:rowOff>
    </xdr:to>
    <xdr:sp macro="" textlink="">
      <xdr:nvSpPr>
        <xdr:cNvPr id="3785" name="AutoShape 713" descr="Ottawa Senators">
          <a:extLst>
            <a:ext uri="{FF2B5EF4-FFF2-40B4-BE49-F238E27FC236}">
              <a16:creationId xmlns:a16="http://schemas.microsoft.com/office/drawing/2014/main" xmlns="" id="{00000000-0008-0000-0D00-0000C90E0000}"/>
            </a:ext>
          </a:extLst>
        </xdr:cNvPr>
        <xdr:cNvSpPr>
          <a:spLocks noChangeAspect="1" noChangeArrowheads="1"/>
        </xdr:cNvSpPr>
      </xdr:nvSpPr>
      <xdr:spPr bwMode="auto">
        <a:xfrm>
          <a:off x="0" y="26914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432</xdr:row>
      <xdr:rowOff>0</xdr:rowOff>
    </xdr:from>
    <xdr:to>
      <xdr:col>0</xdr:col>
      <xdr:colOff>304800</xdr:colOff>
      <xdr:row>433</xdr:row>
      <xdr:rowOff>121920</xdr:rowOff>
    </xdr:to>
    <xdr:sp macro="" textlink="">
      <xdr:nvSpPr>
        <xdr:cNvPr id="3786" name="AutoShape 714" descr="Edmonton Oilers">
          <a:extLst>
            <a:ext uri="{FF2B5EF4-FFF2-40B4-BE49-F238E27FC236}">
              <a16:creationId xmlns:a16="http://schemas.microsoft.com/office/drawing/2014/main" xmlns="" id="{00000000-0008-0000-0D00-0000CA0E0000}"/>
            </a:ext>
          </a:extLst>
        </xdr:cNvPr>
        <xdr:cNvSpPr>
          <a:spLocks noChangeAspect="1" noChangeArrowheads="1"/>
        </xdr:cNvSpPr>
      </xdr:nvSpPr>
      <xdr:spPr bwMode="auto">
        <a:xfrm>
          <a:off x="0" y="26951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830</xdr:row>
      <xdr:rowOff>0</xdr:rowOff>
    </xdr:from>
    <xdr:to>
      <xdr:col>0</xdr:col>
      <xdr:colOff>304800</xdr:colOff>
      <xdr:row>831</xdr:row>
      <xdr:rowOff>121920</xdr:rowOff>
    </xdr:to>
    <xdr:sp macro="" textlink="">
      <xdr:nvSpPr>
        <xdr:cNvPr id="3787" name="AutoShape 715" descr="Columbus Blue Jackets">
          <a:extLst>
            <a:ext uri="{FF2B5EF4-FFF2-40B4-BE49-F238E27FC236}">
              <a16:creationId xmlns:a16="http://schemas.microsoft.com/office/drawing/2014/main" xmlns="" id="{00000000-0008-0000-0D00-0000CB0E0000}"/>
            </a:ext>
          </a:extLst>
        </xdr:cNvPr>
        <xdr:cNvSpPr>
          <a:spLocks noChangeAspect="1" noChangeArrowheads="1"/>
        </xdr:cNvSpPr>
      </xdr:nvSpPr>
      <xdr:spPr bwMode="auto">
        <a:xfrm>
          <a:off x="0" y="26989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320</xdr:row>
      <xdr:rowOff>0</xdr:rowOff>
    </xdr:from>
    <xdr:to>
      <xdr:col>0</xdr:col>
      <xdr:colOff>304800</xdr:colOff>
      <xdr:row>321</xdr:row>
      <xdr:rowOff>121920</xdr:rowOff>
    </xdr:to>
    <xdr:sp macro="" textlink="">
      <xdr:nvSpPr>
        <xdr:cNvPr id="3788" name="AutoShape 716" descr="Minnesota Wild">
          <a:extLst>
            <a:ext uri="{FF2B5EF4-FFF2-40B4-BE49-F238E27FC236}">
              <a16:creationId xmlns:a16="http://schemas.microsoft.com/office/drawing/2014/main" xmlns="" id="{00000000-0008-0000-0D00-0000CC0E0000}"/>
            </a:ext>
          </a:extLst>
        </xdr:cNvPr>
        <xdr:cNvSpPr>
          <a:spLocks noChangeAspect="1" noChangeArrowheads="1"/>
        </xdr:cNvSpPr>
      </xdr:nvSpPr>
      <xdr:spPr bwMode="auto">
        <a:xfrm>
          <a:off x="0" y="27026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641</xdr:row>
      <xdr:rowOff>0</xdr:rowOff>
    </xdr:from>
    <xdr:to>
      <xdr:col>0</xdr:col>
      <xdr:colOff>304800</xdr:colOff>
      <xdr:row>642</xdr:row>
      <xdr:rowOff>121920</xdr:rowOff>
    </xdr:to>
    <xdr:sp macro="" textlink="">
      <xdr:nvSpPr>
        <xdr:cNvPr id="3789" name="AutoShape 717" descr="Tampa Bay Lightning">
          <a:extLst>
            <a:ext uri="{FF2B5EF4-FFF2-40B4-BE49-F238E27FC236}">
              <a16:creationId xmlns:a16="http://schemas.microsoft.com/office/drawing/2014/main" xmlns="" id="{00000000-0008-0000-0D00-0000CD0E0000}"/>
            </a:ext>
          </a:extLst>
        </xdr:cNvPr>
        <xdr:cNvSpPr>
          <a:spLocks noChangeAspect="1" noChangeArrowheads="1"/>
        </xdr:cNvSpPr>
      </xdr:nvSpPr>
      <xdr:spPr bwMode="auto">
        <a:xfrm>
          <a:off x="0" y="2706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165</xdr:row>
      <xdr:rowOff>0</xdr:rowOff>
    </xdr:from>
    <xdr:to>
      <xdr:col>0</xdr:col>
      <xdr:colOff>304800</xdr:colOff>
      <xdr:row>166</xdr:row>
      <xdr:rowOff>121920</xdr:rowOff>
    </xdr:to>
    <xdr:sp macro="" textlink="">
      <xdr:nvSpPr>
        <xdr:cNvPr id="3790" name="AutoShape 718" descr="Dallas Stars">
          <a:extLst>
            <a:ext uri="{FF2B5EF4-FFF2-40B4-BE49-F238E27FC236}">
              <a16:creationId xmlns:a16="http://schemas.microsoft.com/office/drawing/2014/main" xmlns="" id="{00000000-0008-0000-0D00-0000CE0E0000}"/>
            </a:ext>
          </a:extLst>
        </xdr:cNvPr>
        <xdr:cNvSpPr>
          <a:spLocks noChangeAspect="1" noChangeArrowheads="1"/>
        </xdr:cNvSpPr>
      </xdr:nvSpPr>
      <xdr:spPr bwMode="auto">
        <a:xfrm>
          <a:off x="0" y="27101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304800</xdr:colOff>
      <xdr:row>381</xdr:row>
      <xdr:rowOff>121920</xdr:rowOff>
    </xdr:to>
    <xdr:sp macro="" textlink="">
      <xdr:nvSpPr>
        <xdr:cNvPr id="3791" name="AutoShape 719" descr="Montreal Canadiens">
          <a:extLst>
            <a:ext uri="{FF2B5EF4-FFF2-40B4-BE49-F238E27FC236}">
              <a16:creationId xmlns:a16="http://schemas.microsoft.com/office/drawing/2014/main" xmlns="" id="{00000000-0008-0000-0D00-0000CF0E0000}"/>
            </a:ext>
          </a:extLst>
        </xdr:cNvPr>
        <xdr:cNvSpPr>
          <a:spLocks noChangeAspect="1" noChangeArrowheads="1"/>
        </xdr:cNvSpPr>
      </xdr:nvSpPr>
      <xdr:spPr bwMode="auto">
        <a:xfrm>
          <a:off x="0" y="27138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745</xdr:row>
      <xdr:rowOff>0</xdr:rowOff>
    </xdr:from>
    <xdr:to>
      <xdr:col>0</xdr:col>
      <xdr:colOff>304800</xdr:colOff>
      <xdr:row>746</xdr:row>
      <xdr:rowOff>121920</xdr:rowOff>
    </xdr:to>
    <xdr:sp macro="" textlink="">
      <xdr:nvSpPr>
        <xdr:cNvPr id="3792" name="AutoShape 720" descr="Winnipeg Jets">
          <a:extLst>
            <a:ext uri="{FF2B5EF4-FFF2-40B4-BE49-F238E27FC236}">
              <a16:creationId xmlns:a16="http://schemas.microsoft.com/office/drawing/2014/main" xmlns="" id="{00000000-0008-0000-0D00-0000D00E0000}"/>
            </a:ext>
          </a:extLst>
        </xdr:cNvPr>
        <xdr:cNvSpPr>
          <a:spLocks noChangeAspect="1" noChangeArrowheads="1"/>
        </xdr:cNvSpPr>
      </xdr:nvSpPr>
      <xdr:spPr bwMode="auto">
        <a:xfrm>
          <a:off x="0" y="27175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429</xdr:row>
      <xdr:rowOff>0</xdr:rowOff>
    </xdr:from>
    <xdr:to>
      <xdr:col>0</xdr:col>
      <xdr:colOff>304800</xdr:colOff>
      <xdr:row>430</xdr:row>
      <xdr:rowOff>121920</xdr:rowOff>
    </xdr:to>
    <xdr:sp macro="" textlink="">
      <xdr:nvSpPr>
        <xdr:cNvPr id="3793" name="AutoShape 721" descr="Pittsburgh Penguins">
          <a:extLst>
            <a:ext uri="{FF2B5EF4-FFF2-40B4-BE49-F238E27FC236}">
              <a16:creationId xmlns:a16="http://schemas.microsoft.com/office/drawing/2014/main" xmlns="" id="{00000000-0008-0000-0D00-0000D10E0000}"/>
            </a:ext>
          </a:extLst>
        </xdr:cNvPr>
        <xdr:cNvSpPr>
          <a:spLocks noChangeAspect="1" noChangeArrowheads="1"/>
        </xdr:cNvSpPr>
      </xdr:nvSpPr>
      <xdr:spPr bwMode="auto">
        <a:xfrm>
          <a:off x="0" y="27213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xdr:row>
      <xdr:rowOff>0</xdr:rowOff>
    </xdr:from>
    <xdr:to>
      <xdr:col>0</xdr:col>
      <xdr:colOff>304800</xdr:colOff>
      <xdr:row>21</xdr:row>
      <xdr:rowOff>121920</xdr:rowOff>
    </xdr:to>
    <xdr:sp macro="" textlink="">
      <xdr:nvSpPr>
        <xdr:cNvPr id="3794" name="AutoShape 722" descr="Pittsburgh Penguins">
          <a:extLst>
            <a:ext uri="{FF2B5EF4-FFF2-40B4-BE49-F238E27FC236}">
              <a16:creationId xmlns:a16="http://schemas.microsoft.com/office/drawing/2014/main" xmlns="" id="{00000000-0008-0000-0D00-0000D20E0000}"/>
            </a:ext>
          </a:extLst>
        </xdr:cNvPr>
        <xdr:cNvSpPr>
          <a:spLocks noChangeAspect="1" noChangeArrowheads="1"/>
        </xdr:cNvSpPr>
      </xdr:nvSpPr>
      <xdr:spPr bwMode="auto">
        <a:xfrm>
          <a:off x="0" y="27250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259</xdr:row>
      <xdr:rowOff>0</xdr:rowOff>
    </xdr:from>
    <xdr:to>
      <xdr:col>0</xdr:col>
      <xdr:colOff>304800</xdr:colOff>
      <xdr:row>260</xdr:row>
      <xdr:rowOff>121920</xdr:rowOff>
    </xdr:to>
    <xdr:sp macro="" textlink="">
      <xdr:nvSpPr>
        <xdr:cNvPr id="3795" name="AutoShape 723" descr="Vegas Golden Knights">
          <a:extLst>
            <a:ext uri="{FF2B5EF4-FFF2-40B4-BE49-F238E27FC236}">
              <a16:creationId xmlns:a16="http://schemas.microsoft.com/office/drawing/2014/main" xmlns="" id="{00000000-0008-0000-0D00-0000D30E0000}"/>
            </a:ext>
          </a:extLst>
        </xdr:cNvPr>
        <xdr:cNvSpPr>
          <a:spLocks noChangeAspect="1" noChangeArrowheads="1"/>
        </xdr:cNvSpPr>
      </xdr:nvSpPr>
      <xdr:spPr bwMode="auto">
        <a:xfrm>
          <a:off x="0" y="272879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121</xdr:row>
      <xdr:rowOff>0</xdr:rowOff>
    </xdr:from>
    <xdr:to>
      <xdr:col>0</xdr:col>
      <xdr:colOff>304800</xdr:colOff>
      <xdr:row>122</xdr:row>
      <xdr:rowOff>121920</xdr:rowOff>
    </xdr:to>
    <xdr:sp macro="" textlink="">
      <xdr:nvSpPr>
        <xdr:cNvPr id="3796" name="AutoShape 724" descr="Minnesota Wild">
          <a:extLst>
            <a:ext uri="{FF2B5EF4-FFF2-40B4-BE49-F238E27FC236}">
              <a16:creationId xmlns:a16="http://schemas.microsoft.com/office/drawing/2014/main" xmlns="" id="{00000000-0008-0000-0D00-0000D40E0000}"/>
            </a:ext>
          </a:extLst>
        </xdr:cNvPr>
        <xdr:cNvSpPr>
          <a:spLocks noChangeAspect="1" noChangeArrowheads="1"/>
        </xdr:cNvSpPr>
      </xdr:nvSpPr>
      <xdr:spPr bwMode="auto">
        <a:xfrm>
          <a:off x="0" y="27343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176</xdr:row>
      <xdr:rowOff>0</xdr:rowOff>
    </xdr:from>
    <xdr:to>
      <xdr:col>0</xdr:col>
      <xdr:colOff>304800</xdr:colOff>
      <xdr:row>177</xdr:row>
      <xdr:rowOff>121920</xdr:rowOff>
    </xdr:to>
    <xdr:sp macro="" textlink="">
      <xdr:nvSpPr>
        <xdr:cNvPr id="3797" name="AutoShape 725" descr="Carolina Hurricanes">
          <a:extLst>
            <a:ext uri="{FF2B5EF4-FFF2-40B4-BE49-F238E27FC236}">
              <a16:creationId xmlns:a16="http://schemas.microsoft.com/office/drawing/2014/main" xmlns="" id="{00000000-0008-0000-0D00-0000D50E0000}"/>
            </a:ext>
          </a:extLst>
        </xdr:cNvPr>
        <xdr:cNvSpPr>
          <a:spLocks noChangeAspect="1" noChangeArrowheads="1"/>
        </xdr:cNvSpPr>
      </xdr:nvSpPr>
      <xdr:spPr bwMode="auto">
        <a:xfrm>
          <a:off x="0" y="27380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708</xdr:row>
      <xdr:rowOff>0</xdr:rowOff>
    </xdr:from>
    <xdr:to>
      <xdr:col>0</xdr:col>
      <xdr:colOff>304800</xdr:colOff>
      <xdr:row>709</xdr:row>
      <xdr:rowOff>121920</xdr:rowOff>
    </xdr:to>
    <xdr:sp macro="" textlink="">
      <xdr:nvSpPr>
        <xdr:cNvPr id="3798" name="AutoShape 726" descr="Calgary Flames">
          <a:extLst>
            <a:ext uri="{FF2B5EF4-FFF2-40B4-BE49-F238E27FC236}">
              <a16:creationId xmlns:a16="http://schemas.microsoft.com/office/drawing/2014/main" xmlns="" id="{00000000-0008-0000-0D00-0000D60E0000}"/>
            </a:ext>
          </a:extLst>
        </xdr:cNvPr>
        <xdr:cNvSpPr>
          <a:spLocks noChangeAspect="1" noChangeArrowheads="1"/>
        </xdr:cNvSpPr>
      </xdr:nvSpPr>
      <xdr:spPr bwMode="auto">
        <a:xfrm>
          <a:off x="0" y="27418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720</xdr:row>
      <xdr:rowOff>0</xdr:rowOff>
    </xdr:from>
    <xdr:to>
      <xdr:col>0</xdr:col>
      <xdr:colOff>304800</xdr:colOff>
      <xdr:row>721</xdr:row>
      <xdr:rowOff>121920</xdr:rowOff>
    </xdr:to>
    <xdr:sp macro="" textlink="">
      <xdr:nvSpPr>
        <xdr:cNvPr id="3799" name="AutoShape 727" descr="Pittsburgh Penguins">
          <a:extLst>
            <a:ext uri="{FF2B5EF4-FFF2-40B4-BE49-F238E27FC236}">
              <a16:creationId xmlns:a16="http://schemas.microsoft.com/office/drawing/2014/main" xmlns="" id="{00000000-0008-0000-0D00-0000D70E0000}"/>
            </a:ext>
          </a:extLst>
        </xdr:cNvPr>
        <xdr:cNvSpPr>
          <a:spLocks noChangeAspect="1" noChangeArrowheads="1"/>
        </xdr:cNvSpPr>
      </xdr:nvSpPr>
      <xdr:spPr bwMode="auto">
        <a:xfrm>
          <a:off x="0" y="27455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335</xdr:row>
      <xdr:rowOff>0</xdr:rowOff>
    </xdr:from>
    <xdr:to>
      <xdr:col>0</xdr:col>
      <xdr:colOff>304800</xdr:colOff>
      <xdr:row>336</xdr:row>
      <xdr:rowOff>121920</xdr:rowOff>
    </xdr:to>
    <xdr:sp macro="" textlink="">
      <xdr:nvSpPr>
        <xdr:cNvPr id="3800" name="AutoShape 728" descr="Ottawa Senators">
          <a:extLst>
            <a:ext uri="{FF2B5EF4-FFF2-40B4-BE49-F238E27FC236}">
              <a16:creationId xmlns:a16="http://schemas.microsoft.com/office/drawing/2014/main" xmlns="" id="{00000000-0008-0000-0D00-0000D80E0000}"/>
            </a:ext>
          </a:extLst>
        </xdr:cNvPr>
        <xdr:cNvSpPr>
          <a:spLocks noChangeAspect="1" noChangeArrowheads="1"/>
        </xdr:cNvSpPr>
      </xdr:nvSpPr>
      <xdr:spPr bwMode="auto">
        <a:xfrm>
          <a:off x="0" y="27492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121920</xdr:rowOff>
    </xdr:to>
    <xdr:sp macro="" textlink="">
      <xdr:nvSpPr>
        <xdr:cNvPr id="3801" name="AutoShape 729" descr="Los Angeles Kings">
          <a:extLst>
            <a:ext uri="{FF2B5EF4-FFF2-40B4-BE49-F238E27FC236}">
              <a16:creationId xmlns:a16="http://schemas.microsoft.com/office/drawing/2014/main" xmlns="" id="{00000000-0008-0000-0D00-0000D90E0000}"/>
            </a:ext>
          </a:extLst>
        </xdr:cNvPr>
        <xdr:cNvSpPr>
          <a:spLocks noChangeAspect="1" noChangeArrowheads="1"/>
        </xdr:cNvSpPr>
      </xdr:nvSpPr>
      <xdr:spPr bwMode="auto">
        <a:xfrm>
          <a:off x="0" y="27530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568</xdr:row>
      <xdr:rowOff>0</xdr:rowOff>
    </xdr:from>
    <xdr:to>
      <xdr:col>0</xdr:col>
      <xdr:colOff>304800</xdr:colOff>
      <xdr:row>569</xdr:row>
      <xdr:rowOff>121920</xdr:rowOff>
    </xdr:to>
    <xdr:sp macro="" textlink="">
      <xdr:nvSpPr>
        <xdr:cNvPr id="3802" name="AutoShape 730" descr="Montreal Canadiens">
          <a:extLst>
            <a:ext uri="{FF2B5EF4-FFF2-40B4-BE49-F238E27FC236}">
              <a16:creationId xmlns:a16="http://schemas.microsoft.com/office/drawing/2014/main" xmlns="" id="{00000000-0008-0000-0D00-0000DA0E0000}"/>
            </a:ext>
          </a:extLst>
        </xdr:cNvPr>
        <xdr:cNvSpPr>
          <a:spLocks noChangeAspect="1" noChangeArrowheads="1"/>
        </xdr:cNvSpPr>
      </xdr:nvSpPr>
      <xdr:spPr bwMode="auto">
        <a:xfrm>
          <a:off x="0" y="27567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309</xdr:row>
      <xdr:rowOff>0</xdr:rowOff>
    </xdr:from>
    <xdr:to>
      <xdr:col>0</xdr:col>
      <xdr:colOff>304800</xdr:colOff>
      <xdr:row>310</xdr:row>
      <xdr:rowOff>121920</xdr:rowOff>
    </xdr:to>
    <xdr:sp macro="" textlink="">
      <xdr:nvSpPr>
        <xdr:cNvPr id="3803" name="AutoShape 731" descr="Anaheim Ducks">
          <a:extLst>
            <a:ext uri="{FF2B5EF4-FFF2-40B4-BE49-F238E27FC236}">
              <a16:creationId xmlns:a16="http://schemas.microsoft.com/office/drawing/2014/main" xmlns="" id="{00000000-0008-0000-0D00-0000DB0E0000}"/>
            </a:ext>
          </a:extLst>
        </xdr:cNvPr>
        <xdr:cNvSpPr>
          <a:spLocks noChangeAspect="1" noChangeArrowheads="1"/>
        </xdr:cNvSpPr>
      </xdr:nvSpPr>
      <xdr:spPr bwMode="auto">
        <a:xfrm>
          <a:off x="0" y="27604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725</xdr:row>
      <xdr:rowOff>0</xdr:rowOff>
    </xdr:from>
    <xdr:to>
      <xdr:col>0</xdr:col>
      <xdr:colOff>304800</xdr:colOff>
      <xdr:row>726</xdr:row>
      <xdr:rowOff>121920</xdr:rowOff>
    </xdr:to>
    <xdr:sp macro="" textlink="">
      <xdr:nvSpPr>
        <xdr:cNvPr id="3804" name="AutoShape 732" descr="St Louis Blues">
          <a:extLst>
            <a:ext uri="{FF2B5EF4-FFF2-40B4-BE49-F238E27FC236}">
              <a16:creationId xmlns:a16="http://schemas.microsoft.com/office/drawing/2014/main" xmlns="" id="{00000000-0008-0000-0D00-0000DC0E0000}"/>
            </a:ext>
          </a:extLst>
        </xdr:cNvPr>
        <xdr:cNvSpPr>
          <a:spLocks noChangeAspect="1" noChangeArrowheads="1"/>
        </xdr:cNvSpPr>
      </xdr:nvSpPr>
      <xdr:spPr bwMode="auto">
        <a:xfrm>
          <a:off x="0" y="27642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804</xdr:row>
      <xdr:rowOff>0</xdr:rowOff>
    </xdr:from>
    <xdr:to>
      <xdr:col>0</xdr:col>
      <xdr:colOff>304800</xdr:colOff>
      <xdr:row>805</xdr:row>
      <xdr:rowOff>121920</xdr:rowOff>
    </xdr:to>
    <xdr:sp macro="" textlink="">
      <xdr:nvSpPr>
        <xdr:cNvPr id="3805" name="AutoShape 733" descr="Buffalo Sabres">
          <a:extLst>
            <a:ext uri="{FF2B5EF4-FFF2-40B4-BE49-F238E27FC236}">
              <a16:creationId xmlns:a16="http://schemas.microsoft.com/office/drawing/2014/main" xmlns="" id="{00000000-0008-0000-0D00-0000DD0E0000}"/>
            </a:ext>
          </a:extLst>
        </xdr:cNvPr>
        <xdr:cNvSpPr>
          <a:spLocks noChangeAspect="1" noChangeArrowheads="1"/>
        </xdr:cNvSpPr>
      </xdr:nvSpPr>
      <xdr:spPr bwMode="auto">
        <a:xfrm>
          <a:off x="0" y="2767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715</xdr:row>
      <xdr:rowOff>0</xdr:rowOff>
    </xdr:from>
    <xdr:to>
      <xdr:col>0</xdr:col>
      <xdr:colOff>304800</xdr:colOff>
      <xdr:row>716</xdr:row>
      <xdr:rowOff>121920</xdr:rowOff>
    </xdr:to>
    <xdr:sp macro="" textlink="">
      <xdr:nvSpPr>
        <xdr:cNvPr id="3806" name="AutoShape 734" descr="Edmonton Oilers">
          <a:extLst>
            <a:ext uri="{FF2B5EF4-FFF2-40B4-BE49-F238E27FC236}">
              <a16:creationId xmlns:a16="http://schemas.microsoft.com/office/drawing/2014/main" xmlns="" id="{00000000-0008-0000-0D00-0000DE0E0000}"/>
            </a:ext>
          </a:extLst>
        </xdr:cNvPr>
        <xdr:cNvSpPr>
          <a:spLocks noChangeAspect="1" noChangeArrowheads="1"/>
        </xdr:cNvSpPr>
      </xdr:nvSpPr>
      <xdr:spPr bwMode="auto">
        <a:xfrm>
          <a:off x="0" y="277169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592</xdr:row>
      <xdr:rowOff>0</xdr:rowOff>
    </xdr:from>
    <xdr:to>
      <xdr:col>0</xdr:col>
      <xdr:colOff>304800</xdr:colOff>
      <xdr:row>593</xdr:row>
      <xdr:rowOff>121920</xdr:rowOff>
    </xdr:to>
    <xdr:sp macro="" textlink="">
      <xdr:nvSpPr>
        <xdr:cNvPr id="3807" name="AutoShape 735" descr="Edmonton Oilers">
          <a:extLst>
            <a:ext uri="{FF2B5EF4-FFF2-40B4-BE49-F238E27FC236}">
              <a16:creationId xmlns:a16="http://schemas.microsoft.com/office/drawing/2014/main" xmlns="" id="{00000000-0008-0000-0D00-0000DF0E0000}"/>
            </a:ext>
          </a:extLst>
        </xdr:cNvPr>
        <xdr:cNvSpPr>
          <a:spLocks noChangeAspect="1" noChangeArrowheads="1"/>
        </xdr:cNvSpPr>
      </xdr:nvSpPr>
      <xdr:spPr bwMode="auto">
        <a:xfrm>
          <a:off x="0" y="277543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138</xdr:row>
      <xdr:rowOff>0</xdr:rowOff>
    </xdr:from>
    <xdr:to>
      <xdr:col>0</xdr:col>
      <xdr:colOff>304800</xdr:colOff>
      <xdr:row>139</xdr:row>
      <xdr:rowOff>121920</xdr:rowOff>
    </xdr:to>
    <xdr:sp macro="" textlink="">
      <xdr:nvSpPr>
        <xdr:cNvPr id="3808" name="AutoShape 736" descr="Minnesota Wild">
          <a:extLst>
            <a:ext uri="{FF2B5EF4-FFF2-40B4-BE49-F238E27FC236}">
              <a16:creationId xmlns:a16="http://schemas.microsoft.com/office/drawing/2014/main" xmlns="" id="{00000000-0008-0000-0D00-0000E00E0000}"/>
            </a:ext>
          </a:extLst>
        </xdr:cNvPr>
        <xdr:cNvSpPr>
          <a:spLocks noChangeAspect="1" noChangeArrowheads="1"/>
        </xdr:cNvSpPr>
      </xdr:nvSpPr>
      <xdr:spPr bwMode="auto">
        <a:xfrm>
          <a:off x="0" y="27791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373</xdr:row>
      <xdr:rowOff>0</xdr:rowOff>
    </xdr:from>
    <xdr:to>
      <xdr:col>0</xdr:col>
      <xdr:colOff>304800</xdr:colOff>
      <xdr:row>374</xdr:row>
      <xdr:rowOff>121920</xdr:rowOff>
    </xdr:to>
    <xdr:sp macro="" textlink="">
      <xdr:nvSpPr>
        <xdr:cNvPr id="3809" name="AutoShape 737" descr="Chicago Blackhawks">
          <a:extLst>
            <a:ext uri="{FF2B5EF4-FFF2-40B4-BE49-F238E27FC236}">
              <a16:creationId xmlns:a16="http://schemas.microsoft.com/office/drawing/2014/main" xmlns="" id="{00000000-0008-0000-0D00-0000E10E0000}"/>
            </a:ext>
          </a:extLst>
        </xdr:cNvPr>
        <xdr:cNvSpPr>
          <a:spLocks noChangeAspect="1" noChangeArrowheads="1"/>
        </xdr:cNvSpPr>
      </xdr:nvSpPr>
      <xdr:spPr bwMode="auto">
        <a:xfrm>
          <a:off x="0" y="27829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528</xdr:row>
      <xdr:rowOff>0</xdr:rowOff>
    </xdr:from>
    <xdr:to>
      <xdr:col>0</xdr:col>
      <xdr:colOff>304800</xdr:colOff>
      <xdr:row>529</xdr:row>
      <xdr:rowOff>121920</xdr:rowOff>
    </xdr:to>
    <xdr:sp macro="" textlink="">
      <xdr:nvSpPr>
        <xdr:cNvPr id="3810" name="AutoShape 738" descr="Columbus Blue Jackets">
          <a:extLst>
            <a:ext uri="{FF2B5EF4-FFF2-40B4-BE49-F238E27FC236}">
              <a16:creationId xmlns:a16="http://schemas.microsoft.com/office/drawing/2014/main" xmlns="" id="{00000000-0008-0000-0D00-0000E20E0000}"/>
            </a:ext>
          </a:extLst>
        </xdr:cNvPr>
        <xdr:cNvSpPr>
          <a:spLocks noChangeAspect="1" noChangeArrowheads="1"/>
        </xdr:cNvSpPr>
      </xdr:nvSpPr>
      <xdr:spPr bwMode="auto">
        <a:xfrm>
          <a:off x="0" y="27884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521</xdr:row>
      <xdr:rowOff>0</xdr:rowOff>
    </xdr:from>
    <xdr:to>
      <xdr:col>0</xdr:col>
      <xdr:colOff>304800</xdr:colOff>
      <xdr:row>522</xdr:row>
      <xdr:rowOff>121920</xdr:rowOff>
    </xdr:to>
    <xdr:sp macro="" textlink="">
      <xdr:nvSpPr>
        <xdr:cNvPr id="3811" name="AutoShape 739" descr="San Jose Sharks">
          <a:extLst>
            <a:ext uri="{FF2B5EF4-FFF2-40B4-BE49-F238E27FC236}">
              <a16:creationId xmlns:a16="http://schemas.microsoft.com/office/drawing/2014/main" xmlns="" id="{00000000-0008-0000-0D00-0000E30E0000}"/>
            </a:ext>
          </a:extLst>
        </xdr:cNvPr>
        <xdr:cNvSpPr>
          <a:spLocks noChangeAspect="1" noChangeArrowheads="1"/>
        </xdr:cNvSpPr>
      </xdr:nvSpPr>
      <xdr:spPr bwMode="auto">
        <a:xfrm>
          <a:off x="0" y="27921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488</xdr:row>
      <xdr:rowOff>0</xdr:rowOff>
    </xdr:from>
    <xdr:to>
      <xdr:col>0</xdr:col>
      <xdr:colOff>304800</xdr:colOff>
      <xdr:row>489</xdr:row>
      <xdr:rowOff>121920</xdr:rowOff>
    </xdr:to>
    <xdr:sp macro="" textlink="">
      <xdr:nvSpPr>
        <xdr:cNvPr id="3812" name="AutoShape 740" descr="Minnesota Wild">
          <a:extLst>
            <a:ext uri="{FF2B5EF4-FFF2-40B4-BE49-F238E27FC236}">
              <a16:creationId xmlns:a16="http://schemas.microsoft.com/office/drawing/2014/main" xmlns="" id="{00000000-0008-0000-0D00-0000E40E0000}"/>
            </a:ext>
          </a:extLst>
        </xdr:cNvPr>
        <xdr:cNvSpPr>
          <a:spLocks noChangeAspect="1" noChangeArrowheads="1"/>
        </xdr:cNvSpPr>
      </xdr:nvSpPr>
      <xdr:spPr bwMode="auto">
        <a:xfrm>
          <a:off x="0" y="27959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750</xdr:row>
      <xdr:rowOff>0</xdr:rowOff>
    </xdr:from>
    <xdr:to>
      <xdr:col>0</xdr:col>
      <xdr:colOff>304800</xdr:colOff>
      <xdr:row>751</xdr:row>
      <xdr:rowOff>121920</xdr:rowOff>
    </xdr:to>
    <xdr:sp macro="" textlink="">
      <xdr:nvSpPr>
        <xdr:cNvPr id="3813" name="AutoShape 741" descr="Los Angeles Kings">
          <a:extLst>
            <a:ext uri="{FF2B5EF4-FFF2-40B4-BE49-F238E27FC236}">
              <a16:creationId xmlns:a16="http://schemas.microsoft.com/office/drawing/2014/main" xmlns="" id="{00000000-0008-0000-0D00-0000E50E0000}"/>
            </a:ext>
          </a:extLst>
        </xdr:cNvPr>
        <xdr:cNvSpPr>
          <a:spLocks noChangeAspect="1" noChangeArrowheads="1"/>
        </xdr:cNvSpPr>
      </xdr:nvSpPr>
      <xdr:spPr bwMode="auto">
        <a:xfrm>
          <a:off x="0" y="2799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487</xdr:row>
      <xdr:rowOff>0</xdr:rowOff>
    </xdr:from>
    <xdr:to>
      <xdr:col>0</xdr:col>
      <xdr:colOff>304800</xdr:colOff>
      <xdr:row>488</xdr:row>
      <xdr:rowOff>121920</xdr:rowOff>
    </xdr:to>
    <xdr:sp macro="" textlink="">
      <xdr:nvSpPr>
        <xdr:cNvPr id="3814" name="AutoShape 742" descr="Dallas Stars">
          <a:extLst>
            <a:ext uri="{FF2B5EF4-FFF2-40B4-BE49-F238E27FC236}">
              <a16:creationId xmlns:a16="http://schemas.microsoft.com/office/drawing/2014/main" xmlns="" id="{00000000-0008-0000-0D00-0000E60E0000}"/>
            </a:ext>
          </a:extLst>
        </xdr:cNvPr>
        <xdr:cNvSpPr>
          <a:spLocks noChangeAspect="1" noChangeArrowheads="1"/>
        </xdr:cNvSpPr>
      </xdr:nvSpPr>
      <xdr:spPr bwMode="auto">
        <a:xfrm>
          <a:off x="0" y="28033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399</xdr:row>
      <xdr:rowOff>0</xdr:rowOff>
    </xdr:from>
    <xdr:to>
      <xdr:col>0</xdr:col>
      <xdr:colOff>304800</xdr:colOff>
      <xdr:row>400</xdr:row>
      <xdr:rowOff>121920</xdr:rowOff>
    </xdr:to>
    <xdr:sp macro="" textlink="">
      <xdr:nvSpPr>
        <xdr:cNvPr id="3815" name="AutoShape 743" descr="New York Islanders">
          <a:extLst>
            <a:ext uri="{FF2B5EF4-FFF2-40B4-BE49-F238E27FC236}">
              <a16:creationId xmlns:a16="http://schemas.microsoft.com/office/drawing/2014/main" xmlns="" id="{00000000-0008-0000-0D00-0000E70E0000}"/>
            </a:ext>
          </a:extLst>
        </xdr:cNvPr>
        <xdr:cNvSpPr>
          <a:spLocks noChangeAspect="1" noChangeArrowheads="1"/>
        </xdr:cNvSpPr>
      </xdr:nvSpPr>
      <xdr:spPr bwMode="auto">
        <a:xfrm>
          <a:off x="0" y="280530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440</xdr:row>
      <xdr:rowOff>0</xdr:rowOff>
    </xdr:from>
    <xdr:to>
      <xdr:col>0</xdr:col>
      <xdr:colOff>304800</xdr:colOff>
      <xdr:row>441</xdr:row>
      <xdr:rowOff>121920</xdr:rowOff>
    </xdr:to>
    <xdr:sp macro="" textlink="">
      <xdr:nvSpPr>
        <xdr:cNvPr id="3816" name="AutoShape 744" descr="Carolina Hurricanes">
          <a:extLst>
            <a:ext uri="{FF2B5EF4-FFF2-40B4-BE49-F238E27FC236}">
              <a16:creationId xmlns:a16="http://schemas.microsoft.com/office/drawing/2014/main" xmlns="" id="{00000000-0008-0000-0D00-0000E80E0000}"/>
            </a:ext>
          </a:extLst>
        </xdr:cNvPr>
        <xdr:cNvSpPr>
          <a:spLocks noChangeAspect="1" noChangeArrowheads="1"/>
        </xdr:cNvSpPr>
      </xdr:nvSpPr>
      <xdr:spPr bwMode="auto">
        <a:xfrm>
          <a:off x="0" y="280903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230</xdr:row>
      <xdr:rowOff>0</xdr:rowOff>
    </xdr:from>
    <xdr:to>
      <xdr:col>0</xdr:col>
      <xdr:colOff>304800</xdr:colOff>
      <xdr:row>231</xdr:row>
      <xdr:rowOff>121920</xdr:rowOff>
    </xdr:to>
    <xdr:sp macro="" textlink="">
      <xdr:nvSpPr>
        <xdr:cNvPr id="3817" name="AutoShape 745" descr="Florida Panthers">
          <a:extLst>
            <a:ext uri="{FF2B5EF4-FFF2-40B4-BE49-F238E27FC236}">
              <a16:creationId xmlns:a16="http://schemas.microsoft.com/office/drawing/2014/main" xmlns="" id="{00000000-0008-0000-0D00-0000E90E0000}"/>
            </a:ext>
          </a:extLst>
        </xdr:cNvPr>
        <xdr:cNvSpPr>
          <a:spLocks noChangeAspect="1" noChangeArrowheads="1"/>
        </xdr:cNvSpPr>
      </xdr:nvSpPr>
      <xdr:spPr bwMode="auto">
        <a:xfrm>
          <a:off x="0" y="28127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341</xdr:row>
      <xdr:rowOff>0</xdr:rowOff>
    </xdr:from>
    <xdr:to>
      <xdr:col>0</xdr:col>
      <xdr:colOff>304800</xdr:colOff>
      <xdr:row>342</xdr:row>
      <xdr:rowOff>121920</xdr:rowOff>
    </xdr:to>
    <xdr:sp macro="" textlink="">
      <xdr:nvSpPr>
        <xdr:cNvPr id="3818" name="AutoShape 746" descr="Los Angeles Kings">
          <a:extLst>
            <a:ext uri="{FF2B5EF4-FFF2-40B4-BE49-F238E27FC236}">
              <a16:creationId xmlns:a16="http://schemas.microsoft.com/office/drawing/2014/main" xmlns="" id="{00000000-0008-0000-0D00-0000EA0E0000}"/>
            </a:ext>
          </a:extLst>
        </xdr:cNvPr>
        <xdr:cNvSpPr>
          <a:spLocks noChangeAspect="1" noChangeArrowheads="1"/>
        </xdr:cNvSpPr>
      </xdr:nvSpPr>
      <xdr:spPr bwMode="auto">
        <a:xfrm>
          <a:off x="0" y="28165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121920</xdr:rowOff>
    </xdr:to>
    <xdr:sp macro="" textlink="">
      <xdr:nvSpPr>
        <xdr:cNvPr id="3819" name="AutoShape 747" descr="Tampa Bay Lightning">
          <a:extLst>
            <a:ext uri="{FF2B5EF4-FFF2-40B4-BE49-F238E27FC236}">
              <a16:creationId xmlns:a16="http://schemas.microsoft.com/office/drawing/2014/main" xmlns="" id="{00000000-0008-0000-0D00-0000EB0E0000}"/>
            </a:ext>
          </a:extLst>
        </xdr:cNvPr>
        <xdr:cNvSpPr>
          <a:spLocks noChangeAspect="1" noChangeArrowheads="1"/>
        </xdr:cNvSpPr>
      </xdr:nvSpPr>
      <xdr:spPr bwMode="auto">
        <a:xfrm>
          <a:off x="0" y="28202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414</xdr:row>
      <xdr:rowOff>0</xdr:rowOff>
    </xdr:from>
    <xdr:to>
      <xdr:col>0</xdr:col>
      <xdr:colOff>304800</xdr:colOff>
      <xdr:row>415</xdr:row>
      <xdr:rowOff>121920</xdr:rowOff>
    </xdr:to>
    <xdr:sp macro="" textlink="">
      <xdr:nvSpPr>
        <xdr:cNvPr id="3820" name="AutoShape 748" descr="Tampa Bay Lightning">
          <a:extLst>
            <a:ext uri="{FF2B5EF4-FFF2-40B4-BE49-F238E27FC236}">
              <a16:creationId xmlns:a16="http://schemas.microsoft.com/office/drawing/2014/main" xmlns="" id="{00000000-0008-0000-0D00-0000EC0E0000}"/>
            </a:ext>
          </a:extLst>
        </xdr:cNvPr>
        <xdr:cNvSpPr>
          <a:spLocks noChangeAspect="1" noChangeArrowheads="1"/>
        </xdr:cNvSpPr>
      </xdr:nvSpPr>
      <xdr:spPr bwMode="auto">
        <a:xfrm>
          <a:off x="0" y="28239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161</xdr:row>
      <xdr:rowOff>0</xdr:rowOff>
    </xdr:from>
    <xdr:to>
      <xdr:col>0</xdr:col>
      <xdr:colOff>304800</xdr:colOff>
      <xdr:row>162</xdr:row>
      <xdr:rowOff>121920</xdr:rowOff>
    </xdr:to>
    <xdr:sp macro="" textlink="">
      <xdr:nvSpPr>
        <xdr:cNvPr id="3821" name="AutoShape 749" descr="Minnesota Wild">
          <a:extLst>
            <a:ext uri="{FF2B5EF4-FFF2-40B4-BE49-F238E27FC236}">
              <a16:creationId xmlns:a16="http://schemas.microsoft.com/office/drawing/2014/main" xmlns="" id="{00000000-0008-0000-0D00-0000ED0E0000}"/>
            </a:ext>
          </a:extLst>
        </xdr:cNvPr>
        <xdr:cNvSpPr>
          <a:spLocks noChangeAspect="1" noChangeArrowheads="1"/>
        </xdr:cNvSpPr>
      </xdr:nvSpPr>
      <xdr:spPr bwMode="auto">
        <a:xfrm>
          <a:off x="0" y="2827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xdr:row>
      <xdr:rowOff>0</xdr:rowOff>
    </xdr:from>
    <xdr:to>
      <xdr:col>0</xdr:col>
      <xdr:colOff>304800</xdr:colOff>
      <xdr:row>44</xdr:row>
      <xdr:rowOff>121920</xdr:rowOff>
    </xdr:to>
    <xdr:sp macro="" textlink="">
      <xdr:nvSpPr>
        <xdr:cNvPr id="3822" name="AutoShape 750" descr="Chicago Blackhawks">
          <a:extLst>
            <a:ext uri="{FF2B5EF4-FFF2-40B4-BE49-F238E27FC236}">
              <a16:creationId xmlns:a16="http://schemas.microsoft.com/office/drawing/2014/main" xmlns="" id="{00000000-0008-0000-0D00-0000EE0E0000}"/>
            </a:ext>
          </a:extLst>
        </xdr:cNvPr>
        <xdr:cNvSpPr>
          <a:spLocks noChangeAspect="1" noChangeArrowheads="1"/>
        </xdr:cNvSpPr>
      </xdr:nvSpPr>
      <xdr:spPr bwMode="auto">
        <a:xfrm>
          <a:off x="0" y="28314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135</xdr:row>
      <xdr:rowOff>0</xdr:rowOff>
    </xdr:from>
    <xdr:to>
      <xdr:col>0</xdr:col>
      <xdr:colOff>304800</xdr:colOff>
      <xdr:row>136</xdr:row>
      <xdr:rowOff>121920</xdr:rowOff>
    </xdr:to>
    <xdr:sp macro="" textlink="">
      <xdr:nvSpPr>
        <xdr:cNvPr id="3823" name="AutoShape 751" descr="Buffalo Sabres">
          <a:extLst>
            <a:ext uri="{FF2B5EF4-FFF2-40B4-BE49-F238E27FC236}">
              <a16:creationId xmlns:a16="http://schemas.microsoft.com/office/drawing/2014/main" xmlns="" id="{00000000-0008-0000-0D00-0000EF0E0000}"/>
            </a:ext>
          </a:extLst>
        </xdr:cNvPr>
        <xdr:cNvSpPr>
          <a:spLocks noChangeAspect="1" noChangeArrowheads="1"/>
        </xdr:cNvSpPr>
      </xdr:nvSpPr>
      <xdr:spPr bwMode="auto">
        <a:xfrm>
          <a:off x="0" y="28351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738</xdr:row>
      <xdr:rowOff>0</xdr:rowOff>
    </xdr:from>
    <xdr:to>
      <xdr:col>0</xdr:col>
      <xdr:colOff>304800</xdr:colOff>
      <xdr:row>739</xdr:row>
      <xdr:rowOff>121920</xdr:rowOff>
    </xdr:to>
    <xdr:sp macro="" textlink="">
      <xdr:nvSpPr>
        <xdr:cNvPr id="3824" name="AutoShape 752" descr="Colorado Avalanche">
          <a:extLst>
            <a:ext uri="{FF2B5EF4-FFF2-40B4-BE49-F238E27FC236}">
              <a16:creationId xmlns:a16="http://schemas.microsoft.com/office/drawing/2014/main" xmlns="" id="{00000000-0008-0000-0D00-0000F00E0000}"/>
            </a:ext>
          </a:extLst>
        </xdr:cNvPr>
        <xdr:cNvSpPr>
          <a:spLocks noChangeAspect="1" noChangeArrowheads="1"/>
        </xdr:cNvSpPr>
      </xdr:nvSpPr>
      <xdr:spPr bwMode="auto">
        <a:xfrm>
          <a:off x="0" y="28389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646</xdr:row>
      <xdr:rowOff>0</xdr:rowOff>
    </xdr:from>
    <xdr:to>
      <xdr:col>0</xdr:col>
      <xdr:colOff>304800</xdr:colOff>
      <xdr:row>647</xdr:row>
      <xdr:rowOff>121920</xdr:rowOff>
    </xdr:to>
    <xdr:sp macro="" textlink="">
      <xdr:nvSpPr>
        <xdr:cNvPr id="3825" name="AutoShape 753" descr="Dallas Stars">
          <a:extLst>
            <a:ext uri="{FF2B5EF4-FFF2-40B4-BE49-F238E27FC236}">
              <a16:creationId xmlns:a16="http://schemas.microsoft.com/office/drawing/2014/main" xmlns="" id="{00000000-0008-0000-0D00-0000F10E0000}"/>
            </a:ext>
          </a:extLst>
        </xdr:cNvPr>
        <xdr:cNvSpPr>
          <a:spLocks noChangeAspect="1" noChangeArrowheads="1"/>
        </xdr:cNvSpPr>
      </xdr:nvSpPr>
      <xdr:spPr bwMode="auto">
        <a:xfrm>
          <a:off x="0" y="28426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445</xdr:row>
      <xdr:rowOff>0</xdr:rowOff>
    </xdr:from>
    <xdr:to>
      <xdr:col>0</xdr:col>
      <xdr:colOff>304800</xdr:colOff>
      <xdr:row>446</xdr:row>
      <xdr:rowOff>121920</xdr:rowOff>
    </xdr:to>
    <xdr:sp macro="" textlink="">
      <xdr:nvSpPr>
        <xdr:cNvPr id="3826" name="AutoShape 754" descr="Colorado Avalanche">
          <a:extLst>
            <a:ext uri="{FF2B5EF4-FFF2-40B4-BE49-F238E27FC236}">
              <a16:creationId xmlns:a16="http://schemas.microsoft.com/office/drawing/2014/main" xmlns="" id="{00000000-0008-0000-0D00-0000F20E0000}"/>
            </a:ext>
          </a:extLst>
        </xdr:cNvPr>
        <xdr:cNvSpPr>
          <a:spLocks noChangeAspect="1" noChangeArrowheads="1"/>
        </xdr:cNvSpPr>
      </xdr:nvSpPr>
      <xdr:spPr bwMode="auto">
        <a:xfrm>
          <a:off x="0" y="28445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431</xdr:row>
      <xdr:rowOff>0</xdr:rowOff>
    </xdr:from>
    <xdr:to>
      <xdr:col>0</xdr:col>
      <xdr:colOff>304800</xdr:colOff>
      <xdr:row>432</xdr:row>
      <xdr:rowOff>121920</xdr:rowOff>
    </xdr:to>
    <xdr:sp macro="" textlink="">
      <xdr:nvSpPr>
        <xdr:cNvPr id="3827" name="AutoShape 755" descr="Anaheim Ducks">
          <a:extLst>
            <a:ext uri="{FF2B5EF4-FFF2-40B4-BE49-F238E27FC236}">
              <a16:creationId xmlns:a16="http://schemas.microsoft.com/office/drawing/2014/main" xmlns="" id="{00000000-0008-0000-0D00-0000F30E0000}"/>
            </a:ext>
          </a:extLst>
        </xdr:cNvPr>
        <xdr:cNvSpPr>
          <a:spLocks noChangeAspect="1" noChangeArrowheads="1"/>
        </xdr:cNvSpPr>
      </xdr:nvSpPr>
      <xdr:spPr bwMode="auto">
        <a:xfrm>
          <a:off x="0" y="28482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489</xdr:row>
      <xdr:rowOff>0</xdr:rowOff>
    </xdr:from>
    <xdr:to>
      <xdr:col>0</xdr:col>
      <xdr:colOff>304800</xdr:colOff>
      <xdr:row>490</xdr:row>
      <xdr:rowOff>121920</xdr:rowOff>
    </xdr:to>
    <xdr:sp macro="" textlink="">
      <xdr:nvSpPr>
        <xdr:cNvPr id="3828" name="AutoShape 756" descr="Arizona Coyotes">
          <a:extLst>
            <a:ext uri="{FF2B5EF4-FFF2-40B4-BE49-F238E27FC236}">
              <a16:creationId xmlns:a16="http://schemas.microsoft.com/office/drawing/2014/main" xmlns="" id="{00000000-0008-0000-0D00-0000F40E0000}"/>
            </a:ext>
          </a:extLst>
        </xdr:cNvPr>
        <xdr:cNvSpPr>
          <a:spLocks noChangeAspect="1" noChangeArrowheads="1"/>
        </xdr:cNvSpPr>
      </xdr:nvSpPr>
      <xdr:spPr bwMode="auto">
        <a:xfrm>
          <a:off x="0" y="28520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xdr:row>
      <xdr:rowOff>0</xdr:rowOff>
    </xdr:from>
    <xdr:to>
      <xdr:col>0</xdr:col>
      <xdr:colOff>304800</xdr:colOff>
      <xdr:row>62</xdr:row>
      <xdr:rowOff>121920</xdr:rowOff>
    </xdr:to>
    <xdr:sp macro="" textlink="">
      <xdr:nvSpPr>
        <xdr:cNvPr id="3829" name="AutoShape 757" descr="Tampa Bay Lightning">
          <a:extLst>
            <a:ext uri="{FF2B5EF4-FFF2-40B4-BE49-F238E27FC236}">
              <a16:creationId xmlns:a16="http://schemas.microsoft.com/office/drawing/2014/main" xmlns="" id="{00000000-0008-0000-0D00-0000F50E0000}"/>
            </a:ext>
          </a:extLst>
        </xdr:cNvPr>
        <xdr:cNvSpPr>
          <a:spLocks noChangeAspect="1" noChangeArrowheads="1"/>
        </xdr:cNvSpPr>
      </xdr:nvSpPr>
      <xdr:spPr bwMode="auto">
        <a:xfrm>
          <a:off x="0" y="28557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360</xdr:row>
      <xdr:rowOff>0</xdr:rowOff>
    </xdr:from>
    <xdr:to>
      <xdr:col>0</xdr:col>
      <xdr:colOff>304800</xdr:colOff>
      <xdr:row>361</xdr:row>
      <xdr:rowOff>121920</xdr:rowOff>
    </xdr:to>
    <xdr:sp macro="" textlink="">
      <xdr:nvSpPr>
        <xdr:cNvPr id="3830" name="AutoShape 758" descr="Arizona Coyotes">
          <a:extLst>
            <a:ext uri="{FF2B5EF4-FFF2-40B4-BE49-F238E27FC236}">
              <a16:creationId xmlns:a16="http://schemas.microsoft.com/office/drawing/2014/main" xmlns="" id="{00000000-0008-0000-0D00-0000F60E0000}"/>
            </a:ext>
          </a:extLst>
        </xdr:cNvPr>
        <xdr:cNvSpPr>
          <a:spLocks noChangeAspect="1" noChangeArrowheads="1"/>
        </xdr:cNvSpPr>
      </xdr:nvSpPr>
      <xdr:spPr bwMode="auto">
        <a:xfrm>
          <a:off x="0" y="28594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670</xdr:row>
      <xdr:rowOff>0</xdr:rowOff>
    </xdr:from>
    <xdr:to>
      <xdr:col>0</xdr:col>
      <xdr:colOff>304800</xdr:colOff>
      <xdr:row>671</xdr:row>
      <xdr:rowOff>121920</xdr:rowOff>
    </xdr:to>
    <xdr:sp macro="" textlink="">
      <xdr:nvSpPr>
        <xdr:cNvPr id="3831" name="AutoShape 759" descr="New York Rangers">
          <a:extLst>
            <a:ext uri="{FF2B5EF4-FFF2-40B4-BE49-F238E27FC236}">
              <a16:creationId xmlns:a16="http://schemas.microsoft.com/office/drawing/2014/main" xmlns="" id="{00000000-0008-0000-0D00-0000F70E0000}"/>
            </a:ext>
          </a:extLst>
        </xdr:cNvPr>
        <xdr:cNvSpPr>
          <a:spLocks noChangeAspect="1" noChangeArrowheads="1"/>
        </xdr:cNvSpPr>
      </xdr:nvSpPr>
      <xdr:spPr bwMode="auto">
        <a:xfrm>
          <a:off x="0" y="28632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443</xdr:row>
      <xdr:rowOff>0</xdr:rowOff>
    </xdr:from>
    <xdr:to>
      <xdr:col>0</xdr:col>
      <xdr:colOff>304800</xdr:colOff>
      <xdr:row>444</xdr:row>
      <xdr:rowOff>121920</xdr:rowOff>
    </xdr:to>
    <xdr:sp macro="" textlink="">
      <xdr:nvSpPr>
        <xdr:cNvPr id="3832" name="AutoShape 760" descr="Edmonton Oilers">
          <a:extLst>
            <a:ext uri="{FF2B5EF4-FFF2-40B4-BE49-F238E27FC236}">
              <a16:creationId xmlns:a16="http://schemas.microsoft.com/office/drawing/2014/main" xmlns="" id="{00000000-0008-0000-0D00-0000F80E0000}"/>
            </a:ext>
          </a:extLst>
        </xdr:cNvPr>
        <xdr:cNvSpPr>
          <a:spLocks noChangeAspect="1" noChangeArrowheads="1"/>
        </xdr:cNvSpPr>
      </xdr:nvSpPr>
      <xdr:spPr bwMode="auto">
        <a:xfrm>
          <a:off x="0" y="28669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434</xdr:row>
      <xdr:rowOff>0</xdr:rowOff>
    </xdr:from>
    <xdr:to>
      <xdr:col>0</xdr:col>
      <xdr:colOff>304800</xdr:colOff>
      <xdr:row>435</xdr:row>
      <xdr:rowOff>121920</xdr:rowOff>
    </xdr:to>
    <xdr:sp macro="" textlink="">
      <xdr:nvSpPr>
        <xdr:cNvPr id="3833" name="AutoShape 761" descr="Arizona Coyotes">
          <a:extLst>
            <a:ext uri="{FF2B5EF4-FFF2-40B4-BE49-F238E27FC236}">
              <a16:creationId xmlns:a16="http://schemas.microsoft.com/office/drawing/2014/main" xmlns="" id="{00000000-0008-0000-0D00-0000F90E0000}"/>
            </a:ext>
          </a:extLst>
        </xdr:cNvPr>
        <xdr:cNvSpPr>
          <a:spLocks noChangeAspect="1" noChangeArrowheads="1"/>
        </xdr:cNvSpPr>
      </xdr:nvSpPr>
      <xdr:spPr bwMode="auto">
        <a:xfrm>
          <a:off x="0" y="28706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304</xdr:row>
      <xdr:rowOff>0</xdr:rowOff>
    </xdr:from>
    <xdr:to>
      <xdr:col>0</xdr:col>
      <xdr:colOff>304800</xdr:colOff>
      <xdr:row>305</xdr:row>
      <xdr:rowOff>121920</xdr:rowOff>
    </xdr:to>
    <xdr:sp macro="" textlink="">
      <xdr:nvSpPr>
        <xdr:cNvPr id="3834" name="AutoShape 762" descr="Toronto Maple Leafs">
          <a:extLst>
            <a:ext uri="{FF2B5EF4-FFF2-40B4-BE49-F238E27FC236}">
              <a16:creationId xmlns:a16="http://schemas.microsoft.com/office/drawing/2014/main" xmlns="" id="{00000000-0008-0000-0D00-0000FA0E0000}"/>
            </a:ext>
          </a:extLst>
        </xdr:cNvPr>
        <xdr:cNvSpPr>
          <a:spLocks noChangeAspect="1" noChangeArrowheads="1"/>
        </xdr:cNvSpPr>
      </xdr:nvSpPr>
      <xdr:spPr bwMode="auto">
        <a:xfrm>
          <a:off x="0" y="28744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729</xdr:row>
      <xdr:rowOff>0</xdr:rowOff>
    </xdr:from>
    <xdr:to>
      <xdr:col>0</xdr:col>
      <xdr:colOff>304800</xdr:colOff>
      <xdr:row>730</xdr:row>
      <xdr:rowOff>121920</xdr:rowOff>
    </xdr:to>
    <xdr:sp macro="" textlink="">
      <xdr:nvSpPr>
        <xdr:cNvPr id="3835" name="AutoShape 763" descr="Columbus Blue Jackets">
          <a:extLst>
            <a:ext uri="{FF2B5EF4-FFF2-40B4-BE49-F238E27FC236}">
              <a16:creationId xmlns:a16="http://schemas.microsoft.com/office/drawing/2014/main" xmlns="" id="{00000000-0008-0000-0D00-0000FB0E0000}"/>
            </a:ext>
          </a:extLst>
        </xdr:cNvPr>
        <xdr:cNvSpPr>
          <a:spLocks noChangeAspect="1" noChangeArrowheads="1"/>
        </xdr:cNvSpPr>
      </xdr:nvSpPr>
      <xdr:spPr bwMode="auto">
        <a:xfrm>
          <a:off x="0" y="28781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621</xdr:row>
      <xdr:rowOff>0</xdr:rowOff>
    </xdr:from>
    <xdr:to>
      <xdr:col>0</xdr:col>
      <xdr:colOff>304800</xdr:colOff>
      <xdr:row>622</xdr:row>
      <xdr:rowOff>121920</xdr:rowOff>
    </xdr:to>
    <xdr:sp macro="" textlink="">
      <xdr:nvSpPr>
        <xdr:cNvPr id="3836" name="AutoShape 764" descr="Calgary Flames">
          <a:extLst>
            <a:ext uri="{FF2B5EF4-FFF2-40B4-BE49-F238E27FC236}">
              <a16:creationId xmlns:a16="http://schemas.microsoft.com/office/drawing/2014/main" xmlns="" id="{00000000-0008-0000-0D00-0000FC0E0000}"/>
            </a:ext>
          </a:extLst>
        </xdr:cNvPr>
        <xdr:cNvSpPr>
          <a:spLocks noChangeAspect="1" noChangeArrowheads="1"/>
        </xdr:cNvSpPr>
      </xdr:nvSpPr>
      <xdr:spPr bwMode="auto">
        <a:xfrm>
          <a:off x="0" y="28818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561</xdr:row>
      <xdr:rowOff>0</xdr:rowOff>
    </xdr:from>
    <xdr:to>
      <xdr:col>0</xdr:col>
      <xdr:colOff>304800</xdr:colOff>
      <xdr:row>562</xdr:row>
      <xdr:rowOff>121920</xdr:rowOff>
    </xdr:to>
    <xdr:sp macro="" textlink="">
      <xdr:nvSpPr>
        <xdr:cNvPr id="3837" name="AutoShape 765" descr="Vancouver Canucks">
          <a:extLst>
            <a:ext uri="{FF2B5EF4-FFF2-40B4-BE49-F238E27FC236}">
              <a16:creationId xmlns:a16="http://schemas.microsoft.com/office/drawing/2014/main" xmlns="" id="{00000000-0008-0000-0D00-0000FD0E0000}"/>
            </a:ext>
          </a:extLst>
        </xdr:cNvPr>
        <xdr:cNvSpPr>
          <a:spLocks noChangeAspect="1" noChangeArrowheads="1"/>
        </xdr:cNvSpPr>
      </xdr:nvSpPr>
      <xdr:spPr bwMode="auto">
        <a:xfrm>
          <a:off x="0" y="2885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304800</xdr:colOff>
      <xdr:row>228</xdr:row>
      <xdr:rowOff>121920</xdr:rowOff>
    </xdr:to>
    <xdr:sp macro="" textlink="">
      <xdr:nvSpPr>
        <xdr:cNvPr id="3838" name="AutoShape 766" descr="Colorado Avalanche">
          <a:extLst>
            <a:ext uri="{FF2B5EF4-FFF2-40B4-BE49-F238E27FC236}">
              <a16:creationId xmlns:a16="http://schemas.microsoft.com/office/drawing/2014/main" xmlns="" id="{00000000-0008-0000-0D00-0000FE0E0000}"/>
            </a:ext>
          </a:extLst>
        </xdr:cNvPr>
        <xdr:cNvSpPr>
          <a:spLocks noChangeAspect="1" noChangeArrowheads="1"/>
        </xdr:cNvSpPr>
      </xdr:nvSpPr>
      <xdr:spPr bwMode="auto">
        <a:xfrm>
          <a:off x="0" y="28893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154</xdr:row>
      <xdr:rowOff>0</xdr:rowOff>
    </xdr:from>
    <xdr:to>
      <xdr:col>0</xdr:col>
      <xdr:colOff>304800</xdr:colOff>
      <xdr:row>155</xdr:row>
      <xdr:rowOff>121920</xdr:rowOff>
    </xdr:to>
    <xdr:sp macro="" textlink="">
      <xdr:nvSpPr>
        <xdr:cNvPr id="3839" name="AutoShape 767" descr="Pittsburgh Penguins">
          <a:extLst>
            <a:ext uri="{FF2B5EF4-FFF2-40B4-BE49-F238E27FC236}">
              <a16:creationId xmlns:a16="http://schemas.microsoft.com/office/drawing/2014/main" xmlns="" id="{00000000-0008-0000-0D00-0000FF0E0000}"/>
            </a:ext>
          </a:extLst>
        </xdr:cNvPr>
        <xdr:cNvSpPr>
          <a:spLocks noChangeAspect="1" noChangeArrowheads="1"/>
        </xdr:cNvSpPr>
      </xdr:nvSpPr>
      <xdr:spPr bwMode="auto">
        <a:xfrm>
          <a:off x="0" y="28930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103</xdr:row>
      <xdr:rowOff>0</xdr:rowOff>
    </xdr:from>
    <xdr:to>
      <xdr:col>0</xdr:col>
      <xdr:colOff>304800</xdr:colOff>
      <xdr:row>104</xdr:row>
      <xdr:rowOff>121920</xdr:rowOff>
    </xdr:to>
    <xdr:sp macro="" textlink="">
      <xdr:nvSpPr>
        <xdr:cNvPr id="3840" name="AutoShape 768" descr="New Jersey Devils">
          <a:extLst>
            <a:ext uri="{FF2B5EF4-FFF2-40B4-BE49-F238E27FC236}">
              <a16:creationId xmlns:a16="http://schemas.microsoft.com/office/drawing/2014/main" xmlns="" id="{00000000-0008-0000-0D00-0000000F0000}"/>
            </a:ext>
          </a:extLst>
        </xdr:cNvPr>
        <xdr:cNvSpPr>
          <a:spLocks noChangeAspect="1" noChangeArrowheads="1"/>
        </xdr:cNvSpPr>
      </xdr:nvSpPr>
      <xdr:spPr bwMode="auto">
        <a:xfrm>
          <a:off x="0" y="28968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xdr:row>
      <xdr:rowOff>0</xdr:rowOff>
    </xdr:from>
    <xdr:to>
      <xdr:col>0</xdr:col>
      <xdr:colOff>304800</xdr:colOff>
      <xdr:row>43</xdr:row>
      <xdr:rowOff>121920</xdr:rowOff>
    </xdr:to>
    <xdr:sp macro="" textlink="">
      <xdr:nvSpPr>
        <xdr:cNvPr id="3841" name="AutoShape 769" descr="Nashville Predators">
          <a:extLst>
            <a:ext uri="{FF2B5EF4-FFF2-40B4-BE49-F238E27FC236}">
              <a16:creationId xmlns:a16="http://schemas.microsoft.com/office/drawing/2014/main" xmlns="" id="{00000000-0008-0000-0D00-0000010F0000}"/>
            </a:ext>
          </a:extLst>
        </xdr:cNvPr>
        <xdr:cNvSpPr>
          <a:spLocks noChangeAspect="1" noChangeArrowheads="1"/>
        </xdr:cNvSpPr>
      </xdr:nvSpPr>
      <xdr:spPr bwMode="auto">
        <a:xfrm>
          <a:off x="0" y="29005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xdr:row>
      <xdr:rowOff>0</xdr:rowOff>
    </xdr:from>
    <xdr:to>
      <xdr:col>0</xdr:col>
      <xdr:colOff>304800</xdr:colOff>
      <xdr:row>69</xdr:row>
      <xdr:rowOff>121920</xdr:rowOff>
    </xdr:to>
    <xdr:sp macro="" textlink="">
      <xdr:nvSpPr>
        <xdr:cNvPr id="3842" name="AutoShape 770" descr="Nashville Predators">
          <a:extLst>
            <a:ext uri="{FF2B5EF4-FFF2-40B4-BE49-F238E27FC236}">
              <a16:creationId xmlns:a16="http://schemas.microsoft.com/office/drawing/2014/main" xmlns="" id="{00000000-0008-0000-0D00-0000020F0000}"/>
            </a:ext>
          </a:extLst>
        </xdr:cNvPr>
        <xdr:cNvSpPr>
          <a:spLocks noChangeAspect="1" noChangeArrowheads="1"/>
        </xdr:cNvSpPr>
      </xdr:nvSpPr>
      <xdr:spPr bwMode="auto">
        <a:xfrm>
          <a:off x="0" y="29042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91</xdr:row>
      <xdr:rowOff>0</xdr:rowOff>
    </xdr:from>
    <xdr:to>
      <xdr:col>0</xdr:col>
      <xdr:colOff>304800</xdr:colOff>
      <xdr:row>92</xdr:row>
      <xdr:rowOff>121920</xdr:rowOff>
    </xdr:to>
    <xdr:sp macro="" textlink="">
      <xdr:nvSpPr>
        <xdr:cNvPr id="3843" name="AutoShape 771" descr="New Jersey Devils">
          <a:extLst>
            <a:ext uri="{FF2B5EF4-FFF2-40B4-BE49-F238E27FC236}">
              <a16:creationId xmlns:a16="http://schemas.microsoft.com/office/drawing/2014/main" xmlns="" id="{00000000-0008-0000-0D00-0000030F0000}"/>
            </a:ext>
          </a:extLst>
        </xdr:cNvPr>
        <xdr:cNvSpPr>
          <a:spLocks noChangeAspect="1" noChangeArrowheads="1"/>
        </xdr:cNvSpPr>
      </xdr:nvSpPr>
      <xdr:spPr bwMode="auto">
        <a:xfrm>
          <a:off x="0" y="29080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296</xdr:row>
      <xdr:rowOff>0</xdr:rowOff>
    </xdr:from>
    <xdr:to>
      <xdr:col>0</xdr:col>
      <xdr:colOff>304800</xdr:colOff>
      <xdr:row>297</xdr:row>
      <xdr:rowOff>121920</xdr:rowOff>
    </xdr:to>
    <xdr:sp macro="" textlink="">
      <xdr:nvSpPr>
        <xdr:cNvPr id="3844" name="AutoShape 772" descr="Nashville Predators">
          <a:extLst>
            <a:ext uri="{FF2B5EF4-FFF2-40B4-BE49-F238E27FC236}">
              <a16:creationId xmlns:a16="http://schemas.microsoft.com/office/drawing/2014/main" xmlns="" id="{00000000-0008-0000-0D00-0000040F0000}"/>
            </a:ext>
          </a:extLst>
        </xdr:cNvPr>
        <xdr:cNvSpPr>
          <a:spLocks noChangeAspect="1" noChangeArrowheads="1"/>
        </xdr:cNvSpPr>
      </xdr:nvSpPr>
      <xdr:spPr bwMode="auto">
        <a:xfrm>
          <a:off x="0" y="29117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184</xdr:row>
      <xdr:rowOff>0</xdr:rowOff>
    </xdr:from>
    <xdr:to>
      <xdr:col>0</xdr:col>
      <xdr:colOff>304800</xdr:colOff>
      <xdr:row>185</xdr:row>
      <xdr:rowOff>121920</xdr:rowOff>
    </xdr:to>
    <xdr:sp macro="" textlink="">
      <xdr:nvSpPr>
        <xdr:cNvPr id="3845" name="AutoShape 773" descr="New Jersey Devils">
          <a:extLst>
            <a:ext uri="{FF2B5EF4-FFF2-40B4-BE49-F238E27FC236}">
              <a16:creationId xmlns:a16="http://schemas.microsoft.com/office/drawing/2014/main" xmlns="" id="{00000000-0008-0000-0D00-0000050F0000}"/>
            </a:ext>
          </a:extLst>
        </xdr:cNvPr>
        <xdr:cNvSpPr>
          <a:spLocks noChangeAspect="1" noChangeArrowheads="1"/>
        </xdr:cNvSpPr>
      </xdr:nvSpPr>
      <xdr:spPr bwMode="auto">
        <a:xfrm>
          <a:off x="0" y="29154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281</xdr:row>
      <xdr:rowOff>0</xdr:rowOff>
    </xdr:from>
    <xdr:to>
      <xdr:col>0</xdr:col>
      <xdr:colOff>304800</xdr:colOff>
      <xdr:row>282</xdr:row>
      <xdr:rowOff>121920</xdr:rowOff>
    </xdr:to>
    <xdr:sp macro="" textlink="">
      <xdr:nvSpPr>
        <xdr:cNvPr id="3846" name="AutoShape 774" descr="Vancouver Canucks">
          <a:extLst>
            <a:ext uri="{FF2B5EF4-FFF2-40B4-BE49-F238E27FC236}">
              <a16:creationId xmlns:a16="http://schemas.microsoft.com/office/drawing/2014/main" xmlns="" id="{00000000-0008-0000-0D00-0000060F0000}"/>
            </a:ext>
          </a:extLst>
        </xdr:cNvPr>
        <xdr:cNvSpPr>
          <a:spLocks noChangeAspect="1" noChangeArrowheads="1"/>
        </xdr:cNvSpPr>
      </xdr:nvSpPr>
      <xdr:spPr bwMode="auto">
        <a:xfrm>
          <a:off x="0" y="29192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155</xdr:row>
      <xdr:rowOff>0</xdr:rowOff>
    </xdr:from>
    <xdr:to>
      <xdr:col>0</xdr:col>
      <xdr:colOff>304800</xdr:colOff>
      <xdr:row>156</xdr:row>
      <xdr:rowOff>121920</xdr:rowOff>
    </xdr:to>
    <xdr:sp macro="" textlink="">
      <xdr:nvSpPr>
        <xdr:cNvPr id="3847" name="AutoShape 775" descr="San Jose Sharks">
          <a:extLst>
            <a:ext uri="{FF2B5EF4-FFF2-40B4-BE49-F238E27FC236}">
              <a16:creationId xmlns:a16="http://schemas.microsoft.com/office/drawing/2014/main" xmlns="" id="{00000000-0008-0000-0D00-0000070F0000}"/>
            </a:ext>
          </a:extLst>
        </xdr:cNvPr>
        <xdr:cNvSpPr>
          <a:spLocks noChangeAspect="1" noChangeArrowheads="1"/>
        </xdr:cNvSpPr>
      </xdr:nvSpPr>
      <xdr:spPr bwMode="auto">
        <a:xfrm>
          <a:off x="0" y="29229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509</xdr:row>
      <xdr:rowOff>0</xdr:rowOff>
    </xdr:from>
    <xdr:to>
      <xdr:col>0</xdr:col>
      <xdr:colOff>304800</xdr:colOff>
      <xdr:row>510</xdr:row>
      <xdr:rowOff>121920</xdr:rowOff>
    </xdr:to>
    <xdr:sp macro="" textlink="">
      <xdr:nvSpPr>
        <xdr:cNvPr id="3848" name="AutoShape 776" descr="Ottawa Senators">
          <a:extLst>
            <a:ext uri="{FF2B5EF4-FFF2-40B4-BE49-F238E27FC236}">
              <a16:creationId xmlns:a16="http://schemas.microsoft.com/office/drawing/2014/main" xmlns="" id="{00000000-0008-0000-0D00-0000080F0000}"/>
            </a:ext>
          </a:extLst>
        </xdr:cNvPr>
        <xdr:cNvSpPr>
          <a:spLocks noChangeAspect="1" noChangeArrowheads="1"/>
        </xdr:cNvSpPr>
      </xdr:nvSpPr>
      <xdr:spPr bwMode="auto">
        <a:xfrm>
          <a:off x="0" y="29266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676</xdr:row>
      <xdr:rowOff>0</xdr:rowOff>
    </xdr:from>
    <xdr:to>
      <xdr:col>0</xdr:col>
      <xdr:colOff>304800</xdr:colOff>
      <xdr:row>677</xdr:row>
      <xdr:rowOff>121920</xdr:rowOff>
    </xdr:to>
    <xdr:sp macro="" textlink="">
      <xdr:nvSpPr>
        <xdr:cNvPr id="3849" name="AutoShape 777" descr="Edmonton Oilers">
          <a:extLst>
            <a:ext uri="{FF2B5EF4-FFF2-40B4-BE49-F238E27FC236}">
              <a16:creationId xmlns:a16="http://schemas.microsoft.com/office/drawing/2014/main" xmlns="" id="{00000000-0008-0000-0D00-0000090F0000}"/>
            </a:ext>
          </a:extLst>
        </xdr:cNvPr>
        <xdr:cNvSpPr>
          <a:spLocks noChangeAspect="1" noChangeArrowheads="1"/>
        </xdr:cNvSpPr>
      </xdr:nvSpPr>
      <xdr:spPr bwMode="auto">
        <a:xfrm>
          <a:off x="0" y="29304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205</xdr:row>
      <xdr:rowOff>0</xdr:rowOff>
    </xdr:from>
    <xdr:to>
      <xdr:col>0</xdr:col>
      <xdr:colOff>304800</xdr:colOff>
      <xdr:row>206</xdr:row>
      <xdr:rowOff>121920</xdr:rowOff>
    </xdr:to>
    <xdr:sp macro="" textlink="">
      <xdr:nvSpPr>
        <xdr:cNvPr id="3850" name="AutoShape 778" descr="Tampa Bay Lightning">
          <a:extLst>
            <a:ext uri="{FF2B5EF4-FFF2-40B4-BE49-F238E27FC236}">
              <a16:creationId xmlns:a16="http://schemas.microsoft.com/office/drawing/2014/main" xmlns="" id="{00000000-0008-0000-0D00-00000A0F0000}"/>
            </a:ext>
          </a:extLst>
        </xdr:cNvPr>
        <xdr:cNvSpPr>
          <a:spLocks noChangeAspect="1" noChangeArrowheads="1"/>
        </xdr:cNvSpPr>
      </xdr:nvSpPr>
      <xdr:spPr bwMode="auto">
        <a:xfrm>
          <a:off x="0" y="29341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549</xdr:row>
      <xdr:rowOff>0</xdr:rowOff>
    </xdr:from>
    <xdr:to>
      <xdr:col>0</xdr:col>
      <xdr:colOff>304800</xdr:colOff>
      <xdr:row>550</xdr:row>
      <xdr:rowOff>121920</xdr:rowOff>
    </xdr:to>
    <xdr:sp macro="" textlink="">
      <xdr:nvSpPr>
        <xdr:cNvPr id="3851" name="AutoShape 779" descr="Buffalo Sabres">
          <a:extLst>
            <a:ext uri="{FF2B5EF4-FFF2-40B4-BE49-F238E27FC236}">
              <a16:creationId xmlns:a16="http://schemas.microsoft.com/office/drawing/2014/main" xmlns="" id="{00000000-0008-0000-0D00-00000B0F0000}"/>
            </a:ext>
          </a:extLst>
        </xdr:cNvPr>
        <xdr:cNvSpPr>
          <a:spLocks noChangeAspect="1" noChangeArrowheads="1"/>
        </xdr:cNvSpPr>
      </xdr:nvSpPr>
      <xdr:spPr bwMode="auto">
        <a:xfrm>
          <a:off x="0" y="29378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260</xdr:row>
      <xdr:rowOff>0</xdr:rowOff>
    </xdr:from>
    <xdr:to>
      <xdr:col>0</xdr:col>
      <xdr:colOff>304800</xdr:colOff>
      <xdr:row>261</xdr:row>
      <xdr:rowOff>121920</xdr:rowOff>
    </xdr:to>
    <xdr:sp macro="" textlink="">
      <xdr:nvSpPr>
        <xdr:cNvPr id="3852" name="AutoShape 780" descr="Detroit Red Wings">
          <a:extLst>
            <a:ext uri="{FF2B5EF4-FFF2-40B4-BE49-F238E27FC236}">
              <a16:creationId xmlns:a16="http://schemas.microsoft.com/office/drawing/2014/main" xmlns="" id="{00000000-0008-0000-0D00-00000C0F0000}"/>
            </a:ext>
          </a:extLst>
        </xdr:cNvPr>
        <xdr:cNvSpPr>
          <a:spLocks noChangeAspect="1" noChangeArrowheads="1"/>
        </xdr:cNvSpPr>
      </xdr:nvSpPr>
      <xdr:spPr bwMode="auto">
        <a:xfrm>
          <a:off x="0" y="2941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306</xdr:row>
      <xdr:rowOff>0</xdr:rowOff>
    </xdr:from>
    <xdr:to>
      <xdr:col>0</xdr:col>
      <xdr:colOff>304800</xdr:colOff>
      <xdr:row>307</xdr:row>
      <xdr:rowOff>121920</xdr:rowOff>
    </xdr:to>
    <xdr:sp macro="" textlink="">
      <xdr:nvSpPr>
        <xdr:cNvPr id="3853" name="AutoShape 781" descr="Pittsburgh Penguins">
          <a:extLst>
            <a:ext uri="{FF2B5EF4-FFF2-40B4-BE49-F238E27FC236}">
              <a16:creationId xmlns:a16="http://schemas.microsoft.com/office/drawing/2014/main" xmlns="" id="{00000000-0008-0000-0D00-00000D0F0000}"/>
            </a:ext>
          </a:extLst>
        </xdr:cNvPr>
        <xdr:cNvSpPr>
          <a:spLocks noChangeAspect="1" noChangeArrowheads="1"/>
        </xdr:cNvSpPr>
      </xdr:nvSpPr>
      <xdr:spPr bwMode="auto">
        <a:xfrm>
          <a:off x="0" y="2945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415</xdr:row>
      <xdr:rowOff>0</xdr:rowOff>
    </xdr:from>
    <xdr:to>
      <xdr:col>0</xdr:col>
      <xdr:colOff>304800</xdr:colOff>
      <xdr:row>416</xdr:row>
      <xdr:rowOff>121920</xdr:rowOff>
    </xdr:to>
    <xdr:sp macro="" textlink="">
      <xdr:nvSpPr>
        <xdr:cNvPr id="3854" name="AutoShape 782" descr="Los Angeles Kings">
          <a:extLst>
            <a:ext uri="{FF2B5EF4-FFF2-40B4-BE49-F238E27FC236}">
              <a16:creationId xmlns:a16="http://schemas.microsoft.com/office/drawing/2014/main" xmlns="" id="{00000000-0008-0000-0D00-00000E0F0000}"/>
            </a:ext>
          </a:extLst>
        </xdr:cNvPr>
        <xdr:cNvSpPr>
          <a:spLocks noChangeAspect="1" noChangeArrowheads="1"/>
        </xdr:cNvSpPr>
      </xdr:nvSpPr>
      <xdr:spPr bwMode="auto">
        <a:xfrm>
          <a:off x="0" y="2949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186</xdr:row>
      <xdr:rowOff>0</xdr:rowOff>
    </xdr:from>
    <xdr:to>
      <xdr:col>0</xdr:col>
      <xdr:colOff>304800</xdr:colOff>
      <xdr:row>187</xdr:row>
      <xdr:rowOff>121920</xdr:rowOff>
    </xdr:to>
    <xdr:sp macro="" textlink="">
      <xdr:nvSpPr>
        <xdr:cNvPr id="3855" name="AutoShape 783" descr="Philadelphia Flyers">
          <a:extLst>
            <a:ext uri="{FF2B5EF4-FFF2-40B4-BE49-F238E27FC236}">
              <a16:creationId xmlns:a16="http://schemas.microsoft.com/office/drawing/2014/main" xmlns="" id="{00000000-0008-0000-0D00-00000F0F0000}"/>
            </a:ext>
          </a:extLst>
        </xdr:cNvPr>
        <xdr:cNvSpPr>
          <a:spLocks noChangeAspect="1" noChangeArrowheads="1"/>
        </xdr:cNvSpPr>
      </xdr:nvSpPr>
      <xdr:spPr bwMode="auto">
        <a:xfrm>
          <a:off x="0" y="2952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389</xdr:row>
      <xdr:rowOff>0</xdr:rowOff>
    </xdr:from>
    <xdr:to>
      <xdr:col>0</xdr:col>
      <xdr:colOff>304800</xdr:colOff>
      <xdr:row>390</xdr:row>
      <xdr:rowOff>121920</xdr:rowOff>
    </xdr:to>
    <xdr:sp macro="" textlink="">
      <xdr:nvSpPr>
        <xdr:cNvPr id="3856" name="AutoShape 784" descr="San Jose Sharks">
          <a:extLst>
            <a:ext uri="{FF2B5EF4-FFF2-40B4-BE49-F238E27FC236}">
              <a16:creationId xmlns:a16="http://schemas.microsoft.com/office/drawing/2014/main" xmlns="" id="{00000000-0008-0000-0D00-0000100F0000}"/>
            </a:ext>
          </a:extLst>
        </xdr:cNvPr>
        <xdr:cNvSpPr>
          <a:spLocks noChangeAspect="1" noChangeArrowheads="1"/>
        </xdr:cNvSpPr>
      </xdr:nvSpPr>
      <xdr:spPr bwMode="auto">
        <a:xfrm>
          <a:off x="0" y="2956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841</xdr:row>
      <xdr:rowOff>0</xdr:rowOff>
    </xdr:from>
    <xdr:to>
      <xdr:col>0</xdr:col>
      <xdr:colOff>304800</xdr:colOff>
      <xdr:row>842</xdr:row>
      <xdr:rowOff>121920</xdr:rowOff>
    </xdr:to>
    <xdr:sp macro="" textlink="">
      <xdr:nvSpPr>
        <xdr:cNvPr id="3857" name="AutoShape 785" descr="Boston Bruins">
          <a:extLst>
            <a:ext uri="{FF2B5EF4-FFF2-40B4-BE49-F238E27FC236}">
              <a16:creationId xmlns:a16="http://schemas.microsoft.com/office/drawing/2014/main" xmlns="" id="{00000000-0008-0000-0D00-0000110F0000}"/>
            </a:ext>
          </a:extLst>
        </xdr:cNvPr>
        <xdr:cNvSpPr>
          <a:spLocks noChangeAspect="1" noChangeArrowheads="1"/>
        </xdr:cNvSpPr>
      </xdr:nvSpPr>
      <xdr:spPr bwMode="auto">
        <a:xfrm>
          <a:off x="0" y="2960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214</xdr:row>
      <xdr:rowOff>0</xdr:rowOff>
    </xdr:from>
    <xdr:to>
      <xdr:col>0</xdr:col>
      <xdr:colOff>304800</xdr:colOff>
      <xdr:row>215</xdr:row>
      <xdr:rowOff>121920</xdr:rowOff>
    </xdr:to>
    <xdr:sp macro="" textlink="">
      <xdr:nvSpPr>
        <xdr:cNvPr id="3858" name="AutoShape 786" descr="Montreal Canadiens">
          <a:extLst>
            <a:ext uri="{FF2B5EF4-FFF2-40B4-BE49-F238E27FC236}">
              <a16:creationId xmlns:a16="http://schemas.microsoft.com/office/drawing/2014/main" xmlns="" id="{00000000-0008-0000-0D00-0000120F0000}"/>
            </a:ext>
          </a:extLst>
        </xdr:cNvPr>
        <xdr:cNvSpPr>
          <a:spLocks noChangeAspect="1" noChangeArrowheads="1"/>
        </xdr:cNvSpPr>
      </xdr:nvSpPr>
      <xdr:spPr bwMode="auto">
        <a:xfrm>
          <a:off x="0" y="29640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686</xdr:row>
      <xdr:rowOff>0</xdr:rowOff>
    </xdr:from>
    <xdr:to>
      <xdr:col>0</xdr:col>
      <xdr:colOff>304800</xdr:colOff>
      <xdr:row>687</xdr:row>
      <xdr:rowOff>121920</xdr:rowOff>
    </xdr:to>
    <xdr:sp macro="" textlink="">
      <xdr:nvSpPr>
        <xdr:cNvPr id="3859" name="AutoShape 787" descr="Detroit Red Wings">
          <a:extLst>
            <a:ext uri="{FF2B5EF4-FFF2-40B4-BE49-F238E27FC236}">
              <a16:creationId xmlns:a16="http://schemas.microsoft.com/office/drawing/2014/main" xmlns="" id="{00000000-0008-0000-0D00-0000130F0000}"/>
            </a:ext>
          </a:extLst>
        </xdr:cNvPr>
        <xdr:cNvSpPr>
          <a:spLocks noChangeAspect="1" noChangeArrowheads="1"/>
        </xdr:cNvSpPr>
      </xdr:nvSpPr>
      <xdr:spPr bwMode="auto">
        <a:xfrm>
          <a:off x="0" y="29677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773</xdr:row>
      <xdr:rowOff>0</xdr:rowOff>
    </xdr:from>
    <xdr:to>
      <xdr:col>0</xdr:col>
      <xdr:colOff>304800</xdr:colOff>
      <xdr:row>774</xdr:row>
      <xdr:rowOff>121920</xdr:rowOff>
    </xdr:to>
    <xdr:sp macro="" textlink="">
      <xdr:nvSpPr>
        <xdr:cNvPr id="3860" name="AutoShape 788" descr="San Jose Sharks">
          <a:extLst>
            <a:ext uri="{FF2B5EF4-FFF2-40B4-BE49-F238E27FC236}">
              <a16:creationId xmlns:a16="http://schemas.microsoft.com/office/drawing/2014/main" xmlns="" id="{00000000-0008-0000-0D00-0000140F0000}"/>
            </a:ext>
          </a:extLst>
        </xdr:cNvPr>
        <xdr:cNvSpPr>
          <a:spLocks noChangeAspect="1" noChangeArrowheads="1"/>
        </xdr:cNvSpPr>
      </xdr:nvSpPr>
      <xdr:spPr bwMode="auto">
        <a:xfrm>
          <a:off x="0" y="29714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131</xdr:row>
      <xdr:rowOff>0</xdr:rowOff>
    </xdr:from>
    <xdr:to>
      <xdr:col>0</xdr:col>
      <xdr:colOff>304800</xdr:colOff>
      <xdr:row>132</xdr:row>
      <xdr:rowOff>121920</xdr:rowOff>
    </xdr:to>
    <xdr:sp macro="" textlink="">
      <xdr:nvSpPr>
        <xdr:cNvPr id="3861" name="AutoShape 789" descr="Detroit Red Wings">
          <a:extLst>
            <a:ext uri="{FF2B5EF4-FFF2-40B4-BE49-F238E27FC236}">
              <a16:creationId xmlns:a16="http://schemas.microsoft.com/office/drawing/2014/main" xmlns="" id="{00000000-0008-0000-0D00-0000150F0000}"/>
            </a:ext>
          </a:extLst>
        </xdr:cNvPr>
        <xdr:cNvSpPr>
          <a:spLocks noChangeAspect="1" noChangeArrowheads="1"/>
        </xdr:cNvSpPr>
      </xdr:nvSpPr>
      <xdr:spPr bwMode="auto">
        <a:xfrm>
          <a:off x="0" y="29752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xdr:row>
      <xdr:rowOff>0</xdr:rowOff>
    </xdr:from>
    <xdr:to>
      <xdr:col>0</xdr:col>
      <xdr:colOff>304800</xdr:colOff>
      <xdr:row>55</xdr:row>
      <xdr:rowOff>121920</xdr:rowOff>
    </xdr:to>
    <xdr:sp macro="" textlink="">
      <xdr:nvSpPr>
        <xdr:cNvPr id="3862" name="AutoShape 790" descr="Chicago Blackhawks">
          <a:extLst>
            <a:ext uri="{FF2B5EF4-FFF2-40B4-BE49-F238E27FC236}">
              <a16:creationId xmlns:a16="http://schemas.microsoft.com/office/drawing/2014/main" xmlns="" id="{00000000-0008-0000-0D00-0000160F0000}"/>
            </a:ext>
          </a:extLst>
        </xdr:cNvPr>
        <xdr:cNvSpPr>
          <a:spLocks noChangeAspect="1" noChangeArrowheads="1"/>
        </xdr:cNvSpPr>
      </xdr:nvSpPr>
      <xdr:spPr bwMode="auto">
        <a:xfrm>
          <a:off x="0" y="29789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775</xdr:row>
      <xdr:rowOff>0</xdr:rowOff>
    </xdr:from>
    <xdr:to>
      <xdr:col>0</xdr:col>
      <xdr:colOff>304800</xdr:colOff>
      <xdr:row>776</xdr:row>
      <xdr:rowOff>121920</xdr:rowOff>
    </xdr:to>
    <xdr:sp macro="" textlink="">
      <xdr:nvSpPr>
        <xdr:cNvPr id="3863" name="AutoShape 791" descr="San Jose Sharks">
          <a:extLst>
            <a:ext uri="{FF2B5EF4-FFF2-40B4-BE49-F238E27FC236}">
              <a16:creationId xmlns:a16="http://schemas.microsoft.com/office/drawing/2014/main" xmlns="" id="{00000000-0008-0000-0D00-0000170F0000}"/>
            </a:ext>
          </a:extLst>
        </xdr:cNvPr>
        <xdr:cNvSpPr>
          <a:spLocks noChangeAspect="1" noChangeArrowheads="1"/>
        </xdr:cNvSpPr>
      </xdr:nvSpPr>
      <xdr:spPr bwMode="auto">
        <a:xfrm>
          <a:off x="0" y="29826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136</xdr:row>
      <xdr:rowOff>0</xdr:rowOff>
    </xdr:from>
    <xdr:to>
      <xdr:col>0</xdr:col>
      <xdr:colOff>304800</xdr:colOff>
      <xdr:row>137</xdr:row>
      <xdr:rowOff>121920</xdr:rowOff>
    </xdr:to>
    <xdr:sp macro="" textlink="">
      <xdr:nvSpPr>
        <xdr:cNvPr id="3864" name="AutoShape 792" descr="Montreal Canadiens">
          <a:extLst>
            <a:ext uri="{FF2B5EF4-FFF2-40B4-BE49-F238E27FC236}">
              <a16:creationId xmlns:a16="http://schemas.microsoft.com/office/drawing/2014/main" xmlns="" id="{00000000-0008-0000-0D00-0000180F0000}"/>
            </a:ext>
          </a:extLst>
        </xdr:cNvPr>
        <xdr:cNvSpPr>
          <a:spLocks noChangeAspect="1" noChangeArrowheads="1"/>
        </xdr:cNvSpPr>
      </xdr:nvSpPr>
      <xdr:spPr bwMode="auto">
        <a:xfrm>
          <a:off x="0" y="29864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673</xdr:row>
      <xdr:rowOff>0</xdr:rowOff>
    </xdr:from>
    <xdr:to>
      <xdr:col>0</xdr:col>
      <xdr:colOff>304800</xdr:colOff>
      <xdr:row>674</xdr:row>
      <xdr:rowOff>121920</xdr:rowOff>
    </xdr:to>
    <xdr:sp macro="" textlink="">
      <xdr:nvSpPr>
        <xdr:cNvPr id="3865" name="AutoShape 793" descr="Philadelphia Flyers">
          <a:extLst>
            <a:ext uri="{FF2B5EF4-FFF2-40B4-BE49-F238E27FC236}">
              <a16:creationId xmlns:a16="http://schemas.microsoft.com/office/drawing/2014/main" xmlns="" id="{00000000-0008-0000-0D00-0000190F0000}"/>
            </a:ext>
          </a:extLst>
        </xdr:cNvPr>
        <xdr:cNvSpPr>
          <a:spLocks noChangeAspect="1" noChangeArrowheads="1"/>
        </xdr:cNvSpPr>
      </xdr:nvSpPr>
      <xdr:spPr bwMode="auto">
        <a:xfrm>
          <a:off x="0" y="29901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187</xdr:row>
      <xdr:rowOff>0</xdr:rowOff>
    </xdr:from>
    <xdr:to>
      <xdr:col>0</xdr:col>
      <xdr:colOff>304800</xdr:colOff>
      <xdr:row>188</xdr:row>
      <xdr:rowOff>121920</xdr:rowOff>
    </xdr:to>
    <xdr:sp macro="" textlink="">
      <xdr:nvSpPr>
        <xdr:cNvPr id="3866" name="AutoShape 794" descr="New York Rangers">
          <a:extLst>
            <a:ext uri="{FF2B5EF4-FFF2-40B4-BE49-F238E27FC236}">
              <a16:creationId xmlns:a16="http://schemas.microsoft.com/office/drawing/2014/main" xmlns="" id="{00000000-0008-0000-0D00-00001A0F0000}"/>
            </a:ext>
          </a:extLst>
        </xdr:cNvPr>
        <xdr:cNvSpPr>
          <a:spLocks noChangeAspect="1" noChangeArrowheads="1"/>
        </xdr:cNvSpPr>
      </xdr:nvSpPr>
      <xdr:spPr bwMode="auto">
        <a:xfrm>
          <a:off x="0" y="29938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718</xdr:row>
      <xdr:rowOff>0</xdr:rowOff>
    </xdr:from>
    <xdr:to>
      <xdr:col>0</xdr:col>
      <xdr:colOff>304800</xdr:colOff>
      <xdr:row>719</xdr:row>
      <xdr:rowOff>121920</xdr:rowOff>
    </xdr:to>
    <xdr:sp macro="" textlink="">
      <xdr:nvSpPr>
        <xdr:cNvPr id="3867" name="AutoShape 795" descr="Anaheim Ducks">
          <a:extLst>
            <a:ext uri="{FF2B5EF4-FFF2-40B4-BE49-F238E27FC236}">
              <a16:creationId xmlns:a16="http://schemas.microsoft.com/office/drawing/2014/main" xmlns="" id="{00000000-0008-0000-0D00-00001B0F0000}"/>
            </a:ext>
          </a:extLst>
        </xdr:cNvPr>
        <xdr:cNvSpPr>
          <a:spLocks noChangeAspect="1" noChangeArrowheads="1"/>
        </xdr:cNvSpPr>
      </xdr:nvSpPr>
      <xdr:spPr bwMode="auto">
        <a:xfrm>
          <a:off x="0" y="29976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833</xdr:row>
      <xdr:rowOff>0</xdr:rowOff>
    </xdr:from>
    <xdr:to>
      <xdr:col>0</xdr:col>
      <xdr:colOff>304800</xdr:colOff>
      <xdr:row>834</xdr:row>
      <xdr:rowOff>121920</xdr:rowOff>
    </xdr:to>
    <xdr:sp macro="" textlink="">
      <xdr:nvSpPr>
        <xdr:cNvPr id="3868" name="AutoShape 796" descr="Vegas Golden Knights">
          <a:extLst>
            <a:ext uri="{FF2B5EF4-FFF2-40B4-BE49-F238E27FC236}">
              <a16:creationId xmlns:a16="http://schemas.microsoft.com/office/drawing/2014/main" xmlns="" id="{00000000-0008-0000-0D00-00001C0F0000}"/>
            </a:ext>
          </a:extLst>
        </xdr:cNvPr>
        <xdr:cNvSpPr>
          <a:spLocks noChangeAspect="1" noChangeArrowheads="1"/>
        </xdr:cNvSpPr>
      </xdr:nvSpPr>
      <xdr:spPr bwMode="auto">
        <a:xfrm>
          <a:off x="0" y="30013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698</xdr:row>
      <xdr:rowOff>0</xdr:rowOff>
    </xdr:from>
    <xdr:to>
      <xdr:col>0</xdr:col>
      <xdr:colOff>304800</xdr:colOff>
      <xdr:row>699</xdr:row>
      <xdr:rowOff>121920</xdr:rowOff>
    </xdr:to>
    <xdr:sp macro="" textlink="">
      <xdr:nvSpPr>
        <xdr:cNvPr id="3869" name="AutoShape 797" descr="Vegas Golden Knights">
          <a:extLst>
            <a:ext uri="{FF2B5EF4-FFF2-40B4-BE49-F238E27FC236}">
              <a16:creationId xmlns:a16="http://schemas.microsoft.com/office/drawing/2014/main" xmlns="" id="{00000000-0008-0000-0D00-00001D0F0000}"/>
            </a:ext>
          </a:extLst>
        </xdr:cNvPr>
        <xdr:cNvSpPr>
          <a:spLocks noChangeAspect="1" noChangeArrowheads="1"/>
        </xdr:cNvSpPr>
      </xdr:nvSpPr>
      <xdr:spPr bwMode="auto">
        <a:xfrm>
          <a:off x="0" y="30069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761</xdr:row>
      <xdr:rowOff>0</xdr:rowOff>
    </xdr:from>
    <xdr:to>
      <xdr:col>0</xdr:col>
      <xdr:colOff>304800</xdr:colOff>
      <xdr:row>762</xdr:row>
      <xdr:rowOff>121920</xdr:rowOff>
    </xdr:to>
    <xdr:sp macro="" textlink="">
      <xdr:nvSpPr>
        <xdr:cNvPr id="3870" name="AutoShape 798" descr="Vegas Golden Knights">
          <a:extLst>
            <a:ext uri="{FF2B5EF4-FFF2-40B4-BE49-F238E27FC236}">
              <a16:creationId xmlns:a16="http://schemas.microsoft.com/office/drawing/2014/main" xmlns="" id="{00000000-0008-0000-0D00-00001E0F0000}"/>
            </a:ext>
          </a:extLst>
        </xdr:cNvPr>
        <xdr:cNvSpPr>
          <a:spLocks noChangeAspect="1" noChangeArrowheads="1"/>
        </xdr:cNvSpPr>
      </xdr:nvSpPr>
      <xdr:spPr bwMode="auto">
        <a:xfrm>
          <a:off x="0" y="301249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372</xdr:row>
      <xdr:rowOff>0</xdr:rowOff>
    </xdr:from>
    <xdr:to>
      <xdr:col>0</xdr:col>
      <xdr:colOff>304800</xdr:colOff>
      <xdr:row>373</xdr:row>
      <xdr:rowOff>121920</xdr:rowOff>
    </xdr:to>
    <xdr:sp macro="" textlink="">
      <xdr:nvSpPr>
        <xdr:cNvPr id="3871" name="AutoShape 799" descr="Anaheim Ducks">
          <a:extLst>
            <a:ext uri="{FF2B5EF4-FFF2-40B4-BE49-F238E27FC236}">
              <a16:creationId xmlns:a16="http://schemas.microsoft.com/office/drawing/2014/main" xmlns="" id="{00000000-0008-0000-0D00-00001F0F0000}"/>
            </a:ext>
          </a:extLst>
        </xdr:cNvPr>
        <xdr:cNvSpPr>
          <a:spLocks noChangeAspect="1" noChangeArrowheads="1"/>
        </xdr:cNvSpPr>
      </xdr:nvSpPr>
      <xdr:spPr bwMode="auto">
        <a:xfrm>
          <a:off x="0" y="30180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313</xdr:row>
      <xdr:rowOff>0</xdr:rowOff>
    </xdr:from>
    <xdr:to>
      <xdr:col>0</xdr:col>
      <xdr:colOff>304800</xdr:colOff>
      <xdr:row>314</xdr:row>
      <xdr:rowOff>121920</xdr:rowOff>
    </xdr:to>
    <xdr:sp macro="" textlink="">
      <xdr:nvSpPr>
        <xdr:cNvPr id="3872" name="AutoShape 800" descr="Philadelphia Flyers">
          <a:extLst>
            <a:ext uri="{FF2B5EF4-FFF2-40B4-BE49-F238E27FC236}">
              <a16:creationId xmlns:a16="http://schemas.microsoft.com/office/drawing/2014/main" xmlns="" id="{00000000-0008-0000-0D00-0000200F0000}"/>
            </a:ext>
          </a:extLst>
        </xdr:cNvPr>
        <xdr:cNvSpPr>
          <a:spLocks noChangeAspect="1" noChangeArrowheads="1"/>
        </xdr:cNvSpPr>
      </xdr:nvSpPr>
      <xdr:spPr bwMode="auto">
        <a:xfrm>
          <a:off x="0" y="30217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483</xdr:row>
      <xdr:rowOff>0</xdr:rowOff>
    </xdr:from>
    <xdr:to>
      <xdr:col>0</xdr:col>
      <xdr:colOff>304800</xdr:colOff>
      <xdr:row>484</xdr:row>
      <xdr:rowOff>121920</xdr:rowOff>
    </xdr:to>
    <xdr:sp macro="" textlink="">
      <xdr:nvSpPr>
        <xdr:cNvPr id="3873" name="AutoShape 801" descr="Buffalo Sabres">
          <a:extLst>
            <a:ext uri="{FF2B5EF4-FFF2-40B4-BE49-F238E27FC236}">
              <a16:creationId xmlns:a16="http://schemas.microsoft.com/office/drawing/2014/main" xmlns="" id="{00000000-0008-0000-0D00-0000210F0000}"/>
            </a:ext>
          </a:extLst>
        </xdr:cNvPr>
        <xdr:cNvSpPr>
          <a:spLocks noChangeAspect="1" noChangeArrowheads="1"/>
        </xdr:cNvSpPr>
      </xdr:nvSpPr>
      <xdr:spPr bwMode="auto">
        <a:xfrm>
          <a:off x="0" y="30255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121920</xdr:rowOff>
    </xdr:to>
    <xdr:sp macro="" textlink="">
      <xdr:nvSpPr>
        <xdr:cNvPr id="3874" name="AutoShape 802" descr="San Jose Sharks">
          <a:extLst>
            <a:ext uri="{FF2B5EF4-FFF2-40B4-BE49-F238E27FC236}">
              <a16:creationId xmlns:a16="http://schemas.microsoft.com/office/drawing/2014/main" xmlns="" id="{00000000-0008-0000-0D00-0000220F0000}"/>
            </a:ext>
          </a:extLst>
        </xdr:cNvPr>
        <xdr:cNvSpPr>
          <a:spLocks noChangeAspect="1" noChangeArrowheads="1"/>
        </xdr:cNvSpPr>
      </xdr:nvSpPr>
      <xdr:spPr bwMode="auto">
        <a:xfrm>
          <a:off x="0" y="30292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554</xdr:row>
      <xdr:rowOff>0</xdr:rowOff>
    </xdr:from>
    <xdr:to>
      <xdr:col>0</xdr:col>
      <xdr:colOff>304800</xdr:colOff>
      <xdr:row>555</xdr:row>
      <xdr:rowOff>121920</xdr:rowOff>
    </xdr:to>
    <xdr:sp macro="" textlink="">
      <xdr:nvSpPr>
        <xdr:cNvPr id="3875" name="AutoShape 803" descr="Ottawa Senators">
          <a:extLst>
            <a:ext uri="{FF2B5EF4-FFF2-40B4-BE49-F238E27FC236}">
              <a16:creationId xmlns:a16="http://schemas.microsoft.com/office/drawing/2014/main" xmlns="" id="{00000000-0008-0000-0D00-0000230F0000}"/>
            </a:ext>
          </a:extLst>
        </xdr:cNvPr>
        <xdr:cNvSpPr>
          <a:spLocks noChangeAspect="1" noChangeArrowheads="1"/>
        </xdr:cNvSpPr>
      </xdr:nvSpPr>
      <xdr:spPr bwMode="auto">
        <a:xfrm>
          <a:off x="0" y="30329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171</xdr:row>
      <xdr:rowOff>0</xdr:rowOff>
    </xdr:from>
    <xdr:to>
      <xdr:col>0</xdr:col>
      <xdr:colOff>304800</xdr:colOff>
      <xdr:row>172</xdr:row>
      <xdr:rowOff>121920</xdr:rowOff>
    </xdr:to>
    <xdr:sp macro="" textlink="">
      <xdr:nvSpPr>
        <xdr:cNvPr id="3876" name="AutoShape 804" descr="Washington Capitals">
          <a:extLst>
            <a:ext uri="{FF2B5EF4-FFF2-40B4-BE49-F238E27FC236}">
              <a16:creationId xmlns:a16="http://schemas.microsoft.com/office/drawing/2014/main" xmlns="" id="{00000000-0008-0000-0D00-0000240F0000}"/>
            </a:ext>
          </a:extLst>
        </xdr:cNvPr>
        <xdr:cNvSpPr>
          <a:spLocks noChangeAspect="1" noChangeArrowheads="1"/>
        </xdr:cNvSpPr>
      </xdr:nvSpPr>
      <xdr:spPr bwMode="auto">
        <a:xfrm>
          <a:off x="0" y="30367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121920</xdr:rowOff>
    </xdr:to>
    <xdr:sp macro="" textlink="">
      <xdr:nvSpPr>
        <xdr:cNvPr id="3877" name="AutoShape 805" descr="Vegas Golden Knights">
          <a:extLst>
            <a:ext uri="{FF2B5EF4-FFF2-40B4-BE49-F238E27FC236}">
              <a16:creationId xmlns:a16="http://schemas.microsoft.com/office/drawing/2014/main" xmlns="" id="{00000000-0008-0000-0D00-0000250F0000}"/>
            </a:ext>
          </a:extLst>
        </xdr:cNvPr>
        <xdr:cNvSpPr>
          <a:spLocks noChangeAspect="1" noChangeArrowheads="1"/>
        </xdr:cNvSpPr>
      </xdr:nvSpPr>
      <xdr:spPr bwMode="auto">
        <a:xfrm>
          <a:off x="0" y="30404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202</xdr:row>
      <xdr:rowOff>0</xdr:rowOff>
    </xdr:from>
    <xdr:to>
      <xdr:col>0</xdr:col>
      <xdr:colOff>304800</xdr:colOff>
      <xdr:row>203</xdr:row>
      <xdr:rowOff>121920</xdr:rowOff>
    </xdr:to>
    <xdr:sp macro="" textlink="">
      <xdr:nvSpPr>
        <xdr:cNvPr id="3878" name="AutoShape 806" descr="Philadelphia Flyers">
          <a:extLst>
            <a:ext uri="{FF2B5EF4-FFF2-40B4-BE49-F238E27FC236}">
              <a16:creationId xmlns:a16="http://schemas.microsoft.com/office/drawing/2014/main" xmlns="" id="{00000000-0008-0000-0D00-0000260F0000}"/>
            </a:ext>
          </a:extLst>
        </xdr:cNvPr>
        <xdr:cNvSpPr>
          <a:spLocks noChangeAspect="1" noChangeArrowheads="1"/>
        </xdr:cNvSpPr>
      </xdr:nvSpPr>
      <xdr:spPr bwMode="auto">
        <a:xfrm>
          <a:off x="0" y="304601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157</xdr:row>
      <xdr:rowOff>0</xdr:rowOff>
    </xdr:from>
    <xdr:to>
      <xdr:col>0</xdr:col>
      <xdr:colOff>304800</xdr:colOff>
      <xdr:row>158</xdr:row>
      <xdr:rowOff>121920</xdr:rowOff>
    </xdr:to>
    <xdr:sp macro="" textlink="">
      <xdr:nvSpPr>
        <xdr:cNvPr id="3879" name="AutoShape 807" descr="Washington Capitals">
          <a:extLst>
            <a:ext uri="{FF2B5EF4-FFF2-40B4-BE49-F238E27FC236}">
              <a16:creationId xmlns:a16="http://schemas.microsoft.com/office/drawing/2014/main" xmlns="" id="{00000000-0008-0000-0D00-0000270F0000}"/>
            </a:ext>
          </a:extLst>
        </xdr:cNvPr>
        <xdr:cNvSpPr>
          <a:spLocks noChangeAspect="1" noChangeArrowheads="1"/>
        </xdr:cNvSpPr>
      </xdr:nvSpPr>
      <xdr:spPr bwMode="auto">
        <a:xfrm>
          <a:off x="0" y="304975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671</xdr:row>
      <xdr:rowOff>0</xdr:rowOff>
    </xdr:from>
    <xdr:to>
      <xdr:col>0</xdr:col>
      <xdr:colOff>304800</xdr:colOff>
      <xdr:row>672</xdr:row>
      <xdr:rowOff>121920</xdr:rowOff>
    </xdr:to>
    <xdr:sp macro="" textlink="">
      <xdr:nvSpPr>
        <xdr:cNvPr id="3880" name="AutoShape 808" descr="Washington Capitals">
          <a:extLst>
            <a:ext uri="{FF2B5EF4-FFF2-40B4-BE49-F238E27FC236}">
              <a16:creationId xmlns:a16="http://schemas.microsoft.com/office/drawing/2014/main" xmlns="" id="{00000000-0008-0000-0D00-0000280F0000}"/>
            </a:ext>
          </a:extLst>
        </xdr:cNvPr>
        <xdr:cNvSpPr>
          <a:spLocks noChangeAspect="1" noChangeArrowheads="1"/>
        </xdr:cNvSpPr>
      </xdr:nvSpPr>
      <xdr:spPr bwMode="auto">
        <a:xfrm>
          <a:off x="0" y="305348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158</xdr:row>
      <xdr:rowOff>0</xdr:rowOff>
    </xdr:from>
    <xdr:to>
      <xdr:col>0</xdr:col>
      <xdr:colOff>304800</xdr:colOff>
      <xdr:row>159</xdr:row>
      <xdr:rowOff>121920</xdr:rowOff>
    </xdr:to>
    <xdr:sp macro="" textlink="">
      <xdr:nvSpPr>
        <xdr:cNvPr id="3881" name="AutoShape 809" descr="Montreal Canadiens">
          <a:extLst>
            <a:ext uri="{FF2B5EF4-FFF2-40B4-BE49-F238E27FC236}">
              <a16:creationId xmlns:a16="http://schemas.microsoft.com/office/drawing/2014/main" xmlns="" id="{00000000-0008-0000-0D00-0000290F0000}"/>
            </a:ext>
          </a:extLst>
        </xdr:cNvPr>
        <xdr:cNvSpPr>
          <a:spLocks noChangeAspect="1" noChangeArrowheads="1"/>
        </xdr:cNvSpPr>
      </xdr:nvSpPr>
      <xdr:spPr bwMode="auto">
        <a:xfrm>
          <a:off x="0" y="30572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607</xdr:row>
      <xdr:rowOff>0</xdr:rowOff>
    </xdr:from>
    <xdr:to>
      <xdr:col>0</xdr:col>
      <xdr:colOff>304800</xdr:colOff>
      <xdr:row>608</xdr:row>
      <xdr:rowOff>121920</xdr:rowOff>
    </xdr:to>
    <xdr:sp macro="" textlink="">
      <xdr:nvSpPr>
        <xdr:cNvPr id="3882" name="AutoShape 810" descr="Washington Capitals">
          <a:extLst>
            <a:ext uri="{FF2B5EF4-FFF2-40B4-BE49-F238E27FC236}">
              <a16:creationId xmlns:a16="http://schemas.microsoft.com/office/drawing/2014/main" xmlns="" id="{00000000-0008-0000-0D00-00002A0F0000}"/>
            </a:ext>
          </a:extLst>
        </xdr:cNvPr>
        <xdr:cNvSpPr>
          <a:spLocks noChangeAspect="1" noChangeArrowheads="1"/>
        </xdr:cNvSpPr>
      </xdr:nvSpPr>
      <xdr:spPr bwMode="auto">
        <a:xfrm>
          <a:off x="0" y="30609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xdr:row>
      <xdr:rowOff>0</xdr:rowOff>
    </xdr:from>
    <xdr:to>
      <xdr:col>0</xdr:col>
      <xdr:colOff>304800</xdr:colOff>
      <xdr:row>54</xdr:row>
      <xdr:rowOff>121920</xdr:rowOff>
    </xdr:to>
    <xdr:sp macro="" textlink="">
      <xdr:nvSpPr>
        <xdr:cNvPr id="3883" name="AutoShape 811" descr="Colorado Avalanche">
          <a:extLst>
            <a:ext uri="{FF2B5EF4-FFF2-40B4-BE49-F238E27FC236}">
              <a16:creationId xmlns:a16="http://schemas.microsoft.com/office/drawing/2014/main" xmlns="" id="{00000000-0008-0000-0D00-00002B0F0000}"/>
            </a:ext>
          </a:extLst>
        </xdr:cNvPr>
        <xdr:cNvSpPr>
          <a:spLocks noChangeAspect="1" noChangeArrowheads="1"/>
        </xdr:cNvSpPr>
      </xdr:nvSpPr>
      <xdr:spPr bwMode="auto">
        <a:xfrm>
          <a:off x="0" y="30646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116</xdr:row>
      <xdr:rowOff>0</xdr:rowOff>
    </xdr:from>
    <xdr:to>
      <xdr:col>0</xdr:col>
      <xdr:colOff>304800</xdr:colOff>
      <xdr:row>117</xdr:row>
      <xdr:rowOff>121920</xdr:rowOff>
    </xdr:to>
    <xdr:sp macro="" textlink="">
      <xdr:nvSpPr>
        <xdr:cNvPr id="3884" name="AutoShape 812" descr="Vancouver Canucks">
          <a:extLst>
            <a:ext uri="{FF2B5EF4-FFF2-40B4-BE49-F238E27FC236}">
              <a16:creationId xmlns:a16="http://schemas.microsoft.com/office/drawing/2014/main" xmlns="" id="{00000000-0008-0000-0D00-00002C0F0000}"/>
            </a:ext>
          </a:extLst>
        </xdr:cNvPr>
        <xdr:cNvSpPr>
          <a:spLocks noChangeAspect="1" noChangeArrowheads="1"/>
        </xdr:cNvSpPr>
      </xdr:nvSpPr>
      <xdr:spPr bwMode="auto">
        <a:xfrm>
          <a:off x="0" y="30684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156</xdr:row>
      <xdr:rowOff>0</xdr:rowOff>
    </xdr:from>
    <xdr:to>
      <xdr:col>0</xdr:col>
      <xdr:colOff>304800</xdr:colOff>
      <xdr:row>157</xdr:row>
      <xdr:rowOff>121920</xdr:rowOff>
    </xdr:to>
    <xdr:sp macro="" textlink="">
      <xdr:nvSpPr>
        <xdr:cNvPr id="3885" name="AutoShape 813" descr="Pittsburgh Penguins">
          <a:extLst>
            <a:ext uri="{FF2B5EF4-FFF2-40B4-BE49-F238E27FC236}">
              <a16:creationId xmlns:a16="http://schemas.microsoft.com/office/drawing/2014/main" xmlns="" id="{00000000-0008-0000-0D00-00002D0F0000}"/>
            </a:ext>
          </a:extLst>
        </xdr:cNvPr>
        <xdr:cNvSpPr>
          <a:spLocks noChangeAspect="1" noChangeArrowheads="1"/>
        </xdr:cNvSpPr>
      </xdr:nvSpPr>
      <xdr:spPr bwMode="auto">
        <a:xfrm>
          <a:off x="0" y="3072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790</xdr:row>
      <xdr:rowOff>0</xdr:rowOff>
    </xdr:from>
    <xdr:to>
      <xdr:col>0</xdr:col>
      <xdr:colOff>304800</xdr:colOff>
      <xdr:row>791</xdr:row>
      <xdr:rowOff>121920</xdr:rowOff>
    </xdr:to>
    <xdr:sp macro="" textlink="">
      <xdr:nvSpPr>
        <xdr:cNvPr id="3886" name="AutoShape 814" descr="Nashville Predators">
          <a:extLst>
            <a:ext uri="{FF2B5EF4-FFF2-40B4-BE49-F238E27FC236}">
              <a16:creationId xmlns:a16="http://schemas.microsoft.com/office/drawing/2014/main" xmlns="" id="{00000000-0008-0000-0D00-00002E0F0000}"/>
            </a:ext>
          </a:extLst>
        </xdr:cNvPr>
        <xdr:cNvSpPr>
          <a:spLocks noChangeAspect="1" noChangeArrowheads="1"/>
        </xdr:cNvSpPr>
      </xdr:nvSpPr>
      <xdr:spPr bwMode="auto">
        <a:xfrm>
          <a:off x="0" y="30758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755</xdr:row>
      <xdr:rowOff>0</xdr:rowOff>
    </xdr:from>
    <xdr:to>
      <xdr:col>0</xdr:col>
      <xdr:colOff>304800</xdr:colOff>
      <xdr:row>756</xdr:row>
      <xdr:rowOff>121920</xdr:rowOff>
    </xdr:to>
    <xdr:sp macro="" textlink="">
      <xdr:nvSpPr>
        <xdr:cNvPr id="3887" name="AutoShape 815" descr="Anaheim Ducks">
          <a:extLst>
            <a:ext uri="{FF2B5EF4-FFF2-40B4-BE49-F238E27FC236}">
              <a16:creationId xmlns:a16="http://schemas.microsoft.com/office/drawing/2014/main" xmlns="" id="{00000000-0008-0000-0D00-00002F0F0000}"/>
            </a:ext>
          </a:extLst>
        </xdr:cNvPr>
        <xdr:cNvSpPr>
          <a:spLocks noChangeAspect="1" noChangeArrowheads="1"/>
        </xdr:cNvSpPr>
      </xdr:nvSpPr>
      <xdr:spPr bwMode="auto">
        <a:xfrm>
          <a:off x="0" y="30796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510</xdr:row>
      <xdr:rowOff>0</xdr:rowOff>
    </xdr:from>
    <xdr:to>
      <xdr:col>0</xdr:col>
      <xdr:colOff>304800</xdr:colOff>
      <xdr:row>511</xdr:row>
      <xdr:rowOff>121920</xdr:rowOff>
    </xdr:to>
    <xdr:sp macro="" textlink="">
      <xdr:nvSpPr>
        <xdr:cNvPr id="3888" name="AutoShape 816" descr="Vegas Golden Knights">
          <a:extLst>
            <a:ext uri="{FF2B5EF4-FFF2-40B4-BE49-F238E27FC236}">
              <a16:creationId xmlns:a16="http://schemas.microsoft.com/office/drawing/2014/main" xmlns="" id="{00000000-0008-0000-0D00-0000300F0000}"/>
            </a:ext>
          </a:extLst>
        </xdr:cNvPr>
        <xdr:cNvSpPr>
          <a:spLocks noChangeAspect="1" noChangeArrowheads="1"/>
        </xdr:cNvSpPr>
      </xdr:nvSpPr>
      <xdr:spPr bwMode="auto">
        <a:xfrm>
          <a:off x="0" y="30833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166</xdr:row>
      <xdr:rowOff>0</xdr:rowOff>
    </xdr:from>
    <xdr:to>
      <xdr:col>0</xdr:col>
      <xdr:colOff>304800</xdr:colOff>
      <xdr:row>167</xdr:row>
      <xdr:rowOff>121920</xdr:rowOff>
    </xdr:to>
    <xdr:sp macro="" textlink="">
      <xdr:nvSpPr>
        <xdr:cNvPr id="3889" name="AutoShape 817" descr="Toronto Maple Leafs">
          <a:extLst>
            <a:ext uri="{FF2B5EF4-FFF2-40B4-BE49-F238E27FC236}">
              <a16:creationId xmlns:a16="http://schemas.microsoft.com/office/drawing/2014/main" xmlns="" id="{00000000-0008-0000-0D00-0000310F0000}"/>
            </a:ext>
          </a:extLst>
        </xdr:cNvPr>
        <xdr:cNvSpPr>
          <a:spLocks noChangeAspect="1" noChangeArrowheads="1"/>
        </xdr:cNvSpPr>
      </xdr:nvSpPr>
      <xdr:spPr bwMode="auto">
        <a:xfrm>
          <a:off x="0" y="30889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752</xdr:row>
      <xdr:rowOff>0</xdr:rowOff>
    </xdr:from>
    <xdr:to>
      <xdr:col>0</xdr:col>
      <xdr:colOff>304800</xdr:colOff>
      <xdr:row>753</xdr:row>
      <xdr:rowOff>121920</xdr:rowOff>
    </xdr:to>
    <xdr:sp macro="" textlink="">
      <xdr:nvSpPr>
        <xdr:cNvPr id="3890" name="AutoShape 818" descr="New York Rangers">
          <a:extLst>
            <a:ext uri="{FF2B5EF4-FFF2-40B4-BE49-F238E27FC236}">
              <a16:creationId xmlns:a16="http://schemas.microsoft.com/office/drawing/2014/main" xmlns="" id="{00000000-0008-0000-0D00-0000320F0000}"/>
            </a:ext>
          </a:extLst>
        </xdr:cNvPr>
        <xdr:cNvSpPr>
          <a:spLocks noChangeAspect="1" noChangeArrowheads="1"/>
        </xdr:cNvSpPr>
      </xdr:nvSpPr>
      <xdr:spPr bwMode="auto">
        <a:xfrm>
          <a:off x="0" y="30926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548</xdr:row>
      <xdr:rowOff>0</xdr:rowOff>
    </xdr:from>
    <xdr:to>
      <xdr:col>0</xdr:col>
      <xdr:colOff>304800</xdr:colOff>
      <xdr:row>549</xdr:row>
      <xdr:rowOff>121920</xdr:rowOff>
    </xdr:to>
    <xdr:sp macro="" textlink="">
      <xdr:nvSpPr>
        <xdr:cNvPr id="3891" name="AutoShape 819" descr="Montreal Canadiens">
          <a:extLst>
            <a:ext uri="{FF2B5EF4-FFF2-40B4-BE49-F238E27FC236}">
              <a16:creationId xmlns:a16="http://schemas.microsoft.com/office/drawing/2014/main" xmlns="" id="{00000000-0008-0000-0D00-0000330F0000}"/>
            </a:ext>
          </a:extLst>
        </xdr:cNvPr>
        <xdr:cNvSpPr>
          <a:spLocks noChangeAspect="1" noChangeArrowheads="1"/>
        </xdr:cNvSpPr>
      </xdr:nvSpPr>
      <xdr:spPr bwMode="auto">
        <a:xfrm>
          <a:off x="0" y="30963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273</xdr:row>
      <xdr:rowOff>0</xdr:rowOff>
    </xdr:from>
    <xdr:to>
      <xdr:col>0</xdr:col>
      <xdr:colOff>304800</xdr:colOff>
      <xdr:row>274</xdr:row>
      <xdr:rowOff>121920</xdr:rowOff>
    </xdr:to>
    <xdr:sp macro="" textlink="">
      <xdr:nvSpPr>
        <xdr:cNvPr id="3892" name="AutoShape 820" descr="Ottawa Senators">
          <a:extLst>
            <a:ext uri="{FF2B5EF4-FFF2-40B4-BE49-F238E27FC236}">
              <a16:creationId xmlns:a16="http://schemas.microsoft.com/office/drawing/2014/main" xmlns="" id="{00000000-0008-0000-0D00-0000340F0000}"/>
            </a:ext>
          </a:extLst>
        </xdr:cNvPr>
        <xdr:cNvSpPr>
          <a:spLocks noChangeAspect="1" noChangeArrowheads="1"/>
        </xdr:cNvSpPr>
      </xdr:nvSpPr>
      <xdr:spPr bwMode="auto">
        <a:xfrm>
          <a:off x="0" y="31001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423</xdr:row>
      <xdr:rowOff>0</xdr:rowOff>
    </xdr:from>
    <xdr:to>
      <xdr:col>0</xdr:col>
      <xdr:colOff>304800</xdr:colOff>
      <xdr:row>424</xdr:row>
      <xdr:rowOff>121920</xdr:rowOff>
    </xdr:to>
    <xdr:sp macro="" textlink="">
      <xdr:nvSpPr>
        <xdr:cNvPr id="3893" name="AutoShape 821" descr="Arizona Coyotes">
          <a:extLst>
            <a:ext uri="{FF2B5EF4-FFF2-40B4-BE49-F238E27FC236}">
              <a16:creationId xmlns:a16="http://schemas.microsoft.com/office/drawing/2014/main" xmlns="" id="{00000000-0008-0000-0D00-0000350F0000}"/>
            </a:ext>
          </a:extLst>
        </xdr:cNvPr>
        <xdr:cNvSpPr>
          <a:spLocks noChangeAspect="1" noChangeArrowheads="1"/>
        </xdr:cNvSpPr>
      </xdr:nvSpPr>
      <xdr:spPr bwMode="auto">
        <a:xfrm>
          <a:off x="0" y="3103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751</xdr:row>
      <xdr:rowOff>0</xdr:rowOff>
    </xdr:from>
    <xdr:to>
      <xdr:col>0</xdr:col>
      <xdr:colOff>304800</xdr:colOff>
      <xdr:row>752</xdr:row>
      <xdr:rowOff>121920</xdr:rowOff>
    </xdr:to>
    <xdr:sp macro="" textlink="">
      <xdr:nvSpPr>
        <xdr:cNvPr id="3894" name="AutoShape 822" descr="New York Islanders">
          <a:extLst>
            <a:ext uri="{FF2B5EF4-FFF2-40B4-BE49-F238E27FC236}">
              <a16:creationId xmlns:a16="http://schemas.microsoft.com/office/drawing/2014/main" xmlns="" id="{00000000-0008-0000-0D00-0000360F0000}"/>
            </a:ext>
          </a:extLst>
        </xdr:cNvPr>
        <xdr:cNvSpPr>
          <a:spLocks noChangeAspect="1" noChangeArrowheads="1"/>
        </xdr:cNvSpPr>
      </xdr:nvSpPr>
      <xdr:spPr bwMode="auto">
        <a:xfrm>
          <a:off x="0" y="31075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163</xdr:row>
      <xdr:rowOff>0</xdr:rowOff>
    </xdr:from>
    <xdr:to>
      <xdr:col>0</xdr:col>
      <xdr:colOff>304800</xdr:colOff>
      <xdr:row>164</xdr:row>
      <xdr:rowOff>121920</xdr:rowOff>
    </xdr:to>
    <xdr:sp macro="" textlink="">
      <xdr:nvSpPr>
        <xdr:cNvPr id="3895" name="AutoShape 823" descr="St Louis Blues">
          <a:extLst>
            <a:ext uri="{FF2B5EF4-FFF2-40B4-BE49-F238E27FC236}">
              <a16:creationId xmlns:a16="http://schemas.microsoft.com/office/drawing/2014/main" xmlns="" id="{00000000-0008-0000-0D00-0000370F0000}"/>
            </a:ext>
          </a:extLst>
        </xdr:cNvPr>
        <xdr:cNvSpPr>
          <a:spLocks noChangeAspect="1" noChangeArrowheads="1"/>
        </xdr:cNvSpPr>
      </xdr:nvSpPr>
      <xdr:spPr bwMode="auto">
        <a:xfrm>
          <a:off x="0" y="31113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470</xdr:row>
      <xdr:rowOff>0</xdr:rowOff>
    </xdr:from>
    <xdr:to>
      <xdr:col>0</xdr:col>
      <xdr:colOff>304800</xdr:colOff>
      <xdr:row>471</xdr:row>
      <xdr:rowOff>121920</xdr:rowOff>
    </xdr:to>
    <xdr:sp macro="" textlink="">
      <xdr:nvSpPr>
        <xdr:cNvPr id="3896" name="AutoShape 824" descr="Buffalo Sabres">
          <a:extLst>
            <a:ext uri="{FF2B5EF4-FFF2-40B4-BE49-F238E27FC236}">
              <a16:creationId xmlns:a16="http://schemas.microsoft.com/office/drawing/2014/main" xmlns="" id="{00000000-0008-0000-0D00-0000380F0000}"/>
            </a:ext>
          </a:extLst>
        </xdr:cNvPr>
        <xdr:cNvSpPr>
          <a:spLocks noChangeAspect="1" noChangeArrowheads="1"/>
        </xdr:cNvSpPr>
      </xdr:nvSpPr>
      <xdr:spPr bwMode="auto">
        <a:xfrm>
          <a:off x="0" y="31150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451</xdr:row>
      <xdr:rowOff>0</xdr:rowOff>
    </xdr:from>
    <xdr:to>
      <xdr:col>0</xdr:col>
      <xdr:colOff>304800</xdr:colOff>
      <xdr:row>452</xdr:row>
      <xdr:rowOff>121920</xdr:rowOff>
    </xdr:to>
    <xdr:sp macro="" textlink="">
      <xdr:nvSpPr>
        <xdr:cNvPr id="3897" name="AutoShape 825" descr="Dallas Stars">
          <a:extLst>
            <a:ext uri="{FF2B5EF4-FFF2-40B4-BE49-F238E27FC236}">
              <a16:creationId xmlns:a16="http://schemas.microsoft.com/office/drawing/2014/main" xmlns="" id="{00000000-0008-0000-0D00-0000390F0000}"/>
            </a:ext>
          </a:extLst>
        </xdr:cNvPr>
        <xdr:cNvSpPr>
          <a:spLocks noChangeAspect="1" noChangeArrowheads="1"/>
        </xdr:cNvSpPr>
      </xdr:nvSpPr>
      <xdr:spPr bwMode="auto">
        <a:xfrm>
          <a:off x="0" y="31187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300</xdr:row>
      <xdr:rowOff>0</xdr:rowOff>
    </xdr:from>
    <xdr:to>
      <xdr:col>0</xdr:col>
      <xdr:colOff>304800</xdr:colOff>
      <xdr:row>301</xdr:row>
      <xdr:rowOff>121920</xdr:rowOff>
    </xdr:to>
    <xdr:sp macro="" textlink="">
      <xdr:nvSpPr>
        <xdr:cNvPr id="3898" name="AutoShape 826" descr="Tampa Bay Lightning">
          <a:extLst>
            <a:ext uri="{FF2B5EF4-FFF2-40B4-BE49-F238E27FC236}">
              <a16:creationId xmlns:a16="http://schemas.microsoft.com/office/drawing/2014/main" xmlns="" id="{00000000-0008-0000-0D00-00003A0F0000}"/>
            </a:ext>
          </a:extLst>
        </xdr:cNvPr>
        <xdr:cNvSpPr>
          <a:spLocks noChangeAspect="1" noChangeArrowheads="1"/>
        </xdr:cNvSpPr>
      </xdr:nvSpPr>
      <xdr:spPr bwMode="auto">
        <a:xfrm>
          <a:off x="0" y="31225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100</xdr:row>
      <xdr:rowOff>0</xdr:rowOff>
    </xdr:from>
    <xdr:to>
      <xdr:col>0</xdr:col>
      <xdr:colOff>304800</xdr:colOff>
      <xdr:row>101</xdr:row>
      <xdr:rowOff>121920</xdr:rowOff>
    </xdr:to>
    <xdr:sp macro="" textlink="">
      <xdr:nvSpPr>
        <xdr:cNvPr id="3899" name="AutoShape 827" descr="Edmonton Oilers">
          <a:extLst>
            <a:ext uri="{FF2B5EF4-FFF2-40B4-BE49-F238E27FC236}">
              <a16:creationId xmlns:a16="http://schemas.microsoft.com/office/drawing/2014/main" xmlns="" id="{00000000-0008-0000-0D00-00003B0F0000}"/>
            </a:ext>
          </a:extLst>
        </xdr:cNvPr>
        <xdr:cNvSpPr>
          <a:spLocks noChangeAspect="1" noChangeArrowheads="1"/>
        </xdr:cNvSpPr>
      </xdr:nvSpPr>
      <xdr:spPr bwMode="auto">
        <a:xfrm>
          <a:off x="0" y="31262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426</xdr:row>
      <xdr:rowOff>0</xdr:rowOff>
    </xdr:from>
    <xdr:to>
      <xdr:col>0</xdr:col>
      <xdr:colOff>304800</xdr:colOff>
      <xdr:row>427</xdr:row>
      <xdr:rowOff>121920</xdr:rowOff>
    </xdr:to>
    <xdr:sp macro="" textlink="">
      <xdr:nvSpPr>
        <xdr:cNvPr id="3900" name="AutoShape 828" descr="Boston Bruins">
          <a:extLst>
            <a:ext uri="{FF2B5EF4-FFF2-40B4-BE49-F238E27FC236}">
              <a16:creationId xmlns:a16="http://schemas.microsoft.com/office/drawing/2014/main" xmlns="" id="{00000000-0008-0000-0D00-00003C0F0000}"/>
            </a:ext>
          </a:extLst>
        </xdr:cNvPr>
        <xdr:cNvSpPr>
          <a:spLocks noChangeAspect="1" noChangeArrowheads="1"/>
        </xdr:cNvSpPr>
      </xdr:nvSpPr>
      <xdr:spPr bwMode="auto">
        <a:xfrm>
          <a:off x="0" y="31299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765</xdr:row>
      <xdr:rowOff>0</xdr:rowOff>
    </xdr:from>
    <xdr:to>
      <xdr:col>0</xdr:col>
      <xdr:colOff>304800</xdr:colOff>
      <xdr:row>766</xdr:row>
      <xdr:rowOff>121920</xdr:rowOff>
    </xdr:to>
    <xdr:sp macro="" textlink="">
      <xdr:nvSpPr>
        <xdr:cNvPr id="3901" name="AutoShape 829" descr="Buffalo Sabres">
          <a:extLst>
            <a:ext uri="{FF2B5EF4-FFF2-40B4-BE49-F238E27FC236}">
              <a16:creationId xmlns:a16="http://schemas.microsoft.com/office/drawing/2014/main" xmlns="" id="{00000000-0008-0000-0D00-00003D0F0000}"/>
            </a:ext>
          </a:extLst>
        </xdr:cNvPr>
        <xdr:cNvSpPr>
          <a:spLocks noChangeAspect="1" noChangeArrowheads="1"/>
        </xdr:cNvSpPr>
      </xdr:nvSpPr>
      <xdr:spPr bwMode="auto">
        <a:xfrm>
          <a:off x="0" y="3133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599</xdr:row>
      <xdr:rowOff>0</xdr:rowOff>
    </xdr:from>
    <xdr:to>
      <xdr:col>0</xdr:col>
      <xdr:colOff>304800</xdr:colOff>
      <xdr:row>600</xdr:row>
      <xdr:rowOff>121920</xdr:rowOff>
    </xdr:to>
    <xdr:sp macro="" textlink="">
      <xdr:nvSpPr>
        <xdr:cNvPr id="3902" name="AutoShape 830" descr="Minnesota Wild">
          <a:extLst>
            <a:ext uri="{FF2B5EF4-FFF2-40B4-BE49-F238E27FC236}">
              <a16:creationId xmlns:a16="http://schemas.microsoft.com/office/drawing/2014/main" xmlns="" id="{00000000-0008-0000-0D00-00003E0F0000}"/>
            </a:ext>
          </a:extLst>
        </xdr:cNvPr>
        <xdr:cNvSpPr>
          <a:spLocks noChangeAspect="1" noChangeArrowheads="1"/>
        </xdr:cNvSpPr>
      </xdr:nvSpPr>
      <xdr:spPr bwMode="auto">
        <a:xfrm>
          <a:off x="0" y="31374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121920</xdr:rowOff>
    </xdr:to>
    <xdr:sp macro="" textlink="">
      <xdr:nvSpPr>
        <xdr:cNvPr id="3903" name="AutoShape 831" descr="Minnesota Wild">
          <a:extLst>
            <a:ext uri="{FF2B5EF4-FFF2-40B4-BE49-F238E27FC236}">
              <a16:creationId xmlns:a16="http://schemas.microsoft.com/office/drawing/2014/main" xmlns="" id="{00000000-0008-0000-0D00-00003F0F0000}"/>
            </a:ext>
          </a:extLst>
        </xdr:cNvPr>
        <xdr:cNvSpPr>
          <a:spLocks noChangeAspect="1" noChangeArrowheads="1"/>
        </xdr:cNvSpPr>
      </xdr:nvSpPr>
      <xdr:spPr bwMode="auto">
        <a:xfrm>
          <a:off x="0" y="31411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168</xdr:row>
      <xdr:rowOff>0</xdr:rowOff>
    </xdr:from>
    <xdr:to>
      <xdr:col>0</xdr:col>
      <xdr:colOff>304800</xdr:colOff>
      <xdr:row>169</xdr:row>
      <xdr:rowOff>121920</xdr:rowOff>
    </xdr:to>
    <xdr:sp macro="" textlink="">
      <xdr:nvSpPr>
        <xdr:cNvPr id="3904" name="AutoShape 832" descr="Pittsburgh Penguins">
          <a:extLst>
            <a:ext uri="{FF2B5EF4-FFF2-40B4-BE49-F238E27FC236}">
              <a16:creationId xmlns:a16="http://schemas.microsoft.com/office/drawing/2014/main" xmlns="" id="{00000000-0008-0000-0D00-0000400F0000}"/>
            </a:ext>
          </a:extLst>
        </xdr:cNvPr>
        <xdr:cNvSpPr>
          <a:spLocks noChangeAspect="1" noChangeArrowheads="1"/>
        </xdr:cNvSpPr>
      </xdr:nvSpPr>
      <xdr:spPr bwMode="auto">
        <a:xfrm>
          <a:off x="0" y="3144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387</xdr:row>
      <xdr:rowOff>0</xdr:rowOff>
    </xdr:from>
    <xdr:to>
      <xdr:col>0</xdr:col>
      <xdr:colOff>304800</xdr:colOff>
      <xdr:row>388</xdr:row>
      <xdr:rowOff>121920</xdr:rowOff>
    </xdr:to>
    <xdr:sp macro="" textlink="">
      <xdr:nvSpPr>
        <xdr:cNvPr id="3905" name="AutoShape 833" descr="Ottawa Senators">
          <a:extLst>
            <a:ext uri="{FF2B5EF4-FFF2-40B4-BE49-F238E27FC236}">
              <a16:creationId xmlns:a16="http://schemas.microsoft.com/office/drawing/2014/main" xmlns="" id="{00000000-0008-0000-0D00-0000410F0000}"/>
            </a:ext>
          </a:extLst>
        </xdr:cNvPr>
        <xdr:cNvSpPr>
          <a:spLocks noChangeAspect="1" noChangeArrowheads="1"/>
        </xdr:cNvSpPr>
      </xdr:nvSpPr>
      <xdr:spPr bwMode="auto">
        <a:xfrm>
          <a:off x="0" y="31486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245</xdr:row>
      <xdr:rowOff>0</xdr:rowOff>
    </xdr:from>
    <xdr:to>
      <xdr:col>0</xdr:col>
      <xdr:colOff>304800</xdr:colOff>
      <xdr:row>246</xdr:row>
      <xdr:rowOff>121920</xdr:rowOff>
    </xdr:to>
    <xdr:sp macro="" textlink="">
      <xdr:nvSpPr>
        <xdr:cNvPr id="3906" name="AutoShape 834" descr="St Louis Blues">
          <a:extLst>
            <a:ext uri="{FF2B5EF4-FFF2-40B4-BE49-F238E27FC236}">
              <a16:creationId xmlns:a16="http://schemas.microsoft.com/office/drawing/2014/main" xmlns="" id="{00000000-0008-0000-0D00-0000420F0000}"/>
            </a:ext>
          </a:extLst>
        </xdr:cNvPr>
        <xdr:cNvSpPr>
          <a:spLocks noChangeAspect="1" noChangeArrowheads="1"/>
        </xdr:cNvSpPr>
      </xdr:nvSpPr>
      <xdr:spPr bwMode="auto">
        <a:xfrm>
          <a:off x="0" y="31523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541</xdr:row>
      <xdr:rowOff>0</xdr:rowOff>
    </xdr:from>
    <xdr:to>
      <xdr:col>0</xdr:col>
      <xdr:colOff>304800</xdr:colOff>
      <xdr:row>542</xdr:row>
      <xdr:rowOff>121920</xdr:rowOff>
    </xdr:to>
    <xdr:sp macro="" textlink="">
      <xdr:nvSpPr>
        <xdr:cNvPr id="3907" name="AutoShape 835" descr="Los Angeles Kings">
          <a:extLst>
            <a:ext uri="{FF2B5EF4-FFF2-40B4-BE49-F238E27FC236}">
              <a16:creationId xmlns:a16="http://schemas.microsoft.com/office/drawing/2014/main" xmlns="" id="{00000000-0008-0000-0D00-0000430F0000}"/>
            </a:ext>
          </a:extLst>
        </xdr:cNvPr>
        <xdr:cNvSpPr>
          <a:spLocks noChangeAspect="1" noChangeArrowheads="1"/>
        </xdr:cNvSpPr>
      </xdr:nvSpPr>
      <xdr:spPr bwMode="auto">
        <a:xfrm>
          <a:off x="0" y="31561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181</xdr:row>
      <xdr:rowOff>0</xdr:rowOff>
    </xdr:from>
    <xdr:to>
      <xdr:col>0</xdr:col>
      <xdr:colOff>304800</xdr:colOff>
      <xdr:row>182</xdr:row>
      <xdr:rowOff>121920</xdr:rowOff>
    </xdr:to>
    <xdr:sp macro="" textlink="">
      <xdr:nvSpPr>
        <xdr:cNvPr id="3908" name="AutoShape 836" descr="San Jose Sharks">
          <a:extLst>
            <a:ext uri="{FF2B5EF4-FFF2-40B4-BE49-F238E27FC236}">
              <a16:creationId xmlns:a16="http://schemas.microsoft.com/office/drawing/2014/main" xmlns="" id="{00000000-0008-0000-0D00-0000440F0000}"/>
            </a:ext>
          </a:extLst>
        </xdr:cNvPr>
        <xdr:cNvSpPr>
          <a:spLocks noChangeAspect="1" noChangeArrowheads="1"/>
        </xdr:cNvSpPr>
      </xdr:nvSpPr>
      <xdr:spPr bwMode="auto">
        <a:xfrm>
          <a:off x="0" y="31598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328</xdr:row>
      <xdr:rowOff>0</xdr:rowOff>
    </xdr:from>
    <xdr:to>
      <xdr:col>0</xdr:col>
      <xdr:colOff>304800</xdr:colOff>
      <xdr:row>329</xdr:row>
      <xdr:rowOff>121920</xdr:rowOff>
    </xdr:to>
    <xdr:sp macro="" textlink="">
      <xdr:nvSpPr>
        <xdr:cNvPr id="3909" name="AutoShape 837" descr="Minnesota Wild">
          <a:extLst>
            <a:ext uri="{FF2B5EF4-FFF2-40B4-BE49-F238E27FC236}">
              <a16:creationId xmlns:a16="http://schemas.microsoft.com/office/drawing/2014/main" xmlns="" id="{00000000-0008-0000-0D00-0000450F0000}"/>
            </a:ext>
          </a:extLst>
        </xdr:cNvPr>
        <xdr:cNvSpPr>
          <a:spLocks noChangeAspect="1" noChangeArrowheads="1"/>
        </xdr:cNvSpPr>
      </xdr:nvSpPr>
      <xdr:spPr bwMode="auto">
        <a:xfrm>
          <a:off x="0" y="3163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390</xdr:row>
      <xdr:rowOff>0</xdr:rowOff>
    </xdr:from>
    <xdr:to>
      <xdr:col>0</xdr:col>
      <xdr:colOff>304800</xdr:colOff>
      <xdr:row>391</xdr:row>
      <xdr:rowOff>121920</xdr:rowOff>
    </xdr:to>
    <xdr:sp macro="" textlink="">
      <xdr:nvSpPr>
        <xdr:cNvPr id="3910" name="AutoShape 838" descr="Detroit Red Wings">
          <a:extLst>
            <a:ext uri="{FF2B5EF4-FFF2-40B4-BE49-F238E27FC236}">
              <a16:creationId xmlns:a16="http://schemas.microsoft.com/office/drawing/2014/main" xmlns="" id="{00000000-0008-0000-0D00-0000460F0000}"/>
            </a:ext>
          </a:extLst>
        </xdr:cNvPr>
        <xdr:cNvSpPr>
          <a:spLocks noChangeAspect="1" noChangeArrowheads="1"/>
        </xdr:cNvSpPr>
      </xdr:nvSpPr>
      <xdr:spPr bwMode="auto">
        <a:xfrm>
          <a:off x="0" y="31673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192</xdr:row>
      <xdr:rowOff>0</xdr:rowOff>
    </xdr:from>
    <xdr:to>
      <xdr:col>0</xdr:col>
      <xdr:colOff>304800</xdr:colOff>
      <xdr:row>193</xdr:row>
      <xdr:rowOff>121920</xdr:rowOff>
    </xdr:to>
    <xdr:sp macro="" textlink="">
      <xdr:nvSpPr>
        <xdr:cNvPr id="3911" name="AutoShape 839" descr="Nashville Predators">
          <a:extLst>
            <a:ext uri="{FF2B5EF4-FFF2-40B4-BE49-F238E27FC236}">
              <a16:creationId xmlns:a16="http://schemas.microsoft.com/office/drawing/2014/main" xmlns="" id="{00000000-0008-0000-0D00-0000470F0000}"/>
            </a:ext>
          </a:extLst>
        </xdr:cNvPr>
        <xdr:cNvSpPr>
          <a:spLocks noChangeAspect="1" noChangeArrowheads="1"/>
        </xdr:cNvSpPr>
      </xdr:nvSpPr>
      <xdr:spPr bwMode="auto">
        <a:xfrm>
          <a:off x="0" y="31710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796</xdr:row>
      <xdr:rowOff>0</xdr:rowOff>
    </xdr:from>
    <xdr:to>
      <xdr:col>0</xdr:col>
      <xdr:colOff>304800</xdr:colOff>
      <xdr:row>797</xdr:row>
      <xdr:rowOff>121920</xdr:rowOff>
    </xdr:to>
    <xdr:sp macro="" textlink="">
      <xdr:nvSpPr>
        <xdr:cNvPr id="3912" name="AutoShape 840" descr="Nashville Predators">
          <a:extLst>
            <a:ext uri="{FF2B5EF4-FFF2-40B4-BE49-F238E27FC236}">
              <a16:creationId xmlns:a16="http://schemas.microsoft.com/office/drawing/2014/main" xmlns="" id="{00000000-0008-0000-0D00-0000480F0000}"/>
            </a:ext>
          </a:extLst>
        </xdr:cNvPr>
        <xdr:cNvSpPr>
          <a:spLocks noChangeAspect="1" noChangeArrowheads="1"/>
        </xdr:cNvSpPr>
      </xdr:nvSpPr>
      <xdr:spPr bwMode="auto">
        <a:xfrm>
          <a:off x="0" y="31747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424</xdr:row>
      <xdr:rowOff>0</xdr:rowOff>
    </xdr:from>
    <xdr:to>
      <xdr:col>0</xdr:col>
      <xdr:colOff>304800</xdr:colOff>
      <xdr:row>425</xdr:row>
      <xdr:rowOff>121920</xdr:rowOff>
    </xdr:to>
    <xdr:sp macro="" textlink="">
      <xdr:nvSpPr>
        <xdr:cNvPr id="3913" name="AutoShape 841" descr="Columbus Blue Jackets">
          <a:extLst>
            <a:ext uri="{FF2B5EF4-FFF2-40B4-BE49-F238E27FC236}">
              <a16:creationId xmlns:a16="http://schemas.microsoft.com/office/drawing/2014/main" xmlns="" id="{00000000-0008-0000-0D00-0000490F0000}"/>
            </a:ext>
          </a:extLst>
        </xdr:cNvPr>
        <xdr:cNvSpPr>
          <a:spLocks noChangeAspect="1" noChangeArrowheads="1"/>
        </xdr:cNvSpPr>
      </xdr:nvSpPr>
      <xdr:spPr bwMode="auto">
        <a:xfrm>
          <a:off x="0" y="31785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282</xdr:row>
      <xdr:rowOff>0</xdr:rowOff>
    </xdr:from>
    <xdr:to>
      <xdr:col>0</xdr:col>
      <xdr:colOff>304800</xdr:colOff>
      <xdr:row>283</xdr:row>
      <xdr:rowOff>123825</xdr:rowOff>
    </xdr:to>
    <xdr:sp macro="" textlink="">
      <xdr:nvSpPr>
        <xdr:cNvPr id="3914" name="AutoShape 842" descr="Buffalo Sabres">
          <a:extLst>
            <a:ext uri="{FF2B5EF4-FFF2-40B4-BE49-F238E27FC236}">
              <a16:creationId xmlns:a16="http://schemas.microsoft.com/office/drawing/2014/main" xmlns="" id="{00000000-0008-0000-0D00-00004A0F0000}"/>
            </a:ext>
          </a:extLst>
        </xdr:cNvPr>
        <xdr:cNvSpPr>
          <a:spLocks noChangeAspect="1" noChangeArrowheads="1"/>
        </xdr:cNvSpPr>
      </xdr:nvSpPr>
      <xdr:spPr bwMode="auto">
        <a:xfrm>
          <a:off x="0" y="31822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15" name="AutoShape 843" descr="Chicago Blackhawks">
          <a:extLst>
            <a:ext uri="{FF2B5EF4-FFF2-40B4-BE49-F238E27FC236}">
              <a16:creationId xmlns:a16="http://schemas.microsoft.com/office/drawing/2014/main" xmlns="" id="{00000000-0008-0000-0D00-00004B0F0000}"/>
            </a:ext>
          </a:extLst>
        </xdr:cNvPr>
        <xdr:cNvSpPr>
          <a:spLocks noChangeAspect="1" noChangeArrowheads="1"/>
        </xdr:cNvSpPr>
      </xdr:nvSpPr>
      <xdr:spPr bwMode="auto">
        <a:xfrm>
          <a:off x="0" y="3189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6" name="AutoShape 844" descr="Chicago Blackhawks">
          <a:extLst>
            <a:ext uri="{FF2B5EF4-FFF2-40B4-BE49-F238E27FC236}">
              <a16:creationId xmlns:a16="http://schemas.microsoft.com/office/drawing/2014/main" xmlns="" id="{00000000-0008-0000-0D00-00004C0F0000}"/>
            </a:ext>
          </a:extLst>
        </xdr:cNvPr>
        <xdr:cNvSpPr>
          <a:spLocks noChangeAspect="1" noChangeArrowheads="1"/>
        </xdr:cNvSpPr>
      </xdr:nvSpPr>
      <xdr:spPr bwMode="auto">
        <a:xfrm>
          <a:off x="0" y="3191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7" name="AutoShape 845" descr="Los Angeles Kings">
          <a:extLst>
            <a:ext uri="{FF2B5EF4-FFF2-40B4-BE49-F238E27FC236}">
              <a16:creationId xmlns:a16="http://schemas.microsoft.com/office/drawing/2014/main" xmlns="" id="{00000000-0008-0000-0D00-00004D0F0000}"/>
            </a:ext>
          </a:extLst>
        </xdr:cNvPr>
        <xdr:cNvSpPr>
          <a:spLocks noChangeAspect="1" noChangeArrowheads="1"/>
        </xdr:cNvSpPr>
      </xdr:nvSpPr>
      <xdr:spPr bwMode="auto">
        <a:xfrm>
          <a:off x="0" y="3195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8" name="AutoShape 846" descr="Washington Capitals">
          <a:extLst>
            <a:ext uri="{FF2B5EF4-FFF2-40B4-BE49-F238E27FC236}">
              <a16:creationId xmlns:a16="http://schemas.microsoft.com/office/drawing/2014/main" xmlns="" id="{00000000-0008-0000-0D00-00004E0F0000}"/>
            </a:ext>
          </a:extLst>
        </xdr:cNvPr>
        <xdr:cNvSpPr>
          <a:spLocks noChangeAspect="1" noChangeArrowheads="1"/>
        </xdr:cNvSpPr>
      </xdr:nvSpPr>
      <xdr:spPr bwMode="auto">
        <a:xfrm>
          <a:off x="0" y="3198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9" name="AutoShape 847" descr="Pittsburgh Penguins">
          <a:extLst>
            <a:ext uri="{FF2B5EF4-FFF2-40B4-BE49-F238E27FC236}">
              <a16:creationId xmlns:a16="http://schemas.microsoft.com/office/drawing/2014/main" xmlns="" id="{00000000-0008-0000-0D00-00004F0F0000}"/>
            </a:ext>
          </a:extLst>
        </xdr:cNvPr>
        <xdr:cNvSpPr>
          <a:spLocks noChangeAspect="1" noChangeArrowheads="1"/>
        </xdr:cNvSpPr>
      </xdr:nvSpPr>
      <xdr:spPr bwMode="auto">
        <a:xfrm>
          <a:off x="0" y="3202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0" name="AutoShape 848" descr="Dallas Stars">
          <a:extLst>
            <a:ext uri="{FF2B5EF4-FFF2-40B4-BE49-F238E27FC236}">
              <a16:creationId xmlns:a16="http://schemas.microsoft.com/office/drawing/2014/main" xmlns="" id="{00000000-0008-0000-0D00-0000500F0000}"/>
            </a:ext>
          </a:extLst>
        </xdr:cNvPr>
        <xdr:cNvSpPr>
          <a:spLocks noChangeAspect="1" noChangeArrowheads="1"/>
        </xdr:cNvSpPr>
      </xdr:nvSpPr>
      <xdr:spPr bwMode="auto">
        <a:xfrm>
          <a:off x="0" y="3206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1" name="AutoShape 849" descr="Nashville Predators">
          <a:extLst>
            <a:ext uri="{FF2B5EF4-FFF2-40B4-BE49-F238E27FC236}">
              <a16:creationId xmlns:a16="http://schemas.microsoft.com/office/drawing/2014/main" xmlns="" id="{00000000-0008-0000-0D00-0000510F0000}"/>
            </a:ext>
          </a:extLst>
        </xdr:cNvPr>
        <xdr:cNvSpPr>
          <a:spLocks noChangeAspect="1" noChangeArrowheads="1"/>
        </xdr:cNvSpPr>
      </xdr:nvSpPr>
      <xdr:spPr bwMode="auto">
        <a:xfrm>
          <a:off x="0" y="3208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2" name="AutoShape 850" descr="Pittsburgh Penguins">
          <a:extLst>
            <a:ext uri="{FF2B5EF4-FFF2-40B4-BE49-F238E27FC236}">
              <a16:creationId xmlns:a16="http://schemas.microsoft.com/office/drawing/2014/main" xmlns="" id="{00000000-0008-0000-0D00-0000520F0000}"/>
            </a:ext>
          </a:extLst>
        </xdr:cNvPr>
        <xdr:cNvSpPr>
          <a:spLocks noChangeAspect="1" noChangeArrowheads="1"/>
        </xdr:cNvSpPr>
      </xdr:nvSpPr>
      <xdr:spPr bwMode="auto">
        <a:xfrm>
          <a:off x="0" y="3209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3" name="AutoShape 851" descr="Anaheim Ducks">
          <a:extLst>
            <a:ext uri="{FF2B5EF4-FFF2-40B4-BE49-F238E27FC236}">
              <a16:creationId xmlns:a16="http://schemas.microsoft.com/office/drawing/2014/main" xmlns="" id="{00000000-0008-0000-0D00-0000530F0000}"/>
            </a:ext>
          </a:extLst>
        </xdr:cNvPr>
        <xdr:cNvSpPr>
          <a:spLocks noChangeAspect="1" noChangeArrowheads="1"/>
        </xdr:cNvSpPr>
      </xdr:nvSpPr>
      <xdr:spPr bwMode="auto">
        <a:xfrm>
          <a:off x="0" y="3213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4" name="AutoShape 852" descr="New York Rangers">
          <a:extLst>
            <a:ext uri="{FF2B5EF4-FFF2-40B4-BE49-F238E27FC236}">
              <a16:creationId xmlns:a16="http://schemas.microsoft.com/office/drawing/2014/main" xmlns="" id="{00000000-0008-0000-0D00-0000540F0000}"/>
            </a:ext>
          </a:extLst>
        </xdr:cNvPr>
        <xdr:cNvSpPr>
          <a:spLocks noChangeAspect="1" noChangeArrowheads="1"/>
        </xdr:cNvSpPr>
      </xdr:nvSpPr>
      <xdr:spPr bwMode="auto">
        <a:xfrm>
          <a:off x="0" y="3215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5" name="AutoShape 853" descr="Tampa Bay Lightning">
          <a:extLst>
            <a:ext uri="{FF2B5EF4-FFF2-40B4-BE49-F238E27FC236}">
              <a16:creationId xmlns:a16="http://schemas.microsoft.com/office/drawing/2014/main" xmlns="" id="{00000000-0008-0000-0D00-0000550F0000}"/>
            </a:ext>
          </a:extLst>
        </xdr:cNvPr>
        <xdr:cNvSpPr>
          <a:spLocks noChangeAspect="1" noChangeArrowheads="1"/>
        </xdr:cNvSpPr>
      </xdr:nvSpPr>
      <xdr:spPr bwMode="auto">
        <a:xfrm>
          <a:off x="0" y="3219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6" name="AutoShape 854" descr="Edmonton Oilers">
          <a:extLst>
            <a:ext uri="{FF2B5EF4-FFF2-40B4-BE49-F238E27FC236}">
              <a16:creationId xmlns:a16="http://schemas.microsoft.com/office/drawing/2014/main" xmlns="" id="{00000000-0008-0000-0D00-0000560F0000}"/>
            </a:ext>
          </a:extLst>
        </xdr:cNvPr>
        <xdr:cNvSpPr>
          <a:spLocks noChangeAspect="1" noChangeArrowheads="1"/>
        </xdr:cNvSpPr>
      </xdr:nvSpPr>
      <xdr:spPr bwMode="auto">
        <a:xfrm>
          <a:off x="0" y="3222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7" name="AutoShape 855" descr="Philadelphia Flyers">
          <a:extLst>
            <a:ext uri="{FF2B5EF4-FFF2-40B4-BE49-F238E27FC236}">
              <a16:creationId xmlns:a16="http://schemas.microsoft.com/office/drawing/2014/main" xmlns="" id="{00000000-0008-0000-0D00-0000570F0000}"/>
            </a:ext>
          </a:extLst>
        </xdr:cNvPr>
        <xdr:cNvSpPr>
          <a:spLocks noChangeAspect="1" noChangeArrowheads="1"/>
        </xdr:cNvSpPr>
      </xdr:nvSpPr>
      <xdr:spPr bwMode="auto">
        <a:xfrm>
          <a:off x="0" y="3226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8" name="AutoShape 856" descr="Anaheim Ducks">
          <a:extLst>
            <a:ext uri="{FF2B5EF4-FFF2-40B4-BE49-F238E27FC236}">
              <a16:creationId xmlns:a16="http://schemas.microsoft.com/office/drawing/2014/main" xmlns="" id="{00000000-0008-0000-0D00-0000580F0000}"/>
            </a:ext>
          </a:extLst>
        </xdr:cNvPr>
        <xdr:cNvSpPr>
          <a:spLocks noChangeAspect="1" noChangeArrowheads="1"/>
        </xdr:cNvSpPr>
      </xdr:nvSpPr>
      <xdr:spPr bwMode="auto">
        <a:xfrm>
          <a:off x="0" y="3230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9" name="AutoShape 857" descr="Philadelphia Flyers">
          <a:extLst>
            <a:ext uri="{FF2B5EF4-FFF2-40B4-BE49-F238E27FC236}">
              <a16:creationId xmlns:a16="http://schemas.microsoft.com/office/drawing/2014/main" xmlns="" id="{00000000-0008-0000-0D00-0000590F0000}"/>
            </a:ext>
          </a:extLst>
        </xdr:cNvPr>
        <xdr:cNvSpPr>
          <a:spLocks noChangeAspect="1" noChangeArrowheads="1"/>
        </xdr:cNvSpPr>
      </xdr:nvSpPr>
      <xdr:spPr bwMode="auto">
        <a:xfrm>
          <a:off x="0" y="3233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0" name="AutoShape 858" descr="San Jose Sharks">
          <a:extLst>
            <a:ext uri="{FF2B5EF4-FFF2-40B4-BE49-F238E27FC236}">
              <a16:creationId xmlns:a16="http://schemas.microsoft.com/office/drawing/2014/main" xmlns="" id="{00000000-0008-0000-0D00-00005A0F0000}"/>
            </a:ext>
          </a:extLst>
        </xdr:cNvPr>
        <xdr:cNvSpPr>
          <a:spLocks noChangeAspect="1" noChangeArrowheads="1"/>
        </xdr:cNvSpPr>
      </xdr:nvSpPr>
      <xdr:spPr bwMode="auto">
        <a:xfrm>
          <a:off x="0" y="3237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1" name="AutoShape 859" descr="Pittsburgh Penguins">
          <a:extLst>
            <a:ext uri="{FF2B5EF4-FFF2-40B4-BE49-F238E27FC236}">
              <a16:creationId xmlns:a16="http://schemas.microsoft.com/office/drawing/2014/main" xmlns="" id="{00000000-0008-0000-0D00-00005B0F0000}"/>
            </a:ext>
          </a:extLst>
        </xdr:cNvPr>
        <xdr:cNvSpPr>
          <a:spLocks noChangeAspect="1" noChangeArrowheads="1"/>
        </xdr:cNvSpPr>
      </xdr:nvSpPr>
      <xdr:spPr bwMode="auto">
        <a:xfrm>
          <a:off x="0" y="3239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2" name="AutoShape 860" descr="Nashville Predators">
          <a:extLst>
            <a:ext uri="{FF2B5EF4-FFF2-40B4-BE49-F238E27FC236}">
              <a16:creationId xmlns:a16="http://schemas.microsoft.com/office/drawing/2014/main" xmlns="" id="{00000000-0008-0000-0D00-00005C0F0000}"/>
            </a:ext>
          </a:extLst>
        </xdr:cNvPr>
        <xdr:cNvSpPr>
          <a:spLocks noChangeAspect="1" noChangeArrowheads="1"/>
        </xdr:cNvSpPr>
      </xdr:nvSpPr>
      <xdr:spPr bwMode="auto">
        <a:xfrm>
          <a:off x="0" y="3241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3" name="AutoShape 861" descr="Tampa Bay Lightning">
          <a:extLst>
            <a:ext uri="{FF2B5EF4-FFF2-40B4-BE49-F238E27FC236}">
              <a16:creationId xmlns:a16="http://schemas.microsoft.com/office/drawing/2014/main" xmlns="" id="{00000000-0008-0000-0D00-00005D0F0000}"/>
            </a:ext>
          </a:extLst>
        </xdr:cNvPr>
        <xdr:cNvSpPr>
          <a:spLocks noChangeAspect="1" noChangeArrowheads="1"/>
        </xdr:cNvSpPr>
      </xdr:nvSpPr>
      <xdr:spPr bwMode="auto">
        <a:xfrm>
          <a:off x="0" y="3244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4" name="AutoShape 862" descr="Montreal Canadiens">
          <a:extLst>
            <a:ext uri="{FF2B5EF4-FFF2-40B4-BE49-F238E27FC236}">
              <a16:creationId xmlns:a16="http://schemas.microsoft.com/office/drawing/2014/main" xmlns="" id="{00000000-0008-0000-0D00-00005E0F0000}"/>
            </a:ext>
          </a:extLst>
        </xdr:cNvPr>
        <xdr:cNvSpPr>
          <a:spLocks noChangeAspect="1" noChangeArrowheads="1"/>
        </xdr:cNvSpPr>
      </xdr:nvSpPr>
      <xdr:spPr bwMode="auto">
        <a:xfrm>
          <a:off x="0" y="3248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5" name="AutoShape 863" descr="Washington Capitals">
          <a:extLst>
            <a:ext uri="{FF2B5EF4-FFF2-40B4-BE49-F238E27FC236}">
              <a16:creationId xmlns:a16="http://schemas.microsoft.com/office/drawing/2014/main" xmlns="" id="{00000000-0008-0000-0D00-00005F0F0000}"/>
            </a:ext>
          </a:extLst>
        </xdr:cNvPr>
        <xdr:cNvSpPr>
          <a:spLocks noChangeAspect="1" noChangeArrowheads="1"/>
        </xdr:cNvSpPr>
      </xdr:nvSpPr>
      <xdr:spPr bwMode="auto">
        <a:xfrm>
          <a:off x="0" y="3250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6" name="AutoShape 864" descr="Winnipeg Jets">
          <a:extLst>
            <a:ext uri="{FF2B5EF4-FFF2-40B4-BE49-F238E27FC236}">
              <a16:creationId xmlns:a16="http://schemas.microsoft.com/office/drawing/2014/main" xmlns="" id="{00000000-0008-0000-0D00-0000600F0000}"/>
            </a:ext>
          </a:extLst>
        </xdr:cNvPr>
        <xdr:cNvSpPr>
          <a:spLocks noChangeAspect="1" noChangeArrowheads="1"/>
        </xdr:cNvSpPr>
      </xdr:nvSpPr>
      <xdr:spPr bwMode="auto">
        <a:xfrm>
          <a:off x="0" y="3253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7" name="AutoShape 865" descr="Minnesota Wild">
          <a:extLst>
            <a:ext uri="{FF2B5EF4-FFF2-40B4-BE49-F238E27FC236}">
              <a16:creationId xmlns:a16="http://schemas.microsoft.com/office/drawing/2014/main" xmlns="" id="{00000000-0008-0000-0D00-0000610F0000}"/>
            </a:ext>
          </a:extLst>
        </xdr:cNvPr>
        <xdr:cNvSpPr>
          <a:spLocks noChangeAspect="1" noChangeArrowheads="1"/>
        </xdr:cNvSpPr>
      </xdr:nvSpPr>
      <xdr:spPr bwMode="auto">
        <a:xfrm>
          <a:off x="0" y="3257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8" name="AutoShape 866" descr="Minnesota Wild">
          <a:extLst>
            <a:ext uri="{FF2B5EF4-FFF2-40B4-BE49-F238E27FC236}">
              <a16:creationId xmlns:a16="http://schemas.microsoft.com/office/drawing/2014/main" xmlns="" id="{00000000-0008-0000-0D00-0000620F0000}"/>
            </a:ext>
          </a:extLst>
        </xdr:cNvPr>
        <xdr:cNvSpPr>
          <a:spLocks noChangeAspect="1" noChangeArrowheads="1"/>
        </xdr:cNvSpPr>
      </xdr:nvSpPr>
      <xdr:spPr bwMode="auto">
        <a:xfrm>
          <a:off x="0" y="3259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9" name="AutoShape 867" descr="St Louis Blues">
          <a:extLst>
            <a:ext uri="{FF2B5EF4-FFF2-40B4-BE49-F238E27FC236}">
              <a16:creationId xmlns:a16="http://schemas.microsoft.com/office/drawing/2014/main" xmlns="" id="{00000000-0008-0000-0D00-0000630F0000}"/>
            </a:ext>
          </a:extLst>
        </xdr:cNvPr>
        <xdr:cNvSpPr>
          <a:spLocks noChangeAspect="1" noChangeArrowheads="1"/>
        </xdr:cNvSpPr>
      </xdr:nvSpPr>
      <xdr:spPr bwMode="auto">
        <a:xfrm>
          <a:off x="0" y="3261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0" name="AutoShape 868" descr="Florida Panthers">
          <a:extLst>
            <a:ext uri="{FF2B5EF4-FFF2-40B4-BE49-F238E27FC236}">
              <a16:creationId xmlns:a16="http://schemas.microsoft.com/office/drawing/2014/main" xmlns="" id="{00000000-0008-0000-0D00-0000640F0000}"/>
            </a:ext>
          </a:extLst>
        </xdr:cNvPr>
        <xdr:cNvSpPr>
          <a:spLocks noChangeAspect="1" noChangeArrowheads="1"/>
        </xdr:cNvSpPr>
      </xdr:nvSpPr>
      <xdr:spPr bwMode="auto">
        <a:xfrm>
          <a:off x="0" y="32647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1" name="AutoShape 869" descr="St Louis Blues">
          <a:extLst>
            <a:ext uri="{FF2B5EF4-FFF2-40B4-BE49-F238E27FC236}">
              <a16:creationId xmlns:a16="http://schemas.microsoft.com/office/drawing/2014/main" xmlns="" id="{00000000-0008-0000-0D00-0000650F0000}"/>
            </a:ext>
          </a:extLst>
        </xdr:cNvPr>
        <xdr:cNvSpPr>
          <a:spLocks noChangeAspect="1" noChangeArrowheads="1"/>
        </xdr:cNvSpPr>
      </xdr:nvSpPr>
      <xdr:spPr bwMode="auto">
        <a:xfrm>
          <a:off x="0" y="3268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2" name="AutoShape 870" descr="Dallas Stars">
          <a:extLst>
            <a:ext uri="{FF2B5EF4-FFF2-40B4-BE49-F238E27FC236}">
              <a16:creationId xmlns:a16="http://schemas.microsoft.com/office/drawing/2014/main" xmlns="" id="{00000000-0008-0000-0D00-0000660F0000}"/>
            </a:ext>
          </a:extLst>
        </xdr:cNvPr>
        <xdr:cNvSpPr>
          <a:spLocks noChangeAspect="1" noChangeArrowheads="1"/>
        </xdr:cNvSpPr>
      </xdr:nvSpPr>
      <xdr:spPr bwMode="auto">
        <a:xfrm>
          <a:off x="0" y="3272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3" name="AutoShape 871" descr="Columbus Blue Jackets">
          <a:extLst>
            <a:ext uri="{FF2B5EF4-FFF2-40B4-BE49-F238E27FC236}">
              <a16:creationId xmlns:a16="http://schemas.microsoft.com/office/drawing/2014/main" xmlns="" id="{00000000-0008-0000-0D00-0000670F0000}"/>
            </a:ext>
          </a:extLst>
        </xdr:cNvPr>
        <xdr:cNvSpPr>
          <a:spLocks noChangeAspect="1" noChangeArrowheads="1"/>
        </xdr:cNvSpPr>
      </xdr:nvSpPr>
      <xdr:spPr bwMode="auto">
        <a:xfrm>
          <a:off x="0" y="3275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4" name="AutoShape 872" descr="Ottawa Senators">
          <a:extLst>
            <a:ext uri="{FF2B5EF4-FFF2-40B4-BE49-F238E27FC236}">
              <a16:creationId xmlns:a16="http://schemas.microsoft.com/office/drawing/2014/main" xmlns="" id="{00000000-0008-0000-0D00-0000680F0000}"/>
            </a:ext>
          </a:extLst>
        </xdr:cNvPr>
        <xdr:cNvSpPr>
          <a:spLocks noChangeAspect="1" noChangeArrowheads="1"/>
        </xdr:cNvSpPr>
      </xdr:nvSpPr>
      <xdr:spPr bwMode="auto">
        <a:xfrm>
          <a:off x="0" y="3279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45" name="AutoShape 873" descr="Pittsburgh Penguins">
          <a:extLst>
            <a:ext uri="{FF2B5EF4-FFF2-40B4-BE49-F238E27FC236}">
              <a16:creationId xmlns:a16="http://schemas.microsoft.com/office/drawing/2014/main" xmlns="" id="{00000000-0008-0000-0D00-0000690F0000}"/>
            </a:ext>
          </a:extLst>
        </xdr:cNvPr>
        <xdr:cNvSpPr>
          <a:spLocks noChangeAspect="1" noChangeArrowheads="1"/>
        </xdr:cNvSpPr>
      </xdr:nvSpPr>
      <xdr:spPr bwMode="auto">
        <a:xfrm>
          <a:off x="0" y="32812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6" name="AutoShape 874" descr="Boston Bruins">
          <a:extLst>
            <a:ext uri="{FF2B5EF4-FFF2-40B4-BE49-F238E27FC236}">
              <a16:creationId xmlns:a16="http://schemas.microsoft.com/office/drawing/2014/main" xmlns="" id="{00000000-0008-0000-0D00-00006A0F0000}"/>
            </a:ext>
          </a:extLst>
        </xdr:cNvPr>
        <xdr:cNvSpPr>
          <a:spLocks noChangeAspect="1" noChangeArrowheads="1"/>
        </xdr:cNvSpPr>
      </xdr:nvSpPr>
      <xdr:spPr bwMode="auto">
        <a:xfrm>
          <a:off x="0" y="3283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7" name="AutoShape 875" descr="Boston Bruins">
          <a:extLst>
            <a:ext uri="{FF2B5EF4-FFF2-40B4-BE49-F238E27FC236}">
              <a16:creationId xmlns:a16="http://schemas.microsoft.com/office/drawing/2014/main" xmlns="" id="{00000000-0008-0000-0D00-00006B0F0000}"/>
            </a:ext>
          </a:extLst>
        </xdr:cNvPr>
        <xdr:cNvSpPr>
          <a:spLocks noChangeAspect="1" noChangeArrowheads="1"/>
        </xdr:cNvSpPr>
      </xdr:nvSpPr>
      <xdr:spPr bwMode="auto">
        <a:xfrm>
          <a:off x="0" y="3284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8" name="AutoShape 876" descr="Los Angeles Kings">
          <a:extLst>
            <a:ext uri="{FF2B5EF4-FFF2-40B4-BE49-F238E27FC236}">
              <a16:creationId xmlns:a16="http://schemas.microsoft.com/office/drawing/2014/main" xmlns="" id="{00000000-0008-0000-0D00-00006C0F0000}"/>
            </a:ext>
          </a:extLst>
        </xdr:cNvPr>
        <xdr:cNvSpPr>
          <a:spLocks noChangeAspect="1" noChangeArrowheads="1"/>
        </xdr:cNvSpPr>
      </xdr:nvSpPr>
      <xdr:spPr bwMode="auto">
        <a:xfrm>
          <a:off x="0" y="3286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9" name="AutoShape 877" descr="Nashville Predators">
          <a:extLst>
            <a:ext uri="{FF2B5EF4-FFF2-40B4-BE49-F238E27FC236}">
              <a16:creationId xmlns:a16="http://schemas.microsoft.com/office/drawing/2014/main" xmlns="" id="{00000000-0008-0000-0D00-00006D0F0000}"/>
            </a:ext>
          </a:extLst>
        </xdr:cNvPr>
        <xdr:cNvSpPr>
          <a:spLocks noChangeAspect="1" noChangeArrowheads="1"/>
        </xdr:cNvSpPr>
      </xdr:nvSpPr>
      <xdr:spPr bwMode="auto">
        <a:xfrm>
          <a:off x="0" y="3290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0" name="AutoShape 878" descr="Los Angeles Kings">
          <a:extLst>
            <a:ext uri="{FF2B5EF4-FFF2-40B4-BE49-F238E27FC236}">
              <a16:creationId xmlns:a16="http://schemas.microsoft.com/office/drawing/2014/main" xmlns="" id="{00000000-0008-0000-0D00-00006E0F0000}"/>
            </a:ext>
          </a:extLst>
        </xdr:cNvPr>
        <xdr:cNvSpPr>
          <a:spLocks noChangeAspect="1" noChangeArrowheads="1"/>
        </xdr:cNvSpPr>
      </xdr:nvSpPr>
      <xdr:spPr bwMode="auto">
        <a:xfrm>
          <a:off x="0" y="32922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1" name="AutoShape 879" descr="Boston Bruins">
          <a:extLst>
            <a:ext uri="{FF2B5EF4-FFF2-40B4-BE49-F238E27FC236}">
              <a16:creationId xmlns:a16="http://schemas.microsoft.com/office/drawing/2014/main" xmlns="" id="{00000000-0008-0000-0D00-00006F0F0000}"/>
            </a:ext>
          </a:extLst>
        </xdr:cNvPr>
        <xdr:cNvSpPr>
          <a:spLocks noChangeAspect="1" noChangeArrowheads="1"/>
        </xdr:cNvSpPr>
      </xdr:nvSpPr>
      <xdr:spPr bwMode="auto">
        <a:xfrm>
          <a:off x="0" y="32958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2" name="AutoShape 880" descr="Chicago Blackhawks">
          <a:extLst>
            <a:ext uri="{FF2B5EF4-FFF2-40B4-BE49-F238E27FC236}">
              <a16:creationId xmlns:a16="http://schemas.microsoft.com/office/drawing/2014/main" xmlns="" id="{00000000-0008-0000-0D00-0000700F0000}"/>
            </a:ext>
          </a:extLst>
        </xdr:cNvPr>
        <xdr:cNvSpPr>
          <a:spLocks noChangeAspect="1" noChangeArrowheads="1"/>
        </xdr:cNvSpPr>
      </xdr:nvSpPr>
      <xdr:spPr bwMode="auto">
        <a:xfrm>
          <a:off x="0" y="3299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53" name="AutoShape 881" descr="Anaheim Ducks">
          <a:extLst>
            <a:ext uri="{FF2B5EF4-FFF2-40B4-BE49-F238E27FC236}">
              <a16:creationId xmlns:a16="http://schemas.microsoft.com/office/drawing/2014/main" xmlns="" id="{00000000-0008-0000-0D00-0000710F0000}"/>
            </a:ext>
          </a:extLst>
        </xdr:cNvPr>
        <xdr:cNvSpPr>
          <a:spLocks noChangeAspect="1" noChangeArrowheads="1"/>
        </xdr:cNvSpPr>
      </xdr:nvSpPr>
      <xdr:spPr bwMode="auto">
        <a:xfrm>
          <a:off x="0" y="3303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4" name="AutoShape 882" descr="Calgary Flames">
          <a:extLst>
            <a:ext uri="{FF2B5EF4-FFF2-40B4-BE49-F238E27FC236}">
              <a16:creationId xmlns:a16="http://schemas.microsoft.com/office/drawing/2014/main" xmlns="" id="{00000000-0008-0000-0D00-0000720F0000}"/>
            </a:ext>
          </a:extLst>
        </xdr:cNvPr>
        <xdr:cNvSpPr>
          <a:spLocks noChangeAspect="1" noChangeArrowheads="1"/>
        </xdr:cNvSpPr>
      </xdr:nvSpPr>
      <xdr:spPr bwMode="auto">
        <a:xfrm>
          <a:off x="0" y="3305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5" name="AutoShape 883" descr="Calgary Flames">
          <a:extLst>
            <a:ext uri="{FF2B5EF4-FFF2-40B4-BE49-F238E27FC236}">
              <a16:creationId xmlns:a16="http://schemas.microsoft.com/office/drawing/2014/main" xmlns="" id="{00000000-0008-0000-0D00-0000730F0000}"/>
            </a:ext>
          </a:extLst>
        </xdr:cNvPr>
        <xdr:cNvSpPr>
          <a:spLocks noChangeAspect="1" noChangeArrowheads="1"/>
        </xdr:cNvSpPr>
      </xdr:nvSpPr>
      <xdr:spPr bwMode="auto">
        <a:xfrm>
          <a:off x="0" y="3308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6" name="AutoShape 884" descr="Washington Capitals">
          <a:extLst>
            <a:ext uri="{FF2B5EF4-FFF2-40B4-BE49-F238E27FC236}">
              <a16:creationId xmlns:a16="http://schemas.microsoft.com/office/drawing/2014/main" xmlns="" id="{00000000-0008-0000-0D00-0000740F0000}"/>
            </a:ext>
          </a:extLst>
        </xdr:cNvPr>
        <xdr:cNvSpPr>
          <a:spLocks noChangeAspect="1" noChangeArrowheads="1"/>
        </xdr:cNvSpPr>
      </xdr:nvSpPr>
      <xdr:spPr bwMode="auto">
        <a:xfrm>
          <a:off x="0" y="3312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7" name="AutoShape 885" descr="Boston Bruins">
          <a:extLst>
            <a:ext uri="{FF2B5EF4-FFF2-40B4-BE49-F238E27FC236}">
              <a16:creationId xmlns:a16="http://schemas.microsoft.com/office/drawing/2014/main" xmlns="" id="{00000000-0008-0000-0D00-0000750F0000}"/>
            </a:ext>
          </a:extLst>
        </xdr:cNvPr>
        <xdr:cNvSpPr>
          <a:spLocks noChangeAspect="1" noChangeArrowheads="1"/>
        </xdr:cNvSpPr>
      </xdr:nvSpPr>
      <xdr:spPr bwMode="auto">
        <a:xfrm>
          <a:off x="0" y="3315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8" name="AutoShape 886" descr="New York Rangers">
          <a:extLst>
            <a:ext uri="{FF2B5EF4-FFF2-40B4-BE49-F238E27FC236}">
              <a16:creationId xmlns:a16="http://schemas.microsoft.com/office/drawing/2014/main" xmlns="" id="{00000000-0008-0000-0D00-0000760F0000}"/>
            </a:ext>
          </a:extLst>
        </xdr:cNvPr>
        <xdr:cNvSpPr>
          <a:spLocks noChangeAspect="1" noChangeArrowheads="1"/>
        </xdr:cNvSpPr>
      </xdr:nvSpPr>
      <xdr:spPr bwMode="auto">
        <a:xfrm>
          <a:off x="0" y="33196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9" name="AutoShape 887" descr="St Louis Blues">
          <a:extLst>
            <a:ext uri="{FF2B5EF4-FFF2-40B4-BE49-F238E27FC236}">
              <a16:creationId xmlns:a16="http://schemas.microsoft.com/office/drawing/2014/main" xmlns="" id="{00000000-0008-0000-0D00-0000770F0000}"/>
            </a:ext>
          </a:extLst>
        </xdr:cNvPr>
        <xdr:cNvSpPr>
          <a:spLocks noChangeAspect="1" noChangeArrowheads="1"/>
        </xdr:cNvSpPr>
      </xdr:nvSpPr>
      <xdr:spPr bwMode="auto">
        <a:xfrm>
          <a:off x="0" y="33233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0" name="AutoShape 888" descr="Arizona Coyotes">
          <a:extLst>
            <a:ext uri="{FF2B5EF4-FFF2-40B4-BE49-F238E27FC236}">
              <a16:creationId xmlns:a16="http://schemas.microsoft.com/office/drawing/2014/main" xmlns="" id="{00000000-0008-0000-0D00-0000780F0000}"/>
            </a:ext>
          </a:extLst>
        </xdr:cNvPr>
        <xdr:cNvSpPr>
          <a:spLocks noChangeAspect="1" noChangeArrowheads="1"/>
        </xdr:cNvSpPr>
      </xdr:nvSpPr>
      <xdr:spPr bwMode="auto">
        <a:xfrm>
          <a:off x="0" y="33269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1" name="AutoShape 889" descr="Ottawa Senators">
          <a:extLst>
            <a:ext uri="{FF2B5EF4-FFF2-40B4-BE49-F238E27FC236}">
              <a16:creationId xmlns:a16="http://schemas.microsoft.com/office/drawing/2014/main" xmlns="" id="{00000000-0008-0000-0D00-0000790F0000}"/>
            </a:ext>
          </a:extLst>
        </xdr:cNvPr>
        <xdr:cNvSpPr>
          <a:spLocks noChangeAspect="1" noChangeArrowheads="1"/>
        </xdr:cNvSpPr>
      </xdr:nvSpPr>
      <xdr:spPr bwMode="auto">
        <a:xfrm>
          <a:off x="0" y="3330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2" name="AutoShape 890" descr="Calgary Flames">
          <a:extLst>
            <a:ext uri="{FF2B5EF4-FFF2-40B4-BE49-F238E27FC236}">
              <a16:creationId xmlns:a16="http://schemas.microsoft.com/office/drawing/2014/main" xmlns="" id="{00000000-0008-0000-0D00-00007A0F0000}"/>
            </a:ext>
          </a:extLst>
        </xdr:cNvPr>
        <xdr:cNvSpPr>
          <a:spLocks noChangeAspect="1" noChangeArrowheads="1"/>
        </xdr:cNvSpPr>
      </xdr:nvSpPr>
      <xdr:spPr bwMode="auto">
        <a:xfrm>
          <a:off x="0" y="3334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63" name="AutoShape 891" descr="Florida Panthers">
          <a:extLst>
            <a:ext uri="{FF2B5EF4-FFF2-40B4-BE49-F238E27FC236}">
              <a16:creationId xmlns:a16="http://schemas.microsoft.com/office/drawing/2014/main" xmlns="" id="{00000000-0008-0000-0D00-00007B0F0000}"/>
            </a:ext>
          </a:extLst>
        </xdr:cNvPr>
        <xdr:cNvSpPr>
          <a:spLocks noChangeAspect="1" noChangeArrowheads="1"/>
        </xdr:cNvSpPr>
      </xdr:nvSpPr>
      <xdr:spPr bwMode="auto">
        <a:xfrm>
          <a:off x="0" y="33379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4" name="AutoShape 892" descr="Colorado Avalanche">
          <a:extLst>
            <a:ext uri="{FF2B5EF4-FFF2-40B4-BE49-F238E27FC236}">
              <a16:creationId xmlns:a16="http://schemas.microsoft.com/office/drawing/2014/main" xmlns="" id="{00000000-0008-0000-0D00-00007C0F0000}"/>
            </a:ext>
          </a:extLst>
        </xdr:cNvPr>
        <xdr:cNvSpPr>
          <a:spLocks noChangeAspect="1" noChangeArrowheads="1"/>
        </xdr:cNvSpPr>
      </xdr:nvSpPr>
      <xdr:spPr bwMode="auto">
        <a:xfrm>
          <a:off x="0" y="3339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5" name="AutoShape 893" descr="Toronto Maple Leafs">
          <a:extLst>
            <a:ext uri="{FF2B5EF4-FFF2-40B4-BE49-F238E27FC236}">
              <a16:creationId xmlns:a16="http://schemas.microsoft.com/office/drawing/2014/main" xmlns="" id="{00000000-0008-0000-0D00-00007D0F0000}"/>
            </a:ext>
          </a:extLst>
        </xdr:cNvPr>
        <xdr:cNvSpPr>
          <a:spLocks noChangeAspect="1" noChangeArrowheads="1"/>
        </xdr:cNvSpPr>
      </xdr:nvSpPr>
      <xdr:spPr bwMode="auto">
        <a:xfrm>
          <a:off x="0" y="3343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6" name="AutoShape 894" descr="Dallas Stars">
          <a:extLst>
            <a:ext uri="{FF2B5EF4-FFF2-40B4-BE49-F238E27FC236}">
              <a16:creationId xmlns:a16="http://schemas.microsoft.com/office/drawing/2014/main" xmlns="" id="{00000000-0008-0000-0D00-00007E0F0000}"/>
            </a:ext>
          </a:extLst>
        </xdr:cNvPr>
        <xdr:cNvSpPr>
          <a:spLocks noChangeAspect="1" noChangeArrowheads="1"/>
        </xdr:cNvSpPr>
      </xdr:nvSpPr>
      <xdr:spPr bwMode="auto">
        <a:xfrm>
          <a:off x="0" y="3347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7" name="AutoShape 895" descr="Winnipeg Jets">
          <a:extLst>
            <a:ext uri="{FF2B5EF4-FFF2-40B4-BE49-F238E27FC236}">
              <a16:creationId xmlns:a16="http://schemas.microsoft.com/office/drawing/2014/main" xmlns="" id="{00000000-0008-0000-0D00-00007F0F0000}"/>
            </a:ext>
          </a:extLst>
        </xdr:cNvPr>
        <xdr:cNvSpPr>
          <a:spLocks noChangeAspect="1" noChangeArrowheads="1"/>
        </xdr:cNvSpPr>
      </xdr:nvSpPr>
      <xdr:spPr bwMode="auto">
        <a:xfrm>
          <a:off x="0" y="3350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8" name="AutoShape 896" descr="Boston Bruins">
          <a:extLst>
            <a:ext uri="{FF2B5EF4-FFF2-40B4-BE49-F238E27FC236}">
              <a16:creationId xmlns:a16="http://schemas.microsoft.com/office/drawing/2014/main" xmlns="" id="{00000000-0008-0000-0D00-0000800F0000}"/>
            </a:ext>
          </a:extLst>
        </xdr:cNvPr>
        <xdr:cNvSpPr>
          <a:spLocks noChangeAspect="1" noChangeArrowheads="1"/>
        </xdr:cNvSpPr>
      </xdr:nvSpPr>
      <xdr:spPr bwMode="auto">
        <a:xfrm>
          <a:off x="0" y="3354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9" name="AutoShape 897" descr="Washington Capitals">
          <a:extLst>
            <a:ext uri="{FF2B5EF4-FFF2-40B4-BE49-F238E27FC236}">
              <a16:creationId xmlns:a16="http://schemas.microsoft.com/office/drawing/2014/main" xmlns="" id="{00000000-0008-0000-0D00-0000810F0000}"/>
            </a:ext>
          </a:extLst>
        </xdr:cNvPr>
        <xdr:cNvSpPr>
          <a:spLocks noChangeAspect="1" noChangeArrowheads="1"/>
        </xdr:cNvSpPr>
      </xdr:nvSpPr>
      <xdr:spPr bwMode="auto">
        <a:xfrm>
          <a:off x="0" y="3358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0" name="AutoShape 898" descr="Detroit Red Wings">
          <a:extLst>
            <a:ext uri="{FF2B5EF4-FFF2-40B4-BE49-F238E27FC236}">
              <a16:creationId xmlns:a16="http://schemas.microsoft.com/office/drawing/2014/main" xmlns="" id="{00000000-0008-0000-0D00-0000820F0000}"/>
            </a:ext>
          </a:extLst>
        </xdr:cNvPr>
        <xdr:cNvSpPr>
          <a:spLocks noChangeAspect="1" noChangeArrowheads="1"/>
        </xdr:cNvSpPr>
      </xdr:nvSpPr>
      <xdr:spPr bwMode="auto">
        <a:xfrm>
          <a:off x="0" y="3361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1" name="AutoShape 899" descr="Carolina Hurricanes">
          <a:extLst>
            <a:ext uri="{FF2B5EF4-FFF2-40B4-BE49-F238E27FC236}">
              <a16:creationId xmlns:a16="http://schemas.microsoft.com/office/drawing/2014/main" xmlns="" id="{00000000-0008-0000-0D00-0000830F0000}"/>
            </a:ext>
          </a:extLst>
        </xdr:cNvPr>
        <xdr:cNvSpPr>
          <a:spLocks noChangeAspect="1" noChangeArrowheads="1"/>
        </xdr:cNvSpPr>
      </xdr:nvSpPr>
      <xdr:spPr bwMode="auto">
        <a:xfrm>
          <a:off x="0" y="3365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2" name="AutoShape 900" descr="Chicago Blackhawks">
          <a:extLst>
            <a:ext uri="{FF2B5EF4-FFF2-40B4-BE49-F238E27FC236}">
              <a16:creationId xmlns:a16="http://schemas.microsoft.com/office/drawing/2014/main" xmlns="" id="{00000000-0008-0000-0D00-0000840F0000}"/>
            </a:ext>
          </a:extLst>
        </xdr:cNvPr>
        <xdr:cNvSpPr>
          <a:spLocks noChangeAspect="1" noChangeArrowheads="1"/>
        </xdr:cNvSpPr>
      </xdr:nvSpPr>
      <xdr:spPr bwMode="auto">
        <a:xfrm>
          <a:off x="0" y="3367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3" name="AutoShape 901" descr="Vancouver Canucks">
          <a:extLst>
            <a:ext uri="{FF2B5EF4-FFF2-40B4-BE49-F238E27FC236}">
              <a16:creationId xmlns:a16="http://schemas.microsoft.com/office/drawing/2014/main" xmlns="" id="{00000000-0008-0000-0D00-0000850F0000}"/>
            </a:ext>
          </a:extLst>
        </xdr:cNvPr>
        <xdr:cNvSpPr>
          <a:spLocks noChangeAspect="1" noChangeArrowheads="1"/>
        </xdr:cNvSpPr>
      </xdr:nvSpPr>
      <xdr:spPr bwMode="auto">
        <a:xfrm>
          <a:off x="0" y="3370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4" name="AutoShape 902" descr="Columbus Blue Jackets">
          <a:extLst>
            <a:ext uri="{FF2B5EF4-FFF2-40B4-BE49-F238E27FC236}">
              <a16:creationId xmlns:a16="http://schemas.microsoft.com/office/drawing/2014/main" xmlns="" id="{00000000-0008-0000-0D00-0000860F0000}"/>
            </a:ext>
          </a:extLst>
        </xdr:cNvPr>
        <xdr:cNvSpPr>
          <a:spLocks noChangeAspect="1" noChangeArrowheads="1"/>
        </xdr:cNvSpPr>
      </xdr:nvSpPr>
      <xdr:spPr bwMode="auto">
        <a:xfrm>
          <a:off x="0" y="3374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5" name="AutoShape 903" descr="San Jose Sharks">
          <a:extLst>
            <a:ext uri="{FF2B5EF4-FFF2-40B4-BE49-F238E27FC236}">
              <a16:creationId xmlns:a16="http://schemas.microsoft.com/office/drawing/2014/main" xmlns="" id="{00000000-0008-0000-0D00-0000870F0000}"/>
            </a:ext>
          </a:extLst>
        </xdr:cNvPr>
        <xdr:cNvSpPr>
          <a:spLocks noChangeAspect="1" noChangeArrowheads="1"/>
        </xdr:cNvSpPr>
      </xdr:nvSpPr>
      <xdr:spPr bwMode="auto">
        <a:xfrm>
          <a:off x="0" y="3378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6" name="AutoShape 904" descr="San Jose Sharks">
          <a:extLst>
            <a:ext uri="{FF2B5EF4-FFF2-40B4-BE49-F238E27FC236}">
              <a16:creationId xmlns:a16="http://schemas.microsoft.com/office/drawing/2014/main" xmlns="" id="{00000000-0008-0000-0D00-0000880F0000}"/>
            </a:ext>
          </a:extLst>
        </xdr:cNvPr>
        <xdr:cNvSpPr>
          <a:spLocks noChangeAspect="1" noChangeArrowheads="1"/>
        </xdr:cNvSpPr>
      </xdr:nvSpPr>
      <xdr:spPr bwMode="auto">
        <a:xfrm>
          <a:off x="0" y="3381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7" name="AutoShape 905" descr="New Jersey Devils">
          <a:extLst>
            <a:ext uri="{FF2B5EF4-FFF2-40B4-BE49-F238E27FC236}">
              <a16:creationId xmlns:a16="http://schemas.microsoft.com/office/drawing/2014/main" xmlns="" id="{00000000-0008-0000-0D00-0000890F0000}"/>
            </a:ext>
          </a:extLst>
        </xdr:cNvPr>
        <xdr:cNvSpPr>
          <a:spLocks noChangeAspect="1" noChangeArrowheads="1"/>
        </xdr:cNvSpPr>
      </xdr:nvSpPr>
      <xdr:spPr bwMode="auto">
        <a:xfrm>
          <a:off x="0" y="33836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8" name="AutoShape 906" descr="Nashville Predators">
          <a:extLst>
            <a:ext uri="{FF2B5EF4-FFF2-40B4-BE49-F238E27FC236}">
              <a16:creationId xmlns:a16="http://schemas.microsoft.com/office/drawing/2014/main" xmlns="" id="{00000000-0008-0000-0D00-00008A0F0000}"/>
            </a:ext>
          </a:extLst>
        </xdr:cNvPr>
        <xdr:cNvSpPr>
          <a:spLocks noChangeAspect="1" noChangeArrowheads="1"/>
        </xdr:cNvSpPr>
      </xdr:nvSpPr>
      <xdr:spPr bwMode="auto">
        <a:xfrm>
          <a:off x="0" y="3387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9" name="AutoShape 907" descr="Ottawa Senators">
          <a:extLst>
            <a:ext uri="{FF2B5EF4-FFF2-40B4-BE49-F238E27FC236}">
              <a16:creationId xmlns:a16="http://schemas.microsoft.com/office/drawing/2014/main" xmlns="" id="{00000000-0008-0000-0D00-00008B0F0000}"/>
            </a:ext>
          </a:extLst>
        </xdr:cNvPr>
        <xdr:cNvSpPr>
          <a:spLocks noChangeAspect="1" noChangeArrowheads="1"/>
        </xdr:cNvSpPr>
      </xdr:nvSpPr>
      <xdr:spPr bwMode="auto">
        <a:xfrm>
          <a:off x="0" y="3390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0" name="AutoShape 908" descr="Colorado Avalanche">
          <a:extLst>
            <a:ext uri="{FF2B5EF4-FFF2-40B4-BE49-F238E27FC236}">
              <a16:creationId xmlns:a16="http://schemas.microsoft.com/office/drawing/2014/main" xmlns="" id="{00000000-0008-0000-0D00-00008C0F0000}"/>
            </a:ext>
          </a:extLst>
        </xdr:cNvPr>
        <xdr:cNvSpPr>
          <a:spLocks noChangeAspect="1" noChangeArrowheads="1"/>
        </xdr:cNvSpPr>
      </xdr:nvSpPr>
      <xdr:spPr bwMode="auto">
        <a:xfrm>
          <a:off x="0" y="3394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1" name="AutoShape 909" descr="Boston Bruins">
          <a:extLst>
            <a:ext uri="{FF2B5EF4-FFF2-40B4-BE49-F238E27FC236}">
              <a16:creationId xmlns:a16="http://schemas.microsoft.com/office/drawing/2014/main" xmlns="" id="{00000000-0008-0000-0D00-00008D0F0000}"/>
            </a:ext>
          </a:extLst>
        </xdr:cNvPr>
        <xdr:cNvSpPr>
          <a:spLocks noChangeAspect="1" noChangeArrowheads="1"/>
        </xdr:cNvSpPr>
      </xdr:nvSpPr>
      <xdr:spPr bwMode="auto">
        <a:xfrm>
          <a:off x="0" y="3396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2" name="AutoShape 910" descr="Edmonton Oilers">
          <a:extLst>
            <a:ext uri="{FF2B5EF4-FFF2-40B4-BE49-F238E27FC236}">
              <a16:creationId xmlns:a16="http://schemas.microsoft.com/office/drawing/2014/main" xmlns="" id="{00000000-0008-0000-0D00-00008E0F0000}"/>
            </a:ext>
          </a:extLst>
        </xdr:cNvPr>
        <xdr:cNvSpPr>
          <a:spLocks noChangeAspect="1" noChangeArrowheads="1"/>
        </xdr:cNvSpPr>
      </xdr:nvSpPr>
      <xdr:spPr bwMode="auto">
        <a:xfrm>
          <a:off x="0" y="3400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3" name="AutoShape 911" descr="Buffalo Sabres">
          <a:extLst>
            <a:ext uri="{FF2B5EF4-FFF2-40B4-BE49-F238E27FC236}">
              <a16:creationId xmlns:a16="http://schemas.microsoft.com/office/drawing/2014/main" xmlns="" id="{00000000-0008-0000-0D00-00008F0F0000}"/>
            </a:ext>
          </a:extLst>
        </xdr:cNvPr>
        <xdr:cNvSpPr>
          <a:spLocks noChangeAspect="1" noChangeArrowheads="1"/>
        </xdr:cNvSpPr>
      </xdr:nvSpPr>
      <xdr:spPr bwMode="auto">
        <a:xfrm>
          <a:off x="0" y="3405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4" name="AutoShape 912" descr="Edmonton Oilers">
          <a:extLst>
            <a:ext uri="{FF2B5EF4-FFF2-40B4-BE49-F238E27FC236}">
              <a16:creationId xmlns:a16="http://schemas.microsoft.com/office/drawing/2014/main" xmlns="" id="{00000000-0008-0000-0D00-0000900F0000}"/>
            </a:ext>
          </a:extLst>
        </xdr:cNvPr>
        <xdr:cNvSpPr>
          <a:spLocks noChangeAspect="1" noChangeArrowheads="1"/>
        </xdr:cNvSpPr>
      </xdr:nvSpPr>
      <xdr:spPr bwMode="auto">
        <a:xfrm>
          <a:off x="0" y="3407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5" name="AutoShape 913" descr="New Jersey Devils">
          <a:extLst>
            <a:ext uri="{FF2B5EF4-FFF2-40B4-BE49-F238E27FC236}">
              <a16:creationId xmlns:a16="http://schemas.microsoft.com/office/drawing/2014/main" xmlns="" id="{00000000-0008-0000-0D00-0000910F0000}"/>
            </a:ext>
          </a:extLst>
        </xdr:cNvPr>
        <xdr:cNvSpPr>
          <a:spLocks noChangeAspect="1" noChangeArrowheads="1"/>
        </xdr:cNvSpPr>
      </xdr:nvSpPr>
      <xdr:spPr bwMode="auto">
        <a:xfrm>
          <a:off x="0" y="3409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6" name="AutoShape 914" descr="New York Islanders">
          <a:extLst>
            <a:ext uri="{FF2B5EF4-FFF2-40B4-BE49-F238E27FC236}">
              <a16:creationId xmlns:a16="http://schemas.microsoft.com/office/drawing/2014/main" xmlns="" id="{00000000-0008-0000-0D00-0000920F0000}"/>
            </a:ext>
          </a:extLst>
        </xdr:cNvPr>
        <xdr:cNvSpPr>
          <a:spLocks noChangeAspect="1" noChangeArrowheads="1"/>
        </xdr:cNvSpPr>
      </xdr:nvSpPr>
      <xdr:spPr bwMode="auto">
        <a:xfrm>
          <a:off x="0" y="3411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7" name="AutoShape 915" descr="Chicago Blackhawks">
          <a:extLst>
            <a:ext uri="{FF2B5EF4-FFF2-40B4-BE49-F238E27FC236}">
              <a16:creationId xmlns:a16="http://schemas.microsoft.com/office/drawing/2014/main" xmlns="" id="{00000000-0008-0000-0D00-0000930F0000}"/>
            </a:ext>
          </a:extLst>
        </xdr:cNvPr>
        <xdr:cNvSpPr>
          <a:spLocks noChangeAspect="1" noChangeArrowheads="1"/>
        </xdr:cNvSpPr>
      </xdr:nvSpPr>
      <xdr:spPr bwMode="auto">
        <a:xfrm>
          <a:off x="0" y="3414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8" name="AutoShape 916" descr="New York Islanders">
          <a:extLst>
            <a:ext uri="{FF2B5EF4-FFF2-40B4-BE49-F238E27FC236}">
              <a16:creationId xmlns:a16="http://schemas.microsoft.com/office/drawing/2014/main" xmlns="" id="{00000000-0008-0000-0D00-0000940F0000}"/>
            </a:ext>
          </a:extLst>
        </xdr:cNvPr>
        <xdr:cNvSpPr>
          <a:spLocks noChangeAspect="1" noChangeArrowheads="1"/>
        </xdr:cNvSpPr>
      </xdr:nvSpPr>
      <xdr:spPr bwMode="auto">
        <a:xfrm>
          <a:off x="0" y="3418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9" name="AutoShape 917" descr="Colorado Avalanche">
          <a:extLst>
            <a:ext uri="{FF2B5EF4-FFF2-40B4-BE49-F238E27FC236}">
              <a16:creationId xmlns:a16="http://schemas.microsoft.com/office/drawing/2014/main" xmlns="" id="{00000000-0008-0000-0D00-0000950F0000}"/>
            </a:ext>
          </a:extLst>
        </xdr:cNvPr>
        <xdr:cNvSpPr>
          <a:spLocks noChangeAspect="1" noChangeArrowheads="1"/>
        </xdr:cNvSpPr>
      </xdr:nvSpPr>
      <xdr:spPr bwMode="auto">
        <a:xfrm>
          <a:off x="0" y="3422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0" name="AutoShape 918" descr="Florida Panthers">
          <a:extLst>
            <a:ext uri="{FF2B5EF4-FFF2-40B4-BE49-F238E27FC236}">
              <a16:creationId xmlns:a16="http://schemas.microsoft.com/office/drawing/2014/main" xmlns="" id="{00000000-0008-0000-0D00-0000960F0000}"/>
            </a:ext>
          </a:extLst>
        </xdr:cNvPr>
        <xdr:cNvSpPr>
          <a:spLocks noChangeAspect="1" noChangeArrowheads="1"/>
        </xdr:cNvSpPr>
      </xdr:nvSpPr>
      <xdr:spPr bwMode="auto">
        <a:xfrm>
          <a:off x="0" y="3425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1" name="AutoShape 919" descr="Florida Panthers">
          <a:extLst>
            <a:ext uri="{FF2B5EF4-FFF2-40B4-BE49-F238E27FC236}">
              <a16:creationId xmlns:a16="http://schemas.microsoft.com/office/drawing/2014/main" xmlns="" id="{00000000-0008-0000-0D00-0000970F0000}"/>
            </a:ext>
          </a:extLst>
        </xdr:cNvPr>
        <xdr:cNvSpPr>
          <a:spLocks noChangeAspect="1" noChangeArrowheads="1"/>
        </xdr:cNvSpPr>
      </xdr:nvSpPr>
      <xdr:spPr bwMode="auto">
        <a:xfrm>
          <a:off x="0" y="3429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2" name="AutoShape 920" descr="Los Angeles Kings">
          <a:extLst>
            <a:ext uri="{FF2B5EF4-FFF2-40B4-BE49-F238E27FC236}">
              <a16:creationId xmlns:a16="http://schemas.microsoft.com/office/drawing/2014/main" xmlns="" id="{00000000-0008-0000-0D00-0000980F0000}"/>
            </a:ext>
          </a:extLst>
        </xdr:cNvPr>
        <xdr:cNvSpPr>
          <a:spLocks noChangeAspect="1" noChangeArrowheads="1"/>
        </xdr:cNvSpPr>
      </xdr:nvSpPr>
      <xdr:spPr bwMode="auto">
        <a:xfrm>
          <a:off x="0" y="34330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3" name="AutoShape 921" descr="Columbus Blue Jackets">
          <a:extLst>
            <a:ext uri="{FF2B5EF4-FFF2-40B4-BE49-F238E27FC236}">
              <a16:creationId xmlns:a16="http://schemas.microsoft.com/office/drawing/2014/main" xmlns="" id="{00000000-0008-0000-0D00-0000990F0000}"/>
            </a:ext>
          </a:extLst>
        </xdr:cNvPr>
        <xdr:cNvSpPr>
          <a:spLocks noChangeAspect="1" noChangeArrowheads="1"/>
        </xdr:cNvSpPr>
      </xdr:nvSpPr>
      <xdr:spPr bwMode="auto">
        <a:xfrm>
          <a:off x="0" y="34366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4" name="AutoShape 922" descr="Los Angeles Kings">
          <a:extLst>
            <a:ext uri="{FF2B5EF4-FFF2-40B4-BE49-F238E27FC236}">
              <a16:creationId xmlns:a16="http://schemas.microsoft.com/office/drawing/2014/main" xmlns="" id="{00000000-0008-0000-0D00-00009A0F0000}"/>
            </a:ext>
          </a:extLst>
        </xdr:cNvPr>
        <xdr:cNvSpPr>
          <a:spLocks noChangeAspect="1" noChangeArrowheads="1"/>
        </xdr:cNvSpPr>
      </xdr:nvSpPr>
      <xdr:spPr bwMode="auto">
        <a:xfrm>
          <a:off x="0" y="3440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5" name="AutoShape 923" descr="Tampa Bay Lightning">
          <a:extLst>
            <a:ext uri="{FF2B5EF4-FFF2-40B4-BE49-F238E27FC236}">
              <a16:creationId xmlns:a16="http://schemas.microsoft.com/office/drawing/2014/main" xmlns="" id="{00000000-0008-0000-0D00-00009B0F0000}"/>
            </a:ext>
          </a:extLst>
        </xdr:cNvPr>
        <xdr:cNvSpPr>
          <a:spLocks noChangeAspect="1" noChangeArrowheads="1"/>
        </xdr:cNvSpPr>
      </xdr:nvSpPr>
      <xdr:spPr bwMode="auto">
        <a:xfrm>
          <a:off x="0" y="3444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6" name="AutoShape 924" descr="Minnesota Wild">
          <a:extLst>
            <a:ext uri="{FF2B5EF4-FFF2-40B4-BE49-F238E27FC236}">
              <a16:creationId xmlns:a16="http://schemas.microsoft.com/office/drawing/2014/main" xmlns="" id="{00000000-0008-0000-0D00-00009C0F0000}"/>
            </a:ext>
          </a:extLst>
        </xdr:cNvPr>
        <xdr:cNvSpPr>
          <a:spLocks noChangeAspect="1" noChangeArrowheads="1"/>
        </xdr:cNvSpPr>
      </xdr:nvSpPr>
      <xdr:spPr bwMode="auto">
        <a:xfrm>
          <a:off x="0" y="3447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7" name="AutoShape 925" descr="Vegas Golden Knights">
          <a:extLst>
            <a:ext uri="{FF2B5EF4-FFF2-40B4-BE49-F238E27FC236}">
              <a16:creationId xmlns:a16="http://schemas.microsoft.com/office/drawing/2014/main" xmlns="" id="{00000000-0008-0000-0D00-00009D0F0000}"/>
            </a:ext>
          </a:extLst>
        </xdr:cNvPr>
        <xdr:cNvSpPr>
          <a:spLocks noChangeAspect="1" noChangeArrowheads="1"/>
        </xdr:cNvSpPr>
      </xdr:nvSpPr>
      <xdr:spPr bwMode="auto">
        <a:xfrm>
          <a:off x="0" y="34513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8" name="AutoShape 926" descr="Washington Capitals">
          <a:extLst>
            <a:ext uri="{FF2B5EF4-FFF2-40B4-BE49-F238E27FC236}">
              <a16:creationId xmlns:a16="http://schemas.microsoft.com/office/drawing/2014/main" xmlns="" id="{00000000-0008-0000-0D00-00009E0F0000}"/>
            </a:ext>
          </a:extLst>
        </xdr:cNvPr>
        <xdr:cNvSpPr>
          <a:spLocks noChangeAspect="1" noChangeArrowheads="1"/>
        </xdr:cNvSpPr>
      </xdr:nvSpPr>
      <xdr:spPr bwMode="auto">
        <a:xfrm>
          <a:off x="0" y="3454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99" name="AutoShape 927" descr="New Jersey Devils">
          <a:extLst>
            <a:ext uri="{FF2B5EF4-FFF2-40B4-BE49-F238E27FC236}">
              <a16:creationId xmlns:a16="http://schemas.microsoft.com/office/drawing/2014/main" xmlns="" id="{00000000-0008-0000-0D00-00009F0F0000}"/>
            </a:ext>
          </a:extLst>
        </xdr:cNvPr>
        <xdr:cNvSpPr>
          <a:spLocks noChangeAspect="1" noChangeArrowheads="1"/>
        </xdr:cNvSpPr>
      </xdr:nvSpPr>
      <xdr:spPr bwMode="auto">
        <a:xfrm>
          <a:off x="0" y="3458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0" name="AutoShape 928" descr="St Louis Blues">
          <a:extLst>
            <a:ext uri="{FF2B5EF4-FFF2-40B4-BE49-F238E27FC236}">
              <a16:creationId xmlns:a16="http://schemas.microsoft.com/office/drawing/2014/main" xmlns="" id="{00000000-0008-0000-0D00-0000A00F0000}"/>
            </a:ext>
          </a:extLst>
        </xdr:cNvPr>
        <xdr:cNvSpPr>
          <a:spLocks noChangeAspect="1" noChangeArrowheads="1"/>
        </xdr:cNvSpPr>
      </xdr:nvSpPr>
      <xdr:spPr bwMode="auto">
        <a:xfrm>
          <a:off x="0" y="3460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1" name="AutoShape 929" descr="Carolina Hurricanes">
          <a:extLst>
            <a:ext uri="{FF2B5EF4-FFF2-40B4-BE49-F238E27FC236}">
              <a16:creationId xmlns:a16="http://schemas.microsoft.com/office/drawing/2014/main" xmlns="" id="{00000000-0008-0000-0D00-0000A10F0000}"/>
            </a:ext>
          </a:extLst>
        </xdr:cNvPr>
        <xdr:cNvSpPr>
          <a:spLocks noChangeAspect="1" noChangeArrowheads="1"/>
        </xdr:cNvSpPr>
      </xdr:nvSpPr>
      <xdr:spPr bwMode="auto">
        <a:xfrm>
          <a:off x="0" y="3462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2" name="AutoShape 930" descr="Dallas Stars">
          <a:extLst>
            <a:ext uri="{FF2B5EF4-FFF2-40B4-BE49-F238E27FC236}">
              <a16:creationId xmlns:a16="http://schemas.microsoft.com/office/drawing/2014/main" xmlns="" id="{00000000-0008-0000-0D00-0000A20F0000}"/>
            </a:ext>
          </a:extLst>
        </xdr:cNvPr>
        <xdr:cNvSpPr>
          <a:spLocks noChangeAspect="1" noChangeArrowheads="1"/>
        </xdr:cNvSpPr>
      </xdr:nvSpPr>
      <xdr:spPr bwMode="auto">
        <a:xfrm>
          <a:off x="0" y="3465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3" name="AutoShape 931" descr="Washington Capitals">
          <a:extLst>
            <a:ext uri="{FF2B5EF4-FFF2-40B4-BE49-F238E27FC236}">
              <a16:creationId xmlns:a16="http://schemas.microsoft.com/office/drawing/2014/main" xmlns="" id="{00000000-0008-0000-0D00-0000A30F0000}"/>
            </a:ext>
          </a:extLst>
        </xdr:cNvPr>
        <xdr:cNvSpPr>
          <a:spLocks noChangeAspect="1" noChangeArrowheads="1"/>
        </xdr:cNvSpPr>
      </xdr:nvSpPr>
      <xdr:spPr bwMode="auto">
        <a:xfrm>
          <a:off x="0" y="3467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4" name="AutoShape 932" descr="Buffalo Sabres">
          <a:extLst>
            <a:ext uri="{FF2B5EF4-FFF2-40B4-BE49-F238E27FC236}">
              <a16:creationId xmlns:a16="http://schemas.microsoft.com/office/drawing/2014/main" xmlns="" id="{00000000-0008-0000-0D00-0000A40F0000}"/>
            </a:ext>
          </a:extLst>
        </xdr:cNvPr>
        <xdr:cNvSpPr>
          <a:spLocks noChangeAspect="1" noChangeArrowheads="1"/>
        </xdr:cNvSpPr>
      </xdr:nvSpPr>
      <xdr:spPr bwMode="auto">
        <a:xfrm>
          <a:off x="0" y="34696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5" name="AutoShape 933" descr="New York Rangers">
          <a:extLst>
            <a:ext uri="{FF2B5EF4-FFF2-40B4-BE49-F238E27FC236}">
              <a16:creationId xmlns:a16="http://schemas.microsoft.com/office/drawing/2014/main" xmlns="" id="{00000000-0008-0000-0D00-0000A50F0000}"/>
            </a:ext>
          </a:extLst>
        </xdr:cNvPr>
        <xdr:cNvSpPr>
          <a:spLocks noChangeAspect="1" noChangeArrowheads="1"/>
        </xdr:cNvSpPr>
      </xdr:nvSpPr>
      <xdr:spPr bwMode="auto">
        <a:xfrm>
          <a:off x="0" y="3471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6" name="AutoShape 934" descr="Calgary Flames">
          <a:extLst>
            <a:ext uri="{FF2B5EF4-FFF2-40B4-BE49-F238E27FC236}">
              <a16:creationId xmlns:a16="http://schemas.microsoft.com/office/drawing/2014/main" xmlns="" id="{00000000-0008-0000-0D00-0000A60F0000}"/>
            </a:ext>
          </a:extLst>
        </xdr:cNvPr>
        <xdr:cNvSpPr>
          <a:spLocks noChangeAspect="1" noChangeArrowheads="1"/>
        </xdr:cNvSpPr>
      </xdr:nvSpPr>
      <xdr:spPr bwMode="auto">
        <a:xfrm>
          <a:off x="0" y="3473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7" name="AutoShape 935" descr="Buffalo Sabres">
          <a:extLst>
            <a:ext uri="{FF2B5EF4-FFF2-40B4-BE49-F238E27FC236}">
              <a16:creationId xmlns:a16="http://schemas.microsoft.com/office/drawing/2014/main" xmlns="" id="{00000000-0008-0000-0D00-0000A70F0000}"/>
            </a:ext>
          </a:extLst>
        </xdr:cNvPr>
        <xdr:cNvSpPr>
          <a:spLocks noChangeAspect="1" noChangeArrowheads="1"/>
        </xdr:cNvSpPr>
      </xdr:nvSpPr>
      <xdr:spPr bwMode="auto">
        <a:xfrm>
          <a:off x="0" y="3475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8" name="AutoShape 936" descr="Winnipeg Jets">
          <a:extLst>
            <a:ext uri="{FF2B5EF4-FFF2-40B4-BE49-F238E27FC236}">
              <a16:creationId xmlns:a16="http://schemas.microsoft.com/office/drawing/2014/main" xmlns="" id="{00000000-0008-0000-0D00-0000A80F0000}"/>
            </a:ext>
          </a:extLst>
        </xdr:cNvPr>
        <xdr:cNvSpPr>
          <a:spLocks noChangeAspect="1" noChangeArrowheads="1"/>
        </xdr:cNvSpPr>
      </xdr:nvSpPr>
      <xdr:spPr bwMode="auto">
        <a:xfrm>
          <a:off x="0" y="3478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9" name="AutoShape 937" descr="Colorado Avalanche">
          <a:extLst>
            <a:ext uri="{FF2B5EF4-FFF2-40B4-BE49-F238E27FC236}">
              <a16:creationId xmlns:a16="http://schemas.microsoft.com/office/drawing/2014/main" xmlns="" id="{00000000-0008-0000-0D00-0000A90F0000}"/>
            </a:ext>
          </a:extLst>
        </xdr:cNvPr>
        <xdr:cNvSpPr>
          <a:spLocks noChangeAspect="1" noChangeArrowheads="1"/>
        </xdr:cNvSpPr>
      </xdr:nvSpPr>
      <xdr:spPr bwMode="auto">
        <a:xfrm>
          <a:off x="0" y="3482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0" name="AutoShape 938" descr="Chicago Blackhawks">
          <a:extLst>
            <a:ext uri="{FF2B5EF4-FFF2-40B4-BE49-F238E27FC236}">
              <a16:creationId xmlns:a16="http://schemas.microsoft.com/office/drawing/2014/main" xmlns="" id="{00000000-0008-0000-0D00-0000AA0F0000}"/>
            </a:ext>
          </a:extLst>
        </xdr:cNvPr>
        <xdr:cNvSpPr>
          <a:spLocks noChangeAspect="1" noChangeArrowheads="1"/>
        </xdr:cNvSpPr>
      </xdr:nvSpPr>
      <xdr:spPr bwMode="auto">
        <a:xfrm>
          <a:off x="0" y="3486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1" name="AutoShape 939" descr="Arizona Coyotes">
          <a:extLst>
            <a:ext uri="{FF2B5EF4-FFF2-40B4-BE49-F238E27FC236}">
              <a16:creationId xmlns:a16="http://schemas.microsoft.com/office/drawing/2014/main" xmlns="" id="{00000000-0008-0000-0D00-0000AB0F0000}"/>
            </a:ext>
          </a:extLst>
        </xdr:cNvPr>
        <xdr:cNvSpPr>
          <a:spLocks noChangeAspect="1" noChangeArrowheads="1"/>
        </xdr:cNvSpPr>
      </xdr:nvSpPr>
      <xdr:spPr bwMode="auto">
        <a:xfrm>
          <a:off x="0" y="3489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2" name="AutoShape 940" descr="Vancouver Canucks">
          <a:extLst>
            <a:ext uri="{FF2B5EF4-FFF2-40B4-BE49-F238E27FC236}">
              <a16:creationId xmlns:a16="http://schemas.microsoft.com/office/drawing/2014/main" xmlns="" id="{00000000-0008-0000-0D00-0000AC0F0000}"/>
            </a:ext>
          </a:extLst>
        </xdr:cNvPr>
        <xdr:cNvSpPr>
          <a:spLocks noChangeAspect="1" noChangeArrowheads="1"/>
        </xdr:cNvSpPr>
      </xdr:nvSpPr>
      <xdr:spPr bwMode="auto">
        <a:xfrm>
          <a:off x="0" y="34952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3" name="AutoShape 941" descr="Colorado Avalanche">
          <a:extLst>
            <a:ext uri="{FF2B5EF4-FFF2-40B4-BE49-F238E27FC236}">
              <a16:creationId xmlns:a16="http://schemas.microsoft.com/office/drawing/2014/main" xmlns="" id="{00000000-0008-0000-0D00-0000AD0F0000}"/>
            </a:ext>
          </a:extLst>
        </xdr:cNvPr>
        <xdr:cNvSpPr>
          <a:spLocks noChangeAspect="1" noChangeArrowheads="1"/>
        </xdr:cNvSpPr>
      </xdr:nvSpPr>
      <xdr:spPr bwMode="auto">
        <a:xfrm>
          <a:off x="0" y="3497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4" name="AutoShape 942" descr="St Louis Blues">
          <a:extLst>
            <a:ext uri="{FF2B5EF4-FFF2-40B4-BE49-F238E27FC236}">
              <a16:creationId xmlns:a16="http://schemas.microsoft.com/office/drawing/2014/main" xmlns="" id="{00000000-0008-0000-0D00-0000AE0F0000}"/>
            </a:ext>
          </a:extLst>
        </xdr:cNvPr>
        <xdr:cNvSpPr>
          <a:spLocks noChangeAspect="1" noChangeArrowheads="1"/>
        </xdr:cNvSpPr>
      </xdr:nvSpPr>
      <xdr:spPr bwMode="auto">
        <a:xfrm>
          <a:off x="0" y="3500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5" name="AutoShape 943" descr="Montreal Canadiens">
          <a:extLst>
            <a:ext uri="{FF2B5EF4-FFF2-40B4-BE49-F238E27FC236}">
              <a16:creationId xmlns:a16="http://schemas.microsoft.com/office/drawing/2014/main" xmlns="" id="{00000000-0008-0000-0D00-0000AF0F0000}"/>
            </a:ext>
          </a:extLst>
        </xdr:cNvPr>
        <xdr:cNvSpPr>
          <a:spLocks noChangeAspect="1" noChangeArrowheads="1"/>
        </xdr:cNvSpPr>
      </xdr:nvSpPr>
      <xdr:spPr bwMode="auto">
        <a:xfrm>
          <a:off x="0" y="3504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6" name="AutoShape 944" descr="New York Islanders">
          <a:extLst>
            <a:ext uri="{FF2B5EF4-FFF2-40B4-BE49-F238E27FC236}">
              <a16:creationId xmlns:a16="http://schemas.microsoft.com/office/drawing/2014/main" xmlns="" id="{00000000-0008-0000-0D00-0000B00F0000}"/>
            </a:ext>
          </a:extLst>
        </xdr:cNvPr>
        <xdr:cNvSpPr>
          <a:spLocks noChangeAspect="1" noChangeArrowheads="1"/>
        </xdr:cNvSpPr>
      </xdr:nvSpPr>
      <xdr:spPr bwMode="auto">
        <a:xfrm>
          <a:off x="0" y="35061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7" name="AutoShape 945" descr="New York Islanders">
          <a:extLst>
            <a:ext uri="{FF2B5EF4-FFF2-40B4-BE49-F238E27FC236}">
              <a16:creationId xmlns:a16="http://schemas.microsoft.com/office/drawing/2014/main" xmlns="" id="{00000000-0008-0000-0D00-0000B10F0000}"/>
            </a:ext>
          </a:extLst>
        </xdr:cNvPr>
        <xdr:cNvSpPr>
          <a:spLocks noChangeAspect="1" noChangeArrowheads="1"/>
        </xdr:cNvSpPr>
      </xdr:nvSpPr>
      <xdr:spPr bwMode="auto">
        <a:xfrm>
          <a:off x="0" y="35098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8" name="AutoShape 946" descr="Pittsburgh Penguins">
          <a:extLst>
            <a:ext uri="{FF2B5EF4-FFF2-40B4-BE49-F238E27FC236}">
              <a16:creationId xmlns:a16="http://schemas.microsoft.com/office/drawing/2014/main" xmlns="" id="{00000000-0008-0000-0D00-0000B20F0000}"/>
            </a:ext>
          </a:extLst>
        </xdr:cNvPr>
        <xdr:cNvSpPr>
          <a:spLocks noChangeAspect="1" noChangeArrowheads="1"/>
        </xdr:cNvSpPr>
      </xdr:nvSpPr>
      <xdr:spPr bwMode="auto">
        <a:xfrm>
          <a:off x="0" y="3511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19" name="AutoShape 947" descr="Winnipeg Jets">
          <a:extLst>
            <a:ext uri="{FF2B5EF4-FFF2-40B4-BE49-F238E27FC236}">
              <a16:creationId xmlns:a16="http://schemas.microsoft.com/office/drawing/2014/main" xmlns="" id="{00000000-0008-0000-0D00-0000B30F0000}"/>
            </a:ext>
          </a:extLst>
        </xdr:cNvPr>
        <xdr:cNvSpPr>
          <a:spLocks noChangeAspect="1" noChangeArrowheads="1"/>
        </xdr:cNvSpPr>
      </xdr:nvSpPr>
      <xdr:spPr bwMode="auto">
        <a:xfrm>
          <a:off x="0" y="3515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0" name="AutoShape 948" descr="Columbus Blue Jackets">
          <a:extLst>
            <a:ext uri="{FF2B5EF4-FFF2-40B4-BE49-F238E27FC236}">
              <a16:creationId xmlns:a16="http://schemas.microsoft.com/office/drawing/2014/main" xmlns="" id="{00000000-0008-0000-0D00-0000B40F0000}"/>
            </a:ext>
          </a:extLst>
        </xdr:cNvPr>
        <xdr:cNvSpPr>
          <a:spLocks noChangeAspect="1" noChangeArrowheads="1"/>
        </xdr:cNvSpPr>
      </xdr:nvSpPr>
      <xdr:spPr bwMode="auto">
        <a:xfrm>
          <a:off x="0" y="3517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1" name="AutoShape 949" descr="Edmonton Oilers">
          <a:extLst>
            <a:ext uri="{FF2B5EF4-FFF2-40B4-BE49-F238E27FC236}">
              <a16:creationId xmlns:a16="http://schemas.microsoft.com/office/drawing/2014/main" xmlns="" id="{00000000-0008-0000-0D00-0000B50F0000}"/>
            </a:ext>
          </a:extLst>
        </xdr:cNvPr>
        <xdr:cNvSpPr>
          <a:spLocks noChangeAspect="1" noChangeArrowheads="1"/>
        </xdr:cNvSpPr>
      </xdr:nvSpPr>
      <xdr:spPr bwMode="auto">
        <a:xfrm>
          <a:off x="0" y="3518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2" name="AutoShape 950" descr="Colorado Avalanche">
          <a:extLst>
            <a:ext uri="{FF2B5EF4-FFF2-40B4-BE49-F238E27FC236}">
              <a16:creationId xmlns:a16="http://schemas.microsoft.com/office/drawing/2014/main" xmlns="" id="{00000000-0008-0000-0D00-0000B60F0000}"/>
            </a:ext>
          </a:extLst>
        </xdr:cNvPr>
        <xdr:cNvSpPr>
          <a:spLocks noChangeAspect="1" noChangeArrowheads="1"/>
        </xdr:cNvSpPr>
      </xdr:nvSpPr>
      <xdr:spPr bwMode="auto">
        <a:xfrm>
          <a:off x="0" y="3522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3" name="AutoShape 951" descr="Arizona Coyotes">
          <a:extLst>
            <a:ext uri="{FF2B5EF4-FFF2-40B4-BE49-F238E27FC236}">
              <a16:creationId xmlns:a16="http://schemas.microsoft.com/office/drawing/2014/main" xmlns="" id="{00000000-0008-0000-0D00-0000B70F0000}"/>
            </a:ext>
          </a:extLst>
        </xdr:cNvPr>
        <xdr:cNvSpPr>
          <a:spLocks noChangeAspect="1" noChangeArrowheads="1"/>
        </xdr:cNvSpPr>
      </xdr:nvSpPr>
      <xdr:spPr bwMode="auto">
        <a:xfrm>
          <a:off x="0" y="3524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4" name="AutoShape 952" descr="Montreal Canadiens">
          <a:extLst>
            <a:ext uri="{FF2B5EF4-FFF2-40B4-BE49-F238E27FC236}">
              <a16:creationId xmlns:a16="http://schemas.microsoft.com/office/drawing/2014/main" xmlns="" id="{00000000-0008-0000-0D00-0000B80F0000}"/>
            </a:ext>
          </a:extLst>
        </xdr:cNvPr>
        <xdr:cNvSpPr>
          <a:spLocks noChangeAspect="1" noChangeArrowheads="1"/>
        </xdr:cNvSpPr>
      </xdr:nvSpPr>
      <xdr:spPr bwMode="auto">
        <a:xfrm>
          <a:off x="0" y="3528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5" name="AutoShape 953" descr="Arizona Coyotes">
          <a:extLst>
            <a:ext uri="{FF2B5EF4-FFF2-40B4-BE49-F238E27FC236}">
              <a16:creationId xmlns:a16="http://schemas.microsoft.com/office/drawing/2014/main" xmlns="" id="{00000000-0008-0000-0D00-0000B90F0000}"/>
            </a:ext>
          </a:extLst>
        </xdr:cNvPr>
        <xdr:cNvSpPr>
          <a:spLocks noChangeAspect="1" noChangeArrowheads="1"/>
        </xdr:cNvSpPr>
      </xdr:nvSpPr>
      <xdr:spPr bwMode="auto">
        <a:xfrm>
          <a:off x="0" y="35317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26" name="AutoShape 954" descr="Columbus Blue Jackets">
          <a:extLst>
            <a:ext uri="{FF2B5EF4-FFF2-40B4-BE49-F238E27FC236}">
              <a16:creationId xmlns:a16="http://schemas.microsoft.com/office/drawing/2014/main" xmlns="" id="{00000000-0008-0000-0D00-0000BA0F0000}"/>
            </a:ext>
          </a:extLst>
        </xdr:cNvPr>
        <xdr:cNvSpPr>
          <a:spLocks noChangeAspect="1" noChangeArrowheads="1"/>
        </xdr:cNvSpPr>
      </xdr:nvSpPr>
      <xdr:spPr bwMode="auto">
        <a:xfrm>
          <a:off x="0" y="35354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7" name="AutoShape 955" descr="St Louis Blues">
          <a:extLst>
            <a:ext uri="{FF2B5EF4-FFF2-40B4-BE49-F238E27FC236}">
              <a16:creationId xmlns:a16="http://schemas.microsoft.com/office/drawing/2014/main" xmlns="" id="{00000000-0008-0000-0D00-0000BB0F0000}"/>
            </a:ext>
          </a:extLst>
        </xdr:cNvPr>
        <xdr:cNvSpPr>
          <a:spLocks noChangeAspect="1" noChangeArrowheads="1"/>
        </xdr:cNvSpPr>
      </xdr:nvSpPr>
      <xdr:spPr bwMode="auto">
        <a:xfrm>
          <a:off x="0" y="3537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8" name="AutoShape 956" descr="Buffalo Sabres">
          <a:extLst>
            <a:ext uri="{FF2B5EF4-FFF2-40B4-BE49-F238E27FC236}">
              <a16:creationId xmlns:a16="http://schemas.microsoft.com/office/drawing/2014/main" xmlns="" id="{00000000-0008-0000-0D00-0000BC0F0000}"/>
            </a:ext>
          </a:extLst>
        </xdr:cNvPr>
        <xdr:cNvSpPr>
          <a:spLocks noChangeAspect="1" noChangeArrowheads="1"/>
        </xdr:cNvSpPr>
      </xdr:nvSpPr>
      <xdr:spPr bwMode="auto">
        <a:xfrm>
          <a:off x="0" y="35427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9" name="AutoShape 957" descr="St Louis Blues">
          <a:extLst>
            <a:ext uri="{FF2B5EF4-FFF2-40B4-BE49-F238E27FC236}">
              <a16:creationId xmlns:a16="http://schemas.microsoft.com/office/drawing/2014/main" xmlns="" id="{00000000-0008-0000-0D00-0000BD0F0000}"/>
            </a:ext>
          </a:extLst>
        </xdr:cNvPr>
        <xdr:cNvSpPr>
          <a:spLocks noChangeAspect="1" noChangeArrowheads="1"/>
        </xdr:cNvSpPr>
      </xdr:nvSpPr>
      <xdr:spPr bwMode="auto">
        <a:xfrm>
          <a:off x="0" y="35464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0" name="AutoShape 958" descr="New York Rangers">
          <a:extLst>
            <a:ext uri="{FF2B5EF4-FFF2-40B4-BE49-F238E27FC236}">
              <a16:creationId xmlns:a16="http://schemas.microsoft.com/office/drawing/2014/main" xmlns="" id="{00000000-0008-0000-0D00-0000BE0F0000}"/>
            </a:ext>
          </a:extLst>
        </xdr:cNvPr>
        <xdr:cNvSpPr>
          <a:spLocks noChangeAspect="1" noChangeArrowheads="1"/>
        </xdr:cNvSpPr>
      </xdr:nvSpPr>
      <xdr:spPr bwMode="auto">
        <a:xfrm>
          <a:off x="0" y="35500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1" name="AutoShape 959" descr="Florida Panthers">
          <a:extLst>
            <a:ext uri="{FF2B5EF4-FFF2-40B4-BE49-F238E27FC236}">
              <a16:creationId xmlns:a16="http://schemas.microsoft.com/office/drawing/2014/main" xmlns="" id="{00000000-0008-0000-0D00-0000BF0F0000}"/>
            </a:ext>
          </a:extLst>
        </xdr:cNvPr>
        <xdr:cNvSpPr>
          <a:spLocks noChangeAspect="1" noChangeArrowheads="1"/>
        </xdr:cNvSpPr>
      </xdr:nvSpPr>
      <xdr:spPr bwMode="auto">
        <a:xfrm>
          <a:off x="0" y="3553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32" name="AutoShape 960" descr="Tampa Bay Lightning">
          <a:extLst>
            <a:ext uri="{FF2B5EF4-FFF2-40B4-BE49-F238E27FC236}">
              <a16:creationId xmlns:a16="http://schemas.microsoft.com/office/drawing/2014/main" xmlns="" id="{00000000-0008-0000-0D00-0000C00F0000}"/>
            </a:ext>
          </a:extLst>
        </xdr:cNvPr>
        <xdr:cNvSpPr>
          <a:spLocks noChangeAspect="1" noChangeArrowheads="1"/>
        </xdr:cNvSpPr>
      </xdr:nvSpPr>
      <xdr:spPr bwMode="auto">
        <a:xfrm>
          <a:off x="0" y="35573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3" name="AutoShape 961" descr="Vegas Golden Knights">
          <a:extLst>
            <a:ext uri="{FF2B5EF4-FFF2-40B4-BE49-F238E27FC236}">
              <a16:creationId xmlns:a16="http://schemas.microsoft.com/office/drawing/2014/main" xmlns="" id="{00000000-0008-0000-0D00-0000C10F0000}"/>
            </a:ext>
          </a:extLst>
        </xdr:cNvPr>
        <xdr:cNvSpPr>
          <a:spLocks noChangeAspect="1" noChangeArrowheads="1"/>
        </xdr:cNvSpPr>
      </xdr:nvSpPr>
      <xdr:spPr bwMode="auto">
        <a:xfrm>
          <a:off x="0" y="3559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4" name="AutoShape 962" descr="Toronto Maple Leafs">
          <a:extLst>
            <a:ext uri="{FF2B5EF4-FFF2-40B4-BE49-F238E27FC236}">
              <a16:creationId xmlns:a16="http://schemas.microsoft.com/office/drawing/2014/main" xmlns="" id="{00000000-0008-0000-0D00-0000C20F0000}"/>
            </a:ext>
          </a:extLst>
        </xdr:cNvPr>
        <xdr:cNvSpPr>
          <a:spLocks noChangeAspect="1" noChangeArrowheads="1"/>
        </xdr:cNvSpPr>
      </xdr:nvSpPr>
      <xdr:spPr bwMode="auto">
        <a:xfrm>
          <a:off x="0" y="3562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5" name="AutoShape 963" descr="Detroit Red Wings">
          <a:extLst>
            <a:ext uri="{FF2B5EF4-FFF2-40B4-BE49-F238E27FC236}">
              <a16:creationId xmlns:a16="http://schemas.microsoft.com/office/drawing/2014/main" xmlns="" id="{00000000-0008-0000-0D00-0000C30F0000}"/>
            </a:ext>
          </a:extLst>
        </xdr:cNvPr>
        <xdr:cNvSpPr>
          <a:spLocks noChangeAspect="1" noChangeArrowheads="1"/>
        </xdr:cNvSpPr>
      </xdr:nvSpPr>
      <xdr:spPr bwMode="auto">
        <a:xfrm>
          <a:off x="0" y="3566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6" name="AutoShape 964" descr="Los Angeles Kings">
          <a:extLst>
            <a:ext uri="{FF2B5EF4-FFF2-40B4-BE49-F238E27FC236}">
              <a16:creationId xmlns:a16="http://schemas.microsoft.com/office/drawing/2014/main" xmlns="" id="{00000000-0008-0000-0D00-0000C40F0000}"/>
            </a:ext>
          </a:extLst>
        </xdr:cNvPr>
        <xdr:cNvSpPr>
          <a:spLocks noChangeAspect="1" noChangeArrowheads="1"/>
        </xdr:cNvSpPr>
      </xdr:nvSpPr>
      <xdr:spPr bwMode="auto">
        <a:xfrm>
          <a:off x="0" y="3570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7" name="AutoShape 965" descr="Boston Bruins">
          <a:extLst>
            <a:ext uri="{FF2B5EF4-FFF2-40B4-BE49-F238E27FC236}">
              <a16:creationId xmlns:a16="http://schemas.microsoft.com/office/drawing/2014/main" xmlns="" id="{00000000-0008-0000-0D00-0000C50F0000}"/>
            </a:ext>
          </a:extLst>
        </xdr:cNvPr>
        <xdr:cNvSpPr>
          <a:spLocks noChangeAspect="1" noChangeArrowheads="1"/>
        </xdr:cNvSpPr>
      </xdr:nvSpPr>
      <xdr:spPr bwMode="auto">
        <a:xfrm>
          <a:off x="0" y="35720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8" name="AutoShape 966" descr="Minnesota Wild">
          <a:extLst>
            <a:ext uri="{FF2B5EF4-FFF2-40B4-BE49-F238E27FC236}">
              <a16:creationId xmlns:a16="http://schemas.microsoft.com/office/drawing/2014/main" xmlns="" id="{00000000-0008-0000-0D00-0000C60F0000}"/>
            </a:ext>
          </a:extLst>
        </xdr:cNvPr>
        <xdr:cNvSpPr>
          <a:spLocks noChangeAspect="1" noChangeArrowheads="1"/>
        </xdr:cNvSpPr>
      </xdr:nvSpPr>
      <xdr:spPr bwMode="auto">
        <a:xfrm>
          <a:off x="0" y="3573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9" name="AutoShape 967" descr="Vegas Golden Knights">
          <a:extLst>
            <a:ext uri="{FF2B5EF4-FFF2-40B4-BE49-F238E27FC236}">
              <a16:creationId xmlns:a16="http://schemas.microsoft.com/office/drawing/2014/main" xmlns="" id="{00000000-0008-0000-0D00-0000C70F0000}"/>
            </a:ext>
          </a:extLst>
        </xdr:cNvPr>
        <xdr:cNvSpPr>
          <a:spLocks noChangeAspect="1" noChangeArrowheads="1"/>
        </xdr:cNvSpPr>
      </xdr:nvSpPr>
      <xdr:spPr bwMode="auto">
        <a:xfrm>
          <a:off x="0" y="3577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0" name="AutoShape 968" descr="Detroit Red Wings">
          <a:extLst>
            <a:ext uri="{FF2B5EF4-FFF2-40B4-BE49-F238E27FC236}">
              <a16:creationId xmlns:a16="http://schemas.microsoft.com/office/drawing/2014/main" xmlns="" id="{00000000-0008-0000-0D00-0000C80F0000}"/>
            </a:ext>
          </a:extLst>
        </xdr:cNvPr>
        <xdr:cNvSpPr>
          <a:spLocks noChangeAspect="1" noChangeArrowheads="1"/>
        </xdr:cNvSpPr>
      </xdr:nvSpPr>
      <xdr:spPr bwMode="auto">
        <a:xfrm>
          <a:off x="0" y="3581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1" name="AutoShape 969" descr="Anaheim Ducks">
          <a:extLst>
            <a:ext uri="{FF2B5EF4-FFF2-40B4-BE49-F238E27FC236}">
              <a16:creationId xmlns:a16="http://schemas.microsoft.com/office/drawing/2014/main" xmlns="" id="{00000000-0008-0000-0D00-0000C90F0000}"/>
            </a:ext>
          </a:extLst>
        </xdr:cNvPr>
        <xdr:cNvSpPr>
          <a:spLocks noChangeAspect="1" noChangeArrowheads="1"/>
        </xdr:cNvSpPr>
      </xdr:nvSpPr>
      <xdr:spPr bwMode="auto">
        <a:xfrm>
          <a:off x="0" y="3584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2" name="AutoShape 970" descr="Arizona Coyotes">
          <a:extLst>
            <a:ext uri="{FF2B5EF4-FFF2-40B4-BE49-F238E27FC236}">
              <a16:creationId xmlns:a16="http://schemas.microsoft.com/office/drawing/2014/main" xmlns="" id="{00000000-0008-0000-0D00-0000CA0F0000}"/>
            </a:ext>
          </a:extLst>
        </xdr:cNvPr>
        <xdr:cNvSpPr>
          <a:spLocks noChangeAspect="1" noChangeArrowheads="1"/>
        </xdr:cNvSpPr>
      </xdr:nvSpPr>
      <xdr:spPr bwMode="auto">
        <a:xfrm>
          <a:off x="0" y="3588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3" name="AutoShape 971" descr="Florida Panthers">
          <a:extLst>
            <a:ext uri="{FF2B5EF4-FFF2-40B4-BE49-F238E27FC236}">
              <a16:creationId xmlns:a16="http://schemas.microsoft.com/office/drawing/2014/main" xmlns="" id="{00000000-0008-0000-0D00-0000CB0F0000}"/>
            </a:ext>
          </a:extLst>
        </xdr:cNvPr>
        <xdr:cNvSpPr>
          <a:spLocks noChangeAspect="1" noChangeArrowheads="1"/>
        </xdr:cNvSpPr>
      </xdr:nvSpPr>
      <xdr:spPr bwMode="auto">
        <a:xfrm>
          <a:off x="0" y="3592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4" name="AutoShape 972" descr="Minnesota Wild">
          <a:extLst>
            <a:ext uri="{FF2B5EF4-FFF2-40B4-BE49-F238E27FC236}">
              <a16:creationId xmlns:a16="http://schemas.microsoft.com/office/drawing/2014/main" xmlns="" id="{00000000-0008-0000-0D00-0000CC0F0000}"/>
            </a:ext>
          </a:extLst>
        </xdr:cNvPr>
        <xdr:cNvSpPr>
          <a:spLocks noChangeAspect="1" noChangeArrowheads="1"/>
        </xdr:cNvSpPr>
      </xdr:nvSpPr>
      <xdr:spPr bwMode="auto">
        <a:xfrm>
          <a:off x="0" y="3595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5" name="AutoShape 973" descr="Buffalo Sabres">
          <a:extLst>
            <a:ext uri="{FF2B5EF4-FFF2-40B4-BE49-F238E27FC236}">
              <a16:creationId xmlns:a16="http://schemas.microsoft.com/office/drawing/2014/main" xmlns="" id="{00000000-0008-0000-0D00-0000CD0F0000}"/>
            </a:ext>
          </a:extLst>
        </xdr:cNvPr>
        <xdr:cNvSpPr>
          <a:spLocks noChangeAspect="1" noChangeArrowheads="1"/>
        </xdr:cNvSpPr>
      </xdr:nvSpPr>
      <xdr:spPr bwMode="auto">
        <a:xfrm>
          <a:off x="0" y="3599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6" name="AutoShape 974" descr="St Louis Blues">
          <a:extLst>
            <a:ext uri="{FF2B5EF4-FFF2-40B4-BE49-F238E27FC236}">
              <a16:creationId xmlns:a16="http://schemas.microsoft.com/office/drawing/2014/main" xmlns="" id="{00000000-0008-0000-0D00-0000CE0F0000}"/>
            </a:ext>
          </a:extLst>
        </xdr:cNvPr>
        <xdr:cNvSpPr>
          <a:spLocks noChangeAspect="1" noChangeArrowheads="1"/>
        </xdr:cNvSpPr>
      </xdr:nvSpPr>
      <xdr:spPr bwMode="auto">
        <a:xfrm>
          <a:off x="0" y="3603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47" name="AutoShape 975" descr="Washington Capitals">
          <a:extLst>
            <a:ext uri="{FF2B5EF4-FFF2-40B4-BE49-F238E27FC236}">
              <a16:creationId xmlns:a16="http://schemas.microsoft.com/office/drawing/2014/main" xmlns="" id="{00000000-0008-0000-0D00-0000CF0F0000}"/>
            </a:ext>
          </a:extLst>
        </xdr:cNvPr>
        <xdr:cNvSpPr>
          <a:spLocks noChangeAspect="1" noChangeArrowheads="1"/>
        </xdr:cNvSpPr>
      </xdr:nvSpPr>
      <xdr:spPr bwMode="auto">
        <a:xfrm>
          <a:off x="0" y="3606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8" name="AutoShape 976" descr="New Jersey Devils">
          <a:extLst>
            <a:ext uri="{FF2B5EF4-FFF2-40B4-BE49-F238E27FC236}">
              <a16:creationId xmlns:a16="http://schemas.microsoft.com/office/drawing/2014/main" xmlns="" id="{00000000-0008-0000-0D00-0000D00F0000}"/>
            </a:ext>
          </a:extLst>
        </xdr:cNvPr>
        <xdr:cNvSpPr>
          <a:spLocks noChangeAspect="1" noChangeArrowheads="1"/>
        </xdr:cNvSpPr>
      </xdr:nvSpPr>
      <xdr:spPr bwMode="auto">
        <a:xfrm>
          <a:off x="0" y="3608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9" name="AutoShape 977" descr="Tampa Bay Lightning">
          <a:extLst>
            <a:ext uri="{FF2B5EF4-FFF2-40B4-BE49-F238E27FC236}">
              <a16:creationId xmlns:a16="http://schemas.microsoft.com/office/drawing/2014/main" xmlns="" id="{00000000-0008-0000-0D00-0000D10F0000}"/>
            </a:ext>
          </a:extLst>
        </xdr:cNvPr>
        <xdr:cNvSpPr>
          <a:spLocks noChangeAspect="1" noChangeArrowheads="1"/>
        </xdr:cNvSpPr>
      </xdr:nvSpPr>
      <xdr:spPr bwMode="auto">
        <a:xfrm>
          <a:off x="0" y="3612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0" name="AutoShape 978" descr="Detroit Red Wings">
          <a:extLst>
            <a:ext uri="{FF2B5EF4-FFF2-40B4-BE49-F238E27FC236}">
              <a16:creationId xmlns:a16="http://schemas.microsoft.com/office/drawing/2014/main" xmlns="" id="{00000000-0008-0000-0D00-0000D20F0000}"/>
            </a:ext>
          </a:extLst>
        </xdr:cNvPr>
        <xdr:cNvSpPr>
          <a:spLocks noChangeAspect="1" noChangeArrowheads="1"/>
        </xdr:cNvSpPr>
      </xdr:nvSpPr>
      <xdr:spPr bwMode="auto">
        <a:xfrm>
          <a:off x="0" y="3615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1" name="AutoShape 979" descr="Toronto Maple Leafs">
          <a:extLst>
            <a:ext uri="{FF2B5EF4-FFF2-40B4-BE49-F238E27FC236}">
              <a16:creationId xmlns:a16="http://schemas.microsoft.com/office/drawing/2014/main" xmlns="" id="{00000000-0008-0000-0D00-0000D30F0000}"/>
            </a:ext>
          </a:extLst>
        </xdr:cNvPr>
        <xdr:cNvSpPr>
          <a:spLocks noChangeAspect="1" noChangeArrowheads="1"/>
        </xdr:cNvSpPr>
      </xdr:nvSpPr>
      <xdr:spPr bwMode="auto">
        <a:xfrm>
          <a:off x="0" y="3619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2" name="AutoShape 980" descr="Buffalo Sabres">
          <a:extLst>
            <a:ext uri="{FF2B5EF4-FFF2-40B4-BE49-F238E27FC236}">
              <a16:creationId xmlns:a16="http://schemas.microsoft.com/office/drawing/2014/main" xmlns="" id="{00000000-0008-0000-0D00-0000D40F0000}"/>
            </a:ext>
          </a:extLst>
        </xdr:cNvPr>
        <xdr:cNvSpPr>
          <a:spLocks noChangeAspect="1" noChangeArrowheads="1"/>
        </xdr:cNvSpPr>
      </xdr:nvSpPr>
      <xdr:spPr bwMode="auto">
        <a:xfrm>
          <a:off x="0" y="3623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53" name="AutoShape 981" descr="Vegas Golden Knights">
          <a:extLst>
            <a:ext uri="{FF2B5EF4-FFF2-40B4-BE49-F238E27FC236}">
              <a16:creationId xmlns:a16="http://schemas.microsoft.com/office/drawing/2014/main" xmlns="" id="{00000000-0008-0000-0D00-0000D50F0000}"/>
            </a:ext>
          </a:extLst>
        </xdr:cNvPr>
        <xdr:cNvSpPr>
          <a:spLocks noChangeAspect="1" noChangeArrowheads="1"/>
        </xdr:cNvSpPr>
      </xdr:nvSpPr>
      <xdr:spPr bwMode="auto">
        <a:xfrm>
          <a:off x="0" y="3626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4" name="AutoShape 982" descr="New York Islanders">
          <a:extLst>
            <a:ext uri="{FF2B5EF4-FFF2-40B4-BE49-F238E27FC236}">
              <a16:creationId xmlns:a16="http://schemas.microsoft.com/office/drawing/2014/main" xmlns="" id="{00000000-0008-0000-0D00-0000D60F0000}"/>
            </a:ext>
          </a:extLst>
        </xdr:cNvPr>
        <xdr:cNvSpPr>
          <a:spLocks noChangeAspect="1" noChangeArrowheads="1"/>
        </xdr:cNvSpPr>
      </xdr:nvSpPr>
      <xdr:spPr bwMode="auto">
        <a:xfrm>
          <a:off x="0" y="36287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5" name="AutoShape 983" descr="Pittsburgh Penguins">
          <a:extLst>
            <a:ext uri="{FF2B5EF4-FFF2-40B4-BE49-F238E27FC236}">
              <a16:creationId xmlns:a16="http://schemas.microsoft.com/office/drawing/2014/main" xmlns="" id="{00000000-0008-0000-0D00-0000D70F0000}"/>
            </a:ext>
          </a:extLst>
        </xdr:cNvPr>
        <xdr:cNvSpPr>
          <a:spLocks noChangeAspect="1" noChangeArrowheads="1"/>
        </xdr:cNvSpPr>
      </xdr:nvSpPr>
      <xdr:spPr bwMode="auto">
        <a:xfrm>
          <a:off x="0" y="3630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6" name="AutoShape 984" descr="Philadelphia Flyers">
          <a:extLst>
            <a:ext uri="{FF2B5EF4-FFF2-40B4-BE49-F238E27FC236}">
              <a16:creationId xmlns:a16="http://schemas.microsoft.com/office/drawing/2014/main" xmlns="" id="{00000000-0008-0000-0D00-0000D80F0000}"/>
            </a:ext>
          </a:extLst>
        </xdr:cNvPr>
        <xdr:cNvSpPr>
          <a:spLocks noChangeAspect="1" noChangeArrowheads="1"/>
        </xdr:cNvSpPr>
      </xdr:nvSpPr>
      <xdr:spPr bwMode="auto">
        <a:xfrm>
          <a:off x="0" y="3634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7" name="AutoShape 985" descr="Toronto Maple Leafs">
          <a:extLst>
            <a:ext uri="{FF2B5EF4-FFF2-40B4-BE49-F238E27FC236}">
              <a16:creationId xmlns:a16="http://schemas.microsoft.com/office/drawing/2014/main" xmlns="" id="{00000000-0008-0000-0D00-0000D90F0000}"/>
            </a:ext>
          </a:extLst>
        </xdr:cNvPr>
        <xdr:cNvSpPr>
          <a:spLocks noChangeAspect="1" noChangeArrowheads="1"/>
        </xdr:cNvSpPr>
      </xdr:nvSpPr>
      <xdr:spPr bwMode="auto">
        <a:xfrm>
          <a:off x="0" y="3637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8" name="AutoShape 986" descr="Vancouver Canucks">
          <a:extLst>
            <a:ext uri="{FF2B5EF4-FFF2-40B4-BE49-F238E27FC236}">
              <a16:creationId xmlns:a16="http://schemas.microsoft.com/office/drawing/2014/main" xmlns="" id="{00000000-0008-0000-0D00-0000DA0F0000}"/>
            </a:ext>
          </a:extLst>
        </xdr:cNvPr>
        <xdr:cNvSpPr>
          <a:spLocks noChangeAspect="1" noChangeArrowheads="1"/>
        </xdr:cNvSpPr>
      </xdr:nvSpPr>
      <xdr:spPr bwMode="auto">
        <a:xfrm>
          <a:off x="0" y="3641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9" name="AutoShape 987" descr="Dallas Stars">
          <a:extLst>
            <a:ext uri="{FF2B5EF4-FFF2-40B4-BE49-F238E27FC236}">
              <a16:creationId xmlns:a16="http://schemas.microsoft.com/office/drawing/2014/main" xmlns="" id="{00000000-0008-0000-0D00-0000DB0F0000}"/>
            </a:ext>
          </a:extLst>
        </xdr:cNvPr>
        <xdr:cNvSpPr>
          <a:spLocks noChangeAspect="1" noChangeArrowheads="1"/>
        </xdr:cNvSpPr>
      </xdr:nvSpPr>
      <xdr:spPr bwMode="auto">
        <a:xfrm>
          <a:off x="0" y="3645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0" name="AutoShape 988" descr="Arizona Coyotes">
          <a:extLst>
            <a:ext uri="{FF2B5EF4-FFF2-40B4-BE49-F238E27FC236}">
              <a16:creationId xmlns:a16="http://schemas.microsoft.com/office/drawing/2014/main" xmlns="" id="{00000000-0008-0000-0D00-0000DC0F0000}"/>
            </a:ext>
          </a:extLst>
        </xdr:cNvPr>
        <xdr:cNvSpPr>
          <a:spLocks noChangeAspect="1" noChangeArrowheads="1"/>
        </xdr:cNvSpPr>
      </xdr:nvSpPr>
      <xdr:spPr bwMode="auto">
        <a:xfrm>
          <a:off x="0" y="36470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1" name="AutoShape 989" descr="Columbus Blue Jackets">
          <a:extLst>
            <a:ext uri="{FF2B5EF4-FFF2-40B4-BE49-F238E27FC236}">
              <a16:creationId xmlns:a16="http://schemas.microsoft.com/office/drawing/2014/main" xmlns="" id="{00000000-0008-0000-0D00-0000DD0F0000}"/>
            </a:ext>
          </a:extLst>
        </xdr:cNvPr>
        <xdr:cNvSpPr>
          <a:spLocks noChangeAspect="1" noChangeArrowheads="1"/>
        </xdr:cNvSpPr>
      </xdr:nvSpPr>
      <xdr:spPr bwMode="auto">
        <a:xfrm>
          <a:off x="0" y="36506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2" name="AutoShape 990" descr="Dallas Stars">
          <a:extLst>
            <a:ext uri="{FF2B5EF4-FFF2-40B4-BE49-F238E27FC236}">
              <a16:creationId xmlns:a16="http://schemas.microsoft.com/office/drawing/2014/main" xmlns="" id="{00000000-0008-0000-0D00-0000DE0F0000}"/>
            </a:ext>
          </a:extLst>
        </xdr:cNvPr>
        <xdr:cNvSpPr>
          <a:spLocks noChangeAspect="1" noChangeArrowheads="1"/>
        </xdr:cNvSpPr>
      </xdr:nvSpPr>
      <xdr:spPr bwMode="auto">
        <a:xfrm>
          <a:off x="0" y="36543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3" name="AutoShape 991" descr="New Jersey Devils">
          <a:extLst>
            <a:ext uri="{FF2B5EF4-FFF2-40B4-BE49-F238E27FC236}">
              <a16:creationId xmlns:a16="http://schemas.microsoft.com/office/drawing/2014/main" xmlns="" id="{00000000-0008-0000-0D00-0000DF0F0000}"/>
            </a:ext>
          </a:extLst>
        </xdr:cNvPr>
        <xdr:cNvSpPr>
          <a:spLocks noChangeAspect="1" noChangeArrowheads="1"/>
        </xdr:cNvSpPr>
      </xdr:nvSpPr>
      <xdr:spPr bwMode="auto">
        <a:xfrm>
          <a:off x="0" y="36579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4" name="AutoShape 992" descr="Ottawa Senators">
          <a:extLst>
            <a:ext uri="{FF2B5EF4-FFF2-40B4-BE49-F238E27FC236}">
              <a16:creationId xmlns:a16="http://schemas.microsoft.com/office/drawing/2014/main" xmlns="" id="{00000000-0008-0000-0D00-0000E00F0000}"/>
            </a:ext>
          </a:extLst>
        </xdr:cNvPr>
        <xdr:cNvSpPr>
          <a:spLocks noChangeAspect="1" noChangeArrowheads="1"/>
        </xdr:cNvSpPr>
      </xdr:nvSpPr>
      <xdr:spPr bwMode="auto">
        <a:xfrm>
          <a:off x="0" y="3661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5" name="AutoShape 993" descr="San Jose Sharks">
          <a:extLst>
            <a:ext uri="{FF2B5EF4-FFF2-40B4-BE49-F238E27FC236}">
              <a16:creationId xmlns:a16="http://schemas.microsoft.com/office/drawing/2014/main" xmlns="" id="{00000000-0008-0000-0D00-0000E10F0000}"/>
            </a:ext>
          </a:extLst>
        </xdr:cNvPr>
        <xdr:cNvSpPr>
          <a:spLocks noChangeAspect="1" noChangeArrowheads="1"/>
        </xdr:cNvSpPr>
      </xdr:nvSpPr>
      <xdr:spPr bwMode="auto">
        <a:xfrm>
          <a:off x="0" y="36652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6" name="AutoShape 994" descr="Carolina Hurricanes">
          <a:extLst>
            <a:ext uri="{FF2B5EF4-FFF2-40B4-BE49-F238E27FC236}">
              <a16:creationId xmlns:a16="http://schemas.microsoft.com/office/drawing/2014/main" xmlns="" id="{00000000-0008-0000-0D00-0000E20F0000}"/>
            </a:ext>
          </a:extLst>
        </xdr:cNvPr>
        <xdr:cNvSpPr>
          <a:spLocks noChangeAspect="1" noChangeArrowheads="1"/>
        </xdr:cNvSpPr>
      </xdr:nvSpPr>
      <xdr:spPr bwMode="auto">
        <a:xfrm>
          <a:off x="0" y="3667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7" name="AutoShape 995" descr="Tampa Bay Lightning">
          <a:extLst>
            <a:ext uri="{FF2B5EF4-FFF2-40B4-BE49-F238E27FC236}">
              <a16:creationId xmlns:a16="http://schemas.microsoft.com/office/drawing/2014/main" xmlns="" id="{00000000-0008-0000-0D00-0000E30F0000}"/>
            </a:ext>
          </a:extLst>
        </xdr:cNvPr>
        <xdr:cNvSpPr>
          <a:spLocks noChangeAspect="1" noChangeArrowheads="1"/>
        </xdr:cNvSpPr>
      </xdr:nvSpPr>
      <xdr:spPr bwMode="auto">
        <a:xfrm>
          <a:off x="0" y="3668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8" name="AutoShape 996" descr="Colorado Avalanche">
          <a:extLst>
            <a:ext uri="{FF2B5EF4-FFF2-40B4-BE49-F238E27FC236}">
              <a16:creationId xmlns:a16="http://schemas.microsoft.com/office/drawing/2014/main" xmlns="" id="{00000000-0008-0000-0D00-0000E40F0000}"/>
            </a:ext>
          </a:extLst>
        </xdr:cNvPr>
        <xdr:cNvSpPr>
          <a:spLocks noChangeAspect="1" noChangeArrowheads="1"/>
        </xdr:cNvSpPr>
      </xdr:nvSpPr>
      <xdr:spPr bwMode="auto">
        <a:xfrm>
          <a:off x="0" y="3672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9" name="AutoShape 997" descr="Detroit Red Wings">
          <a:extLst>
            <a:ext uri="{FF2B5EF4-FFF2-40B4-BE49-F238E27FC236}">
              <a16:creationId xmlns:a16="http://schemas.microsoft.com/office/drawing/2014/main" xmlns="" id="{00000000-0008-0000-0D00-0000E50F0000}"/>
            </a:ext>
          </a:extLst>
        </xdr:cNvPr>
        <xdr:cNvSpPr>
          <a:spLocks noChangeAspect="1" noChangeArrowheads="1"/>
        </xdr:cNvSpPr>
      </xdr:nvSpPr>
      <xdr:spPr bwMode="auto">
        <a:xfrm>
          <a:off x="0" y="3676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0" name="AutoShape 998" descr="Florida Panthers">
          <a:extLst>
            <a:ext uri="{FF2B5EF4-FFF2-40B4-BE49-F238E27FC236}">
              <a16:creationId xmlns:a16="http://schemas.microsoft.com/office/drawing/2014/main" xmlns="" id="{00000000-0008-0000-0D00-0000E60F0000}"/>
            </a:ext>
          </a:extLst>
        </xdr:cNvPr>
        <xdr:cNvSpPr>
          <a:spLocks noChangeAspect="1" noChangeArrowheads="1"/>
        </xdr:cNvSpPr>
      </xdr:nvSpPr>
      <xdr:spPr bwMode="auto">
        <a:xfrm>
          <a:off x="0" y="36799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1" name="AutoShape 999" descr="Detroit Red Wings">
          <a:extLst>
            <a:ext uri="{FF2B5EF4-FFF2-40B4-BE49-F238E27FC236}">
              <a16:creationId xmlns:a16="http://schemas.microsoft.com/office/drawing/2014/main" xmlns="" id="{00000000-0008-0000-0D00-0000E70F0000}"/>
            </a:ext>
          </a:extLst>
        </xdr:cNvPr>
        <xdr:cNvSpPr>
          <a:spLocks noChangeAspect="1" noChangeArrowheads="1"/>
        </xdr:cNvSpPr>
      </xdr:nvSpPr>
      <xdr:spPr bwMode="auto">
        <a:xfrm>
          <a:off x="0" y="36835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2" name="AutoShape 1000" descr="Dallas Stars">
          <a:extLst>
            <a:ext uri="{FF2B5EF4-FFF2-40B4-BE49-F238E27FC236}">
              <a16:creationId xmlns:a16="http://schemas.microsoft.com/office/drawing/2014/main" xmlns="" id="{00000000-0008-0000-0D00-0000E80F0000}"/>
            </a:ext>
          </a:extLst>
        </xdr:cNvPr>
        <xdr:cNvSpPr>
          <a:spLocks noChangeAspect="1" noChangeArrowheads="1"/>
        </xdr:cNvSpPr>
      </xdr:nvSpPr>
      <xdr:spPr bwMode="auto">
        <a:xfrm>
          <a:off x="0" y="36872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73" name="AutoShape 1001" descr="Philadelphia Flyers">
          <a:extLst>
            <a:ext uri="{FF2B5EF4-FFF2-40B4-BE49-F238E27FC236}">
              <a16:creationId xmlns:a16="http://schemas.microsoft.com/office/drawing/2014/main" xmlns="" id="{00000000-0008-0000-0D00-0000E90F0000}"/>
            </a:ext>
          </a:extLst>
        </xdr:cNvPr>
        <xdr:cNvSpPr>
          <a:spLocks noChangeAspect="1" noChangeArrowheads="1"/>
        </xdr:cNvSpPr>
      </xdr:nvSpPr>
      <xdr:spPr bwMode="auto">
        <a:xfrm>
          <a:off x="0" y="36908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4" name="AutoShape 1002" descr="Tampa Bay Lightning">
          <a:extLst>
            <a:ext uri="{FF2B5EF4-FFF2-40B4-BE49-F238E27FC236}">
              <a16:creationId xmlns:a16="http://schemas.microsoft.com/office/drawing/2014/main" xmlns="" id="{00000000-0008-0000-0D00-0000EA0F0000}"/>
            </a:ext>
          </a:extLst>
        </xdr:cNvPr>
        <xdr:cNvSpPr>
          <a:spLocks noChangeAspect="1" noChangeArrowheads="1"/>
        </xdr:cNvSpPr>
      </xdr:nvSpPr>
      <xdr:spPr bwMode="auto">
        <a:xfrm>
          <a:off x="0" y="3692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5" name="AutoShape 1003" descr="Ottawa Senators">
          <a:extLst>
            <a:ext uri="{FF2B5EF4-FFF2-40B4-BE49-F238E27FC236}">
              <a16:creationId xmlns:a16="http://schemas.microsoft.com/office/drawing/2014/main" xmlns="" id="{00000000-0008-0000-0D00-0000EB0F0000}"/>
            </a:ext>
          </a:extLst>
        </xdr:cNvPr>
        <xdr:cNvSpPr>
          <a:spLocks noChangeAspect="1" noChangeArrowheads="1"/>
        </xdr:cNvSpPr>
      </xdr:nvSpPr>
      <xdr:spPr bwMode="auto">
        <a:xfrm>
          <a:off x="0" y="3696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6" name="AutoShape 1004" descr="New Jersey Devils">
          <a:extLst>
            <a:ext uri="{FF2B5EF4-FFF2-40B4-BE49-F238E27FC236}">
              <a16:creationId xmlns:a16="http://schemas.microsoft.com/office/drawing/2014/main" xmlns="" id="{00000000-0008-0000-0D00-0000EC0F0000}"/>
            </a:ext>
          </a:extLst>
        </xdr:cNvPr>
        <xdr:cNvSpPr>
          <a:spLocks noChangeAspect="1" noChangeArrowheads="1"/>
        </xdr:cNvSpPr>
      </xdr:nvSpPr>
      <xdr:spPr bwMode="auto">
        <a:xfrm>
          <a:off x="0" y="3700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7" name="AutoShape 1005" descr="Calgary Flames">
          <a:extLst>
            <a:ext uri="{FF2B5EF4-FFF2-40B4-BE49-F238E27FC236}">
              <a16:creationId xmlns:a16="http://schemas.microsoft.com/office/drawing/2014/main" xmlns="" id="{00000000-0008-0000-0D00-0000ED0F0000}"/>
            </a:ext>
          </a:extLst>
        </xdr:cNvPr>
        <xdr:cNvSpPr>
          <a:spLocks noChangeAspect="1" noChangeArrowheads="1"/>
        </xdr:cNvSpPr>
      </xdr:nvSpPr>
      <xdr:spPr bwMode="auto">
        <a:xfrm>
          <a:off x="0" y="37037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8" name="AutoShape 1006" descr="New York Rangers">
          <a:extLst>
            <a:ext uri="{FF2B5EF4-FFF2-40B4-BE49-F238E27FC236}">
              <a16:creationId xmlns:a16="http://schemas.microsoft.com/office/drawing/2014/main" xmlns="" id="{00000000-0008-0000-0D00-0000EE0F0000}"/>
            </a:ext>
          </a:extLst>
        </xdr:cNvPr>
        <xdr:cNvSpPr>
          <a:spLocks noChangeAspect="1" noChangeArrowheads="1"/>
        </xdr:cNvSpPr>
      </xdr:nvSpPr>
      <xdr:spPr bwMode="auto">
        <a:xfrm>
          <a:off x="0" y="3705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9" name="AutoShape 1007" descr="Montreal Canadiens">
          <a:extLst>
            <a:ext uri="{FF2B5EF4-FFF2-40B4-BE49-F238E27FC236}">
              <a16:creationId xmlns:a16="http://schemas.microsoft.com/office/drawing/2014/main" xmlns="" id="{00000000-0008-0000-0D00-0000EF0F0000}"/>
            </a:ext>
          </a:extLst>
        </xdr:cNvPr>
        <xdr:cNvSpPr>
          <a:spLocks noChangeAspect="1" noChangeArrowheads="1"/>
        </xdr:cNvSpPr>
      </xdr:nvSpPr>
      <xdr:spPr bwMode="auto">
        <a:xfrm>
          <a:off x="0" y="3709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80" name="AutoShape 1008" descr="Minnesota Wild">
          <a:extLst>
            <a:ext uri="{FF2B5EF4-FFF2-40B4-BE49-F238E27FC236}">
              <a16:creationId xmlns:a16="http://schemas.microsoft.com/office/drawing/2014/main" xmlns="" id="{00000000-0008-0000-0D00-0000F00F0000}"/>
            </a:ext>
          </a:extLst>
        </xdr:cNvPr>
        <xdr:cNvSpPr>
          <a:spLocks noChangeAspect="1" noChangeArrowheads="1"/>
        </xdr:cNvSpPr>
      </xdr:nvSpPr>
      <xdr:spPr bwMode="auto">
        <a:xfrm>
          <a:off x="0" y="37110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81" name="AutoShape 1009" descr="Los Angeles Kings">
          <a:extLst>
            <a:ext uri="{FF2B5EF4-FFF2-40B4-BE49-F238E27FC236}">
              <a16:creationId xmlns:a16="http://schemas.microsoft.com/office/drawing/2014/main" xmlns="" id="{00000000-0008-0000-0D00-0000F10F0000}"/>
            </a:ext>
          </a:extLst>
        </xdr:cNvPr>
        <xdr:cNvSpPr>
          <a:spLocks noChangeAspect="1" noChangeArrowheads="1"/>
        </xdr:cNvSpPr>
      </xdr:nvSpPr>
      <xdr:spPr bwMode="auto">
        <a:xfrm>
          <a:off x="0" y="3712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2" name="AutoShape 1010" descr="New Jersey Devils">
          <a:extLst>
            <a:ext uri="{FF2B5EF4-FFF2-40B4-BE49-F238E27FC236}">
              <a16:creationId xmlns:a16="http://schemas.microsoft.com/office/drawing/2014/main" xmlns="" id="{00000000-0008-0000-0D00-0000F20F0000}"/>
            </a:ext>
          </a:extLst>
        </xdr:cNvPr>
        <xdr:cNvSpPr>
          <a:spLocks noChangeAspect="1" noChangeArrowheads="1"/>
        </xdr:cNvSpPr>
      </xdr:nvSpPr>
      <xdr:spPr bwMode="auto">
        <a:xfrm>
          <a:off x="0" y="37146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3" name="AutoShape 1011" descr="Chicago Blackhawks">
          <a:extLst>
            <a:ext uri="{FF2B5EF4-FFF2-40B4-BE49-F238E27FC236}">
              <a16:creationId xmlns:a16="http://schemas.microsoft.com/office/drawing/2014/main" xmlns="" id="{00000000-0008-0000-0D00-0000F30F0000}"/>
            </a:ext>
          </a:extLst>
        </xdr:cNvPr>
        <xdr:cNvSpPr>
          <a:spLocks noChangeAspect="1" noChangeArrowheads="1"/>
        </xdr:cNvSpPr>
      </xdr:nvSpPr>
      <xdr:spPr bwMode="auto">
        <a:xfrm>
          <a:off x="0" y="37183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4" name="AutoShape 1012" descr="Toronto Maple Leafs">
          <a:extLst>
            <a:ext uri="{FF2B5EF4-FFF2-40B4-BE49-F238E27FC236}">
              <a16:creationId xmlns:a16="http://schemas.microsoft.com/office/drawing/2014/main" xmlns="" id="{00000000-0008-0000-0D00-0000F40F0000}"/>
            </a:ext>
          </a:extLst>
        </xdr:cNvPr>
        <xdr:cNvSpPr>
          <a:spLocks noChangeAspect="1" noChangeArrowheads="1"/>
        </xdr:cNvSpPr>
      </xdr:nvSpPr>
      <xdr:spPr bwMode="auto">
        <a:xfrm>
          <a:off x="0" y="37219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5" name="AutoShape 1013" descr="Arizona Coyotes">
          <a:extLst>
            <a:ext uri="{FF2B5EF4-FFF2-40B4-BE49-F238E27FC236}">
              <a16:creationId xmlns:a16="http://schemas.microsoft.com/office/drawing/2014/main" xmlns="" id="{00000000-0008-0000-0D00-0000F50F0000}"/>
            </a:ext>
          </a:extLst>
        </xdr:cNvPr>
        <xdr:cNvSpPr>
          <a:spLocks noChangeAspect="1" noChangeArrowheads="1"/>
        </xdr:cNvSpPr>
      </xdr:nvSpPr>
      <xdr:spPr bwMode="auto">
        <a:xfrm>
          <a:off x="0" y="37256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6" name="AutoShape 1014" descr="Toronto Maple Leafs">
          <a:extLst>
            <a:ext uri="{FF2B5EF4-FFF2-40B4-BE49-F238E27FC236}">
              <a16:creationId xmlns:a16="http://schemas.microsoft.com/office/drawing/2014/main" xmlns="" id="{00000000-0008-0000-0D00-0000F60F0000}"/>
            </a:ext>
          </a:extLst>
        </xdr:cNvPr>
        <xdr:cNvSpPr>
          <a:spLocks noChangeAspect="1" noChangeArrowheads="1"/>
        </xdr:cNvSpPr>
      </xdr:nvSpPr>
      <xdr:spPr bwMode="auto">
        <a:xfrm>
          <a:off x="0" y="3729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7" name="AutoShape 1015" descr="Philadelphia Flyers">
          <a:extLst>
            <a:ext uri="{FF2B5EF4-FFF2-40B4-BE49-F238E27FC236}">
              <a16:creationId xmlns:a16="http://schemas.microsoft.com/office/drawing/2014/main" xmlns="" id="{00000000-0008-0000-0D00-0000F70F0000}"/>
            </a:ext>
          </a:extLst>
        </xdr:cNvPr>
        <xdr:cNvSpPr>
          <a:spLocks noChangeAspect="1" noChangeArrowheads="1"/>
        </xdr:cNvSpPr>
      </xdr:nvSpPr>
      <xdr:spPr bwMode="auto">
        <a:xfrm>
          <a:off x="0" y="3732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8" name="AutoShape 1016" descr="Tampa Bay Lightning">
          <a:extLst>
            <a:ext uri="{FF2B5EF4-FFF2-40B4-BE49-F238E27FC236}">
              <a16:creationId xmlns:a16="http://schemas.microsoft.com/office/drawing/2014/main" xmlns="" id="{00000000-0008-0000-0D00-0000F80F0000}"/>
            </a:ext>
          </a:extLst>
        </xdr:cNvPr>
        <xdr:cNvSpPr>
          <a:spLocks noChangeAspect="1" noChangeArrowheads="1"/>
        </xdr:cNvSpPr>
      </xdr:nvSpPr>
      <xdr:spPr bwMode="auto">
        <a:xfrm>
          <a:off x="0" y="37384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9" name="AutoShape 1017" descr="New York Rangers">
          <a:extLst>
            <a:ext uri="{FF2B5EF4-FFF2-40B4-BE49-F238E27FC236}">
              <a16:creationId xmlns:a16="http://schemas.microsoft.com/office/drawing/2014/main" xmlns="" id="{00000000-0008-0000-0D00-0000F90F0000}"/>
            </a:ext>
          </a:extLst>
        </xdr:cNvPr>
        <xdr:cNvSpPr>
          <a:spLocks noChangeAspect="1" noChangeArrowheads="1"/>
        </xdr:cNvSpPr>
      </xdr:nvSpPr>
      <xdr:spPr bwMode="auto">
        <a:xfrm>
          <a:off x="0" y="37421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0" name="AutoShape 1018" descr="Calgary Flames">
          <a:extLst>
            <a:ext uri="{FF2B5EF4-FFF2-40B4-BE49-F238E27FC236}">
              <a16:creationId xmlns:a16="http://schemas.microsoft.com/office/drawing/2014/main" xmlns="" id="{00000000-0008-0000-0D00-0000FA0F0000}"/>
            </a:ext>
          </a:extLst>
        </xdr:cNvPr>
        <xdr:cNvSpPr>
          <a:spLocks noChangeAspect="1" noChangeArrowheads="1"/>
        </xdr:cNvSpPr>
      </xdr:nvSpPr>
      <xdr:spPr bwMode="auto">
        <a:xfrm>
          <a:off x="0" y="37457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1" name="AutoShape 1019" descr="Montreal Canadiens">
          <a:extLst>
            <a:ext uri="{FF2B5EF4-FFF2-40B4-BE49-F238E27FC236}">
              <a16:creationId xmlns:a16="http://schemas.microsoft.com/office/drawing/2014/main" xmlns="" id="{00000000-0008-0000-0D00-0000FB0F0000}"/>
            </a:ext>
          </a:extLst>
        </xdr:cNvPr>
        <xdr:cNvSpPr>
          <a:spLocks noChangeAspect="1" noChangeArrowheads="1"/>
        </xdr:cNvSpPr>
      </xdr:nvSpPr>
      <xdr:spPr bwMode="auto">
        <a:xfrm>
          <a:off x="0" y="37494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2" name="AutoShape 1020" descr="Carolina Hurricanes">
          <a:extLst>
            <a:ext uri="{FF2B5EF4-FFF2-40B4-BE49-F238E27FC236}">
              <a16:creationId xmlns:a16="http://schemas.microsoft.com/office/drawing/2014/main" xmlns="" id="{00000000-0008-0000-0D00-0000FC0F0000}"/>
            </a:ext>
          </a:extLst>
        </xdr:cNvPr>
        <xdr:cNvSpPr>
          <a:spLocks noChangeAspect="1" noChangeArrowheads="1"/>
        </xdr:cNvSpPr>
      </xdr:nvSpPr>
      <xdr:spPr bwMode="auto">
        <a:xfrm>
          <a:off x="0" y="3753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3" name="AutoShape 1021" descr="Tampa Bay Lightning">
          <a:extLst>
            <a:ext uri="{FF2B5EF4-FFF2-40B4-BE49-F238E27FC236}">
              <a16:creationId xmlns:a16="http://schemas.microsoft.com/office/drawing/2014/main" xmlns="" id="{00000000-0008-0000-0D00-0000FD0F0000}"/>
            </a:ext>
          </a:extLst>
        </xdr:cNvPr>
        <xdr:cNvSpPr>
          <a:spLocks noChangeAspect="1" noChangeArrowheads="1"/>
        </xdr:cNvSpPr>
      </xdr:nvSpPr>
      <xdr:spPr bwMode="auto">
        <a:xfrm>
          <a:off x="0" y="3756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4" name="AutoShape 1022" descr="Vancouver Canucks">
          <a:extLst>
            <a:ext uri="{FF2B5EF4-FFF2-40B4-BE49-F238E27FC236}">
              <a16:creationId xmlns:a16="http://schemas.microsoft.com/office/drawing/2014/main" xmlns="" id="{00000000-0008-0000-0D00-0000FE0F0000}"/>
            </a:ext>
          </a:extLst>
        </xdr:cNvPr>
        <xdr:cNvSpPr>
          <a:spLocks noChangeAspect="1" noChangeArrowheads="1"/>
        </xdr:cNvSpPr>
      </xdr:nvSpPr>
      <xdr:spPr bwMode="auto">
        <a:xfrm>
          <a:off x="0" y="3758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5" name="AutoShape 1023" descr="Vancouver Canucks">
          <a:extLst>
            <a:ext uri="{FF2B5EF4-FFF2-40B4-BE49-F238E27FC236}">
              <a16:creationId xmlns:a16="http://schemas.microsoft.com/office/drawing/2014/main" xmlns="" id="{00000000-0008-0000-0D00-0000FF0F0000}"/>
            </a:ext>
          </a:extLst>
        </xdr:cNvPr>
        <xdr:cNvSpPr>
          <a:spLocks noChangeAspect="1" noChangeArrowheads="1"/>
        </xdr:cNvSpPr>
      </xdr:nvSpPr>
      <xdr:spPr bwMode="auto">
        <a:xfrm>
          <a:off x="0" y="37603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6" name="AutoShape 1024" descr="New York Rangers">
          <a:extLst>
            <a:ext uri="{FF2B5EF4-FFF2-40B4-BE49-F238E27FC236}">
              <a16:creationId xmlns:a16="http://schemas.microsoft.com/office/drawing/2014/main" xmlns="" id="{00000000-0008-0000-0D00-000000100000}"/>
            </a:ext>
          </a:extLst>
        </xdr:cNvPr>
        <xdr:cNvSpPr>
          <a:spLocks noChangeAspect="1" noChangeArrowheads="1"/>
        </xdr:cNvSpPr>
      </xdr:nvSpPr>
      <xdr:spPr bwMode="auto">
        <a:xfrm>
          <a:off x="0" y="3764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97" name="AutoShape 1025" descr="St Louis Blues">
          <a:extLst>
            <a:ext uri="{FF2B5EF4-FFF2-40B4-BE49-F238E27FC236}">
              <a16:creationId xmlns:a16="http://schemas.microsoft.com/office/drawing/2014/main" xmlns="" id="{00000000-0008-0000-0D00-000001100000}"/>
            </a:ext>
          </a:extLst>
        </xdr:cNvPr>
        <xdr:cNvSpPr>
          <a:spLocks noChangeAspect="1" noChangeArrowheads="1"/>
        </xdr:cNvSpPr>
      </xdr:nvSpPr>
      <xdr:spPr bwMode="auto">
        <a:xfrm>
          <a:off x="0" y="3767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8" name="AutoShape 1026" descr="Philadelphia Flyers">
          <a:extLst>
            <a:ext uri="{FF2B5EF4-FFF2-40B4-BE49-F238E27FC236}">
              <a16:creationId xmlns:a16="http://schemas.microsoft.com/office/drawing/2014/main" xmlns="" id="{00000000-0008-0000-0D00-000002100000}"/>
            </a:ext>
          </a:extLst>
        </xdr:cNvPr>
        <xdr:cNvSpPr>
          <a:spLocks noChangeAspect="1" noChangeArrowheads="1"/>
        </xdr:cNvSpPr>
      </xdr:nvSpPr>
      <xdr:spPr bwMode="auto">
        <a:xfrm>
          <a:off x="0" y="37695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9" name="AutoShape 1027" descr="Minnesota Wild">
          <a:extLst>
            <a:ext uri="{FF2B5EF4-FFF2-40B4-BE49-F238E27FC236}">
              <a16:creationId xmlns:a16="http://schemas.microsoft.com/office/drawing/2014/main" xmlns="" id="{00000000-0008-0000-0D00-000003100000}"/>
            </a:ext>
          </a:extLst>
        </xdr:cNvPr>
        <xdr:cNvSpPr>
          <a:spLocks noChangeAspect="1" noChangeArrowheads="1"/>
        </xdr:cNvSpPr>
      </xdr:nvSpPr>
      <xdr:spPr bwMode="auto">
        <a:xfrm>
          <a:off x="0" y="3773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0" name="AutoShape 1028" descr="Winnipeg Jets">
          <a:extLst>
            <a:ext uri="{FF2B5EF4-FFF2-40B4-BE49-F238E27FC236}">
              <a16:creationId xmlns:a16="http://schemas.microsoft.com/office/drawing/2014/main" xmlns="" id="{00000000-0008-0000-0D00-000004100000}"/>
            </a:ext>
          </a:extLst>
        </xdr:cNvPr>
        <xdr:cNvSpPr>
          <a:spLocks noChangeAspect="1" noChangeArrowheads="1"/>
        </xdr:cNvSpPr>
      </xdr:nvSpPr>
      <xdr:spPr bwMode="auto">
        <a:xfrm>
          <a:off x="0" y="3776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1" name="AutoShape 1029" descr="Calgary Flames">
          <a:extLst>
            <a:ext uri="{FF2B5EF4-FFF2-40B4-BE49-F238E27FC236}">
              <a16:creationId xmlns:a16="http://schemas.microsoft.com/office/drawing/2014/main" xmlns="" id="{00000000-0008-0000-0D00-000005100000}"/>
            </a:ext>
          </a:extLst>
        </xdr:cNvPr>
        <xdr:cNvSpPr>
          <a:spLocks noChangeAspect="1" noChangeArrowheads="1"/>
        </xdr:cNvSpPr>
      </xdr:nvSpPr>
      <xdr:spPr bwMode="auto">
        <a:xfrm>
          <a:off x="0" y="3780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02" name="AutoShape 1030" descr="Arizona Coyotes">
          <a:extLst>
            <a:ext uri="{FF2B5EF4-FFF2-40B4-BE49-F238E27FC236}">
              <a16:creationId xmlns:a16="http://schemas.microsoft.com/office/drawing/2014/main" xmlns="" id="{00000000-0008-0000-0D00-000006100000}"/>
            </a:ext>
          </a:extLst>
        </xdr:cNvPr>
        <xdr:cNvSpPr>
          <a:spLocks noChangeAspect="1" noChangeArrowheads="1"/>
        </xdr:cNvSpPr>
      </xdr:nvSpPr>
      <xdr:spPr bwMode="auto">
        <a:xfrm>
          <a:off x="0" y="37841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3" name="AutoShape 1031" descr="Detroit Red Wings">
          <a:extLst>
            <a:ext uri="{FF2B5EF4-FFF2-40B4-BE49-F238E27FC236}">
              <a16:creationId xmlns:a16="http://schemas.microsoft.com/office/drawing/2014/main" xmlns="" id="{00000000-0008-0000-0D00-000007100000}"/>
            </a:ext>
          </a:extLst>
        </xdr:cNvPr>
        <xdr:cNvSpPr>
          <a:spLocks noChangeAspect="1" noChangeArrowheads="1"/>
        </xdr:cNvSpPr>
      </xdr:nvSpPr>
      <xdr:spPr bwMode="auto">
        <a:xfrm>
          <a:off x="0" y="3785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4" name="AutoShape 1032" descr="Dallas Stars">
          <a:extLst>
            <a:ext uri="{FF2B5EF4-FFF2-40B4-BE49-F238E27FC236}">
              <a16:creationId xmlns:a16="http://schemas.microsoft.com/office/drawing/2014/main" xmlns="" id="{00000000-0008-0000-0D00-000008100000}"/>
            </a:ext>
          </a:extLst>
        </xdr:cNvPr>
        <xdr:cNvSpPr>
          <a:spLocks noChangeAspect="1" noChangeArrowheads="1"/>
        </xdr:cNvSpPr>
      </xdr:nvSpPr>
      <xdr:spPr bwMode="auto">
        <a:xfrm>
          <a:off x="0" y="3789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5" name="AutoShape 1033" descr="Nashville Predators">
          <a:extLst>
            <a:ext uri="{FF2B5EF4-FFF2-40B4-BE49-F238E27FC236}">
              <a16:creationId xmlns:a16="http://schemas.microsoft.com/office/drawing/2014/main" xmlns="" id="{00000000-0008-0000-0D00-000009100000}"/>
            </a:ext>
          </a:extLst>
        </xdr:cNvPr>
        <xdr:cNvSpPr>
          <a:spLocks noChangeAspect="1" noChangeArrowheads="1"/>
        </xdr:cNvSpPr>
      </xdr:nvSpPr>
      <xdr:spPr bwMode="auto">
        <a:xfrm>
          <a:off x="0" y="3793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6" name="AutoShape 1034" descr="Detroit Red Wings">
          <a:extLst>
            <a:ext uri="{FF2B5EF4-FFF2-40B4-BE49-F238E27FC236}">
              <a16:creationId xmlns:a16="http://schemas.microsoft.com/office/drawing/2014/main" xmlns="" id="{00000000-0008-0000-0D00-00000A100000}"/>
            </a:ext>
          </a:extLst>
        </xdr:cNvPr>
        <xdr:cNvSpPr>
          <a:spLocks noChangeAspect="1" noChangeArrowheads="1"/>
        </xdr:cNvSpPr>
      </xdr:nvSpPr>
      <xdr:spPr bwMode="auto">
        <a:xfrm>
          <a:off x="0" y="3796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7" name="AutoShape 1035" descr="Columbus Blue Jackets">
          <a:extLst>
            <a:ext uri="{FF2B5EF4-FFF2-40B4-BE49-F238E27FC236}">
              <a16:creationId xmlns:a16="http://schemas.microsoft.com/office/drawing/2014/main" xmlns="" id="{00000000-0008-0000-0D00-00000B100000}"/>
            </a:ext>
          </a:extLst>
        </xdr:cNvPr>
        <xdr:cNvSpPr>
          <a:spLocks noChangeAspect="1" noChangeArrowheads="1"/>
        </xdr:cNvSpPr>
      </xdr:nvSpPr>
      <xdr:spPr bwMode="auto">
        <a:xfrm>
          <a:off x="0" y="3800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08" name="AutoShape 1036" descr="Nashville Predators">
          <a:extLst>
            <a:ext uri="{FF2B5EF4-FFF2-40B4-BE49-F238E27FC236}">
              <a16:creationId xmlns:a16="http://schemas.microsoft.com/office/drawing/2014/main" xmlns="" id="{00000000-0008-0000-0D00-00000C100000}"/>
            </a:ext>
          </a:extLst>
        </xdr:cNvPr>
        <xdr:cNvSpPr>
          <a:spLocks noChangeAspect="1" noChangeArrowheads="1"/>
        </xdr:cNvSpPr>
      </xdr:nvSpPr>
      <xdr:spPr bwMode="auto">
        <a:xfrm>
          <a:off x="0" y="3804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9" name="AutoShape 1037" descr="Edmonton Oilers">
          <a:extLst>
            <a:ext uri="{FF2B5EF4-FFF2-40B4-BE49-F238E27FC236}">
              <a16:creationId xmlns:a16="http://schemas.microsoft.com/office/drawing/2014/main" xmlns="" id="{00000000-0008-0000-0D00-00000D100000}"/>
            </a:ext>
          </a:extLst>
        </xdr:cNvPr>
        <xdr:cNvSpPr>
          <a:spLocks noChangeAspect="1" noChangeArrowheads="1"/>
        </xdr:cNvSpPr>
      </xdr:nvSpPr>
      <xdr:spPr bwMode="auto">
        <a:xfrm>
          <a:off x="0" y="38061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0" name="AutoShape 1038" descr="Edmonton Oilers">
          <a:extLst>
            <a:ext uri="{FF2B5EF4-FFF2-40B4-BE49-F238E27FC236}">
              <a16:creationId xmlns:a16="http://schemas.microsoft.com/office/drawing/2014/main" xmlns="" id="{00000000-0008-0000-0D00-00000E100000}"/>
            </a:ext>
          </a:extLst>
        </xdr:cNvPr>
        <xdr:cNvSpPr>
          <a:spLocks noChangeAspect="1" noChangeArrowheads="1"/>
        </xdr:cNvSpPr>
      </xdr:nvSpPr>
      <xdr:spPr bwMode="auto">
        <a:xfrm>
          <a:off x="0" y="3809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1" name="AutoShape 1039" descr="Minnesota Wild">
          <a:extLst>
            <a:ext uri="{FF2B5EF4-FFF2-40B4-BE49-F238E27FC236}">
              <a16:creationId xmlns:a16="http://schemas.microsoft.com/office/drawing/2014/main" xmlns="" id="{00000000-0008-0000-0D00-00000F100000}"/>
            </a:ext>
          </a:extLst>
        </xdr:cNvPr>
        <xdr:cNvSpPr>
          <a:spLocks noChangeAspect="1" noChangeArrowheads="1"/>
        </xdr:cNvSpPr>
      </xdr:nvSpPr>
      <xdr:spPr bwMode="auto">
        <a:xfrm>
          <a:off x="0" y="38134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2" name="AutoShape 1040" descr="New Jersey Devils">
          <a:extLst>
            <a:ext uri="{FF2B5EF4-FFF2-40B4-BE49-F238E27FC236}">
              <a16:creationId xmlns:a16="http://schemas.microsoft.com/office/drawing/2014/main" xmlns="" id="{00000000-0008-0000-0D00-000010100000}"/>
            </a:ext>
          </a:extLst>
        </xdr:cNvPr>
        <xdr:cNvSpPr>
          <a:spLocks noChangeAspect="1" noChangeArrowheads="1"/>
        </xdr:cNvSpPr>
      </xdr:nvSpPr>
      <xdr:spPr bwMode="auto">
        <a:xfrm>
          <a:off x="0" y="38170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13" name="AutoShape 1041" descr="Edmonton Oilers">
          <a:extLst>
            <a:ext uri="{FF2B5EF4-FFF2-40B4-BE49-F238E27FC236}">
              <a16:creationId xmlns:a16="http://schemas.microsoft.com/office/drawing/2014/main" xmlns="" id="{00000000-0008-0000-0D00-000011100000}"/>
            </a:ext>
          </a:extLst>
        </xdr:cNvPr>
        <xdr:cNvSpPr>
          <a:spLocks noChangeAspect="1" noChangeArrowheads="1"/>
        </xdr:cNvSpPr>
      </xdr:nvSpPr>
      <xdr:spPr bwMode="auto">
        <a:xfrm>
          <a:off x="0" y="38207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4" name="AutoShape 1042" descr="Carolina Hurricanes">
          <a:extLst>
            <a:ext uri="{FF2B5EF4-FFF2-40B4-BE49-F238E27FC236}">
              <a16:creationId xmlns:a16="http://schemas.microsoft.com/office/drawing/2014/main" xmlns="" id="{00000000-0008-0000-0D00-000012100000}"/>
            </a:ext>
          </a:extLst>
        </xdr:cNvPr>
        <xdr:cNvSpPr>
          <a:spLocks noChangeAspect="1" noChangeArrowheads="1"/>
        </xdr:cNvSpPr>
      </xdr:nvSpPr>
      <xdr:spPr bwMode="auto">
        <a:xfrm>
          <a:off x="0" y="3822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5" name="AutoShape 1043" descr="Winnipeg Jets">
          <a:extLst>
            <a:ext uri="{FF2B5EF4-FFF2-40B4-BE49-F238E27FC236}">
              <a16:creationId xmlns:a16="http://schemas.microsoft.com/office/drawing/2014/main" xmlns="" id="{00000000-0008-0000-0D00-000013100000}"/>
            </a:ext>
          </a:extLst>
        </xdr:cNvPr>
        <xdr:cNvSpPr>
          <a:spLocks noChangeAspect="1" noChangeArrowheads="1"/>
        </xdr:cNvSpPr>
      </xdr:nvSpPr>
      <xdr:spPr bwMode="auto">
        <a:xfrm>
          <a:off x="0" y="3826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6" name="AutoShape 1044" descr="Montreal Canadiens">
          <a:extLst>
            <a:ext uri="{FF2B5EF4-FFF2-40B4-BE49-F238E27FC236}">
              <a16:creationId xmlns:a16="http://schemas.microsoft.com/office/drawing/2014/main" xmlns="" id="{00000000-0008-0000-0D00-000014100000}"/>
            </a:ext>
          </a:extLst>
        </xdr:cNvPr>
        <xdr:cNvSpPr>
          <a:spLocks noChangeAspect="1" noChangeArrowheads="1"/>
        </xdr:cNvSpPr>
      </xdr:nvSpPr>
      <xdr:spPr bwMode="auto">
        <a:xfrm>
          <a:off x="0" y="3829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7" name="AutoShape 1045" descr="Florida Panthers">
          <a:extLst>
            <a:ext uri="{FF2B5EF4-FFF2-40B4-BE49-F238E27FC236}">
              <a16:creationId xmlns:a16="http://schemas.microsoft.com/office/drawing/2014/main" xmlns="" id="{00000000-0008-0000-0D00-000015100000}"/>
            </a:ext>
          </a:extLst>
        </xdr:cNvPr>
        <xdr:cNvSpPr>
          <a:spLocks noChangeAspect="1" noChangeArrowheads="1"/>
        </xdr:cNvSpPr>
      </xdr:nvSpPr>
      <xdr:spPr bwMode="auto">
        <a:xfrm>
          <a:off x="0" y="3833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18" name="AutoShape 1046" descr="Nashville Predators">
          <a:extLst>
            <a:ext uri="{FF2B5EF4-FFF2-40B4-BE49-F238E27FC236}">
              <a16:creationId xmlns:a16="http://schemas.microsoft.com/office/drawing/2014/main" xmlns="" id="{00000000-0008-0000-0D00-000016100000}"/>
            </a:ext>
          </a:extLst>
        </xdr:cNvPr>
        <xdr:cNvSpPr>
          <a:spLocks noChangeAspect="1" noChangeArrowheads="1"/>
        </xdr:cNvSpPr>
      </xdr:nvSpPr>
      <xdr:spPr bwMode="auto">
        <a:xfrm>
          <a:off x="0" y="3837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9" name="AutoShape 1047" descr="Pittsburgh Penguins">
          <a:extLst>
            <a:ext uri="{FF2B5EF4-FFF2-40B4-BE49-F238E27FC236}">
              <a16:creationId xmlns:a16="http://schemas.microsoft.com/office/drawing/2014/main" xmlns="" id="{00000000-0008-0000-0D00-000017100000}"/>
            </a:ext>
          </a:extLst>
        </xdr:cNvPr>
        <xdr:cNvSpPr>
          <a:spLocks noChangeAspect="1" noChangeArrowheads="1"/>
        </xdr:cNvSpPr>
      </xdr:nvSpPr>
      <xdr:spPr bwMode="auto">
        <a:xfrm>
          <a:off x="0" y="38390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0" name="AutoShape 1048" descr="Arizona Coyotes">
          <a:extLst>
            <a:ext uri="{FF2B5EF4-FFF2-40B4-BE49-F238E27FC236}">
              <a16:creationId xmlns:a16="http://schemas.microsoft.com/office/drawing/2014/main" xmlns="" id="{00000000-0008-0000-0D00-000018100000}"/>
            </a:ext>
          </a:extLst>
        </xdr:cNvPr>
        <xdr:cNvSpPr>
          <a:spLocks noChangeAspect="1" noChangeArrowheads="1"/>
        </xdr:cNvSpPr>
      </xdr:nvSpPr>
      <xdr:spPr bwMode="auto">
        <a:xfrm>
          <a:off x="0" y="3842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1" name="AutoShape 1049" descr="Pittsburgh Penguins">
          <a:extLst>
            <a:ext uri="{FF2B5EF4-FFF2-40B4-BE49-F238E27FC236}">
              <a16:creationId xmlns:a16="http://schemas.microsoft.com/office/drawing/2014/main" xmlns="" id="{00000000-0008-0000-0D00-000019100000}"/>
            </a:ext>
          </a:extLst>
        </xdr:cNvPr>
        <xdr:cNvSpPr>
          <a:spLocks noChangeAspect="1" noChangeArrowheads="1"/>
        </xdr:cNvSpPr>
      </xdr:nvSpPr>
      <xdr:spPr bwMode="auto">
        <a:xfrm>
          <a:off x="0" y="3846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2" name="AutoShape 1050" descr="Toronto Maple Leafs">
          <a:extLst>
            <a:ext uri="{FF2B5EF4-FFF2-40B4-BE49-F238E27FC236}">
              <a16:creationId xmlns:a16="http://schemas.microsoft.com/office/drawing/2014/main" xmlns="" id="{00000000-0008-0000-0D00-00001A100000}"/>
            </a:ext>
          </a:extLst>
        </xdr:cNvPr>
        <xdr:cNvSpPr>
          <a:spLocks noChangeAspect="1" noChangeArrowheads="1"/>
        </xdr:cNvSpPr>
      </xdr:nvSpPr>
      <xdr:spPr bwMode="auto">
        <a:xfrm>
          <a:off x="0" y="3848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3" name="AutoShape 1051" descr="Los Angeles Kings">
          <a:extLst>
            <a:ext uri="{FF2B5EF4-FFF2-40B4-BE49-F238E27FC236}">
              <a16:creationId xmlns:a16="http://schemas.microsoft.com/office/drawing/2014/main" xmlns="" id="{00000000-0008-0000-0D00-00001B100000}"/>
            </a:ext>
          </a:extLst>
        </xdr:cNvPr>
        <xdr:cNvSpPr>
          <a:spLocks noChangeAspect="1" noChangeArrowheads="1"/>
        </xdr:cNvSpPr>
      </xdr:nvSpPr>
      <xdr:spPr bwMode="auto">
        <a:xfrm>
          <a:off x="0" y="3851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4" name="AutoShape 1052" descr="Buffalo Sabres">
          <a:extLst>
            <a:ext uri="{FF2B5EF4-FFF2-40B4-BE49-F238E27FC236}">
              <a16:creationId xmlns:a16="http://schemas.microsoft.com/office/drawing/2014/main" xmlns="" id="{00000000-0008-0000-0D00-00001C100000}"/>
            </a:ext>
          </a:extLst>
        </xdr:cNvPr>
        <xdr:cNvSpPr>
          <a:spLocks noChangeAspect="1" noChangeArrowheads="1"/>
        </xdr:cNvSpPr>
      </xdr:nvSpPr>
      <xdr:spPr bwMode="auto">
        <a:xfrm>
          <a:off x="0" y="3855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5" name="AutoShape 1053" descr="Carolina Hurricanes">
          <a:extLst>
            <a:ext uri="{FF2B5EF4-FFF2-40B4-BE49-F238E27FC236}">
              <a16:creationId xmlns:a16="http://schemas.microsoft.com/office/drawing/2014/main" xmlns="" id="{00000000-0008-0000-0D00-00001D100000}"/>
            </a:ext>
          </a:extLst>
        </xdr:cNvPr>
        <xdr:cNvSpPr>
          <a:spLocks noChangeAspect="1" noChangeArrowheads="1"/>
        </xdr:cNvSpPr>
      </xdr:nvSpPr>
      <xdr:spPr bwMode="auto">
        <a:xfrm>
          <a:off x="0" y="3859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6" name="AutoShape 1054" descr="Edmonton Oilers">
          <a:extLst>
            <a:ext uri="{FF2B5EF4-FFF2-40B4-BE49-F238E27FC236}">
              <a16:creationId xmlns:a16="http://schemas.microsoft.com/office/drawing/2014/main" xmlns="" id="{00000000-0008-0000-0D00-00001E100000}"/>
            </a:ext>
          </a:extLst>
        </xdr:cNvPr>
        <xdr:cNvSpPr>
          <a:spLocks noChangeAspect="1" noChangeArrowheads="1"/>
        </xdr:cNvSpPr>
      </xdr:nvSpPr>
      <xdr:spPr bwMode="auto">
        <a:xfrm>
          <a:off x="0" y="38609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27" name="AutoShape 1055" descr="Los Angeles Kings">
          <a:extLst>
            <a:ext uri="{FF2B5EF4-FFF2-40B4-BE49-F238E27FC236}">
              <a16:creationId xmlns:a16="http://schemas.microsoft.com/office/drawing/2014/main" xmlns="" id="{00000000-0008-0000-0D00-00001F100000}"/>
            </a:ext>
          </a:extLst>
        </xdr:cNvPr>
        <xdr:cNvSpPr>
          <a:spLocks noChangeAspect="1" noChangeArrowheads="1"/>
        </xdr:cNvSpPr>
      </xdr:nvSpPr>
      <xdr:spPr bwMode="auto">
        <a:xfrm>
          <a:off x="0" y="3862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8" name="AutoShape 1056" descr="Anaheim Ducks">
          <a:extLst>
            <a:ext uri="{FF2B5EF4-FFF2-40B4-BE49-F238E27FC236}">
              <a16:creationId xmlns:a16="http://schemas.microsoft.com/office/drawing/2014/main" xmlns="" id="{00000000-0008-0000-0D00-000020100000}"/>
            </a:ext>
          </a:extLst>
        </xdr:cNvPr>
        <xdr:cNvSpPr>
          <a:spLocks noChangeAspect="1" noChangeArrowheads="1"/>
        </xdr:cNvSpPr>
      </xdr:nvSpPr>
      <xdr:spPr bwMode="auto">
        <a:xfrm>
          <a:off x="0" y="38646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9" name="AutoShape 1057" descr="Nashville Predators">
          <a:extLst>
            <a:ext uri="{FF2B5EF4-FFF2-40B4-BE49-F238E27FC236}">
              <a16:creationId xmlns:a16="http://schemas.microsoft.com/office/drawing/2014/main" xmlns="" id="{00000000-0008-0000-0D00-000021100000}"/>
            </a:ext>
          </a:extLst>
        </xdr:cNvPr>
        <xdr:cNvSpPr>
          <a:spLocks noChangeAspect="1" noChangeArrowheads="1"/>
        </xdr:cNvSpPr>
      </xdr:nvSpPr>
      <xdr:spPr bwMode="auto">
        <a:xfrm>
          <a:off x="0" y="386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0" name="AutoShape 1058" descr="Florida Panthers">
          <a:extLst>
            <a:ext uri="{FF2B5EF4-FFF2-40B4-BE49-F238E27FC236}">
              <a16:creationId xmlns:a16="http://schemas.microsoft.com/office/drawing/2014/main" xmlns="" id="{00000000-0008-0000-0D00-000022100000}"/>
            </a:ext>
          </a:extLst>
        </xdr:cNvPr>
        <xdr:cNvSpPr>
          <a:spLocks noChangeAspect="1" noChangeArrowheads="1"/>
        </xdr:cNvSpPr>
      </xdr:nvSpPr>
      <xdr:spPr bwMode="auto">
        <a:xfrm>
          <a:off x="0" y="3870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1" name="AutoShape 1059" descr="Pittsburgh Penguins">
          <a:extLst>
            <a:ext uri="{FF2B5EF4-FFF2-40B4-BE49-F238E27FC236}">
              <a16:creationId xmlns:a16="http://schemas.microsoft.com/office/drawing/2014/main" xmlns="" id="{00000000-0008-0000-0D00-000023100000}"/>
            </a:ext>
          </a:extLst>
        </xdr:cNvPr>
        <xdr:cNvSpPr>
          <a:spLocks noChangeAspect="1" noChangeArrowheads="1"/>
        </xdr:cNvSpPr>
      </xdr:nvSpPr>
      <xdr:spPr bwMode="auto">
        <a:xfrm>
          <a:off x="0" y="3873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2" name="AutoShape 1060" descr="Ottawa Senators">
          <a:extLst>
            <a:ext uri="{FF2B5EF4-FFF2-40B4-BE49-F238E27FC236}">
              <a16:creationId xmlns:a16="http://schemas.microsoft.com/office/drawing/2014/main" xmlns="" id="{00000000-0008-0000-0D00-000024100000}"/>
            </a:ext>
          </a:extLst>
        </xdr:cNvPr>
        <xdr:cNvSpPr>
          <a:spLocks noChangeAspect="1" noChangeArrowheads="1"/>
        </xdr:cNvSpPr>
      </xdr:nvSpPr>
      <xdr:spPr bwMode="auto">
        <a:xfrm>
          <a:off x="0" y="387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3" name="AutoShape 1061" descr="Philadelphia Flyers">
          <a:extLst>
            <a:ext uri="{FF2B5EF4-FFF2-40B4-BE49-F238E27FC236}">
              <a16:creationId xmlns:a16="http://schemas.microsoft.com/office/drawing/2014/main" xmlns="" id="{00000000-0008-0000-0D00-000025100000}"/>
            </a:ext>
          </a:extLst>
        </xdr:cNvPr>
        <xdr:cNvSpPr>
          <a:spLocks noChangeAspect="1" noChangeArrowheads="1"/>
        </xdr:cNvSpPr>
      </xdr:nvSpPr>
      <xdr:spPr bwMode="auto">
        <a:xfrm>
          <a:off x="0" y="3879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4" name="AutoShape 1062" descr="Detroit Red Wings">
          <a:extLst>
            <a:ext uri="{FF2B5EF4-FFF2-40B4-BE49-F238E27FC236}">
              <a16:creationId xmlns:a16="http://schemas.microsoft.com/office/drawing/2014/main" xmlns="" id="{00000000-0008-0000-0D00-000026100000}"/>
            </a:ext>
          </a:extLst>
        </xdr:cNvPr>
        <xdr:cNvSpPr>
          <a:spLocks noChangeAspect="1" noChangeArrowheads="1"/>
        </xdr:cNvSpPr>
      </xdr:nvSpPr>
      <xdr:spPr bwMode="auto">
        <a:xfrm>
          <a:off x="0" y="3882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5" name="AutoShape 1063" descr="Colorado Avalanche">
          <a:extLst>
            <a:ext uri="{FF2B5EF4-FFF2-40B4-BE49-F238E27FC236}">
              <a16:creationId xmlns:a16="http://schemas.microsoft.com/office/drawing/2014/main" xmlns="" id="{00000000-0008-0000-0D00-000027100000}"/>
            </a:ext>
          </a:extLst>
        </xdr:cNvPr>
        <xdr:cNvSpPr>
          <a:spLocks noChangeAspect="1" noChangeArrowheads="1"/>
        </xdr:cNvSpPr>
      </xdr:nvSpPr>
      <xdr:spPr bwMode="auto">
        <a:xfrm>
          <a:off x="0" y="3886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6" name="AutoShape 1064" descr="Montreal Canadiens">
          <a:extLst>
            <a:ext uri="{FF2B5EF4-FFF2-40B4-BE49-F238E27FC236}">
              <a16:creationId xmlns:a16="http://schemas.microsoft.com/office/drawing/2014/main" xmlns="" id="{00000000-0008-0000-0D00-000028100000}"/>
            </a:ext>
          </a:extLst>
        </xdr:cNvPr>
        <xdr:cNvSpPr>
          <a:spLocks noChangeAspect="1" noChangeArrowheads="1"/>
        </xdr:cNvSpPr>
      </xdr:nvSpPr>
      <xdr:spPr bwMode="auto">
        <a:xfrm>
          <a:off x="0" y="38884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7" name="AutoShape 1065" descr="Calgary Flames">
          <a:extLst>
            <a:ext uri="{FF2B5EF4-FFF2-40B4-BE49-F238E27FC236}">
              <a16:creationId xmlns:a16="http://schemas.microsoft.com/office/drawing/2014/main" xmlns="" id="{00000000-0008-0000-0D00-000029100000}"/>
            </a:ext>
          </a:extLst>
        </xdr:cNvPr>
        <xdr:cNvSpPr>
          <a:spLocks noChangeAspect="1" noChangeArrowheads="1"/>
        </xdr:cNvSpPr>
      </xdr:nvSpPr>
      <xdr:spPr bwMode="auto">
        <a:xfrm>
          <a:off x="0" y="38920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8" name="AutoShape 1066" descr="Chicago Blackhawks">
          <a:extLst>
            <a:ext uri="{FF2B5EF4-FFF2-40B4-BE49-F238E27FC236}">
              <a16:creationId xmlns:a16="http://schemas.microsoft.com/office/drawing/2014/main" xmlns="" id="{00000000-0008-0000-0D00-00002A100000}"/>
            </a:ext>
          </a:extLst>
        </xdr:cNvPr>
        <xdr:cNvSpPr>
          <a:spLocks noChangeAspect="1" noChangeArrowheads="1"/>
        </xdr:cNvSpPr>
      </xdr:nvSpPr>
      <xdr:spPr bwMode="auto">
        <a:xfrm>
          <a:off x="0" y="3895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39" name="AutoShape 1067" descr="Vegas Golden Knights">
          <a:extLst>
            <a:ext uri="{FF2B5EF4-FFF2-40B4-BE49-F238E27FC236}">
              <a16:creationId xmlns:a16="http://schemas.microsoft.com/office/drawing/2014/main" xmlns="" id="{00000000-0008-0000-0D00-00002B100000}"/>
            </a:ext>
          </a:extLst>
        </xdr:cNvPr>
        <xdr:cNvSpPr>
          <a:spLocks noChangeAspect="1" noChangeArrowheads="1"/>
        </xdr:cNvSpPr>
      </xdr:nvSpPr>
      <xdr:spPr bwMode="auto">
        <a:xfrm>
          <a:off x="0" y="3899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0" name="AutoShape 1068" descr="Detroit Red Wings">
          <a:extLst>
            <a:ext uri="{FF2B5EF4-FFF2-40B4-BE49-F238E27FC236}">
              <a16:creationId xmlns:a16="http://schemas.microsoft.com/office/drawing/2014/main" xmlns="" id="{00000000-0008-0000-0D00-00002C100000}"/>
            </a:ext>
          </a:extLst>
        </xdr:cNvPr>
        <xdr:cNvSpPr>
          <a:spLocks noChangeAspect="1" noChangeArrowheads="1"/>
        </xdr:cNvSpPr>
      </xdr:nvSpPr>
      <xdr:spPr bwMode="auto">
        <a:xfrm>
          <a:off x="0" y="39012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1" name="AutoShape 1069" descr="Buffalo Sabres">
          <a:extLst>
            <a:ext uri="{FF2B5EF4-FFF2-40B4-BE49-F238E27FC236}">
              <a16:creationId xmlns:a16="http://schemas.microsoft.com/office/drawing/2014/main" xmlns="" id="{00000000-0008-0000-0D00-00002D100000}"/>
            </a:ext>
          </a:extLst>
        </xdr:cNvPr>
        <xdr:cNvSpPr>
          <a:spLocks noChangeAspect="1" noChangeArrowheads="1"/>
        </xdr:cNvSpPr>
      </xdr:nvSpPr>
      <xdr:spPr bwMode="auto">
        <a:xfrm>
          <a:off x="0" y="3904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2" name="AutoShape 1070" descr="New York Rangers">
          <a:extLst>
            <a:ext uri="{FF2B5EF4-FFF2-40B4-BE49-F238E27FC236}">
              <a16:creationId xmlns:a16="http://schemas.microsoft.com/office/drawing/2014/main" xmlns="" id="{00000000-0008-0000-0D00-00002E100000}"/>
            </a:ext>
          </a:extLst>
        </xdr:cNvPr>
        <xdr:cNvSpPr>
          <a:spLocks noChangeAspect="1" noChangeArrowheads="1"/>
        </xdr:cNvSpPr>
      </xdr:nvSpPr>
      <xdr:spPr bwMode="auto">
        <a:xfrm>
          <a:off x="0" y="39085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3" name="AutoShape 1071" descr="San Jose Sharks">
          <a:extLst>
            <a:ext uri="{FF2B5EF4-FFF2-40B4-BE49-F238E27FC236}">
              <a16:creationId xmlns:a16="http://schemas.microsoft.com/office/drawing/2014/main" xmlns="" id="{00000000-0008-0000-0D00-00002F100000}"/>
            </a:ext>
          </a:extLst>
        </xdr:cNvPr>
        <xdr:cNvSpPr>
          <a:spLocks noChangeAspect="1" noChangeArrowheads="1"/>
        </xdr:cNvSpPr>
      </xdr:nvSpPr>
      <xdr:spPr bwMode="auto">
        <a:xfrm>
          <a:off x="0" y="39121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4" name="AutoShape 1072" descr="Anaheim Ducks">
          <a:extLst>
            <a:ext uri="{FF2B5EF4-FFF2-40B4-BE49-F238E27FC236}">
              <a16:creationId xmlns:a16="http://schemas.microsoft.com/office/drawing/2014/main" xmlns="" id="{00000000-0008-0000-0D00-000030100000}"/>
            </a:ext>
          </a:extLst>
        </xdr:cNvPr>
        <xdr:cNvSpPr>
          <a:spLocks noChangeAspect="1" noChangeArrowheads="1"/>
        </xdr:cNvSpPr>
      </xdr:nvSpPr>
      <xdr:spPr bwMode="auto">
        <a:xfrm>
          <a:off x="0" y="3914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5" name="AutoShape 1073" descr="Toronto Maple Leafs">
          <a:extLst>
            <a:ext uri="{FF2B5EF4-FFF2-40B4-BE49-F238E27FC236}">
              <a16:creationId xmlns:a16="http://schemas.microsoft.com/office/drawing/2014/main" xmlns="" id="{00000000-0008-0000-0D00-000031100000}"/>
            </a:ext>
          </a:extLst>
        </xdr:cNvPr>
        <xdr:cNvSpPr>
          <a:spLocks noChangeAspect="1" noChangeArrowheads="1"/>
        </xdr:cNvSpPr>
      </xdr:nvSpPr>
      <xdr:spPr bwMode="auto">
        <a:xfrm>
          <a:off x="0" y="3917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6" name="AutoShape 1074" descr="New Jersey Devils">
          <a:extLst>
            <a:ext uri="{FF2B5EF4-FFF2-40B4-BE49-F238E27FC236}">
              <a16:creationId xmlns:a16="http://schemas.microsoft.com/office/drawing/2014/main" xmlns="" id="{00000000-0008-0000-0D00-000032100000}"/>
            </a:ext>
          </a:extLst>
        </xdr:cNvPr>
        <xdr:cNvSpPr>
          <a:spLocks noChangeAspect="1" noChangeArrowheads="1"/>
        </xdr:cNvSpPr>
      </xdr:nvSpPr>
      <xdr:spPr bwMode="auto">
        <a:xfrm>
          <a:off x="0" y="3921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7" name="AutoShape 1075" descr="New Jersey Devils">
          <a:extLst>
            <a:ext uri="{FF2B5EF4-FFF2-40B4-BE49-F238E27FC236}">
              <a16:creationId xmlns:a16="http://schemas.microsoft.com/office/drawing/2014/main" xmlns="" id="{00000000-0008-0000-0D00-000033100000}"/>
            </a:ext>
          </a:extLst>
        </xdr:cNvPr>
        <xdr:cNvSpPr>
          <a:spLocks noChangeAspect="1" noChangeArrowheads="1"/>
        </xdr:cNvSpPr>
      </xdr:nvSpPr>
      <xdr:spPr bwMode="auto">
        <a:xfrm>
          <a:off x="0" y="3923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8" name="AutoShape 1076" descr="Anaheim Ducks">
          <a:extLst>
            <a:ext uri="{FF2B5EF4-FFF2-40B4-BE49-F238E27FC236}">
              <a16:creationId xmlns:a16="http://schemas.microsoft.com/office/drawing/2014/main" xmlns="" id="{00000000-0008-0000-0D00-000034100000}"/>
            </a:ext>
          </a:extLst>
        </xdr:cNvPr>
        <xdr:cNvSpPr>
          <a:spLocks noChangeAspect="1" noChangeArrowheads="1"/>
        </xdr:cNvSpPr>
      </xdr:nvSpPr>
      <xdr:spPr bwMode="auto">
        <a:xfrm>
          <a:off x="0" y="39268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9" name="AutoShape 1077" descr="Los Angeles Kings">
          <a:extLst>
            <a:ext uri="{FF2B5EF4-FFF2-40B4-BE49-F238E27FC236}">
              <a16:creationId xmlns:a16="http://schemas.microsoft.com/office/drawing/2014/main" xmlns="" id="{00000000-0008-0000-0D00-000035100000}"/>
            </a:ext>
          </a:extLst>
        </xdr:cNvPr>
        <xdr:cNvSpPr>
          <a:spLocks noChangeAspect="1" noChangeArrowheads="1"/>
        </xdr:cNvSpPr>
      </xdr:nvSpPr>
      <xdr:spPr bwMode="auto">
        <a:xfrm>
          <a:off x="0" y="3930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0" name="AutoShape 1078" descr="Montreal Canadiens">
          <a:extLst>
            <a:ext uri="{FF2B5EF4-FFF2-40B4-BE49-F238E27FC236}">
              <a16:creationId xmlns:a16="http://schemas.microsoft.com/office/drawing/2014/main" xmlns="" id="{00000000-0008-0000-0D00-000036100000}"/>
            </a:ext>
          </a:extLst>
        </xdr:cNvPr>
        <xdr:cNvSpPr>
          <a:spLocks noChangeAspect="1" noChangeArrowheads="1"/>
        </xdr:cNvSpPr>
      </xdr:nvSpPr>
      <xdr:spPr bwMode="auto">
        <a:xfrm>
          <a:off x="0" y="39341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1" name="AutoShape 1079" descr="Pittsburgh Penguins">
          <a:extLst>
            <a:ext uri="{FF2B5EF4-FFF2-40B4-BE49-F238E27FC236}">
              <a16:creationId xmlns:a16="http://schemas.microsoft.com/office/drawing/2014/main" xmlns="" id="{00000000-0008-0000-0D00-000037100000}"/>
            </a:ext>
          </a:extLst>
        </xdr:cNvPr>
        <xdr:cNvSpPr>
          <a:spLocks noChangeAspect="1" noChangeArrowheads="1"/>
        </xdr:cNvSpPr>
      </xdr:nvSpPr>
      <xdr:spPr bwMode="auto">
        <a:xfrm>
          <a:off x="0" y="39377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2" name="AutoShape 1080" descr="Nashville Predators">
          <a:extLst>
            <a:ext uri="{FF2B5EF4-FFF2-40B4-BE49-F238E27FC236}">
              <a16:creationId xmlns:a16="http://schemas.microsoft.com/office/drawing/2014/main" xmlns="" id="{00000000-0008-0000-0D00-000038100000}"/>
            </a:ext>
          </a:extLst>
        </xdr:cNvPr>
        <xdr:cNvSpPr>
          <a:spLocks noChangeAspect="1" noChangeArrowheads="1"/>
        </xdr:cNvSpPr>
      </xdr:nvSpPr>
      <xdr:spPr bwMode="auto">
        <a:xfrm>
          <a:off x="0" y="3941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53" name="AutoShape 1081" descr="New York Islanders">
          <a:extLst>
            <a:ext uri="{FF2B5EF4-FFF2-40B4-BE49-F238E27FC236}">
              <a16:creationId xmlns:a16="http://schemas.microsoft.com/office/drawing/2014/main" xmlns="" id="{00000000-0008-0000-0D00-000039100000}"/>
            </a:ext>
          </a:extLst>
        </xdr:cNvPr>
        <xdr:cNvSpPr>
          <a:spLocks noChangeAspect="1" noChangeArrowheads="1"/>
        </xdr:cNvSpPr>
      </xdr:nvSpPr>
      <xdr:spPr bwMode="auto">
        <a:xfrm>
          <a:off x="0" y="3945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4" name="AutoShape 1082" descr="Tampa Bay Lightning">
          <a:extLst>
            <a:ext uri="{FF2B5EF4-FFF2-40B4-BE49-F238E27FC236}">
              <a16:creationId xmlns:a16="http://schemas.microsoft.com/office/drawing/2014/main" xmlns="" id="{00000000-0008-0000-0D00-00003A100000}"/>
            </a:ext>
          </a:extLst>
        </xdr:cNvPr>
        <xdr:cNvSpPr>
          <a:spLocks noChangeAspect="1" noChangeArrowheads="1"/>
        </xdr:cNvSpPr>
      </xdr:nvSpPr>
      <xdr:spPr bwMode="auto">
        <a:xfrm>
          <a:off x="0" y="39469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5" name="AutoShape 1083" descr="Vancouver Canucks">
          <a:extLst>
            <a:ext uri="{FF2B5EF4-FFF2-40B4-BE49-F238E27FC236}">
              <a16:creationId xmlns:a16="http://schemas.microsoft.com/office/drawing/2014/main" xmlns="" id="{00000000-0008-0000-0D00-00003B100000}"/>
            </a:ext>
          </a:extLst>
        </xdr:cNvPr>
        <xdr:cNvSpPr>
          <a:spLocks noChangeAspect="1" noChangeArrowheads="1"/>
        </xdr:cNvSpPr>
      </xdr:nvSpPr>
      <xdr:spPr bwMode="auto">
        <a:xfrm>
          <a:off x="0" y="395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56" name="AutoShape 1084" descr="Winnipeg Jets">
          <a:extLst>
            <a:ext uri="{FF2B5EF4-FFF2-40B4-BE49-F238E27FC236}">
              <a16:creationId xmlns:a16="http://schemas.microsoft.com/office/drawing/2014/main" xmlns="" id="{00000000-0008-0000-0D00-00003C100000}"/>
            </a:ext>
          </a:extLst>
        </xdr:cNvPr>
        <xdr:cNvSpPr>
          <a:spLocks noChangeAspect="1" noChangeArrowheads="1"/>
        </xdr:cNvSpPr>
      </xdr:nvSpPr>
      <xdr:spPr bwMode="auto">
        <a:xfrm>
          <a:off x="0" y="39542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7" name="AutoShape 1085" descr="Philadelphia Flyers">
          <a:extLst>
            <a:ext uri="{FF2B5EF4-FFF2-40B4-BE49-F238E27FC236}">
              <a16:creationId xmlns:a16="http://schemas.microsoft.com/office/drawing/2014/main" xmlns="" id="{00000000-0008-0000-0D00-00003D100000}"/>
            </a:ext>
          </a:extLst>
        </xdr:cNvPr>
        <xdr:cNvSpPr>
          <a:spLocks noChangeAspect="1" noChangeArrowheads="1"/>
        </xdr:cNvSpPr>
      </xdr:nvSpPr>
      <xdr:spPr bwMode="auto">
        <a:xfrm>
          <a:off x="0" y="3956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8" name="AutoShape 1086" descr="Buffalo Sabres">
          <a:extLst>
            <a:ext uri="{FF2B5EF4-FFF2-40B4-BE49-F238E27FC236}">
              <a16:creationId xmlns:a16="http://schemas.microsoft.com/office/drawing/2014/main" xmlns="" id="{00000000-0008-0000-0D00-00003E100000}"/>
            </a:ext>
          </a:extLst>
        </xdr:cNvPr>
        <xdr:cNvSpPr>
          <a:spLocks noChangeAspect="1" noChangeArrowheads="1"/>
        </xdr:cNvSpPr>
      </xdr:nvSpPr>
      <xdr:spPr bwMode="auto">
        <a:xfrm>
          <a:off x="0" y="3959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9" name="AutoShape 1087" descr="New York Islanders">
          <a:extLst>
            <a:ext uri="{FF2B5EF4-FFF2-40B4-BE49-F238E27FC236}">
              <a16:creationId xmlns:a16="http://schemas.microsoft.com/office/drawing/2014/main" xmlns="" id="{00000000-0008-0000-0D00-00003F100000}"/>
            </a:ext>
          </a:extLst>
        </xdr:cNvPr>
        <xdr:cNvSpPr>
          <a:spLocks noChangeAspect="1" noChangeArrowheads="1"/>
        </xdr:cNvSpPr>
      </xdr:nvSpPr>
      <xdr:spPr bwMode="auto">
        <a:xfrm>
          <a:off x="0" y="3963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60" name="AutoShape 1088" descr="Minnesota Wild">
          <a:extLst>
            <a:ext uri="{FF2B5EF4-FFF2-40B4-BE49-F238E27FC236}">
              <a16:creationId xmlns:a16="http://schemas.microsoft.com/office/drawing/2014/main" xmlns="" id="{00000000-0008-0000-0D00-000040100000}"/>
            </a:ext>
          </a:extLst>
        </xdr:cNvPr>
        <xdr:cNvSpPr>
          <a:spLocks noChangeAspect="1" noChangeArrowheads="1"/>
        </xdr:cNvSpPr>
      </xdr:nvSpPr>
      <xdr:spPr bwMode="auto">
        <a:xfrm>
          <a:off x="0" y="3967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1" name="AutoShape 1089" descr="Calgary Flames">
          <a:extLst>
            <a:ext uri="{FF2B5EF4-FFF2-40B4-BE49-F238E27FC236}">
              <a16:creationId xmlns:a16="http://schemas.microsoft.com/office/drawing/2014/main" xmlns="" id="{00000000-0008-0000-0D00-000041100000}"/>
            </a:ext>
          </a:extLst>
        </xdr:cNvPr>
        <xdr:cNvSpPr>
          <a:spLocks noChangeAspect="1" noChangeArrowheads="1"/>
        </xdr:cNvSpPr>
      </xdr:nvSpPr>
      <xdr:spPr bwMode="auto">
        <a:xfrm>
          <a:off x="0" y="39688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2" name="AutoShape 1090" descr="Tampa Bay Lightning">
          <a:extLst>
            <a:ext uri="{FF2B5EF4-FFF2-40B4-BE49-F238E27FC236}">
              <a16:creationId xmlns:a16="http://schemas.microsoft.com/office/drawing/2014/main" xmlns="" id="{00000000-0008-0000-0D00-000042100000}"/>
            </a:ext>
          </a:extLst>
        </xdr:cNvPr>
        <xdr:cNvSpPr>
          <a:spLocks noChangeAspect="1" noChangeArrowheads="1"/>
        </xdr:cNvSpPr>
      </xdr:nvSpPr>
      <xdr:spPr bwMode="auto">
        <a:xfrm>
          <a:off x="0" y="39725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3" name="AutoShape 1091" descr="Dallas Stars">
          <a:extLst>
            <a:ext uri="{FF2B5EF4-FFF2-40B4-BE49-F238E27FC236}">
              <a16:creationId xmlns:a16="http://schemas.microsoft.com/office/drawing/2014/main" xmlns="" id="{00000000-0008-0000-0D00-000043100000}"/>
            </a:ext>
          </a:extLst>
        </xdr:cNvPr>
        <xdr:cNvSpPr>
          <a:spLocks noChangeAspect="1" noChangeArrowheads="1"/>
        </xdr:cNvSpPr>
      </xdr:nvSpPr>
      <xdr:spPr bwMode="auto">
        <a:xfrm>
          <a:off x="0" y="3976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4" name="AutoShape 1092" descr="Edmonton Oilers">
          <a:extLst>
            <a:ext uri="{FF2B5EF4-FFF2-40B4-BE49-F238E27FC236}">
              <a16:creationId xmlns:a16="http://schemas.microsoft.com/office/drawing/2014/main" xmlns="" id="{00000000-0008-0000-0D00-000044100000}"/>
            </a:ext>
          </a:extLst>
        </xdr:cNvPr>
        <xdr:cNvSpPr>
          <a:spLocks noChangeAspect="1" noChangeArrowheads="1"/>
        </xdr:cNvSpPr>
      </xdr:nvSpPr>
      <xdr:spPr bwMode="auto">
        <a:xfrm>
          <a:off x="0" y="3979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5" name="AutoShape 1093" descr="Florida Panthers">
          <a:extLst>
            <a:ext uri="{FF2B5EF4-FFF2-40B4-BE49-F238E27FC236}">
              <a16:creationId xmlns:a16="http://schemas.microsoft.com/office/drawing/2014/main" xmlns="" id="{00000000-0008-0000-0D00-000045100000}"/>
            </a:ext>
          </a:extLst>
        </xdr:cNvPr>
        <xdr:cNvSpPr>
          <a:spLocks noChangeAspect="1" noChangeArrowheads="1"/>
        </xdr:cNvSpPr>
      </xdr:nvSpPr>
      <xdr:spPr bwMode="auto">
        <a:xfrm>
          <a:off x="0" y="3983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6" name="AutoShape 1094" descr="Columbus Blue Jackets">
          <a:extLst>
            <a:ext uri="{FF2B5EF4-FFF2-40B4-BE49-F238E27FC236}">
              <a16:creationId xmlns:a16="http://schemas.microsoft.com/office/drawing/2014/main" xmlns="" id="{00000000-0008-0000-0D00-000046100000}"/>
            </a:ext>
          </a:extLst>
        </xdr:cNvPr>
        <xdr:cNvSpPr>
          <a:spLocks noChangeAspect="1" noChangeArrowheads="1"/>
        </xdr:cNvSpPr>
      </xdr:nvSpPr>
      <xdr:spPr bwMode="auto">
        <a:xfrm>
          <a:off x="0" y="3987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7" name="AutoShape 1095" descr="Philadelphia Flyers">
          <a:extLst>
            <a:ext uri="{FF2B5EF4-FFF2-40B4-BE49-F238E27FC236}">
              <a16:creationId xmlns:a16="http://schemas.microsoft.com/office/drawing/2014/main" xmlns="" id="{00000000-0008-0000-0D00-000047100000}"/>
            </a:ext>
          </a:extLst>
        </xdr:cNvPr>
        <xdr:cNvSpPr>
          <a:spLocks noChangeAspect="1" noChangeArrowheads="1"/>
        </xdr:cNvSpPr>
      </xdr:nvSpPr>
      <xdr:spPr bwMode="auto">
        <a:xfrm>
          <a:off x="0" y="3990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8" name="AutoShape 1096" descr="New York Islanders">
          <a:extLst>
            <a:ext uri="{FF2B5EF4-FFF2-40B4-BE49-F238E27FC236}">
              <a16:creationId xmlns:a16="http://schemas.microsoft.com/office/drawing/2014/main" xmlns="" id="{00000000-0008-0000-0D00-000048100000}"/>
            </a:ext>
          </a:extLst>
        </xdr:cNvPr>
        <xdr:cNvSpPr>
          <a:spLocks noChangeAspect="1" noChangeArrowheads="1"/>
        </xdr:cNvSpPr>
      </xdr:nvSpPr>
      <xdr:spPr bwMode="auto">
        <a:xfrm>
          <a:off x="0" y="3994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9" name="AutoShape 1097" descr="Arizona Coyotes">
          <a:extLst>
            <a:ext uri="{FF2B5EF4-FFF2-40B4-BE49-F238E27FC236}">
              <a16:creationId xmlns:a16="http://schemas.microsoft.com/office/drawing/2014/main" xmlns="" id="{00000000-0008-0000-0D00-000049100000}"/>
            </a:ext>
          </a:extLst>
        </xdr:cNvPr>
        <xdr:cNvSpPr>
          <a:spLocks noChangeAspect="1" noChangeArrowheads="1"/>
        </xdr:cNvSpPr>
      </xdr:nvSpPr>
      <xdr:spPr bwMode="auto">
        <a:xfrm>
          <a:off x="0" y="3998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0" name="AutoShape 1098" descr="New York Islanders">
          <a:extLst>
            <a:ext uri="{FF2B5EF4-FFF2-40B4-BE49-F238E27FC236}">
              <a16:creationId xmlns:a16="http://schemas.microsoft.com/office/drawing/2014/main" xmlns="" id="{00000000-0008-0000-0D00-00004A100000}"/>
            </a:ext>
          </a:extLst>
        </xdr:cNvPr>
        <xdr:cNvSpPr>
          <a:spLocks noChangeAspect="1" noChangeArrowheads="1"/>
        </xdr:cNvSpPr>
      </xdr:nvSpPr>
      <xdr:spPr bwMode="auto">
        <a:xfrm>
          <a:off x="0" y="40017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1" name="AutoShape 1099" descr="Florida Panthers">
          <a:extLst>
            <a:ext uri="{FF2B5EF4-FFF2-40B4-BE49-F238E27FC236}">
              <a16:creationId xmlns:a16="http://schemas.microsoft.com/office/drawing/2014/main" xmlns="" id="{00000000-0008-0000-0D00-00004B100000}"/>
            </a:ext>
          </a:extLst>
        </xdr:cNvPr>
        <xdr:cNvSpPr>
          <a:spLocks noChangeAspect="1" noChangeArrowheads="1"/>
        </xdr:cNvSpPr>
      </xdr:nvSpPr>
      <xdr:spPr bwMode="auto">
        <a:xfrm>
          <a:off x="0" y="40054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2" name="AutoShape 1100" descr="San Jose Sharks">
          <a:extLst>
            <a:ext uri="{FF2B5EF4-FFF2-40B4-BE49-F238E27FC236}">
              <a16:creationId xmlns:a16="http://schemas.microsoft.com/office/drawing/2014/main" xmlns="" id="{00000000-0008-0000-0D00-00004C100000}"/>
            </a:ext>
          </a:extLst>
        </xdr:cNvPr>
        <xdr:cNvSpPr>
          <a:spLocks noChangeAspect="1" noChangeArrowheads="1"/>
        </xdr:cNvSpPr>
      </xdr:nvSpPr>
      <xdr:spPr bwMode="auto">
        <a:xfrm>
          <a:off x="0" y="4009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73" name="AutoShape 1101" descr="Ottawa Senators">
          <a:extLst>
            <a:ext uri="{FF2B5EF4-FFF2-40B4-BE49-F238E27FC236}">
              <a16:creationId xmlns:a16="http://schemas.microsoft.com/office/drawing/2014/main" xmlns="" id="{00000000-0008-0000-0D00-00004D100000}"/>
            </a:ext>
          </a:extLst>
        </xdr:cNvPr>
        <xdr:cNvSpPr>
          <a:spLocks noChangeAspect="1" noChangeArrowheads="1"/>
        </xdr:cNvSpPr>
      </xdr:nvSpPr>
      <xdr:spPr bwMode="auto">
        <a:xfrm>
          <a:off x="0" y="40127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4" name="AutoShape 1102" descr="Minnesota Wild">
          <a:extLst>
            <a:ext uri="{FF2B5EF4-FFF2-40B4-BE49-F238E27FC236}">
              <a16:creationId xmlns:a16="http://schemas.microsoft.com/office/drawing/2014/main" xmlns="" id="{00000000-0008-0000-0D00-00004E100000}"/>
            </a:ext>
          </a:extLst>
        </xdr:cNvPr>
        <xdr:cNvSpPr>
          <a:spLocks noChangeAspect="1" noChangeArrowheads="1"/>
        </xdr:cNvSpPr>
      </xdr:nvSpPr>
      <xdr:spPr bwMode="auto">
        <a:xfrm>
          <a:off x="0" y="401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5" name="AutoShape 1103" descr="Detroit Red Wings">
          <a:extLst>
            <a:ext uri="{FF2B5EF4-FFF2-40B4-BE49-F238E27FC236}">
              <a16:creationId xmlns:a16="http://schemas.microsoft.com/office/drawing/2014/main" xmlns="" id="{00000000-0008-0000-0D00-00004F100000}"/>
            </a:ext>
          </a:extLst>
        </xdr:cNvPr>
        <xdr:cNvSpPr>
          <a:spLocks noChangeAspect="1" noChangeArrowheads="1"/>
        </xdr:cNvSpPr>
      </xdr:nvSpPr>
      <xdr:spPr bwMode="auto">
        <a:xfrm>
          <a:off x="0" y="40182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6" name="AutoShape 1104" descr="Anaheim Ducks">
          <a:extLst>
            <a:ext uri="{FF2B5EF4-FFF2-40B4-BE49-F238E27FC236}">
              <a16:creationId xmlns:a16="http://schemas.microsoft.com/office/drawing/2014/main" xmlns="" id="{00000000-0008-0000-0D00-000050100000}"/>
            </a:ext>
          </a:extLst>
        </xdr:cNvPr>
        <xdr:cNvSpPr>
          <a:spLocks noChangeAspect="1" noChangeArrowheads="1"/>
        </xdr:cNvSpPr>
      </xdr:nvSpPr>
      <xdr:spPr bwMode="auto">
        <a:xfrm>
          <a:off x="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77" name="AutoShape 1105" descr="Vancouver Canucks">
          <a:extLst>
            <a:ext uri="{FF2B5EF4-FFF2-40B4-BE49-F238E27FC236}">
              <a16:creationId xmlns:a16="http://schemas.microsoft.com/office/drawing/2014/main" xmlns="" id="{00000000-0008-0000-0D00-000051100000}"/>
            </a:ext>
          </a:extLst>
        </xdr:cNvPr>
        <xdr:cNvSpPr>
          <a:spLocks noChangeAspect="1" noChangeArrowheads="1"/>
        </xdr:cNvSpPr>
      </xdr:nvSpPr>
      <xdr:spPr bwMode="auto">
        <a:xfrm>
          <a:off x="0" y="40255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8" name="AutoShape 1106" descr="Nashville Predators">
          <a:extLst>
            <a:ext uri="{FF2B5EF4-FFF2-40B4-BE49-F238E27FC236}">
              <a16:creationId xmlns:a16="http://schemas.microsoft.com/office/drawing/2014/main" xmlns="" id="{00000000-0008-0000-0D00-000052100000}"/>
            </a:ext>
          </a:extLst>
        </xdr:cNvPr>
        <xdr:cNvSpPr>
          <a:spLocks noChangeAspect="1" noChangeArrowheads="1"/>
        </xdr:cNvSpPr>
      </xdr:nvSpPr>
      <xdr:spPr bwMode="auto">
        <a:xfrm>
          <a:off x="0" y="4027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9" name="AutoShape 1107" descr="Ottawa Senators">
          <a:extLst>
            <a:ext uri="{FF2B5EF4-FFF2-40B4-BE49-F238E27FC236}">
              <a16:creationId xmlns:a16="http://schemas.microsoft.com/office/drawing/2014/main" xmlns="" id="{00000000-0008-0000-0D00-000053100000}"/>
            </a:ext>
          </a:extLst>
        </xdr:cNvPr>
        <xdr:cNvSpPr>
          <a:spLocks noChangeAspect="1" noChangeArrowheads="1"/>
        </xdr:cNvSpPr>
      </xdr:nvSpPr>
      <xdr:spPr bwMode="auto">
        <a:xfrm>
          <a:off x="0" y="4031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0" name="AutoShape 1108" descr="Chicago Blackhawks">
          <a:extLst>
            <a:ext uri="{FF2B5EF4-FFF2-40B4-BE49-F238E27FC236}">
              <a16:creationId xmlns:a16="http://schemas.microsoft.com/office/drawing/2014/main" xmlns="" id="{00000000-0008-0000-0D00-000054100000}"/>
            </a:ext>
          </a:extLst>
        </xdr:cNvPr>
        <xdr:cNvSpPr>
          <a:spLocks noChangeAspect="1" noChangeArrowheads="1"/>
        </xdr:cNvSpPr>
      </xdr:nvSpPr>
      <xdr:spPr bwMode="auto">
        <a:xfrm>
          <a:off x="0" y="4034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1" name="AutoShape 1109" descr="New York Islanders">
          <a:extLst>
            <a:ext uri="{FF2B5EF4-FFF2-40B4-BE49-F238E27FC236}">
              <a16:creationId xmlns:a16="http://schemas.microsoft.com/office/drawing/2014/main" xmlns="" id="{00000000-0008-0000-0D00-000055100000}"/>
            </a:ext>
          </a:extLst>
        </xdr:cNvPr>
        <xdr:cNvSpPr>
          <a:spLocks noChangeAspect="1" noChangeArrowheads="1"/>
        </xdr:cNvSpPr>
      </xdr:nvSpPr>
      <xdr:spPr bwMode="auto">
        <a:xfrm>
          <a:off x="0" y="4038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2" name="AutoShape 1110" descr="Buffalo Sabres">
          <a:extLst>
            <a:ext uri="{FF2B5EF4-FFF2-40B4-BE49-F238E27FC236}">
              <a16:creationId xmlns:a16="http://schemas.microsoft.com/office/drawing/2014/main" xmlns="" id="{00000000-0008-0000-0D00-000056100000}"/>
            </a:ext>
          </a:extLst>
        </xdr:cNvPr>
        <xdr:cNvSpPr>
          <a:spLocks noChangeAspect="1" noChangeArrowheads="1"/>
        </xdr:cNvSpPr>
      </xdr:nvSpPr>
      <xdr:spPr bwMode="auto">
        <a:xfrm>
          <a:off x="0" y="4042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3" name="AutoShape 1111" descr="Washington Capitals">
          <a:extLst>
            <a:ext uri="{FF2B5EF4-FFF2-40B4-BE49-F238E27FC236}">
              <a16:creationId xmlns:a16="http://schemas.microsoft.com/office/drawing/2014/main" xmlns="" id="{00000000-0008-0000-0D00-000057100000}"/>
            </a:ext>
          </a:extLst>
        </xdr:cNvPr>
        <xdr:cNvSpPr>
          <a:spLocks noChangeAspect="1" noChangeArrowheads="1"/>
        </xdr:cNvSpPr>
      </xdr:nvSpPr>
      <xdr:spPr bwMode="auto">
        <a:xfrm>
          <a:off x="0" y="40456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84" name="AutoShape 1112" descr="Toronto Maple Leafs">
          <a:extLst>
            <a:ext uri="{FF2B5EF4-FFF2-40B4-BE49-F238E27FC236}">
              <a16:creationId xmlns:a16="http://schemas.microsoft.com/office/drawing/2014/main" xmlns="" id="{00000000-0008-0000-0D00-000058100000}"/>
            </a:ext>
          </a:extLst>
        </xdr:cNvPr>
        <xdr:cNvSpPr>
          <a:spLocks noChangeAspect="1" noChangeArrowheads="1"/>
        </xdr:cNvSpPr>
      </xdr:nvSpPr>
      <xdr:spPr bwMode="auto">
        <a:xfrm>
          <a:off x="0" y="4049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85" name="AutoShape 1113" descr="Tampa Bay Lightning">
          <a:extLst>
            <a:ext uri="{FF2B5EF4-FFF2-40B4-BE49-F238E27FC236}">
              <a16:creationId xmlns:a16="http://schemas.microsoft.com/office/drawing/2014/main" xmlns="" id="{00000000-0008-0000-0D00-000059100000}"/>
            </a:ext>
          </a:extLst>
        </xdr:cNvPr>
        <xdr:cNvSpPr>
          <a:spLocks noChangeAspect="1" noChangeArrowheads="1"/>
        </xdr:cNvSpPr>
      </xdr:nvSpPr>
      <xdr:spPr bwMode="auto">
        <a:xfrm>
          <a:off x="0" y="4051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6" name="AutoShape 1114" descr="Vancouver Canucks">
          <a:extLst>
            <a:ext uri="{FF2B5EF4-FFF2-40B4-BE49-F238E27FC236}">
              <a16:creationId xmlns:a16="http://schemas.microsoft.com/office/drawing/2014/main" xmlns="" id="{00000000-0008-0000-0D00-00005A100000}"/>
            </a:ext>
          </a:extLst>
        </xdr:cNvPr>
        <xdr:cNvSpPr>
          <a:spLocks noChangeAspect="1" noChangeArrowheads="1"/>
        </xdr:cNvSpPr>
      </xdr:nvSpPr>
      <xdr:spPr bwMode="auto">
        <a:xfrm>
          <a:off x="0" y="40530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7" name="AutoShape 1115" descr="Vancouver Canucks">
          <a:extLst>
            <a:ext uri="{FF2B5EF4-FFF2-40B4-BE49-F238E27FC236}">
              <a16:creationId xmlns:a16="http://schemas.microsoft.com/office/drawing/2014/main" xmlns="" id="{00000000-0008-0000-0D00-00005B100000}"/>
            </a:ext>
          </a:extLst>
        </xdr:cNvPr>
        <xdr:cNvSpPr>
          <a:spLocks noChangeAspect="1" noChangeArrowheads="1"/>
        </xdr:cNvSpPr>
      </xdr:nvSpPr>
      <xdr:spPr bwMode="auto">
        <a:xfrm>
          <a:off x="0" y="4056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8" name="AutoShape 1116" descr="St Louis Blues">
          <a:extLst>
            <a:ext uri="{FF2B5EF4-FFF2-40B4-BE49-F238E27FC236}">
              <a16:creationId xmlns:a16="http://schemas.microsoft.com/office/drawing/2014/main" xmlns="" id="{00000000-0008-0000-0D00-00005C100000}"/>
            </a:ext>
          </a:extLst>
        </xdr:cNvPr>
        <xdr:cNvSpPr>
          <a:spLocks noChangeAspect="1" noChangeArrowheads="1"/>
        </xdr:cNvSpPr>
      </xdr:nvSpPr>
      <xdr:spPr bwMode="auto">
        <a:xfrm>
          <a:off x="0" y="4060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9" name="AutoShape 1117" descr="Minnesota Wild">
          <a:extLst>
            <a:ext uri="{FF2B5EF4-FFF2-40B4-BE49-F238E27FC236}">
              <a16:creationId xmlns:a16="http://schemas.microsoft.com/office/drawing/2014/main" xmlns="" id="{00000000-0008-0000-0D00-00005D100000}"/>
            </a:ext>
          </a:extLst>
        </xdr:cNvPr>
        <xdr:cNvSpPr>
          <a:spLocks noChangeAspect="1" noChangeArrowheads="1"/>
        </xdr:cNvSpPr>
      </xdr:nvSpPr>
      <xdr:spPr bwMode="auto">
        <a:xfrm>
          <a:off x="0" y="40639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0" name="AutoShape 1118" descr="Carolina Hurricanes">
          <a:extLst>
            <a:ext uri="{FF2B5EF4-FFF2-40B4-BE49-F238E27FC236}">
              <a16:creationId xmlns:a16="http://schemas.microsoft.com/office/drawing/2014/main" xmlns="" id="{00000000-0008-0000-0D00-00005E100000}"/>
            </a:ext>
          </a:extLst>
        </xdr:cNvPr>
        <xdr:cNvSpPr>
          <a:spLocks noChangeAspect="1" noChangeArrowheads="1"/>
        </xdr:cNvSpPr>
      </xdr:nvSpPr>
      <xdr:spPr bwMode="auto">
        <a:xfrm>
          <a:off x="0" y="40676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1" name="AutoShape 1119" descr="Arizona Coyotes">
          <a:extLst>
            <a:ext uri="{FF2B5EF4-FFF2-40B4-BE49-F238E27FC236}">
              <a16:creationId xmlns:a16="http://schemas.microsoft.com/office/drawing/2014/main" xmlns="" id="{00000000-0008-0000-0D00-00005F100000}"/>
            </a:ext>
          </a:extLst>
        </xdr:cNvPr>
        <xdr:cNvSpPr>
          <a:spLocks noChangeAspect="1" noChangeArrowheads="1"/>
        </xdr:cNvSpPr>
      </xdr:nvSpPr>
      <xdr:spPr bwMode="auto">
        <a:xfrm>
          <a:off x="0" y="40712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2" name="AutoShape 1120" descr="Vancouver Canucks">
          <a:extLst>
            <a:ext uri="{FF2B5EF4-FFF2-40B4-BE49-F238E27FC236}">
              <a16:creationId xmlns:a16="http://schemas.microsoft.com/office/drawing/2014/main" xmlns="" id="{00000000-0008-0000-0D00-000060100000}"/>
            </a:ext>
          </a:extLst>
        </xdr:cNvPr>
        <xdr:cNvSpPr>
          <a:spLocks noChangeAspect="1" noChangeArrowheads="1"/>
        </xdr:cNvSpPr>
      </xdr:nvSpPr>
      <xdr:spPr bwMode="auto">
        <a:xfrm>
          <a:off x="0" y="40749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3" name="AutoShape 1121" descr="Philadelphia Flyers">
          <a:extLst>
            <a:ext uri="{FF2B5EF4-FFF2-40B4-BE49-F238E27FC236}">
              <a16:creationId xmlns:a16="http://schemas.microsoft.com/office/drawing/2014/main" xmlns="" id="{00000000-0008-0000-0D00-000061100000}"/>
            </a:ext>
          </a:extLst>
        </xdr:cNvPr>
        <xdr:cNvSpPr>
          <a:spLocks noChangeAspect="1" noChangeArrowheads="1"/>
        </xdr:cNvSpPr>
      </xdr:nvSpPr>
      <xdr:spPr bwMode="auto">
        <a:xfrm>
          <a:off x="0" y="4076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4" name="AutoShape 1122" descr="Vegas Golden Knights">
          <a:extLst>
            <a:ext uri="{FF2B5EF4-FFF2-40B4-BE49-F238E27FC236}">
              <a16:creationId xmlns:a16="http://schemas.microsoft.com/office/drawing/2014/main" xmlns="" id="{00000000-0008-0000-0D00-000062100000}"/>
            </a:ext>
          </a:extLst>
        </xdr:cNvPr>
        <xdr:cNvSpPr>
          <a:spLocks noChangeAspect="1" noChangeArrowheads="1"/>
        </xdr:cNvSpPr>
      </xdr:nvSpPr>
      <xdr:spPr bwMode="auto">
        <a:xfrm>
          <a:off x="0" y="40786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5" name="AutoShape 1123" descr="Boston Bruins">
          <a:extLst>
            <a:ext uri="{FF2B5EF4-FFF2-40B4-BE49-F238E27FC236}">
              <a16:creationId xmlns:a16="http://schemas.microsoft.com/office/drawing/2014/main" xmlns="" id="{00000000-0008-0000-0D00-000063100000}"/>
            </a:ext>
          </a:extLst>
        </xdr:cNvPr>
        <xdr:cNvSpPr>
          <a:spLocks noChangeAspect="1" noChangeArrowheads="1"/>
        </xdr:cNvSpPr>
      </xdr:nvSpPr>
      <xdr:spPr bwMode="auto">
        <a:xfrm>
          <a:off x="0" y="408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6" name="AutoShape 1124" descr="New Jersey Devils">
          <a:extLst>
            <a:ext uri="{FF2B5EF4-FFF2-40B4-BE49-F238E27FC236}">
              <a16:creationId xmlns:a16="http://schemas.microsoft.com/office/drawing/2014/main" xmlns="" id="{00000000-0008-0000-0D00-000064100000}"/>
            </a:ext>
          </a:extLst>
        </xdr:cNvPr>
        <xdr:cNvSpPr>
          <a:spLocks noChangeAspect="1" noChangeArrowheads="1"/>
        </xdr:cNvSpPr>
      </xdr:nvSpPr>
      <xdr:spPr bwMode="auto">
        <a:xfrm>
          <a:off x="0" y="4084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7" name="AutoShape 1125" descr="Florida Panthers">
          <a:extLst>
            <a:ext uri="{FF2B5EF4-FFF2-40B4-BE49-F238E27FC236}">
              <a16:creationId xmlns:a16="http://schemas.microsoft.com/office/drawing/2014/main" xmlns="" id="{00000000-0008-0000-0D00-000065100000}"/>
            </a:ext>
          </a:extLst>
        </xdr:cNvPr>
        <xdr:cNvSpPr>
          <a:spLocks noChangeAspect="1" noChangeArrowheads="1"/>
        </xdr:cNvSpPr>
      </xdr:nvSpPr>
      <xdr:spPr bwMode="auto">
        <a:xfrm>
          <a:off x="0" y="40859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8" name="AutoShape 1126" descr="New Jersey Devils">
          <a:extLst>
            <a:ext uri="{FF2B5EF4-FFF2-40B4-BE49-F238E27FC236}">
              <a16:creationId xmlns:a16="http://schemas.microsoft.com/office/drawing/2014/main" xmlns="" id="{00000000-0008-0000-0D00-000066100000}"/>
            </a:ext>
          </a:extLst>
        </xdr:cNvPr>
        <xdr:cNvSpPr>
          <a:spLocks noChangeAspect="1" noChangeArrowheads="1"/>
        </xdr:cNvSpPr>
      </xdr:nvSpPr>
      <xdr:spPr bwMode="auto">
        <a:xfrm>
          <a:off x="0" y="4087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9" name="AutoShape 1127" descr="Vancouver Canucks">
          <a:extLst>
            <a:ext uri="{FF2B5EF4-FFF2-40B4-BE49-F238E27FC236}">
              <a16:creationId xmlns:a16="http://schemas.microsoft.com/office/drawing/2014/main" xmlns="" id="{00000000-0008-0000-0D00-000067100000}"/>
            </a:ext>
          </a:extLst>
        </xdr:cNvPr>
        <xdr:cNvSpPr>
          <a:spLocks noChangeAspect="1" noChangeArrowheads="1"/>
        </xdr:cNvSpPr>
      </xdr:nvSpPr>
      <xdr:spPr bwMode="auto">
        <a:xfrm>
          <a:off x="0" y="4089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0" name="AutoShape 1128" descr="Nashville Predators">
          <a:extLst>
            <a:ext uri="{FF2B5EF4-FFF2-40B4-BE49-F238E27FC236}">
              <a16:creationId xmlns:a16="http://schemas.microsoft.com/office/drawing/2014/main" xmlns="" id="{00000000-0008-0000-0D00-000068100000}"/>
            </a:ext>
          </a:extLst>
        </xdr:cNvPr>
        <xdr:cNvSpPr>
          <a:spLocks noChangeAspect="1" noChangeArrowheads="1"/>
        </xdr:cNvSpPr>
      </xdr:nvSpPr>
      <xdr:spPr bwMode="auto">
        <a:xfrm>
          <a:off x="0" y="40932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1" name="AutoShape 1129" descr="Philadelphia Flyers">
          <a:extLst>
            <a:ext uri="{FF2B5EF4-FFF2-40B4-BE49-F238E27FC236}">
              <a16:creationId xmlns:a16="http://schemas.microsoft.com/office/drawing/2014/main" xmlns="" id="{00000000-0008-0000-0D00-000069100000}"/>
            </a:ext>
          </a:extLst>
        </xdr:cNvPr>
        <xdr:cNvSpPr>
          <a:spLocks noChangeAspect="1" noChangeArrowheads="1"/>
        </xdr:cNvSpPr>
      </xdr:nvSpPr>
      <xdr:spPr bwMode="auto">
        <a:xfrm>
          <a:off x="0" y="4095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2" name="AutoShape 1130" descr="New York Islanders">
          <a:extLst>
            <a:ext uri="{FF2B5EF4-FFF2-40B4-BE49-F238E27FC236}">
              <a16:creationId xmlns:a16="http://schemas.microsoft.com/office/drawing/2014/main" xmlns="" id="{00000000-0008-0000-0D00-00006A100000}"/>
            </a:ext>
          </a:extLst>
        </xdr:cNvPr>
        <xdr:cNvSpPr>
          <a:spLocks noChangeAspect="1" noChangeArrowheads="1"/>
        </xdr:cNvSpPr>
      </xdr:nvSpPr>
      <xdr:spPr bwMode="auto">
        <a:xfrm>
          <a:off x="0" y="4098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3" name="AutoShape 1131" descr="Ottawa Senators">
          <a:extLst>
            <a:ext uri="{FF2B5EF4-FFF2-40B4-BE49-F238E27FC236}">
              <a16:creationId xmlns:a16="http://schemas.microsoft.com/office/drawing/2014/main" xmlns="" id="{00000000-0008-0000-0D00-00006B100000}"/>
            </a:ext>
          </a:extLst>
        </xdr:cNvPr>
        <xdr:cNvSpPr>
          <a:spLocks noChangeAspect="1" noChangeArrowheads="1"/>
        </xdr:cNvSpPr>
      </xdr:nvSpPr>
      <xdr:spPr bwMode="auto">
        <a:xfrm>
          <a:off x="0" y="41005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4" name="AutoShape 1132" descr="Vancouver Canucks">
          <a:extLst>
            <a:ext uri="{FF2B5EF4-FFF2-40B4-BE49-F238E27FC236}">
              <a16:creationId xmlns:a16="http://schemas.microsoft.com/office/drawing/2014/main" xmlns="" id="{00000000-0008-0000-0D00-00006C100000}"/>
            </a:ext>
          </a:extLst>
        </xdr:cNvPr>
        <xdr:cNvSpPr>
          <a:spLocks noChangeAspect="1" noChangeArrowheads="1"/>
        </xdr:cNvSpPr>
      </xdr:nvSpPr>
      <xdr:spPr bwMode="auto">
        <a:xfrm>
          <a:off x="0" y="4104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5" name="AutoShape 1133" descr="Boston Bruins">
          <a:extLst>
            <a:ext uri="{FF2B5EF4-FFF2-40B4-BE49-F238E27FC236}">
              <a16:creationId xmlns:a16="http://schemas.microsoft.com/office/drawing/2014/main" xmlns="" id="{00000000-0008-0000-0D00-00006D100000}"/>
            </a:ext>
          </a:extLst>
        </xdr:cNvPr>
        <xdr:cNvSpPr>
          <a:spLocks noChangeAspect="1" noChangeArrowheads="1"/>
        </xdr:cNvSpPr>
      </xdr:nvSpPr>
      <xdr:spPr bwMode="auto">
        <a:xfrm>
          <a:off x="0" y="4107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6" name="AutoShape 1134" descr="Buffalo Sabres">
          <a:extLst>
            <a:ext uri="{FF2B5EF4-FFF2-40B4-BE49-F238E27FC236}">
              <a16:creationId xmlns:a16="http://schemas.microsoft.com/office/drawing/2014/main" xmlns="" id="{00000000-0008-0000-0D00-00006E100000}"/>
            </a:ext>
          </a:extLst>
        </xdr:cNvPr>
        <xdr:cNvSpPr>
          <a:spLocks noChangeAspect="1" noChangeArrowheads="1"/>
        </xdr:cNvSpPr>
      </xdr:nvSpPr>
      <xdr:spPr bwMode="auto">
        <a:xfrm>
          <a:off x="0" y="41096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7" name="AutoShape 1135" descr="Ottawa Senators">
          <a:extLst>
            <a:ext uri="{FF2B5EF4-FFF2-40B4-BE49-F238E27FC236}">
              <a16:creationId xmlns:a16="http://schemas.microsoft.com/office/drawing/2014/main" xmlns="" id="{00000000-0008-0000-0D00-00006F100000}"/>
            </a:ext>
          </a:extLst>
        </xdr:cNvPr>
        <xdr:cNvSpPr>
          <a:spLocks noChangeAspect="1" noChangeArrowheads="1"/>
        </xdr:cNvSpPr>
      </xdr:nvSpPr>
      <xdr:spPr bwMode="auto">
        <a:xfrm>
          <a:off x="0" y="4113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8" name="AutoShape 1136" descr="Philadelphia Flyers">
          <a:extLst>
            <a:ext uri="{FF2B5EF4-FFF2-40B4-BE49-F238E27FC236}">
              <a16:creationId xmlns:a16="http://schemas.microsoft.com/office/drawing/2014/main" xmlns="" id="{00000000-0008-0000-0D00-000070100000}"/>
            </a:ext>
          </a:extLst>
        </xdr:cNvPr>
        <xdr:cNvSpPr>
          <a:spLocks noChangeAspect="1" noChangeArrowheads="1"/>
        </xdr:cNvSpPr>
      </xdr:nvSpPr>
      <xdr:spPr bwMode="auto">
        <a:xfrm>
          <a:off x="0" y="4117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9" name="AutoShape 1137" descr="Philadelphia Flyers">
          <a:extLst>
            <a:ext uri="{FF2B5EF4-FFF2-40B4-BE49-F238E27FC236}">
              <a16:creationId xmlns:a16="http://schemas.microsoft.com/office/drawing/2014/main" xmlns="" id="{00000000-0008-0000-0D00-000071100000}"/>
            </a:ext>
          </a:extLst>
        </xdr:cNvPr>
        <xdr:cNvSpPr>
          <a:spLocks noChangeAspect="1" noChangeArrowheads="1"/>
        </xdr:cNvSpPr>
      </xdr:nvSpPr>
      <xdr:spPr bwMode="auto">
        <a:xfrm>
          <a:off x="0" y="4120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0" name="AutoShape 1138" descr="Anaheim Ducks">
          <a:extLst>
            <a:ext uri="{FF2B5EF4-FFF2-40B4-BE49-F238E27FC236}">
              <a16:creationId xmlns:a16="http://schemas.microsoft.com/office/drawing/2014/main" xmlns="" id="{00000000-0008-0000-0D00-000072100000}"/>
            </a:ext>
          </a:extLst>
        </xdr:cNvPr>
        <xdr:cNvSpPr>
          <a:spLocks noChangeAspect="1" noChangeArrowheads="1"/>
        </xdr:cNvSpPr>
      </xdr:nvSpPr>
      <xdr:spPr bwMode="auto">
        <a:xfrm>
          <a:off x="0" y="41224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1" name="AutoShape 1139" descr="Toronto Maple Leafs">
          <a:extLst>
            <a:ext uri="{FF2B5EF4-FFF2-40B4-BE49-F238E27FC236}">
              <a16:creationId xmlns:a16="http://schemas.microsoft.com/office/drawing/2014/main" xmlns="" id="{00000000-0008-0000-0D00-000073100000}"/>
            </a:ext>
          </a:extLst>
        </xdr:cNvPr>
        <xdr:cNvSpPr>
          <a:spLocks noChangeAspect="1" noChangeArrowheads="1"/>
        </xdr:cNvSpPr>
      </xdr:nvSpPr>
      <xdr:spPr bwMode="auto">
        <a:xfrm>
          <a:off x="0" y="4124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2" name="AutoShape 1140" descr="Buffalo Sabres">
          <a:extLst>
            <a:ext uri="{FF2B5EF4-FFF2-40B4-BE49-F238E27FC236}">
              <a16:creationId xmlns:a16="http://schemas.microsoft.com/office/drawing/2014/main" xmlns="" id="{00000000-0008-0000-0D00-000074100000}"/>
            </a:ext>
          </a:extLst>
        </xdr:cNvPr>
        <xdr:cNvSpPr>
          <a:spLocks noChangeAspect="1" noChangeArrowheads="1"/>
        </xdr:cNvSpPr>
      </xdr:nvSpPr>
      <xdr:spPr bwMode="auto">
        <a:xfrm>
          <a:off x="0" y="41261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3" name="AutoShape 1141" descr="Vegas Golden Knights">
          <a:extLst>
            <a:ext uri="{FF2B5EF4-FFF2-40B4-BE49-F238E27FC236}">
              <a16:creationId xmlns:a16="http://schemas.microsoft.com/office/drawing/2014/main" xmlns="" id="{00000000-0008-0000-0D00-000075100000}"/>
            </a:ext>
          </a:extLst>
        </xdr:cNvPr>
        <xdr:cNvSpPr>
          <a:spLocks noChangeAspect="1" noChangeArrowheads="1"/>
        </xdr:cNvSpPr>
      </xdr:nvSpPr>
      <xdr:spPr bwMode="auto">
        <a:xfrm>
          <a:off x="0" y="4129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14" name="AutoShape 1142" descr="Dallas Stars">
          <a:extLst>
            <a:ext uri="{FF2B5EF4-FFF2-40B4-BE49-F238E27FC236}">
              <a16:creationId xmlns:a16="http://schemas.microsoft.com/office/drawing/2014/main" xmlns="" id="{00000000-0008-0000-0D00-000076100000}"/>
            </a:ext>
          </a:extLst>
        </xdr:cNvPr>
        <xdr:cNvSpPr>
          <a:spLocks noChangeAspect="1" noChangeArrowheads="1"/>
        </xdr:cNvSpPr>
      </xdr:nvSpPr>
      <xdr:spPr bwMode="auto">
        <a:xfrm>
          <a:off x="0" y="4133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5" name="AutoShape 1143" descr="Dallas Stars">
          <a:extLst>
            <a:ext uri="{FF2B5EF4-FFF2-40B4-BE49-F238E27FC236}">
              <a16:creationId xmlns:a16="http://schemas.microsoft.com/office/drawing/2014/main" xmlns="" id="{00000000-0008-0000-0D00-000077100000}"/>
            </a:ext>
          </a:extLst>
        </xdr:cNvPr>
        <xdr:cNvSpPr>
          <a:spLocks noChangeAspect="1" noChangeArrowheads="1"/>
        </xdr:cNvSpPr>
      </xdr:nvSpPr>
      <xdr:spPr bwMode="auto">
        <a:xfrm>
          <a:off x="0" y="41352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6" name="AutoShape 1144" descr="Colorado Avalanche">
          <a:extLst>
            <a:ext uri="{FF2B5EF4-FFF2-40B4-BE49-F238E27FC236}">
              <a16:creationId xmlns:a16="http://schemas.microsoft.com/office/drawing/2014/main" xmlns="" id="{00000000-0008-0000-0D00-000078100000}"/>
            </a:ext>
          </a:extLst>
        </xdr:cNvPr>
        <xdr:cNvSpPr>
          <a:spLocks noChangeAspect="1" noChangeArrowheads="1"/>
        </xdr:cNvSpPr>
      </xdr:nvSpPr>
      <xdr:spPr bwMode="auto">
        <a:xfrm>
          <a:off x="0" y="4137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7" name="AutoShape 1145" descr="Montreal Canadiens">
          <a:extLst>
            <a:ext uri="{FF2B5EF4-FFF2-40B4-BE49-F238E27FC236}">
              <a16:creationId xmlns:a16="http://schemas.microsoft.com/office/drawing/2014/main" xmlns="" id="{00000000-0008-0000-0D00-000079100000}"/>
            </a:ext>
          </a:extLst>
        </xdr:cNvPr>
        <xdr:cNvSpPr>
          <a:spLocks noChangeAspect="1" noChangeArrowheads="1"/>
        </xdr:cNvSpPr>
      </xdr:nvSpPr>
      <xdr:spPr bwMode="auto">
        <a:xfrm>
          <a:off x="0" y="4140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8" name="AutoShape 1146" descr="Toronto Maple Leafs">
          <a:extLst>
            <a:ext uri="{FF2B5EF4-FFF2-40B4-BE49-F238E27FC236}">
              <a16:creationId xmlns:a16="http://schemas.microsoft.com/office/drawing/2014/main" xmlns="" id="{00000000-0008-0000-0D00-00007A100000}"/>
            </a:ext>
          </a:extLst>
        </xdr:cNvPr>
        <xdr:cNvSpPr>
          <a:spLocks noChangeAspect="1" noChangeArrowheads="1"/>
        </xdr:cNvSpPr>
      </xdr:nvSpPr>
      <xdr:spPr bwMode="auto">
        <a:xfrm>
          <a:off x="0" y="4144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9" name="AutoShape 1147" descr="San Jose Sharks">
          <a:extLst>
            <a:ext uri="{FF2B5EF4-FFF2-40B4-BE49-F238E27FC236}">
              <a16:creationId xmlns:a16="http://schemas.microsoft.com/office/drawing/2014/main" xmlns="" id="{00000000-0008-0000-0D00-00007B100000}"/>
            </a:ext>
          </a:extLst>
        </xdr:cNvPr>
        <xdr:cNvSpPr>
          <a:spLocks noChangeAspect="1" noChangeArrowheads="1"/>
        </xdr:cNvSpPr>
      </xdr:nvSpPr>
      <xdr:spPr bwMode="auto">
        <a:xfrm>
          <a:off x="0" y="4148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0" name="AutoShape 1148" descr="Nashville Predators">
          <a:extLst>
            <a:ext uri="{FF2B5EF4-FFF2-40B4-BE49-F238E27FC236}">
              <a16:creationId xmlns:a16="http://schemas.microsoft.com/office/drawing/2014/main" xmlns="" id="{00000000-0008-0000-0D00-00007C100000}"/>
            </a:ext>
          </a:extLst>
        </xdr:cNvPr>
        <xdr:cNvSpPr>
          <a:spLocks noChangeAspect="1" noChangeArrowheads="1"/>
        </xdr:cNvSpPr>
      </xdr:nvSpPr>
      <xdr:spPr bwMode="auto">
        <a:xfrm>
          <a:off x="0" y="4151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1" name="AutoShape 1149" descr="Anaheim Ducks">
          <a:extLst>
            <a:ext uri="{FF2B5EF4-FFF2-40B4-BE49-F238E27FC236}">
              <a16:creationId xmlns:a16="http://schemas.microsoft.com/office/drawing/2014/main" xmlns="" id="{00000000-0008-0000-0D00-00007D100000}"/>
            </a:ext>
          </a:extLst>
        </xdr:cNvPr>
        <xdr:cNvSpPr>
          <a:spLocks noChangeAspect="1" noChangeArrowheads="1"/>
        </xdr:cNvSpPr>
      </xdr:nvSpPr>
      <xdr:spPr bwMode="auto">
        <a:xfrm>
          <a:off x="0" y="4155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2" name="AutoShape 1150" descr="Los Angeles Kings">
          <a:extLst>
            <a:ext uri="{FF2B5EF4-FFF2-40B4-BE49-F238E27FC236}">
              <a16:creationId xmlns:a16="http://schemas.microsoft.com/office/drawing/2014/main" xmlns="" id="{00000000-0008-0000-0D00-00007E100000}"/>
            </a:ext>
          </a:extLst>
        </xdr:cNvPr>
        <xdr:cNvSpPr>
          <a:spLocks noChangeAspect="1" noChangeArrowheads="1"/>
        </xdr:cNvSpPr>
      </xdr:nvSpPr>
      <xdr:spPr bwMode="auto">
        <a:xfrm>
          <a:off x="0" y="41572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23" name="AutoShape 1151" descr="Edmonton Oilers">
          <a:extLst>
            <a:ext uri="{FF2B5EF4-FFF2-40B4-BE49-F238E27FC236}">
              <a16:creationId xmlns:a16="http://schemas.microsoft.com/office/drawing/2014/main" xmlns="" id="{00000000-0008-0000-0D00-00007F100000}"/>
            </a:ext>
          </a:extLst>
        </xdr:cNvPr>
        <xdr:cNvSpPr>
          <a:spLocks noChangeAspect="1" noChangeArrowheads="1"/>
        </xdr:cNvSpPr>
      </xdr:nvSpPr>
      <xdr:spPr bwMode="auto">
        <a:xfrm>
          <a:off x="0" y="4160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4" name="AutoShape 1152" descr="Calgary Flames">
          <a:extLst>
            <a:ext uri="{FF2B5EF4-FFF2-40B4-BE49-F238E27FC236}">
              <a16:creationId xmlns:a16="http://schemas.microsoft.com/office/drawing/2014/main" xmlns="" id="{00000000-0008-0000-0D00-000080100000}"/>
            </a:ext>
          </a:extLst>
        </xdr:cNvPr>
        <xdr:cNvSpPr>
          <a:spLocks noChangeAspect="1" noChangeArrowheads="1"/>
        </xdr:cNvSpPr>
      </xdr:nvSpPr>
      <xdr:spPr bwMode="auto">
        <a:xfrm>
          <a:off x="0" y="4162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5" name="AutoShape 1153" descr="San Jose Sharks">
          <a:extLst>
            <a:ext uri="{FF2B5EF4-FFF2-40B4-BE49-F238E27FC236}">
              <a16:creationId xmlns:a16="http://schemas.microsoft.com/office/drawing/2014/main" xmlns="" id="{00000000-0008-0000-0D00-000081100000}"/>
            </a:ext>
          </a:extLst>
        </xdr:cNvPr>
        <xdr:cNvSpPr>
          <a:spLocks noChangeAspect="1" noChangeArrowheads="1"/>
        </xdr:cNvSpPr>
      </xdr:nvSpPr>
      <xdr:spPr bwMode="auto">
        <a:xfrm>
          <a:off x="0" y="4166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6" name="AutoShape 1154" descr="Columbus Blue Jackets">
          <a:extLst>
            <a:ext uri="{FF2B5EF4-FFF2-40B4-BE49-F238E27FC236}">
              <a16:creationId xmlns:a16="http://schemas.microsoft.com/office/drawing/2014/main" xmlns="" id="{00000000-0008-0000-0D00-000082100000}"/>
            </a:ext>
          </a:extLst>
        </xdr:cNvPr>
        <xdr:cNvSpPr>
          <a:spLocks noChangeAspect="1" noChangeArrowheads="1"/>
        </xdr:cNvSpPr>
      </xdr:nvSpPr>
      <xdr:spPr bwMode="auto">
        <a:xfrm>
          <a:off x="0" y="41700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7" name="AutoShape 1155" descr="New York Rangers">
          <a:extLst>
            <a:ext uri="{FF2B5EF4-FFF2-40B4-BE49-F238E27FC236}">
              <a16:creationId xmlns:a16="http://schemas.microsoft.com/office/drawing/2014/main" xmlns="" id="{00000000-0008-0000-0D00-000083100000}"/>
            </a:ext>
          </a:extLst>
        </xdr:cNvPr>
        <xdr:cNvSpPr>
          <a:spLocks noChangeAspect="1" noChangeArrowheads="1"/>
        </xdr:cNvSpPr>
      </xdr:nvSpPr>
      <xdr:spPr bwMode="auto">
        <a:xfrm>
          <a:off x="0" y="41737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8" name="AutoShape 1156" descr="Detroit Red Wings">
          <a:extLst>
            <a:ext uri="{FF2B5EF4-FFF2-40B4-BE49-F238E27FC236}">
              <a16:creationId xmlns:a16="http://schemas.microsoft.com/office/drawing/2014/main" xmlns="" id="{00000000-0008-0000-0D00-000084100000}"/>
            </a:ext>
          </a:extLst>
        </xdr:cNvPr>
        <xdr:cNvSpPr>
          <a:spLocks noChangeAspect="1" noChangeArrowheads="1"/>
        </xdr:cNvSpPr>
      </xdr:nvSpPr>
      <xdr:spPr bwMode="auto">
        <a:xfrm>
          <a:off x="0" y="4175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9" name="AutoShape 1157" descr="Carolina Hurricanes">
          <a:extLst>
            <a:ext uri="{FF2B5EF4-FFF2-40B4-BE49-F238E27FC236}">
              <a16:creationId xmlns:a16="http://schemas.microsoft.com/office/drawing/2014/main" xmlns="" id="{00000000-0008-0000-0D00-000085100000}"/>
            </a:ext>
          </a:extLst>
        </xdr:cNvPr>
        <xdr:cNvSpPr>
          <a:spLocks noChangeAspect="1" noChangeArrowheads="1"/>
        </xdr:cNvSpPr>
      </xdr:nvSpPr>
      <xdr:spPr bwMode="auto">
        <a:xfrm>
          <a:off x="0" y="4179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0" name="AutoShape 1158" descr="Ottawa Senators">
          <a:extLst>
            <a:ext uri="{FF2B5EF4-FFF2-40B4-BE49-F238E27FC236}">
              <a16:creationId xmlns:a16="http://schemas.microsoft.com/office/drawing/2014/main" xmlns="" id="{00000000-0008-0000-0D00-000086100000}"/>
            </a:ext>
          </a:extLst>
        </xdr:cNvPr>
        <xdr:cNvSpPr>
          <a:spLocks noChangeAspect="1" noChangeArrowheads="1"/>
        </xdr:cNvSpPr>
      </xdr:nvSpPr>
      <xdr:spPr bwMode="auto">
        <a:xfrm>
          <a:off x="0" y="4182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1" name="AutoShape 1159" descr="Carolina Hurricanes">
          <a:extLst>
            <a:ext uri="{FF2B5EF4-FFF2-40B4-BE49-F238E27FC236}">
              <a16:creationId xmlns:a16="http://schemas.microsoft.com/office/drawing/2014/main" xmlns="" id="{00000000-0008-0000-0D00-000087100000}"/>
            </a:ext>
          </a:extLst>
        </xdr:cNvPr>
        <xdr:cNvSpPr>
          <a:spLocks noChangeAspect="1" noChangeArrowheads="1"/>
        </xdr:cNvSpPr>
      </xdr:nvSpPr>
      <xdr:spPr bwMode="auto">
        <a:xfrm>
          <a:off x="0" y="4186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32" name="AutoShape 1160" descr="Winnipeg Jets">
          <a:extLst>
            <a:ext uri="{FF2B5EF4-FFF2-40B4-BE49-F238E27FC236}">
              <a16:creationId xmlns:a16="http://schemas.microsoft.com/office/drawing/2014/main" xmlns="" id="{00000000-0008-0000-0D00-000088100000}"/>
            </a:ext>
          </a:extLst>
        </xdr:cNvPr>
        <xdr:cNvSpPr>
          <a:spLocks noChangeAspect="1" noChangeArrowheads="1"/>
        </xdr:cNvSpPr>
      </xdr:nvSpPr>
      <xdr:spPr bwMode="auto">
        <a:xfrm>
          <a:off x="0" y="419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3" name="AutoShape 1161" descr="New York Rangers">
          <a:extLst>
            <a:ext uri="{FF2B5EF4-FFF2-40B4-BE49-F238E27FC236}">
              <a16:creationId xmlns:a16="http://schemas.microsoft.com/office/drawing/2014/main" xmlns="" id="{00000000-0008-0000-0D00-000089100000}"/>
            </a:ext>
          </a:extLst>
        </xdr:cNvPr>
        <xdr:cNvSpPr>
          <a:spLocks noChangeAspect="1" noChangeArrowheads="1"/>
        </xdr:cNvSpPr>
      </xdr:nvSpPr>
      <xdr:spPr bwMode="auto">
        <a:xfrm>
          <a:off x="0" y="41919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4" name="AutoShape 1162" descr="Vegas Golden Knights">
          <a:extLst>
            <a:ext uri="{FF2B5EF4-FFF2-40B4-BE49-F238E27FC236}">
              <a16:creationId xmlns:a16="http://schemas.microsoft.com/office/drawing/2014/main" xmlns="" id="{00000000-0008-0000-0D00-00008A100000}"/>
            </a:ext>
          </a:extLst>
        </xdr:cNvPr>
        <xdr:cNvSpPr>
          <a:spLocks noChangeAspect="1" noChangeArrowheads="1"/>
        </xdr:cNvSpPr>
      </xdr:nvSpPr>
      <xdr:spPr bwMode="auto">
        <a:xfrm>
          <a:off x="0" y="41956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5" name="AutoShape 1163" descr="Columbus Blue Jackets">
          <a:extLst>
            <a:ext uri="{FF2B5EF4-FFF2-40B4-BE49-F238E27FC236}">
              <a16:creationId xmlns:a16="http://schemas.microsoft.com/office/drawing/2014/main" xmlns="" id="{00000000-0008-0000-0D00-00008B100000}"/>
            </a:ext>
          </a:extLst>
        </xdr:cNvPr>
        <xdr:cNvSpPr>
          <a:spLocks noChangeAspect="1" noChangeArrowheads="1"/>
        </xdr:cNvSpPr>
      </xdr:nvSpPr>
      <xdr:spPr bwMode="auto">
        <a:xfrm>
          <a:off x="0" y="4197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6" name="AutoShape 1164" descr="Calgary Flames">
          <a:extLst>
            <a:ext uri="{FF2B5EF4-FFF2-40B4-BE49-F238E27FC236}">
              <a16:creationId xmlns:a16="http://schemas.microsoft.com/office/drawing/2014/main" xmlns="" id="{00000000-0008-0000-0D00-00008C100000}"/>
            </a:ext>
          </a:extLst>
        </xdr:cNvPr>
        <xdr:cNvSpPr>
          <a:spLocks noChangeAspect="1" noChangeArrowheads="1"/>
        </xdr:cNvSpPr>
      </xdr:nvSpPr>
      <xdr:spPr bwMode="auto">
        <a:xfrm>
          <a:off x="0" y="4201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7" name="AutoShape 1165" descr="Arizona Coyotes">
          <a:extLst>
            <a:ext uri="{FF2B5EF4-FFF2-40B4-BE49-F238E27FC236}">
              <a16:creationId xmlns:a16="http://schemas.microsoft.com/office/drawing/2014/main" xmlns="" id="{00000000-0008-0000-0D00-00008D100000}"/>
            </a:ext>
          </a:extLst>
        </xdr:cNvPr>
        <xdr:cNvSpPr>
          <a:spLocks noChangeAspect="1" noChangeArrowheads="1"/>
        </xdr:cNvSpPr>
      </xdr:nvSpPr>
      <xdr:spPr bwMode="auto">
        <a:xfrm>
          <a:off x="0" y="4204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8" name="AutoShape 1166" descr="New York Rangers">
          <a:extLst>
            <a:ext uri="{FF2B5EF4-FFF2-40B4-BE49-F238E27FC236}">
              <a16:creationId xmlns:a16="http://schemas.microsoft.com/office/drawing/2014/main" xmlns="" id="{00000000-0008-0000-0D00-00008E100000}"/>
            </a:ext>
          </a:extLst>
        </xdr:cNvPr>
        <xdr:cNvSpPr>
          <a:spLocks noChangeAspect="1" noChangeArrowheads="1"/>
        </xdr:cNvSpPr>
      </xdr:nvSpPr>
      <xdr:spPr bwMode="auto">
        <a:xfrm>
          <a:off x="0" y="4208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9" name="AutoShape 1167" descr="Toronto Maple Leafs">
          <a:extLst>
            <a:ext uri="{FF2B5EF4-FFF2-40B4-BE49-F238E27FC236}">
              <a16:creationId xmlns:a16="http://schemas.microsoft.com/office/drawing/2014/main" xmlns="" id="{00000000-0008-0000-0D00-00008F100000}"/>
            </a:ext>
          </a:extLst>
        </xdr:cNvPr>
        <xdr:cNvSpPr>
          <a:spLocks noChangeAspect="1" noChangeArrowheads="1"/>
        </xdr:cNvSpPr>
      </xdr:nvSpPr>
      <xdr:spPr bwMode="auto">
        <a:xfrm>
          <a:off x="0" y="42102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0" name="AutoShape 1168" descr="Calgary Flames">
          <a:extLst>
            <a:ext uri="{FF2B5EF4-FFF2-40B4-BE49-F238E27FC236}">
              <a16:creationId xmlns:a16="http://schemas.microsoft.com/office/drawing/2014/main" xmlns="" id="{00000000-0008-0000-0D00-000090100000}"/>
            </a:ext>
          </a:extLst>
        </xdr:cNvPr>
        <xdr:cNvSpPr>
          <a:spLocks noChangeAspect="1" noChangeArrowheads="1"/>
        </xdr:cNvSpPr>
      </xdr:nvSpPr>
      <xdr:spPr bwMode="auto">
        <a:xfrm>
          <a:off x="0" y="4213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1" name="AutoShape 1169" descr="Toronto Maple Leafs">
          <a:extLst>
            <a:ext uri="{FF2B5EF4-FFF2-40B4-BE49-F238E27FC236}">
              <a16:creationId xmlns:a16="http://schemas.microsoft.com/office/drawing/2014/main" xmlns="" id="{00000000-0008-0000-0D00-000091100000}"/>
            </a:ext>
          </a:extLst>
        </xdr:cNvPr>
        <xdr:cNvSpPr>
          <a:spLocks noChangeAspect="1" noChangeArrowheads="1"/>
        </xdr:cNvSpPr>
      </xdr:nvSpPr>
      <xdr:spPr bwMode="auto">
        <a:xfrm>
          <a:off x="0" y="4215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2" name="AutoShape 1170" descr="Toronto Maple Leafs">
          <a:extLst>
            <a:ext uri="{FF2B5EF4-FFF2-40B4-BE49-F238E27FC236}">
              <a16:creationId xmlns:a16="http://schemas.microsoft.com/office/drawing/2014/main" xmlns="" id="{00000000-0008-0000-0D00-000092100000}"/>
            </a:ext>
          </a:extLst>
        </xdr:cNvPr>
        <xdr:cNvSpPr>
          <a:spLocks noChangeAspect="1" noChangeArrowheads="1"/>
        </xdr:cNvSpPr>
      </xdr:nvSpPr>
      <xdr:spPr bwMode="auto">
        <a:xfrm>
          <a:off x="0" y="42194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3" name="AutoShape 1171" descr="Florida Panthers">
          <a:extLst>
            <a:ext uri="{FF2B5EF4-FFF2-40B4-BE49-F238E27FC236}">
              <a16:creationId xmlns:a16="http://schemas.microsoft.com/office/drawing/2014/main" xmlns="" id="{00000000-0008-0000-0D00-000093100000}"/>
            </a:ext>
          </a:extLst>
        </xdr:cNvPr>
        <xdr:cNvSpPr>
          <a:spLocks noChangeAspect="1" noChangeArrowheads="1"/>
        </xdr:cNvSpPr>
      </xdr:nvSpPr>
      <xdr:spPr bwMode="auto">
        <a:xfrm>
          <a:off x="0" y="4221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4" name="AutoShape 1172" descr="Carolina Hurricanes">
          <a:extLst>
            <a:ext uri="{FF2B5EF4-FFF2-40B4-BE49-F238E27FC236}">
              <a16:creationId xmlns:a16="http://schemas.microsoft.com/office/drawing/2014/main" xmlns="" id="{00000000-0008-0000-0D00-000094100000}"/>
            </a:ext>
          </a:extLst>
        </xdr:cNvPr>
        <xdr:cNvSpPr>
          <a:spLocks noChangeAspect="1" noChangeArrowheads="1"/>
        </xdr:cNvSpPr>
      </xdr:nvSpPr>
      <xdr:spPr bwMode="auto">
        <a:xfrm>
          <a:off x="0" y="4224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5" name="AutoShape 1173" descr="Philadelphia Flyers">
          <a:extLst>
            <a:ext uri="{FF2B5EF4-FFF2-40B4-BE49-F238E27FC236}">
              <a16:creationId xmlns:a16="http://schemas.microsoft.com/office/drawing/2014/main" xmlns="" id="{00000000-0008-0000-0D00-000095100000}"/>
            </a:ext>
          </a:extLst>
        </xdr:cNvPr>
        <xdr:cNvSpPr>
          <a:spLocks noChangeAspect="1" noChangeArrowheads="1"/>
        </xdr:cNvSpPr>
      </xdr:nvSpPr>
      <xdr:spPr bwMode="auto">
        <a:xfrm>
          <a:off x="0" y="4228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6" name="AutoShape 1174" descr="Dallas Stars">
          <a:extLst>
            <a:ext uri="{FF2B5EF4-FFF2-40B4-BE49-F238E27FC236}">
              <a16:creationId xmlns:a16="http://schemas.microsoft.com/office/drawing/2014/main" xmlns="" id="{00000000-0008-0000-0D00-000096100000}"/>
            </a:ext>
          </a:extLst>
        </xdr:cNvPr>
        <xdr:cNvSpPr>
          <a:spLocks noChangeAspect="1" noChangeArrowheads="1"/>
        </xdr:cNvSpPr>
      </xdr:nvSpPr>
      <xdr:spPr bwMode="auto">
        <a:xfrm>
          <a:off x="0" y="4230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7" name="AutoShape 1175" descr="New Jersey Devils">
          <a:extLst>
            <a:ext uri="{FF2B5EF4-FFF2-40B4-BE49-F238E27FC236}">
              <a16:creationId xmlns:a16="http://schemas.microsoft.com/office/drawing/2014/main" xmlns="" id="{00000000-0008-0000-0D00-000097100000}"/>
            </a:ext>
          </a:extLst>
        </xdr:cNvPr>
        <xdr:cNvSpPr>
          <a:spLocks noChangeAspect="1" noChangeArrowheads="1"/>
        </xdr:cNvSpPr>
      </xdr:nvSpPr>
      <xdr:spPr bwMode="auto">
        <a:xfrm>
          <a:off x="0" y="4232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8" name="AutoShape 1176" descr="Philadelphia Flyers">
          <a:extLst>
            <a:ext uri="{FF2B5EF4-FFF2-40B4-BE49-F238E27FC236}">
              <a16:creationId xmlns:a16="http://schemas.microsoft.com/office/drawing/2014/main" xmlns="" id="{00000000-0008-0000-0D00-000098100000}"/>
            </a:ext>
          </a:extLst>
        </xdr:cNvPr>
        <xdr:cNvSpPr>
          <a:spLocks noChangeAspect="1" noChangeArrowheads="1"/>
        </xdr:cNvSpPr>
      </xdr:nvSpPr>
      <xdr:spPr bwMode="auto">
        <a:xfrm>
          <a:off x="0" y="42340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9" name="AutoShape 1177" descr="Toronto Maple Leafs">
          <a:extLst>
            <a:ext uri="{FF2B5EF4-FFF2-40B4-BE49-F238E27FC236}">
              <a16:creationId xmlns:a16="http://schemas.microsoft.com/office/drawing/2014/main" xmlns="" id="{00000000-0008-0000-0D00-000099100000}"/>
            </a:ext>
          </a:extLst>
        </xdr:cNvPr>
        <xdr:cNvSpPr>
          <a:spLocks noChangeAspect="1" noChangeArrowheads="1"/>
        </xdr:cNvSpPr>
      </xdr:nvSpPr>
      <xdr:spPr bwMode="auto">
        <a:xfrm>
          <a:off x="0" y="42377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0" name="AutoShape 1178" descr="Tampa Bay Lightning">
          <a:extLst>
            <a:ext uri="{FF2B5EF4-FFF2-40B4-BE49-F238E27FC236}">
              <a16:creationId xmlns:a16="http://schemas.microsoft.com/office/drawing/2014/main" xmlns="" id="{00000000-0008-0000-0D00-00009A100000}"/>
            </a:ext>
          </a:extLst>
        </xdr:cNvPr>
        <xdr:cNvSpPr>
          <a:spLocks noChangeAspect="1" noChangeArrowheads="1"/>
        </xdr:cNvSpPr>
      </xdr:nvSpPr>
      <xdr:spPr bwMode="auto">
        <a:xfrm>
          <a:off x="0" y="42413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1" name="AutoShape 1179" descr="Buffalo Sabres">
          <a:extLst>
            <a:ext uri="{FF2B5EF4-FFF2-40B4-BE49-F238E27FC236}">
              <a16:creationId xmlns:a16="http://schemas.microsoft.com/office/drawing/2014/main" xmlns="" id="{00000000-0008-0000-0D00-00009B100000}"/>
            </a:ext>
          </a:extLst>
        </xdr:cNvPr>
        <xdr:cNvSpPr>
          <a:spLocks noChangeAspect="1" noChangeArrowheads="1"/>
        </xdr:cNvSpPr>
      </xdr:nvSpPr>
      <xdr:spPr bwMode="auto">
        <a:xfrm>
          <a:off x="0" y="42450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2" name="AutoShape 1180" descr="Detroit Red Wings">
          <a:extLst>
            <a:ext uri="{FF2B5EF4-FFF2-40B4-BE49-F238E27FC236}">
              <a16:creationId xmlns:a16="http://schemas.microsoft.com/office/drawing/2014/main" xmlns="" id="{00000000-0008-0000-0D00-00009C100000}"/>
            </a:ext>
          </a:extLst>
        </xdr:cNvPr>
        <xdr:cNvSpPr>
          <a:spLocks noChangeAspect="1" noChangeArrowheads="1"/>
        </xdr:cNvSpPr>
      </xdr:nvSpPr>
      <xdr:spPr bwMode="auto">
        <a:xfrm>
          <a:off x="0" y="42486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3" name="AutoShape 1181" descr="Carolina Hurricanes">
          <a:extLst>
            <a:ext uri="{FF2B5EF4-FFF2-40B4-BE49-F238E27FC236}">
              <a16:creationId xmlns:a16="http://schemas.microsoft.com/office/drawing/2014/main" xmlns="" id="{00000000-0008-0000-0D00-00009D100000}"/>
            </a:ext>
          </a:extLst>
        </xdr:cNvPr>
        <xdr:cNvSpPr>
          <a:spLocks noChangeAspect="1" noChangeArrowheads="1"/>
        </xdr:cNvSpPr>
      </xdr:nvSpPr>
      <xdr:spPr bwMode="auto">
        <a:xfrm>
          <a:off x="0" y="42523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54" name="AutoShape 1182" descr="Colorado Avalanche">
          <a:extLst>
            <a:ext uri="{FF2B5EF4-FFF2-40B4-BE49-F238E27FC236}">
              <a16:creationId xmlns:a16="http://schemas.microsoft.com/office/drawing/2014/main" xmlns="" id="{00000000-0008-0000-0D00-00009E100000}"/>
            </a:ext>
          </a:extLst>
        </xdr:cNvPr>
        <xdr:cNvSpPr>
          <a:spLocks noChangeAspect="1" noChangeArrowheads="1"/>
        </xdr:cNvSpPr>
      </xdr:nvSpPr>
      <xdr:spPr bwMode="auto">
        <a:xfrm>
          <a:off x="0" y="42559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5" name="AutoShape 1183" descr="Vegas Golden Knights">
          <a:extLst>
            <a:ext uri="{FF2B5EF4-FFF2-40B4-BE49-F238E27FC236}">
              <a16:creationId xmlns:a16="http://schemas.microsoft.com/office/drawing/2014/main" xmlns="" id="{00000000-0008-0000-0D00-00009F100000}"/>
            </a:ext>
          </a:extLst>
        </xdr:cNvPr>
        <xdr:cNvSpPr>
          <a:spLocks noChangeAspect="1" noChangeArrowheads="1"/>
        </xdr:cNvSpPr>
      </xdr:nvSpPr>
      <xdr:spPr bwMode="auto">
        <a:xfrm>
          <a:off x="0" y="4257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6" name="AutoShape 1184" descr="Dallas Stars">
          <a:extLst>
            <a:ext uri="{FF2B5EF4-FFF2-40B4-BE49-F238E27FC236}">
              <a16:creationId xmlns:a16="http://schemas.microsoft.com/office/drawing/2014/main" xmlns="" id="{00000000-0008-0000-0D00-0000A0100000}"/>
            </a:ext>
          </a:extLst>
        </xdr:cNvPr>
        <xdr:cNvSpPr>
          <a:spLocks noChangeAspect="1" noChangeArrowheads="1"/>
        </xdr:cNvSpPr>
      </xdr:nvSpPr>
      <xdr:spPr bwMode="auto">
        <a:xfrm>
          <a:off x="0" y="4261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7" name="AutoShape 1185" descr="Arizona Coyotes">
          <a:extLst>
            <a:ext uri="{FF2B5EF4-FFF2-40B4-BE49-F238E27FC236}">
              <a16:creationId xmlns:a16="http://schemas.microsoft.com/office/drawing/2014/main" xmlns="" id="{00000000-0008-0000-0D00-0000A1100000}"/>
            </a:ext>
          </a:extLst>
        </xdr:cNvPr>
        <xdr:cNvSpPr>
          <a:spLocks noChangeAspect="1" noChangeArrowheads="1"/>
        </xdr:cNvSpPr>
      </xdr:nvSpPr>
      <xdr:spPr bwMode="auto">
        <a:xfrm>
          <a:off x="0" y="4265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8" name="AutoShape 1186" descr="Los Angeles Kings">
          <a:extLst>
            <a:ext uri="{FF2B5EF4-FFF2-40B4-BE49-F238E27FC236}">
              <a16:creationId xmlns:a16="http://schemas.microsoft.com/office/drawing/2014/main" xmlns="" id="{00000000-0008-0000-0D00-0000A2100000}"/>
            </a:ext>
          </a:extLst>
        </xdr:cNvPr>
        <xdr:cNvSpPr>
          <a:spLocks noChangeAspect="1" noChangeArrowheads="1"/>
        </xdr:cNvSpPr>
      </xdr:nvSpPr>
      <xdr:spPr bwMode="auto">
        <a:xfrm>
          <a:off x="0" y="4268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59" name="AutoShape 1187" descr="San Jose Sharks">
          <a:extLst>
            <a:ext uri="{FF2B5EF4-FFF2-40B4-BE49-F238E27FC236}">
              <a16:creationId xmlns:a16="http://schemas.microsoft.com/office/drawing/2014/main" xmlns="" id="{00000000-0008-0000-0D00-0000A3100000}"/>
            </a:ext>
          </a:extLst>
        </xdr:cNvPr>
        <xdr:cNvSpPr>
          <a:spLocks noChangeAspect="1" noChangeArrowheads="1"/>
        </xdr:cNvSpPr>
      </xdr:nvSpPr>
      <xdr:spPr bwMode="auto">
        <a:xfrm>
          <a:off x="0" y="42724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0" name="AutoShape 1188" descr="Colorado Avalanche">
          <a:extLst>
            <a:ext uri="{FF2B5EF4-FFF2-40B4-BE49-F238E27FC236}">
              <a16:creationId xmlns:a16="http://schemas.microsoft.com/office/drawing/2014/main" xmlns="" id="{00000000-0008-0000-0D00-0000A4100000}"/>
            </a:ext>
          </a:extLst>
        </xdr:cNvPr>
        <xdr:cNvSpPr>
          <a:spLocks noChangeAspect="1" noChangeArrowheads="1"/>
        </xdr:cNvSpPr>
      </xdr:nvSpPr>
      <xdr:spPr bwMode="auto">
        <a:xfrm>
          <a:off x="0" y="4274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1" name="AutoShape 1189" descr="Ottawa Senators">
          <a:extLst>
            <a:ext uri="{FF2B5EF4-FFF2-40B4-BE49-F238E27FC236}">
              <a16:creationId xmlns:a16="http://schemas.microsoft.com/office/drawing/2014/main" xmlns="" id="{00000000-0008-0000-0D00-0000A5100000}"/>
            </a:ext>
          </a:extLst>
        </xdr:cNvPr>
        <xdr:cNvSpPr>
          <a:spLocks noChangeAspect="1" noChangeArrowheads="1"/>
        </xdr:cNvSpPr>
      </xdr:nvSpPr>
      <xdr:spPr bwMode="auto">
        <a:xfrm>
          <a:off x="0" y="42779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2" name="AutoShape 1190" descr="Arizona Coyotes">
          <a:extLst>
            <a:ext uri="{FF2B5EF4-FFF2-40B4-BE49-F238E27FC236}">
              <a16:creationId xmlns:a16="http://schemas.microsoft.com/office/drawing/2014/main" xmlns="" id="{00000000-0008-0000-0D00-0000A6100000}"/>
            </a:ext>
          </a:extLst>
        </xdr:cNvPr>
        <xdr:cNvSpPr>
          <a:spLocks noChangeAspect="1" noChangeArrowheads="1"/>
        </xdr:cNvSpPr>
      </xdr:nvSpPr>
      <xdr:spPr bwMode="auto">
        <a:xfrm>
          <a:off x="0" y="4281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3" name="AutoShape 1191" descr="New York Islanders">
          <a:extLst>
            <a:ext uri="{FF2B5EF4-FFF2-40B4-BE49-F238E27FC236}">
              <a16:creationId xmlns:a16="http://schemas.microsoft.com/office/drawing/2014/main" xmlns="" id="{00000000-0008-0000-0D00-0000A7100000}"/>
            </a:ext>
          </a:extLst>
        </xdr:cNvPr>
        <xdr:cNvSpPr>
          <a:spLocks noChangeAspect="1" noChangeArrowheads="1"/>
        </xdr:cNvSpPr>
      </xdr:nvSpPr>
      <xdr:spPr bwMode="auto">
        <a:xfrm>
          <a:off x="0" y="42852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64" name="AutoShape 1192" descr="Los Angeles Kings">
          <a:extLst>
            <a:ext uri="{FF2B5EF4-FFF2-40B4-BE49-F238E27FC236}">
              <a16:creationId xmlns:a16="http://schemas.microsoft.com/office/drawing/2014/main" xmlns="" id="{00000000-0008-0000-0D00-0000A8100000}"/>
            </a:ext>
          </a:extLst>
        </xdr:cNvPr>
        <xdr:cNvSpPr>
          <a:spLocks noChangeAspect="1" noChangeArrowheads="1"/>
        </xdr:cNvSpPr>
      </xdr:nvSpPr>
      <xdr:spPr bwMode="auto">
        <a:xfrm>
          <a:off x="0" y="42889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5" name="AutoShape 1193" descr="Buffalo Sabres">
          <a:extLst>
            <a:ext uri="{FF2B5EF4-FFF2-40B4-BE49-F238E27FC236}">
              <a16:creationId xmlns:a16="http://schemas.microsoft.com/office/drawing/2014/main" xmlns="" id="{00000000-0008-0000-0D00-0000A9100000}"/>
            </a:ext>
          </a:extLst>
        </xdr:cNvPr>
        <xdr:cNvSpPr>
          <a:spLocks noChangeAspect="1" noChangeArrowheads="1"/>
        </xdr:cNvSpPr>
      </xdr:nvSpPr>
      <xdr:spPr bwMode="auto">
        <a:xfrm>
          <a:off x="0" y="4290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6" name="AutoShape 1194" descr="Buffalo Sabres">
          <a:extLst>
            <a:ext uri="{FF2B5EF4-FFF2-40B4-BE49-F238E27FC236}">
              <a16:creationId xmlns:a16="http://schemas.microsoft.com/office/drawing/2014/main" xmlns="" id="{00000000-0008-0000-0D00-0000AA100000}"/>
            </a:ext>
          </a:extLst>
        </xdr:cNvPr>
        <xdr:cNvSpPr>
          <a:spLocks noChangeAspect="1" noChangeArrowheads="1"/>
        </xdr:cNvSpPr>
      </xdr:nvSpPr>
      <xdr:spPr bwMode="auto">
        <a:xfrm>
          <a:off x="0" y="4294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7" name="AutoShape 1195" descr="Chicago Blackhawks">
          <a:extLst>
            <a:ext uri="{FF2B5EF4-FFF2-40B4-BE49-F238E27FC236}">
              <a16:creationId xmlns:a16="http://schemas.microsoft.com/office/drawing/2014/main" xmlns="" id="{00000000-0008-0000-0D00-0000AB100000}"/>
            </a:ext>
          </a:extLst>
        </xdr:cNvPr>
        <xdr:cNvSpPr>
          <a:spLocks noChangeAspect="1" noChangeArrowheads="1"/>
        </xdr:cNvSpPr>
      </xdr:nvSpPr>
      <xdr:spPr bwMode="auto">
        <a:xfrm>
          <a:off x="0" y="4298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8" name="AutoShape 1196" descr="Washington Capitals">
          <a:extLst>
            <a:ext uri="{FF2B5EF4-FFF2-40B4-BE49-F238E27FC236}">
              <a16:creationId xmlns:a16="http://schemas.microsoft.com/office/drawing/2014/main" xmlns="" id="{00000000-0008-0000-0D00-0000AC100000}"/>
            </a:ext>
          </a:extLst>
        </xdr:cNvPr>
        <xdr:cNvSpPr>
          <a:spLocks noChangeAspect="1" noChangeArrowheads="1"/>
        </xdr:cNvSpPr>
      </xdr:nvSpPr>
      <xdr:spPr bwMode="auto">
        <a:xfrm>
          <a:off x="0" y="4301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9" name="AutoShape 1197" descr="Vancouver Canucks">
          <a:extLst>
            <a:ext uri="{FF2B5EF4-FFF2-40B4-BE49-F238E27FC236}">
              <a16:creationId xmlns:a16="http://schemas.microsoft.com/office/drawing/2014/main" xmlns="" id="{00000000-0008-0000-0D00-0000AD100000}"/>
            </a:ext>
          </a:extLst>
        </xdr:cNvPr>
        <xdr:cNvSpPr>
          <a:spLocks noChangeAspect="1" noChangeArrowheads="1"/>
        </xdr:cNvSpPr>
      </xdr:nvSpPr>
      <xdr:spPr bwMode="auto">
        <a:xfrm>
          <a:off x="0" y="4305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0" name="AutoShape 1198" descr="Vancouver Canucks">
          <a:extLst>
            <a:ext uri="{FF2B5EF4-FFF2-40B4-BE49-F238E27FC236}">
              <a16:creationId xmlns:a16="http://schemas.microsoft.com/office/drawing/2014/main" xmlns="" id="{00000000-0008-0000-0D00-0000AE100000}"/>
            </a:ext>
          </a:extLst>
        </xdr:cNvPr>
        <xdr:cNvSpPr>
          <a:spLocks noChangeAspect="1" noChangeArrowheads="1"/>
        </xdr:cNvSpPr>
      </xdr:nvSpPr>
      <xdr:spPr bwMode="auto">
        <a:xfrm>
          <a:off x="0" y="4309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1" name="AutoShape 1199" descr="Buffalo Sabres">
          <a:extLst>
            <a:ext uri="{FF2B5EF4-FFF2-40B4-BE49-F238E27FC236}">
              <a16:creationId xmlns:a16="http://schemas.microsoft.com/office/drawing/2014/main" xmlns="" id="{00000000-0008-0000-0D00-0000AF100000}"/>
            </a:ext>
          </a:extLst>
        </xdr:cNvPr>
        <xdr:cNvSpPr>
          <a:spLocks noChangeAspect="1" noChangeArrowheads="1"/>
        </xdr:cNvSpPr>
      </xdr:nvSpPr>
      <xdr:spPr bwMode="auto">
        <a:xfrm>
          <a:off x="0" y="4312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2" name="AutoShape 1200" descr="Vegas Golden Knights">
          <a:extLst>
            <a:ext uri="{FF2B5EF4-FFF2-40B4-BE49-F238E27FC236}">
              <a16:creationId xmlns:a16="http://schemas.microsoft.com/office/drawing/2014/main" xmlns="" id="{00000000-0008-0000-0D00-0000B0100000}"/>
            </a:ext>
          </a:extLst>
        </xdr:cNvPr>
        <xdr:cNvSpPr>
          <a:spLocks noChangeAspect="1" noChangeArrowheads="1"/>
        </xdr:cNvSpPr>
      </xdr:nvSpPr>
      <xdr:spPr bwMode="auto">
        <a:xfrm>
          <a:off x="0" y="4316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3" name="AutoShape 1201" descr="Minnesota Wild">
          <a:extLst>
            <a:ext uri="{FF2B5EF4-FFF2-40B4-BE49-F238E27FC236}">
              <a16:creationId xmlns:a16="http://schemas.microsoft.com/office/drawing/2014/main" xmlns="" id="{00000000-0008-0000-0D00-0000B1100000}"/>
            </a:ext>
          </a:extLst>
        </xdr:cNvPr>
        <xdr:cNvSpPr>
          <a:spLocks noChangeAspect="1" noChangeArrowheads="1"/>
        </xdr:cNvSpPr>
      </xdr:nvSpPr>
      <xdr:spPr bwMode="auto">
        <a:xfrm>
          <a:off x="0" y="43218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4" name="AutoShape 1202" descr="New Jersey Devils">
          <a:extLst>
            <a:ext uri="{FF2B5EF4-FFF2-40B4-BE49-F238E27FC236}">
              <a16:creationId xmlns:a16="http://schemas.microsoft.com/office/drawing/2014/main" xmlns="" id="{00000000-0008-0000-0D00-0000B2100000}"/>
            </a:ext>
          </a:extLst>
        </xdr:cNvPr>
        <xdr:cNvSpPr>
          <a:spLocks noChangeAspect="1" noChangeArrowheads="1"/>
        </xdr:cNvSpPr>
      </xdr:nvSpPr>
      <xdr:spPr bwMode="auto">
        <a:xfrm>
          <a:off x="0" y="4323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75" name="AutoShape 1203" descr="Winnipeg Jets">
          <a:extLst>
            <a:ext uri="{FF2B5EF4-FFF2-40B4-BE49-F238E27FC236}">
              <a16:creationId xmlns:a16="http://schemas.microsoft.com/office/drawing/2014/main" xmlns="" id="{00000000-0008-0000-0D00-0000B3100000}"/>
            </a:ext>
          </a:extLst>
        </xdr:cNvPr>
        <xdr:cNvSpPr>
          <a:spLocks noChangeAspect="1" noChangeArrowheads="1"/>
        </xdr:cNvSpPr>
      </xdr:nvSpPr>
      <xdr:spPr bwMode="auto">
        <a:xfrm>
          <a:off x="0" y="4327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6" name="AutoShape 1204" descr="Colorado Avalanche">
          <a:extLst>
            <a:ext uri="{FF2B5EF4-FFF2-40B4-BE49-F238E27FC236}">
              <a16:creationId xmlns:a16="http://schemas.microsoft.com/office/drawing/2014/main" xmlns="" id="{00000000-0008-0000-0D00-0000B4100000}"/>
            </a:ext>
          </a:extLst>
        </xdr:cNvPr>
        <xdr:cNvSpPr>
          <a:spLocks noChangeAspect="1" noChangeArrowheads="1"/>
        </xdr:cNvSpPr>
      </xdr:nvSpPr>
      <xdr:spPr bwMode="auto">
        <a:xfrm>
          <a:off x="0" y="4329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7" name="AutoShape 1205" descr="Carolina Hurricanes">
          <a:extLst>
            <a:ext uri="{FF2B5EF4-FFF2-40B4-BE49-F238E27FC236}">
              <a16:creationId xmlns:a16="http://schemas.microsoft.com/office/drawing/2014/main" xmlns="" id="{00000000-0008-0000-0D00-0000B5100000}"/>
            </a:ext>
          </a:extLst>
        </xdr:cNvPr>
        <xdr:cNvSpPr>
          <a:spLocks noChangeAspect="1" noChangeArrowheads="1"/>
        </xdr:cNvSpPr>
      </xdr:nvSpPr>
      <xdr:spPr bwMode="auto">
        <a:xfrm>
          <a:off x="0" y="4332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8" name="AutoShape 1206" descr="Vegas Golden Knights">
          <a:extLst>
            <a:ext uri="{FF2B5EF4-FFF2-40B4-BE49-F238E27FC236}">
              <a16:creationId xmlns:a16="http://schemas.microsoft.com/office/drawing/2014/main" xmlns="" id="{00000000-0008-0000-0D00-0000B6100000}"/>
            </a:ext>
          </a:extLst>
        </xdr:cNvPr>
        <xdr:cNvSpPr>
          <a:spLocks noChangeAspect="1" noChangeArrowheads="1"/>
        </xdr:cNvSpPr>
      </xdr:nvSpPr>
      <xdr:spPr bwMode="auto">
        <a:xfrm>
          <a:off x="0" y="4334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9" name="AutoShape 1207" descr="Vegas Golden Knights">
          <a:extLst>
            <a:ext uri="{FF2B5EF4-FFF2-40B4-BE49-F238E27FC236}">
              <a16:creationId xmlns:a16="http://schemas.microsoft.com/office/drawing/2014/main" xmlns="" id="{00000000-0008-0000-0D00-0000B7100000}"/>
            </a:ext>
          </a:extLst>
        </xdr:cNvPr>
        <xdr:cNvSpPr>
          <a:spLocks noChangeAspect="1" noChangeArrowheads="1"/>
        </xdr:cNvSpPr>
      </xdr:nvSpPr>
      <xdr:spPr bwMode="auto">
        <a:xfrm>
          <a:off x="0" y="4336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0" name="AutoShape 1208" descr="Florida Panthers">
          <a:extLst>
            <a:ext uri="{FF2B5EF4-FFF2-40B4-BE49-F238E27FC236}">
              <a16:creationId xmlns:a16="http://schemas.microsoft.com/office/drawing/2014/main" xmlns="" id="{00000000-0008-0000-0D00-0000B8100000}"/>
            </a:ext>
          </a:extLst>
        </xdr:cNvPr>
        <xdr:cNvSpPr>
          <a:spLocks noChangeAspect="1" noChangeArrowheads="1"/>
        </xdr:cNvSpPr>
      </xdr:nvSpPr>
      <xdr:spPr bwMode="auto">
        <a:xfrm>
          <a:off x="0" y="43401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1" name="AutoShape 1209" descr="Arizona Coyotes">
          <a:extLst>
            <a:ext uri="{FF2B5EF4-FFF2-40B4-BE49-F238E27FC236}">
              <a16:creationId xmlns:a16="http://schemas.microsoft.com/office/drawing/2014/main" xmlns="" id="{00000000-0008-0000-0D00-0000B9100000}"/>
            </a:ext>
          </a:extLst>
        </xdr:cNvPr>
        <xdr:cNvSpPr>
          <a:spLocks noChangeAspect="1" noChangeArrowheads="1"/>
        </xdr:cNvSpPr>
      </xdr:nvSpPr>
      <xdr:spPr bwMode="auto">
        <a:xfrm>
          <a:off x="0" y="43437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2" name="AutoShape 1210" descr="Nashville Predators">
          <a:extLst>
            <a:ext uri="{FF2B5EF4-FFF2-40B4-BE49-F238E27FC236}">
              <a16:creationId xmlns:a16="http://schemas.microsoft.com/office/drawing/2014/main" xmlns="" id="{00000000-0008-0000-0D00-0000BA100000}"/>
            </a:ext>
          </a:extLst>
        </xdr:cNvPr>
        <xdr:cNvSpPr>
          <a:spLocks noChangeAspect="1" noChangeArrowheads="1"/>
        </xdr:cNvSpPr>
      </xdr:nvSpPr>
      <xdr:spPr bwMode="auto">
        <a:xfrm>
          <a:off x="0" y="43474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3" name="AutoShape 1211" descr="Dallas Stars">
          <a:extLst>
            <a:ext uri="{FF2B5EF4-FFF2-40B4-BE49-F238E27FC236}">
              <a16:creationId xmlns:a16="http://schemas.microsoft.com/office/drawing/2014/main" xmlns="" id="{00000000-0008-0000-0D00-0000BB100000}"/>
            </a:ext>
          </a:extLst>
        </xdr:cNvPr>
        <xdr:cNvSpPr>
          <a:spLocks noChangeAspect="1" noChangeArrowheads="1"/>
        </xdr:cNvSpPr>
      </xdr:nvSpPr>
      <xdr:spPr bwMode="auto">
        <a:xfrm>
          <a:off x="0" y="4349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4" name="AutoShape 1212" descr="Washington Capitals">
          <a:extLst>
            <a:ext uri="{FF2B5EF4-FFF2-40B4-BE49-F238E27FC236}">
              <a16:creationId xmlns:a16="http://schemas.microsoft.com/office/drawing/2014/main" xmlns="" id="{00000000-0008-0000-0D00-0000BC100000}"/>
            </a:ext>
          </a:extLst>
        </xdr:cNvPr>
        <xdr:cNvSpPr>
          <a:spLocks noChangeAspect="1" noChangeArrowheads="1"/>
        </xdr:cNvSpPr>
      </xdr:nvSpPr>
      <xdr:spPr bwMode="auto">
        <a:xfrm>
          <a:off x="0" y="4351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5" name="AutoShape 1213" descr="Boston Bruins">
          <a:extLst>
            <a:ext uri="{FF2B5EF4-FFF2-40B4-BE49-F238E27FC236}">
              <a16:creationId xmlns:a16="http://schemas.microsoft.com/office/drawing/2014/main" xmlns="" id="{00000000-0008-0000-0D00-0000BD100000}"/>
            </a:ext>
          </a:extLst>
        </xdr:cNvPr>
        <xdr:cNvSpPr>
          <a:spLocks noChangeAspect="1" noChangeArrowheads="1"/>
        </xdr:cNvSpPr>
      </xdr:nvSpPr>
      <xdr:spPr bwMode="auto">
        <a:xfrm>
          <a:off x="0" y="4352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6" name="AutoShape 1214" descr="Vegas Golden Knights">
          <a:extLst>
            <a:ext uri="{FF2B5EF4-FFF2-40B4-BE49-F238E27FC236}">
              <a16:creationId xmlns:a16="http://schemas.microsoft.com/office/drawing/2014/main" xmlns="" id="{00000000-0008-0000-0D00-0000BE100000}"/>
            </a:ext>
          </a:extLst>
        </xdr:cNvPr>
        <xdr:cNvSpPr>
          <a:spLocks noChangeAspect="1" noChangeArrowheads="1"/>
        </xdr:cNvSpPr>
      </xdr:nvSpPr>
      <xdr:spPr bwMode="auto">
        <a:xfrm>
          <a:off x="0" y="4356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7" name="AutoShape 1215" descr="Florida Panthers">
          <a:extLst>
            <a:ext uri="{FF2B5EF4-FFF2-40B4-BE49-F238E27FC236}">
              <a16:creationId xmlns:a16="http://schemas.microsoft.com/office/drawing/2014/main" xmlns="" id="{00000000-0008-0000-0D00-0000BF100000}"/>
            </a:ext>
          </a:extLst>
        </xdr:cNvPr>
        <xdr:cNvSpPr>
          <a:spLocks noChangeAspect="1" noChangeArrowheads="1"/>
        </xdr:cNvSpPr>
      </xdr:nvSpPr>
      <xdr:spPr bwMode="auto">
        <a:xfrm>
          <a:off x="0" y="4358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8" name="AutoShape 1216" descr="Arizona Coyotes">
          <a:extLst>
            <a:ext uri="{FF2B5EF4-FFF2-40B4-BE49-F238E27FC236}">
              <a16:creationId xmlns:a16="http://schemas.microsoft.com/office/drawing/2014/main" xmlns="" id="{00000000-0008-0000-0D00-0000C0100000}"/>
            </a:ext>
          </a:extLst>
        </xdr:cNvPr>
        <xdr:cNvSpPr>
          <a:spLocks noChangeAspect="1" noChangeArrowheads="1"/>
        </xdr:cNvSpPr>
      </xdr:nvSpPr>
      <xdr:spPr bwMode="auto">
        <a:xfrm>
          <a:off x="0" y="4362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9" name="AutoShape 1217" descr="Calgary Flames">
          <a:extLst>
            <a:ext uri="{FF2B5EF4-FFF2-40B4-BE49-F238E27FC236}">
              <a16:creationId xmlns:a16="http://schemas.microsoft.com/office/drawing/2014/main" xmlns="" id="{00000000-0008-0000-0D00-0000C1100000}"/>
            </a:ext>
          </a:extLst>
        </xdr:cNvPr>
        <xdr:cNvSpPr>
          <a:spLocks noChangeAspect="1" noChangeArrowheads="1"/>
        </xdr:cNvSpPr>
      </xdr:nvSpPr>
      <xdr:spPr bwMode="auto">
        <a:xfrm>
          <a:off x="0" y="4365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0" name="AutoShape 1218" descr="Toronto Maple Leafs">
          <a:extLst>
            <a:ext uri="{FF2B5EF4-FFF2-40B4-BE49-F238E27FC236}">
              <a16:creationId xmlns:a16="http://schemas.microsoft.com/office/drawing/2014/main" xmlns="" id="{00000000-0008-0000-0D00-0000C2100000}"/>
            </a:ext>
          </a:extLst>
        </xdr:cNvPr>
        <xdr:cNvSpPr>
          <a:spLocks noChangeAspect="1" noChangeArrowheads="1"/>
        </xdr:cNvSpPr>
      </xdr:nvSpPr>
      <xdr:spPr bwMode="auto">
        <a:xfrm>
          <a:off x="0" y="4369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1" name="AutoShape 1219" descr="Philadelphia Flyers">
          <a:extLst>
            <a:ext uri="{FF2B5EF4-FFF2-40B4-BE49-F238E27FC236}">
              <a16:creationId xmlns:a16="http://schemas.microsoft.com/office/drawing/2014/main" xmlns="" id="{00000000-0008-0000-0D00-0000C3100000}"/>
            </a:ext>
          </a:extLst>
        </xdr:cNvPr>
        <xdr:cNvSpPr>
          <a:spLocks noChangeAspect="1" noChangeArrowheads="1"/>
        </xdr:cNvSpPr>
      </xdr:nvSpPr>
      <xdr:spPr bwMode="auto">
        <a:xfrm>
          <a:off x="0" y="4373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92" name="AutoShape 1220" descr="Boston Bruins">
          <a:extLst>
            <a:ext uri="{FF2B5EF4-FFF2-40B4-BE49-F238E27FC236}">
              <a16:creationId xmlns:a16="http://schemas.microsoft.com/office/drawing/2014/main" xmlns="" id="{00000000-0008-0000-0D00-0000C4100000}"/>
            </a:ext>
          </a:extLst>
        </xdr:cNvPr>
        <xdr:cNvSpPr>
          <a:spLocks noChangeAspect="1" noChangeArrowheads="1"/>
        </xdr:cNvSpPr>
      </xdr:nvSpPr>
      <xdr:spPr bwMode="auto">
        <a:xfrm>
          <a:off x="0" y="4376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3" name="AutoShape 1221" descr="Boston Bruins">
          <a:extLst>
            <a:ext uri="{FF2B5EF4-FFF2-40B4-BE49-F238E27FC236}">
              <a16:creationId xmlns:a16="http://schemas.microsoft.com/office/drawing/2014/main" xmlns="" id="{00000000-0008-0000-0D00-0000C5100000}"/>
            </a:ext>
          </a:extLst>
        </xdr:cNvPr>
        <xdr:cNvSpPr>
          <a:spLocks noChangeAspect="1" noChangeArrowheads="1"/>
        </xdr:cNvSpPr>
      </xdr:nvSpPr>
      <xdr:spPr bwMode="auto">
        <a:xfrm>
          <a:off x="0" y="43785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4" name="AutoShape 1222" descr="Boston Bruins">
          <a:extLst>
            <a:ext uri="{FF2B5EF4-FFF2-40B4-BE49-F238E27FC236}">
              <a16:creationId xmlns:a16="http://schemas.microsoft.com/office/drawing/2014/main" xmlns="" id="{00000000-0008-0000-0D00-0000C6100000}"/>
            </a:ext>
          </a:extLst>
        </xdr:cNvPr>
        <xdr:cNvSpPr>
          <a:spLocks noChangeAspect="1" noChangeArrowheads="1"/>
        </xdr:cNvSpPr>
      </xdr:nvSpPr>
      <xdr:spPr bwMode="auto">
        <a:xfrm>
          <a:off x="0" y="4382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5" name="AutoShape 1223" descr="Ottawa Senators">
          <a:extLst>
            <a:ext uri="{FF2B5EF4-FFF2-40B4-BE49-F238E27FC236}">
              <a16:creationId xmlns:a16="http://schemas.microsoft.com/office/drawing/2014/main" xmlns="" id="{00000000-0008-0000-0D00-0000C7100000}"/>
            </a:ext>
          </a:extLst>
        </xdr:cNvPr>
        <xdr:cNvSpPr>
          <a:spLocks noChangeAspect="1" noChangeArrowheads="1"/>
        </xdr:cNvSpPr>
      </xdr:nvSpPr>
      <xdr:spPr bwMode="auto">
        <a:xfrm>
          <a:off x="0" y="43858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96" name="AutoShape 1224" descr="New York Rangers">
          <a:extLst>
            <a:ext uri="{FF2B5EF4-FFF2-40B4-BE49-F238E27FC236}">
              <a16:creationId xmlns:a16="http://schemas.microsoft.com/office/drawing/2014/main" xmlns="" id="{00000000-0008-0000-0D00-0000C8100000}"/>
            </a:ext>
          </a:extLst>
        </xdr:cNvPr>
        <xdr:cNvSpPr>
          <a:spLocks noChangeAspect="1" noChangeArrowheads="1"/>
        </xdr:cNvSpPr>
      </xdr:nvSpPr>
      <xdr:spPr bwMode="auto">
        <a:xfrm>
          <a:off x="0" y="43895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7" name="AutoShape 1225" descr="New York Rangers">
          <a:extLst>
            <a:ext uri="{FF2B5EF4-FFF2-40B4-BE49-F238E27FC236}">
              <a16:creationId xmlns:a16="http://schemas.microsoft.com/office/drawing/2014/main" xmlns="" id="{00000000-0008-0000-0D00-0000C9100000}"/>
            </a:ext>
          </a:extLst>
        </xdr:cNvPr>
        <xdr:cNvSpPr>
          <a:spLocks noChangeAspect="1" noChangeArrowheads="1"/>
        </xdr:cNvSpPr>
      </xdr:nvSpPr>
      <xdr:spPr bwMode="auto">
        <a:xfrm>
          <a:off x="0" y="4391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8" name="AutoShape 1226" descr="Columbus Blue Jackets">
          <a:extLst>
            <a:ext uri="{FF2B5EF4-FFF2-40B4-BE49-F238E27FC236}">
              <a16:creationId xmlns:a16="http://schemas.microsoft.com/office/drawing/2014/main" xmlns="" id="{00000000-0008-0000-0D00-0000CA100000}"/>
            </a:ext>
          </a:extLst>
        </xdr:cNvPr>
        <xdr:cNvSpPr>
          <a:spLocks noChangeAspect="1" noChangeArrowheads="1"/>
        </xdr:cNvSpPr>
      </xdr:nvSpPr>
      <xdr:spPr bwMode="auto">
        <a:xfrm>
          <a:off x="0" y="43949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9" name="AutoShape 1227" descr="Boston Bruins">
          <a:extLst>
            <a:ext uri="{FF2B5EF4-FFF2-40B4-BE49-F238E27FC236}">
              <a16:creationId xmlns:a16="http://schemas.microsoft.com/office/drawing/2014/main" xmlns="" id="{00000000-0008-0000-0D00-0000CB100000}"/>
            </a:ext>
          </a:extLst>
        </xdr:cNvPr>
        <xdr:cNvSpPr>
          <a:spLocks noChangeAspect="1" noChangeArrowheads="1"/>
        </xdr:cNvSpPr>
      </xdr:nvSpPr>
      <xdr:spPr bwMode="auto">
        <a:xfrm>
          <a:off x="0" y="43986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0" name="AutoShape 1228" descr="New Jersey Devils">
          <a:extLst>
            <a:ext uri="{FF2B5EF4-FFF2-40B4-BE49-F238E27FC236}">
              <a16:creationId xmlns:a16="http://schemas.microsoft.com/office/drawing/2014/main" xmlns="" id="{00000000-0008-0000-0D00-0000CC100000}"/>
            </a:ext>
          </a:extLst>
        </xdr:cNvPr>
        <xdr:cNvSpPr>
          <a:spLocks noChangeAspect="1" noChangeArrowheads="1"/>
        </xdr:cNvSpPr>
      </xdr:nvSpPr>
      <xdr:spPr bwMode="auto">
        <a:xfrm>
          <a:off x="0" y="4402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1" name="AutoShape 1229" descr="Detroit Red Wings">
          <a:extLst>
            <a:ext uri="{FF2B5EF4-FFF2-40B4-BE49-F238E27FC236}">
              <a16:creationId xmlns:a16="http://schemas.microsoft.com/office/drawing/2014/main" xmlns="" id="{00000000-0008-0000-0D00-0000CD100000}"/>
            </a:ext>
          </a:extLst>
        </xdr:cNvPr>
        <xdr:cNvSpPr>
          <a:spLocks noChangeAspect="1" noChangeArrowheads="1"/>
        </xdr:cNvSpPr>
      </xdr:nvSpPr>
      <xdr:spPr bwMode="auto">
        <a:xfrm>
          <a:off x="0" y="4405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2" name="AutoShape 1230" descr="Ottawa Senators">
          <a:extLst>
            <a:ext uri="{FF2B5EF4-FFF2-40B4-BE49-F238E27FC236}">
              <a16:creationId xmlns:a16="http://schemas.microsoft.com/office/drawing/2014/main" xmlns="" id="{00000000-0008-0000-0D00-0000CE100000}"/>
            </a:ext>
          </a:extLst>
        </xdr:cNvPr>
        <xdr:cNvSpPr>
          <a:spLocks noChangeAspect="1" noChangeArrowheads="1"/>
        </xdr:cNvSpPr>
      </xdr:nvSpPr>
      <xdr:spPr bwMode="auto">
        <a:xfrm>
          <a:off x="0" y="4409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3" name="AutoShape 1231" descr="St Louis Blues">
          <a:extLst>
            <a:ext uri="{FF2B5EF4-FFF2-40B4-BE49-F238E27FC236}">
              <a16:creationId xmlns:a16="http://schemas.microsoft.com/office/drawing/2014/main" xmlns="" id="{00000000-0008-0000-0D00-0000CF100000}"/>
            </a:ext>
          </a:extLst>
        </xdr:cNvPr>
        <xdr:cNvSpPr>
          <a:spLocks noChangeAspect="1" noChangeArrowheads="1"/>
        </xdr:cNvSpPr>
      </xdr:nvSpPr>
      <xdr:spPr bwMode="auto">
        <a:xfrm>
          <a:off x="0" y="44132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4" name="AutoShape 1232" descr="Carolina Hurricanes">
          <a:extLst>
            <a:ext uri="{FF2B5EF4-FFF2-40B4-BE49-F238E27FC236}">
              <a16:creationId xmlns:a16="http://schemas.microsoft.com/office/drawing/2014/main" xmlns="" id="{00000000-0008-0000-0D00-0000D0100000}"/>
            </a:ext>
          </a:extLst>
        </xdr:cNvPr>
        <xdr:cNvSpPr>
          <a:spLocks noChangeAspect="1" noChangeArrowheads="1"/>
        </xdr:cNvSpPr>
      </xdr:nvSpPr>
      <xdr:spPr bwMode="auto">
        <a:xfrm>
          <a:off x="0" y="44169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05" name="AutoShape 1233" descr="Montreal Canadiens">
          <a:extLst>
            <a:ext uri="{FF2B5EF4-FFF2-40B4-BE49-F238E27FC236}">
              <a16:creationId xmlns:a16="http://schemas.microsoft.com/office/drawing/2014/main" xmlns="" id="{00000000-0008-0000-0D00-0000D1100000}"/>
            </a:ext>
          </a:extLst>
        </xdr:cNvPr>
        <xdr:cNvSpPr>
          <a:spLocks noChangeAspect="1" noChangeArrowheads="1"/>
        </xdr:cNvSpPr>
      </xdr:nvSpPr>
      <xdr:spPr bwMode="auto">
        <a:xfrm>
          <a:off x="0" y="44205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6" name="AutoShape 1234" descr="Edmonton Oilers">
          <a:extLst>
            <a:ext uri="{FF2B5EF4-FFF2-40B4-BE49-F238E27FC236}">
              <a16:creationId xmlns:a16="http://schemas.microsoft.com/office/drawing/2014/main" xmlns="" id="{00000000-0008-0000-0D00-0000D2100000}"/>
            </a:ext>
          </a:extLst>
        </xdr:cNvPr>
        <xdr:cNvSpPr>
          <a:spLocks noChangeAspect="1" noChangeArrowheads="1"/>
        </xdr:cNvSpPr>
      </xdr:nvSpPr>
      <xdr:spPr bwMode="auto">
        <a:xfrm>
          <a:off x="0" y="4422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7" name="AutoShape 1235" descr="St Louis Blues">
          <a:extLst>
            <a:ext uri="{FF2B5EF4-FFF2-40B4-BE49-F238E27FC236}">
              <a16:creationId xmlns:a16="http://schemas.microsoft.com/office/drawing/2014/main" xmlns="" id="{00000000-0008-0000-0D00-0000D3100000}"/>
            </a:ext>
          </a:extLst>
        </xdr:cNvPr>
        <xdr:cNvSpPr>
          <a:spLocks noChangeAspect="1" noChangeArrowheads="1"/>
        </xdr:cNvSpPr>
      </xdr:nvSpPr>
      <xdr:spPr bwMode="auto">
        <a:xfrm>
          <a:off x="0" y="4426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8" name="AutoShape 1236" descr="Philadelphia Flyers">
          <a:extLst>
            <a:ext uri="{FF2B5EF4-FFF2-40B4-BE49-F238E27FC236}">
              <a16:creationId xmlns:a16="http://schemas.microsoft.com/office/drawing/2014/main" xmlns="" id="{00000000-0008-0000-0D00-0000D4100000}"/>
            </a:ext>
          </a:extLst>
        </xdr:cNvPr>
        <xdr:cNvSpPr>
          <a:spLocks noChangeAspect="1" noChangeArrowheads="1"/>
        </xdr:cNvSpPr>
      </xdr:nvSpPr>
      <xdr:spPr bwMode="auto">
        <a:xfrm>
          <a:off x="0" y="4429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9" name="AutoShape 1237" descr="New York Islanders">
          <a:extLst>
            <a:ext uri="{FF2B5EF4-FFF2-40B4-BE49-F238E27FC236}">
              <a16:creationId xmlns:a16="http://schemas.microsoft.com/office/drawing/2014/main" xmlns="" id="{00000000-0008-0000-0D00-0000D5100000}"/>
            </a:ext>
          </a:extLst>
        </xdr:cNvPr>
        <xdr:cNvSpPr>
          <a:spLocks noChangeAspect="1" noChangeArrowheads="1"/>
        </xdr:cNvSpPr>
      </xdr:nvSpPr>
      <xdr:spPr bwMode="auto">
        <a:xfrm>
          <a:off x="0" y="4433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0" name="AutoShape 1238" descr="Colorado Avalanche">
          <a:extLst>
            <a:ext uri="{FF2B5EF4-FFF2-40B4-BE49-F238E27FC236}">
              <a16:creationId xmlns:a16="http://schemas.microsoft.com/office/drawing/2014/main" xmlns="" id="{00000000-0008-0000-0D00-0000D6100000}"/>
            </a:ext>
          </a:extLst>
        </xdr:cNvPr>
        <xdr:cNvSpPr>
          <a:spLocks noChangeAspect="1" noChangeArrowheads="1"/>
        </xdr:cNvSpPr>
      </xdr:nvSpPr>
      <xdr:spPr bwMode="auto">
        <a:xfrm>
          <a:off x="0" y="4437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11" name="AutoShape 1239" descr="St Louis Blues">
          <a:extLst>
            <a:ext uri="{FF2B5EF4-FFF2-40B4-BE49-F238E27FC236}">
              <a16:creationId xmlns:a16="http://schemas.microsoft.com/office/drawing/2014/main" xmlns="" id="{00000000-0008-0000-0D00-0000D7100000}"/>
            </a:ext>
          </a:extLst>
        </xdr:cNvPr>
        <xdr:cNvSpPr>
          <a:spLocks noChangeAspect="1" noChangeArrowheads="1"/>
        </xdr:cNvSpPr>
      </xdr:nvSpPr>
      <xdr:spPr bwMode="auto">
        <a:xfrm>
          <a:off x="0" y="4440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2" name="AutoShape 1240" descr="Philadelphia Flyers">
          <a:extLst>
            <a:ext uri="{FF2B5EF4-FFF2-40B4-BE49-F238E27FC236}">
              <a16:creationId xmlns:a16="http://schemas.microsoft.com/office/drawing/2014/main" xmlns="" id="{00000000-0008-0000-0D00-0000D8100000}"/>
            </a:ext>
          </a:extLst>
        </xdr:cNvPr>
        <xdr:cNvSpPr>
          <a:spLocks noChangeAspect="1" noChangeArrowheads="1"/>
        </xdr:cNvSpPr>
      </xdr:nvSpPr>
      <xdr:spPr bwMode="auto">
        <a:xfrm>
          <a:off x="0" y="4442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3" name="AutoShape 1241" descr="Buffalo Sabres">
          <a:extLst>
            <a:ext uri="{FF2B5EF4-FFF2-40B4-BE49-F238E27FC236}">
              <a16:creationId xmlns:a16="http://schemas.microsoft.com/office/drawing/2014/main" xmlns="" id="{00000000-0008-0000-0D00-0000D9100000}"/>
            </a:ext>
          </a:extLst>
        </xdr:cNvPr>
        <xdr:cNvSpPr>
          <a:spLocks noChangeAspect="1" noChangeArrowheads="1"/>
        </xdr:cNvSpPr>
      </xdr:nvSpPr>
      <xdr:spPr bwMode="auto">
        <a:xfrm>
          <a:off x="0" y="4446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4" name="AutoShape 1242" descr="Philadelphia Flyers">
          <a:extLst>
            <a:ext uri="{FF2B5EF4-FFF2-40B4-BE49-F238E27FC236}">
              <a16:creationId xmlns:a16="http://schemas.microsoft.com/office/drawing/2014/main" xmlns="" id="{00000000-0008-0000-0D00-0000DA100000}"/>
            </a:ext>
          </a:extLst>
        </xdr:cNvPr>
        <xdr:cNvSpPr>
          <a:spLocks noChangeAspect="1" noChangeArrowheads="1"/>
        </xdr:cNvSpPr>
      </xdr:nvSpPr>
      <xdr:spPr bwMode="auto">
        <a:xfrm>
          <a:off x="0" y="44498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5" name="AutoShape 1243" descr="Minnesota Wild">
          <a:extLst>
            <a:ext uri="{FF2B5EF4-FFF2-40B4-BE49-F238E27FC236}">
              <a16:creationId xmlns:a16="http://schemas.microsoft.com/office/drawing/2014/main" xmlns="" id="{00000000-0008-0000-0D00-0000DB100000}"/>
            </a:ext>
          </a:extLst>
        </xdr:cNvPr>
        <xdr:cNvSpPr>
          <a:spLocks noChangeAspect="1" noChangeArrowheads="1"/>
        </xdr:cNvSpPr>
      </xdr:nvSpPr>
      <xdr:spPr bwMode="auto">
        <a:xfrm>
          <a:off x="0" y="44535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6" name="AutoShape 1244" descr="Winnipeg Jets">
          <a:extLst>
            <a:ext uri="{FF2B5EF4-FFF2-40B4-BE49-F238E27FC236}">
              <a16:creationId xmlns:a16="http://schemas.microsoft.com/office/drawing/2014/main" xmlns="" id="{00000000-0008-0000-0D00-0000DC100000}"/>
            </a:ext>
          </a:extLst>
        </xdr:cNvPr>
        <xdr:cNvSpPr>
          <a:spLocks noChangeAspect="1" noChangeArrowheads="1"/>
        </xdr:cNvSpPr>
      </xdr:nvSpPr>
      <xdr:spPr bwMode="auto">
        <a:xfrm>
          <a:off x="0" y="44571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7" name="AutoShape 1245" descr="Winnipeg Jets">
          <a:extLst>
            <a:ext uri="{FF2B5EF4-FFF2-40B4-BE49-F238E27FC236}">
              <a16:creationId xmlns:a16="http://schemas.microsoft.com/office/drawing/2014/main" xmlns="" id="{00000000-0008-0000-0D00-0000DD100000}"/>
            </a:ext>
          </a:extLst>
        </xdr:cNvPr>
        <xdr:cNvSpPr>
          <a:spLocks noChangeAspect="1" noChangeArrowheads="1"/>
        </xdr:cNvSpPr>
      </xdr:nvSpPr>
      <xdr:spPr bwMode="auto">
        <a:xfrm>
          <a:off x="0" y="4460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8" name="AutoShape 1246" descr="New York Islanders">
          <a:extLst>
            <a:ext uri="{FF2B5EF4-FFF2-40B4-BE49-F238E27FC236}">
              <a16:creationId xmlns:a16="http://schemas.microsoft.com/office/drawing/2014/main" xmlns="" id="{00000000-0008-0000-0D00-0000DE100000}"/>
            </a:ext>
          </a:extLst>
        </xdr:cNvPr>
        <xdr:cNvSpPr>
          <a:spLocks noChangeAspect="1" noChangeArrowheads="1"/>
        </xdr:cNvSpPr>
      </xdr:nvSpPr>
      <xdr:spPr bwMode="auto">
        <a:xfrm>
          <a:off x="0" y="4464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9" name="AutoShape 1247" descr="Nashville Predators">
          <a:extLst>
            <a:ext uri="{FF2B5EF4-FFF2-40B4-BE49-F238E27FC236}">
              <a16:creationId xmlns:a16="http://schemas.microsoft.com/office/drawing/2014/main" xmlns="" id="{00000000-0008-0000-0D00-0000DF100000}"/>
            </a:ext>
          </a:extLst>
        </xdr:cNvPr>
        <xdr:cNvSpPr>
          <a:spLocks noChangeAspect="1" noChangeArrowheads="1"/>
        </xdr:cNvSpPr>
      </xdr:nvSpPr>
      <xdr:spPr bwMode="auto">
        <a:xfrm>
          <a:off x="0" y="4468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20" name="AutoShape 1248" descr="Montreal Canadiens">
          <a:extLst>
            <a:ext uri="{FF2B5EF4-FFF2-40B4-BE49-F238E27FC236}">
              <a16:creationId xmlns:a16="http://schemas.microsoft.com/office/drawing/2014/main" xmlns="" id="{00000000-0008-0000-0D00-0000E0100000}"/>
            </a:ext>
          </a:extLst>
        </xdr:cNvPr>
        <xdr:cNvSpPr>
          <a:spLocks noChangeAspect="1" noChangeArrowheads="1"/>
        </xdr:cNvSpPr>
      </xdr:nvSpPr>
      <xdr:spPr bwMode="auto">
        <a:xfrm>
          <a:off x="0" y="4471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21" name="AutoShape 1249" descr="Ottawa Senators">
          <a:extLst>
            <a:ext uri="{FF2B5EF4-FFF2-40B4-BE49-F238E27FC236}">
              <a16:creationId xmlns:a16="http://schemas.microsoft.com/office/drawing/2014/main" xmlns="" id="{00000000-0008-0000-0D00-0000E1100000}"/>
            </a:ext>
          </a:extLst>
        </xdr:cNvPr>
        <xdr:cNvSpPr>
          <a:spLocks noChangeAspect="1" noChangeArrowheads="1"/>
        </xdr:cNvSpPr>
      </xdr:nvSpPr>
      <xdr:spPr bwMode="auto">
        <a:xfrm>
          <a:off x="0" y="4473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2" name="AutoShape 1250" descr="Detroit Red Wings">
          <a:extLst>
            <a:ext uri="{FF2B5EF4-FFF2-40B4-BE49-F238E27FC236}">
              <a16:creationId xmlns:a16="http://schemas.microsoft.com/office/drawing/2014/main" xmlns="" id="{00000000-0008-0000-0D00-0000E2100000}"/>
            </a:ext>
          </a:extLst>
        </xdr:cNvPr>
        <xdr:cNvSpPr>
          <a:spLocks noChangeAspect="1" noChangeArrowheads="1"/>
        </xdr:cNvSpPr>
      </xdr:nvSpPr>
      <xdr:spPr bwMode="auto">
        <a:xfrm>
          <a:off x="0" y="4475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3" name="AutoShape 1251" descr="New York Islanders">
          <a:extLst>
            <a:ext uri="{FF2B5EF4-FFF2-40B4-BE49-F238E27FC236}">
              <a16:creationId xmlns:a16="http://schemas.microsoft.com/office/drawing/2014/main" xmlns="" id="{00000000-0008-0000-0D00-0000E3100000}"/>
            </a:ext>
          </a:extLst>
        </xdr:cNvPr>
        <xdr:cNvSpPr>
          <a:spLocks noChangeAspect="1" noChangeArrowheads="1"/>
        </xdr:cNvSpPr>
      </xdr:nvSpPr>
      <xdr:spPr bwMode="auto">
        <a:xfrm>
          <a:off x="0" y="4479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4" name="AutoShape 1252" descr="Arizona Coyotes">
          <a:extLst>
            <a:ext uri="{FF2B5EF4-FFF2-40B4-BE49-F238E27FC236}">
              <a16:creationId xmlns:a16="http://schemas.microsoft.com/office/drawing/2014/main" xmlns="" id="{00000000-0008-0000-0D00-0000E4100000}"/>
            </a:ext>
          </a:extLst>
        </xdr:cNvPr>
        <xdr:cNvSpPr>
          <a:spLocks noChangeAspect="1" noChangeArrowheads="1"/>
        </xdr:cNvSpPr>
      </xdr:nvSpPr>
      <xdr:spPr bwMode="auto">
        <a:xfrm>
          <a:off x="0" y="4482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5" name="AutoShape 1253" descr="Vancouver Canucks">
          <a:extLst>
            <a:ext uri="{FF2B5EF4-FFF2-40B4-BE49-F238E27FC236}">
              <a16:creationId xmlns:a16="http://schemas.microsoft.com/office/drawing/2014/main" xmlns="" id="{00000000-0008-0000-0D00-0000E5100000}"/>
            </a:ext>
          </a:extLst>
        </xdr:cNvPr>
        <xdr:cNvSpPr>
          <a:spLocks noChangeAspect="1" noChangeArrowheads="1"/>
        </xdr:cNvSpPr>
      </xdr:nvSpPr>
      <xdr:spPr bwMode="auto">
        <a:xfrm>
          <a:off x="0" y="4486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6" name="AutoShape 1254" descr="Arizona Coyotes">
          <a:extLst>
            <a:ext uri="{FF2B5EF4-FFF2-40B4-BE49-F238E27FC236}">
              <a16:creationId xmlns:a16="http://schemas.microsoft.com/office/drawing/2014/main" xmlns="" id="{00000000-0008-0000-0D00-0000E6100000}"/>
            </a:ext>
          </a:extLst>
        </xdr:cNvPr>
        <xdr:cNvSpPr>
          <a:spLocks noChangeAspect="1" noChangeArrowheads="1"/>
        </xdr:cNvSpPr>
      </xdr:nvSpPr>
      <xdr:spPr bwMode="auto">
        <a:xfrm>
          <a:off x="0" y="4490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7" name="AutoShape 1255" descr="Boston Bruins">
          <a:extLst>
            <a:ext uri="{FF2B5EF4-FFF2-40B4-BE49-F238E27FC236}">
              <a16:creationId xmlns:a16="http://schemas.microsoft.com/office/drawing/2014/main" xmlns="" id="{00000000-0008-0000-0D00-0000E7100000}"/>
            </a:ext>
          </a:extLst>
        </xdr:cNvPr>
        <xdr:cNvSpPr>
          <a:spLocks noChangeAspect="1" noChangeArrowheads="1"/>
        </xdr:cNvSpPr>
      </xdr:nvSpPr>
      <xdr:spPr bwMode="auto">
        <a:xfrm>
          <a:off x="0" y="4493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8" name="AutoShape 1256" descr="Columbus Blue Jackets">
          <a:extLst>
            <a:ext uri="{FF2B5EF4-FFF2-40B4-BE49-F238E27FC236}">
              <a16:creationId xmlns:a16="http://schemas.microsoft.com/office/drawing/2014/main" xmlns="" id="{00000000-0008-0000-0D00-0000E8100000}"/>
            </a:ext>
          </a:extLst>
        </xdr:cNvPr>
        <xdr:cNvSpPr>
          <a:spLocks noChangeAspect="1" noChangeArrowheads="1"/>
        </xdr:cNvSpPr>
      </xdr:nvSpPr>
      <xdr:spPr bwMode="auto">
        <a:xfrm>
          <a:off x="0" y="4497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9" name="AutoShape 1257" descr="Montreal Canadiens">
          <a:extLst>
            <a:ext uri="{FF2B5EF4-FFF2-40B4-BE49-F238E27FC236}">
              <a16:creationId xmlns:a16="http://schemas.microsoft.com/office/drawing/2014/main" xmlns="" id="{00000000-0008-0000-0D00-0000E9100000}"/>
            </a:ext>
          </a:extLst>
        </xdr:cNvPr>
        <xdr:cNvSpPr>
          <a:spLocks noChangeAspect="1" noChangeArrowheads="1"/>
        </xdr:cNvSpPr>
      </xdr:nvSpPr>
      <xdr:spPr bwMode="auto">
        <a:xfrm>
          <a:off x="0" y="4501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0" name="AutoShape 1258" descr="Montreal Canadiens">
          <a:extLst>
            <a:ext uri="{FF2B5EF4-FFF2-40B4-BE49-F238E27FC236}">
              <a16:creationId xmlns:a16="http://schemas.microsoft.com/office/drawing/2014/main" xmlns="" id="{00000000-0008-0000-0D00-0000EA100000}"/>
            </a:ext>
          </a:extLst>
        </xdr:cNvPr>
        <xdr:cNvSpPr>
          <a:spLocks noChangeAspect="1" noChangeArrowheads="1"/>
        </xdr:cNvSpPr>
      </xdr:nvSpPr>
      <xdr:spPr bwMode="auto">
        <a:xfrm>
          <a:off x="0" y="4504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1" name="AutoShape 1259" descr="Edmonton Oilers">
          <a:extLst>
            <a:ext uri="{FF2B5EF4-FFF2-40B4-BE49-F238E27FC236}">
              <a16:creationId xmlns:a16="http://schemas.microsoft.com/office/drawing/2014/main" xmlns="" id="{00000000-0008-0000-0D00-0000EB100000}"/>
            </a:ext>
          </a:extLst>
        </xdr:cNvPr>
        <xdr:cNvSpPr>
          <a:spLocks noChangeAspect="1" noChangeArrowheads="1"/>
        </xdr:cNvSpPr>
      </xdr:nvSpPr>
      <xdr:spPr bwMode="auto">
        <a:xfrm>
          <a:off x="0" y="4508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2" name="AutoShape 1260" descr="Arizona Coyotes">
          <a:extLst>
            <a:ext uri="{FF2B5EF4-FFF2-40B4-BE49-F238E27FC236}">
              <a16:creationId xmlns:a16="http://schemas.microsoft.com/office/drawing/2014/main" xmlns="" id="{00000000-0008-0000-0D00-0000EC100000}"/>
            </a:ext>
          </a:extLst>
        </xdr:cNvPr>
        <xdr:cNvSpPr>
          <a:spLocks noChangeAspect="1" noChangeArrowheads="1"/>
        </xdr:cNvSpPr>
      </xdr:nvSpPr>
      <xdr:spPr bwMode="auto">
        <a:xfrm>
          <a:off x="0" y="4510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3" name="AutoShape 1261" descr="Winnipeg Jets">
          <a:extLst>
            <a:ext uri="{FF2B5EF4-FFF2-40B4-BE49-F238E27FC236}">
              <a16:creationId xmlns:a16="http://schemas.microsoft.com/office/drawing/2014/main" xmlns="" id="{00000000-0008-0000-0D00-0000ED100000}"/>
            </a:ext>
          </a:extLst>
        </xdr:cNvPr>
        <xdr:cNvSpPr>
          <a:spLocks noChangeAspect="1" noChangeArrowheads="1"/>
        </xdr:cNvSpPr>
      </xdr:nvSpPr>
      <xdr:spPr bwMode="auto">
        <a:xfrm>
          <a:off x="0" y="4513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4" name="AutoShape 1262" descr="Florida Panthers">
          <a:extLst>
            <a:ext uri="{FF2B5EF4-FFF2-40B4-BE49-F238E27FC236}">
              <a16:creationId xmlns:a16="http://schemas.microsoft.com/office/drawing/2014/main" xmlns="" id="{00000000-0008-0000-0D00-0000EE100000}"/>
            </a:ext>
          </a:extLst>
        </xdr:cNvPr>
        <xdr:cNvSpPr>
          <a:spLocks noChangeAspect="1" noChangeArrowheads="1"/>
        </xdr:cNvSpPr>
      </xdr:nvSpPr>
      <xdr:spPr bwMode="auto">
        <a:xfrm>
          <a:off x="0" y="4517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5" name="AutoShape 1263" descr="Los Angeles Kings">
          <a:extLst>
            <a:ext uri="{FF2B5EF4-FFF2-40B4-BE49-F238E27FC236}">
              <a16:creationId xmlns:a16="http://schemas.microsoft.com/office/drawing/2014/main" xmlns="" id="{00000000-0008-0000-0D00-0000EF100000}"/>
            </a:ext>
          </a:extLst>
        </xdr:cNvPr>
        <xdr:cNvSpPr>
          <a:spLocks noChangeAspect="1" noChangeArrowheads="1"/>
        </xdr:cNvSpPr>
      </xdr:nvSpPr>
      <xdr:spPr bwMode="auto">
        <a:xfrm>
          <a:off x="0" y="4521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6" name="AutoShape 1264" descr="Colorado Avalanche">
          <a:extLst>
            <a:ext uri="{FF2B5EF4-FFF2-40B4-BE49-F238E27FC236}">
              <a16:creationId xmlns:a16="http://schemas.microsoft.com/office/drawing/2014/main" xmlns="" id="{00000000-0008-0000-0D00-0000F0100000}"/>
            </a:ext>
          </a:extLst>
        </xdr:cNvPr>
        <xdr:cNvSpPr>
          <a:spLocks noChangeAspect="1" noChangeArrowheads="1"/>
        </xdr:cNvSpPr>
      </xdr:nvSpPr>
      <xdr:spPr bwMode="auto">
        <a:xfrm>
          <a:off x="0" y="4523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7" name="AutoShape 1265" descr="Arizona Coyotes">
          <a:extLst>
            <a:ext uri="{FF2B5EF4-FFF2-40B4-BE49-F238E27FC236}">
              <a16:creationId xmlns:a16="http://schemas.microsoft.com/office/drawing/2014/main" xmlns="" id="{00000000-0008-0000-0D00-0000F1100000}"/>
            </a:ext>
          </a:extLst>
        </xdr:cNvPr>
        <xdr:cNvSpPr>
          <a:spLocks noChangeAspect="1" noChangeArrowheads="1"/>
        </xdr:cNvSpPr>
      </xdr:nvSpPr>
      <xdr:spPr bwMode="auto">
        <a:xfrm>
          <a:off x="0" y="4524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8" name="AutoShape 1266" descr="Dallas Stars">
          <a:extLst>
            <a:ext uri="{FF2B5EF4-FFF2-40B4-BE49-F238E27FC236}">
              <a16:creationId xmlns:a16="http://schemas.microsoft.com/office/drawing/2014/main" xmlns="" id="{00000000-0008-0000-0D00-0000F2100000}"/>
            </a:ext>
          </a:extLst>
        </xdr:cNvPr>
        <xdr:cNvSpPr>
          <a:spLocks noChangeAspect="1" noChangeArrowheads="1"/>
        </xdr:cNvSpPr>
      </xdr:nvSpPr>
      <xdr:spPr bwMode="auto">
        <a:xfrm>
          <a:off x="0" y="4528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9" name="AutoShape 1267" descr="Tampa Bay Lightning">
          <a:extLst>
            <a:ext uri="{FF2B5EF4-FFF2-40B4-BE49-F238E27FC236}">
              <a16:creationId xmlns:a16="http://schemas.microsoft.com/office/drawing/2014/main" xmlns="" id="{00000000-0008-0000-0D00-0000F3100000}"/>
            </a:ext>
          </a:extLst>
        </xdr:cNvPr>
        <xdr:cNvSpPr>
          <a:spLocks noChangeAspect="1" noChangeArrowheads="1"/>
        </xdr:cNvSpPr>
      </xdr:nvSpPr>
      <xdr:spPr bwMode="auto">
        <a:xfrm>
          <a:off x="0" y="4530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0" name="AutoShape 1268" descr="Winnipeg Jets">
          <a:extLst>
            <a:ext uri="{FF2B5EF4-FFF2-40B4-BE49-F238E27FC236}">
              <a16:creationId xmlns:a16="http://schemas.microsoft.com/office/drawing/2014/main" xmlns="" id="{00000000-0008-0000-0D00-0000F4100000}"/>
            </a:ext>
          </a:extLst>
        </xdr:cNvPr>
        <xdr:cNvSpPr>
          <a:spLocks noChangeAspect="1" noChangeArrowheads="1"/>
        </xdr:cNvSpPr>
      </xdr:nvSpPr>
      <xdr:spPr bwMode="auto">
        <a:xfrm>
          <a:off x="0" y="4533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1" name="AutoShape 1269" descr="Vancouver Canucks">
          <a:extLst>
            <a:ext uri="{FF2B5EF4-FFF2-40B4-BE49-F238E27FC236}">
              <a16:creationId xmlns:a16="http://schemas.microsoft.com/office/drawing/2014/main" xmlns="" id="{00000000-0008-0000-0D00-0000F5100000}"/>
            </a:ext>
          </a:extLst>
        </xdr:cNvPr>
        <xdr:cNvSpPr>
          <a:spLocks noChangeAspect="1" noChangeArrowheads="1"/>
        </xdr:cNvSpPr>
      </xdr:nvSpPr>
      <xdr:spPr bwMode="auto">
        <a:xfrm>
          <a:off x="0" y="4537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2" name="AutoShape 1270" descr="Boston Bruins">
          <a:extLst>
            <a:ext uri="{FF2B5EF4-FFF2-40B4-BE49-F238E27FC236}">
              <a16:creationId xmlns:a16="http://schemas.microsoft.com/office/drawing/2014/main" xmlns="" id="{00000000-0008-0000-0D00-0000F6100000}"/>
            </a:ext>
          </a:extLst>
        </xdr:cNvPr>
        <xdr:cNvSpPr>
          <a:spLocks noChangeAspect="1" noChangeArrowheads="1"/>
        </xdr:cNvSpPr>
      </xdr:nvSpPr>
      <xdr:spPr bwMode="auto">
        <a:xfrm>
          <a:off x="0" y="45412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3" name="AutoShape 1271" descr="Philadelphia Flyers">
          <a:extLst>
            <a:ext uri="{FF2B5EF4-FFF2-40B4-BE49-F238E27FC236}">
              <a16:creationId xmlns:a16="http://schemas.microsoft.com/office/drawing/2014/main" xmlns="" id="{00000000-0008-0000-0D00-0000F7100000}"/>
            </a:ext>
          </a:extLst>
        </xdr:cNvPr>
        <xdr:cNvSpPr>
          <a:spLocks noChangeAspect="1" noChangeArrowheads="1"/>
        </xdr:cNvSpPr>
      </xdr:nvSpPr>
      <xdr:spPr bwMode="auto">
        <a:xfrm>
          <a:off x="0" y="4544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4" name="AutoShape 1272" descr="New York Islanders">
          <a:extLst>
            <a:ext uri="{FF2B5EF4-FFF2-40B4-BE49-F238E27FC236}">
              <a16:creationId xmlns:a16="http://schemas.microsoft.com/office/drawing/2014/main" xmlns="" id="{00000000-0008-0000-0D00-0000F8100000}"/>
            </a:ext>
          </a:extLst>
        </xdr:cNvPr>
        <xdr:cNvSpPr>
          <a:spLocks noChangeAspect="1" noChangeArrowheads="1"/>
        </xdr:cNvSpPr>
      </xdr:nvSpPr>
      <xdr:spPr bwMode="auto">
        <a:xfrm>
          <a:off x="0" y="4548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45" name="AutoShape 1273" descr="Calgary Flames">
          <a:extLst>
            <a:ext uri="{FF2B5EF4-FFF2-40B4-BE49-F238E27FC236}">
              <a16:creationId xmlns:a16="http://schemas.microsoft.com/office/drawing/2014/main" xmlns="" id="{00000000-0008-0000-0D00-0000F9100000}"/>
            </a:ext>
          </a:extLst>
        </xdr:cNvPr>
        <xdr:cNvSpPr>
          <a:spLocks noChangeAspect="1" noChangeArrowheads="1"/>
        </xdr:cNvSpPr>
      </xdr:nvSpPr>
      <xdr:spPr bwMode="auto">
        <a:xfrm>
          <a:off x="0" y="4552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6" name="AutoShape 1274" descr="Anaheim Ducks">
          <a:extLst>
            <a:ext uri="{FF2B5EF4-FFF2-40B4-BE49-F238E27FC236}">
              <a16:creationId xmlns:a16="http://schemas.microsoft.com/office/drawing/2014/main" xmlns="" id="{00000000-0008-0000-0D00-0000FA100000}"/>
            </a:ext>
          </a:extLst>
        </xdr:cNvPr>
        <xdr:cNvSpPr>
          <a:spLocks noChangeAspect="1" noChangeArrowheads="1"/>
        </xdr:cNvSpPr>
      </xdr:nvSpPr>
      <xdr:spPr bwMode="auto">
        <a:xfrm>
          <a:off x="0" y="4554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7" name="AutoShape 1275" descr="Detroit Red Wings">
          <a:extLst>
            <a:ext uri="{FF2B5EF4-FFF2-40B4-BE49-F238E27FC236}">
              <a16:creationId xmlns:a16="http://schemas.microsoft.com/office/drawing/2014/main" xmlns="" id="{00000000-0008-0000-0D00-0000FB100000}"/>
            </a:ext>
          </a:extLst>
        </xdr:cNvPr>
        <xdr:cNvSpPr>
          <a:spLocks noChangeAspect="1" noChangeArrowheads="1"/>
        </xdr:cNvSpPr>
      </xdr:nvSpPr>
      <xdr:spPr bwMode="auto">
        <a:xfrm>
          <a:off x="0" y="45559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8" name="AutoShape 1276" descr="San Jose Sharks">
          <a:extLst>
            <a:ext uri="{FF2B5EF4-FFF2-40B4-BE49-F238E27FC236}">
              <a16:creationId xmlns:a16="http://schemas.microsoft.com/office/drawing/2014/main" xmlns="" id="{00000000-0008-0000-0D00-0000FC100000}"/>
            </a:ext>
          </a:extLst>
        </xdr:cNvPr>
        <xdr:cNvSpPr>
          <a:spLocks noChangeAspect="1" noChangeArrowheads="1"/>
        </xdr:cNvSpPr>
      </xdr:nvSpPr>
      <xdr:spPr bwMode="auto">
        <a:xfrm>
          <a:off x="0" y="45595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9" name="AutoShape 1277" descr="Chicago Blackhawks">
          <a:extLst>
            <a:ext uri="{FF2B5EF4-FFF2-40B4-BE49-F238E27FC236}">
              <a16:creationId xmlns:a16="http://schemas.microsoft.com/office/drawing/2014/main" xmlns="" id="{00000000-0008-0000-0D00-0000FD100000}"/>
            </a:ext>
          </a:extLst>
        </xdr:cNvPr>
        <xdr:cNvSpPr>
          <a:spLocks noChangeAspect="1" noChangeArrowheads="1"/>
        </xdr:cNvSpPr>
      </xdr:nvSpPr>
      <xdr:spPr bwMode="auto">
        <a:xfrm>
          <a:off x="0" y="45632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0" name="AutoShape 1278" descr="Colorado Avalanche">
          <a:extLst>
            <a:ext uri="{FF2B5EF4-FFF2-40B4-BE49-F238E27FC236}">
              <a16:creationId xmlns:a16="http://schemas.microsoft.com/office/drawing/2014/main" xmlns="" id="{00000000-0008-0000-0D00-0000FE100000}"/>
            </a:ext>
          </a:extLst>
        </xdr:cNvPr>
        <xdr:cNvSpPr>
          <a:spLocks noChangeAspect="1" noChangeArrowheads="1"/>
        </xdr:cNvSpPr>
      </xdr:nvSpPr>
      <xdr:spPr bwMode="auto">
        <a:xfrm>
          <a:off x="0" y="4565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1" name="AutoShape 1279" descr="Philadelphia Flyers">
          <a:extLst>
            <a:ext uri="{FF2B5EF4-FFF2-40B4-BE49-F238E27FC236}">
              <a16:creationId xmlns:a16="http://schemas.microsoft.com/office/drawing/2014/main" xmlns="" id="{00000000-0008-0000-0D00-0000FF100000}"/>
            </a:ext>
          </a:extLst>
        </xdr:cNvPr>
        <xdr:cNvSpPr>
          <a:spLocks noChangeAspect="1" noChangeArrowheads="1"/>
        </xdr:cNvSpPr>
      </xdr:nvSpPr>
      <xdr:spPr bwMode="auto">
        <a:xfrm>
          <a:off x="0" y="4568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52" name="AutoShape 1280" descr="Columbus Blue Jackets">
          <a:extLst>
            <a:ext uri="{FF2B5EF4-FFF2-40B4-BE49-F238E27FC236}">
              <a16:creationId xmlns:a16="http://schemas.microsoft.com/office/drawing/2014/main" xmlns="" id="{00000000-0008-0000-0D00-000000110000}"/>
            </a:ext>
          </a:extLst>
        </xdr:cNvPr>
        <xdr:cNvSpPr>
          <a:spLocks noChangeAspect="1" noChangeArrowheads="1"/>
        </xdr:cNvSpPr>
      </xdr:nvSpPr>
      <xdr:spPr bwMode="auto">
        <a:xfrm>
          <a:off x="0" y="4572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3" name="AutoShape 1281" descr="Philadelphia Flyers">
          <a:extLst>
            <a:ext uri="{FF2B5EF4-FFF2-40B4-BE49-F238E27FC236}">
              <a16:creationId xmlns:a16="http://schemas.microsoft.com/office/drawing/2014/main" xmlns="" id="{00000000-0008-0000-0D00-000001110000}"/>
            </a:ext>
          </a:extLst>
        </xdr:cNvPr>
        <xdr:cNvSpPr>
          <a:spLocks noChangeAspect="1" noChangeArrowheads="1"/>
        </xdr:cNvSpPr>
      </xdr:nvSpPr>
      <xdr:spPr bwMode="auto">
        <a:xfrm>
          <a:off x="0" y="4574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4" name="AutoShape 1282" descr="Tampa Bay Lightning">
          <a:extLst>
            <a:ext uri="{FF2B5EF4-FFF2-40B4-BE49-F238E27FC236}">
              <a16:creationId xmlns:a16="http://schemas.microsoft.com/office/drawing/2014/main" xmlns="" id="{00000000-0008-0000-0D00-000002110000}"/>
            </a:ext>
          </a:extLst>
        </xdr:cNvPr>
        <xdr:cNvSpPr>
          <a:spLocks noChangeAspect="1" noChangeArrowheads="1"/>
        </xdr:cNvSpPr>
      </xdr:nvSpPr>
      <xdr:spPr bwMode="auto">
        <a:xfrm>
          <a:off x="0" y="4577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5" name="AutoShape 1283" descr="Boston Bruins">
          <a:extLst>
            <a:ext uri="{FF2B5EF4-FFF2-40B4-BE49-F238E27FC236}">
              <a16:creationId xmlns:a16="http://schemas.microsoft.com/office/drawing/2014/main" xmlns="" id="{00000000-0008-0000-0D00-000003110000}"/>
            </a:ext>
          </a:extLst>
        </xdr:cNvPr>
        <xdr:cNvSpPr>
          <a:spLocks noChangeAspect="1" noChangeArrowheads="1"/>
        </xdr:cNvSpPr>
      </xdr:nvSpPr>
      <xdr:spPr bwMode="auto">
        <a:xfrm>
          <a:off x="0" y="4581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6" name="AutoShape 1284" descr="Edmonton Oilers">
          <a:extLst>
            <a:ext uri="{FF2B5EF4-FFF2-40B4-BE49-F238E27FC236}">
              <a16:creationId xmlns:a16="http://schemas.microsoft.com/office/drawing/2014/main" xmlns="" id="{00000000-0008-0000-0D00-000004110000}"/>
            </a:ext>
          </a:extLst>
        </xdr:cNvPr>
        <xdr:cNvSpPr>
          <a:spLocks noChangeAspect="1" noChangeArrowheads="1"/>
        </xdr:cNvSpPr>
      </xdr:nvSpPr>
      <xdr:spPr bwMode="auto">
        <a:xfrm>
          <a:off x="0" y="4587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7" name="AutoShape 1285" descr="Los Angeles Kings">
          <a:extLst>
            <a:ext uri="{FF2B5EF4-FFF2-40B4-BE49-F238E27FC236}">
              <a16:creationId xmlns:a16="http://schemas.microsoft.com/office/drawing/2014/main" xmlns="" id="{00000000-0008-0000-0D00-000005110000}"/>
            </a:ext>
          </a:extLst>
        </xdr:cNvPr>
        <xdr:cNvSpPr>
          <a:spLocks noChangeAspect="1" noChangeArrowheads="1"/>
        </xdr:cNvSpPr>
      </xdr:nvSpPr>
      <xdr:spPr bwMode="auto">
        <a:xfrm>
          <a:off x="0" y="4590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8" name="AutoShape 1286" descr="Boston Bruins">
          <a:extLst>
            <a:ext uri="{FF2B5EF4-FFF2-40B4-BE49-F238E27FC236}">
              <a16:creationId xmlns:a16="http://schemas.microsoft.com/office/drawing/2014/main" xmlns="" id="{00000000-0008-0000-0D00-000006110000}"/>
            </a:ext>
          </a:extLst>
        </xdr:cNvPr>
        <xdr:cNvSpPr>
          <a:spLocks noChangeAspect="1" noChangeArrowheads="1"/>
        </xdr:cNvSpPr>
      </xdr:nvSpPr>
      <xdr:spPr bwMode="auto">
        <a:xfrm>
          <a:off x="0" y="4596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9" name="AutoShape 1287" descr="San Jose Sharks">
          <a:extLst>
            <a:ext uri="{FF2B5EF4-FFF2-40B4-BE49-F238E27FC236}">
              <a16:creationId xmlns:a16="http://schemas.microsoft.com/office/drawing/2014/main" xmlns="" id="{00000000-0008-0000-0D00-000007110000}"/>
            </a:ext>
          </a:extLst>
        </xdr:cNvPr>
        <xdr:cNvSpPr>
          <a:spLocks noChangeAspect="1" noChangeArrowheads="1"/>
        </xdr:cNvSpPr>
      </xdr:nvSpPr>
      <xdr:spPr bwMode="auto">
        <a:xfrm>
          <a:off x="0" y="4599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0" name="AutoShape 1288" descr="Anaheim Ducks">
          <a:extLst>
            <a:ext uri="{FF2B5EF4-FFF2-40B4-BE49-F238E27FC236}">
              <a16:creationId xmlns:a16="http://schemas.microsoft.com/office/drawing/2014/main" xmlns="" id="{00000000-0008-0000-0D00-000008110000}"/>
            </a:ext>
          </a:extLst>
        </xdr:cNvPr>
        <xdr:cNvSpPr>
          <a:spLocks noChangeAspect="1" noChangeArrowheads="1"/>
        </xdr:cNvSpPr>
      </xdr:nvSpPr>
      <xdr:spPr bwMode="auto">
        <a:xfrm>
          <a:off x="0" y="4603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1" name="AutoShape 1289" descr="Tampa Bay Lightning">
          <a:extLst>
            <a:ext uri="{FF2B5EF4-FFF2-40B4-BE49-F238E27FC236}">
              <a16:creationId xmlns:a16="http://schemas.microsoft.com/office/drawing/2014/main" xmlns="" id="{00000000-0008-0000-0D00-000009110000}"/>
            </a:ext>
          </a:extLst>
        </xdr:cNvPr>
        <xdr:cNvSpPr>
          <a:spLocks noChangeAspect="1" noChangeArrowheads="1"/>
        </xdr:cNvSpPr>
      </xdr:nvSpPr>
      <xdr:spPr bwMode="auto">
        <a:xfrm>
          <a:off x="0" y="46071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2" name="AutoShape 1290" descr="Vegas Golden Knights">
          <a:extLst>
            <a:ext uri="{FF2B5EF4-FFF2-40B4-BE49-F238E27FC236}">
              <a16:creationId xmlns:a16="http://schemas.microsoft.com/office/drawing/2014/main" xmlns="" id="{00000000-0008-0000-0D00-00000A110000}"/>
            </a:ext>
          </a:extLst>
        </xdr:cNvPr>
        <xdr:cNvSpPr>
          <a:spLocks noChangeAspect="1" noChangeArrowheads="1"/>
        </xdr:cNvSpPr>
      </xdr:nvSpPr>
      <xdr:spPr bwMode="auto">
        <a:xfrm>
          <a:off x="0" y="461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3" name="AutoShape 1291" descr="Washington Capitals">
          <a:extLst>
            <a:ext uri="{FF2B5EF4-FFF2-40B4-BE49-F238E27FC236}">
              <a16:creationId xmlns:a16="http://schemas.microsoft.com/office/drawing/2014/main" xmlns="" id="{00000000-0008-0000-0D00-00000B110000}"/>
            </a:ext>
          </a:extLst>
        </xdr:cNvPr>
        <xdr:cNvSpPr>
          <a:spLocks noChangeAspect="1" noChangeArrowheads="1"/>
        </xdr:cNvSpPr>
      </xdr:nvSpPr>
      <xdr:spPr bwMode="auto">
        <a:xfrm>
          <a:off x="0" y="4614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4" name="AutoShape 1292" descr="Ottawa Senators">
          <a:extLst>
            <a:ext uri="{FF2B5EF4-FFF2-40B4-BE49-F238E27FC236}">
              <a16:creationId xmlns:a16="http://schemas.microsoft.com/office/drawing/2014/main" xmlns="" id="{00000000-0008-0000-0D00-00000C110000}"/>
            </a:ext>
          </a:extLst>
        </xdr:cNvPr>
        <xdr:cNvSpPr>
          <a:spLocks noChangeAspect="1" noChangeArrowheads="1"/>
        </xdr:cNvSpPr>
      </xdr:nvSpPr>
      <xdr:spPr bwMode="auto">
        <a:xfrm>
          <a:off x="0" y="4618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5" name="AutoShape 1293" descr="Vancouver Canucks">
          <a:extLst>
            <a:ext uri="{FF2B5EF4-FFF2-40B4-BE49-F238E27FC236}">
              <a16:creationId xmlns:a16="http://schemas.microsoft.com/office/drawing/2014/main" xmlns="" id="{00000000-0008-0000-0D00-00000D110000}"/>
            </a:ext>
          </a:extLst>
        </xdr:cNvPr>
        <xdr:cNvSpPr>
          <a:spLocks noChangeAspect="1" noChangeArrowheads="1"/>
        </xdr:cNvSpPr>
      </xdr:nvSpPr>
      <xdr:spPr bwMode="auto">
        <a:xfrm>
          <a:off x="0" y="4621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6" name="AutoShape 1294" descr="Florida Panthers">
          <a:extLst>
            <a:ext uri="{FF2B5EF4-FFF2-40B4-BE49-F238E27FC236}">
              <a16:creationId xmlns:a16="http://schemas.microsoft.com/office/drawing/2014/main" xmlns="" id="{00000000-0008-0000-0D00-00000E110000}"/>
            </a:ext>
          </a:extLst>
        </xdr:cNvPr>
        <xdr:cNvSpPr>
          <a:spLocks noChangeAspect="1" noChangeArrowheads="1"/>
        </xdr:cNvSpPr>
      </xdr:nvSpPr>
      <xdr:spPr bwMode="auto">
        <a:xfrm>
          <a:off x="0" y="4625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7" name="AutoShape 1295" descr="Vancouver Canucks">
          <a:extLst>
            <a:ext uri="{FF2B5EF4-FFF2-40B4-BE49-F238E27FC236}">
              <a16:creationId xmlns:a16="http://schemas.microsoft.com/office/drawing/2014/main" xmlns="" id="{00000000-0008-0000-0D00-00000F110000}"/>
            </a:ext>
          </a:extLst>
        </xdr:cNvPr>
        <xdr:cNvSpPr>
          <a:spLocks noChangeAspect="1" noChangeArrowheads="1"/>
        </xdr:cNvSpPr>
      </xdr:nvSpPr>
      <xdr:spPr bwMode="auto">
        <a:xfrm>
          <a:off x="0" y="4629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8" name="AutoShape 1296" descr="Columbus Blue Jackets">
          <a:extLst>
            <a:ext uri="{FF2B5EF4-FFF2-40B4-BE49-F238E27FC236}">
              <a16:creationId xmlns:a16="http://schemas.microsoft.com/office/drawing/2014/main" xmlns="" id="{00000000-0008-0000-0D00-000010110000}"/>
            </a:ext>
          </a:extLst>
        </xdr:cNvPr>
        <xdr:cNvSpPr>
          <a:spLocks noChangeAspect="1" noChangeArrowheads="1"/>
        </xdr:cNvSpPr>
      </xdr:nvSpPr>
      <xdr:spPr bwMode="auto">
        <a:xfrm>
          <a:off x="0" y="4632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9" name="AutoShape 1297" descr="St Louis Blues">
          <a:extLst>
            <a:ext uri="{FF2B5EF4-FFF2-40B4-BE49-F238E27FC236}">
              <a16:creationId xmlns:a16="http://schemas.microsoft.com/office/drawing/2014/main" xmlns="" id="{00000000-0008-0000-0D00-000011110000}"/>
            </a:ext>
          </a:extLst>
        </xdr:cNvPr>
        <xdr:cNvSpPr>
          <a:spLocks noChangeAspect="1" noChangeArrowheads="1"/>
        </xdr:cNvSpPr>
      </xdr:nvSpPr>
      <xdr:spPr bwMode="auto">
        <a:xfrm>
          <a:off x="0" y="4636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0" name="AutoShape 1298" descr="Calgary Flames">
          <a:extLst>
            <a:ext uri="{FF2B5EF4-FFF2-40B4-BE49-F238E27FC236}">
              <a16:creationId xmlns:a16="http://schemas.microsoft.com/office/drawing/2014/main" xmlns="" id="{00000000-0008-0000-0D00-000012110000}"/>
            </a:ext>
          </a:extLst>
        </xdr:cNvPr>
        <xdr:cNvSpPr>
          <a:spLocks noChangeAspect="1" noChangeArrowheads="1"/>
        </xdr:cNvSpPr>
      </xdr:nvSpPr>
      <xdr:spPr bwMode="auto">
        <a:xfrm>
          <a:off x="0" y="4640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1" name="AutoShape 1299" descr="New Jersey Devils">
          <a:extLst>
            <a:ext uri="{FF2B5EF4-FFF2-40B4-BE49-F238E27FC236}">
              <a16:creationId xmlns:a16="http://schemas.microsoft.com/office/drawing/2014/main" xmlns="" id="{00000000-0008-0000-0D00-000013110000}"/>
            </a:ext>
          </a:extLst>
        </xdr:cNvPr>
        <xdr:cNvSpPr>
          <a:spLocks noChangeAspect="1" noChangeArrowheads="1"/>
        </xdr:cNvSpPr>
      </xdr:nvSpPr>
      <xdr:spPr bwMode="auto">
        <a:xfrm>
          <a:off x="0" y="4643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2" name="AutoShape 1300" descr="Los Angeles Kings">
          <a:extLst>
            <a:ext uri="{FF2B5EF4-FFF2-40B4-BE49-F238E27FC236}">
              <a16:creationId xmlns:a16="http://schemas.microsoft.com/office/drawing/2014/main" xmlns="" id="{00000000-0008-0000-0D00-000014110000}"/>
            </a:ext>
          </a:extLst>
        </xdr:cNvPr>
        <xdr:cNvSpPr>
          <a:spLocks noChangeAspect="1" noChangeArrowheads="1"/>
        </xdr:cNvSpPr>
      </xdr:nvSpPr>
      <xdr:spPr bwMode="auto">
        <a:xfrm>
          <a:off x="0" y="4647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3" name="AutoShape 1301" descr="Vegas Golden Knights">
          <a:extLst>
            <a:ext uri="{FF2B5EF4-FFF2-40B4-BE49-F238E27FC236}">
              <a16:creationId xmlns:a16="http://schemas.microsoft.com/office/drawing/2014/main" xmlns="" id="{00000000-0008-0000-0D00-000015110000}"/>
            </a:ext>
          </a:extLst>
        </xdr:cNvPr>
        <xdr:cNvSpPr>
          <a:spLocks noChangeAspect="1" noChangeArrowheads="1"/>
        </xdr:cNvSpPr>
      </xdr:nvSpPr>
      <xdr:spPr bwMode="auto">
        <a:xfrm>
          <a:off x="0" y="4651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4" name="AutoShape 1302" descr="Chicago Blackhawks">
          <a:extLst>
            <a:ext uri="{FF2B5EF4-FFF2-40B4-BE49-F238E27FC236}">
              <a16:creationId xmlns:a16="http://schemas.microsoft.com/office/drawing/2014/main" xmlns="" id="{00000000-0008-0000-0D00-000016110000}"/>
            </a:ext>
          </a:extLst>
        </xdr:cNvPr>
        <xdr:cNvSpPr>
          <a:spLocks noChangeAspect="1" noChangeArrowheads="1"/>
        </xdr:cNvSpPr>
      </xdr:nvSpPr>
      <xdr:spPr bwMode="auto">
        <a:xfrm>
          <a:off x="0" y="4654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75" name="AutoShape 1303" descr="New York Rangers">
          <a:extLst>
            <a:ext uri="{FF2B5EF4-FFF2-40B4-BE49-F238E27FC236}">
              <a16:creationId xmlns:a16="http://schemas.microsoft.com/office/drawing/2014/main" xmlns="" id="{00000000-0008-0000-0D00-000017110000}"/>
            </a:ext>
          </a:extLst>
        </xdr:cNvPr>
        <xdr:cNvSpPr>
          <a:spLocks noChangeAspect="1" noChangeArrowheads="1"/>
        </xdr:cNvSpPr>
      </xdr:nvSpPr>
      <xdr:spPr bwMode="auto">
        <a:xfrm>
          <a:off x="0" y="4658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6" name="AutoShape 1304" descr="New York Rangers">
          <a:extLst>
            <a:ext uri="{FF2B5EF4-FFF2-40B4-BE49-F238E27FC236}">
              <a16:creationId xmlns:a16="http://schemas.microsoft.com/office/drawing/2014/main" xmlns="" id="{00000000-0008-0000-0D00-000018110000}"/>
            </a:ext>
          </a:extLst>
        </xdr:cNvPr>
        <xdr:cNvSpPr>
          <a:spLocks noChangeAspect="1" noChangeArrowheads="1"/>
        </xdr:cNvSpPr>
      </xdr:nvSpPr>
      <xdr:spPr bwMode="auto">
        <a:xfrm>
          <a:off x="0" y="4660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7" name="AutoShape 1305" descr="New York Rangers">
          <a:extLst>
            <a:ext uri="{FF2B5EF4-FFF2-40B4-BE49-F238E27FC236}">
              <a16:creationId xmlns:a16="http://schemas.microsoft.com/office/drawing/2014/main" xmlns="" id="{00000000-0008-0000-0D00-000019110000}"/>
            </a:ext>
          </a:extLst>
        </xdr:cNvPr>
        <xdr:cNvSpPr>
          <a:spLocks noChangeAspect="1" noChangeArrowheads="1"/>
        </xdr:cNvSpPr>
      </xdr:nvSpPr>
      <xdr:spPr bwMode="auto">
        <a:xfrm>
          <a:off x="0" y="46638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8" name="AutoShape 1306" descr="Pittsburgh Penguins">
          <a:extLst>
            <a:ext uri="{FF2B5EF4-FFF2-40B4-BE49-F238E27FC236}">
              <a16:creationId xmlns:a16="http://schemas.microsoft.com/office/drawing/2014/main" xmlns="" id="{00000000-0008-0000-0D00-00001A110000}"/>
            </a:ext>
          </a:extLst>
        </xdr:cNvPr>
        <xdr:cNvSpPr>
          <a:spLocks noChangeAspect="1" noChangeArrowheads="1"/>
        </xdr:cNvSpPr>
      </xdr:nvSpPr>
      <xdr:spPr bwMode="auto">
        <a:xfrm>
          <a:off x="0" y="4667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9" name="AutoShape 1307" descr="Los Angeles Kings">
          <a:extLst>
            <a:ext uri="{FF2B5EF4-FFF2-40B4-BE49-F238E27FC236}">
              <a16:creationId xmlns:a16="http://schemas.microsoft.com/office/drawing/2014/main" xmlns="" id="{00000000-0008-0000-0D00-00001B110000}"/>
            </a:ext>
          </a:extLst>
        </xdr:cNvPr>
        <xdr:cNvSpPr>
          <a:spLocks noChangeAspect="1" noChangeArrowheads="1"/>
        </xdr:cNvSpPr>
      </xdr:nvSpPr>
      <xdr:spPr bwMode="auto">
        <a:xfrm>
          <a:off x="0" y="4669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80" name="AutoShape 1308" descr="Carolina Hurricanes">
          <a:extLst>
            <a:ext uri="{FF2B5EF4-FFF2-40B4-BE49-F238E27FC236}">
              <a16:creationId xmlns:a16="http://schemas.microsoft.com/office/drawing/2014/main" xmlns="" id="{00000000-0008-0000-0D00-00001C110000}"/>
            </a:ext>
          </a:extLst>
        </xdr:cNvPr>
        <xdr:cNvSpPr>
          <a:spLocks noChangeAspect="1" noChangeArrowheads="1"/>
        </xdr:cNvSpPr>
      </xdr:nvSpPr>
      <xdr:spPr bwMode="auto">
        <a:xfrm>
          <a:off x="0" y="4671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1" name="AutoShape 1309" descr="St Louis Blues">
          <a:extLst>
            <a:ext uri="{FF2B5EF4-FFF2-40B4-BE49-F238E27FC236}">
              <a16:creationId xmlns:a16="http://schemas.microsoft.com/office/drawing/2014/main" xmlns="" id="{00000000-0008-0000-0D00-00001D110000}"/>
            </a:ext>
          </a:extLst>
        </xdr:cNvPr>
        <xdr:cNvSpPr>
          <a:spLocks noChangeAspect="1" noChangeArrowheads="1"/>
        </xdr:cNvSpPr>
      </xdr:nvSpPr>
      <xdr:spPr bwMode="auto">
        <a:xfrm>
          <a:off x="0" y="4672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2" name="AutoShape 1310" descr="San Jose Sharks">
          <a:extLst>
            <a:ext uri="{FF2B5EF4-FFF2-40B4-BE49-F238E27FC236}">
              <a16:creationId xmlns:a16="http://schemas.microsoft.com/office/drawing/2014/main" xmlns="" id="{00000000-0008-0000-0D00-00001E110000}"/>
            </a:ext>
          </a:extLst>
        </xdr:cNvPr>
        <xdr:cNvSpPr>
          <a:spLocks noChangeAspect="1" noChangeArrowheads="1"/>
        </xdr:cNvSpPr>
      </xdr:nvSpPr>
      <xdr:spPr bwMode="auto">
        <a:xfrm>
          <a:off x="0" y="4676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3" name="AutoShape 1311" descr="Calgary Flames">
          <a:extLst>
            <a:ext uri="{FF2B5EF4-FFF2-40B4-BE49-F238E27FC236}">
              <a16:creationId xmlns:a16="http://schemas.microsoft.com/office/drawing/2014/main" xmlns="" id="{00000000-0008-0000-0D00-00001F110000}"/>
            </a:ext>
          </a:extLst>
        </xdr:cNvPr>
        <xdr:cNvSpPr>
          <a:spLocks noChangeAspect="1" noChangeArrowheads="1"/>
        </xdr:cNvSpPr>
      </xdr:nvSpPr>
      <xdr:spPr bwMode="auto">
        <a:xfrm>
          <a:off x="0" y="4680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4" name="AutoShape 1312" descr="Calgary Flames">
          <a:extLst>
            <a:ext uri="{FF2B5EF4-FFF2-40B4-BE49-F238E27FC236}">
              <a16:creationId xmlns:a16="http://schemas.microsoft.com/office/drawing/2014/main" xmlns="" id="{00000000-0008-0000-0D00-000020110000}"/>
            </a:ext>
          </a:extLst>
        </xdr:cNvPr>
        <xdr:cNvSpPr>
          <a:spLocks noChangeAspect="1" noChangeArrowheads="1"/>
        </xdr:cNvSpPr>
      </xdr:nvSpPr>
      <xdr:spPr bwMode="auto">
        <a:xfrm>
          <a:off x="0" y="46821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5" name="AutoShape 1313" descr="San Jose Sharks">
          <a:extLst>
            <a:ext uri="{FF2B5EF4-FFF2-40B4-BE49-F238E27FC236}">
              <a16:creationId xmlns:a16="http://schemas.microsoft.com/office/drawing/2014/main" xmlns="" id="{00000000-0008-0000-0D00-000021110000}"/>
            </a:ext>
          </a:extLst>
        </xdr:cNvPr>
        <xdr:cNvSpPr>
          <a:spLocks noChangeAspect="1" noChangeArrowheads="1"/>
        </xdr:cNvSpPr>
      </xdr:nvSpPr>
      <xdr:spPr bwMode="auto">
        <a:xfrm>
          <a:off x="0" y="4683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6" name="AutoShape 1314" descr="Los Angeles Kings">
          <a:extLst>
            <a:ext uri="{FF2B5EF4-FFF2-40B4-BE49-F238E27FC236}">
              <a16:creationId xmlns:a16="http://schemas.microsoft.com/office/drawing/2014/main" xmlns="" id="{00000000-0008-0000-0D00-000022110000}"/>
            </a:ext>
          </a:extLst>
        </xdr:cNvPr>
        <xdr:cNvSpPr>
          <a:spLocks noChangeAspect="1" noChangeArrowheads="1"/>
        </xdr:cNvSpPr>
      </xdr:nvSpPr>
      <xdr:spPr bwMode="auto">
        <a:xfrm>
          <a:off x="0" y="4687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7" name="AutoShape 1315" descr="Ottawa Senators">
          <a:extLst>
            <a:ext uri="{FF2B5EF4-FFF2-40B4-BE49-F238E27FC236}">
              <a16:creationId xmlns:a16="http://schemas.microsoft.com/office/drawing/2014/main" xmlns="" id="{00000000-0008-0000-0D00-000023110000}"/>
            </a:ext>
          </a:extLst>
        </xdr:cNvPr>
        <xdr:cNvSpPr>
          <a:spLocks noChangeAspect="1" noChangeArrowheads="1"/>
        </xdr:cNvSpPr>
      </xdr:nvSpPr>
      <xdr:spPr bwMode="auto">
        <a:xfrm>
          <a:off x="0" y="4691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8" name="AutoShape 1316" descr="Boston Bruins">
          <a:extLst>
            <a:ext uri="{FF2B5EF4-FFF2-40B4-BE49-F238E27FC236}">
              <a16:creationId xmlns:a16="http://schemas.microsoft.com/office/drawing/2014/main" xmlns="" id="{00000000-0008-0000-0D00-000024110000}"/>
            </a:ext>
          </a:extLst>
        </xdr:cNvPr>
        <xdr:cNvSpPr>
          <a:spLocks noChangeAspect="1" noChangeArrowheads="1"/>
        </xdr:cNvSpPr>
      </xdr:nvSpPr>
      <xdr:spPr bwMode="auto">
        <a:xfrm>
          <a:off x="0" y="4694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9" name="AutoShape 1317" descr="Dallas Stars">
          <a:extLst>
            <a:ext uri="{FF2B5EF4-FFF2-40B4-BE49-F238E27FC236}">
              <a16:creationId xmlns:a16="http://schemas.microsoft.com/office/drawing/2014/main" xmlns="" id="{00000000-0008-0000-0D00-000025110000}"/>
            </a:ext>
          </a:extLst>
        </xdr:cNvPr>
        <xdr:cNvSpPr>
          <a:spLocks noChangeAspect="1" noChangeArrowheads="1"/>
        </xdr:cNvSpPr>
      </xdr:nvSpPr>
      <xdr:spPr bwMode="auto">
        <a:xfrm>
          <a:off x="0" y="4698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0" name="AutoShape 1318" descr="Buffalo Sabres">
          <a:extLst>
            <a:ext uri="{FF2B5EF4-FFF2-40B4-BE49-F238E27FC236}">
              <a16:creationId xmlns:a16="http://schemas.microsoft.com/office/drawing/2014/main" xmlns="" id="{00000000-0008-0000-0D00-000026110000}"/>
            </a:ext>
          </a:extLst>
        </xdr:cNvPr>
        <xdr:cNvSpPr>
          <a:spLocks noChangeAspect="1" noChangeArrowheads="1"/>
        </xdr:cNvSpPr>
      </xdr:nvSpPr>
      <xdr:spPr bwMode="auto">
        <a:xfrm>
          <a:off x="0" y="470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1" name="AutoShape 1319" descr="San Jose Sharks">
          <a:extLst>
            <a:ext uri="{FF2B5EF4-FFF2-40B4-BE49-F238E27FC236}">
              <a16:creationId xmlns:a16="http://schemas.microsoft.com/office/drawing/2014/main" xmlns="" id="{00000000-0008-0000-0D00-000027110000}"/>
            </a:ext>
          </a:extLst>
        </xdr:cNvPr>
        <xdr:cNvSpPr>
          <a:spLocks noChangeAspect="1" noChangeArrowheads="1"/>
        </xdr:cNvSpPr>
      </xdr:nvSpPr>
      <xdr:spPr bwMode="auto">
        <a:xfrm>
          <a:off x="0" y="47040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2" name="AutoShape 1320" descr="Arizona Coyotes">
          <a:extLst>
            <a:ext uri="{FF2B5EF4-FFF2-40B4-BE49-F238E27FC236}">
              <a16:creationId xmlns:a16="http://schemas.microsoft.com/office/drawing/2014/main" xmlns="" id="{00000000-0008-0000-0D00-000028110000}"/>
            </a:ext>
          </a:extLst>
        </xdr:cNvPr>
        <xdr:cNvSpPr>
          <a:spLocks noChangeAspect="1" noChangeArrowheads="1"/>
        </xdr:cNvSpPr>
      </xdr:nvSpPr>
      <xdr:spPr bwMode="auto">
        <a:xfrm>
          <a:off x="0" y="47077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3" name="AutoShape 1321" descr="Florida Panthers">
          <a:extLst>
            <a:ext uri="{FF2B5EF4-FFF2-40B4-BE49-F238E27FC236}">
              <a16:creationId xmlns:a16="http://schemas.microsoft.com/office/drawing/2014/main" xmlns="" id="{00000000-0008-0000-0D00-000029110000}"/>
            </a:ext>
          </a:extLst>
        </xdr:cNvPr>
        <xdr:cNvSpPr>
          <a:spLocks noChangeAspect="1" noChangeArrowheads="1"/>
        </xdr:cNvSpPr>
      </xdr:nvSpPr>
      <xdr:spPr bwMode="auto">
        <a:xfrm>
          <a:off x="0" y="4709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4" name="AutoShape 1322" descr="Florida Panthers">
          <a:extLst>
            <a:ext uri="{FF2B5EF4-FFF2-40B4-BE49-F238E27FC236}">
              <a16:creationId xmlns:a16="http://schemas.microsoft.com/office/drawing/2014/main" xmlns="" id="{00000000-0008-0000-0D00-00002A110000}"/>
            </a:ext>
          </a:extLst>
        </xdr:cNvPr>
        <xdr:cNvSpPr>
          <a:spLocks noChangeAspect="1" noChangeArrowheads="1"/>
        </xdr:cNvSpPr>
      </xdr:nvSpPr>
      <xdr:spPr bwMode="auto">
        <a:xfrm>
          <a:off x="0" y="4713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5" name="AutoShape 1323" descr="Boston Bruins">
          <a:extLst>
            <a:ext uri="{FF2B5EF4-FFF2-40B4-BE49-F238E27FC236}">
              <a16:creationId xmlns:a16="http://schemas.microsoft.com/office/drawing/2014/main" xmlns="" id="{00000000-0008-0000-0D00-00002B110000}"/>
            </a:ext>
          </a:extLst>
        </xdr:cNvPr>
        <xdr:cNvSpPr>
          <a:spLocks noChangeAspect="1" noChangeArrowheads="1"/>
        </xdr:cNvSpPr>
      </xdr:nvSpPr>
      <xdr:spPr bwMode="auto">
        <a:xfrm>
          <a:off x="0" y="4716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96" name="AutoShape 1324" descr="Chicago Blackhawks">
          <a:extLst>
            <a:ext uri="{FF2B5EF4-FFF2-40B4-BE49-F238E27FC236}">
              <a16:creationId xmlns:a16="http://schemas.microsoft.com/office/drawing/2014/main" xmlns="" id="{00000000-0008-0000-0D00-00002C110000}"/>
            </a:ext>
          </a:extLst>
        </xdr:cNvPr>
        <xdr:cNvSpPr>
          <a:spLocks noChangeAspect="1" noChangeArrowheads="1"/>
        </xdr:cNvSpPr>
      </xdr:nvSpPr>
      <xdr:spPr bwMode="auto">
        <a:xfrm>
          <a:off x="0" y="4720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7" name="AutoShape 1325" descr="New York Rangers">
          <a:extLst>
            <a:ext uri="{FF2B5EF4-FFF2-40B4-BE49-F238E27FC236}">
              <a16:creationId xmlns:a16="http://schemas.microsoft.com/office/drawing/2014/main" xmlns="" id="{00000000-0008-0000-0D00-00002D110000}"/>
            </a:ext>
          </a:extLst>
        </xdr:cNvPr>
        <xdr:cNvSpPr>
          <a:spLocks noChangeAspect="1" noChangeArrowheads="1"/>
        </xdr:cNvSpPr>
      </xdr:nvSpPr>
      <xdr:spPr bwMode="auto">
        <a:xfrm>
          <a:off x="0" y="4722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8" name="AutoShape 1326" descr="New York Islanders">
          <a:extLst>
            <a:ext uri="{FF2B5EF4-FFF2-40B4-BE49-F238E27FC236}">
              <a16:creationId xmlns:a16="http://schemas.microsoft.com/office/drawing/2014/main" xmlns="" id="{00000000-0008-0000-0D00-00002E110000}"/>
            </a:ext>
          </a:extLst>
        </xdr:cNvPr>
        <xdr:cNvSpPr>
          <a:spLocks noChangeAspect="1" noChangeArrowheads="1"/>
        </xdr:cNvSpPr>
      </xdr:nvSpPr>
      <xdr:spPr bwMode="auto">
        <a:xfrm>
          <a:off x="0" y="4724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9" name="AutoShape 1327" descr="Columbus Blue Jackets">
          <a:extLst>
            <a:ext uri="{FF2B5EF4-FFF2-40B4-BE49-F238E27FC236}">
              <a16:creationId xmlns:a16="http://schemas.microsoft.com/office/drawing/2014/main" xmlns="" id="{00000000-0008-0000-0D00-00002F110000}"/>
            </a:ext>
          </a:extLst>
        </xdr:cNvPr>
        <xdr:cNvSpPr>
          <a:spLocks noChangeAspect="1" noChangeArrowheads="1"/>
        </xdr:cNvSpPr>
      </xdr:nvSpPr>
      <xdr:spPr bwMode="auto">
        <a:xfrm>
          <a:off x="0" y="47296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0" name="AutoShape 1328" descr="Detroit Red Wings">
          <a:extLst>
            <a:ext uri="{FF2B5EF4-FFF2-40B4-BE49-F238E27FC236}">
              <a16:creationId xmlns:a16="http://schemas.microsoft.com/office/drawing/2014/main" xmlns="" id="{00000000-0008-0000-0D00-000030110000}"/>
            </a:ext>
          </a:extLst>
        </xdr:cNvPr>
        <xdr:cNvSpPr>
          <a:spLocks noChangeAspect="1" noChangeArrowheads="1"/>
        </xdr:cNvSpPr>
      </xdr:nvSpPr>
      <xdr:spPr bwMode="auto">
        <a:xfrm>
          <a:off x="0" y="4733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1" name="AutoShape 1329" descr="Chicago Blackhawks">
          <a:extLst>
            <a:ext uri="{FF2B5EF4-FFF2-40B4-BE49-F238E27FC236}">
              <a16:creationId xmlns:a16="http://schemas.microsoft.com/office/drawing/2014/main" xmlns="" id="{00000000-0008-0000-0D00-000031110000}"/>
            </a:ext>
          </a:extLst>
        </xdr:cNvPr>
        <xdr:cNvSpPr>
          <a:spLocks noChangeAspect="1" noChangeArrowheads="1"/>
        </xdr:cNvSpPr>
      </xdr:nvSpPr>
      <xdr:spPr bwMode="auto">
        <a:xfrm>
          <a:off x="0" y="4735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2" name="AutoShape 1330" descr="Nashville Predators">
          <a:extLst>
            <a:ext uri="{FF2B5EF4-FFF2-40B4-BE49-F238E27FC236}">
              <a16:creationId xmlns:a16="http://schemas.microsoft.com/office/drawing/2014/main" xmlns="" id="{00000000-0008-0000-0D00-000032110000}"/>
            </a:ext>
          </a:extLst>
        </xdr:cNvPr>
        <xdr:cNvSpPr>
          <a:spLocks noChangeAspect="1" noChangeArrowheads="1"/>
        </xdr:cNvSpPr>
      </xdr:nvSpPr>
      <xdr:spPr bwMode="auto">
        <a:xfrm>
          <a:off x="0" y="4738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3" name="AutoShape 1331" descr="Tampa Bay Lightning">
          <a:extLst>
            <a:ext uri="{FF2B5EF4-FFF2-40B4-BE49-F238E27FC236}">
              <a16:creationId xmlns:a16="http://schemas.microsoft.com/office/drawing/2014/main" xmlns="" id="{00000000-0008-0000-0D00-000033110000}"/>
            </a:ext>
          </a:extLst>
        </xdr:cNvPr>
        <xdr:cNvSpPr>
          <a:spLocks noChangeAspect="1" noChangeArrowheads="1"/>
        </xdr:cNvSpPr>
      </xdr:nvSpPr>
      <xdr:spPr bwMode="auto">
        <a:xfrm>
          <a:off x="0" y="4742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4" name="AutoShape 1332" descr="Chicago Blackhawks">
          <a:extLst>
            <a:ext uri="{FF2B5EF4-FFF2-40B4-BE49-F238E27FC236}">
              <a16:creationId xmlns:a16="http://schemas.microsoft.com/office/drawing/2014/main" xmlns="" id="{00000000-0008-0000-0D00-000034110000}"/>
            </a:ext>
          </a:extLst>
        </xdr:cNvPr>
        <xdr:cNvSpPr>
          <a:spLocks noChangeAspect="1" noChangeArrowheads="1"/>
        </xdr:cNvSpPr>
      </xdr:nvSpPr>
      <xdr:spPr bwMode="auto">
        <a:xfrm>
          <a:off x="0" y="4746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5" name="AutoShape 1333" descr="Edmonton Oilers">
          <a:extLst>
            <a:ext uri="{FF2B5EF4-FFF2-40B4-BE49-F238E27FC236}">
              <a16:creationId xmlns:a16="http://schemas.microsoft.com/office/drawing/2014/main" xmlns="" id="{00000000-0008-0000-0D00-000035110000}"/>
            </a:ext>
          </a:extLst>
        </xdr:cNvPr>
        <xdr:cNvSpPr>
          <a:spLocks noChangeAspect="1" noChangeArrowheads="1"/>
        </xdr:cNvSpPr>
      </xdr:nvSpPr>
      <xdr:spPr bwMode="auto">
        <a:xfrm>
          <a:off x="0" y="4749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6" name="AutoShape 1334" descr="Anaheim Ducks">
          <a:extLst>
            <a:ext uri="{FF2B5EF4-FFF2-40B4-BE49-F238E27FC236}">
              <a16:creationId xmlns:a16="http://schemas.microsoft.com/office/drawing/2014/main" xmlns="" id="{00000000-0008-0000-0D00-000036110000}"/>
            </a:ext>
          </a:extLst>
        </xdr:cNvPr>
        <xdr:cNvSpPr>
          <a:spLocks noChangeAspect="1" noChangeArrowheads="1"/>
        </xdr:cNvSpPr>
      </xdr:nvSpPr>
      <xdr:spPr bwMode="auto">
        <a:xfrm>
          <a:off x="0" y="4751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7" name="AutoShape 1335" descr="San Jose Sharks">
          <a:extLst>
            <a:ext uri="{FF2B5EF4-FFF2-40B4-BE49-F238E27FC236}">
              <a16:creationId xmlns:a16="http://schemas.microsoft.com/office/drawing/2014/main" xmlns="" id="{00000000-0008-0000-0D00-000037110000}"/>
            </a:ext>
          </a:extLst>
        </xdr:cNvPr>
        <xdr:cNvSpPr>
          <a:spLocks noChangeAspect="1" noChangeArrowheads="1"/>
        </xdr:cNvSpPr>
      </xdr:nvSpPr>
      <xdr:spPr bwMode="auto">
        <a:xfrm>
          <a:off x="0" y="4755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8" name="AutoShape 1336" descr="Tampa Bay Lightning">
          <a:extLst>
            <a:ext uri="{FF2B5EF4-FFF2-40B4-BE49-F238E27FC236}">
              <a16:creationId xmlns:a16="http://schemas.microsoft.com/office/drawing/2014/main" xmlns="" id="{00000000-0008-0000-0D00-000038110000}"/>
            </a:ext>
          </a:extLst>
        </xdr:cNvPr>
        <xdr:cNvSpPr>
          <a:spLocks noChangeAspect="1" noChangeArrowheads="1"/>
        </xdr:cNvSpPr>
      </xdr:nvSpPr>
      <xdr:spPr bwMode="auto">
        <a:xfrm>
          <a:off x="0" y="4758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9" name="AutoShape 1337" descr="Columbus Blue Jackets">
          <a:extLst>
            <a:ext uri="{FF2B5EF4-FFF2-40B4-BE49-F238E27FC236}">
              <a16:creationId xmlns:a16="http://schemas.microsoft.com/office/drawing/2014/main" xmlns="" id="{00000000-0008-0000-0D00-000039110000}"/>
            </a:ext>
          </a:extLst>
        </xdr:cNvPr>
        <xdr:cNvSpPr>
          <a:spLocks noChangeAspect="1" noChangeArrowheads="1"/>
        </xdr:cNvSpPr>
      </xdr:nvSpPr>
      <xdr:spPr bwMode="auto">
        <a:xfrm>
          <a:off x="0" y="4762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0" name="AutoShape 1338" descr="Dallas Stars">
          <a:extLst>
            <a:ext uri="{FF2B5EF4-FFF2-40B4-BE49-F238E27FC236}">
              <a16:creationId xmlns:a16="http://schemas.microsoft.com/office/drawing/2014/main" xmlns="" id="{00000000-0008-0000-0D00-00003A110000}"/>
            </a:ext>
          </a:extLst>
        </xdr:cNvPr>
        <xdr:cNvSpPr>
          <a:spLocks noChangeAspect="1" noChangeArrowheads="1"/>
        </xdr:cNvSpPr>
      </xdr:nvSpPr>
      <xdr:spPr bwMode="auto">
        <a:xfrm>
          <a:off x="0" y="4766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1" name="AutoShape 1339" descr="Arizona Coyotes">
          <a:extLst>
            <a:ext uri="{FF2B5EF4-FFF2-40B4-BE49-F238E27FC236}">
              <a16:creationId xmlns:a16="http://schemas.microsoft.com/office/drawing/2014/main" xmlns="" id="{00000000-0008-0000-0D00-00003B110000}"/>
            </a:ext>
          </a:extLst>
        </xdr:cNvPr>
        <xdr:cNvSpPr>
          <a:spLocks noChangeAspect="1" noChangeArrowheads="1"/>
        </xdr:cNvSpPr>
      </xdr:nvSpPr>
      <xdr:spPr bwMode="auto">
        <a:xfrm>
          <a:off x="0" y="47680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2" name="AutoShape 1340" descr="Chicago Blackhawks">
          <a:extLst>
            <a:ext uri="{FF2B5EF4-FFF2-40B4-BE49-F238E27FC236}">
              <a16:creationId xmlns:a16="http://schemas.microsoft.com/office/drawing/2014/main" xmlns="" id="{00000000-0008-0000-0D00-00003C110000}"/>
            </a:ext>
          </a:extLst>
        </xdr:cNvPr>
        <xdr:cNvSpPr>
          <a:spLocks noChangeAspect="1" noChangeArrowheads="1"/>
        </xdr:cNvSpPr>
      </xdr:nvSpPr>
      <xdr:spPr bwMode="auto">
        <a:xfrm>
          <a:off x="0" y="4769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3" name="AutoShape 1341" descr="Nashville Predators">
          <a:extLst>
            <a:ext uri="{FF2B5EF4-FFF2-40B4-BE49-F238E27FC236}">
              <a16:creationId xmlns:a16="http://schemas.microsoft.com/office/drawing/2014/main" xmlns="" id="{00000000-0008-0000-0D00-00003D110000}"/>
            </a:ext>
          </a:extLst>
        </xdr:cNvPr>
        <xdr:cNvSpPr>
          <a:spLocks noChangeAspect="1" noChangeArrowheads="1"/>
        </xdr:cNvSpPr>
      </xdr:nvSpPr>
      <xdr:spPr bwMode="auto">
        <a:xfrm>
          <a:off x="0" y="4773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4" name="AutoShape 1342" descr="Philadelphia Flyers">
          <a:extLst>
            <a:ext uri="{FF2B5EF4-FFF2-40B4-BE49-F238E27FC236}">
              <a16:creationId xmlns:a16="http://schemas.microsoft.com/office/drawing/2014/main" xmlns="" id="{00000000-0008-0000-0D00-00003E110000}"/>
            </a:ext>
          </a:extLst>
        </xdr:cNvPr>
        <xdr:cNvSpPr>
          <a:spLocks noChangeAspect="1" noChangeArrowheads="1"/>
        </xdr:cNvSpPr>
      </xdr:nvSpPr>
      <xdr:spPr bwMode="auto">
        <a:xfrm>
          <a:off x="0" y="4777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5" name="AutoShape 1343" descr="Chicago Blackhawks">
          <a:extLst>
            <a:ext uri="{FF2B5EF4-FFF2-40B4-BE49-F238E27FC236}">
              <a16:creationId xmlns:a16="http://schemas.microsoft.com/office/drawing/2014/main" xmlns="" id="{00000000-0008-0000-0D00-00003F110000}"/>
            </a:ext>
          </a:extLst>
        </xdr:cNvPr>
        <xdr:cNvSpPr>
          <a:spLocks noChangeAspect="1" noChangeArrowheads="1"/>
        </xdr:cNvSpPr>
      </xdr:nvSpPr>
      <xdr:spPr bwMode="auto">
        <a:xfrm>
          <a:off x="0" y="4780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6" name="AutoShape 1344" descr="Tampa Bay Lightning">
          <a:extLst>
            <a:ext uri="{FF2B5EF4-FFF2-40B4-BE49-F238E27FC236}">
              <a16:creationId xmlns:a16="http://schemas.microsoft.com/office/drawing/2014/main" xmlns="" id="{00000000-0008-0000-0D00-000040110000}"/>
            </a:ext>
          </a:extLst>
        </xdr:cNvPr>
        <xdr:cNvSpPr>
          <a:spLocks noChangeAspect="1" noChangeArrowheads="1"/>
        </xdr:cNvSpPr>
      </xdr:nvSpPr>
      <xdr:spPr bwMode="auto">
        <a:xfrm>
          <a:off x="0" y="4784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7" name="AutoShape 1345" descr="Detroit Red Wings">
          <a:extLst>
            <a:ext uri="{FF2B5EF4-FFF2-40B4-BE49-F238E27FC236}">
              <a16:creationId xmlns:a16="http://schemas.microsoft.com/office/drawing/2014/main" xmlns="" id="{00000000-0008-0000-0D00-000041110000}"/>
            </a:ext>
          </a:extLst>
        </xdr:cNvPr>
        <xdr:cNvSpPr>
          <a:spLocks noChangeAspect="1" noChangeArrowheads="1"/>
        </xdr:cNvSpPr>
      </xdr:nvSpPr>
      <xdr:spPr bwMode="auto">
        <a:xfrm>
          <a:off x="0" y="4788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8" name="AutoShape 1346" descr="Buffalo Sabres">
          <a:extLst>
            <a:ext uri="{FF2B5EF4-FFF2-40B4-BE49-F238E27FC236}">
              <a16:creationId xmlns:a16="http://schemas.microsoft.com/office/drawing/2014/main" xmlns="" id="{00000000-0008-0000-0D00-000042110000}"/>
            </a:ext>
          </a:extLst>
        </xdr:cNvPr>
        <xdr:cNvSpPr>
          <a:spLocks noChangeAspect="1" noChangeArrowheads="1"/>
        </xdr:cNvSpPr>
      </xdr:nvSpPr>
      <xdr:spPr bwMode="auto">
        <a:xfrm>
          <a:off x="0" y="479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9" name="AutoShape 1347" descr="Vancouver Canucks">
          <a:extLst>
            <a:ext uri="{FF2B5EF4-FFF2-40B4-BE49-F238E27FC236}">
              <a16:creationId xmlns:a16="http://schemas.microsoft.com/office/drawing/2014/main" xmlns="" id="{00000000-0008-0000-0D00-000043110000}"/>
            </a:ext>
          </a:extLst>
        </xdr:cNvPr>
        <xdr:cNvSpPr>
          <a:spLocks noChangeAspect="1" noChangeArrowheads="1"/>
        </xdr:cNvSpPr>
      </xdr:nvSpPr>
      <xdr:spPr bwMode="auto">
        <a:xfrm>
          <a:off x="0" y="47954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0" name="AutoShape 1348" descr="New Jersey Devils">
          <a:extLst>
            <a:ext uri="{FF2B5EF4-FFF2-40B4-BE49-F238E27FC236}">
              <a16:creationId xmlns:a16="http://schemas.microsoft.com/office/drawing/2014/main" xmlns="" id="{00000000-0008-0000-0D00-000044110000}"/>
            </a:ext>
          </a:extLst>
        </xdr:cNvPr>
        <xdr:cNvSpPr>
          <a:spLocks noChangeAspect="1" noChangeArrowheads="1"/>
        </xdr:cNvSpPr>
      </xdr:nvSpPr>
      <xdr:spPr bwMode="auto">
        <a:xfrm>
          <a:off x="0" y="47991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1" name="AutoShape 1349" descr="Florida Panthers">
          <a:extLst>
            <a:ext uri="{FF2B5EF4-FFF2-40B4-BE49-F238E27FC236}">
              <a16:creationId xmlns:a16="http://schemas.microsoft.com/office/drawing/2014/main" xmlns="" id="{00000000-0008-0000-0D00-000045110000}"/>
            </a:ext>
          </a:extLst>
        </xdr:cNvPr>
        <xdr:cNvSpPr>
          <a:spLocks noChangeAspect="1" noChangeArrowheads="1"/>
        </xdr:cNvSpPr>
      </xdr:nvSpPr>
      <xdr:spPr bwMode="auto">
        <a:xfrm>
          <a:off x="0" y="48028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2" name="AutoShape 1350" descr="Ottawa Senators">
          <a:extLst>
            <a:ext uri="{FF2B5EF4-FFF2-40B4-BE49-F238E27FC236}">
              <a16:creationId xmlns:a16="http://schemas.microsoft.com/office/drawing/2014/main" xmlns="" id="{00000000-0008-0000-0D00-000046110000}"/>
            </a:ext>
          </a:extLst>
        </xdr:cNvPr>
        <xdr:cNvSpPr>
          <a:spLocks noChangeAspect="1" noChangeArrowheads="1"/>
        </xdr:cNvSpPr>
      </xdr:nvSpPr>
      <xdr:spPr bwMode="auto">
        <a:xfrm>
          <a:off x="0" y="48064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3" name="AutoShape 1351" descr="Los Angeles Kings">
          <a:extLst>
            <a:ext uri="{FF2B5EF4-FFF2-40B4-BE49-F238E27FC236}">
              <a16:creationId xmlns:a16="http://schemas.microsoft.com/office/drawing/2014/main" xmlns="" id="{00000000-0008-0000-0D00-000047110000}"/>
            </a:ext>
          </a:extLst>
        </xdr:cNvPr>
        <xdr:cNvSpPr>
          <a:spLocks noChangeAspect="1" noChangeArrowheads="1"/>
        </xdr:cNvSpPr>
      </xdr:nvSpPr>
      <xdr:spPr bwMode="auto">
        <a:xfrm>
          <a:off x="0" y="4810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4" name="AutoShape 1352" descr="Pittsburgh Penguins">
          <a:extLst>
            <a:ext uri="{FF2B5EF4-FFF2-40B4-BE49-F238E27FC236}">
              <a16:creationId xmlns:a16="http://schemas.microsoft.com/office/drawing/2014/main" xmlns="" id="{00000000-0008-0000-0D00-000048110000}"/>
            </a:ext>
          </a:extLst>
        </xdr:cNvPr>
        <xdr:cNvSpPr>
          <a:spLocks noChangeAspect="1" noChangeArrowheads="1"/>
        </xdr:cNvSpPr>
      </xdr:nvSpPr>
      <xdr:spPr bwMode="auto">
        <a:xfrm>
          <a:off x="0" y="4811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5" name="AutoShape 1353" descr="Arizona Coyotes">
          <a:extLst>
            <a:ext uri="{FF2B5EF4-FFF2-40B4-BE49-F238E27FC236}">
              <a16:creationId xmlns:a16="http://schemas.microsoft.com/office/drawing/2014/main" xmlns="" id="{00000000-0008-0000-0D00-000049110000}"/>
            </a:ext>
          </a:extLst>
        </xdr:cNvPr>
        <xdr:cNvSpPr>
          <a:spLocks noChangeAspect="1" noChangeArrowheads="1"/>
        </xdr:cNvSpPr>
      </xdr:nvSpPr>
      <xdr:spPr bwMode="auto">
        <a:xfrm>
          <a:off x="0" y="4815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6" name="AutoShape 1354" descr="Edmonton Oilers">
          <a:extLst>
            <a:ext uri="{FF2B5EF4-FFF2-40B4-BE49-F238E27FC236}">
              <a16:creationId xmlns:a16="http://schemas.microsoft.com/office/drawing/2014/main" xmlns="" id="{00000000-0008-0000-0D00-00004A110000}"/>
            </a:ext>
          </a:extLst>
        </xdr:cNvPr>
        <xdr:cNvSpPr>
          <a:spLocks noChangeAspect="1" noChangeArrowheads="1"/>
        </xdr:cNvSpPr>
      </xdr:nvSpPr>
      <xdr:spPr bwMode="auto">
        <a:xfrm>
          <a:off x="0" y="48174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7" name="AutoShape 1355" descr="Chicago Blackhawks">
          <a:extLst>
            <a:ext uri="{FF2B5EF4-FFF2-40B4-BE49-F238E27FC236}">
              <a16:creationId xmlns:a16="http://schemas.microsoft.com/office/drawing/2014/main" xmlns="" id="{00000000-0008-0000-0D00-00004B110000}"/>
            </a:ext>
          </a:extLst>
        </xdr:cNvPr>
        <xdr:cNvSpPr>
          <a:spLocks noChangeAspect="1" noChangeArrowheads="1"/>
        </xdr:cNvSpPr>
      </xdr:nvSpPr>
      <xdr:spPr bwMode="auto">
        <a:xfrm>
          <a:off x="0" y="48210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8" name="AutoShape 1356" descr="Minnesota Wild">
          <a:extLst>
            <a:ext uri="{FF2B5EF4-FFF2-40B4-BE49-F238E27FC236}">
              <a16:creationId xmlns:a16="http://schemas.microsoft.com/office/drawing/2014/main" xmlns="" id="{00000000-0008-0000-0D00-00004C110000}"/>
            </a:ext>
          </a:extLst>
        </xdr:cNvPr>
        <xdr:cNvSpPr>
          <a:spLocks noChangeAspect="1" noChangeArrowheads="1"/>
        </xdr:cNvSpPr>
      </xdr:nvSpPr>
      <xdr:spPr bwMode="auto">
        <a:xfrm>
          <a:off x="0" y="48247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9" name="AutoShape 1357" descr="Tampa Bay Lightning">
          <a:extLst>
            <a:ext uri="{FF2B5EF4-FFF2-40B4-BE49-F238E27FC236}">
              <a16:creationId xmlns:a16="http://schemas.microsoft.com/office/drawing/2014/main" xmlns="" id="{00000000-0008-0000-0D00-00004D110000}"/>
            </a:ext>
          </a:extLst>
        </xdr:cNvPr>
        <xdr:cNvSpPr>
          <a:spLocks noChangeAspect="1" noChangeArrowheads="1"/>
        </xdr:cNvSpPr>
      </xdr:nvSpPr>
      <xdr:spPr bwMode="auto">
        <a:xfrm>
          <a:off x="0" y="4828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0" name="AutoShape 1358" descr="Toronto Maple Leafs">
          <a:extLst>
            <a:ext uri="{FF2B5EF4-FFF2-40B4-BE49-F238E27FC236}">
              <a16:creationId xmlns:a16="http://schemas.microsoft.com/office/drawing/2014/main" xmlns="" id="{00000000-0008-0000-0D00-00004E110000}"/>
            </a:ext>
          </a:extLst>
        </xdr:cNvPr>
        <xdr:cNvSpPr>
          <a:spLocks noChangeAspect="1" noChangeArrowheads="1"/>
        </xdr:cNvSpPr>
      </xdr:nvSpPr>
      <xdr:spPr bwMode="auto">
        <a:xfrm>
          <a:off x="0" y="48320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1" name="AutoShape 1359" descr="Winnipeg Jets">
          <a:extLst>
            <a:ext uri="{FF2B5EF4-FFF2-40B4-BE49-F238E27FC236}">
              <a16:creationId xmlns:a16="http://schemas.microsoft.com/office/drawing/2014/main" xmlns="" id="{00000000-0008-0000-0D00-00004F110000}"/>
            </a:ext>
          </a:extLst>
        </xdr:cNvPr>
        <xdr:cNvSpPr>
          <a:spLocks noChangeAspect="1" noChangeArrowheads="1"/>
        </xdr:cNvSpPr>
      </xdr:nvSpPr>
      <xdr:spPr bwMode="auto">
        <a:xfrm>
          <a:off x="0" y="4835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32" name="AutoShape 1360" descr="Los Angeles Kings">
          <a:extLst>
            <a:ext uri="{FF2B5EF4-FFF2-40B4-BE49-F238E27FC236}">
              <a16:creationId xmlns:a16="http://schemas.microsoft.com/office/drawing/2014/main" xmlns="" id="{00000000-0008-0000-0D00-000050110000}"/>
            </a:ext>
          </a:extLst>
        </xdr:cNvPr>
        <xdr:cNvSpPr>
          <a:spLocks noChangeAspect="1" noChangeArrowheads="1"/>
        </xdr:cNvSpPr>
      </xdr:nvSpPr>
      <xdr:spPr bwMode="auto">
        <a:xfrm>
          <a:off x="0" y="4839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3" name="AutoShape 1361" descr="Anaheim Ducks">
          <a:extLst>
            <a:ext uri="{FF2B5EF4-FFF2-40B4-BE49-F238E27FC236}">
              <a16:creationId xmlns:a16="http://schemas.microsoft.com/office/drawing/2014/main" xmlns="" id="{00000000-0008-0000-0D00-000051110000}"/>
            </a:ext>
          </a:extLst>
        </xdr:cNvPr>
        <xdr:cNvSpPr>
          <a:spLocks noChangeAspect="1" noChangeArrowheads="1"/>
        </xdr:cNvSpPr>
      </xdr:nvSpPr>
      <xdr:spPr bwMode="auto">
        <a:xfrm>
          <a:off x="0" y="48412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4" name="AutoShape 1362" descr="New York Islanders">
          <a:extLst>
            <a:ext uri="{FF2B5EF4-FFF2-40B4-BE49-F238E27FC236}">
              <a16:creationId xmlns:a16="http://schemas.microsoft.com/office/drawing/2014/main" xmlns="" id="{00000000-0008-0000-0D00-000052110000}"/>
            </a:ext>
          </a:extLst>
        </xdr:cNvPr>
        <xdr:cNvSpPr>
          <a:spLocks noChangeAspect="1" noChangeArrowheads="1"/>
        </xdr:cNvSpPr>
      </xdr:nvSpPr>
      <xdr:spPr bwMode="auto">
        <a:xfrm>
          <a:off x="0" y="48448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5" name="AutoShape 1363" descr="Pittsburgh Penguins">
          <a:extLst>
            <a:ext uri="{FF2B5EF4-FFF2-40B4-BE49-F238E27FC236}">
              <a16:creationId xmlns:a16="http://schemas.microsoft.com/office/drawing/2014/main" xmlns="" id="{00000000-0008-0000-0D00-000053110000}"/>
            </a:ext>
          </a:extLst>
        </xdr:cNvPr>
        <xdr:cNvSpPr>
          <a:spLocks noChangeAspect="1" noChangeArrowheads="1"/>
        </xdr:cNvSpPr>
      </xdr:nvSpPr>
      <xdr:spPr bwMode="auto">
        <a:xfrm>
          <a:off x="0" y="4848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6" name="AutoShape 1364" descr="Columbus Blue Jackets">
          <a:extLst>
            <a:ext uri="{FF2B5EF4-FFF2-40B4-BE49-F238E27FC236}">
              <a16:creationId xmlns:a16="http://schemas.microsoft.com/office/drawing/2014/main" xmlns="" id="{00000000-0008-0000-0D00-000054110000}"/>
            </a:ext>
          </a:extLst>
        </xdr:cNvPr>
        <xdr:cNvSpPr>
          <a:spLocks noChangeAspect="1" noChangeArrowheads="1"/>
        </xdr:cNvSpPr>
      </xdr:nvSpPr>
      <xdr:spPr bwMode="auto">
        <a:xfrm>
          <a:off x="0" y="4852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7" name="AutoShape 1365" descr="Tampa Bay Lightning">
          <a:extLst>
            <a:ext uri="{FF2B5EF4-FFF2-40B4-BE49-F238E27FC236}">
              <a16:creationId xmlns:a16="http://schemas.microsoft.com/office/drawing/2014/main" xmlns="" id="{00000000-0008-0000-0D00-000055110000}"/>
            </a:ext>
          </a:extLst>
        </xdr:cNvPr>
        <xdr:cNvSpPr>
          <a:spLocks noChangeAspect="1" noChangeArrowheads="1"/>
        </xdr:cNvSpPr>
      </xdr:nvSpPr>
      <xdr:spPr bwMode="auto">
        <a:xfrm>
          <a:off x="0" y="4855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8" name="AutoShape 1366" descr="Edmonton Oilers">
          <a:extLst>
            <a:ext uri="{FF2B5EF4-FFF2-40B4-BE49-F238E27FC236}">
              <a16:creationId xmlns:a16="http://schemas.microsoft.com/office/drawing/2014/main" xmlns="" id="{00000000-0008-0000-0D00-000056110000}"/>
            </a:ext>
          </a:extLst>
        </xdr:cNvPr>
        <xdr:cNvSpPr>
          <a:spLocks noChangeAspect="1" noChangeArrowheads="1"/>
        </xdr:cNvSpPr>
      </xdr:nvSpPr>
      <xdr:spPr bwMode="auto">
        <a:xfrm>
          <a:off x="0" y="48595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9" name="AutoShape 1367" descr="Washington Capitals">
          <a:extLst>
            <a:ext uri="{FF2B5EF4-FFF2-40B4-BE49-F238E27FC236}">
              <a16:creationId xmlns:a16="http://schemas.microsoft.com/office/drawing/2014/main" xmlns="" id="{00000000-0008-0000-0D00-000057110000}"/>
            </a:ext>
          </a:extLst>
        </xdr:cNvPr>
        <xdr:cNvSpPr>
          <a:spLocks noChangeAspect="1" noChangeArrowheads="1"/>
        </xdr:cNvSpPr>
      </xdr:nvSpPr>
      <xdr:spPr bwMode="auto">
        <a:xfrm>
          <a:off x="0" y="48631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0" name="AutoShape 1368" descr="Washington Capitals">
          <a:extLst>
            <a:ext uri="{FF2B5EF4-FFF2-40B4-BE49-F238E27FC236}">
              <a16:creationId xmlns:a16="http://schemas.microsoft.com/office/drawing/2014/main" xmlns="" id="{00000000-0008-0000-0D00-000058110000}"/>
            </a:ext>
          </a:extLst>
        </xdr:cNvPr>
        <xdr:cNvSpPr>
          <a:spLocks noChangeAspect="1" noChangeArrowheads="1"/>
        </xdr:cNvSpPr>
      </xdr:nvSpPr>
      <xdr:spPr bwMode="auto">
        <a:xfrm>
          <a:off x="0" y="48668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1" name="AutoShape 1369" descr="Detroit Red Wings">
          <a:extLst>
            <a:ext uri="{FF2B5EF4-FFF2-40B4-BE49-F238E27FC236}">
              <a16:creationId xmlns:a16="http://schemas.microsoft.com/office/drawing/2014/main" xmlns="" id="{00000000-0008-0000-0D00-000059110000}"/>
            </a:ext>
          </a:extLst>
        </xdr:cNvPr>
        <xdr:cNvSpPr>
          <a:spLocks noChangeAspect="1" noChangeArrowheads="1"/>
        </xdr:cNvSpPr>
      </xdr:nvSpPr>
      <xdr:spPr bwMode="auto">
        <a:xfrm>
          <a:off x="0" y="48704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2" name="AutoShape 1370" descr="Philadelphia Flyers">
          <a:extLst>
            <a:ext uri="{FF2B5EF4-FFF2-40B4-BE49-F238E27FC236}">
              <a16:creationId xmlns:a16="http://schemas.microsoft.com/office/drawing/2014/main" xmlns="" id="{00000000-0008-0000-0D00-00005A110000}"/>
            </a:ext>
          </a:extLst>
        </xdr:cNvPr>
        <xdr:cNvSpPr>
          <a:spLocks noChangeAspect="1" noChangeArrowheads="1"/>
        </xdr:cNvSpPr>
      </xdr:nvSpPr>
      <xdr:spPr bwMode="auto">
        <a:xfrm>
          <a:off x="0" y="4872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3" name="AutoShape 1371" descr="Chicago Blackhawks">
          <a:extLst>
            <a:ext uri="{FF2B5EF4-FFF2-40B4-BE49-F238E27FC236}">
              <a16:creationId xmlns:a16="http://schemas.microsoft.com/office/drawing/2014/main" xmlns="" id="{00000000-0008-0000-0D00-00005B110000}"/>
            </a:ext>
          </a:extLst>
        </xdr:cNvPr>
        <xdr:cNvSpPr>
          <a:spLocks noChangeAspect="1" noChangeArrowheads="1"/>
        </xdr:cNvSpPr>
      </xdr:nvSpPr>
      <xdr:spPr bwMode="auto">
        <a:xfrm>
          <a:off x="0" y="4875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4" name="AutoShape 1372" descr="St Louis Blues">
          <a:extLst>
            <a:ext uri="{FF2B5EF4-FFF2-40B4-BE49-F238E27FC236}">
              <a16:creationId xmlns:a16="http://schemas.microsoft.com/office/drawing/2014/main" xmlns="" id="{00000000-0008-0000-0D00-00005C110000}"/>
            </a:ext>
          </a:extLst>
        </xdr:cNvPr>
        <xdr:cNvSpPr>
          <a:spLocks noChangeAspect="1" noChangeArrowheads="1"/>
        </xdr:cNvSpPr>
      </xdr:nvSpPr>
      <xdr:spPr bwMode="auto">
        <a:xfrm>
          <a:off x="0" y="4879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5" name="AutoShape 1373" descr="Chicago Blackhawks">
          <a:extLst>
            <a:ext uri="{FF2B5EF4-FFF2-40B4-BE49-F238E27FC236}">
              <a16:creationId xmlns:a16="http://schemas.microsoft.com/office/drawing/2014/main" xmlns="" id="{00000000-0008-0000-0D00-00005D110000}"/>
            </a:ext>
          </a:extLst>
        </xdr:cNvPr>
        <xdr:cNvSpPr>
          <a:spLocks noChangeAspect="1" noChangeArrowheads="1"/>
        </xdr:cNvSpPr>
      </xdr:nvSpPr>
      <xdr:spPr bwMode="auto">
        <a:xfrm>
          <a:off x="0" y="488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6" name="AutoShape 1374" descr="Carolina Hurricanes">
          <a:extLst>
            <a:ext uri="{FF2B5EF4-FFF2-40B4-BE49-F238E27FC236}">
              <a16:creationId xmlns:a16="http://schemas.microsoft.com/office/drawing/2014/main" xmlns="" id="{00000000-0008-0000-0D00-00005E110000}"/>
            </a:ext>
          </a:extLst>
        </xdr:cNvPr>
        <xdr:cNvSpPr>
          <a:spLocks noChangeAspect="1" noChangeArrowheads="1"/>
        </xdr:cNvSpPr>
      </xdr:nvSpPr>
      <xdr:spPr bwMode="auto">
        <a:xfrm>
          <a:off x="0" y="48869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7" name="AutoShape 1375" descr="New Jersey Devils">
          <a:extLst>
            <a:ext uri="{FF2B5EF4-FFF2-40B4-BE49-F238E27FC236}">
              <a16:creationId xmlns:a16="http://schemas.microsoft.com/office/drawing/2014/main" xmlns="" id="{00000000-0008-0000-0D00-00005F110000}"/>
            </a:ext>
          </a:extLst>
        </xdr:cNvPr>
        <xdr:cNvSpPr>
          <a:spLocks noChangeAspect="1" noChangeArrowheads="1"/>
        </xdr:cNvSpPr>
      </xdr:nvSpPr>
      <xdr:spPr bwMode="auto">
        <a:xfrm>
          <a:off x="0" y="48905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8" name="AutoShape 1376" descr="Vancouver Canucks">
          <a:extLst>
            <a:ext uri="{FF2B5EF4-FFF2-40B4-BE49-F238E27FC236}">
              <a16:creationId xmlns:a16="http://schemas.microsoft.com/office/drawing/2014/main" xmlns="" id="{00000000-0008-0000-0D00-000060110000}"/>
            </a:ext>
          </a:extLst>
        </xdr:cNvPr>
        <xdr:cNvSpPr>
          <a:spLocks noChangeAspect="1" noChangeArrowheads="1"/>
        </xdr:cNvSpPr>
      </xdr:nvSpPr>
      <xdr:spPr bwMode="auto">
        <a:xfrm>
          <a:off x="0" y="48942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9" name="AutoShape 1377" descr="Ottawa Senators">
          <a:extLst>
            <a:ext uri="{FF2B5EF4-FFF2-40B4-BE49-F238E27FC236}">
              <a16:creationId xmlns:a16="http://schemas.microsoft.com/office/drawing/2014/main" xmlns="" id="{00000000-0008-0000-0D00-000061110000}"/>
            </a:ext>
          </a:extLst>
        </xdr:cNvPr>
        <xdr:cNvSpPr>
          <a:spLocks noChangeAspect="1" noChangeArrowheads="1"/>
        </xdr:cNvSpPr>
      </xdr:nvSpPr>
      <xdr:spPr bwMode="auto">
        <a:xfrm>
          <a:off x="0" y="4896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0" name="AutoShape 1378" descr="Arizona Coyotes">
          <a:extLst>
            <a:ext uri="{FF2B5EF4-FFF2-40B4-BE49-F238E27FC236}">
              <a16:creationId xmlns:a16="http://schemas.microsoft.com/office/drawing/2014/main" xmlns="" id="{00000000-0008-0000-0D00-000062110000}"/>
            </a:ext>
          </a:extLst>
        </xdr:cNvPr>
        <xdr:cNvSpPr>
          <a:spLocks noChangeAspect="1" noChangeArrowheads="1"/>
        </xdr:cNvSpPr>
      </xdr:nvSpPr>
      <xdr:spPr bwMode="auto">
        <a:xfrm>
          <a:off x="0" y="4899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1" name="AutoShape 1379" descr="Tampa Bay Lightning">
          <a:extLst>
            <a:ext uri="{FF2B5EF4-FFF2-40B4-BE49-F238E27FC236}">
              <a16:creationId xmlns:a16="http://schemas.microsoft.com/office/drawing/2014/main" xmlns="" id="{00000000-0008-0000-0D00-000063110000}"/>
            </a:ext>
          </a:extLst>
        </xdr:cNvPr>
        <xdr:cNvSpPr>
          <a:spLocks noChangeAspect="1" noChangeArrowheads="1"/>
        </xdr:cNvSpPr>
      </xdr:nvSpPr>
      <xdr:spPr bwMode="auto">
        <a:xfrm>
          <a:off x="0" y="4901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2" name="AutoShape 1380" descr="New York Rangers">
          <a:extLst>
            <a:ext uri="{FF2B5EF4-FFF2-40B4-BE49-F238E27FC236}">
              <a16:creationId xmlns:a16="http://schemas.microsoft.com/office/drawing/2014/main" xmlns="" id="{00000000-0008-0000-0D00-000064110000}"/>
            </a:ext>
          </a:extLst>
        </xdr:cNvPr>
        <xdr:cNvSpPr>
          <a:spLocks noChangeAspect="1" noChangeArrowheads="1"/>
        </xdr:cNvSpPr>
      </xdr:nvSpPr>
      <xdr:spPr bwMode="auto">
        <a:xfrm>
          <a:off x="0" y="49052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3" name="AutoShape 1381" descr="New Jersey Devils">
          <a:extLst>
            <a:ext uri="{FF2B5EF4-FFF2-40B4-BE49-F238E27FC236}">
              <a16:creationId xmlns:a16="http://schemas.microsoft.com/office/drawing/2014/main" xmlns="" id="{00000000-0008-0000-0D00-000065110000}"/>
            </a:ext>
          </a:extLst>
        </xdr:cNvPr>
        <xdr:cNvSpPr>
          <a:spLocks noChangeAspect="1" noChangeArrowheads="1"/>
        </xdr:cNvSpPr>
      </xdr:nvSpPr>
      <xdr:spPr bwMode="auto">
        <a:xfrm>
          <a:off x="0" y="4907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4" name="AutoShape 1382" descr="San Jose Sharks">
          <a:extLst>
            <a:ext uri="{FF2B5EF4-FFF2-40B4-BE49-F238E27FC236}">
              <a16:creationId xmlns:a16="http://schemas.microsoft.com/office/drawing/2014/main" xmlns="" id="{00000000-0008-0000-0D00-000066110000}"/>
            </a:ext>
          </a:extLst>
        </xdr:cNvPr>
        <xdr:cNvSpPr>
          <a:spLocks noChangeAspect="1" noChangeArrowheads="1"/>
        </xdr:cNvSpPr>
      </xdr:nvSpPr>
      <xdr:spPr bwMode="auto">
        <a:xfrm>
          <a:off x="0" y="4910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5" name="AutoShape 1383" descr="Anaheim Ducks">
          <a:extLst>
            <a:ext uri="{FF2B5EF4-FFF2-40B4-BE49-F238E27FC236}">
              <a16:creationId xmlns:a16="http://schemas.microsoft.com/office/drawing/2014/main" xmlns="" id="{00000000-0008-0000-0D00-000067110000}"/>
            </a:ext>
          </a:extLst>
        </xdr:cNvPr>
        <xdr:cNvSpPr>
          <a:spLocks noChangeAspect="1" noChangeArrowheads="1"/>
        </xdr:cNvSpPr>
      </xdr:nvSpPr>
      <xdr:spPr bwMode="auto">
        <a:xfrm>
          <a:off x="0" y="49143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6" name="AutoShape 1384" descr="Calgary Flames">
          <a:extLst>
            <a:ext uri="{FF2B5EF4-FFF2-40B4-BE49-F238E27FC236}">
              <a16:creationId xmlns:a16="http://schemas.microsoft.com/office/drawing/2014/main" xmlns="" id="{00000000-0008-0000-0D00-000068110000}"/>
            </a:ext>
          </a:extLst>
        </xdr:cNvPr>
        <xdr:cNvSpPr>
          <a:spLocks noChangeAspect="1" noChangeArrowheads="1"/>
        </xdr:cNvSpPr>
      </xdr:nvSpPr>
      <xdr:spPr bwMode="auto">
        <a:xfrm>
          <a:off x="0" y="4916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7" name="AutoShape 1385" descr="New Jersey Devils">
          <a:extLst>
            <a:ext uri="{FF2B5EF4-FFF2-40B4-BE49-F238E27FC236}">
              <a16:creationId xmlns:a16="http://schemas.microsoft.com/office/drawing/2014/main" xmlns="" id="{00000000-0008-0000-0D00-000069110000}"/>
            </a:ext>
          </a:extLst>
        </xdr:cNvPr>
        <xdr:cNvSpPr>
          <a:spLocks noChangeAspect="1" noChangeArrowheads="1"/>
        </xdr:cNvSpPr>
      </xdr:nvSpPr>
      <xdr:spPr bwMode="auto">
        <a:xfrm>
          <a:off x="0" y="4919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58" name="AutoShape 1386" descr="New Jersey Devils">
          <a:extLst>
            <a:ext uri="{FF2B5EF4-FFF2-40B4-BE49-F238E27FC236}">
              <a16:creationId xmlns:a16="http://schemas.microsoft.com/office/drawing/2014/main" xmlns="" id="{00000000-0008-0000-0D00-00006A110000}"/>
            </a:ext>
          </a:extLst>
        </xdr:cNvPr>
        <xdr:cNvSpPr>
          <a:spLocks noChangeAspect="1" noChangeArrowheads="1"/>
        </xdr:cNvSpPr>
      </xdr:nvSpPr>
      <xdr:spPr bwMode="auto">
        <a:xfrm>
          <a:off x="0" y="49216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9" name="AutoShape 1387" descr="Columbus Blue Jackets">
          <a:extLst>
            <a:ext uri="{FF2B5EF4-FFF2-40B4-BE49-F238E27FC236}">
              <a16:creationId xmlns:a16="http://schemas.microsoft.com/office/drawing/2014/main" xmlns="" id="{00000000-0008-0000-0D00-00006B110000}"/>
            </a:ext>
          </a:extLst>
        </xdr:cNvPr>
        <xdr:cNvSpPr>
          <a:spLocks noChangeAspect="1" noChangeArrowheads="1"/>
        </xdr:cNvSpPr>
      </xdr:nvSpPr>
      <xdr:spPr bwMode="auto">
        <a:xfrm>
          <a:off x="0" y="4923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0" name="AutoShape 1388" descr="Florida Panthers">
          <a:extLst>
            <a:ext uri="{FF2B5EF4-FFF2-40B4-BE49-F238E27FC236}">
              <a16:creationId xmlns:a16="http://schemas.microsoft.com/office/drawing/2014/main" xmlns="" id="{00000000-0008-0000-0D00-00006C110000}"/>
            </a:ext>
          </a:extLst>
        </xdr:cNvPr>
        <xdr:cNvSpPr>
          <a:spLocks noChangeAspect="1" noChangeArrowheads="1"/>
        </xdr:cNvSpPr>
      </xdr:nvSpPr>
      <xdr:spPr bwMode="auto">
        <a:xfrm>
          <a:off x="0" y="49253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1" name="AutoShape 1389" descr="Anaheim Ducks">
          <a:extLst>
            <a:ext uri="{FF2B5EF4-FFF2-40B4-BE49-F238E27FC236}">
              <a16:creationId xmlns:a16="http://schemas.microsoft.com/office/drawing/2014/main" xmlns="" id="{00000000-0008-0000-0D00-00006D110000}"/>
            </a:ext>
          </a:extLst>
        </xdr:cNvPr>
        <xdr:cNvSpPr>
          <a:spLocks noChangeAspect="1" noChangeArrowheads="1"/>
        </xdr:cNvSpPr>
      </xdr:nvSpPr>
      <xdr:spPr bwMode="auto">
        <a:xfrm>
          <a:off x="0" y="4928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2" name="AutoShape 1390" descr="New Jersey Devils">
          <a:extLst>
            <a:ext uri="{FF2B5EF4-FFF2-40B4-BE49-F238E27FC236}">
              <a16:creationId xmlns:a16="http://schemas.microsoft.com/office/drawing/2014/main" xmlns="" id="{00000000-0008-0000-0D00-00006E110000}"/>
            </a:ext>
          </a:extLst>
        </xdr:cNvPr>
        <xdr:cNvSpPr>
          <a:spLocks noChangeAspect="1" noChangeArrowheads="1"/>
        </xdr:cNvSpPr>
      </xdr:nvSpPr>
      <xdr:spPr bwMode="auto">
        <a:xfrm>
          <a:off x="0" y="4932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3" name="AutoShape 1391" descr="Chicago Blackhawks">
          <a:extLst>
            <a:ext uri="{FF2B5EF4-FFF2-40B4-BE49-F238E27FC236}">
              <a16:creationId xmlns:a16="http://schemas.microsoft.com/office/drawing/2014/main" xmlns="" id="{00000000-0008-0000-0D00-00006F110000}"/>
            </a:ext>
          </a:extLst>
        </xdr:cNvPr>
        <xdr:cNvSpPr>
          <a:spLocks noChangeAspect="1" noChangeArrowheads="1"/>
        </xdr:cNvSpPr>
      </xdr:nvSpPr>
      <xdr:spPr bwMode="auto">
        <a:xfrm>
          <a:off x="0" y="4936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4" name="AutoShape 1392" descr="Toronto Maple Leafs">
          <a:extLst>
            <a:ext uri="{FF2B5EF4-FFF2-40B4-BE49-F238E27FC236}">
              <a16:creationId xmlns:a16="http://schemas.microsoft.com/office/drawing/2014/main" xmlns="" id="{00000000-0008-0000-0D00-000070110000}"/>
            </a:ext>
          </a:extLst>
        </xdr:cNvPr>
        <xdr:cNvSpPr>
          <a:spLocks noChangeAspect="1" noChangeArrowheads="1"/>
        </xdr:cNvSpPr>
      </xdr:nvSpPr>
      <xdr:spPr bwMode="auto">
        <a:xfrm>
          <a:off x="0" y="4939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5" name="AutoShape 1393" descr="Montreal Canadiens">
          <a:extLst>
            <a:ext uri="{FF2B5EF4-FFF2-40B4-BE49-F238E27FC236}">
              <a16:creationId xmlns:a16="http://schemas.microsoft.com/office/drawing/2014/main" xmlns="" id="{00000000-0008-0000-0D00-000071110000}"/>
            </a:ext>
          </a:extLst>
        </xdr:cNvPr>
        <xdr:cNvSpPr>
          <a:spLocks noChangeAspect="1" noChangeArrowheads="1"/>
        </xdr:cNvSpPr>
      </xdr:nvSpPr>
      <xdr:spPr bwMode="auto">
        <a:xfrm>
          <a:off x="0" y="4943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6" name="AutoShape 1394" descr="Florida Panthers">
          <a:extLst>
            <a:ext uri="{FF2B5EF4-FFF2-40B4-BE49-F238E27FC236}">
              <a16:creationId xmlns:a16="http://schemas.microsoft.com/office/drawing/2014/main" xmlns="" id="{00000000-0008-0000-0D00-000072110000}"/>
            </a:ext>
          </a:extLst>
        </xdr:cNvPr>
        <xdr:cNvSpPr>
          <a:spLocks noChangeAspect="1" noChangeArrowheads="1"/>
        </xdr:cNvSpPr>
      </xdr:nvSpPr>
      <xdr:spPr bwMode="auto">
        <a:xfrm>
          <a:off x="0" y="4947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67" name="AutoShape 1395" descr="St Louis Blues">
          <a:extLst>
            <a:ext uri="{FF2B5EF4-FFF2-40B4-BE49-F238E27FC236}">
              <a16:creationId xmlns:a16="http://schemas.microsoft.com/office/drawing/2014/main" xmlns="" id="{00000000-0008-0000-0D00-000073110000}"/>
            </a:ext>
          </a:extLst>
        </xdr:cNvPr>
        <xdr:cNvSpPr>
          <a:spLocks noChangeAspect="1" noChangeArrowheads="1"/>
        </xdr:cNvSpPr>
      </xdr:nvSpPr>
      <xdr:spPr bwMode="auto">
        <a:xfrm>
          <a:off x="0" y="4952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8" name="AutoShape 1396" descr="Chicago Blackhawks">
          <a:extLst>
            <a:ext uri="{FF2B5EF4-FFF2-40B4-BE49-F238E27FC236}">
              <a16:creationId xmlns:a16="http://schemas.microsoft.com/office/drawing/2014/main" xmlns="" id="{00000000-0008-0000-0D00-000074110000}"/>
            </a:ext>
          </a:extLst>
        </xdr:cNvPr>
        <xdr:cNvSpPr>
          <a:spLocks noChangeAspect="1" noChangeArrowheads="1"/>
        </xdr:cNvSpPr>
      </xdr:nvSpPr>
      <xdr:spPr bwMode="auto">
        <a:xfrm>
          <a:off x="0" y="49546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9" name="AutoShape 1397" descr="New York Rangers">
          <a:extLst>
            <a:ext uri="{FF2B5EF4-FFF2-40B4-BE49-F238E27FC236}">
              <a16:creationId xmlns:a16="http://schemas.microsoft.com/office/drawing/2014/main" xmlns="" id="{00000000-0008-0000-0D00-000075110000}"/>
            </a:ext>
          </a:extLst>
        </xdr:cNvPr>
        <xdr:cNvSpPr>
          <a:spLocks noChangeAspect="1" noChangeArrowheads="1"/>
        </xdr:cNvSpPr>
      </xdr:nvSpPr>
      <xdr:spPr bwMode="auto">
        <a:xfrm>
          <a:off x="0" y="4958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0" name="AutoShape 1398" descr="New York Rangers">
          <a:extLst>
            <a:ext uri="{FF2B5EF4-FFF2-40B4-BE49-F238E27FC236}">
              <a16:creationId xmlns:a16="http://schemas.microsoft.com/office/drawing/2014/main" xmlns="" id="{00000000-0008-0000-0D00-000076110000}"/>
            </a:ext>
          </a:extLst>
        </xdr:cNvPr>
        <xdr:cNvSpPr>
          <a:spLocks noChangeAspect="1" noChangeArrowheads="1"/>
        </xdr:cNvSpPr>
      </xdr:nvSpPr>
      <xdr:spPr bwMode="auto">
        <a:xfrm>
          <a:off x="0" y="49619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1" name="AutoShape 1399" descr="Vancouver Canucks">
          <a:extLst>
            <a:ext uri="{FF2B5EF4-FFF2-40B4-BE49-F238E27FC236}">
              <a16:creationId xmlns:a16="http://schemas.microsoft.com/office/drawing/2014/main" xmlns="" id="{00000000-0008-0000-0D00-000077110000}"/>
            </a:ext>
          </a:extLst>
        </xdr:cNvPr>
        <xdr:cNvSpPr>
          <a:spLocks noChangeAspect="1" noChangeArrowheads="1"/>
        </xdr:cNvSpPr>
      </xdr:nvSpPr>
      <xdr:spPr bwMode="auto">
        <a:xfrm>
          <a:off x="0" y="4965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2" name="AutoShape 1400" descr="Nashville Predators">
          <a:extLst>
            <a:ext uri="{FF2B5EF4-FFF2-40B4-BE49-F238E27FC236}">
              <a16:creationId xmlns:a16="http://schemas.microsoft.com/office/drawing/2014/main" xmlns="" id="{00000000-0008-0000-0D00-000078110000}"/>
            </a:ext>
          </a:extLst>
        </xdr:cNvPr>
        <xdr:cNvSpPr>
          <a:spLocks noChangeAspect="1" noChangeArrowheads="1"/>
        </xdr:cNvSpPr>
      </xdr:nvSpPr>
      <xdr:spPr bwMode="auto">
        <a:xfrm>
          <a:off x="0" y="4969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3" name="AutoShape 1401" descr="Columbus Blue Jackets">
          <a:extLst>
            <a:ext uri="{FF2B5EF4-FFF2-40B4-BE49-F238E27FC236}">
              <a16:creationId xmlns:a16="http://schemas.microsoft.com/office/drawing/2014/main" xmlns="" id="{00000000-0008-0000-0D00-000079110000}"/>
            </a:ext>
          </a:extLst>
        </xdr:cNvPr>
        <xdr:cNvSpPr>
          <a:spLocks noChangeAspect="1" noChangeArrowheads="1"/>
        </xdr:cNvSpPr>
      </xdr:nvSpPr>
      <xdr:spPr bwMode="auto">
        <a:xfrm>
          <a:off x="0" y="4972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4" name="AutoShape 1402" descr="Tampa Bay Lightning">
          <a:extLst>
            <a:ext uri="{FF2B5EF4-FFF2-40B4-BE49-F238E27FC236}">
              <a16:creationId xmlns:a16="http://schemas.microsoft.com/office/drawing/2014/main" xmlns="" id="{00000000-0008-0000-0D00-00007A110000}"/>
            </a:ext>
          </a:extLst>
        </xdr:cNvPr>
        <xdr:cNvSpPr>
          <a:spLocks noChangeAspect="1" noChangeArrowheads="1"/>
        </xdr:cNvSpPr>
      </xdr:nvSpPr>
      <xdr:spPr bwMode="auto">
        <a:xfrm>
          <a:off x="0" y="4976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5" name="AutoShape 1403" descr="Anaheim Ducks">
          <a:extLst>
            <a:ext uri="{FF2B5EF4-FFF2-40B4-BE49-F238E27FC236}">
              <a16:creationId xmlns:a16="http://schemas.microsoft.com/office/drawing/2014/main" xmlns="" id="{00000000-0008-0000-0D00-00007B110000}"/>
            </a:ext>
          </a:extLst>
        </xdr:cNvPr>
        <xdr:cNvSpPr>
          <a:spLocks noChangeAspect="1" noChangeArrowheads="1"/>
        </xdr:cNvSpPr>
      </xdr:nvSpPr>
      <xdr:spPr bwMode="auto">
        <a:xfrm>
          <a:off x="0" y="4980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6" name="AutoShape 1404" descr="Dallas Stars">
          <a:extLst>
            <a:ext uri="{FF2B5EF4-FFF2-40B4-BE49-F238E27FC236}">
              <a16:creationId xmlns:a16="http://schemas.microsoft.com/office/drawing/2014/main" xmlns="" id="{00000000-0008-0000-0D00-00007C110000}"/>
            </a:ext>
          </a:extLst>
        </xdr:cNvPr>
        <xdr:cNvSpPr>
          <a:spLocks noChangeAspect="1" noChangeArrowheads="1"/>
        </xdr:cNvSpPr>
      </xdr:nvSpPr>
      <xdr:spPr bwMode="auto">
        <a:xfrm>
          <a:off x="0" y="49838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7" name="AutoShape 1405" descr="Pittsburgh Penguins">
          <a:extLst>
            <a:ext uri="{FF2B5EF4-FFF2-40B4-BE49-F238E27FC236}">
              <a16:creationId xmlns:a16="http://schemas.microsoft.com/office/drawing/2014/main" xmlns="" id="{00000000-0008-0000-0D00-00007D110000}"/>
            </a:ext>
          </a:extLst>
        </xdr:cNvPr>
        <xdr:cNvSpPr>
          <a:spLocks noChangeAspect="1" noChangeArrowheads="1"/>
        </xdr:cNvSpPr>
      </xdr:nvSpPr>
      <xdr:spPr bwMode="auto">
        <a:xfrm>
          <a:off x="0" y="49875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8" name="AutoShape 1406" descr="Chicago Blackhawks">
          <a:extLst>
            <a:ext uri="{FF2B5EF4-FFF2-40B4-BE49-F238E27FC236}">
              <a16:creationId xmlns:a16="http://schemas.microsoft.com/office/drawing/2014/main" xmlns="" id="{00000000-0008-0000-0D00-00007E110000}"/>
            </a:ext>
          </a:extLst>
        </xdr:cNvPr>
        <xdr:cNvSpPr>
          <a:spLocks noChangeAspect="1" noChangeArrowheads="1"/>
        </xdr:cNvSpPr>
      </xdr:nvSpPr>
      <xdr:spPr bwMode="auto">
        <a:xfrm>
          <a:off x="0" y="4991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9" name="AutoShape 1407" descr="Chicago Blackhawks">
          <a:extLst>
            <a:ext uri="{FF2B5EF4-FFF2-40B4-BE49-F238E27FC236}">
              <a16:creationId xmlns:a16="http://schemas.microsoft.com/office/drawing/2014/main" xmlns="" id="{00000000-0008-0000-0D00-00007F110000}"/>
            </a:ext>
          </a:extLst>
        </xdr:cNvPr>
        <xdr:cNvSpPr>
          <a:spLocks noChangeAspect="1" noChangeArrowheads="1"/>
        </xdr:cNvSpPr>
      </xdr:nvSpPr>
      <xdr:spPr bwMode="auto">
        <a:xfrm>
          <a:off x="0" y="4994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0" name="AutoShape 1408" descr="Pittsburgh Penguins">
          <a:extLst>
            <a:ext uri="{FF2B5EF4-FFF2-40B4-BE49-F238E27FC236}">
              <a16:creationId xmlns:a16="http://schemas.microsoft.com/office/drawing/2014/main" xmlns="" id="{00000000-0008-0000-0D00-000080110000}"/>
            </a:ext>
          </a:extLst>
        </xdr:cNvPr>
        <xdr:cNvSpPr>
          <a:spLocks noChangeAspect="1" noChangeArrowheads="1"/>
        </xdr:cNvSpPr>
      </xdr:nvSpPr>
      <xdr:spPr bwMode="auto">
        <a:xfrm>
          <a:off x="0" y="4998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1" name="AutoShape 1409" descr="Colorado Avalanche">
          <a:extLst>
            <a:ext uri="{FF2B5EF4-FFF2-40B4-BE49-F238E27FC236}">
              <a16:creationId xmlns:a16="http://schemas.microsoft.com/office/drawing/2014/main" xmlns="" id="{00000000-0008-0000-0D00-000081110000}"/>
            </a:ext>
          </a:extLst>
        </xdr:cNvPr>
        <xdr:cNvSpPr>
          <a:spLocks noChangeAspect="1" noChangeArrowheads="1"/>
        </xdr:cNvSpPr>
      </xdr:nvSpPr>
      <xdr:spPr bwMode="auto">
        <a:xfrm>
          <a:off x="0" y="5002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2" name="AutoShape 1410" descr="Detroit Red Wings">
          <a:extLst>
            <a:ext uri="{FF2B5EF4-FFF2-40B4-BE49-F238E27FC236}">
              <a16:creationId xmlns:a16="http://schemas.microsoft.com/office/drawing/2014/main" xmlns="" id="{00000000-0008-0000-0D00-000082110000}"/>
            </a:ext>
          </a:extLst>
        </xdr:cNvPr>
        <xdr:cNvSpPr>
          <a:spLocks noChangeAspect="1" noChangeArrowheads="1"/>
        </xdr:cNvSpPr>
      </xdr:nvSpPr>
      <xdr:spPr bwMode="auto">
        <a:xfrm>
          <a:off x="0" y="5005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3" name="AutoShape 1411" descr="Colorado Avalanche">
          <a:extLst>
            <a:ext uri="{FF2B5EF4-FFF2-40B4-BE49-F238E27FC236}">
              <a16:creationId xmlns:a16="http://schemas.microsoft.com/office/drawing/2014/main" xmlns="" id="{00000000-0008-0000-0D00-000083110000}"/>
            </a:ext>
          </a:extLst>
        </xdr:cNvPr>
        <xdr:cNvSpPr>
          <a:spLocks noChangeAspect="1" noChangeArrowheads="1"/>
        </xdr:cNvSpPr>
      </xdr:nvSpPr>
      <xdr:spPr bwMode="auto">
        <a:xfrm>
          <a:off x="0" y="50094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4" name="AutoShape 1412" descr="Washington Capitals">
          <a:extLst>
            <a:ext uri="{FF2B5EF4-FFF2-40B4-BE49-F238E27FC236}">
              <a16:creationId xmlns:a16="http://schemas.microsoft.com/office/drawing/2014/main" xmlns="" id="{00000000-0008-0000-0D00-000084110000}"/>
            </a:ext>
          </a:extLst>
        </xdr:cNvPr>
        <xdr:cNvSpPr>
          <a:spLocks noChangeAspect="1" noChangeArrowheads="1"/>
        </xdr:cNvSpPr>
      </xdr:nvSpPr>
      <xdr:spPr bwMode="auto">
        <a:xfrm>
          <a:off x="0" y="5013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85" name="AutoShape 1413" descr="Washington Capitals">
          <a:extLst>
            <a:ext uri="{FF2B5EF4-FFF2-40B4-BE49-F238E27FC236}">
              <a16:creationId xmlns:a16="http://schemas.microsoft.com/office/drawing/2014/main" xmlns="" id="{00000000-0008-0000-0D00-000085110000}"/>
            </a:ext>
          </a:extLst>
        </xdr:cNvPr>
        <xdr:cNvSpPr>
          <a:spLocks noChangeAspect="1" noChangeArrowheads="1"/>
        </xdr:cNvSpPr>
      </xdr:nvSpPr>
      <xdr:spPr bwMode="auto">
        <a:xfrm>
          <a:off x="0" y="5016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6" name="AutoShape 1414" descr="Ottawa Senators">
          <a:extLst>
            <a:ext uri="{FF2B5EF4-FFF2-40B4-BE49-F238E27FC236}">
              <a16:creationId xmlns:a16="http://schemas.microsoft.com/office/drawing/2014/main" xmlns="" id="{00000000-0008-0000-0D00-000086110000}"/>
            </a:ext>
          </a:extLst>
        </xdr:cNvPr>
        <xdr:cNvSpPr>
          <a:spLocks noChangeAspect="1" noChangeArrowheads="1"/>
        </xdr:cNvSpPr>
      </xdr:nvSpPr>
      <xdr:spPr bwMode="auto">
        <a:xfrm>
          <a:off x="0" y="5018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7" name="AutoShape 1415" descr="New Jersey Devils">
          <a:extLst>
            <a:ext uri="{FF2B5EF4-FFF2-40B4-BE49-F238E27FC236}">
              <a16:creationId xmlns:a16="http://schemas.microsoft.com/office/drawing/2014/main" xmlns="" id="{00000000-0008-0000-0D00-000087110000}"/>
            </a:ext>
          </a:extLst>
        </xdr:cNvPr>
        <xdr:cNvSpPr>
          <a:spLocks noChangeAspect="1" noChangeArrowheads="1"/>
        </xdr:cNvSpPr>
      </xdr:nvSpPr>
      <xdr:spPr bwMode="auto">
        <a:xfrm>
          <a:off x="0" y="5022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8" name="AutoShape 1416" descr="Boston Bruins">
          <a:extLst>
            <a:ext uri="{FF2B5EF4-FFF2-40B4-BE49-F238E27FC236}">
              <a16:creationId xmlns:a16="http://schemas.microsoft.com/office/drawing/2014/main" xmlns="" id="{00000000-0008-0000-0D00-000088110000}"/>
            </a:ext>
          </a:extLst>
        </xdr:cNvPr>
        <xdr:cNvSpPr>
          <a:spLocks noChangeAspect="1" noChangeArrowheads="1"/>
        </xdr:cNvSpPr>
      </xdr:nvSpPr>
      <xdr:spPr bwMode="auto">
        <a:xfrm>
          <a:off x="0" y="5025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9" name="AutoShape 1417" descr="New Jersey Devils">
          <a:extLst>
            <a:ext uri="{FF2B5EF4-FFF2-40B4-BE49-F238E27FC236}">
              <a16:creationId xmlns:a16="http://schemas.microsoft.com/office/drawing/2014/main" xmlns="" id="{00000000-0008-0000-0D00-000089110000}"/>
            </a:ext>
          </a:extLst>
        </xdr:cNvPr>
        <xdr:cNvSpPr>
          <a:spLocks noChangeAspect="1" noChangeArrowheads="1"/>
        </xdr:cNvSpPr>
      </xdr:nvSpPr>
      <xdr:spPr bwMode="auto">
        <a:xfrm>
          <a:off x="0" y="5029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0" name="AutoShape 1418" descr="Colorado Avalanche">
          <a:extLst>
            <a:ext uri="{FF2B5EF4-FFF2-40B4-BE49-F238E27FC236}">
              <a16:creationId xmlns:a16="http://schemas.microsoft.com/office/drawing/2014/main" xmlns="" id="{00000000-0008-0000-0D00-00008A110000}"/>
            </a:ext>
          </a:extLst>
        </xdr:cNvPr>
        <xdr:cNvSpPr>
          <a:spLocks noChangeAspect="1" noChangeArrowheads="1"/>
        </xdr:cNvSpPr>
      </xdr:nvSpPr>
      <xdr:spPr bwMode="auto">
        <a:xfrm>
          <a:off x="0" y="50332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1" name="AutoShape 1419" descr="Philadelphia Flyers">
          <a:extLst>
            <a:ext uri="{FF2B5EF4-FFF2-40B4-BE49-F238E27FC236}">
              <a16:creationId xmlns:a16="http://schemas.microsoft.com/office/drawing/2014/main" xmlns="" id="{00000000-0008-0000-0D00-00008B110000}"/>
            </a:ext>
          </a:extLst>
        </xdr:cNvPr>
        <xdr:cNvSpPr>
          <a:spLocks noChangeAspect="1" noChangeArrowheads="1"/>
        </xdr:cNvSpPr>
      </xdr:nvSpPr>
      <xdr:spPr bwMode="auto">
        <a:xfrm>
          <a:off x="0" y="50368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2" name="AutoShape 1420" descr="New York Rangers">
          <a:extLst>
            <a:ext uri="{FF2B5EF4-FFF2-40B4-BE49-F238E27FC236}">
              <a16:creationId xmlns:a16="http://schemas.microsoft.com/office/drawing/2014/main" xmlns="" id="{00000000-0008-0000-0D00-00008C110000}"/>
            </a:ext>
          </a:extLst>
        </xdr:cNvPr>
        <xdr:cNvSpPr>
          <a:spLocks noChangeAspect="1" noChangeArrowheads="1"/>
        </xdr:cNvSpPr>
      </xdr:nvSpPr>
      <xdr:spPr bwMode="auto">
        <a:xfrm>
          <a:off x="0" y="5038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93" name="AutoShape 1421" descr="Los Angeles Kings">
          <a:extLst>
            <a:ext uri="{FF2B5EF4-FFF2-40B4-BE49-F238E27FC236}">
              <a16:creationId xmlns:a16="http://schemas.microsoft.com/office/drawing/2014/main" xmlns="" id="{00000000-0008-0000-0D00-00008D110000}"/>
            </a:ext>
          </a:extLst>
        </xdr:cNvPr>
        <xdr:cNvSpPr>
          <a:spLocks noChangeAspect="1" noChangeArrowheads="1"/>
        </xdr:cNvSpPr>
      </xdr:nvSpPr>
      <xdr:spPr bwMode="auto">
        <a:xfrm>
          <a:off x="0" y="50405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4" name="AutoShape 1422" descr="Los Angeles Kings">
          <a:extLst>
            <a:ext uri="{FF2B5EF4-FFF2-40B4-BE49-F238E27FC236}">
              <a16:creationId xmlns:a16="http://schemas.microsoft.com/office/drawing/2014/main" xmlns="" id="{00000000-0008-0000-0D00-00008E110000}"/>
            </a:ext>
          </a:extLst>
        </xdr:cNvPr>
        <xdr:cNvSpPr>
          <a:spLocks noChangeAspect="1" noChangeArrowheads="1"/>
        </xdr:cNvSpPr>
      </xdr:nvSpPr>
      <xdr:spPr bwMode="auto">
        <a:xfrm>
          <a:off x="0" y="5042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5" name="AutoShape 1423" descr="Vegas Golden Knights">
          <a:extLst>
            <a:ext uri="{FF2B5EF4-FFF2-40B4-BE49-F238E27FC236}">
              <a16:creationId xmlns:a16="http://schemas.microsoft.com/office/drawing/2014/main" xmlns="" id="{00000000-0008-0000-0D00-00008F110000}"/>
            </a:ext>
          </a:extLst>
        </xdr:cNvPr>
        <xdr:cNvSpPr>
          <a:spLocks noChangeAspect="1" noChangeArrowheads="1"/>
        </xdr:cNvSpPr>
      </xdr:nvSpPr>
      <xdr:spPr bwMode="auto">
        <a:xfrm>
          <a:off x="0" y="50460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6" name="AutoShape 1424" descr="Tampa Bay Lightning">
          <a:extLst>
            <a:ext uri="{FF2B5EF4-FFF2-40B4-BE49-F238E27FC236}">
              <a16:creationId xmlns:a16="http://schemas.microsoft.com/office/drawing/2014/main" xmlns="" id="{00000000-0008-0000-0D00-000090110000}"/>
            </a:ext>
          </a:extLst>
        </xdr:cNvPr>
        <xdr:cNvSpPr>
          <a:spLocks noChangeAspect="1" noChangeArrowheads="1"/>
        </xdr:cNvSpPr>
      </xdr:nvSpPr>
      <xdr:spPr bwMode="auto">
        <a:xfrm>
          <a:off x="0" y="5047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7" name="AutoShape 1425" descr="Columbus Blue Jackets">
          <a:extLst>
            <a:ext uri="{FF2B5EF4-FFF2-40B4-BE49-F238E27FC236}">
              <a16:creationId xmlns:a16="http://schemas.microsoft.com/office/drawing/2014/main" xmlns="" id="{00000000-0008-0000-0D00-000091110000}"/>
            </a:ext>
          </a:extLst>
        </xdr:cNvPr>
        <xdr:cNvSpPr>
          <a:spLocks noChangeAspect="1" noChangeArrowheads="1"/>
        </xdr:cNvSpPr>
      </xdr:nvSpPr>
      <xdr:spPr bwMode="auto">
        <a:xfrm>
          <a:off x="0" y="50496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8" name="AutoShape 1426" descr="Toronto Maple Leafs">
          <a:extLst>
            <a:ext uri="{FF2B5EF4-FFF2-40B4-BE49-F238E27FC236}">
              <a16:creationId xmlns:a16="http://schemas.microsoft.com/office/drawing/2014/main" xmlns="" id="{00000000-0008-0000-0D00-000092110000}"/>
            </a:ext>
          </a:extLst>
        </xdr:cNvPr>
        <xdr:cNvSpPr>
          <a:spLocks noChangeAspect="1" noChangeArrowheads="1"/>
        </xdr:cNvSpPr>
      </xdr:nvSpPr>
      <xdr:spPr bwMode="auto">
        <a:xfrm>
          <a:off x="0" y="5053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9" name="AutoShape 1427" descr="Winnipeg Jets">
          <a:extLst>
            <a:ext uri="{FF2B5EF4-FFF2-40B4-BE49-F238E27FC236}">
              <a16:creationId xmlns:a16="http://schemas.microsoft.com/office/drawing/2014/main" xmlns="" id="{00000000-0008-0000-0D00-000093110000}"/>
            </a:ext>
          </a:extLst>
        </xdr:cNvPr>
        <xdr:cNvSpPr>
          <a:spLocks noChangeAspect="1" noChangeArrowheads="1"/>
        </xdr:cNvSpPr>
      </xdr:nvSpPr>
      <xdr:spPr bwMode="auto">
        <a:xfrm>
          <a:off x="0" y="5057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0" name="AutoShape 1428" descr="Anaheim Ducks">
          <a:extLst>
            <a:ext uri="{FF2B5EF4-FFF2-40B4-BE49-F238E27FC236}">
              <a16:creationId xmlns:a16="http://schemas.microsoft.com/office/drawing/2014/main" xmlns="" id="{00000000-0008-0000-0D00-000094110000}"/>
            </a:ext>
          </a:extLst>
        </xdr:cNvPr>
        <xdr:cNvSpPr>
          <a:spLocks noChangeAspect="1" noChangeArrowheads="1"/>
        </xdr:cNvSpPr>
      </xdr:nvSpPr>
      <xdr:spPr bwMode="auto">
        <a:xfrm>
          <a:off x="0" y="50588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01" name="AutoShape 1429" descr="Edmonton Oilers">
          <a:extLst>
            <a:ext uri="{FF2B5EF4-FFF2-40B4-BE49-F238E27FC236}">
              <a16:creationId xmlns:a16="http://schemas.microsoft.com/office/drawing/2014/main" xmlns="" id="{00000000-0008-0000-0D00-000095110000}"/>
            </a:ext>
          </a:extLst>
        </xdr:cNvPr>
        <xdr:cNvSpPr>
          <a:spLocks noChangeAspect="1" noChangeArrowheads="1"/>
        </xdr:cNvSpPr>
      </xdr:nvSpPr>
      <xdr:spPr bwMode="auto">
        <a:xfrm>
          <a:off x="0" y="50624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2" name="AutoShape 1430" descr="Philadelphia Flyers">
          <a:extLst>
            <a:ext uri="{FF2B5EF4-FFF2-40B4-BE49-F238E27FC236}">
              <a16:creationId xmlns:a16="http://schemas.microsoft.com/office/drawing/2014/main" xmlns="" id="{00000000-0008-0000-0D00-000096110000}"/>
            </a:ext>
          </a:extLst>
        </xdr:cNvPr>
        <xdr:cNvSpPr>
          <a:spLocks noChangeAspect="1" noChangeArrowheads="1"/>
        </xdr:cNvSpPr>
      </xdr:nvSpPr>
      <xdr:spPr bwMode="auto">
        <a:xfrm>
          <a:off x="0" y="5064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3" name="AutoShape 1431" descr="St Louis Blues">
          <a:extLst>
            <a:ext uri="{FF2B5EF4-FFF2-40B4-BE49-F238E27FC236}">
              <a16:creationId xmlns:a16="http://schemas.microsoft.com/office/drawing/2014/main" xmlns="" id="{00000000-0008-0000-0D00-000097110000}"/>
            </a:ext>
          </a:extLst>
        </xdr:cNvPr>
        <xdr:cNvSpPr>
          <a:spLocks noChangeAspect="1" noChangeArrowheads="1"/>
        </xdr:cNvSpPr>
      </xdr:nvSpPr>
      <xdr:spPr bwMode="auto">
        <a:xfrm>
          <a:off x="0" y="50679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4" name="AutoShape 1432" descr="Columbus Blue Jackets">
          <a:extLst>
            <a:ext uri="{FF2B5EF4-FFF2-40B4-BE49-F238E27FC236}">
              <a16:creationId xmlns:a16="http://schemas.microsoft.com/office/drawing/2014/main" xmlns="" id="{00000000-0008-0000-0D00-000098110000}"/>
            </a:ext>
          </a:extLst>
        </xdr:cNvPr>
        <xdr:cNvSpPr>
          <a:spLocks noChangeAspect="1" noChangeArrowheads="1"/>
        </xdr:cNvSpPr>
      </xdr:nvSpPr>
      <xdr:spPr bwMode="auto">
        <a:xfrm>
          <a:off x="0" y="50716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5" name="AutoShape 1433" descr="Nashville Predators">
          <a:extLst>
            <a:ext uri="{FF2B5EF4-FFF2-40B4-BE49-F238E27FC236}">
              <a16:creationId xmlns:a16="http://schemas.microsoft.com/office/drawing/2014/main" xmlns="" id="{00000000-0008-0000-0D00-000099110000}"/>
            </a:ext>
          </a:extLst>
        </xdr:cNvPr>
        <xdr:cNvSpPr>
          <a:spLocks noChangeAspect="1" noChangeArrowheads="1"/>
        </xdr:cNvSpPr>
      </xdr:nvSpPr>
      <xdr:spPr bwMode="auto">
        <a:xfrm>
          <a:off x="0" y="50753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6" name="AutoShape 1434" descr="Anaheim Ducks">
          <a:extLst>
            <a:ext uri="{FF2B5EF4-FFF2-40B4-BE49-F238E27FC236}">
              <a16:creationId xmlns:a16="http://schemas.microsoft.com/office/drawing/2014/main" xmlns="" id="{00000000-0008-0000-0D00-00009A110000}"/>
            </a:ext>
          </a:extLst>
        </xdr:cNvPr>
        <xdr:cNvSpPr>
          <a:spLocks noChangeAspect="1" noChangeArrowheads="1"/>
        </xdr:cNvSpPr>
      </xdr:nvSpPr>
      <xdr:spPr bwMode="auto">
        <a:xfrm>
          <a:off x="0" y="50789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07" name="AutoShape 1435" descr="Ottawa Senators">
          <a:extLst>
            <a:ext uri="{FF2B5EF4-FFF2-40B4-BE49-F238E27FC236}">
              <a16:creationId xmlns:a16="http://schemas.microsoft.com/office/drawing/2014/main" xmlns="" id="{00000000-0008-0000-0D00-00009B110000}"/>
            </a:ext>
          </a:extLst>
        </xdr:cNvPr>
        <xdr:cNvSpPr>
          <a:spLocks noChangeAspect="1" noChangeArrowheads="1"/>
        </xdr:cNvSpPr>
      </xdr:nvSpPr>
      <xdr:spPr bwMode="auto">
        <a:xfrm>
          <a:off x="0" y="50826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8" name="AutoShape 1436" descr="Carolina Hurricanes">
          <a:extLst>
            <a:ext uri="{FF2B5EF4-FFF2-40B4-BE49-F238E27FC236}">
              <a16:creationId xmlns:a16="http://schemas.microsoft.com/office/drawing/2014/main" xmlns="" id="{00000000-0008-0000-0D00-00009C110000}"/>
            </a:ext>
          </a:extLst>
        </xdr:cNvPr>
        <xdr:cNvSpPr>
          <a:spLocks noChangeAspect="1" noChangeArrowheads="1"/>
        </xdr:cNvSpPr>
      </xdr:nvSpPr>
      <xdr:spPr bwMode="auto">
        <a:xfrm>
          <a:off x="0" y="5084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9" name="AutoShape 1437" descr="Carolina Hurricanes">
          <a:extLst>
            <a:ext uri="{FF2B5EF4-FFF2-40B4-BE49-F238E27FC236}">
              <a16:creationId xmlns:a16="http://schemas.microsoft.com/office/drawing/2014/main" xmlns="" id="{00000000-0008-0000-0D00-00009D110000}"/>
            </a:ext>
          </a:extLst>
        </xdr:cNvPr>
        <xdr:cNvSpPr>
          <a:spLocks noChangeAspect="1" noChangeArrowheads="1"/>
        </xdr:cNvSpPr>
      </xdr:nvSpPr>
      <xdr:spPr bwMode="auto">
        <a:xfrm>
          <a:off x="0" y="5088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0" name="AutoShape 1438" descr="Anaheim Ducks">
          <a:extLst>
            <a:ext uri="{FF2B5EF4-FFF2-40B4-BE49-F238E27FC236}">
              <a16:creationId xmlns:a16="http://schemas.microsoft.com/office/drawing/2014/main" xmlns="" id="{00000000-0008-0000-0D00-00009E110000}"/>
            </a:ext>
          </a:extLst>
        </xdr:cNvPr>
        <xdr:cNvSpPr>
          <a:spLocks noChangeAspect="1" noChangeArrowheads="1"/>
        </xdr:cNvSpPr>
      </xdr:nvSpPr>
      <xdr:spPr bwMode="auto">
        <a:xfrm>
          <a:off x="0" y="5091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1" name="AutoShape 1439" descr="Arizona Coyotes">
          <a:extLst>
            <a:ext uri="{FF2B5EF4-FFF2-40B4-BE49-F238E27FC236}">
              <a16:creationId xmlns:a16="http://schemas.microsoft.com/office/drawing/2014/main" xmlns="" id="{00000000-0008-0000-0D00-00009F110000}"/>
            </a:ext>
          </a:extLst>
        </xdr:cNvPr>
        <xdr:cNvSpPr>
          <a:spLocks noChangeAspect="1" noChangeArrowheads="1"/>
        </xdr:cNvSpPr>
      </xdr:nvSpPr>
      <xdr:spPr bwMode="auto">
        <a:xfrm>
          <a:off x="0" y="5095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2" name="AutoShape 1440" descr="Columbus Blue Jackets">
          <a:extLst>
            <a:ext uri="{FF2B5EF4-FFF2-40B4-BE49-F238E27FC236}">
              <a16:creationId xmlns:a16="http://schemas.microsoft.com/office/drawing/2014/main" xmlns="" id="{00000000-0008-0000-0D00-0000A0110000}"/>
            </a:ext>
          </a:extLst>
        </xdr:cNvPr>
        <xdr:cNvSpPr>
          <a:spLocks noChangeAspect="1" noChangeArrowheads="1"/>
        </xdr:cNvSpPr>
      </xdr:nvSpPr>
      <xdr:spPr bwMode="auto">
        <a:xfrm>
          <a:off x="0" y="5099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3" name="AutoShape 1441" descr="Detroit Red Wings">
          <a:extLst>
            <a:ext uri="{FF2B5EF4-FFF2-40B4-BE49-F238E27FC236}">
              <a16:creationId xmlns:a16="http://schemas.microsoft.com/office/drawing/2014/main" xmlns="" id="{00000000-0008-0000-0D00-0000A1110000}"/>
            </a:ext>
          </a:extLst>
        </xdr:cNvPr>
        <xdr:cNvSpPr>
          <a:spLocks noChangeAspect="1" noChangeArrowheads="1"/>
        </xdr:cNvSpPr>
      </xdr:nvSpPr>
      <xdr:spPr bwMode="auto">
        <a:xfrm>
          <a:off x="0" y="5102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4" name="AutoShape 1442" descr="Los Angeles Kings">
          <a:extLst>
            <a:ext uri="{FF2B5EF4-FFF2-40B4-BE49-F238E27FC236}">
              <a16:creationId xmlns:a16="http://schemas.microsoft.com/office/drawing/2014/main" xmlns="" id="{00000000-0008-0000-0D00-0000A2110000}"/>
            </a:ext>
          </a:extLst>
        </xdr:cNvPr>
        <xdr:cNvSpPr>
          <a:spLocks noChangeAspect="1" noChangeArrowheads="1"/>
        </xdr:cNvSpPr>
      </xdr:nvSpPr>
      <xdr:spPr bwMode="auto">
        <a:xfrm>
          <a:off x="0" y="5106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5" name="AutoShape 1443" descr="Tampa Bay Lightning">
          <a:extLst>
            <a:ext uri="{FF2B5EF4-FFF2-40B4-BE49-F238E27FC236}">
              <a16:creationId xmlns:a16="http://schemas.microsoft.com/office/drawing/2014/main" xmlns="" id="{00000000-0008-0000-0D00-0000A3110000}"/>
            </a:ext>
          </a:extLst>
        </xdr:cNvPr>
        <xdr:cNvSpPr>
          <a:spLocks noChangeAspect="1" noChangeArrowheads="1"/>
        </xdr:cNvSpPr>
      </xdr:nvSpPr>
      <xdr:spPr bwMode="auto">
        <a:xfrm>
          <a:off x="0" y="5110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6" name="AutoShape 1444" descr="Calgary Flames">
          <a:extLst>
            <a:ext uri="{FF2B5EF4-FFF2-40B4-BE49-F238E27FC236}">
              <a16:creationId xmlns:a16="http://schemas.microsoft.com/office/drawing/2014/main" xmlns="" id="{00000000-0008-0000-0D00-0000A4110000}"/>
            </a:ext>
          </a:extLst>
        </xdr:cNvPr>
        <xdr:cNvSpPr>
          <a:spLocks noChangeAspect="1" noChangeArrowheads="1"/>
        </xdr:cNvSpPr>
      </xdr:nvSpPr>
      <xdr:spPr bwMode="auto">
        <a:xfrm>
          <a:off x="0" y="5113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17" name="AutoShape 1445" descr="Tampa Bay Lightning">
          <a:extLst>
            <a:ext uri="{FF2B5EF4-FFF2-40B4-BE49-F238E27FC236}">
              <a16:creationId xmlns:a16="http://schemas.microsoft.com/office/drawing/2014/main" xmlns="" id="{00000000-0008-0000-0D00-0000A5110000}"/>
            </a:ext>
          </a:extLst>
        </xdr:cNvPr>
        <xdr:cNvSpPr>
          <a:spLocks noChangeAspect="1" noChangeArrowheads="1"/>
        </xdr:cNvSpPr>
      </xdr:nvSpPr>
      <xdr:spPr bwMode="auto">
        <a:xfrm>
          <a:off x="0" y="51173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8" name="AutoShape 1446" descr="Detroit Red Wings">
          <a:extLst>
            <a:ext uri="{FF2B5EF4-FFF2-40B4-BE49-F238E27FC236}">
              <a16:creationId xmlns:a16="http://schemas.microsoft.com/office/drawing/2014/main" xmlns="" id="{00000000-0008-0000-0D00-0000A6110000}"/>
            </a:ext>
          </a:extLst>
        </xdr:cNvPr>
        <xdr:cNvSpPr>
          <a:spLocks noChangeAspect="1" noChangeArrowheads="1"/>
        </xdr:cNvSpPr>
      </xdr:nvSpPr>
      <xdr:spPr bwMode="auto">
        <a:xfrm>
          <a:off x="0" y="5119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9" name="AutoShape 1447" descr="Detroit Red Wings">
          <a:extLst>
            <a:ext uri="{FF2B5EF4-FFF2-40B4-BE49-F238E27FC236}">
              <a16:creationId xmlns:a16="http://schemas.microsoft.com/office/drawing/2014/main" xmlns="" id="{00000000-0008-0000-0D00-0000A7110000}"/>
            </a:ext>
          </a:extLst>
        </xdr:cNvPr>
        <xdr:cNvSpPr>
          <a:spLocks noChangeAspect="1" noChangeArrowheads="1"/>
        </xdr:cNvSpPr>
      </xdr:nvSpPr>
      <xdr:spPr bwMode="auto">
        <a:xfrm>
          <a:off x="0" y="5122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0" name="AutoShape 1448" descr="Nashville Predators">
          <a:extLst>
            <a:ext uri="{FF2B5EF4-FFF2-40B4-BE49-F238E27FC236}">
              <a16:creationId xmlns:a16="http://schemas.microsoft.com/office/drawing/2014/main" xmlns="" id="{00000000-0008-0000-0D00-0000A8110000}"/>
            </a:ext>
          </a:extLst>
        </xdr:cNvPr>
        <xdr:cNvSpPr>
          <a:spLocks noChangeAspect="1" noChangeArrowheads="1"/>
        </xdr:cNvSpPr>
      </xdr:nvSpPr>
      <xdr:spPr bwMode="auto">
        <a:xfrm>
          <a:off x="0" y="5126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1" name="AutoShape 1449" descr="Colorado Avalanche">
          <a:extLst>
            <a:ext uri="{FF2B5EF4-FFF2-40B4-BE49-F238E27FC236}">
              <a16:creationId xmlns:a16="http://schemas.microsoft.com/office/drawing/2014/main" xmlns="" id="{00000000-0008-0000-0D00-0000A9110000}"/>
            </a:ext>
          </a:extLst>
        </xdr:cNvPr>
        <xdr:cNvSpPr>
          <a:spLocks noChangeAspect="1" noChangeArrowheads="1"/>
        </xdr:cNvSpPr>
      </xdr:nvSpPr>
      <xdr:spPr bwMode="auto">
        <a:xfrm>
          <a:off x="0" y="5130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2" name="AutoShape 1450" descr="New Jersey Devils">
          <a:extLst>
            <a:ext uri="{FF2B5EF4-FFF2-40B4-BE49-F238E27FC236}">
              <a16:creationId xmlns:a16="http://schemas.microsoft.com/office/drawing/2014/main" xmlns="" id="{00000000-0008-0000-0D00-0000AA110000}"/>
            </a:ext>
          </a:extLst>
        </xdr:cNvPr>
        <xdr:cNvSpPr>
          <a:spLocks noChangeAspect="1" noChangeArrowheads="1"/>
        </xdr:cNvSpPr>
      </xdr:nvSpPr>
      <xdr:spPr bwMode="auto">
        <a:xfrm>
          <a:off x="0" y="5133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3" name="AutoShape 1451" descr="New York Rangers">
          <a:extLst>
            <a:ext uri="{FF2B5EF4-FFF2-40B4-BE49-F238E27FC236}">
              <a16:creationId xmlns:a16="http://schemas.microsoft.com/office/drawing/2014/main" xmlns="" id="{00000000-0008-0000-0D00-0000AB110000}"/>
            </a:ext>
          </a:extLst>
        </xdr:cNvPr>
        <xdr:cNvSpPr>
          <a:spLocks noChangeAspect="1" noChangeArrowheads="1"/>
        </xdr:cNvSpPr>
      </xdr:nvSpPr>
      <xdr:spPr bwMode="auto">
        <a:xfrm>
          <a:off x="0" y="5137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4" name="AutoShape 1452" descr="St Louis Blues">
          <a:extLst>
            <a:ext uri="{FF2B5EF4-FFF2-40B4-BE49-F238E27FC236}">
              <a16:creationId xmlns:a16="http://schemas.microsoft.com/office/drawing/2014/main" xmlns="" id="{00000000-0008-0000-0D00-0000AC110000}"/>
            </a:ext>
          </a:extLst>
        </xdr:cNvPr>
        <xdr:cNvSpPr>
          <a:spLocks noChangeAspect="1" noChangeArrowheads="1"/>
        </xdr:cNvSpPr>
      </xdr:nvSpPr>
      <xdr:spPr bwMode="auto">
        <a:xfrm>
          <a:off x="0" y="5141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5" name="AutoShape 1453" descr="Tampa Bay Lightning">
          <a:extLst>
            <a:ext uri="{FF2B5EF4-FFF2-40B4-BE49-F238E27FC236}">
              <a16:creationId xmlns:a16="http://schemas.microsoft.com/office/drawing/2014/main" xmlns="" id="{00000000-0008-0000-0D00-0000AD110000}"/>
            </a:ext>
          </a:extLst>
        </xdr:cNvPr>
        <xdr:cNvSpPr>
          <a:spLocks noChangeAspect="1" noChangeArrowheads="1"/>
        </xdr:cNvSpPr>
      </xdr:nvSpPr>
      <xdr:spPr bwMode="auto">
        <a:xfrm>
          <a:off x="0" y="5142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6" name="AutoShape 1454" descr="Calgary Flames">
          <a:extLst>
            <a:ext uri="{FF2B5EF4-FFF2-40B4-BE49-F238E27FC236}">
              <a16:creationId xmlns:a16="http://schemas.microsoft.com/office/drawing/2014/main" xmlns="" id="{00000000-0008-0000-0D00-0000AE110000}"/>
            </a:ext>
          </a:extLst>
        </xdr:cNvPr>
        <xdr:cNvSpPr>
          <a:spLocks noChangeAspect="1" noChangeArrowheads="1"/>
        </xdr:cNvSpPr>
      </xdr:nvSpPr>
      <xdr:spPr bwMode="auto">
        <a:xfrm>
          <a:off x="0" y="51466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7" name="AutoShape 1455" descr="Vegas Golden Knights">
          <a:extLst>
            <a:ext uri="{FF2B5EF4-FFF2-40B4-BE49-F238E27FC236}">
              <a16:creationId xmlns:a16="http://schemas.microsoft.com/office/drawing/2014/main" xmlns="" id="{00000000-0008-0000-0D00-0000AF110000}"/>
            </a:ext>
          </a:extLst>
        </xdr:cNvPr>
        <xdr:cNvSpPr>
          <a:spLocks noChangeAspect="1" noChangeArrowheads="1"/>
        </xdr:cNvSpPr>
      </xdr:nvSpPr>
      <xdr:spPr bwMode="auto">
        <a:xfrm>
          <a:off x="0" y="51502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8" name="AutoShape 1456" descr="New Jersey Devils">
          <a:extLst>
            <a:ext uri="{FF2B5EF4-FFF2-40B4-BE49-F238E27FC236}">
              <a16:creationId xmlns:a16="http://schemas.microsoft.com/office/drawing/2014/main" xmlns="" id="{00000000-0008-0000-0D00-0000B0110000}"/>
            </a:ext>
          </a:extLst>
        </xdr:cNvPr>
        <xdr:cNvSpPr>
          <a:spLocks noChangeAspect="1" noChangeArrowheads="1"/>
        </xdr:cNvSpPr>
      </xdr:nvSpPr>
      <xdr:spPr bwMode="auto">
        <a:xfrm>
          <a:off x="0" y="51539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9" name="AutoShape 1457" descr="New York Rangers">
          <a:extLst>
            <a:ext uri="{FF2B5EF4-FFF2-40B4-BE49-F238E27FC236}">
              <a16:creationId xmlns:a16="http://schemas.microsoft.com/office/drawing/2014/main" xmlns="" id="{00000000-0008-0000-0D00-0000B1110000}"/>
            </a:ext>
          </a:extLst>
        </xdr:cNvPr>
        <xdr:cNvSpPr>
          <a:spLocks noChangeAspect="1" noChangeArrowheads="1"/>
        </xdr:cNvSpPr>
      </xdr:nvSpPr>
      <xdr:spPr bwMode="auto">
        <a:xfrm>
          <a:off x="0" y="5157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0" name="AutoShape 1458" descr="Boston Bruins">
          <a:extLst>
            <a:ext uri="{FF2B5EF4-FFF2-40B4-BE49-F238E27FC236}">
              <a16:creationId xmlns:a16="http://schemas.microsoft.com/office/drawing/2014/main" xmlns="" id="{00000000-0008-0000-0D00-0000B2110000}"/>
            </a:ext>
          </a:extLst>
        </xdr:cNvPr>
        <xdr:cNvSpPr>
          <a:spLocks noChangeAspect="1" noChangeArrowheads="1"/>
        </xdr:cNvSpPr>
      </xdr:nvSpPr>
      <xdr:spPr bwMode="auto">
        <a:xfrm>
          <a:off x="0" y="51594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1" name="AutoShape 1459" descr="Boston Bruins">
          <a:extLst>
            <a:ext uri="{FF2B5EF4-FFF2-40B4-BE49-F238E27FC236}">
              <a16:creationId xmlns:a16="http://schemas.microsoft.com/office/drawing/2014/main" xmlns="" id="{00000000-0008-0000-0D00-0000B3110000}"/>
            </a:ext>
          </a:extLst>
        </xdr:cNvPr>
        <xdr:cNvSpPr>
          <a:spLocks noChangeAspect="1" noChangeArrowheads="1"/>
        </xdr:cNvSpPr>
      </xdr:nvSpPr>
      <xdr:spPr bwMode="auto">
        <a:xfrm>
          <a:off x="0" y="51630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2" name="AutoShape 1460" descr="Carolina Hurricanes">
          <a:extLst>
            <a:ext uri="{FF2B5EF4-FFF2-40B4-BE49-F238E27FC236}">
              <a16:creationId xmlns:a16="http://schemas.microsoft.com/office/drawing/2014/main" xmlns="" id="{00000000-0008-0000-0D00-0000B4110000}"/>
            </a:ext>
          </a:extLst>
        </xdr:cNvPr>
        <xdr:cNvSpPr>
          <a:spLocks noChangeAspect="1" noChangeArrowheads="1"/>
        </xdr:cNvSpPr>
      </xdr:nvSpPr>
      <xdr:spPr bwMode="auto">
        <a:xfrm>
          <a:off x="0" y="51667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3" name="AutoShape 1461" descr="Anaheim Ducks">
          <a:extLst>
            <a:ext uri="{FF2B5EF4-FFF2-40B4-BE49-F238E27FC236}">
              <a16:creationId xmlns:a16="http://schemas.microsoft.com/office/drawing/2014/main" xmlns="" id="{00000000-0008-0000-0D00-0000B5110000}"/>
            </a:ext>
          </a:extLst>
        </xdr:cNvPr>
        <xdr:cNvSpPr>
          <a:spLocks noChangeAspect="1" noChangeArrowheads="1"/>
        </xdr:cNvSpPr>
      </xdr:nvSpPr>
      <xdr:spPr bwMode="auto">
        <a:xfrm>
          <a:off x="0" y="5170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34" name="AutoShape 1462" descr="St Louis Blues">
          <a:extLst>
            <a:ext uri="{FF2B5EF4-FFF2-40B4-BE49-F238E27FC236}">
              <a16:creationId xmlns:a16="http://schemas.microsoft.com/office/drawing/2014/main" xmlns="" id="{00000000-0008-0000-0D00-0000B6110000}"/>
            </a:ext>
          </a:extLst>
        </xdr:cNvPr>
        <xdr:cNvSpPr>
          <a:spLocks noChangeAspect="1" noChangeArrowheads="1"/>
        </xdr:cNvSpPr>
      </xdr:nvSpPr>
      <xdr:spPr bwMode="auto">
        <a:xfrm>
          <a:off x="0" y="51722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5" name="AutoShape 1463" descr="Arizona Coyotes">
          <a:extLst>
            <a:ext uri="{FF2B5EF4-FFF2-40B4-BE49-F238E27FC236}">
              <a16:creationId xmlns:a16="http://schemas.microsoft.com/office/drawing/2014/main" xmlns="" id="{00000000-0008-0000-0D00-0000B7110000}"/>
            </a:ext>
          </a:extLst>
        </xdr:cNvPr>
        <xdr:cNvSpPr>
          <a:spLocks noChangeAspect="1" noChangeArrowheads="1"/>
        </xdr:cNvSpPr>
      </xdr:nvSpPr>
      <xdr:spPr bwMode="auto">
        <a:xfrm>
          <a:off x="0" y="5174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6" name="AutoShape 1464" descr="Chicago Blackhawks">
          <a:extLst>
            <a:ext uri="{FF2B5EF4-FFF2-40B4-BE49-F238E27FC236}">
              <a16:creationId xmlns:a16="http://schemas.microsoft.com/office/drawing/2014/main" xmlns="" id="{00000000-0008-0000-0D00-0000B8110000}"/>
            </a:ext>
          </a:extLst>
        </xdr:cNvPr>
        <xdr:cNvSpPr>
          <a:spLocks noChangeAspect="1" noChangeArrowheads="1"/>
        </xdr:cNvSpPr>
      </xdr:nvSpPr>
      <xdr:spPr bwMode="auto">
        <a:xfrm>
          <a:off x="0" y="5177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7" name="AutoShape 1465" descr="Boston Bruins">
          <a:extLst>
            <a:ext uri="{FF2B5EF4-FFF2-40B4-BE49-F238E27FC236}">
              <a16:creationId xmlns:a16="http://schemas.microsoft.com/office/drawing/2014/main" xmlns="" id="{00000000-0008-0000-0D00-0000B9110000}"/>
            </a:ext>
          </a:extLst>
        </xdr:cNvPr>
        <xdr:cNvSpPr>
          <a:spLocks noChangeAspect="1" noChangeArrowheads="1"/>
        </xdr:cNvSpPr>
      </xdr:nvSpPr>
      <xdr:spPr bwMode="auto">
        <a:xfrm>
          <a:off x="0" y="5181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8" name="AutoShape 1466" descr="Anaheim Ducks">
          <a:extLst>
            <a:ext uri="{FF2B5EF4-FFF2-40B4-BE49-F238E27FC236}">
              <a16:creationId xmlns:a16="http://schemas.microsoft.com/office/drawing/2014/main" xmlns="" id="{00000000-0008-0000-0D00-0000BA110000}"/>
            </a:ext>
          </a:extLst>
        </xdr:cNvPr>
        <xdr:cNvSpPr>
          <a:spLocks noChangeAspect="1" noChangeArrowheads="1"/>
        </xdr:cNvSpPr>
      </xdr:nvSpPr>
      <xdr:spPr bwMode="auto">
        <a:xfrm>
          <a:off x="0" y="5185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9" name="AutoShape 1467" descr="Edmonton Oilers">
          <a:extLst>
            <a:ext uri="{FF2B5EF4-FFF2-40B4-BE49-F238E27FC236}">
              <a16:creationId xmlns:a16="http://schemas.microsoft.com/office/drawing/2014/main" xmlns="" id="{00000000-0008-0000-0D00-0000BB110000}"/>
            </a:ext>
          </a:extLst>
        </xdr:cNvPr>
        <xdr:cNvSpPr>
          <a:spLocks noChangeAspect="1" noChangeArrowheads="1"/>
        </xdr:cNvSpPr>
      </xdr:nvSpPr>
      <xdr:spPr bwMode="auto">
        <a:xfrm>
          <a:off x="0" y="51868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0" name="AutoShape 1468" descr="Carolina Hurricanes">
          <a:extLst>
            <a:ext uri="{FF2B5EF4-FFF2-40B4-BE49-F238E27FC236}">
              <a16:creationId xmlns:a16="http://schemas.microsoft.com/office/drawing/2014/main" xmlns="" id="{00000000-0008-0000-0D00-0000BC110000}"/>
            </a:ext>
          </a:extLst>
        </xdr:cNvPr>
        <xdr:cNvSpPr>
          <a:spLocks noChangeAspect="1" noChangeArrowheads="1"/>
        </xdr:cNvSpPr>
      </xdr:nvSpPr>
      <xdr:spPr bwMode="auto">
        <a:xfrm>
          <a:off x="0" y="51905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1" name="AutoShape 1469" descr="Philadelphia Flyers">
          <a:extLst>
            <a:ext uri="{FF2B5EF4-FFF2-40B4-BE49-F238E27FC236}">
              <a16:creationId xmlns:a16="http://schemas.microsoft.com/office/drawing/2014/main" xmlns="" id="{00000000-0008-0000-0D00-0000BD110000}"/>
            </a:ext>
          </a:extLst>
        </xdr:cNvPr>
        <xdr:cNvSpPr>
          <a:spLocks noChangeAspect="1" noChangeArrowheads="1"/>
        </xdr:cNvSpPr>
      </xdr:nvSpPr>
      <xdr:spPr bwMode="auto">
        <a:xfrm>
          <a:off x="0" y="5194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2" name="AutoShape 1470" descr="Montreal Canadiens">
          <a:extLst>
            <a:ext uri="{FF2B5EF4-FFF2-40B4-BE49-F238E27FC236}">
              <a16:creationId xmlns:a16="http://schemas.microsoft.com/office/drawing/2014/main" xmlns="" id="{00000000-0008-0000-0D00-0000BE110000}"/>
            </a:ext>
          </a:extLst>
        </xdr:cNvPr>
        <xdr:cNvSpPr>
          <a:spLocks noChangeAspect="1" noChangeArrowheads="1"/>
        </xdr:cNvSpPr>
      </xdr:nvSpPr>
      <xdr:spPr bwMode="auto">
        <a:xfrm>
          <a:off x="0" y="51978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3" name="AutoShape 1471" descr="Washington Capitals">
          <a:extLst>
            <a:ext uri="{FF2B5EF4-FFF2-40B4-BE49-F238E27FC236}">
              <a16:creationId xmlns:a16="http://schemas.microsoft.com/office/drawing/2014/main" xmlns="" id="{00000000-0008-0000-0D00-0000BF110000}"/>
            </a:ext>
          </a:extLst>
        </xdr:cNvPr>
        <xdr:cNvSpPr>
          <a:spLocks noChangeAspect="1" noChangeArrowheads="1"/>
        </xdr:cNvSpPr>
      </xdr:nvSpPr>
      <xdr:spPr bwMode="auto">
        <a:xfrm>
          <a:off x="0" y="5199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4" name="AutoShape 1472" descr="Columbus Blue Jackets">
          <a:extLst>
            <a:ext uri="{FF2B5EF4-FFF2-40B4-BE49-F238E27FC236}">
              <a16:creationId xmlns:a16="http://schemas.microsoft.com/office/drawing/2014/main" xmlns="" id="{00000000-0008-0000-0D00-0000C0110000}"/>
            </a:ext>
          </a:extLst>
        </xdr:cNvPr>
        <xdr:cNvSpPr>
          <a:spLocks noChangeAspect="1" noChangeArrowheads="1"/>
        </xdr:cNvSpPr>
      </xdr:nvSpPr>
      <xdr:spPr bwMode="auto">
        <a:xfrm>
          <a:off x="0" y="5203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5" name="AutoShape 1473" descr="Ottawa Senators">
          <a:extLst>
            <a:ext uri="{FF2B5EF4-FFF2-40B4-BE49-F238E27FC236}">
              <a16:creationId xmlns:a16="http://schemas.microsoft.com/office/drawing/2014/main" xmlns="" id="{00000000-0008-0000-0D00-0000C1110000}"/>
            </a:ext>
          </a:extLst>
        </xdr:cNvPr>
        <xdr:cNvSpPr>
          <a:spLocks noChangeAspect="1" noChangeArrowheads="1"/>
        </xdr:cNvSpPr>
      </xdr:nvSpPr>
      <xdr:spPr bwMode="auto">
        <a:xfrm>
          <a:off x="0" y="52051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6" name="AutoShape 1474" descr="Vancouver Canucks">
          <a:extLst>
            <a:ext uri="{FF2B5EF4-FFF2-40B4-BE49-F238E27FC236}">
              <a16:creationId xmlns:a16="http://schemas.microsoft.com/office/drawing/2014/main" xmlns="" id="{00000000-0008-0000-0D00-0000C2110000}"/>
            </a:ext>
          </a:extLst>
        </xdr:cNvPr>
        <xdr:cNvSpPr>
          <a:spLocks noChangeAspect="1" noChangeArrowheads="1"/>
        </xdr:cNvSpPr>
      </xdr:nvSpPr>
      <xdr:spPr bwMode="auto">
        <a:xfrm>
          <a:off x="0" y="52088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7" name="AutoShape 1475" descr="Toronto Maple Leafs">
          <a:extLst>
            <a:ext uri="{FF2B5EF4-FFF2-40B4-BE49-F238E27FC236}">
              <a16:creationId xmlns:a16="http://schemas.microsoft.com/office/drawing/2014/main" xmlns="" id="{00000000-0008-0000-0D00-0000C3110000}"/>
            </a:ext>
          </a:extLst>
        </xdr:cNvPr>
        <xdr:cNvSpPr>
          <a:spLocks noChangeAspect="1" noChangeArrowheads="1"/>
        </xdr:cNvSpPr>
      </xdr:nvSpPr>
      <xdr:spPr bwMode="auto">
        <a:xfrm>
          <a:off x="0" y="52124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8" name="AutoShape 1476" descr="Toronto Maple Leafs">
          <a:extLst>
            <a:ext uri="{FF2B5EF4-FFF2-40B4-BE49-F238E27FC236}">
              <a16:creationId xmlns:a16="http://schemas.microsoft.com/office/drawing/2014/main" xmlns="" id="{00000000-0008-0000-0D00-0000C4110000}"/>
            </a:ext>
          </a:extLst>
        </xdr:cNvPr>
        <xdr:cNvSpPr>
          <a:spLocks noChangeAspect="1" noChangeArrowheads="1"/>
        </xdr:cNvSpPr>
      </xdr:nvSpPr>
      <xdr:spPr bwMode="auto">
        <a:xfrm>
          <a:off x="0" y="52161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9" name="AutoShape 1477" descr="Washington Capitals">
          <a:extLst>
            <a:ext uri="{FF2B5EF4-FFF2-40B4-BE49-F238E27FC236}">
              <a16:creationId xmlns:a16="http://schemas.microsoft.com/office/drawing/2014/main" xmlns="" id="{00000000-0008-0000-0D00-0000C5110000}"/>
            </a:ext>
          </a:extLst>
        </xdr:cNvPr>
        <xdr:cNvSpPr>
          <a:spLocks noChangeAspect="1" noChangeArrowheads="1"/>
        </xdr:cNvSpPr>
      </xdr:nvSpPr>
      <xdr:spPr bwMode="auto">
        <a:xfrm>
          <a:off x="0" y="5219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0" name="AutoShape 1478" descr="Boston Bruins">
          <a:extLst>
            <a:ext uri="{FF2B5EF4-FFF2-40B4-BE49-F238E27FC236}">
              <a16:creationId xmlns:a16="http://schemas.microsoft.com/office/drawing/2014/main" xmlns="" id="{00000000-0008-0000-0D00-0000C6110000}"/>
            </a:ext>
          </a:extLst>
        </xdr:cNvPr>
        <xdr:cNvSpPr>
          <a:spLocks noChangeAspect="1" noChangeArrowheads="1"/>
        </xdr:cNvSpPr>
      </xdr:nvSpPr>
      <xdr:spPr bwMode="auto">
        <a:xfrm>
          <a:off x="0" y="5223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1" name="AutoShape 1479" descr="St Louis Blues">
          <a:extLst>
            <a:ext uri="{FF2B5EF4-FFF2-40B4-BE49-F238E27FC236}">
              <a16:creationId xmlns:a16="http://schemas.microsoft.com/office/drawing/2014/main" xmlns="" id="{00000000-0008-0000-0D00-0000C7110000}"/>
            </a:ext>
          </a:extLst>
        </xdr:cNvPr>
        <xdr:cNvSpPr>
          <a:spLocks noChangeAspect="1" noChangeArrowheads="1"/>
        </xdr:cNvSpPr>
      </xdr:nvSpPr>
      <xdr:spPr bwMode="auto">
        <a:xfrm>
          <a:off x="0" y="5227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2" name="AutoShape 1480" descr="Calgary Flames">
          <a:extLst>
            <a:ext uri="{FF2B5EF4-FFF2-40B4-BE49-F238E27FC236}">
              <a16:creationId xmlns:a16="http://schemas.microsoft.com/office/drawing/2014/main" xmlns="" id="{00000000-0008-0000-0D00-0000C8110000}"/>
            </a:ext>
          </a:extLst>
        </xdr:cNvPr>
        <xdr:cNvSpPr>
          <a:spLocks noChangeAspect="1" noChangeArrowheads="1"/>
        </xdr:cNvSpPr>
      </xdr:nvSpPr>
      <xdr:spPr bwMode="auto">
        <a:xfrm>
          <a:off x="0" y="5230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3" name="AutoShape 1481" descr="Calgary Flames">
          <a:extLst>
            <a:ext uri="{FF2B5EF4-FFF2-40B4-BE49-F238E27FC236}">
              <a16:creationId xmlns:a16="http://schemas.microsoft.com/office/drawing/2014/main" xmlns="" id="{00000000-0008-0000-0D00-0000C9110000}"/>
            </a:ext>
          </a:extLst>
        </xdr:cNvPr>
        <xdr:cNvSpPr>
          <a:spLocks noChangeAspect="1" noChangeArrowheads="1"/>
        </xdr:cNvSpPr>
      </xdr:nvSpPr>
      <xdr:spPr bwMode="auto">
        <a:xfrm>
          <a:off x="0" y="52344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4" name="AutoShape 1482" descr="Buffalo Sabres">
          <a:extLst>
            <a:ext uri="{FF2B5EF4-FFF2-40B4-BE49-F238E27FC236}">
              <a16:creationId xmlns:a16="http://schemas.microsoft.com/office/drawing/2014/main" xmlns="" id="{00000000-0008-0000-0D00-0000CA110000}"/>
            </a:ext>
          </a:extLst>
        </xdr:cNvPr>
        <xdr:cNvSpPr>
          <a:spLocks noChangeAspect="1" noChangeArrowheads="1"/>
        </xdr:cNvSpPr>
      </xdr:nvSpPr>
      <xdr:spPr bwMode="auto">
        <a:xfrm>
          <a:off x="0" y="5238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5" name="AutoShape 1483" descr="Anaheim Ducks">
          <a:extLst>
            <a:ext uri="{FF2B5EF4-FFF2-40B4-BE49-F238E27FC236}">
              <a16:creationId xmlns:a16="http://schemas.microsoft.com/office/drawing/2014/main" xmlns="" id="{00000000-0008-0000-0D00-0000CB110000}"/>
            </a:ext>
          </a:extLst>
        </xdr:cNvPr>
        <xdr:cNvSpPr>
          <a:spLocks noChangeAspect="1" noChangeArrowheads="1"/>
        </xdr:cNvSpPr>
      </xdr:nvSpPr>
      <xdr:spPr bwMode="auto">
        <a:xfrm>
          <a:off x="0" y="5241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6" name="AutoShape 1484" descr="San Jose Sharks">
          <a:extLst>
            <a:ext uri="{FF2B5EF4-FFF2-40B4-BE49-F238E27FC236}">
              <a16:creationId xmlns:a16="http://schemas.microsoft.com/office/drawing/2014/main" xmlns="" id="{00000000-0008-0000-0D00-0000CC110000}"/>
            </a:ext>
          </a:extLst>
        </xdr:cNvPr>
        <xdr:cNvSpPr>
          <a:spLocks noChangeAspect="1" noChangeArrowheads="1"/>
        </xdr:cNvSpPr>
      </xdr:nvSpPr>
      <xdr:spPr bwMode="auto">
        <a:xfrm>
          <a:off x="0" y="52453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57" name="AutoShape 1485" descr="St Louis Blues">
          <a:extLst>
            <a:ext uri="{FF2B5EF4-FFF2-40B4-BE49-F238E27FC236}">
              <a16:creationId xmlns:a16="http://schemas.microsoft.com/office/drawing/2014/main" xmlns="" id="{00000000-0008-0000-0D00-0000CD110000}"/>
            </a:ext>
          </a:extLst>
        </xdr:cNvPr>
        <xdr:cNvSpPr>
          <a:spLocks noChangeAspect="1" noChangeArrowheads="1"/>
        </xdr:cNvSpPr>
      </xdr:nvSpPr>
      <xdr:spPr bwMode="auto">
        <a:xfrm>
          <a:off x="0" y="52490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8" name="AutoShape 1486" descr="New York Islanders">
          <a:extLst>
            <a:ext uri="{FF2B5EF4-FFF2-40B4-BE49-F238E27FC236}">
              <a16:creationId xmlns:a16="http://schemas.microsoft.com/office/drawing/2014/main" xmlns="" id="{00000000-0008-0000-0D00-0000CE110000}"/>
            </a:ext>
          </a:extLst>
        </xdr:cNvPr>
        <xdr:cNvSpPr>
          <a:spLocks noChangeAspect="1" noChangeArrowheads="1"/>
        </xdr:cNvSpPr>
      </xdr:nvSpPr>
      <xdr:spPr bwMode="auto">
        <a:xfrm>
          <a:off x="0" y="5250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9" name="AutoShape 1487" descr="Toronto Maple Leafs">
          <a:extLst>
            <a:ext uri="{FF2B5EF4-FFF2-40B4-BE49-F238E27FC236}">
              <a16:creationId xmlns:a16="http://schemas.microsoft.com/office/drawing/2014/main" xmlns="" id="{00000000-0008-0000-0D00-0000CF110000}"/>
            </a:ext>
          </a:extLst>
        </xdr:cNvPr>
        <xdr:cNvSpPr>
          <a:spLocks noChangeAspect="1" noChangeArrowheads="1"/>
        </xdr:cNvSpPr>
      </xdr:nvSpPr>
      <xdr:spPr bwMode="auto">
        <a:xfrm>
          <a:off x="0" y="5256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0" name="AutoShape 1488" descr="Winnipeg Jets">
          <a:extLst>
            <a:ext uri="{FF2B5EF4-FFF2-40B4-BE49-F238E27FC236}">
              <a16:creationId xmlns:a16="http://schemas.microsoft.com/office/drawing/2014/main" xmlns="" id="{00000000-0008-0000-0D00-0000D0110000}"/>
            </a:ext>
          </a:extLst>
        </xdr:cNvPr>
        <xdr:cNvSpPr>
          <a:spLocks noChangeAspect="1" noChangeArrowheads="1"/>
        </xdr:cNvSpPr>
      </xdr:nvSpPr>
      <xdr:spPr bwMode="auto">
        <a:xfrm>
          <a:off x="0" y="5260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1" name="AutoShape 1489" descr="New Jersey Devils">
          <a:extLst>
            <a:ext uri="{FF2B5EF4-FFF2-40B4-BE49-F238E27FC236}">
              <a16:creationId xmlns:a16="http://schemas.microsoft.com/office/drawing/2014/main" xmlns="" id="{00000000-0008-0000-0D00-0000D1110000}"/>
            </a:ext>
          </a:extLst>
        </xdr:cNvPr>
        <xdr:cNvSpPr>
          <a:spLocks noChangeAspect="1" noChangeArrowheads="1"/>
        </xdr:cNvSpPr>
      </xdr:nvSpPr>
      <xdr:spPr bwMode="auto">
        <a:xfrm>
          <a:off x="0" y="5263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2" name="AutoShape 1490" descr="Ottawa Senators">
          <a:extLst>
            <a:ext uri="{FF2B5EF4-FFF2-40B4-BE49-F238E27FC236}">
              <a16:creationId xmlns:a16="http://schemas.microsoft.com/office/drawing/2014/main" xmlns="" id="{00000000-0008-0000-0D00-0000D2110000}"/>
            </a:ext>
          </a:extLst>
        </xdr:cNvPr>
        <xdr:cNvSpPr>
          <a:spLocks noChangeAspect="1" noChangeArrowheads="1"/>
        </xdr:cNvSpPr>
      </xdr:nvSpPr>
      <xdr:spPr bwMode="auto">
        <a:xfrm>
          <a:off x="0" y="5267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3" name="AutoShape 1491" descr="Winnipeg Jets">
          <a:extLst>
            <a:ext uri="{FF2B5EF4-FFF2-40B4-BE49-F238E27FC236}">
              <a16:creationId xmlns:a16="http://schemas.microsoft.com/office/drawing/2014/main" xmlns="" id="{00000000-0008-0000-0D00-0000D3110000}"/>
            </a:ext>
          </a:extLst>
        </xdr:cNvPr>
        <xdr:cNvSpPr>
          <a:spLocks noChangeAspect="1" noChangeArrowheads="1"/>
        </xdr:cNvSpPr>
      </xdr:nvSpPr>
      <xdr:spPr bwMode="auto">
        <a:xfrm>
          <a:off x="0" y="5270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4" name="AutoShape 1492" descr="Toronto Maple Leafs">
          <a:extLst>
            <a:ext uri="{FF2B5EF4-FFF2-40B4-BE49-F238E27FC236}">
              <a16:creationId xmlns:a16="http://schemas.microsoft.com/office/drawing/2014/main" xmlns="" id="{00000000-0008-0000-0D00-0000D4110000}"/>
            </a:ext>
          </a:extLst>
        </xdr:cNvPr>
        <xdr:cNvSpPr>
          <a:spLocks noChangeAspect="1" noChangeArrowheads="1"/>
        </xdr:cNvSpPr>
      </xdr:nvSpPr>
      <xdr:spPr bwMode="auto">
        <a:xfrm>
          <a:off x="0" y="5272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5" name="AutoShape 1493" descr="Columbus Blue Jackets">
          <a:extLst>
            <a:ext uri="{FF2B5EF4-FFF2-40B4-BE49-F238E27FC236}">
              <a16:creationId xmlns:a16="http://schemas.microsoft.com/office/drawing/2014/main" xmlns="" id="{00000000-0008-0000-0D00-0000D5110000}"/>
            </a:ext>
          </a:extLst>
        </xdr:cNvPr>
        <xdr:cNvSpPr>
          <a:spLocks noChangeAspect="1" noChangeArrowheads="1"/>
        </xdr:cNvSpPr>
      </xdr:nvSpPr>
      <xdr:spPr bwMode="auto">
        <a:xfrm>
          <a:off x="0" y="5276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6" name="AutoShape 1494" descr="Philadelphia Flyers">
          <a:extLst>
            <a:ext uri="{FF2B5EF4-FFF2-40B4-BE49-F238E27FC236}">
              <a16:creationId xmlns:a16="http://schemas.microsoft.com/office/drawing/2014/main" xmlns="" id="{00000000-0008-0000-0D00-0000D6110000}"/>
            </a:ext>
          </a:extLst>
        </xdr:cNvPr>
        <xdr:cNvSpPr>
          <a:spLocks noChangeAspect="1" noChangeArrowheads="1"/>
        </xdr:cNvSpPr>
      </xdr:nvSpPr>
      <xdr:spPr bwMode="auto">
        <a:xfrm>
          <a:off x="0" y="5280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7" name="AutoShape 1495" descr="Florida Panthers">
          <a:extLst>
            <a:ext uri="{FF2B5EF4-FFF2-40B4-BE49-F238E27FC236}">
              <a16:creationId xmlns:a16="http://schemas.microsoft.com/office/drawing/2014/main" xmlns="" id="{00000000-0008-0000-0D00-0000D7110000}"/>
            </a:ext>
          </a:extLst>
        </xdr:cNvPr>
        <xdr:cNvSpPr>
          <a:spLocks noChangeAspect="1" noChangeArrowheads="1"/>
        </xdr:cNvSpPr>
      </xdr:nvSpPr>
      <xdr:spPr bwMode="auto">
        <a:xfrm>
          <a:off x="0" y="5283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8" name="AutoShape 1496" descr="Vancouver Canucks">
          <a:extLst>
            <a:ext uri="{FF2B5EF4-FFF2-40B4-BE49-F238E27FC236}">
              <a16:creationId xmlns:a16="http://schemas.microsoft.com/office/drawing/2014/main" xmlns="" id="{00000000-0008-0000-0D00-0000D8110000}"/>
            </a:ext>
          </a:extLst>
        </xdr:cNvPr>
        <xdr:cNvSpPr>
          <a:spLocks noChangeAspect="1" noChangeArrowheads="1"/>
        </xdr:cNvSpPr>
      </xdr:nvSpPr>
      <xdr:spPr bwMode="auto">
        <a:xfrm>
          <a:off x="0" y="5287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69" name="AutoShape 1497" descr="New Jersey Devils">
          <a:extLst>
            <a:ext uri="{FF2B5EF4-FFF2-40B4-BE49-F238E27FC236}">
              <a16:creationId xmlns:a16="http://schemas.microsoft.com/office/drawing/2014/main" xmlns="" id="{00000000-0008-0000-0D00-0000D9110000}"/>
            </a:ext>
          </a:extLst>
        </xdr:cNvPr>
        <xdr:cNvSpPr>
          <a:spLocks noChangeAspect="1" noChangeArrowheads="1"/>
        </xdr:cNvSpPr>
      </xdr:nvSpPr>
      <xdr:spPr bwMode="auto">
        <a:xfrm>
          <a:off x="0" y="52892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0" name="AutoShape 1498" descr="Montreal Canadiens">
          <a:extLst>
            <a:ext uri="{FF2B5EF4-FFF2-40B4-BE49-F238E27FC236}">
              <a16:creationId xmlns:a16="http://schemas.microsoft.com/office/drawing/2014/main" xmlns="" id="{00000000-0008-0000-0D00-0000DA110000}"/>
            </a:ext>
          </a:extLst>
        </xdr:cNvPr>
        <xdr:cNvSpPr>
          <a:spLocks noChangeAspect="1" noChangeArrowheads="1"/>
        </xdr:cNvSpPr>
      </xdr:nvSpPr>
      <xdr:spPr bwMode="auto">
        <a:xfrm>
          <a:off x="0" y="5291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1" name="AutoShape 1499" descr="New York Rangers">
          <a:extLst>
            <a:ext uri="{FF2B5EF4-FFF2-40B4-BE49-F238E27FC236}">
              <a16:creationId xmlns:a16="http://schemas.microsoft.com/office/drawing/2014/main" xmlns="" id="{00000000-0008-0000-0D00-0000DB110000}"/>
            </a:ext>
          </a:extLst>
        </xdr:cNvPr>
        <xdr:cNvSpPr>
          <a:spLocks noChangeAspect="1" noChangeArrowheads="1"/>
        </xdr:cNvSpPr>
      </xdr:nvSpPr>
      <xdr:spPr bwMode="auto">
        <a:xfrm>
          <a:off x="0" y="5294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2" name="AutoShape 1500" descr="Arizona Coyotes">
          <a:extLst>
            <a:ext uri="{FF2B5EF4-FFF2-40B4-BE49-F238E27FC236}">
              <a16:creationId xmlns:a16="http://schemas.microsoft.com/office/drawing/2014/main" xmlns="" id="{00000000-0008-0000-0D00-0000DC110000}"/>
            </a:ext>
          </a:extLst>
        </xdr:cNvPr>
        <xdr:cNvSpPr>
          <a:spLocks noChangeAspect="1" noChangeArrowheads="1"/>
        </xdr:cNvSpPr>
      </xdr:nvSpPr>
      <xdr:spPr bwMode="auto">
        <a:xfrm>
          <a:off x="0" y="5298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3" name="AutoShape 1501" descr="Colorado Avalanche">
          <a:extLst>
            <a:ext uri="{FF2B5EF4-FFF2-40B4-BE49-F238E27FC236}">
              <a16:creationId xmlns:a16="http://schemas.microsoft.com/office/drawing/2014/main" xmlns="" id="{00000000-0008-0000-0D00-0000DD110000}"/>
            </a:ext>
          </a:extLst>
        </xdr:cNvPr>
        <xdr:cNvSpPr>
          <a:spLocks noChangeAspect="1" noChangeArrowheads="1"/>
        </xdr:cNvSpPr>
      </xdr:nvSpPr>
      <xdr:spPr bwMode="auto">
        <a:xfrm>
          <a:off x="0" y="5302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4" name="AutoShape 1502" descr="Detroit Red Wings">
          <a:extLst>
            <a:ext uri="{FF2B5EF4-FFF2-40B4-BE49-F238E27FC236}">
              <a16:creationId xmlns:a16="http://schemas.microsoft.com/office/drawing/2014/main" xmlns="" id="{00000000-0008-0000-0D00-0000DE110000}"/>
            </a:ext>
          </a:extLst>
        </xdr:cNvPr>
        <xdr:cNvSpPr>
          <a:spLocks noChangeAspect="1" noChangeArrowheads="1"/>
        </xdr:cNvSpPr>
      </xdr:nvSpPr>
      <xdr:spPr bwMode="auto">
        <a:xfrm>
          <a:off x="0" y="5303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5" name="AutoShape 1503" descr="Tampa Bay Lightning">
          <a:extLst>
            <a:ext uri="{FF2B5EF4-FFF2-40B4-BE49-F238E27FC236}">
              <a16:creationId xmlns:a16="http://schemas.microsoft.com/office/drawing/2014/main" xmlns="" id="{00000000-0008-0000-0D00-0000DF110000}"/>
            </a:ext>
          </a:extLst>
        </xdr:cNvPr>
        <xdr:cNvSpPr>
          <a:spLocks noChangeAspect="1" noChangeArrowheads="1"/>
        </xdr:cNvSpPr>
      </xdr:nvSpPr>
      <xdr:spPr bwMode="auto">
        <a:xfrm>
          <a:off x="0" y="5305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6" name="AutoShape 1504" descr="Florida Panthers">
          <a:extLst>
            <a:ext uri="{FF2B5EF4-FFF2-40B4-BE49-F238E27FC236}">
              <a16:creationId xmlns:a16="http://schemas.microsoft.com/office/drawing/2014/main" xmlns="" id="{00000000-0008-0000-0D00-0000E0110000}"/>
            </a:ext>
          </a:extLst>
        </xdr:cNvPr>
        <xdr:cNvSpPr>
          <a:spLocks noChangeAspect="1" noChangeArrowheads="1"/>
        </xdr:cNvSpPr>
      </xdr:nvSpPr>
      <xdr:spPr bwMode="auto">
        <a:xfrm>
          <a:off x="0" y="5309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7" name="AutoShape 1505" descr="Los Angeles Kings">
          <a:extLst>
            <a:ext uri="{FF2B5EF4-FFF2-40B4-BE49-F238E27FC236}">
              <a16:creationId xmlns:a16="http://schemas.microsoft.com/office/drawing/2014/main" xmlns="" id="{00000000-0008-0000-0D00-0000E1110000}"/>
            </a:ext>
          </a:extLst>
        </xdr:cNvPr>
        <xdr:cNvSpPr>
          <a:spLocks noChangeAspect="1" noChangeArrowheads="1"/>
        </xdr:cNvSpPr>
      </xdr:nvSpPr>
      <xdr:spPr bwMode="auto">
        <a:xfrm>
          <a:off x="0" y="53112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8" name="AutoShape 1506" descr="Columbus Blue Jackets">
          <a:extLst>
            <a:ext uri="{FF2B5EF4-FFF2-40B4-BE49-F238E27FC236}">
              <a16:creationId xmlns:a16="http://schemas.microsoft.com/office/drawing/2014/main" xmlns="" id="{00000000-0008-0000-0D00-0000E2110000}"/>
            </a:ext>
          </a:extLst>
        </xdr:cNvPr>
        <xdr:cNvSpPr>
          <a:spLocks noChangeAspect="1" noChangeArrowheads="1"/>
        </xdr:cNvSpPr>
      </xdr:nvSpPr>
      <xdr:spPr bwMode="auto">
        <a:xfrm>
          <a:off x="0" y="53148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9" name="AutoShape 1507" descr="Ottawa Senators">
          <a:extLst>
            <a:ext uri="{FF2B5EF4-FFF2-40B4-BE49-F238E27FC236}">
              <a16:creationId xmlns:a16="http://schemas.microsoft.com/office/drawing/2014/main" xmlns="" id="{00000000-0008-0000-0D00-0000E3110000}"/>
            </a:ext>
          </a:extLst>
        </xdr:cNvPr>
        <xdr:cNvSpPr>
          <a:spLocks noChangeAspect="1" noChangeArrowheads="1"/>
        </xdr:cNvSpPr>
      </xdr:nvSpPr>
      <xdr:spPr bwMode="auto">
        <a:xfrm>
          <a:off x="0" y="5318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0" name="AutoShape 1508" descr="San Jose Sharks">
          <a:extLst>
            <a:ext uri="{FF2B5EF4-FFF2-40B4-BE49-F238E27FC236}">
              <a16:creationId xmlns:a16="http://schemas.microsoft.com/office/drawing/2014/main" xmlns="" id="{00000000-0008-0000-0D00-0000E4110000}"/>
            </a:ext>
          </a:extLst>
        </xdr:cNvPr>
        <xdr:cNvSpPr>
          <a:spLocks noChangeAspect="1" noChangeArrowheads="1"/>
        </xdr:cNvSpPr>
      </xdr:nvSpPr>
      <xdr:spPr bwMode="auto">
        <a:xfrm>
          <a:off x="0" y="5322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1" name="AutoShape 1509" descr="Minnesota Wild">
          <a:extLst>
            <a:ext uri="{FF2B5EF4-FFF2-40B4-BE49-F238E27FC236}">
              <a16:creationId xmlns:a16="http://schemas.microsoft.com/office/drawing/2014/main" xmlns="" id="{00000000-0008-0000-0D00-0000E5110000}"/>
            </a:ext>
          </a:extLst>
        </xdr:cNvPr>
        <xdr:cNvSpPr>
          <a:spLocks noChangeAspect="1" noChangeArrowheads="1"/>
        </xdr:cNvSpPr>
      </xdr:nvSpPr>
      <xdr:spPr bwMode="auto">
        <a:xfrm>
          <a:off x="0" y="5325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2" name="AutoShape 1510" descr="Vegas Golden Knights">
          <a:extLst>
            <a:ext uri="{FF2B5EF4-FFF2-40B4-BE49-F238E27FC236}">
              <a16:creationId xmlns:a16="http://schemas.microsoft.com/office/drawing/2014/main" xmlns="" id="{00000000-0008-0000-0D00-0000E6110000}"/>
            </a:ext>
          </a:extLst>
        </xdr:cNvPr>
        <xdr:cNvSpPr>
          <a:spLocks noChangeAspect="1" noChangeArrowheads="1"/>
        </xdr:cNvSpPr>
      </xdr:nvSpPr>
      <xdr:spPr bwMode="auto">
        <a:xfrm>
          <a:off x="0" y="5329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3" name="AutoShape 1511" descr="Philadelphia Flyers">
          <a:extLst>
            <a:ext uri="{FF2B5EF4-FFF2-40B4-BE49-F238E27FC236}">
              <a16:creationId xmlns:a16="http://schemas.microsoft.com/office/drawing/2014/main" xmlns="" id="{00000000-0008-0000-0D00-0000E7110000}"/>
            </a:ext>
          </a:extLst>
        </xdr:cNvPr>
        <xdr:cNvSpPr>
          <a:spLocks noChangeAspect="1" noChangeArrowheads="1"/>
        </xdr:cNvSpPr>
      </xdr:nvSpPr>
      <xdr:spPr bwMode="auto">
        <a:xfrm>
          <a:off x="0" y="5333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4" name="AutoShape 1512" descr="Washington Capitals">
          <a:extLst>
            <a:ext uri="{FF2B5EF4-FFF2-40B4-BE49-F238E27FC236}">
              <a16:creationId xmlns:a16="http://schemas.microsoft.com/office/drawing/2014/main" xmlns="" id="{00000000-0008-0000-0D00-0000E8110000}"/>
            </a:ext>
          </a:extLst>
        </xdr:cNvPr>
        <xdr:cNvSpPr>
          <a:spLocks noChangeAspect="1" noChangeArrowheads="1"/>
        </xdr:cNvSpPr>
      </xdr:nvSpPr>
      <xdr:spPr bwMode="auto">
        <a:xfrm>
          <a:off x="0" y="533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5" name="AutoShape 1513" descr="Carolina Hurricanes">
          <a:extLst>
            <a:ext uri="{FF2B5EF4-FFF2-40B4-BE49-F238E27FC236}">
              <a16:creationId xmlns:a16="http://schemas.microsoft.com/office/drawing/2014/main" xmlns="" id="{00000000-0008-0000-0D00-0000E9110000}"/>
            </a:ext>
          </a:extLst>
        </xdr:cNvPr>
        <xdr:cNvSpPr>
          <a:spLocks noChangeAspect="1" noChangeArrowheads="1"/>
        </xdr:cNvSpPr>
      </xdr:nvSpPr>
      <xdr:spPr bwMode="auto">
        <a:xfrm>
          <a:off x="0" y="5340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6" name="AutoShape 1514" descr="Calgary Flames">
          <a:extLst>
            <a:ext uri="{FF2B5EF4-FFF2-40B4-BE49-F238E27FC236}">
              <a16:creationId xmlns:a16="http://schemas.microsoft.com/office/drawing/2014/main" xmlns="" id="{00000000-0008-0000-0D00-0000EA110000}"/>
            </a:ext>
          </a:extLst>
        </xdr:cNvPr>
        <xdr:cNvSpPr>
          <a:spLocks noChangeAspect="1" noChangeArrowheads="1"/>
        </xdr:cNvSpPr>
      </xdr:nvSpPr>
      <xdr:spPr bwMode="auto">
        <a:xfrm>
          <a:off x="0" y="5344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7" name="AutoShape 1515" descr="Arizona Coyotes">
          <a:extLst>
            <a:ext uri="{FF2B5EF4-FFF2-40B4-BE49-F238E27FC236}">
              <a16:creationId xmlns:a16="http://schemas.microsoft.com/office/drawing/2014/main" xmlns="" id="{00000000-0008-0000-0D00-0000EB110000}"/>
            </a:ext>
          </a:extLst>
        </xdr:cNvPr>
        <xdr:cNvSpPr>
          <a:spLocks noChangeAspect="1" noChangeArrowheads="1"/>
        </xdr:cNvSpPr>
      </xdr:nvSpPr>
      <xdr:spPr bwMode="auto">
        <a:xfrm>
          <a:off x="0" y="5347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8" name="AutoShape 1516" descr="Carolina Hurricanes">
          <a:extLst>
            <a:ext uri="{FF2B5EF4-FFF2-40B4-BE49-F238E27FC236}">
              <a16:creationId xmlns:a16="http://schemas.microsoft.com/office/drawing/2014/main" xmlns="" id="{00000000-0008-0000-0D00-0000EC110000}"/>
            </a:ext>
          </a:extLst>
        </xdr:cNvPr>
        <xdr:cNvSpPr>
          <a:spLocks noChangeAspect="1" noChangeArrowheads="1"/>
        </xdr:cNvSpPr>
      </xdr:nvSpPr>
      <xdr:spPr bwMode="auto">
        <a:xfrm>
          <a:off x="0" y="5349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9" name="AutoShape 1517" descr="Ottawa Senators">
          <a:extLst>
            <a:ext uri="{FF2B5EF4-FFF2-40B4-BE49-F238E27FC236}">
              <a16:creationId xmlns:a16="http://schemas.microsoft.com/office/drawing/2014/main" xmlns="" id="{00000000-0008-0000-0D00-0000ED110000}"/>
            </a:ext>
          </a:extLst>
        </xdr:cNvPr>
        <xdr:cNvSpPr>
          <a:spLocks noChangeAspect="1" noChangeArrowheads="1"/>
        </xdr:cNvSpPr>
      </xdr:nvSpPr>
      <xdr:spPr bwMode="auto">
        <a:xfrm>
          <a:off x="0" y="5351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0" name="AutoShape 1518" descr="Edmonton Oilers">
          <a:extLst>
            <a:ext uri="{FF2B5EF4-FFF2-40B4-BE49-F238E27FC236}">
              <a16:creationId xmlns:a16="http://schemas.microsoft.com/office/drawing/2014/main" xmlns="" id="{00000000-0008-0000-0D00-0000EE110000}"/>
            </a:ext>
          </a:extLst>
        </xdr:cNvPr>
        <xdr:cNvSpPr>
          <a:spLocks noChangeAspect="1" noChangeArrowheads="1"/>
        </xdr:cNvSpPr>
      </xdr:nvSpPr>
      <xdr:spPr bwMode="auto">
        <a:xfrm>
          <a:off x="0" y="53551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1" name="AutoShape 1519" descr="Minnesota Wild">
          <a:extLst>
            <a:ext uri="{FF2B5EF4-FFF2-40B4-BE49-F238E27FC236}">
              <a16:creationId xmlns:a16="http://schemas.microsoft.com/office/drawing/2014/main" xmlns="" id="{00000000-0008-0000-0D00-0000EF110000}"/>
            </a:ext>
          </a:extLst>
        </xdr:cNvPr>
        <xdr:cNvSpPr>
          <a:spLocks noChangeAspect="1" noChangeArrowheads="1"/>
        </xdr:cNvSpPr>
      </xdr:nvSpPr>
      <xdr:spPr bwMode="auto">
        <a:xfrm>
          <a:off x="0" y="5356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92" name="AutoShape 1520" descr="Edmonton Oilers">
          <a:extLst>
            <a:ext uri="{FF2B5EF4-FFF2-40B4-BE49-F238E27FC236}">
              <a16:creationId xmlns:a16="http://schemas.microsoft.com/office/drawing/2014/main" xmlns="" id="{00000000-0008-0000-0D00-0000F0110000}"/>
            </a:ext>
          </a:extLst>
        </xdr:cNvPr>
        <xdr:cNvSpPr>
          <a:spLocks noChangeAspect="1" noChangeArrowheads="1"/>
        </xdr:cNvSpPr>
      </xdr:nvSpPr>
      <xdr:spPr bwMode="auto">
        <a:xfrm>
          <a:off x="0" y="5358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3" name="AutoShape 1521" descr="Washington Capitals">
          <a:extLst>
            <a:ext uri="{FF2B5EF4-FFF2-40B4-BE49-F238E27FC236}">
              <a16:creationId xmlns:a16="http://schemas.microsoft.com/office/drawing/2014/main" xmlns="" id="{00000000-0008-0000-0D00-0000F1110000}"/>
            </a:ext>
          </a:extLst>
        </xdr:cNvPr>
        <xdr:cNvSpPr>
          <a:spLocks noChangeAspect="1" noChangeArrowheads="1"/>
        </xdr:cNvSpPr>
      </xdr:nvSpPr>
      <xdr:spPr bwMode="auto">
        <a:xfrm>
          <a:off x="0" y="5360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4" name="AutoShape 1522" descr="Winnipeg Jets">
          <a:extLst>
            <a:ext uri="{FF2B5EF4-FFF2-40B4-BE49-F238E27FC236}">
              <a16:creationId xmlns:a16="http://schemas.microsoft.com/office/drawing/2014/main" xmlns="" id="{00000000-0008-0000-0D00-0000F2110000}"/>
            </a:ext>
          </a:extLst>
        </xdr:cNvPr>
        <xdr:cNvSpPr>
          <a:spLocks noChangeAspect="1" noChangeArrowheads="1"/>
        </xdr:cNvSpPr>
      </xdr:nvSpPr>
      <xdr:spPr bwMode="auto">
        <a:xfrm>
          <a:off x="0" y="5364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5" name="AutoShape 1523" descr="Buffalo Sabres">
          <a:extLst>
            <a:ext uri="{FF2B5EF4-FFF2-40B4-BE49-F238E27FC236}">
              <a16:creationId xmlns:a16="http://schemas.microsoft.com/office/drawing/2014/main" xmlns="" id="{00000000-0008-0000-0D00-0000F3110000}"/>
            </a:ext>
          </a:extLst>
        </xdr:cNvPr>
        <xdr:cNvSpPr>
          <a:spLocks noChangeAspect="1" noChangeArrowheads="1"/>
        </xdr:cNvSpPr>
      </xdr:nvSpPr>
      <xdr:spPr bwMode="auto">
        <a:xfrm>
          <a:off x="0" y="5367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6" name="AutoShape 1524" descr="Minnesota Wild">
          <a:extLst>
            <a:ext uri="{FF2B5EF4-FFF2-40B4-BE49-F238E27FC236}">
              <a16:creationId xmlns:a16="http://schemas.microsoft.com/office/drawing/2014/main" xmlns="" id="{00000000-0008-0000-0D00-0000F4110000}"/>
            </a:ext>
          </a:extLst>
        </xdr:cNvPr>
        <xdr:cNvSpPr>
          <a:spLocks noChangeAspect="1" noChangeArrowheads="1"/>
        </xdr:cNvSpPr>
      </xdr:nvSpPr>
      <xdr:spPr bwMode="auto">
        <a:xfrm>
          <a:off x="0" y="5371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7" name="AutoShape 1525" descr="Vancouver Canucks">
          <a:extLst>
            <a:ext uri="{FF2B5EF4-FFF2-40B4-BE49-F238E27FC236}">
              <a16:creationId xmlns:a16="http://schemas.microsoft.com/office/drawing/2014/main" xmlns="" id="{00000000-0008-0000-0D00-0000F5110000}"/>
            </a:ext>
          </a:extLst>
        </xdr:cNvPr>
        <xdr:cNvSpPr>
          <a:spLocks noChangeAspect="1" noChangeArrowheads="1"/>
        </xdr:cNvSpPr>
      </xdr:nvSpPr>
      <xdr:spPr bwMode="auto">
        <a:xfrm>
          <a:off x="0" y="5375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8" name="AutoShape 1526" descr="Washington Capitals">
          <a:extLst>
            <a:ext uri="{FF2B5EF4-FFF2-40B4-BE49-F238E27FC236}">
              <a16:creationId xmlns:a16="http://schemas.microsoft.com/office/drawing/2014/main" xmlns="" id="{00000000-0008-0000-0D00-0000F6110000}"/>
            </a:ext>
          </a:extLst>
        </xdr:cNvPr>
        <xdr:cNvSpPr>
          <a:spLocks noChangeAspect="1" noChangeArrowheads="1"/>
        </xdr:cNvSpPr>
      </xdr:nvSpPr>
      <xdr:spPr bwMode="auto">
        <a:xfrm>
          <a:off x="0" y="53788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9" name="AutoShape 1527" descr="Winnipeg Jets">
          <a:extLst>
            <a:ext uri="{FF2B5EF4-FFF2-40B4-BE49-F238E27FC236}">
              <a16:creationId xmlns:a16="http://schemas.microsoft.com/office/drawing/2014/main" xmlns="" id="{00000000-0008-0000-0D00-0000F7110000}"/>
            </a:ext>
          </a:extLst>
        </xdr:cNvPr>
        <xdr:cNvSpPr>
          <a:spLocks noChangeAspect="1" noChangeArrowheads="1"/>
        </xdr:cNvSpPr>
      </xdr:nvSpPr>
      <xdr:spPr bwMode="auto">
        <a:xfrm>
          <a:off x="0" y="53825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0" name="AutoShape 1528" descr="Carolina Hurricanes">
          <a:extLst>
            <a:ext uri="{FF2B5EF4-FFF2-40B4-BE49-F238E27FC236}">
              <a16:creationId xmlns:a16="http://schemas.microsoft.com/office/drawing/2014/main" xmlns="" id="{00000000-0008-0000-0D00-0000F8110000}"/>
            </a:ext>
          </a:extLst>
        </xdr:cNvPr>
        <xdr:cNvSpPr>
          <a:spLocks noChangeAspect="1" noChangeArrowheads="1"/>
        </xdr:cNvSpPr>
      </xdr:nvSpPr>
      <xdr:spPr bwMode="auto">
        <a:xfrm>
          <a:off x="0" y="53861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1" name="AutoShape 1529" descr="Carolina Hurricanes">
          <a:extLst>
            <a:ext uri="{FF2B5EF4-FFF2-40B4-BE49-F238E27FC236}">
              <a16:creationId xmlns:a16="http://schemas.microsoft.com/office/drawing/2014/main" xmlns="" id="{00000000-0008-0000-0D00-0000F9110000}"/>
            </a:ext>
          </a:extLst>
        </xdr:cNvPr>
        <xdr:cNvSpPr>
          <a:spLocks noChangeAspect="1" noChangeArrowheads="1"/>
        </xdr:cNvSpPr>
      </xdr:nvSpPr>
      <xdr:spPr bwMode="auto">
        <a:xfrm>
          <a:off x="0" y="5389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2" name="AutoShape 1530" descr="Detroit Red Wings">
          <a:extLst>
            <a:ext uri="{FF2B5EF4-FFF2-40B4-BE49-F238E27FC236}">
              <a16:creationId xmlns:a16="http://schemas.microsoft.com/office/drawing/2014/main" xmlns="" id="{00000000-0008-0000-0D00-0000FA110000}"/>
            </a:ext>
          </a:extLst>
        </xdr:cNvPr>
        <xdr:cNvSpPr>
          <a:spLocks noChangeAspect="1" noChangeArrowheads="1"/>
        </xdr:cNvSpPr>
      </xdr:nvSpPr>
      <xdr:spPr bwMode="auto">
        <a:xfrm>
          <a:off x="0" y="53935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3" name="AutoShape 1531" descr="Columbus Blue Jackets">
          <a:extLst>
            <a:ext uri="{FF2B5EF4-FFF2-40B4-BE49-F238E27FC236}">
              <a16:creationId xmlns:a16="http://schemas.microsoft.com/office/drawing/2014/main" xmlns="" id="{00000000-0008-0000-0D00-0000FB110000}"/>
            </a:ext>
          </a:extLst>
        </xdr:cNvPr>
        <xdr:cNvSpPr>
          <a:spLocks noChangeAspect="1" noChangeArrowheads="1"/>
        </xdr:cNvSpPr>
      </xdr:nvSpPr>
      <xdr:spPr bwMode="auto">
        <a:xfrm>
          <a:off x="0" y="53971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4" name="AutoShape 1532" descr="Chicago Blackhawks">
          <a:extLst>
            <a:ext uri="{FF2B5EF4-FFF2-40B4-BE49-F238E27FC236}">
              <a16:creationId xmlns:a16="http://schemas.microsoft.com/office/drawing/2014/main" xmlns="" id="{00000000-0008-0000-0D00-0000FC110000}"/>
            </a:ext>
          </a:extLst>
        </xdr:cNvPr>
        <xdr:cNvSpPr>
          <a:spLocks noChangeAspect="1" noChangeArrowheads="1"/>
        </xdr:cNvSpPr>
      </xdr:nvSpPr>
      <xdr:spPr bwMode="auto">
        <a:xfrm>
          <a:off x="0" y="5400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5" name="AutoShape 1533" descr="Buffalo Sabres">
          <a:extLst>
            <a:ext uri="{FF2B5EF4-FFF2-40B4-BE49-F238E27FC236}">
              <a16:creationId xmlns:a16="http://schemas.microsoft.com/office/drawing/2014/main" xmlns="" id="{00000000-0008-0000-0D00-0000FD110000}"/>
            </a:ext>
          </a:extLst>
        </xdr:cNvPr>
        <xdr:cNvSpPr>
          <a:spLocks noChangeAspect="1" noChangeArrowheads="1"/>
        </xdr:cNvSpPr>
      </xdr:nvSpPr>
      <xdr:spPr bwMode="auto">
        <a:xfrm>
          <a:off x="0" y="5404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6" name="AutoShape 1534" descr="Vancouver Canucks">
          <a:extLst>
            <a:ext uri="{FF2B5EF4-FFF2-40B4-BE49-F238E27FC236}">
              <a16:creationId xmlns:a16="http://schemas.microsoft.com/office/drawing/2014/main" xmlns="" id="{00000000-0008-0000-0D00-0000FE110000}"/>
            </a:ext>
          </a:extLst>
        </xdr:cNvPr>
        <xdr:cNvSpPr>
          <a:spLocks noChangeAspect="1" noChangeArrowheads="1"/>
        </xdr:cNvSpPr>
      </xdr:nvSpPr>
      <xdr:spPr bwMode="auto">
        <a:xfrm>
          <a:off x="0" y="5408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07" name="AutoShape 1535" descr="Chicago Blackhawks">
          <a:extLst>
            <a:ext uri="{FF2B5EF4-FFF2-40B4-BE49-F238E27FC236}">
              <a16:creationId xmlns:a16="http://schemas.microsoft.com/office/drawing/2014/main" xmlns="" id="{00000000-0008-0000-0D00-0000FF110000}"/>
            </a:ext>
          </a:extLst>
        </xdr:cNvPr>
        <xdr:cNvSpPr>
          <a:spLocks noChangeAspect="1" noChangeArrowheads="1"/>
        </xdr:cNvSpPr>
      </xdr:nvSpPr>
      <xdr:spPr bwMode="auto">
        <a:xfrm>
          <a:off x="0" y="5411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8" name="AutoShape 1536" descr="St Louis Blues">
          <a:extLst>
            <a:ext uri="{FF2B5EF4-FFF2-40B4-BE49-F238E27FC236}">
              <a16:creationId xmlns:a16="http://schemas.microsoft.com/office/drawing/2014/main" xmlns="" id="{00000000-0008-0000-0D00-000000120000}"/>
            </a:ext>
          </a:extLst>
        </xdr:cNvPr>
        <xdr:cNvSpPr>
          <a:spLocks noChangeAspect="1" noChangeArrowheads="1"/>
        </xdr:cNvSpPr>
      </xdr:nvSpPr>
      <xdr:spPr bwMode="auto">
        <a:xfrm>
          <a:off x="0" y="5413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09" name="AutoShape 1537" descr="Colorado Avalanche">
          <a:extLst>
            <a:ext uri="{FF2B5EF4-FFF2-40B4-BE49-F238E27FC236}">
              <a16:creationId xmlns:a16="http://schemas.microsoft.com/office/drawing/2014/main" xmlns="" id="{00000000-0008-0000-0D00-000001120000}"/>
            </a:ext>
          </a:extLst>
        </xdr:cNvPr>
        <xdr:cNvSpPr>
          <a:spLocks noChangeAspect="1" noChangeArrowheads="1"/>
        </xdr:cNvSpPr>
      </xdr:nvSpPr>
      <xdr:spPr bwMode="auto">
        <a:xfrm>
          <a:off x="0" y="5417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0" name="AutoShape 1538" descr="Philadelphia Flyers">
          <a:extLst>
            <a:ext uri="{FF2B5EF4-FFF2-40B4-BE49-F238E27FC236}">
              <a16:creationId xmlns:a16="http://schemas.microsoft.com/office/drawing/2014/main" xmlns="" id="{00000000-0008-0000-0D00-000002120000}"/>
            </a:ext>
          </a:extLst>
        </xdr:cNvPr>
        <xdr:cNvSpPr>
          <a:spLocks noChangeAspect="1" noChangeArrowheads="1"/>
        </xdr:cNvSpPr>
      </xdr:nvSpPr>
      <xdr:spPr bwMode="auto">
        <a:xfrm>
          <a:off x="0" y="54191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1" name="AutoShape 1539" descr="Ottawa Senators">
          <a:extLst>
            <a:ext uri="{FF2B5EF4-FFF2-40B4-BE49-F238E27FC236}">
              <a16:creationId xmlns:a16="http://schemas.microsoft.com/office/drawing/2014/main" xmlns="" id="{00000000-0008-0000-0D00-000003120000}"/>
            </a:ext>
          </a:extLst>
        </xdr:cNvPr>
        <xdr:cNvSpPr>
          <a:spLocks noChangeAspect="1" noChangeArrowheads="1"/>
        </xdr:cNvSpPr>
      </xdr:nvSpPr>
      <xdr:spPr bwMode="auto">
        <a:xfrm>
          <a:off x="0" y="54227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2" name="AutoShape 1540" descr="Dallas Stars">
          <a:extLst>
            <a:ext uri="{FF2B5EF4-FFF2-40B4-BE49-F238E27FC236}">
              <a16:creationId xmlns:a16="http://schemas.microsoft.com/office/drawing/2014/main" xmlns="" id="{00000000-0008-0000-0D00-000004120000}"/>
            </a:ext>
          </a:extLst>
        </xdr:cNvPr>
        <xdr:cNvSpPr>
          <a:spLocks noChangeAspect="1" noChangeArrowheads="1"/>
        </xdr:cNvSpPr>
      </xdr:nvSpPr>
      <xdr:spPr bwMode="auto">
        <a:xfrm>
          <a:off x="0" y="542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3" name="AutoShape 1541" descr="Dallas Stars">
          <a:extLst>
            <a:ext uri="{FF2B5EF4-FFF2-40B4-BE49-F238E27FC236}">
              <a16:creationId xmlns:a16="http://schemas.microsoft.com/office/drawing/2014/main" xmlns="" id="{00000000-0008-0000-0D00-000005120000}"/>
            </a:ext>
          </a:extLst>
        </xdr:cNvPr>
        <xdr:cNvSpPr>
          <a:spLocks noChangeAspect="1" noChangeArrowheads="1"/>
        </xdr:cNvSpPr>
      </xdr:nvSpPr>
      <xdr:spPr bwMode="auto">
        <a:xfrm>
          <a:off x="0" y="54264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4" name="AutoShape 1542" descr="Columbus Blue Jackets">
          <a:extLst>
            <a:ext uri="{FF2B5EF4-FFF2-40B4-BE49-F238E27FC236}">
              <a16:creationId xmlns:a16="http://schemas.microsoft.com/office/drawing/2014/main" xmlns="" id="{00000000-0008-0000-0D00-000006120000}"/>
            </a:ext>
          </a:extLst>
        </xdr:cNvPr>
        <xdr:cNvSpPr>
          <a:spLocks noChangeAspect="1" noChangeArrowheads="1"/>
        </xdr:cNvSpPr>
      </xdr:nvSpPr>
      <xdr:spPr bwMode="auto">
        <a:xfrm>
          <a:off x="0" y="54300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5" name="AutoShape 1543" descr="New York Rangers">
          <a:extLst>
            <a:ext uri="{FF2B5EF4-FFF2-40B4-BE49-F238E27FC236}">
              <a16:creationId xmlns:a16="http://schemas.microsoft.com/office/drawing/2014/main" xmlns="" id="{00000000-0008-0000-0D00-000007120000}"/>
            </a:ext>
          </a:extLst>
        </xdr:cNvPr>
        <xdr:cNvSpPr>
          <a:spLocks noChangeAspect="1" noChangeArrowheads="1"/>
        </xdr:cNvSpPr>
      </xdr:nvSpPr>
      <xdr:spPr bwMode="auto">
        <a:xfrm>
          <a:off x="0" y="5433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6" name="AutoShape 1544" descr="San Jose Sharks">
          <a:extLst>
            <a:ext uri="{FF2B5EF4-FFF2-40B4-BE49-F238E27FC236}">
              <a16:creationId xmlns:a16="http://schemas.microsoft.com/office/drawing/2014/main" xmlns="" id="{00000000-0008-0000-0D00-000008120000}"/>
            </a:ext>
          </a:extLst>
        </xdr:cNvPr>
        <xdr:cNvSpPr>
          <a:spLocks noChangeAspect="1" noChangeArrowheads="1"/>
        </xdr:cNvSpPr>
      </xdr:nvSpPr>
      <xdr:spPr bwMode="auto">
        <a:xfrm>
          <a:off x="0" y="5437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7" name="AutoShape 1545" descr="New York Rangers">
          <a:extLst>
            <a:ext uri="{FF2B5EF4-FFF2-40B4-BE49-F238E27FC236}">
              <a16:creationId xmlns:a16="http://schemas.microsoft.com/office/drawing/2014/main" xmlns="" id="{00000000-0008-0000-0D00-000009120000}"/>
            </a:ext>
          </a:extLst>
        </xdr:cNvPr>
        <xdr:cNvSpPr>
          <a:spLocks noChangeAspect="1" noChangeArrowheads="1"/>
        </xdr:cNvSpPr>
      </xdr:nvSpPr>
      <xdr:spPr bwMode="auto">
        <a:xfrm>
          <a:off x="0" y="5441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8" name="AutoShape 1546" descr="San Jose Sharks">
          <a:extLst>
            <a:ext uri="{FF2B5EF4-FFF2-40B4-BE49-F238E27FC236}">
              <a16:creationId xmlns:a16="http://schemas.microsoft.com/office/drawing/2014/main" xmlns="" id="{00000000-0008-0000-0D00-00000A120000}"/>
            </a:ext>
          </a:extLst>
        </xdr:cNvPr>
        <xdr:cNvSpPr>
          <a:spLocks noChangeAspect="1" noChangeArrowheads="1"/>
        </xdr:cNvSpPr>
      </xdr:nvSpPr>
      <xdr:spPr bwMode="auto">
        <a:xfrm>
          <a:off x="0" y="5444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9" name="AutoShape 1547" descr="Minnesota Wild">
          <a:extLst>
            <a:ext uri="{FF2B5EF4-FFF2-40B4-BE49-F238E27FC236}">
              <a16:creationId xmlns:a16="http://schemas.microsoft.com/office/drawing/2014/main" xmlns="" id="{00000000-0008-0000-0D00-00000B120000}"/>
            </a:ext>
          </a:extLst>
        </xdr:cNvPr>
        <xdr:cNvSpPr>
          <a:spLocks noChangeAspect="1" noChangeArrowheads="1"/>
        </xdr:cNvSpPr>
      </xdr:nvSpPr>
      <xdr:spPr bwMode="auto">
        <a:xfrm>
          <a:off x="0" y="5448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0" name="AutoShape 1548" descr="Los Angeles Kings">
          <a:extLst>
            <a:ext uri="{FF2B5EF4-FFF2-40B4-BE49-F238E27FC236}">
              <a16:creationId xmlns:a16="http://schemas.microsoft.com/office/drawing/2014/main" xmlns="" id="{00000000-0008-0000-0D00-00000C120000}"/>
            </a:ext>
          </a:extLst>
        </xdr:cNvPr>
        <xdr:cNvSpPr>
          <a:spLocks noChangeAspect="1" noChangeArrowheads="1"/>
        </xdr:cNvSpPr>
      </xdr:nvSpPr>
      <xdr:spPr bwMode="auto">
        <a:xfrm>
          <a:off x="0" y="5452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1" name="AutoShape 1549" descr="Vegas Golden Knights">
          <a:extLst>
            <a:ext uri="{FF2B5EF4-FFF2-40B4-BE49-F238E27FC236}">
              <a16:creationId xmlns:a16="http://schemas.microsoft.com/office/drawing/2014/main" xmlns="" id="{00000000-0008-0000-0D00-00000D120000}"/>
            </a:ext>
          </a:extLst>
        </xdr:cNvPr>
        <xdr:cNvSpPr>
          <a:spLocks noChangeAspect="1" noChangeArrowheads="1"/>
        </xdr:cNvSpPr>
      </xdr:nvSpPr>
      <xdr:spPr bwMode="auto">
        <a:xfrm>
          <a:off x="0" y="5455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2" name="AutoShape 1550" descr="Carolina Hurricanes">
          <a:extLst>
            <a:ext uri="{FF2B5EF4-FFF2-40B4-BE49-F238E27FC236}">
              <a16:creationId xmlns:a16="http://schemas.microsoft.com/office/drawing/2014/main" xmlns="" id="{00000000-0008-0000-0D00-00000E120000}"/>
            </a:ext>
          </a:extLst>
        </xdr:cNvPr>
        <xdr:cNvSpPr>
          <a:spLocks noChangeAspect="1" noChangeArrowheads="1"/>
        </xdr:cNvSpPr>
      </xdr:nvSpPr>
      <xdr:spPr bwMode="auto">
        <a:xfrm>
          <a:off x="0" y="5459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3" name="AutoShape 1551" descr="Montreal Canadiens">
          <a:extLst>
            <a:ext uri="{FF2B5EF4-FFF2-40B4-BE49-F238E27FC236}">
              <a16:creationId xmlns:a16="http://schemas.microsoft.com/office/drawing/2014/main" xmlns="" id="{00000000-0008-0000-0D00-00000F120000}"/>
            </a:ext>
          </a:extLst>
        </xdr:cNvPr>
        <xdr:cNvSpPr>
          <a:spLocks noChangeAspect="1" noChangeArrowheads="1"/>
        </xdr:cNvSpPr>
      </xdr:nvSpPr>
      <xdr:spPr bwMode="auto">
        <a:xfrm>
          <a:off x="0" y="54630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4" name="AutoShape 1552" descr="Toronto Maple Leafs">
          <a:extLst>
            <a:ext uri="{FF2B5EF4-FFF2-40B4-BE49-F238E27FC236}">
              <a16:creationId xmlns:a16="http://schemas.microsoft.com/office/drawing/2014/main" xmlns="" id="{00000000-0008-0000-0D00-000010120000}"/>
            </a:ext>
          </a:extLst>
        </xdr:cNvPr>
        <xdr:cNvSpPr>
          <a:spLocks noChangeAspect="1" noChangeArrowheads="1"/>
        </xdr:cNvSpPr>
      </xdr:nvSpPr>
      <xdr:spPr bwMode="auto">
        <a:xfrm>
          <a:off x="0" y="5466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5" name="AutoShape 1553" descr="Montreal Canadiens">
          <a:extLst>
            <a:ext uri="{FF2B5EF4-FFF2-40B4-BE49-F238E27FC236}">
              <a16:creationId xmlns:a16="http://schemas.microsoft.com/office/drawing/2014/main" xmlns="" id="{00000000-0008-0000-0D00-000011120000}"/>
            </a:ext>
          </a:extLst>
        </xdr:cNvPr>
        <xdr:cNvSpPr>
          <a:spLocks noChangeAspect="1" noChangeArrowheads="1"/>
        </xdr:cNvSpPr>
      </xdr:nvSpPr>
      <xdr:spPr bwMode="auto">
        <a:xfrm>
          <a:off x="0" y="5470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26" name="AutoShape 1554" descr="Boston Bruins">
          <a:extLst>
            <a:ext uri="{FF2B5EF4-FFF2-40B4-BE49-F238E27FC236}">
              <a16:creationId xmlns:a16="http://schemas.microsoft.com/office/drawing/2014/main" xmlns="" id="{00000000-0008-0000-0D00-000012120000}"/>
            </a:ext>
          </a:extLst>
        </xdr:cNvPr>
        <xdr:cNvSpPr>
          <a:spLocks noChangeAspect="1" noChangeArrowheads="1"/>
        </xdr:cNvSpPr>
      </xdr:nvSpPr>
      <xdr:spPr bwMode="auto">
        <a:xfrm>
          <a:off x="0" y="5472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7" name="AutoShape 1555" descr="Ottawa Senators">
          <a:extLst>
            <a:ext uri="{FF2B5EF4-FFF2-40B4-BE49-F238E27FC236}">
              <a16:creationId xmlns:a16="http://schemas.microsoft.com/office/drawing/2014/main" xmlns="" id="{00000000-0008-0000-0D00-000013120000}"/>
            </a:ext>
          </a:extLst>
        </xdr:cNvPr>
        <xdr:cNvSpPr>
          <a:spLocks noChangeAspect="1" noChangeArrowheads="1"/>
        </xdr:cNvSpPr>
      </xdr:nvSpPr>
      <xdr:spPr bwMode="auto">
        <a:xfrm>
          <a:off x="0" y="54739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8" name="AutoShape 1556" descr="Edmonton Oilers">
          <a:extLst>
            <a:ext uri="{FF2B5EF4-FFF2-40B4-BE49-F238E27FC236}">
              <a16:creationId xmlns:a16="http://schemas.microsoft.com/office/drawing/2014/main" xmlns="" id="{00000000-0008-0000-0D00-000014120000}"/>
            </a:ext>
          </a:extLst>
        </xdr:cNvPr>
        <xdr:cNvSpPr>
          <a:spLocks noChangeAspect="1" noChangeArrowheads="1"/>
        </xdr:cNvSpPr>
      </xdr:nvSpPr>
      <xdr:spPr bwMode="auto">
        <a:xfrm>
          <a:off x="0" y="5475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9" name="AutoShape 1557" descr="Columbus Blue Jackets">
          <a:extLst>
            <a:ext uri="{FF2B5EF4-FFF2-40B4-BE49-F238E27FC236}">
              <a16:creationId xmlns:a16="http://schemas.microsoft.com/office/drawing/2014/main" xmlns="" id="{00000000-0008-0000-0D00-000015120000}"/>
            </a:ext>
          </a:extLst>
        </xdr:cNvPr>
        <xdr:cNvSpPr>
          <a:spLocks noChangeAspect="1" noChangeArrowheads="1"/>
        </xdr:cNvSpPr>
      </xdr:nvSpPr>
      <xdr:spPr bwMode="auto">
        <a:xfrm>
          <a:off x="0" y="5479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0" name="AutoShape 1558" descr="Minnesota Wild">
          <a:extLst>
            <a:ext uri="{FF2B5EF4-FFF2-40B4-BE49-F238E27FC236}">
              <a16:creationId xmlns:a16="http://schemas.microsoft.com/office/drawing/2014/main" xmlns="" id="{00000000-0008-0000-0D00-000016120000}"/>
            </a:ext>
          </a:extLst>
        </xdr:cNvPr>
        <xdr:cNvSpPr>
          <a:spLocks noChangeAspect="1" noChangeArrowheads="1"/>
        </xdr:cNvSpPr>
      </xdr:nvSpPr>
      <xdr:spPr bwMode="auto">
        <a:xfrm>
          <a:off x="0" y="5481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1" name="AutoShape 1559" descr="Tampa Bay Lightning">
          <a:extLst>
            <a:ext uri="{FF2B5EF4-FFF2-40B4-BE49-F238E27FC236}">
              <a16:creationId xmlns:a16="http://schemas.microsoft.com/office/drawing/2014/main" xmlns="" id="{00000000-0008-0000-0D00-000017120000}"/>
            </a:ext>
          </a:extLst>
        </xdr:cNvPr>
        <xdr:cNvSpPr>
          <a:spLocks noChangeAspect="1" noChangeArrowheads="1"/>
        </xdr:cNvSpPr>
      </xdr:nvSpPr>
      <xdr:spPr bwMode="auto">
        <a:xfrm>
          <a:off x="0" y="5484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2" name="AutoShape 1560" descr="Dallas Stars">
          <a:extLst>
            <a:ext uri="{FF2B5EF4-FFF2-40B4-BE49-F238E27FC236}">
              <a16:creationId xmlns:a16="http://schemas.microsoft.com/office/drawing/2014/main" xmlns="" id="{00000000-0008-0000-0D00-000018120000}"/>
            </a:ext>
          </a:extLst>
        </xdr:cNvPr>
        <xdr:cNvSpPr>
          <a:spLocks noChangeAspect="1" noChangeArrowheads="1"/>
        </xdr:cNvSpPr>
      </xdr:nvSpPr>
      <xdr:spPr bwMode="auto">
        <a:xfrm>
          <a:off x="0" y="5488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3" name="AutoShape 1561" descr="Montreal Canadiens">
          <a:extLst>
            <a:ext uri="{FF2B5EF4-FFF2-40B4-BE49-F238E27FC236}">
              <a16:creationId xmlns:a16="http://schemas.microsoft.com/office/drawing/2014/main" xmlns="" id="{00000000-0008-0000-0D00-000019120000}"/>
            </a:ext>
          </a:extLst>
        </xdr:cNvPr>
        <xdr:cNvSpPr>
          <a:spLocks noChangeAspect="1" noChangeArrowheads="1"/>
        </xdr:cNvSpPr>
      </xdr:nvSpPr>
      <xdr:spPr bwMode="auto">
        <a:xfrm>
          <a:off x="0" y="5492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4" name="AutoShape 1562" descr="Winnipeg Jets">
          <a:extLst>
            <a:ext uri="{FF2B5EF4-FFF2-40B4-BE49-F238E27FC236}">
              <a16:creationId xmlns:a16="http://schemas.microsoft.com/office/drawing/2014/main" xmlns="" id="{00000000-0008-0000-0D00-00001A120000}"/>
            </a:ext>
          </a:extLst>
        </xdr:cNvPr>
        <xdr:cNvSpPr>
          <a:spLocks noChangeAspect="1" noChangeArrowheads="1"/>
        </xdr:cNvSpPr>
      </xdr:nvSpPr>
      <xdr:spPr bwMode="auto">
        <a:xfrm>
          <a:off x="0" y="5495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5" name="AutoShape 1563" descr="Pittsburgh Penguins">
          <a:extLst>
            <a:ext uri="{FF2B5EF4-FFF2-40B4-BE49-F238E27FC236}">
              <a16:creationId xmlns:a16="http://schemas.microsoft.com/office/drawing/2014/main" xmlns="" id="{00000000-0008-0000-0D00-00001B120000}"/>
            </a:ext>
          </a:extLst>
        </xdr:cNvPr>
        <xdr:cNvSpPr>
          <a:spLocks noChangeAspect="1" noChangeArrowheads="1"/>
        </xdr:cNvSpPr>
      </xdr:nvSpPr>
      <xdr:spPr bwMode="auto">
        <a:xfrm>
          <a:off x="0" y="5499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36" name="AutoShape 1564" descr="Pittsburgh Penguins">
          <a:extLst>
            <a:ext uri="{FF2B5EF4-FFF2-40B4-BE49-F238E27FC236}">
              <a16:creationId xmlns:a16="http://schemas.microsoft.com/office/drawing/2014/main" xmlns="" id="{00000000-0008-0000-0D00-00001C120000}"/>
            </a:ext>
          </a:extLst>
        </xdr:cNvPr>
        <xdr:cNvSpPr>
          <a:spLocks noChangeAspect="1" noChangeArrowheads="1"/>
        </xdr:cNvSpPr>
      </xdr:nvSpPr>
      <xdr:spPr bwMode="auto">
        <a:xfrm>
          <a:off x="0" y="5503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7" name="AutoShape 1565" descr="Vegas Golden Knights">
          <a:extLst>
            <a:ext uri="{FF2B5EF4-FFF2-40B4-BE49-F238E27FC236}">
              <a16:creationId xmlns:a16="http://schemas.microsoft.com/office/drawing/2014/main" xmlns="" id="{00000000-0008-0000-0D00-00001D120000}"/>
            </a:ext>
          </a:extLst>
        </xdr:cNvPr>
        <xdr:cNvSpPr>
          <a:spLocks noChangeAspect="1" noChangeArrowheads="1"/>
        </xdr:cNvSpPr>
      </xdr:nvSpPr>
      <xdr:spPr bwMode="auto">
        <a:xfrm>
          <a:off x="0" y="5505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8" name="AutoShape 1566" descr="Minnesota Wild">
          <a:extLst>
            <a:ext uri="{FF2B5EF4-FFF2-40B4-BE49-F238E27FC236}">
              <a16:creationId xmlns:a16="http://schemas.microsoft.com/office/drawing/2014/main" xmlns="" id="{00000000-0008-0000-0D00-00001E120000}"/>
            </a:ext>
          </a:extLst>
        </xdr:cNvPr>
        <xdr:cNvSpPr>
          <a:spLocks noChangeAspect="1" noChangeArrowheads="1"/>
        </xdr:cNvSpPr>
      </xdr:nvSpPr>
      <xdr:spPr bwMode="auto">
        <a:xfrm>
          <a:off x="0" y="5508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39" name="AutoShape 1567" descr="Carolina Hurricanes">
          <a:extLst>
            <a:ext uri="{FF2B5EF4-FFF2-40B4-BE49-F238E27FC236}">
              <a16:creationId xmlns:a16="http://schemas.microsoft.com/office/drawing/2014/main" xmlns="" id="{00000000-0008-0000-0D00-00001F120000}"/>
            </a:ext>
          </a:extLst>
        </xdr:cNvPr>
        <xdr:cNvSpPr>
          <a:spLocks noChangeAspect="1" noChangeArrowheads="1"/>
        </xdr:cNvSpPr>
      </xdr:nvSpPr>
      <xdr:spPr bwMode="auto">
        <a:xfrm>
          <a:off x="0" y="5512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0" name="AutoShape 1568" descr="Calgary Flames">
          <a:extLst>
            <a:ext uri="{FF2B5EF4-FFF2-40B4-BE49-F238E27FC236}">
              <a16:creationId xmlns:a16="http://schemas.microsoft.com/office/drawing/2014/main" xmlns="" id="{00000000-0008-0000-0D00-000020120000}"/>
            </a:ext>
          </a:extLst>
        </xdr:cNvPr>
        <xdr:cNvSpPr>
          <a:spLocks noChangeAspect="1" noChangeArrowheads="1"/>
        </xdr:cNvSpPr>
      </xdr:nvSpPr>
      <xdr:spPr bwMode="auto">
        <a:xfrm>
          <a:off x="0" y="55142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1" name="AutoShape 1569" descr="Pittsburgh Penguins">
          <a:extLst>
            <a:ext uri="{FF2B5EF4-FFF2-40B4-BE49-F238E27FC236}">
              <a16:creationId xmlns:a16="http://schemas.microsoft.com/office/drawing/2014/main" xmlns="" id="{00000000-0008-0000-0D00-000021120000}"/>
            </a:ext>
          </a:extLst>
        </xdr:cNvPr>
        <xdr:cNvSpPr>
          <a:spLocks noChangeAspect="1" noChangeArrowheads="1"/>
        </xdr:cNvSpPr>
      </xdr:nvSpPr>
      <xdr:spPr bwMode="auto">
        <a:xfrm>
          <a:off x="0" y="55178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2" name="AutoShape 1570" descr="Ottawa Senators">
          <a:extLst>
            <a:ext uri="{FF2B5EF4-FFF2-40B4-BE49-F238E27FC236}">
              <a16:creationId xmlns:a16="http://schemas.microsoft.com/office/drawing/2014/main" xmlns="" id="{00000000-0008-0000-0D00-000022120000}"/>
            </a:ext>
          </a:extLst>
        </xdr:cNvPr>
        <xdr:cNvSpPr>
          <a:spLocks noChangeAspect="1" noChangeArrowheads="1"/>
        </xdr:cNvSpPr>
      </xdr:nvSpPr>
      <xdr:spPr bwMode="auto">
        <a:xfrm>
          <a:off x="0" y="551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3" name="AutoShape 1571" descr="Los Angeles Kings">
          <a:extLst>
            <a:ext uri="{FF2B5EF4-FFF2-40B4-BE49-F238E27FC236}">
              <a16:creationId xmlns:a16="http://schemas.microsoft.com/office/drawing/2014/main" xmlns="" id="{00000000-0008-0000-0D00-000023120000}"/>
            </a:ext>
          </a:extLst>
        </xdr:cNvPr>
        <xdr:cNvSpPr>
          <a:spLocks noChangeAspect="1" noChangeArrowheads="1"/>
        </xdr:cNvSpPr>
      </xdr:nvSpPr>
      <xdr:spPr bwMode="auto">
        <a:xfrm>
          <a:off x="0" y="5523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4" name="AutoShape 1572" descr="Montreal Canadiens">
          <a:extLst>
            <a:ext uri="{FF2B5EF4-FFF2-40B4-BE49-F238E27FC236}">
              <a16:creationId xmlns:a16="http://schemas.microsoft.com/office/drawing/2014/main" xmlns="" id="{00000000-0008-0000-0D00-000024120000}"/>
            </a:ext>
          </a:extLst>
        </xdr:cNvPr>
        <xdr:cNvSpPr>
          <a:spLocks noChangeAspect="1" noChangeArrowheads="1"/>
        </xdr:cNvSpPr>
      </xdr:nvSpPr>
      <xdr:spPr bwMode="auto">
        <a:xfrm>
          <a:off x="0" y="5527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5" name="AutoShape 1573" descr="Anaheim Ducks">
          <a:extLst>
            <a:ext uri="{FF2B5EF4-FFF2-40B4-BE49-F238E27FC236}">
              <a16:creationId xmlns:a16="http://schemas.microsoft.com/office/drawing/2014/main" xmlns="" id="{00000000-0008-0000-0D00-000025120000}"/>
            </a:ext>
          </a:extLst>
        </xdr:cNvPr>
        <xdr:cNvSpPr>
          <a:spLocks noChangeAspect="1" noChangeArrowheads="1"/>
        </xdr:cNvSpPr>
      </xdr:nvSpPr>
      <xdr:spPr bwMode="auto">
        <a:xfrm>
          <a:off x="0" y="5530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6" name="AutoShape 1574" descr="St Louis Blues">
          <a:extLst>
            <a:ext uri="{FF2B5EF4-FFF2-40B4-BE49-F238E27FC236}">
              <a16:creationId xmlns:a16="http://schemas.microsoft.com/office/drawing/2014/main" xmlns="" id="{00000000-0008-0000-0D00-000026120000}"/>
            </a:ext>
          </a:extLst>
        </xdr:cNvPr>
        <xdr:cNvSpPr>
          <a:spLocks noChangeAspect="1" noChangeArrowheads="1"/>
        </xdr:cNvSpPr>
      </xdr:nvSpPr>
      <xdr:spPr bwMode="auto">
        <a:xfrm>
          <a:off x="0" y="5534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7" name="AutoShape 1575" descr="Buffalo Sabres">
          <a:extLst>
            <a:ext uri="{FF2B5EF4-FFF2-40B4-BE49-F238E27FC236}">
              <a16:creationId xmlns:a16="http://schemas.microsoft.com/office/drawing/2014/main" xmlns="" id="{00000000-0008-0000-0D00-000027120000}"/>
            </a:ext>
          </a:extLst>
        </xdr:cNvPr>
        <xdr:cNvSpPr>
          <a:spLocks noChangeAspect="1" noChangeArrowheads="1"/>
        </xdr:cNvSpPr>
      </xdr:nvSpPr>
      <xdr:spPr bwMode="auto">
        <a:xfrm>
          <a:off x="0" y="5536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8" name="AutoShape 1576" descr="Edmonton Oilers">
          <a:extLst>
            <a:ext uri="{FF2B5EF4-FFF2-40B4-BE49-F238E27FC236}">
              <a16:creationId xmlns:a16="http://schemas.microsoft.com/office/drawing/2014/main" xmlns="" id="{00000000-0008-0000-0D00-000028120000}"/>
            </a:ext>
          </a:extLst>
        </xdr:cNvPr>
        <xdr:cNvSpPr>
          <a:spLocks noChangeAspect="1" noChangeArrowheads="1"/>
        </xdr:cNvSpPr>
      </xdr:nvSpPr>
      <xdr:spPr bwMode="auto">
        <a:xfrm>
          <a:off x="0" y="5539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9" name="AutoShape 1577" descr="Edmonton Oilers">
          <a:extLst>
            <a:ext uri="{FF2B5EF4-FFF2-40B4-BE49-F238E27FC236}">
              <a16:creationId xmlns:a16="http://schemas.microsoft.com/office/drawing/2014/main" xmlns="" id="{00000000-0008-0000-0D00-000029120000}"/>
            </a:ext>
          </a:extLst>
        </xdr:cNvPr>
        <xdr:cNvSpPr>
          <a:spLocks noChangeAspect="1" noChangeArrowheads="1"/>
        </xdr:cNvSpPr>
      </xdr:nvSpPr>
      <xdr:spPr bwMode="auto">
        <a:xfrm>
          <a:off x="0" y="5543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50" name="AutoShape 1578" descr="Minnesota Wild">
          <a:extLst>
            <a:ext uri="{FF2B5EF4-FFF2-40B4-BE49-F238E27FC236}">
              <a16:creationId xmlns:a16="http://schemas.microsoft.com/office/drawing/2014/main" xmlns="" id="{00000000-0008-0000-0D00-00002A120000}"/>
            </a:ext>
          </a:extLst>
        </xdr:cNvPr>
        <xdr:cNvSpPr>
          <a:spLocks noChangeAspect="1" noChangeArrowheads="1"/>
        </xdr:cNvSpPr>
      </xdr:nvSpPr>
      <xdr:spPr bwMode="auto">
        <a:xfrm>
          <a:off x="0" y="5547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1" name="AutoShape 1579" descr="Chicago Blackhawks">
          <a:extLst>
            <a:ext uri="{FF2B5EF4-FFF2-40B4-BE49-F238E27FC236}">
              <a16:creationId xmlns:a16="http://schemas.microsoft.com/office/drawing/2014/main" xmlns="" id="{00000000-0008-0000-0D00-00002B120000}"/>
            </a:ext>
          </a:extLst>
        </xdr:cNvPr>
        <xdr:cNvSpPr>
          <a:spLocks noChangeAspect="1" noChangeArrowheads="1"/>
        </xdr:cNvSpPr>
      </xdr:nvSpPr>
      <xdr:spPr bwMode="auto">
        <a:xfrm>
          <a:off x="0" y="5548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2" name="AutoShape 1580" descr="Columbus Blue Jackets">
          <a:extLst>
            <a:ext uri="{FF2B5EF4-FFF2-40B4-BE49-F238E27FC236}">
              <a16:creationId xmlns:a16="http://schemas.microsoft.com/office/drawing/2014/main" xmlns="" id="{00000000-0008-0000-0D00-00002C120000}"/>
            </a:ext>
          </a:extLst>
        </xdr:cNvPr>
        <xdr:cNvSpPr>
          <a:spLocks noChangeAspect="1" noChangeArrowheads="1"/>
        </xdr:cNvSpPr>
      </xdr:nvSpPr>
      <xdr:spPr bwMode="auto">
        <a:xfrm>
          <a:off x="0" y="5554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3" name="AutoShape 1581" descr="San Jose Sharks">
          <a:extLst>
            <a:ext uri="{FF2B5EF4-FFF2-40B4-BE49-F238E27FC236}">
              <a16:creationId xmlns:a16="http://schemas.microsoft.com/office/drawing/2014/main" xmlns="" id="{00000000-0008-0000-0D00-00002D120000}"/>
            </a:ext>
          </a:extLst>
        </xdr:cNvPr>
        <xdr:cNvSpPr>
          <a:spLocks noChangeAspect="1" noChangeArrowheads="1"/>
        </xdr:cNvSpPr>
      </xdr:nvSpPr>
      <xdr:spPr bwMode="auto">
        <a:xfrm>
          <a:off x="0" y="5558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4" name="AutoShape 1582" descr="Minnesota Wild">
          <a:extLst>
            <a:ext uri="{FF2B5EF4-FFF2-40B4-BE49-F238E27FC236}">
              <a16:creationId xmlns:a16="http://schemas.microsoft.com/office/drawing/2014/main" xmlns="" id="{00000000-0008-0000-0D00-00002E120000}"/>
            </a:ext>
          </a:extLst>
        </xdr:cNvPr>
        <xdr:cNvSpPr>
          <a:spLocks noChangeAspect="1" noChangeArrowheads="1"/>
        </xdr:cNvSpPr>
      </xdr:nvSpPr>
      <xdr:spPr bwMode="auto">
        <a:xfrm>
          <a:off x="0" y="5561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5" name="AutoShape 1583" descr="Los Angeles Kings">
          <a:extLst>
            <a:ext uri="{FF2B5EF4-FFF2-40B4-BE49-F238E27FC236}">
              <a16:creationId xmlns:a16="http://schemas.microsoft.com/office/drawing/2014/main" xmlns="" id="{00000000-0008-0000-0D00-00002F120000}"/>
            </a:ext>
          </a:extLst>
        </xdr:cNvPr>
        <xdr:cNvSpPr>
          <a:spLocks noChangeAspect="1" noChangeArrowheads="1"/>
        </xdr:cNvSpPr>
      </xdr:nvSpPr>
      <xdr:spPr bwMode="auto">
        <a:xfrm>
          <a:off x="0" y="5565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6" name="AutoShape 1584" descr="Dallas Stars">
          <a:extLst>
            <a:ext uri="{FF2B5EF4-FFF2-40B4-BE49-F238E27FC236}">
              <a16:creationId xmlns:a16="http://schemas.microsoft.com/office/drawing/2014/main" xmlns="" id="{00000000-0008-0000-0D00-000030120000}"/>
            </a:ext>
          </a:extLst>
        </xdr:cNvPr>
        <xdr:cNvSpPr>
          <a:spLocks noChangeAspect="1" noChangeArrowheads="1"/>
        </xdr:cNvSpPr>
      </xdr:nvSpPr>
      <xdr:spPr bwMode="auto">
        <a:xfrm>
          <a:off x="0" y="5569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7" name="AutoShape 1585" descr="New York Islanders">
          <a:extLst>
            <a:ext uri="{FF2B5EF4-FFF2-40B4-BE49-F238E27FC236}">
              <a16:creationId xmlns:a16="http://schemas.microsoft.com/office/drawing/2014/main" xmlns="" id="{00000000-0008-0000-0D00-000031120000}"/>
            </a:ext>
          </a:extLst>
        </xdr:cNvPr>
        <xdr:cNvSpPr>
          <a:spLocks noChangeAspect="1" noChangeArrowheads="1"/>
        </xdr:cNvSpPr>
      </xdr:nvSpPr>
      <xdr:spPr bwMode="auto">
        <a:xfrm>
          <a:off x="0" y="5570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8" name="AutoShape 1586" descr="Carolina Hurricanes">
          <a:extLst>
            <a:ext uri="{FF2B5EF4-FFF2-40B4-BE49-F238E27FC236}">
              <a16:creationId xmlns:a16="http://schemas.microsoft.com/office/drawing/2014/main" xmlns="" id="{00000000-0008-0000-0D00-000032120000}"/>
            </a:ext>
          </a:extLst>
        </xdr:cNvPr>
        <xdr:cNvSpPr>
          <a:spLocks noChangeAspect="1" noChangeArrowheads="1"/>
        </xdr:cNvSpPr>
      </xdr:nvSpPr>
      <xdr:spPr bwMode="auto">
        <a:xfrm>
          <a:off x="0" y="55745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9" name="AutoShape 1587" descr="Florida Panthers">
          <a:extLst>
            <a:ext uri="{FF2B5EF4-FFF2-40B4-BE49-F238E27FC236}">
              <a16:creationId xmlns:a16="http://schemas.microsoft.com/office/drawing/2014/main" xmlns="" id="{00000000-0008-0000-0D00-000033120000}"/>
            </a:ext>
          </a:extLst>
        </xdr:cNvPr>
        <xdr:cNvSpPr>
          <a:spLocks noChangeAspect="1" noChangeArrowheads="1"/>
        </xdr:cNvSpPr>
      </xdr:nvSpPr>
      <xdr:spPr bwMode="auto">
        <a:xfrm>
          <a:off x="0" y="5576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0" name="AutoShape 1588" descr="Los Angeles Kings">
          <a:extLst>
            <a:ext uri="{FF2B5EF4-FFF2-40B4-BE49-F238E27FC236}">
              <a16:creationId xmlns:a16="http://schemas.microsoft.com/office/drawing/2014/main" xmlns="" id="{00000000-0008-0000-0D00-000034120000}"/>
            </a:ext>
          </a:extLst>
        </xdr:cNvPr>
        <xdr:cNvSpPr>
          <a:spLocks noChangeAspect="1" noChangeArrowheads="1"/>
        </xdr:cNvSpPr>
      </xdr:nvSpPr>
      <xdr:spPr bwMode="auto">
        <a:xfrm>
          <a:off x="0" y="5580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1" name="AutoShape 1589" descr="Tampa Bay Lightning">
          <a:extLst>
            <a:ext uri="{FF2B5EF4-FFF2-40B4-BE49-F238E27FC236}">
              <a16:creationId xmlns:a16="http://schemas.microsoft.com/office/drawing/2014/main" xmlns="" id="{00000000-0008-0000-0D00-000035120000}"/>
            </a:ext>
          </a:extLst>
        </xdr:cNvPr>
        <xdr:cNvSpPr>
          <a:spLocks noChangeAspect="1" noChangeArrowheads="1"/>
        </xdr:cNvSpPr>
      </xdr:nvSpPr>
      <xdr:spPr bwMode="auto">
        <a:xfrm>
          <a:off x="0" y="5583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2" name="AutoShape 1590" descr="Tampa Bay Lightning">
          <a:extLst>
            <a:ext uri="{FF2B5EF4-FFF2-40B4-BE49-F238E27FC236}">
              <a16:creationId xmlns:a16="http://schemas.microsoft.com/office/drawing/2014/main" xmlns="" id="{00000000-0008-0000-0D00-000036120000}"/>
            </a:ext>
          </a:extLst>
        </xdr:cNvPr>
        <xdr:cNvSpPr>
          <a:spLocks noChangeAspect="1" noChangeArrowheads="1"/>
        </xdr:cNvSpPr>
      </xdr:nvSpPr>
      <xdr:spPr bwMode="auto">
        <a:xfrm>
          <a:off x="0" y="5585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63" name="AutoShape 1591" descr="Minnesota Wild">
          <a:extLst>
            <a:ext uri="{FF2B5EF4-FFF2-40B4-BE49-F238E27FC236}">
              <a16:creationId xmlns:a16="http://schemas.microsoft.com/office/drawing/2014/main" xmlns="" id="{00000000-0008-0000-0D00-000037120000}"/>
            </a:ext>
          </a:extLst>
        </xdr:cNvPr>
        <xdr:cNvSpPr>
          <a:spLocks noChangeAspect="1" noChangeArrowheads="1"/>
        </xdr:cNvSpPr>
      </xdr:nvSpPr>
      <xdr:spPr bwMode="auto">
        <a:xfrm>
          <a:off x="0" y="5589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4" name="AutoShape 1592" descr="Chicago Blackhawks">
          <a:extLst>
            <a:ext uri="{FF2B5EF4-FFF2-40B4-BE49-F238E27FC236}">
              <a16:creationId xmlns:a16="http://schemas.microsoft.com/office/drawing/2014/main" xmlns="" id="{00000000-0008-0000-0D00-000038120000}"/>
            </a:ext>
          </a:extLst>
        </xdr:cNvPr>
        <xdr:cNvSpPr>
          <a:spLocks noChangeAspect="1" noChangeArrowheads="1"/>
        </xdr:cNvSpPr>
      </xdr:nvSpPr>
      <xdr:spPr bwMode="auto">
        <a:xfrm>
          <a:off x="0" y="5591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5" name="AutoShape 1593" descr="Buffalo Sabres">
          <a:extLst>
            <a:ext uri="{FF2B5EF4-FFF2-40B4-BE49-F238E27FC236}">
              <a16:creationId xmlns:a16="http://schemas.microsoft.com/office/drawing/2014/main" xmlns="" id="{00000000-0008-0000-0D00-000039120000}"/>
            </a:ext>
          </a:extLst>
        </xdr:cNvPr>
        <xdr:cNvSpPr>
          <a:spLocks noChangeAspect="1" noChangeArrowheads="1"/>
        </xdr:cNvSpPr>
      </xdr:nvSpPr>
      <xdr:spPr bwMode="auto">
        <a:xfrm>
          <a:off x="0" y="5594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6" name="AutoShape 1594" descr="Colorado Avalanche">
          <a:extLst>
            <a:ext uri="{FF2B5EF4-FFF2-40B4-BE49-F238E27FC236}">
              <a16:creationId xmlns:a16="http://schemas.microsoft.com/office/drawing/2014/main" xmlns="" id="{00000000-0008-0000-0D00-00003A120000}"/>
            </a:ext>
          </a:extLst>
        </xdr:cNvPr>
        <xdr:cNvSpPr>
          <a:spLocks noChangeAspect="1" noChangeArrowheads="1"/>
        </xdr:cNvSpPr>
      </xdr:nvSpPr>
      <xdr:spPr bwMode="auto">
        <a:xfrm>
          <a:off x="0" y="5598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7" name="AutoShape 1595" descr="Dallas Stars">
          <a:extLst>
            <a:ext uri="{FF2B5EF4-FFF2-40B4-BE49-F238E27FC236}">
              <a16:creationId xmlns:a16="http://schemas.microsoft.com/office/drawing/2014/main" xmlns="" id="{00000000-0008-0000-0D00-00003B120000}"/>
            </a:ext>
          </a:extLst>
        </xdr:cNvPr>
        <xdr:cNvSpPr>
          <a:spLocks noChangeAspect="1" noChangeArrowheads="1"/>
        </xdr:cNvSpPr>
      </xdr:nvSpPr>
      <xdr:spPr bwMode="auto">
        <a:xfrm>
          <a:off x="0" y="5601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8" name="AutoShape 1596" descr="Colorado Avalanche">
          <a:extLst>
            <a:ext uri="{FF2B5EF4-FFF2-40B4-BE49-F238E27FC236}">
              <a16:creationId xmlns:a16="http://schemas.microsoft.com/office/drawing/2014/main" xmlns="" id="{00000000-0008-0000-0D00-00003C120000}"/>
            </a:ext>
          </a:extLst>
        </xdr:cNvPr>
        <xdr:cNvSpPr>
          <a:spLocks noChangeAspect="1" noChangeArrowheads="1"/>
        </xdr:cNvSpPr>
      </xdr:nvSpPr>
      <xdr:spPr bwMode="auto">
        <a:xfrm>
          <a:off x="0" y="5603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9" name="AutoShape 1597" descr="Anaheim Ducks">
          <a:extLst>
            <a:ext uri="{FF2B5EF4-FFF2-40B4-BE49-F238E27FC236}">
              <a16:creationId xmlns:a16="http://schemas.microsoft.com/office/drawing/2014/main" xmlns="" id="{00000000-0008-0000-0D00-00003D120000}"/>
            </a:ext>
          </a:extLst>
        </xdr:cNvPr>
        <xdr:cNvSpPr>
          <a:spLocks noChangeAspect="1" noChangeArrowheads="1"/>
        </xdr:cNvSpPr>
      </xdr:nvSpPr>
      <xdr:spPr bwMode="auto">
        <a:xfrm>
          <a:off x="0" y="5607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0" name="AutoShape 1598" descr="Arizona Coyotes">
          <a:extLst>
            <a:ext uri="{FF2B5EF4-FFF2-40B4-BE49-F238E27FC236}">
              <a16:creationId xmlns:a16="http://schemas.microsoft.com/office/drawing/2014/main" xmlns="" id="{00000000-0008-0000-0D00-00003E120000}"/>
            </a:ext>
          </a:extLst>
        </xdr:cNvPr>
        <xdr:cNvSpPr>
          <a:spLocks noChangeAspect="1" noChangeArrowheads="1"/>
        </xdr:cNvSpPr>
      </xdr:nvSpPr>
      <xdr:spPr bwMode="auto">
        <a:xfrm>
          <a:off x="0" y="561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1" name="AutoShape 1599" descr="Tampa Bay Lightning">
          <a:extLst>
            <a:ext uri="{FF2B5EF4-FFF2-40B4-BE49-F238E27FC236}">
              <a16:creationId xmlns:a16="http://schemas.microsoft.com/office/drawing/2014/main" xmlns="" id="{00000000-0008-0000-0D00-00003F120000}"/>
            </a:ext>
          </a:extLst>
        </xdr:cNvPr>
        <xdr:cNvSpPr>
          <a:spLocks noChangeAspect="1" noChangeArrowheads="1"/>
        </xdr:cNvSpPr>
      </xdr:nvSpPr>
      <xdr:spPr bwMode="auto">
        <a:xfrm>
          <a:off x="0" y="5614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2" name="AutoShape 1600" descr="Arizona Coyotes">
          <a:extLst>
            <a:ext uri="{FF2B5EF4-FFF2-40B4-BE49-F238E27FC236}">
              <a16:creationId xmlns:a16="http://schemas.microsoft.com/office/drawing/2014/main" xmlns="" id="{00000000-0008-0000-0D00-000040120000}"/>
            </a:ext>
          </a:extLst>
        </xdr:cNvPr>
        <xdr:cNvSpPr>
          <a:spLocks noChangeAspect="1" noChangeArrowheads="1"/>
        </xdr:cNvSpPr>
      </xdr:nvSpPr>
      <xdr:spPr bwMode="auto">
        <a:xfrm>
          <a:off x="0" y="5618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3" name="AutoShape 1601" descr="New York Rangers">
          <a:extLst>
            <a:ext uri="{FF2B5EF4-FFF2-40B4-BE49-F238E27FC236}">
              <a16:creationId xmlns:a16="http://schemas.microsoft.com/office/drawing/2014/main" xmlns="" id="{00000000-0008-0000-0D00-000041120000}"/>
            </a:ext>
          </a:extLst>
        </xdr:cNvPr>
        <xdr:cNvSpPr>
          <a:spLocks noChangeAspect="1" noChangeArrowheads="1"/>
        </xdr:cNvSpPr>
      </xdr:nvSpPr>
      <xdr:spPr bwMode="auto">
        <a:xfrm>
          <a:off x="0" y="5622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4" name="AutoShape 1602" descr="Edmonton Oilers">
          <a:extLst>
            <a:ext uri="{FF2B5EF4-FFF2-40B4-BE49-F238E27FC236}">
              <a16:creationId xmlns:a16="http://schemas.microsoft.com/office/drawing/2014/main" xmlns="" id="{00000000-0008-0000-0D00-000042120000}"/>
            </a:ext>
          </a:extLst>
        </xdr:cNvPr>
        <xdr:cNvSpPr>
          <a:spLocks noChangeAspect="1" noChangeArrowheads="1"/>
        </xdr:cNvSpPr>
      </xdr:nvSpPr>
      <xdr:spPr bwMode="auto">
        <a:xfrm>
          <a:off x="0" y="5625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5" name="AutoShape 1603" descr="Arizona Coyotes">
          <a:extLst>
            <a:ext uri="{FF2B5EF4-FFF2-40B4-BE49-F238E27FC236}">
              <a16:creationId xmlns:a16="http://schemas.microsoft.com/office/drawing/2014/main" xmlns="" id="{00000000-0008-0000-0D00-000043120000}"/>
            </a:ext>
          </a:extLst>
        </xdr:cNvPr>
        <xdr:cNvSpPr>
          <a:spLocks noChangeAspect="1" noChangeArrowheads="1"/>
        </xdr:cNvSpPr>
      </xdr:nvSpPr>
      <xdr:spPr bwMode="auto">
        <a:xfrm>
          <a:off x="0" y="5629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6" name="AutoShape 1604" descr="Toronto Maple Leafs">
          <a:extLst>
            <a:ext uri="{FF2B5EF4-FFF2-40B4-BE49-F238E27FC236}">
              <a16:creationId xmlns:a16="http://schemas.microsoft.com/office/drawing/2014/main" xmlns="" id="{00000000-0008-0000-0D00-000044120000}"/>
            </a:ext>
          </a:extLst>
        </xdr:cNvPr>
        <xdr:cNvSpPr>
          <a:spLocks noChangeAspect="1" noChangeArrowheads="1"/>
        </xdr:cNvSpPr>
      </xdr:nvSpPr>
      <xdr:spPr bwMode="auto">
        <a:xfrm>
          <a:off x="0" y="5633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7" name="AutoShape 1605" descr="Columbus Blue Jackets">
          <a:extLst>
            <a:ext uri="{FF2B5EF4-FFF2-40B4-BE49-F238E27FC236}">
              <a16:creationId xmlns:a16="http://schemas.microsoft.com/office/drawing/2014/main" xmlns="" id="{00000000-0008-0000-0D00-000045120000}"/>
            </a:ext>
          </a:extLst>
        </xdr:cNvPr>
        <xdr:cNvSpPr>
          <a:spLocks noChangeAspect="1" noChangeArrowheads="1"/>
        </xdr:cNvSpPr>
      </xdr:nvSpPr>
      <xdr:spPr bwMode="auto">
        <a:xfrm>
          <a:off x="0" y="5636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8" name="AutoShape 1606" descr="Calgary Flames">
          <a:extLst>
            <a:ext uri="{FF2B5EF4-FFF2-40B4-BE49-F238E27FC236}">
              <a16:creationId xmlns:a16="http://schemas.microsoft.com/office/drawing/2014/main" xmlns="" id="{00000000-0008-0000-0D00-000046120000}"/>
            </a:ext>
          </a:extLst>
        </xdr:cNvPr>
        <xdr:cNvSpPr>
          <a:spLocks noChangeAspect="1" noChangeArrowheads="1"/>
        </xdr:cNvSpPr>
      </xdr:nvSpPr>
      <xdr:spPr bwMode="auto">
        <a:xfrm>
          <a:off x="0" y="5640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9" name="AutoShape 1607" descr="Vancouver Canucks">
          <a:extLst>
            <a:ext uri="{FF2B5EF4-FFF2-40B4-BE49-F238E27FC236}">
              <a16:creationId xmlns:a16="http://schemas.microsoft.com/office/drawing/2014/main" xmlns="" id="{00000000-0008-0000-0D00-000047120000}"/>
            </a:ext>
          </a:extLst>
        </xdr:cNvPr>
        <xdr:cNvSpPr>
          <a:spLocks noChangeAspect="1" noChangeArrowheads="1"/>
        </xdr:cNvSpPr>
      </xdr:nvSpPr>
      <xdr:spPr bwMode="auto">
        <a:xfrm>
          <a:off x="0" y="5644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0" name="AutoShape 1608" descr="Colorado Avalanche">
          <a:extLst>
            <a:ext uri="{FF2B5EF4-FFF2-40B4-BE49-F238E27FC236}">
              <a16:creationId xmlns:a16="http://schemas.microsoft.com/office/drawing/2014/main" xmlns="" id="{00000000-0008-0000-0D00-000048120000}"/>
            </a:ext>
          </a:extLst>
        </xdr:cNvPr>
        <xdr:cNvSpPr>
          <a:spLocks noChangeAspect="1" noChangeArrowheads="1"/>
        </xdr:cNvSpPr>
      </xdr:nvSpPr>
      <xdr:spPr bwMode="auto">
        <a:xfrm>
          <a:off x="0" y="5647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1" name="AutoShape 1609" descr="Pittsburgh Penguins">
          <a:extLst>
            <a:ext uri="{FF2B5EF4-FFF2-40B4-BE49-F238E27FC236}">
              <a16:creationId xmlns:a16="http://schemas.microsoft.com/office/drawing/2014/main" xmlns="" id="{00000000-0008-0000-0D00-000049120000}"/>
            </a:ext>
          </a:extLst>
        </xdr:cNvPr>
        <xdr:cNvSpPr>
          <a:spLocks noChangeAspect="1" noChangeArrowheads="1"/>
        </xdr:cNvSpPr>
      </xdr:nvSpPr>
      <xdr:spPr bwMode="auto">
        <a:xfrm>
          <a:off x="0" y="5651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2" name="AutoShape 1610" descr="New Jersey Devils">
          <a:extLst>
            <a:ext uri="{FF2B5EF4-FFF2-40B4-BE49-F238E27FC236}">
              <a16:creationId xmlns:a16="http://schemas.microsoft.com/office/drawing/2014/main" xmlns="" id="{00000000-0008-0000-0D00-00004A120000}"/>
            </a:ext>
          </a:extLst>
        </xdr:cNvPr>
        <xdr:cNvSpPr>
          <a:spLocks noChangeAspect="1" noChangeArrowheads="1"/>
        </xdr:cNvSpPr>
      </xdr:nvSpPr>
      <xdr:spPr bwMode="auto">
        <a:xfrm>
          <a:off x="0" y="56550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3" name="AutoShape 1611" descr="Nashville Predators">
          <a:extLst>
            <a:ext uri="{FF2B5EF4-FFF2-40B4-BE49-F238E27FC236}">
              <a16:creationId xmlns:a16="http://schemas.microsoft.com/office/drawing/2014/main" xmlns="" id="{00000000-0008-0000-0D00-00004B120000}"/>
            </a:ext>
          </a:extLst>
        </xdr:cNvPr>
        <xdr:cNvSpPr>
          <a:spLocks noChangeAspect="1" noChangeArrowheads="1"/>
        </xdr:cNvSpPr>
      </xdr:nvSpPr>
      <xdr:spPr bwMode="auto">
        <a:xfrm>
          <a:off x="0" y="56586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4" name="AutoShape 1612" descr="Nashville Predators">
          <a:extLst>
            <a:ext uri="{FF2B5EF4-FFF2-40B4-BE49-F238E27FC236}">
              <a16:creationId xmlns:a16="http://schemas.microsoft.com/office/drawing/2014/main" xmlns="" id="{00000000-0008-0000-0D00-00004C120000}"/>
            </a:ext>
          </a:extLst>
        </xdr:cNvPr>
        <xdr:cNvSpPr>
          <a:spLocks noChangeAspect="1" noChangeArrowheads="1"/>
        </xdr:cNvSpPr>
      </xdr:nvSpPr>
      <xdr:spPr bwMode="auto">
        <a:xfrm>
          <a:off x="0" y="56623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85" name="AutoShape 1613" descr="New Jersey Devils">
          <a:extLst>
            <a:ext uri="{FF2B5EF4-FFF2-40B4-BE49-F238E27FC236}">
              <a16:creationId xmlns:a16="http://schemas.microsoft.com/office/drawing/2014/main" xmlns="" id="{00000000-0008-0000-0D00-00004D120000}"/>
            </a:ext>
          </a:extLst>
        </xdr:cNvPr>
        <xdr:cNvSpPr>
          <a:spLocks noChangeAspect="1" noChangeArrowheads="1"/>
        </xdr:cNvSpPr>
      </xdr:nvSpPr>
      <xdr:spPr bwMode="auto">
        <a:xfrm>
          <a:off x="0" y="5666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6" name="AutoShape 1614" descr="Nashville Predators">
          <a:extLst>
            <a:ext uri="{FF2B5EF4-FFF2-40B4-BE49-F238E27FC236}">
              <a16:creationId xmlns:a16="http://schemas.microsoft.com/office/drawing/2014/main" xmlns="" id="{00000000-0008-0000-0D00-00004E120000}"/>
            </a:ext>
          </a:extLst>
        </xdr:cNvPr>
        <xdr:cNvSpPr>
          <a:spLocks noChangeAspect="1" noChangeArrowheads="1"/>
        </xdr:cNvSpPr>
      </xdr:nvSpPr>
      <xdr:spPr bwMode="auto">
        <a:xfrm>
          <a:off x="0" y="5667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7" name="AutoShape 1615" descr="New Jersey Devils">
          <a:extLst>
            <a:ext uri="{FF2B5EF4-FFF2-40B4-BE49-F238E27FC236}">
              <a16:creationId xmlns:a16="http://schemas.microsoft.com/office/drawing/2014/main" xmlns="" id="{00000000-0008-0000-0D00-00004F120000}"/>
            </a:ext>
          </a:extLst>
        </xdr:cNvPr>
        <xdr:cNvSpPr>
          <a:spLocks noChangeAspect="1" noChangeArrowheads="1"/>
        </xdr:cNvSpPr>
      </xdr:nvSpPr>
      <xdr:spPr bwMode="auto">
        <a:xfrm>
          <a:off x="0" y="5671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8" name="AutoShape 1616" descr="Vancouver Canucks">
          <a:extLst>
            <a:ext uri="{FF2B5EF4-FFF2-40B4-BE49-F238E27FC236}">
              <a16:creationId xmlns:a16="http://schemas.microsoft.com/office/drawing/2014/main" xmlns="" id="{00000000-0008-0000-0D00-000050120000}"/>
            </a:ext>
          </a:extLst>
        </xdr:cNvPr>
        <xdr:cNvSpPr>
          <a:spLocks noChangeAspect="1" noChangeArrowheads="1"/>
        </xdr:cNvSpPr>
      </xdr:nvSpPr>
      <xdr:spPr bwMode="auto">
        <a:xfrm>
          <a:off x="0" y="5675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9" name="AutoShape 1617" descr="San Jose Sharks">
          <a:extLst>
            <a:ext uri="{FF2B5EF4-FFF2-40B4-BE49-F238E27FC236}">
              <a16:creationId xmlns:a16="http://schemas.microsoft.com/office/drawing/2014/main" xmlns="" id="{00000000-0008-0000-0D00-000051120000}"/>
            </a:ext>
          </a:extLst>
        </xdr:cNvPr>
        <xdr:cNvSpPr>
          <a:spLocks noChangeAspect="1" noChangeArrowheads="1"/>
        </xdr:cNvSpPr>
      </xdr:nvSpPr>
      <xdr:spPr bwMode="auto">
        <a:xfrm>
          <a:off x="0" y="56788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0" name="AutoShape 1618" descr="Ottawa Senators">
          <a:extLst>
            <a:ext uri="{FF2B5EF4-FFF2-40B4-BE49-F238E27FC236}">
              <a16:creationId xmlns:a16="http://schemas.microsoft.com/office/drawing/2014/main" xmlns="" id="{00000000-0008-0000-0D00-000052120000}"/>
            </a:ext>
          </a:extLst>
        </xdr:cNvPr>
        <xdr:cNvSpPr>
          <a:spLocks noChangeAspect="1" noChangeArrowheads="1"/>
        </xdr:cNvSpPr>
      </xdr:nvSpPr>
      <xdr:spPr bwMode="auto">
        <a:xfrm>
          <a:off x="0" y="5682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1" name="AutoShape 1619" descr="Edmonton Oilers">
          <a:extLst>
            <a:ext uri="{FF2B5EF4-FFF2-40B4-BE49-F238E27FC236}">
              <a16:creationId xmlns:a16="http://schemas.microsoft.com/office/drawing/2014/main" xmlns="" id="{00000000-0008-0000-0D00-000053120000}"/>
            </a:ext>
          </a:extLst>
        </xdr:cNvPr>
        <xdr:cNvSpPr>
          <a:spLocks noChangeAspect="1" noChangeArrowheads="1"/>
        </xdr:cNvSpPr>
      </xdr:nvSpPr>
      <xdr:spPr bwMode="auto">
        <a:xfrm>
          <a:off x="0" y="5686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2" name="AutoShape 1620" descr="Tampa Bay Lightning">
          <a:extLst>
            <a:ext uri="{FF2B5EF4-FFF2-40B4-BE49-F238E27FC236}">
              <a16:creationId xmlns:a16="http://schemas.microsoft.com/office/drawing/2014/main" xmlns="" id="{00000000-0008-0000-0D00-000054120000}"/>
            </a:ext>
          </a:extLst>
        </xdr:cNvPr>
        <xdr:cNvSpPr>
          <a:spLocks noChangeAspect="1" noChangeArrowheads="1"/>
        </xdr:cNvSpPr>
      </xdr:nvSpPr>
      <xdr:spPr bwMode="auto">
        <a:xfrm>
          <a:off x="0" y="56897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3" name="AutoShape 1621" descr="Buffalo Sabres">
          <a:extLst>
            <a:ext uri="{FF2B5EF4-FFF2-40B4-BE49-F238E27FC236}">
              <a16:creationId xmlns:a16="http://schemas.microsoft.com/office/drawing/2014/main" xmlns="" id="{00000000-0008-0000-0D00-000055120000}"/>
            </a:ext>
          </a:extLst>
        </xdr:cNvPr>
        <xdr:cNvSpPr>
          <a:spLocks noChangeAspect="1" noChangeArrowheads="1"/>
        </xdr:cNvSpPr>
      </xdr:nvSpPr>
      <xdr:spPr bwMode="auto">
        <a:xfrm>
          <a:off x="0" y="5693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4" name="AutoShape 1622" descr="Detroit Red Wings">
          <a:extLst>
            <a:ext uri="{FF2B5EF4-FFF2-40B4-BE49-F238E27FC236}">
              <a16:creationId xmlns:a16="http://schemas.microsoft.com/office/drawing/2014/main" xmlns="" id="{00000000-0008-0000-0D00-000056120000}"/>
            </a:ext>
          </a:extLst>
        </xdr:cNvPr>
        <xdr:cNvSpPr>
          <a:spLocks noChangeAspect="1" noChangeArrowheads="1"/>
        </xdr:cNvSpPr>
      </xdr:nvSpPr>
      <xdr:spPr bwMode="auto">
        <a:xfrm>
          <a:off x="0" y="5697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5" name="AutoShape 1623" descr="Pittsburgh Penguins">
          <a:extLst>
            <a:ext uri="{FF2B5EF4-FFF2-40B4-BE49-F238E27FC236}">
              <a16:creationId xmlns:a16="http://schemas.microsoft.com/office/drawing/2014/main" xmlns="" id="{00000000-0008-0000-0D00-000057120000}"/>
            </a:ext>
          </a:extLst>
        </xdr:cNvPr>
        <xdr:cNvSpPr>
          <a:spLocks noChangeAspect="1" noChangeArrowheads="1"/>
        </xdr:cNvSpPr>
      </xdr:nvSpPr>
      <xdr:spPr bwMode="auto">
        <a:xfrm>
          <a:off x="0" y="570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6" name="AutoShape 1624" descr="Los Angeles Kings">
          <a:extLst>
            <a:ext uri="{FF2B5EF4-FFF2-40B4-BE49-F238E27FC236}">
              <a16:creationId xmlns:a16="http://schemas.microsoft.com/office/drawing/2014/main" xmlns="" id="{00000000-0008-0000-0D00-000058120000}"/>
            </a:ext>
          </a:extLst>
        </xdr:cNvPr>
        <xdr:cNvSpPr>
          <a:spLocks noChangeAspect="1" noChangeArrowheads="1"/>
        </xdr:cNvSpPr>
      </xdr:nvSpPr>
      <xdr:spPr bwMode="auto">
        <a:xfrm>
          <a:off x="0" y="5704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7" name="AutoShape 1625" descr="Philadelphia Flyers">
          <a:extLst>
            <a:ext uri="{FF2B5EF4-FFF2-40B4-BE49-F238E27FC236}">
              <a16:creationId xmlns:a16="http://schemas.microsoft.com/office/drawing/2014/main" xmlns="" id="{00000000-0008-0000-0D00-000059120000}"/>
            </a:ext>
          </a:extLst>
        </xdr:cNvPr>
        <xdr:cNvSpPr>
          <a:spLocks noChangeAspect="1" noChangeArrowheads="1"/>
        </xdr:cNvSpPr>
      </xdr:nvSpPr>
      <xdr:spPr bwMode="auto">
        <a:xfrm>
          <a:off x="0" y="5708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98" name="AutoShape 1626" descr="San Jose Sharks">
          <a:extLst>
            <a:ext uri="{FF2B5EF4-FFF2-40B4-BE49-F238E27FC236}">
              <a16:creationId xmlns:a16="http://schemas.microsoft.com/office/drawing/2014/main" xmlns="" id="{00000000-0008-0000-0D00-00005A120000}"/>
            </a:ext>
          </a:extLst>
        </xdr:cNvPr>
        <xdr:cNvSpPr>
          <a:spLocks noChangeAspect="1" noChangeArrowheads="1"/>
        </xdr:cNvSpPr>
      </xdr:nvSpPr>
      <xdr:spPr bwMode="auto">
        <a:xfrm>
          <a:off x="0" y="5711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9" name="AutoShape 1627" descr="Boston Bruins">
          <a:extLst>
            <a:ext uri="{FF2B5EF4-FFF2-40B4-BE49-F238E27FC236}">
              <a16:creationId xmlns:a16="http://schemas.microsoft.com/office/drawing/2014/main" xmlns="" id="{00000000-0008-0000-0D00-00005B120000}"/>
            </a:ext>
          </a:extLst>
        </xdr:cNvPr>
        <xdr:cNvSpPr>
          <a:spLocks noChangeAspect="1" noChangeArrowheads="1"/>
        </xdr:cNvSpPr>
      </xdr:nvSpPr>
      <xdr:spPr bwMode="auto">
        <a:xfrm>
          <a:off x="0" y="57135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0" name="AutoShape 1628" descr="Montreal Canadiens">
          <a:extLst>
            <a:ext uri="{FF2B5EF4-FFF2-40B4-BE49-F238E27FC236}">
              <a16:creationId xmlns:a16="http://schemas.microsoft.com/office/drawing/2014/main" xmlns="" id="{00000000-0008-0000-0D00-00005C120000}"/>
            </a:ext>
          </a:extLst>
        </xdr:cNvPr>
        <xdr:cNvSpPr>
          <a:spLocks noChangeAspect="1" noChangeArrowheads="1"/>
        </xdr:cNvSpPr>
      </xdr:nvSpPr>
      <xdr:spPr bwMode="auto">
        <a:xfrm>
          <a:off x="0" y="5717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1" name="AutoShape 1629" descr="Detroit Red Wings">
          <a:extLst>
            <a:ext uri="{FF2B5EF4-FFF2-40B4-BE49-F238E27FC236}">
              <a16:creationId xmlns:a16="http://schemas.microsoft.com/office/drawing/2014/main" xmlns="" id="{00000000-0008-0000-0D00-00005D120000}"/>
            </a:ext>
          </a:extLst>
        </xdr:cNvPr>
        <xdr:cNvSpPr>
          <a:spLocks noChangeAspect="1" noChangeArrowheads="1"/>
        </xdr:cNvSpPr>
      </xdr:nvSpPr>
      <xdr:spPr bwMode="auto">
        <a:xfrm>
          <a:off x="0" y="5720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2" name="AutoShape 1630" descr="San Jose Sharks">
          <a:extLst>
            <a:ext uri="{FF2B5EF4-FFF2-40B4-BE49-F238E27FC236}">
              <a16:creationId xmlns:a16="http://schemas.microsoft.com/office/drawing/2014/main" xmlns="" id="{00000000-0008-0000-0D00-00005E120000}"/>
            </a:ext>
          </a:extLst>
        </xdr:cNvPr>
        <xdr:cNvSpPr>
          <a:spLocks noChangeAspect="1" noChangeArrowheads="1"/>
        </xdr:cNvSpPr>
      </xdr:nvSpPr>
      <xdr:spPr bwMode="auto">
        <a:xfrm>
          <a:off x="0" y="5724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3" name="AutoShape 1631" descr="Detroit Red Wings">
          <a:extLst>
            <a:ext uri="{FF2B5EF4-FFF2-40B4-BE49-F238E27FC236}">
              <a16:creationId xmlns:a16="http://schemas.microsoft.com/office/drawing/2014/main" xmlns="" id="{00000000-0008-0000-0D00-00005F120000}"/>
            </a:ext>
          </a:extLst>
        </xdr:cNvPr>
        <xdr:cNvSpPr>
          <a:spLocks noChangeAspect="1" noChangeArrowheads="1"/>
        </xdr:cNvSpPr>
      </xdr:nvSpPr>
      <xdr:spPr bwMode="auto">
        <a:xfrm>
          <a:off x="0" y="5726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4" name="AutoShape 1632" descr="Chicago Blackhawks">
          <a:extLst>
            <a:ext uri="{FF2B5EF4-FFF2-40B4-BE49-F238E27FC236}">
              <a16:creationId xmlns:a16="http://schemas.microsoft.com/office/drawing/2014/main" xmlns="" id="{00000000-0008-0000-0D00-000060120000}"/>
            </a:ext>
          </a:extLst>
        </xdr:cNvPr>
        <xdr:cNvSpPr>
          <a:spLocks noChangeAspect="1" noChangeArrowheads="1"/>
        </xdr:cNvSpPr>
      </xdr:nvSpPr>
      <xdr:spPr bwMode="auto">
        <a:xfrm>
          <a:off x="0" y="5730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5" name="AutoShape 1633" descr="San Jose Sharks">
          <a:extLst>
            <a:ext uri="{FF2B5EF4-FFF2-40B4-BE49-F238E27FC236}">
              <a16:creationId xmlns:a16="http://schemas.microsoft.com/office/drawing/2014/main" xmlns="" id="{00000000-0008-0000-0D00-000061120000}"/>
            </a:ext>
          </a:extLst>
        </xdr:cNvPr>
        <xdr:cNvSpPr>
          <a:spLocks noChangeAspect="1" noChangeArrowheads="1"/>
        </xdr:cNvSpPr>
      </xdr:nvSpPr>
      <xdr:spPr bwMode="auto">
        <a:xfrm>
          <a:off x="0" y="5733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6" name="AutoShape 1634" descr="Montreal Canadiens">
          <a:extLst>
            <a:ext uri="{FF2B5EF4-FFF2-40B4-BE49-F238E27FC236}">
              <a16:creationId xmlns:a16="http://schemas.microsoft.com/office/drawing/2014/main" xmlns="" id="{00000000-0008-0000-0D00-000062120000}"/>
            </a:ext>
          </a:extLst>
        </xdr:cNvPr>
        <xdr:cNvSpPr>
          <a:spLocks noChangeAspect="1" noChangeArrowheads="1"/>
        </xdr:cNvSpPr>
      </xdr:nvSpPr>
      <xdr:spPr bwMode="auto">
        <a:xfrm>
          <a:off x="0" y="57354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7" name="AutoShape 1635" descr="Philadelphia Flyers">
          <a:extLst>
            <a:ext uri="{FF2B5EF4-FFF2-40B4-BE49-F238E27FC236}">
              <a16:creationId xmlns:a16="http://schemas.microsoft.com/office/drawing/2014/main" xmlns="" id="{00000000-0008-0000-0D00-000063120000}"/>
            </a:ext>
          </a:extLst>
        </xdr:cNvPr>
        <xdr:cNvSpPr>
          <a:spLocks noChangeAspect="1" noChangeArrowheads="1"/>
        </xdr:cNvSpPr>
      </xdr:nvSpPr>
      <xdr:spPr bwMode="auto">
        <a:xfrm>
          <a:off x="0" y="5739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8" name="AutoShape 1636" descr="New York Rangers">
          <a:extLst>
            <a:ext uri="{FF2B5EF4-FFF2-40B4-BE49-F238E27FC236}">
              <a16:creationId xmlns:a16="http://schemas.microsoft.com/office/drawing/2014/main" xmlns="" id="{00000000-0008-0000-0D00-000064120000}"/>
            </a:ext>
          </a:extLst>
        </xdr:cNvPr>
        <xdr:cNvSpPr>
          <a:spLocks noChangeAspect="1" noChangeArrowheads="1"/>
        </xdr:cNvSpPr>
      </xdr:nvSpPr>
      <xdr:spPr bwMode="auto">
        <a:xfrm>
          <a:off x="0" y="5740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9" name="AutoShape 1637" descr="Anaheim Ducks">
          <a:extLst>
            <a:ext uri="{FF2B5EF4-FFF2-40B4-BE49-F238E27FC236}">
              <a16:creationId xmlns:a16="http://schemas.microsoft.com/office/drawing/2014/main" xmlns="" id="{00000000-0008-0000-0D00-000065120000}"/>
            </a:ext>
          </a:extLst>
        </xdr:cNvPr>
        <xdr:cNvSpPr>
          <a:spLocks noChangeAspect="1" noChangeArrowheads="1"/>
        </xdr:cNvSpPr>
      </xdr:nvSpPr>
      <xdr:spPr bwMode="auto">
        <a:xfrm>
          <a:off x="0" y="5744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10" name="AutoShape 1638" descr="Vegas Golden Knights">
          <a:extLst>
            <a:ext uri="{FF2B5EF4-FFF2-40B4-BE49-F238E27FC236}">
              <a16:creationId xmlns:a16="http://schemas.microsoft.com/office/drawing/2014/main" xmlns="" id="{00000000-0008-0000-0D00-000066120000}"/>
            </a:ext>
          </a:extLst>
        </xdr:cNvPr>
        <xdr:cNvSpPr>
          <a:spLocks noChangeAspect="1" noChangeArrowheads="1"/>
        </xdr:cNvSpPr>
      </xdr:nvSpPr>
      <xdr:spPr bwMode="auto">
        <a:xfrm>
          <a:off x="0" y="5746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1" name="AutoShape 1639" descr="Vegas Golden Knights">
          <a:extLst>
            <a:ext uri="{FF2B5EF4-FFF2-40B4-BE49-F238E27FC236}">
              <a16:creationId xmlns:a16="http://schemas.microsoft.com/office/drawing/2014/main" xmlns="" id="{00000000-0008-0000-0D00-000067120000}"/>
            </a:ext>
          </a:extLst>
        </xdr:cNvPr>
        <xdr:cNvSpPr>
          <a:spLocks noChangeAspect="1" noChangeArrowheads="1"/>
        </xdr:cNvSpPr>
      </xdr:nvSpPr>
      <xdr:spPr bwMode="auto">
        <a:xfrm>
          <a:off x="0" y="5748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2" name="AutoShape 1640" descr="Vegas Golden Knights">
          <a:extLst>
            <a:ext uri="{FF2B5EF4-FFF2-40B4-BE49-F238E27FC236}">
              <a16:creationId xmlns:a16="http://schemas.microsoft.com/office/drawing/2014/main" xmlns="" id="{00000000-0008-0000-0D00-000068120000}"/>
            </a:ext>
          </a:extLst>
        </xdr:cNvPr>
        <xdr:cNvSpPr>
          <a:spLocks noChangeAspect="1" noChangeArrowheads="1"/>
        </xdr:cNvSpPr>
      </xdr:nvSpPr>
      <xdr:spPr bwMode="auto">
        <a:xfrm>
          <a:off x="0" y="5751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3" name="AutoShape 1641" descr="Anaheim Ducks">
          <a:extLst>
            <a:ext uri="{FF2B5EF4-FFF2-40B4-BE49-F238E27FC236}">
              <a16:creationId xmlns:a16="http://schemas.microsoft.com/office/drawing/2014/main" xmlns="" id="{00000000-0008-0000-0D00-000069120000}"/>
            </a:ext>
          </a:extLst>
        </xdr:cNvPr>
        <xdr:cNvSpPr>
          <a:spLocks noChangeAspect="1" noChangeArrowheads="1"/>
        </xdr:cNvSpPr>
      </xdr:nvSpPr>
      <xdr:spPr bwMode="auto">
        <a:xfrm>
          <a:off x="0" y="5753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4" name="AutoShape 1642" descr="Philadelphia Flyers">
          <a:extLst>
            <a:ext uri="{FF2B5EF4-FFF2-40B4-BE49-F238E27FC236}">
              <a16:creationId xmlns:a16="http://schemas.microsoft.com/office/drawing/2014/main" xmlns="" id="{00000000-0008-0000-0D00-00006A120000}"/>
            </a:ext>
          </a:extLst>
        </xdr:cNvPr>
        <xdr:cNvSpPr>
          <a:spLocks noChangeAspect="1" noChangeArrowheads="1"/>
        </xdr:cNvSpPr>
      </xdr:nvSpPr>
      <xdr:spPr bwMode="auto">
        <a:xfrm>
          <a:off x="0" y="5757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5" name="AutoShape 1643" descr="Buffalo Sabres">
          <a:extLst>
            <a:ext uri="{FF2B5EF4-FFF2-40B4-BE49-F238E27FC236}">
              <a16:creationId xmlns:a16="http://schemas.microsoft.com/office/drawing/2014/main" xmlns="" id="{00000000-0008-0000-0D00-00006B120000}"/>
            </a:ext>
          </a:extLst>
        </xdr:cNvPr>
        <xdr:cNvSpPr>
          <a:spLocks noChangeAspect="1" noChangeArrowheads="1"/>
        </xdr:cNvSpPr>
      </xdr:nvSpPr>
      <xdr:spPr bwMode="auto">
        <a:xfrm>
          <a:off x="0" y="5759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6" name="AutoShape 1644" descr="San Jose Sharks">
          <a:extLst>
            <a:ext uri="{FF2B5EF4-FFF2-40B4-BE49-F238E27FC236}">
              <a16:creationId xmlns:a16="http://schemas.microsoft.com/office/drawing/2014/main" xmlns="" id="{00000000-0008-0000-0D00-00006C120000}"/>
            </a:ext>
          </a:extLst>
        </xdr:cNvPr>
        <xdr:cNvSpPr>
          <a:spLocks noChangeAspect="1" noChangeArrowheads="1"/>
        </xdr:cNvSpPr>
      </xdr:nvSpPr>
      <xdr:spPr bwMode="auto">
        <a:xfrm>
          <a:off x="0" y="5762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7" name="AutoShape 1645" descr="Ottawa Senators">
          <a:extLst>
            <a:ext uri="{FF2B5EF4-FFF2-40B4-BE49-F238E27FC236}">
              <a16:creationId xmlns:a16="http://schemas.microsoft.com/office/drawing/2014/main" xmlns="" id="{00000000-0008-0000-0D00-00006D120000}"/>
            </a:ext>
          </a:extLst>
        </xdr:cNvPr>
        <xdr:cNvSpPr>
          <a:spLocks noChangeAspect="1" noChangeArrowheads="1"/>
        </xdr:cNvSpPr>
      </xdr:nvSpPr>
      <xdr:spPr bwMode="auto">
        <a:xfrm>
          <a:off x="0" y="57665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8" name="AutoShape 1646" descr="Washington Capitals">
          <a:extLst>
            <a:ext uri="{FF2B5EF4-FFF2-40B4-BE49-F238E27FC236}">
              <a16:creationId xmlns:a16="http://schemas.microsoft.com/office/drawing/2014/main" xmlns="" id="{00000000-0008-0000-0D00-00006E120000}"/>
            </a:ext>
          </a:extLst>
        </xdr:cNvPr>
        <xdr:cNvSpPr>
          <a:spLocks noChangeAspect="1" noChangeArrowheads="1"/>
        </xdr:cNvSpPr>
      </xdr:nvSpPr>
      <xdr:spPr bwMode="auto">
        <a:xfrm>
          <a:off x="0" y="5770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9" name="AutoShape 1647" descr="Vegas Golden Knights">
          <a:extLst>
            <a:ext uri="{FF2B5EF4-FFF2-40B4-BE49-F238E27FC236}">
              <a16:creationId xmlns:a16="http://schemas.microsoft.com/office/drawing/2014/main" xmlns="" id="{00000000-0008-0000-0D00-00006F120000}"/>
            </a:ext>
          </a:extLst>
        </xdr:cNvPr>
        <xdr:cNvSpPr>
          <a:spLocks noChangeAspect="1" noChangeArrowheads="1"/>
        </xdr:cNvSpPr>
      </xdr:nvSpPr>
      <xdr:spPr bwMode="auto">
        <a:xfrm>
          <a:off x="0" y="57739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0" name="AutoShape 1648" descr="Philadelphia Flyers">
          <a:extLst>
            <a:ext uri="{FF2B5EF4-FFF2-40B4-BE49-F238E27FC236}">
              <a16:creationId xmlns:a16="http://schemas.microsoft.com/office/drawing/2014/main" xmlns="" id="{00000000-0008-0000-0D00-000070120000}"/>
            </a:ext>
          </a:extLst>
        </xdr:cNvPr>
        <xdr:cNvSpPr>
          <a:spLocks noChangeAspect="1" noChangeArrowheads="1"/>
        </xdr:cNvSpPr>
      </xdr:nvSpPr>
      <xdr:spPr bwMode="auto">
        <a:xfrm>
          <a:off x="0" y="5775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1" name="AutoShape 1649" descr="Washington Capitals">
          <a:extLst>
            <a:ext uri="{FF2B5EF4-FFF2-40B4-BE49-F238E27FC236}">
              <a16:creationId xmlns:a16="http://schemas.microsoft.com/office/drawing/2014/main" xmlns="" id="{00000000-0008-0000-0D00-000071120000}"/>
            </a:ext>
          </a:extLst>
        </xdr:cNvPr>
        <xdr:cNvSpPr>
          <a:spLocks noChangeAspect="1" noChangeArrowheads="1"/>
        </xdr:cNvSpPr>
      </xdr:nvSpPr>
      <xdr:spPr bwMode="auto">
        <a:xfrm>
          <a:off x="0" y="5779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2" name="AutoShape 1650" descr="Washington Capitals">
          <a:extLst>
            <a:ext uri="{FF2B5EF4-FFF2-40B4-BE49-F238E27FC236}">
              <a16:creationId xmlns:a16="http://schemas.microsoft.com/office/drawing/2014/main" xmlns="" id="{00000000-0008-0000-0D00-000072120000}"/>
            </a:ext>
          </a:extLst>
        </xdr:cNvPr>
        <xdr:cNvSpPr>
          <a:spLocks noChangeAspect="1" noChangeArrowheads="1"/>
        </xdr:cNvSpPr>
      </xdr:nvSpPr>
      <xdr:spPr bwMode="auto">
        <a:xfrm>
          <a:off x="0" y="5783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3" name="AutoShape 1651" descr="Montreal Canadiens">
          <a:extLst>
            <a:ext uri="{FF2B5EF4-FFF2-40B4-BE49-F238E27FC236}">
              <a16:creationId xmlns:a16="http://schemas.microsoft.com/office/drawing/2014/main" xmlns="" id="{00000000-0008-0000-0D00-000073120000}"/>
            </a:ext>
          </a:extLst>
        </xdr:cNvPr>
        <xdr:cNvSpPr>
          <a:spLocks noChangeAspect="1" noChangeArrowheads="1"/>
        </xdr:cNvSpPr>
      </xdr:nvSpPr>
      <xdr:spPr bwMode="auto">
        <a:xfrm>
          <a:off x="0" y="5786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4" name="AutoShape 1652" descr="Washington Capitals">
          <a:extLst>
            <a:ext uri="{FF2B5EF4-FFF2-40B4-BE49-F238E27FC236}">
              <a16:creationId xmlns:a16="http://schemas.microsoft.com/office/drawing/2014/main" xmlns="" id="{00000000-0008-0000-0D00-000074120000}"/>
            </a:ext>
          </a:extLst>
        </xdr:cNvPr>
        <xdr:cNvSpPr>
          <a:spLocks noChangeAspect="1" noChangeArrowheads="1"/>
        </xdr:cNvSpPr>
      </xdr:nvSpPr>
      <xdr:spPr bwMode="auto">
        <a:xfrm>
          <a:off x="0" y="579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5" name="AutoShape 1653" descr="Colorado Avalanche">
          <a:extLst>
            <a:ext uri="{FF2B5EF4-FFF2-40B4-BE49-F238E27FC236}">
              <a16:creationId xmlns:a16="http://schemas.microsoft.com/office/drawing/2014/main" xmlns="" id="{00000000-0008-0000-0D00-000075120000}"/>
            </a:ext>
          </a:extLst>
        </xdr:cNvPr>
        <xdr:cNvSpPr>
          <a:spLocks noChangeAspect="1" noChangeArrowheads="1"/>
        </xdr:cNvSpPr>
      </xdr:nvSpPr>
      <xdr:spPr bwMode="auto">
        <a:xfrm>
          <a:off x="0" y="5794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6" name="AutoShape 1654" descr="Vancouver Canucks">
          <a:extLst>
            <a:ext uri="{FF2B5EF4-FFF2-40B4-BE49-F238E27FC236}">
              <a16:creationId xmlns:a16="http://schemas.microsoft.com/office/drawing/2014/main" xmlns="" id="{00000000-0008-0000-0D00-000076120000}"/>
            </a:ext>
          </a:extLst>
        </xdr:cNvPr>
        <xdr:cNvSpPr>
          <a:spLocks noChangeAspect="1" noChangeArrowheads="1"/>
        </xdr:cNvSpPr>
      </xdr:nvSpPr>
      <xdr:spPr bwMode="auto">
        <a:xfrm>
          <a:off x="0" y="5797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7" name="AutoShape 1655" descr="Pittsburgh Penguins">
          <a:extLst>
            <a:ext uri="{FF2B5EF4-FFF2-40B4-BE49-F238E27FC236}">
              <a16:creationId xmlns:a16="http://schemas.microsoft.com/office/drawing/2014/main" xmlns="" id="{00000000-0008-0000-0D00-000077120000}"/>
            </a:ext>
          </a:extLst>
        </xdr:cNvPr>
        <xdr:cNvSpPr>
          <a:spLocks noChangeAspect="1" noChangeArrowheads="1"/>
        </xdr:cNvSpPr>
      </xdr:nvSpPr>
      <xdr:spPr bwMode="auto">
        <a:xfrm>
          <a:off x="0" y="5801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8" name="AutoShape 1656" descr="Nashville Predators">
          <a:extLst>
            <a:ext uri="{FF2B5EF4-FFF2-40B4-BE49-F238E27FC236}">
              <a16:creationId xmlns:a16="http://schemas.microsoft.com/office/drawing/2014/main" xmlns="" id="{00000000-0008-0000-0D00-000078120000}"/>
            </a:ext>
          </a:extLst>
        </xdr:cNvPr>
        <xdr:cNvSpPr>
          <a:spLocks noChangeAspect="1" noChangeArrowheads="1"/>
        </xdr:cNvSpPr>
      </xdr:nvSpPr>
      <xdr:spPr bwMode="auto">
        <a:xfrm>
          <a:off x="0" y="5804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9" name="AutoShape 1657" descr="Anaheim Ducks">
          <a:extLst>
            <a:ext uri="{FF2B5EF4-FFF2-40B4-BE49-F238E27FC236}">
              <a16:creationId xmlns:a16="http://schemas.microsoft.com/office/drawing/2014/main" xmlns="" id="{00000000-0008-0000-0D00-000079120000}"/>
            </a:ext>
          </a:extLst>
        </xdr:cNvPr>
        <xdr:cNvSpPr>
          <a:spLocks noChangeAspect="1" noChangeArrowheads="1"/>
        </xdr:cNvSpPr>
      </xdr:nvSpPr>
      <xdr:spPr bwMode="auto">
        <a:xfrm>
          <a:off x="0" y="5808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0" name="AutoShape 1658" descr="Vegas Golden Knights">
          <a:extLst>
            <a:ext uri="{FF2B5EF4-FFF2-40B4-BE49-F238E27FC236}">
              <a16:creationId xmlns:a16="http://schemas.microsoft.com/office/drawing/2014/main" xmlns="" id="{00000000-0008-0000-0D00-00007A120000}"/>
            </a:ext>
          </a:extLst>
        </xdr:cNvPr>
        <xdr:cNvSpPr>
          <a:spLocks noChangeAspect="1" noChangeArrowheads="1"/>
        </xdr:cNvSpPr>
      </xdr:nvSpPr>
      <xdr:spPr bwMode="auto">
        <a:xfrm>
          <a:off x="0" y="5812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1" name="AutoShape 1659" descr="Toronto Maple Leafs">
          <a:extLst>
            <a:ext uri="{FF2B5EF4-FFF2-40B4-BE49-F238E27FC236}">
              <a16:creationId xmlns:a16="http://schemas.microsoft.com/office/drawing/2014/main" xmlns="" id="{00000000-0008-0000-0D00-00007B120000}"/>
            </a:ext>
          </a:extLst>
        </xdr:cNvPr>
        <xdr:cNvSpPr>
          <a:spLocks noChangeAspect="1" noChangeArrowheads="1"/>
        </xdr:cNvSpPr>
      </xdr:nvSpPr>
      <xdr:spPr bwMode="auto">
        <a:xfrm>
          <a:off x="0" y="5815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2" name="AutoShape 1660" descr="New York Rangers">
          <a:extLst>
            <a:ext uri="{FF2B5EF4-FFF2-40B4-BE49-F238E27FC236}">
              <a16:creationId xmlns:a16="http://schemas.microsoft.com/office/drawing/2014/main" xmlns="" id="{00000000-0008-0000-0D00-00007C120000}"/>
            </a:ext>
          </a:extLst>
        </xdr:cNvPr>
        <xdr:cNvSpPr>
          <a:spLocks noChangeAspect="1" noChangeArrowheads="1"/>
        </xdr:cNvSpPr>
      </xdr:nvSpPr>
      <xdr:spPr bwMode="auto">
        <a:xfrm>
          <a:off x="0" y="5819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3" name="AutoShape 1661" descr="Montreal Canadiens">
          <a:extLst>
            <a:ext uri="{FF2B5EF4-FFF2-40B4-BE49-F238E27FC236}">
              <a16:creationId xmlns:a16="http://schemas.microsoft.com/office/drawing/2014/main" xmlns="" id="{00000000-0008-0000-0D00-00007D120000}"/>
            </a:ext>
          </a:extLst>
        </xdr:cNvPr>
        <xdr:cNvSpPr>
          <a:spLocks noChangeAspect="1" noChangeArrowheads="1"/>
        </xdr:cNvSpPr>
      </xdr:nvSpPr>
      <xdr:spPr bwMode="auto">
        <a:xfrm>
          <a:off x="0" y="5823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4" name="AutoShape 1662" descr="Ottawa Senators">
          <a:extLst>
            <a:ext uri="{FF2B5EF4-FFF2-40B4-BE49-F238E27FC236}">
              <a16:creationId xmlns:a16="http://schemas.microsoft.com/office/drawing/2014/main" xmlns="" id="{00000000-0008-0000-0D00-00007E120000}"/>
            </a:ext>
          </a:extLst>
        </xdr:cNvPr>
        <xdr:cNvSpPr>
          <a:spLocks noChangeAspect="1" noChangeArrowheads="1"/>
        </xdr:cNvSpPr>
      </xdr:nvSpPr>
      <xdr:spPr bwMode="auto">
        <a:xfrm>
          <a:off x="0" y="5826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5" name="AutoShape 1663" descr="Arizona Coyotes">
          <a:extLst>
            <a:ext uri="{FF2B5EF4-FFF2-40B4-BE49-F238E27FC236}">
              <a16:creationId xmlns:a16="http://schemas.microsoft.com/office/drawing/2014/main" xmlns="" id="{00000000-0008-0000-0D00-00007F120000}"/>
            </a:ext>
          </a:extLst>
        </xdr:cNvPr>
        <xdr:cNvSpPr>
          <a:spLocks noChangeAspect="1" noChangeArrowheads="1"/>
        </xdr:cNvSpPr>
      </xdr:nvSpPr>
      <xdr:spPr bwMode="auto">
        <a:xfrm>
          <a:off x="0" y="5830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6" name="AutoShape 1664" descr="New York Islanders">
          <a:extLst>
            <a:ext uri="{FF2B5EF4-FFF2-40B4-BE49-F238E27FC236}">
              <a16:creationId xmlns:a16="http://schemas.microsoft.com/office/drawing/2014/main" xmlns="" id="{00000000-0008-0000-0D00-000080120000}"/>
            </a:ext>
          </a:extLst>
        </xdr:cNvPr>
        <xdr:cNvSpPr>
          <a:spLocks noChangeAspect="1" noChangeArrowheads="1"/>
        </xdr:cNvSpPr>
      </xdr:nvSpPr>
      <xdr:spPr bwMode="auto">
        <a:xfrm>
          <a:off x="0" y="5834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7" name="AutoShape 1665" descr="St Louis Blues">
          <a:extLst>
            <a:ext uri="{FF2B5EF4-FFF2-40B4-BE49-F238E27FC236}">
              <a16:creationId xmlns:a16="http://schemas.microsoft.com/office/drawing/2014/main" xmlns="" id="{00000000-0008-0000-0D00-000081120000}"/>
            </a:ext>
          </a:extLst>
        </xdr:cNvPr>
        <xdr:cNvSpPr>
          <a:spLocks noChangeAspect="1" noChangeArrowheads="1"/>
        </xdr:cNvSpPr>
      </xdr:nvSpPr>
      <xdr:spPr bwMode="auto">
        <a:xfrm>
          <a:off x="0" y="5837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8" name="AutoShape 1666" descr="Buffalo Sabres">
          <a:extLst>
            <a:ext uri="{FF2B5EF4-FFF2-40B4-BE49-F238E27FC236}">
              <a16:creationId xmlns:a16="http://schemas.microsoft.com/office/drawing/2014/main" xmlns="" id="{00000000-0008-0000-0D00-000082120000}"/>
            </a:ext>
          </a:extLst>
        </xdr:cNvPr>
        <xdr:cNvSpPr>
          <a:spLocks noChangeAspect="1" noChangeArrowheads="1"/>
        </xdr:cNvSpPr>
      </xdr:nvSpPr>
      <xdr:spPr bwMode="auto">
        <a:xfrm>
          <a:off x="0" y="5839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9" name="AutoShape 1667" descr="Dallas Stars">
          <a:extLst>
            <a:ext uri="{FF2B5EF4-FFF2-40B4-BE49-F238E27FC236}">
              <a16:creationId xmlns:a16="http://schemas.microsoft.com/office/drawing/2014/main" xmlns="" id="{00000000-0008-0000-0D00-000083120000}"/>
            </a:ext>
          </a:extLst>
        </xdr:cNvPr>
        <xdr:cNvSpPr>
          <a:spLocks noChangeAspect="1" noChangeArrowheads="1"/>
        </xdr:cNvSpPr>
      </xdr:nvSpPr>
      <xdr:spPr bwMode="auto">
        <a:xfrm>
          <a:off x="0" y="5841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0" name="AutoShape 1668" descr="Tampa Bay Lightning">
          <a:extLst>
            <a:ext uri="{FF2B5EF4-FFF2-40B4-BE49-F238E27FC236}">
              <a16:creationId xmlns:a16="http://schemas.microsoft.com/office/drawing/2014/main" xmlns="" id="{00000000-0008-0000-0D00-000084120000}"/>
            </a:ext>
          </a:extLst>
        </xdr:cNvPr>
        <xdr:cNvSpPr>
          <a:spLocks noChangeAspect="1" noChangeArrowheads="1"/>
        </xdr:cNvSpPr>
      </xdr:nvSpPr>
      <xdr:spPr bwMode="auto">
        <a:xfrm>
          <a:off x="0" y="5845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1" name="AutoShape 1669" descr="Edmonton Oilers">
          <a:extLst>
            <a:ext uri="{FF2B5EF4-FFF2-40B4-BE49-F238E27FC236}">
              <a16:creationId xmlns:a16="http://schemas.microsoft.com/office/drawing/2014/main" xmlns="" id="{00000000-0008-0000-0D00-000085120000}"/>
            </a:ext>
          </a:extLst>
        </xdr:cNvPr>
        <xdr:cNvSpPr>
          <a:spLocks noChangeAspect="1" noChangeArrowheads="1"/>
        </xdr:cNvSpPr>
      </xdr:nvSpPr>
      <xdr:spPr bwMode="auto">
        <a:xfrm>
          <a:off x="0" y="5848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2" name="AutoShape 1670" descr="Boston Bruins">
          <a:extLst>
            <a:ext uri="{FF2B5EF4-FFF2-40B4-BE49-F238E27FC236}">
              <a16:creationId xmlns:a16="http://schemas.microsoft.com/office/drawing/2014/main" xmlns="" id="{00000000-0008-0000-0D00-000086120000}"/>
            </a:ext>
          </a:extLst>
        </xdr:cNvPr>
        <xdr:cNvSpPr>
          <a:spLocks noChangeAspect="1" noChangeArrowheads="1"/>
        </xdr:cNvSpPr>
      </xdr:nvSpPr>
      <xdr:spPr bwMode="auto">
        <a:xfrm>
          <a:off x="0" y="5852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3" name="AutoShape 1671" descr="Buffalo Sabres">
          <a:extLst>
            <a:ext uri="{FF2B5EF4-FFF2-40B4-BE49-F238E27FC236}">
              <a16:creationId xmlns:a16="http://schemas.microsoft.com/office/drawing/2014/main" xmlns="" id="{00000000-0008-0000-0D00-000087120000}"/>
            </a:ext>
          </a:extLst>
        </xdr:cNvPr>
        <xdr:cNvSpPr>
          <a:spLocks noChangeAspect="1" noChangeArrowheads="1"/>
        </xdr:cNvSpPr>
      </xdr:nvSpPr>
      <xdr:spPr bwMode="auto">
        <a:xfrm>
          <a:off x="0" y="5856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4" name="AutoShape 1672" descr="Minnesota Wild">
          <a:extLst>
            <a:ext uri="{FF2B5EF4-FFF2-40B4-BE49-F238E27FC236}">
              <a16:creationId xmlns:a16="http://schemas.microsoft.com/office/drawing/2014/main" xmlns="" id="{00000000-0008-0000-0D00-000088120000}"/>
            </a:ext>
          </a:extLst>
        </xdr:cNvPr>
        <xdr:cNvSpPr>
          <a:spLocks noChangeAspect="1" noChangeArrowheads="1"/>
        </xdr:cNvSpPr>
      </xdr:nvSpPr>
      <xdr:spPr bwMode="auto">
        <a:xfrm>
          <a:off x="0" y="5859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45" name="AutoShape 1673" descr="Minnesota Wild">
          <a:extLst>
            <a:ext uri="{FF2B5EF4-FFF2-40B4-BE49-F238E27FC236}">
              <a16:creationId xmlns:a16="http://schemas.microsoft.com/office/drawing/2014/main" xmlns="" id="{00000000-0008-0000-0D00-000089120000}"/>
            </a:ext>
          </a:extLst>
        </xdr:cNvPr>
        <xdr:cNvSpPr>
          <a:spLocks noChangeAspect="1" noChangeArrowheads="1"/>
        </xdr:cNvSpPr>
      </xdr:nvSpPr>
      <xdr:spPr bwMode="auto">
        <a:xfrm>
          <a:off x="0" y="5863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6" name="AutoShape 1674" descr="Pittsburgh Penguins">
          <a:extLst>
            <a:ext uri="{FF2B5EF4-FFF2-40B4-BE49-F238E27FC236}">
              <a16:creationId xmlns:a16="http://schemas.microsoft.com/office/drawing/2014/main" xmlns="" id="{00000000-0008-0000-0D00-00008A120000}"/>
            </a:ext>
          </a:extLst>
        </xdr:cNvPr>
        <xdr:cNvSpPr>
          <a:spLocks noChangeAspect="1" noChangeArrowheads="1"/>
        </xdr:cNvSpPr>
      </xdr:nvSpPr>
      <xdr:spPr bwMode="auto">
        <a:xfrm>
          <a:off x="0" y="5865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7" name="AutoShape 1675" descr="Ottawa Senators">
          <a:extLst>
            <a:ext uri="{FF2B5EF4-FFF2-40B4-BE49-F238E27FC236}">
              <a16:creationId xmlns:a16="http://schemas.microsoft.com/office/drawing/2014/main" xmlns="" id="{00000000-0008-0000-0D00-00008B120000}"/>
            </a:ext>
          </a:extLst>
        </xdr:cNvPr>
        <xdr:cNvSpPr>
          <a:spLocks noChangeAspect="1" noChangeArrowheads="1"/>
        </xdr:cNvSpPr>
      </xdr:nvSpPr>
      <xdr:spPr bwMode="auto">
        <a:xfrm>
          <a:off x="0" y="5869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8" name="AutoShape 1676" descr="St Louis Blues">
          <a:extLst>
            <a:ext uri="{FF2B5EF4-FFF2-40B4-BE49-F238E27FC236}">
              <a16:creationId xmlns:a16="http://schemas.microsoft.com/office/drawing/2014/main" xmlns="" id="{00000000-0008-0000-0D00-00008C120000}"/>
            </a:ext>
          </a:extLst>
        </xdr:cNvPr>
        <xdr:cNvSpPr>
          <a:spLocks noChangeAspect="1" noChangeArrowheads="1"/>
        </xdr:cNvSpPr>
      </xdr:nvSpPr>
      <xdr:spPr bwMode="auto">
        <a:xfrm>
          <a:off x="0" y="5870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9" name="AutoShape 1677" descr="Los Angeles Kings">
          <a:extLst>
            <a:ext uri="{FF2B5EF4-FFF2-40B4-BE49-F238E27FC236}">
              <a16:creationId xmlns:a16="http://schemas.microsoft.com/office/drawing/2014/main" xmlns="" id="{00000000-0008-0000-0D00-00008D120000}"/>
            </a:ext>
          </a:extLst>
        </xdr:cNvPr>
        <xdr:cNvSpPr>
          <a:spLocks noChangeAspect="1" noChangeArrowheads="1"/>
        </xdr:cNvSpPr>
      </xdr:nvSpPr>
      <xdr:spPr bwMode="auto">
        <a:xfrm>
          <a:off x="0" y="5874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0" name="AutoShape 1678" descr="San Jose Sharks">
          <a:extLst>
            <a:ext uri="{FF2B5EF4-FFF2-40B4-BE49-F238E27FC236}">
              <a16:creationId xmlns:a16="http://schemas.microsoft.com/office/drawing/2014/main" xmlns="" id="{00000000-0008-0000-0D00-00008E120000}"/>
            </a:ext>
          </a:extLst>
        </xdr:cNvPr>
        <xdr:cNvSpPr>
          <a:spLocks noChangeAspect="1" noChangeArrowheads="1"/>
        </xdr:cNvSpPr>
      </xdr:nvSpPr>
      <xdr:spPr bwMode="auto">
        <a:xfrm>
          <a:off x="0" y="5876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1" name="AutoShape 1679" descr="Minnesota Wild">
          <a:extLst>
            <a:ext uri="{FF2B5EF4-FFF2-40B4-BE49-F238E27FC236}">
              <a16:creationId xmlns:a16="http://schemas.microsoft.com/office/drawing/2014/main" xmlns="" id="{00000000-0008-0000-0D00-00008F120000}"/>
            </a:ext>
          </a:extLst>
        </xdr:cNvPr>
        <xdr:cNvSpPr>
          <a:spLocks noChangeAspect="1" noChangeArrowheads="1"/>
        </xdr:cNvSpPr>
      </xdr:nvSpPr>
      <xdr:spPr bwMode="auto">
        <a:xfrm>
          <a:off x="0" y="587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52" name="AutoShape 1680" descr="Detroit Red Wings">
          <a:extLst>
            <a:ext uri="{FF2B5EF4-FFF2-40B4-BE49-F238E27FC236}">
              <a16:creationId xmlns:a16="http://schemas.microsoft.com/office/drawing/2014/main" xmlns="" id="{00000000-0008-0000-0D00-000090120000}"/>
            </a:ext>
          </a:extLst>
        </xdr:cNvPr>
        <xdr:cNvSpPr>
          <a:spLocks noChangeAspect="1" noChangeArrowheads="1"/>
        </xdr:cNvSpPr>
      </xdr:nvSpPr>
      <xdr:spPr bwMode="auto">
        <a:xfrm>
          <a:off x="0" y="58836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3" name="AutoShape 1681" descr="Nashville Predators">
          <a:extLst>
            <a:ext uri="{FF2B5EF4-FFF2-40B4-BE49-F238E27FC236}">
              <a16:creationId xmlns:a16="http://schemas.microsoft.com/office/drawing/2014/main" xmlns="" id="{00000000-0008-0000-0D00-000091120000}"/>
            </a:ext>
          </a:extLst>
        </xdr:cNvPr>
        <xdr:cNvSpPr>
          <a:spLocks noChangeAspect="1" noChangeArrowheads="1"/>
        </xdr:cNvSpPr>
      </xdr:nvSpPr>
      <xdr:spPr bwMode="auto">
        <a:xfrm>
          <a:off x="0" y="5885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54" name="AutoShape 1682" descr="Nashville Predators">
          <a:extLst>
            <a:ext uri="{FF2B5EF4-FFF2-40B4-BE49-F238E27FC236}">
              <a16:creationId xmlns:a16="http://schemas.microsoft.com/office/drawing/2014/main" xmlns="" id="{00000000-0008-0000-0D00-000092120000}"/>
            </a:ext>
          </a:extLst>
        </xdr:cNvPr>
        <xdr:cNvSpPr>
          <a:spLocks noChangeAspect="1" noChangeArrowheads="1"/>
        </xdr:cNvSpPr>
      </xdr:nvSpPr>
      <xdr:spPr bwMode="auto">
        <a:xfrm>
          <a:off x="0" y="5889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5" name="AutoShape 1683" descr="Columbus Blue Jackets">
          <a:extLst>
            <a:ext uri="{FF2B5EF4-FFF2-40B4-BE49-F238E27FC236}">
              <a16:creationId xmlns:a16="http://schemas.microsoft.com/office/drawing/2014/main" xmlns="" id="{00000000-0008-0000-0D00-000093120000}"/>
            </a:ext>
          </a:extLst>
        </xdr:cNvPr>
        <xdr:cNvSpPr>
          <a:spLocks noChangeAspect="1" noChangeArrowheads="1"/>
        </xdr:cNvSpPr>
      </xdr:nvSpPr>
      <xdr:spPr bwMode="auto">
        <a:xfrm>
          <a:off x="0" y="5890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6" name="AutoShape 1684" descr="Buffalo Sabres">
          <a:extLst>
            <a:ext uri="{FF2B5EF4-FFF2-40B4-BE49-F238E27FC236}">
              <a16:creationId xmlns:a16="http://schemas.microsoft.com/office/drawing/2014/main" xmlns="" id="{00000000-0008-0000-0D00-000094120000}"/>
            </a:ext>
          </a:extLst>
        </xdr:cNvPr>
        <xdr:cNvSpPr>
          <a:spLocks noChangeAspect="1" noChangeArrowheads="1"/>
        </xdr:cNvSpPr>
      </xdr:nvSpPr>
      <xdr:spPr bwMode="auto">
        <a:xfrm>
          <a:off x="0" y="5894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2"/>
  <sheetViews>
    <sheetView topLeftCell="A13" workbookViewId="0">
      <selection activeCell="C37" sqref="C37"/>
    </sheetView>
  </sheetViews>
  <sheetFormatPr baseColWidth="10" defaultRowHeight="15" x14ac:dyDescent="0.25"/>
  <sheetData>
    <row r="1" spans="1:1" ht="15.75" x14ac:dyDescent="0.25">
      <c r="A1" s="42" t="s">
        <v>118</v>
      </c>
    </row>
    <row r="2" spans="1:1" x14ac:dyDescent="0.25">
      <c r="A2" t="s">
        <v>119</v>
      </c>
    </row>
    <row r="3" spans="1:1" x14ac:dyDescent="0.25">
      <c r="A3" t="s">
        <v>120</v>
      </c>
    </row>
    <row r="4" spans="1:1" x14ac:dyDescent="0.25">
      <c r="A4" t="s">
        <v>111</v>
      </c>
    </row>
    <row r="5" spans="1:1" x14ac:dyDescent="0.25">
      <c r="A5" t="s">
        <v>121</v>
      </c>
    </row>
    <row r="6" spans="1:1" x14ac:dyDescent="0.25">
      <c r="A6" t="s">
        <v>130</v>
      </c>
    </row>
    <row r="7" spans="1:1" x14ac:dyDescent="0.25">
      <c r="A7" t="s">
        <v>133</v>
      </c>
    </row>
    <row r="9" spans="1:1" x14ac:dyDescent="0.25">
      <c r="A9" s="36" t="s">
        <v>110</v>
      </c>
    </row>
    <row r="10" spans="1:1" x14ac:dyDescent="0.25">
      <c r="A10" t="s">
        <v>122</v>
      </c>
    </row>
    <row r="11" spans="1:1" x14ac:dyDescent="0.25">
      <c r="A11" t="s">
        <v>113</v>
      </c>
    </row>
    <row r="12" spans="1:1" x14ac:dyDescent="0.25">
      <c r="A12" t="s">
        <v>123</v>
      </c>
    </row>
    <row r="14" spans="1:1" x14ac:dyDescent="0.25">
      <c r="A14" s="36" t="s">
        <v>114</v>
      </c>
    </row>
    <row r="15" spans="1:1" x14ac:dyDescent="0.25">
      <c r="A15" s="41" t="s">
        <v>116</v>
      </c>
    </row>
    <row r="16" spans="1:1" x14ac:dyDescent="0.25">
      <c r="A16" t="s">
        <v>115</v>
      </c>
    </row>
    <row r="17" spans="1:2" x14ac:dyDescent="0.25">
      <c r="A17" t="s">
        <v>117</v>
      </c>
    </row>
    <row r="19" spans="1:2" x14ac:dyDescent="0.25">
      <c r="A19" s="36" t="s">
        <v>2406</v>
      </c>
    </row>
    <row r="20" spans="1:2" x14ac:dyDescent="0.25">
      <c r="A20" t="s">
        <v>2407</v>
      </c>
    </row>
    <row r="21" spans="1:2" x14ac:dyDescent="0.25">
      <c r="B21" t="s">
        <v>2409</v>
      </c>
    </row>
    <row r="22" spans="1:2" x14ac:dyDescent="0.25">
      <c r="B22" t="s">
        <v>2411</v>
      </c>
    </row>
    <row r="23" spans="1:2" x14ac:dyDescent="0.25">
      <c r="B23" t="s">
        <v>2410</v>
      </c>
    </row>
    <row r="24" spans="1:2" x14ac:dyDescent="0.25">
      <c r="A24" t="s">
        <v>2412</v>
      </c>
    </row>
    <row r="25" spans="1:2" x14ac:dyDescent="0.25">
      <c r="A25" t="s">
        <v>2429</v>
      </c>
    </row>
    <row r="26" spans="1:2" x14ac:dyDescent="0.25">
      <c r="A26" t="s">
        <v>2408</v>
      </c>
    </row>
    <row r="27" spans="1:2" x14ac:dyDescent="0.25">
      <c r="A27" t="s">
        <v>2430</v>
      </c>
    </row>
    <row r="29" spans="1:2" x14ac:dyDescent="0.25">
      <c r="A29" s="36" t="s">
        <v>2413</v>
      </c>
    </row>
    <row r="30" spans="1:2" x14ac:dyDescent="0.25">
      <c r="A30" t="s">
        <v>2414</v>
      </c>
    </row>
    <row r="31" spans="1:2" x14ac:dyDescent="0.25">
      <c r="A31" t="s">
        <v>2415</v>
      </c>
    </row>
    <row r="32" spans="1:2" x14ac:dyDescent="0.25">
      <c r="A32" t="s">
        <v>2416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M102"/>
  <sheetViews>
    <sheetView workbookViewId="0">
      <selection activeCell="Q11" sqref="Q11"/>
    </sheetView>
  </sheetViews>
  <sheetFormatPr baseColWidth="10" defaultRowHeight="15" x14ac:dyDescent="0.25"/>
  <cols>
    <col min="1" max="1" width="4.42578125" bestFit="1" customWidth="1"/>
    <col min="2" max="2" width="4.5703125" bestFit="1" customWidth="1"/>
    <col min="3" max="3" width="7.42578125" bestFit="1" customWidth="1"/>
    <col min="4" max="4" width="5.85546875" bestFit="1" customWidth="1"/>
    <col min="5" max="5" width="18.5703125" bestFit="1" customWidth="1"/>
    <col min="6" max="6" width="19.85546875" bestFit="1" customWidth="1"/>
    <col min="7" max="8" width="8" bestFit="1" customWidth="1"/>
    <col min="9" max="9" width="6.85546875" bestFit="1" customWidth="1"/>
    <col min="10" max="11" width="15.42578125" bestFit="1" customWidth="1"/>
    <col min="12" max="12" width="19.28515625" bestFit="1" customWidth="1"/>
    <col min="13" max="13" width="2.5703125" customWidth="1"/>
    <col min="14" max="14" width="5.85546875" bestFit="1" customWidth="1"/>
    <col min="15" max="15" width="2" bestFit="1" customWidth="1"/>
    <col min="17" max="17" width="17.5703125" bestFit="1" customWidth="1"/>
    <col min="18" max="18" width="5.85546875" bestFit="1" customWidth="1"/>
    <col min="19" max="19" width="2" bestFit="1" customWidth="1"/>
  </cols>
  <sheetData>
    <row r="1" spans="1:13" ht="23.25" x14ac:dyDescent="0.35">
      <c r="A1" s="491">
        <v>2019</v>
      </c>
      <c r="B1" s="491"/>
      <c r="C1" s="491"/>
      <c r="D1" s="491"/>
      <c r="E1" s="491"/>
      <c r="F1" s="491"/>
      <c r="G1" s="491"/>
      <c r="H1" s="491"/>
      <c r="I1" s="491"/>
      <c r="J1" s="491"/>
      <c r="K1" s="491"/>
      <c r="L1" s="491"/>
      <c r="M1" s="491"/>
    </row>
    <row r="2" spans="1:13" ht="23.25" x14ac:dyDescent="0.35">
      <c r="A2" s="492" t="s">
        <v>64</v>
      </c>
      <c r="B2" s="492"/>
      <c r="C2" s="492"/>
      <c r="D2" s="492"/>
      <c r="E2" s="492"/>
      <c r="F2" s="492"/>
      <c r="G2" s="492"/>
      <c r="H2" s="492"/>
      <c r="I2" s="492"/>
      <c r="J2" s="492"/>
      <c r="K2" s="492"/>
      <c r="L2" s="492"/>
      <c r="M2" s="492"/>
    </row>
    <row r="3" spans="1:13" x14ac:dyDescent="0.25">
      <c r="A3" t="s">
        <v>65</v>
      </c>
      <c r="B3" t="s">
        <v>66</v>
      </c>
      <c r="C3" t="s">
        <v>67</v>
      </c>
      <c r="D3" t="s">
        <v>68</v>
      </c>
      <c r="E3" t="s">
        <v>165</v>
      </c>
      <c r="F3" t="s">
        <v>1207</v>
      </c>
      <c r="G3" t="s">
        <v>5</v>
      </c>
      <c r="H3" t="s">
        <v>70</v>
      </c>
      <c r="I3" t="s">
        <v>166</v>
      </c>
      <c r="J3" t="s">
        <v>167</v>
      </c>
      <c r="K3" t="s">
        <v>71</v>
      </c>
      <c r="L3" t="s">
        <v>72</v>
      </c>
    </row>
    <row r="4" spans="1:13" x14ac:dyDescent="0.25">
      <c r="A4">
        <v>1</v>
      </c>
      <c r="B4">
        <v>1</v>
      </c>
      <c r="C4">
        <v>1</v>
      </c>
      <c r="D4" t="s">
        <v>10</v>
      </c>
      <c r="F4" s="359" t="s">
        <v>734</v>
      </c>
      <c r="G4" t="s">
        <v>82</v>
      </c>
      <c r="H4" t="s">
        <v>97</v>
      </c>
      <c r="I4" t="s">
        <v>78</v>
      </c>
      <c r="J4">
        <v>185</v>
      </c>
      <c r="K4" t="s">
        <v>98</v>
      </c>
      <c r="L4" t="s">
        <v>1156</v>
      </c>
      <c r="M4" s="28"/>
    </row>
    <row r="5" spans="1:13" x14ac:dyDescent="0.25">
      <c r="A5">
        <v>1</v>
      </c>
      <c r="B5">
        <v>2</v>
      </c>
      <c r="C5">
        <v>2</v>
      </c>
      <c r="D5" t="s">
        <v>11</v>
      </c>
      <c r="F5" s="359" t="s">
        <v>976</v>
      </c>
      <c r="G5" t="s">
        <v>88</v>
      </c>
      <c r="H5" t="s">
        <v>84</v>
      </c>
      <c r="I5" t="s">
        <v>78</v>
      </c>
      <c r="J5">
        <v>192</v>
      </c>
      <c r="K5" t="s">
        <v>76</v>
      </c>
      <c r="L5" t="s">
        <v>1157</v>
      </c>
      <c r="M5" s="28"/>
    </row>
    <row r="6" spans="1:13" x14ac:dyDescent="0.25">
      <c r="A6">
        <v>1</v>
      </c>
      <c r="B6">
        <v>3</v>
      </c>
      <c r="C6">
        <v>3</v>
      </c>
      <c r="D6" t="s">
        <v>22</v>
      </c>
      <c r="F6" s="359" t="s">
        <v>789</v>
      </c>
      <c r="G6" t="s">
        <v>73</v>
      </c>
      <c r="H6" t="s">
        <v>91</v>
      </c>
      <c r="I6" t="s">
        <v>78</v>
      </c>
      <c r="J6">
        <v>181</v>
      </c>
      <c r="K6" t="s">
        <v>92</v>
      </c>
      <c r="L6" t="s">
        <v>1158</v>
      </c>
      <c r="M6" s="28"/>
    </row>
    <row r="7" spans="1:13" x14ac:dyDescent="0.25">
      <c r="A7">
        <v>1</v>
      </c>
      <c r="B7">
        <v>4</v>
      </c>
      <c r="C7">
        <v>4</v>
      </c>
      <c r="D7" t="s">
        <v>27</v>
      </c>
      <c r="F7" s="359" t="s">
        <v>686</v>
      </c>
      <c r="G7" t="s">
        <v>93</v>
      </c>
      <c r="H7" t="s">
        <v>77</v>
      </c>
      <c r="I7" t="s">
        <v>80</v>
      </c>
      <c r="J7">
        <v>192</v>
      </c>
      <c r="K7" t="s">
        <v>79</v>
      </c>
      <c r="L7" t="s">
        <v>1159</v>
      </c>
      <c r="M7" s="28"/>
    </row>
    <row r="8" spans="1:13" x14ac:dyDescent="0.25">
      <c r="A8">
        <v>1</v>
      </c>
      <c r="B8">
        <v>5</v>
      </c>
      <c r="C8">
        <v>5</v>
      </c>
      <c r="D8" t="s">
        <v>63</v>
      </c>
      <c r="F8" s="359" t="s">
        <v>847</v>
      </c>
      <c r="G8" t="s">
        <v>73</v>
      </c>
      <c r="H8" t="s">
        <v>74</v>
      </c>
      <c r="I8" t="s">
        <v>89</v>
      </c>
      <c r="J8">
        <v>190</v>
      </c>
      <c r="K8" t="s">
        <v>76</v>
      </c>
      <c r="L8" t="s">
        <v>1160</v>
      </c>
      <c r="M8" s="28"/>
    </row>
    <row r="9" spans="1:13" x14ac:dyDescent="0.25">
      <c r="A9">
        <v>1</v>
      </c>
      <c r="B9">
        <v>6</v>
      </c>
      <c r="C9">
        <v>6</v>
      </c>
      <c r="D9" t="s">
        <v>17</v>
      </c>
      <c r="F9" s="359" t="s">
        <v>387</v>
      </c>
      <c r="G9" t="s">
        <v>88</v>
      </c>
      <c r="H9" t="s">
        <v>83</v>
      </c>
      <c r="I9" t="s">
        <v>75</v>
      </c>
      <c r="J9">
        <v>197</v>
      </c>
      <c r="K9" t="s">
        <v>90</v>
      </c>
      <c r="L9" t="s">
        <v>1161</v>
      </c>
      <c r="M9" s="28"/>
    </row>
    <row r="10" spans="1:13" x14ac:dyDescent="0.25">
      <c r="A10">
        <v>1</v>
      </c>
      <c r="B10">
        <v>7</v>
      </c>
      <c r="C10">
        <v>7</v>
      </c>
      <c r="D10" t="s">
        <v>34</v>
      </c>
      <c r="F10" s="359" t="s">
        <v>1162</v>
      </c>
      <c r="G10" t="s">
        <v>82</v>
      </c>
      <c r="H10" t="s">
        <v>77</v>
      </c>
      <c r="I10" t="s">
        <v>100</v>
      </c>
      <c r="J10">
        <v>173</v>
      </c>
      <c r="K10" t="s">
        <v>87</v>
      </c>
      <c r="L10" t="s">
        <v>1163</v>
      </c>
      <c r="M10" s="28"/>
    </row>
    <row r="11" spans="1:13" x14ac:dyDescent="0.25">
      <c r="A11">
        <v>1</v>
      </c>
      <c r="B11">
        <v>8</v>
      </c>
      <c r="C11">
        <v>8</v>
      </c>
      <c r="D11" t="s">
        <v>13</v>
      </c>
      <c r="F11" s="359" t="s">
        <v>616</v>
      </c>
      <c r="G11" t="s">
        <v>82</v>
      </c>
      <c r="H11" t="s">
        <v>97</v>
      </c>
      <c r="I11" t="s">
        <v>81</v>
      </c>
      <c r="J11">
        <v>165</v>
      </c>
      <c r="K11" t="s">
        <v>101</v>
      </c>
      <c r="L11" t="s">
        <v>1164</v>
      </c>
      <c r="M11" s="28"/>
    </row>
    <row r="12" spans="1:13" x14ac:dyDescent="0.25">
      <c r="A12">
        <v>1</v>
      </c>
      <c r="B12">
        <v>9</v>
      </c>
      <c r="C12">
        <v>9</v>
      </c>
      <c r="D12" t="s">
        <v>26</v>
      </c>
      <c r="F12" s="359" t="s">
        <v>1165</v>
      </c>
      <c r="G12" t="s">
        <v>88</v>
      </c>
      <c r="H12" t="s">
        <v>84</v>
      </c>
      <c r="I12" t="s">
        <v>78</v>
      </c>
      <c r="J12">
        <v>184</v>
      </c>
      <c r="K12" t="s">
        <v>125</v>
      </c>
      <c r="L12" t="s">
        <v>1166</v>
      </c>
      <c r="M12" s="28"/>
    </row>
    <row r="13" spans="1:13" x14ac:dyDescent="0.25">
      <c r="A13">
        <v>1</v>
      </c>
      <c r="B13">
        <v>10</v>
      </c>
      <c r="C13">
        <v>10</v>
      </c>
      <c r="D13" t="s">
        <v>18</v>
      </c>
      <c r="F13" s="359" t="s">
        <v>561</v>
      </c>
      <c r="G13" t="s">
        <v>82</v>
      </c>
      <c r="H13" t="s">
        <v>74</v>
      </c>
      <c r="I13" t="s">
        <v>78</v>
      </c>
      <c r="J13">
        <v>196</v>
      </c>
      <c r="K13" t="s">
        <v>76</v>
      </c>
      <c r="L13" t="s">
        <v>1167</v>
      </c>
      <c r="M13" s="28"/>
    </row>
    <row r="14" spans="1:13" x14ac:dyDescent="0.25">
      <c r="A14">
        <v>1</v>
      </c>
      <c r="B14">
        <v>11</v>
      </c>
      <c r="C14">
        <v>11</v>
      </c>
      <c r="D14" t="s">
        <v>25</v>
      </c>
      <c r="F14" s="359" t="s">
        <v>1168</v>
      </c>
      <c r="G14" t="s">
        <v>88</v>
      </c>
      <c r="H14" t="s">
        <v>77</v>
      </c>
      <c r="I14" t="s">
        <v>89</v>
      </c>
      <c r="J14">
        <v>208</v>
      </c>
      <c r="K14" t="s">
        <v>155</v>
      </c>
      <c r="L14" t="s">
        <v>99</v>
      </c>
      <c r="M14" s="28"/>
    </row>
    <row r="15" spans="1:13" x14ac:dyDescent="0.25">
      <c r="A15">
        <v>1</v>
      </c>
      <c r="B15">
        <v>12</v>
      </c>
      <c r="C15">
        <v>12</v>
      </c>
      <c r="D15" t="s">
        <v>25</v>
      </c>
      <c r="E15" t="s">
        <v>1169</v>
      </c>
      <c r="F15" s="360" t="s">
        <v>904</v>
      </c>
      <c r="G15" t="s">
        <v>82</v>
      </c>
      <c r="H15" t="s">
        <v>74</v>
      </c>
      <c r="I15" t="s">
        <v>80</v>
      </c>
      <c r="J15">
        <v>177</v>
      </c>
      <c r="K15" t="s">
        <v>90</v>
      </c>
      <c r="L15" t="s">
        <v>1170</v>
      </c>
      <c r="M15" s="28"/>
    </row>
    <row r="16" spans="1:13" x14ac:dyDescent="0.25">
      <c r="A16">
        <v>1</v>
      </c>
      <c r="B16">
        <v>13</v>
      </c>
      <c r="C16">
        <v>13</v>
      </c>
      <c r="D16" t="s">
        <v>16</v>
      </c>
      <c r="F16" s="359" t="s">
        <v>1171</v>
      </c>
      <c r="G16" t="s">
        <v>73</v>
      </c>
      <c r="H16" t="s">
        <v>74</v>
      </c>
      <c r="I16" t="s">
        <v>75</v>
      </c>
      <c r="J16">
        <v>184</v>
      </c>
      <c r="K16" t="s">
        <v>76</v>
      </c>
      <c r="L16" t="s">
        <v>1172</v>
      </c>
      <c r="M16" s="28"/>
    </row>
    <row r="17" spans="1:13" x14ac:dyDescent="0.25">
      <c r="A17">
        <v>1</v>
      </c>
      <c r="B17">
        <v>14</v>
      </c>
      <c r="C17">
        <v>14</v>
      </c>
      <c r="D17" t="s">
        <v>28</v>
      </c>
      <c r="E17" t="s">
        <v>1173</v>
      </c>
      <c r="F17" s="359" t="s">
        <v>1174</v>
      </c>
      <c r="G17" t="s">
        <v>93</v>
      </c>
      <c r="H17" t="s">
        <v>77</v>
      </c>
      <c r="I17" t="s">
        <v>75</v>
      </c>
      <c r="J17">
        <v>162</v>
      </c>
      <c r="K17" t="s">
        <v>155</v>
      </c>
      <c r="L17" t="s">
        <v>99</v>
      </c>
      <c r="M17" s="28"/>
    </row>
    <row r="18" spans="1:13" x14ac:dyDescent="0.25">
      <c r="A18">
        <v>1</v>
      </c>
      <c r="B18">
        <v>15</v>
      </c>
      <c r="C18">
        <v>15</v>
      </c>
      <c r="D18" t="s">
        <v>19</v>
      </c>
      <c r="F18" s="359" t="s">
        <v>1175</v>
      </c>
      <c r="G18" t="s">
        <v>93</v>
      </c>
      <c r="H18" t="s">
        <v>84</v>
      </c>
      <c r="I18" t="s">
        <v>102</v>
      </c>
      <c r="J18">
        <v>172</v>
      </c>
      <c r="K18" t="s">
        <v>95</v>
      </c>
      <c r="L18" t="s">
        <v>1176</v>
      </c>
      <c r="M18" s="28"/>
    </row>
    <row r="19" spans="1:13" x14ac:dyDescent="0.25">
      <c r="A19">
        <v>1</v>
      </c>
      <c r="B19">
        <v>16</v>
      </c>
      <c r="C19">
        <v>16</v>
      </c>
      <c r="D19" t="s">
        <v>15</v>
      </c>
      <c r="F19" s="359" t="s">
        <v>921</v>
      </c>
      <c r="G19" t="s">
        <v>88</v>
      </c>
      <c r="H19" t="s">
        <v>83</v>
      </c>
      <c r="I19" t="s">
        <v>89</v>
      </c>
      <c r="J19">
        <v>176</v>
      </c>
      <c r="K19" t="s">
        <v>128</v>
      </c>
      <c r="L19" t="s">
        <v>1177</v>
      </c>
      <c r="M19" s="28"/>
    </row>
    <row r="20" spans="1:13" x14ac:dyDescent="0.25">
      <c r="A20">
        <v>1</v>
      </c>
      <c r="B20">
        <v>17</v>
      </c>
      <c r="C20">
        <v>17</v>
      </c>
      <c r="D20" t="s">
        <v>24</v>
      </c>
      <c r="F20" s="359" t="s">
        <v>959</v>
      </c>
      <c r="G20" t="s">
        <v>82</v>
      </c>
      <c r="H20" t="s">
        <v>74</v>
      </c>
      <c r="I20" t="s">
        <v>102</v>
      </c>
      <c r="J20">
        <v>176</v>
      </c>
      <c r="K20" t="s">
        <v>85</v>
      </c>
      <c r="L20" t="s">
        <v>1178</v>
      </c>
      <c r="M20" s="28"/>
    </row>
    <row r="21" spans="1:13" x14ac:dyDescent="0.25">
      <c r="A21">
        <v>1</v>
      </c>
      <c r="B21">
        <v>18</v>
      </c>
      <c r="C21">
        <v>18</v>
      </c>
      <c r="D21" t="s">
        <v>86</v>
      </c>
      <c r="F21" s="359" t="s">
        <v>642</v>
      </c>
      <c r="G21" t="s">
        <v>73</v>
      </c>
      <c r="H21" t="s">
        <v>74</v>
      </c>
      <c r="I21" t="s">
        <v>75</v>
      </c>
      <c r="J21">
        <v>174</v>
      </c>
      <c r="K21" t="s">
        <v>76</v>
      </c>
      <c r="L21" t="s">
        <v>1167</v>
      </c>
      <c r="M21" s="28"/>
    </row>
    <row r="22" spans="1:13" x14ac:dyDescent="0.25">
      <c r="A22">
        <v>1</v>
      </c>
      <c r="B22">
        <v>19</v>
      </c>
      <c r="C22">
        <v>19</v>
      </c>
      <c r="D22" t="s">
        <v>28</v>
      </c>
      <c r="F22" s="359" t="s">
        <v>1179</v>
      </c>
      <c r="G22" t="s">
        <v>73</v>
      </c>
      <c r="H22" t="s">
        <v>77</v>
      </c>
      <c r="I22" t="s">
        <v>102</v>
      </c>
      <c r="J22">
        <v>176</v>
      </c>
      <c r="K22" t="s">
        <v>1180</v>
      </c>
      <c r="L22" t="s">
        <v>1181</v>
      </c>
      <c r="M22" s="28"/>
    </row>
    <row r="23" spans="1:13" x14ac:dyDescent="0.25">
      <c r="A23">
        <v>1</v>
      </c>
      <c r="B23">
        <v>20</v>
      </c>
      <c r="C23">
        <v>20</v>
      </c>
      <c r="D23" t="s">
        <v>20</v>
      </c>
      <c r="F23" s="359" t="s">
        <v>501</v>
      </c>
      <c r="G23" t="s">
        <v>73</v>
      </c>
      <c r="H23" t="s">
        <v>91</v>
      </c>
      <c r="I23" t="s">
        <v>89</v>
      </c>
      <c r="J23">
        <v>189</v>
      </c>
      <c r="K23" t="s">
        <v>92</v>
      </c>
      <c r="L23" t="s">
        <v>1182</v>
      </c>
      <c r="M23" s="28"/>
    </row>
    <row r="24" spans="1:13" x14ac:dyDescent="0.25">
      <c r="A24">
        <v>1</v>
      </c>
      <c r="B24">
        <v>21</v>
      </c>
      <c r="C24">
        <v>21</v>
      </c>
      <c r="D24" t="s">
        <v>30</v>
      </c>
      <c r="F24" s="359" t="s">
        <v>581</v>
      </c>
      <c r="G24" t="s">
        <v>82</v>
      </c>
      <c r="H24" t="s">
        <v>74</v>
      </c>
      <c r="I24" t="s">
        <v>81</v>
      </c>
      <c r="J24">
        <v>168</v>
      </c>
      <c r="K24" t="s">
        <v>76</v>
      </c>
      <c r="L24" t="s">
        <v>1183</v>
      </c>
      <c r="M24" s="28"/>
    </row>
    <row r="25" spans="1:13" x14ac:dyDescent="0.25">
      <c r="A25">
        <v>1</v>
      </c>
      <c r="B25">
        <v>22</v>
      </c>
      <c r="C25">
        <v>22</v>
      </c>
      <c r="D25" t="s">
        <v>26</v>
      </c>
      <c r="E25" t="s">
        <v>1184</v>
      </c>
      <c r="F25" s="359" t="s">
        <v>1185</v>
      </c>
      <c r="G25" t="s">
        <v>82</v>
      </c>
      <c r="H25" t="s">
        <v>77</v>
      </c>
      <c r="I25" t="s">
        <v>80</v>
      </c>
      <c r="J25">
        <v>198</v>
      </c>
      <c r="K25" t="s">
        <v>155</v>
      </c>
      <c r="L25" t="s">
        <v>99</v>
      </c>
      <c r="M25" s="28"/>
    </row>
    <row r="26" spans="1:13" x14ac:dyDescent="0.25">
      <c r="A26">
        <v>1</v>
      </c>
      <c r="B26">
        <v>23</v>
      </c>
      <c r="C26">
        <v>23</v>
      </c>
      <c r="D26" t="s">
        <v>6</v>
      </c>
      <c r="F26" t="s">
        <v>1186</v>
      </c>
      <c r="G26" t="s">
        <v>73</v>
      </c>
      <c r="H26" t="s">
        <v>97</v>
      </c>
      <c r="I26" t="s">
        <v>75</v>
      </c>
      <c r="J26">
        <v>183</v>
      </c>
      <c r="K26" t="s">
        <v>98</v>
      </c>
      <c r="L26" t="s">
        <v>1187</v>
      </c>
      <c r="M26" s="28"/>
    </row>
    <row r="27" spans="1:13" x14ac:dyDescent="0.25">
      <c r="A27">
        <v>1</v>
      </c>
      <c r="B27">
        <v>24</v>
      </c>
      <c r="C27">
        <v>24</v>
      </c>
      <c r="D27" t="s">
        <v>21</v>
      </c>
      <c r="F27" t="s">
        <v>1188</v>
      </c>
      <c r="G27" t="s">
        <v>82</v>
      </c>
      <c r="H27" t="s">
        <v>97</v>
      </c>
      <c r="I27" t="s">
        <v>75</v>
      </c>
      <c r="J27">
        <v>176</v>
      </c>
      <c r="K27" t="s">
        <v>101</v>
      </c>
      <c r="L27" t="s">
        <v>1189</v>
      </c>
      <c r="M27" s="28"/>
    </row>
    <row r="28" spans="1:13" x14ac:dyDescent="0.25">
      <c r="A28">
        <v>1</v>
      </c>
      <c r="B28">
        <v>25</v>
      </c>
      <c r="C28">
        <v>25</v>
      </c>
      <c r="D28" t="s">
        <v>31</v>
      </c>
      <c r="E28" t="s">
        <v>1190</v>
      </c>
      <c r="F28" s="359" t="s">
        <v>409</v>
      </c>
      <c r="G28" t="s">
        <v>88</v>
      </c>
      <c r="H28" t="s">
        <v>1191</v>
      </c>
      <c r="I28" t="s">
        <v>89</v>
      </c>
      <c r="J28">
        <v>176</v>
      </c>
      <c r="K28" t="s">
        <v>101</v>
      </c>
      <c r="L28" t="s">
        <v>1192</v>
      </c>
      <c r="M28" s="28"/>
    </row>
    <row r="29" spans="1:13" x14ac:dyDescent="0.25">
      <c r="A29">
        <v>1</v>
      </c>
      <c r="B29">
        <v>26</v>
      </c>
      <c r="C29">
        <v>26</v>
      </c>
      <c r="D29" t="s">
        <v>27</v>
      </c>
      <c r="E29" t="s">
        <v>1193</v>
      </c>
      <c r="F29" t="s">
        <v>1194</v>
      </c>
      <c r="G29" t="s">
        <v>82</v>
      </c>
      <c r="H29" t="s">
        <v>74</v>
      </c>
      <c r="I29" t="s">
        <v>75</v>
      </c>
      <c r="J29">
        <v>187</v>
      </c>
      <c r="K29" t="s">
        <v>140</v>
      </c>
      <c r="L29" t="s">
        <v>1195</v>
      </c>
      <c r="M29" s="28"/>
    </row>
    <row r="30" spans="1:13" x14ac:dyDescent="0.25">
      <c r="A30">
        <v>1</v>
      </c>
      <c r="B30">
        <v>27</v>
      </c>
      <c r="C30">
        <v>27</v>
      </c>
      <c r="D30" t="s">
        <v>13</v>
      </c>
      <c r="E30" t="s">
        <v>1196</v>
      </c>
      <c r="F30" t="s">
        <v>1197</v>
      </c>
      <c r="G30" t="s">
        <v>82</v>
      </c>
      <c r="H30" t="s">
        <v>74</v>
      </c>
      <c r="I30" t="s">
        <v>102</v>
      </c>
      <c r="J30">
        <v>172</v>
      </c>
      <c r="K30" t="s">
        <v>90</v>
      </c>
      <c r="L30" t="s">
        <v>1198</v>
      </c>
      <c r="M30" s="28"/>
    </row>
    <row r="31" spans="1:13" x14ac:dyDescent="0.25">
      <c r="A31">
        <v>1</v>
      </c>
      <c r="B31">
        <v>28</v>
      </c>
      <c r="C31">
        <v>28</v>
      </c>
      <c r="D31" t="s">
        <v>26</v>
      </c>
      <c r="E31" t="s">
        <v>1199</v>
      </c>
      <c r="F31" s="359" t="s">
        <v>1200</v>
      </c>
      <c r="G31" t="s">
        <v>82</v>
      </c>
      <c r="H31" t="s">
        <v>97</v>
      </c>
      <c r="I31" t="s">
        <v>81</v>
      </c>
      <c r="J31">
        <v>172</v>
      </c>
      <c r="K31" t="s">
        <v>98</v>
      </c>
      <c r="L31" t="s">
        <v>1187</v>
      </c>
      <c r="M31" s="28"/>
    </row>
    <row r="32" spans="1:13" x14ac:dyDescent="0.25">
      <c r="A32">
        <v>1</v>
      </c>
      <c r="B32">
        <v>29</v>
      </c>
      <c r="C32">
        <v>29</v>
      </c>
      <c r="D32" t="s">
        <v>33</v>
      </c>
      <c r="E32" t="s">
        <v>1201</v>
      </c>
      <c r="F32" s="359" t="s">
        <v>942</v>
      </c>
      <c r="G32" t="s">
        <v>82</v>
      </c>
      <c r="H32" t="s">
        <v>97</v>
      </c>
      <c r="I32" t="s">
        <v>81</v>
      </c>
      <c r="J32">
        <v>186</v>
      </c>
      <c r="K32" t="s">
        <v>76</v>
      </c>
      <c r="L32" t="s">
        <v>1160</v>
      </c>
      <c r="M32" s="28"/>
    </row>
    <row r="33" spans="1:13" x14ac:dyDescent="0.25">
      <c r="A33">
        <v>1</v>
      </c>
      <c r="B33">
        <v>30</v>
      </c>
      <c r="C33">
        <v>30</v>
      </c>
      <c r="D33" t="s">
        <v>17</v>
      </c>
      <c r="E33" t="s">
        <v>1202</v>
      </c>
      <c r="F33" s="359" t="s">
        <v>1203</v>
      </c>
      <c r="G33" t="s">
        <v>73</v>
      </c>
      <c r="H33" t="s">
        <v>74</v>
      </c>
      <c r="I33" t="s">
        <v>89</v>
      </c>
      <c r="J33">
        <v>191</v>
      </c>
      <c r="K33" t="s">
        <v>90</v>
      </c>
      <c r="L33" t="s">
        <v>1198</v>
      </c>
      <c r="M33" s="28"/>
    </row>
    <row r="34" spans="1:13" x14ac:dyDescent="0.25">
      <c r="A34">
        <v>1</v>
      </c>
      <c r="B34">
        <v>31</v>
      </c>
      <c r="C34">
        <v>31</v>
      </c>
      <c r="D34" t="s">
        <v>1204</v>
      </c>
      <c r="F34" s="359" t="s">
        <v>1205</v>
      </c>
      <c r="G34" t="s">
        <v>82</v>
      </c>
      <c r="H34" t="s">
        <v>84</v>
      </c>
      <c r="I34" t="s">
        <v>80</v>
      </c>
      <c r="J34">
        <v>196</v>
      </c>
      <c r="K34" t="s">
        <v>85</v>
      </c>
      <c r="L34" t="s">
        <v>1206</v>
      </c>
      <c r="M34" s="28"/>
    </row>
    <row r="35" spans="1:13" x14ac:dyDescent="0.25">
      <c r="A35" s="28"/>
      <c r="B35" s="28"/>
      <c r="C35" s="28"/>
      <c r="D35" s="28"/>
      <c r="E35" s="28"/>
      <c r="F35" s="28"/>
      <c r="G35" s="28"/>
      <c r="H35" s="28"/>
      <c r="I35" s="28"/>
      <c r="J35" s="28"/>
      <c r="K35" s="28"/>
      <c r="L35" s="28"/>
      <c r="M35" s="28"/>
    </row>
    <row r="36" spans="1:13" ht="23.25" x14ac:dyDescent="0.35">
      <c r="A36" s="492" t="s">
        <v>103</v>
      </c>
      <c r="B36" s="492"/>
      <c r="C36" s="492"/>
      <c r="D36" s="492"/>
      <c r="E36" s="492"/>
      <c r="F36" s="492"/>
      <c r="G36" s="492"/>
      <c r="H36" s="492"/>
      <c r="I36" s="492"/>
      <c r="J36" s="492"/>
      <c r="K36" s="492"/>
      <c r="L36" s="492"/>
      <c r="M36" s="492"/>
    </row>
    <row r="37" spans="1:13" x14ac:dyDescent="0.25">
      <c r="A37" t="s">
        <v>65</v>
      </c>
      <c r="B37" t="s">
        <v>66</v>
      </c>
      <c r="C37" t="s">
        <v>67</v>
      </c>
      <c r="D37" t="s">
        <v>68</v>
      </c>
      <c r="E37" t="s">
        <v>165</v>
      </c>
      <c r="F37" t="s">
        <v>1207</v>
      </c>
      <c r="G37" t="s">
        <v>5</v>
      </c>
      <c r="H37" t="s">
        <v>70</v>
      </c>
      <c r="I37" t="s">
        <v>166</v>
      </c>
      <c r="J37" t="s">
        <v>167</v>
      </c>
      <c r="K37" t="s">
        <v>71</v>
      </c>
      <c r="L37" t="s">
        <v>72</v>
      </c>
    </row>
    <row r="38" spans="1:13" x14ac:dyDescent="0.25">
      <c r="A38">
        <v>2</v>
      </c>
      <c r="B38">
        <v>1</v>
      </c>
      <c r="C38">
        <v>32</v>
      </c>
      <c r="D38" t="s">
        <v>10</v>
      </c>
      <c r="F38" t="s">
        <v>1208</v>
      </c>
      <c r="G38" t="s">
        <v>82</v>
      </c>
      <c r="H38" t="s">
        <v>77</v>
      </c>
      <c r="I38" t="s">
        <v>94</v>
      </c>
      <c r="J38">
        <v>218</v>
      </c>
      <c r="K38" t="s">
        <v>155</v>
      </c>
      <c r="L38" t="s">
        <v>99</v>
      </c>
      <c r="M38" s="28"/>
    </row>
    <row r="39" spans="1:13" x14ac:dyDescent="0.25">
      <c r="A39">
        <v>2</v>
      </c>
      <c r="B39">
        <v>2</v>
      </c>
      <c r="C39">
        <v>33</v>
      </c>
      <c r="D39" t="s">
        <v>17</v>
      </c>
      <c r="E39" t="s">
        <v>1209</v>
      </c>
      <c r="F39" s="359" t="s">
        <v>1210</v>
      </c>
      <c r="G39" t="s">
        <v>88</v>
      </c>
      <c r="H39" t="s">
        <v>97</v>
      </c>
      <c r="I39" t="s">
        <v>102</v>
      </c>
      <c r="J39">
        <v>181</v>
      </c>
      <c r="K39" t="s">
        <v>101</v>
      </c>
      <c r="L39" t="s">
        <v>1211</v>
      </c>
      <c r="M39" s="28"/>
    </row>
    <row r="40" spans="1:13" x14ac:dyDescent="0.25">
      <c r="A40">
        <v>2</v>
      </c>
      <c r="B40">
        <v>3</v>
      </c>
      <c r="C40">
        <v>34</v>
      </c>
      <c r="D40" t="s">
        <v>19</v>
      </c>
      <c r="E40" t="s">
        <v>180</v>
      </c>
      <c r="F40" t="s">
        <v>1212</v>
      </c>
      <c r="G40" t="s">
        <v>88</v>
      </c>
      <c r="H40" t="s">
        <v>74</v>
      </c>
      <c r="I40" t="s">
        <v>104</v>
      </c>
      <c r="J40">
        <v>204</v>
      </c>
      <c r="K40" t="s">
        <v>76</v>
      </c>
      <c r="L40" t="s">
        <v>1213</v>
      </c>
      <c r="M40" s="28"/>
    </row>
    <row r="41" spans="1:13" x14ac:dyDescent="0.25">
      <c r="A41">
        <v>2</v>
      </c>
      <c r="B41">
        <v>4</v>
      </c>
      <c r="C41">
        <v>35</v>
      </c>
      <c r="D41" t="s">
        <v>22</v>
      </c>
      <c r="F41" t="s">
        <v>1214</v>
      </c>
      <c r="G41" t="s">
        <v>88</v>
      </c>
      <c r="H41" t="s">
        <v>77</v>
      </c>
      <c r="I41" t="s">
        <v>75</v>
      </c>
      <c r="J41">
        <v>167</v>
      </c>
      <c r="K41" t="s">
        <v>1215</v>
      </c>
      <c r="L41" t="s">
        <v>1216</v>
      </c>
      <c r="M41" s="28"/>
    </row>
    <row r="42" spans="1:13" x14ac:dyDescent="0.25">
      <c r="A42">
        <v>2</v>
      </c>
      <c r="B42">
        <v>5</v>
      </c>
      <c r="C42">
        <v>36</v>
      </c>
      <c r="D42" t="s">
        <v>17</v>
      </c>
      <c r="F42" t="s">
        <v>1217</v>
      </c>
      <c r="G42" t="s">
        <v>82</v>
      </c>
      <c r="H42" t="s">
        <v>74</v>
      </c>
      <c r="I42" t="s">
        <v>89</v>
      </c>
      <c r="J42">
        <v>189</v>
      </c>
      <c r="K42" t="s">
        <v>90</v>
      </c>
      <c r="L42" t="s">
        <v>1161</v>
      </c>
      <c r="M42" s="28"/>
    </row>
    <row r="43" spans="1:13" x14ac:dyDescent="0.25">
      <c r="A43">
        <v>2</v>
      </c>
      <c r="B43">
        <v>6</v>
      </c>
      <c r="C43">
        <v>37</v>
      </c>
      <c r="D43" t="s">
        <v>34</v>
      </c>
      <c r="F43" t="s">
        <v>1218</v>
      </c>
      <c r="G43" t="s">
        <v>82</v>
      </c>
      <c r="H43" t="s">
        <v>74</v>
      </c>
      <c r="I43" t="s">
        <v>75</v>
      </c>
      <c r="J43">
        <v>200</v>
      </c>
      <c r="K43" t="s">
        <v>85</v>
      </c>
      <c r="L43" t="s">
        <v>1219</v>
      </c>
      <c r="M43" s="28"/>
    </row>
    <row r="44" spans="1:13" x14ac:dyDescent="0.25">
      <c r="A44">
        <v>2</v>
      </c>
      <c r="B44">
        <v>7</v>
      </c>
      <c r="C44">
        <v>38</v>
      </c>
      <c r="D44" t="s">
        <v>22</v>
      </c>
      <c r="E44" t="s">
        <v>1220</v>
      </c>
      <c r="F44" t="s">
        <v>1221</v>
      </c>
      <c r="G44" t="s">
        <v>82</v>
      </c>
      <c r="H44" t="s">
        <v>84</v>
      </c>
      <c r="I44" t="s">
        <v>81</v>
      </c>
      <c r="J44">
        <v>185</v>
      </c>
      <c r="K44" t="s">
        <v>95</v>
      </c>
      <c r="L44" t="s">
        <v>1222</v>
      </c>
      <c r="M44" s="28"/>
    </row>
    <row r="45" spans="1:13" x14ac:dyDescent="0.25">
      <c r="A45">
        <v>2</v>
      </c>
      <c r="B45">
        <v>8</v>
      </c>
      <c r="C45">
        <v>39</v>
      </c>
      <c r="D45" t="s">
        <v>26</v>
      </c>
      <c r="F45" t="s">
        <v>1223</v>
      </c>
      <c r="G45" t="s">
        <v>127</v>
      </c>
      <c r="H45" t="s">
        <v>97</v>
      </c>
      <c r="I45" t="s">
        <v>75</v>
      </c>
      <c r="J45">
        <v>173</v>
      </c>
      <c r="K45" t="s">
        <v>101</v>
      </c>
      <c r="L45" t="s">
        <v>1224</v>
      </c>
      <c r="M45" s="28"/>
    </row>
    <row r="46" spans="1:13" x14ac:dyDescent="0.25">
      <c r="A46">
        <v>2</v>
      </c>
      <c r="B46">
        <v>9</v>
      </c>
      <c r="C46">
        <v>40</v>
      </c>
      <c r="D46" t="s">
        <v>18</v>
      </c>
      <c r="F46" t="s">
        <v>1225</v>
      </c>
      <c r="G46" t="s">
        <v>73</v>
      </c>
      <c r="H46" t="s">
        <v>74</v>
      </c>
      <c r="I46" t="s">
        <v>78</v>
      </c>
      <c r="J46">
        <v>206</v>
      </c>
      <c r="K46" t="s">
        <v>76</v>
      </c>
      <c r="L46" t="s">
        <v>1226</v>
      </c>
      <c r="M46" s="28"/>
    </row>
    <row r="47" spans="1:13" x14ac:dyDescent="0.25">
      <c r="A47">
        <v>2</v>
      </c>
      <c r="B47">
        <v>10</v>
      </c>
      <c r="C47">
        <v>41</v>
      </c>
      <c r="D47" t="s">
        <v>25</v>
      </c>
      <c r="F47" s="359" t="s">
        <v>1227</v>
      </c>
      <c r="G47" t="s">
        <v>82</v>
      </c>
      <c r="H47" t="s">
        <v>74</v>
      </c>
      <c r="I47" t="s">
        <v>78</v>
      </c>
      <c r="J47">
        <v>198</v>
      </c>
      <c r="K47" t="s">
        <v>155</v>
      </c>
      <c r="L47" t="s">
        <v>99</v>
      </c>
      <c r="M47" s="28"/>
    </row>
    <row r="48" spans="1:13" x14ac:dyDescent="0.25">
      <c r="A48">
        <v>2</v>
      </c>
      <c r="B48">
        <v>11</v>
      </c>
      <c r="C48">
        <v>42</v>
      </c>
      <c r="D48" t="s">
        <v>11</v>
      </c>
      <c r="F48" t="s">
        <v>1228</v>
      </c>
      <c r="G48" t="s">
        <v>73</v>
      </c>
      <c r="H48" t="s">
        <v>77</v>
      </c>
      <c r="I48" t="s">
        <v>81</v>
      </c>
      <c r="J48">
        <v>174</v>
      </c>
      <c r="K48" t="s">
        <v>96</v>
      </c>
      <c r="L48" t="s">
        <v>1229</v>
      </c>
      <c r="M48" s="28"/>
    </row>
    <row r="49" spans="1:13" x14ac:dyDescent="0.25">
      <c r="A49">
        <v>2</v>
      </c>
      <c r="B49">
        <v>12</v>
      </c>
      <c r="C49">
        <v>43</v>
      </c>
      <c r="D49" t="s">
        <v>25</v>
      </c>
      <c r="E49" t="s">
        <v>1169</v>
      </c>
      <c r="F49" t="s">
        <v>1230</v>
      </c>
      <c r="G49" t="s">
        <v>73</v>
      </c>
      <c r="H49" t="s">
        <v>84</v>
      </c>
      <c r="I49" t="s">
        <v>126</v>
      </c>
      <c r="J49">
        <v>152</v>
      </c>
      <c r="K49" t="s">
        <v>95</v>
      </c>
      <c r="L49" t="s">
        <v>1222</v>
      </c>
      <c r="M49" s="28"/>
    </row>
    <row r="50" spans="1:13" x14ac:dyDescent="0.25">
      <c r="A50">
        <v>2</v>
      </c>
      <c r="B50">
        <v>13</v>
      </c>
      <c r="C50">
        <v>44</v>
      </c>
      <c r="D50" t="s">
        <v>16</v>
      </c>
      <c r="F50" t="s">
        <v>1231</v>
      </c>
      <c r="G50" t="s">
        <v>88</v>
      </c>
      <c r="H50" t="s">
        <v>97</v>
      </c>
      <c r="I50" t="s">
        <v>94</v>
      </c>
      <c r="J50">
        <v>207</v>
      </c>
      <c r="K50" t="s">
        <v>101</v>
      </c>
      <c r="L50" t="s">
        <v>1211</v>
      </c>
      <c r="M50" s="28"/>
    </row>
    <row r="51" spans="1:13" x14ac:dyDescent="0.25">
      <c r="A51">
        <v>2</v>
      </c>
      <c r="B51">
        <v>14</v>
      </c>
      <c r="C51">
        <v>45</v>
      </c>
      <c r="D51" t="s">
        <v>31</v>
      </c>
      <c r="F51" t="s">
        <v>1232</v>
      </c>
      <c r="G51" t="s">
        <v>82</v>
      </c>
      <c r="H51" t="s">
        <v>77</v>
      </c>
      <c r="I51" t="s">
        <v>100</v>
      </c>
      <c r="J51">
        <v>172</v>
      </c>
      <c r="K51" t="s">
        <v>129</v>
      </c>
      <c r="L51" t="s">
        <v>1233</v>
      </c>
      <c r="M51" s="28"/>
    </row>
    <row r="52" spans="1:13" x14ac:dyDescent="0.25">
      <c r="A52">
        <v>2</v>
      </c>
      <c r="B52">
        <v>15</v>
      </c>
      <c r="C52">
        <v>46</v>
      </c>
      <c r="D52" t="s">
        <v>1204</v>
      </c>
      <c r="E52" t="s">
        <v>1234</v>
      </c>
      <c r="F52" t="s">
        <v>1235</v>
      </c>
      <c r="G52" t="s">
        <v>82</v>
      </c>
      <c r="H52" t="s">
        <v>1236</v>
      </c>
      <c r="I52" t="s">
        <v>89</v>
      </c>
      <c r="J52">
        <v>194</v>
      </c>
      <c r="K52" t="s">
        <v>106</v>
      </c>
      <c r="L52" t="s">
        <v>1237</v>
      </c>
      <c r="M52" s="28"/>
    </row>
    <row r="53" spans="1:13" x14ac:dyDescent="0.25">
      <c r="A53">
        <v>2</v>
      </c>
      <c r="B53">
        <v>16</v>
      </c>
      <c r="C53">
        <v>47</v>
      </c>
      <c r="D53" t="s">
        <v>1204</v>
      </c>
      <c r="E53" t="s">
        <v>1238</v>
      </c>
      <c r="F53" t="s">
        <v>1239</v>
      </c>
      <c r="G53" t="s">
        <v>88</v>
      </c>
      <c r="H53" t="s">
        <v>77</v>
      </c>
      <c r="I53" t="s">
        <v>89</v>
      </c>
      <c r="J53">
        <v>179</v>
      </c>
      <c r="K53" t="s">
        <v>76</v>
      </c>
      <c r="L53" t="s">
        <v>1240</v>
      </c>
      <c r="M53" s="28"/>
    </row>
    <row r="54" spans="1:13" x14ac:dyDescent="0.25">
      <c r="A54">
        <v>2</v>
      </c>
      <c r="B54">
        <v>17</v>
      </c>
      <c r="C54">
        <v>48</v>
      </c>
      <c r="D54" t="s">
        <v>27</v>
      </c>
      <c r="E54" t="s">
        <v>1241</v>
      </c>
      <c r="F54" t="s">
        <v>1242</v>
      </c>
      <c r="G54" t="s">
        <v>82</v>
      </c>
      <c r="H54" t="s">
        <v>74</v>
      </c>
      <c r="I54" t="s">
        <v>81</v>
      </c>
      <c r="J54">
        <v>177</v>
      </c>
      <c r="K54" t="s">
        <v>1243</v>
      </c>
      <c r="L54" t="s">
        <v>1244</v>
      </c>
      <c r="M54" s="28"/>
    </row>
    <row r="55" spans="1:13" x14ac:dyDescent="0.25">
      <c r="A55">
        <v>2</v>
      </c>
      <c r="B55">
        <v>18</v>
      </c>
      <c r="C55">
        <v>49</v>
      </c>
      <c r="D55" t="s">
        <v>86</v>
      </c>
      <c r="F55" t="s">
        <v>1245</v>
      </c>
      <c r="G55" t="s">
        <v>88</v>
      </c>
      <c r="H55" t="s">
        <v>84</v>
      </c>
      <c r="I55" t="s">
        <v>80</v>
      </c>
      <c r="J55">
        <v>187</v>
      </c>
      <c r="K55" t="s">
        <v>95</v>
      </c>
      <c r="L55" t="s">
        <v>1246</v>
      </c>
      <c r="M55" s="28"/>
    </row>
    <row r="56" spans="1:13" x14ac:dyDescent="0.25">
      <c r="A56">
        <v>2</v>
      </c>
      <c r="B56">
        <v>19</v>
      </c>
      <c r="C56">
        <v>50</v>
      </c>
      <c r="D56" t="s">
        <v>28</v>
      </c>
      <c r="F56" t="s">
        <v>1247</v>
      </c>
      <c r="G56" t="s">
        <v>82</v>
      </c>
      <c r="H56" t="s">
        <v>97</v>
      </c>
      <c r="I56" t="s">
        <v>94</v>
      </c>
      <c r="J56">
        <v>206</v>
      </c>
      <c r="K56" t="s">
        <v>98</v>
      </c>
      <c r="L56" t="s">
        <v>1248</v>
      </c>
      <c r="M56" s="28"/>
    </row>
    <row r="57" spans="1:13" x14ac:dyDescent="0.25">
      <c r="A57">
        <v>2</v>
      </c>
      <c r="B57">
        <v>20</v>
      </c>
      <c r="C57">
        <v>51</v>
      </c>
      <c r="D57" t="s">
        <v>20</v>
      </c>
      <c r="F57" s="359" t="s">
        <v>1249</v>
      </c>
      <c r="G57" t="s">
        <v>73</v>
      </c>
      <c r="H57" t="s">
        <v>74</v>
      </c>
      <c r="I57" t="s">
        <v>81</v>
      </c>
      <c r="J57">
        <v>177</v>
      </c>
      <c r="K57" t="s">
        <v>76</v>
      </c>
      <c r="L57" t="s">
        <v>1250</v>
      </c>
      <c r="M57" s="28"/>
    </row>
    <row r="58" spans="1:13" x14ac:dyDescent="0.25">
      <c r="A58">
        <v>2</v>
      </c>
      <c r="B58">
        <v>21</v>
      </c>
      <c r="C58">
        <v>52</v>
      </c>
      <c r="D58" t="s">
        <v>33</v>
      </c>
      <c r="E58" t="s">
        <v>1251</v>
      </c>
      <c r="F58" t="s">
        <v>1252</v>
      </c>
      <c r="G58" t="s">
        <v>82</v>
      </c>
      <c r="H58" t="s">
        <v>74</v>
      </c>
      <c r="I58" t="s">
        <v>75</v>
      </c>
      <c r="J58">
        <v>188</v>
      </c>
      <c r="K58" t="s">
        <v>76</v>
      </c>
      <c r="L58" t="s">
        <v>1253</v>
      </c>
      <c r="M58" s="28"/>
    </row>
    <row r="59" spans="1:13" x14ac:dyDescent="0.25">
      <c r="A59">
        <v>2</v>
      </c>
      <c r="B59">
        <v>22</v>
      </c>
      <c r="C59">
        <v>53</v>
      </c>
      <c r="D59" t="s">
        <v>29</v>
      </c>
      <c r="F59" t="s">
        <v>1254</v>
      </c>
      <c r="G59" t="s">
        <v>82</v>
      </c>
      <c r="H59" t="s">
        <v>74</v>
      </c>
      <c r="I59" t="s">
        <v>102</v>
      </c>
      <c r="J59">
        <v>178</v>
      </c>
      <c r="K59" t="s">
        <v>85</v>
      </c>
      <c r="L59" t="s">
        <v>1255</v>
      </c>
      <c r="M59" s="28"/>
    </row>
    <row r="60" spans="1:13" x14ac:dyDescent="0.25">
      <c r="A60">
        <v>2</v>
      </c>
      <c r="B60">
        <v>23</v>
      </c>
      <c r="C60">
        <v>54</v>
      </c>
      <c r="D60" t="s">
        <v>6</v>
      </c>
      <c r="F60" t="s">
        <v>1256</v>
      </c>
      <c r="G60" t="s">
        <v>73</v>
      </c>
      <c r="H60" t="s">
        <v>74</v>
      </c>
      <c r="I60" t="s">
        <v>89</v>
      </c>
      <c r="J60">
        <v>193</v>
      </c>
      <c r="K60" t="s">
        <v>90</v>
      </c>
      <c r="L60" t="s">
        <v>1161</v>
      </c>
      <c r="M60" s="28"/>
    </row>
    <row r="61" spans="1:13" x14ac:dyDescent="0.25">
      <c r="A61">
        <v>2</v>
      </c>
      <c r="B61">
        <v>24</v>
      </c>
      <c r="C61">
        <v>55</v>
      </c>
      <c r="D61" t="s">
        <v>63</v>
      </c>
      <c r="E61" t="s">
        <v>159</v>
      </c>
      <c r="F61" t="s">
        <v>1257</v>
      </c>
      <c r="G61" t="s">
        <v>82</v>
      </c>
      <c r="H61" t="s">
        <v>74</v>
      </c>
      <c r="I61" t="s">
        <v>105</v>
      </c>
      <c r="J61">
        <v>216</v>
      </c>
      <c r="K61" t="s">
        <v>76</v>
      </c>
      <c r="L61" t="s">
        <v>1240</v>
      </c>
      <c r="M61" s="28"/>
    </row>
    <row r="62" spans="1:13" x14ac:dyDescent="0.25">
      <c r="A62">
        <v>2</v>
      </c>
      <c r="B62">
        <v>25</v>
      </c>
      <c r="C62">
        <v>56</v>
      </c>
      <c r="D62" t="s">
        <v>22</v>
      </c>
      <c r="E62" t="s">
        <v>1258</v>
      </c>
      <c r="F62" t="s">
        <v>1259</v>
      </c>
      <c r="G62" t="s">
        <v>73</v>
      </c>
      <c r="H62" t="s">
        <v>97</v>
      </c>
      <c r="I62" t="s">
        <v>78</v>
      </c>
      <c r="J62">
        <v>189</v>
      </c>
      <c r="K62" t="s">
        <v>106</v>
      </c>
      <c r="L62" t="s">
        <v>1260</v>
      </c>
      <c r="M62" s="28"/>
    </row>
    <row r="63" spans="1:13" x14ac:dyDescent="0.25">
      <c r="A63">
        <v>2</v>
      </c>
      <c r="B63">
        <v>26</v>
      </c>
      <c r="C63">
        <v>57</v>
      </c>
      <c r="D63" t="s">
        <v>9</v>
      </c>
      <c r="F63" t="s">
        <v>547</v>
      </c>
      <c r="G63" t="s">
        <v>82</v>
      </c>
      <c r="H63" t="s">
        <v>97</v>
      </c>
      <c r="I63" t="s">
        <v>81</v>
      </c>
      <c r="J63">
        <v>178</v>
      </c>
      <c r="K63" t="s">
        <v>101</v>
      </c>
      <c r="L63" t="s">
        <v>1224</v>
      </c>
      <c r="M63" s="28"/>
    </row>
    <row r="64" spans="1:13" x14ac:dyDescent="0.25">
      <c r="A64">
        <v>2</v>
      </c>
      <c r="B64">
        <v>27</v>
      </c>
      <c r="C64">
        <v>58</v>
      </c>
      <c r="D64" t="s">
        <v>29</v>
      </c>
      <c r="E64" t="s">
        <v>1261</v>
      </c>
      <c r="F64" t="s">
        <v>1262</v>
      </c>
      <c r="G64" t="s">
        <v>73</v>
      </c>
      <c r="H64" t="s">
        <v>97</v>
      </c>
      <c r="I64" t="s">
        <v>89</v>
      </c>
      <c r="J64">
        <v>188</v>
      </c>
      <c r="K64" t="s">
        <v>106</v>
      </c>
      <c r="L64" t="s">
        <v>1260</v>
      </c>
      <c r="M64" s="28"/>
    </row>
    <row r="65" spans="1:13" x14ac:dyDescent="0.25">
      <c r="A65">
        <v>2</v>
      </c>
      <c r="B65">
        <v>28</v>
      </c>
      <c r="C65">
        <v>59</v>
      </c>
      <c r="D65" t="s">
        <v>32</v>
      </c>
      <c r="F65" t="s">
        <v>1263</v>
      </c>
      <c r="G65" t="s">
        <v>93</v>
      </c>
      <c r="H65" t="s">
        <v>74</v>
      </c>
      <c r="I65" t="s">
        <v>102</v>
      </c>
      <c r="J65">
        <v>170</v>
      </c>
      <c r="K65" t="s">
        <v>90</v>
      </c>
      <c r="L65" t="s">
        <v>1264</v>
      </c>
      <c r="M65" s="28"/>
    </row>
    <row r="66" spans="1:13" x14ac:dyDescent="0.25">
      <c r="A66">
        <v>2</v>
      </c>
      <c r="B66">
        <v>29</v>
      </c>
      <c r="C66">
        <v>60</v>
      </c>
      <c r="D66" t="s">
        <v>35</v>
      </c>
      <c r="F66" t="s">
        <v>1265</v>
      </c>
      <c r="G66" t="s">
        <v>73</v>
      </c>
      <c r="H66" t="s">
        <v>97</v>
      </c>
      <c r="I66" t="s">
        <v>89</v>
      </c>
      <c r="J66">
        <v>196</v>
      </c>
      <c r="K66" t="s">
        <v>98</v>
      </c>
      <c r="L66" t="s">
        <v>144</v>
      </c>
      <c r="M66" s="28"/>
    </row>
    <row r="67" spans="1:13" x14ac:dyDescent="0.25">
      <c r="A67">
        <v>2</v>
      </c>
      <c r="B67">
        <v>30</v>
      </c>
      <c r="C67">
        <v>61</v>
      </c>
      <c r="D67" t="s">
        <v>135</v>
      </c>
      <c r="F67" t="s">
        <v>1266</v>
      </c>
      <c r="G67" t="s">
        <v>73</v>
      </c>
      <c r="H67" t="s">
        <v>84</v>
      </c>
      <c r="I67" t="s">
        <v>89</v>
      </c>
      <c r="J67">
        <v>178</v>
      </c>
      <c r="K67" t="s">
        <v>95</v>
      </c>
      <c r="L67" t="s">
        <v>1246</v>
      </c>
      <c r="M67" s="28"/>
    </row>
    <row r="68" spans="1:13" x14ac:dyDescent="0.25">
      <c r="A68">
        <v>2</v>
      </c>
      <c r="B68">
        <v>31</v>
      </c>
      <c r="C68">
        <v>62</v>
      </c>
      <c r="D68" t="s">
        <v>18</v>
      </c>
      <c r="E68" t="s">
        <v>1267</v>
      </c>
      <c r="F68" t="s">
        <v>1268</v>
      </c>
      <c r="G68" t="s">
        <v>127</v>
      </c>
      <c r="H68" t="s">
        <v>74</v>
      </c>
      <c r="I68" t="s">
        <v>89</v>
      </c>
      <c r="J68">
        <v>156</v>
      </c>
      <c r="K68" t="s">
        <v>90</v>
      </c>
      <c r="L68" t="s">
        <v>1198</v>
      </c>
      <c r="M68" s="28"/>
    </row>
    <row r="69" spans="1:13" x14ac:dyDescent="0.25">
      <c r="A69" s="28"/>
      <c r="B69" s="28"/>
      <c r="C69" s="28"/>
      <c r="D69" s="28"/>
      <c r="E69" s="28"/>
      <c r="F69" s="28"/>
      <c r="G69" s="28"/>
      <c r="H69" s="28"/>
      <c r="I69" s="28"/>
      <c r="J69" s="28"/>
      <c r="K69" s="28"/>
      <c r="L69" s="28"/>
      <c r="M69" s="28"/>
    </row>
    <row r="70" spans="1:13" ht="23.25" x14ac:dyDescent="0.35">
      <c r="A70" s="492" t="s">
        <v>179</v>
      </c>
      <c r="B70" s="492"/>
      <c r="C70" s="492"/>
      <c r="D70" s="492"/>
      <c r="E70" s="492"/>
      <c r="F70" s="492"/>
      <c r="G70" s="492"/>
      <c r="H70" s="492"/>
      <c r="I70" s="492"/>
      <c r="J70" s="492"/>
      <c r="K70" s="492"/>
      <c r="L70" s="492"/>
      <c r="M70" s="492"/>
    </row>
    <row r="71" spans="1:13" x14ac:dyDescent="0.25">
      <c r="A71" t="s">
        <v>65</v>
      </c>
      <c r="B71" t="s">
        <v>66</v>
      </c>
      <c r="C71" t="s">
        <v>67</v>
      </c>
      <c r="D71" t="s">
        <v>68</v>
      </c>
      <c r="E71" t="s">
        <v>165</v>
      </c>
      <c r="F71" t="s">
        <v>1207</v>
      </c>
      <c r="G71" t="s">
        <v>5</v>
      </c>
      <c r="H71" t="s">
        <v>70</v>
      </c>
      <c r="I71" t="s">
        <v>166</v>
      </c>
      <c r="J71" t="s">
        <v>167</v>
      </c>
      <c r="K71" t="s">
        <v>71</v>
      </c>
      <c r="L71" t="s">
        <v>72</v>
      </c>
      <c r="M71" s="28"/>
    </row>
    <row r="72" spans="1:13" x14ac:dyDescent="0.25">
      <c r="A72">
        <v>3</v>
      </c>
      <c r="B72">
        <v>1</v>
      </c>
      <c r="C72">
        <v>63</v>
      </c>
      <c r="D72" t="s">
        <v>21</v>
      </c>
      <c r="E72" t="s">
        <v>1269</v>
      </c>
      <c r="F72" t="s">
        <v>1270</v>
      </c>
      <c r="G72" t="s">
        <v>73</v>
      </c>
      <c r="H72" t="s">
        <v>74</v>
      </c>
      <c r="I72" t="s">
        <v>80</v>
      </c>
      <c r="J72">
        <v>201</v>
      </c>
      <c r="K72" t="s">
        <v>1271</v>
      </c>
      <c r="L72" t="s">
        <v>1272</v>
      </c>
      <c r="M72" s="28"/>
    </row>
    <row r="73" spans="1:13" x14ac:dyDescent="0.25">
      <c r="A73">
        <v>3</v>
      </c>
      <c r="B73">
        <v>2</v>
      </c>
      <c r="C73">
        <v>64</v>
      </c>
      <c r="D73" t="s">
        <v>15</v>
      </c>
      <c r="E73" t="s">
        <v>1273</v>
      </c>
      <c r="F73" t="s">
        <v>1274</v>
      </c>
      <c r="G73" t="s">
        <v>127</v>
      </c>
      <c r="H73" t="s">
        <v>91</v>
      </c>
      <c r="I73" t="s">
        <v>94</v>
      </c>
      <c r="J73">
        <v>217</v>
      </c>
      <c r="K73" t="s">
        <v>124</v>
      </c>
      <c r="L73" t="s">
        <v>1275</v>
      </c>
      <c r="M73" s="28"/>
    </row>
    <row r="74" spans="1:13" x14ac:dyDescent="0.25">
      <c r="A74">
        <v>3</v>
      </c>
      <c r="B74">
        <v>3</v>
      </c>
      <c r="C74">
        <v>65</v>
      </c>
      <c r="D74" t="s">
        <v>63</v>
      </c>
      <c r="F74" t="s">
        <v>1276</v>
      </c>
      <c r="G74" t="s">
        <v>88</v>
      </c>
      <c r="H74" t="s">
        <v>83</v>
      </c>
      <c r="I74" t="s">
        <v>89</v>
      </c>
      <c r="J74">
        <v>171</v>
      </c>
      <c r="K74" t="s">
        <v>1277</v>
      </c>
      <c r="L74" t="s">
        <v>1278</v>
      </c>
      <c r="M74" s="28"/>
    </row>
    <row r="75" spans="1:13" x14ac:dyDescent="0.25">
      <c r="A75">
        <v>3</v>
      </c>
      <c r="B75">
        <v>4</v>
      </c>
      <c r="C75">
        <v>66</v>
      </c>
      <c r="D75" t="s">
        <v>22</v>
      </c>
      <c r="F75" t="s">
        <v>1279</v>
      </c>
      <c r="G75" t="s">
        <v>73</v>
      </c>
      <c r="H75" t="s">
        <v>74</v>
      </c>
      <c r="I75" t="s">
        <v>100</v>
      </c>
      <c r="J75">
        <v>168</v>
      </c>
      <c r="K75" t="s">
        <v>76</v>
      </c>
      <c r="L75" t="s">
        <v>1183</v>
      </c>
      <c r="M75" s="28"/>
    </row>
    <row r="76" spans="1:13" x14ac:dyDescent="0.25">
      <c r="A76">
        <v>3</v>
      </c>
      <c r="B76">
        <v>5</v>
      </c>
      <c r="C76">
        <v>67</v>
      </c>
      <c r="D76" t="s">
        <v>17</v>
      </c>
      <c r="F76" t="s">
        <v>1280</v>
      </c>
      <c r="G76" t="s">
        <v>82</v>
      </c>
      <c r="H76" t="s">
        <v>77</v>
      </c>
      <c r="I76" t="s">
        <v>80</v>
      </c>
      <c r="J76">
        <v>203</v>
      </c>
      <c r="K76" t="s">
        <v>76</v>
      </c>
      <c r="L76" t="s">
        <v>1167</v>
      </c>
      <c r="M76" s="28"/>
    </row>
    <row r="77" spans="1:13" x14ac:dyDescent="0.25">
      <c r="A77">
        <v>3</v>
      </c>
      <c r="B77">
        <v>6</v>
      </c>
      <c r="C77">
        <v>68</v>
      </c>
      <c r="D77" t="s">
        <v>34</v>
      </c>
      <c r="F77" t="s">
        <v>1281</v>
      </c>
      <c r="G77" t="s">
        <v>73</v>
      </c>
      <c r="H77" t="s">
        <v>77</v>
      </c>
      <c r="I77" t="s">
        <v>102</v>
      </c>
      <c r="J77">
        <v>150</v>
      </c>
      <c r="K77" t="s">
        <v>96</v>
      </c>
      <c r="L77" t="s">
        <v>1282</v>
      </c>
      <c r="M77" s="28"/>
    </row>
    <row r="78" spans="1:13" x14ac:dyDescent="0.25">
      <c r="A78">
        <v>3</v>
      </c>
      <c r="B78">
        <v>7</v>
      </c>
      <c r="C78">
        <v>69</v>
      </c>
      <c r="D78" t="s">
        <v>13</v>
      </c>
      <c r="F78" t="s">
        <v>1283</v>
      </c>
      <c r="G78" t="s">
        <v>73</v>
      </c>
      <c r="H78" t="s">
        <v>77</v>
      </c>
      <c r="I78" t="s">
        <v>102</v>
      </c>
      <c r="J78">
        <v>195</v>
      </c>
      <c r="K78" t="s">
        <v>155</v>
      </c>
      <c r="L78" t="s">
        <v>99</v>
      </c>
      <c r="M78" s="28"/>
    </row>
    <row r="79" spans="1:13" x14ac:dyDescent="0.25">
      <c r="A79">
        <v>3</v>
      </c>
      <c r="B79">
        <v>8</v>
      </c>
      <c r="C79">
        <v>70</v>
      </c>
      <c r="D79" t="s">
        <v>26</v>
      </c>
      <c r="F79" t="s">
        <v>1284</v>
      </c>
      <c r="G79" t="s">
        <v>82</v>
      </c>
      <c r="H79" t="s">
        <v>77</v>
      </c>
      <c r="I79" t="s">
        <v>75</v>
      </c>
      <c r="J79">
        <v>176</v>
      </c>
      <c r="K79" t="s">
        <v>106</v>
      </c>
      <c r="L79" t="s">
        <v>1285</v>
      </c>
      <c r="M79" s="28"/>
    </row>
    <row r="80" spans="1:13" x14ac:dyDescent="0.25">
      <c r="A80">
        <v>3</v>
      </c>
      <c r="B80">
        <v>9</v>
      </c>
      <c r="C80">
        <v>71</v>
      </c>
      <c r="D80" t="s">
        <v>22</v>
      </c>
      <c r="E80" t="s">
        <v>1286</v>
      </c>
      <c r="F80" t="s">
        <v>1287</v>
      </c>
      <c r="G80" t="s">
        <v>82</v>
      </c>
      <c r="H80" t="s">
        <v>77</v>
      </c>
      <c r="I80" t="s">
        <v>102</v>
      </c>
      <c r="J80">
        <v>179</v>
      </c>
      <c r="K80" t="s">
        <v>184</v>
      </c>
      <c r="L80" t="s">
        <v>1288</v>
      </c>
      <c r="M80" s="28"/>
    </row>
    <row r="81" spans="1:13" x14ac:dyDescent="0.25">
      <c r="A81">
        <v>3</v>
      </c>
      <c r="B81">
        <v>10</v>
      </c>
      <c r="C81">
        <v>72</v>
      </c>
      <c r="D81" t="s">
        <v>25</v>
      </c>
      <c r="F81" t="s">
        <v>907</v>
      </c>
      <c r="G81" t="s">
        <v>127</v>
      </c>
      <c r="H81" t="s">
        <v>83</v>
      </c>
      <c r="I81" t="s">
        <v>80</v>
      </c>
      <c r="J81">
        <v>192</v>
      </c>
      <c r="K81" t="s">
        <v>128</v>
      </c>
      <c r="L81" t="s">
        <v>1289</v>
      </c>
      <c r="M81" s="28"/>
    </row>
    <row r="82" spans="1:13" x14ac:dyDescent="0.25">
      <c r="A82">
        <v>3</v>
      </c>
      <c r="B82">
        <v>11</v>
      </c>
      <c r="C82">
        <v>73</v>
      </c>
      <c r="D82" t="s">
        <v>63</v>
      </c>
      <c r="E82" t="s">
        <v>1290</v>
      </c>
      <c r="F82" t="s">
        <v>1291</v>
      </c>
      <c r="G82" t="s">
        <v>82</v>
      </c>
      <c r="H82" t="s">
        <v>77</v>
      </c>
      <c r="I82" t="s">
        <v>75</v>
      </c>
      <c r="J82">
        <v>200</v>
      </c>
      <c r="K82" t="s">
        <v>155</v>
      </c>
      <c r="L82" t="s">
        <v>99</v>
      </c>
      <c r="M82" s="28"/>
    </row>
    <row r="83" spans="1:13" x14ac:dyDescent="0.25">
      <c r="A83">
        <v>3</v>
      </c>
      <c r="B83">
        <v>12</v>
      </c>
      <c r="C83">
        <v>74</v>
      </c>
      <c r="D83" t="s">
        <v>13</v>
      </c>
      <c r="E83" t="s">
        <v>1292</v>
      </c>
      <c r="F83" t="s">
        <v>1293</v>
      </c>
      <c r="G83" t="s">
        <v>88</v>
      </c>
      <c r="H83" t="s">
        <v>91</v>
      </c>
      <c r="I83" t="s">
        <v>100</v>
      </c>
      <c r="J83">
        <v>169</v>
      </c>
      <c r="K83" t="s">
        <v>124</v>
      </c>
      <c r="L83" t="s">
        <v>1294</v>
      </c>
      <c r="M83" s="28"/>
    </row>
    <row r="84" spans="1:13" x14ac:dyDescent="0.25">
      <c r="A84">
        <v>3</v>
      </c>
      <c r="B84">
        <v>13</v>
      </c>
      <c r="C84">
        <v>75</v>
      </c>
      <c r="D84" t="s">
        <v>16</v>
      </c>
      <c r="F84" t="s">
        <v>1295</v>
      </c>
      <c r="G84" t="s">
        <v>73</v>
      </c>
      <c r="H84" t="s">
        <v>97</v>
      </c>
      <c r="I84" t="s">
        <v>80</v>
      </c>
      <c r="J84">
        <v>204</v>
      </c>
      <c r="K84" t="s">
        <v>101</v>
      </c>
      <c r="L84" t="s">
        <v>1296</v>
      </c>
      <c r="M84" s="28"/>
    </row>
    <row r="85" spans="1:13" x14ac:dyDescent="0.25">
      <c r="A85">
        <v>3</v>
      </c>
      <c r="B85">
        <v>14</v>
      </c>
      <c r="C85">
        <v>76</v>
      </c>
      <c r="D85" t="s">
        <v>33</v>
      </c>
      <c r="E85" t="s">
        <v>1297</v>
      </c>
      <c r="F85" t="s">
        <v>1298</v>
      </c>
      <c r="G85" t="s">
        <v>73</v>
      </c>
      <c r="H85" t="s">
        <v>84</v>
      </c>
      <c r="I85" t="s">
        <v>100</v>
      </c>
      <c r="J85">
        <v>159</v>
      </c>
      <c r="K85" t="s">
        <v>76</v>
      </c>
      <c r="L85" t="s">
        <v>1299</v>
      </c>
      <c r="M85" s="28"/>
    </row>
    <row r="86" spans="1:13" x14ac:dyDescent="0.25">
      <c r="A86">
        <v>3</v>
      </c>
      <c r="B86">
        <v>15</v>
      </c>
      <c r="C86">
        <v>77</v>
      </c>
      <c r="D86" t="s">
        <v>9</v>
      </c>
      <c r="E86" t="s">
        <v>1300</v>
      </c>
      <c r="F86" t="s">
        <v>1301</v>
      </c>
      <c r="G86" t="s">
        <v>73</v>
      </c>
      <c r="H86" t="s">
        <v>83</v>
      </c>
      <c r="I86" t="s">
        <v>75</v>
      </c>
      <c r="J86">
        <v>179</v>
      </c>
      <c r="K86" t="s">
        <v>128</v>
      </c>
      <c r="L86" t="s">
        <v>1302</v>
      </c>
      <c r="M86" s="28"/>
    </row>
    <row r="87" spans="1:13" x14ac:dyDescent="0.25">
      <c r="A87">
        <v>3</v>
      </c>
      <c r="B87">
        <v>16</v>
      </c>
      <c r="C87">
        <v>78</v>
      </c>
      <c r="D87" t="s">
        <v>15</v>
      </c>
      <c r="F87" t="s">
        <v>1303</v>
      </c>
      <c r="G87" t="s">
        <v>93</v>
      </c>
      <c r="H87" t="s">
        <v>91</v>
      </c>
      <c r="I87" t="s">
        <v>89</v>
      </c>
      <c r="J87">
        <v>199</v>
      </c>
      <c r="K87" t="s">
        <v>96</v>
      </c>
      <c r="L87" t="s">
        <v>1304</v>
      </c>
      <c r="M87" s="28"/>
    </row>
    <row r="88" spans="1:13" x14ac:dyDescent="0.25">
      <c r="A88">
        <v>3</v>
      </c>
      <c r="B88">
        <v>17</v>
      </c>
      <c r="C88">
        <v>79</v>
      </c>
      <c r="D88" t="s">
        <v>6</v>
      </c>
      <c r="E88" t="s">
        <v>1305</v>
      </c>
      <c r="F88" t="s">
        <v>1306</v>
      </c>
      <c r="G88" t="s">
        <v>93</v>
      </c>
      <c r="H88" t="s">
        <v>77</v>
      </c>
      <c r="I88" t="s">
        <v>75</v>
      </c>
      <c r="J88">
        <v>157</v>
      </c>
      <c r="K88" t="s">
        <v>96</v>
      </c>
      <c r="L88" t="s">
        <v>1307</v>
      </c>
      <c r="M88" s="28"/>
    </row>
    <row r="89" spans="1:13" x14ac:dyDescent="0.25">
      <c r="A89">
        <v>3</v>
      </c>
      <c r="B89">
        <v>18</v>
      </c>
      <c r="C89">
        <v>80</v>
      </c>
      <c r="D89" t="s">
        <v>86</v>
      </c>
      <c r="F89" t="s">
        <v>1308</v>
      </c>
      <c r="G89" t="s">
        <v>93</v>
      </c>
      <c r="H89" t="s">
        <v>97</v>
      </c>
      <c r="I89" t="s">
        <v>126</v>
      </c>
      <c r="J89">
        <v>165</v>
      </c>
      <c r="K89" t="s">
        <v>101</v>
      </c>
      <c r="L89" t="s">
        <v>1189</v>
      </c>
      <c r="M89" s="28"/>
    </row>
    <row r="90" spans="1:13" x14ac:dyDescent="0.25">
      <c r="A90">
        <v>3</v>
      </c>
      <c r="B90">
        <v>19</v>
      </c>
      <c r="C90">
        <v>81</v>
      </c>
      <c r="D90" t="s">
        <v>17</v>
      </c>
      <c r="E90" t="s">
        <v>1309</v>
      </c>
      <c r="F90" t="s">
        <v>1310</v>
      </c>
      <c r="G90" t="s">
        <v>82</v>
      </c>
      <c r="H90" t="s">
        <v>74</v>
      </c>
      <c r="I90" t="s">
        <v>78</v>
      </c>
      <c r="J90">
        <v>174</v>
      </c>
      <c r="K90" t="s">
        <v>1243</v>
      </c>
      <c r="L90" t="s">
        <v>1311</v>
      </c>
      <c r="M90" s="28"/>
    </row>
    <row r="91" spans="1:13" x14ac:dyDescent="0.25">
      <c r="A91">
        <v>3</v>
      </c>
      <c r="B91">
        <v>20</v>
      </c>
      <c r="C91">
        <v>82</v>
      </c>
      <c r="D91" t="s">
        <v>20</v>
      </c>
      <c r="F91" t="s">
        <v>1312</v>
      </c>
      <c r="G91" t="s">
        <v>93</v>
      </c>
      <c r="H91" t="s">
        <v>84</v>
      </c>
      <c r="I91" t="s">
        <v>89</v>
      </c>
      <c r="J91">
        <v>165</v>
      </c>
      <c r="K91" t="s">
        <v>95</v>
      </c>
      <c r="L91" t="s">
        <v>1313</v>
      </c>
      <c r="M91" s="28"/>
    </row>
    <row r="92" spans="1:13" x14ac:dyDescent="0.25">
      <c r="A92">
        <v>3</v>
      </c>
      <c r="B92">
        <v>21</v>
      </c>
      <c r="C92">
        <v>83</v>
      </c>
      <c r="D92" t="s">
        <v>33</v>
      </c>
      <c r="E92" t="s">
        <v>1251</v>
      </c>
      <c r="F92" t="s">
        <v>1314</v>
      </c>
      <c r="G92" t="s">
        <v>73</v>
      </c>
      <c r="H92" t="s">
        <v>74</v>
      </c>
      <c r="I92" t="s">
        <v>75</v>
      </c>
      <c r="J92">
        <v>172</v>
      </c>
      <c r="K92" t="s">
        <v>85</v>
      </c>
      <c r="L92" t="s">
        <v>1315</v>
      </c>
      <c r="M92" s="28"/>
    </row>
    <row r="93" spans="1:13" x14ac:dyDescent="0.25">
      <c r="A93">
        <v>3</v>
      </c>
      <c r="B93">
        <v>22</v>
      </c>
      <c r="C93">
        <v>84</v>
      </c>
      <c r="D93" t="s">
        <v>17</v>
      </c>
      <c r="E93" t="s">
        <v>1316</v>
      </c>
      <c r="F93" t="s">
        <v>1317</v>
      </c>
      <c r="G93" t="s">
        <v>127</v>
      </c>
      <c r="H93" t="s">
        <v>97</v>
      </c>
      <c r="I93" t="s">
        <v>80</v>
      </c>
      <c r="J93">
        <v>209</v>
      </c>
      <c r="K93" t="s">
        <v>1318</v>
      </c>
      <c r="L93" t="s">
        <v>1319</v>
      </c>
      <c r="M93" s="28"/>
    </row>
    <row r="94" spans="1:13" x14ac:dyDescent="0.25">
      <c r="A94">
        <v>3</v>
      </c>
      <c r="B94">
        <v>23</v>
      </c>
      <c r="C94">
        <v>85</v>
      </c>
      <c r="D94" t="s">
        <v>6</v>
      </c>
      <c r="F94" t="s">
        <v>1320</v>
      </c>
      <c r="G94" t="s">
        <v>127</v>
      </c>
      <c r="H94" t="s">
        <v>83</v>
      </c>
      <c r="I94" t="s">
        <v>89</v>
      </c>
      <c r="J94">
        <v>166</v>
      </c>
      <c r="K94" t="s">
        <v>1277</v>
      </c>
      <c r="L94" t="s">
        <v>1321</v>
      </c>
      <c r="M94" s="28"/>
    </row>
    <row r="95" spans="1:13" x14ac:dyDescent="0.25">
      <c r="A95">
        <v>3</v>
      </c>
      <c r="B95">
        <v>24</v>
      </c>
      <c r="C95">
        <v>86</v>
      </c>
      <c r="D95" t="s">
        <v>21</v>
      </c>
      <c r="F95" t="s">
        <v>1322</v>
      </c>
      <c r="G95" t="s">
        <v>73</v>
      </c>
      <c r="H95" t="s">
        <v>84</v>
      </c>
      <c r="I95" t="s">
        <v>102</v>
      </c>
      <c r="J95">
        <v>198</v>
      </c>
      <c r="K95" t="s">
        <v>90</v>
      </c>
      <c r="L95" t="s">
        <v>1323</v>
      </c>
      <c r="M95" s="28"/>
    </row>
    <row r="96" spans="1:13" x14ac:dyDescent="0.25">
      <c r="A96">
        <v>3</v>
      </c>
      <c r="B96">
        <v>25</v>
      </c>
      <c r="C96">
        <v>87</v>
      </c>
      <c r="D96" t="s">
        <v>30</v>
      </c>
      <c r="E96" t="s">
        <v>1324</v>
      </c>
      <c r="F96" t="s">
        <v>1325</v>
      </c>
      <c r="G96" t="s">
        <v>73</v>
      </c>
      <c r="H96" t="s">
        <v>97</v>
      </c>
      <c r="I96" t="s">
        <v>89</v>
      </c>
      <c r="J96">
        <v>178</v>
      </c>
      <c r="K96" t="s">
        <v>101</v>
      </c>
      <c r="L96" t="s">
        <v>1326</v>
      </c>
      <c r="M96" s="28"/>
    </row>
    <row r="97" spans="1:13" x14ac:dyDescent="0.25">
      <c r="A97">
        <v>3</v>
      </c>
      <c r="B97">
        <v>26</v>
      </c>
      <c r="C97">
        <v>88</v>
      </c>
      <c r="D97" t="s">
        <v>26</v>
      </c>
      <c r="E97" t="s">
        <v>1327</v>
      </c>
      <c r="F97" t="s">
        <v>1328</v>
      </c>
      <c r="G97" t="s">
        <v>82</v>
      </c>
      <c r="H97" t="s">
        <v>77</v>
      </c>
      <c r="I97" t="s">
        <v>75</v>
      </c>
      <c r="J97">
        <v>180</v>
      </c>
      <c r="K97" t="s">
        <v>76</v>
      </c>
      <c r="L97" t="s">
        <v>1157</v>
      </c>
      <c r="M97" s="28"/>
    </row>
    <row r="98" spans="1:13" x14ac:dyDescent="0.25">
      <c r="A98">
        <v>3</v>
      </c>
      <c r="B98">
        <v>27</v>
      </c>
      <c r="C98">
        <v>89</v>
      </c>
      <c r="D98" t="s">
        <v>19</v>
      </c>
      <c r="E98" t="s">
        <v>1329</v>
      </c>
      <c r="F98" t="s">
        <v>1330</v>
      </c>
      <c r="G98" t="s">
        <v>88</v>
      </c>
      <c r="H98" t="s">
        <v>77</v>
      </c>
      <c r="I98" t="s">
        <v>100</v>
      </c>
      <c r="J98">
        <v>172</v>
      </c>
      <c r="K98" t="s">
        <v>79</v>
      </c>
      <c r="L98" t="s">
        <v>1331</v>
      </c>
      <c r="M98" s="28"/>
    </row>
    <row r="99" spans="1:13" x14ac:dyDescent="0.25">
      <c r="A99">
        <v>3</v>
      </c>
      <c r="B99">
        <v>28</v>
      </c>
      <c r="C99">
        <v>90</v>
      </c>
      <c r="D99" t="s">
        <v>32</v>
      </c>
      <c r="F99" t="s">
        <v>1332</v>
      </c>
      <c r="G99" t="s">
        <v>82</v>
      </c>
      <c r="H99" t="s">
        <v>84</v>
      </c>
      <c r="I99" t="s">
        <v>80</v>
      </c>
      <c r="J99">
        <v>201</v>
      </c>
      <c r="K99" t="s">
        <v>95</v>
      </c>
      <c r="L99" t="s">
        <v>1333</v>
      </c>
      <c r="M99" s="28"/>
    </row>
    <row r="100" spans="1:13" x14ac:dyDescent="0.25">
      <c r="A100">
        <v>3</v>
      </c>
      <c r="B100">
        <v>29</v>
      </c>
      <c r="C100">
        <v>91</v>
      </c>
      <c r="D100" t="s">
        <v>35</v>
      </c>
      <c r="F100" t="s">
        <v>1334</v>
      </c>
      <c r="G100" t="s">
        <v>73</v>
      </c>
      <c r="H100" t="s">
        <v>77</v>
      </c>
      <c r="I100" t="s">
        <v>81</v>
      </c>
      <c r="J100">
        <v>177</v>
      </c>
      <c r="K100" t="s">
        <v>96</v>
      </c>
      <c r="L100" t="s">
        <v>1335</v>
      </c>
      <c r="M100" s="28"/>
    </row>
    <row r="101" spans="1:13" x14ac:dyDescent="0.25">
      <c r="A101">
        <v>3</v>
      </c>
      <c r="B101">
        <v>30</v>
      </c>
      <c r="C101">
        <v>92</v>
      </c>
      <c r="D101" t="s">
        <v>21</v>
      </c>
      <c r="E101" t="s">
        <v>1336</v>
      </c>
      <c r="F101" t="s">
        <v>1337</v>
      </c>
      <c r="G101" t="s">
        <v>73</v>
      </c>
      <c r="H101" t="s">
        <v>74</v>
      </c>
      <c r="I101" t="s">
        <v>102</v>
      </c>
      <c r="J101">
        <v>177</v>
      </c>
      <c r="K101" t="s">
        <v>85</v>
      </c>
      <c r="L101" t="s">
        <v>1338</v>
      </c>
      <c r="M101" s="28"/>
    </row>
    <row r="102" spans="1:13" x14ac:dyDescent="0.25">
      <c r="A102">
        <v>3</v>
      </c>
      <c r="B102">
        <v>31</v>
      </c>
      <c r="C102">
        <v>93</v>
      </c>
      <c r="D102" t="s">
        <v>1204</v>
      </c>
      <c r="F102" t="s">
        <v>1339</v>
      </c>
      <c r="G102" t="s">
        <v>88</v>
      </c>
      <c r="H102" t="s">
        <v>74</v>
      </c>
      <c r="I102" t="s">
        <v>80</v>
      </c>
      <c r="J102">
        <v>203</v>
      </c>
      <c r="K102" t="s">
        <v>85</v>
      </c>
      <c r="L102" t="s">
        <v>1338</v>
      </c>
      <c r="M102" s="28"/>
    </row>
  </sheetData>
  <mergeCells count="4">
    <mergeCell ref="A1:M1"/>
    <mergeCell ref="A2:M2"/>
    <mergeCell ref="A36:M36"/>
    <mergeCell ref="A70:M70"/>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19"/>
  <sheetViews>
    <sheetView workbookViewId="0">
      <selection activeCell="B12" sqref="B12"/>
    </sheetView>
  </sheetViews>
  <sheetFormatPr baseColWidth="10" defaultRowHeight="15" x14ac:dyDescent="0.25"/>
  <cols>
    <col min="1" max="1" width="81.28515625" bestFit="1" customWidth="1"/>
    <col min="2" max="2" width="21.7109375" style="35" bestFit="1" customWidth="1"/>
  </cols>
  <sheetData>
    <row r="1" spans="1:5" x14ac:dyDescent="0.25">
      <c r="A1" s="6" t="s">
        <v>0</v>
      </c>
      <c r="B1" s="9">
        <v>2019</v>
      </c>
    </row>
    <row r="2" spans="1:5" x14ac:dyDescent="0.25">
      <c r="A2" s="45" t="s">
        <v>2</v>
      </c>
      <c r="B2" s="10">
        <v>5</v>
      </c>
    </row>
    <row r="5" spans="1:5" ht="18.75" x14ac:dyDescent="0.3">
      <c r="A5" s="12" t="s">
        <v>2672</v>
      </c>
      <c r="B5" s="13">
        <v>102000000</v>
      </c>
    </row>
    <row r="6" spans="1:5" ht="18.75" x14ac:dyDescent="0.3">
      <c r="A6" s="280" t="s">
        <v>2673</v>
      </c>
      <c r="B6" s="13">
        <v>102000000</v>
      </c>
    </row>
    <row r="8" spans="1:5" ht="18.75" x14ac:dyDescent="0.3">
      <c r="A8" s="21" t="s">
        <v>54</v>
      </c>
      <c r="B8" s="22">
        <v>7</v>
      </c>
    </row>
    <row r="11" spans="1:5" x14ac:dyDescent="0.25">
      <c r="A11" s="36" t="s">
        <v>56</v>
      </c>
    </row>
    <row r="12" spans="1:5" x14ac:dyDescent="0.25">
      <c r="A12" s="287" t="s">
        <v>197</v>
      </c>
      <c r="B12" s="285">
        <v>81.5</v>
      </c>
    </row>
    <row r="13" spans="1:5" x14ac:dyDescent="0.25">
      <c r="A13" s="288" t="s">
        <v>198</v>
      </c>
      <c r="B13" s="286">
        <f>ROUNDUP(B12*B19,0)</f>
        <v>102</v>
      </c>
      <c r="C13" s="27"/>
    </row>
    <row r="14" spans="1:5" ht="15.75" thickBot="1" x14ac:dyDescent="0.3">
      <c r="B14" s="282"/>
      <c r="C14" s="27"/>
    </row>
    <row r="15" spans="1:5" ht="24" thickBot="1" x14ac:dyDescent="0.4">
      <c r="A15" s="289" t="s">
        <v>58</v>
      </c>
      <c r="B15" s="485">
        <v>81.5</v>
      </c>
      <c r="E15" s="281" t="s">
        <v>196</v>
      </c>
    </row>
    <row r="16" spans="1:5" x14ac:dyDescent="0.25">
      <c r="A16" s="288" t="s">
        <v>57</v>
      </c>
      <c r="B16" s="286">
        <f>ROUNDUP(B15*$B$19,0)</f>
        <v>102</v>
      </c>
    </row>
    <row r="18" spans="1:2" x14ac:dyDescent="0.25">
      <c r="B18" s="283"/>
    </row>
    <row r="19" spans="1:2" x14ac:dyDescent="0.25">
      <c r="A19" t="s">
        <v>199</v>
      </c>
      <c r="B19" s="284">
        <v>1.24</v>
      </c>
    </row>
  </sheetData>
  <phoneticPr fontId="0"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AE1479"/>
  <sheetViews>
    <sheetView tabSelected="1" topLeftCell="O1" zoomScaleNormal="100" workbookViewId="0">
      <pane ySplit="2" topLeftCell="A3" activePane="bottomLeft" state="frozen"/>
      <selection pane="bottomLeft" activeCell="AC4" sqref="AC4"/>
    </sheetView>
  </sheetViews>
  <sheetFormatPr baseColWidth="10" defaultRowHeight="15" x14ac:dyDescent="0.25"/>
  <cols>
    <col min="1" max="2" width="22.140625" customWidth="1"/>
    <col min="3" max="4" width="11.5703125" customWidth="1"/>
    <col min="5" max="5" width="24.28515625" style="5" customWidth="1"/>
    <col min="6" max="6" width="11.7109375" style="5" bestFit="1" customWidth="1"/>
    <col min="7" max="7" width="9.85546875" style="35" customWidth="1"/>
    <col min="8" max="8" width="12" style="5" bestFit="1" customWidth="1"/>
    <col min="9" max="9" width="10.28515625" style="35" bestFit="1" customWidth="1"/>
    <col min="10" max="10" width="8.42578125" style="35" bestFit="1" customWidth="1"/>
    <col min="11" max="11" width="17" bestFit="1" customWidth="1"/>
    <col min="12" max="13" width="19.28515625" style="295" bestFit="1" customWidth="1"/>
    <col min="14" max="18" width="15.42578125" style="296" bestFit="1" customWidth="1"/>
    <col min="19" max="20" width="15.28515625" style="362" customWidth="1"/>
    <col min="21" max="21" width="28" style="35" customWidth="1"/>
    <col min="23" max="23" width="18.7109375" customWidth="1"/>
    <col min="24" max="24" width="17.28515625" style="35" customWidth="1"/>
    <col min="25" max="25" width="17.5703125" customWidth="1"/>
  </cols>
  <sheetData>
    <row r="1" spans="1:31" ht="13.5" customHeight="1" x14ac:dyDescent="0.25">
      <c r="E1" s="1"/>
      <c r="F1" s="2"/>
      <c r="G1" s="2"/>
      <c r="H1" s="2"/>
      <c r="I1" s="2"/>
      <c r="J1" s="2"/>
      <c r="K1" s="365"/>
      <c r="L1" s="493" t="s">
        <v>3</v>
      </c>
      <c r="M1" s="494"/>
      <c r="N1" s="495" t="s">
        <v>4</v>
      </c>
      <c r="O1" s="496"/>
      <c r="P1" s="496"/>
      <c r="Q1" s="496"/>
      <c r="R1" s="496"/>
      <c r="S1" s="496"/>
      <c r="T1" s="496"/>
    </row>
    <row r="2" spans="1:31" ht="15.75" thickBot="1" x14ac:dyDescent="0.3">
      <c r="B2" t="s">
        <v>53</v>
      </c>
      <c r="E2" s="3" t="s">
        <v>53</v>
      </c>
      <c r="F2" s="4" t="s">
        <v>52</v>
      </c>
      <c r="G2" s="4" t="s">
        <v>994</v>
      </c>
      <c r="H2" s="4" t="s">
        <v>5</v>
      </c>
      <c r="I2" s="4" t="s">
        <v>195</v>
      </c>
      <c r="J2" s="4" t="s">
        <v>995</v>
      </c>
      <c r="K2" s="18" t="s">
        <v>189</v>
      </c>
      <c r="L2" s="293" t="s">
        <v>1005</v>
      </c>
      <c r="M2" s="294" t="s">
        <v>2670</v>
      </c>
      <c r="N2" t="s">
        <v>363</v>
      </c>
      <c r="O2" t="s">
        <v>364</v>
      </c>
      <c r="P2" t="s">
        <v>365</v>
      </c>
      <c r="Q2" t="s">
        <v>366</v>
      </c>
      <c r="R2" t="s">
        <v>367</v>
      </c>
      <c r="S2" t="s">
        <v>368</v>
      </c>
      <c r="T2" t="s">
        <v>2671</v>
      </c>
      <c r="U2" s="18" t="s">
        <v>190</v>
      </c>
      <c r="W2" t="s">
        <v>186</v>
      </c>
      <c r="X2" s="35" t="s">
        <v>1004</v>
      </c>
      <c r="Y2" t="s">
        <v>1342</v>
      </c>
      <c r="AC2" t="s">
        <v>3015</v>
      </c>
      <c r="AD2" t="s">
        <v>3016</v>
      </c>
      <c r="AE2" t="s">
        <v>3017</v>
      </c>
    </row>
    <row r="3" spans="1:31" ht="15.75" x14ac:dyDescent="0.25">
      <c r="A3" t="str">
        <f>C3&amp;" "&amp;D3&amp;" - "&amp;F3&amp;" - "&amp;H3</f>
        <v>Ryan Getzlaf - ANA - C</v>
      </c>
      <c r="B3" t="str">
        <f>A3</f>
        <v>Ryan Getzlaf - ANA - C</v>
      </c>
      <c r="C3" t="str">
        <f t="shared" ref="C3:C66" si="0">RIGHT(E3,(LEN(E3)-1)-SEARCH(",",E3,1))</f>
        <v>Ryan</v>
      </c>
      <c r="D3" t="str">
        <f t="shared" ref="D3:D66" si="1">LEFT(E3,SEARCH(",",E3,1)-1)</f>
        <v>Getzlaf</v>
      </c>
      <c r="E3" s="39" t="s">
        <v>2963</v>
      </c>
      <c r="F3" s="30" t="s">
        <v>6</v>
      </c>
      <c r="G3" s="35" t="s">
        <v>420</v>
      </c>
      <c r="H3" s="35" t="s">
        <v>73</v>
      </c>
      <c r="I3" s="35" t="s">
        <v>2439</v>
      </c>
      <c r="J3" s="35">
        <v>34</v>
      </c>
      <c r="K3" s="35">
        <f>VALUE(COUNTIF(Validation!$A$2:$H$47,E3))</f>
        <v>0</v>
      </c>
      <c r="L3" s="361">
        <f t="shared" ref="L3:L66" si="2">IF(OR(N3="RFA",N3="UFA",N3="",N3=0),0,N3)</f>
        <v>8250000</v>
      </c>
      <c r="M3" s="361">
        <f t="shared" ref="M3:M66" si="3">IF(OR(O3="RFA",O3="UFA",O3="",O3=0),0,O3)</f>
        <v>8250000</v>
      </c>
      <c r="N3" s="358">
        <v>8250000</v>
      </c>
      <c r="O3" s="358">
        <v>8250000</v>
      </c>
      <c r="P3" s="358" t="s">
        <v>7</v>
      </c>
      <c r="Q3" s="358">
        <v>0</v>
      </c>
      <c r="R3" s="358">
        <v>0</v>
      </c>
      <c r="S3" s="358">
        <v>0</v>
      </c>
      <c r="T3" s="358">
        <v>0</v>
      </c>
      <c r="U3" s="35">
        <f t="shared" ref="U3:U66" si="4">COUNTIF(N3:T3,"&gt;0")</f>
        <v>2</v>
      </c>
      <c r="W3">
        <f t="shared" ref="W3:W66" si="5">COUNTIF($E$3:$E$1479,E3)</f>
        <v>1</v>
      </c>
      <c r="X3" s="35">
        <f t="shared" ref="X3:X66" si="6">IF(LEFT(G3,3)="ELC",1,0)</f>
        <v>0</v>
      </c>
      <c r="Y3">
        <f t="shared" ref="Y3:Y66" si="7">IF(L3=M3,1,0)</f>
        <v>1</v>
      </c>
      <c r="AA3" t="s">
        <v>3022</v>
      </c>
      <c r="AB3" t="str">
        <f ca="1">CELL("adresse")</f>
        <v>$AC$4</v>
      </c>
      <c r="AC3">
        <f ca="1">IFERROR(SEARCH(INDIRECT(CELL("adresse")),B3),0)</f>
        <v>0</v>
      </c>
      <c r="AD3" t="str">
        <f ca="1">IF(AC3=1,COUNTIF($AC$3:AC3,1),"")</f>
        <v/>
      </c>
      <c r="AE3" s="155" t="str">
        <f ca="1">IFERROR(INDEX(Données!$B$3:$B$1479,MATCH(ROWS($AD$3:AD3),$AD$3:$AD$1479,0)),"")</f>
        <v/>
      </c>
    </row>
    <row r="4" spans="1:31" ht="15.75" x14ac:dyDescent="0.25">
      <c r="A4" t="str">
        <f t="shared" ref="A4:A67" si="8">C4&amp;" "&amp;D4&amp;" - "&amp;F4&amp;" - "&amp;H4</f>
        <v>Ryan Kesler - ANA - C, AD</v>
      </c>
      <c r="B4" t="str">
        <f t="shared" ref="B4:B67" si="9">A4</f>
        <v>Ryan Kesler - ANA - C, AD</v>
      </c>
      <c r="C4" t="str">
        <f t="shared" si="0"/>
        <v>Ryan</v>
      </c>
      <c r="D4" t="str">
        <f t="shared" si="1"/>
        <v>Kesler</v>
      </c>
      <c r="E4" s="39" t="s">
        <v>2977</v>
      </c>
      <c r="F4" s="35" t="s">
        <v>6</v>
      </c>
      <c r="G4" s="35" t="s">
        <v>420</v>
      </c>
      <c r="H4" s="35" t="s">
        <v>2448</v>
      </c>
      <c r="I4" s="35" t="s">
        <v>2439</v>
      </c>
      <c r="J4" s="35">
        <v>34</v>
      </c>
      <c r="K4" s="35">
        <f>VALUE(COUNTIF(Validation!$A$2:$H$47,E4))</f>
        <v>0</v>
      </c>
      <c r="L4" s="361">
        <f t="shared" si="2"/>
        <v>6875000</v>
      </c>
      <c r="M4" s="361">
        <f t="shared" si="3"/>
        <v>6875000</v>
      </c>
      <c r="N4" s="358">
        <v>6875000</v>
      </c>
      <c r="O4" s="358">
        <v>6875000</v>
      </c>
      <c r="P4" s="358">
        <v>6875000</v>
      </c>
      <c r="Q4" s="358" t="s">
        <v>7</v>
      </c>
      <c r="R4" s="358">
        <v>0</v>
      </c>
      <c r="S4" s="358">
        <v>0</v>
      </c>
      <c r="T4" s="358">
        <v>0</v>
      </c>
      <c r="U4" s="35">
        <f t="shared" si="4"/>
        <v>3</v>
      </c>
      <c r="W4">
        <f t="shared" si="5"/>
        <v>1</v>
      </c>
      <c r="X4" s="35">
        <f t="shared" si="6"/>
        <v>0</v>
      </c>
      <c r="Y4">
        <f t="shared" si="7"/>
        <v>1</v>
      </c>
      <c r="AB4">
        <f t="shared" ref="AB4:AB67" si="10">SEARCH(AA4,A4)</f>
        <v>1</v>
      </c>
      <c r="AC4">
        <f ca="1">IFERROR(SEARCH(INDIRECT(CELL("adresse")),B4,1),0)</f>
        <v>0</v>
      </c>
      <c r="AD4" t="str">
        <f ca="1">IF(AC4=1,COUNTIF($AC$3:AC4,1),"")</f>
        <v/>
      </c>
      <c r="AE4" s="155" t="str">
        <f ca="1">IFERROR(INDEX(Données!$B$3:$B$1479,MATCH(ROWS($AD$3:AD4),$AD$3:$AD$1479,0)),"")</f>
        <v/>
      </c>
    </row>
    <row r="5" spans="1:31" ht="15.75" x14ac:dyDescent="0.25">
      <c r="A5" t="str">
        <f t="shared" si="8"/>
        <v>Cam Fowler - ANA - DG</v>
      </c>
      <c r="B5" t="str">
        <f t="shared" si="9"/>
        <v>Cam Fowler - ANA - DG</v>
      </c>
      <c r="C5" t="str">
        <f t="shared" si="0"/>
        <v>Cam</v>
      </c>
      <c r="D5" t="str">
        <f t="shared" si="1"/>
        <v>Fowler</v>
      </c>
      <c r="E5" s="39" t="s">
        <v>2122</v>
      </c>
      <c r="F5" s="35" t="s">
        <v>6</v>
      </c>
      <c r="G5" s="35" t="s">
        <v>381</v>
      </c>
      <c r="H5" s="35" t="s">
        <v>2445</v>
      </c>
      <c r="I5" s="35" t="s">
        <v>2439</v>
      </c>
      <c r="J5" s="35">
        <v>27</v>
      </c>
      <c r="K5" s="35">
        <f>VALUE(COUNTIF(Validation!$A$2:$H$47,E5))</f>
        <v>0</v>
      </c>
      <c r="L5" s="361">
        <f t="shared" si="2"/>
        <v>6500000</v>
      </c>
      <c r="M5" s="361">
        <f t="shared" si="3"/>
        <v>6500000</v>
      </c>
      <c r="N5" s="358">
        <v>6500000</v>
      </c>
      <c r="O5" s="358">
        <v>6500000</v>
      </c>
      <c r="P5" s="358">
        <v>6500000</v>
      </c>
      <c r="Q5" s="358">
        <v>6500000</v>
      </c>
      <c r="R5" s="358">
        <v>6500000</v>
      </c>
      <c r="S5" s="358">
        <v>6500000</v>
      </c>
      <c r="T5" s="358">
        <v>6500000</v>
      </c>
      <c r="U5" s="35">
        <f t="shared" si="4"/>
        <v>7</v>
      </c>
      <c r="W5">
        <f t="shared" si="5"/>
        <v>1</v>
      </c>
      <c r="X5" s="35">
        <f t="shared" si="6"/>
        <v>0</v>
      </c>
      <c r="Y5">
        <f t="shared" si="7"/>
        <v>1</v>
      </c>
      <c r="AB5">
        <f t="shared" si="10"/>
        <v>1</v>
      </c>
      <c r="AC5">
        <f t="shared" ref="AC5:AC68" ca="1" si="11">IFERROR(SEARCH(INDIRECT(CELL("adresse")),B5,1),0)</f>
        <v>0</v>
      </c>
      <c r="AD5" t="str">
        <f ca="1">IF(AC5=1,COUNTIF($AC$3:AC5,1),"")</f>
        <v/>
      </c>
      <c r="AE5" s="155" t="str">
        <f ca="1">IFERROR(INDEX(Données!$B$3:$B$1479,MATCH(ROWS($AD$3:AD5),$AD$3:$AD$1479,0)),"")</f>
        <v/>
      </c>
    </row>
    <row r="6" spans="1:31" ht="15.75" x14ac:dyDescent="0.25">
      <c r="A6" t="str">
        <f t="shared" si="8"/>
        <v>John Gibson - ANA - G</v>
      </c>
      <c r="B6" t="str">
        <f t="shared" si="9"/>
        <v>John Gibson - ANA - G</v>
      </c>
      <c r="C6" t="str">
        <f t="shared" si="0"/>
        <v>John</v>
      </c>
      <c r="D6" t="str">
        <f t="shared" si="1"/>
        <v>Gibson</v>
      </c>
      <c r="E6" s="39" t="s">
        <v>2128</v>
      </c>
      <c r="F6" s="35" t="s">
        <v>6</v>
      </c>
      <c r="G6" s="35">
        <v>0</v>
      </c>
      <c r="H6" s="35" t="s">
        <v>127</v>
      </c>
      <c r="I6" s="35" t="s">
        <v>2439</v>
      </c>
      <c r="J6" s="35">
        <v>26</v>
      </c>
      <c r="K6" s="35">
        <f>VALUE(COUNTIF(Validation!$A$2:$H$47,E6))</f>
        <v>0</v>
      </c>
      <c r="L6" s="361">
        <f t="shared" si="2"/>
        <v>6400000</v>
      </c>
      <c r="M6" s="361">
        <f t="shared" si="3"/>
        <v>6400000</v>
      </c>
      <c r="N6" s="358">
        <v>6400000</v>
      </c>
      <c r="O6" s="358">
        <v>6400000</v>
      </c>
      <c r="P6" s="358">
        <v>6400000</v>
      </c>
      <c r="Q6" s="358">
        <v>6400000</v>
      </c>
      <c r="R6" s="358">
        <v>6400000</v>
      </c>
      <c r="S6" s="358">
        <v>6400000</v>
      </c>
      <c r="T6" s="358">
        <v>6400000</v>
      </c>
      <c r="U6" s="35">
        <f t="shared" si="4"/>
        <v>7</v>
      </c>
      <c r="W6">
        <f t="shared" si="5"/>
        <v>1</v>
      </c>
      <c r="X6" s="35">
        <f t="shared" si="6"/>
        <v>0</v>
      </c>
      <c r="Y6">
        <f t="shared" si="7"/>
        <v>1</v>
      </c>
      <c r="AB6">
        <f t="shared" si="10"/>
        <v>1</v>
      </c>
      <c r="AC6">
        <f t="shared" ca="1" si="11"/>
        <v>0</v>
      </c>
      <c r="AD6" t="str">
        <f ca="1">IF(AC6=1,COUNTIF($AC$3:AC6,1),"")</f>
        <v/>
      </c>
      <c r="AE6" s="155" t="str">
        <f ca="1">IFERROR(INDEX(Données!$B$3:$B$1479,MATCH(ROWS($AD$3:AD6),$AD$3:$AD$1479,0)),"")</f>
        <v/>
      </c>
    </row>
    <row r="7" spans="1:31" ht="15.75" x14ac:dyDescent="0.25">
      <c r="A7" t="str">
        <f t="shared" si="8"/>
        <v>Adam Henrique - ANA - C</v>
      </c>
      <c r="B7" t="str">
        <f t="shared" si="9"/>
        <v>Adam Henrique - ANA - C</v>
      </c>
      <c r="C7" t="str">
        <f t="shared" si="0"/>
        <v>Adam</v>
      </c>
      <c r="D7" t="str">
        <f t="shared" si="1"/>
        <v>Henrique</v>
      </c>
      <c r="E7" s="39" t="s">
        <v>2114</v>
      </c>
      <c r="F7" s="35" t="s">
        <v>6</v>
      </c>
      <c r="G7" s="35" t="s">
        <v>381</v>
      </c>
      <c r="H7" s="35" t="s">
        <v>73</v>
      </c>
      <c r="I7" s="35" t="s">
        <v>2439</v>
      </c>
      <c r="J7" s="35">
        <v>29</v>
      </c>
      <c r="K7" s="35">
        <f>VALUE(COUNTIF(Validation!$A$2:$H$47,E7))</f>
        <v>0</v>
      </c>
      <c r="L7" s="361">
        <f t="shared" si="2"/>
        <v>5825000</v>
      </c>
      <c r="M7" s="361">
        <f t="shared" si="3"/>
        <v>5825000</v>
      </c>
      <c r="N7" s="358">
        <v>5825000</v>
      </c>
      <c r="O7" s="358">
        <v>5825000</v>
      </c>
      <c r="P7" s="358">
        <v>5825000</v>
      </c>
      <c r="Q7" s="358">
        <v>5825000</v>
      </c>
      <c r="R7" s="358">
        <v>5825000</v>
      </c>
      <c r="S7" s="358" t="s">
        <v>7</v>
      </c>
      <c r="T7" s="358">
        <v>0</v>
      </c>
      <c r="U7" s="35">
        <f t="shared" si="4"/>
        <v>5</v>
      </c>
      <c r="W7">
        <f t="shared" si="5"/>
        <v>1</v>
      </c>
      <c r="X7" s="35">
        <f t="shared" si="6"/>
        <v>0</v>
      </c>
      <c r="Y7">
        <f t="shared" si="7"/>
        <v>1</v>
      </c>
      <c r="AB7">
        <f t="shared" si="10"/>
        <v>1</v>
      </c>
      <c r="AC7">
        <f t="shared" ca="1" si="11"/>
        <v>0</v>
      </c>
      <c r="AD7" t="str">
        <f ca="1">IF(AC7=1,COUNTIF($AC$3:AC7,1),"")</f>
        <v/>
      </c>
      <c r="AE7" s="155" t="str">
        <f ca="1">IFERROR(INDEX(Données!$B$3:$B$1479,MATCH(ROWS($AD$3:AD7),$AD$3:$AD$1479,0)),"")</f>
        <v/>
      </c>
    </row>
    <row r="8" spans="1:31" ht="15.75" x14ac:dyDescent="0.25">
      <c r="A8" t="str">
        <f t="shared" si="8"/>
        <v>Jakob Silfverberg - ANA - AD, AG</v>
      </c>
      <c r="B8" t="str">
        <f t="shared" si="9"/>
        <v>Jakob Silfverberg - ANA - AD, AG</v>
      </c>
      <c r="C8" t="str">
        <f t="shared" si="0"/>
        <v>Jakob</v>
      </c>
      <c r="D8" t="str">
        <f t="shared" si="1"/>
        <v>Silfverberg</v>
      </c>
      <c r="E8" s="39" t="s">
        <v>2116</v>
      </c>
      <c r="F8" s="35" t="s">
        <v>6</v>
      </c>
      <c r="G8" s="35" t="s">
        <v>381</v>
      </c>
      <c r="H8" s="35" t="s">
        <v>2441</v>
      </c>
      <c r="I8" s="35" t="s">
        <v>2439</v>
      </c>
      <c r="J8" s="35">
        <v>28</v>
      </c>
      <c r="K8" s="35">
        <f>VALUE(COUNTIF(Validation!$A$2:$H$47,E8))</f>
        <v>0</v>
      </c>
      <c r="L8" s="361">
        <f t="shared" si="2"/>
        <v>5250000</v>
      </c>
      <c r="M8" s="361">
        <f t="shared" si="3"/>
        <v>5250000</v>
      </c>
      <c r="N8" s="358">
        <v>5250000</v>
      </c>
      <c r="O8" s="358">
        <v>5250000</v>
      </c>
      <c r="P8" s="358">
        <v>5250000</v>
      </c>
      <c r="Q8" s="358">
        <v>5250000</v>
      </c>
      <c r="R8" s="358">
        <v>5250000</v>
      </c>
      <c r="S8" s="358" t="s">
        <v>7</v>
      </c>
      <c r="T8" s="358">
        <v>0</v>
      </c>
      <c r="U8" s="35">
        <f t="shared" si="4"/>
        <v>5</v>
      </c>
      <c r="W8">
        <f t="shared" si="5"/>
        <v>1</v>
      </c>
      <c r="X8" s="35">
        <f t="shared" si="6"/>
        <v>0</v>
      </c>
      <c r="Y8">
        <f t="shared" si="7"/>
        <v>1</v>
      </c>
      <c r="AB8">
        <f t="shared" si="10"/>
        <v>1</v>
      </c>
      <c r="AC8">
        <f t="shared" ca="1" si="11"/>
        <v>0</v>
      </c>
      <c r="AD8" t="str">
        <f ca="1">IF(AC8=1,COUNTIF($AC$3:AC8,1),"")</f>
        <v/>
      </c>
      <c r="AE8" s="155" t="str">
        <f ca="1">IFERROR(INDEX(Données!$B$3:$B$1479,MATCH(ROWS($AD$3:AD8),$AD$3:$AD$1479,0)),"")</f>
        <v/>
      </c>
    </row>
    <row r="9" spans="1:31" ht="15.75" x14ac:dyDescent="0.25">
      <c r="A9" t="str">
        <f t="shared" si="8"/>
        <v>Hampus Lindholm - ANA - DG</v>
      </c>
      <c r="B9" t="str">
        <f t="shared" si="9"/>
        <v>Hampus Lindholm - ANA - DG</v>
      </c>
      <c r="C9" t="str">
        <f t="shared" si="0"/>
        <v>Hampus</v>
      </c>
      <c r="D9" t="str">
        <f t="shared" si="1"/>
        <v>Lindholm</v>
      </c>
      <c r="E9" s="39" t="s">
        <v>2123</v>
      </c>
      <c r="F9" s="35" t="s">
        <v>6</v>
      </c>
      <c r="G9" s="35">
        <v>0</v>
      </c>
      <c r="H9" s="35" t="s">
        <v>2445</v>
      </c>
      <c r="I9" s="35" t="s">
        <v>2439</v>
      </c>
      <c r="J9" s="35">
        <v>25</v>
      </c>
      <c r="K9" s="35">
        <f>VALUE(COUNTIF(Validation!$A$2:$H$47,E9))</f>
        <v>0</v>
      </c>
      <c r="L9" s="361">
        <f t="shared" si="2"/>
        <v>5205556</v>
      </c>
      <c r="M9" s="361">
        <f t="shared" si="3"/>
        <v>5205556</v>
      </c>
      <c r="N9" s="358">
        <v>5205556</v>
      </c>
      <c r="O9" s="358">
        <v>5205556</v>
      </c>
      <c r="P9" s="358">
        <v>5205556</v>
      </c>
      <c r="Q9" s="358" t="s">
        <v>7</v>
      </c>
      <c r="R9" s="358">
        <v>0</v>
      </c>
      <c r="S9" s="358">
        <v>0</v>
      </c>
      <c r="T9" s="358">
        <v>0</v>
      </c>
      <c r="U9" s="35">
        <f t="shared" si="4"/>
        <v>3</v>
      </c>
      <c r="W9">
        <f t="shared" si="5"/>
        <v>1</v>
      </c>
      <c r="X9" s="35">
        <f t="shared" si="6"/>
        <v>0</v>
      </c>
      <c r="Y9">
        <f t="shared" si="7"/>
        <v>1</v>
      </c>
      <c r="AB9">
        <f t="shared" si="10"/>
        <v>1</v>
      </c>
      <c r="AC9">
        <f t="shared" ca="1" si="11"/>
        <v>0</v>
      </c>
      <c r="AD9" t="str">
        <f ca="1">IF(AC9=1,COUNTIF($AC$3:AC9,1),"")</f>
        <v/>
      </c>
      <c r="AE9" s="155" t="str">
        <f ca="1">IFERROR(INDEX(Données!$B$3:$B$1479,MATCH(ROWS($AD$3:AD9),$AD$3:$AD$1479,0)),"")</f>
        <v/>
      </c>
    </row>
    <row r="10" spans="1:31" ht="15.75" x14ac:dyDescent="0.25">
      <c r="A10" t="str">
        <f t="shared" si="8"/>
        <v>Josh Manson - ANA - DD</v>
      </c>
      <c r="B10" t="str">
        <f t="shared" si="9"/>
        <v>Josh Manson - ANA - DD</v>
      </c>
      <c r="C10" t="str">
        <f t="shared" si="0"/>
        <v>Josh</v>
      </c>
      <c r="D10" t="str">
        <f t="shared" si="1"/>
        <v>Manson</v>
      </c>
      <c r="E10" s="39" t="s">
        <v>2124</v>
      </c>
      <c r="F10" s="35" t="s">
        <v>6</v>
      </c>
      <c r="G10" s="35" t="s">
        <v>381</v>
      </c>
      <c r="H10" s="35" t="s">
        <v>2444</v>
      </c>
      <c r="I10" s="35" t="s">
        <v>2439</v>
      </c>
      <c r="J10" s="35">
        <v>27</v>
      </c>
      <c r="K10" s="35">
        <f>VALUE(COUNTIF(Validation!$A$2:$H$47,E10))</f>
        <v>0</v>
      </c>
      <c r="L10" s="361">
        <f t="shared" si="2"/>
        <v>4100000</v>
      </c>
      <c r="M10" s="361">
        <f t="shared" si="3"/>
        <v>4100000</v>
      </c>
      <c r="N10" s="358">
        <v>4100000</v>
      </c>
      <c r="O10" s="358">
        <v>4100000</v>
      </c>
      <c r="P10" s="358">
        <v>4100000</v>
      </c>
      <c r="Q10" s="358" t="s">
        <v>7</v>
      </c>
      <c r="R10" s="358">
        <v>0</v>
      </c>
      <c r="S10" s="358">
        <v>0</v>
      </c>
      <c r="T10" s="358">
        <v>0</v>
      </c>
      <c r="U10" s="35">
        <f t="shared" si="4"/>
        <v>3</v>
      </c>
      <c r="W10">
        <f t="shared" si="5"/>
        <v>1</v>
      </c>
      <c r="X10" s="35">
        <f t="shared" si="6"/>
        <v>0</v>
      </c>
      <c r="Y10">
        <f t="shared" si="7"/>
        <v>1</v>
      </c>
      <c r="AB10">
        <f t="shared" si="10"/>
        <v>1</v>
      </c>
      <c r="AC10">
        <f t="shared" ca="1" si="11"/>
        <v>0</v>
      </c>
      <c r="AD10" t="str">
        <f ca="1">IF(AC10=1,COUNTIF($AC$3:AC10,1),"")</f>
        <v/>
      </c>
      <c r="AE10" s="155" t="str">
        <f ca="1">IFERROR(INDEX(Données!$B$3:$B$1479,MATCH(ROWS($AD$3:AD10),$AD$3:$AD$1479,0)),"")</f>
        <v/>
      </c>
    </row>
    <row r="11" spans="1:31" ht="15.75" x14ac:dyDescent="0.25">
      <c r="A11" t="str">
        <f t="shared" si="8"/>
        <v>Rickard Rakell - ANA - C, AD, AG</v>
      </c>
      <c r="B11" t="str">
        <f t="shared" si="9"/>
        <v>Rickard Rakell - ANA - C, AD, AG</v>
      </c>
      <c r="C11" t="str">
        <f t="shared" si="0"/>
        <v>Rickard</v>
      </c>
      <c r="D11" t="str">
        <f t="shared" si="1"/>
        <v>Rakell</v>
      </c>
      <c r="E11" s="39" t="s">
        <v>2115</v>
      </c>
      <c r="F11" s="35" t="s">
        <v>6</v>
      </c>
      <c r="G11" s="35">
        <v>0</v>
      </c>
      <c r="H11" s="35" t="s">
        <v>2521</v>
      </c>
      <c r="I11" s="35" t="s">
        <v>2439</v>
      </c>
      <c r="J11" s="35">
        <v>26</v>
      </c>
      <c r="K11" s="35">
        <f>VALUE(COUNTIF(Validation!$A$2:$H$47,E11))</f>
        <v>0</v>
      </c>
      <c r="L11" s="361">
        <f t="shared" si="2"/>
        <v>3789444</v>
      </c>
      <c r="M11" s="361">
        <f t="shared" si="3"/>
        <v>3789444</v>
      </c>
      <c r="N11" s="358">
        <v>3789444</v>
      </c>
      <c r="O11" s="358">
        <v>3789444</v>
      </c>
      <c r="P11" s="358">
        <v>3789444</v>
      </c>
      <c r="Q11" s="358" t="s">
        <v>7</v>
      </c>
      <c r="R11" s="358">
        <v>0</v>
      </c>
      <c r="S11" s="358">
        <v>0</v>
      </c>
      <c r="T11" s="358">
        <v>0</v>
      </c>
      <c r="U11" s="35">
        <f t="shared" si="4"/>
        <v>3</v>
      </c>
      <c r="W11">
        <f t="shared" si="5"/>
        <v>1</v>
      </c>
      <c r="X11" s="35">
        <f t="shared" si="6"/>
        <v>0</v>
      </c>
      <c r="Y11">
        <f t="shared" si="7"/>
        <v>1</v>
      </c>
      <c r="AB11">
        <f t="shared" si="10"/>
        <v>1</v>
      </c>
      <c r="AC11">
        <f t="shared" ca="1" si="11"/>
        <v>0</v>
      </c>
      <c r="AD11" t="str">
        <f ca="1">IF(AC11=1,COUNTIF($AC$3:AC11,1),"")</f>
        <v/>
      </c>
      <c r="AE11" s="155" t="str">
        <f ca="1">IFERROR(INDEX(Données!$B$3:$B$1479,MATCH(ROWS($AD$3:AD11),$AD$3:$AD$1479,0)),"")</f>
        <v/>
      </c>
    </row>
    <row r="12" spans="1:31" ht="15.75" x14ac:dyDescent="0.25">
      <c r="A12" t="str">
        <f t="shared" si="8"/>
        <v>Patrick Eaves - ANA - AD, AG</v>
      </c>
      <c r="B12" t="str">
        <f t="shared" si="9"/>
        <v>Patrick Eaves - ANA - AD, AG</v>
      </c>
      <c r="C12" t="str">
        <f t="shared" si="0"/>
        <v>Patrick</v>
      </c>
      <c r="D12" t="str">
        <f t="shared" si="1"/>
        <v>Eaves</v>
      </c>
      <c r="E12" s="39" t="s">
        <v>2118</v>
      </c>
      <c r="F12" s="35" t="s">
        <v>6</v>
      </c>
      <c r="G12" s="35" t="s">
        <v>381</v>
      </c>
      <c r="H12" s="35" t="s">
        <v>2441</v>
      </c>
      <c r="I12" s="35" t="s">
        <v>2439</v>
      </c>
      <c r="J12" s="35">
        <v>35</v>
      </c>
      <c r="K12" s="35">
        <f>VALUE(COUNTIF(Validation!$A$2:$H$47,E12))</f>
        <v>0</v>
      </c>
      <c r="L12" s="361">
        <f t="shared" si="2"/>
        <v>3150000</v>
      </c>
      <c r="M12" s="361">
        <f t="shared" si="3"/>
        <v>0</v>
      </c>
      <c r="N12" s="358">
        <v>3150000</v>
      </c>
      <c r="O12" s="358" t="s">
        <v>7</v>
      </c>
      <c r="P12" s="358">
        <v>0</v>
      </c>
      <c r="Q12" s="358">
        <v>0</v>
      </c>
      <c r="R12" s="358">
        <v>0</v>
      </c>
      <c r="S12" s="358">
        <v>0</v>
      </c>
      <c r="T12" s="358">
        <v>0</v>
      </c>
      <c r="U12" s="35">
        <f t="shared" si="4"/>
        <v>1</v>
      </c>
      <c r="W12">
        <f t="shared" si="5"/>
        <v>1</v>
      </c>
      <c r="X12" s="35">
        <f t="shared" si="6"/>
        <v>0</v>
      </c>
      <c r="Y12">
        <f t="shared" si="7"/>
        <v>0</v>
      </c>
      <c r="AB12">
        <f t="shared" si="10"/>
        <v>1</v>
      </c>
      <c r="AC12">
        <f t="shared" ca="1" si="11"/>
        <v>0</v>
      </c>
      <c r="AD12" t="str">
        <f ca="1">IF(AC12=1,COUNTIF($AC$3:AC12,1),"")</f>
        <v/>
      </c>
      <c r="AE12" s="155" t="str">
        <f ca="1">IFERROR(INDEX(Données!$B$3:$B$1479,MATCH(ROWS($AD$3:AD12),$AD$3:$AD$1479,0)),"")</f>
        <v/>
      </c>
    </row>
    <row r="13" spans="1:31" ht="15.75" x14ac:dyDescent="0.25">
      <c r="A13" t="str">
        <f t="shared" si="8"/>
        <v>Ondrej Kase - ANA - AD</v>
      </c>
      <c r="B13" t="str">
        <f t="shared" si="9"/>
        <v>Ondrej Kase - ANA - AD</v>
      </c>
      <c r="C13" t="str">
        <f t="shared" si="0"/>
        <v>Ondrej</v>
      </c>
      <c r="D13" t="str">
        <f t="shared" si="1"/>
        <v>Kase</v>
      </c>
      <c r="E13" s="39" t="s">
        <v>2119</v>
      </c>
      <c r="F13" s="35" t="s">
        <v>6</v>
      </c>
      <c r="G13" s="35">
        <v>0</v>
      </c>
      <c r="H13" s="9" t="s">
        <v>2438</v>
      </c>
      <c r="I13" s="9" t="s">
        <v>2439</v>
      </c>
      <c r="J13" s="9">
        <v>23</v>
      </c>
      <c r="K13" s="35">
        <f>VALUE(COUNTIF(Validation!$A$2:$H$47,E13))</f>
        <v>0</v>
      </c>
      <c r="L13" s="361">
        <f t="shared" si="2"/>
        <v>2600000</v>
      </c>
      <c r="M13" s="361">
        <f t="shared" si="3"/>
        <v>2600000</v>
      </c>
      <c r="N13" s="358">
        <v>2600000</v>
      </c>
      <c r="O13" s="358">
        <v>2600000</v>
      </c>
      <c r="P13" s="358" t="s">
        <v>8</v>
      </c>
      <c r="Q13" s="358">
        <v>0</v>
      </c>
      <c r="R13" s="358">
        <v>0</v>
      </c>
      <c r="S13" s="358">
        <v>0</v>
      </c>
      <c r="T13" s="358">
        <v>0</v>
      </c>
      <c r="U13" s="35">
        <f t="shared" si="4"/>
        <v>2</v>
      </c>
      <c r="W13">
        <f t="shared" si="5"/>
        <v>1</v>
      </c>
      <c r="X13" s="35">
        <f t="shared" si="6"/>
        <v>0</v>
      </c>
      <c r="Y13">
        <f t="shared" si="7"/>
        <v>1</v>
      </c>
      <c r="AB13">
        <f t="shared" si="10"/>
        <v>1</v>
      </c>
      <c r="AC13">
        <f t="shared" ca="1" si="11"/>
        <v>0</v>
      </c>
      <c r="AD13" t="str">
        <f ca="1">IF(AC13=1,COUNTIF($AC$3:AC13,1),"")</f>
        <v/>
      </c>
      <c r="AE13" s="155" t="str">
        <f ca="1">IFERROR(INDEX(Données!$B$3:$B$1479,MATCH(ROWS($AD$3:AD13),$AD$3:$AD$1479,0)),"")</f>
        <v/>
      </c>
    </row>
    <row r="14" spans="1:31" ht="15.75" x14ac:dyDescent="0.25">
      <c r="A14" t="str">
        <f t="shared" si="8"/>
        <v>Ryan Miller - ANA - G</v>
      </c>
      <c r="B14" t="str">
        <f t="shared" si="9"/>
        <v>Ryan Miller - ANA - G</v>
      </c>
      <c r="C14" t="str">
        <f t="shared" si="0"/>
        <v>Ryan</v>
      </c>
      <c r="D14" t="str">
        <f t="shared" si="1"/>
        <v>Miller</v>
      </c>
      <c r="E14" s="39" t="s">
        <v>2129</v>
      </c>
      <c r="F14" s="35" t="s">
        <v>6</v>
      </c>
      <c r="G14" s="35" t="s">
        <v>2578</v>
      </c>
      <c r="H14" s="9" t="s">
        <v>127</v>
      </c>
      <c r="I14" s="9" t="s">
        <v>2439</v>
      </c>
      <c r="J14" s="9">
        <v>39</v>
      </c>
      <c r="K14" s="35">
        <f>VALUE(COUNTIF(Validation!$A$2:$H$47,E14))</f>
        <v>0</v>
      </c>
      <c r="L14" s="361">
        <f t="shared" si="2"/>
        <v>2325000</v>
      </c>
      <c r="M14" s="361">
        <f t="shared" si="3"/>
        <v>0</v>
      </c>
      <c r="N14" s="358">
        <v>2325000</v>
      </c>
      <c r="O14" s="358" t="s">
        <v>7</v>
      </c>
      <c r="P14" s="358">
        <v>0</v>
      </c>
      <c r="Q14" s="358">
        <v>0</v>
      </c>
      <c r="R14" s="358">
        <v>0</v>
      </c>
      <c r="S14" s="358">
        <v>0</v>
      </c>
      <c r="T14" s="358">
        <v>0</v>
      </c>
      <c r="U14" s="35">
        <f t="shared" si="4"/>
        <v>1</v>
      </c>
      <c r="W14">
        <f t="shared" si="5"/>
        <v>1</v>
      </c>
      <c r="X14" s="35">
        <f t="shared" si="6"/>
        <v>0</v>
      </c>
      <c r="Y14">
        <f t="shared" si="7"/>
        <v>0</v>
      </c>
      <c r="AB14">
        <f t="shared" si="10"/>
        <v>1</v>
      </c>
      <c r="AC14">
        <f t="shared" ca="1" si="11"/>
        <v>0</v>
      </c>
      <c r="AD14" t="str">
        <f ca="1">IF(AC14=1,COUNTIF($AC$3:AC14,1),"")</f>
        <v/>
      </c>
      <c r="AE14" s="155" t="str">
        <f ca="1">IFERROR(INDEX(Données!$B$3:$B$1479,MATCH(ROWS($AD$3:AD14),$AD$3:$AD$1479,0)),"")</f>
        <v/>
      </c>
    </row>
    <row r="15" spans="1:31" ht="15.75" x14ac:dyDescent="0.25">
      <c r="A15" t="str">
        <f t="shared" si="8"/>
        <v>Devin Shore - ANA - AG, C, AD</v>
      </c>
      <c r="B15" t="str">
        <f t="shared" si="9"/>
        <v>Devin Shore - ANA - AG, C, AD</v>
      </c>
      <c r="C15" t="str">
        <f t="shared" si="0"/>
        <v>Devin</v>
      </c>
      <c r="D15" t="str">
        <f t="shared" si="1"/>
        <v>Shore</v>
      </c>
      <c r="E15" s="39" t="s">
        <v>1953</v>
      </c>
      <c r="F15" s="35" t="s">
        <v>6</v>
      </c>
      <c r="G15" s="35">
        <v>0</v>
      </c>
      <c r="H15" s="35" t="s">
        <v>2462</v>
      </c>
      <c r="I15" s="35" t="s">
        <v>2439</v>
      </c>
      <c r="J15" s="35">
        <v>25</v>
      </c>
      <c r="K15" s="35">
        <f>VALUE(COUNTIF(Validation!$A$2:$H$47,E15))</f>
        <v>0</v>
      </c>
      <c r="L15" s="361">
        <f t="shared" si="2"/>
        <v>2300000</v>
      </c>
      <c r="M15" s="361">
        <f t="shared" si="3"/>
        <v>0</v>
      </c>
      <c r="N15" s="358">
        <v>2300000</v>
      </c>
      <c r="O15" s="358" t="s">
        <v>8</v>
      </c>
      <c r="P15" s="358">
        <v>0</v>
      </c>
      <c r="Q15" s="358">
        <v>0</v>
      </c>
      <c r="R15" s="358">
        <v>0</v>
      </c>
      <c r="S15" s="358">
        <v>0</v>
      </c>
      <c r="T15" s="358">
        <v>0</v>
      </c>
      <c r="U15" s="35">
        <f t="shared" si="4"/>
        <v>1</v>
      </c>
      <c r="W15">
        <f t="shared" si="5"/>
        <v>1</v>
      </c>
      <c r="X15" s="35">
        <f t="shared" si="6"/>
        <v>0</v>
      </c>
      <c r="Y15">
        <f t="shared" si="7"/>
        <v>0</v>
      </c>
      <c r="AB15">
        <f t="shared" si="10"/>
        <v>1</v>
      </c>
      <c r="AC15">
        <f t="shared" ca="1" si="11"/>
        <v>0</v>
      </c>
      <c r="AD15" t="str">
        <f ca="1">IF(AC15=1,COUNTIF($AC$3:AC15,1),"")</f>
        <v/>
      </c>
      <c r="AE15" s="155" t="str">
        <f ca="1">IFERROR(INDEX(Données!$B$3:$B$1479,MATCH(ROWS($AD$3:AD15),$AD$3:$AD$1479,0)),"")</f>
        <v/>
      </c>
    </row>
    <row r="16" spans="1:31" ht="15.75" x14ac:dyDescent="0.25">
      <c r="A16" t="str">
        <f t="shared" si="8"/>
        <v>Nick Ritchie - ANA - AG</v>
      </c>
      <c r="B16" t="str">
        <f t="shared" si="9"/>
        <v>Nick Ritchie - ANA - AG</v>
      </c>
      <c r="C16" t="str">
        <f t="shared" si="0"/>
        <v>Nick</v>
      </c>
      <c r="D16" t="str">
        <f t="shared" si="1"/>
        <v>Ritchie</v>
      </c>
      <c r="E16" s="39" t="s">
        <v>2121</v>
      </c>
      <c r="F16" s="35" t="s">
        <v>6</v>
      </c>
      <c r="G16" s="35">
        <v>0</v>
      </c>
      <c r="H16" s="35" t="s">
        <v>2440</v>
      </c>
      <c r="I16" s="35" t="s">
        <v>2439</v>
      </c>
      <c r="J16" s="35">
        <v>23</v>
      </c>
      <c r="K16" s="35">
        <f>VALUE(COUNTIF(Validation!$A$2:$H$47,E16))</f>
        <v>0</v>
      </c>
      <c r="L16" s="361">
        <f t="shared" si="2"/>
        <v>1498925</v>
      </c>
      <c r="M16" s="361">
        <f t="shared" si="3"/>
        <v>1498925</v>
      </c>
      <c r="N16" s="358">
        <v>1498925</v>
      </c>
      <c r="O16" s="358">
        <v>1498925</v>
      </c>
      <c r="P16" s="358" t="s">
        <v>8</v>
      </c>
      <c r="Q16" s="358">
        <v>0</v>
      </c>
      <c r="R16" s="358">
        <v>0</v>
      </c>
      <c r="S16" s="358">
        <v>0</v>
      </c>
      <c r="T16" s="358">
        <v>0</v>
      </c>
      <c r="U16" s="35">
        <f t="shared" si="4"/>
        <v>2</v>
      </c>
      <c r="W16">
        <f t="shared" si="5"/>
        <v>1</v>
      </c>
      <c r="X16" s="35">
        <f t="shared" si="6"/>
        <v>0</v>
      </c>
      <c r="Y16">
        <f t="shared" si="7"/>
        <v>1</v>
      </c>
      <c r="AB16">
        <f t="shared" si="10"/>
        <v>1</v>
      </c>
      <c r="AC16">
        <f t="shared" ca="1" si="11"/>
        <v>0</v>
      </c>
      <c r="AD16" t="str">
        <f ca="1">IF(AC16=1,COUNTIF($AC$3:AC16,1),"")</f>
        <v/>
      </c>
      <c r="AE16" s="155" t="str">
        <f ca="1">IFERROR(INDEX(Données!$B$3:$B$1479,MATCH(ROWS($AD$3:AD16),$AD$3:$AD$1479,0)),"")</f>
        <v/>
      </c>
    </row>
    <row r="17" spans="1:31" ht="15.75" x14ac:dyDescent="0.25">
      <c r="A17" t="str">
        <f t="shared" si="8"/>
        <v>Troy Terry - ANA - C, AD</v>
      </c>
      <c r="B17" t="str">
        <f t="shared" si="9"/>
        <v>Troy Terry - ANA - C, AD</v>
      </c>
      <c r="C17" t="str">
        <f t="shared" si="0"/>
        <v>Troy</v>
      </c>
      <c r="D17" t="str">
        <f t="shared" si="1"/>
        <v>Terry</v>
      </c>
      <c r="E17" s="39" t="s">
        <v>2131</v>
      </c>
      <c r="F17" s="35" t="s">
        <v>6</v>
      </c>
      <c r="G17" s="35" t="s">
        <v>386</v>
      </c>
      <c r="H17" s="9" t="s">
        <v>2448</v>
      </c>
      <c r="I17" s="9" t="s">
        <v>2439</v>
      </c>
      <c r="J17" s="9">
        <v>21</v>
      </c>
      <c r="K17" s="35">
        <f>VALUE(COUNTIF(Validation!$A$2:$H$47,E17))</f>
        <v>0</v>
      </c>
      <c r="L17" s="361">
        <f t="shared" si="2"/>
        <v>1491667</v>
      </c>
      <c r="M17" s="361">
        <f t="shared" si="3"/>
        <v>0</v>
      </c>
      <c r="N17" s="358">
        <v>1491667</v>
      </c>
      <c r="O17" s="358" t="s">
        <v>8</v>
      </c>
      <c r="P17" s="358">
        <v>0</v>
      </c>
      <c r="Q17" s="358">
        <v>0</v>
      </c>
      <c r="R17" s="358">
        <v>0</v>
      </c>
      <c r="S17" s="358">
        <v>0</v>
      </c>
      <c r="T17" s="358">
        <v>0</v>
      </c>
      <c r="U17" s="35">
        <f t="shared" si="4"/>
        <v>1</v>
      </c>
      <c r="W17">
        <f t="shared" si="5"/>
        <v>1</v>
      </c>
      <c r="X17" s="35">
        <f t="shared" si="6"/>
        <v>1</v>
      </c>
      <c r="Y17">
        <f t="shared" si="7"/>
        <v>0</v>
      </c>
      <c r="AB17">
        <f t="shared" si="10"/>
        <v>1</v>
      </c>
      <c r="AC17">
        <f t="shared" ca="1" si="11"/>
        <v>0</v>
      </c>
      <c r="AD17" t="str">
        <f ca="1">IF(AC17=1,COUNTIF($AC$3:AC17,1),"")</f>
        <v/>
      </c>
      <c r="AE17" s="155" t="str">
        <f ca="1">IFERROR(INDEX(Données!$B$3:$B$1479,MATCH(ROWS($AD$3:AD17),$AD$3:$AD$1479,0)),"")</f>
        <v/>
      </c>
    </row>
    <row r="18" spans="1:31" ht="15.75" x14ac:dyDescent="0.25">
      <c r="A18" t="str">
        <f t="shared" si="8"/>
        <v>Carter Rowney - ANA - C, AD</v>
      </c>
      <c r="B18" t="str">
        <f t="shared" si="9"/>
        <v>Carter Rowney - ANA - C, AD</v>
      </c>
      <c r="C18" t="str">
        <f t="shared" si="0"/>
        <v>Carter</v>
      </c>
      <c r="D18" t="str">
        <f t="shared" si="1"/>
        <v>Rowney</v>
      </c>
      <c r="E18" s="39" t="s">
        <v>2120</v>
      </c>
      <c r="F18" s="35" t="s">
        <v>6</v>
      </c>
      <c r="G18" s="35">
        <v>0</v>
      </c>
      <c r="H18" s="9" t="s">
        <v>2448</v>
      </c>
      <c r="I18" s="9" t="s">
        <v>2439</v>
      </c>
      <c r="J18" s="9">
        <v>30</v>
      </c>
      <c r="K18" s="35">
        <f>VALUE(COUNTIF(Validation!$A$2:$H$47,E18))</f>
        <v>0</v>
      </c>
      <c r="L18" s="361">
        <f t="shared" si="2"/>
        <v>1133333</v>
      </c>
      <c r="M18" s="361">
        <f t="shared" si="3"/>
        <v>1133333</v>
      </c>
      <c r="N18" s="358">
        <v>1133333</v>
      </c>
      <c r="O18" s="358">
        <v>1133333</v>
      </c>
      <c r="P18" s="358" t="s">
        <v>7</v>
      </c>
      <c r="Q18" s="358">
        <v>0</v>
      </c>
      <c r="R18" s="358">
        <v>0</v>
      </c>
      <c r="S18" s="358">
        <v>0</v>
      </c>
      <c r="T18" s="358">
        <v>0</v>
      </c>
      <c r="U18" s="35">
        <f t="shared" si="4"/>
        <v>2</v>
      </c>
      <c r="W18">
        <f t="shared" si="5"/>
        <v>1</v>
      </c>
      <c r="X18" s="35">
        <f t="shared" si="6"/>
        <v>0</v>
      </c>
      <c r="Y18">
        <f t="shared" si="7"/>
        <v>1</v>
      </c>
      <c r="AB18">
        <f t="shared" si="10"/>
        <v>1</v>
      </c>
      <c r="AC18">
        <f t="shared" ca="1" si="11"/>
        <v>0</v>
      </c>
      <c r="AD18" t="str">
        <f ca="1">IF(AC18=1,COUNTIF($AC$3:AC18,1),"")</f>
        <v/>
      </c>
      <c r="AE18" s="155" t="str">
        <f ca="1">IFERROR(INDEX(Données!$B$3:$B$1479,MATCH(ROWS($AD$3:AD18),$AD$3:$AD$1479,0)),"")</f>
        <v/>
      </c>
    </row>
    <row r="19" spans="1:31" ht="15.75" x14ac:dyDescent="0.25">
      <c r="A19" t="str">
        <f t="shared" si="8"/>
        <v>Nicolas Deslauriers - ANA - AD, AG</v>
      </c>
      <c r="B19" t="str">
        <f t="shared" si="9"/>
        <v>Nicolas Deslauriers - ANA - AD, AG</v>
      </c>
      <c r="C19" t="str">
        <f t="shared" si="0"/>
        <v>Nicolas</v>
      </c>
      <c r="D19" t="str">
        <f t="shared" si="1"/>
        <v>Deslauriers</v>
      </c>
      <c r="E19" s="39" t="s">
        <v>1486</v>
      </c>
      <c r="F19" s="35" t="s">
        <v>6</v>
      </c>
      <c r="G19" s="35">
        <v>0</v>
      </c>
      <c r="H19" s="35" t="s">
        <v>2441</v>
      </c>
      <c r="I19" s="35" t="s">
        <v>2439</v>
      </c>
      <c r="J19" s="35">
        <v>28</v>
      </c>
      <c r="K19" s="35">
        <f>VALUE(COUNTIF(Validation!$A$2:$H$47,E19))</f>
        <v>0</v>
      </c>
      <c r="L19" s="361">
        <f t="shared" si="2"/>
        <v>950000</v>
      </c>
      <c r="M19" s="361">
        <f t="shared" si="3"/>
        <v>0</v>
      </c>
      <c r="N19" s="358">
        <v>950000</v>
      </c>
      <c r="O19" s="358" t="s">
        <v>7</v>
      </c>
      <c r="P19" s="358">
        <v>0</v>
      </c>
      <c r="Q19" s="358">
        <v>0</v>
      </c>
      <c r="R19" s="358">
        <v>0</v>
      </c>
      <c r="S19" s="358">
        <v>0</v>
      </c>
      <c r="T19" s="358">
        <v>0</v>
      </c>
      <c r="U19" s="35">
        <f t="shared" si="4"/>
        <v>1</v>
      </c>
      <c r="W19">
        <f t="shared" si="5"/>
        <v>1</v>
      </c>
      <c r="X19" s="35">
        <f t="shared" si="6"/>
        <v>0</v>
      </c>
      <c r="Y19">
        <f t="shared" si="7"/>
        <v>0</v>
      </c>
      <c r="AB19">
        <f t="shared" si="10"/>
        <v>1</v>
      </c>
      <c r="AC19">
        <f t="shared" ca="1" si="11"/>
        <v>0</v>
      </c>
      <c r="AD19" t="str">
        <f ca="1">IF(AC19=1,COUNTIF($AC$3:AC19,1),"")</f>
        <v/>
      </c>
      <c r="AE19" s="155" t="str">
        <f ca="1">IFERROR(INDEX(Données!$B$3:$B$1479,MATCH(ROWS($AD$3:AD19),$AD$3:$AD$1479,0)),"")</f>
        <v/>
      </c>
    </row>
    <row r="20" spans="1:31" ht="15.75" x14ac:dyDescent="0.25">
      <c r="A20" t="str">
        <f t="shared" si="8"/>
        <v>Deven Sideroff - ANA - AD</v>
      </c>
      <c r="B20" t="str">
        <f t="shared" si="9"/>
        <v>Deven Sideroff - ANA - AD</v>
      </c>
      <c r="C20" t="str">
        <f t="shared" si="0"/>
        <v>Deven</v>
      </c>
      <c r="D20" t="str">
        <f t="shared" si="1"/>
        <v>Sideroff</v>
      </c>
      <c r="E20" s="39" t="s">
        <v>2143</v>
      </c>
      <c r="F20" s="35" t="s">
        <v>6</v>
      </c>
      <c r="G20" s="35" t="s">
        <v>386</v>
      </c>
      <c r="H20" s="35" t="s">
        <v>2438</v>
      </c>
      <c r="I20" s="35" t="s">
        <v>2446</v>
      </c>
      <c r="J20" s="35">
        <v>22</v>
      </c>
      <c r="K20" s="35">
        <f>VALUE(COUNTIF(Validation!$A$2:$H$47,E20))</f>
        <v>0</v>
      </c>
      <c r="L20" s="361">
        <f t="shared" si="2"/>
        <v>935833</v>
      </c>
      <c r="M20" s="361">
        <f t="shared" si="3"/>
        <v>0</v>
      </c>
      <c r="N20" s="358">
        <v>935833</v>
      </c>
      <c r="O20" s="358" t="s">
        <v>8</v>
      </c>
      <c r="P20" s="358">
        <v>0</v>
      </c>
      <c r="Q20" s="358">
        <v>0</v>
      </c>
      <c r="R20" s="358">
        <v>0</v>
      </c>
      <c r="S20" s="358">
        <v>0</v>
      </c>
      <c r="T20" s="358">
        <v>0</v>
      </c>
      <c r="U20" s="35">
        <f t="shared" si="4"/>
        <v>1</v>
      </c>
      <c r="W20">
        <f t="shared" si="5"/>
        <v>1</v>
      </c>
      <c r="X20" s="35">
        <f t="shared" si="6"/>
        <v>1</v>
      </c>
      <c r="Y20">
        <f t="shared" si="7"/>
        <v>0</v>
      </c>
      <c r="AB20">
        <f t="shared" si="10"/>
        <v>1</v>
      </c>
      <c r="AC20">
        <f t="shared" ca="1" si="11"/>
        <v>0</v>
      </c>
      <c r="AD20" t="str">
        <f ca="1">IF(AC20=1,COUNTIF($AC$3:AC20,1),"")</f>
        <v/>
      </c>
      <c r="AE20" s="155" t="str">
        <f ca="1">IFERROR(INDEX(Données!$B$3:$B$1479,MATCH(ROWS($AD$3:AD20),$AD$3:$AD$1479,0)),"")</f>
        <v/>
      </c>
    </row>
    <row r="21" spans="1:31" ht="15.75" x14ac:dyDescent="0.25">
      <c r="A21" t="str">
        <f t="shared" si="8"/>
        <v>Antoine Morand - ANA - C</v>
      </c>
      <c r="B21" t="str">
        <f t="shared" si="9"/>
        <v>Antoine Morand - ANA - C</v>
      </c>
      <c r="C21" t="str">
        <f t="shared" si="0"/>
        <v>Antoine</v>
      </c>
      <c r="D21" t="str">
        <f t="shared" si="1"/>
        <v>Morand</v>
      </c>
      <c r="E21" s="39" t="s">
        <v>2138</v>
      </c>
      <c r="F21" s="35" t="s">
        <v>6</v>
      </c>
      <c r="G21" s="35" t="s">
        <v>386</v>
      </c>
      <c r="H21" s="35" t="s">
        <v>73</v>
      </c>
      <c r="I21" s="35" t="s">
        <v>389</v>
      </c>
      <c r="J21" s="35">
        <v>20</v>
      </c>
      <c r="K21" s="35">
        <f>VALUE(COUNTIF(Validation!$A$2:$H$47,E21))</f>
        <v>0</v>
      </c>
      <c r="L21" s="361">
        <f t="shared" si="2"/>
        <v>927500</v>
      </c>
      <c r="M21" s="361">
        <f t="shared" si="3"/>
        <v>927500</v>
      </c>
      <c r="N21" s="358">
        <v>927500</v>
      </c>
      <c r="O21" s="358">
        <v>927500</v>
      </c>
      <c r="P21" s="358">
        <v>927500</v>
      </c>
      <c r="Q21" s="358" t="s">
        <v>8</v>
      </c>
      <c r="R21" s="358">
        <v>0</v>
      </c>
      <c r="S21" s="358">
        <v>0</v>
      </c>
      <c r="T21" s="358">
        <v>0</v>
      </c>
      <c r="U21" s="35">
        <f t="shared" si="4"/>
        <v>3</v>
      </c>
      <c r="W21">
        <f t="shared" si="5"/>
        <v>1</v>
      </c>
      <c r="X21" s="35">
        <f t="shared" si="6"/>
        <v>1</v>
      </c>
      <c r="Y21">
        <f t="shared" si="7"/>
        <v>1</v>
      </c>
      <c r="AB21">
        <f t="shared" si="10"/>
        <v>1</v>
      </c>
      <c r="AC21">
        <f t="shared" ca="1" si="11"/>
        <v>0</v>
      </c>
      <c r="AD21" t="str">
        <f ca="1">IF(AC21=1,COUNTIF($AC$3:AC21,1),"")</f>
        <v/>
      </c>
      <c r="AE21" s="155" t="str">
        <f ca="1">IFERROR(INDEX(Données!$B$3:$B$1479,MATCH(ROWS($AD$3:AD21),$AD$3:$AD$1479,0)),"")</f>
        <v/>
      </c>
    </row>
    <row r="22" spans="1:31" ht="15.75" x14ac:dyDescent="0.25">
      <c r="A22" t="str">
        <f t="shared" si="8"/>
        <v>Simon Benoit - ANA - DG</v>
      </c>
      <c r="B22" t="str">
        <f t="shared" si="9"/>
        <v>Simon Benoit - ANA - DG</v>
      </c>
      <c r="C22" t="str">
        <f t="shared" si="0"/>
        <v>Simon</v>
      </c>
      <c r="D22" t="str">
        <f t="shared" si="1"/>
        <v>Benoit</v>
      </c>
      <c r="E22" s="39" t="s">
        <v>2579</v>
      </c>
      <c r="F22" s="35" t="s">
        <v>6</v>
      </c>
      <c r="G22" s="35" t="s">
        <v>386</v>
      </c>
      <c r="H22" s="35" t="s">
        <v>2445</v>
      </c>
      <c r="I22" s="35" t="s">
        <v>2446</v>
      </c>
      <c r="J22" s="35">
        <v>20</v>
      </c>
      <c r="K22" s="35">
        <f>VALUE(COUNTIF(Validation!$A$2:$H$47,E22))</f>
        <v>0</v>
      </c>
      <c r="L22" s="361">
        <f t="shared" si="2"/>
        <v>925000</v>
      </c>
      <c r="M22" s="361">
        <f t="shared" si="3"/>
        <v>925000</v>
      </c>
      <c r="N22" s="358">
        <v>925000</v>
      </c>
      <c r="O22" s="358">
        <v>925000</v>
      </c>
      <c r="P22" s="358">
        <v>925000</v>
      </c>
      <c r="Q22" s="358" t="s">
        <v>8</v>
      </c>
      <c r="R22" s="358">
        <v>0</v>
      </c>
      <c r="S22" s="358">
        <v>0</v>
      </c>
      <c r="T22" s="358">
        <v>0</v>
      </c>
      <c r="U22" s="35">
        <f t="shared" si="4"/>
        <v>3</v>
      </c>
      <c r="W22">
        <f t="shared" si="5"/>
        <v>1</v>
      </c>
      <c r="X22" s="35">
        <f t="shared" si="6"/>
        <v>1</v>
      </c>
      <c r="Y22">
        <f t="shared" si="7"/>
        <v>1</v>
      </c>
      <c r="AB22">
        <f t="shared" si="10"/>
        <v>1</v>
      </c>
      <c r="AC22">
        <f t="shared" ca="1" si="11"/>
        <v>0</v>
      </c>
      <c r="AD22" t="str">
        <f ca="1">IF(AC22=1,COUNTIF($AC$3:AC22,1),"")</f>
        <v/>
      </c>
      <c r="AE22" s="155" t="str">
        <f ca="1">IFERROR(INDEX(Données!$B$3:$B$1479,MATCH(ROWS($AD$3:AD22),$AD$3:$AD$1479,0)),"")</f>
        <v/>
      </c>
    </row>
    <row r="23" spans="1:31" ht="15.75" x14ac:dyDescent="0.25">
      <c r="A23" t="str">
        <f t="shared" si="8"/>
        <v>Maxime Comtois - ANA - C, AG</v>
      </c>
      <c r="B23" t="str">
        <f t="shared" si="9"/>
        <v>Maxime Comtois - ANA - C, AG</v>
      </c>
      <c r="C23" t="str">
        <f t="shared" si="0"/>
        <v>Maxime</v>
      </c>
      <c r="D23" t="str">
        <f t="shared" si="1"/>
        <v>Comtois</v>
      </c>
      <c r="E23" s="39" t="s">
        <v>2136</v>
      </c>
      <c r="F23" s="35" t="s">
        <v>6</v>
      </c>
      <c r="G23" s="35" t="s">
        <v>386</v>
      </c>
      <c r="H23" s="35" t="s">
        <v>2452</v>
      </c>
      <c r="I23" s="35" t="s">
        <v>2446</v>
      </c>
      <c r="J23" s="35">
        <v>20</v>
      </c>
      <c r="K23" s="35">
        <f>VALUE(COUNTIF(Validation!$A$2:$H$47,E23))</f>
        <v>0</v>
      </c>
      <c r="L23" s="361">
        <f t="shared" si="2"/>
        <v>925000</v>
      </c>
      <c r="M23" s="361">
        <f t="shared" si="3"/>
        <v>925000</v>
      </c>
      <c r="N23" s="358">
        <v>925000</v>
      </c>
      <c r="O23" s="358">
        <v>925000</v>
      </c>
      <c r="P23" s="358" t="s">
        <v>8</v>
      </c>
      <c r="Q23" s="358">
        <v>0</v>
      </c>
      <c r="R23" s="358">
        <v>0</v>
      </c>
      <c r="S23" s="358">
        <v>0</v>
      </c>
      <c r="T23" s="358">
        <v>0</v>
      </c>
      <c r="U23" s="35">
        <f t="shared" si="4"/>
        <v>2</v>
      </c>
      <c r="W23">
        <f t="shared" si="5"/>
        <v>1</v>
      </c>
      <c r="X23" s="35">
        <f t="shared" si="6"/>
        <v>1</v>
      </c>
      <c r="Y23">
        <f t="shared" si="7"/>
        <v>1</v>
      </c>
      <c r="AB23">
        <f t="shared" si="10"/>
        <v>1</v>
      </c>
      <c r="AC23">
        <f t="shared" ca="1" si="11"/>
        <v>0</v>
      </c>
      <c r="AD23" t="str">
        <f ca="1">IF(AC23=1,COUNTIF($AC$3:AC23,1),"")</f>
        <v/>
      </c>
      <c r="AE23" s="155" t="str">
        <f ca="1">IFERROR(INDEX(Données!$B$3:$B$1479,MATCH(ROWS($AD$3:AD23),$AD$3:$AD$1479,0)),"")</f>
        <v/>
      </c>
    </row>
    <row r="24" spans="1:31" ht="15.75" x14ac:dyDescent="0.25">
      <c r="A24" t="str">
        <f t="shared" si="8"/>
        <v>Lukas Dostal - ANA - G</v>
      </c>
      <c r="B24" t="str">
        <f t="shared" si="9"/>
        <v>Lukas Dostal - ANA - G</v>
      </c>
      <c r="C24" t="str">
        <f t="shared" si="0"/>
        <v>Lukas</v>
      </c>
      <c r="D24" t="str">
        <f t="shared" si="1"/>
        <v>Dostal</v>
      </c>
      <c r="E24" s="39" t="s">
        <v>2580</v>
      </c>
      <c r="F24" s="35" t="s">
        <v>6</v>
      </c>
      <c r="G24" s="35" t="s">
        <v>386</v>
      </c>
      <c r="H24" s="35" t="s">
        <v>127</v>
      </c>
      <c r="I24" s="35" t="s">
        <v>2446</v>
      </c>
      <c r="J24" s="35">
        <v>19</v>
      </c>
      <c r="K24" s="35">
        <f>VALUE(COUNTIF(Validation!$A$2:$H$47,E24))</f>
        <v>0</v>
      </c>
      <c r="L24" s="361">
        <f t="shared" si="2"/>
        <v>925000</v>
      </c>
      <c r="M24" s="361">
        <f t="shared" si="3"/>
        <v>925000</v>
      </c>
      <c r="N24" s="358">
        <v>925000</v>
      </c>
      <c r="O24" s="358">
        <v>925000</v>
      </c>
      <c r="P24" s="358">
        <v>925000</v>
      </c>
      <c r="Q24" s="358" t="s">
        <v>8</v>
      </c>
      <c r="R24" s="358">
        <v>0</v>
      </c>
      <c r="S24" s="358">
        <v>0</v>
      </c>
      <c r="T24" s="358">
        <v>0</v>
      </c>
      <c r="U24" s="35">
        <f t="shared" si="4"/>
        <v>3</v>
      </c>
      <c r="W24">
        <f t="shared" si="5"/>
        <v>1</v>
      </c>
      <c r="X24" s="35">
        <f t="shared" si="6"/>
        <v>1</v>
      </c>
      <c r="Y24">
        <f t="shared" si="7"/>
        <v>1</v>
      </c>
      <c r="AB24">
        <f t="shared" si="10"/>
        <v>1</v>
      </c>
      <c r="AC24">
        <f t="shared" ca="1" si="11"/>
        <v>0</v>
      </c>
      <c r="AD24" t="str">
        <f ca="1">IF(AC24=1,COUNTIF($AC$3:AC24,1),"")</f>
        <v/>
      </c>
      <c r="AE24" s="155" t="str">
        <f ca="1">IFERROR(INDEX(Données!$B$3:$B$1479,MATCH(ROWS($AD$3:AD24),$AD$3:$AD$1479,0)),"")</f>
        <v/>
      </c>
    </row>
    <row r="25" spans="1:31" ht="15.75" x14ac:dyDescent="0.25">
      <c r="A25" t="str">
        <f t="shared" si="8"/>
        <v>Alex Dostie - ANA - C</v>
      </c>
      <c r="B25" t="str">
        <f t="shared" si="9"/>
        <v>Alex Dostie - ANA - C</v>
      </c>
      <c r="C25" t="str">
        <f t="shared" si="0"/>
        <v>Alex</v>
      </c>
      <c r="D25" t="str">
        <f t="shared" si="1"/>
        <v>Dostie</v>
      </c>
      <c r="E25" s="39" t="s">
        <v>2139</v>
      </c>
      <c r="F25" s="35" t="s">
        <v>6</v>
      </c>
      <c r="G25" s="35" t="s">
        <v>386</v>
      </c>
      <c r="H25" s="35" t="s">
        <v>73</v>
      </c>
      <c r="I25" s="35" t="s">
        <v>2446</v>
      </c>
      <c r="J25" s="35">
        <v>22</v>
      </c>
      <c r="K25" s="35">
        <f>VALUE(COUNTIF(Validation!$A$2:$H$47,E25))</f>
        <v>0</v>
      </c>
      <c r="L25" s="361">
        <f t="shared" si="2"/>
        <v>925000</v>
      </c>
      <c r="M25" s="361">
        <f t="shared" si="3"/>
        <v>0</v>
      </c>
      <c r="N25" s="358">
        <v>925000</v>
      </c>
      <c r="O25" s="358" t="s">
        <v>8</v>
      </c>
      <c r="P25" s="358">
        <v>0</v>
      </c>
      <c r="Q25" s="358">
        <v>0</v>
      </c>
      <c r="R25" s="358">
        <v>0</v>
      </c>
      <c r="S25" s="358">
        <v>0</v>
      </c>
      <c r="T25" s="358">
        <v>0</v>
      </c>
      <c r="U25" s="35">
        <f t="shared" si="4"/>
        <v>1</v>
      </c>
      <c r="W25">
        <f t="shared" si="5"/>
        <v>1</v>
      </c>
      <c r="X25" s="35">
        <f t="shared" si="6"/>
        <v>1</v>
      </c>
      <c r="Y25">
        <f t="shared" si="7"/>
        <v>0</v>
      </c>
      <c r="AB25">
        <f t="shared" si="10"/>
        <v>1</v>
      </c>
      <c r="AC25">
        <f t="shared" ca="1" si="11"/>
        <v>0</v>
      </c>
      <c r="AD25" t="str">
        <f ca="1">IF(AC25=1,COUNTIF($AC$3:AC25,1),"")</f>
        <v/>
      </c>
      <c r="AE25" s="155" t="str">
        <f ca="1">IFERROR(INDEX(Données!$B$3:$B$1479,MATCH(ROWS($AD$3:AD25),$AD$3:$AD$1479,0)),"")</f>
        <v/>
      </c>
    </row>
    <row r="26" spans="1:31" ht="15.75" x14ac:dyDescent="0.25">
      <c r="A26" t="str">
        <f t="shared" si="8"/>
        <v>Isac Lundestrom - ANA - C, AG</v>
      </c>
      <c r="B26" t="str">
        <f t="shared" si="9"/>
        <v>Isac Lundestrom - ANA - C, AG</v>
      </c>
      <c r="C26" t="str">
        <f t="shared" si="0"/>
        <v>Isac</v>
      </c>
      <c r="D26" t="str">
        <f t="shared" si="1"/>
        <v>Lundestrom</v>
      </c>
      <c r="E26" s="39" t="s">
        <v>2857</v>
      </c>
      <c r="F26" s="35" t="s">
        <v>6</v>
      </c>
      <c r="G26" s="35" t="s">
        <v>386</v>
      </c>
      <c r="H26" s="35" t="s">
        <v>2452</v>
      </c>
      <c r="I26" s="35" t="s">
        <v>2446</v>
      </c>
      <c r="J26" s="35">
        <v>19</v>
      </c>
      <c r="K26" s="35">
        <f>VALUE(COUNTIF(Validation!$A$2:$H$47,E26))</f>
        <v>0</v>
      </c>
      <c r="L26" s="361">
        <f t="shared" si="2"/>
        <v>925000</v>
      </c>
      <c r="M26" s="361">
        <f t="shared" si="3"/>
        <v>925000</v>
      </c>
      <c r="N26" s="358">
        <v>925000</v>
      </c>
      <c r="O26" s="358">
        <v>925000</v>
      </c>
      <c r="P26" s="358" t="s">
        <v>8</v>
      </c>
      <c r="Q26" s="358">
        <v>0</v>
      </c>
      <c r="R26" s="358">
        <v>0</v>
      </c>
      <c r="S26" s="358">
        <v>0</v>
      </c>
      <c r="T26" s="358">
        <v>0</v>
      </c>
      <c r="U26" s="35">
        <f t="shared" si="4"/>
        <v>2</v>
      </c>
      <c r="W26">
        <f t="shared" si="5"/>
        <v>1</v>
      </c>
      <c r="X26" s="35">
        <f t="shared" si="6"/>
        <v>1</v>
      </c>
      <c r="Y26">
        <f t="shared" si="7"/>
        <v>1</v>
      </c>
      <c r="AB26">
        <f t="shared" si="10"/>
        <v>1</v>
      </c>
      <c r="AC26">
        <f t="shared" ca="1" si="11"/>
        <v>0</v>
      </c>
      <c r="AD26" t="str">
        <f ca="1">IF(AC26=1,COUNTIF($AC$3:AC26,1),"")</f>
        <v/>
      </c>
      <c r="AE26" s="155" t="str">
        <f ca="1">IFERROR(INDEX(Données!$B$3:$B$1479,MATCH(ROWS($AD$3:AD26),$AD$3:$AD$1479,0)),"")</f>
        <v/>
      </c>
    </row>
    <row r="27" spans="1:31" ht="15.75" x14ac:dyDescent="0.25">
      <c r="A27" t="str">
        <f t="shared" si="8"/>
        <v>Angus Redmond - ANA - G</v>
      </c>
      <c r="B27" t="str">
        <f t="shared" si="9"/>
        <v>Angus Redmond - ANA - G</v>
      </c>
      <c r="C27" t="str">
        <f t="shared" si="0"/>
        <v>Angus</v>
      </c>
      <c r="D27" t="str">
        <f t="shared" si="1"/>
        <v>Redmond</v>
      </c>
      <c r="E27" s="39" t="s">
        <v>2135</v>
      </c>
      <c r="F27" s="35" t="s">
        <v>6</v>
      </c>
      <c r="G27" s="35" t="s">
        <v>386</v>
      </c>
      <c r="H27" s="35" t="s">
        <v>127</v>
      </c>
      <c r="I27" s="35" t="s">
        <v>2446</v>
      </c>
      <c r="J27" s="35">
        <v>23</v>
      </c>
      <c r="K27" s="35">
        <f>VALUE(COUNTIF(Validation!$A$2:$H$47,E27))</f>
        <v>0</v>
      </c>
      <c r="L27" s="361">
        <f t="shared" si="2"/>
        <v>925000</v>
      </c>
      <c r="M27" s="361">
        <f t="shared" si="3"/>
        <v>0</v>
      </c>
      <c r="N27" s="358">
        <v>925000</v>
      </c>
      <c r="O27" s="358" t="s">
        <v>8</v>
      </c>
      <c r="P27" s="358">
        <v>0</v>
      </c>
      <c r="Q27" s="358">
        <v>0</v>
      </c>
      <c r="R27" s="358">
        <v>0</v>
      </c>
      <c r="S27" s="358">
        <v>0</v>
      </c>
      <c r="T27" s="358">
        <v>0</v>
      </c>
      <c r="U27" s="35">
        <f t="shared" si="4"/>
        <v>1</v>
      </c>
      <c r="W27">
        <f t="shared" si="5"/>
        <v>1</v>
      </c>
      <c r="X27" s="35">
        <f t="shared" si="6"/>
        <v>1</v>
      </c>
      <c r="Y27">
        <f t="shared" si="7"/>
        <v>0</v>
      </c>
      <c r="AB27">
        <f t="shared" si="10"/>
        <v>1</v>
      </c>
      <c r="AC27">
        <f t="shared" ca="1" si="11"/>
        <v>0</v>
      </c>
      <c r="AD27" t="str">
        <f ca="1">IF(AC27=1,COUNTIF($AC$3:AC27,1),"")</f>
        <v/>
      </c>
      <c r="AE27" s="155" t="str">
        <f ca="1">IFERROR(INDEX(Données!$B$3:$B$1479,MATCH(ROWS($AD$3:AD27),$AD$3:$AD$1479,0)),"")</f>
        <v/>
      </c>
    </row>
    <row r="28" spans="1:31" ht="15.75" x14ac:dyDescent="0.25">
      <c r="A28" t="str">
        <f t="shared" si="8"/>
        <v>Kiefer Sherwood - ANA - AD, C</v>
      </c>
      <c r="B28" t="str">
        <f t="shared" si="9"/>
        <v>Kiefer Sherwood - ANA - AD, C</v>
      </c>
      <c r="C28" t="str">
        <f t="shared" si="0"/>
        <v>Kiefer</v>
      </c>
      <c r="D28" t="str">
        <f t="shared" si="1"/>
        <v>Sherwood</v>
      </c>
      <c r="E28" s="39" t="s">
        <v>2130</v>
      </c>
      <c r="F28" s="35" t="s">
        <v>6</v>
      </c>
      <c r="G28" s="35" t="s">
        <v>386</v>
      </c>
      <c r="H28" s="35" t="s">
        <v>2453</v>
      </c>
      <c r="I28" s="35" t="s">
        <v>2446</v>
      </c>
      <c r="J28" s="35">
        <v>24</v>
      </c>
      <c r="K28" s="35">
        <f>VALUE(COUNTIF(Validation!$A$2:$H$47,E28))</f>
        <v>0</v>
      </c>
      <c r="L28" s="361">
        <f t="shared" si="2"/>
        <v>925000</v>
      </c>
      <c r="M28" s="361">
        <f t="shared" si="3"/>
        <v>0</v>
      </c>
      <c r="N28" s="358">
        <v>925000</v>
      </c>
      <c r="O28" s="358" t="s">
        <v>8</v>
      </c>
      <c r="P28" s="358">
        <v>0</v>
      </c>
      <c r="Q28" s="358">
        <v>0</v>
      </c>
      <c r="R28" s="358">
        <v>0</v>
      </c>
      <c r="S28" s="358">
        <v>0</v>
      </c>
      <c r="T28" s="358">
        <v>0</v>
      </c>
      <c r="U28" s="35">
        <f t="shared" si="4"/>
        <v>1</v>
      </c>
      <c r="W28">
        <f t="shared" si="5"/>
        <v>1</v>
      </c>
      <c r="X28" s="35">
        <f t="shared" si="6"/>
        <v>1</v>
      </c>
      <c r="Y28">
        <f t="shared" si="7"/>
        <v>0</v>
      </c>
      <c r="AB28">
        <f t="shared" si="10"/>
        <v>1</v>
      </c>
      <c r="AC28">
        <f t="shared" ca="1" si="11"/>
        <v>0</v>
      </c>
      <c r="AD28" t="str">
        <f ca="1">IF(AC28=1,COUNTIF($AC$3:AC28,1),"")</f>
        <v/>
      </c>
      <c r="AE28" s="155" t="str">
        <f ca="1">IFERROR(INDEX(Données!$B$3:$B$1479,MATCH(ROWS($AD$3:AD28),$AD$3:$AD$1479,0)),"")</f>
        <v/>
      </c>
    </row>
    <row r="29" spans="1:31" ht="15.75" x14ac:dyDescent="0.25">
      <c r="A29" t="str">
        <f t="shared" si="8"/>
        <v>Jack Kopacka - ANA - AG</v>
      </c>
      <c r="B29" t="str">
        <f t="shared" si="9"/>
        <v>Jack Kopacka - ANA - AG</v>
      </c>
      <c r="C29" t="str">
        <f t="shared" si="0"/>
        <v>Jack</v>
      </c>
      <c r="D29" t="str">
        <f t="shared" si="1"/>
        <v>Kopacka</v>
      </c>
      <c r="E29" s="39" t="s">
        <v>2142</v>
      </c>
      <c r="F29" s="35" t="s">
        <v>6</v>
      </c>
      <c r="G29" s="35" t="s">
        <v>386</v>
      </c>
      <c r="H29" s="9" t="s">
        <v>2440</v>
      </c>
      <c r="I29" s="9" t="s">
        <v>2446</v>
      </c>
      <c r="J29" s="9">
        <v>21</v>
      </c>
      <c r="K29" s="35">
        <f>VALUE(COUNTIF(Validation!$A$2:$H$47,E29))</f>
        <v>0</v>
      </c>
      <c r="L29" s="361">
        <f t="shared" si="2"/>
        <v>910833</v>
      </c>
      <c r="M29" s="361">
        <f t="shared" si="3"/>
        <v>910833</v>
      </c>
      <c r="N29" s="358">
        <v>910833</v>
      </c>
      <c r="O29" s="358">
        <v>910833</v>
      </c>
      <c r="P29" s="358" t="s">
        <v>8</v>
      </c>
      <c r="Q29" s="358">
        <v>0</v>
      </c>
      <c r="R29" s="358">
        <v>0</v>
      </c>
      <c r="S29" s="358">
        <v>0</v>
      </c>
      <c r="T29" s="358">
        <v>0</v>
      </c>
      <c r="U29" s="35">
        <f t="shared" si="4"/>
        <v>2</v>
      </c>
      <c r="W29">
        <f t="shared" si="5"/>
        <v>1</v>
      </c>
      <c r="X29" s="35">
        <f t="shared" si="6"/>
        <v>1</v>
      </c>
      <c r="Y29">
        <f t="shared" si="7"/>
        <v>1</v>
      </c>
      <c r="AB29">
        <f t="shared" si="10"/>
        <v>1</v>
      </c>
      <c r="AC29">
        <f t="shared" ca="1" si="11"/>
        <v>0</v>
      </c>
      <c r="AD29" t="str">
        <f ca="1">IF(AC29=1,COUNTIF($AC$3:AC29,1),"")</f>
        <v/>
      </c>
      <c r="AE29" s="155" t="str">
        <f ca="1">IFERROR(INDEX(Données!$B$3:$B$1479,MATCH(ROWS($AD$3:AD29),$AD$3:$AD$1479,0)),"")</f>
        <v/>
      </c>
    </row>
    <row r="30" spans="1:31" ht="15.75" x14ac:dyDescent="0.25">
      <c r="A30" t="str">
        <f t="shared" si="8"/>
        <v>Josh Mahura - ANA - DG</v>
      </c>
      <c r="B30" t="str">
        <f t="shared" si="9"/>
        <v>Josh Mahura - ANA - DG</v>
      </c>
      <c r="C30" t="str">
        <f t="shared" si="0"/>
        <v>Josh</v>
      </c>
      <c r="D30" t="str">
        <f t="shared" si="1"/>
        <v>Mahura</v>
      </c>
      <c r="E30" s="39" t="s">
        <v>2141</v>
      </c>
      <c r="F30" s="35" t="s">
        <v>6</v>
      </c>
      <c r="G30" s="35" t="s">
        <v>386</v>
      </c>
      <c r="H30" s="35" t="s">
        <v>2445</v>
      </c>
      <c r="I30" s="35" t="s">
        <v>2446</v>
      </c>
      <c r="J30" s="35">
        <v>21</v>
      </c>
      <c r="K30" s="35">
        <f>VALUE(COUNTIF(Validation!$A$2:$H$47,E30))</f>
        <v>0</v>
      </c>
      <c r="L30" s="361">
        <f t="shared" si="2"/>
        <v>910833</v>
      </c>
      <c r="M30" s="361">
        <f t="shared" si="3"/>
        <v>910833</v>
      </c>
      <c r="N30" s="358">
        <v>910833</v>
      </c>
      <c r="O30" s="358">
        <v>910833</v>
      </c>
      <c r="P30" s="358" t="s">
        <v>8</v>
      </c>
      <c r="Q30" s="358">
        <v>0</v>
      </c>
      <c r="R30" s="358">
        <v>0</v>
      </c>
      <c r="S30" s="358">
        <v>0</v>
      </c>
      <c r="T30" s="358">
        <v>0</v>
      </c>
      <c r="U30" s="35">
        <f t="shared" si="4"/>
        <v>2</v>
      </c>
      <c r="W30">
        <f t="shared" si="5"/>
        <v>1</v>
      </c>
      <c r="X30" s="35">
        <f t="shared" si="6"/>
        <v>1</v>
      </c>
      <c r="Y30">
        <f t="shared" si="7"/>
        <v>1</v>
      </c>
      <c r="AB30">
        <f t="shared" si="10"/>
        <v>1</v>
      </c>
      <c r="AC30">
        <f t="shared" ca="1" si="11"/>
        <v>0</v>
      </c>
      <c r="AD30" t="str">
        <f ca="1">IF(AC30=1,COUNTIF($AC$3:AC30,1),"")</f>
        <v/>
      </c>
      <c r="AE30" s="155" t="str">
        <f ca="1">IFERROR(INDEX(Données!$B$3:$B$1479,MATCH(ROWS($AD$3:AD30),$AD$3:$AD$1479,0)),"")</f>
        <v/>
      </c>
    </row>
    <row r="31" spans="1:31" ht="15.75" x14ac:dyDescent="0.25">
      <c r="A31" t="str">
        <f t="shared" si="8"/>
        <v>Jacob Larsson - ANA - DG</v>
      </c>
      <c r="B31" t="str">
        <f t="shared" si="9"/>
        <v>Jacob Larsson - ANA - DG</v>
      </c>
      <c r="C31" t="str">
        <f t="shared" si="0"/>
        <v>Jacob</v>
      </c>
      <c r="D31" t="str">
        <f t="shared" si="1"/>
        <v>Larsson</v>
      </c>
      <c r="E31" s="39" t="s">
        <v>2132</v>
      </c>
      <c r="F31" s="35" t="s">
        <v>6</v>
      </c>
      <c r="G31" s="35" t="s">
        <v>386</v>
      </c>
      <c r="H31" s="35" t="s">
        <v>2445</v>
      </c>
      <c r="I31" s="35" t="s">
        <v>2446</v>
      </c>
      <c r="J31" s="35">
        <v>22</v>
      </c>
      <c r="K31" s="35">
        <f>VALUE(COUNTIF(Validation!$A$2:$H$47,E31))</f>
        <v>0</v>
      </c>
      <c r="L31" s="361">
        <f t="shared" si="2"/>
        <v>894166</v>
      </c>
      <c r="M31" s="361">
        <f t="shared" si="3"/>
        <v>0</v>
      </c>
      <c r="N31" s="358">
        <v>894166</v>
      </c>
      <c r="O31" s="358" t="s">
        <v>8</v>
      </c>
      <c r="P31" s="358">
        <v>0</v>
      </c>
      <c r="Q31" s="358">
        <v>0</v>
      </c>
      <c r="R31" s="358">
        <v>0</v>
      </c>
      <c r="S31" s="358">
        <v>0</v>
      </c>
      <c r="T31" s="358">
        <v>0</v>
      </c>
      <c r="U31" s="35">
        <f t="shared" si="4"/>
        <v>1</v>
      </c>
      <c r="W31">
        <f t="shared" si="5"/>
        <v>1</v>
      </c>
      <c r="X31" s="35">
        <f t="shared" si="6"/>
        <v>1</v>
      </c>
      <c r="Y31">
        <f t="shared" si="7"/>
        <v>0</v>
      </c>
      <c r="AB31">
        <f t="shared" si="10"/>
        <v>1</v>
      </c>
      <c r="AC31">
        <f t="shared" ca="1" si="11"/>
        <v>0</v>
      </c>
      <c r="AD31" t="str">
        <f ca="1">IF(AC31=1,COUNTIF($AC$3:AC31,1),"")</f>
        <v/>
      </c>
      <c r="AE31" s="155" t="str">
        <f ca="1">IFERROR(INDEX(Données!$B$3:$B$1479,MATCH(ROWS($AD$3:AD31),$AD$3:$AD$1479,0)),"")</f>
        <v/>
      </c>
    </row>
    <row r="32" spans="1:31" ht="15.75" x14ac:dyDescent="0.25">
      <c r="A32" t="str">
        <f t="shared" si="8"/>
        <v>Brendan Guhle - ANA - DG</v>
      </c>
      <c r="B32" t="str">
        <f t="shared" si="9"/>
        <v>Brendan Guhle - ANA - DG</v>
      </c>
      <c r="C32" t="str">
        <f t="shared" si="0"/>
        <v>Brendan</v>
      </c>
      <c r="D32" t="str">
        <f t="shared" si="1"/>
        <v>Guhle</v>
      </c>
      <c r="E32" s="39" t="s">
        <v>1415</v>
      </c>
      <c r="F32" s="35" t="s">
        <v>6</v>
      </c>
      <c r="G32" s="35" t="s">
        <v>386</v>
      </c>
      <c r="H32" s="35" t="s">
        <v>2445</v>
      </c>
      <c r="I32" s="35" t="s">
        <v>2439</v>
      </c>
      <c r="J32" s="35">
        <v>22</v>
      </c>
      <c r="K32" s="35">
        <f>VALUE(COUNTIF(Validation!$A$2:$H$47,E32))</f>
        <v>0</v>
      </c>
      <c r="L32" s="361">
        <f t="shared" si="2"/>
        <v>888333</v>
      </c>
      <c r="M32" s="361">
        <f t="shared" si="3"/>
        <v>0</v>
      </c>
      <c r="N32" s="358">
        <v>888333</v>
      </c>
      <c r="O32" s="358" t="s">
        <v>8</v>
      </c>
      <c r="P32" s="358">
        <v>0</v>
      </c>
      <c r="Q32" s="358">
        <v>0</v>
      </c>
      <c r="R32" s="358">
        <v>0</v>
      </c>
      <c r="S32" s="358">
        <v>0</v>
      </c>
      <c r="T32" s="358">
        <v>0</v>
      </c>
      <c r="U32" s="35">
        <f t="shared" si="4"/>
        <v>1</v>
      </c>
      <c r="W32">
        <f t="shared" si="5"/>
        <v>1</v>
      </c>
      <c r="X32" s="35">
        <f t="shared" si="6"/>
        <v>1</v>
      </c>
      <c r="Y32">
        <f t="shared" si="7"/>
        <v>0</v>
      </c>
      <c r="AB32">
        <f t="shared" si="10"/>
        <v>1</v>
      </c>
      <c r="AC32">
        <f t="shared" ca="1" si="11"/>
        <v>0</v>
      </c>
      <c r="AD32" t="str">
        <f ca="1">IF(AC32=1,COUNTIF($AC$3:AC32,1),"")</f>
        <v/>
      </c>
      <c r="AE32" s="155" t="str">
        <f ca="1">IFERROR(INDEX(Données!$B$3:$B$1479,MATCH(ROWS($AD$3:AD32),$AD$3:$AD$1479,0)),"")</f>
        <v/>
      </c>
    </row>
    <row r="33" spans="1:31" ht="15.75" x14ac:dyDescent="0.25">
      <c r="A33" t="str">
        <f t="shared" si="8"/>
        <v>Olle ErikssonEk - ANA - G</v>
      </c>
      <c r="B33" t="str">
        <f t="shared" si="9"/>
        <v>Olle ErikssonEk - ANA - G</v>
      </c>
      <c r="C33" t="str">
        <f t="shared" si="0"/>
        <v>Olle</v>
      </c>
      <c r="D33" t="str">
        <f t="shared" si="1"/>
        <v>ErikssonEk</v>
      </c>
      <c r="E33" s="39" t="s">
        <v>2932</v>
      </c>
      <c r="F33" s="35" t="s">
        <v>6</v>
      </c>
      <c r="G33" s="35" t="s">
        <v>386</v>
      </c>
      <c r="H33" s="9" t="s">
        <v>127</v>
      </c>
      <c r="I33" s="9" t="s">
        <v>2446</v>
      </c>
      <c r="J33" s="9">
        <v>20</v>
      </c>
      <c r="K33" s="35">
        <f>VALUE(COUNTIF(Validation!$A$2:$H$47,E33))</f>
        <v>0</v>
      </c>
      <c r="L33" s="361">
        <f t="shared" si="2"/>
        <v>878889</v>
      </c>
      <c r="M33" s="361">
        <f t="shared" si="3"/>
        <v>878889</v>
      </c>
      <c r="N33" s="358">
        <v>878889</v>
      </c>
      <c r="O33" s="358">
        <v>878889</v>
      </c>
      <c r="P33" s="358">
        <v>878889</v>
      </c>
      <c r="Q33" s="358" t="s">
        <v>8</v>
      </c>
      <c r="R33" s="358">
        <v>0</v>
      </c>
      <c r="S33" s="358">
        <v>0</v>
      </c>
      <c r="T33" s="358">
        <v>0</v>
      </c>
      <c r="U33" s="35">
        <f t="shared" si="4"/>
        <v>3</v>
      </c>
      <c r="W33">
        <f t="shared" si="5"/>
        <v>1</v>
      </c>
      <c r="X33" s="35">
        <f t="shared" si="6"/>
        <v>1</v>
      </c>
      <c r="Y33">
        <f t="shared" si="7"/>
        <v>1</v>
      </c>
      <c r="AB33">
        <f t="shared" si="10"/>
        <v>1</v>
      </c>
      <c r="AC33">
        <f t="shared" ca="1" si="11"/>
        <v>0</v>
      </c>
      <c r="AD33" t="str">
        <f ca="1">IF(AC33=1,COUNTIF($AC$3:AC33,1),"")</f>
        <v/>
      </c>
      <c r="AE33" s="155" t="str">
        <f ca="1">IFERROR(INDEX(Données!$B$3:$B$1479,MATCH(ROWS($AD$3:AD33),$AD$3:$AD$1479,0)),"")</f>
        <v/>
      </c>
    </row>
    <row r="34" spans="1:31" ht="15.75" x14ac:dyDescent="0.25">
      <c r="A34" t="str">
        <f t="shared" si="8"/>
        <v>Max Jones - ANA - AG</v>
      </c>
      <c r="B34" t="str">
        <f t="shared" si="9"/>
        <v>Max Jones - ANA - AG</v>
      </c>
      <c r="C34" t="str">
        <f t="shared" si="0"/>
        <v>Max</v>
      </c>
      <c r="D34" t="str">
        <f t="shared" si="1"/>
        <v>Jones</v>
      </c>
      <c r="E34" s="39" t="s">
        <v>2133</v>
      </c>
      <c r="F34" s="35" t="s">
        <v>6</v>
      </c>
      <c r="G34" s="35" t="s">
        <v>386</v>
      </c>
      <c r="H34" s="35" t="s">
        <v>2440</v>
      </c>
      <c r="I34" s="35" t="s">
        <v>2446</v>
      </c>
      <c r="J34" s="35">
        <v>21</v>
      </c>
      <c r="K34" s="35">
        <f>VALUE(COUNTIF(Validation!$A$2:$H$47,E34))</f>
        <v>0</v>
      </c>
      <c r="L34" s="361">
        <f t="shared" si="2"/>
        <v>863333</v>
      </c>
      <c r="M34" s="361">
        <f t="shared" si="3"/>
        <v>863333</v>
      </c>
      <c r="N34" s="358">
        <v>863333</v>
      </c>
      <c r="O34" s="358">
        <v>863333</v>
      </c>
      <c r="P34" s="358" t="s">
        <v>8</v>
      </c>
      <c r="Q34" s="358">
        <v>0</v>
      </c>
      <c r="R34" s="358">
        <v>0</v>
      </c>
      <c r="S34" s="358">
        <v>0</v>
      </c>
      <c r="T34" s="358">
        <v>0</v>
      </c>
      <c r="U34" s="35">
        <f t="shared" si="4"/>
        <v>2</v>
      </c>
      <c r="W34">
        <f t="shared" si="5"/>
        <v>1</v>
      </c>
      <c r="X34" s="35">
        <f t="shared" si="6"/>
        <v>1</v>
      </c>
      <c r="Y34">
        <f t="shared" si="7"/>
        <v>1</v>
      </c>
      <c r="AB34">
        <f t="shared" si="10"/>
        <v>1</v>
      </c>
      <c r="AC34">
        <f t="shared" ca="1" si="11"/>
        <v>0</v>
      </c>
      <c r="AD34" t="str">
        <f ca="1">IF(AC34=1,COUNTIF($AC$3:AC34,1),"")</f>
        <v/>
      </c>
      <c r="AE34" s="155" t="str">
        <f ca="1">IFERROR(INDEX(Données!$B$3:$B$1479,MATCH(ROWS($AD$3:AD34),$AD$3:$AD$1479,0)),"")</f>
        <v/>
      </c>
    </row>
    <row r="35" spans="1:31" ht="15.75" x14ac:dyDescent="0.25">
      <c r="A35" t="str">
        <f t="shared" si="8"/>
        <v>Sam Steel - ANA - C</v>
      </c>
      <c r="B35" t="str">
        <f t="shared" si="9"/>
        <v>Sam Steel - ANA - C</v>
      </c>
      <c r="C35" t="str">
        <f t="shared" si="0"/>
        <v>Sam</v>
      </c>
      <c r="D35" t="str">
        <f t="shared" si="1"/>
        <v>Steel</v>
      </c>
      <c r="E35" s="39" t="s">
        <v>2134</v>
      </c>
      <c r="F35" s="35" t="s">
        <v>6</v>
      </c>
      <c r="G35" s="35" t="s">
        <v>386</v>
      </c>
      <c r="H35" s="35" t="s">
        <v>73</v>
      </c>
      <c r="I35" s="35" t="s">
        <v>2446</v>
      </c>
      <c r="J35" s="35">
        <v>21</v>
      </c>
      <c r="K35" s="35">
        <f>VALUE(COUNTIF(Validation!$A$2:$H$47,E35))</f>
        <v>0</v>
      </c>
      <c r="L35" s="361">
        <f t="shared" si="2"/>
        <v>863333</v>
      </c>
      <c r="M35" s="361">
        <f t="shared" si="3"/>
        <v>863333</v>
      </c>
      <c r="N35" s="358">
        <v>863333</v>
      </c>
      <c r="O35" s="358">
        <v>863333</v>
      </c>
      <c r="P35" s="358" t="s">
        <v>8</v>
      </c>
      <c r="Q35" s="358">
        <v>0</v>
      </c>
      <c r="R35" s="358">
        <v>0</v>
      </c>
      <c r="S35" s="358">
        <v>0</v>
      </c>
      <c r="T35" s="358">
        <v>0</v>
      </c>
      <c r="U35" s="35">
        <f t="shared" si="4"/>
        <v>2</v>
      </c>
      <c r="W35">
        <f t="shared" si="5"/>
        <v>1</v>
      </c>
      <c r="X35" s="35">
        <f t="shared" si="6"/>
        <v>1</v>
      </c>
      <c r="Y35">
        <f t="shared" si="7"/>
        <v>1</v>
      </c>
      <c r="AB35">
        <f t="shared" si="10"/>
        <v>1</v>
      </c>
      <c r="AC35">
        <f t="shared" ca="1" si="11"/>
        <v>0</v>
      </c>
      <c r="AD35" t="str">
        <f ca="1">IF(AC35=1,COUNTIF($AC$3:AC35,1),"")</f>
        <v/>
      </c>
      <c r="AE35" s="155" t="str">
        <f ca="1">IFERROR(INDEX(Données!$B$3:$B$1479,MATCH(ROWS($AD$3:AD35),$AD$3:$AD$1479,0)),"")</f>
        <v/>
      </c>
    </row>
    <row r="36" spans="1:31" ht="15.75" x14ac:dyDescent="0.25">
      <c r="A36" t="str">
        <f t="shared" si="8"/>
        <v>Jani Hakanpaa - ANA - D</v>
      </c>
      <c r="B36" t="str">
        <f t="shared" si="9"/>
        <v>Jani Hakanpaa - ANA - D</v>
      </c>
      <c r="C36" t="str">
        <f t="shared" si="0"/>
        <v>Jani</v>
      </c>
      <c r="D36" t="str">
        <f t="shared" si="1"/>
        <v>Hakanpaa</v>
      </c>
      <c r="E36" s="39" t="s">
        <v>2873</v>
      </c>
      <c r="F36" s="35" t="s">
        <v>6</v>
      </c>
      <c r="G36" s="35">
        <v>0</v>
      </c>
      <c r="H36" s="35" t="s">
        <v>82</v>
      </c>
      <c r="I36" s="35" t="s">
        <v>2446</v>
      </c>
      <c r="J36" s="35">
        <v>27</v>
      </c>
      <c r="K36" s="35">
        <f>VALUE(COUNTIF(Validation!$A$2:$H$47,E36))</f>
        <v>0</v>
      </c>
      <c r="L36" s="361">
        <f t="shared" si="2"/>
        <v>850000</v>
      </c>
      <c r="M36" s="361">
        <f t="shared" si="3"/>
        <v>0</v>
      </c>
      <c r="N36" s="358">
        <v>850000</v>
      </c>
      <c r="O36" s="358" t="s">
        <v>7</v>
      </c>
      <c r="P36" s="358">
        <v>0</v>
      </c>
      <c r="Q36" s="358">
        <v>0</v>
      </c>
      <c r="R36" s="358">
        <v>0</v>
      </c>
      <c r="S36" s="358">
        <v>0</v>
      </c>
      <c r="T36" s="358">
        <v>0</v>
      </c>
      <c r="U36" s="35">
        <f t="shared" si="4"/>
        <v>1</v>
      </c>
      <c r="W36">
        <f t="shared" si="5"/>
        <v>1</v>
      </c>
      <c r="X36" s="35">
        <f t="shared" si="6"/>
        <v>0</v>
      </c>
      <c r="Y36">
        <f t="shared" si="7"/>
        <v>0</v>
      </c>
      <c r="AB36">
        <f t="shared" si="10"/>
        <v>1</v>
      </c>
      <c r="AC36">
        <f t="shared" ca="1" si="11"/>
        <v>0</v>
      </c>
      <c r="AD36" t="str">
        <f ca="1">IF(AC36=1,COUNTIF($AC$3:AC36,1),"")</f>
        <v/>
      </c>
      <c r="AE36" s="155" t="str">
        <f ca="1">IFERROR(INDEX(Données!$B$3:$B$1479,MATCH(ROWS($AD$3:AD36),$AD$3:$AD$1479,0)),"")</f>
        <v/>
      </c>
    </row>
    <row r="37" spans="1:31" ht="15.75" x14ac:dyDescent="0.25">
      <c r="A37" t="str">
        <f t="shared" si="8"/>
        <v>Korbinian Holzer - ANA - DD</v>
      </c>
      <c r="B37" t="str">
        <f t="shared" si="9"/>
        <v>Korbinian Holzer - ANA - DD</v>
      </c>
      <c r="C37" t="str">
        <f t="shared" si="0"/>
        <v>Korbinian</v>
      </c>
      <c r="D37" t="str">
        <f t="shared" si="1"/>
        <v>Holzer</v>
      </c>
      <c r="E37" s="39" t="s">
        <v>2126</v>
      </c>
      <c r="F37" s="35" t="s">
        <v>6</v>
      </c>
      <c r="G37" s="35">
        <v>0</v>
      </c>
      <c r="H37" s="35" t="s">
        <v>2444</v>
      </c>
      <c r="I37" s="35" t="s">
        <v>2439</v>
      </c>
      <c r="J37" s="35">
        <v>31</v>
      </c>
      <c r="K37" s="35">
        <f>VALUE(COUNTIF(Validation!$A$2:$H$47,E37))</f>
        <v>0</v>
      </c>
      <c r="L37" s="361">
        <f t="shared" si="2"/>
        <v>850000</v>
      </c>
      <c r="M37" s="361">
        <f t="shared" si="3"/>
        <v>0</v>
      </c>
      <c r="N37" s="358">
        <v>850000</v>
      </c>
      <c r="O37" s="358" t="s">
        <v>7</v>
      </c>
      <c r="P37" s="358">
        <v>0</v>
      </c>
      <c r="Q37" s="358">
        <v>0</v>
      </c>
      <c r="R37" s="358">
        <v>0</v>
      </c>
      <c r="S37" s="358">
        <v>0</v>
      </c>
      <c r="T37" s="358">
        <v>0</v>
      </c>
      <c r="U37" s="35">
        <f t="shared" si="4"/>
        <v>1</v>
      </c>
      <c r="W37">
        <f t="shared" si="5"/>
        <v>1</v>
      </c>
      <c r="X37" s="35">
        <f t="shared" si="6"/>
        <v>0</v>
      </c>
      <c r="Y37">
        <f t="shared" si="7"/>
        <v>0</v>
      </c>
      <c r="AB37">
        <f t="shared" si="10"/>
        <v>1</v>
      </c>
      <c r="AC37">
        <f t="shared" ca="1" si="11"/>
        <v>0</v>
      </c>
      <c r="AD37" t="str">
        <f ca="1">IF(AC37=1,COUNTIF($AC$3:AC37,1),"")</f>
        <v/>
      </c>
      <c r="AE37" s="155" t="str">
        <f ca="1">IFERROR(INDEX(Données!$B$3:$B$1479,MATCH(ROWS($AD$3:AD37),$AD$3:$AD$1479,0)),"")</f>
        <v/>
      </c>
    </row>
    <row r="38" spans="1:31" ht="15.75" x14ac:dyDescent="0.25">
      <c r="A38" t="str">
        <f t="shared" si="8"/>
        <v>Chase DeLeo - ANA - C</v>
      </c>
      <c r="B38" t="str">
        <f t="shared" si="9"/>
        <v>Chase DeLeo - ANA - C</v>
      </c>
      <c r="C38" t="str">
        <f t="shared" si="0"/>
        <v>Chase</v>
      </c>
      <c r="D38" t="str">
        <f t="shared" si="1"/>
        <v>DeLeo</v>
      </c>
      <c r="E38" s="39" t="s">
        <v>2928</v>
      </c>
      <c r="F38" s="35" t="s">
        <v>6</v>
      </c>
      <c r="G38" s="35">
        <v>0</v>
      </c>
      <c r="H38" s="35" t="s">
        <v>73</v>
      </c>
      <c r="I38" s="35" t="s">
        <v>2446</v>
      </c>
      <c r="J38" s="35">
        <v>23</v>
      </c>
      <c r="K38" s="35">
        <f>VALUE(COUNTIF(Validation!$A$2:$H$47,E38))</f>
        <v>0</v>
      </c>
      <c r="L38" s="361">
        <f t="shared" si="2"/>
        <v>750000</v>
      </c>
      <c r="M38" s="361">
        <f t="shared" si="3"/>
        <v>0</v>
      </c>
      <c r="N38" s="358">
        <v>750000</v>
      </c>
      <c r="O38" s="358" t="s">
        <v>8</v>
      </c>
      <c r="P38" s="358">
        <v>0</v>
      </c>
      <c r="Q38" s="362">
        <v>0</v>
      </c>
      <c r="R38" s="358">
        <v>0</v>
      </c>
      <c r="S38" s="358">
        <v>0</v>
      </c>
      <c r="T38" s="358">
        <v>0</v>
      </c>
      <c r="U38" s="35">
        <f t="shared" si="4"/>
        <v>1</v>
      </c>
      <c r="W38">
        <f t="shared" si="5"/>
        <v>1</v>
      </c>
      <c r="X38" s="35">
        <f t="shared" si="6"/>
        <v>0</v>
      </c>
      <c r="Y38">
        <f t="shared" si="7"/>
        <v>0</v>
      </c>
      <c r="AB38">
        <f t="shared" si="10"/>
        <v>1</v>
      </c>
      <c r="AC38">
        <f t="shared" ca="1" si="11"/>
        <v>0</v>
      </c>
      <c r="AD38" t="str">
        <f ca="1">IF(AC38=1,COUNTIF($AC$3:AC38,1),"")</f>
        <v/>
      </c>
      <c r="AE38" s="155" t="str">
        <f ca="1">IFERROR(INDEX(Données!$B$3:$B$1479,MATCH(ROWS($AD$3:AD38),$AD$3:$AD$1479,0)),"")</f>
        <v/>
      </c>
    </row>
    <row r="39" spans="1:31" ht="15.75" x14ac:dyDescent="0.25">
      <c r="A39" t="str">
        <f t="shared" si="8"/>
        <v>Michael DelZotto - ANA - DG</v>
      </c>
      <c r="B39" t="str">
        <f t="shared" si="9"/>
        <v>Michael DelZotto - ANA - DG</v>
      </c>
      <c r="C39" t="str">
        <f t="shared" si="0"/>
        <v>Michael</v>
      </c>
      <c r="D39" t="str">
        <f t="shared" si="1"/>
        <v>DelZotto</v>
      </c>
      <c r="E39" s="39" t="s">
        <v>2929</v>
      </c>
      <c r="F39" s="35" t="s">
        <v>6</v>
      </c>
      <c r="G39" s="35">
        <v>0</v>
      </c>
      <c r="H39" s="35" t="s">
        <v>2445</v>
      </c>
      <c r="I39" s="35" t="s">
        <v>2439</v>
      </c>
      <c r="J39" s="35">
        <v>29</v>
      </c>
      <c r="K39" s="35">
        <f>VALUE(COUNTIF(Validation!$A$2:$H$47,E39))</f>
        <v>0</v>
      </c>
      <c r="L39" s="361">
        <f t="shared" si="2"/>
        <v>750000</v>
      </c>
      <c r="M39" s="361">
        <f t="shared" si="3"/>
        <v>0</v>
      </c>
      <c r="N39" s="358">
        <v>750000</v>
      </c>
      <c r="O39" s="358" t="s">
        <v>7</v>
      </c>
      <c r="P39" s="358">
        <v>0</v>
      </c>
      <c r="Q39" s="358">
        <v>0</v>
      </c>
      <c r="R39" s="358">
        <v>0</v>
      </c>
      <c r="S39" s="358">
        <v>0</v>
      </c>
      <c r="T39" s="358">
        <v>0</v>
      </c>
      <c r="U39" s="35">
        <f t="shared" si="4"/>
        <v>1</v>
      </c>
      <c r="W39">
        <f t="shared" si="5"/>
        <v>1</v>
      </c>
      <c r="X39" s="35">
        <f t="shared" si="6"/>
        <v>0</v>
      </c>
      <c r="Y39">
        <f t="shared" si="7"/>
        <v>0</v>
      </c>
      <c r="AB39">
        <f t="shared" si="10"/>
        <v>1</v>
      </c>
      <c r="AC39">
        <f t="shared" ca="1" si="11"/>
        <v>0</v>
      </c>
      <c r="AD39" t="str">
        <f ca="1">IF(AC39=1,COUNTIF($AC$3:AC39,1),"")</f>
        <v/>
      </c>
      <c r="AE39" s="155" t="str">
        <f ca="1">IFERROR(INDEX(Données!$B$3:$B$1479,MATCH(ROWS($AD$3:AD39),$AD$3:$AD$1479,0)),"")</f>
        <v/>
      </c>
    </row>
    <row r="40" spans="1:31" ht="15.75" x14ac:dyDescent="0.25">
      <c r="A40" t="str">
        <f t="shared" si="8"/>
        <v>Andreas Martinsen - ANA - C</v>
      </c>
      <c r="B40" t="str">
        <f t="shared" si="9"/>
        <v>Andreas Martinsen - ANA - C</v>
      </c>
      <c r="C40" t="str">
        <f t="shared" si="0"/>
        <v>Andreas</v>
      </c>
      <c r="D40" t="str">
        <f t="shared" si="1"/>
        <v>Martinsen</v>
      </c>
      <c r="E40" s="39" t="s">
        <v>2740</v>
      </c>
      <c r="F40" s="35" t="s">
        <v>6</v>
      </c>
      <c r="G40" s="35">
        <v>0</v>
      </c>
      <c r="H40" s="35" t="s">
        <v>73</v>
      </c>
      <c r="I40" s="35" t="s">
        <v>2446</v>
      </c>
      <c r="J40" s="35">
        <v>29</v>
      </c>
      <c r="K40" s="35">
        <f>VALUE(COUNTIF(Validation!$A$2:$H$47,E40))</f>
        <v>0</v>
      </c>
      <c r="L40" s="361">
        <f t="shared" si="2"/>
        <v>750000</v>
      </c>
      <c r="M40" s="361">
        <f t="shared" si="3"/>
        <v>0</v>
      </c>
      <c r="N40" s="358">
        <v>750000</v>
      </c>
      <c r="O40" s="358" t="s">
        <v>7</v>
      </c>
      <c r="P40" s="358">
        <v>0</v>
      </c>
      <c r="Q40" s="358">
        <v>0</v>
      </c>
      <c r="R40" s="358">
        <v>0</v>
      </c>
      <c r="S40" s="358">
        <v>0</v>
      </c>
      <c r="T40" s="358">
        <v>0</v>
      </c>
      <c r="U40" s="35">
        <f t="shared" si="4"/>
        <v>1</v>
      </c>
      <c r="W40">
        <f t="shared" si="5"/>
        <v>1</v>
      </c>
      <c r="X40" s="35">
        <f t="shared" si="6"/>
        <v>0</v>
      </c>
      <c r="Y40">
        <f t="shared" si="7"/>
        <v>0</v>
      </c>
      <c r="AB40">
        <f t="shared" si="10"/>
        <v>1</v>
      </c>
      <c r="AC40">
        <f t="shared" ca="1" si="11"/>
        <v>0</v>
      </c>
      <c r="AD40" t="str">
        <f ca="1">IF(AC40=1,COUNTIF($AC$3:AC40,1),"")</f>
        <v/>
      </c>
      <c r="AE40" s="155" t="str">
        <f ca="1">IFERROR(INDEX(Données!$B$3:$B$1479,MATCH(ROWS($AD$3:AD40),$AD$3:$AD$1479,0)),"")</f>
        <v/>
      </c>
    </row>
    <row r="41" spans="1:31" ht="15.75" x14ac:dyDescent="0.25">
      <c r="A41" t="str">
        <f t="shared" si="8"/>
        <v>Blake Pietila - ANA - C, AD</v>
      </c>
      <c r="B41" t="str">
        <f t="shared" si="9"/>
        <v>Blake Pietila - ANA - C, AD</v>
      </c>
      <c r="C41" t="str">
        <f t="shared" si="0"/>
        <v>Blake</v>
      </c>
      <c r="D41" t="str">
        <f t="shared" si="1"/>
        <v>Pietila</v>
      </c>
      <c r="E41" s="39" t="s">
        <v>1724</v>
      </c>
      <c r="F41" s="35" t="s">
        <v>6</v>
      </c>
      <c r="G41" s="35">
        <v>0</v>
      </c>
      <c r="H41" s="9" t="s">
        <v>2448</v>
      </c>
      <c r="I41" s="9" t="s">
        <v>2446</v>
      </c>
      <c r="J41" s="9">
        <v>26</v>
      </c>
      <c r="K41" s="35">
        <f>VALUE(COUNTIF(Validation!$A$2:$H$47,E41))</f>
        <v>0</v>
      </c>
      <c r="L41" s="361">
        <f t="shared" si="2"/>
        <v>750000</v>
      </c>
      <c r="M41" s="361">
        <f t="shared" si="3"/>
        <v>0</v>
      </c>
      <c r="N41" s="358">
        <v>750000</v>
      </c>
      <c r="O41" s="358" t="s">
        <v>7</v>
      </c>
      <c r="P41" s="358">
        <v>0</v>
      </c>
      <c r="Q41" s="358">
        <v>0</v>
      </c>
      <c r="R41" s="358">
        <v>0</v>
      </c>
      <c r="S41" s="358">
        <v>0</v>
      </c>
      <c r="T41" s="358">
        <v>0</v>
      </c>
      <c r="U41" s="35">
        <f t="shared" si="4"/>
        <v>1</v>
      </c>
      <c r="W41">
        <f t="shared" si="5"/>
        <v>1</v>
      </c>
      <c r="X41" s="35">
        <f t="shared" si="6"/>
        <v>0</v>
      </c>
      <c r="Y41">
        <f t="shared" si="7"/>
        <v>0</v>
      </c>
      <c r="AB41">
        <f t="shared" si="10"/>
        <v>1</v>
      </c>
      <c r="AC41">
        <f t="shared" ca="1" si="11"/>
        <v>0</v>
      </c>
      <c r="AD41" t="str">
        <f ca="1">IF(AC41=1,COUNTIF($AC$3:AC41,1),"")</f>
        <v/>
      </c>
      <c r="AE41" s="155" t="str">
        <f ca="1">IFERROR(INDEX(Données!$B$3:$B$1479,MATCH(ROWS($AD$3:AD41),$AD$3:$AD$1479,0)),"")</f>
        <v/>
      </c>
    </row>
    <row r="42" spans="1:31" ht="15.75" x14ac:dyDescent="0.25">
      <c r="A42" t="str">
        <f t="shared" si="8"/>
        <v>Daniel Sprong - ANA - AD</v>
      </c>
      <c r="B42" t="str">
        <f t="shared" si="9"/>
        <v>Daniel Sprong - ANA - AD</v>
      </c>
      <c r="C42" t="str">
        <f t="shared" si="0"/>
        <v>Daniel</v>
      </c>
      <c r="D42" t="str">
        <f t="shared" si="1"/>
        <v>Sprong</v>
      </c>
      <c r="E42" s="39" t="s">
        <v>1825</v>
      </c>
      <c r="F42" s="35" t="s">
        <v>6</v>
      </c>
      <c r="G42" s="35">
        <v>0</v>
      </c>
      <c r="H42" s="35" t="s">
        <v>2438</v>
      </c>
      <c r="I42" s="35" t="s">
        <v>2439</v>
      </c>
      <c r="J42" s="35">
        <v>22</v>
      </c>
      <c r="K42" s="35">
        <f>VALUE(COUNTIF(Validation!$A$2:$H$47,E42))</f>
        <v>0</v>
      </c>
      <c r="L42" s="361">
        <f t="shared" si="2"/>
        <v>750000</v>
      </c>
      <c r="M42" s="361">
        <f t="shared" si="3"/>
        <v>0</v>
      </c>
      <c r="N42" s="358">
        <v>750000</v>
      </c>
      <c r="O42" s="358" t="s">
        <v>8</v>
      </c>
      <c r="P42" s="358">
        <v>0</v>
      </c>
      <c r="Q42" s="358">
        <v>0</v>
      </c>
      <c r="R42" s="358">
        <v>0</v>
      </c>
      <c r="S42" s="358">
        <v>0</v>
      </c>
      <c r="T42" s="358">
        <v>0</v>
      </c>
      <c r="U42" s="35">
        <f t="shared" si="4"/>
        <v>1</v>
      </c>
      <c r="W42">
        <f t="shared" si="5"/>
        <v>1</v>
      </c>
      <c r="X42" s="35">
        <f t="shared" si="6"/>
        <v>0</v>
      </c>
      <c r="Y42">
        <f t="shared" si="7"/>
        <v>0</v>
      </c>
      <c r="AB42">
        <f t="shared" si="10"/>
        <v>1</v>
      </c>
      <c r="AC42">
        <f t="shared" ca="1" si="11"/>
        <v>0</v>
      </c>
      <c r="AD42" t="str">
        <f ca="1">IF(AC42=1,COUNTIF($AC$3:AC42,1),"")</f>
        <v/>
      </c>
      <c r="AE42" s="155" t="str">
        <f ca="1">IFERROR(INDEX(Données!$B$3:$B$1479,MATCH(ROWS($AD$3:AD42),$AD$3:$AD$1479,0)),"")</f>
        <v/>
      </c>
    </row>
    <row r="43" spans="1:31" ht="15.75" x14ac:dyDescent="0.25">
      <c r="A43" t="str">
        <f t="shared" si="8"/>
        <v>Anthony Stolarz - ANA - G</v>
      </c>
      <c r="B43" t="str">
        <f t="shared" si="9"/>
        <v>Anthony Stolarz - ANA - G</v>
      </c>
      <c r="C43" t="str">
        <f t="shared" si="0"/>
        <v>Anthony</v>
      </c>
      <c r="D43" t="str">
        <f t="shared" si="1"/>
        <v>Stolarz</v>
      </c>
      <c r="E43" s="39" t="s">
        <v>1809</v>
      </c>
      <c r="F43" s="35" t="s">
        <v>6</v>
      </c>
      <c r="G43" s="35">
        <v>0</v>
      </c>
      <c r="H43" s="9" t="s">
        <v>127</v>
      </c>
      <c r="I43" s="9" t="s">
        <v>2439</v>
      </c>
      <c r="J43" s="9">
        <v>25</v>
      </c>
      <c r="K43" s="35">
        <f>VALUE(COUNTIF(Validation!$A$2:$H$47,E43))</f>
        <v>0</v>
      </c>
      <c r="L43" s="361">
        <f t="shared" si="2"/>
        <v>750000</v>
      </c>
      <c r="M43" s="361">
        <f t="shared" si="3"/>
        <v>750000</v>
      </c>
      <c r="N43" s="358">
        <v>750000</v>
      </c>
      <c r="O43" s="358">
        <v>750000</v>
      </c>
      <c r="P43" s="358" t="s">
        <v>7</v>
      </c>
      <c r="Q43" s="358">
        <v>0</v>
      </c>
      <c r="R43" s="358">
        <v>0</v>
      </c>
      <c r="S43" s="358">
        <v>0</v>
      </c>
      <c r="T43" s="358">
        <v>0</v>
      </c>
      <c r="U43" s="35">
        <f t="shared" si="4"/>
        <v>2</v>
      </c>
      <c r="W43">
        <f t="shared" si="5"/>
        <v>1</v>
      </c>
      <c r="X43" s="35">
        <f t="shared" si="6"/>
        <v>0</v>
      </c>
      <c r="Y43">
        <f t="shared" si="7"/>
        <v>1</v>
      </c>
      <c r="AB43">
        <f t="shared" si="10"/>
        <v>1</v>
      </c>
      <c r="AC43">
        <f t="shared" ca="1" si="11"/>
        <v>0</v>
      </c>
      <c r="AD43" t="str">
        <f ca="1">IF(AC43=1,COUNTIF($AC$3:AC43,1),"")</f>
        <v/>
      </c>
      <c r="AE43" s="155" t="str">
        <f ca="1">IFERROR(INDEX(Données!$B$3:$B$1479,MATCH(ROWS($AD$3:AD43),$AD$3:$AD$1479,0)),"")</f>
        <v/>
      </c>
    </row>
    <row r="44" spans="1:31" ht="15.75" x14ac:dyDescent="0.25">
      <c r="A44" t="str">
        <f t="shared" si="8"/>
        <v>Sam Carrick - ANA - C</v>
      </c>
      <c r="B44" t="str">
        <f t="shared" si="9"/>
        <v>Sam Carrick - ANA - C</v>
      </c>
      <c r="C44" t="str">
        <f t="shared" si="0"/>
        <v>Sam</v>
      </c>
      <c r="D44" t="str">
        <f t="shared" si="1"/>
        <v>Carrick</v>
      </c>
      <c r="E44" s="39" t="s">
        <v>2148</v>
      </c>
      <c r="F44" s="35" t="s">
        <v>6</v>
      </c>
      <c r="G44" s="35">
        <v>0</v>
      </c>
      <c r="H44" s="35" t="s">
        <v>73</v>
      </c>
      <c r="I44" s="35" t="s">
        <v>2446</v>
      </c>
      <c r="J44" s="35">
        <v>27</v>
      </c>
      <c r="K44" s="35">
        <f>VALUE(COUNTIF(Validation!$A$2:$H$47,E44))</f>
        <v>0</v>
      </c>
      <c r="L44" s="361">
        <f t="shared" si="2"/>
        <v>700000</v>
      </c>
      <c r="M44" s="361">
        <f t="shared" si="3"/>
        <v>0</v>
      </c>
      <c r="N44" s="358">
        <v>700000</v>
      </c>
      <c r="O44" s="358" t="s">
        <v>7</v>
      </c>
      <c r="P44" s="358">
        <v>0</v>
      </c>
      <c r="Q44" s="358">
        <v>0</v>
      </c>
      <c r="R44" s="358">
        <v>0</v>
      </c>
      <c r="S44" s="358">
        <v>0</v>
      </c>
      <c r="T44" s="358">
        <v>0</v>
      </c>
      <c r="U44" s="35">
        <f t="shared" si="4"/>
        <v>1</v>
      </c>
      <c r="W44">
        <f t="shared" si="5"/>
        <v>1</v>
      </c>
      <c r="X44" s="35">
        <f t="shared" si="6"/>
        <v>0</v>
      </c>
      <c r="Y44">
        <f t="shared" si="7"/>
        <v>0</v>
      </c>
      <c r="AB44">
        <f t="shared" si="10"/>
        <v>1</v>
      </c>
      <c r="AC44">
        <f t="shared" ca="1" si="11"/>
        <v>0</v>
      </c>
      <c r="AD44" t="str">
        <f ca="1">IF(AC44=1,COUNTIF($AC$3:AC44,1),"")</f>
        <v/>
      </c>
      <c r="AE44" s="155" t="str">
        <f ca="1">IFERROR(INDEX(Données!$B$3:$B$1479,MATCH(ROWS($AD$3:AD44),$AD$3:$AD$1479,0)),"")</f>
        <v/>
      </c>
    </row>
    <row r="45" spans="1:31" ht="15.75" x14ac:dyDescent="0.25">
      <c r="A45" t="str">
        <f t="shared" si="8"/>
        <v>Derek Grant - ANA - AD, C</v>
      </c>
      <c r="B45" t="str">
        <f t="shared" si="9"/>
        <v>Derek Grant - ANA - AD, C</v>
      </c>
      <c r="C45" t="str">
        <f t="shared" si="0"/>
        <v>Derek</v>
      </c>
      <c r="D45" t="str">
        <f t="shared" si="1"/>
        <v>Grant</v>
      </c>
      <c r="E45" s="39" t="s">
        <v>1827</v>
      </c>
      <c r="F45" s="35" t="s">
        <v>6</v>
      </c>
      <c r="G45" s="35">
        <v>0</v>
      </c>
      <c r="H45" s="35" t="s">
        <v>2453</v>
      </c>
      <c r="I45" s="35" t="s">
        <v>2439</v>
      </c>
      <c r="J45" s="35">
        <v>29</v>
      </c>
      <c r="K45" s="35">
        <f>VALUE(COUNTIF(Validation!$A$2:$H$47,E45))</f>
        <v>0</v>
      </c>
      <c r="L45" s="361">
        <f t="shared" si="2"/>
        <v>700000</v>
      </c>
      <c r="M45" s="361">
        <f t="shared" si="3"/>
        <v>0</v>
      </c>
      <c r="N45" s="358">
        <v>700000</v>
      </c>
      <c r="O45" s="358" t="s">
        <v>7</v>
      </c>
      <c r="P45" s="358">
        <v>0</v>
      </c>
      <c r="Q45" s="358">
        <v>0</v>
      </c>
      <c r="R45" s="358">
        <v>0</v>
      </c>
      <c r="S45" s="358">
        <v>0</v>
      </c>
      <c r="T45" s="358">
        <v>0</v>
      </c>
      <c r="U45" s="35">
        <f t="shared" si="4"/>
        <v>1</v>
      </c>
      <c r="W45">
        <f t="shared" si="5"/>
        <v>1</v>
      </c>
      <c r="X45" s="35">
        <f t="shared" si="6"/>
        <v>0</v>
      </c>
      <c r="Y45">
        <f t="shared" si="7"/>
        <v>0</v>
      </c>
      <c r="AB45">
        <f t="shared" si="10"/>
        <v>1</v>
      </c>
      <c r="AC45">
        <f t="shared" ca="1" si="11"/>
        <v>0</v>
      </c>
      <c r="AD45" t="str">
        <f ca="1">IF(AC45=1,COUNTIF($AC$3:AC45,1),"")</f>
        <v/>
      </c>
      <c r="AE45" s="155" t="str">
        <f ca="1">IFERROR(INDEX(Données!$B$3:$B$1479,MATCH(ROWS($AD$3:AD45),$AD$3:$AD$1479,0)),"")</f>
        <v/>
      </c>
    </row>
    <row r="46" spans="1:31" ht="15.75" x14ac:dyDescent="0.25">
      <c r="A46" t="str">
        <f t="shared" si="8"/>
        <v>Justin Kloos - ANA - C, AD</v>
      </c>
      <c r="B46" t="str">
        <f t="shared" si="9"/>
        <v>Justin Kloos - ANA - C, AD</v>
      </c>
      <c r="C46" t="str">
        <f t="shared" si="0"/>
        <v>Justin</v>
      </c>
      <c r="D46" t="str">
        <f t="shared" si="1"/>
        <v>Kloos</v>
      </c>
      <c r="E46" s="39" t="s">
        <v>2006</v>
      </c>
      <c r="F46" s="35" t="s">
        <v>6</v>
      </c>
      <c r="G46" s="35">
        <v>0</v>
      </c>
      <c r="H46" s="9" t="s">
        <v>2448</v>
      </c>
      <c r="I46" s="9" t="s">
        <v>2446</v>
      </c>
      <c r="J46" s="9">
        <v>25</v>
      </c>
      <c r="K46" s="35">
        <f>VALUE(COUNTIF(Validation!$A$2:$H$47,E46))</f>
        <v>0</v>
      </c>
      <c r="L46" s="361">
        <f t="shared" si="2"/>
        <v>700000</v>
      </c>
      <c r="M46" s="361">
        <f t="shared" si="3"/>
        <v>0</v>
      </c>
      <c r="N46" s="358">
        <v>700000</v>
      </c>
      <c r="O46" s="358" t="s">
        <v>8</v>
      </c>
      <c r="P46" s="358">
        <v>0</v>
      </c>
      <c r="Q46" s="358">
        <v>0</v>
      </c>
      <c r="R46" s="358">
        <v>0</v>
      </c>
      <c r="S46" s="358">
        <v>0</v>
      </c>
      <c r="T46" s="358">
        <v>0</v>
      </c>
      <c r="U46" s="35">
        <f t="shared" si="4"/>
        <v>1</v>
      </c>
      <c r="W46">
        <f t="shared" si="5"/>
        <v>1</v>
      </c>
      <c r="X46" s="35">
        <f t="shared" si="6"/>
        <v>0</v>
      </c>
      <c r="Y46">
        <f t="shared" si="7"/>
        <v>0</v>
      </c>
      <c r="AB46">
        <f t="shared" si="10"/>
        <v>1</v>
      </c>
      <c r="AC46">
        <f t="shared" ca="1" si="11"/>
        <v>0</v>
      </c>
      <c r="AD46" t="str">
        <f ca="1">IF(AC46=1,COUNTIF($AC$3:AC46,1),"")</f>
        <v/>
      </c>
      <c r="AE46" s="155" t="str">
        <f ca="1">IFERROR(INDEX(Données!$B$3:$B$1479,MATCH(ROWS($AD$3:AD46),$AD$3:$AD$1479,0)),"")</f>
        <v/>
      </c>
    </row>
    <row r="47" spans="1:31" ht="15.75" x14ac:dyDescent="0.25">
      <c r="A47" t="str">
        <f t="shared" si="8"/>
        <v>Andrew Poturalski - ANA - C</v>
      </c>
      <c r="B47" t="str">
        <f t="shared" si="9"/>
        <v>Andrew Poturalski - ANA - C</v>
      </c>
      <c r="C47" t="str">
        <f t="shared" si="0"/>
        <v>Andrew</v>
      </c>
      <c r="D47" t="str">
        <f t="shared" si="1"/>
        <v>Poturalski</v>
      </c>
      <c r="E47" s="39" t="s">
        <v>1648</v>
      </c>
      <c r="F47" s="35" t="s">
        <v>6</v>
      </c>
      <c r="G47" s="35">
        <v>0</v>
      </c>
      <c r="H47" s="35" t="s">
        <v>73</v>
      </c>
      <c r="I47" s="35" t="s">
        <v>2446</v>
      </c>
      <c r="J47" s="35">
        <v>25</v>
      </c>
      <c r="K47" s="35">
        <f>VALUE(COUNTIF(Validation!$A$2:$H$47,E47))</f>
        <v>0</v>
      </c>
      <c r="L47" s="361">
        <f t="shared" si="2"/>
        <v>700000</v>
      </c>
      <c r="M47" s="361">
        <f t="shared" si="3"/>
        <v>0</v>
      </c>
      <c r="N47" s="358">
        <v>700000</v>
      </c>
      <c r="O47" s="358" t="s">
        <v>8</v>
      </c>
      <c r="P47" s="358">
        <v>0</v>
      </c>
      <c r="Q47" s="358">
        <v>0</v>
      </c>
      <c r="R47" s="358">
        <v>0</v>
      </c>
      <c r="S47" s="358">
        <v>0</v>
      </c>
      <c r="T47" s="358">
        <v>0</v>
      </c>
      <c r="U47" s="35">
        <f t="shared" si="4"/>
        <v>1</v>
      </c>
      <c r="W47">
        <f t="shared" si="5"/>
        <v>1</v>
      </c>
      <c r="X47" s="35">
        <f t="shared" si="6"/>
        <v>0</v>
      </c>
      <c r="Y47">
        <f t="shared" si="7"/>
        <v>0</v>
      </c>
      <c r="AB47">
        <f t="shared" si="10"/>
        <v>1</v>
      </c>
      <c r="AC47">
        <f t="shared" ca="1" si="11"/>
        <v>0</v>
      </c>
      <c r="AD47" t="str">
        <f ca="1">IF(AC47=1,COUNTIF($AC$3:AC47,1),"")</f>
        <v/>
      </c>
      <c r="AE47" s="155" t="str">
        <f ca="1">IFERROR(INDEX(Données!$B$3:$B$1479,MATCH(ROWS($AD$3:AD47),$AD$3:$AD$1479,0)),"")</f>
        <v/>
      </c>
    </row>
    <row r="48" spans="1:31" ht="15.75" x14ac:dyDescent="0.25">
      <c r="A48" t="str">
        <f t="shared" si="8"/>
        <v>Patrick Sieloff - ANA - DG</v>
      </c>
      <c r="B48" t="str">
        <f t="shared" si="9"/>
        <v>Patrick Sieloff - ANA - DG</v>
      </c>
      <c r="C48" t="str">
        <f t="shared" si="0"/>
        <v>Patrick</v>
      </c>
      <c r="D48" t="str">
        <f t="shared" si="1"/>
        <v>Sieloff</v>
      </c>
      <c r="E48" s="39" t="s">
        <v>1544</v>
      </c>
      <c r="F48" s="35" t="s">
        <v>6</v>
      </c>
      <c r="G48" s="35">
        <v>0</v>
      </c>
      <c r="H48" s="35" t="s">
        <v>2445</v>
      </c>
      <c r="I48" s="35" t="s">
        <v>2446</v>
      </c>
      <c r="J48" s="35">
        <v>25</v>
      </c>
      <c r="K48" s="35">
        <f>VALUE(COUNTIF(Validation!$A$2:$H$47,E48))</f>
        <v>0</v>
      </c>
      <c r="L48" s="361">
        <f t="shared" si="2"/>
        <v>700000</v>
      </c>
      <c r="M48" s="361">
        <f t="shared" si="3"/>
        <v>0</v>
      </c>
      <c r="N48" s="358">
        <v>700000</v>
      </c>
      <c r="O48" s="358" t="s">
        <v>8</v>
      </c>
      <c r="P48" s="358">
        <v>0</v>
      </c>
      <c r="Q48" s="358">
        <v>0</v>
      </c>
      <c r="R48" s="358">
        <v>0</v>
      </c>
      <c r="S48" s="358">
        <v>0</v>
      </c>
      <c r="T48" s="358">
        <v>0</v>
      </c>
      <c r="U48" s="35">
        <f t="shared" si="4"/>
        <v>1</v>
      </c>
      <c r="W48">
        <f t="shared" si="5"/>
        <v>1</v>
      </c>
      <c r="X48" s="35">
        <f t="shared" si="6"/>
        <v>0</v>
      </c>
      <c r="Y48">
        <f t="shared" si="7"/>
        <v>0</v>
      </c>
      <c r="AB48">
        <f t="shared" si="10"/>
        <v>1</v>
      </c>
      <c r="AC48">
        <f t="shared" ca="1" si="11"/>
        <v>0</v>
      </c>
      <c r="AD48" t="str">
        <f ca="1">IF(AC48=1,COUNTIF($AC$3:AC48,1),"")</f>
        <v/>
      </c>
      <c r="AE48" s="155" t="str">
        <f ca="1">IFERROR(INDEX(Données!$B$3:$B$1479,MATCH(ROWS($AD$3:AD48),$AD$3:$AD$1479,0)),"")</f>
        <v/>
      </c>
    </row>
    <row r="49" spans="1:31" ht="15.75" x14ac:dyDescent="0.25">
      <c r="A49" t="str">
        <f t="shared" si="8"/>
        <v>Chris Wideman - ANA - DD</v>
      </c>
      <c r="B49" t="str">
        <f t="shared" si="9"/>
        <v>Chris Wideman - ANA - DD</v>
      </c>
      <c r="C49" t="str">
        <f t="shared" si="0"/>
        <v>Chris</v>
      </c>
      <c r="D49" t="str">
        <f t="shared" si="1"/>
        <v>Wideman</v>
      </c>
      <c r="E49" s="39" t="s">
        <v>2742</v>
      </c>
      <c r="F49" s="30" t="s">
        <v>6</v>
      </c>
      <c r="G49" s="35">
        <v>0</v>
      </c>
      <c r="H49" s="35" t="s">
        <v>2444</v>
      </c>
      <c r="I49" s="9" t="s">
        <v>2446</v>
      </c>
      <c r="J49" s="35">
        <v>29</v>
      </c>
      <c r="K49" s="35">
        <f>VALUE(COUNTIF(Validation!$A$2:$H$47,E49))</f>
        <v>0</v>
      </c>
      <c r="L49" s="361">
        <f t="shared" si="2"/>
        <v>700000</v>
      </c>
      <c r="M49" s="361">
        <f t="shared" si="3"/>
        <v>0</v>
      </c>
      <c r="N49" s="358">
        <v>700000</v>
      </c>
      <c r="O49" s="358" t="s">
        <v>7</v>
      </c>
      <c r="P49" s="358">
        <v>0</v>
      </c>
      <c r="Q49" s="358">
        <v>0</v>
      </c>
      <c r="R49" s="358">
        <v>0</v>
      </c>
      <c r="S49" s="358">
        <v>0</v>
      </c>
      <c r="T49" s="358">
        <v>0</v>
      </c>
      <c r="U49" s="35">
        <f t="shared" si="4"/>
        <v>1</v>
      </c>
      <c r="W49">
        <f t="shared" si="5"/>
        <v>1</v>
      </c>
      <c r="X49" s="35">
        <f t="shared" si="6"/>
        <v>0</v>
      </c>
      <c r="Y49">
        <f t="shared" si="7"/>
        <v>0</v>
      </c>
      <c r="AB49">
        <f t="shared" si="10"/>
        <v>1</v>
      </c>
      <c r="AC49">
        <f t="shared" ca="1" si="11"/>
        <v>0</v>
      </c>
      <c r="AD49" t="str">
        <f ca="1">IF(AC49=1,COUNTIF($AC$3:AC49,1),"")</f>
        <v/>
      </c>
      <c r="AE49" s="155" t="str">
        <f ca="1">IFERROR(INDEX(Données!$B$3:$B$1479,MATCH(ROWS($AD$3:AD49),$AD$3:$AD$1479,0)),"")</f>
        <v/>
      </c>
    </row>
    <row r="50" spans="1:31" ht="15.75" x14ac:dyDescent="0.25">
      <c r="A50" t="str">
        <f t="shared" si="8"/>
        <v>Kevin Boyle - ANA - G</v>
      </c>
      <c r="B50" t="str">
        <f t="shared" si="9"/>
        <v>Kevin Boyle - ANA - G</v>
      </c>
      <c r="C50" t="str">
        <f t="shared" si="0"/>
        <v>Kevin</v>
      </c>
      <c r="D50" t="str">
        <f t="shared" si="1"/>
        <v>Boyle</v>
      </c>
      <c r="E50" s="39" t="s">
        <v>2147</v>
      </c>
      <c r="F50" s="30" t="s">
        <v>6</v>
      </c>
      <c r="G50" s="35">
        <v>0</v>
      </c>
      <c r="H50" s="35" t="s">
        <v>127</v>
      </c>
      <c r="I50" s="35" t="s">
        <v>2446</v>
      </c>
      <c r="J50" s="35">
        <v>27</v>
      </c>
      <c r="K50" s="35">
        <f>VALUE(COUNTIF(Validation!$A$2:$H$47,E50))</f>
        <v>0</v>
      </c>
      <c r="L50" s="361">
        <f t="shared" si="2"/>
        <v>675000</v>
      </c>
      <c r="M50" s="361">
        <f t="shared" si="3"/>
        <v>0</v>
      </c>
      <c r="N50" s="358">
        <v>675000</v>
      </c>
      <c r="O50" s="358" t="s">
        <v>7</v>
      </c>
      <c r="P50" s="358">
        <v>0</v>
      </c>
      <c r="Q50" s="362">
        <v>0</v>
      </c>
      <c r="R50" s="358">
        <v>0</v>
      </c>
      <c r="S50" s="358">
        <v>0</v>
      </c>
      <c r="T50" s="358">
        <v>0</v>
      </c>
      <c r="U50" s="35">
        <f t="shared" si="4"/>
        <v>1</v>
      </c>
      <c r="W50">
        <f t="shared" si="5"/>
        <v>1</v>
      </c>
      <c r="X50" s="35">
        <f t="shared" si="6"/>
        <v>0</v>
      </c>
      <c r="Y50">
        <f t="shared" si="7"/>
        <v>0</v>
      </c>
      <c r="AB50">
        <f t="shared" si="10"/>
        <v>1</v>
      </c>
      <c r="AC50">
        <f t="shared" ca="1" si="11"/>
        <v>0</v>
      </c>
      <c r="AD50" t="str">
        <f ca="1">IF(AC50=1,COUNTIF($AC$3:AC50,1),"")</f>
        <v/>
      </c>
      <c r="AE50" s="155" t="str">
        <f ca="1">IFERROR(INDEX(Données!$B$3:$B$1479,MATCH(ROWS($AD$3:AD50),$AD$3:$AD$1479,0)),"")</f>
        <v/>
      </c>
    </row>
    <row r="51" spans="1:31" ht="15.75" x14ac:dyDescent="0.25">
      <c r="A51" t="str">
        <f t="shared" si="8"/>
        <v>Simon Despres - ANA - 0</v>
      </c>
      <c r="B51" t="str">
        <f t="shared" si="9"/>
        <v>Simon Despres - ANA - 0</v>
      </c>
      <c r="C51" t="str">
        <f t="shared" si="0"/>
        <v>Simon</v>
      </c>
      <c r="D51" t="str">
        <f t="shared" si="1"/>
        <v>Despres</v>
      </c>
      <c r="E51" s="39" t="s">
        <v>2739</v>
      </c>
      <c r="F51" s="30" t="s">
        <v>6</v>
      </c>
      <c r="G51" s="35">
        <v>0</v>
      </c>
      <c r="H51" s="35">
        <v>0</v>
      </c>
      <c r="I51" s="35">
        <v>0</v>
      </c>
      <c r="J51" s="35">
        <v>0</v>
      </c>
      <c r="K51" s="35">
        <f>VALUE(COUNTIF(Validation!$A$2:$H$47,E51))</f>
        <v>0</v>
      </c>
      <c r="L51" s="361">
        <f t="shared" si="2"/>
        <v>0</v>
      </c>
      <c r="M51" s="361">
        <f t="shared" si="3"/>
        <v>0</v>
      </c>
      <c r="N51" s="358">
        <v>0</v>
      </c>
      <c r="O51" s="358">
        <v>0</v>
      </c>
      <c r="P51" s="358">
        <v>0</v>
      </c>
      <c r="Q51" s="358">
        <v>0</v>
      </c>
      <c r="R51" s="358">
        <v>0</v>
      </c>
      <c r="S51" s="358">
        <v>0</v>
      </c>
      <c r="T51" s="358">
        <v>0</v>
      </c>
      <c r="U51" s="35">
        <f t="shared" si="4"/>
        <v>0</v>
      </c>
      <c r="W51">
        <f t="shared" si="5"/>
        <v>1</v>
      </c>
      <c r="X51" s="35">
        <f t="shared" si="6"/>
        <v>0</v>
      </c>
      <c r="Y51">
        <f t="shared" si="7"/>
        <v>1</v>
      </c>
      <c r="AB51">
        <f t="shared" si="10"/>
        <v>1</v>
      </c>
      <c r="AC51">
        <f t="shared" ca="1" si="11"/>
        <v>0</v>
      </c>
      <c r="AD51" t="str">
        <f ca="1">IF(AC51=1,COUNTIF($AC$3:AC51,1),"")</f>
        <v/>
      </c>
      <c r="AE51" s="155" t="str">
        <f ca="1">IFERROR(INDEX(Données!$B$3:$B$1479,MATCH(ROWS($AD$3:AD51),$AD$3:$AD$1479,0)),"")</f>
        <v/>
      </c>
    </row>
    <row r="52" spans="1:31" ht="15.75" x14ac:dyDescent="0.25">
      <c r="A52" t="str">
        <f t="shared" si="8"/>
        <v>Oliver Ekman-Larsson - ARI - LD</v>
      </c>
      <c r="B52" t="str">
        <f t="shared" si="9"/>
        <v>Oliver Ekman-Larsson - ARI - LD</v>
      </c>
      <c r="C52" t="str">
        <f t="shared" si="0"/>
        <v>Oliver</v>
      </c>
      <c r="D52" t="str">
        <f t="shared" si="1"/>
        <v>Ekman-Larsson</v>
      </c>
      <c r="E52" s="14" t="s">
        <v>2957</v>
      </c>
      <c r="F52" s="30" t="s">
        <v>63</v>
      </c>
      <c r="G52" s="35" t="s">
        <v>420</v>
      </c>
      <c r="H52" s="35" t="s">
        <v>380</v>
      </c>
      <c r="I52" s="35" t="s">
        <v>2677</v>
      </c>
      <c r="J52" s="35">
        <v>28</v>
      </c>
      <c r="L52" s="361">
        <f t="shared" si="2"/>
        <v>8250000</v>
      </c>
      <c r="M52" s="361">
        <f t="shared" si="3"/>
        <v>8250000</v>
      </c>
      <c r="N52" s="358">
        <v>8250000</v>
      </c>
      <c r="O52" s="358">
        <v>8250000</v>
      </c>
      <c r="P52" s="358">
        <v>8250000</v>
      </c>
      <c r="Q52" s="358">
        <v>8250000</v>
      </c>
      <c r="R52" s="358">
        <v>8250000</v>
      </c>
      <c r="S52" s="358">
        <v>8250000</v>
      </c>
      <c r="T52" s="358">
        <v>8250000</v>
      </c>
      <c r="U52" s="35">
        <f t="shared" si="4"/>
        <v>7</v>
      </c>
      <c r="W52">
        <f t="shared" si="5"/>
        <v>1</v>
      </c>
      <c r="X52" s="35">
        <f t="shared" si="6"/>
        <v>0</v>
      </c>
      <c r="Y52">
        <f t="shared" si="7"/>
        <v>1</v>
      </c>
      <c r="AB52">
        <f t="shared" si="10"/>
        <v>1</v>
      </c>
      <c r="AC52">
        <f t="shared" ca="1" si="11"/>
        <v>0</v>
      </c>
      <c r="AD52" t="str">
        <f ca="1">IF(AC52=1,COUNTIF($AC$3:AC52,1),"")</f>
        <v/>
      </c>
      <c r="AE52" s="155" t="str">
        <f ca="1">IFERROR(INDEX(Données!$B$3:$B$1479,MATCH(ROWS($AD$3:AD52),$AD$3:$AD$1479,0)),"")</f>
        <v/>
      </c>
    </row>
    <row r="53" spans="1:31" ht="15.75" x14ac:dyDescent="0.25">
      <c r="A53" t="str">
        <f t="shared" si="8"/>
        <v>Phil Kessel - ARI - RW</v>
      </c>
      <c r="B53" t="str">
        <f t="shared" si="9"/>
        <v>Phil Kessel - ARI - RW</v>
      </c>
      <c r="C53" t="str">
        <f t="shared" si="0"/>
        <v>Phil</v>
      </c>
      <c r="D53" t="str">
        <f t="shared" si="1"/>
        <v>Kessel</v>
      </c>
      <c r="E53" s="39" t="s">
        <v>1603</v>
      </c>
      <c r="F53" s="30" t="s">
        <v>63</v>
      </c>
      <c r="G53" s="35" t="s">
        <v>2705</v>
      </c>
      <c r="H53" s="35" t="s">
        <v>88</v>
      </c>
      <c r="I53" s="35" t="s">
        <v>2677</v>
      </c>
      <c r="J53" s="35">
        <v>31</v>
      </c>
      <c r="K53" s="35">
        <f>VALUE(COUNTIF(Validation!$A$2:$H$47,E53))</f>
        <v>0</v>
      </c>
      <c r="L53" s="361">
        <f t="shared" si="2"/>
        <v>8000000</v>
      </c>
      <c r="M53" s="361">
        <f t="shared" si="3"/>
        <v>8000000</v>
      </c>
      <c r="N53" s="358">
        <v>8000000</v>
      </c>
      <c r="O53" s="358">
        <v>8000000</v>
      </c>
      <c r="P53" s="358">
        <v>8000000</v>
      </c>
      <c r="Q53" s="358" t="s">
        <v>7</v>
      </c>
      <c r="R53" s="358">
        <v>0</v>
      </c>
      <c r="S53" s="358">
        <v>0</v>
      </c>
      <c r="T53" s="358">
        <v>0</v>
      </c>
      <c r="U53" s="35">
        <f t="shared" si="4"/>
        <v>3</v>
      </c>
      <c r="W53">
        <f t="shared" si="5"/>
        <v>1</v>
      </c>
      <c r="X53" s="35">
        <f t="shared" si="6"/>
        <v>0</v>
      </c>
      <c r="Y53">
        <f t="shared" si="7"/>
        <v>1</v>
      </c>
      <c r="AB53">
        <f t="shared" si="10"/>
        <v>1</v>
      </c>
      <c r="AC53">
        <f t="shared" ca="1" si="11"/>
        <v>0</v>
      </c>
      <c r="AD53" t="str">
        <f ca="1">IF(AC53=1,COUNTIF($AC$3:AC53,1),"")</f>
        <v/>
      </c>
      <c r="AE53" s="155" t="str">
        <f ca="1">IFERROR(INDEX(Données!$B$3:$B$1479,MATCH(ROWS($AD$3:AD53),$AD$3:$AD$1479,0)),"")</f>
        <v/>
      </c>
    </row>
    <row r="54" spans="1:31" ht="15.75" x14ac:dyDescent="0.25">
      <c r="A54" t="str">
        <f t="shared" si="8"/>
        <v>Derek Stepan - ARI - C</v>
      </c>
      <c r="B54" t="str">
        <f t="shared" si="9"/>
        <v>Derek Stepan - ARI - C</v>
      </c>
      <c r="C54" t="str">
        <f t="shared" si="0"/>
        <v>Derek</v>
      </c>
      <c r="D54" t="str">
        <f t="shared" si="1"/>
        <v>Stepan</v>
      </c>
      <c r="E54" s="39" t="s">
        <v>3005</v>
      </c>
      <c r="F54" s="30" t="s">
        <v>63</v>
      </c>
      <c r="G54" s="35">
        <v>0</v>
      </c>
      <c r="H54" s="35" t="s">
        <v>73</v>
      </c>
      <c r="I54" s="35" t="s">
        <v>2677</v>
      </c>
      <c r="J54" s="35">
        <v>29</v>
      </c>
      <c r="K54" s="35">
        <f>VALUE(COUNTIF(Validation!$A$2:$H$47,E54))</f>
        <v>0</v>
      </c>
      <c r="L54" s="361">
        <f t="shared" si="2"/>
        <v>6500000</v>
      </c>
      <c r="M54" s="361">
        <f t="shared" si="3"/>
        <v>6500000</v>
      </c>
      <c r="N54" s="358">
        <v>6500000</v>
      </c>
      <c r="O54" s="358">
        <v>6500000</v>
      </c>
      <c r="P54" s="358" t="s">
        <v>7</v>
      </c>
      <c r="Q54" s="358">
        <v>0</v>
      </c>
      <c r="R54" s="358">
        <v>0</v>
      </c>
      <c r="S54" s="358">
        <v>0</v>
      </c>
      <c r="T54" s="358">
        <v>0</v>
      </c>
      <c r="U54" s="35">
        <f t="shared" si="4"/>
        <v>2</v>
      </c>
      <c r="W54">
        <f t="shared" si="5"/>
        <v>1</v>
      </c>
      <c r="X54" s="35">
        <f t="shared" si="6"/>
        <v>0</v>
      </c>
      <c r="Y54">
        <f t="shared" si="7"/>
        <v>1</v>
      </c>
      <c r="AB54">
        <f t="shared" si="10"/>
        <v>1</v>
      </c>
      <c r="AC54">
        <f t="shared" ca="1" si="11"/>
        <v>0</v>
      </c>
      <c r="AD54" t="str">
        <f ca="1">IF(AC54=1,COUNTIF($AC$3:AC54,1),"")</f>
        <v/>
      </c>
      <c r="AE54" s="155" t="str">
        <f ca="1">IFERROR(INDEX(Données!$B$3:$B$1479,MATCH(ROWS($AD$3:AD54),$AD$3:$AD$1479,0)),"")</f>
        <v/>
      </c>
    </row>
    <row r="55" spans="1:31" ht="15.75" x14ac:dyDescent="0.25">
      <c r="A55" t="str">
        <f t="shared" si="8"/>
        <v>Nick Schmaltz - ARI - C</v>
      </c>
      <c r="B55" t="str">
        <f t="shared" si="9"/>
        <v>Nick Schmaltz - ARI - C</v>
      </c>
      <c r="C55" t="str">
        <f t="shared" si="0"/>
        <v>Nick</v>
      </c>
      <c r="D55" t="str">
        <f t="shared" si="1"/>
        <v>Schmaltz</v>
      </c>
      <c r="E55" s="39" t="s">
        <v>1890</v>
      </c>
      <c r="F55" s="30" t="s">
        <v>63</v>
      </c>
      <c r="G55" s="35">
        <v>0</v>
      </c>
      <c r="H55" s="35" t="s">
        <v>73</v>
      </c>
      <c r="I55" s="35" t="s">
        <v>2677</v>
      </c>
      <c r="J55" s="35">
        <v>23</v>
      </c>
      <c r="K55" s="35">
        <f>VALUE(COUNTIF(Validation!$A$2:$H$47,E55))</f>
        <v>0</v>
      </c>
      <c r="L55" s="361">
        <f t="shared" si="2"/>
        <v>5850000</v>
      </c>
      <c r="M55" s="361">
        <f t="shared" si="3"/>
        <v>5850000</v>
      </c>
      <c r="N55" s="358">
        <v>5850000</v>
      </c>
      <c r="O55" s="358">
        <v>5850000</v>
      </c>
      <c r="P55" s="358">
        <v>5850000</v>
      </c>
      <c r="Q55" s="358">
        <v>5850000</v>
      </c>
      <c r="R55" s="358">
        <v>5850000</v>
      </c>
      <c r="S55" s="358">
        <v>5850000</v>
      </c>
      <c r="T55" s="358">
        <v>5850000</v>
      </c>
      <c r="U55" s="35">
        <f t="shared" si="4"/>
        <v>7</v>
      </c>
      <c r="W55">
        <f t="shared" si="5"/>
        <v>1</v>
      </c>
      <c r="X55" s="35">
        <f t="shared" si="6"/>
        <v>0</v>
      </c>
      <c r="Y55">
        <f t="shared" si="7"/>
        <v>1</v>
      </c>
      <c r="AB55">
        <f t="shared" si="10"/>
        <v>1</v>
      </c>
      <c r="AC55">
        <f t="shared" ca="1" si="11"/>
        <v>0</v>
      </c>
      <c r="AD55" t="str">
        <f ca="1">IF(AC55=1,COUNTIF($AC$3:AC55,1),"")</f>
        <v/>
      </c>
      <c r="AE55" s="155" t="str">
        <f ca="1">IFERROR(INDEX(Données!$B$3:$B$1479,MATCH(ROWS($AD$3:AD55),$AD$3:$AD$1479,0)),"")</f>
        <v/>
      </c>
    </row>
    <row r="56" spans="1:31" ht="15.75" x14ac:dyDescent="0.25">
      <c r="A56" t="str">
        <f t="shared" si="8"/>
        <v>Alex Goligoski - ARI - RD</v>
      </c>
      <c r="B56" t="str">
        <f t="shared" si="9"/>
        <v>Alex Goligoski - ARI - RD</v>
      </c>
      <c r="C56" t="str">
        <f t="shared" si="0"/>
        <v>Alex</v>
      </c>
      <c r="D56" t="str">
        <f t="shared" si="1"/>
        <v>Goligoski</v>
      </c>
      <c r="E56" s="39" t="s">
        <v>2455</v>
      </c>
      <c r="F56" s="30" t="s">
        <v>63</v>
      </c>
      <c r="G56" s="35" t="s">
        <v>381</v>
      </c>
      <c r="H56" s="35" t="s">
        <v>379</v>
      </c>
      <c r="I56" s="35" t="s">
        <v>2677</v>
      </c>
      <c r="J56" s="35">
        <v>34</v>
      </c>
      <c r="K56" s="35">
        <f>VALUE(COUNTIF(Validation!$A$2:$H$47,E56))</f>
        <v>0</v>
      </c>
      <c r="L56" s="361">
        <f t="shared" si="2"/>
        <v>5475000</v>
      </c>
      <c r="M56" s="361">
        <f t="shared" si="3"/>
        <v>5475000</v>
      </c>
      <c r="N56" s="358">
        <v>5475000</v>
      </c>
      <c r="O56" s="358">
        <v>5475000</v>
      </c>
      <c r="P56" s="358" t="s">
        <v>7</v>
      </c>
      <c r="Q56" s="358">
        <v>0</v>
      </c>
      <c r="R56" s="358">
        <v>0</v>
      </c>
      <c r="S56" s="358">
        <v>0</v>
      </c>
      <c r="T56" s="358">
        <v>0</v>
      </c>
      <c r="U56" s="35">
        <f t="shared" si="4"/>
        <v>2</v>
      </c>
      <c r="W56">
        <f t="shared" si="5"/>
        <v>1</v>
      </c>
      <c r="X56" s="35">
        <f t="shared" si="6"/>
        <v>0</v>
      </c>
      <c r="Y56">
        <f t="shared" si="7"/>
        <v>1</v>
      </c>
      <c r="AB56">
        <f t="shared" si="10"/>
        <v>1</v>
      </c>
      <c r="AC56">
        <f t="shared" ca="1" si="11"/>
        <v>0</v>
      </c>
      <c r="AD56" t="str">
        <f ca="1">IF(AC56=1,COUNTIF($AC$3:AC56,1),"")</f>
        <v/>
      </c>
      <c r="AE56" s="155" t="str">
        <f ca="1">IFERROR(INDEX(Données!$B$3:$B$1479,MATCH(ROWS($AD$3:AD56),$AD$3:$AD$1479,0)),"")</f>
        <v/>
      </c>
    </row>
    <row r="57" spans="1:31" ht="15.75" x14ac:dyDescent="0.25">
      <c r="A57" t="str">
        <f t="shared" si="8"/>
        <v>Niklas Hjalmarsson - ARI - RD</v>
      </c>
      <c r="B57" t="str">
        <f t="shared" si="9"/>
        <v>Niklas Hjalmarsson - ARI - RD</v>
      </c>
      <c r="C57" t="str">
        <f t="shared" si="0"/>
        <v>Niklas</v>
      </c>
      <c r="D57" t="str">
        <f t="shared" si="1"/>
        <v>Hjalmarsson</v>
      </c>
      <c r="E57" s="39" t="s">
        <v>2968</v>
      </c>
      <c r="F57" s="30" t="s">
        <v>63</v>
      </c>
      <c r="G57" s="35" t="s">
        <v>420</v>
      </c>
      <c r="H57" s="35" t="s">
        <v>379</v>
      </c>
      <c r="I57" s="35" t="s">
        <v>2677</v>
      </c>
      <c r="J57" s="35">
        <v>32</v>
      </c>
      <c r="K57" s="35">
        <f>VALUE(COUNTIF(Validation!$A$2:$H$47,E57))</f>
        <v>0</v>
      </c>
      <c r="L57" s="361">
        <f t="shared" si="2"/>
        <v>5000000</v>
      </c>
      <c r="M57" s="361">
        <f t="shared" si="3"/>
        <v>5000000</v>
      </c>
      <c r="N57" s="358">
        <v>5000000</v>
      </c>
      <c r="O57" s="358">
        <v>5000000</v>
      </c>
      <c r="P57" s="358" t="s">
        <v>7</v>
      </c>
      <c r="Q57" s="358">
        <v>0</v>
      </c>
      <c r="R57" s="358">
        <v>0</v>
      </c>
      <c r="S57" s="358">
        <v>0</v>
      </c>
      <c r="T57" s="358">
        <v>0</v>
      </c>
      <c r="U57" s="35">
        <f t="shared" si="4"/>
        <v>2</v>
      </c>
      <c r="W57">
        <f t="shared" si="5"/>
        <v>1</v>
      </c>
      <c r="X57" s="35">
        <f t="shared" si="6"/>
        <v>0</v>
      </c>
      <c r="Y57">
        <f t="shared" si="7"/>
        <v>1</v>
      </c>
      <c r="AB57">
        <f t="shared" si="10"/>
        <v>1</v>
      </c>
      <c r="AC57">
        <f t="shared" ca="1" si="11"/>
        <v>0</v>
      </c>
      <c r="AD57" t="str">
        <f ca="1">IF(AC57=1,COUNTIF($AC$3:AC57,1),"")</f>
        <v/>
      </c>
      <c r="AE57" s="155" t="str">
        <f ca="1">IFERROR(INDEX(Données!$B$3:$B$1479,MATCH(ROWS($AD$3:AD57),$AD$3:$AD$1479,0)),"")</f>
        <v/>
      </c>
    </row>
    <row r="58" spans="1:31" ht="15.75" x14ac:dyDescent="0.25">
      <c r="A58" t="str">
        <f t="shared" si="8"/>
        <v>Carl Soderberg - ARI - C, LW</v>
      </c>
      <c r="B58" t="str">
        <f t="shared" si="9"/>
        <v>Carl Soderberg - ARI - C, LW</v>
      </c>
      <c r="C58" t="str">
        <f t="shared" si="0"/>
        <v>Carl</v>
      </c>
      <c r="D58" t="str">
        <f t="shared" si="1"/>
        <v>Soderberg</v>
      </c>
      <c r="E58" s="39" t="s">
        <v>2862</v>
      </c>
      <c r="F58" s="30" t="s">
        <v>63</v>
      </c>
      <c r="G58" s="35" t="s">
        <v>381</v>
      </c>
      <c r="H58" s="35" t="s">
        <v>2679</v>
      </c>
      <c r="I58" s="35" t="s">
        <v>2677</v>
      </c>
      <c r="J58" s="35">
        <v>33</v>
      </c>
      <c r="K58" s="35">
        <f>VALUE(COUNTIF(Validation!$A$2:$H$47,E58))</f>
        <v>0</v>
      </c>
      <c r="L58" s="361">
        <f t="shared" si="2"/>
        <v>4750000</v>
      </c>
      <c r="M58" s="361">
        <f t="shared" si="3"/>
        <v>0</v>
      </c>
      <c r="N58" s="358">
        <v>4750000</v>
      </c>
      <c r="O58" s="358" t="s">
        <v>7</v>
      </c>
      <c r="P58" s="358">
        <v>0</v>
      </c>
      <c r="Q58" s="358">
        <v>0</v>
      </c>
      <c r="R58" s="358">
        <v>0</v>
      </c>
      <c r="S58" s="358">
        <v>0</v>
      </c>
      <c r="T58" s="358">
        <v>0</v>
      </c>
      <c r="U58" s="35">
        <f t="shared" si="4"/>
        <v>1</v>
      </c>
      <c r="W58">
        <f t="shared" si="5"/>
        <v>1</v>
      </c>
      <c r="X58" s="35">
        <f t="shared" si="6"/>
        <v>0</v>
      </c>
      <c r="Y58">
        <f t="shared" si="7"/>
        <v>0</v>
      </c>
      <c r="AB58">
        <f t="shared" si="10"/>
        <v>1</v>
      </c>
      <c r="AC58">
        <f t="shared" ca="1" si="11"/>
        <v>0</v>
      </c>
      <c r="AD58" t="str">
        <f ca="1">IF(AC58=1,COUNTIF($AC$3:AC58,1),"")</f>
        <v/>
      </c>
      <c r="AE58" s="155" t="str">
        <f ca="1">IFERROR(INDEX(Données!$B$3:$B$1479,MATCH(ROWS($AD$3:AD58),$AD$3:$AD$1479,0)),"")</f>
        <v/>
      </c>
    </row>
    <row r="59" spans="1:31" ht="15.75" x14ac:dyDescent="0.25">
      <c r="A59" t="str">
        <f t="shared" si="8"/>
        <v>Jakob Chychrun - ARI - LD</v>
      </c>
      <c r="B59" t="str">
        <f t="shared" si="9"/>
        <v>Jakob Chychrun - ARI - LD</v>
      </c>
      <c r="C59" t="str">
        <f t="shared" si="0"/>
        <v>Jakob</v>
      </c>
      <c r="D59" t="str">
        <f t="shared" si="1"/>
        <v>Chychrun</v>
      </c>
      <c r="E59" s="39" t="s">
        <v>2163</v>
      </c>
      <c r="F59" s="30" t="s">
        <v>63</v>
      </c>
      <c r="G59" s="35">
        <v>0</v>
      </c>
      <c r="H59" s="35" t="s">
        <v>380</v>
      </c>
      <c r="I59" s="35" t="s">
        <v>2677</v>
      </c>
      <c r="J59" s="35">
        <v>21</v>
      </c>
      <c r="K59" s="35">
        <f>VALUE(COUNTIF(Validation!$A$2:$H$47,E59))</f>
        <v>0</v>
      </c>
      <c r="L59" s="361">
        <f t="shared" si="2"/>
        <v>4600000</v>
      </c>
      <c r="M59" s="361">
        <f t="shared" si="3"/>
        <v>4600000</v>
      </c>
      <c r="N59" s="358">
        <v>4600000</v>
      </c>
      <c r="O59" s="358">
        <v>4600000</v>
      </c>
      <c r="P59" s="358">
        <v>4600000</v>
      </c>
      <c r="Q59" s="358">
        <v>4600000</v>
      </c>
      <c r="R59" s="358">
        <v>4600000</v>
      </c>
      <c r="S59" s="358">
        <v>4600000</v>
      </c>
      <c r="T59" s="358" t="s">
        <v>7</v>
      </c>
      <c r="U59" s="35">
        <f t="shared" si="4"/>
        <v>6</v>
      </c>
      <c r="W59">
        <f t="shared" si="5"/>
        <v>1</v>
      </c>
      <c r="X59" s="35">
        <f t="shared" si="6"/>
        <v>0</v>
      </c>
      <c r="Y59">
        <f t="shared" si="7"/>
        <v>1</v>
      </c>
      <c r="AB59">
        <f t="shared" si="10"/>
        <v>1</v>
      </c>
      <c r="AC59">
        <f t="shared" ca="1" si="11"/>
        <v>0</v>
      </c>
      <c r="AD59" t="str">
        <f ca="1">IF(AC59=1,COUNTIF($AC$3:AC59,1),"")</f>
        <v/>
      </c>
      <c r="AE59" s="155" t="str">
        <f ca="1">IFERROR(INDEX(Données!$B$3:$B$1479,MATCH(ROWS($AD$3:AD59),$AD$3:$AD$1479,0)),"")</f>
        <v/>
      </c>
    </row>
    <row r="60" spans="1:31" ht="15.75" x14ac:dyDescent="0.25">
      <c r="A60" t="str">
        <f t="shared" si="8"/>
        <v>Christian Dvorak - ARI - C, LW</v>
      </c>
      <c r="B60" t="str">
        <f t="shared" si="9"/>
        <v>Christian Dvorak - ARI - C, LW</v>
      </c>
      <c r="C60" t="str">
        <f t="shared" si="0"/>
        <v>Christian</v>
      </c>
      <c r="D60" t="str">
        <f t="shared" si="1"/>
        <v>Dvorak</v>
      </c>
      <c r="E60" s="39" t="s">
        <v>2157</v>
      </c>
      <c r="F60" s="30" t="s">
        <v>63</v>
      </c>
      <c r="G60" s="35">
        <v>0</v>
      </c>
      <c r="H60" s="35" t="s">
        <v>2679</v>
      </c>
      <c r="I60" s="35" t="s">
        <v>2677</v>
      </c>
      <c r="J60" s="35">
        <v>23</v>
      </c>
      <c r="K60" s="35">
        <f>VALUE(COUNTIF(Validation!$A$2:$H$47,E60))</f>
        <v>0</v>
      </c>
      <c r="L60" s="361">
        <f t="shared" si="2"/>
        <v>4450000</v>
      </c>
      <c r="M60" s="361">
        <f t="shared" si="3"/>
        <v>4450000</v>
      </c>
      <c r="N60" s="358">
        <v>4450000</v>
      </c>
      <c r="O60" s="358">
        <v>4450000</v>
      </c>
      <c r="P60" s="358">
        <v>4450000</v>
      </c>
      <c r="Q60" s="358">
        <v>4450000</v>
      </c>
      <c r="R60" s="358">
        <v>4450000</v>
      </c>
      <c r="S60" s="358">
        <v>4450000</v>
      </c>
      <c r="T60" s="358" t="s">
        <v>7</v>
      </c>
      <c r="U60" s="35">
        <f t="shared" si="4"/>
        <v>6</v>
      </c>
      <c r="W60">
        <f t="shared" si="5"/>
        <v>1</v>
      </c>
      <c r="X60" s="35">
        <f t="shared" si="6"/>
        <v>0</v>
      </c>
      <c r="Y60">
        <f t="shared" si="7"/>
        <v>1</v>
      </c>
      <c r="AB60">
        <f t="shared" si="10"/>
        <v>1</v>
      </c>
      <c r="AC60">
        <f t="shared" ca="1" si="11"/>
        <v>0</v>
      </c>
      <c r="AD60" t="str">
        <f ca="1">IF(AC60=1,COUNTIF($AC$3:AC60,1),"")</f>
        <v/>
      </c>
      <c r="AE60" s="155" t="str">
        <f ca="1">IFERROR(INDEX(Données!$B$3:$B$1479,MATCH(ROWS($AD$3:AD60),$AD$3:$AD$1479,0)),"")</f>
        <v/>
      </c>
    </row>
    <row r="61" spans="1:31" ht="15.75" x14ac:dyDescent="0.25">
      <c r="A61" t="str">
        <f t="shared" si="8"/>
        <v>Antti Raanta - ARI - G</v>
      </c>
      <c r="B61" t="str">
        <f t="shared" si="9"/>
        <v>Antti Raanta - ARI - G</v>
      </c>
      <c r="C61" t="str">
        <f t="shared" si="0"/>
        <v>Antti</v>
      </c>
      <c r="D61" t="str">
        <f t="shared" si="1"/>
        <v>Raanta</v>
      </c>
      <c r="E61" s="39" t="s">
        <v>2165</v>
      </c>
      <c r="F61" s="30" t="s">
        <v>63</v>
      </c>
      <c r="G61" s="35">
        <v>0</v>
      </c>
      <c r="H61" s="35" t="s">
        <v>127</v>
      </c>
      <c r="I61" s="35" t="s">
        <v>2677</v>
      </c>
      <c r="J61" s="35">
        <v>30</v>
      </c>
      <c r="K61" s="35">
        <f>VALUE(COUNTIF(Validation!$A$2:$H$47,E61))</f>
        <v>0</v>
      </c>
      <c r="L61" s="361">
        <f t="shared" si="2"/>
        <v>4250000</v>
      </c>
      <c r="M61" s="361">
        <f t="shared" si="3"/>
        <v>4250000</v>
      </c>
      <c r="N61" s="358">
        <v>4250000</v>
      </c>
      <c r="O61" s="358">
        <v>4250000</v>
      </c>
      <c r="P61" s="358" t="s">
        <v>7</v>
      </c>
      <c r="Q61" s="358">
        <v>0</v>
      </c>
      <c r="R61" s="358">
        <v>0</v>
      </c>
      <c r="S61" s="358">
        <v>0</v>
      </c>
      <c r="T61" s="358">
        <v>0</v>
      </c>
      <c r="U61" s="35">
        <f t="shared" si="4"/>
        <v>2</v>
      </c>
      <c r="W61">
        <f t="shared" si="5"/>
        <v>1</v>
      </c>
      <c r="X61" s="35">
        <f t="shared" si="6"/>
        <v>0</v>
      </c>
      <c r="Y61">
        <f t="shared" si="7"/>
        <v>1</v>
      </c>
      <c r="AB61">
        <f t="shared" si="10"/>
        <v>1</v>
      </c>
      <c r="AC61">
        <f t="shared" ca="1" si="11"/>
        <v>0</v>
      </c>
      <c r="AD61" t="str">
        <f ca="1">IF(AC61=1,COUNTIF($AC$3:AC61,1),"")</f>
        <v/>
      </c>
      <c r="AE61" s="155" t="str">
        <f ca="1">IFERROR(INDEX(Données!$B$3:$B$1479,MATCH(ROWS($AD$3:AD61),$AD$3:$AD$1479,0)),"")</f>
        <v/>
      </c>
    </row>
    <row r="62" spans="1:31" ht="15.75" x14ac:dyDescent="0.25">
      <c r="A62" t="str">
        <f t="shared" si="8"/>
        <v>Jason Demers - ARI - RD</v>
      </c>
      <c r="B62" t="str">
        <f t="shared" si="9"/>
        <v>Jason Demers - ARI - RD</v>
      </c>
      <c r="C62" t="str">
        <f t="shared" si="0"/>
        <v>Jason</v>
      </c>
      <c r="D62" t="str">
        <f t="shared" si="1"/>
        <v>Demers</v>
      </c>
      <c r="E62" s="39" t="s">
        <v>2161</v>
      </c>
      <c r="F62" s="30" t="s">
        <v>63</v>
      </c>
      <c r="G62" s="35" t="s">
        <v>2707</v>
      </c>
      <c r="H62" s="35" t="s">
        <v>379</v>
      </c>
      <c r="I62" s="35" t="s">
        <v>2677</v>
      </c>
      <c r="J62" s="35">
        <v>31</v>
      </c>
      <c r="K62" s="35">
        <f>VALUE(COUNTIF(Validation!$A$2:$H$47,E62))</f>
        <v>0</v>
      </c>
      <c r="L62" s="361">
        <f t="shared" si="2"/>
        <v>3937500</v>
      </c>
      <c r="M62" s="361">
        <f t="shared" si="3"/>
        <v>3937500</v>
      </c>
      <c r="N62" s="358">
        <v>3937500</v>
      </c>
      <c r="O62" s="358">
        <v>3937500</v>
      </c>
      <c r="P62" s="358" t="s">
        <v>7</v>
      </c>
      <c r="Q62" s="358">
        <v>0</v>
      </c>
      <c r="R62" s="358">
        <v>0</v>
      </c>
      <c r="S62" s="358">
        <v>0</v>
      </c>
      <c r="T62" s="358">
        <v>0</v>
      </c>
      <c r="U62" s="35">
        <f t="shared" si="4"/>
        <v>2</v>
      </c>
      <c r="W62">
        <f t="shared" si="5"/>
        <v>1</v>
      </c>
      <c r="X62" s="35">
        <f t="shared" si="6"/>
        <v>0</v>
      </c>
      <c r="Y62">
        <f t="shared" si="7"/>
        <v>1</v>
      </c>
      <c r="AB62">
        <f t="shared" si="10"/>
        <v>1</v>
      </c>
      <c r="AC62">
        <f t="shared" ca="1" si="11"/>
        <v>0</v>
      </c>
      <c r="AD62" t="str">
        <f ca="1">IF(AC62=1,COUNTIF($AC$3:AC62,1),"")</f>
        <v/>
      </c>
      <c r="AE62" s="155" t="str">
        <f ca="1">IFERROR(INDEX(Données!$B$3:$B$1479,MATCH(ROWS($AD$3:AD62),$AD$3:$AD$1479,0)),"")</f>
        <v/>
      </c>
    </row>
    <row r="63" spans="1:31" ht="15.75" x14ac:dyDescent="0.25">
      <c r="A63" t="str">
        <f t="shared" si="8"/>
        <v>Michael Grabner - ARI - RW, LW</v>
      </c>
      <c r="B63" t="str">
        <f t="shared" si="9"/>
        <v>Michael Grabner - ARI - RW, LW</v>
      </c>
      <c r="C63" t="str">
        <f t="shared" si="0"/>
        <v>Michael</v>
      </c>
      <c r="D63" t="str">
        <f t="shared" si="1"/>
        <v>Grabner</v>
      </c>
      <c r="E63" s="39" t="s">
        <v>2151</v>
      </c>
      <c r="F63" s="30" t="s">
        <v>63</v>
      </c>
      <c r="G63" s="35" t="s">
        <v>381</v>
      </c>
      <c r="H63" s="35" t="s">
        <v>2680</v>
      </c>
      <c r="I63" s="35" t="s">
        <v>2677</v>
      </c>
      <c r="J63" s="35">
        <v>31</v>
      </c>
      <c r="K63" s="35">
        <f>VALUE(COUNTIF(Validation!$A$2:$H$47,E63))</f>
        <v>0</v>
      </c>
      <c r="L63" s="361">
        <f t="shared" si="2"/>
        <v>3350000</v>
      </c>
      <c r="M63" s="361">
        <f t="shared" si="3"/>
        <v>3350000</v>
      </c>
      <c r="N63" s="358">
        <v>3350000</v>
      </c>
      <c r="O63" s="358">
        <v>3350000</v>
      </c>
      <c r="P63" s="358" t="s">
        <v>7</v>
      </c>
      <c r="Q63" s="358">
        <v>0</v>
      </c>
      <c r="R63" s="358">
        <v>0</v>
      </c>
      <c r="S63" s="358">
        <v>0</v>
      </c>
      <c r="T63" s="358">
        <v>0</v>
      </c>
      <c r="U63" s="35">
        <f t="shared" si="4"/>
        <v>2</v>
      </c>
      <c r="W63">
        <f t="shared" si="5"/>
        <v>1</v>
      </c>
      <c r="X63" s="35">
        <f t="shared" si="6"/>
        <v>0</v>
      </c>
      <c r="Y63">
        <f t="shared" si="7"/>
        <v>1</v>
      </c>
      <c r="AB63">
        <f t="shared" si="10"/>
        <v>1</v>
      </c>
      <c r="AC63">
        <f t="shared" ca="1" si="11"/>
        <v>0</v>
      </c>
      <c r="AD63" t="str">
        <f ca="1">IF(AC63=1,COUNTIF($AC$3:AC63,1),"")</f>
        <v/>
      </c>
      <c r="AE63" s="155" t="str">
        <f ca="1">IFERROR(INDEX(Données!$B$3:$B$1479,MATCH(ROWS($AD$3:AD63),$AD$3:$AD$1479,0)),"")</f>
        <v/>
      </c>
    </row>
    <row r="64" spans="1:31" ht="15.75" x14ac:dyDescent="0.25">
      <c r="A64" t="str">
        <f t="shared" si="8"/>
        <v>Barrett Hayton - ARI - C</v>
      </c>
      <c r="B64" t="str">
        <f t="shared" si="9"/>
        <v>Barrett Hayton - ARI - C</v>
      </c>
      <c r="C64" t="str">
        <f t="shared" si="0"/>
        <v>Barrett</v>
      </c>
      <c r="D64" t="str">
        <f t="shared" si="1"/>
        <v>Hayton</v>
      </c>
      <c r="E64" s="39" t="s">
        <v>2170</v>
      </c>
      <c r="F64" s="30" t="s">
        <v>63</v>
      </c>
      <c r="G64" s="35" t="s">
        <v>388</v>
      </c>
      <c r="H64" s="35" t="s">
        <v>73</v>
      </c>
      <c r="I64" s="35" t="s">
        <v>389</v>
      </c>
      <c r="J64" s="35">
        <v>19</v>
      </c>
      <c r="K64" s="35">
        <f>VALUE(COUNTIF(Validation!$A$2:$H$47,E64))</f>
        <v>0</v>
      </c>
      <c r="L64" s="361">
        <f t="shared" si="2"/>
        <v>2644167</v>
      </c>
      <c r="M64" s="361">
        <f t="shared" si="3"/>
        <v>2644167</v>
      </c>
      <c r="N64" s="358">
        <v>2644167</v>
      </c>
      <c r="O64" s="358">
        <v>2644167</v>
      </c>
      <c r="P64" s="358">
        <v>2644167</v>
      </c>
      <c r="Q64" s="358" t="s">
        <v>8</v>
      </c>
      <c r="R64" s="358">
        <v>0</v>
      </c>
      <c r="S64" s="358">
        <v>0</v>
      </c>
      <c r="T64" s="358">
        <v>0</v>
      </c>
      <c r="U64" s="35">
        <f t="shared" si="4"/>
        <v>3</v>
      </c>
      <c r="W64">
        <f t="shared" si="5"/>
        <v>1</v>
      </c>
      <c r="X64" s="35">
        <f t="shared" si="6"/>
        <v>1</v>
      </c>
      <c r="Y64">
        <f t="shared" si="7"/>
        <v>1</v>
      </c>
      <c r="AB64">
        <f t="shared" si="10"/>
        <v>1</v>
      </c>
      <c r="AC64">
        <f t="shared" ca="1" si="11"/>
        <v>0</v>
      </c>
      <c r="AD64" t="str">
        <f ca="1">IF(AC64=1,COUNTIF($AC$3:AC64,1),"")</f>
        <v/>
      </c>
      <c r="AE64" s="155" t="str">
        <f ca="1">IFERROR(INDEX(Données!$B$3:$B$1479,MATCH(ROWS($AD$3:AD64),$AD$3:$AD$1479,0)),"")</f>
        <v/>
      </c>
    </row>
    <row r="65" spans="1:31" ht="15.75" x14ac:dyDescent="0.25">
      <c r="A65" t="str">
        <f t="shared" si="8"/>
        <v>Darcy Kuemper - ARI - G</v>
      </c>
      <c r="B65" t="str">
        <f t="shared" si="9"/>
        <v>Darcy Kuemper - ARI - G</v>
      </c>
      <c r="C65" t="str">
        <f t="shared" si="0"/>
        <v>Darcy</v>
      </c>
      <c r="D65" t="str">
        <f t="shared" si="1"/>
        <v>Kuemper</v>
      </c>
      <c r="E65" s="39" t="s">
        <v>2166</v>
      </c>
      <c r="F65" s="30" t="s">
        <v>63</v>
      </c>
      <c r="G65" s="35">
        <v>0</v>
      </c>
      <c r="H65" s="35" t="s">
        <v>127</v>
      </c>
      <c r="I65" s="35" t="s">
        <v>2677</v>
      </c>
      <c r="J65" s="35">
        <v>29</v>
      </c>
      <c r="K65" s="35">
        <f>VALUE(COUNTIF(Validation!$A$2:$H$47,E65))</f>
        <v>0</v>
      </c>
      <c r="L65" s="361">
        <f t="shared" si="2"/>
        <v>1850000</v>
      </c>
      <c r="M65" s="361">
        <f t="shared" si="3"/>
        <v>0</v>
      </c>
      <c r="N65" s="358">
        <v>1850000</v>
      </c>
      <c r="O65" s="358" t="s">
        <v>7</v>
      </c>
      <c r="P65" s="358">
        <v>0</v>
      </c>
      <c r="Q65" s="358">
        <v>0</v>
      </c>
      <c r="R65" s="358">
        <v>0</v>
      </c>
      <c r="S65" s="358">
        <v>0</v>
      </c>
      <c r="T65" s="358">
        <v>0</v>
      </c>
      <c r="U65" s="35">
        <f t="shared" si="4"/>
        <v>1</v>
      </c>
      <c r="W65">
        <f t="shared" si="5"/>
        <v>1</v>
      </c>
      <c r="X65" s="35">
        <f t="shared" si="6"/>
        <v>0</v>
      </c>
      <c r="Y65">
        <f t="shared" si="7"/>
        <v>0</v>
      </c>
      <c r="AB65">
        <f t="shared" si="10"/>
        <v>1</v>
      </c>
      <c r="AC65">
        <f t="shared" ca="1" si="11"/>
        <v>0</v>
      </c>
      <c r="AD65" t="str">
        <f ca="1">IF(AC65=1,COUNTIF($AC$3:AC65,1),"")</f>
        <v/>
      </c>
      <c r="AE65" s="155" t="str">
        <f ca="1">IFERROR(INDEX(Données!$B$3:$B$1479,MATCH(ROWS($AD$3:AD65),$AD$3:$AD$1479,0)),"")</f>
        <v/>
      </c>
    </row>
    <row r="66" spans="1:31" ht="15.75" x14ac:dyDescent="0.25">
      <c r="A66" t="str">
        <f t="shared" si="8"/>
        <v>Jordan Gross - ARI - RD</v>
      </c>
      <c r="B66" t="str">
        <f t="shared" si="9"/>
        <v>Jordan Gross - ARI - RD</v>
      </c>
      <c r="C66" t="str">
        <f t="shared" si="0"/>
        <v>Jordan</v>
      </c>
      <c r="D66" t="str">
        <f t="shared" si="1"/>
        <v>Gross</v>
      </c>
      <c r="E66" s="39" t="s">
        <v>2168</v>
      </c>
      <c r="F66" s="30" t="s">
        <v>63</v>
      </c>
      <c r="G66" s="35" t="s">
        <v>386</v>
      </c>
      <c r="H66" s="35" t="s">
        <v>379</v>
      </c>
      <c r="I66" s="35" t="s">
        <v>2690</v>
      </c>
      <c r="J66" s="35">
        <v>24</v>
      </c>
      <c r="K66" s="35">
        <f>VALUE(COUNTIF(Validation!$A$2:$H$47,E66))</f>
        <v>0</v>
      </c>
      <c r="L66" s="361">
        <f t="shared" si="2"/>
        <v>1775000</v>
      </c>
      <c r="M66" s="361">
        <f t="shared" si="3"/>
        <v>0</v>
      </c>
      <c r="N66" s="358">
        <v>1775000</v>
      </c>
      <c r="O66" s="358" t="s">
        <v>8</v>
      </c>
      <c r="P66" s="358">
        <v>0</v>
      </c>
      <c r="Q66" s="358">
        <v>0</v>
      </c>
      <c r="R66" s="358">
        <v>0</v>
      </c>
      <c r="S66" s="358">
        <v>0</v>
      </c>
      <c r="T66" s="358">
        <v>0</v>
      </c>
      <c r="U66" s="35">
        <f t="shared" si="4"/>
        <v>1</v>
      </c>
      <c r="W66">
        <f t="shared" si="5"/>
        <v>1</v>
      </c>
      <c r="X66" s="35">
        <f t="shared" si="6"/>
        <v>1</v>
      </c>
      <c r="Y66">
        <f t="shared" si="7"/>
        <v>0</v>
      </c>
      <c r="AB66">
        <f t="shared" si="10"/>
        <v>1</v>
      </c>
      <c r="AC66">
        <f t="shared" ca="1" si="11"/>
        <v>0</v>
      </c>
      <c r="AD66" t="str">
        <f ca="1">IF(AC66=1,COUNTIF($AC$3:AC66,1),"")</f>
        <v/>
      </c>
      <c r="AE66" s="155" t="str">
        <f ca="1">IFERROR(INDEX(Données!$B$3:$B$1479,MATCH(ROWS($AD$3:AD66),$AD$3:$AD$1479,0)),"")</f>
        <v/>
      </c>
    </row>
    <row r="67" spans="1:31" ht="15.75" x14ac:dyDescent="0.25">
      <c r="A67" t="str">
        <f t="shared" si="8"/>
        <v>Clayton Keller - ARI - RW, C, LW</v>
      </c>
      <c r="B67" t="str">
        <f t="shared" si="9"/>
        <v>Clayton Keller - ARI - RW, C, LW</v>
      </c>
      <c r="C67" t="str">
        <f t="shared" ref="C67:C130" si="12">RIGHT(E67,(LEN(E67)-1)-SEARCH(",",E67,1))</f>
        <v>Clayton</v>
      </c>
      <c r="D67" t="str">
        <f t="shared" ref="D67:D130" si="13">LEFT(E67,SEARCH(",",E67,1)-1)</f>
        <v>Keller</v>
      </c>
      <c r="E67" s="39" t="s">
        <v>2156</v>
      </c>
      <c r="F67" s="30" t="s">
        <v>63</v>
      </c>
      <c r="G67" s="35" t="s">
        <v>403</v>
      </c>
      <c r="H67" s="35" t="s">
        <v>2706</v>
      </c>
      <c r="I67" s="35" t="s">
        <v>2677</v>
      </c>
      <c r="J67" s="35">
        <v>21</v>
      </c>
      <c r="K67" s="35">
        <f>VALUE(COUNTIF(Validation!$A$2:$H$47,E67))</f>
        <v>0</v>
      </c>
      <c r="L67" s="361">
        <f t="shared" ref="L67:L130" si="14">IF(OR(N67="RFA",N67="UFA",N67="",N67=0),0,N67)</f>
        <v>1673333</v>
      </c>
      <c r="M67" s="361">
        <f t="shared" ref="M67:M130" si="15">IF(OR(O67="RFA",O67="UFA",O67="",O67=0),0,O67)</f>
        <v>0</v>
      </c>
      <c r="N67" s="358">
        <v>1673333</v>
      </c>
      <c r="O67" s="358" t="s">
        <v>8</v>
      </c>
      <c r="P67" s="358">
        <v>0</v>
      </c>
      <c r="Q67" s="358">
        <v>0</v>
      </c>
      <c r="R67" s="358">
        <v>0</v>
      </c>
      <c r="S67" s="358">
        <v>0</v>
      </c>
      <c r="T67" s="358">
        <v>0</v>
      </c>
      <c r="U67" s="35">
        <f t="shared" ref="U67:U130" si="16">COUNTIF(N67:T67,"&gt;0")</f>
        <v>1</v>
      </c>
      <c r="W67">
        <f t="shared" ref="W67:W130" si="17">COUNTIF($E$3:$E$1479,E67)</f>
        <v>1</v>
      </c>
      <c r="X67" s="35">
        <f t="shared" ref="X67:X130" si="18">IF(LEFT(G67,3)="ELC",1,0)</f>
        <v>1</v>
      </c>
      <c r="Y67">
        <f t="shared" ref="Y67:Y130" si="19">IF(L67=M67,1,0)</f>
        <v>0</v>
      </c>
      <c r="AB67">
        <f t="shared" si="10"/>
        <v>1</v>
      </c>
      <c r="AC67">
        <f t="shared" ca="1" si="11"/>
        <v>0</v>
      </c>
      <c r="AD67" t="str">
        <f ca="1">IF(AC67=1,COUNTIF($AC$3:AC67,1),"")</f>
        <v/>
      </c>
      <c r="AE67" s="155" t="str">
        <f ca="1">IFERROR(INDEX(Données!$B$3:$B$1479,MATCH(ROWS($AD$3:AD67),$AD$3:$AD$1479,0)),"")</f>
        <v/>
      </c>
    </row>
    <row r="68" spans="1:31" ht="15.75" x14ac:dyDescent="0.25">
      <c r="A68" t="str">
        <f t="shared" ref="A68:A131" si="20">C68&amp;" "&amp;D68&amp;" - "&amp;F68&amp;" - "&amp;H68</f>
        <v>Victor Soderstrom - ARI - RD</v>
      </c>
      <c r="B68" t="str">
        <f t="shared" ref="B68:B131" si="21">A68</f>
        <v>Victor Soderstrom - ARI - RD</v>
      </c>
      <c r="C68" t="str">
        <f t="shared" si="12"/>
        <v>Victor</v>
      </c>
      <c r="D68" t="str">
        <f t="shared" si="13"/>
        <v>Soderstrom</v>
      </c>
      <c r="E68" s="39" t="s">
        <v>2866</v>
      </c>
      <c r="F68" s="30" t="s">
        <v>63</v>
      </c>
      <c r="G68" s="35" t="s">
        <v>386</v>
      </c>
      <c r="H68" s="9" t="s">
        <v>379</v>
      </c>
      <c r="I68" s="9" t="s">
        <v>2690</v>
      </c>
      <c r="J68" s="9">
        <v>18</v>
      </c>
      <c r="K68" s="35">
        <f>VALUE(COUNTIF(Validation!$A$2:$H$47,E68))</f>
        <v>0</v>
      </c>
      <c r="L68" s="361">
        <f t="shared" si="14"/>
        <v>1585000</v>
      </c>
      <c r="M68" s="361">
        <f t="shared" si="15"/>
        <v>1585000</v>
      </c>
      <c r="N68" s="358">
        <v>1585000</v>
      </c>
      <c r="O68" s="358">
        <v>1585000</v>
      </c>
      <c r="P68" s="358">
        <v>1585000</v>
      </c>
      <c r="Q68" s="358" t="s">
        <v>8</v>
      </c>
      <c r="R68" s="358">
        <v>0</v>
      </c>
      <c r="S68" s="358">
        <v>0</v>
      </c>
      <c r="T68" s="358">
        <v>0</v>
      </c>
      <c r="U68" s="35">
        <f t="shared" si="16"/>
        <v>3</v>
      </c>
      <c r="W68">
        <f t="shared" si="17"/>
        <v>1</v>
      </c>
      <c r="X68" s="35">
        <f t="shared" si="18"/>
        <v>1</v>
      </c>
      <c r="Y68">
        <f t="shared" si="19"/>
        <v>1</v>
      </c>
      <c r="AB68">
        <f t="shared" ref="AB68:AB131" si="22">SEARCH(AA68,A68)</f>
        <v>1</v>
      </c>
      <c r="AC68">
        <f t="shared" ca="1" si="11"/>
        <v>0</v>
      </c>
      <c r="AD68" t="str">
        <f ca="1">IF(AC68=1,COUNTIF($AC$3:AC68,1),"")</f>
        <v/>
      </c>
      <c r="AE68" s="155" t="str">
        <f ca="1">IFERROR(INDEX(Données!$B$3:$B$1479,MATCH(ROWS($AD$3:AD68),$AD$3:$AD$1479,0)),"")</f>
        <v/>
      </c>
    </row>
    <row r="69" spans="1:31" ht="15.75" x14ac:dyDescent="0.25">
      <c r="A69" t="str">
        <f t="shared" si="20"/>
        <v>Lawson Crouse - ARI - LW</v>
      </c>
      <c r="B69" t="str">
        <f t="shared" si="21"/>
        <v>Lawson Crouse - ARI - LW</v>
      </c>
      <c r="C69" t="str">
        <f t="shared" si="12"/>
        <v>Lawson</v>
      </c>
      <c r="D69" t="str">
        <f t="shared" si="13"/>
        <v>Crouse</v>
      </c>
      <c r="E69" s="39" t="s">
        <v>2155</v>
      </c>
      <c r="F69" s="30" t="s">
        <v>63</v>
      </c>
      <c r="G69" s="35">
        <v>0</v>
      </c>
      <c r="H69" s="35" t="s">
        <v>93</v>
      </c>
      <c r="I69" s="35" t="s">
        <v>2677</v>
      </c>
      <c r="J69" s="35">
        <v>22</v>
      </c>
      <c r="K69" s="35">
        <f>VALUE(COUNTIF(Validation!$A$2:$H$47,E69))</f>
        <v>0</v>
      </c>
      <c r="L69" s="361">
        <f t="shared" si="14"/>
        <v>1533333</v>
      </c>
      <c r="M69" s="361">
        <f t="shared" si="15"/>
        <v>1533333</v>
      </c>
      <c r="N69" s="358">
        <v>1533333</v>
      </c>
      <c r="O69" s="358">
        <v>1533333</v>
      </c>
      <c r="P69" s="358">
        <v>1533333</v>
      </c>
      <c r="Q69" s="358" t="s">
        <v>8</v>
      </c>
      <c r="R69" s="358">
        <v>0</v>
      </c>
      <c r="S69" s="358">
        <v>0</v>
      </c>
      <c r="T69" s="358">
        <v>0</v>
      </c>
      <c r="U69" s="35">
        <f t="shared" si="16"/>
        <v>3</v>
      </c>
      <c r="W69">
        <f t="shared" si="17"/>
        <v>1</v>
      </c>
      <c r="X69" s="35">
        <f t="shared" si="18"/>
        <v>0</v>
      </c>
      <c r="Y69">
        <f t="shared" si="19"/>
        <v>1</v>
      </c>
      <c r="AB69">
        <f t="shared" si="22"/>
        <v>1</v>
      </c>
      <c r="AC69">
        <f t="shared" ref="AC69:AC132" ca="1" si="23">IFERROR(SEARCH(INDIRECT(CELL("adresse")),B69,1),0)</f>
        <v>0</v>
      </c>
      <c r="AD69" t="str">
        <f ca="1">IF(AC69=1,COUNTIF($AC$3:AC69,1),"")</f>
        <v/>
      </c>
      <c r="AE69" s="155" t="str">
        <f ca="1">IFERROR(INDEX(Données!$B$3:$B$1479,MATCH(ROWS($AD$3:AD69),$AD$3:$AD$1479,0)),"")</f>
        <v/>
      </c>
    </row>
    <row r="70" spans="1:31" ht="15.75" x14ac:dyDescent="0.25">
      <c r="A70" t="str">
        <f t="shared" si="20"/>
        <v>Vinnie Hinostroza - ARI - RW, C</v>
      </c>
      <c r="B70" t="str">
        <f t="shared" si="21"/>
        <v>Vinnie Hinostroza - ARI - RW, C</v>
      </c>
      <c r="C70" t="str">
        <f t="shared" si="12"/>
        <v>Vinnie</v>
      </c>
      <c r="D70" t="str">
        <f t="shared" si="13"/>
        <v>Hinostroza</v>
      </c>
      <c r="E70" s="39" t="s">
        <v>2153</v>
      </c>
      <c r="F70" s="30" t="s">
        <v>63</v>
      </c>
      <c r="G70" s="35">
        <v>0</v>
      </c>
      <c r="H70" s="35" t="s">
        <v>2678</v>
      </c>
      <c r="I70" s="35" t="s">
        <v>2677</v>
      </c>
      <c r="J70" s="35">
        <v>25</v>
      </c>
      <c r="K70" s="35">
        <f>VALUE(COUNTIF(Validation!$A$2:$H$47,E70))</f>
        <v>0</v>
      </c>
      <c r="L70" s="361">
        <f t="shared" si="14"/>
        <v>1500000</v>
      </c>
      <c r="M70" s="361">
        <f t="shared" si="15"/>
        <v>0</v>
      </c>
      <c r="N70" s="358">
        <v>1500000</v>
      </c>
      <c r="O70" s="358" t="s">
        <v>8</v>
      </c>
      <c r="P70" s="358">
        <v>0</v>
      </c>
      <c r="Q70" s="358">
        <v>0</v>
      </c>
      <c r="R70" s="358">
        <v>0</v>
      </c>
      <c r="S70" s="358">
        <v>0</v>
      </c>
      <c r="T70" s="358">
        <v>0</v>
      </c>
      <c r="U70" s="35">
        <f t="shared" si="16"/>
        <v>1</v>
      </c>
      <c r="W70">
        <f t="shared" si="17"/>
        <v>1</v>
      </c>
      <c r="X70" s="35">
        <f t="shared" si="18"/>
        <v>0</v>
      </c>
      <c r="Y70">
        <f t="shared" si="19"/>
        <v>0</v>
      </c>
      <c r="AB70">
        <f t="shared" si="22"/>
        <v>1</v>
      </c>
      <c r="AC70">
        <f t="shared" ca="1" si="23"/>
        <v>0</v>
      </c>
      <c r="AD70" t="str">
        <f ca="1">IF(AC70=1,COUNTIF($AC$3:AC70,1),"")</f>
        <v/>
      </c>
      <c r="AE70" s="155" t="str">
        <f ca="1">IFERROR(INDEX(Données!$B$3:$B$1479,MATCH(ROWS($AD$3:AD70),$AD$3:$AD$1479,0)),"")</f>
        <v/>
      </c>
    </row>
    <row r="71" spans="1:31" ht="15.75" x14ac:dyDescent="0.25">
      <c r="A71" t="str">
        <f t="shared" si="20"/>
        <v>Jordan Oesterle - ARI - LD</v>
      </c>
      <c r="B71" t="str">
        <f t="shared" si="21"/>
        <v>Jordan Oesterle - ARI - LD</v>
      </c>
      <c r="C71" t="str">
        <f t="shared" si="12"/>
        <v>Jordan</v>
      </c>
      <c r="D71" t="str">
        <f t="shared" si="13"/>
        <v>Oesterle</v>
      </c>
      <c r="E71" s="39" t="s">
        <v>2164</v>
      </c>
      <c r="F71" s="30" t="s">
        <v>63</v>
      </c>
      <c r="G71" s="35">
        <v>0</v>
      </c>
      <c r="H71" s="9" t="s">
        <v>380</v>
      </c>
      <c r="I71" s="9" t="s">
        <v>2677</v>
      </c>
      <c r="J71" s="9">
        <v>27</v>
      </c>
      <c r="K71" s="35">
        <f>VALUE(COUNTIF(Validation!$A$2:$H$47,E71))</f>
        <v>0</v>
      </c>
      <c r="L71" s="361">
        <f t="shared" si="14"/>
        <v>1400000</v>
      </c>
      <c r="M71" s="361">
        <f t="shared" si="15"/>
        <v>1400000</v>
      </c>
      <c r="N71" s="358">
        <v>1400000</v>
      </c>
      <c r="O71" s="358">
        <v>1400000</v>
      </c>
      <c r="P71" s="358" t="s">
        <v>7</v>
      </c>
      <c r="Q71" s="358">
        <v>0</v>
      </c>
      <c r="R71" s="358">
        <v>0</v>
      </c>
      <c r="S71" s="358">
        <v>0</v>
      </c>
      <c r="T71" s="358">
        <v>0</v>
      </c>
      <c r="U71" s="35">
        <f t="shared" si="16"/>
        <v>2</v>
      </c>
      <c r="W71">
        <f t="shared" si="17"/>
        <v>1</v>
      </c>
      <c r="X71" s="35">
        <f t="shared" si="18"/>
        <v>0</v>
      </c>
      <c r="Y71">
        <f t="shared" si="19"/>
        <v>1</v>
      </c>
      <c r="AB71">
        <f t="shared" si="22"/>
        <v>1</v>
      </c>
      <c r="AC71">
        <f t="shared" ca="1" si="23"/>
        <v>0</v>
      </c>
      <c r="AD71" t="str">
        <f ca="1">IF(AC71=1,COUNTIF($AC$3:AC71,1),"")</f>
        <v/>
      </c>
      <c r="AE71" s="155" t="str">
        <f ca="1">IFERROR(INDEX(Données!$B$3:$B$1479,MATCH(ROWS($AD$3:AD71),$AD$3:$AD$1479,0)),"")</f>
        <v/>
      </c>
    </row>
    <row r="72" spans="1:31" ht="15.75" x14ac:dyDescent="0.25">
      <c r="A72" t="str">
        <f t="shared" si="20"/>
        <v>Brad Richardson - ARI - C</v>
      </c>
      <c r="B72" t="str">
        <f t="shared" si="21"/>
        <v>Brad Richardson - ARI - C</v>
      </c>
      <c r="C72" t="str">
        <f t="shared" si="12"/>
        <v>Brad</v>
      </c>
      <c r="D72" t="str">
        <f t="shared" si="13"/>
        <v>Richardson</v>
      </c>
      <c r="E72" s="39" t="s">
        <v>2154</v>
      </c>
      <c r="F72" s="30" t="s">
        <v>63</v>
      </c>
      <c r="G72" s="35" t="s">
        <v>381</v>
      </c>
      <c r="H72" s="9" t="s">
        <v>73</v>
      </c>
      <c r="I72" s="9" t="s">
        <v>2677</v>
      </c>
      <c r="J72" s="9">
        <v>34</v>
      </c>
      <c r="K72" s="35">
        <f>VALUE(COUNTIF(Validation!$A$2:$H$47,E72))</f>
        <v>0</v>
      </c>
      <c r="L72" s="361">
        <f t="shared" si="14"/>
        <v>1250000</v>
      </c>
      <c r="M72" s="361">
        <f t="shared" si="15"/>
        <v>0</v>
      </c>
      <c r="N72" s="358">
        <v>1250000</v>
      </c>
      <c r="O72" s="358" t="s">
        <v>7</v>
      </c>
      <c r="P72" s="358">
        <v>0</v>
      </c>
      <c r="Q72" s="358">
        <v>0</v>
      </c>
      <c r="R72" s="358">
        <v>0</v>
      </c>
      <c r="S72" s="358">
        <v>0</v>
      </c>
      <c r="T72" s="358">
        <v>0</v>
      </c>
      <c r="U72" s="35">
        <f t="shared" si="16"/>
        <v>1</v>
      </c>
      <c r="W72">
        <f t="shared" si="17"/>
        <v>1</v>
      </c>
      <c r="X72" s="35">
        <f t="shared" si="18"/>
        <v>0</v>
      </c>
      <c r="Y72">
        <f t="shared" si="19"/>
        <v>0</v>
      </c>
      <c r="AB72">
        <f t="shared" si="22"/>
        <v>1</v>
      </c>
      <c r="AC72">
        <f t="shared" ca="1" si="23"/>
        <v>0</v>
      </c>
      <c r="AD72" t="str">
        <f ca="1">IF(AC72=1,COUNTIF($AC$3:AC72,1),"")</f>
        <v/>
      </c>
      <c r="AE72" s="155" t="str">
        <f ca="1">IFERROR(INDEX(Données!$B$3:$B$1479,MATCH(ROWS($AD$3:AD72),$AD$3:$AD$1479,0)),"")</f>
        <v/>
      </c>
    </row>
    <row r="73" spans="1:31" ht="15.75" x14ac:dyDescent="0.25">
      <c r="A73" t="str">
        <f t="shared" si="20"/>
        <v>Christian Fischer - ARI - RW</v>
      </c>
      <c r="B73" t="str">
        <f t="shared" si="21"/>
        <v>Christian Fischer - ARI - RW</v>
      </c>
      <c r="C73" t="str">
        <f t="shared" si="12"/>
        <v>Christian</v>
      </c>
      <c r="D73" t="str">
        <f t="shared" si="13"/>
        <v>Fischer</v>
      </c>
      <c r="E73" s="39" t="s">
        <v>2160</v>
      </c>
      <c r="F73" s="30" t="s">
        <v>63</v>
      </c>
      <c r="G73" s="35" t="s">
        <v>386</v>
      </c>
      <c r="H73" s="35" t="s">
        <v>88</v>
      </c>
      <c r="I73" s="9" t="s">
        <v>2677</v>
      </c>
      <c r="J73" s="35">
        <v>22</v>
      </c>
      <c r="K73" s="35">
        <f>VALUE(COUNTIF(Validation!$A$2:$H$47,E73))</f>
        <v>0</v>
      </c>
      <c r="L73" s="361">
        <f t="shared" si="14"/>
        <v>1075833</v>
      </c>
      <c r="M73" s="361">
        <f t="shared" si="15"/>
        <v>0</v>
      </c>
      <c r="N73" s="358">
        <v>1075833</v>
      </c>
      <c r="O73" s="358" t="s">
        <v>8</v>
      </c>
      <c r="P73" s="358">
        <v>0</v>
      </c>
      <c r="Q73" s="358">
        <v>0</v>
      </c>
      <c r="R73" s="358">
        <v>0</v>
      </c>
      <c r="S73" s="358">
        <v>0</v>
      </c>
      <c r="T73" s="358">
        <v>0</v>
      </c>
      <c r="U73" s="35">
        <f t="shared" si="16"/>
        <v>1</v>
      </c>
      <c r="W73">
        <f t="shared" si="17"/>
        <v>1</v>
      </c>
      <c r="X73" s="35">
        <f t="shared" si="18"/>
        <v>1</v>
      </c>
      <c r="Y73">
        <f t="shared" si="19"/>
        <v>0</v>
      </c>
      <c r="AB73">
        <f t="shared" si="22"/>
        <v>1</v>
      </c>
      <c r="AC73">
        <f t="shared" ca="1" si="23"/>
        <v>0</v>
      </c>
      <c r="AD73" t="str">
        <f ca="1">IF(AC73=1,COUNTIF($AC$3:AC73,1),"")</f>
        <v/>
      </c>
      <c r="AE73" s="155" t="str">
        <f ca="1">IFERROR(INDEX(Données!$B$3:$B$1479,MATCH(ROWS($AD$3:AD73),$AD$3:$AD$1479,0)),"")</f>
        <v/>
      </c>
    </row>
    <row r="74" spans="1:31" ht="15.75" x14ac:dyDescent="0.25">
      <c r="A74" t="str">
        <f t="shared" si="20"/>
        <v>Nick Merkley - ARI - C</v>
      </c>
      <c r="B74" t="str">
        <f t="shared" si="21"/>
        <v>Nick Merkley - ARI - C</v>
      </c>
      <c r="C74" t="str">
        <f t="shared" si="12"/>
        <v>Nick</v>
      </c>
      <c r="D74" t="str">
        <f t="shared" si="13"/>
        <v>Merkley</v>
      </c>
      <c r="E74" s="39" t="s">
        <v>2174</v>
      </c>
      <c r="F74" s="30" t="s">
        <v>63</v>
      </c>
      <c r="G74" s="35" t="s">
        <v>386</v>
      </c>
      <c r="H74" s="9" t="s">
        <v>73</v>
      </c>
      <c r="I74" s="9" t="s">
        <v>2690</v>
      </c>
      <c r="J74" s="9">
        <v>22</v>
      </c>
      <c r="K74" s="35">
        <f>VALUE(COUNTIF(Validation!$A$2:$H$47,E74))</f>
        <v>0</v>
      </c>
      <c r="L74" s="361">
        <f t="shared" si="14"/>
        <v>1075833</v>
      </c>
      <c r="M74" s="361">
        <f t="shared" si="15"/>
        <v>0</v>
      </c>
      <c r="N74" s="358">
        <v>1075833</v>
      </c>
      <c r="O74" s="358" t="s">
        <v>8</v>
      </c>
      <c r="P74" s="358">
        <v>0</v>
      </c>
      <c r="Q74" s="358">
        <v>0</v>
      </c>
      <c r="R74" s="358">
        <v>0</v>
      </c>
      <c r="S74" s="358">
        <v>0</v>
      </c>
      <c r="T74" s="358">
        <v>0</v>
      </c>
      <c r="U74" s="35">
        <f t="shared" si="16"/>
        <v>1</v>
      </c>
      <c r="W74">
        <f t="shared" si="17"/>
        <v>1</v>
      </c>
      <c r="X74" s="35">
        <f t="shared" si="18"/>
        <v>1</v>
      </c>
      <c r="Y74">
        <f t="shared" si="19"/>
        <v>0</v>
      </c>
      <c r="AB74">
        <f t="shared" si="22"/>
        <v>1</v>
      </c>
      <c r="AC74">
        <f t="shared" ca="1" si="23"/>
        <v>0</v>
      </c>
      <c r="AD74" t="str">
        <f ca="1">IF(AC74=1,COUNTIF($AC$3:AC74,1),"")</f>
        <v/>
      </c>
      <c r="AE74" s="155" t="str">
        <f ca="1">IFERROR(INDEX(Données!$B$3:$B$1479,MATCH(ROWS($AD$3:AD74),$AD$3:$AD$1479,0)),"")</f>
        <v/>
      </c>
    </row>
    <row r="75" spans="1:31" ht="15.75" x14ac:dyDescent="0.25">
      <c r="A75" t="str">
        <f t="shared" si="20"/>
        <v>Kevin Bahl - ARI - LD</v>
      </c>
      <c r="B75" t="str">
        <f t="shared" si="21"/>
        <v>Kevin Bahl - ARI - LD</v>
      </c>
      <c r="C75" t="str">
        <f t="shared" si="12"/>
        <v>Kevin</v>
      </c>
      <c r="D75" t="str">
        <f t="shared" si="13"/>
        <v>Bahl</v>
      </c>
      <c r="E75" s="39" t="s">
        <v>2460</v>
      </c>
      <c r="F75" s="30" t="s">
        <v>63</v>
      </c>
      <c r="G75" s="35" t="s">
        <v>388</v>
      </c>
      <c r="H75" s="35" t="s">
        <v>380</v>
      </c>
      <c r="I75" s="35" t="s">
        <v>389</v>
      </c>
      <c r="J75" s="35">
        <v>19</v>
      </c>
      <c r="K75" s="35">
        <f>VALUE(COUNTIF(Validation!$A$2:$H$47,E75))</f>
        <v>0</v>
      </c>
      <c r="L75" s="361">
        <f t="shared" si="14"/>
        <v>925000</v>
      </c>
      <c r="M75" s="361">
        <f t="shared" si="15"/>
        <v>925000</v>
      </c>
      <c r="N75" s="358">
        <v>925000</v>
      </c>
      <c r="O75" s="358">
        <v>925000</v>
      </c>
      <c r="P75" s="358">
        <v>925000</v>
      </c>
      <c r="Q75" s="358" t="s">
        <v>8</v>
      </c>
      <c r="R75" s="358">
        <v>0</v>
      </c>
      <c r="S75" s="358">
        <v>0</v>
      </c>
      <c r="T75" s="358">
        <v>0</v>
      </c>
      <c r="U75" s="35">
        <f t="shared" si="16"/>
        <v>3</v>
      </c>
      <c r="W75">
        <f t="shared" si="17"/>
        <v>1</v>
      </c>
      <c r="X75" s="35">
        <f t="shared" si="18"/>
        <v>1</v>
      </c>
      <c r="Y75">
        <f t="shared" si="19"/>
        <v>1</v>
      </c>
      <c r="AB75">
        <f t="shared" si="22"/>
        <v>1</v>
      </c>
      <c r="AC75">
        <f t="shared" ca="1" si="23"/>
        <v>0</v>
      </c>
      <c r="AD75" t="str">
        <f ca="1">IF(AC75=1,COUNTIF($AC$3:AC75,1),"")</f>
        <v/>
      </c>
      <c r="AE75" s="155" t="str">
        <f ca="1">IFERROR(INDEX(Données!$B$3:$B$1479,MATCH(ROWS($AD$3:AD75),$AD$3:$AD$1479,0)),"")</f>
        <v/>
      </c>
    </row>
    <row r="76" spans="1:31" ht="15.75" x14ac:dyDescent="0.25">
      <c r="A76" t="str">
        <f t="shared" si="20"/>
        <v>Brayden Burke - ARI - LW</v>
      </c>
      <c r="B76" t="str">
        <f t="shared" si="21"/>
        <v>Brayden Burke - ARI - LW</v>
      </c>
      <c r="C76" t="str">
        <f t="shared" si="12"/>
        <v>Brayden</v>
      </c>
      <c r="D76" t="str">
        <f t="shared" si="13"/>
        <v>Burke</v>
      </c>
      <c r="E76" s="39" t="s">
        <v>2171</v>
      </c>
      <c r="F76" s="30" t="s">
        <v>63</v>
      </c>
      <c r="G76" s="35" t="s">
        <v>386</v>
      </c>
      <c r="H76" s="35" t="s">
        <v>93</v>
      </c>
      <c r="I76" s="35" t="s">
        <v>2690</v>
      </c>
      <c r="J76" s="35">
        <v>22</v>
      </c>
      <c r="K76" s="35">
        <f>VALUE(COUNTIF(Validation!$A$2:$H$47,E76))</f>
        <v>0</v>
      </c>
      <c r="L76" s="361">
        <f t="shared" si="14"/>
        <v>925000</v>
      </c>
      <c r="M76" s="361">
        <f t="shared" si="15"/>
        <v>925000</v>
      </c>
      <c r="N76" s="358">
        <v>925000</v>
      </c>
      <c r="O76" s="358">
        <v>925000</v>
      </c>
      <c r="P76" s="358" t="s">
        <v>8</v>
      </c>
      <c r="Q76" s="358">
        <v>0</v>
      </c>
      <c r="R76" s="358">
        <v>0</v>
      </c>
      <c r="S76" s="358">
        <v>0</v>
      </c>
      <c r="T76" s="358">
        <v>0</v>
      </c>
      <c r="U76" s="35">
        <f t="shared" si="16"/>
        <v>2</v>
      </c>
      <c r="W76">
        <f t="shared" si="17"/>
        <v>1</v>
      </c>
      <c r="X76" s="35">
        <f t="shared" si="18"/>
        <v>1</v>
      </c>
      <c r="Y76">
        <f t="shared" si="19"/>
        <v>1</v>
      </c>
      <c r="AB76">
        <f t="shared" si="22"/>
        <v>1</v>
      </c>
      <c r="AC76">
        <f t="shared" ca="1" si="23"/>
        <v>0</v>
      </c>
      <c r="AD76" t="str">
        <f ca="1">IF(AC76=1,COUNTIF($AC$3:AC76,1),"")</f>
        <v/>
      </c>
      <c r="AE76" s="155" t="str">
        <f ca="1">IFERROR(INDEX(Données!$B$3:$B$1479,MATCH(ROWS($AD$3:AD76),$AD$3:$AD$1479,0)),"")</f>
        <v/>
      </c>
    </row>
    <row r="77" spans="1:31" ht="15.75" x14ac:dyDescent="0.25">
      <c r="A77" t="str">
        <f t="shared" si="20"/>
        <v>Jan Jeník - ARI - C</v>
      </c>
      <c r="B77" t="str">
        <f t="shared" si="21"/>
        <v>Jan Jeník - ARI - C</v>
      </c>
      <c r="C77" t="str">
        <f t="shared" si="12"/>
        <v>Jan</v>
      </c>
      <c r="D77" t="str">
        <f t="shared" si="13"/>
        <v>Jeník</v>
      </c>
      <c r="E77" s="39" t="s">
        <v>2456</v>
      </c>
      <c r="F77" s="30" t="s">
        <v>63</v>
      </c>
      <c r="G77" s="35" t="s">
        <v>386</v>
      </c>
      <c r="H77" s="35" t="s">
        <v>73</v>
      </c>
      <c r="I77" s="35" t="s">
        <v>2690</v>
      </c>
      <c r="J77" s="35">
        <v>18</v>
      </c>
      <c r="K77" s="35">
        <f>VALUE(COUNTIF(Validation!$A$2:$H$47,E77))</f>
        <v>0</v>
      </c>
      <c r="L77" s="361">
        <f t="shared" si="14"/>
        <v>925000</v>
      </c>
      <c r="M77" s="361">
        <f t="shared" si="15"/>
        <v>925000</v>
      </c>
      <c r="N77" s="358">
        <v>925000</v>
      </c>
      <c r="O77" s="358">
        <v>925000</v>
      </c>
      <c r="P77" s="358">
        <v>925000</v>
      </c>
      <c r="Q77" s="358" t="s">
        <v>8</v>
      </c>
      <c r="R77" s="358">
        <v>0</v>
      </c>
      <c r="S77" s="358">
        <v>0</v>
      </c>
      <c r="T77" s="358">
        <v>0</v>
      </c>
      <c r="U77" s="35">
        <f t="shared" si="16"/>
        <v>3</v>
      </c>
      <c r="W77">
        <f t="shared" si="17"/>
        <v>1</v>
      </c>
      <c r="X77" s="35">
        <f t="shared" si="18"/>
        <v>1</v>
      </c>
      <c r="Y77">
        <f t="shared" si="19"/>
        <v>1</v>
      </c>
      <c r="AB77">
        <f t="shared" si="22"/>
        <v>1</v>
      </c>
      <c r="AC77">
        <f t="shared" ca="1" si="23"/>
        <v>0</v>
      </c>
      <c r="AD77" t="str">
        <f ca="1">IF(AC77=1,COUNTIF($AC$3:AC77,1),"")</f>
        <v/>
      </c>
      <c r="AE77" s="155" t="str">
        <f ca="1">IFERROR(INDEX(Données!$B$3:$B$1479,MATCH(ROWS($AD$3:AD77),$AD$3:$AD$1479,0)),"")</f>
        <v/>
      </c>
    </row>
    <row r="78" spans="1:31" ht="15.75" x14ac:dyDescent="0.25">
      <c r="A78" t="str">
        <f t="shared" si="20"/>
        <v>Erik Kallgren - ARI - G</v>
      </c>
      <c r="B78" t="str">
        <f t="shared" si="21"/>
        <v>Erik Kallgren - ARI - G</v>
      </c>
      <c r="C78" t="str">
        <f t="shared" si="12"/>
        <v>Erik</v>
      </c>
      <c r="D78" t="str">
        <f t="shared" si="13"/>
        <v>Kallgren</v>
      </c>
      <c r="E78" s="39" t="s">
        <v>2878</v>
      </c>
      <c r="F78" s="30" t="s">
        <v>63</v>
      </c>
      <c r="G78" s="35" t="s">
        <v>386</v>
      </c>
      <c r="H78" s="35" t="s">
        <v>127</v>
      </c>
      <c r="I78" s="35" t="s">
        <v>2690</v>
      </c>
      <c r="J78" s="35">
        <v>22</v>
      </c>
      <c r="K78" s="35">
        <f>VALUE(COUNTIF(Validation!$A$2:$H$47,E78))</f>
        <v>0</v>
      </c>
      <c r="L78" s="361">
        <f t="shared" si="14"/>
        <v>925000</v>
      </c>
      <c r="M78" s="361">
        <f t="shared" si="15"/>
        <v>925000</v>
      </c>
      <c r="N78" s="358">
        <v>925000</v>
      </c>
      <c r="O78" s="358">
        <v>925000</v>
      </c>
      <c r="P78" s="358" t="s">
        <v>8</v>
      </c>
      <c r="Q78" s="358">
        <v>0</v>
      </c>
      <c r="R78" s="358">
        <v>0</v>
      </c>
      <c r="S78" s="358">
        <v>0</v>
      </c>
      <c r="T78" s="358">
        <v>0</v>
      </c>
      <c r="U78" s="35">
        <f t="shared" si="16"/>
        <v>2</v>
      </c>
      <c r="W78">
        <f t="shared" si="17"/>
        <v>1</v>
      </c>
      <c r="X78" s="35">
        <f t="shared" si="18"/>
        <v>1</v>
      </c>
      <c r="Y78">
        <f t="shared" si="19"/>
        <v>1</v>
      </c>
      <c r="AB78">
        <f t="shared" si="22"/>
        <v>1</v>
      </c>
      <c r="AC78">
        <f t="shared" ca="1" si="23"/>
        <v>0</v>
      </c>
      <c r="AD78" t="str">
        <f ca="1">IF(AC78=1,COUNTIF($AC$3:AC78,1),"")</f>
        <v/>
      </c>
      <c r="AE78" s="155" t="str">
        <f ca="1">IFERROR(INDEX(Données!$B$3:$B$1479,MATCH(ROWS($AD$3:AD78),$AD$3:$AD$1479,0)),"")</f>
        <v/>
      </c>
    </row>
    <row r="79" spans="1:31" ht="15.75" x14ac:dyDescent="0.25">
      <c r="A79" t="str">
        <f t="shared" si="20"/>
        <v>Merrick Madsen - ARI - G</v>
      </c>
      <c r="B79" t="str">
        <f t="shared" si="21"/>
        <v>Merrick Madsen - ARI - G</v>
      </c>
      <c r="C79" t="str">
        <f t="shared" si="12"/>
        <v>Merrick</v>
      </c>
      <c r="D79" t="str">
        <f t="shared" si="13"/>
        <v>Madsen</v>
      </c>
      <c r="E79" s="39" t="s">
        <v>2177</v>
      </c>
      <c r="F79" s="30" t="s">
        <v>63</v>
      </c>
      <c r="G79" s="35" t="s">
        <v>386</v>
      </c>
      <c r="H79" s="35" t="s">
        <v>127</v>
      </c>
      <c r="I79" s="35" t="s">
        <v>2690</v>
      </c>
      <c r="J79" s="35">
        <v>23</v>
      </c>
      <c r="K79" s="35">
        <f>VALUE(COUNTIF(Validation!$A$2:$H$47,E79))</f>
        <v>0</v>
      </c>
      <c r="L79" s="361">
        <f t="shared" si="14"/>
        <v>925000</v>
      </c>
      <c r="M79" s="361">
        <f t="shared" si="15"/>
        <v>0</v>
      </c>
      <c r="N79" s="358">
        <v>925000</v>
      </c>
      <c r="O79" s="358" t="s">
        <v>8</v>
      </c>
      <c r="P79" s="358">
        <v>0</v>
      </c>
      <c r="Q79" s="358">
        <v>0</v>
      </c>
      <c r="R79" s="358">
        <v>0</v>
      </c>
      <c r="S79" s="358">
        <v>0</v>
      </c>
      <c r="T79" s="358">
        <v>0</v>
      </c>
      <c r="U79" s="35">
        <f t="shared" si="16"/>
        <v>1</v>
      </c>
      <c r="W79">
        <f t="shared" si="17"/>
        <v>1</v>
      </c>
      <c r="X79" s="35">
        <f t="shared" si="18"/>
        <v>1</v>
      </c>
      <c r="Y79">
        <f t="shared" si="19"/>
        <v>0</v>
      </c>
      <c r="AB79">
        <f t="shared" si="22"/>
        <v>1</v>
      </c>
      <c r="AC79">
        <f t="shared" ca="1" si="23"/>
        <v>0</v>
      </c>
      <c r="AD79" t="str">
        <f ca="1">IF(AC79=1,COUNTIF($AC$3:AC79,1),"")</f>
        <v/>
      </c>
      <c r="AE79" s="155" t="str">
        <f ca="1">IFERROR(INDEX(Données!$B$3:$B$1479,MATCH(ROWS($AD$3:AD79),$AD$3:$AD$1479,0)),"")</f>
        <v/>
      </c>
    </row>
    <row r="80" spans="1:31" ht="15.75" x14ac:dyDescent="0.25">
      <c r="A80" t="str">
        <f t="shared" si="20"/>
        <v>Ivan Prosvetov - ARI - G</v>
      </c>
      <c r="B80" t="str">
        <f t="shared" si="21"/>
        <v>Ivan Prosvetov - ARI - G</v>
      </c>
      <c r="C80" t="str">
        <f t="shared" si="12"/>
        <v>Ivan</v>
      </c>
      <c r="D80" t="str">
        <f t="shared" si="13"/>
        <v>Prosvetov</v>
      </c>
      <c r="E80" s="39" t="s">
        <v>2461</v>
      </c>
      <c r="F80" s="30" t="s">
        <v>63</v>
      </c>
      <c r="G80" s="35" t="s">
        <v>386</v>
      </c>
      <c r="H80" s="35" t="s">
        <v>127</v>
      </c>
      <c r="I80" s="35" t="s">
        <v>2690</v>
      </c>
      <c r="J80" s="35">
        <v>20</v>
      </c>
      <c r="K80" s="35">
        <f>VALUE(COUNTIF(Validation!$A$2:$H$47,E80))</f>
        <v>0</v>
      </c>
      <c r="L80" s="361">
        <f t="shared" si="14"/>
        <v>925000</v>
      </c>
      <c r="M80" s="361">
        <f t="shared" si="15"/>
        <v>925000</v>
      </c>
      <c r="N80" s="358">
        <v>925000</v>
      </c>
      <c r="O80" s="358">
        <v>925000</v>
      </c>
      <c r="P80" s="358">
        <v>925000</v>
      </c>
      <c r="Q80" s="358" t="s">
        <v>8</v>
      </c>
      <c r="R80" s="358">
        <v>0</v>
      </c>
      <c r="S80" s="358">
        <v>0</v>
      </c>
      <c r="T80" s="358">
        <v>0</v>
      </c>
      <c r="U80" s="35">
        <f t="shared" si="16"/>
        <v>3</v>
      </c>
      <c r="W80">
        <f t="shared" si="17"/>
        <v>1</v>
      </c>
      <c r="X80" s="35">
        <f t="shared" si="18"/>
        <v>1</v>
      </c>
      <c r="Y80">
        <f t="shared" si="19"/>
        <v>1</v>
      </c>
      <c r="AB80">
        <f t="shared" si="22"/>
        <v>1</v>
      </c>
      <c r="AC80">
        <f t="shared" ca="1" si="23"/>
        <v>0</v>
      </c>
      <c r="AD80" t="str">
        <f ca="1">IF(AC80=1,COUNTIF($AC$3:AC80,1),"")</f>
        <v/>
      </c>
      <c r="AE80" s="155" t="str">
        <f ca="1">IFERROR(INDEX(Données!$B$3:$B$1479,MATCH(ROWS($AD$3:AD80),$AD$3:$AD$1479,0)),"")</f>
        <v/>
      </c>
    </row>
    <row r="81" spans="1:31" ht="15.75" x14ac:dyDescent="0.25">
      <c r="A81" t="str">
        <f t="shared" si="20"/>
        <v>Cam Dineen - ARI - LD</v>
      </c>
      <c r="B81" t="str">
        <f t="shared" si="21"/>
        <v>Cam Dineen - ARI - LD</v>
      </c>
      <c r="C81" t="str">
        <f t="shared" si="12"/>
        <v>Cam</v>
      </c>
      <c r="D81" t="str">
        <f t="shared" si="13"/>
        <v>Dineen</v>
      </c>
      <c r="E81" s="39" t="s">
        <v>2179</v>
      </c>
      <c r="F81" s="30" t="s">
        <v>63</v>
      </c>
      <c r="G81" s="35" t="s">
        <v>386</v>
      </c>
      <c r="H81" s="35" t="s">
        <v>380</v>
      </c>
      <c r="I81" s="35" t="s">
        <v>2690</v>
      </c>
      <c r="J81" s="35">
        <v>21</v>
      </c>
      <c r="K81" s="35">
        <f>VALUE(COUNTIF(Validation!$A$2:$H$47,E81))</f>
        <v>0</v>
      </c>
      <c r="L81" s="361">
        <f t="shared" si="14"/>
        <v>910833</v>
      </c>
      <c r="M81" s="361">
        <f t="shared" si="15"/>
        <v>910833</v>
      </c>
      <c r="N81" s="358">
        <v>910833</v>
      </c>
      <c r="O81" s="358">
        <v>910833</v>
      </c>
      <c r="P81" s="358" t="s">
        <v>8</v>
      </c>
      <c r="Q81" s="358">
        <v>0</v>
      </c>
      <c r="R81" s="358">
        <v>0</v>
      </c>
      <c r="S81" s="358">
        <v>0</v>
      </c>
      <c r="T81" s="358">
        <v>0</v>
      </c>
      <c r="U81" s="35">
        <f t="shared" si="16"/>
        <v>2</v>
      </c>
      <c r="W81">
        <f t="shared" si="17"/>
        <v>1</v>
      </c>
      <c r="X81" s="35">
        <f t="shared" si="18"/>
        <v>1</v>
      </c>
      <c r="Y81">
        <f t="shared" si="19"/>
        <v>1</v>
      </c>
      <c r="AB81">
        <f t="shared" si="22"/>
        <v>1</v>
      </c>
      <c r="AC81">
        <f t="shared" ca="1" si="23"/>
        <v>0</v>
      </c>
      <c r="AD81" t="str">
        <f ca="1">IF(AC81=1,COUNTIF($AC$3:AC81,1),"")</f>
        <v/>
      </c>
      <c r="AE81" s="155" t="str">
        <f ca="1">IFERROR(INDEX(Données!$B$3:$B$1479,MATCH(ROWS($AD$3:AD81),$AD$3:$AD$1479,0)),"")</f>
        <v/>
      </c>
    </row>
    <row r="82" spans="1:31" ht="15.75" x14ac:dyDescent="0.25">
      <c r="A82" t="str">
        <f t="shared" si="20"/>
        <v>Nathan Schnarr - ARI - C</v>
      </c>
      <c r="B82" t="str">
        <f t="shared" si="21"/>
        <v>Nathan Schnarr - ARI - C</v>
      </c>
      <c r="C82" t="str">
        <f t="shared" si="12"/>
        <v>Nathan</v>
      </c>
      <c r="D82" t="str">
        <f t="shared" si="13"/>
        <v>Schnarr</v>
      </c>
      <c r="E82" s="39" t="s">
        <v>2457</v>
      </c>
      <c r="F82" s="30" t="s">
        <v>63</v>
      </c>
      <c r="G82" s="35" t="s">
        <v>386</v>
      </c>
      <c r="H82" s="35" t="s">
        <v>73</v>
      </c>
      <c r="I82" s="35" t="s">
        <v>389</v>
      </c>
      <c r="J82" s="35">
        <v>20</v>
      </c>
      <c r="K82" s="35">
        <f>VALUE(COUNTIF(Validation!$A$2:$H$47,E82))</f>
        <v>0</v>
      </c>
      <c r="L82" s="361">
        <f t="shared" si="14"/>
        <v>894167</v>
      </c>
      <c r="M82" s="361">
        <f t="shared" si="15"/>
        <v>894167</v>
      </c>
      <c r="N82" s="358">
        <v>894167</v>
      </c>
      <c r="O82" s="358">
        <v>894167</v>
      </c>
      <c r="P82" s="358">
        <v>894167</v>
      </c>
      <c r="Q82" s="358" t="s">
        <v>8</v>
      </c>
      <c r="R82" s="358">
        <v>0</v>
      </c>
      <c r="S82" s="358">
        <v>0</v>
      </c>
      <c r="T82" s="358">
        <v>0</v>
      </c>
      <c r="U82" s="35">
        <f t="shared" si="16"/>
        <v>3</v>
      </c>
      <c r="W82">
        <f t="shared" si="17"/>
        <v>1</v>
      </c>
      <c r="X82" s="35">
        <f t="shared" si="18"/>
        <v>1</v>
      </c>
      <c r="Y82">
        <f t="shared" si="19"/>
        <v>1</v>
      </c>
      <c r="AB82">
        <f t="shared" si="22"/>
        <v>1</v>
      </c>
      <c r="AC82">
        <f t="shared" ca="1" si="23"/>
        <v>0</v>
      </c>
      <c r="AD82" t="str">
        <f ca="1">IF(AC82=1,COUNTIF($AC$3:AC82,1),"")</f>
        <v/>
      </c>
      <c r="AE82" s="155" t="str">
        <f ca="1">IFERROR(INDEX(Données!$B$3:$B$1479,MATCH(ROWS($AD$3:AD82),$AD$3:$AD$1479,0)),"")</f>
        <v/>
      </c>
    </row>
    <row r="83" spans="1:31" ht="15.75" x14ac:dyDescent="0.25">
      <c r="A83" t="str">
        <f t="shared" si="20"/>
        <v>Kyle Capobianco - ARI - D</v>
      </c>
      <c r="B83" t="str">
        <f t="shared" si="21"/>
        <v>Kyle Capobianco - ARI - D</v>
      </c>
      <c r="C83" t="str">
        <f t="shared" si="12"/>
        <v>Kyle</v>
      </c>
      <c r="D83" t="str">
        <f t="shared" si="13"/>
        <v>Capobianco</v>
      </c>
      <c r="E83" s="39" t="s">
        <v>2178</v>
      </c>
      <c r="F83" s="30" t="s">
        <v>63</v>
      </c>
      <c r="G83" s="35" t="s">
        <v>386</v>
      </c>
      <c r="H83" s="9" t="s">
        <v>82</v>
      </c>
      <c r="I83" s="9" t="s">
        <v>2690</v>
      </c>
      <c r="J83" s="9">
        <v>22</v>
      </c>
      <c r="K83" s="35">
        <f>VALUE(COUNTIF(Validation!$A$2:$H$47,E83))</f>
        <v>0</v>
      </c>
      <c r="L83" s="361">
        <f t="shared" si="14"/>
        <v>894166</v>
      </c>
      <c r="M83" s="361">
        <f t="shared" si="15"/>
        <v>0</v>
      </c>
      <c r="N83" s="358">
        <v>894166</v>
      </c>
      <c r="O83" s="358" t="s">
        <v>8</v>
      </c>
      <c r="P83" s="358">
        <v>0</v>
      </c>
      <c r="Q83" s="358">
        <v>0</v>
      </c>
      <c r="R83" s="358">
        <v>0</v>
      </c>
      <c r="S83" s="358">
        <v>0</v>
      </c>
      <c r="T83" s="358">
        <v>0</v>
      </c>
      <c r="U83" s="35">
        <f t="shared" si="16"/>
        <v>1</v>
      </c>
      <c r="W83">
        <f t="shared" si="17"/>
        <v>1</v>
      </c>
      <c r="X83" s="35">
        <f t="shared" si="18"/>
        <v>1</v>
      </c>
      <c r="Y83">
        <f t="shared" si="19"/>
        <v>0</v>
      </c>
      <c r="AB83">
        <f t="shared" si="22"/>
        <v>1</v>
      </c>
      <c r="AC83">
        <f t="shared" ca="1" si="23"/>
        <v>0</v>
      </c>
      <c r="AD83" t="str">
        <f ca="1">IF(AC83=1,COUNTIF($AC$3:AC83,1),"")</f>
        <v/>
      </c>
      <c r="AE83" s="155" t="str">
        <f ca="1">IFERROR(INDEX(Données!$B$3:$B$1479,MATCH(ROWS($AD$3:AD83),$AD$3:$AD$1479,0)),"")</f>
        <v/>
      </c>
    </row>
    <row r="84" spans="1:31" ht="15.75" x14ac:dyDescent="0.25">
      <c r="A84" t="str">
        <f t="shared" si="20"/>
        <v>Tyler Steenbergen - ARI - C</v>
      </c>
      <c r="B84" t="str">
        <f t="shared" si="21"/>
        <v>Tyler Steenbergen - ARI - C</v>
      </c>
      <c r="C84" t="str">
        <f t="shared" si="12"/>
        <v>Tyler</v>
      </c>
      <c r="D84" t="str">
        <f t="shared" si="13"/>
        <v>Steenbergen</v>
      </c>
      <c r="E84" s="39" t="s">
        <v>2176</v>
      </c>
      <c r="F84" s="30" t="s">
        <v>63</v>
      </c>
      <c r="G84" s="35" t="s">
        <v>386</v>
      </c>
      <c r="H84" s="35" t="s">
        <v>73</v>
      </c>
      <c r="I84" s="35" t="s">
        <v>2690</v>
      </c>
      <c r="J84" s="35">
        <v>21</v>
      </c>
      <c r="K84" s="35">
        <f>VALUE(COUNTIF(Validation!$A$2:$H$47,E84))</f>
        <v>0</v>
      </c>
      <c r="L84" s="361">
        <f t="shared" si="14"/>
        <v>875000</v>
      </c>
      <c r="M84" s="361">
        <f t="shared" si="15"/>
        <v>875000</v>
      </c>
      <c r="N84" s="358">
        <v>875000</v>
      </c>
      <c r="O84" s="358">
        <v>875000</v>
      </c>
      <c r="P84" s="358" t="s">
        <v>8</v>
      </c>
      <c r="Q84" s="358">
        <v>0</v>
      </c>
      <c r="R84" s="358">
        <v>0</v>
      </c>
      <c r="S84" s="358">
        <v>0</v>
      </c>
      <c r="T84" s="358">
        <v>0</v>
      </c>
      <c r="U84" s="35">
        <f t="shared" si="16"/>
        <v>2</v>
      </c>
      <c r="W84">
        <f t="shared" si="17"/>
        <v>1</v>
      </c>
      <c r="X84" s="35">
        <f t="shared" si="18"/>
        <v>1</v>
      </c>
      <c r="Y84">
        <f t="shared" si="19"/>
        <v>1</v>
      </c>
      <c r="AB84">
        <f t="shared" si="22"/>
        <v>1</v>
      </c>
      <c r="AC84">
        <f t="shared" ca="1" si="23"/>
        <v>0</v>
      </c>
      <c r="AD84" t="str">
        <f ca="1">IF(AC84=1,COUNTIF($AC$3:AC84,1),"")</f>
        <v/>
      </c>
      <c r="AE84" s="155" t="str">
        <f ca="1">IFERROR(INDEX(Données!$B$3:$B$1479,MATCH(ROWS($AD$3:AD84),$AD$3:$AD$1479,0)),"")</f>
        <v/>
      </c>
    </row>
    <row r="85" spans="1:31" ht="15.75" x14ac:dyDescent="0.25">
      <c r="A85" t="str">
        <f t="shared" si="20"/>
        <v>Ilya Lyubushkin - ARI - RD</v>
      </c>
      <c r="B85" t="str">
        <f t="shared" si="21"/>
        <v>Ilya Lyubushkin - ARI - RD</v>
      </c>
      <c r="C85" t="str">
        <f t="shared" si="12"/>
        <v>Ilya</v>
      </c>
      <c r="D85" t="str">
        <f t="shared" si="13"/>
        <v>Lyubushkin</v>
      </c>
      <c r="E85" s="39" t="s">
        <v>2169</v>
      </c>
      <c r="F85" s="30" t="s">
        <v>63</v>
      </c>
      <c r="G85" s="35">
        <v>0</v>
      </c>
      <c r="H85" s="9" t="s">
        <v>379</v>
      </c>
      <c r="I85" s="9" t="s">
        <v>2677</v>
      </c>
      <c r="J85" s="9">
        <v>25</v>
      </c>
      <c r="K85" s="35">
        <f>VALUE(COUNTIF(Validation!$A$2:$H$47,E85))</f>
        <v>0</v>
      </c>
      <c r="L85" s="361">
        <f t="shared" si="14"/>
        <v>874125</v>
      </c>
      <c r="M85" s="361">
        <f t="shared" si="15"/>
        <v>0</v>
      </c>
      <c r="N85" s="358">
        <v>874125</v>
      </c>
      <c r="O85" s="358" t="s">
        <v>8</v>
      </c>
      <c r="P85" s="358">
        <v>0</v>
      </c>
      <c r="Q85" s="358">
        <v>0</v>
      </c>
      <c r="R85" s="358">
        <v>0</v>
      </c>
      <c r="S85" s="358">
        <v>0</v>
      </c>
      <c r="T85" s="358">
        <v>0</v>
      </c>
      <c r="U85" s="35">
        <f t="shared" si="16"/>
        <v>1</v>
      </c>
      <c r="W85">
        <f t="shared" si="17"/>
        <v>1</v>
      </c>
      <c r="X85" s="35">
        <f t="shared" si="18"/>
        <v>0</v>
      </c>
      <c r="Y85">
        <f t="shared" si="19"/>
        <v>0</v>
      </c>
      <c r="AB85">
        <f t="shared" si="22"/>
        <v>1</v>
      </c>
      <c r="AC85">
        <f t="shared" ca="1" si="23"/>
        <v>0</v>
      </c>
      <c r="AD85" t="str">
        <f ca="1">IF(AC85=1,COUNTIF($AC$3:AC85,1),"")</f>
        <v/>
      </c>
      <c r="AE85" s="155" t="str">
        <f ca="1">IFERROR(INDEX(Données!$B$3:$B$1479,MATCH(ROWS($AD$3:AD85),$AD$3:$AD$1479,0)),"")</f>
        <v/>
      </c>
    </row>
    <row r="86" spans="1:31" ht="15.75" x14ac:dyDescent="0.25">
      <c r="A86" t="str">
        <f t="shared" si="20"/>
        <v>Dane Birks - ARI - D</v>
      </c>
      <c r="B86" t="str">
        <f t="shared" si="21"/>
        <v>Dane Birks - ARI - D</v>
      </c>
      <c r="C86" t="str">
        <f t="shared" si="12"/>
        <v>Dane</v>
      </c>
      <c r="D86" t="str">
        <f t="shared" si="13"/>
        <v>Birks</v>
      </c>
      <c r="E86" s="39" t="s">
        <v>1841</v>
      </c>
      <c r="F86" s="30" t="s">
        <v>63</v>
      </c>
      <c r="G86" s="35" t="s">
        <v>386</v>
      </c>
      <c r="H86" s="35" t="s">
        <v>82</v>
      </c>
      <c r="I86" s="35" t="s">
        <v>2690</v>
      </c>
      <c r="J86" s="35">
        <v>23</v>
      </c>
      <c r="K86" s="35">
        <f>VALUE(COUNTIF(Validation!$A$2:$H$47,E86))</f>
        <v>0</v>
      </c>
      <c r="L86" s="361">
        <f t="shared" si="14"/>
        <v>800000</v>
      </c>
      <c r="M86" s="361">
        <f t="shared" si="15"/>
        <v>0</v>
      </c>
      <c r="N86" s="358">
        <v>800000</v>
      </c>
      <c r="O86" s="358" t="s">
        <v>8</v>
      </c>
      <c r="P86" s="358">
        <v>0</v>
      </c>
      <c r="Q86" s="358">
        <v>0</v>
      </c>
      <c r="R86" s="358">
        <v>0</v>
      </c>
      <c r="S86" s="358">
        <v>0</v>
      </c>
      <c r="T86" s="358">
        <v>0</v>
      </c>
      <c r="U86" s="35">
        <f t="shared" si="16"/>
        <v>1</v>
      </c>
      <c r="W86">
        <f t="shared" si="17"/>
        <v>1</v>
      </c>
      <c r="X86" s="35">
        <f t="shared" si="18"/>
        <v>1</v>
      </c>
      <c r="Y86">
        <f t="shared" si="19"/>
        <v>0</v>
      </c>
      <c r="AB86">
        <f t="shared" si="22"/>
        <v>1</v>
      </c>
      <c r="AC86">
        <f t="shared" ca="1" si="23"/>
        <v>0</v>
      </c>
      <c r="AD86" t="str">
        <f ca="1">IF(AC86=1,COUNTIF($AC$3:AC86,1),"")</f>
        <v/>
      </c>
      <c r="AE86" s="155" t="str">
        <f ca="1">IFERROR(INDEX(Données!$B$3:$B$1479,MATCH(ROWS($AD$3:AD86),$AD$3:$AD$1479,0)),"")</f>
        <v/>
      </c>
    </row>
    <row r="87" spans="1:31" ht="15.75" x14ac:dyDescent="0.25">
      <c r="A87" t="str">
        <f t="shared" si="20"/>
        <v>Conor Garland - ARI - LW, RW</v>
      </c>
      <c r="B87" t="str">
        <f t="shared" si="21"/>
        <v>Conor Garland - ARI - LW, RW</v>
      </c>
      <c r="C87" t="str">
        <f t="shared" si="12"/>
        <v>Conor</v>
      </c>
      <c r="D87" t="str">
        <f t="shared" si="13"/>
        <v>Garland</v>
      </c>
      <c r="E87" s="39" t="s">
        <v>2185</v>
      </c>
      <c r="F87" s="30" t="s">
        <v>63</v>
      </c>
      <c r="G87" s="35">
        <v>0</v>
      </c>
      <c r="H87" s="9" t="s">
        <v>2689</v>
      </c>
      <c r="I87" s="9" t="s">
        <v>2677</v>
      </c>
      <c r="J87" s="9">
        <v>23</v>
      </c>
      <c r="K87" s="35">
        <f>VALUE(COUNTIF(Validation!$A$2:$H$47,E87))</f>
        <v>0</v>
      </c>
      <c r="L87" s="361">
        <f t="shared" si="14"/>
        <v>775000</v>
      </c>
      <c r="M87" s="361">
        <f t="shared" si="15"/>
        <v>775000</v>
      </c>
      <c r="N87" s="358">
        <v>775000</v>
      </c>
      <c r="O87" s="358">
        <v>775000</v>
      </c>
      <c r="P87" s="358" t="s">
        <v>8</v>
      </c>
      <c r="Q87" s="358">
        <v>0</v>
      </c>
      <c r="R87" s="358">
        <v>0</v>
      </c>
      <c r="S87" s="358">
        <v>0</v>
      </c>
      <c r="T87" s="358">
        <v>0</v>
      </c>
      <c r="U87" s="35">
        <f t="shared" si="16"/>
        <v>2</v>
      </c>
      <c r="W87">
        <f t="shared" si="17"/>
        <v>1</v>
      </c>
      <c r="X87" s="35">
        <f t="shared" si="18"/>
        <v>0</v>
      </c>
      <c r="Y87">
        <f t="shared" si="19"/>
        <v>1</v>
      </c>
      <c r="AB87">
        <f t="shared" si="22"/>
        <v>1</v>
      </c>
      <c r="AC87">
        <f t="shared" ca="1" si="23"/>
        <v>0</v>
      </c>
      <c r="AD87" t="str">
        <f ca="1">IF(AC87=1,COUNTIF($AC$3:AC87,1),"")</f>
        <v/>
      </c>
      <c r="AE87" s="155" t="str">
        <f ca="1">IFERROR(INDEX(Données!$B$3:$B$1479,MATCH(ROWS($AD$3:AD87),$AD$3:$AD$1479,0)),"")</f>
        <v/>
      </c>
    </row>
    <row r="88" spans="1:31" ht="15.75" x14ac:dyDescent="0.25">
      <c r="A88" t="str">
        <f t="shared" si="20"/>
        <v>Michael Bunting - ARI - LW</v>
      </c>
      <c r="B88" t="str">
        <f t="shared" si="21"/>
        <v>Michael Bunting - ARI - LW</v>
      </c>
      <c r="C88" t="str">
        <f t="shared" si="12"/>
        <v>Michael</v>
      </c>
      <c r="D88" t="str">
        <f t="shared" si="13"/>
        <v>Bunting</v>
      </c>
      <c r="E88" s="39" t="s">
        <v>2181</v>
      </c>
      <c r="F88" s="30" t="s">
        <v>63</v>
      </c>
      <c r="G88" s="35">
        <v>0</v>
      </c>
      <c r="H88" s="35" t="s">
        <v>93</v>
      </c>
      <c r="I88" s="35" t="s">
        <v>2690</v>
      </c>
      <c r="J88" s="35">
        <v>23</v>
      </c>
      <c r="K88" s="35">
        <f>VALUE(COUNTIF(Validation!$A$2:$H$47,E88))</f>
        <v>0</v>
      </c>
      <c r="L88" s="361">
        <f t="shared" si="14"/>
        <v>737500</v>
      </c>
      <c r="M88" s="361">
        <f t="shared" si="15"/>
        <v>737500</v>
      </c>
      <c r="N88" s="358">
        <v>737500</v>
      </c>
      <c r="O88" s="358">
        <v>737500</v>
      </c>
      <c r="P88" s="358" t="s">
        <v>8</v>
      </c>
      <c r="Q88" s="358">
        <v>0</v>
      </c>
      <c r="R88" s="358">
        <v>0</v>
      </c>
      <c r="S88" s="358">
        <v>0</v>
      </c>
      <c r="T88" s="358">
        <v>0</v>
      </c>
      <c r="U88" s="35">
        <f t="shared" si="16"/>
        <v>2</v>
      </c>
      <c r="W88">
        <f t="shared" si="17"/>
        <v>1</v>
      </c>
      <c r="X88" s="35">
        <f t="shared" si="18"/>
        <v>0</v>
      </c>
      <c r="Y88">
        <f t="shared" si="19"/>
        <v>1</v>
      </c>
      <c r="AB88">
        <f t="shared" si="22"/>
        <v>1</v>
      </c>
      <c r="AC88">
        <f t="shared" ca="1" si="23"/>
        <v>0</v>
      </c>
      <c r="AD88" t="str">
        <f ca="1">IF(AC88=1,COUNTIF($AC$3:AC88,1),"")</f>
        <v/>
      </c>
      <c r="AE88" s="155" t="str">
        <f ca="1">IFERROR(INDEX(Données!$B$3:$B$1479,MATCH(ROWS($AD$3:AD88),$AD$3:$AD$1479,0)),"")</f>
        <v/>
      </c>
    </row>
    <row r="89" spans="1:31" ht="15.75" x14ac:dyDescent="0.25">
      <c r="A89" t="str">
        <f t="shared" si="20"/>
        <v>Hudson Fasching - ARI - RW</v>
      </c>
      <c r="B89" t="str">
        <f t="shared" si="21"/>
        <v>Hudson Fasching - ARI - RW</v>
      </c>
      <c r="C89" t="str">
        <f t="shared" si="12"/>
        <v>Hudson</v>
      </c>
      <c r="D89" t="str">
        <f t="shared" si="13"/>
        <v>Fasching</v>
      </c>
      <c r="E89" s="39" t="s">
        <v>2173</v>
      </c>
      <c r="F89" s="30" t="s">
        <v>63</v>
      </c>
      <c r="G89" s="35">
        <v>0</v>
      </c>
      <c r="H89" s="9" t="s">
        <v>88</v>
      </c>
      <c r="I89" s="9" t="s">
        <v>2690</v>
      </c>
      <c r="J89" s="9">
        <v>24</v>
      </c>
      <c r="K89" s="35">
        <f>VALUE(COUNTIF(Validation!$A$2:$H$47,E89))</f>
        <v>0</v>
      </c>
      <c r="L89" s="361">
        <f t="shared" si="14"/>
        <v>737500</v>
      </c>
      <c r="M89" s="361">
        <f t="shared" si="15"/>
        <v>737500</v>
      </c>
      <c r="N89" s="358">
        <v>737500</v>
      </c>
      <c r="O89" s="358">
        <v>737500</v>
      </c>
      <c r="P89" s="358" t="s">
        <v>8</v>
      </c>
      <c r="Q89" s="358">
        <v>0</v>
      </c>
      <c r="R89" s="358">
        <v>0</v>
      </c>
      <c r="S89" s="358">
        <v>0</v>
      </c>
      <c r="T89" s="358">
        <v>0</v>
      </c>
      <c r="U89" s="35">
        <f t="shared" si="16"/>
        <v>2</v>
      </c>
      <c r="W89">
        <f t="shared" si="17"/>
        <v>1</v>
      </c>
      <c r="X89" s="35">
        <f t="shared" si="18"/>
        <v>0</v>
      </c>
      <c r="Y89">
        <f t="shared" si="19"/>
        <v>1</v>
      </c>
      <c r="AB89">
        <f t="shared" si="22"/>
        <v>1</v>
      </c>
      <c r="AC89">
        <f t="shared" ca="1" si="23"/>
        <v>0</v>
      </c>
      <c r="AD89" t="str">
        <f ca="1">IF(AC89=1,COUNTIF($AC$3:AC89,1),"")</f>
        <v/>
      </c>
      <c r="AE89" s="155" t="str">
        <f ca="1">IFERROR(INDEX(Données!$B$3:$B$1479,MATCH(ROWS($AD$3:AD89),$AD$3:$AD$1479,0)),"")</f>
        <v/>
      </c>
    </row>
    <row r="90" spans="1:31" ht="15.75" x14ac:dyDescent="0.25">
      <c r="A90" t="str">
        <f t="shared" si="20"/>
        <v>Beau Bennett - ARI - RW, LW</v>
      </c>
      <c r="B90" t="str">
        <f t="shared" si="21"/>
        <v>Beau Bennett - ARI - RW, LW</v>
      </c>
      <c r="C90" t="str">
        <f t="shared" si="12"/>
        <v>Beau</v>
      </c>
      <c r="D90" t="str">
        <f t="shared" si="13"/>
        <v>Bennett</v>
      </c>
      <c r="E90" s="39" t="s">
        <v>2458</v>
      </c>
      <c r="F90" s="30" t="s">
        <v>63</v>
      </c>
      <c r="G90" s="35">
        <v>0</v>
      </c>
      <c r="H90" s="35" t="s">
        <v>2680</v>
      </c>
      <c r="I90" s="35" t="s">
        <v>2690</v>
      </c>
      <c r="J90" s="35">
        <v>27</v>
      </c>
      <c r="K90" s="35">
        <f>VALUE(COUNTIF(Validation!$A$2:$H$47,E90))</f>
        <v>0</v>
      </c>
      <c r="L90" s="361">
        <f t="shared" si="14"/>
        <v>725000</v>
      </c>
      <c r="M90" s="361">
        <f t="shared" si="15"/>
        <v>0</v>
      </c>
      <c r="N90" s="358">
        <v>725000</v>
      </c>
      <c r="O90" s="358" t="s">
        <v>7</v>
      </c>
      <c r="P90" s="358">
        <v>0</v>
      </c>
      <c r="Q90" s="358">
        <v>0</v>
      </c>
      <c r="R90" s="358">
        <v>0</v>
      </c>
      <c r="S90" s="358">
        <v>0</v>
      </c>
      <c r="T90" s="358">
        <v>0</v>
      </c>
      <c r="U90" s="35">
        <f t="shared" si="16"/>
        <v>1</v>
      </c>
      <c r="W90">
        <f t="shared" si="17"/>
        <v>1</v>
      </c>
      <c r="X90" s="35">
        <f t="shared" si="18"/>
        <v>0</v>
      </c>
      <c r="Y90">
        <f t="shared" si="19"/>
        <v>0</v>
      </c>
      <c r="AB90">
        <f t="shared" si="22"/>
        <v>1</v>
      </c>
      <c r="AC90">
        <f t="shared" ca="1" si="23"/>
        <v>0</v>
      </c>
      <c r="AD90" t="str">
        <f ca="1">IF(AC90=1,COUNTIF($AC$3:AC90,1),"")</f>
        <v/>
      </c>
      <c r="AE90" s="155" t="str">
        <f ca="1">IFERROR(INDEX(Données!$B$3:$B$1479,MATCH(ROWS($AD$3:AD90),$AD$3:$AD$1479,0)),"")</f>
        <v/>
      </c>
    </row>
    <row r="91" spans="1:31" ht="15" customHeight="1" x14ac:dyDescent="0.25">
      <c r="A91" t="str">
        <f t="shared" si="20"/>
        <v>Andy Miele - ARI - C</v>
      </c>
      <c r="B91" t="str">
        <f t="shared" si="21"/>
        <v>Andy Miele - ARI - C</v>
      </c>
      <c r="C91" t="str">
        <f t="shared" si="12"/>
        <v>Andy</v>
      </c>
      <c r="D91" t="str">
        <f t="shared" si="13"/>
        <v>Miele</v>
      </c>
      <c r="E91" s="39" t="s">
        <v>2459</v>
      </c>
      <c r="F91" s="30" t="s">
        <v>63</v>
      </c>
      <c r="G91" s="35">
        <v>0</v>
      </c>
      <c r="H91" s="9" t="s">
        <v>73</v>
      </c>
      <c r="I91" s="9" t="s">
        <v>2690</v>
      </c>
      <c r="J91" s="9">
        <v>31</v>
      </c>
      <c r="K91" s="35">
        <f>VALUE(COUNTIF(Validation!$A$2:$H$47,E91))</f>
        <v>0</v>
      </c>
      <c r="L91" s="361">
        <f t="shared" si="14"/>
        <v>725000</v>
      </c>
      <c r="M91" s="361">
        <f t="shared" si="15"/>
        <v>725000</v>
      </c>
      <c r="N91" s="358">
        <v>725000</v>
      </c>
      <c r="O91" s="358">
        <v>725000</v>
      </c>
      <c r="P91" s="358" t="s">
        <v>7</v>
      </c>
      <c r="Q91" s="358">
        <v>0</v>
      </c>
      <c r="R91" s="358">
        <v>0</v>
      </c>
      <c r="S91" s="358">
        <v>0</v>
      </c>
      <c r="T91" s="358">
        <v>0</v>
      </c>
      <c r="U91" s="35">
        <f t="shared" si="16"/>
        <v>2</v>
      </c>
      <c r="W91">
        <f t="shared" si="17"/>
        <v>1</v>
      </c>
      <c r="X91" s="35">
        <f t="shared" si="18"/>
        <v>0</v>
      </c>
      <c r="Y91">
        <f t="shared" si="19"/>
        <v>1</v>
      </c>
      <c r="AB91">
        <f t="shared" si="22"/>
        <v>1</v>
      </c>
      <c r="AC91">
        <f t="shared" ca="1" si="23"/>
        <v>0</v>
      </c>
      <c r="AD91" t="str">
        <f ca="1">IF(AC91=1,COUNTIF($AC$3:AC91,1),"")</f>
        <v/>
      </c>
      <c r="AE91" s="155" t="str">
        <f ca="1">IFERROR(INDEX(Données!$B$3:$B$1479,MATCH(ROWS($AD$3:AD91),$AD$3:$AD$1479,0)),"")</f>
        <v/>
      </c>
    </row>
    <row r="92" spans="1:31" ht="15.75" x14ac:dyDescent="0.25">
      <c r="A92" t="str">
        <f t="shared" si="20"/>
        <v>Aaron Ness - ARI - LD</v>
      </c>
      <c r="B92" t="str">
        <f t="shared" si="21"/>
        <v>Aaron Ness - ARI - LD</v>
      </c>
      <c r="C92" t="str">
        <f t="shared" si="12"/>
        <v>Aaron</v>
      </c>
      <c r="D92" t="str">
        <f t="shared" si="13"/>
        <v>Ness</v>
      </c>
      <c r="E92" s="39" t="s">
        <v>1882</v>
      </c>
      <c r="F92" s="30" t="s">
        <v>63</v>
      </c>
      <c r="G92" s="35">
        <v>0</v>
      </c>
      <c r="H92" s="35" t="s">
        <v>380</v>
      </c>
      <c r="I92" s="35" t="s">
        <v>2690</v>
      </c>
      <c r="J92" s="35">
        <v>29</v>
      </c>
      <c r="K92" s="35">
        <f>VALUE(COUNTIF(Validation!$A$2:$H$47,E92))</f>
        <v>0</v>
      </c>
      <c r="L92" s="361">
        <f t="shared" si="14"/>
        <v>725000</v>
      </c>
      <c r="M92" s="361">
        <f t="shared" si="15"/>
        <v>725000</v>
      </c>
      <c r="N92" s="358">
        <v>725000</v>
      </c>
      <c r="O92" s="358">
        <v>725000</v>
      </c>
      <c r="P92" s="358" t="s">
        <v>7</v>
      </c>
      <c r="Q92" s="358">
        <v>0</v>
      </c>
      <c r="R92" s="358">
        <v>0</v>
      </c>
      <c r="S92" s="358">
        <v>0</v>
      </c>
      <c r="T92" s="358">
        <v>0</v>
      </c>
      <c r="U92" s="35">
        <f t="shared" si="16"/>
        <v>2</v>
      </c>
      <c r="W92">
        <f t="shared" si="17"/>
        <v>1</v>
      </c>
      <c r="X92" s="35">
        <f t="shared" si="18"/>
        <v>0</v>
      </c>
      <c r="Y92">
        <f t="shared" si="19"/>
        <v>1</v>
      </c>
      <c r="AB92">
        <f t="shared" si="22"/>
        <v>1</v>
      </c>
      <c r="AC92">
        <f t="shared" ca="1" si="23"/>
        <v>0</v>
      </c>
      <c r="AD92" t="str">
        <f ca="1">IF(AC92=1,COUNTIF($AC$3:AC92,1),"")</f>
        <v/>
      </c>
      <c r="AE92" s="155" t="str">
        <f ca="1">IFERROR(INDEX(Données!$B$3:$B$1479,MATCH(ROWS($AD$3:AD92),$AD$3:$AD$1479,0)),"")</f>
        <v/>
      </c>
    </row>
    <row r="93" spans="1:31" ht="15.75" x14ac:dyDescent="0.25">
      <c r="A93" t="str">
        <f t="shared" si="20"/>
        <v>Dysin Mayo - ARI - RD</v>
      </c>
      <c r="B93" t="str">
        <f t="shared" si="21"/>
        <v>Dysin Mayo - ARI - RD</v>
      </c>
      <c r="C93" t="str">
        <f t="shared" si="12"/>
        <v>Dysin</v>
      </c>
      <c r="D93" t="str">
        <f t="shared" si="13"/>
        <v>Mayo</v>
      </c>
      <c r="E93" s="39" t="s">
        <v>2186</v>
      </c>
      <c r="F93" s="30" t="s">
        <v>63</v>
      </c>
      <c r="G93" s="35">
        <v>0</v>
      </c>
      <c r="H93" s="35" t="s">
        <v>379</v>
      </c>
      <c r="I93" s="35" t="s">
        <v>2690</v>
      </c>
      <c r="J93" s="35">
        <v>22</v>
      </c>
      <c r="K93" s="35">
        <f>VALUE(COUNTIF(Validation!$A$2:$H$47,E93))</f>
        <v>0</v>
      </c>
      <c r="L93" s="361">
        <f t="shared" si="14"/>
        <v>715000</v>
      </c>
      <c r="M93" s="361">
        <f t="shared" si="15"/>
        <v>0</v>
      </c>
      <c r="N93" s="358">
        <v>715000</v>
      </c>
      <c r="O93" s="358" t="s">
        <v>8</v>
      </c>
      <c r="P93" s="358">
        <v>0</v>
      </c>
      <c r="Q93" s="358">
        <v>0</v>
      </c>
      <c r="R93" s="358">
        <v>0</v>
      </c>
      <c r="S93" s="358">
        <v>0</v>
      </c>
      <c r="T93" s="358">
        <v>0</v>
      </c>
      <c r="U93" s="35">
        <f t="shared" si="16"/>
        <v>1</v>
      </c>
      <c r="W93">
        <f t="shared" si="17"/>
        <v>1</v>
      </c>
      <c r="X93" s="35">
        <f t="shared" si="18"/>
        <v>0</v>
      </c>
      <c r="Y93">
        <f t="shared" si="19"/>
        <v>0</v>
      </c>
      <c r="AB93">
        <f t="shared" si="22"/>
        <v>1</v>
      </c>
      <c r="AC93">
        <f t="shared" ca="1" si="23"/>
        <v>0</v>
      </c>
      <c r="AD93" t="str">
        <f ca="1">IF(AC93=1,COUNTIF($AC$3:AC93,1),"")</f>
        <v/>
      </c>
      <c r="AE93" s="155" t="str">
        <f ca="1">IFERROR(INDEX(Données!$B$3:$B$1479,MATCH(ROWS($AD$3:AD93),$AD$3:$AD$1479,0)),"")</f>
        <v/>
      </c>
    </row>
    <row r="94" spans="1:31" ht="15.75" x14ac:dyDescent="0.25">
      <c r="A94" t="str">
        <f t="shared" si="20"/>
        <v>Adin Hill - ARI - G</v>
      </c>
      <c r="B94" t="str">
        <f t="shared" si="21"/>
        <v>Adin Hill - ARI - G</v>
      </c>
      <c r="C94" t="str">
        <f t="shared" si="12"/>
        <v>Adin</v>
      </c>
      <c r="D94" t="str">
        <f t="shared" si="13"/>
        <v>Hill</v>
      </c>
      <c r="E94" s="39" t="s">
        <v>2180</v>
      </c>
      <c r="F94" s="30" t="s">
        <v>63</v>
      </c>
      <c r="G94" s="35">
        <v>0</v>
      </c>
      <c r="H94" s="35" t="s">
        <v>127</v>
      </c>
      <c r="I94" s="35" t="s">
        <v>2690</v>
      </c>
      <c r="J94" s="35">
        <v>23</v>
      </c>
      <c r="K94" s="35">
        <f>VALUE(COUNTIF(Validation!$A$2:$H$47,E94))</f>
        <v>0</v>
      </c>
      <c r="L94" s="361">
        <f t="shared" si="14"/>
        <v>708750</v>
      </c>
      <c r="M94" s="361">
        <f t="shared" si="15"/>
        <v>0</v>
      </c>
      <c r="N94" s="358">
        <v>708750</v>
      </c>
      <c r="O94" s="358" t="s">
        <v>8</v>
      </c>
      <c r="P94" s="358">
        <v>0</v>
      </c>
      <c r="Q94" s="358">
        <v>0</v>
      </c>
      <c r="R94" s="358">
        <v>0</v>
      </c>
      <c r="S94" s="358">
        <v>0</v>
      </c>
      <c r="T94" s="358">
        <v>0</v>
      </c>
      <c r="U94" s="35">
        <f t="shared" si="16"/>
        <v>1</v>
      </c>
      <c r="W94">
        <f t="shared" si="17"/>
        <v>1</v>
      </c>
      <c r="X94" s="35">
        <f t="shared" si="18"/>
        <v>0</v>
      </c>
      <c r="Y94">
        <f t="shared" si="19"/>
        <v>0</v>
      </c>
      <c r="AB94">
        <f t="shared" si="22"/>
        <v>1</v>
      </c>
      <c r="AC94">
        <f t="shared" ca="1" si="23"/>
        <v>0</v>
      </c>
      <c r="AD94" t="str">
        <f ca="1">IF(AC94=1,COUNTIF($AC$3:AC94,1),"")</f>
        <v/>
      </c>
      <c r="AE94" s="155" t="str">
        <f ca="1">IFERROR(INDEX(Données!$B$3:$B$1479,MATCH(ROWS($AD$3:AD94),$AD$3:$AD$1479,0)),"")</f>
        <v/>
      </c>
    </row>
    <row r="95" spans="1:31" ht="15.75" x14ac:dyDescent="0.25">
      <c r="A95" t="str">
        <f t="shared" si="20"/>
        <v>Giovanni Fiore - ARI - RW, C</v>
      </c>
      <c r="B95" t="str">
        <f t="shared" si="21"/>
        <v>Giovanni Fiore - ARI - RW, C</v>
      </c>
      <c r="C95" t="str">
        <f t="shared" si="12"/>
        <v>Giovanni</v>
      </c>
      <c r="D95" t="str">
        <f t="shared" si="13"/>
        <v>Fiore</v>
      </c>
      <c r="E95" s="39" t="s">
        <v>2144</v>
      </c>
      <c r="F95" s="30" t="s">
        <v>63</v>
      </c>
      <c r="G95" s="35" t="s">
        <v>386</v>
      </c>
      <c r="H95" s="9" t="s">
        <v>2678</v>
      </c>
      <c r="I95" s="9" t="s">
        <v>2690</v>
      </c>
      <c r="J95" s="9">
        <v>23</v>
      </c>
      <c r="K95" s="35">
        <f>VALUE(COUNTIF(Validation!$A$2:$H$47,E95))</f>
        <v>0</v>
      </c>
      <c r="L95" s="361">
        <f t="shared" si="14"/>
        <v>701667</v>
      </c>
      <c r="M95" s="361">
        <f t="shared" si="15"/>
        <v>0</v>
      </c>
      <c r="N95" s="358">
        <v>701667</v>
      </c>
      <c r="O95" s="358" t="s">
        <v>8</v>
      </c>
      <c r="P95" s="358">
        <v>0</v>
      </c>
      <c r="Q95" s="358">
        <v>0</v>
      </c>
      <c r="R95" s="358">
        <v>0</v>
      </c>
      <c r="S95" s="358">
        <v>0</v>
      </c>
      <c r="T95" s="358">
        <v>0</v>
      </c>
      <c r="U95" s="35">
        <f t="shared" si="16"/>
        <v>1</v>
      </c>
      <c r="W95">
        <f t="shared" si="17"/>
        <v>1</v>
      </c>
      <c r="X95" s="35">
        <f t="shared" si="18"/>
        <v>1</v>
      </c>
      <c r="Y95">
        <f t="shared" si="19"/>
        <v>0</v>
      </c>
      <c r="AB95">
        <f t="shared" si="22"/>
        <v>1</v>
      </c>
      <c r="AC95">
        <f t="shared" ca="1" si="23"/>
        <v>0</v>
      </c>
      <c r="AD95" t="str">
        <f ca="1">IF(AC95=1,COUNTIF($AC$3:AC95,1),"")</f>
        <v/>
      </c>
      <c r="AE95" s="155" t="str">
        <f ca="1">IFERROR(INDEX(Données!$B$3:$B$1479,MATCH(ROWS($AD$3:AD95),$AD$3:$AD$1479,0)),"")</f>
        <v/>
      </c>
    </row>
    <row r="96" spans="1:31" ht="15.75" x14ac:dyDescent="0.25">
      <c r="A96" t="str">
        <f t="shared" si="20"/>
        <v>Robbie Russo - ARI - RD</v>
      </c>
      <c r="B96" t="str">
        <f t="shared" si="21"/>
        <v>Robbie Russo - ARI - RD</v>
      </c>
      <c r="C96" t="str">
        <f t="shared" si="12"/>
        <v>Robbie</v>
      </c>
      <c r="D96" t="str">
        <f t="shared" si="13"/>
        <v>Russo</v>
      </c>
      <c r="E96" s="39" t="s">
        <v>2187</v>
      </c>
      <c r="F96" s="35" t="s">
        <v>63</v>
      </c>
      <c r="G96" s="35">
        <v>0</v>
      </c>
      <c r="H96" s="35" t="s">
        <v>379</v>
      </c>
      <c r="I96" s="35" t="s">
        <v>2690</v>
      </c>
      <c r="J96" s="35">
        <v>26</v>
      </c>
      <c r="K96" s="35">
        <f>VALUE(COUNTIF(Validation!$A$2:$H$47,E96))</f>
        <v>0</v>
      </c>
      <c r="L96" s="361">
        <f t="shared" si="14"/>
        <v>700000</v>
      </c>
      <c r="M96" s="361">
        <f t="shared" si="15"/>
        <v>0</v>
      </c>
      <c r="N96" s="358">
        <v>700000</v>
      </c>
      <c r="O96" s="358" t="s">
        <v>7</v>
      </c>
      <c r="P96" s="358">
        <v>0</v>
      </c>
      <c r="Q96" s="358">
        <v>0</v>
      </c>
      <c r="R96" s="358">
        <v>0</v>
      </c>
      <c r="S96" s="358">
        <v>0</v>
      </c>
      <c r="T96" s="358">
        <v>0</v>
      </c>
      <c r="U96" s="35">
        <f t="shared" si="16"/>
        <v>1</v>
      </c>
      <c r="W96">
        <f t="shared" si="17"/>
        <v>1</v>
      </c>
      <c r="X96" s="35">
        <f t="shared" si="18"/>
        <v>0</v>
      </c>
      <c r="Y96">
        <f t="shared" si="19"/>
        <v>0</v>
      </c>
      <c r="AB96">
        <f t="shared" si="22"/>
        <v>1</v>
      </c>
      <c r="AC96">
        <f t="shared" ca="1" si="23"/>
        <v>0</v>
      </c>
      <c r="AD96" t="str">
        <f ca="1">IF(AC96=1,COUNTIF($AC$3:AC96,1),"")</f>
        <v/>
      </c>
      <c r="AE96" s="155" t="str">
        <f ca="1">IFERROR(INDEX(Données!$B$3:$B$1479,MATCH(ROWS($AD$3:AD96),$AD$3:$AD$1479,0)),"")</f>
        <v/>
      </c>
    </row>
    <row r="97" spans="1:31" ht="15.75" x14ac:dyDescent="0.25">
      <c r="A97" t="str">
        <f t="shared" si="20"/>
        <v>Lane Pederson - ARI - C</v>
      </c>
      <c r="B97" t="str">
        <f t="shared" si="21"/>
        <v>Lane Pederson - ARI - C</v>
      </c>
      <c r="C97" t="str">
        <f t="shared" si="12"/>
        <v>Lane</v>
      </c>
      <c r="D97" t="str">
        <f t="shared" si="13"/>
        <v>Pederson</v>
      </c>
      <c r="E97" s="39" t="s">
        <v>2183</v>
      </c>
      <c r="F97" s="30" t="s">
        <v>63</v>
      </c>
      <c r="G97" s="35" t="s">
        <v>386</v>
      </c>
      <c r="H97" s="9" t="s">
        <v>73</v>
      </c>
      <c r="I97" s="9" t="s">
        <v>2690</v>
      </c>
      <c r="J97" s="9">
        <v>22</v>
      </c>
      <c r="K97" s="35">
        <f>VALUE(COUNTIF(Validation!$A$2:$H$47,E97))</f>
        <v>0</v>
      </c>
      <c r="L97" s="361">
        <f t="shared" si="14"/>
        <v>690000</v>
      </c>
      <c r="M97" s="361">
        <f t="shared" si="15"/>
        <v>0</v>
      </c>
      <c r="N97" s="358">
        <v>690000</v>
      </c>
      <c r="O97" s="358" t="s">
        <v>8</v>
      </c>
      <c r="P97" s="358">
        <v>0</v>
      </c>
      <c r="Q97" s="358">
        <v>0</v>
      </c>
      <c r="R97" s="358">
        <v>0</v>
      </c>
      <c r="S97" s="358">
        <v>0</v>
      </c>
      <c r="T97" s="358">
        <v>0</v>
      </c>
      <c r="U97" s="35">
        <f t="shared" si="16"/>
        <v>1</v>
      </c>
      <c r="W97">
        <f t="shared" si="17"/>
        <v>1</v>
      </c>
      <c r="X97" s="35">
        <f t="shared" si="18"/>
        <v>1</v>
      </c>
      <c r="Y97">
        <f t="shared" si="19"/>
        <v>0</v>
      </c>
      <c r="AB97">
        <f t="shared" si="22"/>
        <v>1</v>
      </c>
      <c r="AC97">
        <f t="shared" ca="1" si="23"/>
        <v>0</v>
      </c>
      <c r="AD97" t="str">
        <f ca="1">IF(AC97=1,COUNTIF($AC$3:AC97,1),"")</f>
        <v/>
      </c>
      <c r="AE97" s="155" t="str">
        <f ca="1">IFERROR(INDEX(Données!$B$3:$B$1479,MATCH(ROWS($AD$3:AD97),$AD$3:$AD$1479,0)),"")</f>
        <v/>
      </c>
    </row>
    <row r="98" spans="1:31" ht="15.75" x14ac:dyDescent="0.25">
      <c r="A98" t="str">
        <f t="shared" si="20"/>
        <v>Jalen Smereck - ARI - D</v>
      </c>
      <c r="B98" t="str">
        <f t="shared" si="21"/>
        <v>Jalen Smereck - ARI - D</v>
      </c>
      <c r="C98" t="str">
        <f t="shared" si="12"/>
        <v>Jalen</v>
      </c>
      <c r="D98" t="str">
        <f t="shared" si="13"/>
        <v>Smereck</v>
      </c>
      <c r="E98" s="39" t="s">
        <v>2184</v>
      </c>
      <c r="F98" s="30" t="s">
        <v>63</v>
      </c>
      <c r="G98" s="35" t="s">
        <v>386</v>
      </c>
      <c r="H98" s="35" t="s">
        <v>82</v>
      </c>
      <c r="I98" s="35" t="s">
        <v>2690</v>
      </c>
      <c r="J98" s="35">
        <v>22</v>
      </c>
      <c r="K98" s="35">
        <f>VALUE(COUNTIF(Validation!$A$2:$H$47,E98))</f>
        <v>0</v>
      </c>
      <c r="L98" s="361">
        <f t="shared" si="14"/>
        <v>686667</v>
      </c>
      <c r="M98" s="361">
        <f t="shared" si="15"/>
        <v>0</v>
      </c>
      <c r="N98" s="358">
        <v>686667</v>
      </c>
      <c r="O98" s="358" t="s">
        <v>8</v>
      </c>
      <c r="P98" s="358">
        <v>0</v>
      </c>
      <c r="Q98" s="358">
        <v>0</v>
      </c>
      <c r="R98" s="358">
        <v>0</v>
      </c>
      <c r="S98" s="358">
        <v>0</v>
      </c>
      <c r="T98" s="358">
        <v>0</v>
      </c>
      <c r="U98" s="35">
        <f t="shared" si="16"/>
        <v>1</v>
      </c>
      <c r="W98">
        <f t="shared" si="17"/>
        <v>1</v>
      </c>
      <c r="X98" s="35">
        <f t="shared" si="18"/>
        <v>1</v>
      </c>
      <c r="Y98">
        <f t="shared" si="19"/>
        <v>0</v>
      </c>
      <c r="AB98">
        <f t="shared" si="22"/>
        <v>1</v>
      </c>
      <c r="AC98">
        <f t="shared" ca="1" si="23"/>
        <v>0</v>
      </c>
      <c r="AD98" t="str">
        <f ca="1">IF(AC98=1,COUNTIF($AC$3:AC98,1),"")</f>
        <v/>
      </c>
      <c r="AE98" s="155" t="str">
        <f ca="1">IFERROR(INDEX(Données!$B$3:$B$1479,MATCH(ROWS($AD$3:AD98),$AD$3:$AD$1479,0)),"")</f>
        <v/>
      </c>
    </row>
    <row r="99" spans="1:31" ht="15.75" x14ac:dyDescent="0.25">
      <c r="A99" t="str">
        <f t="shared" si="20"/>
        <v>Michael Chaput - ARI - C</v>
      </c>
      <c r="B99" t="str">
        <f t="shared" si="21"/>
        <v>Michael Chaput - ARI - C</v>
      </c>
      <c r="C99" t="str">
        <f t="shared" si="12"/>
        <v>Michael</v>
      </c>
      <c r="D99" t="str">
        <f t="shared" si="13"/>
        <v>Chaput</v>
      </c>
      <c r="E99" s="39" t="s">
        <v>1509</v>
      </c>
      <c r="F99" s="30" t="s">
        <v>63</v>
      </c>
      <c r="G99" s="35">
        <v>0</v>
      </c>
      <c r="H99" s="35" t="s">
        <v>73</v>
      </c>
      <c r="I99" s="35" t="s">
        <v>2690</v>
      </c>
      <c r="J99" s="35">
        <v>27</v>
      </c>
      <c r="K99" s="35">
        <f>VALUE(COUNTIF(Validation!$A$2:$H$47,E99))</f>
        <v>0</v>
      </c>
      <c r="L99" s="361">
        <f t="shared" si="14"/>
        <v>675000</v>
      </c>
      <c r="M99" s="361">
        <f t="shared" si="15"/>
        <v>0</v>
      </c>
      <c r="N99" s="358">
        <v>675000</v>
      </c>
      <c r="O99" s="358" t="s">
        <v>7</v>
      </c>
      <c r="P99" s="358">
        <v>0</v>
      </c>
      <c r="Q99" s="358">
        <v>0</v>
      </c>
      <c r="R99" s="358">
        <v>0</v>
      </c>
      <c r="S99" s="358">
        <v>0</v>
      </c>
      <c r="T99" s="358">
        <v>0</v>
      </c>
      <c r="U99" s="35">
        <f t="shared" si="16"/>
        <v>1</v>
      </c>
      <c r="W99">
        <f t="shared" si="17"/>
        <v>1</v>
      </c>
      <c r="X99" s="35">
        <f t="shared" si="18"/>
        <v>0</v>
      </c>
      <c r="Y99">
        <f t="shared" si="19"/>
        <v>0</v>
      </c>
      <c r="AB99">
        <f t="shared" si="22"/>
        <v>1</v>
      </c>
      <c r="AC99">
        <f t="shared" ca="1" si="23"/>
        <v>0</v>
      </c>
      <c r="AD99" t="str">
        <f ca="1">IF(AC99=1,COUNTIF($AC$3:AC99,1),"")</f>
        <v/>
      </c>
      <c r="AE99" s="155" t="str">
        <f ca="1">IFERROR(INDEX(Données!$B$3:$B$1479,MATCH(ROWS($AD$3:AD99),$AD$3:$AD$1479,0)),"")</f>
        <v/>
      </c>
    </row>
    <row r="100" spans="1:31" ht="15.75" x14ac:dyDescent="0.25">
      <c r="A100" t="str">
        <f t="shared" si="20"/>
        <v>David Krejci - BOS - C</v>
      </c>
      <c r="B100" t="str">
        <f t="shared" si="21"/>
        <v>David Krejci - BOS - C</v>
      </c>
      <c r="C100" t="str">
        <f t="shared" si="12"/>
        <v>David</v>
      </c>
      <c r="D100" t="str">
        <f t="shared" si="13"/>
        <v>Krejci</v>
      </c>
      <c r="E100" s="39" t="s">
        <v>2981</v>
      </c>
      <c r="F100" s="30" t="s">
        <v>9</v>
      </c>
      <c r="G100" s="35" t="s">
        <v>381</v>
      </c>
      <c r="H100" s="35" t="s">
        <v>73</v>
      </c>
      <c r="I100" s="35" t="s">
        <v>2439</v>
      </c>
      <c r="J100" s="35">
        <v>33</v>
      </c>
      <c r="K100" s="35">
        <f>VALUE(COUNTIF(Validation!$A$2:$H$47,E100))</f>
        <v>0</v>
      </c>
      <c r="L100" s="361">
        <f t="shared" si="14"/>
        <v>7250000</v>
      </c>
      <c r="M100" s="361">
        <f t="shared" si="15"/>
        <v>7250000</v>
      </c>
      <c r="N100" s="358">
        <v>7250000</v>
      </c>
      <c r="O100" s="358">
        <v>7250000</v>
      </c>
      <c r="P100" s="358" t="s">
        <v>7</v>
      </c>
      <c r="Q100" s="358">
        <v>0</v>
      </c>
      <c r="R100" s="358">
        <v>0</v>
      </c>
      <c r="S100" s="358">
        <v>0</v>
      </c>
      <c r="T100" s="358">
        <v>0</v>
      </c>
      <c r="U100" s="35">
        <f t="shared" si="16"/>
        <v>2</v>
      </c>
      <c r="W100">
        <f t="shared" si="17"/>
        <v>1</v>
      </c>
      <c r="X100" s="35">
        <f t="shared" si="18"/>
        <v>0</v>
      </c>
      <c r="Y100">
        <f t="shared" si="19"/>
        <v>1</v>
      </c>
      <c r="AB100">
        <f t="shared" si="22"/>
        <v>1</v>
      </c>
      <c r="AC100">
        <f t="shared" ca="1" si="23"/>
        <v>0</v>
      </c>
      <c r="AD100" t="str">
        <f ca="1">IF(AC100=1,COUNTIF($AC$3:AC100,1),"")</f>
        <v/>
      </c>
      <c r="AE100" s="155" t="str">
        <f ca="1">IFERROR(INDEX(Données!$B$3:$B$1479,MATCH(ROWS($AD$3:AD100),$AD$3:$AD$1479,0)),"")</f>
        <v/>
      </c>
    </row>
    <row r="101" spans="1:31" ht="15.75" x14ac:dyDescent="0.25">
      <c r="A101" t="str">
        <f t="shared" si="20"/>
        <v>Tuukka Rask - BOS - G</v>
      </c>
      <c r="B101" t="str">
        <f t="shared" si="21"/>
        <v>Tuukka Rask - BOS - G</v>
      </c>
      <c r="C101" t="str">
        <f t="shared" si="12"/>
        <v>Tuukka</v>
      </c>
      <c r="D101" t="str">
        <f t="shared" si="13"/>
        <v>Rask</v>
      </c>
      <c r="E101" s="39" t="s">
        <v>1360</v>
      </c>
      <c r="F101" s="30" t="s">
        <v>9</v>
      </c>
      <c r="G101" s="35" t="s">
        <v>381</v>
      </c>
      <c r="H101" s="35" t="s">
        <v>127</v>
      </c>
      <c r="I101" s="35" t="s">
        <v>2439</v>
      </c>
      <c r="J101" s="35">
        <v>32</v>
      </c>
      <c r="K101" s="35">
        <f>VALUE(COUNTIF(Validation!$A$2:$H$47,E101))</f>
        <v>0</v>
      </c>
      <c r="L101" s="361">
        <f t="shared" si="14"/>
        <v>7000000</v>
      </c>
      <c r="M101" s="361">
        <f t="shared" si="15"/>
        <v>7000000</v>
      </c>
      <c r="N101" s="358">
        <v>7000000</v>
      </c>
      <c r="O101" s="358">
        <v>7000000</v>
      </c>
      <c r="P101" s="358" t="s">
        <v>7</v>
      </c>
      <c r="Q101" s="358">
        <v>0</v>
      </c>
      <c r="R101" s="358">
        <v>0</v>
      </c>
      <c r="S101" s="358">
        <v>0</v>
      </c>
      <c r="T101" s="358">
        <v>0</v>
      </c>
      <c r="U101" s="35">
        <f t="shared" si="16"/>
        <v>2</v>
      </c>
      <c r="W101">
        <f t="shared" si="17"/>
        <v>1</v>
      </c>
      <c r="X101" s="35">
        <f t="shared" si="18"/>
        <v>0</v>
      </c>
      <c r="Y101">
        <f t="shared" si="19"/>
        <v>1</v>
      </c>
      <c r="AB101">
        <f t="shared" si="22"/>
        <v>1</v>
      </c>
      <c r="AC101">
        <f t="shared" ca="1" si="23"/>
        <v>0</v>
      </c>
      <c r="AD101" t="str">
        <f ca="1">IF(AC101=1,COUNTIF($AC$3:AC101,1),"")</f>
        <v/>
      </c>
      <c r="AE101" s="155" t="str">
        <f ca="1">IFERROR(INDEX(Données!$B$3:$B$1479,MATCH(ROWS($AD$3:AD101),$AD$3:$AD$1479,0)),"")</f>
        <v/>
      </c>
    </row>
    <row r="102" spans="1:31" ht="15.75" x14ac:dyDescent="0.25">
      <c r="A102" t="str">
        <f t="shared" si="20"/>
        <v>Patrice Bergeron - BOS - C</v>
      </c>
      <c r="B102" t="str">
        <f t="shared" si="21"/>
        <v>Patrice Bergeron - BOS - C</v>
      </c>
      <c r="C102" t="str">
        <f t="shared" si="12"/>
        <v>Patrice</v>
      </c>
      <c r="D102" t="str">
        <f t="shared" si="13"/>
        <v>Bergeron</v>
      </c>
      <c r="E102" s="39" t="s">
        <v>2943</v>
      </c>
      <c r="F102" s="30" t="s">
        <v>9</v>
      </c>
      <c r="G102" s="35" t="s">
        <v>420</v>
      </c>
      <c r="H102" s="35" t="s">
        <v>73</v>
      </c>
      <c r="I102" s="35" t="s">
        <v>2439</v>
      </c>
      <c r="J102" s="35">
        <v>34</v>
      </c>
      <c r="K102" s="35">
        <f>VALUE(COUNTIF(Validation!$A$2:$H$47,E102))</f>
        <v>0</v>
      </c>
      <c r="L102" s="361">
        <f t="shared" si="14"/>
        <v>6875000</v>
      </c>
      <c r="M102" s="361">
        <f t="shared" si="15"/>
        <v>6875000</v>
      </c>
      <c r="N102" s="358">
        <v>6875000</v>
      </c>
      <c r="O102" s="358">
        <v>6875000</v>
      </c>
      <c r="P102" s="358">
        <v>6875000</v>
      </c>
      <c r="Q102" s="358" t="s">
        <v>7</v>
      </c>
      <c r="R102" s="358">
        <v>0</v>
      </c>
      <c r="S102" s="358">
        <v>0</v>
      </c>
      <c r="T102" s="358">
        <v>0</v>
      </c>
      <c r="U102" s="35">
        <f t="shared" si="16"/>
        <v>3</v>
      </c>
      <c r="W102">
        <f t="shared" si="17"/>
        <v>1</v>
      </c>
      <c r="X102" s="35">
        <f t="shared" si="18"/>
        <v>0</v>
      </c>
      <c r="Y102">
        <f t="shared" si="19"/>
        <v>1</v>
      </c>
      <c r="AB102">
        <f t="shared" si="22"/>
        <v>1</v>
      </c>
      <c r="AC102">
        <f t="shared" ca="1" si="23"/>
        <v>0</v>
      </c>
      <c r="AD102" t="str">
        <f ca="1">IF(AC102=1,COUNTIF($AC$3:AC102,1),"")</f>
        <v/>
      </c>
      <c r="AE102" s="155" t="str">
        <f ca="1">IFERROR(INDEX(Données!$B$3:$B$1479,MATCH(ROWS($AD$3:AD102),$AD$3:$AD$1479,0)),"")</f>
        <v/>
      </c>
    </row>
    <row r="103" spans="1:31" ht="15.75" x14ac:dyDescent="0.25">
      <c r="A103" t="str">
        <f t="shared" si="20"/>
        <v>David Pastrnak - BOS - AD</v>
      </c>
      <c r="B103" t="str">
        <f t="shared" si="21"/>
        <v>David Pastrnak - BOS - AD</v>
      </c>
      <c r="C103" t="str">
        <f t="shared" si="12"/>
        <v>David</v>
      </c>
      <c r="D103" t="str">
        <f t="shared" si="13"/>
        <v>Pastrnak</v>
      </c>
      <c r="E103" s="39" t="s">
        <v>1343</v>
      </c>
      <c r="F103" s="30" t="s">
        <v>9</v>
      </c>
      <c r="G103" s="35">
        <v>0</v>
      </c>
      <c r="H103" s="35" t="s">
        <v>2438</v>
      </c>
      <c r="I103" s="35" t="s">
        <v>2439</v>
      </c>
      <c r="J103" s="35">
        <v>23</v>
      </c>
      <c r="K103" s="35">
        <f>VALUE(COUNTIF(Validation!$A$2:$H$47,E103))</f>
        <v>0</v>
      </c>
      <c r="L103" s="361">
        <f t="shared" si="14"/>
        <v>6666666</v>
      </c>
      <c r="M103" s="361">
        <f t="shared" si="15"/>
        <v>6666666</v>
      </c>
      <c r="N103" s="358">
        <v>6666666</v>
      </c>
      <c r="O103" s="358">
        <v>6666666</v>
      </c>
      <c r="P103" s="358">
        <v>6666666</v>
      </c>
      <c r="Q103" s="358">
        <v>6666666</v>
      </c>
      <c r="R103" s="358" t="s">
        <v>7</v>
      </c>
      <c r="S103" s="358">
        <v>0</v>
      </c>
      <c r="T103" s="358">
        <v>0</v>
      </c>
      <c r="U103" s="35">
        <f t="shared" si="16"/>
        <v>4</v>
      </c>
      <c r="W103">
        <f t="shared" si="17"/>
        <v>1</v>
      </c>
      <c r="X103" s="35">
        <f t="shared" si="18"/>
        <v>0</v>
      </c>
      <c r="Y103">
        <f t="shared" si="19"/>
        <v>1</v>
      </c>
      <c r="AB103">
        <f t="shared" si="22"/>
        <v>1</v>
      </c>
      <c r="AC103">
        <f t="shared" ca="1" si="23"/>
        <v>0</v>
      </c>
      <c r="AD103" t="str">
        <f ca="1">IF(AC103=1,COUNTIF($AC$3:AC103,1),"")</f>
        <v/>
      </c>
      <c r="AE103" s="155" t="str">
        <f ca="1">IFERROR(INDEX(Données!$B$3:$B$1479,MATCH(ROWS($AD$3:AD103),$AD$3:$AD$1479,0)),"")</f>
        <v/>
      </c>
    </row>
    <row r="104" spans="1:31" ht="15.75" x14ac:dyDescent="0.25">
      <c r="A104" t="str">
        <f t="shared" si="20"/>
        <v>Brad Marchand - BOS - AG</v>
      </c>
      <c r="B104" t="str">
        <f t="shared" si="21"/>
        <v>Brad Marchand - BOS - AG</v>
      </c>
      <c r="C104" t="str">
        <f t="shared" si="12"/>
        <v>Brad</v>
      </c>
      <c r="D104" t="str">
        <f t="shared" si="13"/>
        <v>Marchand</v>
      </c>
      <c r="E104" s="39" t="s">
        <v>1344</v>
      </c>
      <c r="F104" s="30" t="s">
        <v>9</v>
      </c>
      <c r="G104" s="35" t="s">
        <v>420</v>
      </c>
      <c r="H104" s="35" t="s">
        <v>2440</v>
      </c>
      <c r="I104" s="35" t="s">
        <v>2439</v>
      </c>
      <c r="J104" s="35">
        <v>31</v>
      </c>
      <c r="K104" s="35">
        <f>VALUE(COUNTIF(Validation!$A$2:$H$47,E104))</f>
        <v>0</v>
      </c>
      <c r="L104" s="361">
        <f t="shared" si="14"/>
        <v>6125000</v>
      </c>
      <c r="M104" s="361">
        <f t="shared" si="15"/>
        <v>6125000</v>
      </c>
      <c r="N104" s="358">
        <v>6125000</v>
      </c>
      <c r="O104" s="358">
        <v>6125000</v>
      </c>
      <c r="P104" s="358">
        <v>6125000</v>
      </c>
      <c r="Q104" s="358">
        <v>6125000</v>
      </c>
      <c r="R104" s="358">
        <v>6125000</v>
      </c>
      <c r="S104" s="358">
        <v>6125000</v>
      </c>
      <c r="T104" s="358" t="s">
        <v>7</v>
      </c>
      <c r="U104" s="35">
        <f t="shared" si="16"/>
        <v>6</v>
      </c>
      <c r="W104">
        <f t="shared" si="17"/>
        <v>1</v>
      </c>
      <c r="X104" s="35">
        <f t="shared" si="18"/>
        <v>0</v>
      </c>
      <c r="Y104">
        <f t="shared" si="19"/>
        <v>1</v>
      </c>
      <c r="AB104">
        <f t="shared" si="22"/>
        <v>1</v>
      </c>
      <c r="AC104">
        <f t="shared" ca="1" si="23"/>
        <v>0</v>
      </c>
      <c r="AD104" t="str">
        <f ca="1">IF(AC104=1,COUNTIF($AC$3:AC104,1),"")</f>
        <v/>
      </c>
      <c r="AE104" s="155" t="str">
        <f ca="1">IFERROR(INDEX(Données!$B$3:$B$1479,MATCH(ROWS($AD$3:AD104),$AD$3:$AD$1479,0)),"")</f>
        <v/>
      </c>
    </row>
    <row r="105" spans="1:31" ht="15.75" x14ac:dyDescent="0.25">
      <c r="A105" t="str">
        <f t="shared" si="20"/>
        <v>David Backes - BOS - C, AD</v>
      </c>
      <c r="B105" t="str">
        <f t="shared" si="21"/>
        <v>David Backes - BOS - C, AD</v>
      </c>
      <c r="C105" t="str">
        <f t="shared" si="12"/>
        <v>David</v>
      </c>
      <c r="D105" t="str">
        <f t="shared" si="13"/>
        <v>Backes</v>
      </c>
      <c r="E105" s="39" t="s">
        <v>1345</v>
      </c>
      <c r="F105" s="30" t="s">
        <v>9</v>
      </c>
      <c r="G105" s="35" t="s">
        <v>381</v>
      </c>
      <c r="H105" s="35" t="s">
        <v>2448</v>
      </c>
      <c r="I105" s="35" t="s">
        <v>2439</v>
      </c>
      <c r="J105" s="35">
        <v>35</v>
      </c>
      <c r="K105" s="35">
        <f>VALUE(COUNTIF(Validation!$A$2:$H$47,E105))</f>
        <v>0</v>
      </c>
      <c r="L105" s="361">
        <f t="shared" si="14"/>
        <v>6000000</v>
      </c>
      <c r="M105" s="361">
        <f t="shared" si="15"/>
        <v>6000000</v>
      </c>
      <c r="N105" s="358">
        <v>6000000</v>
      </c>
      <c r="O105" s="358">
        <v>6000000</v>
      </c>
      <c r="P105" s="358" t="s">
        <v>7</v>
      </c>
      <c r="Q105" s="358">
        <v>0</v>
      </c>
      <c r="R105" s="358">
        <v>0</v>
      </c>
      <c r="S105" s="358">
        <v>0</v>
      </c>
      <c r="T105" s="358">
        <v>0</v>
      </c>
      <c r="U105" s="35">
        <f t="shared" si="16"/>
        <v>2</v>
      </c>
      <c r="W105">
        <f t="shared" si="17"/>
        <v>1</v>
      </c>
      <c r="X105" s="35">
        <f t="shared" si="18"/>
        <v>0</v>
      </c>
      <c r="Y105">
        <f t="shared" si="19"/>
        <v>1</v>
      </c>
      <c r="AB105">
        <f t="shared" si="22"/>
        <v>1</v>
      </c>
      <c r="AC105">
        <f t="shared" ca="1" si="23"/>
        <v>0</v>
      </c>
      <c r="AD105" t="str">
        <f ca="1">IF(AC105=1,COUNTIF($AC$3:AC105,1),"")</f>
        <v/>
      </c>
      <c r="AE105" s="155" t="str">
        <f ca="1">IFERROR(INDEX(Données!$B$3:$B$1479,MATCH(ROWS($AD$3:AD105),$AD$3:$AD$1479,0)),"")</f>
        <v/>
      </c>
    </row>
    <row r="106" spans="1:31" ht="15.75" x14ac:dyDescent="0.25">
      <c r="A106" t="str">
        <f t="shared" si="20"/>
        <v>Torey Krug - BOS - DG</v>
      </c>
      <c r="B106" t="str">
        <f t="shared" si="21"/>
        <v>Torey Krug - BOS - DG</v>
      </c>
      <c r="C106" t="str">
        <f t="shared" si="12"/>
        <v>Torey</v>
      </c>
      <c r="D106" t="str">
        <f t="shared" si="13"/>
        <v>Krug</v>
      </c>
      <c r="E106" s="39" t="s">
        <v>1353</v>
      </c>
      <c r="F106" s="30" t="s">
        <v>9</v>
      </c>
      <c r="G106" s="35" t="s">
        <v>381</v>
      </c>
      <c r="H106" s="35" t="s">
        <v>2445</v>
      </c>
      <c r="I106" s="35" t="s">
        <v>2439</v>
      </c>
      <c r="J106" s="35">
        <v>28</v>
      </c>
      <c r="K106" s="35">
        <f>VALUE(COUNTIF(Validation!$A$2:$H$47,E106))</f>
        <v>0</v>
      </c>
      <c r="L106" s="361">
        <f t="shared" si="14"/>
        <v>5250000</v>
      </c>
      <c r="M106" s="361">
        <f t="shared" si="15"/>
        <v>0</v>
      </c>
      <c r="N106" s="358">
        <v>5250000</v>
      </c>
      <c r="O106" s="358" t="s">
        <v>7</v>
      </c>
      <c r="P106" s="358">
        <v>0</v>
      </c>
      <c r="Q106" s="358">
        <v>0</v>
      </c>
      <c r="R106" s="358">
        <v>0</v>
      </c>
      <c r="S106" s="358">
        <v>0</v>
      </c>
      <c r="T106" s="358">
        <v>0</v>
      </c>
      <c r="U106" s="35">
        <f t="shared" si="16"/>
        <v>1</v>
      </c>
      <c r="W106">
        <f t="shared" si="17"/>
        <v>1</v>
      </c>
      <c r="X106" s="35">
        <f t="shared" si="18"/>
        <v>0</v>
      </c>
      <c r="Y106">
        <f t="shared" si="19"/>
        <v>0</v>
      </c>
      <c r="AB106">
        <f t="shared" si="22"/>
        <v>1</v>
      </c>
      <c r="AC106">
        <f t="shared" ca="1" si="23"/>
        <v>0</v>
      </c>
      <c r="AD106" t="str">
        <f ca="1">IF(AC106=1,COUNTIF($AC$3:AC106,1),"")</f>
        <v/>
      </c>
      <c r="AE106" s="155" t="str">
        <f ca="1">IFERROR(INDEX(Données!$B$3:$B$1479,MATCH(ROWS($AD$3:AD106),$AD$3:$AD$1479,0)),"")</f>
        <v/>
      </c>
    </row>
    <row r="107" spans="1:31" ht="15.75" x14ac:dyDescent="0.25">
      <c r="A107" t="str">
        <f t="shared" si="20"/>
        <v>Zdeno Chara - BOS - DG</v>
      </c>
      <c r="B107" t="str">
        <f t="shared" si="21"/>
        <v>Zdeno Chara - BOS - DG</v>
      </c>
      <c r="C107" t="str">
        <f t="shared" si="12"/>
        <v>Zdeno</v>
      </c>
      <c r="D107" t="str">
        <f t="shared" si="13"/>
        <v>Chara</v>
      </c>
      <c r="E107" s="39" t="s">
        <v>2949</v>
      </c>
      <c r="F107" s="30" t="s">
        <v>9</v>
      </c>
      <c r="G107" s="35" t="s">
        <v>2499</v>
      </c>
      <c r="H107" s="35" t="s">
        <v>2445</v>
      </c>
      <c r="I107" s="35" t="s">
        <v>2439</v>
      </c>
      <c r="J107" s="35">
        <v>42</v>
      </c>
      <c r="K107" s="35">
        <f>VALUE(COUNTIF(Validation!$A$2:$H$47,E107))</f>
        <v>0</v>
      </c>
      <c r="L107" s="361">
        <f t="shared" si="14"/>
        <v>3750000</v>
      </c>
      <c r="M107" s="361">
        <f t="shared" si="15"/>
        <v>0</v>
      </c>
      <c r="N107" s="358">
        <v>3750000</v>
      </c>
      <c r="O107" s="358" t="s">
        <v>7</v>
      </c>
      <c r="P107" s="358">
        <v>0</v>
      </c>
      <c r="Q107" s="358">
        <v>0</v>
      </c>
      <c r="R107" s="358">
        <v>0</v>
      </c>
      <c r="S107" s="358">
        <v>0</v>
      </c>
      <c r="T107" s="358">
        <v>0</v>
      </c>
      <c r="U107" s="35">
        <f t="shared" si="16"/>
        <v>1</v>
      </c>
      <c r="W107">
        <f t="shared" si="17"/>
        <v>1</v>
      </c>
      <c r="X107" s="35">
        <f t="shared" si="18"/>
        <v>0</v>
      </c>
      <c r="Y107">
        <f t="shared" si="19"/>
        <v>0</v>
      </c>
      <c r="AB107">
        <f t="shared" si="22"/>
        <v>1</v>
      </c>
      <c r="AC107">
        <f t="shared" ca="1" si="23"/>
        <v>0</v>
      </c>
      <c r="AD107" t="str">
        <f ca="1">IF(AC107=1,COUNTIF($AC$3:AC107,1),"")</f>
        <v/>
      </c>
      <c r="AE107" s="155" t="str">
        <f ca="1">IFERROR(INDEX(Données!$B$3:$B$1479,MATCH(ROWS($AD$3:AD107),$AD$3:$AD$1479,0)),"")</f>
        <v/>
      </c>
    </row>
    <row r="108" spans="1:31" ht="15.75" x14ac:dyDescent="0.25">
      <c r="A108" t="str">
        <f t="shared" si="20"/>
        <v>Charlie Coyle - BOS - C, AD</v>
      </c>
      <c r="B108" t="str">
        <f t="shared" si="21"/>
        <v>Charlie Coyle - BOS - C, AD</v>
      </c>
      <c r="C108" t="str">
        <f t="shared" si="12"/>
        <v>Charlie</v>
      </c>
      <c r="D108" t="str">
        <f t="shared" si="13"/>
        <v>Coyle</v>
      </c>
      <c r="E108" s="39" t="s">
        <v>1990</v>
      </c>
      <c r="F108" s="30" t="s">
        <v>9</v>
      </c>
      <c r="G108" s="35">
        <v>0</v>
      </c>
      <c r="H108" s="35" t="s">
        <v>2448</v>
      </c>
      <c r="I108" s="35" t="s">
        <v>2439</v>
      </c>
      <c r="J108" s="35">
        <v>27</v>
      </c>
      <c r="K108" s="35">
        <f>VALUE(COUNTIF(Validation!$A$2:$H$47,E108))</f>
        <v>0</v>
      </c>
      <c r="L108" s="361">
        <f t="shared" si="14"/>
        <v>3200000</v>
      </c>
      <c r="M108" s="361">
        <f t="shared" si="15"/>
        <v>0</v>
      </c>
      <c r="N108" s="358">
        <v>3200000</v>
      </c>
      <c r="O108" s="358" t="s">
        <v>7</v>
      </c>
      <c r="P108" s="358">
        <v>0</v>
      </c>
      <c r="Q108" s="358">
        <v>0</v>
      </c>
      <c r="R108" s="358">
        <v>0</v>
      </c>
      <c r="S108" s="358">
        <v>0</v>
      </c>
      <c r="T108" s="358">
        <v>0</v>
      </c>
      <c r="U108" s="35">
        <f t="shared" si="16"/>
        <v>1</v>
      </c>
      <c r="W108">
        <f t="shared" si="17"/>
        <v>1</v>
      </c>
      <c r="X108" s="35">
        <f t="shared" si="18"/>
        <v>0</v>
      </c>
      <c r="Y108">
        <f t="shared" si="19"/>
        <v>0</v>
      </c>
      <c r="AB108">
        <f t="shared" si="22"/>
        <v>1</v>
      </c>
      <c r="AC108">
        <f t="shared" ca="1" si="23"/>
        <v>0</v>
      </c>
      <c r="AD108" t="str">
        <f ca="1">IF(AC108=1,COUNTIF($AC$3:AC108,1),"")</f>
        <v/>
      </c>
      <c r="AE108" s="155" t="str">
        <f ca="1">IFERROR(INDEX(Données!$B$3:$B$1479,MATCH(ROWS($AD$3:AD108),$AD$3:$AD$1479,0)),"")</f>
        <v/>
      </c>
    </row>
    <row r="109" spans="1:31" ht="15.75" x14ac:dyDescent="0.25">
      <c r="A109" t="str">
        <f t="shared" si="20"/>
        <v>Danton Heinen - BOS - C, AG, AD</v>
      </c>
      <c r="B109" t="str">
        <f t="shared" si="21"/>
        <v>Danton Heinen - BOS - C, AG, AD</v>
      </c>
      <c r="C109" t="str">
        <f t="shared" si="12"/>
        <v>Danton</v>
      </c>
      <c r="D109" t="str">
        <f t="shared" si="13"/>
        <v>Heinen</v>
      </c>
      <c r="E109" s="39" t="s">
        <v>1350</v>
      </c>
      <c r="F109" s="30" t="s">
        <v>9</v>
      </c>
      <c r="G109" s="35">
        <v>0</v>
      </c>
      <c r="H109" s="35" t="s">
        <v>2494</v>
      </c>
      <c r="I109" s="35" t="s">
        <v>2439</v>
      </c>
      <c r="J109" s="35">
        <v>24</v>
      </c>
      <c r="K109" s="35">
        <f>VALUE(COUNTIF(Validation!$A$2:$H$47,E109))</f>
        <v>0</v>
      </c>
      <c r="L109" s="361">
        <f t="shared" si="14"/>
        <v>2800000</v>
      </c>
      <c r="M109" s="361">
        <f t="shared" si="15"/>
        <v>2800000</v>
      </c>
      <c r="N109" s="358">
        <v>2800000</v>
      </c>
      <c r="O109" s="358">
        <v>2800000</v>
      </c>
      <c r="P109" s="358" t="s">
        <v>8</v>
      </c>
      <c r="Q109" s="358">
        <v>0</v>
      </c>
      <c r="R109" s="358">
        <v>0</v>
      </c>
      <c r="S109" s="358">
        <v>0</v>
      </c>
      <c r="T109" s="358">
        <v>0</v>
      </c>
      <c r="U109" s="35">
        <f t="shared" si="16"/>
        <v>2</v>
      </c>
      <c r="W109">
        <f t="shared" si="17"/>
        <v>1</v>
      </c>
      <c r="X109" s="35">
        <f t="shared" si="18"/>
        <v>0</v>
      </c>
      <c r="Y109">
        <f t="shared" si="19"/>
        <v>1</v>
      </c>
      <c r="AB109">
        <f t="shared" si="22"/>
        <v>1</v>
      </c>
      <c r="AC109">
        <f t="shared" ca="1" si="23"/>
        <v>0</v>
      </c>
      <c r="AD109" t="str">
        <f ca="1">IF(AC109=1,COUNTIF($AC$3:AC109,1),"")</f>
        <v/>
      </c>
      <c r="AE109" s="155" t="str">
        <f ca="1">IFERROR(INDEX(Données!$B$3:$B$1479,MATCH(ROWS($AD$3:AD109),$AD$3:$AD$1479,0)),"")</f>
        <v/>
      </c>
    </row>
    <row r="110" spans="1:31" ht="15.75" x14ac:dyDescent="0.25">
      <c r="A110" t="str">
        <f t="shared" si="20"/>
        <v>Jaroslav Halák - BOS - G</v>
      </c>
      <c r="B110" t="str">
        <f t="shared" si="21"/>
        <v>Jaroslav Halák - BOS - G</v>
      </c>
      <c r="C110" t="str">
        <f t="shared" si="12"/>
        <v>Jaroslav</v>
      </c>
      <c r="D110" t="str">
        <f t="shared" si="13"/>
        <v>Halák</v>
      </c>
      <c r="E110" s="39" t="s">
        <v>1361</v>
      </c>
      <c r="F110" s="30" t="s">
        <v>9</v>
      </c>
      <c r="G110" s="35">
        <v>0</v>
      </c>
      <c r="H110" s="35" t="s">
        <v>127</v>
      </c>
      <c r="I110" s="35" t="s">
        <v>2439</v>
      </c>
      <c r="J110" s="35">
        <v>34</v>
      </c>
      <c r="K110" s="35">
        <f>VALUE(COUNTIF(Validation!$A$2:$H$47,E110))</f>
        <v>0</v>
      </c>
      <c r="L110" s="361">
        <f t="shared" si="14"/>
        <v>2750000</v>
      </c>
      <c r="M110" s="361">
        <f t="shared" si="15"/>
        <v>0</v>
      </c>
      <c r="N110" s="358">
        <v>2750000</v>
      </c>
      <c r="O110" s="358" t="s">
        <v>7</v>
      </c>
      <c r="P110" s="358">
        <v>0</v>
      </c>
      <c r="Q110" s="358">
        <v>0</v>
      </c>
      <c r="R110" s="358">
        <v>0</v>
      </c>
      <c r="S110" s="358">
        <v>0</v>
      </c>
      <c r="T110" s="358">
        <v>0</v>
      </c>
      <c r="U110" s="35">
        <f t="shared" si="16"/>
        <v>1</v>
      </c>
      <c r="W110">
        <f t="shared" si="17"/>
        <v>1</v>
      </c>
      <c r="X110" s="35">
        <f t="shared" si="18"/>
        <v>0</v>
      </c>
      <c r="Y110">
        <f t="shared" si="19"/>
        <v>0</v>
      </c>
      <c r="AB110">
        <f t="shared" si="22"/>
        <v>1</v>
      </c>
      <c r="AC110">
        <f t="shared" ca="1" si="23"/>
        <v>0</v>
      </c>
      <c r="AD110" t="str">
        <f ca="1">IF(AC110=1,COUNTIF($AC$3:AC110,1),"")</f>
        <v/>
      </c>
      <c r="AE110" s="155" t="str">
        <f ca="1">IFERROR(INDEX(Données!$B$3:$B$1479,MATCH(ROWS($AD$3:AD110),$AD$3:$AD$1479,0)),"")</f>
        <v/>
      </c>
    </row>
    <row r="111" spans="1:31" ht="15.75" x14ac:dyDescent="0.25">
      <c r="A111" t="str">
        <f t="shared" si="20"/>
        <v>John Moore - BOS - DG</v>
      </c>
      <c r="B111" t="str">
        <f t="shared" si="21"/>
        <v>John Moore - BOS - DG</v>
      </c>
      <c r="C111" t="str">
        <f t="shared" si="12"/>
        <v>John</v>
      </c>
      <c r="D111" t="str">
        <f t="shared" si="13"/>
        <v>Moore</v>
      </c>
      <c r="E111" s="39" t="s">
        <v>1354</v>
      </c>
      <c r="F111" s="30" t="s">
        <v>9</v>
      </c>
      <c r="G111" s="35">
        <v>0</v>
      </c>
      <c r="H111" s="9" t="s">
        <v>2445</v>
      </c>
      <c r="I111" s="9" t="s">
        <v>2439</v>
      </c>
      <c r="J111" s="9">
        <v>28</v>
      </c>
      <c r="K111" s="35">
        <f>VALUE(COUNTIF(Validation!$A$2:$H$47,E111))</f>
        <v>0</v>
      </c>
      <c r="L111" s="361">
        <f t="shared" si="14"/>
        <v>2750000</v>
      </c>
      <c r="M111" s="361">
        <f t="shared" si="15"/>
        <v>2750000</v>
      </c>
      <c r="N111" s="358">
        <v>2750000</v>
      </c>
      <c r="O111" s="358">
        <v>2750000</v>
      </c>
      <c r="P111" s="358">
        <v>2750000</v>
      </c>
      <c r="Q111" s="358">
        <v>2750000</v>
      </c>
      <c r="R111" s="358" t="s">
        <v>7</v>
      </c>
      <c r="S111" s="358">
        <v>0</v>
      </c>
      <c r="T111" s="358">
        <v>0</v>
      </c>
      <c r="U111" s="35">
        <f t="shared" si="16"/>
        <v>4</v>
      </c>
      <c r="W111">
        <f t="shared" si="17"/>
        <v>1</v>
      </c>
      <c r="X111" s="35">
        <f t="shared" si="18"/>
        <v>0</v>
      </c>
      <c r="Y111">
        <f t="shared" si="19"/>
        <v>1</v>
      </c>
      <c r="AB111">
        <f t="shared" si="22"/>
        <v>1</v>
      </c>
      <c r="AC111">
        <f t="shared" ca="1" si="23"/>
        <v>0</v>
      </c>
      <c r="AD111" t="str">
        <f ca="1">IF(AC111=1,COUNTIF($AC$3:AC111,1),"")</f>
        <v/>
      </c>
      <c r="AE111" s="155" t="str">
        <f ca="1">IFERROR(INDEX(Données!$B$3:$B$1479,MATCH(ROWS($AD$3:AD111),$AD$3:$AD$1479,0)),"")</f>
        <v/>
      </c>
    </row>
    <row r="112" spans="1:31" ht="15.75" x14ac:dyDescent="0.25">
      <c r="A112" t="str">
        <f t="shared" si="20"/>
        <v>Kevan Miller - BOS - DD</v>
      </c>
      <c r="B112" t="str">
        <f t="shared" si="21"/>
        <v>Kevan Miller - BOS - DD</v>
      </c>
      <c r="C112" t="str">
        <f t="shared" si="12"/>
        <v>Kevan</v>
      </c>
      <c r="D112" t="str">
        <f t="shared" si="13"/>
        <v>Miller</v>
      </c>
      <c r="E112" s="39" t="s">
        <v>1355</v>
      </c>
      <c r="F112" s="30" t="s">
        <v>9</v>
      </c>
      <c r="G112" s="35">
        <v>0</v>
      </c>
      <c r="H112" s="35" t="s">
        <v>2444</v>
      </c>
      <c r="I112" s="35" t="s">
        <v>2439</v>
      </c>
      <c r="J112" s="35">
        <v>31</v>
      </c>
      <c r="K112" s="35">
        <f>VALUE(COUNTIF(Validation!$A$2:$H$47,E112))</f>
        <v>0</v>
      </c>
      <c r="L112" s="361">
        <f t="shared" si="14"/>
        <v>2500000</v>
      </c>
      <c r="M112" s="361">
        <f t="shared" si="15"/>
        <v>0</v>
      </c>
      <c r="N112" s="358">
        <v>2500000</v>
      </c>
      <c r="O112" s="358" t="s">
        <v>7</v>
      </c>
      <c r="P112" s="358">
        <v>0</v>
      </c>
      <c r="Q112" s="358">
        <v>0</v>
      </c>
      <c r="R112" s="358">
        <v>0</v>
      </c>
      <c r="S112" s="358">
        <v>0</v>
      </c>
      <c r="T112" s="358">
        <v>0</v>
      </c>
      <c r="U112" s="35">
        <f t="shared" si="16"/>
        <v>1</v>
      </c>
      <c r="W112">
        <f t="shared" si="17"/>
        <v>1</v>
      </c>
      <c r="X112" s="35">
        <f t="shared" si="18"/>
        <v>0</v>
      </c>
      <c r="Y112">
        <f t="shared" si="19"/>
        <v>0</v>
      </c>
      <c r="AB112">
        <f t="shared" si="22"/>
        <v>1</v>
      </c>
      <c r="AC112">
        <f t="shared" ca="1" si="23"/>
        <v>0</v>
      </c>
      <c r="AD112" t="str">
        <f ca="1">IF(AC112=1,COUNTIF($AC$3:AC112,1),"")</f>
        <v/>
      </c>
      <c r="AE112" s="155" t="str">
        <f ca="1">IFERROR(INDEX(Données!$B$3:$B$1479,MATCH(ROWS($AD$3:AD112),$AD$3:$AD$1479,0)),"")</f>
        <v/>
      </c>
    </row>
    <row r="113" spans="1:31" ht="15.75" x14ac:dyDescent="0.25">
      <c r="A113" t="str">
        <f t="shared" si="20"/>
        <v>Matt Grzelcyk - BOS - DG</v>
      </c>
      <c r="B113" t="str">
        <f t="shared" si="21"/>
        <v>Matt Grzelcyk - BOS - DG</v>
      </c>
      <c r="C113" t="str">
        <f t="shared" si="12"/>
        <v>Matt</v>
      </c>
      <c r="D113" t="str">
        <f t="shared" si="13"/>
        <v>Grzelcyk</v>
      </c>
      <c r="E113" s="39" t="s">
        <v>1356</v>
      </c>
      <c r="F113" s="30" t="s">
        <v>9</v>
      </c>
      <c r="G113" s="35">
        <v>0</v>
      </c>
      <c r="H113" s="35" t="s">
        <v>2445</v>
      </c>
      <c r="I113" s="35" t="s">
        <v>2439</v>
      </c>
      <c r="J113" s="35">
        <v>25</v>
      </c>
      <c r="K113" s="35">
        <f>VALUE(COUNTIF(Validation!$A$2:$H$47,E113))</f>
        <v>0</v>
      </c>
      <c r="L113" s="361">
        <f t="shared" si="14"/>
        <v>1400000</v>
      </c>
      <c r="M113" s="361">
        <f t="shared" si="15"/>
        <v>0</v>
      </c>
      <c r="N113" s="358">
        <v>1400000</v>
      </c>
      <c r="O113" s="358" t="s">
        <v>8</v>
      </c>
      <c r="P113" s="358">
        <v>0</v>
      </c>
      <c r="Q113" s="358">
        <v>0</v>
      </c>
      <c r="R113" s="358">
        <v>0</v>
      </c>
      <c r="S113" s="358">
        <v>0</v>
      </c>
      <c r="T113" s="358">
        <v>0</v>
      </c>
      <c r="U113" s="35">
        <f t="shared" si="16"/>
        <v>1</v>
      </c>
      <c r="W113">
        <f t="shared" si="17"/>
        <v>1</v>
      </c>
      <c r="X113" s="35">
        <f t="shared" si="18"/>
        <v>0</v>
      </c>
      <c r="Y113">
        <f t="shared" si="19"/>
        <v>0</v>
      </c>
      <c r="AB113">
        <f t="shared" si="22"/>
        <v>1</v>
      </c>
      <c r="AC113">
        <f t="shared" ca="1" si="23"/>
        <v>0</v>
      </c>
      <c r="AD113" t="str">
        <f ca="1">IF(AC113=1,COUNTIF($AC$3:AC113,1),"")</f>
        <v/>
      </c>
      <c r="AE113" s="155" t="str">
        <f ca="1">IFERROR(INDEX(Données!$B$3:$B$1479,MATCH(ROWS($AD$3:AD113),$AD$3:$AD$1479,0)),"")</f>
        <v/>
      </c>
    </row>
    <row r="114" spans="1:31" ht="15.75" x14ac:dyDescent="0.25">
      <c r="A114" t="str">
        <f t="shared" si="20"/>
        <v>Urho Vaakanainen - BOS - DG</v>
      </c>
      <c r="B114" t="str">
        <f t="shared" si="21"/>
        <v>Urho Vaakanainen - BOS - DG</v>
      </c>
      <c r="C114" t="str">
        <f t="shared" si="12"/>
        <v>Urho</v>
      </c>
      <c r="D114" t="str">
        <f t="shared" si="13"/>
        <v>Vaakanainen</v>
      </c>
      <c r="E114" s="39" t="s">
        <v>1363</v>
      </c>
      <c r="F114" s="30" t="s">
        <v>9</v>
      </c>
      <c r="G114" s="35" t="s">
        <v>386</v>
      </c>
      <c r="H114" s="35" t="s">
        <v>2445</v>
      </c>
      <c r="I114" s="35" t="s">
        <v>2446</v>
      </c>
      <c r="J114" s="35">
        <v>20</v>
      </c>
      <c r="K114" s="35">
        <f>VALUE(COUNTIF(Validation!$A$2:$H$47,E114))</f>
        <v>0</v>
      </c>
      <c r="L114" s="361">
        <f t="shared" si="14"/>
        <v>1302500</v>
      </c>
      <c r="M114" s="361">
        <f t="shared" si="15"/>
        <v>1302500</v>
      </c>
      <c r="N114" s="358">
        <v>1302500</v>
      </c>
      <c r="O114" s="358">
        <v>1302500</v>
      </c>
      <c r="P114" s="358">
        <v>1302500</v>
      </c>
      <c r="Q114" s="358" t="s">
        <v>8</v>
      </c>
      <c r="R114" s="358">
        <v>0</v>
      </c>
      <c r="S114" s="358">
        <v>0</v>
      </c>
      <c r="T114" s="358">
        <v>0</v>
      </c>
      <c r="U114" s="35">
        <f t="shared" si="16"/>
        <v>3</v>
      </c>
      <c r="W114">
        <f t="shared" si="17"/>
        <v>1</v>
      </c>
      <c r="X114" s="35">
        <f t="shared" si="18"/>
        <v>1</v>
      </c>
      <c r="Y114">
        <f t="shared" si="19"/>
        <v>1</v>
      </c>
      <c r="AB114">
        <f t="shared" si="22"/>
        <v>1</v>
      </c>
      <c r="AC114">
        <f t="shared" ca="1" si="23"/>
        <v>0</v>
      </c>
      <c r="AD114" t="str">
        <f ca="1">IF(AC114=1,COUNTIF($AC$3:AC114,1),"")</f>
        <v/>
      </c>
      <c r="AE114" s="155" t="str">
        <f ca="1">IFERROR(INDEX(Données!$B$3:$B$1479,MATCH(ROWS($AD$3:AD114),$AD$3:$AD$1479,0)),"")</f>
        <v/>
      </c>
    </row>
    <row r="115" spans="1:31" ht="15.75" x14ac:dyDescent="0.25">
      <c r="A115" t="str">
        <f t="shared" si="20"/>
        <v>Jake DeBrusk - BOS - AG</v>
      </c>
      <c r="B115" t="str">
        <f t="shared" si="21"/>
        <v>Jake DeBrusk - BOS - AG</v>
      </c>
      <c r="C115" t="str">
        <f t="shared" si="12"/>
        <v>Jake</v>
      </c>
      <c r="D115" t="str">
        <f t="shared" si="13"/>
        <v>DeBrusk</v>
      </c>
      <c r="E115" s="39" t="s">
        <v>1351</v>
      </c>
      <c r="F115" s="30" t="s">
        <v>9</v>
      </c>
      <c r="G115" s="35" t="s">
        <v>403</v>
      </c>
      <c r="H115" s="35" t="s">
        <v>2440</v>
      </c>
      <c r="I115" s="35" t="s">
        <v>2439</v>
      </c>
      <c r="J115" s="35">
        <v>22</v>
      </c>
      <c r="K115" s="35">
        <f>VALUE(COUNTIF(Validation!$A$2:$H$47,E115))</f>
        <v>0</v>
      </c>
      <c r="L115" s="361">
        <f t="shared" si="14"/>
        <v>1288333</v>
      </c>
      <c r="M115" s="361">
        <f t="shared" si="15"/>
        <v>0</v>
      </c>
      <c r="N115" s="358">
        <v>1288333</v>
      </c>
      <c r="O115" s="358" t="s">
        <v>8</v>
      </c>
      <c r="P115" s="358">
        <v>0</v>
      </c>
      <c r="Q115" s="358">
        <v>0</v>
      </c>
      <c r="R115" s="358">
        <v>0</v>
      </c>
      <c r="S115" s="358">
        <v>0</v>
      </c>
      <c r="T115" s="358">
        <v>0</v>
      </c>
      <c r="U115" s="35">
        <f t="shared" si="16"/>
        <v>1</v>
      </c>
      <c r="W115">
        <f t="shared" si="17"/>
        <v>1</v>
      </c>
      <c r="X115" s="35">
        <f t="shared" si="18"/>
        <v>1</v>
      </c>
      <c r="Y115">
        <f t="shared" si="19"/>
        <v>0</v>
      </c>
      <c r="AB115">
        <f t="shared" si="22"/>
        <v>1</v>
      </c>
      <c r="AC115">
        <f t="shared" ca="1" si="23"/>
        <v>0</v>
      </c>
      <c r="AD115" t="str">
        <f ca="1">IF(AC115=1,COUNTIF($AC$3:AC115,1),"")</f>
        <v/>
      </c>
      <c r="AE115" s="155" t="str">
        <f ca="1">IFERROR(INDEX(Données!$B$3:$B$1479,MATCH(ROWS($AD$3:AD115),$AD$3:$AD$1479,0)),"")</f>
        <v/>
      </c>
    </row>
    <row r="116" spans="1:31" ht="15.75" x14ac:dyDescent="0.25">
      <c r="A116" t="str">
        <f t="shared" si="20"/>
        <v>Zach Senyshyn - BOS - AD</v>
      </c>
      <c r="B116" t="str">
        <f t="shared" si="21"/>
        <v>Zach Senyshyn - BOS - AD</v>
      </c>
      <c r="C116" t="str">
        <f t="shared" si="12"/>
        <v>Zach</v>
      </c>
      <c r="D116" t="str">
        <f t="shared" si="13"/>
        <v>Senyshyn</v>
      </c>
      <c r="E116" s="39" t="s">
        <v>1365</v>
      </c>
      <c r="F116" s="30" t="s">
        <v>9</v>
      </c>
      <c r="G116" s="35" t="s">
        <v>386</v>
      </c>
      <c r="H116" s="35" t="s">
        <v>2438</v>
      </c>
      <c r="I116" s="35" t="s">
        <v>2446</v>
      </c>
      <c r="J116" s="35">
        <v>22</v>
      </c>
      <c r="K116" s="35">
        <f>VALUE(COUNTIF(Validation!$A$2:$H$47,E116))</f>
        <v>0</v>
      </c>
      <c r="L116" s="361">
        <f t="shared" si="14"/>
        <v>1288333</v>
      </c>
      <c r="M116" s="361">
        <f t="shared" si="15"/>
        <v>0</v>
      </c>
      <c r="N116" s="358">
        <v>1288333</v>
      </c>
      <c r="O116" s="358" t="s">
        <v>8</v>
      </c>
      <c r="P116" s="358">
        <v>0</v>
      </c>
      <c r="Q116" s="358">
        <v>0</v>
      </c>
      <c r="R116" s="358">
        <v>0</v>
      </c>
      <c r="S116" s="358">
        <v>0</v>
      </c>
      <c r="T116" s="358">
        <v>0</v>
      </c>
      <c r="U116" s="35">
        <f t="shared" si="16"/>
        <v>1</v>
      </c>
      <c r="W116">
        <f t="shared" si="17"/>
        <v>1</v>
      </c>
      <c r="X116" s="35">
        <f t="shared" si="18"/>
        <v>1</v>
      </c>
      <c r="Y116">
        <f t="shared" si="19"/>
        <v>0</v>
      </c>
      <c r="AB116">
        <f t="shared" si="22"/>
        <v>1</v>
      </c>
      <c r="AC116">
        <f t="shared" ca="1" si="23"/>
        <v>0</v>
      </c>
      <c r="AD116" t="str">
        <f ca="1">IF(AC116=1,COUNTIF($AC$3:AC116,1),"")</f>
        <v/>
      </c>
      <c r="AE116" s="155" t="str">
        <f ca="1">IFERROR(INDEX(Données!$B$3:$B$1479,MATCH(ROWS($AD$3:AD116),$AD$3:$AD$1479,0)),"")</f>
        <v/>
      </c>
    </row>
    <row r="117" spans="1:31" ht="15.75" x14ac:dyDescent="0.25">
      <c r="A117" t="str">
        <f t="shared" si="20"/>
        <v>Jakub Zboril - BOS - DG</v>
      </c>
      <c r="B117" t="str">
        <f t="shared" si="21"/>
        <v>Jakub Zboril - BOS - DG</v>
      </c>
      <c r="C117" t="str">
        <f t="shared" si="12"/>
        <v>Jakub</v>
      </c>
      <c r="D117" t="str">
        <f t="shared" si="13"/>
        <v>Zboril</v>
      </c>
      <c r="E117" s="39" t="s">
        <v>1366</v>
      </c>
      <c r="F117" s="30" t="s">
        <v>9</v>
      </c>
      <c r="G117" s="35" t="s">
        <v>386</v>
      </c>
      <c r="H117" s="35" t="s">
        <v>2445</v>
      </c>
      <c r="I117" s="35" t="s">
        <v>2446</v>
      </c>
      <c r="J117" s="35">
        <v>22</v>
      </c>
      <c r="K117" s="35">
        <f>VALUE(COUNTIF(Validation!$A$2:$H$47,E117))</f>
        <v>0</v>
      </c>
      <c r="L117" s="361">
        <f t="shared" si="14"/>
        <v>1288333</v>
      </c>
      <c r="M117" s="361">
        <f t="shared" si="15"/>
        <v>0</v>
      </c>
      <c r="N117" s="358">
        <v>1288333</v>
      </c>
      <c r="O117" s="358" t="s">
        <v>8</v>
      </c>
      <c r="P117" s="358">
        <v>0</v>
      </c>
      <c r="Q117" s="358">
        <v>0</v>
      </c>
      <c r="R117" s="358">
        <v>0</v>
      </c>
      <c r="S117" s="358">
        <v>0</v>
      </c>
      <c r="T117" s="358">
        <v>0</v>
      </c>
      <c r="U117" s="35">
        <f t="shared" si="16"/>
        <v>1</v>
      </c>
      <c r="W117">
        <f t="shared" si="17"/>
        <v>1</v>
      </c>
      <c r="X117" s="35">
        <f t="shared" si="18"/>
        <v>1</v>
      </c>
      <c r="Y117">
        <f t="shared" si="19"/>
        <v>0</v>
      </c>
      <c r="AB117">
        <f t="shared" si="22"/>
        <v>1</v>
      </c>
      <c r="AC117">
        <f t="shared" ca="1" si="23"/>
        <v>0</v>
      </c>
      <c r="AD117" t="str">
        <f ca="1">IF(AC117=1,COUNTIF($AC$3:AC117,1),"")</f>
        <v/>
      </c>
      <c r="AE117" s="155" t="str">
        <f ca="1">IFERROR(INDEX(Données!$B$3:$B$1479,MATCH(ROWS($AD$3:AD117),$AD$3:$AD$1479,0)),"")</f>
        <v/>
      </c>
    </row>
    <row r="118" spans="1:31" ht="15.75" x14ac:dyDescent="0.25">
      <c r="A118" t="str">
        <f t="shared" si="20"/>
        <v>Sean Kuraly - BOS - C, AG</v>
      </c>
      <c r="B118" t="str">
        <f t="shared" si="21"/>
        <v>Sean Kuraly - BOS - C, AG</v>
      </c>
      <c r="C118" t="str">
        <f t="shared" si="12"/>
        <v>Sean</v>
      </c>
      <c r="D118" t="str">
        <f t="shared" si="13"/>
        <v>Kuraly</v>
      </c>
      <c r="E118" s="39" t="s">
        <v>1346</v>
      </c>
      <c r="F118" s="30" t="s">
        <v>9</v>
      </c>
      <c r="G118" s="35">
        <v>0</v>
      </c>
      <c r="H118" s="35" t="s">
        <v>2452</v>
      </c>
      <c r="I118" s="35" t="s">
        <v>2439</v>
      </c>
      <c r="J118" s="35">
        <v>26</v>
      </c>
      <c r="K118" s="35">
        <f>VALUE(COUNTIF(Validation!$A$2:$H$47,E118))</f>
        <v>0</v>
      </c>
      <c r="L118" s="361">
        <f t="shared" si="14"/>
        <v>1275000</v>
      </c>
      <c r="M118" s="361">
        <f t="shared" si="15"/>
        <v>1275000</v>
      </c>
      <c r="N118" s="358">
        <v>1275000</v>
      </c>
      <c r="O118" s="358">
        <v>1275000</v>
      </c>
      <c r="P118" s="358" t="s">
        <v>7</v>
      </c>
      <c r="Q118" s="358">
        <v>0</v>
      </c>
      <c r="R118" s="358">
        <v>0</v>
      </c>
      <c r="S118" s="358">
        <v>0</v>
      </c>
      <c r="T118" s="358">
        <v>0</v>
      </c>
      <c r="U118" s="35">
        <f t="shared" si="16"/>
        <v>2</v>
      </c>
      <c r="W118">
        <f t="shared" si="17"/>
        <v>1</v>
      </c>
      <c r="X118" s="35">
        <f t="shared" si="18"/>
        <v>0</v>
      </c>
      <c r="Y118">
        <f t="shared" si="19"/>
        <v>1</v>
      </c>
      <c r="AB118">
        <f t="shared" si="22"/>
        <v>1</v>
      </c>
      <c r="AC118">
        <f t="shared" ca="1" si="23"/>
        <v>0</v>
      </c>
      <c r="AD118" t="str">
        <f ca="1">IF(AC118=1,COUNTIF($AC$3:AC118,1),"")</f>
        <v/>
      </c>
      <c r="AE118" s="155" t="str">
        <f ca="1">IFERROR(INDEX(Données!$B$3:$B$1479,MATCH(ROWS($AD$3:AD118),$AD$3:$AD$1479,0)),"")</f>
        <v/>
      </c>
    </row>
    <row r="119" spans="1:31" ht="15.75" x14ac:dyDescent="0.25">
      <c r="A119" t="str">
        <f t="shared" si="20"/>
        <v>Chris Wagner - BOS - AD, C</v>
      </c>
      <c r="B119" t="str">
        <f t="shared" si="21"/>
        <v>Chris Wagner - BOS - AD, C</v>
      </c>
      <c r="C119" t="str">
        <f t="shared" si="12"/>
        <v>Chris</v>
      </c>
      <c r="D119" t="str">
        <f t="shared" si="13"/>
        <v>Wagner</v>
      </c>
      <c r="E119" s="39" t="s">
        <v>1347</v>
      </c>
      <c r="F119" s="30" t="s">
        <v>9</v>
      </c>
      <c r="G119" s="35">
        <v>0</v>
      </c>
      <c r="H119" s="35" t="s">
        <v>2453</v>
      </c>
      <c r="I119" s="35" t="s">
        <v>2439</v>
      </c>
      <c r="J119" s="9">
        <v>28</v>
      </c>
      <c r="K119" s="35">
        <f>VALUE(COUNTIF(Validation!$A$2:$H$47,E119))</f>
        <v>0</v>
      </c>
      <c r="L119" s="361">
        <f t="shared" si="14"/>
        <v>1250000</v>
      </c>
      <c r="M119" s="361">
        <f t="shared" si="15"/>
        <v>0</v>
      </c>
      <c r="N119" s="358">
        <v>1250000</v>
      </c>
      <c r="O119" s="358" t="s">
        <v>7</v>
      </c>
      <c r="P119" s="358">
        <v>0</v>
      </c>
      <c r="Q119" s="358">
        <v>0</v>
      </c>
      <c r="R119" s="358">
        <v>0</v>
      </c>
      <c r="S119" s="358">
        <v>0</v>
      </c>
      <c r="T119" s="358">
        <v>0</v>
      </c>
      <c r="U119" s="35">
        <f t="shared" si="16"/>
        <v>1</v>
      </c>
      <c r="W119">
        <f t="shared" si="17"/>
        <v>1</v>
      </c>
      <c r="X119" s="35">
        <f t="shared" si="18"/>
        <v>0</v>
      </c>
      <c r="Y119">
        <f t="shared" si="19"/>
        <v>0</v>
      </c>
      <c r="AB119">
        <f t="shared" si="22"/>
        <v>1</v>
      </c>
      <c r="AC119">
        <f t="shared" ca="1" si="23"/>
        <v>0</v>
      </c>
      <c r="AD119" t="str">
        <f ca="1">IF(AC119=1,COUNTIF($AC$3:AC119,1),"")</f>
        <v/>
      </c>
      <c r="AE119" s="155" t="str">
        <f ca="1">IFERROR(INDEX(Données!$B$3:$B$1479,MATCH(ROWS($AD$3:AD119),$AD$3:$AD$1479,0)),"")</f>
        <v/>
      </c>
    </row>
    <row r="120" spans="1:31" ht="15.75" x14ac:dyDescent="0.25">
      <c r="A120" t="str">
        <f t="shared" si="20"/>
        <v>Trent Frederic - BOS - C</v>
      </c>
      <c r="B120" t="str">
        <f t="shared" si="21"/>
        <v>Trent Frederic - BOS - C</v>
      </c>
      <c r="C120" t="str">
        <f t="shared" si="12"/>
        <v>Trent</v>
      </c>
      <c r="D120" t="str">
        <f t="shared" si="13"/>
        <v>Frederic</v>
      </c>
      <c r="E120" s="39" t="s">
        <v>1364</v>
      </c>
      <c r="F120" s="30" t="s">
        <v>9</v>
      </c>
      <c r="G120" s="35" t="s">
        <v>386</v>
      </c>
      <c r="H120" s="35" t="s">
        <v>73</v>
      </c>
      <c r="I120" s="35" t="s">
        <v>2446</v>
      </c>
      <c r="J120" s="35">
        <v>21</v>
      </c>
      <c r="K120" s="35">
        <f>VALUE(COUNTIF(Validation!$A$2:$H$47,E120))</f>
        <v>0</v>
      </c>
      <c r="L120" s="361">
        <f t="shared" si="14"/>
        <v>1137500</v>
      </c>
      <c r="M120" s="361">
        <f t="shared" si="15"/>
        <v>1137500</v>
      </c>
      <c r="N120" s="358">
        <v>1137500</v>
      </c>
      <c r="O120" s="358">
        <v>1137500</v>
      </c>
      <c r="P120" s="358" t="s">
        <v>8</v>
      </c>
      <c r="Q120" s="358">
        <v>0</v>
      </c>
      <c r="R120" s="358">
        <v>0</v>
      </c>
      <c r="S120" s="358">
        <v>0</v>
      </c>
      <c r="T120" s="358">
        <v>0</v>
      </c>
      <c r="U120" s="35">
        <f t="shared" si="16"/>
        <v>2</v>
      </c>
      <c r="W120">
        <f t="shared" si="17"/>
        <v>1</v>
      </c>
      <c r="X120" s="35">
        <f t="shared" si="18"/>
        <v>1</v>
      </c>
      <c r="Y120">
        <f t="shared" si="19"/>
        <v>1</v>
      </c>
      <c r="AB120">
        <f t="shared" si="22"/>
        <v>1</v>
      </c>
      <c r="AC120">
        <f t="shared" ca="1" si="23"/>
        <v>0</v>
      </c>
      <c r="AD120" t="str">
        <f ca="1">IF(AC120=1,COUNTIF($AC$3:AC120,1),"")</f>
        <v/>
      </c>
      <c r="AE120" s="155" t="str">
        <f ca="1">IFERROR(INDEX(Données!$B$3:$B$1479,MATCH(ROWS($AD$3:AD120),$AD$3:$AD$1479,0)),"")</f>
        <v/>
      </c>
    </row>
    <row r="121" spans="1:31" ht="15.75" x14ac:dyDescent="0.25">
      <c r="A121" t="str">
        <f t="shared" si="20"/>
        <v>Anders Bjork - BOS - AG, AD</v>
      </c>
      <c r="B121" t="str">
        <f t="shared" si="21"/>
        <v>Anders Bjork - BOS - AG, AD</v>
      </c>
      <c r="C121" t="str">
        <f t="shared" si="12"/>
        <v>Anders</v>
      </c>
      <c r="D121" t="str">
        <f t="shared" si="13"/>
        <v>Bjork</v>
      </c>
      <c r="E121" s="39" t="s">
        <v>1348</v>
      </c>
      <c r="F121" s="30" t="s">
        <v>9</v>
      </c>
      <c r="G121" s="35" t="s">
        <v>386</v>
      </c>
      <c r="H121" s="35" t="s">
        <v>2442</v>
      </c>
      <c r="I121" s="35" t="s">
        <v>2446</v>
      </c>
      <c r="J121" s="35">
        <v>23</v>
      </c>
      <c r="K121" s="35">
        <f>VALUE(COUNTIF(Validation!$A$2:$H$47,E121))</f>
        <v>0</v>
      </c>
      <c r="L121" s="361">
        <f t="shared" si="14"/>
        <v>1066667</v>
      </c>
      <c r="M121" s="361">
        <f t="shared" si="15"/>
        <v>0</v>
      </c>
      <c r="N121" s="358">
        <v>1066667</v>
      </c>
      <c r="O121" s="358" t="s">
        <v>8</v>
      </c>
      <c r="P121" s="358">
        <v>0</v>
      </c>
      <c r="Q121" s="358">
        <v>0</v>
      </c>
      <c r="R121" s="358">
        <v>0</v>
      </c>
      <c r="S121" s="358">
        <v>0</v>
      </c>
      <c r="T121" s="358">
        <v>0</v>
      </c>
      <c r="U121" s="35">
        <f t="shared" si="16"/>
        <v>1</v>
      </c>
      <c r="W121">
        <f t="shared" si="17"/>
        <v>1</v>
      </c>
      <c r="X121" s="35">
        <f t="shared" si="18"/>
        <v>1</v>
      </c>
      <c r="Y121">
        <f t="shared" si="19"/>
        <v>0</v>
      </c>
      <c r="AB121">
        <f t="shared" si="22"/>
        <v>1</v>
      </c>
      <c r="AC121">
        <f t="shared" ca="1" si="23"/>
        <v>0</v>
      </c>
      <c r="AD121" t="str">
        <f ca="1">IF(AC121=1,COUNTIF($AC$3:AC121,1),"")</f>
        <v/>
      </c>
      <c r="AE121" s="155" t="str">
        <f ca="1">IFERROR(INDEX(Données!$B$3:$B$1479,MATCH(ROWS($AD$3:AD121),$AD$3:$AD$1479,0)),"")</f>
        <v/>
      </c>
    </row>
    <row r="122" spans="1:31" ht="15.75" x14ac:dyDescent="0.25">
      <c r="A122" t="str">
        <f t="shared" si="20"/>
        <v>Joakim Nordstrom - BOS - AG</v>
      </c>
      <c r="B122" t="str">
        <f t="shared" si="21"/>
        <v>Joakim Nordstrom - BOS - AG</v>
      </c>
      <c r="C122" t="str">
        <f t="shared" si="12"/>
        <v>Joakim</v>
      </c>
      <c r="D122" t="str">
        <f t="shared" si="13"/>
        <v>Nordstrom</v>
      </c>
      <c r="E122" s="39" t="s">
        <v>2859</v>
      </c>
      <c r="F122" s="30" t="s">
        <v>9</v>
      </c>
      <c r="G122" s="35">
        <v>0</v>
      </c>
      <c r="H122" s="35" t="s">
        <v>2440</v>
      </c>
      <c r="I122" s="35" t="s">
        <v>2439</v>
      </c>
      <c r="J122" s="35">
        <v>27</v>
      </c>
      <c r="K122" s="35">
        <f>VALUE(COUNTIF(Validation!$A$2:$H$47,E122))</f>
        <v>0</v>
      </c>
      <c r="L122" s="361">
        <f t="shared" si="14"/>
        <v>1000000</v>
      </c>
      <c r="M122" s="361">
        <f t="shared" si="15"/>
        <v>0</v>
      </c>
      <c r="N122" s="358">
        <v>1000000</v>
      </c>
      <c r="O122" s="358" t="s">
        <v>7</v>
      </c>
      <c r="P122" s="358">
        <v>0</v>
      </c>
      <c r="Q122" s="358">
        <v>0</v>
      </c>
      <c r="R122" s="358">
        <v>0</v>
      </c>
      <c r="S122" s="358">
        <v>0</v>
      </c>
      <c r="T122" s="358">
        <v>0</v>
      </c>
      <c r="U122" s="35">
        <f t="shared" si="16"/>
        <v>1</v>
      </c>
      <c r="W122">
        <f t="shared" si="17"/>
        <v>1</v>
      </c>
      <c r="X122" s="35">
        <f t="shared" si="18"/>
        <v>0</v>
      </c>
      <c r="Y122">
        <f t="shared" si="19"/>
        <v>0</v>
      </c>
      <c r="AB122">
        <f t="shared" si="22"/>
        <v>1</v>
      </c>
      <c r="AC122">
        <f t="shared" ca="1" si="23"/>
        <v>0</v>
      </c>
      <c r="AD122" t="str">
        <f ca="1">IF(AC122=1,COUNTIF($AC$3:AC122,1),"")</f>
        <v/>
      </c>
      <c r="AE122" s="155" t="str">
        <f ca="1">IFERROR(INDEX(Données!$B$3:$B$1479,MATCH(ROWS($AD$3:AD122),$AD$3:$AD$1479,0)),"")</f>
        <v/>
      </c>
    </row>
    <row r="123" spans="1:31" ht="15.75" x14ac:dyDescent="0.25">
      <c r="A123" t="str">
        <f t="shared" si="20"/>
        <v>Brett Ritchie - BOS - AD</v>
      </c>
      <c r="B123" t="str">
        <f t="shared" si="21"/>
        <v>Brett Ritchie - BOS - AD</v>
      </c>
      <c r="C123" t="str">
        <f t="shared" si="12"/>
        <v>Brett</v>
      </c>
      <c r="D123" t="str">
        <f t="shared" si="13"/>
        <v>Ritchie</v>
      </c>
      <c r="E123" s="39" t="s">
        <v>1956</v>
      </c>
      <c r="F123" s="30" t="s">
        <v>9</v>
      </c>
      <c r="G123" s="35">
        <v>0</v>
      </c>
      <c r="H123" s="35" t="s">
        <v>2438</v>
      </c>
      <c r="I123" s="35" t="s">
        <v>2439</v>
      </c>
      <c r="J123" s="35">
        <v>26</v>
      </c>
      <c r="K123" s="35">
        <f>VALUE(COUNTIF(Validation!$A$2:$H$47,E123))</f>
        <v>0</v>
      </c>
      <c r="L123" s="361">
        <f t="shared" si="14"/>
        <v>1000000</v>
      </c>
      <c r="M123" s="361">
        <f t="shared" si="15"/>
        <v>0</v>
      </c>
      <c r="N123" s="358">
        <v>1000000</v>
      </c>
      <c r="O123" s="358" t="s">
        <v>8</v>
      </c>
      <c r="P123" s="358">
        <v>0</v>
      </c>
      <c r="Q123" s="358">
        <v>0</v>
      </c>
      <c r="R123" s="358">
        <v>0</v>
      </c>
      <c r="S123" s="358">
        <v>0</v>
      </c>
      <c r="T123" s="358">
        <v>0</v>
      </c>
      <c r="U123" s="35">
        <f t="shared" si="16"/>
        <v>1</v>
      </c>
      <c r="W123">
        <f t="shared" si="17"/>
        <v>1</v>
      </c>
      <c r="X123" s="35">
        <f t="shared" si="18"/>
        <v>0</v>
      </c>
      <c r="Y123">
        <f t="shared" si="19"/>
        <v>0</v>
      </c>
      <c r="AB123">
        <f t="shared" si="22"/>
        <v>1</v>
      </c>
      <c r="AC123">
        <f t="shared" ca="1" si="23"/>
        <v>0</v>
      </c>
      <c r="AD123" t="str">
        <f ca="1">IF(AC123=1,COUNTIF($AC$3:AC123,1),"")</f>
        <v/>
      </c>
      <c r="AE123" s="155" t="str">
        <f ca="1">IFERROR(INDEX(Données!$B$3:$B$1479,MATCH(ROWS($AD$3:AD123),$AD$3:$AD$1479,0)),"")</f>
        <v/>
      </c>
    </row>
    <row r="124" spans="1:31" ht="15.75" x14ac:dyDescent="0.25">
      <c r="A124" t="str">
        <f t="shared" si="20"/>
        <v>Cameron Hughes - BOS - C, AG</v>
      </c>
      <c r="B124" t="str">
        <f t="shared" si="21"/>
        <v>Cameron Hughes - BOS - C, AG</v>
      </c>
      <c r="C124" t="str">
        <f t="shared" si="12"/>
        <v>Cameron</v>
      </c>
      <c r="D124" t="str">
        <f t="shared" si="13"/>
        <v>Hughes</v>
      </c>
      <c r="E124" s="39" t="s">
        <v>1370</v>
      </c>
      <c r="F124" s="30" t="s">
        <v>9</v>
      </c>
      <c r="G124" s="35" t="s">
        <v>386</v>
      </c>
      <c r="H124" s="35" t="s">
        <v>2452</v>
      </c>
      <c r="I124" s="35" t="s">
        <v>2446</v>
      </c>
      <c r="J124" s="35">
        <v>22</v>
      </c>
      <c r="K124" s="35">
        <f>VALUE(COUNTIF(Validation!$A$2:$H$47,E124))</f>
        <v>0</v>
      </c>
      <c r="L124" s="361">
        <f t="shared" si="14"/>
        <v>925000</v>
      </c>
      <c r="M124" s="361">
        <f t="shared" si="15"/>
        <v>925000</v>
      </c>
      <c r="N124" s="358">
        <v>925000</v>
      </c>
      <c r="O124" s="358">
        <v>925000</v>
      </c>
      <c r="P124" s="358" t="s">
        <v>8</v>
      </c>
      <c r="Q124" s="358">
        <v>0</v>
      </c>
      <c r="R124" s="358">
        <v>0</v>
      </c>
      <c r="S124" s="358">
        <v>0</v>
      </c>
      <c r="T124" s="358">
        <v>0</v>
      </c>
      <c r="U124" s="35">
        <f t="shared" si="16"/>
        <v>2</v>
      </c>
      <c r="W124">
        <f t="shared" si="17"/>
        <v>1</v>
      </c>
      <c r="X124" s="35">
        <f t="shared" si="18"/>
        <v>1</v>
      </c>
      <c r="Y124">
        <f t="shared" si="19"/>
        <v>1</v>
      </c>
      <c r="AB124">
        <f t="shared" si="22"/>
        <v>1</v>
      </c>
      <c r="AC124">
        <f t="shared" ca="1" si="23"/>
        <v>0</v>
      </c>
      <c r="AD124" t="str">
        <f ca="1">IF(AC124=1,COUNTIF($AC$3:AC124,1),"")</f>
        <v/>
      </c>
      <c r="AE124" s="155" t="str">
        <f ca="1">IFERROR(INDEX(Données!$B$3:$B$1479,MATCH(ROWS($AD$3:AD124),$AD$3:$AD$1479,0)),"")</f>
        <v/>
      </c>
    </row>
    <row r="125" spans="1:31" ht="15.75" x14ac:dyDescent="0.25">
      <c r="A125" t="str">
        <f t="shared" si="20"/>
        <v>Pavel Shen - BOS - C</v>
      </c>
      <c r="B125" t="str">
        <f t="shared" si="21"/>
        <v>Pavel Shen - BOS - C</v>
      </c>
      <c r="C125" t="str">
        <f t="shared" si="12"/>
        <v>Pavel</v>
      </c>
      <c r="D125" t="str">
        <f t="shared" si="13"/>
        <v>Shen</v>
      </c>
      <c r="E125" s="39" t="s">
        <v>2736</v>
      </c>
      <c r="F125" s="30" t="s">
        <v>9</v>
      </c>
      <c r="G125" s="35" t="s">
        <v>386</v>
      </c>
      <c r="H125" s="35" t="s">
        <v>73</v>
      </c>
      <c r="I125" s="35" t="s">
        <v>2439</v>
      </c>
      <c r="J125" s="35">
        <v>19</v>
      </c>
      <c r="K125" s="35">
        <f>VALUE(COUNTIF(Validation!$A$2:$H$47,E125))</f>
        <v>0</v>
      </c>
      <c r="L125" s="361">
        <f t="shared" si="14"/>
        <v>925000</v>
      </c>
      <c r="M125" s="361">
        <f t="shared" si="15"/>
        <v>925000</v>
      </c>
      <c r="N125" s="358">
        <v>925000</v>
      </c>
      <c r="O125" s="358">
        <v>925000</v>
      </c>
      <c r="P125" s="358">
        <v>925000</v>
      </c>
      <c r="Q125" s="358" t="s">
        <v>8</v>
      </c>
      <c r="R125" s="358">
        <v>0</v>
      </c>
      <c r="S125" s="358">
        <v>0</v>
      </c>
      <c r="T125" s="358">
        <v>0</v>
      </c>
      <c r="U125" s="35">
        <f t="shared" si="16"/>
        <v>3</v>
      </c>
      <c r="W125">
        <f t="shared" si="17"/>
        <v>1</v>
      </c>
      <c r="X125" s="35">
        <f t="shared" si="18"/>
        <v>1</v>
      </c>
      <c r="Y125">
        <f t="shared" si="19"/>
        <v>1</v>
      </c>
      <c r="AB125">
        <f t="shared" si="22"/>
        <v>1</v>
      </c>
      <c r="AC125">
        <f t="shared" ca="1" si="23"/>
        <v>0</v>
      </c>
      <c r="AD125" t="str">
        <f ca="1">IF(AC125=1,COUNTIF($AC$3:AC125,1),"")</f>
        <v/>
      </c>
      <c r="AE125" s="155" t="str">
        <f ca="1">IFERROR(INDEX(Données!$B$3:$B$1479,MATCH(ROWS($AD$3:AD125),$AD$3:$AD$1479,0)),"")</f>
        <v/>
      </c>
    </row>
    <row r="126" spans="1:31" ht="15.75" x14ac:dyDescent="0.25">
      <c r="A126" t="str">
        <f t="shared" si="20"/>
        <v>Wiley Sherman - BOS - D</v>
      </c>
      <c r="B126" t="str">
        <f t="shared" si="21"/>
        <v>Wiley Sherman - BOS - D</v>
      </c>
      <c r="C126" t="str">
        <f t="shared" si="12"/>
        <v>Wiley</v>
      </c>
      <c r="D126" t="str">
        <f t="shared" si="13"/>
        <v>Sherman</v>
      </c>
      <c r="E126" s="39" t="s">
        <v>1371</v>
      </c>
      <c r="F126" s="30" t="s">
        <v>9</v>
      </c>
      <c r="G126" s="35" t="s">
        <v>386</v>
      </c>
      <c r="H126" s="35" t="s">
        <v>82</v>
      </c>
      <c r="I126" s="35" t="s">
        <v>2446</v>
      </c>
      <c r="J126" s="35">
        <v>24</v>
      </c>
      <c r="K126" s="35">
        <f>VALUE(COUNTIF(Validation!$A$2:$H$47,E126))</f>
        <v>0</v>
      </c>
      <c r="L126" s="361">
        <f t="shared" si="14"/>
        <v>925000</v>
      </c>
      <c r="M126" s="361">
        <f t="shared" si="15"/>
        <v>0</v>
      </c>
      <c r="N126" s="358">
        <v>925000</v>
      </c>
      <c r="O126" s="358" t="s">
        <v>8</v>
      </c>
      <c r="P126" s="358">
        <v>0</v>
      </c>
      <c r="Q126" s="358">
        <v>0</v>
      </c>
      <c r="R126" s="358">
        <v>0</v>
      </c>
      <c r="S126" s="358">
        <v>0</v>
      </c>
      <c r="T126" s="358">
        <v>0</v>
      </c>
      <c r="U126" s="35">
        <f t="shared" si="16"/>
        <v>1</v>
      </c>
      <c r="W126">
        <f t="shared" si="17"/>
        <v>1</v>
      </c>
      <c r="X126" s="35">
        <f t="shared" si="18"/>
        <v>1</v>
      </c>
      <c r="Y126">
        <f t="shared" si="19"/>
        <v>0</v>
      </c>
      <c r="AB126">
        <f t="shared" si="22"/>
        <v>1</v>
      </c>
      <c r="AC126">
        <f t="shared" ca="1" si="23"/>
        <v>0</v>
      </c>
      <c r="AD126" t="str">
        <f ca="1">IF(AC126=1,COUNTIF($AC$3:AC126,1),"")</f>
        <v/>
      </c>
      <c r="AE126" s="155" t="str">
        <f ca="1">IFERROR(INDEX(Données!$B$3:$B$1479,MATCH(ROWS($AD$3:AD126),$AD$3:$AD$1479,0)),"")</f>
        <v/>
      </c>
    </row>
    <row r="127" spans="1:31" ht="15.75" x14ac:dyDescent="0.25">
      <c r="A127" t="str">
        <f t="shared" si="20"/>
        <v>Oskar Steen - BOS - C, AD</v>
      </c>
      <c r="B127" t="str">
        <f t="shared" si="21"/>
        <v>Oskar Steen - BOS - C, AD</v>
      </c>
      <c r="C127" t="str">
        <f t="shared" si="12"/>
        <v>Oskar</v>
      </c>
      <c r="D127" t="str">
        <f t="shared" si="13"/>
        <v>Steen</v>
      </c>
      <c r="E127" s="39" t="s">
        <v>2590</v>
      </c>
      <c r="F127" s="30" t="s">
        <v>9</v>
      </c>
      <c r="G127" s="35" t="s">
        <v>386</v>
      </c>
      <c r="H127" s="35" t="s">
        <v>2448</v>
      </c>
      <c r="I127" s="35" t="s">
        <v>2446</v>
      </c>
      <c r="J127" s="35">
        <v>21</v>
      </c>
      <c r="K127" s="35">
        <f>VALUE(COUNTIF(Validation!$A$2:$H$47,E127))</f>
        <v>0</v>
      </c>
      <c r="L127" s="361">
        <f t="shared" si="14"/>
        <v>925000</v>
      </c>
      <c r="M127" s="361">
        <f t="shared" si="15"/>
        <v>925000</v>
      </c>
      <c r="N127" s="358">
        <v>925000</v>
      </c>
      <c r="O127" s="358">
        <v>925000</v>
      </c>
      <c r="P127" s="358">
        <v>925000</v>
      </c>
      <c r="Q127" s="358" t="s">
        <v>8</v>
      </c>
      <c r="R127" s="358">
        <v>0</v>
      </c>
      <c r="S127" s="358">
        <v>0</v>
      </c>
      <c r="T127" s="358">
        <v>0</v>
      </c>
      <c r="U127" s="35">
        <f t="shared" si="16"/>
        <v>3</v>
      </c>
      <c r="W127">
        <f t="shared" si="17"/>
        <v>1</v>
      </c>
      <c r="X127" s="35">
        <f t="shared" si="18"/>
        <v>1</v>
      </c>
      <c r="Y127">
        <f t="shared" si="19"/>
        <v>1</v>
      </c>
      <c r="AB127">
        <f t="shared" si="22"/>
        <v>1</v>
      </c>
      <c r="AC127">
        <f t="shared" ca="1" si="23"/>
        <v>0</v>
      </c>
      <c r="AD127" t="str">
        <f ca="1">IF(AC127=1,COUNTIF($AC$3:AC127,1),"")</f>
        <v/>
      </c>
      <c r="AE127" s="155" t="str">
        <f ca="1">IFERROR(INDEX(Données!$B$3:$B$1479,MATCH(ROWS($AD$3:AD127),$AD$3:$AD$1479,0)),"")</f>
        <v/>
      </c>
    </row>
    <row r="128" spans="1:31" ht="15.75" x14ac:dyDescent="0.25">
      <c r="A128" t="str">
        <f t="shared" si="20"/>
        <v>Joona Koppanen - BOS - AG, C</v>
      </c>
      <c r="B128" t="str">
        <f t="shared" si="21"/>
        <v>Joona Koppanen - BOS - AG, C</v>
      </c>
      <c r="C128" t="str">
        <f t="shared" si="12"/>
        <v>Joona</v>
      </c>
      <c r="D128" t="str">
        <f t="shared" si="13"/>
        <v>Koppanen</v>
      </c>
      <c r="E128" s="39" t="s">
        <v>1372</v>
      </c>
      <c r="F128" s="30" t="s">
        <v>9</v>
      </c>
      <c r="G128" s="35" t="s">
        <v>386</v>
      </c>
      <c r="H128" s="35" t="s">
        <v>2450</v>
      </c>
      <c r="I128" s="35" t="s">
        <v>2446</v>
      </c>
      <c r="J128" s="35">
        <v>21</v>
      </c>
      <c r="K128" s="35">
        <f>VALUE(COUNTIF(Validation!$A$2:$H$47,E128))</f>
        <v>0</v>
      </c>
      <c r="L128" s="361">
        <f t="shared" si="14"/>
        <v>910833</v>
      </c>
      <c r="M128" s="361">
        <f t="shared" si="15"/>
        <v>910833</v>
      </c>
      <c r="N128" s="358">
        <v>910833</v>
      </c>
      <c r="O128" s="358">
        <v>910833</v>
      </c>
      <c r="P128" s="358" t="s">
        <v>8</v>
      </c>
      <c r="Q128" s="358">
        <v>0</v>
      </c>
      <c r="R128" s="358">
        <v>0</v>
      </c>
      <c r="S128" s="358">
        <v>0</v>
      </c>
      <c r="T128" s="358">
        <v>0</v>
      </c>
      <c r="U128" s="35">
        <f t="shared" si="16"/>
        <v>2</v>
      </c>
      <c r="W128">
        <f t="shared" si="17"/>
        <v>1</v>
      </c>
      <c r="X128" s="35">
        <f t="shared" si="18"/>
        <v>1</v>
      </c>
      <c r="Y128">
        <f t="shared" si="19"/>
        <v>1</v>
      </c>
      <c r="AB128">
        <f t="shared" si="22"/>
        <v>1</v>
      </c>
      <c r="AC128">
        <f t="shared" ca="1" si="23"/>
        <v>0</v>
      </c>
      <c r="AD128" t="str">
        <f ca="1">IF(AC128=1,COUNTIF($AC$3:AC128,1),"")</f>
        <v/>
      </c>
      <c r="AE128" s="155" t="str">
        <f ca="1">IFERROR(INDEX(Données!$B$3:$B$1479,MATCH(ROWS($AD$3:AD128),$AD$3:$AD$1479,0)),"")</f>
        <v/>
      </c>
    </row>
    <row r="129" spans="1:31" ht="15.75" x14ac:dyDescent="0.25">
      <c r="A129" t="str">
        <f t="shared" si="20"/>
        <v>Daniel Vladar - BOS - G</v>
      </c>
      <c r="B129" t="str">
        <f t="shared" si="21"/>
        <v>Daniel Vladar - BOS - G</v>
      </c>
      <c r="C129" t="str">
        <f t="shared" si="12"/>
        <v>Daniel</v>
      </c>
      <c r="D129" t="str">
        <f t="shared" si="13"/>
        <v>Vladar</v>
      </c>
      <c r="E129" s="39" t="s">
        <v>1375</v>
      </c>
      <c r="F129" s="30" t="s">
        <v>9</v>
      </c>
      <c r="G129" s="35" t="s">
        <v>386</v>
      </c>
      <c r="H129" s="35" t="s">
        <v>127</v>
      </c>
      <c r="I129" s="35" t="s">
        <v>2446</v>
      </c>
      <c r="J129" s="9">
        <v>21</v>
      </c>
      <c r="K129" s="35">
        <f>VALUE(COUNTIF(Validation!$A$2:$H$47,E129))</f>
        <v>0</v>
      </c>
      <c r="L129" s="361">
        <f t="shared" si="14"/>
        <v>910833</v>
      </c>
      <c r="M129" s="361">
        <f t="shared" si="15"/>
        <v>0</v>
      </c>
      <c r="N129" s="358">
        <v>910833</v>
      </c>
      <c r="O129" s="358" t="s">
        <v>8</v>
      </c>
      <c r="P129" s="358">
        <v>0</v>
      </c>
      <c r="Q129" s="358">
        <v>0</v>
      </c>
      <c r="R129" s="358">
        <v>0</v>
      </c>
      <c r="S129" s="358">
        <v>0</v>
      </c>
      <c r="T129" s="358">
        <v>0</v>
      </c>
      <c r="U129" s="35">
        <f t="shared" si="16"/>
        <v>1</v>
      </c>
      <c r="W129">
        <f t="shared" si="17"/>
        <v>1</v>
      </c>
      <c r="X129" s="35">
        <f t="shared" si="18"/>
        <v>1</v>
      </c>
      <c r="Y129">
        <f t="shared" si="19"/>
        <v>0</v>
      </c>
      <c r="AB129">
        <f t="shared" si="22"/>
        <v>1</v>
      </c>
      <c r="AC129">
        <f t="shared" ca="1" si="23"/>
        <v>0</v>
      </c>
      <c r="AD129" t="str">
        <f ca="1">IF(AC129=1,COUNTIF($AC$3:AC129,1),"")</f>
        <v/>
      </c>
      <c r="AE129" s="155" t="str">
        <f ca="1">IFERROR(INDEX(Données!$B$3:$B$1479,MATCH(ROWS($AD$3:AD129),$AD$3:$AD$1479,0)),"")</f>
        <v/>
      </c>
    </row>
    <row r="130" spans="1:31" ht="15.75" x14ac:dyDescent="0.25">
      <c r="A130" t="str">
        <f t="shared" si="20"/>
        <v>Axel Andersson - BOS - D</v>
      </c>
      <c r="B130" t="str">
        <f t="shared" si="21"/>
        <v>Axel Andersson - BOS - D</v>
      </c>
      <c r="C130" t="str">
        <f t="shared" si="12"/>
        <v>Axel</v>
      </c>
      <c r="D130" t="str">
        <f t="shared" si="13"/>
        <v>Andersson</v>
      </c>
      <c r="E130" s="39" t="s">
        <v>1367</v>
      </c>
      <c r="F130" s="30" t="s">
        <v>9</v>
      </c>
      <c r="G130" s="35" t="s">
        <v>388</v>
      </c>
      <c r="H130" s="35" t="s">
        <v>82</v>
      </c>
      <c r="I130" s="35" t="s">
        <v>2592</v>
      </c>
      <c r="J130" s="35">
        <v>19</v>
      </c>
      <c r="K130" s="35">
        <f>VALUE(COUNTIF(Validation!$A$2:$H$47,E130))</f>
        <v>0</v>
      </c>
      <c r="L130" s="361">
        <f t="shared" si="14"/>
        <v>894167</v>
      </c>
      <c r="M130" s="361">
        <f t="shared" si="15"/>
        <v>894167</v>
      </c>
      <c r="N130" s="358">
        <v>894167</v>
      </c>
      <c r="O130" s="358">
        <v>894167</v>
      </c>
      <c r="P130" s="358">
        <v>894167</v>
      </c>
      <c r="Q130" s="358" t="s">
        <v>8</v>
      </c>
      <c r="R130" s="358">
        <v>0</v>
      </c>
      <c r="S130" s="358">
        <v>0</v>
      </c>
      <c r="T130" s="358">
        <v>0</v>
      </c>
      <c r="U130" s="35">
        <f t="shared" si="16"/>
        <v>3</v>
      </c>
      <c r="W130">
        <f t="shared" si="17"/>
        <v>1</v>
      </c>
      <c r="X130" s="35">
        <f t="shared" si="18"/>
        <v>1</v>
      </c>
      <c r="Y130">
        <f t="shared" si="19"/>
        <v>1</v>
      </c>
      <c r="AB130">
        <f t="shared" si="22"/>
        <v>1</v>
      </c>
      <c r="AC130">
        <f t="shared" ca="1" si="23"/>
        <v>0</v>
      </c>
      <c r="AD130" t="str">
        <f ca="1">IF(AC130=1,COUNTIF($AC$3:AC130,1),"")</f>
        <v/>
      </c>
      <c r="AE130" s="155" t="str">
        <f ca="1">IFERROR(INDEX(Données!$B$3:$B$1479,MATCH(ROWS($AD$3:AD130),$AD$3:$AD$1479,0)),"")</f>
        <v/>
      </c>
    </row>
    <row r="131" spans="1:31" ht="15.75" x14ac:dyDescent="0.25">
      <c r="A131" t="str">
        <f t="shared" si="20"/>
        <v>Jakub Lauko - BOS - C, AG</v>
      </c>
      <c r="B131" t="str">
        <f t="shared" si="21"/>
        <v>Jakub Lauko - BOS - C, AG</v>
      </c>
      <c r="C131" t="str">
        <f t="shared" ref="C131:C194" si="24">RIGHT(E131,(LEN(E131)-1)-SEARCH(",",E131,1))</f>
        <v>Jakub</v>
      </c>
      <c r="D131" t="str">
        <f t="shared" ref="D131:D194" si="25">LEFT(E131,SEARCH(",",E131,1)-1)</f>
        <v>Lauko</v>
      </c>
      <c r="E131" s="39" t="s">
        <v>2591</v>
      </c>
      <c r="F131" s="30" t="s">
        <v>9</v>
      </c>
      <c r="G131" s="35" t="s">
        <v>388</v>
      </c>
      <c r="H131" s="35" t="s">
        <v>2452</v>
      </c>
      <c r="I131" s="35" t="s">
        <v>389</v>
      </c>
      <c r="J131" s="35">
        <v>19</v>
      </c>
      <c r="K131" s="35">
        <f>VALUE(COUNTIF(Validation!$A$2:$H$47,E131))</f>
        <v>0</v>
      </c>
      <c r="L131" s="361">
        <f t="shared" ref="L131:L194" si="26">IF(OR(N131="RFA",N131="UFA",N131="",N131=0),0,N131)</f>
        <v>894167</v>
      </c>
      <c r="M131" s="361">
        <f t="shared" ref="M131:M194" si="27">IF(OR(O131="RFA",O131="UFA",O131="",O131=0),0,O131)</f>
        <v>894167</v>
      </c>
      <c r="N131" s="358">
        <v>894167</v>
      </c>
      <c r="O131" s="358">
        <v>894167</v>
      </c>
      <c r="P131" s="358">
        <v>894167</v>
      </c>
      <c r="Q131" s="358" t="s">
        <v>8</v>
      </c>
      <c r="R131" s="358">
        <v>0</v>
      </c>
      <c r="S131" s="358">
        <v>0</v>
      </c>
      <c r="T131" s="358">
        <v>0</v>
      </c>
      <c r="U131" s="35">
        <f t="shared" ref="U131:U194" si="28">COUNTIF(N131:T131,"&gt;0")</f>
        <v>3</v>
      </c>
      <c r="W131">
        <f t="shared" ref="W131:W194" si="29">COUNTIF($E$3:$E$1479,E131)</f>
        <v>1</v>
      </c>
      <c r="X131" s="35">
        <f t="shared" ref="X131:X194" si="30">IF(LEFT(G131,3)="ELC",1,0)</f>
        <v>1</v>
      </c>
      <c r="Y131">
        <f t="shared" ref="Y131:Y194" si="31">IF(L131=M131,1,0)</f>
        <v>1</v>
      </c>
      <c r="AB131">
        <f t="shared" si="22"/>
        <v>1</v>
      </c>
      <c r="AC131">
        <f t="shared" ca="1" si="23"/>
        <v>0</v>
      </c>
      <c r="AD131" t="str">
        <f ca="1">IF(AC131=1,COUNTIF($AC$3:AC131,1),"")</f>
        <v/>
      </c>
      <c r="AE131" s="155" t="str">
        <f ca="1">IFERROR(INDEX(Données!$B$3:$B$1479,MATCH(ROWS($AD$3:AD131),$AD$3:$AD$1479,0)),"")</f>
        <v/>
      </c>
    </row>
    <row r="132" spans="1:31" ht="15.75" x14ac:dyDescent="0.25">
      <c r="A132" t="str">
        <f t="shared" ref="A132:A195" si="32">C132&amp;" "&amp;D132&amp;" - "&amp;F132&amp;" - "&amp;H132</f>
        <v>Jeremy Lauzon - BOS - D</v>
      </c>
      <c r="B132" t="str">
        <f t="shared" ref="B132:B195" si="33">A132</f>
        <v>Jeremy Lauzon - BOS - D</v>
      </c>
      <c r="C132" t="str">
        <f t="shared" si="24"/>
        <v>Jeremy</v>
      </c>
      <c r="D132" t="str">
        <f t="shared" si="25"/>
        <v>Lauzon</v>
      </c>
      <c r="E132" s="39" t="s">
        <v>2904</v>
      </c>
      <c r="F132" s="30" t="s">
        <v>9</v>
      </c>
      <c r="G132" s="35" t="s">
        <v>386</v>
      </c>
      <c r="H132" s="35" t="s">
        <v>82</v>
      </c>
      <c r="I132" s="35" t="s">
        <v>2446</v>
      </c>
      <c r="J132" s="35">
        <v>22</v>
      </c>
      <c r="K132" s="35">
        <f>VALUE(COUNTIF(Validation!$A$2:$H$47,E132))</f>
        <v>0</v>
      </c>
      <c r="L132" s="361">
        <f t="shared" si="26"/>
        <v>871666</v>
      </c>
      <c r="M132" s="361">
        <f t="shared" si="27"/>
        <v>0</v>
      </c>
      <c r="N132" s="358">
        <v>871666</v>
      </c>
      <c r="O132" s="358" t="s">
        <v>8</v>
      </c>
      <c r="P132" s="358">
        <v>0</v>
      </c>
      <c r="Q132" s="358">
        <v>0</v>
      </c>
      <c r="R132" s="358">
        <v>0</v>
      </c>
      <c r="S132" s="358">
        <v>0</v>
      </c>
      <c r="T132" s="358">
        <v>0</v>
      </c>
      <c r="U132" s="35">
        <f t="shared" si="28"/>
        <v>1</v>
      </c>
      <c r="W132">
        <f t="shared" si="29"/>
        <v>1</v>
      </c>
      <c r="X132" s="35">
        <f t="shared" si="30"/>
        <v>1</v>
      </c>
      <c r="Y132">
        <f t="shared" si="31"/>
        <v>0</v>
      </c>
      <c r="AB132">
        <f t="shared" ref="AB132:AB195" si="34">SEARCH(AA132,A132)</f>
        <v>1</v>
      </c>
      <c r="AC132">
        <f t="shared" ca="1" si="23"/>
        <v>0</v>
      </c>
      <c r="AD132" t="str">
        <f ca="1">IF(AC132=1,COUNTIF($AC$3:AC132,1),"")</f>
        <v/>
      </c>
      <c r="AE132" s="155" t="str">
        <f ca="1">IFERROR(INDEX(Données!$B$3:$B$1479,MATCH(ROWS($AD$3:AD132),$AD$3:$AD$1479,0)),"")</f>
        <v/>
      </c>
    </row>
    <row r="133" spans="1:31" ht="15.75" x14ac:dyDescent="0.25">
      <c r="A133" t="str">
        <f t="shared" si="32"/>
        <v>Jack Studnicka - BOS - C</v>
      </c>
      <c r="B133" t="str">
        <f t="shared" si="33"/>
        <v>Jack Studnicka - BOS - C</v>
      </c>
      <c r="C133" t="str">
        <f t="shared" si="24"/>
        <v>Jack</v>
      </c>
      <c r="D133" t="str">
        <f t="shared" si="25"/>
        <v>Studnicka</v>
      </c>
      <c r="E133" s="39" t="s">
        <v>1368</v>
      </c>
      <c r="F133" s="30" t="s">
        <v>9</v>
      </c>
      <c r="G133" s="35" t="s">
        <v>386</v>
      </c>
      <c r="H133" s="35" t="s">
        <v>73</v>
      </c>
      <c r="I133" s="35" t="s">
        <v>2446</v>
      </c>
      <c r="J133" s="35">
        <v>20</v>
      </c>
      <c r="K133" s="35">
        <f>VALUE(COUNTIF(Validation!$A$2:$H$47,E133))</f>
        <v>0</v>
      </c>
      <c r="L133" s="361">
        <f t="shared" si="26"/>
        <v>863333</v>
      </c>
      <c r="M133" s="361">
        <f t="shared" si="27"/>
        <v>863333</v>
      </c>
      <c r="N133" s="358">
        <v>863333</v>
      </c>
      <c r="O133" s="358">
        <v>863333</v>
      </c>
      <c r="P133" s="358">
        <v>863333</v>
      </c>
      <c r="Q133" s="358" t="s">
        <v>8</v>
      </c>
      <c r="R133" s="358">
        <v>0</v>
      </c>
      <c r="S133" s="358">
        <v>0</v>
      </c>
      <c r="T133" s="358">
        <v>0</v>
      </c>
      <c r="U133" s="35">
        <f t="shared" si="28"/>
        <v>3</v>
      </c>
      <c r="W133">
        <f t="shared" si="29"/>
        <v>1</v>
      </c>
      <c r="X133" s="35">
        <f t="shared" si="30"/>
        <v>1</v>
      </c>
      <c r="Y133">
        <f t="shared" si="31"/>
        <v>1</v>
      </c>
      <c r="AB133">
        <f t="shared" si="34"/>
        <v>1</v>
      </c>
      <c r="AC133">
        <f t="shared" ref="AC133:AC196" ca="1" si="35">IFERROR(SEARCH(INDIRECT(CELL("adresse")),B133,1),0)</f>
        <v>0</v>
      </c>
      <c r="AD133" t="str">
        <f ca="1">IF(AC133=1,COUNTIF($AC$3:AC133,1),"")</f>
        <v/>
      </c>
      <c r="AE133" s="155" t="str">
        <f ca="1">IFERROR(INDEX(Données!$B$3:$B$1479,MATCH(ROWS($AD$3:AD133),$AD$3:$AD$1479,0)),"")</f>
        <v/>
      </c>
    </row>
    <row r="134" spans="1:31" ht="15.75" x14ac:dyDescent="0.25">
      <c r="A134" t="str">
        <f t="shared" si="32"/>
        <v>Par Lindholm - BOS - AG, C</v>
      </c>
      <c r="B134" t="str">
        <f t="shared" si="33"/>
        <v>Par Lindholm - BOS - AG, C</v>
      </c>
      <c r="C134" t="str">
        <f t="shared" si="24"/>
        <v>Par</v>
      </c>
      <c r="D134" t="str">
        <f t="shared" si="25"/>
        <v>Lindholm</v>
      </c>
      <c r="E134" s="39" t="s">
        <v>2880</v>
      </c>
      <c r="F134" s="30" t="s">
        <v>9</v>
      </c>
      <c r="G134" s="35">
        <v>0</v>
      </c>
      <c r="H134" s="35" t="s">
        <v>2450</v>
      </c>
      <c r="I134" s="35" t="s">
        <v>2439</v>
      </c>
      <c r="J134" s="35">
        <v>27</v>
      </c>
      <c r="K134" s="35">
        <f>VALUE(COUNTIF(Validation!$A$2:$H$47,E134))</f>
        <v>0</v>
      </c>
      <c r="L134" s="361">
        <f t="shared" si="26"/>
        <v>850000</v>
      </c>
      <c r="M134" s="361">
        <f t="shared" si="27"/>
        <v>850000</v>
      </c>
      <c r="N134" s="358">
        <v>850000</v>
      </c>
      <c r="O134" s="358">
        <v>850000</v>
      </c>
      <c r="P134" s="358" t="s">
        <v>7</v>
      </c>
      <c r="Q134" s="358">
        <v>0</v>
      </c>
      <c r="R134" s="358">
        <v>0</v>
      </c>
      <c r="S134" s="358">
        <v>0</v>
      </c>
      <c r="T134" s="358">
        <v>0</v>
      </c>
      <c r="U134" s="35">
        <f t="shared" si="28"/>
        <v>2</v>
      </c>
      <c r="W134">
        <f t="shared" si="29"/>
        <v>1</v>
      </c>
      <c r="X134" s="35">
        <f t="shared" si="30"/>
        <v>0</v>
      </c>
      <c r="Y134">
        <f t="shared" si="31"/>
        <v>1</v>
      </c>
      <c r="AB134">
        <f t="shared" si="34"/>
        <v>1</v>
      </c>
      <c r="AC134">
        <f t="shared" ca="1" si="35"/>
        <v>0</v>
      </c>
      <c r="AD134" t="str">
        <f ca="1">IF(AC134=1,COUNTIF($AC$3:AC134,1),"")</f>
        <v/>
      </c>
      <c r="AE134" s="155" t="str">
        <f ca="1">IFERROR(INDEX(Données!$B$3:$B$1479,MATCH(ROWS($AD$3:AD134),$AD$3:$AD$1479,0)),"")</f>
        <v/>
      </c>
    </row>
    <row r="135" spans="1:31" ht="15.75" x14ac:dyDescent="0.25">
      <c r="A135" t="str">
        <f t="shared" si="32"/>
        <v>Steven Kampfer - BOS - DD</v>
      </c>
      <c r="B135" t="str">
        <f t="shared" si="33"/>
        <v>Steven Kampfer - BOS - DD</v>
      </c>
      <c r="C135" t="str">
        <f t="shared" si="24"/>
        <v>Steven</v>
      </c>
      <c r="D135" t="str">
        <f t="shared" si="25"/>
        <v>Kampfer</v>
      </c>
      <c r="E135" s="39" t="s">
        <v>1359</v>
      </c>
      <c r="F135" s="30" t="s">
        <v>9</v>
      </c>
      <c r="G135" s="35">
        <v>0</v>
      </c>
      <c r="H135" s="35" t="s">
        <v>2444</v>
      </c>
      <c r="I135" s="35" t="s">
        <v>2439</v>
      </c>
      <c r="J135" s="35">
        <v>30</v>
      </c>
      <c r="K135" s="35">
        <f>VALUE(COUNTIF(Validation!$A$2:$H$47,E135))</f>
        <v>0</v>
      </c>
      <c r="L135" s="361">
        <f t="shared" si="26"/>
        <v>800000</v>
      </c>
      <c r="M135" s="361">
        <f t="shared" si="27"/>
        <v>800000</v>
      </c>
      <c r="N135" s="358">
        <v>800000</v>
      </c>
      <c r="O135" s="358">
        <v>800000</v>
      </c>
      <c r="P135" s="358" t="s">
        <v>7</v>
      </c>
      <c r="Q135" s="358">
        <v>0</v>
      </c>
      <c r="R135" s="358">
        <v>0</v>
      </c>
      <c r="S135" s="358">
        <v>0</v>
      </c>
      <c r="T135" s="358">
        <v>0</v>
      </c>
      <c r="U135" s="35">
        <f t="shared" si="28"/>
        <v>2</v>
      </c>
      <c r="W135">
        <f t="shared" si="29"/>
        <v>1</v>
      </c>
      <c r="X135" s="35">
        <f t="shared" si="30"/>
        <v>0</v>
      </c>
      <c r="Y135">
        <f t="shared" si="31"/>
        <v>1</v>
      </c>
      <c r="AB135">
        <f t="shared" si="34"/>
        <v>1</v>
      </c>
      <c r="AC135">
        <f t="shared" ca="1" si="35"/>
        <v>0</v>
      </c>
      <c r="AD135" t="str">
        <f ca="1">IF(AC135=1,COUNTIF($AC$3:AC135,1),"")</f>
        <v/>
      </c>
      <c r="AE135" s="155" t="str">
        <f ca="1">IFERROR(INDEX(Données!$B$3:$B$1479,MATCH(ROWS($AD$3:AD135),$AD$3:$AD$1479,0)),"")</f>
        <v/>
      </c>
    </row>
    <row r="136" spans="1:31" ht="15.75" x14ac:dyDescent="0.25">
      <c r="A136" t="str">
        <f t="shared" si="32"/>
        <v>Karson Kuhlman - BOS - AD, C</v>
      </c>
      <c r="B136" t="str">
        <f t="shared" si="33"/>
        <v>Karson Kuhlman - BOS - AD, C</v>
      </c>
      <c r="C136" t="str">
        <f t="shared" si="24"/>
        <v>Karson</v>
      </c>
      <c r="D136" t="str">
        <f t="shared" si="25"/>
        <v>Kuhlman</v>
      </c>
      <c r="E136" s="39" t="s">
        <v>1373</v>
      </c>
      <c r="F136" s="30" t="s">
        <v>9</v>
      </c>
      <c r="G136" s="35" t="s">
        <v>386</v>
      </c>
      <c r="H136" s="35" t="s">
        <v>2453</v>
      </c>
      <c r="I136" s="35" t="s">
        <v>2446</v>
      </c>
      <c r="J136" s="35">
        <v>23</v>
      </c>
      <c r="K136" s="35">
        <f>VALUE(COUNTIF(Validation!$A$2:$H$47,E136))</f>
        <v>0</v>
      </c>
      <c r="L136" s="361">
        <f t="shared" si="26"/>
        <v>762500</v>
      </c>
      <c r="M136" s="361">
        <f t="shared" si="27"/>
        <v>0</v>
      </c>
      <c r="N136" s="358">
        <v>762500</v>
      </c>
      <c r="O136" s="358" t="s">
        <v>8</v>
      </c>
      <c r="P136" s="358">
        <v>0</v>
      </c>
      <c r="Q136" s="358">
        <v>0</v>
      </c>
      <c r="R136" s="358">
        <v>0</v>
      </c>
      <c r="S136" s="358">
        <v>0</v>
      </c>
      <c r="T136" s="358">
        <v>0</v>
      </c>
      <c r="U136" s="35">
        <f t="shared" si="28"/>
        <v>1</v>
      </c>
      <c r="W136">
        <f t="shared" si="29"/>
        <v>1</v>
      </c>
      <c r="X136" s="35">
        <f t="shared" si="30"/>
        <v>1</v>
      </c>
      <c r="Y136">
        <f t="shared" si="31"/>
        <v>0</v>
      </c>
      <c r="AB136">
        <f t="shared" si="34"/>
        <v>1</v>
      </c>
      <c r="AC136">
        <f t="shared" ca="1" si="35"/>
        <v>0</v>
      </c>
      <c r="AD136" t="str">
        <f ca="1">IF(AC136=1,COUNTIF($AC$3:AC136,1),"")</f>
        <v/>
      </c>
      <c r="AE136" s="155" t="str">
        <f ca="1">IFERROR(INDEX(Données!$B$3:$B$1479,MATCH(ROWS($AD$3:AD136),$AD$3:$AD$1479,0)),"")</f>
        <v/>
      </c>
    </row>
    <row r="137" spans="1:31" ht="15.75" x14ac:dyDescent="0.25">
      <c r="A137" t="str">
        <f t="shared" si="32"/>
        <v>Connor Clifton - BOS - DD</v>
      </c>
      <c r="B137" t="str">
        <f t="shared" si="33"/>
        <v>Connor Clifton - BOS - DD</v>
      </c>
      <c r="C137" t="str">
        <f t="shared" si="24"/>
        <v>Connor</v>
      </c>
      <c r="D137" t="str">
        <f t="shared" si="25"/>
        <v>Clifton</v>
      </c>
      <c r="E137" s="39" t="s">
        <v>1376</v>
      </c>
      <c r="F137" s="30" t="s">
        <v>9</v>
      </c>
      <c r="G137" s="35" t="s">
        <v>386</v>
      </c>
      <c r="H137" s="35" t="s">
        <v>2444</v>
      </c>
      <c r="I137" s="35" t="s">
        <v>2439</v>
      </c>
      <c r="J137" s="35">
        <v>24</v>
      </c>
      <c r="K137" s="35">
        <f>VALUE(COUNTIF(Validation!$A$2:$H$47,E137))</f>
        <v>0</v>
      </c>
      <c r="L137" s="361">
        <f t="shared" si="26"/>
        <v>735000</v>
      </c>
      <c r="M137" s="361">
        <f t="shared" si="27"/>
        <v>1000000</v>
      </c>
      <c r="N137" s="358">
        <v>735000</v>
      </c>
      <c r="O137" s="358">
        <v>1000000</v>
      </c>
      <c r="P137" s="358">
        <v>1000000</v>
      </c>
      <c r="Q137" s="358">
        <v>1000000</v>
      </c>
      <c r="R137" s="358" t="s">
        <v>7</v>
      </c>
      <c r="S137" s="358">
        <v>0</v>
      </c>
      <c r="T137" s="358">
        <v>0</v>
      </c>
      <c r="U137" s="35">
        <f t="shared" si="28"/>
        <v>4</v>
      </c>
      <c r="W137">
        <f t="shared" si="29"/>
        <v>1</v>
      </c>
      <c r="X137" s="35">
        <f t="shared" si="30"/>
        <v>1</v>
      </c>
      <c r="Y137">
        <f t="shared" si="31"/>
        <v>0</v>
      </c>
      <c r="AB137">
        <f t="shared" si="34"/>
        <v>1</v>
      </c>
      <c r="AC137">
        <f t="shared" ca="1" si="35"/>
        <v>0</v>
      </c>
      <c r="AD137" t="str">
        <f ca="1">IF(AC137=1,COUNTIF($AC$3:AC137,1),"")</f>
        <v/>
      </c>
      <c r="AE137" s="155" t="str">
        <f ca="1">IFERROR(INDEX(Données!$B$3:$B$1479,MATCH(ROWS($AD$3:AD137),$AD$3:$AD$1479,0)),"")</f>
        <v/>
      </c>
    </row>
    <row r="138" spans="1:31" ht="15.75" x14ac:dyDescent="0.25">
      <c r="A138" t="str">
        <f t="shared" si="32"/>
        <v>Kyle Keyser - BOS - G</v>
      </c>
      <c r="B138" t="str">
        <f t="shared" si="33"/>
        <v>Kyle Keyser - BOS - G</v>
      </c>
      <c r="C138" t="str">
        <f t="shared" si="24"/>
        <v>Kyle</v>
      </c>
      <c r="D138" t="str">
        <f t="shared" si="25"/>
        <v>Keyser</v>
      </c>
      <c r="E138" s="39" t="s">
        <v>1377</v>
      </c>
      <c r="F138" s="30" t="s">
        <v>9</v>
      </c>
      <c r="G138" s="35" t="s">
        <v>386</v>
      </c>
      <c r="H138" s="35" t="s">
        <v>127</v>
      </c>
      <c r="I138" s="35" t="s">
        <v>2446</v>
      </c>
      <c r="J138" s="35">
        <v>20</v>
      </c>
      <c r="K138" s="35">
        <f>VALUE(COUNTIF(Validation!$A$2:$H$47,E138))</f>
        <v>0</v>
      </c>
      <c r="L138" s="361">
        <f t="shared" si="26"/>
        <v>733333</v>
      </c>
      <c r="M138" s="361">
        <f t="shared" si="27"/>
        <v>733333</v>
      </c>
      <c r="N138" s="358">
        <v>733333</v>
      </c>
      <c r="O138" s="358">
        <v>733333</v>
      </c>
      <c r="P138" s="358">
        <v>733333</v>
      </c>
      <c r="Q138" s="358" t="s">
        <v>8</v>
      </c>
      <c r="R138" s="358">
        <v>0</v>
      </c>
      <c r="S138" s="358">
        <v>0</v>
      </c>
      <c r="T138" s="358">
        <v>0</v>
      </c>
      <c r="U138" s="35">
        <f t="shared" si="28"/>
        <v>3</v>
      </c>
      <c r="W138">
        <f t="shared" si="29"/>
        <v>1</v>
      </c>
      <c r="X138" s="35">
        <f t="shared" si="30"/>
        <v>1</v>
      </c>
      <c r="Y138">
        <f t="shared" si="31"/>
        <v>1</v>
      </c>
      <c r="AB138">
        <f t="shared" si="34"/>
        <v>1</v>
      </c>
      <c r="AC138">
        <f t="shared" ca="1" si="35"/>
        <v>0</v>
      </c>
      <c r="AD138" t="str">
        <f ca="1">IF(AC138=1,COUNTIF($AC$3:AC138,1),"")</f>
        <v/>
      </c>
      <c r="AE138" s="155" t="str">
        <f ca="1">IFERROR(INDEX(Données!$B$3:$B$1479,MATCH(ROWS($AD$3:AD138),$AD$3:$AD$1479,0)),"")</f>
        <v/>
      </c>
    </row>
    <row r="139" spans="1:31" ht="15.75" x14ac:dyDescent="0.25">
      <c r="A139" t="str">
        <f t="shared" si="32"/>
        <v>Anton Blidh - BOS - AG</v>
      </c>
      <c r="B139" t="str">
        <f t="shared" si="33"/>
        <v>Anton Blidh - BOS - AG</v>
      </c>
      <c r="C139" t="str">
        <f t="shared" si="24"/>
        <v>Anton</v>
      </c>
      <c r="D139" t="str">
        <f t="shared" si="25"/>
        <v>Blidh</v>
      </c>
      <c r="E139" s="39" t="s">
        <v>1380</v>
      </c>
      <c r="F139" s="30" t="s">
        <v>9</v>
      </c>
      <c r="G139" s="35">
        <v>0</v>
      </c>
      <c r="H139" s="35" t="s">
        <v>2440</v>
      </c>
      <c r="I139" s="35" t="s">
        <v>2446</v>
      </c>
      <c r="J139" s="35">
        <v>24</v>
      </c>
      <c r="K139" s="35">
        <f>VALUE(COUNTIF(Validation!$A$2:$H$47,E139))</f>
        <v>0</v>
      </c>
      <c r="L139" s="361">
        <f t="shared" si="26"/>
        <v>700000</v>
      </c>
      <c r="M139" s="361">
        <f t="shared" si="27"/>
        <v>700000</v>
      </c>
      <c r="N139" s="358">
        <v>700000</v>
      </c>
      <c r="O139" s="358">
        <v>700000</v>
      </c>
      <c r="P139" s="358" t="s">
        <v>8</v>
      </c>
      <c r="Q139" s="358">
        <v>0</v>
      </c>
      <c r="R139" s="358">
        <v>0</v>
      </c>
      <c r="S139" s="358">
        <v>0</v>
      </c>
      <c r="T139" s="358">
        <v>0</v>
      </c>
      <c r="U139" s="35">
        <f t="shared" si="28"/>
        <v>2</v>
      </c>
      <c r="W139">
        <f t="shared" si="29"/>
        <v>1</v>
      </c>
      <c r="X139" s="35">
        <f t="shared" si="30"/>
        <v>0</v>
      </c>
      <c r="Y139">
        <f t="shared" si="31"/>
        <v>1</v>
      </c>
      <c r="AB139">
        <f t="shared" si="34"/>
        <v>1</v>
      </c>
      <c r="AC139">
        <f t="shared" ca="1" si="35"/>
        <v>0</v>
      </c>
      <c r="AD139" t="str">
        <f ca="1">IF(AC139=1,COUNTIF($AC$3:AC139,1),"")</f>
        <v/>
      </c>
      <c r="AE139" s="155" t="str">
        <f ca="1">IFERROR(INDEX(Données!$B$3:$B$1479,MATCH(ROWS($AD$3:AD139),$AD$3:$AD$1479,0)),"")</f>
        <v/>
      </c>
    </row>
    <row r="140" spans="1:31" ht="15.75" x14ac:dyDescent="0.25">
      <c r="A140" t="str">
        <f t="shared" si="32"/>
        <v>Paul Carey - BOS - C</v>
      </c>
      <c r="B140" t="str">
        <f t="shared" si="33"/>
        <v>Paul Carey - BOS - C</v>
      </c>
      <c r="C140" t="str">
        <f t="shared" si="24"/>
        <v>Paul</v>
      </c>
      <c r="D140" t="str">
        <f t="shared" si="25"/>
        <v>Carey</v>
      </c>
      <c r="E140" s="39" t="s">
        <v>1523</v>
      </c>
      <c r="F140" s="30" t="s">
        <v>9</v>
      </c>
      <c r="G140" s="35">
        <v>0</v>
      </c>
      <c r="H140" s="35" t="s">
        <v>73</v>
      </c>
      <c r="I140" s="35" t="s">
        <v>2446</v>
      </c>
      <c r="J140" s="35">
        <v>30</v>
      </c>
      <c r="K140" s="35">
        <f>VALUE(COUNTIF(Validation!$A$2:$H$47,E140))</f>
        <v>0</v>
      </c>
      <c r="L140" s="361">
        <f t="shared" si="26"/>
        <v>700000</v>
      </c>
      <c r="M140" s="361">
        <f t="shared" si="27"/>
        <v>700000</v>
      </c>
      <c r="N140" s="358">
        <v>700000</v>
      </c>
      <c r="O140" s="358">
        <v>700000</v>
      </c>
      <c r="P140" s="358" t="s">
        <v>7</v>
      </c>
      <c r="Q140" s="358">
        <v>0</v>
      </c>
      <c r="R140" s="358">
        <v>0</v>
      </c>
      <c r="S140" s="358">
        <v>0</v>
      </c>
      <c r="T140" s="358">
        <v>0</v>
      </c>
      <c r="U140" s="35">
        <f t="shared" si="28"/>
        <v>2</v>
      </c>
      <c r="W140">
        <f t="shared" si="29"/>
        <v>1</v>
      </c>
      <c r="X140" s="35">
        <f t="shared" si="30"/>
        <v>0</v>
      </c>
      <c r="Y140">
        <f t="shared" si="31"/>
        <v>1</v>
      </c>
      <c r="AB140">
        <f t="shared" si="34"/>
        <v>1</v>
      </c>
      <c r="AC140">
        <f t="shared" ca="1" si="35"/>
        <v>0</v>
      </c>
      <c r="AD140" t="str">
        <f ca="1">IF(AC140=1,COUNTIF($AC$3:AC140,1),"")</f>
        <v/>
      </c>
      <c r="AE140" s="155" t="str">
        <f ca="1">IFERROR(INDEX(Données!$B$3:$B$1479,MATCH(ROWS($AD$3:AD140),$AD$3:$AD$1479,0)),"")</f>
        <v/>
      </c>
    </row>
    <row r="141" spans="1:31" ht="15.75" x14ac:dyDescent="0.25">
      <c r="A141" t="str">
        <f t="shared" si="32"/>
        <v>Peter Cehlárik - BOS - AG, AD</v>
      </c>
      <c r="B141" t="str">
        <f t="shared" si="33"/>
        <v>Peter Cehlárik - BOS - AG, AD</v>
      </c>
      <c r="C141" t="str">
        <f t="shared" si="24"/>
        <v>Peter</v>
      </c>
      <c r="D141" t="str">
        <f t="shared" si="25"/>
        <v>Cehlárik</v>
      </c>
      <c r="E141" s="39" t="s">
        <v>1374</v>
      </c>
      <c r="F141" s="30" t="s">
        <v>9</v>
      </c>
      <c r="G141" s="35">
        <v>0</v>
      </c>
      <c r="H141" s="35" t="s">
        <v>2442</v>
      </c>
      <c r="I141" s="35" t="s">
        <v>2446</v>
      </c>
      <c r="J141" s="35">
        <v>24</v>
      </c>
      <c r="K141" s="35">
        <f>VALUE(COUNTIF(Validation!$A$2:$H$47,E141))</f>
        <v>0</v>
      </c>
      <c r="L141" s="361">
        <f t="shared" si="26"/>
        <v>700000</v>
      </c>
      <c r="M141" s="361">
        <f t="shared" si="27"/>
        <v>0</v>
      </c>
      <c r="N141" s="358">
        <v>700000</v>
      </c>
      <c r="O141" s="358" t="s">
        <v>8</v>
      </c>
      <c r="P141" s="358">
        <v>0</v>
      </c>
      <c r="Q141" s="358">
        <v>0</v>
      </c>
      <c r="R141" s="358">
        <v>0</v>
      </c>
      <c r="S141" s="358">
        <v>0</v>
      </c>
      <c r="T141" s="358">
        <v>0</v>
      </c>
      <c r="U141" s="35">
        <f t="shared" si="28"/>
        <v>1</v>
      </c>
      <c r="W141">
        <f t="shared" si="29"/>
        <v>1</v>
      </c>
      <c r="X141" s="35">
        <f t="shared" si="30"/>
        <v>0</v>
      </c>
      <c r="Y141">
        <f t="shared" si="31"/>
        <v>0</v>
      </c>
      <c r="AB141">
        <f t="shared" si="34"/>
        <v>1</v>
      </c>
      <c r="AC141">
        <f t="shared" ca="1" si="35"/>
        <v>0</v>
      </c>
      <c r="AD141" t="str">
        <f ca="1">IF(AC141=1,COUNTIF($AC$3:AC141,1),"")</f>
        <v/>
      </c>
      <c r="AE141" s="155" t="str">
        <f ca="1">IFERROR(INDEX(Données!$B$3:$B$1479,MATCH(ROWS($AD$3:AD141),$AD$3:$AD$1479,0)),"")</f>
        <v/>
      </c>
    </row>
    <row r="142" spans="1:31" ht="15.75" x14ac:dyDescent="0.25">
      <c r="A142" t="str">
        <f t="shared" si="32"/>
        <v>Ryan Fitzgerald - BOS - C, AD</v>
      </c>
      <c r="B142" t="str">
        <f t="shared" si="33"/>
        <v>Ryan Fitzgerald - BOS - C, AD</v>
      </c>
      <c r="C142" t="str">
        <f t="shared" si="24"/>
        <v>Ryan</v>
      </c>
      <c r="D142" t="str">
        <f t="shared" si="25"/>
        <v>Fitzgerald</v>
      </c>
      <c r="E142" s="39" t="s">
        <v>1369</v>
      </c>
      <c r="F142" s="30" t="s">
        <v>9</v>
      </c>
      <c r="G142" s="35">
        <v>0</v>
      </c>
      <c r="H142" s="35" t="s">
        <v>2448</v>
      </c>
      <c r="I142" s="35" t="s">
        <v>2446</v>
      </c>
      <c r="J142" s="35">
        <v>24</v>
      </c>
      <c r="K142" s="35">
        <f>VALUE(COUNTIF(Validation!$A$2:$H$47,E142))</f>
        <v>0</v>
      </c>
      <c r="L142" s="361">
        <f t="shared" si="26"/>
        <v>700000</v>
      </c>
      <c r="M142" s="361">
        <f t="shared" si="27"/>
        <v>0</v>
      </c>
      <c r="N142" s="358">
        <v>700000</v>
      </c>
      <c r="O142" s="358" t="s">
        <v>8</v>
      </c>
      <c r="P142" s="358">
        <v>0</v>
      </c>
      <c r="Q142" s="358">
        <v>0</v>
      </c>
      <c r="R142" s="358">
        <v>0</v>
      </c>
      <c r="S142" s="358">
        <v>0</v>
      </c>
      <c r="T142" s="358">
        <v>0</v>
      </c>
      <c r="U142" s="35">
        <f t="shared" si="28"/>
        <v>1</v>
      </c>
      <c r="W142">
        <f t="shared" si="29"/>
        <v>1</v>
      </c>
      <c r="X142" s="35">
        <f t="shared" si="30"/>
        <v>0</v>
      </c>
      <c r="Y142">
        <f t="shared" si="31"/>
        <v>0</v>
      </c>
      <c r="AB142">
        <f t="shared" si="34"/>
        <v>1</v>
      </c>
      <c r="AC142">
        <f t="shared" ca="1" si="35"/>
        <v>0</v>
      </c>
      <c r="AD142" t="str">
        <f ca="1">IF(AC142=1,COUNTIF($AC$3:AC142,1),"")</f>
        <v/>
      </c>
      <c r="AE142" s="155" t="str">
        <f ca="1">IFERROR(INDEX(Données!$B$3:$B$1479,MATCH(ROWS($AD$3:AD142),$AD$3:$AD$1479,0)),"")</f>
        <v/>
      </c>
    </row>
    <row r="143" spans="1:31" ht="15.75" x14ac:dyDescent="0.25">
      <c r="A143" t="str">
        <f t="shared" si="32"/>
        <v>Brendan Gaunce - BOS - AG, C</v>
      </c>
      <c r="B143" t="str">
        <f t="shared" si="33"/>
        <v>Brendan Gaunce - BOS - AG, C</v>
      </c>
      <c r="C143" t="str">
        <f t="shared" si="24"/>
        <v>Brendan</v>
      </c>
      <c r="D143" t="str">
        <f t="shared" si="25"/>
        <v>Gaunce</v>
      </c>
      <c r="E143" s="39" t="s">
        <v>2339</v>
      </c>
      <c r="F143" s="30" t="s">
        <v>9</v>
      </c>
      <c r="G143" s="35">
        <v>0</v>
      </c>
      <c r="H143" s="35" t="s">
        <v>2450</v>
      </c>
      <c r="I143" s="35" t="s">
        <v>2446</v>
      </c>
      <c r="J143" s="35">
        <v>25</v>
      </c>
      <c r="K143" s="35">
        <f>VALUE(COUNTIF(Validation!$A$2:$H$47,E143))</f>
        <v>0</v>
      </c>
      <c r="L143" s="361">
        <f t="shared" si="26"/>
        <v>700000</v>
      </c>
      <c r="M143" s="361">
        <f t="shared" si="27"/>
        <v>0</v>
      </c>
      <c r="N143" s="358">
        <v>700000</v>
      </c>
      <c r="O143" s="358" t="s">
        <v>8</v>
      </c>
      <c r="P143" s="358">
        <v>0</v>
      </c>
      <c r="Q143" s="358">
        <v>0</v>
      </c>
      <c r="R143" s="358">
        <v>0</v>
      </c>
      <c r="S143" s="358">
        <v>0</v>
      </c>
      <c r="T143" s="358">
        <v>0</v>
      </c>
      <c r="U143" s="35">
        <f t="shared" si="28"/>
        <v>1</v>
      </c>
      <c r="W143">
        <f t="shared" si="29"/>
        <v>1</v>
      </c>
      <c r="X143" s="35">
        <f t="shared" si="30"/>
        <v>0</v>
      </c>
      <c r="Y143">
        <f t="shared" si="31"/>
        <v>0</v>
      </c>
      <c r="AB143">
        <f t="shared" si="34"/>
        <v>1</v>
      </c>
      <c r="AC143">
        <f t="shared" ca="1" si="35"/>
        <v>0</v>
      </c>
      <c r="AD143" t="str">
        <f ca="1">IF(AC143=1,COUNTIF($AC$3:AC143,1),"")</f>
        <v/>
      </c>
      <c r="AE143" s="155" t="str">
        <f ca="1">IFERROR(INDEX(Données!$B$3:$B$1479,MATCH(ROWS($AD$3:AD143),$AD$3:$AD$1479,0)),"")</f>
        <v/>
      </c>
    </row>
    <row r="144" spans="1:31" ht="15.75" x14ac:dyDescent="0.25">
      <c r="A144" t="str">
        <f t="shared" si="32"/>
        <v>Maxime Lagace - BOS - G</v>
      </c>
      <c r="B144" t="str">
        <f t="shared" si="33"/>
        <v>Maxime Lagace - BOS - G</v>
      </c>
      <c r="C144" t="str">
        <f t="shared" si="24"/>
        <v>Maxime</v>
      </c>
      <c r="D144" t="str">
        <f t="shared" si="25"/>
        <v>Lagace</v>
      </c>
      <c r="E144" s="39" t="s">
        <v>2903</v>
      </c>
      <c r="F144" s="30" t="s">
        <v>9</v>
      </c>
      <c r="G144" s="35">
        <v>0</v>
      </c>
      <c r="H144" s="35" t="s">
        <v>127</v>
      </c>
      <c r="I144" s="35" t="s">
        <v>2446</v>
      </c>
      <c r="J144" s="35">
        <v>26</v>
      </c>
      <c r="K144" s="35">
        <f>VALUE(COUNTIF(Validation!$A$2:$H$47,E144))</f>
        <v>0</v>
      </c>
      <c r="L144" s="361">
        <f t="shared" si="26"/>
        <v>700000</v>
      </c>
      <c r="M144" s="361">
        <f t="shared" si="27"/>
        <v>0</v>
      </c>
      <c r="N144" s="358">
        <v>700000</v>
      </c>
      <c r="O144" s="358" t="s">
        <v>7</v>
      </c>
      <c r="P144" s="358">
        <v>0</v>
      </c>
      <c r="Q144" s="358">
        <v>0</v>
      </c>
      <c r="R144" s="358">
        <v>0</v>
      </c>
      <c r="S144" s="358">
        <v>0</v>
      </c>
      <c r="T144" s="358">
        <v>0</v>
      </c>
      <c r="U144" s="35">
        <f t="shared" si="28"/>
        <v>1</v>
      </c>
      <c r="W144">
        <f t="shared" si="29"/>
        <v>1</v>
      </c>
      <c r="X144" s="35">
        <f t="shared" si="30"/>
        <v>0</v>
      </c>
      <c r="Y144">
        <f t="shared" si="31"/>
        <v>0</v>
      </c>
      <c r="AB144">
        <f t="shared" si="34"/>
        <v>1</v>
      </c>
      <c r="AC144">
        <f t="shared" ca="1" si="35"/>
        <v>0</v>
      </c>
      <c r="AD144" t="str">
        <f ca="1">IF(AC144=1,COUNTIF($AC$3:AC144,1),"")</f>
        <v/>
      </c>
      <c r="AE144" s="155" t="str">
        <f ca="1">IFERROR(INDEX(Données!$B$3:$B$1479,MATCH(ROWS($AD$3:AD144),$AD$3:$AD$1479,0)),"")</f>
        <v/>
      </c>
    </row>
    <row r="145" spans="1:31" ht="15.75" x14ac:dyDescent="0.25">
      <c r="A145" t="str">
        <f t="shared" si="32"/>
        <v>Brandon Carlo - BOS - DD</v>
      </c>
      <c r="B145" t="str">
        <f t="shared" si="33"/>
        <v>Brandon Carlo - BOS - DD</v>
      </c>
      <c r="C145" t="str">
        <f t="shared" si="24"/>
        <v>Brandon</v>
      </c>
      <c r="D145" t="str">
        <f t="shared" si="25"/>
        <v>Carlo</v>
      </c>
      <c r="E145" s="39" t="s">
        <v>1358</v>
      </c>
      <c r="F145" s="30" t="s">
        <v>9</v>
      </c>
      <c r="G145" s="35">
        <v>0</v>
      </c>
      <c r="H145" s="35" t="s">
        <v>2444</v>
      </c>
      <c r="I145" s="35" t="s">
        <v>2439</v>
      </c>
      <c r="J145" s="35">
        <v>22</v>
      </c>
      <c r="K145" s="35">
        <f>VALUE(COUNTIF(Validation!$A$2:$H$47,E145))</f>
        <v>0</v>
      </c>
      <c r="L145" s="361">
        <f t="shared" si="26"/>
        <v>0</v>
      </c>
      <c r="M145" s="361">
        <f t="shared" si="27"/>
        <v>0</v>
      </c>
      <c r="N145" s="358" t="s">
        <v>8</v>
      </c>
      <c r="O145" s="358">
        <v>0</v>
      </c>
      <c r="P145" s="358">
        <v>0</v>
      </c>
      <c r="Q145" s="358">
        <v>0</v>
      </c>
      <c r="R145" s="358">
        <v>0</v>
      </c>
      <c r="S145" s="358">
        <v>0</v>
      </c>
      <c r="T145" s="358">
        <v>0</v>
      </c>
      <c r="U145" s="35">
        <f t="shared" si="28"/>
        <v>0</v>
      </c>
      <c r="W145">
        <f t="shared" si="29"/>
        <v>1</v>
      </c>
      <c r="X145" s="35">
        <f t="shared" si="30"/>
        <v>0</v>
      </c>
      <c r="Y145">
        <f t="shared" si="31"/>
        <v>1</v>
      </c>
      <c r="AB145">
        <f t="shared" si="34"/>
        <v>1</v>
      </c>
      <c r="AC145">
        <f t="shared" ca="1" si="35"/>
        <v>0</v>
      </c>
      <c r="AD145" t="str">
        <f ca="1">IF(AC145=1,COUNTIF($AC$3:AC145,1),"")</f>
        <v/>
      </c>
      <c r="AE145" s="155" t="str">
        <f ca="1">IFERROR(INDEX(Données!$B$3:$B$1479,MATCH(ROWS($AD$3:AD145),$AD$3:$AD$1479,0)),"")</f>
        <v/>
      </c>
    </row>
    <row r="146" spans="1:31" ht="15.75" x14ac:dyDescent="0.25">
      <c r="A146" t="str">
        <f t="shared" si="32"/>
        <v>Charlie McAvoy - BOS - DD</v>
      </c>
      <c r="B146" t="str">
        <f t="shared" si="33"/>
        <v>Charlie McAvoy - BOS - DD</v>
      </c>
      <c r="C146" t="str">
        <f t="shared" si="24"/>
        <v>Charlie</v>
      </c>
      <c r="D146" t="str">
        <f t="shared" si="25"/>
        <v>McAvoy</v>
      </c>
      <c r="E146" s="39" t="s">
        <v>1357</v>
      </c>
      <c r="F146" s="30" t="s">
        <v>9</v>
      </c>
      <c r="G146" s="35">
        <v>0</v>
      </c>
      <c r="H146" s="35" t="s">
        <v>2444</v>
      </c>
      <c r="I146" s="35" t="s">
        <v>2439</v>
      </c>
      <c r="J146" s="35">
        <v>21</v>
      </c>
      <c r="K146" s="35">
        <f>VALUE(COUNTIF(Validation!$A$2:$H$47,E146))</f>
        <v>0</v>
      </c>
      <c r="L146" s="361">
        <f t="shared" si="26"/>
        <v>0</v>
      </c>
      <c r="M146" s="361">
        <f t="shared" si="27"/>
        <v>0</v>
      </c>
      <c r="N146" s="358" t="s">
        <v>8</v>
      </c>
      <c r="O146" s="358">
        <v>0</v>
      </c>
      <c r="P146" s="358">
        <v>0</v>
      </c>
      <c r="Q146" s="358">
        <v>0</v>
      </c>
      <c r="R146" s="358">
        <v>0</v>
      </c>
      <c r="S146" s="358">
        <v>0</v>
      </c>
      <c r="T146" s="358">
        <v>0</v>
      </c>
      <c r="U146" s="35">
        <f t="shared" si="28"/>
        <v>0</v>
      </c>
      <c r="W146">
        <f t="shared" si="29"/>
        <v>1</v>
      </c>
      <c r="X146" s="35">
        <f t="shared" si="30"/>
        <v>0</v>
      </c>
      <c r="Y146">
        <f t="shared" si="31"/>
        <v>1</v>
      </c>
      <c r="AB146">
        <f t="shared" si="34"/>
        <v>1</v>
      </c>
      <c r="AC146">
        <f t="shared" ca="1" si="35"/>
        <v>0</v>
      </c>
      <c r="AD146" t="str">
        <f ca="1">IF(AC146=1,COUNTIF($AC$3:AC146,1),"")</f>
        <v/>
      </c>
      <c r="AE146" s="155" t="str">
        <f ca="1">IFERROR(INDEX(Données!$B$3:$B$1479,MATCH(ROWS($AD$3:AD146),$AD$3:$AD$1479,0)),"")</f>
        <v/>
      </c>
    </row>
    <row r="147" spans="1:31" ht="15.75" x14ac:dyDescent="0.25">
      <c r="A147" t="str">
        <f t="shared" si="32"/>
        <v>Jack Eichel - BUF - C</v>
      </c>
      <c r="B147" t="str">
        <f t="shared" si="33"/>
        <v>Jack Eichel - BUF - C</v>
      </c>
      <c r="C147" t="str">
        <f t="shared" si="24"/>
        <v>Jack</v>
      </c>
      <c r="D147" t="str">
        <f t="shared" si="25"/>
        <v>Eichel</v>
      </c>
      <c r="E147" s="14" t="s">
        <v>2924</v>
      </c>
      <c r="F147" s="30" t="s">
        <v>10</v>
      </c>
      <c r="G147" s="35">
        <v>0</v>
      </c>
      <c r="H147" s="35" t="s">
        <v>73</v>
      </c>
      <c r="I147" s="35" t="s">
        <v>2677</v>
      </c>
      <c r="J147" s="35">
        <v>22</v>
      </c>
      <c r="K147" s="35">
        <f>VALUE(COUNTIF(Validation!$A$2:$H$47,E147))</f>
        <v>0</v>
      </c>
      <c r="L147" s="361">
        <f t="shared" si="26"/>
        <v>10000000</v>
      </c>
      <c r="M147" s="361">
        <f t="shared" si="27"/>
        <v>10000000</v>
      </c>
      <c r="N147" s="358">
        <v>10000000</v>
      </c>
      <c r="O147" s="358">
        <v>10000000</v>
      </c>
      <c r="P147" s="358">
        <v>10000000</v>
      </c>
      <c r="Q147" s="358">
        <v>10000000</v>
      </c>
      <c r="R147" s="358">
        <v>10000000</v>
      </c>
      <c r="S147" s="358">
        <v>10000000</v>
      </c>
      <c r="T147" s="358">
        <v>10000000</v>
      </c>
      <c r="U147" s="35">
        <f t="shared" si="28"/>
        <v>7</v>
      </c>
      <c r="W147">
        <f t="shared" si="29"/>
        <v>1</v>
      </c>
      <c r="X147" s="35">
        <f t="shared" si="30"/>
        <v>0</v>
      </c>
      <c r="Y147">
        <f t="shared" si="31"/>
        <v>1</v>
      </c>
      <c r="AB147">
        <f t="shared" si="34"/>
        <v>1</v>
      </c>
      <c r="AC147">
        <f t="shared" ca="1" si="35"/>
        <v>0</v>
      </c>
      <c r="AD147" t="str">
        <f ca="1">IF(AC147=1,COUNTIF($AC$3:AC147,1),"")</f>
        <v/>
      </c>
      <c r="AE147" s="155" t="str">
        <f ca="1">IFERROR(INDEX(Données!$B$3:$B$1479,MATCH(ROWS($AD$3:AD147),$AD$3:$AD$1479,0)),"")</f>
        <v/>
      </c>
    </row>
    <row r="148" spans="1:31" ht="15.75" x14ac:dyDescent="0.25">
      <c r="A148" t="str">
        <f t="shared" si="32"/>
        <v>Jeff Skinner - BUF - LW, RW</v>
      </c>
      <c r="B148" t="str">
        <f t="shared" si="33"/>
        <v>Jeff Skinner - BUF - LW, RW</v>
      </c>
      <c r="C148" t="str">
        <f t="shared" si="24"/>
        <v>Jeff</v>
      </c>
      <c r="D148" t="str">
        <f t="shared" si="25"/>
        <v>Skinner</v>
      </c>
      <c r="E148" s="39" t="s">
        <v>1383</v>
      </c>
      <c r="F148" s="30" t="s">
        <v>10</v>
      </c>
      <c r="G148" s="35" t="s">
        <v>420</v>
      </c>
      <c r="H148" s="35" t="s">
        <v>2689</v>
      </c>
      <c r="I148" s="35" t="s">
        <v>2677</v>
      </c>
      <c r="J148" s="35">
        <v>27</v>
      </c>
      <c r="K148" s="35">
        <f>VALUE(COUNTIF(Validation!$A$2:$H$47,E148))</f>
        <v>0</v>
      </c>
      <c r="L148" s="361">
        <f t="shared" si="26"/>
        <v>9000000</v>
      </c>
      <c r="M148" s="361">
        <f t="shared" si="27"/>
        <v>9000000</v>
      </c>
      <c r="N148" s="358">
        <v>9000000</v>
      </c>
      <c r="O148" s="358">
        <v>9000000</v>
      </c>
      <c r="P148" s="358">
        <v>9000000</v>
      </c>
      <c r="Q148" s="358">
        <v>9000000</v>
      </c>
      <c r="R148" s="358">
        <v>9000000</v>
      </c>
      <c r="S148" s="358">
        <v>9000000</v>
      </c>
      <c r="T148" s="358">
        <v>9000000</v>
      </c>
      <c r="U148" s="35">
        <f t="shared" si="28"/>
        <v>7</v>
      </c>
      <c r="W148">
        <f t="shared" si="29"/>
        <v>1</v>
      </c>
      <c r="X148" s="35">
        <f t="shared" si="30"/>
        <v>0</v>
      </c>
      <c r="Y148">
        <f t="shared" si="31"/>
        <v>1</v>
      </c>
      <c r="AB148">
        <f t="shared" si="34"/>
        <v>1</v>
      </c>
      <c r="AC148">
        <f t="shared" ca="1" si="35"/>
        <v>0</v>
      </c>
      <c r="AD148" t="str">
        <f ca="1">IF(AC148=1,COUNTIF($AC$3:AC148,1),"")</f>
        <v/>
      </c>
      <c r="AE148" s="155" t="str">
        <f ca="1">IFERROR(INDEX(Données!$B$3:$B$1479,MATCH(ROWS($AD$3:AD148),$AD$3:$AD$1479,0)),"")</f>
        <v/>
      </c>
    </row>
    <row r="149" spans="1:31" ht="15.75" x14ac:dyDescent="0.25">
      <c r="A149" t="str">
        <f t="shared" si="32"/>
        <v>Kyle Okposo - BUF - RW</v>
      </c>
      <c r="B149" t="str">
        <f t="shared" si="33"/>
        <v>Kyle Okposo - BUF - RW</v>
      </c>
      <c r="C149" t="str">
        <f t="shared" si="24"/>
        <v>Kyle</v>
      </c>
      <c r="D149" t="str">
        <f t="shared" si="25"/>
        <v>Okposo</v>
      </c>
      <c r="E149" s="39" t="s">
        <v>2990</v>
      </c>
      <c r="F149" s="30" t="s">
        <v>10</v>
      </c>
      <c r="G149" s="35" t="s">
        <v>381</v>
      </c>
      <c r="H149" s="35" t="s">
        <v>88</v>
      </c>
      <c r="I149" s="35" t="s">
        <v>2677</v>
      </c>
      <c r="J149" s="35">
        <v>31</v>
      </c>
      <c r="K149" s="35">
        <f>VALUE(COUNTIF(Validation!$A$2:$H$47,E149))</f>
        <v>0</v>
      </c>
      <c r="L149" s="361">
        <f t="shared" si="26"/>
        <v>6000000</v>
      </c>
      <c r="M149" s="361">
        <f t="shared" si="27"/>
        <v>6000000</v>
      </c>
      <c r="N149" s="358">
        <v>6000000</v>
      </c>
      <c r="O149" s="358">
        <v>6000000</v>
      </c>
      <c r="P149" s="358">
        <v>6000000</v>
      </c>
      <c r="Q149" s="358">
        <v>6000000</v>
      </c>
      <c r="R149" s="358" t="s">
        <v>7</v>
      </c>
      <c r="S149" s="358">
        <v>0</v>
      </c>
      <c r="T149" s="358">
        <v>0</v>
      </c>
      <c r="U149" s="35">
        <f t="shared" si="28"/>
        <v>4</v>
      </c>
      <c r="W149">
        <f t="shared" si="29"/>
        <v>1</v>
      </c>
      <c r="X149" s="35">
        <f t="shared" si="30"/>
        <v>0</v>
      </c>
      <c r="Y149">
        <f t="shared" si="31"/>
        <v>1</v>
      </c>
      <c r="AB149">
        <f t="shared" si="34"/>
        <v>1</v>
      </c>
      <c r="AC149">
        <f t="shared" ca="1" si="35"/>
        <v>0</v>
      </c>
      <c r="AD149" t="str">
        <f ca="1">IF(AC149=1,COUNTIF($AC$3:AC149,1),"")</f>
        <v/>
      </c>
      <c r="AE149" s="155" t="str">
        <f ca="1">IFERROR(INDEX(Données!$B$3:$B$1479,MATCH(ROWS($AD$3:AD149),$AD$3:$AD$1479,0)),"")</f>
        <v/>
      </c>
    </row>
    <row r="150" spans="1:31" ht="15.75" x14ac:dyDescent="0.25">
      <c r="A150" t="str">
        <f t="shared" si="32"/>
        <v>Rasmus Ristolainen - BUF - RD</v>
      </c>
      <c r="B150" t="str">
        <f t="shared" si="33"/>
        <v>Rasmus Ristolainen - BUF - RD</v>
      </c>
      <c r="C150" t="str">
        <f t="shared" si="24"/>
        <v>Rasmus</v>
      </c>
      <c r="D150" t="str">
        <f t="shared" si="25"/>
        <v>Ristolainen</v>
      </c>
      <c r="E150" s="39" t="s">
        <v>1393</v>
      </c>
      <c r="F150" s="30" t="s">
        <v>10</v>
      </c>
      <c r="G150" s="35">
        <v>0</v>
      </c>
      <c r="H150" s="35" t="s">
        <v>379</v>
      </c>
      <c r="I150" s="35" t="s">
        <v>2677</v>
      </c>
      <c r="J150" s="35">
        <v>24</v>
      </c>
      <c r="K150" s="35">
        <f>VALUE(COUNTIF(Validation!$A$2:$H$47,E150))</f>
        <v>0</v>
      </c>
      <c r="L150" s="361">
        <f t="shared" si="26"/>
        <v>5400000</v>
      </c>
      <c r="M150" s="361">
        <f t="shared" si="27"/>
        <v>5400000</v>
      </c>
      <c r="N150" s="358">
        <v>5400000</v>
      </c>
      <c r="O150" s="358">
        <v>5400000</v>
      </c>
      <c r="P150" s="358">
        <v>5400000</v>
      </c>
      <c r="Q150" s="358" t="s">
        <v>7</v>
      </c>
      <c r="R150" s="358">
        <v>0</v>
      </c>
      <c r="S150" s="358">
        <v>0</v>
      </c>
      <c r="T150" s="358">
        <v>0</v>
      </c>
      <c r="U150" s="35">
        <f t="shared" si="28"/>
        <v>3</v>
      </c>
      <c r="W150">
        <f t="shared" si="29"/>
        <v>1</v>
      </c>
      <c r="X150" s="35">
        <f t="shared" si="30"/>
        <v>0</v>
      </c>
      <c r="Y150">
        <f t="shared" si="31"/>
        <v>1</v>
      </c>
      <c r="AB150">
        <f t="shared" si="34"/>
        <v>1</v>
      </c>
      <c r="AC150">
        <f t="shared" ca="1" si="35"/>
        <v>0</v>
      </c>
      <c r="AD150" t="str">
        <f ca="1">IF(AC150=1,COUNTIF($AC$3:AC150,1),"")</f>
        <v/>
      </c>
      <c r="AE150" s="155" t="str">
        <f ca="1">IFERROR(INDEX(Données!$B$3:$B$1479,MATCH(ROWS($AD$3:AD150),$AD$3:$AD$1479,0)),"")</f>
        <v/>
      </c>
    </row>
    <row r="151" spans="1:31" ht="15.75" x14ac:dyDescent="0.25">
      <c r="A151" t="str">
        <f t="shared" si="32"/>
        <v>Zach Bogosian - BUF - RD</v>
      </c>
      <c r="B151" t="str">
        <f t="shared" si="33"/>
        <v>Zach Bogosian - BUF - RD</v>
      </c>
      <c r="C151" t="str">
        <f t="shared" si="24"/>
        <v>Zach</v>
      </c>
      <c r="D151" t="str">
        <f t="shared" si="25"/>
        <v>Bogosian</v>
      </c>
      <c r="E151" s="39" t="s">
        <v>2944</v>
      </c>
      <c r="F151" s="30" t="s">
        <v>10</v>
      </c>
      <c r="G151" s="35">
        <v>0</v>
      </c>
      <c r="H151" s="35" t="s">
        <v>379</v>
      </c>
      <c r="I151" s="35" t="s">
        <v>2677</v>
      </c>
      <c r="J151" s="35">
        <v>29</v>
      </c>
      <c r="K151" s="35">
        <f>VALUE(COUNTIF(Validation!$A$2:$H$47,E151))</f>
        <v>0</v>
      </c>
      <c r="L151" s="361">
        <f t="shared" si="26"/>
        <v>5142857</v>
      </c>
      <c r="M151" s="361">
        <f t="shared" si="27"/>
        <v>0</v>
      </c>
      <c r="N151" s="358">
        <v>5142857</v>
      </c>
      <c r="O151" s="358" t="s">
        <v>7</v>
      </c>
      <c r="P151" s="358">
        <v>0</v>
      </c>
      <c r="Q151" s="358">
        <v>0</v>
      </c>
      <c r="R151" s="358">
        <v>0</v>
      </c>
      <c r="S151" s="358">
        <v>0</v>
      </c>
      <c r="T151" s="358">
        <v>0</v>
      </c>
      <c r="U151" s="35">
        <f t="shared" si="28"/>
        <v>1</v>
      </c>
      <c r="W151">
        <f t="shared" si="29"/>
        <v>1</v>
      </c>
      <c r="X151" s="35">
        <f t="shared" si="30"/>
        <v>0</v>
      </c>
      <c r="Y151">
        <f t="shared" si="31"/>
        <v>0</v>
      </c>
      <c r="AB151">
        <f t="shared" si="34"/>
        <v>1</v>
      </c>
      <c r="AC151">
        <f t="shared" ca="1" si="35"/>
        <v>0</v>
      </c>
      <c r="AD151" t="str">
        <f ca="1">IF(AC151=1,COUNTIF($AC$3:AC151,1),"")</f>
        <v/>
      </c>
      <c r="AE151" s="155" t="str">
        <f ca="1">IFERROR(INDEX(Données!$B$3:$B$1479,MATCH(ROWS($AD$3:AD151),$AD$3:$AD$1479,0)),"")</f>
        <v/>
      </c>
    </row>
    <row r="152" spans="1:31" ht="15.75" x14ac:dyDescent="0.25">
      <c r="A152" t="str">
        <f t="shared" si="32"/>
        <v>Marcus Johansson - BUF - C, LW, RW</v>
      </c>
      <c r="B152" t="str">
        <f t="shared" si="33"/>
        <v>Marcus Johansson - BUF - C, LW, RW</v>
      </c>
      <c r="C152" t="str">
        <f t="shared" si="24"/>
        <v>Marcus</v>
      </c>
      <c r="D152" t="str">
        <f t="shared" si="25"/>
        <v>Johansson</v>
      </c>
      <c r="E152" s="39" t="s">
        <v>2700</v>
      </c>
      <c r="F152" s="30" t="s">
        <v>10</v>
      </c>
      <c r="G152" s="35" t="s">
        <v>381</v>
      </c>
      <c r="H152" s="35" t="s">
        <v>2701</v>
      </c>
      <c r="I152" s="35" t="s">
        <v>2677</v>
      </c>
      <c r="J152" s="35">
        <v>28</v>
      </c>
      <c r="K152" s="35">
        <f>VALUE(COUNTIF(Validation!$A$2:$H$47,E152))</f>
        <v>0</v>
      </c>
      <c r="L152" s="361">
        <f t="shared" si="26"/>
        <v>4500000</v>
      </c>
      <c r="M152" s="361">
        <f t="shared" si="27"/>
        <v>4500000</v>
      </c>
      <c r="N152" s="358">
        <v>4500000</v>
      </c>
      <c r="O152" s="358">
        <v>4500000</v>
      </c>
      <c r="P152" s="358" t="s">
        <v>7</v>
      </c>
      <c r="Q152" s="358">
        <v>0</v>
      </c>
      <c r="R152" s="358">
        <v>0</v>
      </c>
      <c r="S152" s="358">
        <v>0</v>
      </c>
      <c r="T152" s="358">
        <v>0</v>
      </c>
      <c r="U152" s="35">
        <f t="shared" si="28"/>
        <v>2</v>
      </c>
      <c r="W152">
        <f t="shared" si="29"/>
        <v>1</v>
      </c>
      <c r="X152" s="35">
        <f t="shared" si="30"/>
        <v>0</v>
      </c>
      <c r="Y152">
        <f t="shared" si="31"/>
        <v>1</v>
      </c>
      <c r="AB152">
        <f t="shared" si="34"/>
        <v>1</v>
      </c>
      <c r="AC152">
        <f t="shared" ca="1" si="35"/>
        <v>0</v>
      </c>
      <c r="AD152" t="str">
        <f ca="1">IF(AC152=1,COUNTIF($AC$3:AC152,1),"")</f>
        <v/>
      </c>
      <c r="AE152" s="155" t="str">
        <f ca="1">IFERROR(INDEX(Données!$B$3:$B$1479,MATCH(ROWS($AD$3:AD152),$AD$3:$AD$1479,0)),"")</f>
        <v/>
      </c>
    </row>
    <row r="153" spans="1:31" ht="15.75" x14ac:dyDescent="0.25">
      <c r="A153" t="str">
        <f t="shared" si="32"/>
        <v>Marco Scandella - BUF - LD</v>
      </c>
      <c r="B153" t="str">
        <f t="shared" si="33"/>
        <v>Marco Scandella - BUF - LD</v>
      </c>
      <c r="C153" t="str">
        <f t="shared" si="24"/>
        <v>Marco</v>
      </c>
      <c r="D153" t="str">
        <f t="shared" si="25"/>
        <v>Scandella</v>
      </c>
      <c r="E153" s="39" t="s">
        <v>1394</v>
      </c>
      <c r="F153" s="30" t="s">
        <v>10</v>
      </c>
      <c r="G153" s="35">
        <v>0</v>
      </c>
      <c r="H153" s="35" t="s">
        <v>380</v>
      </c>
      <c r="I153" s="35" t="s">
        <v>2677</v>
      </c>
      <c r="J153" s="35">
        <v>29</v>
      </c>
      <c r="K153" s="35">
        <f>VALUE(COUNTIF(Validation!$A$2:$H$47,E153))</f>
        <v>0</v>
      </c>
      <c r="L153" s="361">
        <f t="shared" si="26"/>
        <v>4000000</v>
      </c>
      <c r="M153" s="361">
        <f t="shared" si="27"/>
        <v>0</v>
      </c>
      <c r="N153" s="358">
        <v>4000000</v>
      </c>
      <c r="O153" s="358" t="s">
        <v>7</v>
      </c>
      <c r="P153" s="358">
        <v>0</v>
      </c>
      <c r="Q153" s="358">
        <v>0</v>
      </c>
      <c r="R153" s="358">
        <v>0</v>
      </c>
      <c r="S153" s="358">
        <v>0</v>
      </c>
      <c r="T153" s="358">
        <v>0</v>
      </c>
      <c r="U153" s="35">
        <f t="shared" si="28"/>
        <v>1</v>
      </c>
      <c r="W153">
        <f t="shared" si="29"/>
        <v>1</v>
      </c>
      <c r="X153" s="35">
        <f t="shared" si="30"/>
        <v>0</v>
      </c>
      <c r="Y153">
        <f t="shared" si="31"/>
        <v>0</v>
      </c>
      <c r="AB153">
        <f t="shared" si="34"/>
        <v>1</v>
      </c>
      <c r="AC153">
        <f t="shared" ca="1" si="35"/>
        <v>0</v>
      </c>
      <c r="AD153" t="str">
        <f ca="1">IF(AC153=1,COUNTIF($AC$3:AC153,1),"")</f>
        <v/>
      </c>
      <c r="AE153" s="155" t="str">
        <f ca="1">IFERROR(INDEX(Données!$B$3:$B$1479,MATCH(ROWS($AD$3:AD153),$AD$3:$AD$1479,0)),"")</f>
        <v/>
      </c>
    </row>
    <row r="154" spans="1:31" ht="15.75" x14ac:dyDescent="0.25">
      <c r="A154" t="str">
        <f t="shared" si="32"/>
        <v>Colin Miller - BUF - RD</v>
      </c>
      <c r="B154" t="str">
        <f t="shared" si="33"/>
        <v>Colin Miller - BUF - RD</v>
      </c>
      <c r="C154" t="str">
        <f t="shared" si="24"/>
        <v>Colin</v>
      </c>
      <c r="D154" t="str">
        <f t="shared" si="25"/>
        <v>Miller</v>
      </c>
      <c r="E154" s="39" t="s">
        <v>2376</v>
      </c>
      <c r="F154" s="30" t="s">
        <v>10</v>
      </c>
      <c r="G154" s="35">
        <v>0</v>
      </c>
      <c r="H154" s="35" t="s">
        <v>379</v>
      </c>
      <c r="I154" s="35" t="s">
        <v>2677</v>
      </c>
      <c r="J154" s="35">
        <v>26</v>
      </c>
      <c r="K154" s="35">
        <f>VALUE(COUNTIF(Validation!$A$2:$H$47,E154))</f>
        <v>0</v>
      </c>
      <c r="L154" s="361">
        <f t="shared" si="26"/>
        <v>3875000</v>
      </c>
      <c r="M154" s="361">
        <f t="shared" si="27"/>
        <v>3875000</v>
      </c>
      <c r="N154" s="358">
        <v>3875000</v>
      </c>
      <c r="O154" s="358">
        <v>3875000</v>
      </c>
      <c r="P154" s="358">
        <v>3875000</v>
      </c>
      <c r="Q154" s="358" t="s">
        <v>7</v>
      </c>
      <c r="R154" s="358">
        <v>0</v>
      </c>
      <c r="S154" s="358">
        <v>0</v>
      </c>
      <c r="T154" s="358">
        <v>0</v>
      </c>
      <c r="U154" s="35">
        <f t="shared" si="28"/>
        <v>3</v>
      </c>
      <c r="W154">
        <f t="shared" si="29"/>
        <v>1</v>
      </c>
      <c r="X154" s="35">
        <f t="shared" si="30"/>
        <v>0</v>
      </c>
      <c r="Y154">
        <f t="shared" si="31"/>
        <v>1</v>
      </c>
      <c r="AB154">
        <f t="shared" si="34"/>
        <v>1</v>
      </c>
      <c r="AC154">
        <f t="shared" ca="1" si="35"/>
        <v>0</v>
      </c>
      <c r="AD154" t="str">
        <f ca="1">IF(AC154=1,COUNTIF($AC$3:AC154,1),"")</f>
        <v/>
      </c>
      <c r="AE154" s="155" t="str">
        <f ca="1">IFERROR(INDEX(Données!$B$3:$B$1479,MATCH(ROWS($AD$3:AD154),$AD$3:$AD$1479,0)),"")</f>
        <v/>
      </c>
    </row>
    <row r="155" spans="1:31" ht="15.75" x14ac:dyDescent="0.25">
      <c r="A155" t="str">
        <f t="shared" si="32"/>
        <v>Rasmus Dahlin - BUF - LD</v>
      </c>
      <c r="B155" t="str">
        <f t="shared" si="33"/>
        <v>Rasmus Dahlin - BUF - LD</v>
      </c>
      <c r="C155" t="str">
        <f t="shared" si="24"/>
        <v>Rasmus</v>
      </c>
      <c r="D155" t="str">
        <f t="shared" si="25"/>
        <v>Dahlin</v>
      </c>
      <c r="E155" s="39" t="s">
        <v>1398</v>
      </c>
      <c r="F155" s="30" t="s">
        <v>10</v>
      </c>
      <c r="G155" s="35" t="s">
        <v>386</v>
      </c>
      <c r="H155" s="35" t="s">
        <v>380</v>
      </c>
      <c r="I155" s="35" t="s">
        <v>2677</v>
      </c>
      <c r="J155" s="35">
        <v>19</v>
      </c>
      <c r="K155" s="35">
        <f>VALUE(COUNTIF(Validation!$A$2:$H$47,E155))</f>
        <v>0</v>
      </c>
      <c r="L155" s="361">
        <f t="shared" si="26"/>
        <v>3775000</v>
      </c>
      <c r="M155" s="361">
        <f t="shared" si="27"/>
        <v>3775000</v>
      </c>
      <c r="N155" s="358">
        <v>3775000</v>
      </c>
      <c r="O155" s="358">
        <v>3775000</v>
      </c>
      <c r="P155" s="358" t="s">
        <v>8</v>
      </c>
      <c r="Q155" s="358">
        <v>0</v>
      </c>
      <c r="R155" s="358">
        <v>0</v>
      </c>
      <c r="S155" s="358">
        <v>0</v>
      </c>
      <c r="T155" s="358">
        <v>0</v>
      </c>
      <c r="U155" s="35">
        <f t="shared" si="28"/>
        <v>2</v>
      </c>
      <c r="W155">
        <f t="shared" si="29"/>
        <v>1</v>
      </c>
      <c r="X155" s="35">
        <f t="shared" si="30"/>
        <v>1</v>
      </c>
      <c r="Y155">
        <f t="shared" si="31"/>
        <v>1</v>
      </c>
      <c r="AB155">
        <f t="shared" si="34"/>
        <v>1</v>
      </c>
      <c r="AC155">
        <f t="shared" ca="1" si="35"/>
        <v>0</v>
      </c>
      <c r="AD155" t="str">
        <f ca="1">IF(AC155=1,COUNTIF($AC$3:AC155,1),"")</f>
        <v/>
      </c>
      <c r="AE155" s="155" t="str">
        <f ca="1">IFERROR(INDEX(Données!$B$3:$B$1479,MATCH(ROWS($AD$3:AD155),$AD$3:$AD$1479,0)),"")</f>
        <v/>
      </c>
    </row>
    <row r="156" spans="1:31" ht="15.75" x14ac:dyDescent="0.25">
      <c r="A156" t="str">
        <f t="shared" si="32"/>
        <v>Sam Reinhart - BUF - RW, C</v>
      </c>
      <c r="B156" t="str">
        <f t="shared" si="33"/>
        <v>Sam Reinhart - BUF - RW, C</v>
      </c>
      <c r="C156" t="str">
        <f t="shared" si="24"/>
        <v>Sam</v>
      </c>
      <c r="D156" t="str">
        <f t="shared" si="25"/>
        <v>Reinhart</v>
      </c>
      <c r="E156" s="39" t="s">
        <v>1392</v>
      </c>
      <c r="F156" s="30" t="s">
        <v>10</v>
      </c>
      <c r="G156" s="35">
        <v>0</v>
      </c>
      <c r="H156" s="35" t="s">
        <v>2678</v>
      </c>
      <c r="I156" s="35" t="s">
        <v>2677</v>
      </c>
      <c r="J156" s="35">
        <v>23</v>
      </c>
      <c r="K156" s="35">
        <f>VALUE(COUNTIF(Validation!$A$2:$H$47,E156))</f>
        <v>0</v>
      </c>
      <c r="L156" s="361">
        <f t="shared" si="26"/>
        <v>3650000</v>
      </c>
      <c r="M156" s="361">
        <f t="shared" si="27"/>
        <v>0</v>
      </c>
      <c r="N156" s="358">
        <v>3650000</v>
      </c>
      <c r="O156" s="358" t="s">
        <v>8</v>
      </c>
      <c r="P156" s="358">
        <v>0</v>
      </c>
      <c r="Q156" s="358">
        <v>0</v>
      </c>
      <c r="R156" s="358">
        <v>0</v>
      </c>
      <c r="S156" s="358">
        <v>0</v>
      </c>
      <c r="T156" s="358">
        <v>0</v>
      </c>
      <c r="U156" s="35">
        <f t="shared" si="28"/>
        <v>1</v>
      </c>
      <c r="W156">
        <f t="shared" si="29"/>
        <v>1</v>
      </c>
      <c r="X156" s="35">
        <f t="shared" si="30"/>
        <v>0</v>
      </c>
      <c r="Y156">
        <f t="shared" si="31"/>
        <v>0</v>
      </c>
      <c r="AB156">
        <f t="shared" si="34"/>
        <v>1</v>
      </c>
      <c r="AC156">
        <f t="shared" ca="1" si="35"/>
        <v>0</v>
      </c>
      <c r="AD156" t="str">
        <f ca="1">IF(AC156=1,COUNTIF($AC$3:AC156,1),"")</f>
        <v/>
      </c>
      <c r="AE156" s="155" t="str">
        <f ca="1">IFERROR(INDEX(Données!$B$3:$B$1479,MATCH(ROWS($AD$3:AD156),$AD$3:$AD$1479,0)),"")</f>
        <v/>
      </c>
    </row>
    <row r="157" spans="1:31" ht="15.75" x14ac:dyDescent="0.25">
      <c r="A157" t="str">
        <f t="shared" si="32"/>
        <v>Vladimír Sobotka - BUF - LW, C</v>
      </c>
      <c r="B157" t="str">
        <f t="shared" si="33"/>
        <v>Vladimír Sobotka - BUF - LW, C</v>
      </c>
      <c r="C157" t="str">
        <f t="shared" si="24"/>
        <v>Vladimír</v>
      </c>
      <c r="D157" t="str">
        <f t="shared" si="25"/>
        <v>Sobotka</v>
      </c>
      <c r="E157" s="39" t="s">
        <v>1384</v>
      </c>
      <c r="F157" s="30" t="s">
        <v>10</v>
      </c>
      <c r="G157" s="35">
        <v>0</v>
      </c>
      <c r="H157" s="35" t="s">
        <v>2696</v>
      </c>
      <c r="I157" s="35" t="s">
        <v>2677</v>
      </c>
      <c r="J157" s="35">
        <v>32</v>
      </c>
      <c r="K157" s="35">
        <f>VALUE(COUNTIF(Validation!$A$2:$H$47,E157))</f>
        <v>0</v>
      </c>
      <c r="L157" s="361">
        <f t="shared" si="26"/>
        <v>3500000</v>
      </c>
      <c r="M157" s="361">
        <f t="shared" si="27"/>
        <v>0</v>
      </c>
      <c r="N157" s="358">
        <v>3500000</v>
      </c>
      <c r="O157" s="358" t="s">
        <v>7</v>
      </c>
      <c r="P157" s="358">
        <v>0</v>
      </c>
      <c r="Q157" s="358">
        <v>0</v>
      </c>
      <c r="R157" s="358">
        <v>0</v>
      </c>
      <c r="S157" s="358">
        <v>0</v>
      </c>
      <c r="T157" s="358">
        <v>0</v>
      </c>
      <c r="U157" s="35">
        <f t="shared" si="28"/>
        <v>1</v>
      </c>
      <c r="W157">
        <f t="shared" si="29"/>
        <v>1</v>
      </c>
      <c r="X157" s="35">
        <f t="shared" si="30"/>
        <v>0</v>
      </c>
      <c r="Y157">
        <f t="shared" si="31"/>
        <v>0</v>
      </c>
      <c r="AB157">
        <f t="shared" si="34"/>
        <v>1</v>
      </c>
      <c r="AC157">
        <f t="shared" ca="1" si="35"/>
        <v>0</v>
      </c>
      <c r="AD157" t="str">
        <f ca="1">IF(AC157=1,COUNTIF($AC$3:AC157,1),"")</f>
        <v/>
      </c>
      <c r="AE157" s="155" t="str">
        <f ca="1">IFERROR(INDEX(Données!$B$3:$B$1479,MATCH(ROWS($AD$3:AD157),$AD$3:$AD$1479,0)),"")</f>
        <v/>
      </c>
    </row>
    <row r="158" spans="1:31" ht="15.75" x14ac:dyDescent="0.25">
      <c r="A158" t="str">
        <f t="shared" si="32"/>
        <v>Brandon Montour - BUF - RD</v>
      </c>
      <c r="B158" t="str">
        <f t="shared" si="33"/>
        <v>Brandon Montour - BUF - RD</v>
      </c>
      <c r="C158" t="str">
        <f t="shared" si="24"/>
        <v>Brandon</v>
      </c>
      <c r="D158" t="str">
        <f t="shared" si="25"/>
        <v>Montour</v>
      </c>
      <c r="E158" s="39" t="s">
        <v>2125</v>
      </c>
      <c r="F158" s="30" t="s">
        <v>10</v>
      </c>
      <c r="G158" s="35">
        <v>0</v>
      </c>
      <c r="H158" s="35" t="s">
        <v>379</v>
      </c>
      <c r="I158" s="35" t="s">
        <v>2677</v>
      </c>
      <c r="J158" s="35">
        <v>25</v>
      </c>
      <c r="K158" s="35">
        <f>VALUE(COUNTIF(Validation!$A$2:$H$47,E158))</f>
        <v>0</v>
      </c>
      <c r="L158" s="361">
        <f t="shared" si="26"/>
        <v>3387500</v>
      </c>
      <c r="M158" s="361">
        <f t="shared" si="27"/>
        <v>0</v>
      </c>
      <c r="N158" s="358">
        <v>3387500</v>
      </c>
      <c r="O158" s="358" t="s">
        <v>8</v>
      </c>
      <c r="P158" s="358">
        <v>0</v>
      </c>
      <c r="Q158" s="358">
        <v>0</v>
      </c>
      <c r="R158" s="358">
        <v>0</v>
      </c>
      <c r="S158" s="358">
        <v>0</v>
      </c>
      <c r="T158" s="358">
        <v>0</v>
      </c>
      <c r="U158" s="35">
        <f t="shared" si="28"/>
        <v>1</v>
      </c>
      <c r="W158">
        <f t="shared" si="29"/>
        <v>1</v>
      </c>
      <c r="X158" s="35">
        <f t="shared" si="30"/>
        <v>0</v>
      </c>
      <c r="Y158">
        <f t="shared" si="31"/>
        <v>0</v>
      </c>
      <c r="AB158">
        <f t="shared" si="34"/>
        <v>1</v>
      </c>
      <c r="AC158">
        <f t="shared" ca="1" si="35"/>
        <v>0</v>
      </c>
      <c r="AD158" t="str">
        <f ca="1">IF(AC158=1,COUNTIF($AC$3:AC158,1),"")</f>
        <v/>
      </c>
      <c r="AE158" s="155" t="str">
        <f ca="1">IFERROR(INDEX(Données!$B$3:$B$1479,MATCH(ROWS($AD$3:AD158),$AD$3:$AD$1479,0)),"")</f>
        <v/>
      </c>
    </row>
    <row r="159" spans="1:31" ht="15.75" x14ac:dyDescent="0.25">
      <c r="A159" t="str">
        <f t="shared" si="32"/>
        <v>Conor Sheary - BUF - LW, RW</v>
      </c>
      <c r="B159" t="str">
        <f t="shared" si="33"/>
        <v>Conor Sheary - BUF - LW, RW</v>
      </c>
      <c r="C159" t="str">
        <f t="shared" si="24"/>
        <v>Conor</v>
      </c>
      <c r="D159" t="str">
        <f t="shared" si="25"/>
        <v>Sheary</v>
      </c>
      <c r="E159" s="39" t="s">
        <v>1385</v>
      </c>
      <c r="F159" s="30" t="s">
        <v>10</v>
      </c>
      <c r="G159" s="35">
        <v>0</v>
      </c>
      <c r="H159" s="35" t="s">
        <v>2689</v>
      </c>
      <c r="I159" s="35" t="s">
        <v>2677</v>
      </c>
      <c r="J159" s="35">
        <v>27</v>
      </c>
      <c r="K159" s="35">
        <f>VALUE(COUNTIF(Validation!$A$2:$H$47,E159))</f>
        <v>0</v>
      </c>
      <c r="L159" s="361">
        <f t="shared" si="26"/>
        <v>3000000</v>
      </c>
      <c r="M159" s="361">
        <f t="shared" si="27"/>
        <v>0</v>
      </c>
      <c r="N159" s="358">
        <v>3000000</v>
      </c>
      <c r="O159" s="358" t="s">
        <v>7</v>
      </c>
      <c r="P159" s="358">
        <v>0</v>
      </c>
      <c r="Q159" s="358">
        <v>0</v>
      </c>
      <c r="R159" s="358">
        <v>0</v>
      </c>
      <c r="S159" s="358">
        <v>0</v>
      </c>
      <c r="T159" s="358">
        <v>0</v>
      </c>
      <c r="U159" s="35">
        <f t="shared" si="28"/>
        <v>1</v>
      </c>
      <c r="W159">
        <f t="shared" si="29"/>
        <v>1</v>
      </c>
      <c r="X159" s="35">
        <f t="shared" si="30"/>
        <v>0</v>
      </c>
      <c r="Y159">
        <f t="shared" si="31"/>
        <v>0</v>
      </c>
      <c r="AB159">
        <f t="shared" si="34"/>
        <v>1</v>
      </c>
      <c r="AC159">
        <f t="shared" ca="1" si="35"/>
        <v>0</v>
      </c>
      <c r="AD159" t="str">
        <f ca="1">IF(AC159=1,COUNTIF($AC$3:AC159,1),"")</f>
        <v/>
      </c>
      <c r="AE159" s="155" t="str">
        <f ca="1">IFERROR(INDEX(Données!$B$3:$B$1479,MATCH(ROWS($AD$3:AD159),$AD$3:$AD$1479,0)),"")</f>
        <v/>
      </c>
    </row>
    <row r="160" spans="1:31" ht="15.75" x14ac:dyDescent="0.25">
      <c r="A160" t="str">
        <f t="shared" si="32"/>
        <v>Jake McCabe - BUF - LD</v>
      </c>
      <c r="B160" t="str">
        <f t="shared" si="33"/>
        <v>Jake McCabe - BUF - LD</v>
      </c>
      <c r="C160" t="str">
        <f t="shared" si="24"/>
        <v>Jake</v>
      </c>
      <c r="D160" t="str">
        <f t="shared" si="25"/>
        <v>McCabe</v>
      </c>
      <c r="E160" s="39" t="s">
        <v>1397</v>
      </c>
      <c r="F160" s="30" t="s">
        <v>10</v>
      </c>
      <c r="G160" s="35">
        <v>0</v>
      </c>
      <c r="H160" s="35" t="s">
        <v>380</v>
      </c>
      <c r="I160" s="35" t="s">
        <v>2677</v>
      </c>
      <c r="J160" s="35">
        <v>25</v>
      </c>
      <c r="K160" s="35">
        <f>VALUE(COUNTIF(Validation!$A$2:$H$47,E160))</f>
        <v>0</v>
      </c>
      <c r="L160" s="361">
        <f t="shared" si="26"/>
        <v>2850000</v>
      </c>
      <c r="M160" s="361">
        <f t="shared" si="27"/>
        <v>2850000</v>
      </c>
      <c r="N160" s="358">
        <v>2850000</v>
      </c>
      <c r="O160" s="358">
        <v>2850000</v>
      </c>
      <c r="P160" s="358" t="s">
        <v>7</v>
      </c>
      <c r="Q160" s="358">
        <v>0</v>
      </c>
      <c r="R160" s="358">
        <v>0</v>
      </c>
      <c r="S160" s="358">
        <v>0</v>
      </c>
      <c r="T160" s="358">
        <v>0</v>
      </c>
      <c r="U160" s="35">
        <f t="shared" si="28"/>
        <v>2</v>
      </c>
      <c r="W160">
        <f t="shared" si="29"/>
        <v>1</v>
      </c>
      <c r="X160" s="35">
        <f t="shared" si="30"/>
        <v>0</v>
      </c>
      <c r="Y160">
        <f t="shared" si="31"/>
        <v>1</v>
      </c>
      <c r="AB160">
        <f t="shared" si="34"/>
        <v>1</v>
      </c>
      <c r="AC160">
        <f t="shared" ca="1" si="35"/>
        <v>0</v>
      </c>
      <c r="AD160" t="str">
        <f ca="1">IF(AC160=1,COUNTIF($AC$3:AC160,1),"")</f>
        <v/>
      </c>
      <c r="AE160" s="155" t="str">
        <f ca="1">IFERROR(INDEX(Données!$B$3:$B$1479,MATCH(ROWS($AD$3:AD160),$AD$3:$AD$1479,0)),"")</f>
        <v/>
      </c>
    </row>
    <row r="161" spans="1:31" ht="15.75" x14ac:dyDescent="0.25">
      <c r="A161" t="str">
        <f t="shared" si="32"/>
        <v>Carter Hutton - BUF - G</v>
      </c>
      <c r="B161" t="str">
        <f t="shared" si="33"/>
        <v>Carter Hutton - BUF - G</v>
      </c>
      <c r="C161" t="str">
        <f t="shared" si="24"/>
        <v>Carter</v>
      </c>
      <c r="D161" t="str">
        <f t="shared" si="25"/>
        <v>Hutton</v>
      </c>
      <c r="E161" s="39" t="s">
        <v>1399</v>
      </c>
      <c r="F161" s="30" t="s">
        <v>10</v>
      </c>
      <c r="G161" s="35">
        <v>0</v>
      </c>
      <c r="H161" s="35" t="s">
        <v>127</v>
      </c>
      <c r="I161" s="35" t="s">
        <v>2677</v>
      </c>
      <c r="J161" s="35">
        <v>33</v>
      </c>
      <c r="K161" s="35">
        <f>VALUE(COUNTIF(Validation!$A$2:$H$47,E161))</f>
        <v>0</v>
      </c>
      <c r="L161" s="361">
        <f t="shared" si="26"/>
        <v>2750000</v>
      </c>
      <c r="M161" s="361">
        <f t="shared" si="27"/>
        <v>2750000</v>
      </c>
      <c r="N161" s="358">
        <v>2750000</v>
      </c>
      <c r="O161" s="358">
        <v>2750000</v>
      </c>
      <c r="P161" s="358" t="s">
        <v>7</v>
      </c>
      <c r="Q161" s="358">
        <v>0</v>
      </c>
      <c r="R161" s="358">
        <v>0</v>
      </c>
      <c r="S161" s="358">
        <v>0</v>
      </c>
      <c r="T161" s="358">
        <v>0</v>
      </c>
      <c r="U161" s="35">
        <f t="shared" si="28"/>
        <v>2</v>
      </c>
      <c r="W161">
        <f t="shared" si="29"/>
        <v>1</v>
      </c>
      <c r="X161" s="35">
        <f t="shared" si="30"/>
        <v>0</v>
      </c>
      <c r="Y161">
        <f t="shared" si="31"/>
        <v>1</v>
      </c>
      <c r="AB161">
        <f t="shared" si="34"/>
        <v>1</v>
      </c>
      <c r="AC161">
        <f t="shared" ca="1" si="35"/>
        <v>0</v>
      </c>
      <c r="AD161" t="str">
        <f ca="1">IF(AC161=1,COUNTIF($AC$3:AC161,1),"")</f>
        <v/>
      </c>
      <c r="AE161" s="155" t="str">
        <f ca="1">IFERROR(INDEX(Données!$B$3:$B$1479,MATCH(ROWS($AD$3:AD161),$AD$3:$AD$1479,0)),"")</f>
        <v/>
      </c>
    </row>
    <row r="162" spans="1:31" ht="15.75" x14ac:dyDescent="0.25">
      <c r="A162" t="str">
        <f t="shared" si="32"/>
        <v>Jimmy Vesey - BUF - LW, RW</v>
      </c>
      <c r="B162" t="str">
        <f t="shared" si="33"/>
        <v>Jimmy Vesey - BUF - LW, RW</v>
      </c>
      <c r="C162" t="str">
        <f t="shared" si="24"/>
        <v>Jimmy</v>
      </c>
      <c r="D162" t="str">
        <f t="shared" si="25"/>
        <v>Vesey</v>
      </c>
      <c r="E162" s="39" t="s">
        <v>1758</v>
      </c>
      <c r="F162" s="30" t="s">
        <v>10</v>
      </c>
      <c r="G162" s="35">
        <v>0</v>
      </c>
      <c r="H162" s="35" t="s">
        <v>2689</v>
      </c>
      <c r="I162" s="35" t="s">
        <v>2677</v>
      </c>
      <c r="J162" s="35">
        <v>26</v>
      </c>
      <c r="K162" s="35">
        <f>VALUE(COUNTIF(Validation!$A$2:$H$47,E162))</f>
        <v>0</v>
      </c>
      <c r="L162" s="361">
        <f t="shared" si="26"/>
        <v>2275000</v>
      </c>
      <c r="M162" s="361">
        <f t="shared" si="27"/>
        <v>0</v>
      </c>
      <c r="N162" s="358">
        <v>2275000</v>
      </c>
      <c r="O162" s="358" t="s">
        <v>7</v>
      </c>
      <c r="P162" s="358">
        <v>0</v>
      </c>
      <c r="Q162" s="358">
        <v>0</v>
      </c>
      <c r="R162" s="358">
        <v>0</v>
      </c>
      <c r="S162" s="358">
        <v>0</v>
      </c>
      <c r="T162" s="358">
        <v>0</v>
      </c>
      <c r="U162" s="35">
        <f t="shared" si="28"/>
        <v>1</v>
      </c>
      <c r="W162">
        <f t="shared" si="29"/>
        <v>1</v>
      </c>
      <c r="X162" s="35">
        <f t="shared" si="30"/>
        <v>0</v>
      </c>
      <c r="Y162">
        <f t="shared" si="31"/>
        <v>0</v>
      </c>
      <c r="AB162">
        <f t="shared" si="34"/>
        <v>1</v>
      </c>
      <c r="AC162">
        <f t="shared" ca="1" si="35"/>
        <v>0</v>
      </c>
      <c r="AD162" t="str">
        <f ca="1">IF(AC162=1,COUNTIF($AC$3:AC162,1),"")</f>
        <v/>
      </c>
      <c r="AE162" s="155" t="str">
        <f ca="1">IFERROR(INDEX(Données!$B$3:$B$1479,MATCH(ROWS($AD$3:AD162),$AD$3:$AD$1479,0)),"")</f>
        <v/>
      </c>
    </row>
    <row r="163" spans="1:31" ht="15.75" x14ac:dyDescent="0.25">
      <c r="A163" t="str">
        <f t="shared" si="32"/>
        <v>Matt Hunwick - BUF - LD</v>
      </c>
      <c r="B163" t="str">
        <f t="shared" si="33"/>
        <v>Matt Hunwick - BUF - LD</v>
      </c>
      <c r="C163" t="str">
        <f t="shared" si="24"/>
        <v>Matt</v>
      </c>
      <c r="D163" t="str">
        <f t="shared" si="25"/>
        <v>Hunwick</v>
      </c>
      <c r="E163" s="39" t="s">
        <v>1396</v>
      </c>
      <c r="F163" s="30" t="s">
        <v>10</v>
      </c>
      <c r="G163" s="35">
        <v>0</v>
      </c>
      <c r="H163" s="35" t="s">
        <v>380</v>
      </c>
      <c r="I163" s="35" t="s">
        <v>2677</v>
      </c>
      <c r="J163" s="35">
        <v>34</v>
      </c>
      <c r="K163" s="35">
        <f>VALUE(COUNTIF(Validation!$A$2:$H$47,E163))</f>
        <v>0</v>
      </c>
      <c r="L163" s="361">
        <f t="shared" si="26"/>
        <v>2250000</v>
      </c>
      <c r="M163" s="361">
        <f t="shared" si="27"/>
        <v>0</v>
      </c>
      <c r="N163" s="358">
        <v>2250000</v>
      </c>
      <c r="O163" s="358" t="s">
        <v>7</v>
      </c>
      <c r="P163" s="358">
        <v>0</v>
      </c>
      <c r="Q163" s="358">
        <v>0</v>
      </c>
      <c r="R163" s="358">
        <v>0</v>
      </c>
      <c r="S163" s="358">
        <v>0</v>
      </c>
      <c r="T163" s="358">
        <v>0</v>
      </c>
      <c r="U163" s="35">
        <f t="shared" si="28"/>
        <v>1</v>
      </c>
      <c r="W163">
        <f t="shared" si="29"/>
        <v>1</v>
      </c>
      <c r="X163" s="35">
        <f t="shared" si="30"/>
        <v>0</v>
      </c>
      <c r="Y163">
        <f t="shared" si="31"/>
        <v>0</v>
      </c>
      <c r="AB163">
        <f t="shared" si="34"/>
        <v>1</v>
      </c>
      <c r="AC163">
        <f t="shared" ca="1" si="35"/>
        <v>0</v>
      </c>
      <c r="AD163" t="str">
        <f ca="1">IF(AC163=1,COUNTIF($AC$3:AC163,1),"")</f>
        <v/>
      </c>
      <c r="AE163" s="155" t="str">
        <f ca="1">IFERROR(INDEX(Données!$B$3:$B$1479,MATCH(ROWS($AD$3:AD163),$AD$3:$AD$1479,0)),"")</f>
        <v/>
      </c>
    </row>
    <row r="164" spans="1:31" ht="15.75" x14ac:dyDescent="0.25">
      <c r="A164" t="str">
        <f t="shared" si="32"/>
        <v>Evan Rodrigues - BUF - C, LW</v>
      </c>
      <c r="B164" t="str">
        <f t="shared" si="33"/>
        <v>Evan Rodrigues - BUF - C, LW</v>
      </c>
      <c r="C164" t="str">
        <f t="shared" si="24"/>
        <v>Evan</v>
      </c>
      <c r="D164" t="str">
        <f t="shared" si="25"/>
        <v>Rodrigues</v>
      </c>
      <c r="E164" s="39" t="s">
        <v>1391</v>
      </c>
      <c r="F164" s="30" t="s">
        <v>10</v>
      </c>
      <c r="G164" s="35">
        <v>0</v>
      </c>
      <c r="H164" s="35" t="s">
        <v>2679</v>
      </c>
      <c r="I164" s="35" t="s">
        <v>2677</v>
      </c>
      <c r="J164" s="35">
        <v>26</v>
      </c>
      <c r="K164" s="35">
        <f>VALUE(COUNTIF(Validation!$A$2:$H$47,E164))</f>
        <v>0</v>
      </c>
      <c r="L164" s="361">
        <f t="shared" si="26"/>
        <v>2000000</v>
      </c>
      <c r="M164" s="361">
        <f t="shared" si="27"/>
        <v>0</v>
      </c>
      <c r="N164" s="358">
        <v>2000000</v>
      </c>
      <c r="O164" s="358" t="s">
        <v>8</v>
      </c>
      <c r="P164" s="358">
        <v>0</v>
      </c>
      <c r="Q164" s="358">
        <v>0</v>
      </c>
      <c r="R164" s="358">
        <v>0</v>
      </c>
      <c r="S164" s="358">
        <v>0</v>
      </c>
      <c r="T164" s="358">
        <v>0</v>
      </c>
      <c r="U164" s="35">
        <f t="shared" si="28"/>
        <v>1</v>
      </c>
      <c r="W164">
        <f t="shared" si="29"/>
        <v>1</v>
      </c>
      <c r="X164" s="35">
        <f t="shared" si="30"/>
        <v>0</v>
      </c>
      <c r="Y164">
        <f t="shared" si="31"/>
        <v>0</v>
      </c>
      <c r="AB164">
        <f t="shared" si="34"/>
        <v>1</v>
      </c>
      <c r="AC164">
        <f t="shared" ca="1" si="35"/>
        <v>0</v>
      </c>
      <c r="AD164" t="str">
        <f ca="1">IF(AC164=1,COUNTIF($AC$3:AC164,1),"")</f>
        <v/>
      </c>
      <c r="AE164" s="155" t="str">
        <f ca="1">IFERROR(INDEX(Données!$B$3:$B$1479,MATCH(ROWS($AD$3:AD164),$AD$3:$AD$1479,0)),"")</f>
        <v/>
      </c>
    </row>
    <row r="165" spans="1:31" ht="15.75" x14ac:dyDescent="0.25">
      <c r="A165" t="str">
        <f t="shared" si="32"/>
        <v>Dylan Cozens - BUF - C</v>
      </c>
      <c r="B165" t="str">
        <f t="shared" si="33"/>
        <v>Dylan Cozens - BUF - C</v>
      </c>
      <c r="C165" t="str">
        <f t="shared" si="24"/>
        <v>Dylan</v>
      </c>
      <c r="D165" t="str">
        <f t="shared" si="25"/>
        <v>Cozens</v>
      </c>
      <c r="E165" s="39" t="s">
        <v>2702</v>
      </c>
      <c r="F165" s="30" t="s">
        <v>10</v>
      </c>
      <c r="G165" s="35" t="s">
        <v>386</v>
      </c>
      <c r="H165" s="35" t="s">
        <v>73</v>
      </c>
      <c r="I165" s="35" t="s">
        <v>2690</v>
      </c>
      <c r="J165" s="35">
        <v>18</v>
      </c>
      <c r="K165" s="35">
        <f>VALUE(COUNTIF(Validation!$A$2:$H$47,E165))</f>
        <v>0</v>
      </c>
      <c r="L165" s="361">
        <f t="shared" si="26"/>
        <v>1775000</v>
      </c>
      <c r="M165" s="361">
        <f t="shared" si="27"/>
        <v>1775000</v>
      </c>
      <c r="N165" s="358">
        <v>1775000</v>
      </c>
      <c r="O165" s="358">
        <v>1775000</v>
      </c>
      <c r="P165" s="358">
        <v>1775000</v>
      </c>
      <c r="Q165" s="358" t="s">
        <v>8</v>
      </c>
      <c r="R165" s="358">
        <v>0</v>
      </c>
      <c r="S165" s="358">
        <v>0</v>
      </c>
      <c r="T165" s="358">
        <v>0</v>
      </c>
      <c r="U165" s="35">
        <f t="shared" si="28"/>
        <v>3</v>
      </c>
      <c r="W165">
        <f t="shared" si="29"/>
        <v>1</v>
      </c>
      <c r="X165" s="35">
        <f t="shared" si="30"/>
        <v>1</v>
      </c>
      <c r="Y165">
        <f t="shared" si="31"/>
        <v>1</v>
      </c>
      <c r="AB165">
        <f t="shared" si="34"/>
        <v>1</v>
      </c>
      <c r="AC165">
        <f t="shared" ca="1" si="35"/>
        <v>0</v>
      </c>
      <c r="AD165" t="str">
        <f ca="1">IF(AC165=1,COUNTIF($AC$3:AC165,1),"")</f>
        <v/>
      </c>
      <c r="AE165" s="155" t="str">
        <f ca="1">IFERROR(INDEX(Données!$B$3:$B$1479,MATCH(ROWS($AD$3:AD165),$AD$3:$AD$1479,0)),"")</f>
        <v/>
      </c>
    </row>
    <row r="166" spans="1:31" ht="15.75" x14ac:dyDescent="0.25">
      <c r="A166" t="str">
        <f t="shared" si="32"/>
        <v>Zemgus Girgensons - BUF - C, LW</v>
      </c>
      <c r="B166" t="str">
        <f t="shared" si="33"/>
        <v>Zemgus Girgensons - BUF - C, LW</v>
      </c>
      <c r="C166" t="str">
        <f t="shared" si="24"/>
        <v>Zemgus</v>
      </c>
      <c r="D166" t="str">
        <f t="shared" si="25"/>
        <v>Girgensons</v>
      </c>
      <c r="E166" s="39" t="s">
        <v>1386</v>
      </c>
      <c r="F166" s="30" t="s">
        <v>10</v>
      </c>
      <c r="G166" s="35">
        <v>0</v>
      </c>
      <c r="H166" s="35" t="s">
        <v>2679</v>
      </c>
      <c r="I166" s="35" t="s">
        <v>2677</v>
      </c>
      <c r="J166" s="35">
        <v>25</v>
      </c>
      <c r="K166" s="35">
        <f>VALUE(COUNTIF(Validation!$A$2:$H$47,E166))</f>
        <v>0</v>
      </c>
      <c r="L166" s="361">
        <f t="shared" si="26"/>
        <v>1600000</v>
      </c>
      <c r="M166" s="361">
        <f t="shared" si="27"/>
        <v>0</v>
      </c>
      <c r="N166" s="358">
        <v>1600000</v>
      </c>
      <c r="O166" s="358" t="s">
        <v>7</v>
      </c>
      <c r="P166" s="358">
        <v>0</v>
      </c>
      <c r="Q166" s="358">
        <v>0</v>
      </c>
      <c r="R166" s="358">
        <v>0</v>
      </c>
      <c r="S166" s="358">
        <v>0</v>
      </c>
      <c r="T166" s="358">
        <v>0</v>
      </c>
      <c r="U166" s="35">
        <f t="shared" si="28"/>
        <v>1</v>
      </c>
      <c r="W166">
        <f t="shared" si="29"/>
        <v>1</v>
      </c>
      <c r="X166" s="35">
        <f t="shared" si="30"/>
        <v>0</v>
      </c>
      <c r="Y166">
        <f t="shared" si="31"/>
        <v>0</v>
      </c>
      <c r="AB166">
        <f t="shared" si="34"/>
        <v>1</v>
      </c>
      <c r="AC166">
        <f t="shared" ca="1" si="35"/>
        <v>0</v>
      </c>
      <c r="AD166" t="str">
        <f ca="1">IF(AC166=1,COUNTIF($AC$3:AC166,1),"")</f>
        <v/>
      </c>
      <c r="AE166" s="155" t="str">
        <f ca="1">IFERROR(INDEX(Données!$B$3:$B$1479,MATCH(ROWS($AD$3:AD166),$AD$3:$AD$1479,0)),"")</f>
        <v/>
      </c>
    </row>
    <row r="167" spans="1:31" ht="15.75" x14ac:dyDescent="0.25">
      <c r="A167" t="str">
        <f t="shared" si="32"/>
        <v>Johan Larsson - BUF - C, LW</v>
      </c>
      <c r="B167" t="str">
        <f t="shared" si="33"/>
        <v>Johan Larsson - BUF - C, LW</v>
      </c>
      <c r="C167" t="str">
        <f t="shared" si="24"/>
        <v>Johan</v>
      </c>
      <c r="D167" t="str">
        <f t="shared" si="25"/>
        <v>Larsson</v>
      </c>
      <c r="E167" s="39" t="s">
        <v>1387</v>
      </c>
      <c r="F167" s="30" t="s">
        <v>10</v>
      </c>
      <c r="G167" s="35">
        <v>0</v>
      </c>
      <c r="H167" s="35" t="s">
        <v>2679</v>
      </c>
      <c r="I167" s="35" t="s">
        <v>2677</v>
      </c>
      <c r="J167" s="35">
        <v>27</v>
      </c>
      <c r="K167" s="35">
        <f>VALUE(COUNTIF(Validation!$A$2:$H$47,E167))</f>
        <v>0</v>
      </c>
      <c r="L167" s="361">
        <f t="shared" si="26"/>
        <v>1550000</v>
      </c>
      <c r="M167" s="361">
        <f t="shared" si="27"/>
        <v>0</v>
      </c>
      <c r="N167" s="358">
        <v>1550000</v>
      </c>
      <c r="O167" s="358" t="s">
        <v>7</v>
      </c>
      <c r="P167" s="358">
        <v>0</v>
      </c>
      <c r="Q167" s="358">
        <v>0</v>
      </c>
      <c r="R167" s="358">
        <v>0</v>
      </c>
      <c r="S167" s="358">
        <v>0</v>
      </c>
      <c r="T167" s="358">
        <v>0</v>
      </c>
      <c r="U167" s="35">
        <f t="shared" si="28"/>
        <v>1</v>
      </c>
      <c r="W167">
        <f t="shared" si="29"/>
        <v>1</v>
      </c>
      <c r="X167" s="35">
        <f t="shared" si="30"/>
        <v>0</v>
      </c>
      <c r="Y167">
        <f t="shared" si="31"/>
        <v>0</v>
      </c>
      <c r="AB167">
        <f t="shared" si="34"/>
        <v>1</v>
      </c>
      <c r="AC167">
        <f t="shared" ca="1" si="35"/>
        <v>0</v>
      </c>
      <c r="AD167" t="str">
        <f ca="1">IF(AC167=1,COUNTIF($AC$3:AC167,1),"")</f>
        <v/>
      </c>
      <c r="AE167" s="155" t="str">
        <f ca="1">IFERROR(INDEX(Données!$B$3:$B$1479,MATCH(ROWS($AD$3:AD167),$AD$3:$AD$1479,0)),"")</f>
        <v/>
      </c>
    </row>
    <row r="168" spans="1:31" ht="15.75" x14ac:dyDescent="0.25">
      <c r="A168" t="str">
        <f t="shared" si="32"/>
        <v>Casey Mittelstadt - BUF - C</v>
      </c>
      <c r="B168" t="str">
        <f t="shared" si="33"/>
        <v>Casey Mittelstadt - BUF - C</v>
      </c>
      <c r="C168" t="str">
        <f t="shared" si="24"/>
        <v>Casey</v>
      </c>
      <c r="D168" t="str">
        <f t="shared" si="25"/>
        <v>Mittelstadt</v>
      </c>
      <c r="E168" s="39" t="s">
        <v>1390</v>
      </c>
      <c r="F168" s="30" t="s">
        <v>10</v>
      </c>
      <c r="G168" s="35" t="s">
        <v>386</v>
      </c>
      <c r="H168" s="35" t="s">
        <v>73</v>
      </c>
      <c r="I168" s="35" t="s">
        <v>2677</v>
      </c>
      <c r="J168" s="35">
        <v>20</v>
      </c>
      <c r="K168" s="35">
        <f>VALUE(COUNTIF(Validation!$A$2:$H$47,E168))</f>
        <v>0</v>
      </c>
      <c r="L168" s="361">
        <f t="shared" si="26"/>
        <v>1491667</v>
      </c>
      <c r="M168" s="361">
        <f t="shared" si="27"/>
        <v>0</v>
      </c>
      <c r="N168" s="358">
        <v>1491667</v>
      </c>
      <c r="O168" s="358" t="s">
        <v>8</v>
      </c>
      <c r="P168" s="358">
        <v>0</v>
      </c>
      <c r="Q168" s="358">
        <v>0</v>
      </c>
      <c r="R168" s="358">
        <v>0</v>
      </c>
      <c r="S168" s="358">
        <v>0</v>
      </c>
      <c r="T168" s="358">
        <v>0</v>
      </c>
      <c r="U168" s="35">
        <f t="shared" si="28"/>
        <v>1</v>
      </c>
      <c r="W168">
        <f t="shared" si="29"/>
        <v>1</v>
      </c>
      <c r="X168" s="35">
        <f t="shared" si="30"/>
        <v>1</v>
      </c>
      <c r="Y168">
        <f t="shared" si="31"/>
        <v>0</v>
      </c>
      <c r="AB168">
        <f t="shared" si="34"/>
        <v>1</v>
      </c>
      <c r="AC168">
        <f t="shared" ca="1" si="35"/>
        <v>0</v>
      </c>
      <c r="AD168" t="str">
        <f ca="1">IF(AC168=1,COUNTIF($AC$3:AC168,1),"")</f>
        <v/>
      </c>
      <c r="AE168" s="155" t="str">
        <f ca="1">IFERROR(INDEX(Données!$B$3:$B$1479,MATCH(ROWS($AD$3:AD168),$AD$3:$AD$1479,0)),"")</f>
        <v/>
      </c>
    </row>
    <row r="169" spans="1:31" ht="15.75" x14ac:dyDescent="0.25">
      <c r="A169" t="str">
        <f t="shared" si="32"/>
        <v>Lawrence Pilut - BUF - LD</v>
      </c>
      <c r="B169" t="str">
        <f t="shared" si="33"/>
        <v>Lawrence Pilut - BUF - LD</v>
      </c>
      <c r="C169" t="str">
        <f t="shared" si="24"/>
        <v>Lawrence</v>
      </c>
      <c r="D169" t="str">
        <f t="shared" si="25"/>
        <v>Pilut</v>
      </c>
      <c r="E169" s="39" t="s">
        <v>1402</v>
      </c>
      <c r="F169" s="30" t="s">
        <v>10</v>
      </c>
      <c r="G169" s="35" t="s">
        <v>386</v>
      </c>
      <c r="H169" s="9" t="s">
        <v>380</v>
      </c>
      <c r="I169" s="9" t="s">
        <v>2690</v>
      </c>
      <c r="J169" s="9">
        <v>23</v>
      </c>
      <c r="K169" s="35">
        <f>VALUE(COUNTIF(Validation!$A$2:$H$47,E169))</f>
        <v>0</v>
      </c>
      <c r="L169" s="361">
        <f t="shared" si="26"/>
        <v>1350000</v>
      </c>
      <c r="M169" s="361">
        <f t="shared" si="27"/>
        <v>0</v>
      </c>
      <c r="N169" s="358">
        <v>1350000</v>
      </c>
      <c r="O169" s="358" t="s">
        <v>8</v>
      </c>
      <c r="P169" s="358">
        <v>0</v>
      </c>
      <c r="Q169" s="358">
        <v>0</v>
      </c>
      <c r="R169" s="358">
        <v>0</v>
      </c>
      <c r="S169" s="358">
        <v>0</v>
      </c>
      <c r="T169" s="358">
        <v>0</v>
      </c>
      <c r="U169" s="35">
        <f t="shared" si="28"/>
        <v>1</v>
      </c>
      <c r="W169">
        <f t="shared" si="29"/>
        <v>1</v>
      </c>
      <c r="X169" s="35">
        <f t="shared" si="30"/>
        <v>1</v>
      </c>
      <c r="Y169">
        <f t="shared" si="31"/>
        <v>0</v>
      </c>
      <c r="AB169">
        <f t="shared" si="34"/>
        <v>1</v>
      </c>
      <c r="AC169">
        <f t="shared" ca="1" si="35"/>
        <v>0</v>
      </c>
      <c r="AD169" t="str">
        <f ca="1">IF(AC169=1,COUNTIF($AC$3:AC169,1),"")</f>
        <v/>
      </c>
      <c r="AE169" s="155" t="str">
        <f ca="1">IFERROR(INDEX(Données!$B$3:$B$1479,MATCH(ROWS($AD$3:AD169),$AD$3:$AD$1479,0)),"")</f>
        <v/>
      </c>
    </row>
    <row r="170" spans="1:31" ht="15.75" x14ac:dyDescent="0.25">
      <c r="A170" t="str">
        <f t="shared" si="32"/>
        <v>Linus Ullmark - BUF - G</v>
      </c>
      <c r="B170" t="str">
        <f t="shared" si="33"/>
        <v>Linus Ullmark - BUF - G</v>
      </c>
      <c r="C170" t="str">
        <f t="shared" si="24"/>
        <v>Linus</v>
      </c>
      <c r="D170" t="str">
        <f t="shared" si="25"/>
        <v>Ullmark</v>
      </c>
      <c r="E170" s="39" t="s">
        <v>1400</v>
      </c>
      <c r="F170" s="30" t="s">
        <v>10</v>
      </c>
      <c r="G170" s="35">
        <v>0</v>
      </c>
      <c r="H170" s="35" t="s">
        <v>127</v>
      </c>
      <c r="I170" s="35" t="s">
        <v>2677</v>
      </c>
      <c r="J170" s="35">
        <v>26</v>
      </c>
      <c r="K170" s="35">
        <f>VALUE(COUNTIF(Validation!$A$2:$H$47,E170))</f>
        <v>0</v>
      </c>
      <c r="L170" s="361">
        <f t="shared" si="26"/>
        <v>1325000</v>
      </c>
      <c r="M170" s="361">
        <f t="shared" si="27"/>
        <v>0</v>
      </c>
      <c r="N170" s="358">
        <v>1325000</v>
      </c>
      <c r="O170" s="358" t="s">
        <v>8</v>
      </c>
      <c r="P170" s="358">
        <v>0</v>
      </c>
      <c r="Q170" s="358">
        <v>0</v>
      </c>
      <c r="R170" s="358">
        <v>0</v>
      </c>
      <c r="S170" s="358">
        <v>0</v>
      </c>
      <c r="T170" s="358">
        <v>0</v>
      </c>
      <c r="U170" s="35">
        <f t="shared" si="28"/>
        <v>1</v>
      </c>
      <c r="W170">
        <f t="shared" si="29"/>
        <v>1</v>
      </c>
      <c r="X170" s="35">
        <f t="shared" si="30"/>
        <v>0</v>
      </c>
      <c r="Y170">
        <f t="shared" si="31"/>
        <v>0</v>
      </c>
      <c r="AB170">
        <f t="shared" si="34"/>
        <v>1</v>
      </c>
      <c r="AC170">
        <f t="shared" ca="1" si="35"/>
        <v>0</v>
      </c>
      <c r="AD170" t="str">
        <f ca="1">IF(AC170=1,COUNTIF($AC$3:AC170,1),"")</f>
        <v/>
      </c>
      <c r="AE170" s="155" t="str">
        <f ca="1">IFERROR(INDEX(Données!$B$3:$B$1479,MATCH(ROWS($AD$3:AD170),$AD$3:$AD$1479,0)),"")</f>
        <v/>
      </c>
    </row>
    <row r="171" spans="1:31" ht="15.75" x14ac:dyDescent="0.25">
      <c r="A171" t="str">
        <f t="shared" si="32"/>
        <v>Henri Jokiharju - BUF - RD</v>
      </c>
      <c r="B171" t="str">
        <f t="shared" si="33"/>
        <v>Henri Jokiharju - BUF - RD</v>
      </c>
      <c r="C171" t="str">
        <f t="shared" si="24"/>
        <v>Henri</v>
      </c>
      <c r="D171" t="str">
        <f t="shared" si="25"/>
        <v>Jokiharju</v>
      </c>
      <c r="E171" s="39" t="s">
        <v>1903</v>
      </c>
      <c r="F171" s="30" t="s">
        <v>10</v>
      </c>
      <c r="G171" s="35" t="s">
        <v>386</v>
      </c>
      <c r="H171" s="9" t="s">
        <v>379</v>
      </c>
      <c r="I171" s="9" t="s">
        <v>2690</v>
      </c>
      <c r="J171" s="9">
        <v>20</v>
      </c>
      <c r="K171" s="35">
        <f>VALUE(COUNTIF(Validation!$A$2:$H$47,E171))</f>
        <v>0</v>
      </c>
      <c r="L171" s="361">
        <f t="shared" si="26"/>
        <v>1279166</v>
      </c>
      <c r="M171" s="361">
        <f t="shared" si="27"/>
        <v>1279166</v>
      </c>
      <c r="N171" s="358">
        <v>1279166</v>
      </c>
      <c r="O171" s="358">
        <v>1279166</v>
      </c>
      <c r="P171" s="358" t="s">
        <v>8</v>
      </c>
      <c r="Q171" s="358">
        <v>0</v>
      </c>
      <c r="R171" s="358">
        <v>0</v>
      </c>
      <c r="S171" s="358">
        <v>0</v>
      </c>
      <c r="T171" s="358">
        <v>0</v>
      </c>
      <c r="U171" s="35">
        <f t="shared" si="28"/>
        <v>2</v>
      </c>
      <c r="W171">
        <f t="shared" si="29"/>
        <v>1</v>
      </c>
      <c r="X171" s="35">
        <f t="shared" si="30"/>
        <v>1</v>
      </c>
      <c r="Y171">
        <f t="shared" si="31"/>
        <v>1</v>
      </c>
      <c r="AB171">
        <f t="shared" si="34"/>
        <v>1</v>
      </c>
      <c r="AC171">
        <f t="shared" ca="1" si="35"/>
        <v>0</v>
      </c>
      <c r="AD171" t="str">
        <f ca="1">IF(AC171=1,COUNTIF($AC$3:AC171,1),"")</f>
        <v/>
      </c>
      <c r="AE171" s="155" t="str">
        <f ca="1">IFERROR(INDEX(Données!$B$3:$B$1479,MATCH(ROWS($AD$3:AD171),$AD$3:$AD$1479,0)),"")</f>
        <v/>
      </c>
    </row>
    <row r="172" spans="1:31" ht="15.75" x14ac:dyDescent="0.25">
      <c r="A172" t="str">
        <f t="shared" si="32"/>
        <v>Tage Thompson - BUF - C, RW</v>
      </c>
      <c r="B172" t="str">
        <f t="shared" si="33"/>
        <v>Tage Thompson - BUF - C, RW</v>
      </c>
      <c r="C172" t="str">
        <f t="shared" si="24"/>
        <v>Tage</v>
      </c>
      <c r="D172" t="str">
        <f t="shared" si="25"/>
        <v>Thompson</v>
      </c>
      <c r="E172" s="39" t="s">
        <v>1389</v>
      </c>
      <c r="F172" s="30" t="s">
        <v>10</v>
      </c>
      <c r="G172" s="35" t="s">
        <v>386</v>
      </c>
      <c r="H172" s="35" t="s">
        <v>2684</v>
      </c>
      <c r="I172" s="35" t="s">
        <v>2690</v>
      </c>
      <c r="J172" s="35">
        <v>21</v>
      </c>
      <c r="K172" s="35">
        <f>VALUE(COUNTIF(Validation!$A$2:$H$47,E172))</f>
        <v>0</v>
      </c>
      <c r="L172" s="361">
        <f t="shared" si="26"/>
        <v>1137500</v>
      </c>
      <c r="M172" s="361">
        <f t="shared" si="27"/>
        <v>0</v>
      </c>
      <c r="N172" s="358">
        <v>1137500</v>
      </c>
      <c r="O172" s="358" t="s">
        <v>8</v>
      </c>
      <c r="P172" s="358">
        <v>0</v>
      </c>
      <c r="Q172" s="358">
        <v>0</v>
      </c>
      <c r="R172" s="358">
        <v>0</v>
      </c>
      <c r="S172" s="358">
        <v>0</v>
      </c>
      <c r="T172" s="358">
        <v>0</v>
      </c>
      <c r="U172" s="35">
        <f t="shared" si="28"/>
        <v>1</v>
      </c>
      <c r="W172">
        <f t="shared" si="29"/>
        <v>1</v>
      </c>
      <c r="X172" s="35">
        <f t="shared" si="30"/>
        <v>1</v>
      </c>
      <c r="Y172">
        <f t="shared" si="31"/>
        <v>0</v>
      </c>
      <c r="AB172">
        <f t="shared" si="34"/>
        <v>1</v>
      </c>
      <c r="AC172">
        <f t="shared" ca="1" si="35"/>
        <v>0</v>
      </c>
      <c r="AD172" t="str">
        <f ca="1">IF(AC172=1,COUNTIF($AC$3:AC172,1),"")</f>
        <v/>
      </c>
      <c r="AE172" s="155" t="str">
        <f ca="1">IFERROR(INDEX(Données!$B$3:$B$1479,MATCH(ROWS($AD$3:AD172),$AD$3:$AD$1479,0)),"")</f>
        <v/>
      </c>
    </row>
    <row r="173" spans="1:31" ht="15.75" x14ac:dyDescent="0.25">
      <c r="A173" t="str">
        <f t="shared" si="32"/>
        <v>Scott Wilson - BUF - LW</v>
      </c>
      <c r="B173" t="str">
        <f t="shared" si="33"/>
        <v>Scott Wilson - BUF - LW</v>
      </c>
      <c r="C173" t="str">
        <f t="shared" si="24"/>
        <v>Scott</v>
      </c>
      <c r="D173" t="str">
        <f t="shared" si="25"/>
        <v>Wilson</v>
      </c>
      <c r="E173" s="39" t="s">
        <v>1388</v>
      </c>
      <c r="F173" s="30" t="s">
        <v>10</v>
      </c>
      <c r="G173" s="35">
        <v>0</v>
      </c>
      <c r="H173" s="35" t="s">
        <v>93</v>
      </c>
      <c r="I173" s="9" t="s">
        <v>2677</v>
      </c>
      <c r="J173" s="35">
        <v>27</v>
      </c>
      <c r="K173" s="35">
        <f>VALUE(COUNTIF(Validation!$A$2:$H$47,E173))</f>
        <v>0</v>
      </c>
      <c r="L173" s="361">
        <f t="shared" si="26"/>
        <v>1050000</v>
      </c>
      <c r="M173" s="361">
        <f t="shared" si="27"/>
        <v>0</v>
      </c>
      <c r="N173" s="358">
        <v>1050000</v>
      </c>
      <c r="O173" s="358" t="s">
        <v>7</v>
      </c>
      <c r="P173" s="358">
        <v>0</v>
      </c>
      <c r="Q173" s="358">
        <v>0</v>
      </c>
      <c r="R173" s="358">
        <v>0</v>
      </c>
      <c r="S173" s="358">
        <v>0</v>
      </c>
      <c r="T173" s="358">
        <v>0</v>
      </c>
      <c r="U173" s="35">
        <f t="shared" si="28"/>
        <v>1</v>
      </c>
      <c r="W173">
        <f t="shared" si="29"/>
        <v>1</v>
      </c>
      <c r="X173" s="35">
        <f t="shared" si="30"/>
        <v>0</v>
      </c>
      <c r="Y173">
        <f t="shared" si="31"/>
        <v>0</v>
      </c>
      <c r="AB173">
        <f t="shared" si="34"/>
        <v>1</v>
      </c>
      <c r="AC173">
        <f t="shared" ca="1" si="35"/>
        <v>0</v>
      </c>
      <c r="AD173" t="str">
        <f ca="1">IF(AC173=1,COUNTIF($AC$3:AC173,1),"")</f>
        <v/>
      </c>
      <c r="AE173" s="155" t="str">
        <f ca="1">IFERROR(INDEX(Données!$B$3:$B$1479,MATCH(ROWS($AD$3:AD173),$AD$3:$AD$1479,0)),"")</f>
        <v/>
      </c>
    </row>
    <row r="174" spans="1:31" ht="15.75" x14ac:dyDescent="0.25">
      <c r="A174" t="str">
        <f t="shared" si="32"/>
        <v>Matej Pekar - BUF - C, RW</v>
      </c>
      <c r="B174" t="str">
        <f t="shared" si="33"/>
        <v>Matej Pekar - BUF - C, RW</v>
      </c>
      <c r="C174" t="str">
        <f t="shared" si="24"/>
        <v>Matej</v>
      </c>
      <c r="D174" t="str">
        <f t="shared" si="25"/>
        <v>Pekar</v>
      </c>
      <c r="E174" s="39" t="s">
        <v>2629</v>
      </c>
      <c r="F174" s="30" t="s">
        <v>10</v>
      </c>
      <c r="G174" s="35" t="s">
        <v>386</v>
      </c>
      <c r="H174" s="9" t="s">
        <v>2684</v>
      </c>
      <c r="I174" s="9" t="s">
        <v>2690</v>
      </c>
      <c r="J174" s="9">
        <v>19</v>
      </c>
      <c r="K174" s="35">
        <f>VALUE(COUNTIF(Validation!$A$2:$H$47,E174))</f>
        <v>0</v>
      </c>
      <c r="L174" s="361">
        <f t="shared" si="26"/>
        <v>927500</v>
      </c>
      <c r="M174" s="361">
        <f t="shared" si="27"/>
        <v>927500</v>
      </c>
      <c r="N174" s="358">
        <v>927500</v>
      </c>
      <c r="O174" s="358">
        <v>927500</v>
      </c>
      <c r="P174" s="358">
        <v>927500</v>
      </c>
      <c r="Q174" s="358" t="s">
        <v>8</v>
      </c>
      <c r="R174" s="358">
        <v>0</v>
      </c>
      <c r="S174" s="358">
        <v>0</v>
      </c>
      <c r="T174" s="358">
        <v>0</v>
      </c>
      <c r="U174" s="35">
        <f t="shared" si="28"/>
        <v>3</v>
      </c>
      <c r="W174">
        <f t="shared" si="29"/>
        <v>1</v>
      </c>
      <c r="X174" s="35">
        <f t="shared" si="30"/>
        <v>1</v>
      </c>
      <c r="Y174">
        <f t="shared" si="31"/>
        <v>1</v>
      </c>
      <c r="AB174">
        <f t="shared" si="34"/>
        <v>1</v>
      </c>
      <c r="AC174">
        <f t="shared" ca="1" si="35"/>
        <v>0</v>
      </c>
      <c r="AD174" t="str">
        <f ca="1">IF(AC174=1,COUNTIF($AC$3:AC174,1),"")</f>
        <v/>
      </c>
      <c r="AE174" s="155" t="str">
        <f ca="1">IFERROR(INDEX(Données!$B$3:$B$1479,MATCH(ROWS($AD$3:AD174),$AD$3:$AD$1479,0)),"")</f>
        <v/>
      </c>
    </row>
    <row r="175" spans="1:31" ht="15.75" x14ac:dyDescent="0.25">
      <c r="A175" t="str">
        <f t="shared" si="32"/>
        <v>Rasmus Asplund - BUF - C, LW</v>
      </c>
      <c r="B175" t="str">
        <f t="shared" si="33"/>
        <v>Rasmus Asplund - BUF - C, LW</v>
      </c>
      <c r="C175" t="str">
        <f t="shared" si="24"/>
        <v>Rasmus</v>
      </c>
      <c r="D175" t="str">
        <f t="shared" si="25"/>
        <v>Asplund</v>
      </c>
      <c r="E175" s="39" t="s">
        <v>1408</v>
      </c>
      <c r="F175" s="30" t="s">
        <v>10</v>
      </c>
      <c r="G175" s="35" t="s">
        <v>386</v>
      </c>
      <c r="H175" s="35" t="s">
        <v>2679</v>
      </c>
      <c r="I175" s="35" t="s">
        <v>2690</v>
      </c>
      <c r="J175" s="35">
        <v>21</v>
      </c>
      <c r="K175" s="35">
        <f>VALUE(COUNTIF(Validation!$A$2:$H$47,E175))</f>
        <v>0</v>
      </c>
      <c r="L175" s="361">
        <f t="shared" si="26"/>
        <v>925000</v>
      </c>
      <c r="M175" s="361">
        <f t="shared" si="27"/>
        <v>925000</v>
      </c>
      <c r="N175" s="358">
        <v>925000</v>
      </c>
      <c r="O175" s="358">
        <v>925000</v>
      </c>
      <c r="P175" s="358" t="s">
        <v>8</v>
      </c>
      <c r="Q175" s="358">
        <v>0</v>
      </c>
      <c r="R175" s="358">
        <v>0</v>
      </c>
      <c r="S175" s="358">
        <v>0</v>
      </c>
      <c r="T175" s="358">
        <v>0</v>
      </c>
      <c r="U175" s="35">
        <f t="shared" si="28"/>
        <v>2</v>
      </c>
      <c r="W175">
        <f t="shared" si="29"/>
        <v>1</v>
      </c>
      <c r="X175" s="35">
        <f t="shared" si="30"/>
        <v>1</v>
      </c>
      <c r="Y175">
        <f t="shared" si="31"/>
        <v>1</v>
      </c>
      <c r="AB175">
        <f t="shared" si="34"/>
        <v>1</v>
      </c>
      <c r="AC175">
        <f t="shared" ca="1" si="35"/>
        <v>0</v>
      </c>
      <c r="AD175" t="str">
        <f ca="1">IF(AC175=1,COUNTIF($AC$3:AC175,1),"")</f>
        <v/>
      </c>
      <c r="AE175" s="155" t="str">
        <f ca="1">IFERROR(INDEX(Données!$B$3:$B$1479,MATCH(ROWS($AD$3:AD175),$AD$3:$AD$1479,0)),"")</f>
        <v/>
      </c>
    </row>
    <row r="176" spans="1:31" ht="15.75" x14ac:dyDescent="0.25">
      <c r="A176" t="str">
        <f t="shared" si="32"/>
        <v>William Borgen - BUF - RD</v>
      </c>
      <c r="B176" t="str">
        <f t="shared" si="33"/>
        <v>William Borgen - BUF - RD</v>
      </c>
      <c r="C176" t="str">
        <f t="shared" si="24"/>
        <v>William</v>
      </c>
      <c r="D176" t="str">
        <f t="shared" si="25"/>
        <v>Borgen</v>
      </c>
      <c r="E176" s="39" t="s">
        <v>1406</v>
      </c>
      <c r="F176" s="30" t="s">
        <v>10</v>
      </c>
      <c r="G176" s="35" t="s">
        <v>386</v>
      </c>
      <c r="H176" s="35" t="s">
        <v>379</v>
      </c>
      <c r="I176" s="35" t="s">
        <v>2690</v>
      </c>
      <c r="J176" s="35">
        <v>22</v>
      </c>
      <c r="K176" s="35">
        <f>VALUE(COUNTIF(Validation!$A$2:$H$47,E176))</f>
        <v>0</v>
      </c>
      <c r="L176" s="361">
        <f t="shared" si="26"/>
        <v>925000</v>
      </c>
      <c r="M176" s="361">
        <f t="shared" si="27"/>
        <v>925000</v>
      </c>
      <c r="N176" s="358">
        <v>925000</v>
      </c>
      <c r="O176" s="358">
        <v>925000</v>
      </c>
      <c r="P176" s="358" t="s">
        <v>8</v>
      </c>
      <c r="Q176" s="358">
        <v>0</v>
      </c>
      <c r="R176" s="358">
        <v>0</v>
      </c>
      <c r="S176" s="358">
        <v>0</v>
      </c>
      <c r="T176" s="358">
        <v>0</v>
      </c>
      <c r="U176" s="35">
        <f t="shared" si="28"/>
        <v>2</v>
      </c>
      <c r="W176">
        <f t="shared" si="29"/>
        <v>1</v>
      </c>
      <c r="X176" s="35">
        <f t="shared" si="30"/>
        <v>1</v>
      </c>
      <c r="Y176">
        <f t="shared" si="31"/>
        <v>1</v>
      </c>
      <c r="AB176">
        <f t="shared" si="34"/>
        <v>1</v>
      </c>
      <c r="AC176">
        <f t="shared" ca="1" si="35"/>
        <v>0</v>
      </c>
      <c r="AD176" t="str">
        <f ca="1">IF(AC176=1,COUNTIF($AC$3:AC176,1),"")</f>
        <v/>
      </c>
      <c r="AE176" s="155" t="str">
        <f ca="1">IFERROR(INDEX(Données!$B$3:$B$1479,MATCH(ROWS($AD$3:AD176),$AD$3:$AD$1479,0)),"")</f>
        <v/>
      </c>
    </row>
    <row r="177" spans="1:31" ht="15.75" x14ac:dyDescent="0.25">
      <c r="A177" t="str">
        <f t="shared" si="32"/>
        <v>Jacob Bryson - BUF - D</v>
      </c>
      <c r="B177" t="str">
        <f t="shared" si="33"/>
        <v>Jacob Bryson - BUF - D</v>
      </c>
      <c r="C177" t="str">
        <f t="shared" si="24"/>
        <v>Jacob</v>
      </c>
      <c r="D177" t="str">
        <f t="shared" si="25"/>
        <v>Bryson</v>
      </c>
      <c r="E177" s="39" t="s">
        <v>2630</v>
      </c>
      <c r="F177" s="30" t="s">
        <v>10</v>
      </c>
      <c r="G177" s="35" t="s">
        <v>386</v>
      </c>
      <c r="H177" s="35" t="s">
        <v>82</v>
      </c>
      <c r="I177" s="35" t="s">
        <v>2690</v>
      </c>
      <c r="J177" s="35">
        <v>21</v>
      </c>
      <c r="K177" s="35">
        <f>VALUE(COUNTIF(Validation!$A$2:$H$47,E177))</f>
        <v>0</v>
      </c>
      <c r="L177" s="361">
        <f t="shared" si="26"/>
        <v>925000</v>
      </c>
      <c r="M177" s="361">
        <f t="shared" si="27"/>
        <v>925000</v>
      </c>
      <c r="N177" s="358">
        <v>925000</v>
      </c>
      <c r="O177" s="358">
        <v>925000</v>
      </c>
      <c r="P177" s="358">
        <v>925000</v>
      </c>
      <c r="Q177" s="358" t="s">
        <v>8</v>
      </c>
      <c r="R177" s="358">
        <v>0</v>
      </c>
      <c r="S177" s="358">
        <v>0</v>
      </c>
      <c r="T177" s="358">
        <v>0</v>
      </c>
      <c r="U177" s="35">
        <f t="shared" si="28"/>
        <v>3</v>
      </c>
      <c r="W177">
        <f t="shared" si="29"/>
        <v>1</v>
      </c>
      <c r="X177" s="35">
        <f t="shared" si="30"/>
        <v>1</v>
      </c>
      <c r="Y177">
        <f t="shared" si="31"/>
        <v>1</v>
      </c>
      <c r="AB177">
        <f t="shared" si="34"/>
        <v>1</v>
      </c>
      <c r="AC177">
        <f t="shared" ca="1" si="35"/>
        <v>0</v>
      </c>
      <c r="AD177" t="str">
        <f ca="1">IF(AC177=1,COUNTIF($AC$3:AC177,1),"")</f>
        <v/>
      </c>
      <c r="AE177" s="155" t="str">
        <f ca="1">IFERROR(INDEX(Données!$B$3:$B$1479,MATCH(ROWS($AD$3:AD177),$AD$3:$AD$1479,0)),"")</f>
        <v/>
      </c>
    </row>
    <row r="178" spans="1:31" ht="15.75" x14ac:dyDescent="0.25">
      <c r="A178" t="str">
        <f t="shared" si="32"/>
        <v>Casey Fitzgerald - BUF - RD</v>
      </c>
      <c r="B178" t="str">
        <f t="shared" si="33"/>
        <v>Casey Fitzgerald - BUF - RD</v>
      </c>
      <c r="C178" t="str">
        <f t="shared" si="24"/>
        <v>Casey</v>
      </c>
      <c r="D178" t="str">
        <f t="shared" si="25"/>
        <v>Fitzgerald</v>
      </c>
      <c r="E178" s="39" t="s">
        <v>2631</v>
      </c>
      <c r="F178" s="30" t="s">
        <v>10</v>
      </c>
      <c r="G178" s="35" t="s">
        <v>386</v>
      </c>
      <c r="H178" s="35" t="s">
        <v>379</v>
      </c>
      <c r="I178" s="9" t="s">
        <v>2690</v>
      </c>
      <c r="J178" s="35">
        <v>22</v>
      </c>
      <c r="K178" s="35">
        <f>VALUE(COUNTIF(Validation!$A$2:$H$47,E178))</f>
        <v>0</v>
      </c>
      <c r="L178" s="361">
        <f t="shared" si="26"/>
        <v>925000</v>
      </c>
      <c r="M178" s="361">
        <f t="shared" si="27"/>
        <v>925000</v>
      </c>
      <c r="N178" s="358">
        <v>925000</v>
      </c>
      <c r="O178" s="358">
        <v>925000</v>
      </c>
      <c r="P178" s="358" t="s">
        <v>8</v>
      </c>
      <c r="Q178" s="358">
        <v>0</v>
      </c>
      <c r="R178" s="358">
        <v>0</v>
      </c>
      <c r="S178" s="358">
        <v>0</v>
      </c>
      <c r="T178" s="358">
        <v>0</v>
      </c>
      <c r="U178" s="35">
        <f t="shared" si="28"/>
        <v>2</v>
      </c>
      <c r="W178">
        <f t="shared" si="29"/>
        <v>1</v>
      </c>
      <c r="X178" s="35">
        <f t="shared" si="30"/>
        <v>1</v>
      </c>
      <c r="Y178">
        <f t="shared" si="31"/>
        <v>1</v>
      </c>
      <c r="AB178">
        <f t="shared" si="34"/>
        <v>1</v>
      </c>
      <c r="AC178">
        <f t="shared" ca="1" si="35"/>
        <v>0</v>
      </c>
      <c r="AD178" t="str">
        <f ca="1">IF(AC178=1,COUNTIF($AC$3:AC178,1),"")</f>
        <v/>
      </c>
      <c r="AE178" s="155" t="str">
        <f ca="1">IFERROR(INDEX(Données!$B$3:$B$1479,MATCH(ROWS($AD$3:AD178),$AD$3:$AD$1479,0)),"")</f>
        <v/>
      </c>
    </row>
    <row r="179" spans="1:31" ht="15.75" x14ac:dyDescent="0.25">
      <c r="A179" t="str">
        <f t="shared" si="32"/>
        <v>Brandon Hickey - BUF - LD</v>
      </c>
      <c r="B179" t="str">
        <f t="shared" si="33"/>
        <v>Brandon Hickey - BUF - LD</v>
      </c>
      <c r="C179" t="str">
        <f t="shared" si="24"/>
        <v>Brandon</v>
      </c>
      <c r="D179" t="str">
        <f t="shared" si="25"/>
        <v>Hickey</v>
      </c>
      <c r="E179" s="39" t="s">
        <v>1403</v>
      </c>
      <c r="F179" s="30" t="s">
        <v>10</v>
      </c>
      <c r="G179" s="35" t="s">
        <v>386</v>
      </c>
      <c r="H179" s="35" t="s">
        <v>380</v>
      </c>
      <c r="I179" s="35" t="s">
        <v>2690</v>
      </c>
      <c r="J179" s="35">
        <v>23</v>
      </c>
      <c r="K179" s="35">
        <f>VALUE(COUNTIF(Validation!$A$2:$H$47,E179))</f>
        <v>0</v>
      </c>
      <c r="L179" s="361">
        <f t="shared" si="26"/>
        <v>925000</v>
      </c>
      <c r="M179" s="361">
        <f t="shared" si="27"/>
        <v>0</v>
      </c>
      <c r="N179" s="358">
        <v>925000</v>
      </c>
      <c r="O179" s="358" t="s">
        <v>8</v>
      </c>
      <c r="P179" s="358">
        <v>0</v>
      </c>
      <c r="Q179" s="358">
        <v>0</v>
      </c>
      <c r="R179" s="358">
        <v>0</v>
      </c>
      <c r="S179" s="358">
        <v>0</v>
      </c>
      <c r="T179" s="358">
        <v>0</v>
      </c>
      <c r="U179" s="35">
        <f t="shared" si="28"/>
        <v>1</v>
      </c>
      <c r="W179">
        <f t="shared" si="29"/>
        <v>1</v>
      </c>
      <c r="X179" s="35">
        <f t="shared" si="30"/>
        <v>1</v>
      </c>
      <c r="Y179">
        <f t="shared" si="31"/>
        <v>0</v>
      </c>
      <c r="AB179">
        <f t="shared" si="34"/>
        <v>1</v>
      </c>
      <c r="AC179">
        <f t="shared" ca="1" si="35"/>
        <v>0</v>
      </c>
      <c r="AD179" t="str">
        <f ca="1">IF(AC179=1,COUNTIF($AC$3:AC179,1),"")</f>
        <v/>
      </c>
      <c r="AE179" s="155" t="str">
        <f ca="1">IFERROR(INDEX(Données!$B$3:$B$1479,MATCH(ROWS($AD$3:AD179),$AD$3:$AD$1479,0)),"")</f>
        <v/>
      </c>
    </row>
    <row r="180" spans="1:31" ht="15.75" x14ac:dyDescent="0.25">
      <c r="A180" t="str">
        <f t="shared" si="32"/>
        <v>Jonas Johansson - BUF - G</v>
      </c>
      <c r="B180" t="str">
        <f t="shared" si="33"/>
        <v>Jonas Johansson - BUF - G</v>
      </c>
      <c r="C180" t="str">
        <f t="shared" si="24"/>
        <v>Jonas</v>
      </c>
      <c r="D180" t="str">
        <f t="shared" si="25"/>
        <v>Johansson</v>
      </c>
      <c r="E180" s="39" t="s">
        <v>1412</v>
      </c>
      <c r="F180" s="30" t="s">
        <v>10</v>
      </c>
      <c r="G180" s="35" t="s">
        <v>386</v>
      </c>
      <c r="H180" s="35" t="s">
        <v>127</v>
      </c>
      <c r="I180" s="35" t="s">
        <v>2690</v>
      </c>
      <c r="J180" s="35">
        <v>23</v>
      </c>
      <c r="K180" s="35">
        <f>VALUE(COUNTIF(Validation!$A$2:$H$47,E180))</f>
        <v>0</v>
      </c>
      <c r="L180" s="361">
        <f t="shared" si="26"/>
        <v>925000</v>
      </c>
      <c r="M180" s="361">
        <f t="shared" si="27"/>
        <v>0</v>
      </c>
      <c r="N180" s="358">
        <v>925000</v>
      </c>
      <c r="O180" s="358" t="s">
        <v>8</v>
      </c>
      <c r="P180" s="358">
        <v>0</v>
      </c>
      <c r="Q180" s="358">
        <v>0</v>
      </c>
      <c r="R180" s="358">
        <v>0</v>
      </c>
      <c r="S180" s="358">
        <v>0</v>
      </c>
      <c r="T180" s="358">
        <v>0</v>
      </c>
      <c r="U180" s="35">
        <f t="shared" si="28"/>
        <v>1</v>
      </c>
      <c r="W180">
        <f t="shared" si="29"/>
        <v>1</v>
      </c>
      <c r="X180" s="35">
        <f t="shared" si="30"/>
        <v>1</v>
      </c>
      <c r="Y180">
        <f t="shared" si="31"/>
        <v>0</v>
      </c>
      <c r="AB180">
        <f t="shared" si="34"/>
        <v>1</v>
      </c>
      <c r="AC180">
        <f t="shared" ca="1" si="35"/>
        <v>0</v>
      </c>
      <c r="AD180" t="str">
        <f ca="1">IF(AC180=1,COUNTIF($AC$3:AC180,1),"")</f>
        <v/>
      </c>
      <c r="AE180" s="155" t="str">
        <f ca="1">IFERROR(INDEX(Données!$B$3:$B$1479,MATCH(ROWS($AD$3:AD180),$AD$3:$AD$1479,0)),"")</f>
        <v/>
      </c>
    </row>
    <row r="181" spans="1:31" ht="15.75" x14ac:dyDescent="0.25">
      <c r="A181" t="str">
        <f t="shared" si="32"/>
        <v>Andrew Oglevie - BUF - C</v>
      </c>
      <c r="B181" t="str">
        <f t="shared" si="33"/>
        <v>Andrew Oglevie - BUF - C</v>
      </c>
      <c r="C181" t="str">
        <f t="shared" si="24"/>
        <v>Andrew</v>
      </c>
      <c r="D181" t="str">
        <f t="shared" si="25"/>
        <v>Oglevie</v>
      </c>
      <c r="E181" s="39" t="s">
        <v>1401</v>
      </c>
      <c r="F181" s="30" t="s">
        <v>10</v>
      </c>
      <c r="G181" s="35" t="s">
        <v>386</v>
      </c>
      <c r="H181" s="35" t="s">
        <v>73</v>
      </c>
      <c r="I181" s="35" t="s">
        <v>2690</v>
      </c>
      <c r="J181" s="35">
        <v>24</v>
      </c>
      <c r="K181" s="35">
        <f>VALUE(COUNTIF(Validation!$A$2:$H$47,E181))</f>
        <v>0</v>
      </c>
      <c r="L181" s="361">
        <f t="shared" si="26"/>
        <v>925000</v>
      </c>
      <c r="M181" s="361">
        <f t="shared" si="27"/>
        <v>0</v>
      </c>
      <c r="N181" s="358">
        <v>925000</v>
      </c>
      <c r="O181" s="358" t="s">
        <v>8</v>
      </c>
      <c r="P181" s="358">
        <v>0</v>
      </c>
      <c r="Q181" s="358">
        <v>0</v>
      </c>
      <c r="R181" s="358">
        <v>0</v>
      </c>
      <c r="S181" s="358">
        <v>0</v>
      </c>
      <c r="T181" s="358">
        <v>0</v>
      </c>
      <c r="U181" s="35">
        <f t="shared" si="28"/>
        <v>1</v>
      </c>
      <c r="W181">
        <f t="shared" si="29"/>
        <v>1</v>
      </c>
      <c r="X181" s="35">
        <f t="shared" si="30"/>
        <v>1</v>
      </c>
      <c r="Y181">
        <f t="shared" si="31"/>
        <v>0</v>
      </c>
      <c r="AB181">
        <f t="shared" si="34"/>
        <v>1</v>
      </c>
      <c r="AC181">
        <f t="shared" ca="1" si="35"/>
        <v>0</v>
      </c>
      <c r="AD181" t="str">
        <f ca="1">IF(AC181=1,COUNTIF($AC$3:AC181,1),"")</f>
        <v/>
      </c>
      <c r="AE181" s="155" t="str">
        <f ca="1">IFERROR(INDEX(Données!$B$3:$B$1479,MATCH(ROWS($AD$3:AD181),$AD$3:$AD$1479,0)),"")</f>
        <v/>
      </c>
    </row>
    <row r="182" spans="1:31" ht="15.75" x14ac:dyDescent="0.25">
      <c r="A182" t="str">
        <f t="shared" si="32"/>
        <v>Victor Olofsson - BUF - LW, RW</v>
      </c>
      <c r="B182" t="str">
        <f t="shared" si="33"/>
        <v>Victor Olofsson - BUF - LW, RW</v>
      </c>
      <c r="C182" t="str">
        <f t="shared" si="24"/>
        <v>Victor</v>
      </c>
      <c r="D182" t="str">
        <f t="shared" si="25"/>
        <v>Olofsson</v>
      </c>
      <c r="E182" s="39" t="s">
        <v>1411</v>
      </c>
      <c r="F182" s="30" t="s">
        <v>10</v>
      </c>
      <c r="G182" s="35" t="s">
        <v>386</v>
      </c>
      <c r="H182" s="35" t="s">
        <v>2689</v>
      </c>
      <c r="I182" s="35" t="s">
        <v>2690</v>
      </c>
      <c r="J182" s="35">
        <v>24</v>
      </c>
      <c r="K182" s="35">
        <f>VALUE(COUNTIF(Validation!$A$2:$H$47,E182))</f>
        <v>0</v>
      </c>
      <c r="L182" s="361">
        <f t="shared" si="26"/>
        <v>925000</v>
      </c>
      <c r="M182" s="361">
        <f t="shared" si="27"/>
        <v>0</v>
      </c>
      <c r="N182" s="358">
        <v>925000</v>
      </c>
      <c r="O182" s="358" t="s">
        <v>8</v>
      </c>
      <c r="P182" s="358">
        <v>0</v>
      </c>
      <c r="Q182" s="358">
        <v>0</v>
      </c>
      <c r="R182" s="358">
        <v>0</v>
      </c>
      <c r="S182" s="358">
        <v>0</v>
      </c>
      <c r="T182" s="358">
        <v>0</v>
      </c>
      <c r="U182" s="35">
        <f t="shared" si="28"/>
        <v>1</v>
      </c>
      <c r="W182">
        <f t="shared" si="29"/>
        <v>1</v>
      </c>
      <c r="X182" s="35">
        <f t="shared" si="30"/>
        <v>1</v>
      </c>
      <c r="Y182">
        <f t="shared" si="31"/>
        <v>0</v>
      </c>
      <c r="AB182">
        <f t="shared" si="34"/>
        <v>1</v>
      </c>
      <c r="AC182">
        <f t="shared" ca="1" si="35"/>
        <v>0</v>
      </c>
      <c r="AD182" t="str">
        <f ca="1">IF(AC182=1,COUNTIF($AC$3:AC182,1),"")</f>
        <v/>
      </c>
      <c r="AE182" s="155" t="str">
        <f ca="1">IFERROR(INDEX(Données!$B$3:$B$1479,MATCH(ROWS($AD$3:AD182),$AD$3:$AD$1479,0)),"")</f>
        <v/>
      </c>
    </row>
    <row r="183" spans="1:31" ht="15.75" x14ac:dyDescent="0.25">
      <c r="A183" t="str">
        <f t="shared" si="32"/>
        <v>Arttu Ruotsalainen - BUF - C, LW</v>
      </c>
      <c r="B183" t="str">
        <f t="shared" si="33"/>
        <v>Arttu Ruotsalainen - BUF - C, LW</v>
      </c>
      <c r="C183" t="str">
        <f t="shared" si="24"/>
        <v>Arttu</v>
      </c>
      <c r="D183" t="str">
        <f t="shared" si="25"/>
        <v>Ruotsalainen</v>
      </c>
      <c r="E183" s="39" t="s">
        <v>2628</v>
      </c>
      <c r="F183" s="30" t="s">
        <v>10</v>
      </c>
      <c r="G183" s="35" t="s">
        <v>386</v>
      </c>
      <c r="H183" s="35" t="s">
        <v>2679</v>
      </c>
      <c r="I183" s="35" t="s">
        <v>2690</v>
      </c>
      <c r="J183" s="35">
        <v>21</v>
      </c>
      <c r="K183" s="35">
        <f>VALUE(COUNTIF(Validation!$A$2:$H$47,E183))</f>
        <v>0</v>
      </c>
      <c r="L183" s="361">
        <f t="shared" si="26"/>
        <v>925000</v>
      </c>
      <c r="M183" s="361">
        <f t="shared" si="27"/>
        <v>925000</v>
      </c>
      <c r="N183" s="358">
        <v>925000</v>
      </c>
      <c r="O183" s="358">
        <v>925000</v>
      </c>
      <c r="P183" s="358">
        <v>925000</v>
      </c>
      <c r="Q183" s="358" t="s">
        <v>8</v>
      </c>
      <c r="R183" s="358">
        <v>0</v>
      </c>
      <c r="S183" s="358">
        <v>0</v>
      </c>
      <c r="T183" s="358">
        <v>0</v>
      </c>
      <c r="U183" s="35">
        <f t="shared" si="28"/>
        <v>3</v>
      </c>
      <c r="W183">
        <f t="shared" si="29"/>
        <v>1</v>
      </c>
      <c r="X183" s="35">
        <f t="shared" si="30"/>
        <v>1</v>
      </c>
      <c r="Y183">
        <f t="shared" si="31"/>
        <v>1</v>
      </c>
      <c r="AB183">
        <f t="shared" si="34"/>
        <v>1</v>
      </c>
      <c r="AC183">
        <f t="shared" ca="1" si="35"/>
        <v>0</v>
      </c>
      <c r="AD183" t="str">
        <f ca="1">IF(AC183=1,COUNTIF($AC$3:AC183,1),"")</f>
        <v/>
      </c>
      <c r="AE183" s="155" t="str">
        <f ca="1">IFERROR(INDEX(Données!$B$3:$B$1479,MATCH(ROWS($AD$3:AD183),$AD$3:$AD$1479,0)),"")</f>
        <v/>
      </c>
    </row>
    <row r="184" spans="1:31" ht="15.75" x14ac:dyDescent="0.25">
      <c r="A184" t="str">
        <f t="shared" si="32"/>
        <v>Ukko-Pekka Luukkonen - BUF - G</v>
      </c>
      <c r="B184" t="str">
        <f t="shared" si="33"/>
        <v>Ukko-Pekka Luukkonen - BUF - G</v>
      </c>
      <c r="C184" t="str">
        <f t="shared" si="24"/>
        <v>Ukko-Pekka</v>
      </c>
      <c r="D184" t="str">
        <f t="shared" si="25"/>
        <v>Luukkonen</v>
      </c>
      <c r="E184" s="39" t="s">
        <v>1410</v>
      </c>
      <c r="F184" s="30" t="s">
        <v>10</v>
      </c>
      <c r="G184" s="35" t="s">
        <v>386</v>
      </c>
      <c r="H184" s="35" t="s">
        <v>127</v>
      </c>
      <c r="I184" s="35" t="s">
        <v>2690</v>
      </c>
      <c r="J184" s="35">
        <v>20</v>
      </c>
      <c r="K184" s="35">
        <f>VALUE(COUNTIF(Validation!$A$2:$H$47,E184))</f>
        <v>0</v>
      </c>
      <c r="L184" s="361">
        <f t="shared" si="26"/>
        <v>910833</v>
      </c>
      <c r="M184" s="361">
        <f t="shared" si="27"/>
        <v>910833</v>
      </c>
      <c r="N184" s="358">
        <v>910833</v>
      </c>
      <c r="O184" s="358">
        <v>910833</v>
      </c>
      <c r="P184" s="358">
        <v>910833</v>
      </c>
      <c r="Q184" s="358" t="s">
        <v>8</v>
      </c>
      <c r="R184" s="358">
        <v>0</v>
      </c>
      <c r="S184" s="358">
        <v>0</v>
      </c>
      <c r="T184" s="358">
        <v>0</v>
      </c>
      <c r="U184" s="35">
        <f t="shared" si="28"/>
        <v>3</v>
      </c>
      <c r="W184">
        <f t="shared" si="29"/>
        <v>1</v>
      </c>
      <c r="X184" s="35">
        <f t="shared" si="30"/>
        <v>1</v>
      </c>
      <c r="Y184">
        <f t="shared" si="31"/>
        <v>1</v>
      </c>
      <c r="AB184">
        <f t="shared" si="34"/>
        <v>1</v>
      </c>
      <c r="AC184">
        <f t="shared" ca="1" si="35"/>
        <v>0</v>
      </c>
      <c r="AD184" t="str">
        <f ca="1">IF(AC184=1,COUNTIF($AC$3:AC184,1),"")</f>
        <v/>
      </c>
      <c r="AE184" s="155" t="str">
        <f ca="1">IFERROR(INDEX(Données!$B$3:$B$1479,MATCH(ROWS($AD$3:AD184),$AD$3:$AD$1479,0)),"")</f>
        <v/>
      </c>
    </row>
    <row r="185" spans="1:31" ht="15.75" x14ac:dyDescent="0.25">
      <c r="A185" t="str">
        <f t="shared" si="32"/>
        <v>Casey Nelson - BUF - RD</v>
      </c>
      <c r="B185" t="str">
        <f t="shared" si="33"/>
        <v>Casey Nelson - BUF - RD</v>
      </c>
      <c r="C185" t="str">
        <f t="shared" si="24"/>
        <v>Casey</v>
      </c>
      <c r="D185" t="str">
        <f t="shared" si="25"/>
        <v>Nelson</v>
      </c>
      <c r="E185" s="39" t="s">
        <v>1409</v>
      </c>
      <c r="F185" s="30" t="s">
        <v>10</v>
      </c>
      <c r="G185" s="35">
        <v>0</v>
      </c>
      <c r="H185" s="9" t="s">
        <v>379</v>
      </c>
      <c r="I185" s="9" t="s">
        <v>2677</v>
      </c>
      <c r="J185" s="9">
        <v>27</v>
      </c>
      <c r="K185" s="35">
        <f>VALUE(COUNTIF(Validation!$A$2:$H$47,E185))</f>
        <v>0</v>
      </c>
      <c r="L185" s="361">
        <f t="shared" si="26"/>
        <v>812500</v>
      </c>
      <c r="M185" s="361">
        <f t="shared" si="27"/>
        <v>0</v>
      </c>
      <c r="N185" s="358">
        <v>812500</v>
      </c>
      <c r="O185" s="358" t="s">
        <v>7</v>
      </c>
      <c r="P185" s="358">
        <v>0</v>
      </c>
      <c r="Q185" s="358">
        <v>0</v>
      </c>
      <c r="R185" s="358">
        <v>0</v>
      </c>
      <c r="S185" s="358">
        <v>0</v>
      </c>
      <c r="T185" s="358">
        <v>0</v>
      </c>
      <c r="U185" s="35">
        <f t="shared" si="28"/>
        <v>1</v>
      </c>
      <c r="W185">
        <f t="shared" si="29"/>
        <v>1</v>
      </c>
      <c r="X185" s="35">
        <f t="shared" si="30"/>
        <v>0</v>
      </c>
      <c r="Y185">
        <f t="shared" si="31"/>
        <v>0</v>
      </c>
      <c r="AB185">
        <f t="shared" si="34"/>
        <v>1</v>
      </c>
      <c r="AC185">
        <f t="shared" ca="1" si="35"/>
        <v>0</v>
      </c>
      <c r="AD185" t="str">
        <f ca="1">IF(AC185=1,COUNTIF($AC$3:AC185,1),"")</f>
        <v/>
      </c>
      <c r="AE185" s="155" t="str">
        <f ca="1">IFERROR(INDEX(Données!$B$3:$B$1479,MATCH(ROWS($AD$3:AD185),$AD$3:$AD$1479,0)),"")</f>
        <v/>
      </c>
    </row>
    <row r="186" spans="1:31" ht="15.75" x14ac:dyDescent="0.25">
      <c r="A186" t="str">
        <f t="shared" si="32"/>
        <v>Devante Stephens - BUF - D</v>
      </c>
      <c r="B186" t="str">
        <f t="shared" si="33"/>
        <v>Devante Stephens - BUF - D</v>
      </c>
      <c r="C186" t="str">
        <f t="shared" si="24"/>
        <v>Devante</v>
      </c>
      <c r="D186" t="str">
        <f t="shared" si="25"/>
        <v>Stephens</v>
      </c>
      <c r="E186" s="39" t="s">
        <v>1413</v>
      </c>
      <c r="F186" s="30" t="s">
        <v>10</v>
      </c>
      <c r="G186" s="35" t="s">
        <v>386</v>
      </c>
      <c r="H186" s="35" t="s">
        <v>82</v>
      </c>
      <c r="I186" s="35" t="s">
        <v>2690</v>
      </c>
      <c r="J186" s="35">
        <v>22</v>
      </c>
      <c r="K186" s="35">
        <f>VALUE(COUNTIF(Validation!$A$2:$H$47,E186))</f>
        <v>0</v>
      </c>
      <c r="L186" s="361">
        <f t="shared" si="26"/>
        <v>766670</v>
      </c>
      <c r="M186" s="361">
        <f t="shared" si="27"/>
        <v>0</v>
      </c>
      <c r="N186" s="358">
        <v>766670</v>
      </c>
      <c r="O186" s="358" t="s">
        <v>8</v>
      </c>
      <c r="P186" s="358">
        <v>0</v>
      </c>
      <c r="Q186" s="358">
        <v>0</v>
      </c>
      <c r="R186" s="358">
        <v>0</v>
      </c>
      <c r="S186" s="358">
        <v>0</v>
      </c>
      <c r="T186" s="358">
        <v>0</v>
      </c>
      <c r="U186" s="35">
        <f t="shared" si="28"/>
        <v>1</v>
      </c>
      <c r="W186">
        <f t="shared" si="29"/>
        <v>1</v>
      </c>
      <c r="X186" s="35">
        <f t="shared" si="30"/>
        <v>1</v>
      </c>
      <c r="Y186">
        <f t="shared" si="31"/>
        <v>0</v>
      </c>
      <c r="AB186">
        <f t="shared" si="34"/>
        <v>1</v>
      </c>
      <c r="AC186">
        <f t="shared" ca="1" si="35"/>
        <v>0</v>
      </c>
      <c r="AD186" t="str">
        <f ca="1">IF(AC186=1,COUNTIF($AC$3:AC186,1),"")</f>
        <v/>
      </c>
      <c r="AE186" s="155" t="str">
        <f ca="1">IFERROR(INDEX(Données!$B$3:$B$1479,MATCH(ROWS($AD$3:AD186),$AD$3:$AD$1479,0)),"")</f>
        <v/>
      </c>
    </row>
    <row r="187" spans="1:31" ht="15.75" x14ac:dyDescent="0.25">
      <c r="A187" t="str">
        <f t="shared" si="32"/>
        <v>Jean-Sebastien Dea - BUF - C</v>
      </c>
      <c r="B187" t="str">
        <f t="shared" si="33"/>
        <v>Jean-Sebastien Dea - BUF - C</v>
      </c>
      <c r="C187" t="str">
        <f t="shared" si="24"/>
        <v>Jean-Sebastien</v>
      </c>
      <c r="D187" t="str">
        <f t="shared" si="25"/>
        <v>Dea</v>
      </c>
      <c r="E187" s="39" t="s">
        <v>2895</v>
      </c>
      <c r="F187" s="30" t="s">
        <v>10</v>
      </c>
      <c r="G187" s="35">
        <v>0</v>
      </c>
      <c r="H187" s="35" t="s">
        <v>73</v>
      </c>
      <c r="I187" s="35" t="s">
        <v>2690</v>
      </c>
      <c r="J187" s="35">
        <v>25</v>
      </c>
      <c r="K187" s="35">
        <f>VALUE(COUNTIF(Validation!$A$2:$H$47,E187))</f>
        <v>0</v>
      </c>
      <c r="L187" s="361">
        <f t="shared" si="26"/>
        <v>700000</v>
      </c>
      <c r="M187" s="361">
        <f t="shared" si="27"/>
        <v>700000</v>
      </c>
      <c r="N187" s="358">
        <v>700000</v>
      </c>
      <c r="O187" s="358">
        <v>700000</v>
      </c>
      <c r="P187" s="358" t="s">
        <v>7</v>
      </c>
      <c r="Q187" s="358">
        <v>0</v>
      </c>
      <c r="R187" s="358">
        <v>0</v>
      </c>
      <c r="S187" s="358">
        <v>0</v>
      </c>
      <c r="T187" s="358">
        <v>0</v>
      </c>
      <c r="U187" s="35">
        <f t="shared" si="28"/>
        <v>2</v>
      </c>
      <c r="W187">
        <f t="shared" si="29"/>
        <v>1</v>
      </c>
      <c r="X187" s="35">
        <f t="shared" si="30"/>
        <v>0</v>
      </c>
      <c r="Y187">
        <f t="shared" si="31"/>
        <v>1</v>
      </c>
      <c r="AB187">
        <f t="shared" si="34"/>
        <v>1</v>
      </c>
      <c r="AC187">
        <f t="shared" ca="1" si="35"/>
        <v>0</v>
      </c>
      <c r="AD187" t="str">
        <f ca="1">IF(AC187=1,COUNTIF($AC$3:AC187,1),"")</f>
        <v/>
      </c>
      <c r="AE187" s="155" t="str">
        <f ca="1">IFERROR(INDEX(Données!$B$3:$B$1479,MATCH(ROWS($AD$3:AD187),$AD$3:$AD$1479,0)),"")</f>
        <v/>
      </c>
    </row>
    <row r="188" spans="1:31" ht="15.75" x14ac:dyDescent="0.25">
      <c r="A188" t="str">
        <f t="shared" si="32"/>
        <v>Remi Elie - BUF - LW</v>
      </c>
      <c r="B188" t="str">
        <f t="shared" si="33"/>
        <v>Remi Elie - BUF - LW</v>
      </c>
      <c r="C188" t="str">
        <f t="shared" si="24"/>
        <v>Remi</v>
      </c>
      <c r="D188" t="str">
        <f t="shared" si="25"/>
        <v>Elie</v>
      </c>
      <c r="E188" s="39" t="s">
        <v>1976</v>
      </c>
      <c r="F188" s="30" t="s">
        <v>10</v>
      </c>
      <c r="G188" s="35">
        <v>0</v>
      </c>
      <c r="H188" s="35" t="s">
        <v>93</v>
      </c>
      <c r="I188" s="35" t="s">
        <v>2690</v>
      </c>
      <c r="J188" s="35">
        <v>24</v>
      </c>
      <c r="K188" s="35">
        <f>VALUE(COUNTIF(Validation!$A$2:$H$47,E188))</f>
        <v>0</v>
      </c>
      <c r="L188" s="361">
        <f t="shared" si="26"/>
        <v>700000</v>
      </c>
      <c r="M188" s="361">
        <f t="shared" si="27"/>
        <v>0</v>
      </c>
      <c r="N188" s="358">
        <v>700000</v>
      </c>
      <c r="O188" s="358" t="s">
        <v>8</v>
      </c>
      <c r="P188" s="358">
        <v>0</v>
      </c>
      <c r="Q188" s="358">
        <v>0</v>
      </c>
      <c r="R188" s="358">
        <v>0</v>
      </c>
      <c r="S188" s="358">
        <v>0</v>
      </c>
      <c r="T188" s="358">
        <v>0</v>
      </c>
      <c r="U188" s="35">
        <f t="shared" si="28"/>
        <v>1</v>
      </c>
      <c r="W188">
        <f t="shared" si="29"/>
        <v>1</v>
      </c>
      <c r="X188" s="35">
        <f t="shared" si="30"/>
        <v>0</v>
      </c>
      <c r="Y188">
        <f t="shared" si="31"/>
        <v>0</v>
      </c>
      <c r="AB188">
        <f t="shared" si="34"/>
        <v>1</v>
      </c>
      <c r="AC188">
        <f t="shared" ca="1" si="35"/>
        <v>0</v>
      </c>
      <c r="AD188" t="str">
        <f ca="1">IF(AC188=1,COUNTIF($AC$3:AC188,1),"")</f>
        <v/>
      </c>
      <c r="AE188" s="155" t="str">
        <f ca="1">IFERROR(INDEX(Données!$B$3:$B$1479,MATCH(ROWS($AD$3:AD188),$AD$3:$AD$1479,0)),"")</f>
        <v/>
      </c>
    </row>
    <row r="189" spans="1:31" ht="15.75" x14ac:dyDescent="0.25">
      <c r="A189" t="str">
        <f t="shared" si="32"/>
        <v>John Gilmour - BUF - D</v>
      </c>
      <c r="B189" t="str">
        <f t="shared" si="33"/>
        <v>John Gilmour - BUF - D</v>
      </c>
      <c r="C189" t="str">
        <f t="shared" si="24"/>
        <v>John</v>
      </c>
      <c r="D189" t="str">
        <f t="shared" si="25"/>
        <v>Gilmour</v>
      </c>
      <c r="E189" s="39" t="s">
        <v>1784</v>
      </c>
      <c r="F189" s="30" t="s">
        <v>10</v>
      </c>
      <c r="G189" s="35">
        <v>0</v>
      </c>
      <c r="H189" s="35" t="s">
        <v>82</v>
      </c>
      <c r="I189" s="35" t="s">
        <v>2690</v>
      </c>
      <c r="J189" s="35">
        <v>26</v>
      </c>
      <c r="K189" s="35">
        <f>VALUE(COUNTIF(Validation!$A$2:$H$47,E189))</f>
        <v>0</v>
      </c>
      <c r="L189" s="361">
        <f t="shared" si="26"/>
        <v>700000</v>
      </c>
      <c r="M189" s="361">
        <f t="shared" si="27"/>
        <v>0</v>
      </c>
      <c r="N189" s="358">
        <v>700000</v>
      </c>
      <c r="O189" s="358" t="s">
        <v>7</v>
      </c>
      <c r="P189" s="358">
        <v>0</v>
      </c>
      <c r="Q189" s="358">
        <v>0</v>
      </c>
      <c r="R189" s="358">
        <v>0</v>
      </c>
      <c r="S189" s="358">
        <v>0</v>
      </c>
      <c r="T189" s="358">
        <v>0</v>
      </c>
      <c r="U189" s="35">
        <f t="shared" si="28"/>
        <v>1</v>
      </c>
      <c r="W189">
        <f t="shared" si="29"/>
        <v>1</v>
      </c>
      <c r="X189" s="35">
        <f t="shared" si="30"/>
        <v>0</v>
      </c>
      <c r="Y189">
        <f t="shared" si="31"/>
        <v>0</v>
      </c>
      <c r="AB189">
        <f t="shared" si="34"/>
        <v>1</v>
      </c>
      <c r="AC189">
        <f t="shared" ca="1" si="35"/>
        <v>0</v>
      </c>
      <c r="AD189" t="str">
        <f ca="1">IF(AC189=1,COUNTIF($AC$3:AC189,1),"")</f>
        <v/>
      </c>
      <c r="AE189" s="155" t="str">
        <f ca="1">IFERROR(INDEX(Données!$B$3:$B$1479,MATCH(ROWS($AD$3:AD189),$AD$3:$AD$1479,0)),"")</f>
        <v/>
      </c>
    </row>
    <row r="190" spans="1:31" ht="15.75" x14ac:dyDescent="0.25">
      <c r="A190" t="str">
        <f t="shared" si="32"/>
        <v>Andrew Hammond - BUF - G</v>
      </c>
      <c r="B190" t="str">
        <f t="shared" si="33"/>
        <v>Andrew Hammond - BUF - G</v>
      </c>
      <c r="C190" t="str">
        <f t="shared" si="24"/>
        <v>Andrew</v>
      </c>
      <c r="D190" t="str">
        <f t="shared" si="25"/>
        <v>Hammond</v>
      </c>
      <c r="E190" s="39" t="s">
        <v>2016</v>
      </c>
      <c r="F190" s="30" t="s">
        <v>10</v>
      </c>
      <c r="G190" s="35">
        <v>0</v>
      </c>
      <c r="H190" s="35" t="s">
        <v>127</v>
      </c>
      <c r="I190" s="35" t="s">
        <v>2690</v>
      </c>
      <c r="J190" s="35">
        <v>31</v>
      </c>
      <c r="K190" s="35">
        <f>VALUE(COUNTIF(Validation!$A$2:$H$47,E190))</f>
        <v>0</v>
      </c>
      <c r="L190" s="361">
        <f t="shared" si="26"/>
        <v>700000</v>
      </c>
      <c r="M190" s="361">
        <f t="shared" si="27"/>
        <v>0</v>
      </c>
      <c r="N190" s="358">
        <v>700000</v>
      </c>
      <c r="O190" s="358" t="s">
        <v>7</v>
      </c>
      <c r="P190" s="358">
        <v>0</v>
      </c>
      <c r="Q190" s="358">
        <v>0</v>
      </c>
      <c r="R190" s="358">
        <v>0</v>
      </c>
      <c r="S190" s="358">
        <v>0</v>
      </c>
      <c r="T190" s="358">
        <v>0</v>
      </c>
      <c r="U190" s="35">
        <f t="shared" si="28"/>
        <v>1</v>
      </c>
      <c r="W190">
        <f t="shared" si="29"/>
        <v>1</v>
      </c>
      <c r="X190" s="35">
        <f t="shared" si="30"/>
        <v>0</v>
      </c>
      <c r="Y190">
        <f t="shared" si="31"/>
        <v>0</v>
      </c>
      <c r="AB190">
        <f t="shared" si="34"/>
        <v>1</v>
      </c>
      <c r="AC190">
        <f t="shared" ca="1" si="35"/>
        <v>0</v>
      </c>
      <c r="AD190" t="str">
        <f ca="1">IF(AC190=1,COUNTIF($AC$3:AC190,1),"")</f>
        <v/>
      </c>
      <c r="AE190" s="155" t="str">
        <f ca="1">IFERROR(INDEX(Données!$B$3:$B$1479,MATCH(ROWS($AD$3:AD190),$AD$3:$AD$1479,0)),"")</f>
        <v/>
      </c>
    </row>
    <row r="191" spans="1:31" ht="15.75" x14ac:dyDescent="0.25">
      <c r="A191" t="str">
        <f t="shared" si="32"/>
        <v>Curtis Lazar - BUF - C, RW</v>
      </c>
      <c r="B191" t="str">
        <f t="shared" si="33"/>
        <v>Curtis Lazar - BUF - C, RW</v>
      </c>
      <c r="C191" t="str">
        <f t="shared" si="24"/>
        <v>Curtis</v>
      </c>
      <c r="D191" t="str">
        <f t="shared" si="25"/>
        <v>Lazar</v>
      </c>
      <c r="E191" s="39" t="s">
        <v>2196</v>
      </c>
      <c r="F191" s="30" t="s">
        <v>10</v>
      </c>
      <c r="G191" s="35">
        <v>0</v>
      </c>
      <c r="H191" s="35" t="s">
        <v>2684</v>
      </c>
      <c r="I191" s="35" t="s">
        <v>2690</v>
      </c>
      <c r="J191" s="35">
        <v>24</v>
      </c>
      <c r="K191" s="35">
        <f>VALUE(COUNTIF(Validation!$A$2:$H$47,E191))</f>
        <v>0</v>
      </c>
      <c r="L191" s="361">
        <f t="shared" si="26"/>
        <v>700000</v>
      </c>
      <c r="M191" s="361">
        <f t="shared" si="27"/>
        <v>0</v>
      </c>
      <c r="N191" s="358">
        <v>700000</v>
      </c>
      <c r="O191" s="358" t="s">
        <v>8</v>
      </c>
      <c r="P191" s="358">
        <v>0</v>
      </c>
      <c r="Q191" s="358">
        <v>0</v>
      </c>
      <c r="R191" s="358">
        <v>0</v>
      </c>
      <c r="S191" s="358">
        <v>0</v>
      </c>
      <c r="T191" s="358">
        <v>0</v>
      </c>
      <c r="U191" s="35">
        <f t="shared" si="28"/>
        <v>1</v>
      </c>
      <c r="W191">
        <f t="shared" si="29"/>
        <v>1</v>
      </c>
      <c r="X191" s="35">
        <f t="shared" si="30"/>
        <v>0</v>
      </c>
      <c r="Y191">
        <f t="shared" si="31"/>
        <v>0</v>
      </c>
      <c r="AB191">
        <f t="shared" si="34"/>
        <v>1</v>
      </c>
      <c r="AC191">
        <f t="shared" ca="1" si="35"/>
        <v>0</v>
      </c>
      <c r="AD191" t="str">
        <f ca="1">IF(AC191=1,COUNTIF($AC$3:AC191,1),"")</f>
        <v/>
      </c>
      <c r="AE191" s="155" t="str">
        <f ca="1">IFERROR(INDEX(Données!$B$3:$B$1479,MATCH(ROWS($AD$3:AD191),$AD$3:$AD$1479,0)),"")</f>
        <v/>
      </c>
    </row>
    <row r="192" spans="1:31" ht="15.75" x14ac:dyDescent="0.25">
      <c r="A192" t="str">
        <f t="shared" si="32"/>
        <v>C.J. Smith - BUF - LW</v>
      </c>
      <c r="B192" t="str">
        <f t="shared" si="33"/>
        <v>C.J. Smith - BUF - LW</v>
      </c>
      <c r="C192" t="str">
        <f t="shared" si="24"/>
        <v>C.J.</v>
      </c>
      <c r="D192" t="str">
        <f t="shared" si="25"/>
        <v>Smith</v>
      </c>
      <c r="E192" s="39" t="s">
        <v>1404</v>
      </c>
      <c r="F192" s="30" t="s">
        <v>10</v>
      </c>
      <c r="G192" s="35">
        <v>0</v>
      </c>
      <c r="H192" s="35" t="s">
        <v>93</v>
      </c>
      <c r="I192" s="35" t="s">
        <v>2690</v>
      </c>
      <c r="J192" s="35">
        <v>24</v>
      </c>
      <c r="K192" s="35">
        <f>VALUE(COUNTIF(Validation!$A$2:$H$47,E192))</f>
        <v>0</v>
      </c>
      <c r="L192" s="361">
        <f t="shared" si="26"/>
        <v>700000</v>
      </c>
      <c r="M192" s="361">
        <f t="shared" si="27"/>
        <v>700000</v>
      </c>
      <c r="N192" s="358">
        <v>700000</v>
      </c>
      <c r="O192" s="358">
        <v>700000</v>
      </c>
      <c r="P192" s="358" t="s">
        <v>8</v>
      </c>
      <c r="Q192" s="358">
        <v>0</v>
      </c>
      <c r="R192" s="358">
        <v>0</v>
      </c>
      <c r="S192" s="358">
        <v>0</v>
      </c>
      <c r="T192" s="358">
        <v>0</v>
      </c>
      <c r="U192" s="35">
        <f t="shared" si="28"/>
        <v>2</v>
      </c>
      <c r="W192">
        <f t="shared" si="29"/>
        <v>1</v>
      </c>
      <c r="X192" s="35">
        <f t="shared" si="30"/>
        <v>0</v>
      </c>
      <c r="Y192">
        <f t="shared" si="31"/>
        <v>1</v>
      </c>
      <c r="AB192">
        <f t="shared" si="34"/>
        <v>1</v>
      </c>
      <c r="AC192">
        <f t="shared" ca="1" si="35"/>
        <v>0</v>
      </c>
      <c r="AD192" t="str">
        <f ca="1">IF(AC192=1,COUNTIF($AC$3:AC192,1),"")</f>
        <v/>
      </c>
      <c r="AE192" s="155" t="str">
        <f ca="1">IFERROR(INDEX(Données!$B$3:$B$1479,MATCH(ROWS($AD$3:AD192),$AD$3:$AD$1479,0)),"")</f>
        <v/>
      </c>
    </row>
    <row r="193" spans="1:31" ht="15.75" x14ac:dyDescent="0.25">
      <c r="A193" t="str">
        <f t="shared" si="32"/>
        <v>Sebastian Aho - CAR - C, AG</v>
      </c>
      <c r="B193" t="str">
        <f t="shared" si="33"/>
        <v>Sebastian Aho - CAR - C, AG</v>
      </c>
      <c r="C193" t="str">
        <f t="shared" si="24"/>
        <v>Sebastian</v>
      </c>
      <c r="D193" t="str">
        <f t="shared" si="25"/>
        <v>Aho</v>
      </c>
      <c r="E193" s="39" t="s">
        <v>1622</v>
      </c>
      <c r="F193" s="30" t="s">
        <v>11</v>
      </c>
      <c r="G193" s="35">
        <v>0</v>
      </c>
      <c r="H193" s="35" t="s">
        <v>2452</v>
      </c>
      <c r="I193" s="35" t="s">
        <v>2439</v>
      </c>
      <c r="J193" s="35">
        <v>22</v>
      </c>
      <c r="K193" s="35">
        <f>VALUE(COUNTIF(Validation!$A$2:$H$47,E193))</f>
        <v>0</v>
      </c>
      <c r="L193" s="361">
        <f t="shared" si="26"/>
        <v>8454000</v>
      </c>
      <c r="M193" s="361">
        <f t="shared" si="27"/>
        <v>8454000</v>
      </c>
      <c r="N193" s="358">
        <v>8454000</v>
      </c>
      <c r="O193" s="358">
        <v>8454000</v>
      </c>
      <c r="P193" s="358">
        <v>8454000</v>
      </c>
      <c r="Q193" s="358">
        <v>8454000</v>
      </c>
      <c r="R193" s="362">
        <v>8454000</v>
      </c>
      <c r="S193" s="358" t="s">
        <v>7</v>
      </c>
      <c r="T193" s="358">
        <v>0</v>
      </c>
      <c r="U193" s="35">
        <f t="shared" si="28"/>
        <v>5</v>
      </c>
      <c r="W193">
        <f t="shared" si="29"/>
        <v>2</v>
      </c>
      <c r="X193" s="35">
        <f t="shared" si="30"/>
        <v>0</v>
      </c>
      <c r="Y193">
        <f t="shared" si="31"/>
        <v>1</v>
      </c>
      <c r="AB193">
        <f t="shared" si="34"/>
        <v>1</v>
      </c>
      <c r="AC193">
        <f t="shared" ca="1" si="35"/>
        <v>0</v>
      </c>
      <c r="AD193" t="str">
        <f ca="1">IF(AC193=1,COUNTIF($AC$3:AC193,1),"")</f>
        <v/>
      </c>
      <c r="AE193" s="155" t="str">
        <f ca="1">IFERROR(INDEX(Données!$B$3:$B$1479,MATCH(ROWS($AD$3:AD193),$AD$3:$AD$1479,0)),"")</f>
        <v/>
      </c>
    </row>
    <row r="194" spans="1:31" ht="15.75" x14ac:dyDescent="0.25">
      <c r="A194" t="str">
        <f t="shared" si="32"/>
        <v>Jordan Staal - CAR - C, AG</v>
      </c>
      <c r="B194" t="str">
        <f t="shared" si="33"/>
        <v>Jordan Staal - CAR - C, AG</v>
      </c>
      <c r="C194" t="str">
        <f t="shared" si="24"/>
        <v>Jordan</v>
      </c>
      <c r="D194" t="str">
        <f t="shared" si="25"/>
        <v>Staal</v>
      </c>
      <c r="E194" s="39" t="s">
        <v>3001</v>
      </c>
      <c r="F194" s="30" t="s">
        <v>11</v>
      </c>
      <c r="G194" s="35" t="s">
        <v>420</v>
      </c>
      <c r="H194" s="35" t="s">
        <v>2452</v>
      </c>
      <c r="I194" s="35" t="s">
        <v>2439</v>
      </c>
      <c r="J194" s="35">
        <v>30</v>
      </c>
      <c r="K194" s="35">
        <f>VALUE(COUNTIF(Validation!$A$2:$H$47,E194))</f>
        <v>0</v>
      </c>
      <c r="L194" s="361">
        <f t="shared" si="26"/>
        <v>6000000</v>
      </c>
      <c r="M194" s="361">
        <f t="shared" si="27"/>
        <v>6000000</v>
      </c>
      <c r="N194" s="358">
        <v>6000000</v>
      </c>
      <c r="O194" s="358">
        <v>6000000</v>
      </c>
      <c r="P194" s="358">
        <v>6000000</v>
      </c>
      <c r="Q194" s="358">
        <v>6000000</v>
      </c>
      <c r="R194" s="358" t="s">
        <v>7</v>
      </c>
      <c r="S194" s="358">
        <v>0</v>
      </c>
      <c r="T194" s="358">
        <v>0</v>
      </c>
      <c r="U194" s="35">
        <f t="shared" si="28"/>
        <v>4</v>
      </c>
      <c r="W194">
        <f t="shared" si="29"/>
        <v>1</v>
      </c>
      <c r="X194" s="35">
        <f t="shared" si="30"/>
        <v>0</v>
      </c>
      <c r="Y194">
        <f t="shared" si="31"/>
        <v>1</v>
      </c>
      <c r="AB194">
        <f t="shared" si="34"/>
        <v>1</v>
      </c>
      <c r="AC194">
        <f t="shared" ca="1" si="35"/>
        <v>0</v>
      </c>
      <c r="AD194" t="str">
        <f ca="1">IF(AC194=1,COUNTIF($AC$3:AC194,1),"")</f>
        <v/>
      </c>
      <c r="AE194" s="155" t="str">
        <f ca="1">IFERROR(INDEX(Données!$B$3:$B$1479,MATCH(ROWS($AD$3:AD194),$AD$3:$AD$1479,0)),"")</f>
        <v/>
      </c>
    </row>
    <row r="195" spans="1:31" ht="15.75" x14ac:dyDescent="0.25">
      <c r="A195" t="str">
        <f t="shared" si="32"/>
        <v>Dougie Hamilton - CAR - DD</v>
      </c>
      <c r="B195" t="str">
        <f t="shared" si="33"/>
        <v>Dougie Hamilton - CAR - DD</v>
      </c>
      <c r="C195" t="str">
        <f t="shared" ref="C195:C258" si="36">RIGHT(E195,(LEN(E195)-1)-SEARCH(",",E195,1))</f>
        <v>Dougie</v>
      </c>
      <c r="D195" t="str">
        <f t="shared" ref="D195:D258" si="37">LEFT(E195,SEARCH(",",E195,1)-1)</f>
        <v>Hamilton</v>
      </c>
      <c r="E195" s="39" t="s">
        <v>1626</v>
      </c>
      <c r="F195" s="30" t="s">
        <v>11</v>
      </c>
      <c r="G195" s="35">
        <v>0</v>
      </c>
      <c r="H195" s="35" t="s">
        <v>2444</v>
      </c>
      <c r="I195" s="35" t="s">
        <v>2439</v>
      </c>
      <c r="J195" s="35">
        <v>26</v>
      </c>
      <c r="K195" s="35">
        <f>VALUE(COUNTIF(Validation!$A$2:$H$47,E195))</f>
        <v>0</v>
      </c>
      <c r="L195" s="361">
        <f t="shared" ref="L195:L258" si="38">IF(OR(N195="RFA",N195="UFA",N195="",N195=0),0,N195)</f>
        <v>5750000</v>
      </c>
      <c r="M195" s="361">
        <f t="shared" ref="M195:M258" si="39">IF(OR(O195="RFA",O195="UFA",O195="",O195=0),0,O195)</f>
        <v>5750000</v>
      </c>
      <c r="N195" s="358">
        <v>5750000</v>
      </c>
      <c r="O195" s="358">
        <v>5750000</v>
      </c>
      <c r="P195" s="358" t="s">
        <v>7</v>
      </c>
      <c r="Q195" s="358">
        <v>0</v>
      </c>
      <c r="R195" s="358">
        <v>0</v>
      </c>
      <c r="S195" s="358">
        <v>0</v>
      </c>
      <c r="T195" s="358">
        <v>0</v>
      </c>
      <c r="U195" s="35">
        <f t="shared" ref="U195:U258" si="40">COUNTIF(N195:T195,"&gt;0")</f>
        <v>2</v>
      </c>
      <c r="W195">
        <f t="shared" ref="W195:W258" si="41">COUNTIF($E$3:$E$1479,E195)</f>
        <v>1</v>
      </c>
      <c r="X195" s="35">
        <f t="shared" ref="X195:X258" si="42">IF(LEFT(G195,3)="ELC",1,0)</f>
        <v>0</v>
      </c>
      <c r="Y195">
        <f t="shared" ref="Y195:Y258" si="43">IF(L195=M195,1,0)</f>
        <v>1</v>
      </c>
      <c r="AB195">
        <f t="shared" si="34"/>
        <v>1</v>
      </c>
      <c r="AC195">
        <f t="shared" ca="1" si="35"/>
        <v>0</v>
      </c>
      <c r="AD195" t="str">
        <f ca="1">IF(AC195=1,COUNTIF($AC$3:AC195,1),"")</f>
        <v/>
      </c>
      <c r="AE195" s="155" t="str">
        <f ca="1">IFERROR(INDEX(Données!$B$3:$B$1479,MATCH(ROWS($AD$3:AD195),$AD$3:$AD$1479,0)),"")</f>
        <v/>
      </c>
    </row>
    <row r="196" spans="1:31" ht="15.75" x14ac:dyDescent="0.25">
      <c r="A196" t="str">
        <f t="shared" ref="A196:A259" si="44">C196&amp;" "&amp;D196&amp;" - "&amp;F196&amp;" - "&amp;H196</f>
        <v>Teuvo Teravainen - CAR - AD, AG</v>
      </c>
      <c r="B196" t="str">
        <f t="shared" ref="B196:B259" si="45">A196</f>
        <v>Teuvo Teravainen - CAR - AD, AG</v>
      </c>
      <c r="C196" t="str">
        <f t="shared" si="36"/>
        <v>Teuvo</v>
      </c>
      <c r="D196" t="str">
        <f t="shared" si="37"/>
        <v>Teravainen</v>
      </c>
      <c r="E196" s="39" t="s">
        <v>2885</v>
      </c>
      <c r="F196" s="30" t="s">
        <v>11</v>
      </c>
      <c r="G196" s="35">
        <v>0</v>
      </c>
      <c r="H196" s="35" t="s">
        <v>2441</v>
      </c>
      <c r="I196" s="35" t="s">
        <v>2439</v>
      </c>
      <c r="J196" s="35">
        <v>24</v>
      </c>
      <c r="K196" s="35">
        <f>VALUE(COUNTIF(Validation!$A$2:$H$47,E196))</f>
        <v>0</v>
      </c>
      <c r="L196" s="361">
        <f t="shared" si="38"/>
        <v>5400000</v>
      </c>
      <c r="M196" s="361">
        <f t="shared" si="39"/>
        <v>5400000</v>
      </c>
      <c r="N196" s="358">
        <v>5400000</v>
      </c>
      <c r="O196" s="358">
        <v>5400000</v>
      </c>
      <c r="P196" s="358">
        <v>5400000</v>
      </c>
      <c r="Q196" s="358">
        <v>5400000</v>
      </c>
      <c r="R196" s="358">
        <v>5400000</v>
      </c>
      <c r="S196" s="358" t="s">
        <v>7</v>
      </c>
      <c r="T196" s="358">
        <v>0</v>
      </c>
      <c r="U196" s="35">
        <f t="shared" si="40"/>
        <v>5</v>
      </c>
      <c r="W196">
        <f t="shared" si="41"/>
        <v>1</v>
      </c>
      <c r="X196" s="35">
        <f t="shared" si="42"/>
        <v>0</v>
      </c>
      <c r="Y196">
        <f t="shared" si="43"/>
        <v>1</v>
      </c>
      <c r="AB196">
        <f t="shared" ref="AB196:AB259" si="46">SEARCH(AA196,A196)</f>
        <v>1</v>
      </c>
      <c r="AC196">
        <f t="shared" ca="1" si="35"/>
        <v>0</v>
      </c>
      <c r="AD196" t="str">
        <f ca="1">IF(AC196=1,COUNTIF($AC$3:AC196,1),"")</f>
        <v/>
      </c>
      <c r="AE196" s="155" t="str">
        <f ca="1">IFERROR(INDEX(Données!$B$3:$B$1479,MATCH(ROWS($AD$3:AD196),$AD$3:$AD$1479,0)),"")</f>
        <v/>
      </c>
    </row>
    <row r="197" spans="1:31" ht="15.75" x14ac:dyDescent="0.25">
      <c r="A197" t="str">
        <f t="shared" si="44"/>
        <v>Jaccob Slavin - CAR - DG</v>
      </c>
      <c r="B197" t="str">
        <f t="shared" si="45"/>
        <v>Jaccob Slavin - CAR - DG</v>
      </c>
      <c r="C197" t="str">
        <f t="shared" si="36"/>
        <v>Jaccob</v>
      </c>
      <c r="D197" t="str">
        <f t="shared" si="37"/>
        <v>Slavin</v>
      </c>
      <c r="E197" s="39" t="s">
        <v>1627</v>
      </c>
      <c r="F197" s="30" t="s">
        <v>11</v>
      </c>
      <c r="G197" s="35">
        <v>0</v>
      </c>
      <c r="H197" s="35" t="s">
        <v>2445</v>
      </c>
      <c r="I197" s="35" t="s">
        <v>2439</v>
      </c>
      <c r="J197" s="35">
        <v>25</v>
      </c>
      <c r="K197" s="35">
        <f>VALUE(COUNTIF(Validation!$A$2:$H$47,E197))</f>
        <v>0</v>
      </c>
      <c r="L197" s="361">
        <f t="shared" si="38"/>
        <v>5300000</v>
      </c>
      <c r="M197" s="361">
        <f t="shared" si="39"/>
        <v>5300000</v>
      </c>
      <c r="N197" s="358">
        <v>5300000</v>
      </c>
      <c r="O197" s="358">
        <v>5300000</v>
      </c>
      <c r="P197" s="358">
        <v>5300000</v>
      </c>
      <c r="Q197" s="358">
        <v>5300000</v>
      </c>
      <c r="R197" s="358">
        <v>5300000</v>
      </c>
      <c r="S197" s="358">
        <v>5300000</v>
      </c>
      <c r="T197" s="358" t="s">
        <v>7</v>
      </c>
      <c r="U197" s="35">
        <f t="shared" si="40"/>
        <v>6</v>
      </c>
      <c r="W197">
        <f t="shared" si="41"/>
        <v>1</v>
      </c>
      <c r="X197" s="35">
        <f t="shared" si="42"/>
        <v>0</v>
      </c>
      <c r="Y197">
        <f t="shared" si="43"/>
        <v>1</v>
      </c>
      <c r="AB197">
        <f t="shared" si="46"/>
        <v>1</v>
      </c>
      <c r="AC197">
        <f t="shared" ref="AC197:AC260" ca="1" si="47">IFERROR(SEARCH(INDIRECT(CELL("adresse")),B197,1),0)</f>
        <v>0</v>
      </c>
      <c r="AD197" t="str">
        <f ca="1">IF(AC197=1,COUNTIF($AC$3:AC197,1),"")</f>
        <v/>
      </c>
      <c r="AE197" s="155" t="str">
        <f ca="1">IFERROR(INDEX(Données!$B$3:$B$1479,MATCH(ROWS($AD$3:AD197),$AD$3:$AD$1479,0)),"")</f>
        <v/>
      </c>
    </row>
    <row r="198" spans="1:31" ht="15.75" x14ac:dyDescent="0.25">
      <c r="A198" t="str">
        <f t="shared" si="44"/>
        <v>Nino Niederreiter - CAR - AG, AD</v>
      </c>
      <c r="B198" t="str">
        <f t="shared" si="45"/>
        <v>Nino Niederreiter - CAR - AG, AD</v>
      </c>
      <c r="C198" t="str">
        <f t="shared" si="36"/>
        <v>Nino</v>
      </c>
      <c r="D198" t="str">
        <f t="shared" si="37"/>
        <v>Niederreiter</v>
      </c>
      <c r="E198" s="39" t="s">
        <v>1988</v>
      </c>
      <c r="F198" s="30" t="s">
        <v>11</v>
      </c>
      <c r="G198" s="35">
        <v>0</v>
      </c>
      <c r="H198" s="35" t="s">
        <v>2442</v>
      </c>
      <c r="I198" s="35" t="s">
        <v>2439</v>
      </c>
      <c r="J198" s="35">
        <v>26</v>
      </c>
      <c r="K198" s="35">
        <f>VALUE(COUNTIF(Validation!$A$2:$H$47,E198))</f>
        <v>0</v>
      </c>
      <c r="L198" s="361">
        <f t="shared" si="38"/>
        <v>5250000</v>
      </c>
      <c r="M198" s="361">
        <f t="shared" si="39"/>
        <v>5250000</v>
      </c>
      <c r="N198" s="358">
        <v>5250000</v>
      </c>
      <c r="O198" s="358">
        <v>5250000</v>
      </c>
      <c r="P198" s="358">
        <v>5250000</v>
      </c>
      <c r="Q198" s="358" t="s">
        <v>7</v>
      </c>
      <c r="R198" s="358">
        <v>0</v>
      </c>
      <c r="S198" s="358">
        <v>0</v>
      </c>
      <c r="T198" s="358">
        <v>0</v>
      </c>
      <c r="U198" s="35">
        <f t="shared" si="40"/>
        <v>3</v>
      </c>
      <c r="W198">
        <f t="shared" si="41"/>
        <v>1</v>
      </c>
      <c r="X198" s="35">
        <f t="shared" si="42"/>
        <v>0</v>
      </c>
      <c r="Y198">
        <f t="shared" si="43"/>
        <v>1</v>
      </c>
      <c r="AB198">
        <f t="shared" si="46"/>
        <v>1</v>
      </c>
      <c r="AC198">
        <f t="shared" ca="1" si="47"/>
        <v>0</v>
      </c>
      <c r="AD198" t="str">
        <f ca="1">IF(AC198=1,COUNTIF($AC$3:AC198,1),"")</f>
        <v/>
      </c>
      <c r="AE198" s="155" t="str">
        <f ca="1">IFERROR(INDEX(Données!$B$3:$B$1479,MATCH(ROWS($AD$3:AD198),$AD$3:$AD$1479,0)),"")</f>
        <v/>
      </c>
    </row>
    <row r="199" spans="1:31" ht="15.75" x14ac:dyDescent="0.25">
      <c r="A199" t="str">
        <f t="shared" si="44"/>
        <v>Justin Faulk - CAR - DD</v>
      </c>
      <c r="B199" t="str">
        <f t="shared" si="45"/>
        <v>Justin Faulk - CAR - DD</v>
      </c>
      <c r="C199" t="str">
        <f t="shared" si="36"/>
        <v>Justin</v>
      </c>
      <c r="D199" t="str">
        <f t="shared" si="37"/>
        <v>Faulk</v>
      </c>
      <c r="E199" s="39" t="s">
        <v>2919</v>
      </c>
      <c r="F199" s="30" t="s">
        <v>11</v>
      </c>
      <c r="G199" s="35" t="s">
        <v>381</v>
      </c>
      <c r="H199" s="9" t="s">
        <v>2444</v>
      </c>
      <c r="I199" s="9" t="s">
        <v>2439</v>
      </c>
      <c r="J199" s="9">
        <v>27</v>
      </c>
      <c r="K199" s="35">
        <f>VALUE(COUNTIF(Validation!$A$2:$H$47,E199))</f>
        <v>0</v>
      </c>
      <c r="L199" s="361">
        <f t="shared" si="38"/>
        <v>4833333</v>
      </c>
      <c r="M199" s="361">
        <f t="shared" si="39"/>
        <v>0</v>
      </c>
      <c r="N199" s="358">
        <v>4833333</v>
      </c>
      <c r="O199" s="358" t="s">
        <v>7</v>
      </c>
      <c r="P199" s="358">
        <v>0</v>
      </c>
      <c r="Q199" s="358">
        <v>0</v>
      </c>
      <c r="R199" s="358">
        <v>0</v>
      </c>
      <c r="S199" s="358">
        <v>0</v>
      </c>
      <c r="T199" s="358">
        <v>0</v>
      </c>
      <c r="U199" s="35">
        <f t="shared" si="40"/>
        <v>1</v>
      </c>
      <c r="W199">
        <f t="shared" si="41"/>
        <v>1</v>
      </c>
      <c r="X199" s="35">
        <f t="shared" si="42"/>
        <v>0</v>
      </c>
      <c r="Y199">
        <f t="shared" si="43"/>
        <v>0</v>
      </c>
      <c r="AB199">
        <f t="shared" si="46"/>
        <v>1</v>
      </c>
      <c r="AC199">
        <f t="shared" ca="1" si="47"/>
        <v>0</v>
      </c>
      <c r="AD199" t="str">
        <f ca="1">IF(AC199=1,COUNTIF($AC$3:AC199,1),"")</f>
        <v/>
      </c>
      <c r="AE199" s="155" t="str">
        <f ca="1">IFERROR(INDEX(Données!$B$3:$B$1479,MATCH(ROWS($AD$3:AD199),$AD$3:$AD$1479,0)),"")</f>
        <v/>
      </c>
    </row>
    <row r="200" spans="1:31" ht="15.75" x14ac:dyDescent="0.25">
      <c r="A200" t="str">
        <f t="shared" si="44"/>
        <v>Brett Pesce - CAR - DD</v>
      </c>
      <c r="B200" t="str">
        <f t="shared" si="45"/>
        <v>Brett Pesce - CAR - DD</v>
      </c>
      <c r="C200" t="str">
        <f t="shared" si="36"/>
        <v>Brett</v>
      </c>
      <c r="D200" t="str">
        <f t="shared" si="37"/>
        <v>Pesce</v>
      </c>
      <c r="E200" s="39" t="s">
        <v>1628</v>
      </c>
      <c r="F200" s="30" t="s">
        <v>11</v>
      </c>
      <c r="G200" s="35">
        <v>0</v>
      </c>
      <c r="H200" s="35" t="s">
        <v>2444</v>
      </c>
      <c r="I200" s="35" t="s">
        <v>2439</v>
      </c>
      <c r="J200" s="35">
        <v>24</v>
      </c>
      <c r="K200" s="35">
        <f>VALUE(COUNTIF(Validation!$A$2:$H$47,E200))</f>
        <v>0</v>
      </c>
      <c r="L200" s="361">
        <f t="shared" si="38"/>
        <v>4025000</v>
      </c>
      <c r="M200" s="361">
        <f t="shared" si="39"/>
        <v>4025000</v>
      </c>
      <c r="N200" s="358">
        <v>4025000</v>
      </c>
      <c r="O200" s="358">
        <v>4025000</v>
      </c>
      <c r="P200" s="358">
        <v>4025000</v>
      </c>
      <c r="Q200" s="358">
        <v>4025000</v>
      </c>
      <c r="R200" s="358">
        <v>4025000</v>
      </c>
      <c r="S200" s="358" t="s">
        <v>7</v>
      </c>
      <c r="T200" s="358">
        <v>0</v>
      </c>
      <c r="U200" s="35">
        <f t="shared" si="40"/>
        <v>5</v>
      </c>
      <c r="W200">
        <f t="shared" si="41"/>
        <v>1</v>
      </c>
      <c r="X200" s="35">
        <f t="shared" si="42"/>
        <v>0</v>
      </c>
      <c r="Y200">
        <f t="shared" si="43"/>
        <v>1</v>
      </c>
      <c r="AB200">
        <f t="shared" si="46"/>
        <v>1</v>
      </c>
      <c r="AC200">
        <f t="shared" ca="1" si="47"/>
        <v>0</v>
      </c>
      <c r="AD200" t="str">
        <f ca="1">IF(AC200=1,COUNTIF($AC$3:AC200,1),"")</f>
        <v/>
      </c>
      <c r="AE200" s="155" t="str">
        <f ca="1">IFERROR(INDEX(Données!$B$3:$B$1479,MATCH(ROWS($AD$3:AD200),$AD$3:$AD$1479,0)),"")</f>
        <v/>
      </c>
    </row>
    <row r="201" spans="1:31" ht="15.75" x14ac:dyDescent="0.25">
      <c r="A201" t="str">
        <f t="shared" si="44"/>
        <v>Andrei Svechnikov - CAR - AG, AD</v>
      </c>
      <c r="B201" t="str">
        <f t="shared" si="45"/>
        <v>Andrei Svechnikov - CAR - AG, AD</v>
      </c>
      <c r="C201" t="str">
        <f t="shared" si="36"/>
        <v>Andrei</v>
      </c>
      <c r="D201" t="str">
        <f t="shared" si="37"/>
        <v>Svechnikov</v>
      </c>
      <c r="E201" s="39" t="s">
        <v>1623</v>
      </c>
      <c r="F201" s="30" t="s">
        <v>11</v>
      </c>
      <c r="G201" s="35" t="s">
        <v>386</v>
      </c>
      <c r="H201" s="35" t="s">
        <v>2442</v>
      </c>
      <c r="I201" s="35" t="s">
        <v>2439</v>
      </c>
      <c r="J201" s="35">
        <v>19</v>
      </c>
      <c r="K201" s="35">
        <f>VALUE(COUNTIF(Validation!$A$2:$H$47,E201))</f>
        <v>0</v>
      </c>
      <c r="L201" s="361">
        <f t="shared" si="38"/>
        <v>3575000</v>
      </c>
      <c r="M201" s="361">
        <f t="shared" si="39"/>
        <v>3575000</v>
      </c>
      <c r="N201" s="358">
        <v>3575000</v>
      </c>
      <c r="O201" s="358">
        <v>3575000</v>
      </c>
      <c r="P201" s="358" t="s">
        <v>8</v>
      </c>
      <c r="Q201" s="358">
        <v>0</v>
      </c>
      <c r="R201" s="358">
        <v>0</v>
      </c>
      <c r="S201" s="358">
        <v>0</v>
      </c>
      <c r="T201" s="358">
        <v>0</v>
      </c>
      <c r="U201" s="35">
        <f t="shared" si="40"/>
        <v>2</v>
      </c>
      <c r="W201">
        <f t="shared" si="41"/>
        <v>1</v>
      </c>
      <c r="X201" s="35">
        <f t="shared" si="42"/>
        <v>1</v>
      </c>
      <c r="Y201">
        <f t="shared" si="43"/>
        <v>1</v>
      </c>
      <c r="AB201">
        <f t="shared" si="46"/>
        <v>1</v>
      </c>
      <c r="AC201">
        <f t="shared" ca="1" si="47"/>
        <v>0</v>
      </c>
      <c r="AD201" t="str">
        <f ca="1">IF(AC201=1,COUNTIF($AC$3:AC201,1),"")</f>
        <v/>
      </c>
      <c r="AE201" s="155" t="str">
        <f ca="1">IFERROR(INDEX(Données!$B$3:$B$1479,MATCH(ROWS($AD$3:AD201),$AD$3:$AD$1479,0)),"")</f>
        <v/>
      </c>
    </row>
    <row r="202" spans="1:31" ht="15.75" x14ac:dyDescent="0.25">
      <c r="A202" t="str">
        <f t="shared" si="44"/>
        <v>James Reimer - CAR - G</v>
      </c>
      <c r="B202" t="str">
        <f t="shared" si="45"/>
        <v>James Reimer - CAR - G</v>
      </c>
      <c r="C202" t="str">
        <f t="shared" si="36"/>
        <v>James</v>
      </c>
      <c r="D202" t="str">
        <f t="shared" si="37"/>
        <v>Reimer</v>
      </c>
      <c r="E202" s="39" t="s">
        <v>1464</v>
      </c>
      <c r="F202" s="30" t="s">
        <v>11</v>
      </c>
      <c r="G202" s="35">
        <v>0</v>
      </c>
      <c r="H202" s="35" t="s">
        <v>127</v>
      </c>
      <c r="I202" s="35" t="s">
        <v>2439</v>
      </c>
      <c r="J202" s="35">
        <v>31</v>
      </c>
      <c r="K202" s="35">
        <f>VALUE(COUNTIF(Validation!$A$2:$H$47,E202))</f>
        <v>0</v>
      </c>
      <c r="L202" s="361">
        <f t="shared" si="38"/>
        <v>3400000</v>
      </c>
      <c r="M202" s="361">
        <f t="shared" si="39"/>
        <v>3400000</v>
      </c>
      <c r="N202" s="358">
        <v>3400000</v>
      </c>
      <c r="O202" s="358">
        <v>3400000</v>
      </c>
      <c r="P202" s="358" t="s">
        <v>7</v>
      </c>
      <c r="Q202" s="358">
        <v>0</v>
      </c>
      <c r="R202" s="358">
        <v>0</v>
      </c>
      <c r="S202" s="358">
        <v>0</v>
      </c>
      <c r="T202" s="358">
        <v>0</v>
      </c>
      <c r="U202" s="35">
        <f t="shared" si="40"/>
        <v>2</v>
      </c>
      <c r="W202">
        <f t="shared" si="41"/>
        <v>1</v>
      </c>
      <c r="X202" s="35">
        <f t="shared" si="42"/>
        <v>0</v>
      </c>
      <c r="Y202">
        <f t="shared" si="43"/>
        <v>1</v>
      </c>
      <c r="AB202">
        <f t="shared" si="46"/>
        <v>1</v>
      </c>
      <c r="AC202">
        <f t="shared" ca="1" si="47"/>
        <v>0</v>
      </c>
      <c r="AD202" t="str">
        <f ca="1">IF(AC202=1,COUNTIF($AC$3:AC202,1),"")</f>
        <v/>
      </c>
      <c r="AE202" s="155" t="str">
        <f ca="1">IFERROR(INDEX(Données!$B$3:$B$1479,MATCH(ROWS($AD$3:AD202),$AD$3:$AD$1479,0)),"")</f>
        <v/>
      </c>
    </row>
    <row r="203" spans="1:31" ht="15.75" x14ac:dyDescent="0.25">
      <c r="A203" t="str">
        <f t="shared" si="44"/>
        <v>Ryan Dzingel - CAR - AG, AD, C</v>
      </c>
      <c r="B203" t="str">
        <f t="shared" si="45"/>
        <v>Ryan Dzingel - CAR - AG, AD, C</v>
      </c>
      <c r="C203" t="str">
        <f t="shared" si="36"/>
        <v>Ryan</v>
      </c>
      <c r="D203" t="str">
        <f t="shared" si="37"/>
        <v>Dzingel</v>
      </c>
      <c r="E203" s="39" t="s">
        <v>2722</v>
      </c>
      <c r="F203" s="30" t="s">
        <v>11</v>
      </c>
      <c r="G203" s="35">
        <v>0</v>
      </c>
      <c r="H203" s="35" t="s">
        <v>2470</v>
      </c>
      <c r="I203" s="35" t="s">
        <v>2439</v>
      </c>
      <c r="J203" s="35">
        <v>27</v>
      </c>
      <c r="K203" s="35">
        <f>VALUE(COUNTIF(Validation!$A$2:$H$47,E203))</f>
        <v>0</v>
      </c>
      <c r="L203" s="361">
        <f t="shared" si="38"/>
        <v>3375000</v>
      </c>
      <c r="M203" s="361">
        <f t="shared" si="39"/>
        <v>3375000</v>
      </c>
      <c r="N203" s="358">
        <v>3375000</v>
      </c>
      <c r="O203" s="358">
        <v>3375000</v>
      </c>
      <c r="P203" s="358" t="s">
        <v>7</v>
      </c>
      <c r="Q203" s="358">
        <v>0</v>
      </c>
      <c r="R203" s="358">
        <v>0</v>
      </c>
      <c r="S203" s="358">
        <v>0</v>
      </c>
      <c r="T203" s="358">
        <v>0</v>
      </c>
      <c r="U203" s="35">
        <f t="shared" si="40"/>
        <v>2</v>
      </c>
      <c r="W203">
        <f t="shared" si="41"/>
        <v>1</v>
      </c>
      <c r="X203" s="35">
        <f t="shared" si="42"/>
        <v>0</v>
      </c>
      <c r="Y203">
        <f t="shared" si="43"/>
        <v>1</v>
      </c>
      <c r="AB203">
        <f t="shared" si="46"/>
        <v>1</v>
      </c>
      <c r="AC203">
        <f t="shared" ca="1" si="47"/>
        <v>0</v>
      </c>
      <c r="AD203" t="str">
        <f ca="1">IF(AC203=1,COUNTIF($AC$3:AC203,1),"")</f>
        <v/>
      </c>
      <c r="AE203" s="155" t="str">
        <f ca="1">IFERROR(INDEX(Données!$B$3:$B$1479,MATCH(ROWS($AD$3:AD203),$AD$3:$AD$1479,0)),"")</f>
        <v/>
      </c>
    </row>
    <row r="204" spans="1:31" ht="15.75" x14ac:dyDescent="0.25">
      <c r="A204" t="str">
        <f t="shared" si="44"/>
        <v>Petr Mrázek - CAR - G</v>
      </c>
      <c r="B204" t="str">
        <f t="shared" si="45"/>
        <v>Petr Mrázek - CAR - G</v>
      </c>
      <c r="C204" t="str">
        <f t="shared" si="36"/>
        <v>Petr</v>
      </c>
      <c r="D204" t="str">
        <f t="shared" si="37"/>
        <v>Mrázek</v>
      </c>
      <c r="E204" s="39" t="s">
        <v>1630</v>
      </c>
      <c r="F204" s="30" t="s">
        <v>11</v>
      </c>
      <c r="G204" s="35">
        <v>0</v>
      </c>
      <c r="H204" s="9" t="s">
        <v>127</v>
      </c>
      <c r="I204" s="9" t="s">
        <v>2439</v>
      </c>
      <c r="J204" s="9">
        <v>27</v>
      </c>
      <c r="K204" s="35">
        <f>VALUE(COUNTIF(Validation!$A$2:$H$47,E204))</f>
        <v>0</v>
      </c>
      <c r="L204" s="361">
        <f t="shared" si="38"/>
        <v>3125000</v>
      </c>
      <c r="M204" s="361">
        <f t="shared" si="39"/>
        <v>3125000</v>
      </c>
      <c r="N204" s="358">
        <v>3125000</v>
      </c>
      <c r="O204" s="358">
        <v>3125000</v>
      </c>
      <c r="P204" s="358" t="s">
        <v>7</v>
      </c>
      <c r="Q204" s="358">
        <v>0</v>
      </c>
      <c r="R204" s="358">
        <v>0</v>
      </c>
      <c r="S204" s="358">
        <v>0</v>
      </c>
      <c r="T204" s="358">
        <v>0</v>
      </c>
      <c r="U204" s="35">
        <f t="shared" si="40"/>
        <v>2</v>
      </c>
      <c r="W204">
        <f t="shared" si="41"/>
        <v>1</v>
      </c>
      <c r="X204" s="35">
        <f t="shared" si="42"/>
        <v>0</v>
      </c>
      <c r="Y204">
        <f t="shared" si="43"/>
        <v>1</v>
      </c>
      <c r="AB204">
        <f t="shared" si="46"/>
        <v>1</v>
      </c>
      <c r="AC204">
        <f t="shared" ca="1" si="47"/>
        <v>0</v>
      </c>
      <c r="AD204" t="str">
        <f ca="1">IF(AC204=1,COUNTIF($AC$3:AC204,1),"")</f>
        <v/>
      </c>
      <c r="AE204" s="155" t="str">
        <f ca="1">IFERROR(INDEX(Données!$B$3:$B$1479,MATCH(ROWS($AD$3:AD204),$AD$3:$AD$1479,0)),"")</f>
        <v/>
      </c>
    </row>
    <row r="205" spans="1:31" ht="15.75" x14ac:dyDescent="0.25">
      <c r="A205" t="str">
        <f t="shared" si="44"/>
        <v>Erik Haula - CAR - C, AG</v>
      </c>
      <c r="B205" t="str">
        <f t="shared" si="45"/>
        <v>Erik Haula - CAR - C, AG</v>
      </c>
      <c r="C205" t="str">
        <f t="shared" si="36"/>
        <v>Erik</v>
      </c>
      <c r="D205" t="str">
        <f t="shared" si="37"/>
        <v>Haula</v>
      </c>
      <c r="E205" s="39" t="s">
        <v>2371</v>
      </c>
      <c r="F205" s="30" t="s">
        <v>11</v>
      </c>
      <c r="G205" s="35">
        <v>0</v>
      </c>
      <c r="H205" s="35" t="s">
        <v>2452</v>
      </c>
      <c r="I205" s="35" t="s">
        <v>2439</v>
      </c>
      <c r="J205" s="35">
        <v>28</v>
      </c>
      <c r="K205" s="35">
        <f>VALUE(COUNTIF(Validation!$A$2:$H$47,E205))</f>
        <v>0</v>
      </c>
      <c r="L205" s="361">
        <f t="shared" si="38"/>
        <v>2750000</v>
      </c>
      <c r="M205" s="361">
        <f t="shared" si="39"/>
        <v>0</v>
      </c>
      <c r="N205" s="358">
        <v>2750000</v>
      </c>
      <c r="O205" s="358" t="s">
        <v>7</v>
      </c>
      <c r="P205" s="358">
        <v>0</v>
      </c>
      <c r="Q205" s="358">
        <v>0</v>
      </c>
      <c r="R205" s="358">
        <v>0</v>
      </c>
      <c r="S205" s="358">
        <v>0</v>
      </c>
      <c r="T205" s="358">
        <v>0</v>
      </c>
      <c r="U205" s="35">
        <f t="shared" si="40"/>
        <v>1</v>
      </c>
      <c r="W205">
        <f t="shared" si="41"/>
        <v>1</v>
      </c>
      <c r="X205" s="35">
        <f t="shared" si="42"/>
        <v>0</v>
      </c>
      <c r="Y205">
        <f t="shared" si="43"/>
        <v>0</v>
      </c>
      <c r="AB205">
        <f t="shared" si="46"/>
        <v>1</v>
      </c>
      <c r="AC205">
        <f t="shared" ca="1" si="47"/>
        <v>0</v>
      </c>
      <c r="AD205" t="str">
        <f ca="1">IF(AC205=1,COUNTIF($AC$3:AC205,1),"")</f>
        <v/>
      </c>
      <c r="AE205" s="155" t="str">
        <f ca="1">IFERROR(INDEX(Données!$B$3:$B$1479,MATCH(ROWS($AD$3:AD205),$AD$3:$AD$1479,0)),"")</f>
        <v/>
      </c>
    </row>
    <row r="206" spans="1:31" ht="15.75" x14ac:dyDescent="0.25">
      <c r="A206" t="str">
        <f t="shared" si="44"/>
        <v>Trevor vanRiemsdyk - CAR - DD</v>
      </c>
      <c r="B206" t="str">
        <f t="shared" si="45"/>
        <v>Trevor vanRiemsdyk - CAR - DD</v>
      </c>
      <c r="C206" t="str">
        <f t="shared" si="36"/>
        <v>Trevor</v>
      </c>
      <c r="D206" t="str">
        <f t="shared" si="37"/>
        <v>vanRiemsdyk</v>
      </c>
      <c r="E206" s="39" t="s">
        <v>2935</v>
      </c>
      <c r="F206" s="30" t="s">
        <v>11</v>
      </c>
      <c r="G206" s="35">
        <v>0</v>
      </c>
      <c r="H206" s="35" t="s">
        <v>2444</v>
      </c>
      <c r="I206" s="35" t="s">
        <v>2439</v>
      </c>
      <c r="J206" s="35">
        <v>28</v>
      </c>
      <c r="K206" s="35">
        <f>VALUE(COUNTIF(Validation!$A$2:$H$47,E206))</f>
        <v>0</v>
      </c>
      <c r="L206" s="361">
        <f t="shared" si="38"/>
        <v>2300000</v>
      </c>
      <c r="M206" s="361">
        <f t="shared" si="39"/>
        <v>0</v>
      </c>
      <c r="N206" s="358">
        <v>2300000</v>
      </c>
      <c r="O206" s="358" t="s">
        <v>7</v>
      </c>
      <c r="P206" s="358">
        <v>0</v>
      </c>
      <c r="Q206" s="358">
        <v>0</v>
      </c>
      <c r="R206" s="358">
        <v>0</v>
      </c>
      <c r="S206" s="358">
        <v>0</v>
      </c>
      <c r="T206" s="358">
        <v>0</v>
      </c>
      <c r="U206" s="35">
        <f t="shared" si="40"/>
        <v>1</v>
      </c>
      <c r="W206">
        <f t="shared" si="41"/>
        <v>1</v>
      </c>
      <c r="X206" s="35">
        <f t="shared" si="42"/>
        <v>0</v>
      </c>
      <c r="Y206">
        <f t="shared" si="43"/>
        <v>0</v>
      </c>
      <c r="AB206">
        <f t="shared" si="46"/>
        <v>1</v>
      </c>
      <c r="AC206">
        <f t="shared" ca="1" si="47"/>
        <v>0</v>
      </c>
      <c r="AD206" t="str">
        <f ca="1">IF(AC206=1,COUNTIF($AC$3:AC206,1),"")</f>
        <v/>
      </c>
      <c r="AE206" s="155" t="str">
        <f ca="1">IFERROR(INDEX(Données!$B$3:$B$1479,MATCH(ROWS($AD$3:AD206),$AD$3:$AD$1479,0)),"")</f>
        <v/>
      </c>
    </row>
    <row r="207" spans="1:31" ht="15.75" x14ac:dyDescent="0.25">
      <c r="A207" t="str">
        <f t="shared" si="44"/>
        <v>Brock McGinn - CAR - AG, AD</v>
      </c>
      <c r="B207" t="str">
        <f t="shared" si="45"/>
        <v>Brock McGinn - CAR - AG, AD</v>
      </c>
      <c r="C207" t="str">
        <f t="shared" si="36"/>
        <v>Brock</v>
      </c>
      <c r="D207" t="str">
        <f t="shared" si="37"/>
        <v>McGinn</v>
      </c>
      <c r="E207" s="39" t="s">
        <v>1624</v>
      </c>
      <c r="F207" s="30" t="s">
        <v>11</v>
      </c>
      <c r="G207" s="35">
        <v>0</v>
      </c>
      <c r="H207" s="9" t="s">
        <v>2442</v>
      </c>
      <c r="I207" s="9" t="s">
        <v>2439</v>
      </c>
      <c r="J207" s="9">
        <v>25</v>
      </c>
      <c r="K207" s="35">
        <f>VALUE(COUNTIF(Validation!$A$2:$H$47,E207))</f>
        <v>0</v>
      </c>
      <c r="L207" s="361">
        <f t="shared" si="38"/>
        <v>2100000</v>
      </c>
      <c r="M207" s="361">
        <f t="shared" si="39"/>
        <v>2100000</v>
      </c>
      <c r="N207" s="358">
        <v>2100000</v>
      </c>
      <c r="O207" s="358">
        <v>2100000</v>
      </c>
      <c r="P207" s="358" t="s">
        <v>7</v>
      </c>
      <c r="Q207" s="358">
        <v>0</v>
      </c>
      <c r="R207" s="358">
        <v>0</v>
      </c>
      <c r="S207" s="358">
        <v>0</v>
      </c>
      <c r="T207" s="358">
        <v>0</v>
      </c>
      <c r="U207" s="35">
        <f t="shared" si="40"/>
        <v>2</v>
      </c>
      <c r="W207">
        <f t="shared" si="41"/>
        <v>1</v>
      </c>
      <c r="X207" s="35">
        <f t="shared" si="42"/>
        <v>0</v>
      </c>
      <c r="Y207">
        <f t="shared" si="43"/>
        <v>1</v>
      </c>
      <c r="AB207">
        <f t="shared" si="46"/>
        <v>1</v>
      </c>
      <c r="AC207">
        <f t="shared" ca="1" si="47"/>
        <v>0</v>
      </c>
      <c r="AD207" t="str">
        <f ca="1">IF(AC207=1,COUNTIF($AC$3:AC207,1),"")</f>
        <v/>
      </c>
      <c r="AE207" s="155" t="str">
        <f ca="1">IFERROR(INDEX(Données!$B$3:$B$1479,MATCH(ROWS($AD$3:AD207),$AD$3:$AD$1479,0)),"")</f>
        <v/>
      </c>
    </row>
    <row r="208" spans="1:31" ht="15.75" x14ac:dyDescent="0.25">
      <c r="A208" t="str">
        <f t="shared" si="44"/>
        <v>Jordan Martinook - CAR - C, AG, AD</v>
      </c>
      <c r="B208" t="str">
        <f t="shared" si="45"/>
        <v>Jordan Martinook - CAR - C, AG, AD</v>
      </c>
      <c r="C208" t="str">
        <f t="shared" si="36"/>
        <v>Jordan</v>
      </c>
      <c r="D208" t="str">
        <f t="shared" si="37"/>
        <v>Martinook</v>
      </c>
      <c r="E208" s="39" t="s">
        <v>1621</v>
      </c>
      <c r="F208" s="30" t="s">
        <v>11</v>
      </c>
      <c r="G208" s="35">
        <v>0</v>
      </c>
      <c r="H208" s="35" t="s">
        <v>2494</v>
      </c>
      <c r="I208" s="35" t="s">
        <v>2439</v>
      </c>
      <c r="J208" s="35">
        <v>27</v>
      </c>
      <c r="K208" s="35">
        <f>VALUE(COUNTIF(Validation!$A$2:$H$47,E208))</f>
        <v>0</v>
      </c>
      <c r="L208" s="361">
        <f t="shared" si="38"/>
        <v>2000000</v>
      </c>
      <c r="M208" s="361">
        <f t="shared" si="39"/>
        <v>2000000</v>
      </c>
      <c r="N208" s="358">
        <v>2000000</v>
      </c>
      <c r="O208" s="358">
        <v>2000000</v>
      </c>
      <c r="P208" s="358" t="s">
        <v>7</v>
      </c>
      <c r="Q208" s="358">
        <v>0</v>
      </c>
      <c r="R208" s="358">
        <v>0</v>
      </c>
      <c r="S208" s="358">
        <v>0</v>
      </c>
      <c r="T208" s="358">
        <v>0</v>
      </c>
      <c r="U208" s="35">
        <f t="shared" si="40"/>
        <v>2</v>
      </c>
      <c r="W208">
        <f t="shared" si="41"/>
        <v>1</v>
      </c>
      <c r="X208" s="35">
        <f t="shared" si="42"/>
        <v>0</v>
      </c>
      <c r="Y208">
        <f t="shared" si="43"/>
        <v>1</v>
      </c>
      <c r="AB208">
        <f t="shared" si="46"/>
        <v>1</v>
      </c>
      <c r="AC208">
        <f t="shared" ca="1" si="47"/>
        <v>0</v>
      </c>
      <c r="AD208" t="str">
        <f ca="1">IF(AC208=1,COUNTIF($AC$3:AC208,1),"")</f>
        <v/>
      </c>
      <c r="AE208" s="155" t="str">
        <f ca="1">IFERROR(INDEX(Données!$B$3:$B$1479,MATCH(ROWS($AD$3:AD208),$AD$3:$AD$1479,0)),"")</f>
        <v/>
      </c>
    </row>
    <row r="209" spans="1:31" ht="15.75" x14ac:dyDescent="0.25">
      <c r="A209" t="str">
        <f t="shared" si="44"/>
        <v>Martin Necas - CAR - C</v>
      </c>
      <c r="B209" t="str">
        <f t="shared" si="45"/>
        <v>Martin Necas - CAR - C</v>
      </c>
      <c r="C209" t="str">
        <f t="shared" si="36"/>
        <v>Martin</v>
      </c>
      <c r="D209" t="str">
        <f t="shared" si="37"/>
        <v>Necas</v>
      </c>
      <c r="E209" s="39" t="s">
        <v>1632</v>
      </c>
      <c r="F209" s="30" t="s">
        <v>11</v>
      </c>
      <c r="G209" s="35" t="s">
        <v>386</v>
      </c>
      <c r="H209" s="9" t="s">
        <v>73</v>
      </c>
      <c r="I209" s="9" t="s">
        <v>2439</v>
      </c>
      <c r="J209" s="9">
        <v>20</v>
      </c>
      <c r="K209" s="35">
        <f>VALUE(COUNTIF(Validation!$A$2:$H$47,E209))</f>
        <v>0</v>
      </c>
      <c r="L209" s="361">
        <f t="shared" si="38"/>
        <v>1400833</v>
      </c>
      <c r="M209" s="361">
        <f t="shared" si="39"/>
        <v>1400833</v>
      </c>
      <c r="N209" s="358">
        <v>1400833</v>
      </c>
      <c r="O209" s="358">
        <v>1400833</v>
      </c>
      <c r="P209" s="358">
        <v>1400833</v>
      </c>
      <c r="Q209" s="358" t="s">
        <v>8</v>
      </c>
      <c r="R209" s="358">
        <v>0</v>
      </c>
      <c r="S209" s="358">
        <v>0</v>
      </c>
      <c r="T209" s="358">
        <v>0</v>
      </c>
      <c r="U209" s="35">
        <f t="shared" si="40"/>
        <v>3</v>
      </c>
      <c r="W209">
        <f t="shared" si="41"/>
        <v>1</v>
      </c>
      <c r="X209" s="35">
        <f t="shared" si="42"/>
        <v>1</v>
      </c>
      <c r="Y209">
        <f t="shared" si="43"/>
        <v>1</v>
      </c>
      <c r="AB209">
        <f t="shared" si="46"/>
        <v>1</v>
      </c>
      <c r="AC209">
        <f t="shared" ca="1" si="47"/>
        <v>0</v>
      </c>
      <c r="AD209" t="str">
        <f ca="1">IF(AC209=1,COUNTIF($AC$3:AC209,1),"")</f>
        <v/>
      </c>
      <c r="AE209" s="155" t="str">
        <f ca="1">IFERROR(INDEX(Données!$B$3:$B$1479,MATCH(ROWS($AD$3:AD209),$AD$3:$AD$1479,0)),"")</f>
        <v/>
      </c>
    </row>
    <row r="210" spans="1:31" ht="15.75" x14ac:dyDescent="0.25">
      <c r="A210" t="str">
        <f t="shared" si="44"/>
        <v>Jake Bean - CAR - DG</v>
      </c>
      <c r="B210" t="str">
        <f t="shared" si="45"/>
        <v>Jake Bean - CAR - DG</v>
      </c>
      <c r="C210" t="str">
        <f t="shared" si="36"/>
        <v>Jake</v>
      </c>
      <c r="D210" t="str">
        <f t="shared" si="37"/>
        <v>Bean</v>
      </c>
      <c r="E210" s="39" t="s">
        <v>1634</v>
      </c>
      <c r="F210" s="30" t="s">
        <v>11</v>
      </c>
      <c r="G210" s="35" t="s">
        <v>386</v>
      </c>
      <c r="H210" s="35" t="s">
        <v>2445</v>
      </c>
      <c r="I210" s="35" t="s">
        <v>2446</v>
      </c>
      <c r="J210" s="35">
        <v>20</v>
      </c>
      <c r="K210" s="35">
        <f>VALUE(COUNTIF(Validation!$A$2:$H$47,E210))</f>
        <v>0</v>
      </c>
      <c r="L210" s="361">
        <f t="shared" si="38"/>
        <v>1363333</v>
      </c>
      <c r="M210" s="361">
        <f t="shared" si="39"/>
        <v>1363333</v>
      </c>
      <c r="N210" s="358">
        <v>1363333</v>
      </c>
      <c r="O210" s="358">
        <v>1363333</v>
      </c>
      <c r="P210" s="358" t="s">
        <v>8</v>
      </c>
      <c r="Q210" s="358">
        <v>0</v>
      </c>
      <c r="R210" s="358">
        <v>0</v>
      </c>
      <c r="S210" s="358">
        <v>0</v>
      </c>
      <c r="T210" s="358">
        <v>0</v>
      </c>
      <c r="U210" s="35">
        <f t="shared" si="40"/>
        <v>2</v>
      </c>
      <c r="W210">
        <f t="shared" si="41"/>
        <v>1</v>
      </c>
      <c r="X210" s="35">
        <f t="shared" si="42"/>
        <v>1</v>
      </c>
      <c r="Y210">
        <f t="shared" si="43"/>
        <v>1</v>
      </c>
      <c r="AB210">
        <f t="shared" si="46"/>
        <v>1</v>
      </c>
      <c r="AC210">
        <f t="shared" ca="1" si="47"/>
        <v>0</v>
      </c>
      <c r="AD210" t="str">
        <f ca="1">IF(AC210=1,COUNTIF($AC$3:AC210,1),"")</f>
        <v/>
      </c>
      <c r="AE210" s="155" t="str">
        <f ca="1">IFERROR(INDEX(Données!$B$3:$B$1479,MATCH(ROWS($AD$3:AD210),$AD$3:$AD$1479,0)),"")</f>
        <v/>
      </c>
    </row>
    <row r="211" spans="1:31" ht="15.75" x14ac:dyDescent="0.25">
      <c r="A211" t="str">
        <f t="shared" si="44"/>
        <v>Julien Gauthier - CAR - AD</v>
      </c>
      <c r="B211" t="str">
        <f t="shared" si="45"/>
        <v>Julien Gauthier - CAR - AD</v>
      </c>
      <c r="C211" t="str">
        <f t="shared" si="36"/>
        <v>Julien</v>
      </c>
      <c r="D211" t="str">
        <f t="shared" si="37"/>
        <v>Gauthier</v>
      </c>
      <c r="E211" s="39" t="s">
        <v>1633</v>
      </c>
      <c r="F211" s="30" t="s">
        <v>11</v>
      </c>
      <c r="G211" s="35" t="s">
        <v>386</v>
      </c>
      <c r="H211" s="35" t="s">
        <v>2438</v>
      </c>
      <c r="I211" s="35" t="s">
        <v>2446</v>
      </c>
      <c r="J211" s="35">
        <v>21</v>
      </c>
      <c r="K211" s="35">
        <f>VALUE(COUNTIF(Validation!$A$2:$H$47,E211))</f>
        <v>0</v>
      </c>
      <c r="L211" s="361">
        <f t="shared" si="38"/>
        <v>1163333</v>
      </c>
      <c r="M211" s="361">
        <f t="shared" si="39"/>
        <v>1163333</v>
      </c>
      <c r="N211" s="358">
        <v>1163333</v>
      </c>
      <c r="O211" s="358">
        <v>1163333</v>
      </c>
      <c r="P211" s="358" t="s">
        <v>8</v>
      </c>
      <c r="Q211" s="358">
        <v>0</v>
      </c>
      <c r="R211" s="358">
        <v>0</v>
      </c>
      <c r="S211" s="358">
        <v>0</v>
      </c>
      <c r="T211" s="358">
        <v>0</v>
      </c>
      <c r="U211" s="35">
        <f t="shared" si="40"/>
        <v>2</v>
      </c>
      <c r="W211">
        <f t="shared" si="41"/>
        <v>1</v>
      </c>
      <c r="X211" s="35">
        <f t="shared" si="42"/>
        <v>1</v>
      </c>
      <c r="Y211">
        <f t="shared" si="43"/>
        <v>1</v>
      </c>
      <c r="AB211">
        <f t="shared" si="46"/>
        <v>1</v>
      </c>
      <c r="AC211">
        <f t="shared" ca="1" si="47"/>
        <v>0</v>
      </c>
      <c r="AD211" t="str">
        <f ca="1">IF(AC211=1,COUNTIF($AC$3:AC211,1),"")</f>
        <v/>
      </c>
      <c r="AE211" s="155" t="str">
        <f ca="1">IFERROR(INDEX(Données!$B$3:$B$1479,MATCH(ROWS($AD$3:AD211),$AD$3:$AD$1479,0)),"")</f>
        <v/>
      </c>
    </row>
    <row r="212" spans="1:31" ht="15.75" x14ac:dyDescent="0.25">
      <c r="A212" t="str">
        <f t="shared" si="44"/>
        <v>Eetu Luostarinen - CAR - C</v>
      </c>
      <c r="B212" t="str">
        <f t="shared" si="45"/>
        <v>Eetu Luostarinen - CAR - C</v>
      </c>
      <c r="C212" t="str">
        <f t="shared" si="36"/>
        <v>Eetu</v>
      </c>
      <c r="D212" t="str">
        <f t="shared" si="37"/>
        <v>Luostarinen</v>
      </c>
      <c r="E212" s="39" t="s">
        <v>2609</v>
      </c>
      <c r="F212" s="30" t="s">
        <v>11</v>
      </c>
      <c r="G212" s="35" t="s">
        <v>386</v>
      </c>
      <c r="H212" s="35" t="s">
        <v>73</v>
      </c>
      <c r="I212" s="35" t="s">
        <v>2446</v>
      </c>
      <c r="J212" s="35">
        <v>20</v>
      </c>
      <c r="K212" s="35">
        <f>VALUE(COUNTIF(Validation!$A$2:$H$47,E212))</f>
        <v>0</v>
      </c>
      <c r="L212" s="361">
        <f t="shared" si="38"/>
        <v>925000</v>
      </c>
      <c r="M212" s="361">
        <f t="shared" si="39"/>
        <v>925000</v>
      </c>
      <c r="N212" s="358">
        <v>925000</v>
      </c>
      <c r="O212" s="358">
        <v>925000</v>
      </c>
      <c r="P212" s="358">
        <v>925000</v>
      </c>
      <c r="Q212" s="358" t="s">
        <v>8</v>
      </c>
      <c r="R212" s="358">
        <v>0</v>
      </c>
      <c r="S212" s="358">
        <v>0</v>
      </c>
      <c r="T212" s="358">
        <v>0</v>
      </c>
      <c r="U212" s="35">
        <f t="shared" si="40"/>
        <v>3</v>
      </c>
      <c r="W212">
        <f t="shared" si="41"/>
        <v>1</v>
      </c>
      <c r="X212" s="35">
        <f t="shared" si="42"/>
        <v>1</v>
      </c>
      <c r="Y212">
        <f t="shared" si="43"/>
        <v>1</v>
      </c>
      <c r="AB212">
        <f t="shared" si="46"/>
        <v>1</v>
      </c>
      <c r="AC212">
        <f t="shared" ca="1" si="47"/>
        <v>0</v>
      </c>
      <c r="AD212" t="str">
        <f ca="1">IF(AC212=1,COUNTIF($AC$3:AC212,1),"")</f>
        <v/>
      </c>
      <c r="AE212" s="155" t="str">
        <f ca="1">IFERROR(INDEX(Données!$B$3:$B$1479,MATCH(ROWS($AD$3:AD212),$AD$3:$AD$1479,0)),"")</f>
        <v/>
      </c>
    </row>
    <row r="213" spans="1:31" ht="15.75" x14ac:dyDescent="0.25">
      <c r="A213" t="str">
        <f t="shared" si="44"/>
        <v>Stelio Mattheos - CAR - C</v>
      </c>
      <c r="B213" t="str">
        <f t="shared" si="45"/>
        <v>Stelio Mattheos - CAR - C</v>
      </c>
      <c r="C213" t="str">
        <f t="shared" si="36"/>
        <v>Stelio</v>
      </c>
      <c r="D213" t="str">
        <f t="shared" si="37"/>
        <v>Mattheos</v>
      </c>
      <c r="E213" s="39" t="s">
        <v>2611</v>
      </c>
      <c r="F213" s="30" t="s">
        <v>11</v>
      </c>
      <c r="G213" s="35" t="s">
        <v>386</v>
      </c>
      <c r="H213" s="35" t="s">
        <v>73</v>
      </c>
      <c r="I213" s="35" t="s">
        <v>2446</v>
      </c>
      <c r="J213" s="35">
        <v>20</v>
      </c>
      <c r="K213" s="35">
        <f>VALUE(COUNTIF(Validation!$A$2:$H$47,E213))</f>
        <v>0</v>
      </c>
      <c r="L213" s="361">
        <f t="shared" si="38"/>
        <v>925000</v>
      </c>
      <c r="M213" s="361">
        <f t="shared" si="39"/>
        <v>925000</v>
      </c>
      <c r="N213" s="358">
        <v>925000</v>
      </c>
      <c r="O213" s="358">
        <v>925000</v>
      </c>
      <c r="P213" s="358">
        <v>925000</v>
      </c>
      <c r="Q213" s="358" t="s">
        <v>8</v>
      </c>
      <c r="R213" s="358">
        <v>0</v>
      </c>
      <c r="S213" s="358">
        <v>0</v>
      </c>
      <c r="T213" s="358">
        <v>0</v>
      </c>
      <c r="U213" s="35">
        <f t="shared" si="40"/>
        <v>3</v>
      </c>
      <c r="W213">
        <f t="shared" si="41"/>
        <v>1</v>
      </c>
      <c r="X213" s="35">
        <f t="shared" si="42"/>
        <v>1</v>
      </c>
      <c r="Y213">
        <f t="shared" si="43"/>
        <v>1</v>
      </c>
      <c r="AB213">
        <f t="shared" si="46"/>
        <v>1</v>
      </c>
      <c r="AC213">
        <f t="shared" ca="1" si="47"/>
        <v>0</v>
      </c>
      <c r="AD213" t="str">
        <f ca="1">IF(AC213=1,COUNTIF($AC$3:AC213,1),"")</f>
        <v/>
      </c>
      <c r="AE213" s="155" t="str">
        <f ca="1">IFERROR(INDEX(Données!$B$3:$B$1479,MATCH(ROWS($AD$3:AD213),$AD$3:$AD$1479,0)),"")</f>
        <v/>
      </c>
    </row>
    <row r="214" spans="1:31" ht="15.75" x14ac:dyDescent="0.25">
      <c r="A214" t="str">
        <f t="shared" si="44"/>
        <v>Jacob Pritchard - CAR - AG</v>
      </c>
      <c r="B214" t="str">
        <f t="shared" si="45"/>
        <v>Jacob Pritchard - CAR - AG</v>
      </c>
      <c r="C214" t="str">
        <f t="shared" si="36"/>
        <v>Jacob</v>
      </c>
      <c r="D214" t="str">
        <f t="shared" si="37"/>
        <v>Pritchard</v>
      </c>
      <c r="E214" s="39" t="s">
        <v>2610</v>
      </c>
      <c r="F214" s="30" t="s">
        <v>11</v>
      </c>
      <c r="G214" s="35" t="s">
        <v>386</v>
      </c>
      <c r="H214" s="35" t="s">
        <v>2440</v>
      </c>
      <c r="I214" s="35" t="s">
        <v>2446</v>
      </c>
      <c r="J214" s="35">
        <v>24</v>
      </c>
      <c r="K214" s="35">
        <f>VALUE(COUNTIF(Validation!$A$2:$H$47,E214))</f>
        <v>0</v>
      </c>
      <c r="L214" s="361">
        <f t="shared" si="38"/>
        <v>925000</v>
      </c>
      <c r="M214" s="361">
        <f t="shared" si="39"/>
        <v>0</v>
      </c>
      <c r="N214" s="358">
        <v>925000</v>
      </c>
      <c r="O214" s="358" t="s">
        <v>8</v>
      </c>
      <c r="P214" s="358">
        <v>0</v>
      </c>
      <c r="Q214" s="358">
        <v>0</v>
      </c>
      <c r="R214" s="358">
        <v>0</v>
      </c>
      <c r="S214" s="358">
        <v>0</v>
      </c>
      <c r="T214" s="358">
        <v>0</v>
      </c>
      <c r="U214" s="35">
        <f t="shared" si="40"/>
        <v>1</v>
      </c>
      <c r="W214">
        <f t="shared" si="41"/>
        <v>1</v>
      </c>
      <c r="X214" s="35">
        <f t="shared" si="42"/>
        <v>1</v>
      </c>
      <c r="Y214">
        <f t="shared" si="43"/>
        <v>0</v>
      </c>
      <c r="AB214">
        <f t="shared" si="46"/>
        <v>1</v>
      </c>
      <c r="AC214">
        <f t="shared" ca="1" si="47"/>
        <v>0</v>
      </c>
      <c r="AD214" t="str">
        <f ca="1">IF(AC214=1,COUNTIF($AC$3:AC214,1),"")</f>
        <v/>
      </c>
      <c r="AE214" s="155" t="str">
        <f ca="1">IFERROR(INDEX(Données!$B$3:$B$1479,MATCH(ROWS($AD$3:AD214),$AD$3:$AD$1479,0)),"")</f>
        <v/>
      </c>
    </row>
    <row r="215" spans="1:31" ht="15.75" x14ac:dyDescent="0.25">
      <c r="A215" t="str">
        <f t="shared" si="44"/>
        <v>Janne Kuokkanen - CAR - C, AG</v>
      </c>
      <c r="B215" t="str">
        <f t="shared" si="45"/>
        <v>Janne Kuokkanen - CAR - C, AG</v>
      </c>
      <c r="C215" t="str">
        <f t="shared" si="36"/>
        <v>Janne</v>
      </c>
      <c r="D215" t="str">
        <f t="shared" si="37"/>
        <v>Kuokkanen</v>
      </c>
      <c r="E215" s="39" t="s">
        <v>1636</v>
      </c>
      <c r="F215" s="30" t="s">
        <v>11</v>
      </c>
      <c r="G215" s="35" t="s">
        <v>386</v>
      </c>
      <c r="H215" s="9" t="s">
        <v>2452</v>
      </c>
      <c r="I215" s="9" t="s">
        <v>2446</v>
      </c>
      <c r="J215" s="9">
        <v>21</v>
      </c>
      <c r="K215" s="35">
        <f>VALUE(COUNTIF(Validation!$A$2:$H$47,E215))</f>
        <v>0</v>
      </c>
      <c r="L215" s="361">
        <f t="shared" si="38"/>
        <v>894166</v>
      </c>
      <c r="M215" s="361">
        <f t="shared" si="39"/>
        <v>894166</v>
      </c>
      <c r="N215" s="358">
        <v>894166</v>
      </c>
      <c r="O215" s="358">
        <v>894166</v>
      </c>
      <c r="P215" s="358" t="s">
        <v>8</v>
      </c>
      <c r="Q215" s="358">
        <v>0</v>
      </c>
      <c r="R215" s="358">
        <v>0</v>
      </c>
      <c r="S215" s="358">
        <v>0</v>
      </c>
      <c r="T215" s="358">
        <v>0</v>
      </c>
      <c r="U215" s="35">
        <f t="shared" si="40"/>
        <v>2</v>
      </c>
      <c r="W215">
        <f t="shared" si="41"/>
        <v>1</v>
      </c>
      <c r="X215" s="35">
        <f t="shared" si="42"/>
        <v>1</v>
      </c>
      <c r="Y215">
        <f t="shared" si="43"/>
        <v>1</v>
      </c>
      <c r="AB215">
        <f t="shared" si="46"/>
        <v>1</v>
      </c>
      <c r="AC215">
        <f t="shared" ca="1" si="47"/>
        <v>0</v>
      </c>
      <c r="AD215" t="str">
        <f ca="1">IF(AC215=1,COUNTIF($AC$3:AC215,1),"")</f>
        <v/>
      </c>
      <c r="AE215" s="155" t="str">
        <f ca="1">IFERROR(INDEX(Données!$B$3:$B$1479,MATCH(ROWS($AD$3:AD215),$AD$3:$AD$1479,0)),"")</f>
        <v/>
      </c>
    </row>
    <row r="216" spans="1:31" ht="15.75" x14ac:dyDescent="0.25">
      <c r="A216" t="str">
        <f t="shared" si="44"/>
        <v>Jesper Sellgren - CAR - D</v>
      </c>
      <c r="B216" t="str">
        <f t="shared" si="45"/>
        <v>Jesper Sellgren - CAR - D</v>
      </c>
      <c r="C216" t="str">
        <f t="shared" si="36"/>
        <v>Jesper</v>
      </c>
      <c r="D216" t="str">
        <f t="shared" si="37"/>
        <v>Sellgren</v>
      </c>
      <c r="E216" s="39" t="s">
        <v>2612</v>
      </c>
      <c r="F216" s="30" t="s">
        <v>11</v>
      </c>
      <c r="G216" s="35" t="s">
        <v>386</v>
      </c>
      <c r="H216" s="35" t="s">
        <v>82</v>
      </c>
      <c r="I216" s="35" t="s">
        <v>2446</v>
      </c>
      <c r="J216" s="35">
        <v>21</v>
      </c>
      <c r="K216" s="35">
        <f>VALUE(COUNTIF(Validation!$A$2:$H$47,E216))</f>
        <v>0</v>
      </c>
      <c r="L216" s="361">
        <f t="shared" si="38"/>
        <v>875000</v>
      </c>
      <c r="M216" s="361">
        <f t="shared" si="39"/>
        <v>875000</v>
      </c>
      <c r="N216" s="358">
        <v>875000</v>
      </c>
      <c r="O216" s="358">
        <v>875000</v>
      </c>
      <c r="P216" s="358">
        <v>875000</v>
      </c>
      <c r="Q216" s="358" t="s">
        <v>8</v>
      </c>
      <c r="R216" s="358">
        <v>0</v>
      </c>
      <c r="S216" s="358">
        <v>0</v>
      </c>
      <c r="T216" s="358">
        <v>0</v>
      </c>
      <c r="U216" s="35">
        <f t="shared" si="40"/>
        <v>3</v>
      </c>
      <c r="W216">
        <f t="shared" si="41"/>
        <v>1</v>
      </c>
      <c r="X216" s="35">
        <f t="shared" si="42"/>
        <v>1</v>
      </c>
      <c r="Y216">
        <f t="shared" si="43"/>
        <v>1</v>
      </c>
      <c r="AB216">
        <f t="shared" si="46"/>
        <v>1</v>
      </c>
      <c r="AC216">
        <f t="shared" ca="1" si="47"/>
        <v>0</v>
      </c>
      <c r="AD216" t="str">
        <f ca="1">IF(AC216=1,COUNTIF($AC$3:AC216,1),"")</f>
        <v/>
      </c>
      <c r="AE216" s="155" t="str">
        <f ca="1">IFERROR(INDEX(Données!$B$3:$B$1479,MATCH(ROWS($AD$3:AD216),$AD$3:$AD$1479,0)),"")</f>
        <v/>
      </c>
    </row>
    <row r="217" spans="1:31" ht="15.75" x14ac:dyDescent="0.25">
      <c r="A217" t="str">
        <f t="shared" si="44"/>
        <v>Gustav Forsling - CAR - DG</v>
      </c>
      <c r="B217" t="str">
        <f t="shared" si="45"/>
        <v>Gustav Forsling - CAR - DG</v>
      </c>
      <c r="C217" t="str">
        <f t="shared" si="36"/>
        <v>Gustav</v>
      </c>
      <c r="D217" t="str">
        <f t="shared" si="37"/>
        <v>Forsling</v>
      </c>
      <c r="E217" s="39" t="s">
        <v>1905</v>
      </c>
      <c r="F217" s="30" t="s">
        <v>11</v>
      </c>
      <c r="G217" s="35">
        <v>0</v>
      </c>
      <c r="H217" s="35" t="s">
        <v>2445</v>
      </c>
      <c r="I217" s="35" t="s">
        <v>2439</v>
      </c>
      <c r="J217" s="35">
        <v>23</v>
      </c>
      <c r="K217" s="35">
        <f>VALUE(COUNTIF(Validation!$A$2:$H$47,E217))</f>
        <v>0</v>
      </c>
      <c r="L217" s="361">
        <f t="shared" si="38"/>
        <v>874125</v>
      </c>
      <c r="M217" s="361">
        <f t="shared" si="39"/>
        <v>0</v>
      </c>
      <c r="N217" s="358">
        <v>874125</v>
      </c>
      <c r="O217" s="358" t="s">
        <v>8</v>
      </c>
      <c r="P217" s="358">
        <v>0</v>
      </c>
      <c r="Q217" s="358">
        <v>0</v>
      </c>
      <c r="R217" s="358">
        <v>0</v>
      </c>
      <c r="S217" s="358">
        <v>0</v>
      </c>
      <c r="T217" s="358">
        <v>0</v>
      </c>
      <c r="U217" s="35">
        <f t="shared" si="40"/>
        <v>1</v>
      </c>
      <c r="W217">
        <f t="shared" si="41"/>
        <v>1</v>
      </c>
      <c r="X217" s="35">
        <f t="shared" si="42"/>
        <v>0</v>
      </c>
      <c r="Y217">
        <f t="shared" si="43"/>
        <v>0</v>
      </c>
      <c r="AB217">
        <f t="shared" si="46"/>
        <v>1</v>
      </c>
      <c r="AC217">
        <f t="shared" ca="1" si="47"/>
        <v>0</v>
      </c>
      <c r="AD217" t="str">
        <f ca="1">IF(AC217=1,COUNTIF($AC$3:AC217,1),"")</f>
        <v/>
      </c>
      <c r="AE217" s="155" t="str">
        <f ca="1">IFERROR(INDEX(Données!$B$3:$B$1479,MATCH(ROWS($AD$3:AD217),$AD$3:$AD$1479,0)),"")</f>
        <v/>
      </c>
    </row>
    <row r="218" spans="1:31" ht="15.75" x14ac:dyDescent="0.25">
      <c r="A218" t="str">
        <f t="shared" si="44"/>
        <v>Haydn Fleury - CAR - DG</v>
      </c>
      <c r="B218" t="str">
        <f t="shared" si="45"/>
        <v>Haydn Fleury - CAR - DG</v>
      </c>
      <c r="C218" t="str">
        <f t="shared" si="36"/>
        <v>Haydn</v>
      </c>
      <c r="D218" t="str">
        <f t="shared" si="37"/>
        <v>Fleury</v>
      </c>
      <c r="E218" s="39" t="s">
        <v>1629</v>
      </c>
      <c r="F218" s="35" t="s">
        <v>11</v>
      </c>
      <c r="G218" s="35">
        <v>0</v>
      </c>
      <c r="H218" s="35" t="s">
        <v>2445</v>
      </c>
      <c r="I218" s="35" t="s">
        <v>2439</v>
      </c>
      <c r="J218" s="35">
        <v>23</v>
      </c>
      <c r="K218" s="35">
        <f>VALUE(COUNTIF(Validation!$A$2:$H$47,E218))</f>
        <v>0</v>
      </c>
      <c r="L218" s="361">
        <f t="shared" si="38"/>
        <v>850000</v>
      </c>
      <c r="M218" s="361">
        <f t="shared" si="39"/>
        <v>0</v>
      </c>
      <c r="N218" s="358">
        <v>850000</v>
      </c>
      <c r="O218" s="358" t="s">
        <v>8</v>
      </c>
      <c r="P218" s="358">
        <v>0</v>
      </c>
      <c r="Q218" s="358">
        <v>0</v>
      </c>
      <c r="R218" s="358">
        <v>0</v>
      </c>
      <c r="S218" s="358">
        <v>0</v>
      </c>
      <c r="T218" s="358">
        <v>0</v>
      </c>
      <c r="U218" s="35">
        <f t="shared" si="40"/>
        <v>1</v>
      </c>
      <c r="W218">
        <f t="shared" si="41"/>
        <v>1</v>
      </c>
      <c r="X218" s="35">
        <f t="shared" si="42"/>
        <v>0</v>
      </c>
      <c r="Y218">
        <f t="shared" si="43"/>
        <v>0</v>
      </c>
      <c r="AB218">
        <f t="shared" si="46"/>
        <v>1</v>
      </c>
      <c r="AC218">
        <f t="shared" ca="1" si="47"/>
        <v>0</v>
      </c>
      <c r="AD218" t="str">
        <f ca="1">IF(AC218=1,COUNTIF($AC$3:AC218,1),"")</f>
        <v/>
      </c>
      <c r="AE218" s="155" t="str">
        <f ca="1">IFERROR(INDEX(Données!$B$3:$B$1479,MATCH(ROWS($AD$3:AD218),$AD$3:$AD$1479,0)),"")</f>
        <v/>
      </c>
    </row>
    <row r="219" spans="1:31" ht="15.75" x14ac:dyDescent="0.25">
      <c r="A219" t="str">
        <f t="shared" si="44"/>
        <v>Warren Foegele - CAR - AG</v>
      </c>
      <c r="B219" t="str">
        <f t="shared" si="45"/>
        <v>Warren Foegele - CAR - AG</v>
      </c>
      <c r="C219" t="str">
        <f t="shared" si="36"/>
        <v>Warren</v>
      </c>
      <c r="D219" t="str">
        <f t="shared" si="37"/>
        <v>Foegele</v>
      </c>
      <c r="E219" s="39" t="s">
        <v>1640</v>
      </c>
      <c r="F219" s="30" t="s">
        <v>11</v>
      </c>
      <c r="G219" s="35" t="s">
        <v>403</v>
      </c>
      <c r="H219" s="35" t="s">
        <v>2440</v>
      </c>
      <c r="I219" s="35" t="s">
        <v>2439</v>
      </c>
      <c r="J219" s="35">
        <v>23</v>
      </c>
      <c r="K219" s="35">
        <f>VALUE(COUNTIF(Validation!$A$2:$H$47,E219))</f>
        <v>0</v>
      </c>
      <c r="L219" s="361">
        <f t="shared" si="38"/>
        <v>800000</v>
      </c>
      <c r="M219" s="361">
        <f t="shared" si="39"/>
        <v>0</v>
      </c>
      <c r="N219" s="358">
        <v>800000</v>
      </c>
      <c r="O219" s="358" t="s">
        <v>8</v>
      </c>
      <c r="P219" s="358">
        <v>0</v>
      </c>
      <c r="Q219" s="358">
        <v>0</v>
      </c>
      <c r="R219" s="358">
        <v>0</v>
      </c>
      <c r="S219" s="358">
        <v>0</v>
      </c>
      <c r="T219" s="358">
        <v>0</v>
      </c>
      <c r="U219" s="35">
        <f t="shared" si="40"/>
        <v>1</v>
      </c>
      <c r="W219">
        <f t="shared" si="41"/>
        <v>1</v>
      </c>
      <c r="X219" s="35">
        <f t="shared" si="42"/>
        <v>1</v>
      </c>
      <c r="Y219">
        <f t="shared" si="43"/>
        <v>0</v>
      </c>
      <c r="AB219">
        <f t="shared" si="46"/>
        <v>1</v>
      </c>
      <c r="AC219">
        <f t="shared" ca="1" si="47"/>
        <v>0</v>
      </c>
      <c r="AD219" t="str">
        <f ca="1">IF(AC219=1,COUNTIF($AC$3:AC219,1),"")</f>
        <v/>
      </c>
      <c r="AE219" s="155" t="str">
        <f ca="1">IFERROR(INDEX(Données!$B$3:$B$1479,MATCH(ROWS($AD$3:AD219),$AD$3:$AD$1479,0)),"")</f>
        <v/>
      </c>
    </row>
    <row r="220" spans="1:31" ht="15.75" x14ac:dyDescent="0.25">
      <c r="A220" t="str">
        <f t="shared" si="44"/>
        <v>Morgan Geekie - CAR - C, AD</v>
      </c>
      <c r="B220" t="str">
        <f t="shared" si="45"/>
        <v>Morgan Geekie - CAR - C, AD</v>
      </c>
      <c r="C220" t="str">
        <f t="shared" si="36"/>
        <v>Morgan</v>
      </c>
      <c r="D220" t="str">
        <f t="shared" si="37"/>
        <v>Geekie</v>
      </c>
      <c r="E220" s="39" t="s">
        <v>1637</v>
      </c>
      <c r="F220" s="30" t="s">
        <v>11</v>
      </c>
      <c r="G220" s="35" t="s">
        <v>386</v>
      </c>
      <c r="H220" s="35" t="s">
        <v>2448</v>
      </c>
      <c r="I220" s="35" t="s">
        <v>2446</v>
      </c>
      <c r="J220" s="35">
        <v>21</v>
      </c>
      <c r="K220" s="35">
        <f>VALUE(COUNTIF(Validation!$A$2:$H$47,E220))</f>
        <v>0</v>
      </c>
      <c r="L220" s="361">
        <f t="shared" si="38"/>
        <v>800000</v>
      </c>
      <c r="M220" s="361">
        <f t="shared" si="39"/>
        <v>800000</v>
      </c>
      <c r="N220" s="358">
        <v>800000</v>
      </c>
      <c r="O220" s="358">
        <v>800000</v>
      </c>
      <c r="P220" s="358" t="s">
        <v>8</v>
      </c>
      <c r="Q220" s="358">
        <v>0</v>
      </c>
      <c r="R220" s="358">
        <v>0</v>
      </c>
      <c r="S220" s="358">
        <v>0</v>
      </c>
      <c r="T220" s="358">
        <v>0</v>
      </c>
      <c r="U220" s="35">
        <f t="shared" si="40"/>
        <v>2</v>
      </c>
      <c r="W220">
        <f t="shared" si="41"/>
        <v>1</v>
      </c>
      <c r="X220" s="35">
        <f t="shared" si="42"/>
        <v>1</v>
      </c>
      <c r="Y220">
        <f t="shared" si="43"/>
        <v>1</v>
      </c>
      <c r="AB220">
        <f t="shared" si="46"/>
        <v>1</v>
      </c>
      <c r="AC220">
        <f t="shared" ca="1" si="47"/>
        <v>0</v>
      </c>
      <c r="AD220" t="str">
        <f ca="1">IF(AC220=1,COUNTIF($AC$3:AC220,1),"")</f>
        <v/>
      </c>
      <c r="AE220" s="155" t="str">
        <f ca="1">IFERROR(INDEX(Données!$B$3:$B$1479,MATCH(ROWS($AD$3:AD220),$AD$3:$AD$1479,0)),"")</f>
        <v/>
      </c>
    </row>
    <row r="221" spans="1:31" ht="15.75" x14ac:dyDescent="0.25">
      <c r="A221" t="str">
        <f t="shared" si="44"/>
        <v>Jeremy Helvig - CAR - G</v>
      </c>
      <c r="B221" t="str">
        <f t="shared" si="45"/>
        <v>Jeremy Helvig - CAR - G</v>
      </c>
      <c r="C221" t="str">
        <f t="shared" si="36"/>
        <v>Jeremy</v>
      </c>
      <c r="D221" t="str">
        <f t="shared" si="37"/>
        <v>Helvig</v>
      </c>
      <c r="E221" s="39" t="s">
        <v>1638</v>
      </c>
      <c r="F221" s="30" t="s">
        <v>11</v>
      </c>
      <c r="G221" s="35" t="s">
        <v>386</v>
      </c>
      <c r="H221" s="35" t="s">
        <v>127</v>
      </c>
      <c r="I221" s="35" t="s">
        <v>2446</v>
      </c>
      <c r="J221" s="35">
        <v>22</v>
      </c>
      <c r="K221" s="35">
        <f>VALUE(COUNTIF(Validation!$A$2:$H$47,E221))</f>
        <v>0</v>
      </c>
      <c r="L221" s="361">
        <f t="shared" si="38"/>
        <v>785000</v>
      </c>
      <c r="M221" s="361">
        <f t="shared" si="39"/>
        <v>785000</v>
      </c>
      <c r="N221" s="358">
        <v>785000</v>
      </c>
      <c r="O221" s="358">
        <v>785000</v>
      </c>
      <c r="P221" s="358" t="s">
        <v>8</v>
      </c>
      <c r="Q221" s="358">
        <v>0</v>
      </c>
      <c r="R221" s="358">
        <v>0</v>
      </c>
      <c r="S221" s="358">
        <v>0</v>
      </c>
      <c r="T221" s="358">
        <v>0</v>
      </c>
      <c r="U221" s="35">
        <f t="shared" si="40"/>
        <v>2</v>
      </c>
      <c r="W221">
        <f t="shared" si="41"/>
        <v>1</v>
      </c>
      <c r="X221" s="35">
        <f t="shared" si="42"/>
        <v>1</v>
      </c>
      <c r="Y221">
        <f t="shared" si="43"/>
        <v>1</v>
      </c>
      <c r="AB221">
        <f t="shared" si="46"/>
        <v>1</v>
      </c>
      <c r="AC221">
        <f t="shared" ca="1" si="47"/>
        <v>0</v>
      </c>
      <c r="AD221" t="str">
        <f ca="1">IF(AC221=1,COUNTIF($AC$3:AC221,1),"")</f>
        <v/>
      </c>
      <c r="AE221" s="155" t="str">
        <f ca="1">IFERROR(INDEX(Données!$B$3:$B$1479,MATCH(ROWS($AD$3:AD221),$AD$3:$AD$1479,0)),"")</f>
        <v/>
      </c>
    </row>
    <row r="222" spans="1:31" ht="15.75" x14ac:dyDescent="0.25">
      <c r="A222" t="str">
        <f t="shared" si="44"/>
        <v>Anton Forsberg - CAR - G</v>
      </c>
      <c r="B222" t="str">
        <f t="shared" si="45"/>
        <v>Anton Forsberg - CAR - G</v>
      </c>
      <c r="C222" t="str">
        <f t="shared" si="36"/>
        <v>Anton</v>
      </c>
      <c r="D222" t="str">
        <f t="shared" si="37"/>
        <v>Forsberg</v>
      </c>
      <c r="E222" s="39" t="s">
        <v>1911</v>
      </c>
      <c r="F222" s="30" t="s">
        <v>11</v>
      </c>
      <c r="G222" s="35">
        <v>0</v>
      </c>
      <c r="H222" s="35" t="s">
        <v>127</v>
      </c>
      <c r="I222" s="35" t="s">
        <v>2446</v>
      </c>
      <c r="J222" s="35">
        <v>26</v>
      </c>
      <c r="K222" s="35">
        <f>VALUE(COUNTIF(Validation!$A$2:$H$47,E222))</f>
        <v>0</v>
      </c>
      <c r="L222" s="361">
        <f t="shared" si="38"/>
        <v>775000</v>
      </c>
      <c r="M222" s="361">
        <f t="shared" si="39"/>
        <v>0</v>
      </c>
      <c r="N222" s="358">
        <v>775000</v>
      </c>
      <c r="O222" s="358" t="s">
        <v>7</v>
      </c>
      <c r="P222" s="358">
        <v>0</v>
      </c>
      <c r="Q222" s="358">
        <v>0</v>
      </c>
      <c r="R222" s="358">
        <v>0</v>
      </c>
      <c r="S222" s="358">
        <v>0</v>
      </c>
      <c r="T222" s="358">
        <v>0</v>
      </c>
      <c r="U222" s="35">
        <f t="shared" si="40"/>
        <v>1</v>
      </c>
      <c r="W222">
        <f t="shared" si="41"/>
        <v>1</v>
      </c>
      <c r="X222" s="35">
        <f t="shared" si="42"/>
        <v>0</v>
      </c>
      <c r="Y222">
        <f t="shared" si="43"/>
        <v>0</v>
      </c>
      <c r="AB222">
        <f t="shared" si="46"/>
        <v>1</v>
      </c>
      <c r="AC222">
        <f t="shared" ca="1" si="47"/>
        <v>0</v>
      </c>
      <c r="AD222" t="str">
        <f ca="1">IF(AC222=1,COUNTIF($AC$3:AC222,1),"")</f>
        <v/>
      </c>
      <c r="AE222" s="155" t="str">
        <f ca="1">IFERROR(INDEX(Données!$B$3:$B$1479,MATCH(ROWS($AD$3:AD222),$AD$3:$AD$1479,0)),"")</f>
        <v/>
      </c>
    </row>
    <row r="223" spans="1:31" ht="15.75" x14ac:dyDescent="0.25">
      <c r="A223" t="str">
        <f t="shared" si="44"/>
        <v>Callum Booth - CAR - G</v>
      </c>
      <c r="B223" t="str">
        <f t="shared" si="45"/>
        <v>Callum Booth - CAR - G</v>
      </c>
      <c r="C223" t="str">
        <f t="shared" si="36"/>
        <v>Callum</v>
      </c>
      <c r="D223" t="str">
        <f t="shared" si="37"/>
        <v>Booth</v>
      </c>
      <c r="E223" s="39" t="s">
        <v>1643</v>
      </c>
      <c r="F223" s="30" t="s">
        <v>11</v>
      </c>
      <c r="G223" s="35" t="s">
        <v>386</v>
      </c>
      <c r="H223" s="35" t="s">
        <v>127</v>
      </c>
      <c r="I223" s="35" t="s">
        <v>2446</v>
      </c>
      <c r="J223" s="35">
        <v>22</v>
      </c>
      <c r="K223" s="35">
        <f>VALUE(COUNTIF(Validation!$A$2:$H$47,E223))</f>
        <v>0</v>
      </c>
      <c r="L223" s="361">
        <f t="shared" si="38"/>
        <v>758333</v>
      </c>
      <c r="M223" s="361">
        <f t="shared" si="39"/>
        <v>0</v>
      </c>
      <c r="N223" s="358">
        <v>758333</v>
      </c>
      <c r="O223" s="358" t="s">
        <v>8</v>
      </c>
      <c r="P223" s="358">
        <v>0</v>
      </c>
      <c r="Q223" s="358">
        <v>0</v>
      </c>
      <c r="R223" s="358">
        <v>0</v>
      </c>
      <c r="S223" s="358">
        <v>0</v>
      </c>
      <c r="T223" s="358">
        <v>0</v>
      </c>
      <c r="U223" s="35">
        <f t="shared" si="40"/>
        <v>1</v>
      </c>
      <c r="W223">
        <f t="shared" si="41"/>
        <v>1</v>
      </c>
      <c r="X223" s="35">
        <f t="shared" si="42"/>
        <v>1</v>
      </c>
      <c r="Y223">
        <f t="shared" si="43"/>
        <v>0</v>
      </c>
      <c r="AB223">
        <f t="shared" si="46"/>
        <v>1</v>
      </c>
      <c r="AC223">
        <f t="shared" ca="1" si="47"/>
        <v>0</v>
      </c>
      <c r="AD223" t="str">
        <f ca="1">IF(AC223=1,COUNTIF($AC$3:AC223,1),"")</f>
        <v/>
      </c>
      <c r="AE223" s="155" t="str">
        <f ca="1">IFERROR(INDEX(Données!$B$3:$B$1479,MATCH(ROWS($AD$3:AD223),$AD$3:$AD$1479,0)),"")</f>
        <v/>
      </c>
    </row>
    <row r="224" spans="1:31" ht="15.75" x14ac:dyDescent="0.25">
      <c r="A224" t="str">
        <f t="shared" si="44"/>
        <v>Spencer Smallman - CAR - AD</v>
      </c>
      <c r="B224" t="str">
        <f t="shared" si="45"/>
        <v>Spencer Smallman - CAR - AD</v>
      </c>
      <c r="C224" t="str">
        <f t="shared" si="36"/>
        <v>Spencer</v>
      </c>
      <c r="D224" t="str">
        <f t="shared" si="37"/>
        <v>Smallman</v>
      </c>
      <c r="E224" s="39" t="s">
        <v>1644</v>
      </c>
      <c r="F224" s="30" t="s">
        <v>11</v>
      </c>
      <c r="G224" s="35" t="s">
        <v>386</v>
      </c>
      <c r="H224" s="35" t="s">
        <v>2438</v>
      </c>
      <c r="I224" s="35" t="s">
        <v>2446</v>
      </c>
      <c r="J224" s="35">
        <v>22</v>
      </c>
      <c r="K224" s="35">
        <f>VALUE(COUNTIF(Validation!$A$2:$H$47,E224))</f>
        <v>0</v>
      </c>
      <c r="L224" s="361">
        <f t="shared" si="38"/>
        <v>758333</v>
      </c>
      <c r="M224" s="361">
        <f t="shared" si="39"/>
        <v>0</v>
      </c>
      <c r="N224" s="358">
        <v>758333</v>
      </c>
      <c r="O224" s="358" t="s">
        <v>8</v>
      </c>
      <c r="P224" s="358">
        <v>0</v>
      </c>
      <c r="Q224" s="358">
        <v>0</v>
      </c>
      <c r="R224" s="358">
        <v>0</v>
      </c>
      <c r="S224" s="358">
        <v>0</v>
      </c>
      <c r="T224" s="358">
        <v>0</v>
      </c>
      <c r="U224" s="35">
        <f t="shared" si="40"/>
        <v>1</v>
      </c>
      <c r="W224">
        <f t="shared" si="41"/>
        <v>1</v>
      </c>
      <c r="X224" s="35">
        <f t="shared" si="42"/>
        <v>1</v>
      </c>
      <c r="Y224">
        <f t="shared" si="43"/>
        <v>0</v>
      </c>
      <c r="AB224">
        <f t="shared" si="46"/>
        <v>1</v>
      </c>
      <c r="AC224">
        <f t="shared" ca="1" si="47"/>
        <v>0</v>
      </c>
      <c r="AD224" t="str">
        <f ca="1">IF(AC224=1,COUNTIF($AC$3:AC224,1),"")</f>
        <v/>
      </c>
      <c r="AE224" s="155" t="str">
        <f ca="1">IFERROR(INDEX(Données!$B$3:$B$1479,MATCH(ROWS($AD$3:AD224),$AD$3:$AD$1479,0)),"")</f>
        <v/>
      </c>
    </row>
    <row r="225" spans="1:31" ht="15.75" x14ac:dyDescent="0.25">
      <c r="A225" t="str">
        <f t="shared" si="44"/>
        <v>Alex Nedeljkovic - CAR - G</v>
      </c>
      <c r="B225" t="str">
        <f t="shared" si="45"/>
        <v>Alex Nedeljkovic - CAR - G</v>
      </c>
      <c r="C225" t="str">
        <f t="shared" si="36"/>
        <v>Alex</v>
      </c>
      <c r="D225" t="str">
        <f t="shared" si="37"/>
        <v>Nedeljkovic</v>
      </c>
      <c r="E225" s="39" t="s">
        <v>1635</v>
      </c>
      <c r="F225" s="30" t="s">
        <v>11</v>
      </c>
      <c r="G225" s="35">
        <v>0</v>
      </c>
      <c r="H225" s="35" t="s">
        <v>127</v>
      </c>
      <c r="I225" s="35" t="s">
        <v>2446</v>
      </c>
      <c r="J225" s="35">
        <v>23</v>
      </c>
      <c r="K225" s="35">
        <f>VALUE(COUNTIF(Validation!$A$2:$H$47,E225))</f>
        <v>0</v>
      </c>
      <c r="L225" s="361">
        <f t="shared" si="38"/>
        <v>737500</v>
      </c>
      <c r="M225" s="361">
        <f t="shared" si="39"/>
        <v>737500</v>
      </c>
      <c r="N225" s="358">
        <v>737500</v>
      </c>
      <c r="O225" s="358">
        <v>737500</v>
      </c>
      <c r="P225" s="358" t="s">
        <v>8</v>
      </c>
      <c r="Q225" s="358">
        <v>0</v>
      </c>
      <c r="R225" s="358">
        <v>0</v>
      </c>
      <c r="S225" s="358">
        <v>0</v>
      </c>
      <c r="T225" s="358">
        <v>0</v>
      </c>
      <c r="U225" s="35">
        <f t="shared" si="40"/>
        <v>2</v>
      </c>
      <c r="W225">
        <f t="shared" si="41"/>
        <v>1</v>
      </c>
      <c r="X225" s="35">
        <f t="shared" si="42"/>
        <v>0</v>
      </c>
      <c r="Y225">
        <f t="shared" si="43"/>
        <v>1</v>
      </c>
      <c r="AB225">
        <f t="shared" si="46"/>
        <v>1</v>
      </c>
      <c r="AC225">
        <f t="shared" ca="1" si="47"/>
        <v>0</v>
      </c>
      <c r="AD225" t="str">
        <f ca="1">IF(AC225=1,COUNTIF($AC$3:AC225,1),"")</f>
        <v/>
      </c>
      <c r="AE225" s="155" t="str">
        <f ca="1">IFERROR(INDEX(Données!$B$3:$B$1479,MATCH(ROWS($AD$3:AD225),$AD$3:$AD$1479,0)),"")</f>
        <v/>
      </c>
    </row>
    <row r="226" spans="1:31" ht="15.75" x14ac:dyDescent="0.25">
      <c r="A226" t="str">
        <f t="shared" si="44"/>
        <v>Steven Lorentz - CAR - C, AG</v>
      </c>
      <c r="B226" t="str">
        <f t="shared" si="45"/>
        <v>Steven Lorentz - CAR - C, AG</v>
      </c>
      <c r="C226" t="str">
        <f t="shared" si="36"/>
        <v>Steven</v>
      </c>
      <c r="D226" t="str">
        <f t="shared" si="37"/>
        <v>Lorentz</v>
      </c>
      <c r="E226" s="39" t="s">
        <v>1645</v>
      </c>
      <c r="F226" s="30" t="s">
        <v>11</v>
      </c>
      <c r="G226" s="35" t="s">
        <v>386</v>
      </c>
      <c r="H226" s="35" t="s">
        <v>2452</v>
      </c>
      <c r="I226" s="35" t="s">
        <v>2446</v>
      </c>
      <c r="J226" s="35">
        <v>23</v>
      </c>
      <c r="K226" s="35">
        <f>VALUE(COUNTIF(Validation!$A$2:$H$47,E226))</f>
        <v>0</v>
      </c>
      <c r="L226" s="361">
        <f t="shared" si="38"/>
        <v>728333</v>
      </c>
      <c r="M226" s="361">
        <f t="shared" si="39"/>
        <v>0</v>
      </c>
      <c r="N226" s="358">
        <v>728333</v>
      </c>
      <c r="O226" s="358" t="s">
        <v>8</v>
      </c>
      <c r="P226" s="358">
        <v>0</v>
      </c>
      <c r="Q226" s="358">
        <v>0</v>
      </c>
      <c r="R226" s="358">
        <v>0</v>
      </c>
      <c r="S226" s="358">
        <v>0</v>
      </c>
      <c r="T226" s="358">
        <v>0</v>
      </c>
      <c r="U226" s="35">
        <f t="shared" si="40"/>
        <v>1</v>
      </c>
      <c r="W226">
        <f t="shared" si="41"/>
        <v>1</v>
      </c>
      <c r="X226" s="35">
        <f t="shared" si="42"/>
        <v>1</v>
      </c>
      <c r="Y226">
        <f t="shared" si="43"/>
        <v>0</v>
      </c>
      <c r="AB226">
        <f t="shared" si="46"/>
        <v>1</v>
      </c>
      <c r="AC226">
        <f t="shared" ca="1" si="47"/>
        <v>0</v>
      </c>
      <c r="AD226" t="str">
        <f ca="1">IF(AC226=1,COUNTIF($AC$3:AC226,1),"")</f>
        <v/>
      </c>
      <c r="AE226" s="155" t="str">
        <f ca="1">IFERROR(INDEX(Données!$B$3:$B$1479,MATCH(ROWS($AD$3:AD226),$AD$3:$AD$1479,0)),"")</f>
        <v/>
      </c>
    </row>
    <row r="227" spans="1:31" ht="15.75" x14ac:dyDescent="0.25">
      <c r="A227" t="str">
        <f t="shared" si="44"/>
        <v>Brian Gibbons - CAR - C</v>
      </c>
      <c r="B227" t="str">
        <f t="shared" si="45"/>
        <v>Brian Gibbons - CAR - C</v>
      </c>
      <c r="C227" t="str">
        <f t="shared" si="36"/>
        <v>Brian</v>
      </c>
      <c r="D227" t="str">
        <f t="shared" si="37"/>
        <v>Gibbons</v>
      </c>
      <c r="E227" s="39" t="s">
        <v>2723</v>
      </c>
      <c r="F227" s="30" t="s">
        <v>11</v>
      </c>
      <c r="G227" s="35">
        <v>0</v>
      </c>
      <c r="H227" s="35" t="s">
        <v>73</v>
      </c>
      <c r="I227" s="35" t="s">
        <v>2439</v>
      </c>
      <c r="J227" s="35">
        <v>31</v>
      </c>
      <c r="K227" s="35">
        <f>VALUE(COUNTIF(Validation!$A$2:$H$47,E227))</f>
        <v>0</v>
      </c>
      <c r="L227" s="361">
        <f t="shared" si="38"/>
        <v>725000</v>
      </c>
      <c r="M227" s="361">
        <f t="shared" si="39"/>
        <v>0</v>
      </c>
      <c r="N227" s="358">
        <v>725000</v>
      </c>
      <c r="O227" s="358" t="s">
        <v>7</v>
      </c>
      <c r="P227" s="358">
        <v>0</v>
      </c>
      <c r="Q227" s="358">
        <v>0</v>
      </c>
      <c r="R227" s="358">
        <v>0</v>
      </c>
      <c r="S227" s="358">
        <v>0</v>
      </c>
      <c r="T227" s="358">
        <v>0</v>
      </c>
      <c r="U227" s="35">
        <f t="shared" si="40"/>
        <v>1</v>
      </c>
      <c r="W227">
        <f t="shared" si="41"/>
        <v>1</v>
      </c>
      <c r="X227" s="35">
        <f t="shared" si="42"/>
        <v>0</v>
      </c>
      <c r="Y227">
        <f t="shared" si="43"/>
        <v>0</v>
      </c>
      <c r="AB227">
        <f t="shared" si="46"/>
        <v>1</v>
      </c>
      <c r="AC227">
        <f t="shared" ca="1" si="47"/>
        <v>0</v>
      </c>
      <c r="AD227" t="str">
        <f ca="1">IF(AC227=1,COUNTIF($AC$3:AC227,1),"")</f>
        <v/>
      </c>
      <c r="AE227" s="155" t="str">
        <f ca="1">IFERROR(INDEX(Données!$B$3:$B$1479,MATCH(ROWS($AD$3:AD227),$AD$3:$AD$1479,0)),"")</f>
        <v/>
      </c>
    </row>
    <row r="228" spans="1:31" ht="15.75" x14ac:dyDescent="0.25">
      <c r="A228" t="str">
        <f t="shared" si="44"/>
        <v>Clark Bishop - CAR - C</v>
      </c>
      <c r="B228" t="str">
        <f t="shared" si="45"/>
        <v>Clark Bishop - CAR - C</v>
      </c>
      <c r="C228" t="str">
        <f t="shared" si="36"/>
        <v>Clark</v>
      </c>
      <c r="D228" t="str">
        <f t="shared" si="37"/>
        <v>Bishop</v>
      </c>
      <c r="E228" s="39" t="s">
        <v>1650</v>
      </c>
      <c r="F228" s="30" t="s">
        <v>11</v>
      </c>
      <c r="G228" s="35">
        <v>0</v>
      </c>
      <c r="H228" s="35" t="s">
        <v>73</v>
      </c>
      <c r="I228" s="35" t="s">
        <v>2439</v>
      </c>
      <c r="J228" s="35">
        <v>23</v>
      </c>
      <c r="K228" s="35">
        <f>VALUE(COUNTIF(Validation!$A$2:$H$47,E228))</f>
        <v>0</v>
      </c>
      <c r="L228" s="361">
        <f t="shared" si="38"/>
        <v>700000</v>
      </c>
      <c r="M228" s="361">
        <f t="shared" si="39"/>
        <v>0</v>
      </c>
      <c r="N228" s="358">
        <v>700000</v>
      </c>
      <c r="O228" s="358" t="s">
        <v>8</v>
      </c>
      <c r="P228" s="358">
        <v>0</v>
      </c>
      <c r="Q228" s="358">
        <v>0</v>
      </c>
      <c r="R228" s="358">
        <v>0</v>
      </c>
      <c r="S228" s="358">
        <v>0</v>
      </c>
      <c r="T228" s="358">
        <v>0</v>
      </c>
      <c r="U228" s="35">
        <f t="shared" si="40"/>
        <v>1</v>
      </c>
      <c r="W228">
        <f t="shared" si="41"/>
        <v>1</v>
      </c>
      <c r="X228" s="35">
        <f t="shared" si="42"/>
        <v>0</v>
      </c>
      <c r="Y228">
        <f t="shared" si="43"/>
        <v>0</v>
      </c>
      <c r="AB228">
        <f t="shared" si="46"/>
        <v>1</v>
      </c>
      <c r="AC228">
        <f t="shared" ca="1" si="47"/>
        <v>0</v>
      </c>
      <c r="AD228" t="str">
        <f ca="1">IF(AC228=1,COUNTIF($AC$3:AC228,1),"")</f>
        <v/>
      </c>
      <c r="AE228" s="155" t="str">
        <f ca="1">IFERROR(INDEX(Données!$B$3:$B$1479,MATCH(ROWS($AD$3:AD228),$AD$3:$AD$1479,0)),"")</f>
        <v/>
      </c>
    </row>
    <row r="229" spans="1:31" ht="15.75" x14ac:dyDescent="0.25">
      <c r="A229" t="str">
        <f t="shared" si="44"/>
        <v>Alex Lintuniemi - CAR - DD</v>
      </c>
      <c r="B229" t="str">
        <f t="shared" si="45"/>
        <v>Alex Lintuniemi - CAR - DD</v>
      </c>
      <c r="C229" t="str">
        <f t="shared" si="36"/>
        <v>Alex</v>
      </c>
      <c r="D229" t="str">
        <f t="shared" si="37"/>
        <v>Lintuniemi</v>
      </c>
      <c r="E229" s="39" t="s">
        <v>2293</v>
      </c>
      <c r="F229" s="30" t="s">
        <v>11</v>
      </c>
      <c r="G229" s="35">
        <v>0</v>
      </c>
      <c r="H229" s="35" t="s">
        <v>2444</v>
      </c>
      <c r="I229" s="35" t="s">
        <v>2446</v>
      </c>
      <c r="J229" s="35">
        <v>23</v>
      </c>
      <c r="K229" s="35">
        <f>VALUE(COUNTIF(Validation!$A$2:$H$47,E229))</f>
        <v>0</v>
      </c>
      <c r="L229" s="361">
        <f t="shared" si="38"/>
        <v>700000</v>
      </c>
      <c r="M229" s="361">
        <f t="shared" si="39"/>
        <v>0</v>
      </c>
      <c r="N229" s="358">
        <v>700000</v>
      </c>
      <c r="O229" s="358" t="s">
        <v>8</v>
      </c>
      <c r="P229" s="358">
        <v>0</v>
      </c>
      <c r="Q229" s="358">
        <v>0</v>
      </c>
      <c r="R229" s="358">
        <v>0</v>
      </c>
      <c r="S229" s="358">
        <v>0</v>
      </c>
      <c r="T229" s="358">
        <v>0</v>
      </c>
      <c r="U229" s="35">
        <f t="shared" si="40"/>
        <v>1</v>
      </c>
      <c r="W229">
        <f t="shared" si="41"/>
        <v>1</v>
      </c>
      <c r="X229" s="35">
        <f t="shared" si="42"/>
        <v>0</v>
      </c>
      <c r="Y229">
        <f t="shared" si="43"/>
        <v>0</v>
      </c>
      <c r="AB229">
        <f t="shared" si="46"/>
        <v>1</v>
      </c>
      <c r="AC229">
        <f t="shared" ca="1" si="47"/>
        <v>0</v>
      </c>
      <c r="AD229" t="str">
        <f ca="1">IF(AC229=1,COUNTIF($AC$3:AC229,1),"")</f>
        <v/>
      </c>
      <c r="AE229" s="155" t="str">
        <f ca="1">IFERROR(INDEX(Données!$B$3:$B$1479,MATCH(ROWS($AD$3:AD229),$AD$3:$AD$1479,0)),"")</f>
        <v/>
      </c>
    </row>
    <row r="230" spans="1:31" ht="15.75" x14ac:dyDescent="0.25">
      <c r="A230" t="str">
        <f t="shared" si="44"/>
        <v>Max McCormick - CAR - AG</v>
      </c>
      <c r="B230" t="str">
        <f t="shared" si="45"/>
        <v>Max McCormick - CAR - AG</v>
      </c>
      <c r="C230" t="str">
        <f t="shared" si="36"/>
        <v>Max</v>
      </c>
      <c r="D230" t="str">
        <f t="shared" si="37"/>
        <v>McCormick</v>
      </c>
      <c r="E230" s="39" t="s">
        <v>2727</v>
      </c>
      <c r="F230" s="30" t="s">
        <v>11</v>
      </c>
      <c r="G230" s="35">
        <v>0</v>
      </c>
      <c r="H230" s="35" t="s">
        <v>2440</v>
      </c>
      <c r="I230" s="35" t="s">
        <v>2446</v>
      </c>
      <c r="J230" s="35">
        <v>27</v>
      </c>
      <c r="K230" s="35">
        <f>VALUE(COUNTIF(Validation!$A$2:$H$47,E230))</f>
        <v>0</v>
      </c>
      <c r="L230" s="361">
        <f t="shared" si="38"/>
        <v>700000</v>
      </c>
      <c r="M230" s="361">
        <f t="shared" si="39"/>
        <v>0</v>
      </c>
      <c r="N230" s="358">
        <v>700000</v>
      </c>
      <c r="O230" s="358" t="s">
        <v>7</v>
      </c>
      <c r="P230" s="358">
        <v>0</v>
      </c>
      <c r="Q230" s="358">
        <v>0</v>
      </c>
      <c r="R230" s="358">
        <v>0</v>
      </c>
      <c r="S230" s="358">
        <v>0</v>
      </c>
      <c r="T230" s="358">
        <v>0</v>
      </c>
      <c r="U230" s="35">
        <f t="shared" si="40"/>
        <v>1</v>
      </c>
      <c r="W230">
        <f t="shared" si="41"/>
        <v>1</v>
      </c>
      <c r="X230" s="35">
        <f t="shared" si="42"/>
        <v>0</v>
      </c>
      <c r="Y230">
        <f t="shared" si="43"/>
        <v>0</v>
      </c>
      <c r="AB230">
        <f t="shared" si="46"/>
        <v>1</v>
      </c>
      <c r="AC230">
        <f t="shared" ca="1" si="47"/>
        <v>0</v>
      </c>
      <c r="AD230" t="str">
        <f ca="1">IF(AC230=1,COUNTIF($AC$3:AC230,1),"")</f>
        <v/>
      </c>
      <c r="AE230" s="155" t="str">
        <f ca="1">IFERROR(INDEX(Données!$B$3:$B$1479,MATCH(ROWS($AD$3:AD230),$AD$3:$AD$1479,0)),"")</f>
        <v/>
      </c>
    </row>
    <row r="231" spans="1:31" ht="15.75" x14ac:dyDescent="0.25">
      <c r="A231" t="str">
        <f t="shared" si="44"/>
        <v>Kyle Wood - CAR - DD</v>
      </c>
      <c r="B231" t="str">
        <f t="shared" si="45"/>
        <v>Kyle Wood - CAR - DD</v>
      </c>
      <c r="C231" t="str">
        <f t="shared" si="36"/>
        <v>Kyle</v>
      </c>
      <c r="D231" t="str">
        <f t="shared" si="37"/>
        <v>Wood</v>
      </c>
      <c r="E231" s="39" t="s">
        <v>2325</v>
      </c>
      <c r="F231" s="30" t="s">
        <v>11</v>
      </c>
      <c r="G231" s="35">
        <v>0</v>
      </c>
      <c r="H231" s="35" t="s">
        <v>2444</v>
      </c>
      <c r="I231" s="35" t="s">
        <v>2446</v>
      </c>
      <c r="J231" s="35">
        <v>23</v>
      </c>
      <c r="K231" s="35">
        <f>VALUE(COUNTIF(Validation!$A$2:$H$47,E231))</f>
        <v>0</v>
      </c>
      <c r="L231" s="361">
        <f t="shared" si="38"/>
        <v>700000</v>
      </c>
      <c r="M231" s="361">
        <f t="shared" si="39"/>
        <v>0</v>
      </c>
      <c r="N231" s="358">
        <v>700000</v>
      </c>
      <c r="O231" s="358" t="s">
        <v>8</v>
      </c>
      <c r="P231" s="358">
        <v>0</v>
      </c>
      <c r="Q231" s="358">
        <v>0</v>
      </c>
      <c r="R231" s="358">
        <v>0</v>
      </c>
      <c r="S231" s="358">
        <v>0</v>
      </c>
      <c r="T231" s="358">
        <v>0</v>
      </c>
      <c r="U231" s="35">
        <f t="shared" si="40"/>
        <v>1</v>
      </c>
      <c r="W231">
        <f t="shared" si="41"/>
        <v>1</v>
      </c>
      <c r="X231" s="35">
        <f t="shared" si="42"/>
        <v>0</v>
      </c>
      <c r="Y231">
        <f t="shared" si="43"/>
        <v>0</v>
      </c>
      <c r="AB231">
        <f t="shared" si="46"/>
        <v>1</v>
      </c>
      <c r="AC231">
        <f t="shared" ca="1" si="47"/>
        <v>0</v>
      </c>
      <c r="AD231" t="str">
        <f ca="1">IF(AC231=1,COUNTIF($AC$3:AC231,1),"")</f>
        <v/>
      </c>
      <c r="AE231" s="155" t="str">
        <f ca="1">IFERROR(INDEX(Données!$B$3:$B$1479,MATCH(ROWS($AD$3:AD231),$AD$3:$AD$1479,0)),"")</f>
        <v/>
      </c>
    </row>
    <row r="232" spans="1:31" ht="15.75" x14ac:dyDescent="0.25">
      <c r="A232" t="str">
        <f t="shared" si="44"/>
        <v>Lucas Wallmark - CAR - C</v>
      </c>
      <c r="B232" t="str">
        <f t="shared" si="45"/>
        <v>Lucas Wallmark - CAR - C</v>
      </c>
      <c r="C232" t="str">
        <f t="shared" si="36"/>
        <v>Lucas</v>
      </c>
      <c r="D232" t="str">
        <f t="shared" si="37"/>
        <v>Wallmark</v>
      </c>
      <c r="E232" s="39" t="s">
        <v>1651</v>
      </c>
      <c r="F232" s="30" t="s">
        <v>11</v>
      </c>
      <c r="G232" s="35">
        <v>0</v>
      </c>
      <c r="H232" s="9" t="s">
        <v>73</v>
      </c>
      <c r="I232" s="9" t="s">
        <v>2439</v>
      </c>
      <c r="J232" s="9">
        <v>23</v>
      </c>
      <c r="K232" s="35">
        <f>VALUE(COUNTIF(Validation!$A$2:$H$47,E232))</f>
        <v>0</v>
      </c>
      <c r="L232" s="361">
        <f t="shared" si="38"/>
        <v>675000</v>
      </c>
      <c r="M232" s="361">
        <f t="shared" si="39"/>
        <v>0</v>
      </c>
      <c r="N232" s="358">
        <v>675000</v>
      </c>
      <c r="O232" s="358" t="s">
        <v>8</v>
      </c>
      <c r="P232" s="358">
        <v>0</v>
      </c>
      <c r="Q232" s="358">
        <v>0</v>
      </c>
      <c r="R232" s="358">
        <v>0</v>
      </c>
      <c r="S232" s="358">
        <v>0</v>
      </c>
      <c r="T232" s="358">
        <v>0</v>
      </c>
      <c r="U232" s="35">
        <f t="shared" si="40"/>
        <v>1</v>
      </c>
      <c r="W232">
        <f t="shared" si="41"/>
        <v>1</v>
      </c>
      <c r="X232" s="35">
        <f t="shared" si="42"/>
        <v>0</v>
      </c>
      <c r="Y232">
        <f t="shared" si="43"/>
        <v>0</v>
      </c>
      <c r="AB232">
        <f t="shared" si="46"/>
        <v>1</v>
      </c>
      <c r="AC232">
        <f t="shared" ca="1" si="47"/>
        <v>0</v>
      </c>
      <c r="AD232" t="str">
        <f ca="1">IF(AC232=1,COUNTIF($AC$3:AC232,1),"")</f>
        <v/>
      </c>
      <c r="AE232" s="155" t="str">
        <f ca="1">IFERROR(INDEX(Données!$B$3:$B$1479,MATCH(ROWS($AD$3:AD232),$AD$3:$AD$1479,0)),"")</f>
        <v/>
      </c>
    </row>
    <row r="233" spans="1:31" ht="15.75" x14ac:dyDescent="0.25">
      <c r="A233" t="str">
        <f t="shared" si="44"/>
        <v>Saku Maenalanen - CAR - AD, AG</v>
      </c>
      <c r="B233" t="str">
        <f t="shared" si="45"/>
        <v>Saku Maenalanen - CAR - AD, AG</v>
      </c>
      <c r="C233" t="str">
        <f t="shared" si="36"/>
        <v>Saku</v>
      </c>
      <c r="D233" t="str">
        <f t="shared" si="37"/>
        <v>Maenalanen</v>
      </c>
      <c r="E233" s="39" t="s">
        <v>1631</v>
      </c>
      <c r="F233" s="30" t="s">
        <v>11</v>
      </c>
      <c r="G233" s="35">
        <v>0</v>
      </c>
      <c r="H233" s="35" t="s">
        <v>2441</v>
      </c>
      <c r="I233" s="35" t="s">
        <v>2446</v>
      </c>
      <c r="J233" s="35">
        <v>25</v>
      </c>
      <c r="K233" s="35">
        <f>VALUE(COUNTIF(Validation!$A$2:$H$47,E233))</f>
        <v>0</v>
      </c>
      <c r="L233" s="361">
        <f t="shared" si="38"/>
        <v>0</v>
      </c>
      <c r="M233" s="361">
        <f t="shared" si="39"/>
        <v>0</v>
      </c>
      <c r="N233" s="358" t="s">
        <v>8</v>
      </c>
      <c r="O233" s="358">
        <v>0</v>
      </c>
      <c r="P233" s="358">
        <v>0</v>
      </c>
      <c r="Q233" s="358">
        <v>0</v>
      </c>
      <c r="R233" s="358">
        <v>0</v>
      </c>
      <c r="S233" s="358">
        <v>0</v>
      </c>
      <c r="T233" s="358">
        <v>0</v>
      </c>
      <c r="U233" s="35">
        <f t="shared" si="40"/>
        <v>0</v>
      </c>
      <c r="W233">
        <f t="shared" si="41"/>
        <v>1</v>
      </c>
      <c r="X233" s="35">
        <f t="shared" si="42"/>
        <v>0</v>
      </c>
      <c r="Y233">
        <f t="shared" si="43"/>
        <v>1</v>
      </c>
      <c r="AB233">
        <f t="shared" si="46"/>
        <v>1</v>
      </c>
      <c r="AC233">
        <f t="shared" ca="1" si="47"/>
        <v>0</v>
      </c>
      <c r="AD233" t="str">
        <f ca="1">IF(AC233=1,COUNTIF($AC$3:AC233,1),"")</f>
        <v/>
      </c>
      <c r="AE233" s="155" t="str">
        <f ca="1">IFERROR(INDEX(Données!$B$3:$B$1479,MATCH(ROWS($AD$3:AD233),$AD$3:$AD$1479,0)),"")</f>
        <v/>
      </c>
    </row>
    <row r="234" spans="1:31" ht="15.75" x14ac:dyDescent="0.25">
      <c r="A234" t="str">
        <f t="shared" si="44"/>
        <v>Patrick Marleau - CAR - 0</v>
      </c>
      <c r="B234" t="str">
        <f t="shared" si="45"/>
        <v>Patrick Marleau - CAR - 0</v>
      </c>
      <c r="C234" t="str">
        <f t="shared" si="36"/>
        <v>Patrick</v>
      </c>
      <c r="D234" t="str">
        <f t="shared" si="37"/>
        <v>Marleau</v>
      </c>
      <c r="E234" s="39" t="s">
        <v>2726</v>
      </c>
      <c r="F234" s="30" t="s">
        <v>11</v>
      </c>
      <c r="G234" s="35">
        <v>0</v>
      </c>
      <c r="H234" s="35">
        <v>0</v>
      </c>
      <c r="I234" s="35">
        <v>0</v>
      </c>
      <c r="J234" s="35">
        <v>0</v>
      </c>
      <c r="K234" s="35">
        <f>VALUE(COUNTIF(Validation!$A$2:$H$47,E234))</f>
        <v>0</v>
      </c>
      <c r="L234" s="361">
        <f t="shared" si="38"/>
        <v>0</v>
      </c>
      <c r="M234" s="361">
        <f t="shared" si="39"/>
        <v>0</v>
      </c>
      <c r="N234" s="358">
        <v>0</v>
      </c>
      <c r="O234" s="358">
        <v>0</v>
      </c>
      <c r="P234" s="358">
        <v>0</v>
      </c>
      <c r="Q234" s="358">
        <v>0</v>
      </c>
      <c r="R234" s="358">
        <v>0</v>
      </c>
      <c r="S234" s="358">
        <v>0</v>
      </c>
      <c r="T234" s="358">
        <v>0</v>
      </c>
      <c r="U234" s="35">
        <f t="shared" si="40"/>
        <v>0</v>
      </c>
      <c r="W234">
        <f t="shared" si="41"/>
        <v>1</v>
      </c>
      <c r="X234" s="35">
        <f t="shared" si="42"/>
        <v>0</v>
      </c>
      <c r="Y234">
        <f t="shared" si="43"/>
        <v>1</v>
      </c>
      <c r="AB234">
        <f t="shared" si="46"/>
        <v>1</v>
      </c>
      <c r="AC234">
        <f t="shared" ca="1" si="47"/>
        <v>0</v>
      </c>
      <c r="AD234" t="str">
        <f ca="1">IF(AC234=1,COUNTIF($AC$3:AC234,1),"")</f>
        <v/>
      </c>
      <c r="AE234" s="155" t="str">
        <f ca="1">IFERROR(INDEX(Données!$B$3:$B$1479,MATCH(ROWS($AD$3:AD234),$AD$3:$AD$1479,0)),"")</f>
        <v/>
      </c>
    </row>
    <row r="235" spans="1:31" ht="15.75" x14ac:dyDescent="0.25">
      <c r="A235" t="str">
        <f t="shared" si="44"/>
        <v>Roland McKeown - CAR - DD</v>
      </c>
      <c r="B235" t="str">
        <f t="shared" si="45"/>
        <v>Roland McKeown - CAR - DD</v>
      </c>
      <c r="C235" t="str">
        <f t="shared" si="36"/>
        <v>Roland</v>
      </c>
      <c r="D235" t="str">
        <f t="shared" si="37"/>
        <v>McKeown</v>
      </c>
      <c r="E235" s="39" t="s">
        <v>1641</v>
      </c>
      <c r="F235" s="30" t="s">
        <v>11</v>
      </c>
      <c r="G235" s="35">
        <v>0</v>
      </c>
      <c r="H235" s="35" t="s">
        <v>2444</v>
      </c>
      <c r="I235" s="35" t="s">
        <v>2446</v>
      </c>
      <c r="J235" s="35">
        <v>23</v>
      </c>
      <c r="K235" s="35">
        <f>VALUE(COUNTIF(Validation!$A$2:$H$47,E235))</f>
        <v>0</v>
      </c>
      <c r="L235" s="361">
        <f t="shared" si="38"/>
        <v>0</v>
      </c>
      <c r="M235" s="361">
        <f t="shared" si="39"/>
        <v>0</v>
      </c>
      <c r="N235" s="358" t="s">
        <v>8</v>
      </c>
      <c r="O235" s="358">
        <v>0</v>
      </c>
      <c r="P235" s="358">
        <v>0</v>
      </c>
      <c r="Q235" s="358">
        <v>0</v>
      </c>
      <c r="R235" s="358">
        <v>0</v>
      </c>
      <c r="S235" s="358">
        <v>0</v>
      </c>
      <c r="T235" s="358">
        <v>0</v>
      </c>
      <c r="U235" s="35">
        <f t="shared" si="40"/>
        <v>0</v>
      </c>
      <c r="W235">
        <f t="shared" si="41"/>
        <v>1</v>
      </c>
      <c r="X235" s="35">
        <f t="shared" si="42"/>
        <v>0</v>
      </c>
      <c r="Y235">
        <f t="shared" si="43"/>
        <v>1</v>
      </c>
      <c r="AB235">
        <f t="shared" si="46"/>
        <v>1</v>
      </c>
      <c r="AC235">
        <f t="shared" ca="1" si="47"/>
        <v>0</v>
      </c>
      <c r="AD235" t="str">
        <f ca="1">IF(AC235=1,COUNTIF($AC$3:AC235,1),"")</f>
        <v/>
      </c>
      <c r="AE235" s="155" t="str">
        <f ca="1">IFERROR(INDEX(Données!$B$3:$B$1479,MATCH(ROWS($AD$3:AD235),$AD$3:$AD$1479,0)),"")</f>
        <v/>
      </c>
    </row>
    <row r="236" spans="1:31" ht="15.75" x14ac:dyDescent="0.25">
      <c r="A236" t="str">
        <f t="shared" si="44"/>
        <v>Alexander Semin - CAR - 0</v>
      </c>
      <c r="B236" t="str">
        <f t="shared" si="45"/>
        <v>Alexander Semin - CAR - 0</v>
      </c>
      <c r="C236" t="str">
        <f t="shared" si="36"/>
        <v>Alexander</v>
      </c>
      <c r="D236" t="str">
        <f t="shared" si="37"/>
        <v>Semin</v>
      </c>
      <c r="E236" s="39" t="s">
        <v>2725</v>
      </c>
      <c r="F236" s="30" t="s">
        <v>11</v>
      </c>
      <c r="G236" s="35">
        <v>0</v>
      </c>
      <c r="H236" s="35">
        <v>0</v>
      </c>
      <c r="I236" s="35">
        <v>0</v>
      </c>
      <c r="J236" s="35">
        <v>0</v>
      </c>
      <c r="K236" s="35">
        <f>VALUE(COUNTIF(Validation!$A$2:$H$47,E236))</f>
        <v>0</v>
      </c>
      <c r="L236" s="361">
        <f t="shared" si="38"/>
        <v>0</v>
      </c>
      <c r="M236" s="361">
        <f t="shared" si="39"/>
        <v>0</v>
      </c>
      <c r="N236" s="358">
        <v>0</v>
      </c>
      <c r="O236" s="358">
        <v>0</v>
      </c>
      <c r="P236" s="358">
        <v>0</v>
      </c>
      <c r="Q236" s="358">
        <v>0</v>
      </c>
      <c r="R236" s="358">
        <v>0</v>
      </c>
      <c r="S236" s="358">
        <v>0</v>
      </c>
      <c r="T236" s="358">
        <v>0</v>
      </c>
      <c r="U236" s="35">
        <f t="shared" si="40"/>
        <v>0</v>
      </c>
      <c r="W236">
        <f t="shared" si="41"/>
        <v>1</v>
      </c>
      <c r="X236" s="35">
        <f t="shared" si="42"/>
        <v>0</v>
      </c>
      <c r="Y236">
        <f t="shared" si="43"/>
        <v>1</v>
      </c>
      <c r="AB236">
        <f t="shared" si="46"/>
        <v>1</v>
      </c>
      <c r="AC236">
        <f t="shared" ca="1" si="47"/>
        <v>0</v>
      </c>
      <c r="AD236" t="str">
        <f ca="1">IF(AC236=1,COUNTIF($AC$3:AC236,1),"")</f>
        <v/>
      </c>
      <c r="AE236" s="155" t="str">
        <f ca="1">IFERROR(INDEX(Données!$B$3:$B$1479,MATCH(ROWS($AD$3:AD236),$AD$3:$AD$1479,0)),"")</f>
        <v/>
      </c>
    </row>
    <row r="237" spans="1:31" ht="15.75" x14ac:dyDescent="0.25">
      <c r="A237" t="str">
        <f t="shared" si="44"/>
        <v>Johnny Gaudreau - CGY - AG</v>
      </c>
      <c r="B237" t="str">
        <f t="shared" si="45"/>
        <v>Johnny Gaudreau - CGY - AG</v>
      </c>
      <c r="C237" t="str">
        <f t="shared" si="36"/>
        <v>Johnny</v>
      </c>
      <c r="D237" t="str">
        <f t="shared" si="37"/>
        <v>Gaudreau</v>
      </c>
      <c r="E237" s="39" t="s">
        <v>2188</v>
      </c>
      <c r="F237" s="30" t="s">
        <v>12</v>
      </c>
      <c r="G237" s="35">
        <v>0</v>
      </c>
      <c r="H237" s="35" t="s">
        <v>2440</v>
      </c>
      <c r="I237" s="35" t="s">
        <v>2439</v>
      </c>
      <c r="J237" s="35">
        <v>26</v>
      </c>
      <c r="K237" s="35">
        <f>VALUE(COUNTIF(Validation!$A$2:$H$47,E237))</f>
        <v>0</v>
      </c>
      <c r="L237" s="361">
        <f t="shared" si="38"/>
        <v>6750000</v>
      </c>
      <c r="M237" s="361">
        <f t="shared" si="39"/>
        <v>6750000</v>
      </c>
      <c r="N237" s="358">
        <v>6750000</v>
      </c>
      <c r="O237" s="358">
        <v>6750000</v>
      </c>
      <c r="P237" s="358">
        <v>6750000</v>
      </c>
      <c r="Q237" s="358" t="s">
        <v>7</v>
      </c>
      <c r="R237" s="358">
        <v>0</v>
      </c>
      <c r="S237" s="358">
        <v>0</v>
      </c>
      <c r="T237" s="358">
        <v>0</v>
      </c>
      <c r="U237" s="35">
        <f t="shared" si="40"/>
        <v>3</v>
      </c>
      <c r="W237">
        <f t="shared" si="41"/>
        <v>1</v>
      </c>
      <c r="X237" s="35">
        <f t="shared" si="42"/>
        <v>0</v>
      </c>
      <c r="Y237">
        <f t="shared" si="43"/>
        <v>1</v>
      </c>
      <c r="AB237">
        <f t="shared" si="46"/>
        <v>1</v>
      </c>
      <c r="AC237">
        <f t="shared" ca="1" si="47"/>
        <v>0</v>
      </c>
      <c r="AD237" t="str">
        <f ca="1">IF(AC237=1,COUNTIF($AC$3:AC237,1),"")</f>
        <v/>
      </c>
      <c r="AE237" s="155" t="str">
        <f ca="1">IFERROR(INDEX(Données!$B$3:$B$1479,MATCH(ROWS($AD$3:AD237),$AD$3:$AD$1479,0)),"")</f>
        <v/>
      </c>
    </row>
    <row r="238" spans="1:31" ht="15.75" x14ac:dyDescent="0.25">
      <c r="A238" t="str">
        <f t="shared" si="44"/>
        <v>Mark Giordano - CGY - DG</v>
      </c>
      <c r="B238" t="str">
        <f t="shared" si="45"/>
        <v>Mark Giordano - CGY - DG</v>
      </c>
      <c r="C238" t="str">
        <f t="shared" si="36"/>
        <v>Mark</v>
      </c>
      <c r="D238" t="str">
        <f t="shared" si="37"/>
        <v>Giordano</v>
      </c>
      <c r="E238" s="39" t="s">
        <v>2964</v>
      </c>
      <c r="F238" s="30" t="s">
        <v>12</v>
      </c>
      <c r="G238" s="35" t="s">
        <v>372</v>
      </c>
      <c r="H238" s="35" t="s">
        <v>2445</v>
      </c>
      <c r="I238" s="35" t="s">
        <v>2439</v>
      </c>
      <c r="J238" s="35">
        <v>35</v>
      </c>
      <c r="K238" s="35">
        <f>VALUE(COUNTIF(Validation!$A$2:$H$47,E238))</f>
        <v>0</v>
      </c>
      <c r="L238" s="361">
        <f t="shared" si="38"/>
        <v>6750000</v>
      </c>
      <c r="M238" s="361">
        <f t="shared" si="39"/>
        <v>6750000</v>
      </c>
      <c r="N238" s="358">
        <v>6750000</v>
      </c>
      <c r="O238" s="358">
        <v>6750000</v>
      </c>
      <c r="P238" s="358">
        <v>6750000</v>
      </c>
      <c r="Q238" s="358" t="s">
        <v>7</v>
      </c>
      <c r="R238" s="358">
        <v>0</v>
      </c>
      <c r="S238" s="358">
        <v>0</v>
      </c>
      <c r="T238" s="358">
        <v>0</v>
      </c>
      <c r="U238" s="35">
        <f t="shared" si="40"/>
        <v>3</v>
      </c>
      <c r="W238">
        <f t="shared" si="41"/>
        <v>1</v>
      </c>
      <c r="X238" s="35">
        <f t="shared" si="42"/>
        <v>0</v>
      </c>
      <c r="Y238">
        <f t="shared" si="43"/>
        <v>1</v>
      </c>
      <c r="AB238">
        <f t="shared" si="46"/>
        <v>1</v>
      </c>
      <c r="AC238">
        <f t="shared" ca="1" si="47"/>
        <v>0</v>
      </c>
      <c r="AD238" t="str">
        <f ca="1">IF(AC238=1,COUNTIF($AC$3:AC238,1),"")</f>
        <v/>
      </c>
      <c r="AE238" s="155" t="str">
        <f ca="1">IFERROR(INDEX(Données!$B$3:$B$1479,MATCH(ROWS($AD$3:AD238),$AD$3:$AD$1479,0)),"")</f>
        <v/>
      </c>
    </row>
    <row r="239" spans="1:31" ht="15.75" x14ac:dyDescent="0.25">
      <c r="A239" t="str">
        <f t="shared" si="44"/>
        <v>Sean Monahan - CGY - C</v>
      </c>
      <c r="B239" t="str">
        <f t="shared" si="45"/>
        <v>Sean Monahan - CGY - C</v>
      </c>
      <c r="C239" t="str">
        <f t="shared" si="36"/>
        <v>Sean</v>
      </c>
      <c r="D239" t="str">
        <f t="shared" si="37"/>
        <v>Monahan</v>
      </c>
      <c r="E239" s="39" t="s">
        <v>2913</v>
      </c>
      <c r="F239" s="30" t="s">
        <v>12</v>
      </c>
      <c r="G239" s="35">
        <v>0</v>
      </c>
      <c r="H239" s="9" t="s">
        <v>73</v>
      </c>
      <c r="I239" s="9" t="s">
        <v>2439</v>
      </c>
      <c r="J239" s="9">
        <v>24</v>
      </c>
      <c r="K239" s="35">
        <f>VALUE(COUNTIF(Validation!$A$2:$H$47,E239))</f>
        <v>0</v>
      </c>
      <c r="L239" s="361">
        <f t="shared" si="38"/>
        <v>6375000</v>
      </c>
      <c r="M239" s="361">
        <f t="shared" si="39"/>
        <v>6375000</v>
      </c>
      <c r="N239" s="358">
        <v>6375000</v>
      </c>
      <c r="O239" s="358">
        <v>6375000</v>
      </c>
      <c r="P239" s="358">
        <v>6375000</v>
      </c>
      <c r="Q239" s="358">
        <v>6375000</v>
      </c>
      <c r="R239" s="358" t="s">
        <v>7</v>
      </c>
      <c r="S239" s="358">
        <v>0</v>
      </c>
      <c r="T239" s="358">
        <v>0</v>
      </c>
      <c r="U239" s="35">
        <f t="shared" si="40"/>
        <v>4</v>
      </c>
      <c r="W239">
        <f t="shared" si="41"/>
        <v>1</v>
      </c>
      <c r="X239" s="35">
        <f t="shared" si="42"/>
        <v>0</v>
      </c>
      <c r="Y239">
        <f t="shared" si="43"/>
        <v>1</v>
      </c>
      <c r="AB239">
        <f t="shared" si="46"/>
        <v>1</v>
      </c>
      <c r="AC239">
        <f t="shared" ca="1" si="47"/>
        <v>0</v>
      </c>
      <c r="AD239" t="str">
        <f ca="1">IF(AC239=1,COUNTIF($AC$3:AC239,1),"")</f>
        <v/>
      </c>
      <c r="AE239" s="155" t="str">
        <f ca="1">IFERROR(INDEX(Données!$B$3:$B$1479,MATCH(ROWS($AD$3:AD239),$AD$3:$AD$1479,0)),"")</f>
        <v/>
      </c>
    </row>
    <row r="240" spans="1:31" ht="15.75" x14ac:dyDescent="0.25">
      <c r="A240" t="str">
        <f t="shared" si="44"/>
        <v>Milan Lucic - CGY - AG</v>
      </c>
      <c r="B240" t="str">
        <f t="shared" si="45"/>
        <v>Milan Lucic - CGY - AG</v>
      </c>
      <c r="C240" t="str">
        <f t="shared" si="36"/>
        <v>Milan</v>
      </c>
      <c r="D240" t="str">
        <f t="shared" si="37"/>
        <v>Lucic</v>
      </c>
      <c r="E240" s="39" t="s">
        <v>2674</v>
      </c>
      <c r="F240" s="30" t="s">
        <v>12</v>
      </c>
      <c r="G240" s="35" t="s">
        <v>2737</v>
      </c>
      <c r="H240" s="35" t="s">
        <v>2440</v>
      </c>
      <c r="I240" s="35" t="s">
        <v>2439</v>
      </c>
      <c r="J240" s="35">
        <v>31</v>
      </c>
      <c r="K240" s="35">
        <f>VALUE(COUNTIF(Validation!$A$2:$H$47,E240))</f>
        <v>0</v>
      </c>
      <c r="L240" s="361">
        <f t="shared" si="38"/>
        <v>6000000</v>
      </c>
      <c r="M240" s="361">
        <f t="shared" si="39"/>
        <v>6000000</v>
      </c>
      <c r="N240" s="358">
        <v>6000000</v>
      </c>
      <c r="O240" s="358">
        <v>6000000</v>
      </c>
      <c r="P240" s="358">
        <v>6000000</v>
      </c>
      <c r="Q240" s="358">
        <v>6000000</v>
      </c>
      <c r="R240" s="358" t="s">
        <v>7</v>
      </c>
      <c r="S240" s="358">
        <v>0</v>
      </c>
      <c r="T240" s="358">
        <v>0</v>
      </c>
      <c r="U240" s="35">
        <f t="shared" si="40"/>
        <v>4</v>
      </c>
      <c r="W240">
        <f t="shared" si="41"/>
        <v>1</v>
      </c>
      <c r="X240" s="35">
        <f t="shared" si="42"/>
        <v>0</v>
      </c>
      <c r="Y240">
        <f t="shared" si="43"/>
        <v>1</v>
      </c>
      <c r="AB240">
        <f t="shared" si="46"/>
        <v>1</v>
      </c>
      <c r="AC240">
        <f t="shared" ca="1" si="47"/>
        <v>0</v>
      </c>
      <c r="AD240" t="str">
        <f ca="1">IF(AC240=1,COUNTIF($AC$3:AC240,1),"")</f>
        <v/>
      </c>
      <c r="AE240" s="155" t="str">
        <f ca="1">IFERROR(INDEX(Données!$B$3:$B$1479,MATCH(ROWS($AD$3:AD240),$AD$3:$AD$1479,0)),"")</f>
        <v/>
      </c>
    </row>
    <row r="241" spans="1:31" ht="15.75" x14ac:dyDescent="0.25">
      <c r="A241" t="str">
        <f t="shared" si="44"/>
        <v>Mikael Backlund - CGY - C</v>
      </c>
      <c r="B241" t="str">
        <f t="shared" si="45"/>
        <v>Mikael Backlund - CGY - C</v>
      </c>
      <c r="C241" t="str">
        <f t="shared" si="36"/>
        <v>Mikael</v>
      </c>
      <c r="D241" t="str">
        <f t="shared" si="37"/>
        <v>Backlund</v>
      </c>
      <c r="E241" s="39" t="s">
        <v>2939</v>
      </c>
      <c r="F241" s="30" t="s">
        <v>12</v>
      </c>
      <c r="G241" s="35" t="s">
        <v>372</v>
      </c>
      <c r="H241" s="9" t="s">
        <v>73</v>
      </c>
      <c r="I241" s="9" t="s">
        <v>2439</v>
      </c>
      <c r="J241" s="9">
        <v>30</v>
      </c>
      <c r="K241" s="35">
        <f>VALUE(COUNTIF(Validation!$A$2:$H$47,E241))</f>
        <v>0</v>
      </c>
      <c r="L241" s="361">
        <f t="shared" si="38"/>
        <v>5350000</v>
      </c>
      <c r="M241" s="361">
        <f t="shared" si="39"/>
        <v>5350000</v>
      </c>
      <c r="N241" s="358">
        <v>5350000</v>
      </c>
      <c r="O241" s="358">
        <v>5350000</v>
      </c>
      <c r="P241" s="358">
        <v>5350000</v>
      </c>
      <c r="Q241" s="358">
        <v>5350000</v>
      </c>
      <c r="R241" s="358">
        <v>5350000</v>
      </c>
      <c r="S241" s="358" t="s">
        <v>7</v>
      </c>
      <c r="T241" s="358">
        <v>0</v>
      </c>
      <c r="U241" s="35">
        <f t="shared" si="40"/>
        <v>5</v>
      </c>
      <c r="W241">
        <f t="shared" si="41"/>
        <v>1</v>
      </c>
      <c r="X241" s="35">
        <f t="shared" si="42"/>
        <v>0</v>
      </c>
      <c r="Y241">
        <f t="shared" si="43"/>
        <v>1</v>
      </c>
      <c r="AB241">
        <f t="shared" si="46"/>
        <v>1</v>
      </c>
      <c r="AC241">
        <f t="shared" ca="1" si="47"/>
        <v>0</v>
      </c>
      <c r="AD241" t="str">
        <f ca="1">IF(AC241=1,COUNTIF($AC$3:AC241,1),"")</f>
        <v/>
      </c>
      <c r="AE241" s="155" t="str">
        <f ca="1">IFERROR(INDEX(Données!$B$3:$B$1479,MATCH(ROWS($AD$3:AD241),$AD$3:$AD$1479,0)),"")</f>
        <v/>
      </c>
    </row>
    <row r="242" spans="1:31" ht="15.75" x14ac:dyDescent="0.25">
      <c r="A242" t="str">
        <f t="shared" si="44"/>
        <v>Noah Hanifin - CGY - DG</v>
      </c>
      <c r="B242" t="str">
        <f t="shared" si="45"/>
        <v>Noah Hanifin - CGY - DG</v>
      </c>
      <c r="C242" t="str">
        <f t="shared" si="36"/>
        <v>Noah</v>
      </c>
      <c r="D242" t="str">
        <f t="shared" si="37"/>
        <v>Hanifin</v>
      </c>
      <c r="E242" s="39" t="s">
        <v>2198</v>
      </c>
      <c r="F242" s="30" t="s">
        <v>12</v>
      </c>
      <c r="G242" s="35">
        <v>0</v>
      </c>
      <c r="H242" s="35" t="s">
        <v>2445</v>
      </c>
      <c r="I242" s="35" t="s">
        <v>2439</v>
      </c>
      <c r="J242" s="35">
        <v>22</v>
      </c>
      <c r="K242" s="35">
        <f>VALUE(COUNTIF(Validation!$A$2:$H$47,E242))</f>
        <v>0</v>
      </c>
      <c r="L242" s="361">
        <f t="shared" si="38"/>
        <v>4950000</v>
      </c>
      <c r="M242" s="361">
        <f t="shared" si="39"/>
        <v>4950000</v>
      </c>
      <c r="N242" s="358">
        <v>4950000</v>
      </c>
      <c r="O242" s="358">
        <v>4950000</v>
      </c>
      <c r="P242" s="358">
        <v>4950000</v>
      </c>
      <c r="Q242" s="358">
        <v>4950000</v>
      </c>
      <c r="R242" s="358">
        <v>4950000</v>
      </c>
      <c r="S242" s="358" t="s">
        <v>7</v>
      </c>
      <c r="T242" s="358">
        <v>0</v>
      </c>
      <c r="U242" s="35">
        <f t="shared" si="40"/>
        <v>5</v>
      </c>
      <c r="W242">
        <f t="shared" si="41"/>
        <v>1</v>
      </c>
      <c r="X242" s="35">
        <f t="shared" si="42"/>
        <v>0</v>
      </c>
      <c r="Y242">
        <f t="shared" si="43"/>
        <v>1</v>
      </c>
      <c r="AB242">
        <f t="shared" si="46"/>
        <v>1</v>
      </c>
      <c r="AC242">
        <f t="shared" ca="1" si="47"/>
        <v>0</v>
      </c>
      <c r="AD242" t="str">
        <f ca="1">IF(AC242=1,COUNTIF($AC$3:AC242,1),"")</f>
        <v/>
      </c>
      <c r="AE242" s="155" t="str">
        <f ca="1">IFERROR(INDEX(Données!$B$3:$B$1479,MATCH(ROWS($AD$3:AD242),$AD$3:$AD$1479,0)),"")</f>
        <v/>
      </c>
    </row>
    <row r="243" spans="1:31" ht="15.75" x14ac:dyDescent="0.25">
      <c r="A243" t="str">
        <f t="shared" si="44"/>
        <v>Elias Lindholm - CGY - AD, C</v>
      </c>
      <c r="B243" t="str">
        <f t="shared" si="45"/>
        <v>Elias Lindholm - CGY - AD, C</v>
      </c>
      <c r="C243" t="str">
        <f t="shared" si="36"/>
        <v>Elias</v>
      </c>
      <c r="D243" t="str">
        <f t="shared" si="37"/>
        <v>Lindholm</v>
      </c>
      <c r="E243" s="39" t="s">
        <v>2190</v>
      </c>
      <c r="F243" s="30" t="s">
        <v>12</v>
      </c>
      <c r="G243" s="35">
        <v>0</v>
      </c>
      <c r="H243" s="35" t="s">
        <v>2453</v>
      </c>
      <c r="I243" s="35" t="s">
        <v>2439</v>
      </c>
      <c r="J243" s="35">
        <v>24</v>
      </c>
      <c r="K243" s="35">
        <f>VALUE(COUNTIF(Validation!$A$2:$H$47,E243))</f>
        <v>0</v>
      </c>
      <c r="L243" s="361">
        <f t="shared" si="38"/>
        <v>4850000</v>
      </c>
      <c r="M243" s="361">
        <f t="shared" si="39"/>
        <v>4850000</v>
      </c>
      <c r="N243" s="358">
        <v>4850000</v>
      </c>
      <c r="O243" s="358">
        <v>4850000</v>
      </c>
      <c r="P243" s="358">
        <v>4850000</v>
      </c>
      <c r="Q243" s="358">
        <v>4850000</v>
      </c>
      <c r="R243" s="358">
        <v>4850000</v>
      </c>
      <c r="S243" s="358" t="s">
        <v>7</v>
      </c>
      <c r="T243" s="358">
        <v>0</v>
      </c>
      <c r="U243" s="35">
        <f t="shared" si="40"/>
        <v>5</v>
      </c>
      <c r="W243">
        <f t="shared" si="41"/>
        <v>1</v>
      </c>
      <c r="X243" s="35">
        <f t="shared" si="42"/>
        <v>0</v>
      </c>
      <c r="Y243">
        <f t="shared" si="43"/>
        <v>1</v>
      </c>
      <c r="AB243">
        <f t="shared" si="46"/>
        <v>1</v>
      </c>
      <c r="AC243">
        <f t="shared" ca="1" si="47"/>
        <v>0</v>
      </c>
      <c r="AD243" t="str">
        <f ca="1">IF(AC243=1,COUNTIF($AC$3:AC243,1),"")</f>
        <v/>
      </c>
      <c r="AE243" s="155" t="str">
        <f ca="1">IFERROR(INDEX(Données!$B$3:$B$1479,MATCH(ROWS($AD$3:AD243),$AD$3:$AD$1479,0)),"")</f>
        <v/>
      </c>
    </row>
    <row r="244" spans="1:31" ht="15.75" x14ac:dyDescent="0.25">
      <c r="A244" t="str">
        <f t="shared" si="44"/>
        <v>TJ Brodie - CGY - DD</v>
      </c>
      <c r="B244" t="str">
        <f t="shared" si="45"/>
        <v>TJ Brodie - CGY - DD</v>
      </c>
      <c r="C244" t="str">
        <f t="shared" si="36"/>
        <v>TJ</v>
      </c>
      <c r="D244" t="str">
        <f t="shared" si="37"/>
        <v>Brodie</v>
      </c>
      <c r="E244" s="39" t="s">
        <v>2199</v>
      </c>
      <c r="F244" s="30" t="s">
        <v>12</v>
      </c>
      <c r="G244" s="35" t="s">
        <v>381</v>
      </c>
      <c r="H244" s="35" t="s">
        <v>2444</v>
      </c>
      <c r="I244" s="35" t="s">
        <v>2439</v>
      </c>
      <c r="J244" s="35">
        <v>29</v>
      </c>
      <c r="K244" s="35">
        <f>VALUE(COUNTIF(Validation!$A$2:$H$47,E244))</f>
        <v>0</v>
      </c>
      <c r="L244" s="361">
        <f t="shared" si="38"/>
        <v>4650400</v>
      </c>
      <c r="M244" s="361">
        <f t="shared" si="39"/>
        <v>0</v>
      </c>
      <c r="N244" s="358">
        <v>4650400</v>
      </c>
      <c r="O244" s="358" t="s">
        <v>7</v>
      </c>
      <c r="P244" s="358">
        <v>0</v>
      </c>
      <c r="Q244" s="358">
        <v>0</v>
      </c>
      <c r="R244" s="358">
        <v>0</v>
      </c>
      <c r="S244" s="358">
        <v>0</v>
      </c>
      <c r="T244" s="358">
        <v>0</v>
      </c>
      <c r="U244" s="35">
        <f t="shared" si="40"/>
        <v>1</v>
      </c>
      <c r="W244">
        <f t="shared" si="41"/>
        <v>1</v>
      </c>
      <c r="X244" s="35">
        <f t="shared" si="42"/>
        <v>0</v>
      </c>
      <c r="Y244">
        <f t="shared" si="43"/>
        <v>0</v>
      </c>
      <c r="AB244">
        <f t="shared" si="46"/>
        <v>1</v>
      </c>
      <c r="AC244">
        <f t="shared" ca="1" si="47"/>
        <v>0</v>
      </c>
      <c r="AD244" t="str">
        <f ca="1">IF(AC244=1,COUNTIF($AC$3:AC244,1),"")</f>
        <v/>
      </c>
      <c r="AE244" s="155" t="str">
        <f ca="1">IFERROR(INDEX(Données!$B$3:$B$1479,MATCH(ROWS($AD$3:AD244),$AD$3:$AD$1479,0)),"")</f>
        <v/>
      </c>
    </row>
    <row r="245" spans="1:31" ht="15.75" x14ac:dyDescent="0.25">
      <c r="A245" t="str">
        <f t="shared" si="44"/>
        <v>Michael Frolík - CGY - AG, AD</v>
      </c>
      <c r="B245" t="str">
        <f t="shared" si="45"/>
        <v>Michael Frolík - CGY - AG, AD</v>
      </c>
      <c r="C245" t="str">
        <f t="shared" si="36"/>
        <v>Michael</v>
      </c>
      <c r="D245" t="str">
        <f t="shared" si="37"/>
        <v>Frolík</v>
      </c>
      <c r="E245" s="39" t="s">
        <v>2191</v>
      </c>
      <c r="F245" s="30" t="s">
        <v>12</v>
      </c>
      <c r="G245" s="35" t="s">
        <v>381</v>
      </c>
      <c r="H245" s="35" t="s">
        <v>2442</v>
      </c>
      <c r="I245" s="35" t="s">
        <v>2439</v>
      </c>
      <c r="J245" s="35">
        <v>31</v>
      </c>
      <c r="K245" s="35">
        <f>VALUE(COUNTIF(Validation!$A$2:$H$47,E245))</f>
        <v>0</v>
      </c>
      <c r="L245" s="361">
        <f t="shared" si="38"/>
        <v>4300000</v>
      </c>
      <c r="M245" s="361">
        <f t="shared" si="39"/>
        <v>0</v>
      </c>
      <c r="N245" s="358">
        <v>4300000</v>
      </c>
      <c r="O245" s="358" t="s">
        <v>7</v>
      </c>
      <c r="P245" s="358">
        <v>0</v>
      </c>
      <c r="Q245" s="358">
        <v>0</v>
      </c>
      <c r="R245" s="358">
        <v>0</v>
      </c>
      <c r="S245" s="358">
        <v>0</v>
      </c>
      <c r="T245" s="358">
        <v>0</v>
      </c>
      <c r="U245" s="35">
        <f t="shared" si="40"/>
        <v>1</v>
      </c>
      <c r="W245">
        <f t="shared" si="41"/>
        <v>1</v>
      </c>
      <c r="X245" s="35">
        <f t="shared" si="42"/>
        <v>0</v>
      </c>
      <c r="Y245">
        <f t="shared" si="43"/>
        <v>0</v>
      </c>
      <c r="AB245">
        <f t="shared" si="46"/>
        <v>1</v>
      </c>
      <c r="AC245">
        <f t="shared" ca="1" si="47"/>
        <v>0</v>
      </c>
      <c r="AD245" t="str">
        <f ca="1">IF(AC245=1,COUNTIF($AC$3:AC245,1),"")</f>
        <v/>
      </c>
      <c r="AE245" s="155" t="str">
        <f ca="1">IFERROR(INDEX(Données!$B$3:$B$1479,MATCH(ROWS($AD$3:AD245),$AD$3:$AD$1479,0)),"")</f>
        <v/>
      </c>
    </row>
    <row r="246" spans="1:31" ht="15.75" x14ac:dyDescent="0.25">
      <c r="A246" t="str">
        <f t="shared" si="44"/>
        <v>Travis Hamonic - CGY - DD</v>
      </c>
      <c r="B246" t="str">
        <f t="shared" si="45"/>
        <v>Travis Hamonic - CGY - DD</v>
      </c>
      <c r="C246" t="str">
        <f t="shared" si="36"/>
        <v>Travis</v>
      </c>
      <c r="D246" t="str">
        <f t="shared" si="37"/>
        <v>Hamonic</v>
      </c>
      <c r="E246" s="39" t="s">
        <v>2200</v>
      </c>
      <c r="F246" s="30" t="s">
        <v>12</v>
      </c>
      <c r="G246" s="35">
        <v>0</v>
      </c>
      <c r="H246" s="35" t="s">
        <v>2444</v>
      </c>
      <c r="I246" s="35" t="s">
        <v>2439</v>
      </c>
      <c r="J246" s="35">
        <v>28</v>
      </c>
      <c r="K246" s="35">
        <f>VALUE(COUNTIF(Validation!$A$2:$H$47,E246))</f>
        <v>0</v>
      </c>
      <c r="L246" s="361">
        <f t="shared" si="38"/>
        <v>3857143</v>
      </c>
      <c r="M246" s="361">
        <f t="shared" si="39"/>
        <v>0</v>
      </c>
      <c r="N246" s="358">
        <v>3857143</v>
      </c>
      <c r="O246" s="358" t="s">
        <v>7</v>
      </c>
      <c r="P246" s="358">
        <v>0</v>
      </c>
      <c r="Q246" s="358">
        <v>0</v>
      </c>
      <c r="R246" s="358">
        <v>0</v>
      </c>
      <c r="S246" s="358">
        <v>0</v>
      </c>
      <c r="T246" s="358">
        <v>0</v>
      </c>
      <c r="U246" s="35">
        <f t="shared" si="40"/>
        <v>1</v>
      </c>
      <c r="W246">
        <f t="shared" si="41"/>
        <v>1</v>
      </c>
      <c r="X246" s="35">
        <f t="shared" si="42"/>
        <v>0</v>
      </c>
      <c r="Y246">
        <f t="shared" si="43"/>
        <v>0</v>
      </c>
      <c r="AB246">
        <f t="shared" si="46"/>
        <v>1</v>
      </c>
      <c r="AC246">
        <f t="shared" ca="1" si="47"/>
        <v>0</v>
      </c>
      <c r="AD246" t="str">
        <f ca="1">IF(AC246=1,COUNTIF($AC$3:AC246,1),"")</f>
        <v/>
      </c>
      <c r="AE246" s="155" t="str">
        <f ca="1">IFERROR(INDEX(Données!$B$3:$B$1479,MATCH(ROWS($AD$3:AD246),$AD$3:$AD$1479,0)),"")</f>
        <v/>
      </c>
    </row>
    <row r="247" spans="1:31" ht="15.75" x14ac:dyDescent="0.25">
      <c r="A247" t="str">
        <f t="shared" si="44"/>
        <v>Derek Ryan - CGY - C</v>
      </c>
      <c r="B247" t="str">
        <f t="shared" si="45"/>
        <v>Derek Ryan - CGY - C</v>
      </c>
      <c r="C247" t="str">
        <f t="shared" si="36"/>
        <v>Derek</v>
      </c>
      <c r="D247" t="str">
        <f t="shared" si="37"/>
        <v>Ryan</v>
      </c>
      <c r="E247" s="39" t="s">
        <v>2192</v>
      </c>
      <c r="F247" s="30" t="s">
        <v>12</v>
      </c>
      <c r="G247" s="35">
        <v>0</v>
      </c>
      <c r="H247" s="35" t="s">
        <v>73</v>
      </c>
      <c r="I247" s="35" t="s">
        <v>2439</v>
      </c>
      <c r="J247" s="35">
        <v>32</v>
      </c>
      <c r="K247" s="35">
        <f>VALUE(COUNTIF(Validation!$A$2:$H$47,E247))</f>
        <v>0</v>
      </c>
      <c r="L247" s="361">
        <f t="shared" si="38"/>
        <v>3125000</v>
      </c>
      <c r="M247" s="361">
        <f t="shared" si="39"/>
        <v>3125000</v>
      </c>
      <c r="N247" s="358">
        <v>3125000</v>
      </c>
      <c r="O247" s="358">
        <v>3125000</v>
      </c>
      <c r="P247" s="358" t="s">
        <v>7</v>
      </c>
      <c r="Q247" s="358">
        <v>0</v>
      </c>
      <c r="R247" s="358">
        <v>0</v>
      </c>
      <c r="S247" s="358">
        <v>0</v>
      </c>
      <c r="T247" s="358">
        <v>0</v>
      </c>
      <c r="U247" s="35">
        <f t="shared" si="40"/>
        <v>2</v>
      </c>
      <c r="W247">
        <f t="shared" si="41"/>
        <v>1</v>
      </c>
      <c r="X247" s="35">
        <f t="shared" si="42"/>
        <v>0</v>
      </c>
      <c r="Y247">
        <f t="shared" si="43"/>
        <v>1</v>
      </c>
      <c r="AB247">
        <f t="shared" si="46"/>
        <v>1</v>
      </c>
      <c r="AC247">
        <f t="shared" ca="1" si="47"/>
        <v>0</v>
      </c>
      <c r="AD247" t="str">
        <f ca="1">IF(AC247=1,COUNTIF($AC$3:AC247,1),"")</f>
        <v/>
      </c>
      <c r="AE247" s="155" t="str">
        <f ca="1">IFERROR(INDEX(Données!$B$3:$B$1479,MATCH(ROWS($AD$3:AD247),$AD$3:$AD$1479,0)),"")</f>
        <v/>
      </c>
    </row>
    <row r="248" spans="1:31" ht="15.75" x14ac:dyDescent="0.25">
      <c r="A248" t="str">
        <f t="shared" si="44"/>
        <v>David Rittich - CGY - G</v>
      </c>
      <c r="B248" t="str">
        <f t="shared" si="45"/>
        <v>David Rittich - CGY - G</v>
      </c>
      <c r="C248" t="str">
        <f t="shared" si="36"/>
        <v>David</v>
      </c>
      <c r="D248" t="str">
        <f t="shared" si="37"/>
        <v>Rittich</v>
      </c>
      <c r="E248" s="39" t="s">
        <v>2204</v>
      </c>
      <c r="F248" s="30" t="s">
        <v>12</v>
      </c>
      <c r="G248" s="35">
        <v>0</v>
      </c>
      <c r="H248" s="35" t="s">
        <v>127</v>
      </c>
      <c r="I248" s="35" t="s">
        <v>2439</v>
      </c>
      <c r="J248" s="35">
        <v>26</v>
      </c>
      <c r="K248" s="35">
        <f>VALUE(COUNTIF(Validation!$A$2:$H$47,E248))</f>
        <v>0</v>
      </c>
      <c r="L248" s="361">
        <f t="shared" si="38"/>
        <v>2750000</v>
      </c>
      <c r="M248" s="361">
        <f t="shared" si="39"/>
        <v>2750000</v>
      </c>
      <c r="N248" s="358">
        <v>2750000</v>
      </c>
      <c r="O248" s="358">
        <v>2750000</v>
      </c>
      <c r="P248" s="358" t="s">
        <v>7</v>
      </c>
      <c r="Q248" s="358">
        <v>0</v>
      </c>
      <c r="R248" s="358">
        <v>0</v>
      </c>
      <c r="S248" s="358">
        <v>0</v>
      </c>
      <c r="T248" s="358">
        <v>0</v>
      </c>
      <c r="U248" s="35">
        <f t="shared" si="40"/>
        <v>2</v>
      </c>
      <c r="W248">
        <f t="shared" si="41"/>
        <v>1</v>
      </c>
      <c r="X248" s="35">
        <f t="shared" si="42"/>
        <v>0</v>
      </c>
      <c r="Y248">
        <f t="shared" si="43"/>
        <v>1</v>
      </c>
      <c r="AB248">
        <f t="shared" si="46"/>
        <v>1</v>
      </c>
      <c r="AC248">
        <f t="shared" ca="1" si="47"/>
        <v>0</v>
      </c>
      <c r="AD248" t="str">
        <f ca="1">IF(AC248=1,COUNTIF($AC$3:AC248,1),"")</f>
        <v/>
      </c>
      <c r="AE248" s="155" t="str">
        <f ca="1">IFERROR(INDEX(Données!$B$3:$B$1479,MATCH(ROWS($AD$3:AD248),$AD$3:$AD$1479,0)),"")</f>
        <v/>
      </c>
    </row>
    <row r="249" spans="1:31" ht="15.75" x14ac:dyDescent="0.25">
      <c r="A249" t="str">
        <f t="shared" si="44"/>
        <v>Cam Talbot - CGY - G</v>
      </c>
      <c r="B249" t="str">
        <f t="shared" si="45"/>
        <v>Cam Talbot - CGY - G</v>
      </c>
      <c r="C249" t="str">
        <f t="shared" si="36"/>
        <v>Cam</v>
      </c>
      <c r="D249" t="str">
        <f t="shared" si="37"/>
        <v>Talbot</v>
      </c>
      <c r="E249" s="39" t="s">
        <v>2229</v>
      </c>
      <c r="F249" s="30" t="s">
        <v>12</v>
      </c>
      <c r="G249" s="35">
        <v>0</v>
      </c>
      <c r="H249" s="9" t="s">
        <v>127</v>
      </c>
      <c r="I249" s="9" t="s">
        <v>2439</v>
      </c>
      <c r="J249" s="9">
        <v>32</v>
      </c>
      <c r="K249" s="35">
        <f>VALUE(COUNTIF(Validation!$A$2:$H$47,E249))</f>
        <v>0</v>
      </c>
      <c r="L249" s="361">
        <f t="shared" si="38"/>
        <v>2750000</v>
      </c>
      <c r="M249" s="361">
        <f t="shared" si="39"/>
        <v>0</v>
      </c>
      <c r="N249" s="358">
        <v>2750000</v>
      </c>
      <c r="O249" s="358" t="s">
        <v>7</v>
      </c>
      <c r="P249" s="358">
        <v>0</v>
      </c>
      <c r="Q249" s="358">
        <v>0</v>
      </c>
      <c r="R249" s="358">
        <v>0</v>
      </c>
      <c r="S249" s="358">
        <v>0</v>
      </c>
      <c r="T249" s="358">
        <v>0</v>
      </c>
      <c r="U249" s="35">
        <f t="shared" si="40"/>
        <v>1</v>
      </c>
      <c r="W249">
        <f t="shared" si="41"/>
        <v>1</v>
      </c>
      <c r="X249" s="35">
        <f t="shared" si="42"/>
        <v>0</v>
      </c>
      <c r="Y249">
        <f t="shared" si="43"/>
        <v>0</v>
      </c>
      <c r="AB249">
        <f t="shared" si="46"/>
        <v>1</v>
      </c>
      <c r="AC249">
        <f t="shared" ca="1" si="47"/>
        <v>0</v>
      </c>
      <c r="AD249" t="str">
        <f ca="1">IF(AC249=1,COUNTIF($AC$3:AC249,1),"")</f>
        <v/>
      </c>
      <c r="AE249" s="155" t="str">
        <f ca="1">IFERROR(INDEX(Données!$B$3:$B$1479,MATCH(ROWS($AD$3:AD249),$AD$3:$AD$1479,0)),"")</f>
        <v/>
      </c>
    </row>
    <row r="250" spans="1:31" ht="15.75" x14ac:dyDescent="0.25">
      <c r="A250" t="str">
        <f t="shared" si="44"/>
        <v>Sam Bennett - CGY - AD, C, AG</v>
      </c>
      <c r="B250" t="str">
        <f t="shared" si="45"/>
        <v>Sam Bennett - CGY - AD, C, AG</v>
      </c>
      <c r="C250" t="str">
        <f t="shared" si="36"/>
        <v>Sam</v>
      </c>
      <c r="D250" t="str">
        <f t="shared" si="37"/>
        <v>Bennett</v>
      </c>
      <c r="E250" s="39" t="s">
        <v>2193</v>
      </c>
      <c r="F250" s="30" t="s">
        <v>12</v>
      </c>
      <c r="G250" s="35">
        <v>0</v>
      </c>
      <c r="H250" s="35" t="s">
        <v>2454</v>
      </c>
      <c r="I250" s="35" t="s">
        <v>2439</v>
      </c>
      <c r="J250" s="35">
        <v>23</v>
      </c>
      <c r="K250" s="35">
        <f>VALUE(COUNTIF(Validation!$A$2:$H$47,E250))</f>
        <v>0</v>
      </c>
      <c r="L250" s="361">
        <f t="shared" si="38"/>
        <v>2550000</v>
      </c>
      <c r="M250" s="361">
        <f t="shared" si="39"/>
        <v>2550000</v>
      </c>
      <c r="N250" s="358">
        <v>2550000</v>
      </c>
      <c r="O250" s="358">
        <v>2550000</v>
      </c>
      <c r="P250" s="358" t="s">
        <v>8</v>
      </c>
      <c r="Q250" s="358">
        <v>0</v>
      </c>
      <c r="R250" s="358">
        <v>0</v>
      </c>
      <c r="S250" s="358">
        <v>0</v>
      </c>
      <c r="T250" s="358">
        <v>0</v>
      </c>
      <c r="U250" s="35">
        <f t="shared" si="40"/>
        <v>2</v>
      </c>
      <c r="W250">
        <f t="shared" si="41"/>
        <v>1</v>
      </c>
      <c r="X250" s="35">
        <f t="shared" si="42"/>
        <v>0</v>
      </c>
      <c r="Y250">
        <f t="shared" si="43"/>
        <v>1</v>
      </c>
      <c r="AB250">
        <f t="shared" si="46"/>
        <v>1</v>
      </c>
      <c r="AC250">
        <f t="shared" ca="1" si="47"/>
        <v>0</v>
      </c>
      <c r="AD250" t="str">
        <f ca="1">IF(AC250=1,COUNTIF($AC$3:AC250,1),"")</f>
        <v/>
      </c>
      <c r="AE250" s="155" t="str">
        <f ca="1">IFERROR(INDEX(Données!$B$3:$B$1479,MATCH(ROWS($AD$3:AD250),$AD$3:$AD$1479,0)),"")</f>
        <v/>
      </c>
    </row>
    <row r="251" spans="1:31" ht="15.75" x14ac:dyDescent="0.25">
      <c r="A251" t="str">
        <f t="shared" si="44"/>
        <v>Mark Jankowski - CGY - C</v>
      </c>
      <c r="B251" t="str">
        <f t="shared" si="45"/>
        <v>Mark Jankowski - CGY - C</v>
      </c>
      <c r="C251" t="str">
        <f t="shared" si="36"/>
        <v>Mark</v>
      </c>
      <c r="D251" t="str">
        <f t="shared" si="37"/>
        <v>Jankowski</v>
      </c>
      <c r="E251" s="39" t="s">
        <v>2194</v>
      </c>
      <c r="F251" s="30" t="s">
        <v>12</v>
      </c>
      <c r="G251" s="35">
        <v>0</v>
      </c>
      <c r="H251" s="35" t="s">
        <v>73</v>
      </c>
      <c r="I251" s="35" t="s">
        <v>2439</v>
      </c>
      <c r="J251" s="35">
        <v>24</v>
      </c>
      <c r="K251" s="35">
        <f>VALUE(COUNTIF(Validation!$A$2:$H$47,E251))</f>
        <v>0</v>
      </c>
      <c r="L251" s="361">
        <f t="shared" si="38"/>
        <v>1675000</v>
      </c>
      <c r="M251" s="361">
        <f t="shared" si="39"/>
        <v>0</v>
      </c>
      <c r="N251" s="358">
        <v>1675000</v>
      </c>
      <c r="O251" s="358" t="s">
        <v>8</v>
      </c>
      <c r="P251" s="358">
        <v>0</v>
      </c>
      <c r="Q251" s="358">
        <v>0</v>
      </c>
      <c r="R251" s="358">
        <v>0</v>
      </c>
      <c r="S251" s="358">
        <v>0</v>
      </c>
      <c r="T251" s="358">
        <v>0</v>
      </c>
      <c r="U251" s="35">
        <f t="shared" si="40"/>
        <v>1</v>
      </c>
      <c r="W251">
        <f t="shared" si="41"/>
        <v>1</v>
      </c>
      <c r="X251" s="35">
        <f t="shared" si="42"/>
        <v>0</v>
      </c>
      <c r="Y251">
        <f t="shared" si="43"/>
        <v>0</v>
      </c>
      <c r="AB251">
        <f t="shared" si="46"/>
        <v>1</v>
      </c>
      <c r="AC251">
        <f t="shared" ca="1" si="47"/>
        <v>0</v>
      </c>
      <c r="AD251" t="str">
        <f ca="1">IF(AC251=1,COUNTIF($AC$3:AC251,1),"")</f>
        <v/>
      </c>
      <c r="AE251" s="155" t="str">
        <f ca="1">IFERROR(INDEX(Données!$B$3:$B$1479,MATCH(ROWS($AD$3:AD251),$AD$3:$AD$1479,0)),"")</f>
        <v/>
      </c>
    </row>
    <row r="252" spans="1:31" ht="15.75" x14ac:dyDescent="0.25">
      <c r="A252" t="str">
        <f t="shared" si="44"/>
        <v>Alexander Yelesin - CGY - DD</v>
      </c>
      <c r="B252" t="str">
        <f t="shared" si="45"/>
        <v>Alexander Yelesin - CGY - DD</v>
      </c>
      <c r="C252" t="str">
        <f t="shared" si="36"/>
        <v>Alexander</v>
      </c>
      <c r="D252" t="str">
        <f t="shared" si="37"/>
        <v>Yelesin</v>
      </c>
      <c r="E252" s="39" t="s">
        <v>2587</v>
      </c>
      <c r="F252" s="30" t="s">
        <v>12</v>
      </c>
      <c r="G252" s="35" t="s">
        <v>386</v>
      </c>
      <c r="H252" s="35" t="s">
        <v>2444</v>
      </c>
      <c r="I252" s="35" t="s">
        <v>2446</v>
      </c>
      <c r="J252" s="35">
        <v>23</v>
      </c>
      <c r="K252" s="35">
        <f>VALUE(COUNTIF(Validation!$A$2:$H$47,E252))</f>
        <v>0</v>
      </c>
      <c r="L252" s="361">
        <f t="shared" si="38"/>
        <v>1350000</v>
      </c>
      <c r="M252" s="361">
        <f t="shared" si="39"/>
        <v>1350000</v>
      </c>
      <c r="N252" s="358">
        <v>1350000</v>
      </c>
      <c r="O252" s="358">
        <v>1350000</v>
      </c>
      <c r="P252" s="358" t="s">
        <v>8</v>
      </c>
      <c r="Q252" s="358">
        <v>0</v>
      </c>
      <c r="R252" s="358">
        <v>0</v>
      </c>
      <c r="S252" s="358">
        <v>0</v>
      </c>
      <c r="T252" s="358">
        <v>0</v>
      </c>
      <c r="U252" s="35">
        <f t="shared" si="40"/>
        <v>2</v>
      </c>
      <c r="W252">
        <f t="shared" si="41"/>
        <v>1</v>
      </c>
      <c r="X252" s="35">
        <f t="shared" si="42"/>
        <v>1</v>
      </c>
      <c r="Y252">
        <f t="shared" si="43"/>
        <v>1</v>
      </c>
      <c r="AB252">
        <f t="shared" si="46"/>
        <v>1</v>
      </c>
      <c r="AC252">
        <f t="shared" ca="1" si="47"/>
        <v>0</v>
      </c>
      <c r="AD252" t="str">
        <f ca="1">IF(AC252=1,COUNTIF($AC$3:AC252,1),"")</f>
        <v/>
      </c>
      <c r="AE252" s="155" t="str">
        <f ca="1">IFERROR(INDEX(Données!$B$3:$B$1479,MATCH(ROWS($AD$3:AD252),$AD$3:$AD$1479,0)),"")</f>
        <v/>
      </c>
    </row>
    <row r="253" spans="1:31" ht="15.75" x14ac:dyDescent="0.25">
      <c r="A253" t="str">
        <f t="shared" si="44"/>
        <v>Juuso Valimaki - CGY - DG</v>
      </c>
      <c r="B253" t="str">
        <f t="shared" si="45"/>
        <v>Juuso Valimaki - CGY - DG</v>
      </c>
      <c r="C253" t="str">
        <f t="shared" si="36"/>
        <v>Juuso</v>
      </c>
      <c r="D253" t="str">
        <f t="shared" si="37"/>
        <v>Valimaki</v>
      </c>
      <c r="E253" s="39" t="s">
        <v>2886</v>
      </c>
      <c r="F253" s="30" t="s">
        <v>12</v>
      </c>
      <c r="G253" s="35" t="s">
        <v>386</v>
      </c>
      <c r="H253" s="35" t="s">
        <v>2445</v>
      </c>
      <c r="I253" s="35" t="s">
        <v>374</v>
      </c>
      <c r="J253" s="35">
        <v>20</v>
      </c>
      <c r="K253" s="35">
        <f>VALUE(COUNTIF(Validation!$A$2:$H$47,E253))</f>
        <v>0</v>
      </c>
      <c r="L253" s="361">
        <f t="shared" si="38"/>
        <v>1319166</v>
      </c>
      <c r="M253" s="361">
        <f t="shared" si="39"/>
        <v>1319166</v>
      </c>
      <c r="N253" s="358">
        <v>1319166</v>
      </c>
      <c r="O253" s="358">
        <v>1319166</v>
      </c>
      <c r="P253" s="358" t="s">
        <v>8</v>
      </c>
      <c r="Q253" s="358">
        <v>0</v>
      </c>
      <c r="R253" s="358">
        <v>0</v>
      </c>
      <c r="S253" s="358">
        <v>0</v>
      </c>
      <c r="T253" s="358">
        <v>0</v>
      </c>
      <c r="U253" s="35">
        <f t="shared" si="40"/>
        <v>2</v>
      </c>
      <c r="W253">
        <f t="shared" si="41"/>
        <v>1</v>
      </c>
      <c r="X253" s="35">
        <f t="shared" si="42"/>
        <v>1</v>
      </c>
      <c r="Y253">
        <f t="shared" si="43"/>
        <v>1</v>
      </c>
      <c r="AB253">
        <f t="shared" si="46"/>
        <v>1</v>
      </c>
      <c r="AC253">
        <f t="shared" ca="1" si="47"/>
        <v>0</v>
      </c>
      <c r="AD253" t="str">
        <f ca="1">IF(AC253=1,COUNTIF($AC$3:AC253,1),"")</f>
        <v/>
      </c>
      <c r="AE253" s="155" t="str">
        <f ca="1">IFERROR(INDEX(Données!$B$3:$B$1479,MATCH(ROWS($AD$3:AD253),$AD$3:$AD$1479,0)),"")</f>
        <v/>
      </c>
    </row>
    <row r="254" spans="1:31" ht="15.75" x14ac:dyDescent="0.25">
      <c r="A254" t="str">
        <f t="shared" si="44"/>
        <v>Austin Czarnik - CGY - AD, AG</v>
      </c>
      <c r="B254" t="str">
        <f t="shared" si="45"/>
        <v>Austin Czarnik - CGY - AD, AG</v>
      </c>
      <c r="C254" t="str">
        <f t="shared" si="36"/>
        <v>Austin</v>
      </c>
      <c r="D254" t="str">
        <f t="shared" si="37"/>
        <v>Czarnik</v>
      </c>
      <c r="E254" s="39" t="s">
        <v>2195</v>
      </c>
      <c r="F254" s="30" t="s">
        <v>12</v>
      </c>
      <c r="G254" s="35">
        <v>0</v>
      </c>
      <c r="H254" s="9" t="s">
        <v>2441</v>
      </c>
      <c r="I254" s="9" t="s">
        <v>2439</v>
      </c>
      <c r="J254" s="9">
        <v>26</v>
      </c>
      <c r="K254" s="35">
        <f>VALUE(COUNTIF(Validation!$A$2:$H$47,E254))</f>
        <v>0</v>
      </c>
      <c r="L254" s="361">
        <f t="shared" si="38"/>
        <v>1250000</v>
      </c>
      <c r="M254" s="361">
        <f t="shared" si="39"/>
        <v>0</v>
      </c>
      <c r="N254" s="358">
        <v>1250000</v>
      </c>
      <c r="O254" s="358" t="s">
        <v>7</v>
      </c>
      <c r="P254" s="358">
        <v>0</v>
      </c>
      <c r="Q254" s="358">
        <v>0</v>
      </c>
      <c r="R254" s="358">
        <v>0</v>
      </c>
      <c r="S254" s="358">
        <v>0</v>
      </c>
      <c r="T254" s="358">
        <v>0</v>
      </c>
      <c r="U254" s="35">
        <f t="shared" si="40"/>
        <v>1</v>
      </c>
      <c r="W254">
        <f t="shared" si="41"/>
        <v>1</v>
      </c>
      <c r="X254" s="35">
        <f t="shared" si="42"/>
        <v>0</v>
      </c>
      <c r="Y254">
        <f t="shared" si="43"/>
        <v>0</v>
      </c>
      <c r="AB254">
        <f t="shared" si="46"/>
        <v>1</v>
      </c>
      <c r="AC254">
        <f t="shared" ca="1" si="47"/>
        <v>0</v>
      </c>
      <c r="AD254" t="str">
        <f ca="1">IF(AC254=1,COUNTIF($AC$3:AC254,1),"")</f>
        <v/>
      </c>
      <c r="AE254" s="155" t="str">
        <f ca="1">IFERROR(INDEX(Données!$B$3:$B$1479,MATCH(ROWS($AD$3:AD254),$AD$3:$AD$1479,0)),"")</f>
        <v/>
      </c>
    </row>
    <row r="255" spans="1:31" ht="15.75" x14ac:dyDescent="0.25">
      <c r="A255" t="str">
        <f t="shared" si="44"/>
        <v>Glenn Gawdin - CGY - C, AD</v>
      </c>
      <c r="B255" t="str">
        <f t="shared" si="45"/>
        <v>Glenn Gawdin - CGY - C, AD</v>
      </c>
      <c r="C255" t="str">
        <f t="shared" si="36"/>
        <v>Glenn</v>
      </c>
      <c r="D255" t="str">
        <f t="shared" si="37"/>
        <v>Gawdin</v>
      </c>
      <c r="E255" s="39" t="s">
        <v>2205</v>
      </c>
      <c r="F255" s="30" t="s">
        <v>12</v>
      </c>
      <c r="G255" s="35" t="s">
        <v>386</v>
      </c>
      <c r="H255" s="9" t="s">
        <v>2448</v>
      </c>
      <c r="I255" s="9" t="s">
        <v>2446</v>
      </c>
      <c r="J255" s="9">
        <v>22</v>
      </c>
      <c r="K255" s="35">
        <f>VALUE(COUNTIF(Validation!$A$2:$H$47,E255))</f>
        <v>0</v>
      </c>
      <c r="L255" s="361">
        <f t="shared" si="38"/>
        <v>925000</v>
      </c>
      <c r="M255" s="361">
        <f t="shared" si="39"/>
        <v>0</v>
      </c>
      <c r="N255" s="358">
        <v>925000</v>
      </c>
      <c r="O255" s="358" t="s">
        <v>8</v>
      </c>
      <c r="P255" s="358">
        <v>0</v>
      </c>
      <c r="Q255" s="358">
        <v>0</v>
      </c>
      <c r="R255" s="358">
        <v>0</v>
      </c>
      <c r="S255" s="358">
        <v>0</v>
      </c>
      <c r="T255" s="358">
        <v>0</v>
      </c>
      <c r="U255" s="35">
        <f t="shared" si="40"/>
        <v>1</v>
      </c>
      <c r="W255">
        <f t="shared" si="41"/>
        <v>1</v>
      </c>
      <c r="X255" s="35">
        <f t="shared" si="42"/>
        <v>1</v>
      </c>
      <c r="Y255">
        <f t="shared" si="43"/>
        <v>0</v>
      </c>
      <c r="AB255">
        <f t="shared" si="46"/>
        <v>1</v>
      </c>
      <c r="AC255">
        <f t="shared" ca="1" si="47"/>
        <v>0</v>
      </c>
      <c r="AD255" t="str">
        <f ca="1">IF(AC255=1,COUNTIF($AC$3:AC255,1),"")</f>
        <v/>
      </c>
      <c r="AE255" s="155" t="str">
        <f ca="1">IFERROR(INDEX(Données!$B$3:$B$1479,MATCH(ROWS($AD$3:AD255),$AD$3:$AD$1479,0)),"")</f>
        <v/>
      </c>
    </row>
    <row r="256" spans="1:31" ht="15.75" x14ac:dyDescent="0.25">
      <c r="A256" t="str">
        <f t="shared" si="44"/>
        <v>Carl-Johan Lerby - CGY - DG</v>
      </c>
      <c r="B256" t="str">
        <f t="shared" si="45"/>
        <v>Carl-Johan Lerby - CGY - DG</v>
      </c>
      <c r="C256" t="str">
        <f t="shared" si="36"/>
        <v>Carl-Johan</v>
      </c>
      <c r="D256" t="str">
        <f t="shared" si="37"/>
        <v>Lerby</v>
      </c>
      <c r="E256" s="39" t="s">
        <v>2586</v>
      </c>
      <c r="F256" s="30" t="s">
        <v>12</v>
      </c>
      <c r="G256" s="35" t="s">
        <v>386</v>
      </c>
      <c r="H256" s="35" t="s">
        <v>2445</v>
      </c>
      <c r="I256" s="35" t="s">
        <v>2446</v>
      </c>
      <c r="J256" s="35">
        <v>22</v>
      </c>
      <c r="K256" s="35">
        <f>VALUE(COUNTIF(Validation!$A$2:$H$47,E256))</f>
        <v>0</v>
      </c>
      <c r="L256" s="361">
        <f t="shared" si="38"/>
        <v>925000</v>
      </c>
      <c r="M256" s="361">
        <f t="shared" si="39"/>
        <v>925000</v>
      </c>
      <c r="N256" s="358">
        <v>925000</v>
      </c>
      <c r="O256" s="358">
        <v>925000</v>
      </c>
      <c r="P256" s="358" t="s">
        <v>8</v>
      </c>
      <c r="Q256" s="358">
        <v>0</v>
      </c>
      <c r="R256" s="358">
        <v>0</v>
      </c>
      <c r="S256" s="358">
        <v>0</v>
      </c>
      <c r="T256" s="358">
        <v>0</v>
      </c>
      <c r="U256" s="35">
        <f t="shared" si="40"/>
        <v>2</v>
      </c>
      <c r="W256">
        <f t="shared" si="41"/>
        <v>1</v>
      </c>
      <c r="X256" s="35">
        <f t="shared" si="42"/>
        <v>1</v>
      </c>
      <c r="Y256">
        <f t="shared" si="43"/>
        <v>1</v>
      </c>
      <c r="AB256">
        <f t="shared" si="46"/>
        <v>1</v>
      </c>
      <c r="AC256">
        <f t="shared" ca="1" si="47"/>
        <v>0</v>
      </c>
      <c r="AD256" t="str">
        <f ca="1">IF(AC256=1,COUNTIF($AC$3:AC256,1),"")</f>
        <v/>
      </c>
      <c r="AE256" s="155" t="str">
        <f ca="1">IFERROR(INDEX(Données!$B$3:$B$1479,MATCH(ROWS($AD$3:AD256),$AD$3:$AD$1479,0)),"")</f>
        <v/>
      </c>
    </row>
    <row r="257" spans="1:31" ht="15.75" x14ac:dyDescent="0.25">
      <c r="A257" t="str">
        <f t="shared" si="44"/>
        <v>Tyler Parsons - CGY - G</v>
      </c>
      <c r="B257" t="str">
        <f t="shared" si="45"/>
        <v>Tyler Parsons - CGY - G</v>
      </c>
      <c r="C257" t="str">
        <f t="shared" si="36"/>
        <v>Tyler</v>
      </c>
      <c r="D257" t="str">
        <f t="shared" si="37"/>
        <v>Parsons</v>
      </c>
      <c r="E257" s="39" t="s">
        <v>2206</v>
      </c>
      <c r="F257" s="30" t="s">
        <v>12</v>
      </c>
      <c r="G257" s="35" t="s">
        <v>386</v>
      </c>
      <c r="H257" s="9" t="s">
        <v>127</v>
      </c>
      <c r="I257" s="9" t="s">
        <v>2446</v>
      </c>
      <c r="J257" s="9">
        <v>21</v>
      </c>
      <c r="K257" s="35">
        <f>VALUE(COUNTIF(Validation!$A$2:$H$47,E257))</f>
        <v>0</v>
      </c>
      <c r="L257" s="361">
        <f t="shared" si="38"/>
        <v>925000</v>
      </c>
      <c r="M257" s="361">
        <f t="shared" si="39"/>
        <v>0</v>
      </c>
      <c r="N257" s="358">
        <v>925000</v>
      </c>
      <c r="O257" s="358" t="s">
        <v>8</v>
      </c>
      <c r="P257" s="358">
        <v>0</v>
      </c>
      <c r="Q257" s="358">
        <v>0</v>
      </c>
      <c r="R257" s="358">
        <v>0</v>
      </c>
      <c r="S257" s="358">
        <v>0</v>
      </c>
      <c r="T257" s="358">
        <v>0</v>
      </c>
      <c r="U257" s="35">
        <f t="shared" si="40"/>
        <v>1</v>
      </c>
      <c r="W257">
        <f t="shared" si="41"/>
        <v>1</v>
      </c>
      <c r="X257" s="35">
        <f t="shared" si="42"/>
        <v>1</v>
      </c>
      <c r="Y257">
        <f t="shared" si="43"/>
        <v>0</v>
      </c>
      <c r="AB257">
        <f t="shared" si="46"/>
        <v>1</v>
      </c>
      <c r="AC257">
        <f t="shared" ca="1" si="47"/>
        <v>0</v>
      </c>
      <c r="AD257" t="str">
        <f ca="1">IF(AC257=1,COUNTIF($AC$3:AC257,1),"")</f>
        <v/>
      </c>
      <c r="AE257" s="155" t="str">
        <f ca="1">IFERROR(INDEX(Données!$B$3:$B$1479,MATCH(ROWS($AD$3:AD257),$AD$3:$AD$1479,0)),"")</f>
        <v/>
      </c>
    </row>
    <row r="258" spans="1:31" ht="15.75" x14ac:dyDescent="0.25">
      <c r="A258" t="str">
        <f t="shared" si="44"/>
        <v>Luke Philp - CGY - C</v>
      </c>
      <c r="B258" t="str">
        <f t="shared" si="45"/>
        <v>Luke Philp - CGY - C</v>
      </c>
      <c r="C258" t="str">
        <f t="shared" si="36"/>
        <v>Luke</v>
      </c>
      <c r="D258" t="str">
        <f t="shared" si="37"/>
        <v>Philp</v>
      </c>
      <c r="E258" s="39" t="s">
        <v>2581</v>
      </c>
      <c r="F258" s="30" t="s">
        <v>12</v>
      </c>
      <c r="G258" s="35" t="s">
        <v>386</v>
      </c>
      <c r="H258" s="35" t="s">
        <v>73</v>
      </c>
      <c r="I258" s="35" t="s">
        <v>2446</v>
      </c>
      <c r="J258" s="35">
        <v>23</v>
      </c>
      <c r="K258" s="35">
        <f>VALUE(COUNTIF(Validation!$A$2:$H$47,E258))</f>
        <v>0</v>
      </c>
      <c r="L258" s="361">
        <f t="shared" si="38"/>
        <v>925000</v>
      </c>
      <c r="M258" s="361">
        <f t="shared" si="39"/>
        <v>925000</v>
      </c>
      <c r="N258" s="358">
        <v>925000</v>
      </c>
      <c r="O258" s="358">
        <v>925000</v>
      </c>
      <c r="P258" s="358" t="s">
        <v>8</v>
      </c>
      <c r="Q258" s="358">
        <v>0</v>
      </c>
      <c r="R258" s="358">
        <v>0</v>
      </c>
      <c r="S258" s="358">
        <v>0</v>
      </c>
      <c r="T258" s="358">
        <v>0</v>
      </c>
      <c r="U258" s="35">
        <f t="shared" si="40"/>
        <v>2</v>
      </c>
      <c r="W258">
        <f t="shared" si="41"/>
        <v>1</v>
      </c>
      <c r="X258" s="35">
        <f t="shared" si="42"/>
        <v>1</v>
      </c>
      <c r="Y258">
        <f t="shared" si="43"/>
        <v>1</v>
      </c>
      <c r="AB258">
        <f t="shared" si="46"/>
        <v>1</v>
      </c>
      <c r="AC258">
        <f t="shared" ca="1" si="47"/>
        <v>0</v>
      </c>
      <c r="AD258" t="str">
        <f ca="1">IF(AC258=1,COUNTIF($AC$3:AC258,1),"")</f>
        <v/>
      </c>
      <c r="AE258" s="155" t="str">
        <f ca="1">IFERROR(INDEX(Données!$B$3:$B$1479,MATCH(ROWS($AD$3:AD258),$AD$3:$AD$1479,0)),"")</f>
        <v/>
      </c>
    </row>
    <row r="259" spans="1:31" ht="15.75" x14ac:dyDescent="0.25">
      <c r="A259" t="str">
        <f t="shared" si="44"/>
        <v>Eetu Tuulola - CGY - AD</v>
      </c>
      <c r="B259" t="str">
        <f t="shared" si="45"/>
        <v>Eetu Tuulola - CGY - AD</v>
      </c>
      <c r="C259" t="str">
        <f t="shared" ref="C259:C322" si="48">RIGHT(E259,(LEN(E259)-1)-SEARCH(",",E259,1))</f>
        <v>Eetu</v>
      </c>
      <c r="D259" t="str">
        <f t="shared" ref="D259:D322" si="49">LEFT(E259,SEARCH(",",E259,1)-1)</f>
        <v>Tuulola</v>
      </c>
      <c r="E259" s="39" t="s">
        <v>2582</v>
      </c>
      <c r="F259" s="30" t="s">
        <v>12</v>
      </c>
      <c r="G259" s="35" t="s">
        <v>386</v>
      </c>
      <c r="H259" s="35" t="s">
        <v>2438</v>
      </c>
      <c r="I259" s="35" t="s">
        <v>2446</v>
      </c>
      <c r="J259" s="35">
        <v>21</v>
      </c>
      <c r="K259" s="35">
        <f>VALUE(COUNTIF(Validation!$A$2:$H$47,E259))</f>
        <v>0</v>
      </c>
      <c r="L259" s="361">
        <f t="shared" ref="L259:L322" si="50">IF(OR(N259="RFA",N259="UFA",N259="",N259=0),0,N259)</f>
        <v>925000</v>
      </c>
      <c r="M259" s="361">
        <f t="shared" ref="M259:M322" si="51">IF(OR(O259="RFA",O259="UFA",O259="",O259=0),0,O259)</f>
        <v>925000</v>
      </c>
      <c r="N259" s="358">
        <v>925000</v>
      </c>
      <c r="O259" s="358">
        <v>925000</v>
      </c>
      <c r="P259" s="358">
        <v>925000</v>
      </c>
      <c r="Q259" s="358" t="s">
        <v>8</v>
      </c>
      <c r="R259" s="358">
        <v>0</v>
      </c>
      <c r="S259" s="358">
        <v>0</v>
      </c>
      <c r="T259" s="358">
        <v>0</v>
      </c>
      <c r="U259" s="35">
        <f t="shared" ref="U259:U322" si="52">COUNTIF(N259:T259,"&gt;0")</f>
        <v>3</v>
      </c>
      <c r="W259">
        <f t="shared" ref="W259:W322" si="53">COUNTIF($E$3:$E$1479,E259)</f>
        <v>1</v>
      </c>
      <c r="X259" s="35">
        <f t="shared" ref="X259:X322" si="54">IF(LEFT(G259,3)="ELC",1,0)</f>
        <v>1</v>
      </c>
      <c r="Y259">
        <f t="shared" ref="Y259:Y322" si="55">IF(L259=M259,1,0)</f>
        <v>1</v>
      </c>
      <c r="AB259">
        <f t="shared" si="46"/>
        <v>1</v>
      </c>
      <c r="AC259">
        <f t="shared" ca="1" si="47"/>
        <v>0</v>
      </c>
      <c r="AD259" t="str">
        <f ca="1">IF(AC259=1,COUNTIF($AC$3:AC259,1),"")</f>
        <v/>
      </c>
      <c r="AE259" s="155" t="str">
        <f ca="1">IFERROR(INDEX(Données!$B$3:$B$1479,MATCH(ROWS($AD$3:AD259),$AD$3:$AD$1479,0)),"")</f>
        <v/>
      </c>
    </row>
    <row r="260" spans="1:31" ht="15.75" x14ac:dyDescent="0.25">
      <c r="A260" t="str">
        <f t="shared" ref="A260:A323" si="56">C260&amp;" "&amp;D260&amp;" - "&amp;F260&amp;" - "&amp;H260</f>
        <v>Artyom Zagidulin - CGY - G</v>
      </c>
      <c r="B260" t="str">
        <f t="shared" ref="B260:B323" si="57">A260</f>
        <v>Artyom Zagidulin - CGY - G</v>
      </c>
      <c r="C260" t="str">
        <f t="shared" si="48"/>
        <v>Artyom</v>
      </c>
      <c r="D260" t="str">
        <f t="shared" si="49"/>
        <v>Zagidulin</v>
      </c>
      <c r="E260" s="39" t="s">
        <v>2589</v>
      </c>
      <c r="F260" s="30" t="s">
        <v>12</v>
      </c>
      <c r="G260" s="35" t="s">
        <v>386</v>
      </c>
      <c r="H260" s="35" t="s">
        <v>127</v>
      </c>
      <c r="I260" s="35" t="s">
        <v>2446</v>
      </c>
      <c r="J260" s="35">
        <v>24</v>
      </c>
      <c r="K260" s="35">
        <f>VALUE(COUNTIF(Validation!$A$2:$H$47,E260))</f>
        <v>0</v>
      </c>
      <c r="L260" s="361">
        <f t="shared" si="50"/>
        <v>925000</v>
      </c>
      <c r="M260" s="361">
        <f t="shared" si="51"/>
        <v>0</v>
      </c>
      <c r="N260" s="358">
        <v>925000</v>
      </c>
      <c r="O260" s="358" t="s">
        <v>8</v>
      </c>
      <c r="P260" s="358">
        <v>0</v>
      </c>
      <c r="Q260" s="358">
        <v>0</v>
      </c>
      <c r="R260" s="358">
        <v>0</v>
      </c>
      <c r="S260" s="358">
        <v>0</v>
      </c>
      <c r="T260" s="358">
        <v>0</v>
      </c>
      <c r="U260" s="35">
        <f t="shared" si="52"/>
        <v>1</v>
      </c>
      <c r="W260">
        <f t="shared" si="53"/>
        <v>1</v>
      </c>
      <c r="X260" s="35">
        <f t="shared" si="54"/>
        <v>1</v>
      </c>
      <c r="Y260">
        <f t="shared" si="55"/>
        <v>0</v>
      </c>
      <c r="AB260">
        <f t="shared" ref="AB260:AB323" si="58">SEARCH(AA260,A260)</f>
        <v>1</v>
      </c>
      <c r="AC260">
        <f t="shared" ca="1" si="47"/>
        <v>0</v>
      </c>
      <c r="AD260" t="str">
        <f ca="1">IF(AC260=1,COUNTIF($AC$3:AC260,1),"")</f>
        <v/>
      </c>
      <c r="AE260" s="155" t="str">
        <f ca="1">IFERROR(INDEX(Données!$B$3:$B$1479,MATCH(ROWS($AD$3:AD260),$AD$3:$AD$1479,0)),"")</f>
        <v/>
      </c>
    </row>
    <row r="261" spans="1:31" ht="15.75" x14ac:dyDescent="0.25">
      <c r="A261" t="str">
        <f t="shared" si="56"/>
        <v>Andrew Nielsen - CGY - DG</v>
      </c>
      <c r="B261" t="str">
        <f t="shared" si="57"/>
        <v>Andrew Nielsen - CGY - DG</v>
      </c>
      <c r="C261" t="str">
        <f t="shared" si="48"/>
        <v>Andrew</v>
      </c>
      <c r="D261" t="str">
        <f t="shared" si="49"/>
        <v>Nielsen</v>
      </c>
      <c r="E261" s="39" t="s">
        <v>1616</v>
      </c>
      <c r="F261" s="30" t="s">
        <v>12</v>
      </c>
      <c r="G261" s="35" t="s">
        <v>403</v>
      </c>
      <c r="H261" s="35" t="s">
        <v>2445</v>
      </c>
      <c r="I261" s="35" t="s">
        <v>2446</v>
      </c>
      <c r="J261" s="35">
        <v>22</v>
      </c>
      <c r="K261" s="35">
        <f>VALUE(COUNTIF(Validation!$A$2:$H$47,E261))</f>
        <v>0</v>
      </c>
      <c r="L261" s="361">
        <f t="shared" si="50"/>
        <v>921666</v>
      </c>
      <c r="M261" s="361">
        <f t="shared" si="51"/>
        <v>0</v>
      </c>
      <c r="N261" s="358">
        <v>921666</v>
      </c>
      <c r="O261" s="358" t="s">
        <v>8</v>
      </c>
      <c r="P261" s="358">
        <v>0</v>
      </c>
      <c r="Q261" s="358">
        <v>0</v>
      </c>
      <c r="R261" s="358">
        <v>0</v>
      </c>
      <c r="S261" s="358">
        <v>0</v>
      </c>
      <c r="T261" s="358">
        <v>0</v>
      </c>
      <c r="U261" s="35">
        <f t="shared" si="52"/>
        <v>1</v>
      </c>
      <c r="W261">
        <f t="shared" si="53"/>
        <v>1</v>
      </c>
      <c r="X261" s="35">
        <f t="shared" si="54"/>
        <v>1</v>
      </c>
      <c r="Y261">
        <f t="shared" si="55"/>
        <v>0</v>
      </c>
      <c r="AB261">
        <f t="shared" si="58"/>
        <v>1</v>
      </c>
      <c r="AC261">
        <f t="shared" ref="AC261:AC324" ca="1" si="59">IFERROR(SEARCH(INDIRECT(CELL("adresse")),B261,1),0)</f>
        <v>0</v>
      </c>
      <c r="AD261" t="str">
        <f ca="1">IF(AC261=1,COUNTIF($AC$3:AC261,1),"")</f>
        <v/>
      </c>
      <c r="AE261" s="155" t="str">
        <f ca="1">IFERROR(INDEX(Données!$B$3:$B$1479,MATCH(ROWS($AD$3:AD261),$AD$3:$AD$1479,0)),"")</f>
        <v/>
      </c>
    </row>
    <row r="262" spans="1:31" ht="15.75" x14ac:dyDescent="0.25">
      <c r="A262" t="str">
        <f t="shared" si="56"/>
        <v>Dillon Dube - CGY - C</v>
      </c>
      <c r="B262" t="str">
        <f t="shared" si="57"/>
        <v>Dillon Dube - CGY - C</v>
      </c>
      <c r="C262" t="str">
        <f t="shared" si="48"/>
        <v>Dillon</v>
      </c>
      <c r="D262" t="str">
        <f t="shared" si="49"/>
        <v>Dube</v>
      </c>
      <c r="E262" s="39" t="s">
        <v>2896</v>
      </c>
      <c r="F262" s="30" t="s">
        <v>12</v>
      </c>
      <c r="G262" s="35" t="s">
        <v>386</v>
      </c>
      <c r="H262" s="35" t="s">
        <v>73</v>
      </c>
      <c r="I262" s="35" t="s">
        <v>2439</v>
      </c>
      <c r="J262" s="35">
        <v>21</v>
      </c>
      <c r="K262" s="35">
        <f>VALUE(COUNTIF(Validation!$A$2:$H$47,E262))</f>
        <v>0</v>
      </c>
      <c r="L262" s="361">
        <f t="shared" si="50"/>
        <v>910833</v>
      </c>
      <c r="M262" s="361">
        <f t="shared" si="51"/>
        <v>910833</v>
      </c>
      <c r="N262" s="358">
        <v>910833</v>
      </c>
      <c r="O262" s="358">
        <v>910833</v>
      </c>
      <c r="P262" s="358" t="s">
        <v>8</v>
      </c>
      <c r="Q262" s="358">
        <v>0</v>
      </c>
      <c r="R262" s="358">
        <v>0</v>
      </c>
      <c r="S262" s="358">
        <v>0</v>
      </c>
      <c r="T262" s="358">
        <v>0</v>
      </c>
      <c r="U262" s="35">
        <f t="shared" si="52"/>
        <v>2</v>
      </c>
      <c r="W262">
        <f t="shared" si="53"/>
        <v>1</v>
      </c>
      <c r="X262" s="35">
        <f t="shared" si="54"/>
        <v>1</v>
      </c>
      <c r="Y262">
        <f t="shared" si="55"/>
        <v>1</v>
      </c>
      <c r="AB262">
        <f t="shared" si="58"/>
        <v>1</v>
      </c>
      <c r="AC262">
        <f t="shared" ca="1" si="59"/>
        <v>0</v>
      </c>
      <c r="AD262" t="str">
        <f ca="1">IF(AC262=1,COUNTIF($AC$3:AC262,1),"")</f>
        <v/>
      </c>
      <c r="AE262" s="155" t="str">
        <f ca="1">IFERROR(INDEX(Données!$B$3:$B$1479,MATCH(ROWS($AD$3:AD262),$AD$3:$AD$1479,0)),"")</f>
        <v/>
      </c>
    </row>
    <row r="263" spans="1:31" ht="15.75" x14ac:dyDescent="0.25">
      <c r="A263" t="str">
        <f t="shared" si="56"/>
        <v>Rasmus Andersson - CGY - DD</v>
      </c>
      <c r="B263" t="str">
        <f t="shared" si="57"/>
        <v>Rasmus Andersson - CGY - DD</v>
      </c>
      <c r="C263" t="str">
        <f t="shared" si="48"/>
        <v>Rasmus</v>
      </c>
      <c r="D263" t="str">
        <f t="shared" si="49"/>
        <v>Andersson</v>
      </c>
      <c r="E263" s="39" t="s">
        <v>2207</v>
      </c>
      <c r="F263" s="30" t="s">
        <v>12</v>
      </c>
      <c r="G263" s="35" t="s">
        <v>403</v>
      </c>
      <c r="H263" s="35" t="s">
        <v>2444</v>
      </c>
      <c r="I263" s="35" t="s">
        <v>2439</v>
      </c>
      <c r="J263" s="35">
        <v>22</v>
      </c>
      <c r="K263" s="35">
        <f>VALUE(COUNTIF(Validation!$A$2:$H$47,E263))</f>
        <v>0</v>
      </c>
      <c r="L263" s="361">
        <f t="shared" si="50"/>
        <v>863333</v>
      </c>
      <c r="M263" s="361">
        <f t="shared" si="51"/>
        <v>0</v>
      </c>
      <c r="N263" s="358">
        <v>863333</v>
      </c>
      <c r="O263" s="358" t="s">
        <v>8</v>
      </c>
      <c r="P263" s="358">
        <v>0</v>
      </c>
      <c r="Q263" s="358">
        <v>0</v>
      </c>
      <c r="R263" s="358">
        <v>0</v>
      </c>
      <c r="S263" s="358">
        <v>0</v>
      </c>
      <c r="T263" s="358">
        <v>0</v>
      </c>
      <c r="U263" s="35">
        <f t="shared" si="52"/>
        <v>1</v>
      </c>
      <c r="W263">
        <f t="shared" si="53"/>
        <v>1</v>
      </c>
      <c r="X263" s="35">
        <f t="shared" si="54"/>
        <v>1</v>
      </c>
      <c r="Y263">
        <f t="shared" si="55"/>
        <v>0</v>
      </c>
      <c r="AB263">
        <f t="shared" si="58"/>
        <v>1</v>
      </c>
      <c r="AC263">
        <f t="shared" ca="1" si="59"/>
        <v>0</v>
      </c>
      <c r="AD263" t="str">
        <f ca="1">IF(AC263=1,COUNTIF($AC$3:AC263,1),"")</f>
        <v/>
      </c>
      <c r="AE263" s="155" t="str">
        <f ca="1">IFERROR(INDEX(Données!$B$3:$B$1479,MATCH(ROWS($AD$3:AD263),$AD$3:$AD$1479,0)),"")</f>
        <v/>
      </c>
    </row>
    <row r="264" spans="1:31" ht="15.75" x14ac:dyDescent="0.25">
      <c r="A264" t="str">
        <f t="shared" si="56"/>
        <v>Oliver Kylington - CGY - DG</v>
      </c>
      <c r="B264" t="str">
        <f t="shared" si="57"/>
        <v>Oliver Kylington - CGY - DG</v>
      </c>
      <c r="C264" t="str">
        <f t="shared" si="48"/>
        <v>Oliver</v>
      </c>
      <c r="D264" t="str">
        <f t="shared" si="49"/>
        <v>Kylington</v>
      </c>
      <c r="E264" s="39" t="s">
        <v>2209</v>
      </c>
      <c r="F264" s="30" t="s">
        <v>12</v>
      </c>
      <c r="G264" s="35" t="s">
        <v>386</v>
      </c>
      <c r="H264" s="35" t="s">
        <v>2445</v>
      </c>
      <c r="I264" s="35" t="s">
        <v>2439</v>
      </c>
      <c r="J264" s="35">
        <v>22</v>
      </c>
      <c r="K264" s="35">
        <f>VALUE(COUNTIF(Validation!$A$2:$H$47,E264))</f>
        <v>0</v>
      </c>
      <c r="L264" s="361">
        <f t="shared" si="50"/>
        <v>863333</v>
      </c>
      <c r="M264" s="361">
        <f t="shared" si="51"/>
        <v>0</v>
      </c>
      <c r="N264" s="358">
        <v>863333</v>
      </c>
      <c r="O264" s="358" t="s">
        <v>8</v>
      </c>
      <c r="P264" s="358">
        <v>0</v>
      </c>
      <c r="Q264" s="358">
        <v>0</v>
      </c>
      <c r="R264" s="358">
        <v>0</v>
      </c>
      <c r="S264" s="358">
        <v>0</v>
      </c>
      <c r="T264" s="358">
        <v>0</v>
      </c>
      <c r="U264" s="35">
        <f t="shared" si="52"/>
        <v>1</v>
      </c>
      <c r="W264">
        <f t="shared" si="53"/>
        <v>1</v>
      </c>
      <c r="X264" s="35">
        <f t="shared" si="54"/>
        <v>1</v>
      </c>
      <c r="Y264">
        <f t="shared" si="55"/>
        <v>0</v>
      </c>
      <c r="AB264">
        <f t="shared" si="58"/>
        <v>1</v>
      </c>
      <c r="AC264">
        <f t="shared" ca="1" si="59"/>
        <v>0</v>
      </c>
      <c r="AD264" t="str">
        <f ca="1">IF(AC264=1,COUNTIF($AC$3:AC264,1),"")</f>
        <v/>
      </c>
      <c r="AE264" s="155" t="str">
        <f ca="1">IFERROR(INDEX(Données!$B$3:$B$1479,MATCH(ROWS($AD$3:AD264),$AD$3:$AD$1479,0)),"")</f>
        <v/>
      </c>
    </row>
    <row r="265" spans="1:31" ht="15.75" x14ac:dyDescent="0.25">
      <c r="A265" t="str">
        <f t="shared" si="56"/>
        <v>Adam Ruzicka - CGY - C, AD</v>
      </c>
      <c r="B265" t="str">
        <f t="shared" si="57"/>
        <v>Adam Ruzicka - CGY - C, AD</v>
      </c>
      <c r="C265" t="str">
        <f t="shared" si="48"/>
        <v>Adam</v>
      </c>
      <c r="D265" t="str">
        <f t="shared" si="49"/>
        <v>Ruzicka</v>
      </c>
      <c r="E265" s="39" t="s">
        <v>2583</v>
      </c>
      <c r="F265" s="30" t="s">
        <v>12</v>
      </c>
      <c r="G265" s="35" t="s">
        <v>386</v>
      </c>
      <c r="H265" s="35" t="s">
        <v>2448</v>
      </c>
      <c r="I265" s="35" t="s">
        <v>2446</v>
      </c>
      <c r="J265" s="35">
        <v>20</v>
      </c>
      <c r="K265" s="35">
        <f>VALUE(COUNTIF(Validation!$A$2:$H$47,E265))</f>
        <v>0</v>
      </c>
      <c r="L265" s="361">
        <f t="shared" si="50"/>
        <v>850000</v>
      </c>
      <c r="M265" s="361">
        <f t="shared" si="51"/>
        <v>850000</v>
      </c>
      <c r="N265" s="358">
        <v>850000</v>
      </c>
      <c r="O265" s="358">
        <v>850000</v>
      </c>
      <c r="P265" s="358">
        <v>850000</v>
      </c>
      <c r="Q265" s="358" t="s">
        <v>8</v>
      </c>
      <c r="R265" s="358">
        <v>0</v>
      </c>
      <c r="S265" s="358">
        <v>0</v>
      </c>
      <c r="T265" s="358">
        <v>0</v>
      </c>
      <c r="U265" s="35">
        <f t="shared" si="52"/>
        <v>3</v>
      </c>
      <c r="W265">
        <f t="shared" si="53"/>
        <v>1</v>
      </c>
      <c r="X265" s="35">
        <f t="shared" si="54"/>
        <v>1</v>
      </c>
      <c r="Y265">
        <f t="shared" si="55"/>
        <v>1</v>
      </c>
      <c r="AB265">
        <f t="shared" si="58"/>
        <v>1</v>
      </c>
      <c r="AC265">
        <f t="shared" ca="1" si="59"/>
        <v>0</v>
      </c>
      <c r="AD265" t="str">
        <f ca="1">IF(AC265=1,COUNTIF($AC$3:AC265,1),"")</f>
        <v/>
      </c>
      <c r="AE265" s="155" t="str">
        <f ca="1">IFERROR(INDEX(Données!$B$3:$B$1479,MATCH(ROWS($AD$3:AD265),$AD$3:$AD$1479,0)),"")</f>
        <v/>
      </c>
    </row>
    <row r="266" spans="1:31" ht="15.75" x14ac:dyDescent="0.25">
      <c r="A266" t="str">
        <f t="shared" si="56"/>
        <v>Martin Pospisil - CGY - AD</v>
      </c>
      <c r="B266" t="str">
        <f t="shared" si="57"/>
        <v>Martin Pospisil - CGY - AD</v>
      </c>
      <c r="C266" t="str">
        <f t="shared" si="48"/>
        <v>Martin</v>
      </c>
      <c r="D266" t="str">
        <f t="shared" si="49"/>
        <v>Pospisil</v>
      </c>
      <c r="E266" s="39" t="s">
        <v>2584</v>
      </c>
      <c r="F266" s="30" t="s">
        <v>12</v>
      </c>
      <c r="G266" s="35" t="s">
        <v>386</v>
      </c>
      <c r="H266" s="35" t="s">
        <v>2438</v>
      </c>
      <c r="I266" s="35" t="s">
        <v>2446</v>
      </c>
      <c r="J266" s="35">
        <v>19</v>
      </c>
      <c r="K266" s="35">
        <f>VALUE(COUNTIF(Validation!$A$2:$H$47,E266))</f>
        <v>0</v>
      </c>
      <c r="L266" s="361">
        <f t="shared" si="50"/>
        <v>810000</v>
      </c>
      <c r="M266" s="361">
        <f t="shared" si="51"/>
        <v>810000</v>
      </c>
      <c r="N266" s="358">
        <v>810000</v>
      </c>
      <c r="O266" s="358">
        <v>810000</v>
      </c>
      <c r="P266" s="358">
        <v>810000</v>
      </c>
      <c r="Q266" s="358" t="s">
        <v>8</v>
      </c>
      <c r="R266" s="358">
        <v>0</v>
      </c>
      <c r="S266" s="358">
        <v>0</v>
      </c>
      <c r="T266" s="358">
        <v>0</v>
      </c>
      <c r="U266" s="35">
        <f t="shared" si="52"/>
        <v>3</v>
      </c>
      <c r="W266">
        <f t="shared" si="53"/>
        <v>1</v>
      </c>
      <c r="X266" s="35">
        <f t="shared" si="54"/>
        <v>1</v>
      </c>
      <c r="Y266">
        <f t="shared" si="55"/>
        <v>1</v>
      </c>
      <c r="AB266">
        <f t="shared" si="58"/>
        <v>1</v>
      </c>
      <c r="AC266">
        <f t="shared" ca="1" si="59"/>
        <v>0</v>
      </c>
      <c r="AD266" t="str">
        <f ca="1">IF(AC266=1,COUNTIF($AC$3:AC266,1),"")</f>
        <v/>
      </c>
      <c r="AE266" s="155" t="str">
        <f ca="1">IFERROR(INDEX(Données!$B$3:$B$1479,MATCH(ROWS($AD$3:AD266),$AD$3:$AD$1479,0)),"")</f>
        <v/>
      </c>
    </row>
    <row r="267" spans="1:31" ht="15.75" x14ac:dyDescent="0.25">
      <c r="A267" t="str">
        <f t="shared" si="56"/>
        <v>Dmitri Zavgorodny - CGY - C</v>
      </c>
      <c r="B267" t="str">
        <f t="shared" si="57"/>
        <v>Dmitri Zavgorodny - CGY - C</v>
      </c>
      <c r="C267" t="str">
        <f t="shared" si="48"/>
        <v>Dmitri</v>
      </c>
      <c r="D267" t="str">
        <f t="shared" si="49"/>
        <v>Zavgorodny</v>
      </c>
      <c r="E267" s="39" t="s">
        <v>2585</v>
      </c>
      <c r="F267" s="30" t="s">
        <v>12</v>
      </c>
      <c r="G267" s="35" t="s">
        <v>386</v>
      </c>
      <c r="H267" s="9" t="s">
        <v>73</v>
      </c>
      <c r="I267" s="9" t="s">
        <v>2446</v>
      </c>
      <c r="J267" s="9">
        <v>19</v>
      </c>
      <c r="K267" s="35">
        <f>VALUE(COUNTIF(Validation!$A$2:$H$47,E267))</f>
        <v>0</v>
      </c>
      <c r="L267" s="361">
        <f t="shared" si="50"/>
        <v>786666</v>
      </c>
      <c r="M267" s="361">
        <f t="shared" si="51"/>
        <v>786666</v>
      </c>
      <c r="N267" s="358">
        <v>786666</v>
      </c>
      <c r="O267" s="358">
        <v>786666</v>
      </c>
      <c r="P267" s="358">
        <v>786666</v>
      </c>
      <c r="Q267" s="358" t="s">
        <v>8</v>
      </c>
      <c r="R267" s="358">
        <v>0</v>
      </c>
      <c r="S267" s="358">
        <v>0</v>
      </c>
      <c r="T267" s="358">
        <v>0</v>
      </c>
      <c r="U267" s="35">
        <f t="shared" si="52"/>
        <v>3</v>
      </c>
      <c r="W267">
        <f t="shared" si="53"/>
        <v>1</v>
      </c>
      <c r="X267" s="35">
        <f t="shared" si="54"/>
        <v>1</v>
      </c>
      <c r="Y267">
        <f t="shared" si="55"/>
        <v>1</v>
      </c>
      <c r="AB267">
        <f t="shared" si="58"/>
        <v>1</v>
      </c>
      <c r="AC267">
        <f t="shared" ca="1" si="59"/>
        <v>0</v>
      </c>
      <c r="AD267" t="str">
        <f ca="1">IF(AC267=1,COUNTIF($AC$3:AC267,1),"")</f>
        <v/>
      </c>
      <c r="AE267" s="155" t="str">
        <f ca="1">IFERROR(INDEX(Données!$B$3:$B$1479,MATCH(ROWS($AD$3:AD267),$AD$3:$AD$1479,0)),"")</f>
        <v/>
      </c>
    </row>
    <row r="268" spans="1:31" ht="15.75" x14ac:dyDescent="0.25">
      <c r="A268" t="str">
        <f t="shared" si="56"/>
        <v>Jon Gillies - CGY - G</v>
      </c>
      <c r="B268" t="str">
        <f t="shared" si="57"/>
        <v>Jon Gillies - CGY - G</v>
      </c>
      <c r="C268" t="str">
        <f t="shared" si="48"/>
        <v>Jon</v>
      </c>
      <c r="D268" t="str">
        <f t="shared" si="49"/>
        <v>Gillies</v>
      </c>
      <c r="E268" s="39" t="s">
        <v>2203</v>
      </c>
      <c r="F268" s="30" t="s">
        <v>12</v>
      </c>
      <c r="G268" s="35">
        <v>0</v>
      </c>
      <c r="H268" s="35" t="s">
        <v>127</v>
      </c>
      <c r="I268" s="35" t="s">
        <v>2446</v>
      </c>
      <c r="J268" s="35">
        <v>25</v>
      </c>
      <c r="K268" s="35">
        <f>VALUE(COUNTIF(Validation!$A$2:$H$47,E268))</f>
        <v>0</v>
      </c>
      <c r="L268" s="361">
        <f t="shared" si="50"/>
        <v>750000</v>
      </c>
      <c r="M268" s="361">
        <f t="shared" si="51"/>
        <v>0</v>
      </c>
      <c r="N268" s="358">
        <v>750000</v>
      </c>
      <c r="O268" s="358" t="s">
        <v>8</v>
      </c>
      <c r="P268" s="358">
        <v>0</v>
      </c>
      <c r="Q268" s="358">
        <v>0</v>
      </c>
      <c r="R268" s="358">
        <v>0</v>
      </c>
      <c r="S268" s="358">
        <v>0</v>
      </c>
      <c r="T268" s="358">
        <v>0</v>
      </c>
      <c r="U268" s="35">
        <f t="shared" si="52"/>
        <v>1</v>
      </c>
      <c r="W268">
        <f t="shared" si="53"/>
        <v>1</v>
      </c>
      <c r="X268" s="35">
        <f t="shared" si="54"/>
        <v>0</v>
      </c>
      <c r="Y268">
        <f t="shared" si="55"/>
        <v>0</v>
      </c>
      <c r="AB268">
        <f t="shared" si="58"/>
        <v>1</v>
      </c>
      <c r="AC268">
        <f t="shared" ca="1" si="59"/>
        <v>0</v>
      </c>
      <c r="AD268" t="str">
        <f ca="1">IF(AC268=1,COUNTIF($AC$3:AC268,1),"")</f>
        <v/>
      </c>
      <c r="AE268" s="155" t="str">
        <f ca="1">IFERROR(INDEX(Données!$B$3:$B$1479,MATCH(ROWS($AD$3:AD268),$AD$3:$AD$1479,0)),"")</f>
        <v/>
      </c>
    </row>
    <row r="269" spans="1:31" ht="15.75" x14ac:dyDescent="0.25">
      <c r="A269" t="str">
        <f t="shared" si="56"/>
        <v>Matthew Phillips - CGY - C</v>
      </c>
      <c r="B269" t="str">
        <f t="shared" si="57"/>
        <v>Matthew Phillips - CGY - C</v>
      </c>
      <c r="C269" t="str">
        <f t="shared" si="48"/>
        <v>Matthew</v>
      </c>
      <c r="D269" t="str">
        <f t="shared" si="49"/>
        <v>Phillips</v>
      </c>
      <c r="E269" s="39" t="s">
        <v>2208</v>
      </c>
      <c r="F269" s="35" t="s">
        <v>12</v>
      </c>
      <c r="G269" s="35" t="s">
        <v>386</v>
      </c>
      <c r="H269" s="9" t="s">
        <v>73</v>
      </c>
      <c r="I269" s="9" t="s">
        <v>2446</v>
      </c>
      <c r="J269" s="9">
        <v>21</v>
      </c>
      <c r="K269" s="35">
        <f>VALUE(COUNTIF(Validation!$A$2:$H$47,E269))</f>
        <v>0</v>
      </c>
      <c r="L269" s="361">
        <f t="shared" si="50"/>
        <v>750000</v>
      </c>
      <c r="M269" s="361">
        <f t="shared" si="51"/>
        <v>750000</v>
      </c>
      <c r="N269" s="358">
        <v>750000</v>
      </c>
      <c r="O269" s="358">
        <v>750000</v>
      </c>
      <c r="P269" s="358" t="s">
        <v>8</v>
      </c>
      <c r="Q269" s="358">
        <v>0</v>
      </c>
      <c r="R269" s="358">
        <v>0</v>
      </c>
      <c r="S269" s="358">
        <v>0</v>
      </c>
      <c r="T269" s="358">
        <v>0</v>
      </c>
      <c r="U269" s="35">
        <f t="shared" si="52"/>
        <v>2</v>
      </c>
      <c r="W269">
        <f t="shared" si="53"/>
        <v>1</v>
      </c>
      <c r="X269" s="35">
        <f t="shared" si="54"/>
        <v>1</v>
      </c>
      <c r="Y269">
        <f t="shared" si="55"/>
        <v>1</v>
      </c>
      <c r="AB269">
        <f t="shared" si="58"/>
        <v>1</v>
      </c>
      <c r="AC269">
        <f t="shared" ca="1" si="59"/>
        <v>0</v>
      </c>
      <c r="AD269" t="str">
        <f ca="1">IF(AC269=1,COUNTIF($AC$3:AC269,1),"")</f>
        <v/>
      </c>
      <c r="AE269" s="155" t="str">
        <f ca="1">IFERROR(INDEX(Données!$B$3:$B$1479,MATCH(ROWS($AD$3:AD269),$AD$3:$AD$1479,0)),"")</f>
        <v/>
      </c>
    </row>
    <row r="270" spans="1:31" ht="15.75" x14ac:dyDescent="0.25">
      <c r="A270" t="str">
        <f t="shared" si="56"/>
        <v>Alan Quine - CGY - C</v>
      </c>
      <c r="B270" t="str">
        <f t="shared" si="57"/>
        <v>Alan Quine - CGY - C</v>
      </c>
      <c r="C270" t="str">
        <f t="shared" si="48"/>
        <v>Alan</v>
      </c>
      <c r="D270" t="str">
        <f t="shared" si="49"/>
        <v>Quine</v>
      </c>
      <c r="E270" s="39" t="s">
        <v>2213</v>
      </c>
      <c r="F270" s="30" t="s">
        <v>12</v>
      </c>
      <c r="G270" s="35">
        <v>0</v>
      </c>
      <c r="H270" s="35" t="s">
        <v>73</v>
      </c>
      <c r="I270" s="35" t="s">
        <v>2439</v>
      </c>
      <c r="J270" s="35">
        <v>26</v>
      </c>
      <c r="K270" s="35">
        <f>VALUE(COUNTIF(Validation!$A$2:$H$47,E270))</f>
        <v>0</v>
      </c>
      <c r="L270" s="361">
        <f t="shared" si="50"/>
        <v>735000</v>
      </c>
      <c r="M270" s="361">
        <f t="shared" si="51"/>
        <v>0</v>
      </c>
      <c r="N270" s="358">
        <v>735000</v>
      </c>
      <c r="O270" s="358" t="s">
        <v>7</v>
      </c>
      <c r="P270" s="358">
        <v>0</v>
      </c>
      <c r="Q270" s="358">
        <v>0</v>
      </c>
      <c r="R270" s="358">
        <v>0</v>
      </c>
      <c r="S270" s="358">
        <v>0</v>
      </c>
      <c r="T270" s="358">
        <v>0</v>
      </c>
      <c r="U270" s="35">
        <f t="shared" si="52"/>
        <v>1</v>
      </c>
      <c r="W270">
        <f t="shared" si="53"/>
        <v>1</v>
      </c>
      <c r="X270" s="35">
        <f t="shared" si="54"/>
        <v>0</v>
      </c>
      <c r="Y270">
        <f t="shared" si="55"/>
        <v>0</v>
      </c>
      <c r="AB270">
        <f t="shared" si="58"/>
        <v>1</v>
      </c>
      <c r="AC270">
        <f t="shared" ca="1" si="59"/>
        <v>0</v>
      </c>
      <c r="AD270" t="str">
        <f ca="1">IF(AC270=1,COUNTIF($AC$3:AC270,1),"")</f>
        <v/>
      </c>
      <c r="AE270" s="155" t="str">
        <f ca="1">IFERROR(INDEX(Données!$B$3:$B$1479,MATCH(ROWS($AD$3:AD270),$AD$3:$AD$1479,0)),"")</f>
        <v/>
      </c>
    </row>
    <row r="271" spans="1:31" ht="15.75" x14ac:dyDescent="0.25">
      <c r="A271" t="str">
        <f t="shared" si="56"/>
        <v>Brandon Davidson - CGY - DG</v>
      </c>
      <c r="B271" t="str">
        <f t="shared" si="57"/>
        <v>Brandon Davidson - CGY - DG</v>
      </c>
      <c r="C271" t="str">
        <f t="shared" si="48"/>
        <v>Brandon</v>
      </c>
      <c r="D271" t="str">
        <f t="shared" si="49"/>
        <v>Davidson</v>
      </c>
      <c r="E271" s="39" t="s">
        <v>2588</v>
      </c>
      <c r="F271" s="30" t="s">
        <v>12</v>
      </c>
      <c r="G271" s="35">
        <v>0</v>
      </c>
      <c r="H271" s="35" t="s">
        <v>2445</v>
      </c>
      <c r="I271" s="35" t="s">
        <v>2446</v>
      </c>
      <c r="J271" s="35">
        <v>27</v>
      </c>
      <c r="K271" s="35">
        <f>VALUE(COUNTIF(Validation!$A$2:$H$47,E271))</f>
        <v>0</v>
      </c>
      <c r="L271" s="361">
        <f t="shared" si="50"/>
        <v>700000</v>
      </c>
      <c r="M271" s="361">
        <f t="shared" si="51"/>
        <v>0</v>
      </c>
      <c r="N271" s="358">
        <v>700000</v>
      </c>
      <c r="O271" s="358" t="s">
        <v>7</v>
      </c>
      <c r="P271" s="358">
        <v>0</v>
      </c>
      <c r="Q271" s="358">
        <v>0</v>
      </c>
      <c r="R271" s="358">
        <v>0</v>
      </c>
      <c r="S271" s="358">
        <v>0</v>
      </c>
      <c r="T271" s="358">
        <v>0</v>
      </c>
      <c r="U271" s="35">
        <f t="shared" si="52"/>
        <v>1</v>
      </c>
      <c r="W271">
        <f t="shared" si="53"/>
        <v>1</v>
      </c>
      <c r="X271" s="35">
        <f t="shared" si="54"/>
        <v>0</v>
      </c>
      <c r="Y271">
        <f t="shared" si="55"/>
        <v>0</v>
      </c>
      <c r="AB271">
        <f t="shared" si="58"/>
        <v>1</v>
      </c>
      <c r="AC271">
        <f t="shared" ca="1" si="59"/>
        <v>0</v>
      </c>
      <c r="AD271" t="str">
        <f ca="1">IF(AC271=1,COUNTIF($AC$3:AC271,1),"")</f>
        <v/>
      </c>
      <c r="AE271" s="155" t="str">
        <f ca="1">IFERROR(INDEX(Données!$B$3:$B$1479,MATCH(ROWS($AD$3:AD271),$AD$3:$AD$1479,0)),"")</f>
        <v/>
      </c>
    </row>
    <row r="272" spans="1:31" ht="15.75" x14ac:dyDescent="0.25">
      <c r="A272" t="str">
        <f t="shared" si="56"/>
        <v>Byron Froese - CGY - C</v>
      </c>
      <c r="B272" t="str">
        <f t="shared" si="57"/>
        <v>Byron Froese - CGY - C</v>
      </c>
      <c r="C272" t="str">
        <f t="shared" si="48"/>
        <v>Byron</v>
      </c>
      <c r="D272" t="str">
        <f t="shared" si="49"/>
        <v>Froese</v>
      </c>
      <c r="E272" s="39" t="s">
        <v>1512</v>
      </c>
      <c r="F272" s="35" t="s">
        <v>12</v>
      </c>
      <c r="G272" s="35">
        <v>0</v>
      </c>
      <c r="H272" s="35" t="s">
        <v>73</v>
      </c>
      <c r="I272" s="35" t="s">
        <v>2446</v>
      </c>
      <c r="J272" s="35">
        <v>28</v>
      </c>
      <c r="K272" s="35">
        <f>VALUE(COUNTIF(Validation!$A$2:$H$47,E272))</f>
        <v>0</v>
      </c>
      <c r="L272" s="361">
        <f t="shared" si="50"/>
        <v>700000</v>
      </c>
      <c r="M272" s="361">
        <f t="shared" si="51"/>
        <v>0</v>
      </c>
      <c r="N272" s="358">
        <v>700000</v>
      </c>
      <c r="O272" s="358" t="s">
        <v>7</v>
      </c>
      <c r="P272" s="358">
        <v>0</v>
      </c>
      <c r="Q272" s="358">
        <v>0</v>
      </c>
      <c r="R272" s="358">
        <v>0</v>
      </c>
      <c r="S272" s="358">
        <v>0</v>
      </c>
      <c r="T272" s="358">
        <v>0</v>
      </c>
      <c r="U272" s="35">
        <f t="shared" si="52"/>
        <v>1</v>
      </c>
      <c r="W272">
        <f t="shared" si="53"/>
        <v>1</v>
      </c>
      <c r="X272" s="35">
        <f t="shared" si="54"/>
        <v>0</v>
      </c>
      <c r="Y272">
        <f t="shared" si="55"/>
        <v>0</v>
      </c>
      <c r="AB272">
        <f t="shared" si="58"/>
        <v>1</v>
      </c>
      <c r="AC272">
        <f t="shared" ca="1" si="59"/>
        <v>0</v>
      </c>
      <c r="AD272" t="str">
        <f ca="1">IF(AC272=1,COUNTIF($AC$3:AC272,1),"")</f>
        <v/>
      </c>
      <c r="AE272" s="155" t="str">
        <f ca="1">IFERROR(INDEX(Données!$B$3:$B$1479,MATCH(ROWS($AD$3:AD272),$AD$3:$AD$1479,0)),"")</f>
        <v/>
      </c>
    </row>
    <row r="273" spans="1:31" ht="15.75" x14ac:dyDescent="0.25">
      <c r="A273" t="str">
        <f t="shared" si="56"/>
        <v>Justin Kirkland - CGY - AG, AD</v>
      </c>
      <c r="B273" t="str">
        <f t="shared" si="57"/>
        <v>Justin Kirkland - CGY - AG, AD</v>
      </c>
      <c r="C273" t="str">
        <f t="shared" si="48"/>
        <v>Justin</v>
      </c>
      <c r="D273" t="str">
        <f t="shared" si="49"/>
        <v>Kirkland</v>
      </c>
      <c r="E273" s="39" t="s">
        <v>2037</v>
      </c>
      <c r="F273" s="30" t="s">
        <v>12</v>
      </c>
      <c r="G273" s="35">
        <v>0</v>
      </c>
      <c r="H273" s="35" t="s">
        <v>2442</v>
      </c>
      <c r="I273" s="35" t="s">
        <v>2446</v>
      </c>
      <c r="J273" s="35">
        <v>23</v>
      </c>
      <c r="K273" s="35">
        <f>VALUE(COUNTIF(Validation!$A$2:$H$47,E273))</f>
        <v>0</v>
      </c>
      <c r="L273" s="361">
        <f t="shared" si="50"/>
        <v>700000</v>
      </c>
      <c r="M273" s="361">
        <f t="shared" si="51"/>
        <v>0</v>
      </c>
      <c r="N273" s="358">
        <v>700000</v>
      </c>
      <c r="O273" s="358" t="s">
        <v>8</v>
      </c>
      <c r="P273" s="358">
        <v>0</v>
      </c>
      <c r="Q273" s="358">
        <v>0</v>
      </c>
      <c r="R273" s="358">
        <v>0</v>
      </c>
      <c r="S273" s="358">
        <v>0</v>
      </c>
      <c r="T273" s="358">
        <v>0</v>
      </c>
      <c r="U273" s="35">
        <f t="shared" si="52"/>
        <v>1</v>
      </c>
      <c r="W273">
        <f t="shared" si="53"/>
        <v>1</v>
      </c>
      <c r="X273" s="35">
        <f t="shared" si="54"/>
        <v>0</v>
      </c>
      <c r="Y273">
        <f t="shared" si="55"/>
        <v>0</v>
      </c>
      <c r="AB273">
        <f t="shared" si="58"/>
        <v>1</v>
      </c>
      <c r="AC273">
        <f t="shared" ca="1" si="59"/>
        <v>0</v>
      </c>
      <c r="AD273" t="str">
        <f ca="1">IF(AC273=1,COUNTIF($AC$3:AC273,1),"")</f>
        <v/>
      </c>
      <c r="AE273" s="155" t="str">
        <f ca="1">IFERROR(INDEX(Données!$B$3:$B$1479,MATCH(ROWS($AD$3:AD273),$AD$3:$AD$1479,0)),"")</f>
        <v/>
      </c>
    </row>
    <row r="274" spans="1:31" ht="15.75" x14ac:dyDescent="0.25">
      <c r="A274" t="str">
        <f t="shared" si="56"/>
        <v>Ryan Lomberg - CGY - AG, C</v>
      </c>
      <c r="B274" t="str">
        <f t="shared" si="57"/>
        <v>Ryan Lomberg - CGY - AG, C</v>
      </c>
      <c r="C274" t="str">
        <f t="shared" si="48"/>
        <v>Ryan</v>
      </c>
      <c r="D274" t="str">
        <f t="shared" si="49"/>
        <v>Lomberg</v>
      </c>
      <c r="E274" s="39" t="s">
        <v>2210</v>
      </c>
      <c r="F274" s="30" t="s">
        <v>12</v>
      </c>
      <c r="G274" s="35">
        <v>0</v>
      </c>
      <c r="H274" s="35" t="s">
        <v>2450</v>
      </c>
      <c r="I274" s="35" t="s">
        <v>2446</v>
      </c>
      <c r="J274" s="35">
        <v>24</v>
      </c>
      <c r="K274" s="35">
        <f>VALUE(COUNTIF(Validation!$A$2:$H$47,E274))</f>
        <v>0</v>
      </c>
      <c r="L274" s="361">
        <f t="shared" si="50"/>
        <v>700000</v>
      </c>
      <c r="M274" s="361">
        <f t="shared" si="51"/>
        <v>0</v>
      </c>
      <c r="N274" s="358">
        <v>700000</v>
      </c>
      <c r="O274" s="358" t="s">
        <v>8</v>
      </c>
      <c r="P274" s="358">
        <v>0</v>
      </c>
      <c r="Q274" s="358">
        <v>0</v>
      </c>
      <c r="R274" s="358">
        <v>0</v>
      </c>
      <c r="S274" s="358">
        <v>0</v>
      </c>
      <c r="T274" s="358">
        <v>0</v>
      </c>
      <c r="U274" s="35">
        <f t="shared" si="52"/>
        <v>1</v>
      </c>
      <c r="W274">
        <f t="shared" si="53"/>
        <v>1</v>
      </c>
      <c r="X274" s="35">
        <f t="shared" si="54"/>
        <v>0</v>
      </c>
      <c r="Y274">
        <f t="shared" si="55"/>
        <v>0</v>
      </c>
      <c r="AB274">
        <f t="shared" si="58"/>
        <v>1</v>
      </c>
      <c r="AC274">
        <f t="shared" ca="1" si="59"/>
        <v>0</v>
      </c>
      <c r="AD274" t="str">
        <f ca="1">IF(AC274=1,COUNTIF($AC$3:AC274,1),"")</f>
        <v/>
      </c>
      <c r="AE274" s="155" t="str">
        <f ca="1">IFERROR(INDEX(Données!$B$3:$B$1479,MATCH(ROWS($AD$3:AD274),$AD$3:$AD$1479,0)),"")</f>
        <v/>
      </c>
    </row>
    <row r="275" spans="1:31" ht="15.75" x14ac:dyDescent="0.25">
      <c r="A275" t="str">
        <f t="shared" si="56"/>
        <v>Buddy Robinson - CGY - AD</v>
      </c>
      <c r="B275" t="str">
        <f t="shared" si="57"/>
        <v>Buddy Robinson - CGY - AD</v>
      </c>
      <c r="C275" t="str">
        <f t="shared" si="48"/>
        <v>Buddy</v>
      </c>
      <c r="D275" t="str">
        <f t="shared" si="49"/>
        <v>Robinson</v>
      </c>
      <c r="E275" s="39" t="s">
        <v>2212</v>
      </c>
      <c r="F275" s="30" t="s">
        <v>12</v>
      </c>
      <c r="G275" s="35">
        <v>0</v>
      </c>
      <c r="H275" s="35" t="s">
        <v>2438</v>
      </c>
      <c r="I275" s="35" t="s">
        <v>2446</v>
      </c>
      <c r="J275" s="35">
        <v>27</v>
      </c>
      <c r="K275" s="35">
        <f>VALUE(COUNTIF(Validation!$A$2:$H$47,E275))</f>
        <v>0</v>
      </c>
      <c r="L275" s="361">
        <f t="shared" si="50"/>
        <v>700000</v>
      </c>
      <c r="M275" s="361">
        <f t="shared" si="51"/>
        <v>0</v>
      </c>
      <c r="N275" s="358">
        <v>700000</v>
      </c>
      <c r="O275" s="358" t="s">
        <v>7</v>
      </c>
      <c r="P275" s="358">
        <v>0</v>
      </c>
      <c r="Q275" s="358">
        <v>0</v>
      </c>
      <c r="R275" s="358">
        <v>0</v>
      </c>
      <c r="S275" s="358">
        <v>0</v>
      </c>
      <c r="T275" s="358">
        <v>0</v>
      </c>
      <c r="U275" s="35">
        <f t="shared" si="52"/>
        <v>1</v>
      </c>
      <c r="W275">
        <f t="shared" si="53"/>
        <v>1</v>
      </c>
      <c r="X275" s="35">
        <f t="shared" si="54"/>
        <v>0</v>
      </c>
      <c r="Y275">
        <f t="shared" si="55"/>
        <v>0</v>
      </c>
      <c r="AB275">
        <f t="shared" si="58"/>
        <v>1</v>
      </c>
      <c r="AC275">
        <f t="shared" ca="1" si="59"/>
        <v>0</v>
      </c>
      <c r="AD275" t="str">
        <f ca="1">IF(AC275=1,COUNTIF($AC$3:AC275,1),"")</f>
        <v/>
      </c>
      <c r="AE275" s="155" t="str">
        <f ca="1">IFERROR(INDEX(Données!$B$3:$B$1479,MATCH(ROWS($AD$3:AD275),$AD$3:$AD$1479,0)),"")</f>
        <v/>
      </c>
    </row>
    <row r="276" spans="1:31" ht="15.75" x14ac:dyDescent="0.25">
      <c r="A276" t="str">
        <f t="shared" si="56"/>
        <v>Rinat Valiev - CGY - DG</v>
      </c>
      <c r="B276" t="str">
        <f t="shared" si="57"/>
        <v>Rinat Valiev - CGY - DG</v>
      </c>
      <c r="C276" t="str">
        <f t="shared" si="48"/>
        <v>Rinat</v>
      </c>
      <c r="D276" t="str">
        <f t="shared" si="49"/>
        <v>Valiev</v>
      </c>
      <c r="E276" s="39" t="s">
        <v>1513</v>
      </c>
      <c r="F276" s="30" t="s">
        <v>12</v>
      </c>
      <c r="G276" s="35">
        <v>0</v>
      </c>
      <c r="H276" s="9" t="s">
        <v>2445</v>
      </c>
      <c r="I276" s="9" t="s">
        <v>2446</v>
      </c>
      <c r="J276" s="9">
        <v>24</v>
      </c>
      <c r="K276" s="35">
        <f>VALUE(COUNTIF(Validation!$A$2:$H$47,E276))</f>
        <v>0</v>
      </c>
      <c r="L276" s="361">
        <f t="shared" si="50"/>
        <v>700000</v>
      </c>
      <c r="M276" s="361">
        <f t="shared" si="51"/>
        <v>0</v>
      </c>
      <c r="N276" s="358">
        <v>700000</v>
      </c>
      <c r="O276" s="358" t="s">
        <v>8</v>
      </c>
      <c r="P276" s="358">
        <v>0</v>
      </c>
      <c r="Q276" s="358">
        <v>0</v>
      </c>
      <c r="R276" s="358">
        <v>0</v>
      </c>
      <c r="S276" s="358">
        <v>0</v>
      </c>
      <c r="T276" s="358">
        <v>0</v>
      </c>
      <c r="U276" s="35">
        <f t="shared" si="52"/>
        <v>1</v>
      </c>
      <c r="W276">
        <f t="shared" si="53"/>
        <v>1</v>
      </c>
      <c r="X276" s="35">
        <f t="shared" si="54"/>
        <v>0</v>
      </c>
      <c r="Y276">
        <f t="shared" si="55"/>
        <v>0</v>
      </c>
      <c r="AB276">
        <f t="shared" si="58"/>
        <v>1</v>
      </c>
      <c r="AC276">
        <f t="shared" ca="1" si="59"/>
        <v>0</v>
      </c>
      <c r="AD276" t="str">
        <f ca="1">IF(AC276=1,COUNTIF($AC$3:AC276,1),"")</f>
        <v/>
      </c>
      <c r="AE276" s="155" t="str">
        <f ca="1">IFERROR(INDEX(Données!$B$3:$B$1479,MATCH(ROWS($AD$3:AD276),$AD$3:$AD$1479,0)),"")</f>
        <v/>
      </c>
    </row>
    <row r="277" spans="1:31" ht="15.75" x14ac:dyDescent="0.25">
      <c r="A277" t="str">
        <f t="shared" si="56"/>
        <v>Nick Schneider - CGY - G</v>
      </c>
      <c r="B277" t="str">
        <f t="shared" si="57"/>
        <v>Nick Schneider - CGY - G</v>
      </c>
      <c r="C277" t="str">
        <f t="shared" si="48"/>
        <v>Nick</v>
      </c>
      <c r="D277" t="str">
        <f t="shared" si="49"/>
        <v>Schneider</v>
      </c>
      <c r="E277" s="39" t="s">
        <v>2215</v>
      </c>
      <c r="F277" s="30" t="s">
        <v>12</v>
      </c>
      <c r="G277" s="35" t="s">
        <v>386</v>
      </c>
      <c r="H277" s="35" t="s">
        <v>127</v>
      </c>
      <c r="I277" s="35" t="s">
        <v>2446</v>
      </c>
      <c r="J277" s="35">
        <v>22</v>
      </c>
      <c r="K277" s="35">
        <f>VALUE(COUNTIF(Validation!$A$2:$H$47,E277))</f>
        <v>0</v>
      </c>
      <c r="L277" s="361">
        <f t="shared" si="50"/>
        <v>675000</v>
      </c>
      <c r="M277" s="361">
        <f t="shared" si="51"/>
        <v>0</v>
      </c>
      <c r="N277" s="358">
        <v>675000</v>
      </c>
      <c r="O277" s="358" t="s">
        <v>8</v>
      </c>
      <c r="P277" s="358">
        <v>0</v>
      </c>
      <c r="Q277" s="358">
        <v>0</v>
      </c>
      <c r="R277" s="358">
        <v>0</v>
      </c>
      <c r="S277" s="358">
        <v>0</v>
      </c>
      <c r="T277" s="358">
        <v>0</v>
      </c>
      <c r="U277" s="35">
        <f t="shared" si="52"/>
        <v>1</v>
      </c>
      <c r="W277">
        <f t="shared" si="53"/>
        <v>1</v>
      </c>
      <c r="X277" s="35">
        <f t="shared" si="54"/>
        <v>1</v>
      </c>
      <c r="Y277">
        <f t="shared" si="55"/>
        <v>0</v>
      </c>
      <c r="AB277">
        <f t="shared" si="58"/>
        <v>1</v>
      </c>
      <c r="AC277">
        <f t="shared" ca="1" si="59"/>
        <v>0</v>
      </c>
      <c r="AD277" t="str">
        <f ca="1">IF(AC277=1,COUNTIF($AC$3:AC277,1),"")</f>
        <v/>
      </c>
      <c r="AE277" s="155" t="str">
        <f ca="1">IFERROR(INDEX(Données!$B$3:$B$1479,MATCH(ROWS($AD$3:AD277),$AD$3:$AD$1479,0)),"")</f>
        <v/>
      </c>
    </row>
    <row r="278" spans="1:31" ht="15.75" x14ac:dyDescent="0.25">
      <c r="A278" t="str">
        <f t="shared" si="56"/>
        <v>Andrew Mangiapane - CGY - AG, C</v>
      </c>
      <c r="B278" t="str">
        <f t="shared" si="57"/>
        <v>Andrew Mangiapane - CGY - AG, C</v>
      </c>
      <c r="C278" t="str">
        <f t="shared" si="48"/>
        <v>Andrew</v>
      </c>
      <c r="D278" t="str">
        <f t="shared" si="49"/>
        <v>Mangiapane</v>
      </c>
      <c r="E278" s="39" t="s">
        <v>2211</v>
      </c>
      <c r="F278" s="30" t="s">
        <v>12</v>
      </c>
      <c r="G278" s="35">
        <v>0</v>
      </c>
      <c r="H278" s="35" t="s">
        <v>2450</v>
      </c>
      <c r="I278" s="35" t="s">
        <v>2439</v>
      </c>
      <c r="J278" s="35">
        <v>23</v>
      </c>
      <c r="K278" s="35">
        <f>VALUE(COUNTIF(Validation!$A$2:$H$47,E278))</f>
        <v>0</v>
      </c>
      <c r="L278" s="361">
        <f t="shared" si="50"/>
        <v>0</v>
      </c>
      <c r="M278" s="361">
        <f t="shared" si="51"/>
        <v>0</v>
      </c>
      <c r="N278" s="358" t="s">
        <v>8</v>
      </c>
      <c r="O278" s="358">
        <v>0</v>
      </c>
      <c r="P278" s="358">
        <v>0</v>
      </c>
      <c r="Q278" s="358">
        <v>0</v>
      </c>
      <c r="R278" s="358">
        <v>0</v>
      </c>
      <c r="S278" s="358">
        <v>0</v>
      </c>
      <c r="T278" s="358">
        <v>0</v>
      </c>
      <c r="U278" s="35">
        <f t="shared" si="52"/>
        <v>0</v>
      </c>
      <c r="W278">
        <f t="shared" si="53"/>
        <v>1</v>
      </c>
      <c r="X278" s="35">
        <f t="shared" si="54"/>
        <v>0</v>
      </c>
      <c r="Y278">
        <f t="shared" si="55"/>
        <v>1</v>
      </c>
      <c r="AB278">
        <f t="shared" si="58"/>
        <v>1</v>
      </c>
      <c r="AC278">
        <f t="shared" ca="1" si="59"/>
        <v>0</v>
      </c>
      <c r="AD278" t="str">
        <f ca="1">IF(AC278=1,COUNTIF($AC$3:AC278,1),"")</f>
        <v/>
      </c>
      <c r="AE278" s="155" t="str">
        <f ca="1">IFERROR(INDEX(Données!$B$3:$B$1479,MATCH(ROWS($AD$3:AD278),$AD$3:$AD$1479,0)),"")</f>
        <v/>
      </c>
    </row>
    <row r="279" spans="1:31" ht="15.75" x14ac:dyDescent="0.25">
      <c r="A279" t="str">
        <f t="shared" si="56"/>
        <v>Matthew Tkachuk - CGY - AG</v>
      </c>
      <c r="B279" t="str">
        <f t="shared" si="57"/>
        <v>Matthew Tkachuk - CGY - AG</v>
      </c>
      <c r="C279" t="str">
        <f t="shared" si="48"/>
        <v>Matthew</v>
      </c>
      <c r="D279" t="str">
        <f t="shared" si="49"/>
        <v>Tkachuk</v>
      </c>
      <c r="E279" s="39" t="s">
        <v>3010</v>
      </c>
      <c r="F279" s="30" t="s">
        <v>12</v>
      </c>
      <c r="G279" s="35">
        <v>0</v>
      </c>
      <c r="H279" s="35" t="s">
        <v>2440</v>
      </c>
      <c r="I279" s="35" t="s">
        <v>2439</v>
      </c>
      <c r="J279" s="35">
        <v>21</v>
      </c>
      <c r="K279" s="35">
        <f>VALUE(COUNTIF(Validation!$A$2:$H$47,E279))</f>
        <v>0</v>
      </c>
      <c r="L279" s="361">
        <f t="shared" si="50"/>
        <v>0</v>
      </c>
      <c r="M279" s="361">
        <f t="shared" si="51"/>
        <v>0</v>
      </c>
      <c r="N279" s="358" t="s">
        <v>8</v>
      </c>
      <c r="O279" s="358">
        <v>0</v>
      </c>
      <c r="P279" s="358">
        <v>0</v>
      </c>
      <c r="Q279" s="358">
        <v>0</v>
      </c>
      <c r="R279" s="358">
        <v>0</v>
      </c>
      <c r="S279" s="358">
        <v>0</v>
      </c>
      <c r="T279" s="358">
        <v>0</v>
      </c>
      <c r="U279" s="35">
        <f t="shared" si="52"/>
        <v>0</v>
      </c>
      <c r="W279">
        <f t="shared" si="53"/>
        <v>1</v>
      </c>
      <c r="X279" s="35">
        <f t="shared" si="54"/>
        <v>0</v>
      </c>
      <c r="Y279">
        <f t="shared" si="55"/>
        <v>1</v>
      </c>
      <c r="AB279">
        <f t="shared" si="58"/>
        <v>1</v>
      </c>
      <c r="AC279">
        <f t="shared" ca="1" si="59"/>
        <v>0</v>
      </c>
      <c r="AD279" t="str">
        <f ca="1">IF(AC279=1,COUNTIF($AC$3:AC279,1),"")</f>
        <v/>
      </c>
      <c r="AE279" s="155" t="str">
        <f ca="1">IFERROR(INDEX(Données!$B$3:$B$1479,MATCH(ROWS($AD$3:AD279),$AD$3:$AD$1479,0)),"")</f>
        <v/>
      </c>
    </row>
    <row r="280" spans="1:31" ht="15.75" x14ac:dyDescent="0.25">
      <c r="A280" t="str">
        <f t="shared" si="56"/>
        <v>Patrick Kane - CHI - AD, C</v>
      </c>
      <c r="B280" t="str">
        <f t="shared" si="57"/>
        <v>Patrick Kane - CHI - AD, C</v>
      </c>
      <c r="C280" t="str">
        <f t="shared" si="48"/>
        <v>Patrick</v>
      </c>
      <c r="D280" t="str">
        <f t="shared" si="49"/>
        <v>Kane</v>
      </c>
      <c r="E280" s="39" t="s">
        <v>1887</v>
      </c>
      <c r="F280" s="30" t="s">
        <v>13</v>
      </c>
      <c r="G280" s="35" t="s">
        <v>420</v>
      </c>
      <c r="H280" s="35" t="s">
        <v>2453</v>
      </c>
      <c r="I280" s="35" t="s">
        <v>2439</v>
      </c>
      <c r="J280" s="35">
        <v>30</v>
      </c>
      <c r="K280" s="35">
        <f>VALUE(COUNTIF(Validation!$A$2:$H$47,E280))</f>
        <v>0</v>
      </c>
      <c r="L280" s="361">
        <f t="shared" si="50"/>
        <v>10500000</v>
      </c>
      <c r="M280" s="361">
        <f t="shared" si="51"/>
        <v>10500000</v>
      </c>
      <c r="N280" s="358">
        <v>10500000</v>
      </c>
      <c r="O280" s="358">
        <v>10500000</v>
      </c>
      <c r="P280" s="358">
        <v>10500000</v>
      </c>
      <c r="Q280" s="358">
        <v>10500000</v>
      </c>
      <c r="R280" s="358" t="s">
        <v>7</v>
      </c>
      <c r="S280" s="358">
        <v>0</v>
      </c>
      <c r="T280" s="358">
        <v>0</v>
      </c>
      <c r="U280" s="35">
        <f t="shared" si="52"/>
        <v>4</v>
      </c>
      <c r="W280">
        <f t="shared" si="53"/>
        <v>1</v>
      </c>
      <c r="X280" s="35">
        <f t="shared" si="54"/>
        <v>0</v>
      </c>
      <c r="Y280">
        <f t="shared" si="55"/>
        <v>1</v>
      </c>
      <c r="AB280">
        <f t="shared" si="58"/>
        <v>1</v>
      </c>
      <c r="AC280">
        <f t="shared" ca="1" si="59"/>
        <v>0</v>
      </c>
      <c r="AD280" t="str">
        <f ca="1">IF(AC280=1,COUNTIF($AC$3:AC280,1),"")</f>
        <v/>
      </c>
      <c r="AE280" s="155" t="str">
        <f ca="1">IFERROR(INDEX(Données!$B$3:$B$1479,MATCH(ROWS($AD$3:AD280),$AD$3:$AD$1479,0)),"")</f>
        <v/>
      </c>
    </row>
    <row r="281" spans="1:31" ht="15.75" x14ac:dyDescent="0.25">
      <c r="A281" t="str">
        <f t="shared" si="56"/>
        <v>Jonathan Toews - CHI - C</v>
      </c>
      <c r="B281" t="str">
        <f t="shared" si="57"/>
        <v>Jonathan Toews - CHI - C</v>
      </c>
      <c r="C281" t="str">
        <f t="shared" si="48"/>
        <v>Jonathan</v>
      </c>
      <c r="D281" t="str">
        <f t="shared" si="49"/>
        <v>Toews</v>
      </c>
      <c r="E281" s="39" t="s">
        <v>3011</v>
      </c>
      <c r="F281" s="30" t="s">
        <v>13</v>
      </c>
      <c r="G281" s="35" t="s">
        <v>420</v>
      </c>
      <c r="H281" s="35" t="s">
        <v>73</v>
      </c>
      <c r="I281" s="35" t="s">
        <v>2439</v>
      </c>
      <c r="J281" s="35">
        <v>31</v>
      </c>
      <c r="K281" s="35">
        <f>VALUE(COUNTIF(Validation!$A$2:$H$47,E281))</f>
        <v>0</v>
      </c>
      <c r="L281" s="361">
        <f t="shared" si="50"/>
        <v>10500000</v>
      </c>
      <c r="M281" s="361">
        <f t="shared" si="51"/>
        <v>10500000</v>
      </c>
      <c r="N281" s="358">
        <v>10500000</v>
      </c>
      <c r="O281" s="358">
        <v>10500000</v>
      </c>
      <c r="P281" s="358">
        <v>10500000</v>
      </c>
      <c r="Q281" s="358">
        <v>10500000</v>
      </c>
      <c r="R281" s="358" t="s">
        <v>7</v>
      </c>
      <c r="S281" s="358">
        <v>0</v>
      </c>
      <c r="T281" s="358">
        <v>0</v>
      </c>
      <c r="U281" s="35">
        <f t="shared" si="52"/>
        <v>4</v>
      </c>
      <c r="W281">
        <f t="shared" si="53"/>
        <v>1</v>
      </c>
      <c r="X281" s="35">
        <f t="shared" si="54"/>
        <v>0</v>
      </c>
      <c r="Y281">
        <f t="shared" si="55"/>
        <v>1</v>
      </c>
      <c r="AB281">
        <f t="shared" si="58"/>
        <v>1</v>
      </c>
      <c r="AC281">
        <f t="shared" ca="1" si="59"/>
        <v>0</v>
      </c>
      <c r="AD281" t="str">
        <f ca="1">IF(AC281=1,COUNTIF($AC$3:AC281,1),"")</f>
        <v/>
      </c>
      <c r="AE281" s="155" t="str">
        <f ca="1">IFERROR(INDEX(Données!$B$3:$B$1479,MATCH(ROWS($AD$3:AD281),$AD$3:$AD$1479,0)),"")</f>
        <v/>
      </c>
    </row>
    <row r="282" spans="1:31" ht="15.75" x14ac:dyDescent="0.25">
      <c r="A282" t="str">
        <f t="shared" si="56"/>
        <v>Brent Seabrook - CHI - DD</v>
      </c>
      <c r="B282" t="str">
        <f t="shared" si="57"/>
        <v>Brent Seabrook - CHI - DD</v>
      </c>
      <c r="C282" t="str">
        <f t="shared" si="48"/>
        <v>Brent</v>
      </c>
      <c r="D282" t="str">
        <f t="shared" si="49"/>
        <v>Seabrook</v>
      </c>
      <c r="E282" s="39" t="s">
        <v>2998</v>
      </c>
      <c r="F282" s="30" t="s">
        <v>13</v>
      </c>
      <c r="G282" s="35" t="s">
        <v>420</v>
      </c>
      <c r="H282" s="35" t="s">
        <v>2444</v>
      </c>
      <c r="I282" s="35" t="s">
        <v>2439</v>
      </c>
      <c r="J282" s="35">
        <v>34</v>
      </c>
      <c r="K282" s="35">
        <f>VALUE(COUNTIF(Validation!$A$2:$H$47,E282))</f>
        <v>0</v>
      </c>
      <c r="L282" s="361">
        <f t="shared" si="50"/>
        <v>6875000</v>
      </c>
      <c r="M282" s="361">
        <f t="shared" si="51"/>
        <v>6875000</v>
      </c>
      <c r="N282" s="358">
        <v>6875000</v>
      </c>
      <c r="O282" s="358">
        <v>6875000</v>
      </c>
      <c r="P282" s="358">
        <v>6875000</v>
      </c>
      <c r="Q282" s="358">
        <v>6875000</v>
      </c>
      <c r="R282" s="358">
        <v>6875000</v>
      </c>
      <c r="S282" s="358" t="s">
        <v>7</v>
      </c>
      <c r="T282" s="358">
        <v>0</v>
      </c>
      <c r="U282" s="35">
        <f t="shared" si="52"/>
        <v>5</v>
      </c>
      <c r="W282">
        <f t="shared" si="53"/>
        <v>1</v>
      </c>
      <c r="X282" s="35">
        <f t="shared" si="54"/>
        <v>0</v>
      </c>
      <c r="Y282">
        <f t="shared" si="55"/>
        <v>1</v>
      </c>
      <c r="AB282">
        <f t="shared" si="58"/>
        <v>1</v>
      </c>
      <c r="AC282">
        <f t="shared" ca="1" si="59"/>
        <v>0</v>
      </c>
      <c r="AD282" t="str">
        <f ca="1">IF(AC282=1,COUNTIF($AC$3:AC282,1),"")</f>
        <v/>
      </c>
      <c r="AE282" s="155" t="str">
        <f ca="1">IFERROR(INDEX(Données!$B$3:$B$1479,MATCH(ROWS($AD$3:AD282),$AD$3:$AD$1479,0)),"")</f>
        <v/>
      </c>
    </row>
    <row r="283" spans="1:31" ht="15.75" x14ac:dyDescent="0.25">
      <c r="A283" t="str">
        <f t="shared" si="56"/>
        <v>Corey Crawford - CHI - G</v>
      </c>
      <c r="B283" t="str">
        <f t="shared" si="57"/>
        <v>Corey Crawford - CHI - G</v>
      </c>
      <c r="C283" t="str">
        <f t="shared" si="48"/>
        <v>Corey</v>
      </c>
      <c r="D283" t="str">
        <f t="shared" si="49"/>
        <v>Crawford</v>
      </c>
      <c r="E283" s="39" t="s">
        <v>1898</v>
      </c>
      <c r="F283" s="30" t="s">
        <v>13</v>
      </c>
      <c r="G283" s="35" t="s">
        <v>370</v>
      </c>
      <c r="H283" s="35" t="s">
        <v>127</v>
      </c>
      <c r="I283" s="35" t="s">
        <v>2439</v>
      </c>
      <c r="J283" s="35">
        <v>34</v>
      </c>
      <c r="K283" s="35">
        <f>VALUE(COUNTIF(Validation!$A$2:$H$47,E283))</f>
        <v>0</v>
      </c>
      <c r="L283" s="361">
        <f t="shared" si="50"/>
        <v>6000000</v>
      </c>
      <c r="M283" s="361">
        <f t="shared" si="51"/>
        <v>0</v>
      </c>
      <c r="N283" s="358">
        <v>6000000</v>
      </c>
      <c r="O283" s="358" t="s">
        <v>7</v>
      </c>
      <c r="P283" s="358">
        <v>0</v>
      </c>
      <c r="Q283" s="358">
        <v>0</v>
      </c>
      <c r="R283" s="358">
        <v>0</v>
      </c>
      <c r="S283" s="358">
        <v>0</v>
      </c>
      <c r="T283" s="358">
        <v>0</v>
      </c>
      <c r="U283" s="35">
        <f t="shared" si="52"/>
        <v>1</v>
      </c>
      <c r="W283">
        <f t="shared" si="53"/>
        <v>1</v>
      </c>
      <c r="X283" s="35">
        <f t="shared" si="54"/>
        <v>0</v>
      </c>
      <c r="Y283">
        <f t="shared" si="55"/>
        <v>0</v>
      </c>
      <c r="AB283">
        <f t="shared" si="58"/>
        <v>1</v>
      </c>
      <c r="AC283">
        <f t="shared" ca="1" si="59"/>
        <v>0</v>
      </c>
      <c r="AD283" t="str">
        <f ca="1">IF(AC283=1,COUNTIF($AC$3:AC283,1),"")</f>
        <v/>
      </c>
      <c r="AE283" s="155" t="str">
        <f ca="1">IFERROR(INDEX(Données!$B$3:$B$1479,MATCH(ROWS($AD$3:AD283),$AD$3:$AD$1479,0)),"")</f>
        <v/>
      </c>
    </row>
    <row r="284" spans="1:31" ht="15.75" x14ac:dyDescent="0.25">
      <c r="A284" t="str">
        <f t="shared" si="56"/>
        <v>Brandon Saad - CHI - AD, AG</v>
      </c>
      <c r="B284" t="str">
        <f t="shared" si="57"/>
        <v>Brandon Saad - CHI - AD, AG</v>
      </c>
      <c r="C284" t="str">
        <f t="shared" si="48"/>
        <v>Brandon</v>
      </c>
      <c r="D284" t="str">
        <f t="shared" si="49"/>
        <v>Saad</v>
      </c>
      <c r="E284" s="39" t="s">
        <v>1888</v>
      </c>
      <c r="F284" s="30" t="s">
        <v>13</v>
      </c>
      <c r="G284" s="35">
        <v>0</v>
      </c>
      <c r="H284" s="35" t="s">
        <v>2441</v>
      </c>
      <c r="I284" s="35" t="s">
        <v>2439</v>
      </c>
      <c r="J284" s="35">
        <v>26</v>
      </c>
      <c r="K284" s="35">
        <f>VALUE(COUNTIF(Validation!$A$2:$H$47,E284))</f>
        <v>0</v>
      </c>
      <c r="L284" s="361">
        <f t="shared" si="50"/>
        <v>6000000</v>
      </c>
      <c r="M284" s="361">
        <f t="shared" si="51"/>
        <v>6000000</v>
      </c>
      <c r="N284" s="358">
        <v>6000000</v>
      </c>
      <c r="O284" s="358">
        <v>6000000</v>
      </c>
      <c r="P284" s="358" t="s">
        <v>7</v>
      </c>
      <c r="Q284" s="358">
        <v>0</v>
      </c>
      <c r="R284" s="358">
        <v>0</v>
      </c>
      <c r="S284" s="358">
        <v>0</v>
      </c>
      <c r="T284" s="358">
        <v>0</v>
      </c>
      <c r="U284" s="35">
        <f t="shared" si="52"/>
        <v>2</v>
      </c>
      <c r="W284">
        <f t="shared" si="53"/>
        <v>1</v>
      </c>
      <c r="X284" s="35">
        <f t="shared" si="54"/>
        <v>0</v>
      </c>
      <c r="Y284">
        <f t="shared" si="55"/>
        <v>1</v>
      </c>
      <c r="AB284">
        <f t="shared" si="58"/>
        <v>1</v>
      </c>
      <c r="AC284">
        <f t="shared" ca="1" si="59"/>
        <v>0</v>
      </c>
      <c r="AD284" t="str">
        <f ca="1">IF(AC284=1,COUNTIF($AC$3:AC284,1),"")</f>
        <v/>
      </c>
      <c r="AE284" s="155" t="str">
        <f ca="1">IFERROR(INDEX(Données!$B$3:$B$1479,MATCH(ROWS($AD$3:AD284),$AD$3:$AD$1479,0)),"")</f>
        <v/>
      </c>
    </row>
    <row r="285" spans="1:31" ht="15.75" x14ac:dyDescent="0.25">
      <c r="A285" t="str">
        <f t="shared" si="56"/>
        <v>Duncan Keith - CHI - DG</v>
      </c>
      <c r="B285" t="str">
        <f t="shared" si="57"/>
        <v>Duncan Keith - CHI - DG</v>
      </c>
      <c r="C285" t="str">
        <f t="shared" si="48"/>
        <v>Duncan</v>
      </c>
      <c r="D285" t="str">
        <f t="shared" si="49"/>
        <v>Keith</v>
      </c>
      <c r="E285" s="39" t="s">
        <v>2976</v>
      </c>
      <c r="F285" s="30" t="s">
        <v>13</v>
      </c>
      <c r="G285" s="35" t="s">
        <v>420</v>
      </c>
      <c r="H285" s="35" t="s">
        <v>2445</v>
      </c>
      <c r="I285" s="35" t="s">
        <v>2439</v>
      </c>
      <c r="J285" s="35">
        <v>36</v>
      </c>
      <c r="K285" s="35">
        <f>VALUE(COUNTIF(Validation!$A$2:$H$47,E285))</f>
        <v>0</v>
      </c>
      <c r="L285" s="361">
        <f t="shared" si="50"/>
        <v>5538462</v>
      </c>
      <c r="M285" s="361">
        <f t="shared" si="51"/>
        <v>5538462</v>
      </c>
      <c r="N285" s="358">
        <v>5538462</v>
      </c>
      <c r="O285" s="358">
        <v>5538462</v>
      </c>
      <c r="P285" s="358">
        <v>5538462</v>
      </c>
      <c r="Q285" s="358">
        <v>5538462</v>
      </c>
      <c r="R285" s="358" t="s">
        <v>7</v>
      </c>
      <c r="S285" s="358">
        <v>0</v>
      </c>
      <c r="T285" s="358">
        <v>0</v>
      </c>
      <c r="U285" s="35">
        <f t="shared" si="52"/>
        <v>4</v>
      </c>
      <c r="W285">
        <f t="shared" si="53"/>
        <v>1</v>
      </c>
      <c r="X285" s="35">
        <f t="shared" si="54"/>
        <v>0</v>
      </c>
      <c r="Y285">
        <f t="shared" si="55"/>
        <v>1</v>
      </c>
      <c r="AB285">
        <f t="shared" si="58"/>
        <v>1</v>
      </c>
      <c r="AC285">
        <f t="shared" ca="1" si="59"/>
        <v>0</v>
      </c>
      <c r="AD285" t="str">
        <f ca="1">IF(AC285=1,COUNTIF($AC$3:AC285,1),"")</f>
        <v/>
      </c>
      <c r="AE285" s="155" t="str">
        <f ca="1">IFERROR(INDEX(Données!$B$3:$B$1479,MATCH(ROWS($AD$3:AD285),$AD$3:$AD$1479,0)),"")</f>
        <v/>
      </c>
    </row>
    <row r="286" spans="1:31" ht="15.75" x14ac:dyDescent="0.25">
      <c r="A286" t="str">
        <f t="shared" si="56"/>
        <v>Robin Lehner - CHI - G</v>
      </c>
      <c r="B286" t="str">
        <f t="shared" si="57"/>
        <v>Robin Lehner - CHI - G</v>
      </c>
      <c r="C286" t="str">
        <f t="shared" si="48"/>
        <v>Robin</v>
      </c>
      <c r="D286" t="str">
        <f t="shared" si="49"/>
        <v>Lehner</v>
      </c>
      <c r="E286" s="39" t="s">
        <v>1741</v>
      </c>
      <c r="F286" s="30" t="s">
        <v>13</v>
      </c>
      <c r="G286" s="35">
        <v>0</v>
      </c>
      <c r="H286" s="35" t="s">
        <v>127</v>
      </c>
      <c r="I286" s="35" t="s">
        <v>2439</v>
      </c>
      <c r="J286" s="35">
        <v>28</v>
      </c>
      <c r="K286" s="35">
        <f>VALUE(COUNTIF(Validation!$A$2:$H$47,E286))</f>
        <v>0</v>
      </c>
      <c r="L286" s="361">
        <f t="shared" si="50"/>
        <v>5000000</v>
      </c>
      <c r="M286" s="361">
        <f t="shared" si="51"/>
        <v>0</v>
      </c>
      <c r="N286" s="358">
        <v>5000000</v>
      </c>
      <c r="O286" s="358" t="s">
        <v>7</v>
      </c>
      <c r="P286" s="358">
        <v>0</v>
      </c>
      <c r="Q286" s="358">
        <v>0</v>
      </c>
      <c r="R286" s="358">
        <v>0</v>
      </c>
      <c r="S286" s="358">
        <v>0</v>
      </c>
      <c r="T286" s="358">
        <v>0</v>
      </c>
      <c r="U286" s="35">
        <f t="shared" si="52"/>
        <v>1</v>
      </c>
      <c r="W286">
        <f t="shared" si="53"/>
        <v>1</v>
      </c>
      <c r="X286" s="35">
        <f t="shared" si="54"/>
        <v>0</v>
      </c>
      <c r="Y286">
        <f t="shared" si="55"/>
        <v>0</v>
      </c>
      <c r="AB286">
        <f t="shared" si="58"/>
        <v>1</v>
      </c>
      <c r="AC286">
        <f t="shared" ca="1" si="59"/>
        <v>0</v>
      </c>
      <c r="AD286" t="str">
        <f ca="1">IF(AC286=1,COUNTIF($AC$3:AC286,1),"")</f>
        <v/>
      </c>
      <c r="AE286" s="155" t="str">
        <f ca="1">IFERROR(INDEX(Données!$B$3:$B$1479,MATCH(ROWS($AD$3:AD286),$AD$3:$AD$1479,0)),"")</f>
        <v/>
      </c>
    </row>
    <row r="287" spans="1:31" ht="15.75" x14ac:dyDescent="0.25">
      <c r="A287" t="str">
        <f t="shared" si="56"/>
        <v>Calvin DeHaan - CHI - DG</v>
      </c>
      <c r="B287" t="str">
        <f t="shared" si="57"/>
        <v>Calvin DeHaan - CHI - DG</v>
      </c>
      <c r="C287" t="str">
        <f t="shared" si="48"/>
        <v>Calvin</v>
      </c>
      <c r="D287" t="str">
        <f t="shared" si="49"/>
        <v>DeHaan</v>
      </c>
      <c r="E287" s="39" t="s">
        <v>2926</v>
      </c>
      <c r="F287" s="30" t="s">
        <v>13</v>
      </c>
      <c r="G287" s="35">
        <v>0</v>
      </c>
      <c r="H287" s="35" t="s">
        <v>2445</v>
      </c>
      <c r="I287" s="35" t="s">
        <v>2439</v>
      </c>
      <c r="J287" s="35">
        <v>28</v>
      </c>
      <c r="K287" s="35">
        <f>VALUE(COUNTIF(Validation!$A$2:$H$47,E287))</f>
        <v>0</v>
      </c>
      <c r="L287" s="361">
        <f t="shared" si="50"/>
        <v>4550000</v>
      </c>
      <c r="M287" s="361">
        <f t="shared" si="51"/>
        <v>4550000</v>
      </c>
      <c r="N287" s="358">
        <v>4550000</v>
      </c>
      <c r="O287" s="358">
        <v>4550000</v>
      </c>
      <c r="P287" s="358">
        <v>4550000</v>
      </c>
      <c r="Q287" s="358" t="s">
        <v>7</v>
      </c>
      <c r="R287" s="358">
        <v>0</v>
      </c>
      <c r="S287" s="358">
        <v>0</v>
      </c>
      <c r="T287" s="358">
        <v>0</v>
      </c>
      <c r="U287" s="35">
        <f t="shared" si="52"/>
        <v>3</v>
      </c>
      <c r="W287">
        <f t="shared" si="53"/>
        <v>1</v>
      </c>
      <c r="X287" s="35">
        <f t="shared" si="54"/>
        <v>0</v>
      </c>
      <c r="Y287">
        <f t="shared" si="55"/>
        <v>1</v>
      </c>
      <c r="AB287">
        <f t="shared" si="58"/>
        <v>1</v>
      </c>
      <c r="AC287">
        <f t="shared" ca="1" si="59"/>
        <v>0</v>
      </c>
      <c r="AD287" t="str">
        <f ca="1">IF(AC287=1,COUNTIF($AC$3:AC287,1),"")</f>
        <v/>
      </c>
      <c r="AE287" s="155" t="str">
        <f ca="1">IFERROR(INDEX(Données!$B$3:$B$1479,MATCH(ROWS($AD$3:AD287),$AD$3:$AD$1479,0)),"")</f>
        <v/>
      </c>
    </row>
    <row r="288" spans="1:31" ht="15.75" x14ac:dyDescent="0.25">
      <c r="A288" t="str">
        <f t="shared" si="56"/>
        <v>Olli Maatta - CHI - DG</v>
      </c>
      <c r="B288" t="str">
        <f t="shared" si="57"/>
        <v>Olli Maatta - CHI - DG</v>
      </c>
      <c r="C288" t="str">
        <f t="shared" si="48"/>
        <v>Olli</v>
      </c>
      <c r="D288" t="str">
        <f t="shared" si="49"/>
        <v>Maatta</v>
      </c>
      <c r="E288" s="39" t="s">
        <v>2881</v>
      </c>
      <c r="F288" s="30" t="s">
        <v>13</v>
      </c>
      <c r="G288" s="35">
        <v>0</v>
      </c>
      <c r="H288" s="35" t="s">
        <v>2445</v>
      </c>
      <c r="I288" s="35" t="s">
        <v>2439</v>
      </c>
      <c r="J288" s="35">
        <v>24</v>
      </c>
      <c r="K288" s="35">
        <f>VALUE(COUNTIF(Validation!$A$2:$H$47,E288))</f>
        <v>0</v>
      </c>
      <c r="L288" s="361">
        <f t="shared" si="50"/>
        <v>4083333</v>
      </c>
      <c r="M288" s="361">
        <f t="shared" si="51"/>
        <v>4083333</v>
      </c>
      <c r="N288" s="358">
        <v>4083333</v>
      </c>
      <c r="O288" s="358">
        <v>4083333</v>
      </c>
      <c r="P288" s="358">
        <v>4083333</v>
      </c>
      <c r="Q288" s="358" t="s">
        <v>7</v>
      </c>
      <c r="R288" s="358">
        <v>0</v>
      </c>
      <c r="S288" s="358">
        <v>0</v>
      </c>
      <c r="T288" s="358">
        <v>0</v>
      </c>
      <c r="U288" s="35">
        <f t="shared" si="52"/>
        <v>3</v>
      </c>
      <c r="W288">
        <f t="shared" si="53"/>
        <v>1</v>
      </c>
      <c r="X288" s="35">
        <f t="shared" si="54"/>
        <v>0</v>
      </c>
      <c r="Y288">
        <f t="shared" si="55"/>
        <v>1</v>
      </c>
      <c r="AB288">
        <f t="shared" si="58"/>
        <v>1</v>
      </c>
      <c r="AC288">
        <f t="shared" ca="1" si="59"/>
        <v>0</v>
      </c>
      <c r="AD288" t="str">
        <f ca="1">IF(AC288=1,COUNTIF($AC$3:AC288,1),"")</f>
        <v/>
      </c>
      <c r="AE288" s="155" t="str">
        <f ca="1">IFERROR(INDEX(Données!$B$3:$B$1479,MATCH(ROWS($AD$3:AD288),$AD$3:$AD$1479,0)),"")</f>
        <v/>
      </c>
    </row>
    <row r="289" spans="1:31" ht="15.75" x14ac:dyDescent="0.25">
      <c r="A289" t="str">
        <f t="shared" si="56"/>
        <v>Andrew Shaw - CHI - C, AD</v>
      </c>
      <c r="B289" t="str">
        <f t="shared" si="57"/>
        <v>Andrew Shaw - CHI - C, AD</v>
      </c>
      <c r="C289" t="str">
        <f t="shared" si="48"/>
        <v>Andrew</v>
      </c>
      <c r="D289" t="str">
        <f t="shared" si="49"/>
        <v>Shaw</v>
      </c>
      <c r="E289" s="39" t="s">
        <v>1481</v>
      </c>
      <c r="F289" s="30" t="s">
        <v>13</v>
      </c>
      <c r="G289" s="35">
        <v>0</v>
      </c>
      <c r="H289" s="35" t="s">
        <v>2448</v>
      </c>
      <c r="I289" s="35" t="s">
        <v>2439</v>
      </c>
      <c r="J289" s="35">
        <v>28</v>
      </c>
      <c r="K289" s="35">
        <f>VALUE(COUNTIF(Validation!$A$2:$H$47,E289))</f>
        <v>0</v>
      </c>
      <c r="L289" s="361">
        <f t="shared" si="50"/>
        <v>3900000</v>
      </c>
      <c r="M289" s="361">
        <f t="shared" si="51"/>
        <v>3900000</v>
      </c>
      <c r="N289" s="358">
        <v>3900000</v>
      </c>
      <c r="O289" s="358">
        <v>3900000</v>
      </c>
      <c r="P289" s="358">
        <v>3900000</v>
      </c>
      <c r="Q289" s="358" t="s">
        <v>7</v>
      </c>
      <c r="R289" s="358">
        <v>0</v>
      </c>
      <c r="S289" s="358">
        <v>0</v>
      </c>
      <c r="T289" s="358">
        <v>0</v>
      </c>
      <c r="U289" s="35">
        <f t="shared" si="52"/>
        <v>3</v>
      </c>
      <c r="W289">
        <f t="shared" si="53"/>
        <v>1</v>
      </c>
      <c r="X289" s="35">
        <f t="shared" si="54"/>
        <v>0</v>
      </c>
      <c r="Y289">
        <f t="shared" si="55"/>
        <v>1</v>
      </c>
      <c r="AB289">
        <f t="shared" si="58"/>
        <v>1</v>
      </c>
      <c r="AC289">
        <f t="shared" ca="1" si="59"/>
        <v>0</v>
      </c>
      <c r="AD289" t="str">
        <f ca="1">IF(AC289=1,COUNTIF($AC$3:AC289,1),"")</f>
        <v/>
      </c>
      <c r="AE289" s="155" t="str">
        <f ca="1">IFERROR(INDEX(Données!$B$3:$B$1479,MATCH(ROWS($AD$3:AD289),$AD$3:$AD$1479,0)),"")</f>
        <v/>
      </c>
    </row>
    <row r="290" spans="1:31" ht="15.75" x14ac:dyDescent="0.25">
      <c r="A290" t="str">
        <f t="shared" si="56"/>
        <v>Connor Murphy - CHI - DD</v>
      </c>
      <c r="B290" t="str">
        <f t="shared" si="57"/>
        <v>Connor Murphy - CHI - DD</v>
      </c>
      <c r="C290" t="str">
        <f t="shared" si="48"/>
        <v>Connor</v>
      </c>
      <c r="D290" t="str">
        <f t="shared" si="49"/>
        <v>Murphy</v>
      </c>
      <c r="E290" s="39" t="s">
        <v>1894</v>
      </c>
      <c r="F290" s="30" t="s">
        <v>13</v>
      </c>
      <c r="G290" s="35">
        <v>0</v>
      </c>
      <c r="H290" s="9" t="s">
        <v>2444</v>
      </c>
      <c r="I290" s="9" t="s">
        <v>2439</v>
      </c>
      <c r="J290" s="9">
        <v>26</v>
      </c>
      <c r="K290" s="35">
        <f>VALUE(COUNTIF(Validation!$A$2:$H$47,E290))</f>
        <v>0</v>
      </c>
      <c r="L290" s="361">
        <f t="shared" si="50"/>
        <v>3850000</v>
      </c>
      <c r="M290" s="361">
        <f t="shared" si="51"/>
        <v>3850000</v>
      </c>
      <c r="N290" s="358">
        <v>3850000</v>
      </c>
      <c r="O290" s="358">
        <v>3850000</v>
      </c>
      <c r="P290" s="358">
        <v>3850000</v>
      </c>
      <c r="Q290" s="358" t="s">
        <v>7</v>
      </c>
      <c r="R290" s="358">
        <v>0</v>
      </c>
      <c r="S290" s="358">
        <v>0</v>
      </c>
      <c r="T290" s="358">
        <v>0</v>
      </c>
      <c r="U290" s="35">
        <f t="shared" si="52"/>
        <v>3</v>
      </c>
      <c r="W290">
        <f t="shared" si="53"/>
        <v>1</v>
      </c>
      <c r="X290" s="35">
        <f t="shared" si="54"/>
        <v>0</v>
      </c>
      <c r="Y290">
        <f t="shared" si="55"/>
        <v>1</v>
      </c>
      <c r="AB290">
        <f t="shared" si="58"/>
        <v>1</v>
      </c>
      <c r="AC290">
        <f t="shared" ca="1" si="59"/>
        <v>0</v>
      </c>
      <c r="AD290" t="str">
        <f ca="1">IF(AC290=1,COUNTIF($AC$3:AC290,1),"")</f>
        <v/>
      </c>
      <c r="AE290" s="155" t="str">
        <f ca="1">IFERROR(INDEX(Données!$B$3:$B$1479,MATCH(ROWS($AD$3:AD290),$AD$3:$AD$1479,0)),"")</f>
        <v/>
      </c>
    </row>
    <row r="291" spans="1:31" ht="15.75" x14ac:dyDescent="0.25">
      <c r="A291" t="str">
        <f t="shared" si="56"/>
        <v>Kirby Dach - CHI - C</v>
      </c>
      <c r="B291" t="str">
        <f t="shared" si="57"/>
        <v>Kirby Dach - CHI - C</v>
      </c>
      <c r="C291" t="str">
        <f t="shared" si="48"/>
        <v>Kirby</v>
      </c>
      <c r="D291" t="str">
        <f t="shared" si="49"/>
        <v>Dach</v>
      </c>
      <c r="E291" s="39" t="s">
        <v>2729</v>
      </c>
      <c r="F291" s="30" t="s">
        <v>13</v>
      </c>
      <c r="G291" s="35" t="s">
        <v>386</v>
      </c>
      <c r="H291" s="35" t="s">
        <v>73</v>
      </c>
      <c r="I291" s="35" t="s">
        <v>2446</v>
      </c>
      <c r="J291" s="35">
        <v>18</v>
      </c>
      <c r="K291" s="35">
        <f>VALUE(COUNTIF(Validation!$A$2:$H$47,E291))</f>
        <v>0</v>
      </c>
      <c r="L291" s="361">
        <f t="shared" si="50"/>
        <v>3425000</v>
      </c>
      <c r="M291" s="361">
        <f t="shared" si="51"/>
        <v>3425000</v>
      </c>
      <c r="N291" s="358">
        <v>3425000</v>
      </c>
      <c r="O291" s="358">
        <v>3425000</v>
      </c>
      <c r="P291" s="358">
        <v>3425000</v>
      </c>
      <c r="Q291" s="358" t="s">
        <v>8</v>
      </c>
      <c r="R291" s="358">
        <v>0</v>
      </c>
      <c r="S291" s="358">
        <v>0</v>
      </c>
      <c r="T291" s="358">
        <v>0</v>
      </c>
      <c r="U291" s="35">
        <f t="shared" si="52"/>
        <v>3</v>
      </c>
      <c r="W291">
        <f t="shared" si="53"/>
        <v>1</v>
      </c>
      <c r="X291" s="35">
        <f t="shared" si="54"/>
        <v>1</v>
      </c>
      <c r="Y291">
        <f t="shared" si="55"/>
        <v>1</v>
      </c>
      <c r="AB291">
        <f t="shared" si="58"/>
        <v>1</v>
      </c>
      <c r="AC291">
        <f t="shared" ca="1" si="59"/>
        <v>0</v>
      </c>
      <c r="AD291" t="str">
        <f ca="1">IF(AC291=1,COUNTIF($AC$3:AC291,1),"")</f>
        <v/>
      </c>
      <c r="AE291" s="155" t="str">
        <f ca="1">IFERROR(INDEX(Données!$B$3:$B$1479,MATCH(ROWS($AD$3:AD291),$AD$3:$AD$1479,0)),"")</f>
        <v/>
      </c>
    </row>
    <row r="292" spans="1:31" ht="15.75" x14ac:dyDescent="0.25">
      <c r="A292" t="str">
        <f t="shared" si="56"/>
        <v>Dylan Strome - CHI - C</v>
      </c>
      <c r="B292" t="str">
        <f t="shared" si="57"/>
        <v>Dylan Strome - CHI - C</v>
      </c>
      <c r="C292" t="str">
        <f t="shared" si="48"/>
        <v>Dylan</v>
      </c>
      <c r="D292" t="str">
        <f t="shared" si="49"/>
        <v>Strome</v>
      </c>
      <c r="E292" s="39" t="s">
        <v>2158</v>
      </c>
      <c r="F292" s="30" t="s">
        <v>13</v>
      </c>
      <c r="G292" s="35" t="s">
        <v>386</v>
      </c>
      <c r="H292" s="35" t="s">
        <v>73</v>
      </c>
      <c r="I292" s="35" t="s">
        <v>2439</v>
      </c>
      <c r="J292" s="35">
        <v>22</v>
      </c>
      <c r="K292" s="35">
        <f>VALUE(COUNTIF(Validation!$A$2:$H$47,E292))</f>
        <v>0</v>
      </c>
      <c r="L292" s="361">
        <f t="shared" si="50"/>
        <v>3338333</v>
      </c>
      <c r="M292" s="361">
        <f t="shared" si="51"/>
        <v>0</v>
      </c>
      <c r="N292" s="358">
        <v>3338333</v>
      </c>
      <c r="O292" s="358" t="s">
        <v>8</v>
      </c>
      <c r="P292" s="358">
        <v>0</v>
      </c>
      <c r="Q292" s="358">
        <v>0</v>
      </c>
      <c r="R292" s="358">
        <v>0</v>
      </c>
      <c r="S292" s="358">
        <v>0</v>
      </c>
      <c r="T292" s="358">
        <v>0</v>
      </c>
      <c r="U292" s="35">
        <f t="shared" si="52"/>
        <v>1</v>
      </c>
      <c r="W292">
        <f t="shared" si="53"/>
        <v>1</v>
      </c>
      <c r="X292" s="35">
        <f t="shared" si="54"/>
        <v>1</v>
      </c>
      <c r="Y292">
        <f t="shared" si="55"/>
        <v>0</v>
      </c>
      <c r="AB292">
        <f t="shared" si="58"/>
        <v>1</v>
      </c>
      <c r="AC292">
        <f t="shared" ca="1" si="59"/>
        <v>0</v>
      </c>
      <c r="AD292" t="str">
        <f ca="1">IF(AC292=1,COUNTIF($AC$3:AC292,1),"")</f>
        <v/>
      </c>
      <c r="AE292" s="155" t="str">
        <f ca="1">IFERROR(INDEX(Données!$B$3:$B$1479,MATCH(ROWS($AD$3:AD292),$AD$3:$AD$1479,0)),"")</f>
        <v/>
      </c>
    </row>
    <row r="293" spans="1:31" ht="15.75" x14ac:dyDescent="0.25">
      <c r="A293" t="str">
        <f t="shared" si="56"/>
        <v>Zack Smith - CHI - AG, C</v>
      </c>
      <c r="B293" t="str">
        <f t="shared" si="57"/>
        <v>Zack Smith - CHI - AG, C</v>
      </c>
      <c r="C293" t="str">
        <f t="shared" si="48"/>
        <v>Zack</v>
      </c>
      <c r="D293" t="str">
        <f t="shared" si="49"/>
        <v>Smith</v>
      </c>
      <c r="E293" s="39" t="s">
        <v>1520</v>
      </c>
      <c r="F293" s="30" t="s">
        <v>13</v>
      </c>
      <c r="G293" s="35" t="s">
        <v>381</v>
      </c>
      <c r="H293" s="35" t="s">
        <v>2450</v>
      </c>
      <c r="I293" s="35" t="s">
        <v>2439</v>
      </c>
      <c r="J293" s="35">
        <v>31</v>
      </c>
      <c r="K293" s="35">
        <f>VALUE(COUNTIF(Validation!$A$2:$H$47,E293))</f>
        <v>0</v>
      </c>
      <c r="L293" s="361">
        <f t="shared" si="50"/>
        <v>3250000</v>
      </c>
      <c r="M293" s="361">
        <f t="shared" si="51"/>
        <v>3250000</v>
      </c>
      <c r="N293" s="358">
        <v>3250000</v>
      </c>
      <c r="O293" s="358">
        <v>3250000</v>
      </c>
      <c r="P293" s="358" t="s">
        <v>7</v>
      </c>
      <c r="Q293" s="358">
        <v>0</v>
      </c>
      <c r="R293" s="358">
        <v>0</v>
      </c>
      <c r="S293" s="358">
        <v>0</v>
      </c>
      <c r="T293" s="358">
        <v>0</v>
      </c>
      <c r="U293" s="35">
        <f t="shared" si="52"/>
        <v>2</v>
      </c>
      <c r="W293">
        <f t="shared" si="53"/>
        <v>1</v>
      </c>
      <c r="X293" s="35">
        <f t="shared" si="54"/>
        <v>0</v>
      </c>
      <c r="Y293">
        <f t="shared" si="55"/>
        <v>1</v>
      </c>
      <c r="AB293">
        <f t="shared" si="58"/>
        <v>1</v>
      </c>
      <c r="AC293">
        <f t="shared" ca="1" si="59"/>
        <v>0</v>
      </c>
      <c r="AD293" t="str">
        <f ca="1">IF(AC293=1,COUNTIF($AC$3:AC293,1),"")</f>
        <v/>
      </c>
      <c r="AE293" s="155" t="str">
        <f ca="1">IFERROR(INDEX(Données!$B$3:$B$1479,MATCH(ROWS($AD$3:AD293),$AD$3:$AD$1479,0)),"")</f>
        <v/>
      </c>
    </row>
    <row r="294" spans="1:31" ht="15.75" x14ac:dyDescent="0.25">
      <c r="A294" t="str">
        <f t="shared" si="56"/>
        <v>Dominik Kubalik - CHI - AG</v>
      </c>
      <c r="B294" t="str">
        <f t="shared" si="57"/>
        <v>Dominik Kubalik - CHI - AG</v>
      </c>
      <c r="C294" t="str">
        <f t="shared" si="48"/>
        <v>Dominik</v>
      </c>
      <c r="D294" t="str">
        <f t="shared" si="49"/>
        <v>Kubalik</v>
      </c>
      <c r="E294" s="39" t="s">
        <v>2464</v>
      </c>
      <c r="F294" s="30" t="s">
        <v>13</v>
      </c>
      <c r="G294" s="35" t="s">
        <v>386</v>
      </c>
      <c r="H294" s="35" t="s">
        <v>2440</v>
      </c>
      <c r="I294" s="35" t="s">
        <v>2446</v>
      </c>
      <c r="J294" s="35">
        <v>23</v>
      </c>
      <c r="K294" s="35">
        <f>VALUE(COUNTIF(Validation!$A$2:$H$47,E294))</f>
        <v>0</v>
      </c>
      <c r="L294" s="361">
        <f t="shared" si="50"/>
        <v>1775000</v>
      </c>
      <c r="M294" s="361">
        <f t="shared" si="51"/>
        <v>0</v>
      </c>
      <c r="N294" s="358">
        <v>1775000</v>
      </c>
      <c r="O294" s="358" t="s">
        <v>8</v>
      </c>
      <c r="P294" s="358">
        <v>0</v>
      </c>
      <c r="Q294" s="358">
        <v>0</v>
      </c>
      <c r="R294" s="358">
        <v>0</v>
      </c>
      <c r="S294" s="358">
        <v>0</v>
      </c>
      <c r="T294" s="358">
        <v>0</v>
      </c>
      <c r="U294" s="35">
        <f t="shared" si="52"/>
        <v>1</v>
      </c>
      <c r="W294">
        <f t="shared" si="53"/>
        <v>1</v>
      </c>
      <c r="X294" s="35">
        <f t="shared" si="54"/>
        <v>1</v>
      </c>
      <c r="Y294">
        <f t="shared" si="55"/>
        <v>0</v>
      </c>
      <c r="AB294">
        <f t="shared" si="58"/>
        <v>1</v>
      </c>
      <c r="AC294">
        <f t="shared" ca="1" si="59"/>
        <v>0</v>
      </c>
      <c r="AD294" t="str">
        <f ca="1">IF(AC294=1,COUNTIF($AC$3:AC294,1),"")</f>
        <v/>
      </c>
      <c r="AE294" s="155" t="str">
        <f ca="1">IFERROR(INDEX(Données!$B$3:$B$1479,MATCH(ROWS($AD$3:AD294),$AD$3:$AD$1479,0)),"")</f>
        <v/>
      </c>
    </row>
    <row r="295" spans="1:31" ht="15.75" x14ac:dyDescent="0.25">
      <c r="A295" t="str">
        <f t="shared" si="56"/>
        <v>Adam Boqvist - CHI - DD</v>
      </c>
      <c r="B295" t="str">
        <f t="shared" si="57"/>
        <v>Adam Boqvist - CHI - DD</v>
      </c>
      <c r="C295" t="str">
        <f t="shared" si="48"/>
        <v>Adam</v>
      </c>
      <c r="D295" t="str">
        <f t="shared" si="49"/>
        <v>Boqvist</v>
      </c>
      <c r="E295" s="39" t="s">
        <v>1904</v>
      </c>
      <c r="F295" s="30" t="s">
        <v>13</v>
      </c>
      <c r="G295" s="35" t="s">
        <v>388</v>
      </c>
      <c r="H295" s="35" t="s">
        <v>2444</v>
      </c>
      <c r="I295" s="35" t="s">
        <v>389</v>
      </c>
      <c r="J295" s="35">
        <v>18</v>
      </c>
      <c r="K295" s="35">
        <f>VALUE(COUNTIF(Validation!$A$2:$H$47,E295))</f>
        <v>0</v>
      </c>
      <c r="L295" s="361">
        <f t="shared" si="50"/>
        <v>1744167</v>
      </c>
      <c r="M295" s="361">
        <f t="shared" si="51"/>
        <v>1744167</v>
      </c>
      <c r="N295" s="358">
        <v>1744167</v>
      </c>
      <c r="O295" s="358">
        <v>1744167</v>
      </c>
      <c r="P295" s="358">
        <v>1744167</v>
      </c>
      <c r="Q295" s="358" t="s">
        <v>8</v>
      </c>
      <c r="R295" s="358">
        <v>0</v>
      </c>
      <c r="S295" s="358">
        <v>0</v>
      </c>
      <c r="T295" s="358">
        <v>0</v>
      </c>
      <c r="U295" s="35">
        <f t="shared" si="52"/>
        <v>3</v>
      </c>
      <c r="W295">
        <f t="shared" si="53"/>
        <v>1</v>
      </c>
      <c r="X295" s="35">
        <f t="shared" si="54"/>
        <v>1</v>
      </c>
      <c r="Y295">
        <f t="shared" si="55"/>
        <v>1</v>
      </c>
      <c r="AB295">
        <f t="shared" si="58"/>
        <v>1</v>
      </c>
      <c r="AC295">
        <f t="shared" ca="1" si="59"/>
        <v>0</v>
      </c>
      <c r="AD295" t="str">
        <f ca="1">IF(AC295=1,COUNTIF($AC$3:AC295,1),"")</f>
        <v/>
      </c>
      <c r="AE295" s="155" t="str">
        <f ca="1">IFERROR(INDEX(Données!$B$3:$B$1479,MATCH(ROWS($AD$3:AD295),$AD$3:$AD$1479,0)),"")</f>
        <v/>
      </c>
    </row>
    <row r="296" spans="1:31" ht="15.75" x14ac:dyDescent="0.25">
      <c r="A296" t="str">
        <f t="shared" si="56"/>
        <v>Alexander Nylander - CHI - AD, AG</v>
      </c>
      <c r="B296" t="str">
        <f t="shared" si="57"/>
        <v>Alexander Nylander - CHI - AD, AG</v>
      </c>
      <c r="C296" t="str">
        <f t="shared" si="48"/>
        <v>Alexander</v>
      </c>
      <c r="D296" t="str">
        <f t="shared" si="49"/>
        <v>Nylander</v>
      </c>
      <c r="E296" s="39" t="s">
        <v>1407</v>
      </c>
      <c r="F296" s="30" t="s">
        <v>13</v>
      </c>
      <c r="G296" s="35" t="s">
        <v>386</v>
      </c>
      <c r="H296" s="35" t="s">
        <v>2441</v>
      </c>
      <c r="I296" s="35" t="s">
        <v>2446</v>
      </c>
      <c r="J296" s="35">
        <v>21</v>
      </c>
      <c r="K296" s="35">
        <f>VALUE(COUNTIF(Validation!$A$2:$H$47,E296))</f>
        <v>0</v>
      </c>
      <c r="L296" s="361">
        <f t="shared" si="50"/>
        <v>1713333</v>
      </c>
      <c r="M296" s="361">
        <f t="shared" si="51"/>
        <v>1713333</v>
      </c>
      <c r="N296" s="358">
        <v>1713333</v>
      </c>
      <c r="O296" s="358">
        <v>1713333</v>
      </c>
      <c r="P296" s="358" t="s">
        <v>8</v>
      </c>
      <c r="Q296" s="358">
        <v>0</v>
      </c>
      <c r="R296" s="358">
        <v>0</v>
      </c>
      <c r="S296" s="358">
        <v>0</v>
      </c>
      <c r="T296" s="358">
        <v>0</v>
      </c>
      <c r="U296" s="35">
        <f t="shared" si="52"/>
        <v>2</v>
      </c>
      <c r="W296">
        <f t="shared" si="53"/>
        <v>1</v>
      </c>
      <c r="X296" s="35">
        <f t="shared" si="54"/>
        <v>1</v>
      </c>
      <c r="Y296">
        <f t="shared" si="55"/>
        <v>1</v>
      </c>
      <c r="AB296">
        <f t="shared" si="58"/>
        <v>1</v>
      </c>
      <c r="AC296">
        <f t="shared" ca="1" si="59"/>
        <v>0</v>
      </c>
      <c r="AD296" t="str">
        <f ca="1">IF(AC296=1,COUNTIF($AC$3:AC296,1),"")</f>
        <v/>
      </c>
      <c r="AE296" s="155" t="str">
        <f ca="1">IFERROR(INDEX(Données!$B$3:$B$1479,MATCH(ROWS($AD$3:AD296),$AD$3:$AD$1479,0)),"")</f>
        <v/>
      </c>
    </row>
    <row r="297" spans="1:31" ht="15.75" x14ac:dyDescent="0.25">
      <c r="A297" t="str">
        <f t="shared" si="56"/>
        <v>Drake Caggiula - CHI - AG, C, AD</v>
      </c>
      <c r="B297" t="str">
        <f t="shared" si="57"/>
        <v>Drake Caggiula - CHI - AG, C, AD</v>
      </c>
      <c r="C297" t="str">
        <f t="shared" si="48"/>
        <v>Drake</v>
      </c>
      <c r="D297" t="str">
        <f t="shared" si="49"/>
        <v>Caggiula</v>
      </c>
      <c r="E297" s="39" t="s">
        <v>2220</v>
      </c>
      <c r="F297" s="30" t="s">
        <v>13</v>
      </c>
      <c r="G297" s="35">
        <v>0</v>
      </c>
      <c r="H297" s="35" t="s">
        <v>2462</v>
      </c>
      <c r="I297" s="35" t="s">
        <v>2439</v>
      </c>
      <c r="J297" s="35">
        <v>25</v>
      </c>
      <c r="K297" s="35">
        <f>VALUE(COUNTIF(Validation!$A$2:$H$47,E297))</f>
        <v>0</v>
      </c>
      <c r="L297" s="361">
        <f t="shared" si="50"/>
        <v>1500000</v>
      </c>
      <c r="M297" s="361">
        <f t="shared" si="51"/>
        <v>0</v>
      </c>
      <c r="N297" s="358">
        <v>1500000</v>
      </c>
      <c r="O297" s="358" t="s">
        <v>8</v>
      </c>
      <c r="P297" s="358">
        <v>0</v>
      </c>
      <c r="Q297" s="358">
        <v>0</v>
      </c>
      <c r="R297" s="358">
        <v>0</v>
      </c>
      <c r="S297" s="358">
        <v>0</v>
      </c>
      <c r="T297" s="358">
        <v>0</v>
      </c>
      <c r="U297" s="35">
        <f t="shared" si="52"/>
        <v>1</v>
      </c>
      <c r="W297">
        <f t="shared" si="53"/>
        <v>1</v>
      </c>
      <c r="X297" s="35">
        <f t="shared" si="54"/>
        <v>0</v>
      </c>
      <c r="Y297">
        <f t="shared" si="55"/>
        <v>0</v>
      </c>
      <c r="AB297">
        <f t="shared" si="58"/>
        <v>1</v>
      </c>
      <c r="AC297">
        <f t="shared" ca="1" si="59"/>
        <v>0</v>
      </c>
      <c r="AD297" t="str">
        <f ca="1">IF(AC297=1,COUNTIF($AC$3:AC297,1),"")</f>
        <v/>
      </c>
      <c r="AE297" s="155" t="str">
        <f ca="1">IFERROR(INDEX(Données!$B$3:$B$1479,MATCH(ROWS($AD$3:AD297),$AD$3:$AD$1479,0)),"")</f>
        <v/>
      </c>
    </row>
    <row r="298" spans="1:31" ht="15.75" x14ac:dyDescent="0.25">
      <c r="A298" t="str">
        <f t="shared" si="56"/>
        <v>Erik Gustafsson - CHI - DG</v>
      </c>
      <c r="B298" t="str">
        <f t="shared" si="57"/>
        <v>Erik Gustafsson - CHI - DG</v>
      </c>
      <c r="C298" t="str">
        <f t="shared" si="48"/>
        <v>Erik</v>
      </c>
      <c r="D298" t="str">
        <f t="shared" si="49"/>
        <v>Gustafsson</v>
      </c>
      <c r="E298" s="39" t="s">
        <v>1897</v>
      </c>
      <c r="F298" s="30" t="s">
        <v>13</v>
      </c>
      <c r="G298" s="35">
        <v>0</v>
      </c>
      <c r="H298" s="35" t="s">
        <v>2445</v>
      </c>
      <c r="I298" s="35" t="s">
        <v>2439</v>
      </c>
      <c r="J298" s="35">
        <v>27</v>
      </c>
      <c r="K298" s="35">
        <f>VALUE(COUNTIF(Validation!$A$2:$H$47,E298))</f>
        <v>0</v>
      </c>
      <c r="L298" s="361">
        <f t="shared" si="50"/>
        <v>1200000</v>
      </c>
      <c r="M298" s="361">
        <f t="shared" si="51"/>
        <v>0</v>
      </c>
      <c r="N298" s="358">
        <v>1200000</v>
      </c>
      <c r="O298" s="358" t="s">
        <v>7</v>
      </c>
      <c r="P298" s="358">
        <v>0</v>
      </c>
      <c r="Q298" s="358">
        <v>0</v>
      </c>
      <c r="R298" s="358">
        <v>0</v>
      </c>
      <c r="S298" s="358">
        <v>0</v>
      </c>
      <c r="T298" s="358">
        <v>0</v>
      </c>
      <c r="U298" s="35">
        <f t="shared" si="52"/>
        <v>1</v>
      </c>
      <c r="W298">
        <f t="shared" si="53"/>
        <v>1</v>
      </c>
      <c r="X298" s="35">
        <f t="shared" si="54"/>
        <v>0</v>
      </c>
      <c r="Y298">
        <f t="shared" si="55"/>
        <v>0</v>
      </c>
      <c r="AB298">
        <f t="shared" si="58"/>
        <v>1</v>
      </c>
      <c r="AC298">
        <f t="shared" ca="1" si="59"/>
        <v>0</v>
      </c>
      <c r="AD298" t="str">
        <f ca="1">IF(AC298=1,COUNTIF($AC$3:AC298,1),"")</f>
        <v/>
      </c>
      <c r="AE298" s="155" t="str">
        <f ca="1">IFERROR(INDEX(Données!$B$3:$B$1479,MATCH(ROWS($AD$3:AD298),$AD$3:$AD$1479,0)),"")</f>
        <v/>
      </c>
    </row>
    <row r="299" spans="1:31" ht="15.75" x14ac:dyDescent="0.25">
      <c r="A299" t="str">
        <f t="shared" si="56"/>
        <v>Kevin Lankinen - CHI - G</v>
      </c>
      <c r="B299" t="str">
        <f t="shared" si="57"/>
        <v>Kevin Lankinen - CHI - G</v>
      </c>
      <c r="C299" t="str">
        <f t="shared" si="48"/>
        <v>Kevin</v>
      </c>
      <c r="D299" t="str">
        <f t="shared" si="49"/>
        <v>Lankinen</v>
      </c>
      <c r="E299" s="39" t="s">
        <v>1901</v>
      </c>
      <c r="F299" s="30" t="s">
        <v>13</v>
      </c>
      <c r="G299" s="35" t="s">
        <v>386</v>
      </c>
      <c r="H299" s="35" t="s">
        <v>127</v>
      </c>
      <c r="I299" s="35" t="s">
        <v>2446</v>
      </c>
      <c r="J299" s="35">
        <v>24</v>
      </c>
      <c r="K299" s="35">
        <f>VALUE(COUNTIF(Validation!$A$2:$H$47,E299))</f>
        <v>0</v>
      </c>
      <c r="L299" s="361">
        <f t="shared" si="50"/>
        <v>1137500</v>
      </c>
      <c r="M299" s="361">
        <f t="shared" si="51"/>
        <v>0</v>
      </c>
      <c r="N299" s="358">
        <v>1137500</v>
      </c>
      <c r="O299" s="358" t="s">
        <v>8</v>
      </c>
      <c r="P299" s="358">
        <v>0</v>
      </c>
      <c r="Q299" s="358">
        <v>0</v>
      </c>
      <c r="R299" s="358">
        <v>0</v>
      </c>
      <c r="S299" s="358">
        <v>0</v>
      </c>
      <c r="T299" s="358">
        <v>0</v>
      </c>
      <c r="U299" s="35">
        <f t="shared" si="52"/>
        <v>1</v>
      </c>
      <c r="W299">
        <f t="shared" si="53"/>
        <v>1</v>
      </c>
      <c r="X299" s="35">
        <f t="shared" si="54"/>
        <v>1</v>
      </c>
      <c r="Y299">
        <f t="shared" si="55"/>
        <v>0</v>
      </c>
      <c r="AB299">
        <f t="shared" si="58"/>
        <v>1</v>
      </c>
      <c r="AC299">
        <f t="shared" ca="1" si="59"/>
        <v>0</v>
      </c>
      <c r="AD299" t="str">
        <f ca="1">IF(AC299=1,COUNTIF($AC$3:AC299,1),"")</f>
        <v/>
      </c>
      <c r="AE299" s="155" t="str">
        <f ca="1">IFERROR(INDEX(Données!$B$3:$B$1479,MATCH(ROWS($AD$3:AD299),$AD$3:$AD$1479,0)),"")</f>
        <v/>
      </c>
    </row>
    <row r="300" spans="1:31" ht="15.75" x14ac:dyDescent="0.25">
      <c r="A300" t="str">
        <f t="shared" si="56"/>
        <v>Nicolas Beaudin - CHI - D</v>
      </c>
      <c r="B300" t="str">
        <f t="shared" si="57"/>
        <v>Nicolas Beaudin - CHI - D</v>
      </c>
      <c r="C300" t="str">
        <f t="shared" si="48"/>
        <v>Nicolas</v>
      </c>
      <c r="D300" t="str">
        <f t="shared" si="49"/>
        <v>Beaudin</v>
      </c>
      <c r="E300" s="39" t="s">
        <v>2471</v>
      </c>
      <c r="F300" s="30" t="s">
        <v>13</v>
      </c>
      <c r="G300" s="35" t="s">
        <v>388</v>
      </c>
      <c r="H300" s="35" t="s">
        <v>82</v>
      </c>
      <c r="I300" s="35" t="s">
        <v>389</v>
      </c>
      <c r="J300" s="35">
        <v>19</v>
      </c>
      <c r="K300" s="35">
        <f>VALUE(COUNTIF(Validation!$A$2:$H$47,E300))</f>
        <v>0</v>
      </c>
      <c r="L300" s="361">
        <f t="shared" si="50"/>
        <v>1135833</v>
      </c>
      <c r="M300" s="361">
        <f t="shared" si="51"/>
        <v>1135833</v>
      </c>
      <c r="N300" s="358">
        <v>1135833</v>
      </c>
      <c r="O300" s="358">
        <v>1135833</v>
      </c>
      <c r="P300" s="358">
        <v>1135833</v>
      </c>
      <c r="Q300" s="358" t="s">
        <v>8</v>
      </c>
      <c r="R300" s="358">
        <v>0</v>
      </c>
      <c r="S300" s="358">
        <v>0</v>
      </c>
      <c r="T300" s="358">
        <v>0</v>
      </c>
      <c r="U300" s="35">
        <f t="shared" si="52"/>
        <v>3</v>
      </c>
      <c r="W300">
        <f t="shared" si="53"/>
        <v>1</v>
      </c>
      <c r="X300" s="35">
        <f t="shared" si="54"/>
        <v>1</v>
      </c>
      <c r="Y300">
        <f t="shared" si="55"/>
        <v>1</v>
      </c>
      <c r="AB300">
        <f t="shared" si="58"/>
        <v>1</v>
      </c>
      <c r="AC300">
        <f t="shared" ca="1" si="59"/>
        <v>0</v>
      </c>
      <c r="AD300" t="str">
        <f ca="1">IF(AC300=1,COUNTIF($AC$3:AC300,1),"")</f>
        <v/>
      </c>
      <c r="AE300" s="155" t="str">
        <f ca="1">IFERROR(INDEX(Données!$B$3:$B$1479,MATCH(ROWS($AD$3:AD300),$AD$3:$AD$1479,0)),"")</f>
        <v/>
      </c>
    </row>
    <row r="301" spans="1:31" ht="15.75" x14ac:dyDescent="0.25">
      <c r="A301" t="str">
        <f t="shared" si="56"/>
        <v>Ryan Carpenter - CHI - AD, C</v>
      </c>
      <c r="B301" t="str">
        <f t="shared" si="57"/>
        <v>Ryan Carpenter - CHI - AD, C</v>
      </c>
      <c r="C301" t="str">
        <f t="shared" si="48"/>
        <v>Ryan</v>
      </c>
      <c r="D301" t="str">
        <f t="shared" si="49"/>
        <v>Carpenter</v>
      </c>
      <c r="E301" s="39" t="s">
        <v>2375</v>
      </c>
      <c r="F301" s="30" t="s">
        <v>13</v>
      </c>
      <c r="G301" s="35">
        <v>0</v>
      </c>
      <c r="H301" s="9" t="s">
        <v>2453</v>
      </c>
      <c r="I301" s="9" t="s">
        <v>2439</v>
      </c>
      <c r="J301" s="9">
        <v>28</v>
      </c>
      <c r="K301" s="35">
        <f>VALUE(COUNTIF(Validation!$A$2:$H$47,E301))</f>
        <v>0</v>
      </c>
      <c r="L301" s="361">
        <f t="shared" si="50"/>
        <v>1000000</v>
      </c>
      <c r="M301" s="361">
        <f t="shared" si="51"/>
        <v>1000000</v>
      </c>
      <c r="N301" s="358">
        <v>1000000</v>
      </c>
      <c r="O301" s="358">
        <v>1000000</v>
      </c>
      <c r="P301" s="358">
        <v>1000000</v>
      </c>
      <c r="Q301" s="358" t="s">
        <v>7</v>
      </c>
      <c r="R301" s="358">
        <v>0</v>
      </c>
      <c r="S301" s="358">
        <v>0</v>
      </c>
      <c r="T301" s="358">
        <v>0</v>
      </c>
      <c r="U301" s="35">
        <f t="shared" si="52"/>
        <v>3</v>
      </c>
      <c r="W301">
        <f t="shared" si="53"/>
        <v>1</v>
      </c>
      <c r="X301" s="35">
        <f t="shared" si="54"/>
        <v>0</v>
      </c>
      <c r="Y301">
        <f t="shared" si="55"/>
        <v>1</v>
      </c>
      <c r="AB301">
        <f t="shared" si="58"/>
        <v>1</v>
      </c>
      <c r="AC301">
        <f t="shared" ca="1" si="59"/>
        <v>0</v>
      </c>
      <c r="AD301" t="str">
        <f ca="1">IF(AC301=1,COUNTIF($AC$3:AC301,1),"")</f>
        <v/>
      </c>
      <c r="AE301" s="155" t="str">
        <f ca="1">IFERROR(INDEX(Données!$B$3:$B$1479,MATCH(ROWS($AD$3:AD301),$AD$3:$AD$1479,0)),"")</f>
        <v/>
      </c>
    </row>
    <row r="302" spans="1:31" ht="15.75" x14ac:dyDescent="0.25">
      <c r="A302" t="str">
        <f t="shared" si="56"/>
        <v>Collin Delia - CHI - G</v>
      </c>
      <c r="B302" t="str">
        <f t="shared" si="57"/>
        <v>Collin Delia - CHI - G</v>
      </c>
      <c r="C302" t="str">
        <f t="shared" si="48"/>
        <v>Collin</v>
      </c>
      <c r="D302" t="str">
        <f t="shared" si="49"/>
        <v>Delia</v>
      </c>
      <c r="E302" s="39" t="s">
        <v>1910</v>
      </c>
      <c r="F302" s="30" t="s">
        <v>13</v>
      </c>
      <c r="G302" s="35">
        <v>0</v>
      </c>
      <c r="H302" s="35" t="s">
        <v>127</v>
      </c>
      <c r="I302" s="35" t="s">
        <v>2446</v>
      </c>
      <c r="J302" s="35">
        <v>25</v>
      </c>
      <c r="K302" s="35">
        <f>VALUE(COUNTIF(Validation!$A$2:$H$47,E302))</f>
        <v>0</v>
      </c>
      <c r="L302" s="361">
        <f t="shared" si="50"/>
        <v>1000000</v>
      </c>
      <c r="M302" s="361">
        <f t="shared" si="51"/>
        <v>1000000</v>
      </c>
      <c r="N302" s="358">
        <v>1000000</v>
      </c>
      <c r="O302" s="358">
        <v>1000000</v>
      </c>
      <c r="P302" s="358">
        <v>1000000</v>
      </c>
      <c r="Q302" s="358" t="s">
        <v>7</v>
      </c>
      <c r="R302" s="358">
        <v>0</v>
      </c>
      <c r="S302" s="358">
        <v>0</v>
      </c>
      <c r="T302" s="358">
        <v>0</v>
      </c>
      <c r="U302" s="35">
        <f t="shared" si="52"/>
        <v>3</v>
      </c>
      <c r="W302">
        <f t="shared" si="53"/>
        <v>1</v>
      </c>
      <c r="X302" s="35">
        <f t="shared" si="54"/>
        <v>0</v>
      </c>
      <c r="Y302">
        <f t="shared" si="55"/>
        <v>1</v>
      </c>
      <c r="AB302">
        <f t="shared" si="58"/>
        <v>1</v>
      </c>
      <c r="AC302">
        <f t="shared" ca="1" si="59"/>
        <v>0</v>
      </c>
      <c r="AD302" t="str">
        <f ca="1">IF(AC302=1,COUNTIF($AC$3:AC302,1),"")</f>
        <v/>
      </c>
      <c r="AE302" s="155" t="str">
        <f ca="1">IFERROR(INDEX(Données!$B$3:$B$1479,MATCH(ROWS($AD$3:AD302),$AD$3:$AD$1479,0)),"")</f>
        <v/>
      </c>
    </row>
    <row r="303" spans="1:31" ht="15.75" x14ac:dyDescent="0.25">
      <c r="A303" t="str">
        <f t="shared" si="56"/>
        <v>David Kampf - CHI - C, AD</v>
      </c>
      <c r="B303" t="str">
        <f t="shared" si="57"/>
        <v>David Kampf - CHI - C, AD</v>
      </c>
      <c r="C303" t="str">
        <f t="shared" si="48"/>
        <v>David</v>
      </c>
      <c r="D303" t="str">
        <f t="shared" si="49"/>
        <v>Kampf</v>
      </c>
      <c r="E303" s="39" t="s">
        <v>2879</v>
      </c>
      <c r="F303" s="30" t="s">
        <v>13</v>
      </c>
      <c r="G303" s="35">
        <v>0</v>
      </c>
      <c r="H303" s="35" t="s">
        <v>2448</v>
      </c>
      <c r="I303" s="35" t="s">
        <v>2439</v>
      </c>
      <c r="J303" s="35">
        <v>24</v>
      </c>
      <c r="K303" s="35">
        <f>VALUE(COUNTIF(Validation!$A$2:$H$47,E303))</f>
        <v>0</v>
      </c>
      <c r="L303" s="361">
        <f t="shared" si="50"/>
        <v>1000000</v>
      </c>
      <c r="M303" s="361">
        <f t="shared" si="51"/>
        <v>1000000</v>
      </c>
      <c r="N303" s="358">
        <v>1000000</v>
      </c>
      <c r="O303" s="358">
        <v>1000000</v>
      </c>
      <c r="P303" s="358" t="s">
        <v>8</v>
      </c>
      <c r="Q303" s="358">
        <v>0</v>
      </c>
      <c r="R303" s="358">
        <v>0</v>
      </c>
      <c r="S303" s="358">
        <v>0</v>
      </c>
      <c r="T303" s="358">
        <v>0</v>
      </c>
      <c r="U303" s="35">
        <f t="shared" si="52"/>
        <v>2</v>
      </c>
      <c r="W303">
        <f t="shared" si="53"/>
        <v>1</v>
      </c>
      <c r="X303" s="35">
        <f t="shared" si="54"/>
        <v>0</v>
      </c>
      <c r="Y303">
        <f t="shared" si="55"/>
        <v>1</v>
      </c>
      <c r="AB303">
        <f t="shared" si="58"/>
        <v>1</v>
      </c>
      <c r="AC303">
        <f t="shared" ca="1" si="59"/>
        <v>0</v>
      </c>
      <c r="AD303" t="str">
        <f ca="1">IF(AC303=1,COUNTIF($AC$3:AC303,1),"")</f>
        <v/>
      </c>
      <c r="AE303" s="155" t="str">
        <f ca="1">IFERROR(INDEX(Données!$B$3:$B$1479,MATCH(ROWS($AD$3:AD303),$AD$3:$AD$1479,0)),"")</f>
        <v/>
      </c>
    </row>
    <row r="304" spans="1:31" ht="15.75" x14ac:dyDescent="0.25">
      <c r="A304" t="str">
        <f t="shared" si="56"/>
        <v>Graham Knott - CHI - AG</v>
      </c>
      <c r="B304" t="str">
        <f t="shared" si="57"/>
        <v>Graham Knott - CHI - AG</v>
      </c>
      <c r="C304" t="str">
        <f t="shared" si="48"/>
        <v>Graham</v>
      </c>
      <c r="D304" t="str">
        <f t="shared" si="49"/>
        <v>Knott</v>
      </c>
      <c r="E304" s="39" t="s">
        <v>1913</v>
      </c>
      <c r="F304" s="30" t="s">
        <v>13</v>
      </c>
      <c r="G304" s="35" t="s">
        <v>386</v>
      </c>
      <c r="H304" s="35" t="s">
        <v>2440</v>
      </c>
      <c r="I304" s="35" t="s">
        <v>2446</v>
      </c>
      <c r="J304" s="35">
        <v>22</v>
      </c>
      <c r="K304" s="35">
        <f>VALUE(COUNTIF(Validation!$A$2:$H$47,E304))</f>
        <v>0</v>
      </c>
      <c r="L304" s="361">
        <f t="shared" si="50"/>
        <v>935833</v>
      </c>
      <c r="M304" s="361">
        <f t="shared" si="51"/>
        <v>0</v>
      </c>
      <c r="N304" s="358">
        <v>935833</v>
      </c>
      <c r="O304" s="358" t="s">
        <v>8</v>
      </c>
      <c r="P304" s="358">
        <v>0</v>
      </c>
      <c r="Q304" s="358">
        <v>0</v>
      </c>
      <c r="R304" s="358">
        <v>0</v>
      </c>
      <c r="S304" s="358">
        <v>0</v>
      </c>
      <c r="T304" s="358">
        <v>0</v>
      </c>
      <c r="U304" s="35">
        <f t="shared" si="52"/>
        <v>1</v>
      </c>
      <c r="W304">
        <f t="shared" si="53"/>
        <v>1</v>
      </c>
      <c r="X304" s="35">
        <f t="shared" si="54"/>
        <v>1</v>
      </c>
      <c r="Y304">
        <f t="shared" si="55"/>
        <v>0</v>
      </c>
      <c r="AB304">
        <f t="shared" si="58"/>
        <v>1</v>
      </c>
      <c r="AC304">
        <f t="shared" ca="1" si="59"/>
        <v>0</v>
      </c>
      <c r="AD304" t="str">
        <f ca="1">IF(AC304=1,COUNTIF($AC$3:AC304,1),"")</f>
        <v/>
      </c>
      <c r="AE304" s="155" t="str">
        <f ca="1">IFERROR(INDEX(Données!$B$3:$B$1479,MATCH(ROWS($AD$3:AD304),$AD$3:$AD$1479,0)),"")</f>
        <v/>
      </c>
    </row>
    <row r="305" spans="1:31" ht="15.75" x14ac:dyDescent="0.25">
      <c r="A305" t="str">
        <f t="shared" si="56"/>
        <v>Lucas Carlsson - CHI - D</v>
      </c>
      <c r="B305" t="str">
        <f t="shared" si="57"/>
        <v>Lucas Carlsson - CHI - D</v>
      </c>
      <c r="C305" t="str">
        <f t="shared" si="48"/>
        <v>Lucas</v>
      </c>
      <c r="D305" t="str">
        <f t="shared" si="49"/>
        <v>Carlsson</v>
      </c>
      <c r="E305" s="39" t="s">
        <v>1906</v>
      </c>
      <c r="F305" s="30" t="s">
        <v>13</v>
      </c>
      <c r="G305" s="35" t="s">
        <v>386</v>
      </c>
      <c r="H305" s="35" t="s">
        <v>82</v>
      </c>
      <c r="I305" s="35" t="s">
        <v>2446</v>
      </c>
      <c r="J305" s="35">
        <v>22</v>
      </c>
      <c r="K305" s="35">
        <f>VALUE(COUNTIF(Validation!$A$2:$H$47,E305))</f>
        <v>0</v>
      </c>
      <c r="L305" s="361">
        <f t="shared" si="50"/>
        <v>925000</v>
      </c>
      <c r="M305" s="361">
        <f t="shared" si="51"/>
        <v>925000</v>
      </c>
      <c r="N305" s="358">
        <v>925000</v>
      </c>
      <c r="O305" s="358">
        <v>925000</v>
      </c>
      <c r="P305" s="358" t="s">
        <v>8</v>
      </c>
      <c r="Q305" s="358">
        <v>0</v>
      </c>
      <c r="R305" s="358">
        <v>0</v>
      </c>
      <c r="S305" s="358">
        <v>0</v>
      </c>
      <c r="T305" s="358">
        <v>0</v>
      </c>
      <c r="U305" s="35">
        <f t="shared" si="52"/>
        <v>2</v>
      </c>
      <c r="W305">
        <f t="shared" si="53"/>
        <v>1</v>
      </c>
      <c r="X305" s="35">
        <f t="shared" si="54"/>
        <v>1</v>
      </c>
      <c r="Y305">
        <f t="shared" si="55"/>
        <v>1</v>
      </c>
      <c r="AB305">
        <f t="shared" si="58"/>
        <v>1</v>
      </c>
      <c r="AC305">
        <f t="shared" ca="1" si="59"/>
        <v>0</v>
      </c>
      <c r="AD305" t="str">
        <f ca="1">IF(AC305=1,COUNTIF($AC$3:AC305,1),"")</f>
        <v/>
      </c>
      <c r="AE305" s="155" t="str">
        <f ca="1">IFERROR(INDEX(Données!$B$3:$B$1479,MATCH(ROWS($AD$3:AD305),$AD$3:$AD$1479,0)),"")</f>
        <v/>
      </c>
    </row>
    <row r="306" spans="1:31" ht="15.75" x14ac:dyDescent="0.25">
      <c r="A306" t="str">
        <f t="shared" si="56"/>
        <v>Dennis Gilbert - CHI - DG</v>
      </c>
      <c r="B306" t="str">
        <f t="shared" si="57"/>
        <v>Dennis Gilbert - CHI - DG</v>
      </c>
      <c r="C306" t="str">
        <f t="shared" si="48"/>
        <v>Dennis</v>
      </c>
      <c r="D306" t="str">
        <f t="shared" si="49"/>
        <v>Gilbert</v>
      </c>
      <c r="E306" s="39" t="s">
        <v>1899</v>
      </c>
      <c r="F306" s="30" t="s">
        <v>13</v>
      </c>
      <c r="G306" s="35" t="s">
        <v>386</v>
      </c>
      <c r="H306" s="35" t="s">
        <v>2445</v>
      </c>
      <c r="I306" s="35" t="s">
        <v>2446</v>
      </c>
      <c r="J306" s="35">
        <v>22</v>
      </c>
      <c r="K306" s="35">
        <f>VALUE(COUNTIF(Validation!$A$2:$H$47,E306))</f>
        <v>0</v>
      </c>
      <c r="L306" s="361">
        <f t="shared" si="50"/>
        <v>925000</v>
      </c>
      <c r="M306" s="361">
        <f t="shared" si="51"/>
        <v>925000</v>
      </c>
      <c r="N306" s="358">
        <v>925000</v>
      </c>
      <c r="O306" s="358">
        <v>925000</v>
      </c>
      <c r="P306" s="358" t="s">
        <v>8</v>
      </c>
      <c r="Q306" s="358">
        <v>0</v>
      </c>
      <c r="R306" s="358">
        <v>0</v>
      </c>
      <c r="S306" s="358">
        <v>0</v>
      </c>
      <c r="T306" s="358">
        <v>0</v>
      </c>
      <c r="U306" s="35">
        <f t="shared" si="52"/>
        <v>2</v>
      </c>
      <c r="W306">
        <f t="shared" si="53"/>
        <v>1</v>
      </c>
      <c r="X306" s="35">
        <f t="shared" si="54"/>
        <v>1</v>
      </c>
      <c r="Y306">
        <f t="shared" si="55"/>
        <v>1</v>
      </c>
      <c r="AB306">
        <f t="shared" si="58"/>
        <v>1</v>
      </c>
      <c r="AC306">
        <f t="shared" ca="1" si="59"/>
        <v>0</v>
      </c>
      <c r="AD306" t="str">
        <f ca="1">IF(AC306=1,COUNTIF($AC$3:AC306,1),"")</f>
        <v/>
      </c>
      <c r="AE306" s="155" t="str">
        <f ca="1">IFERROR(INDEX(Données!$B$3:$B$1479,MATCH(ROWS($AD$3:AD306),$AD$3:$AD$1479,0)),"")</f>
        <v/>
      </c>
    </row>
    <row r="307" spans="1:31" ht="15.75" x14ac:dyDescent="0.25">
      <c r="A307" t="str">
        <f t="shared" si="56"/>
        <v>Brandon Hagel - CHI - AG</v>
      </c>
      <c r="B307" t="str">
        <f t="shared" si="57"/>
        <v>Brandon Hagel - CHI - AG</v>
      </c>
      <c r="C307" t="str">
        <f t="shared" si="48"/>
        <v>Brandon</v>
      </c>
      <c r="D307" t="str">
        <f t="shared" si="49"/>
        <v>Hagel</v>
      </c>
      <c r="E307" s="39" t="s">
        <v>2465</v>
      </c>
      <c r="F307" s="30" t="s">
        <v>13</v>
      </c>
      <c r="G307" s="35" t="s">
        <v>386</v>
      </c>
      <c r="H307" s="35" t="s">
        <v>2440</v>
      </c>
      <c r="I307" s="35" t="s">
        <v>2446</v>
      </c>
      <c r="J307" s="35">
        <v>20</v>
      </c>
      <c r="K307" s="35">
        <f>VALUE(COUNTIF(Validation!$A$2:$H$47,E307))</f>
        <v>0</v>
      </c>
      <c r="L307" s="361">
        <f t="shared" si="50"/>
        <v>925000</v>
      </c>
      <c r="M307" s="361">
        <f t="shared" si="51"/>
        <v>925000</v>
      </c>
      <c r="N307" s="358">
        <v>925000</v>
      </c>
      <c r="O307" s="358">
        <v>925000</v>
      </c>
      <c r="P307" s="358" t="s">
        <v>8</v>
      </c>
      <c r="Q307" s="358">
        <v>0</v>
      </c>
      <c r="R307" s="358">
        <v>0</v>
      </c>
      <c r="S307" s="358">
        <v>0</v>
      </c>
      <c r="T307" s="358">
        <v>0</v>
      </c>
      <c r="U307" s="35">
        <f t="shared" si="52"/>
        <v>2</v>
      </c>
      <c r="W307">
        <f t="shared" si="53"/>
        <v>1</v>
      </c>
      <c r="X307" s="35">
        <f t="shared" si="54"/>
        <v>1</v>
      </c>
      <c r="Y307">
        <f t="shared" si="55"/>
        <v>1</v>
      </c>
      <c r="AB307">
        <f t="shared" si="58"/>
        <v>1</v>
      </c>
      <c r="AC307">
        <f t="shared" ca="1" si="59"/>
        <v>0</v>
      </c>
      <c r="AD307" t="str">
        <f ca="1">IF(AC307=1,COUNTIF($AC$3:AC307,1),"")</f>
        <v/>
      </c>
      <c r="AE307" s="155" t="str">
        <f ca="1">IFERROR(INDEX(Données!$B$3:$B$1479,MATCH(ROWS($AD$3:AD307),$AD$3:$AD$1479,0)),"")</f>
        <v/>
      </c>
    </row>
    <row r="308" spans="1:31" ht="15.75" x14ac:dyDescent="0.25">
      <c r="A308" t="str">
        <f t="shared" si="56"/>
        <v>Mikael Hakkarainen - CHI - C</v>
      </c>
      <c r="B308" t="str">
        <f t="shared" si="57"/>
        <v>Mikael Hakkarainen - CHI - C</v>
      </c>
      <c r="C308" t="str">
        <f t="shared" si="48"/>
        <v>Mikael</v>
      </c>
      <c r="D308" t="str">
        <f t="shared" si="49"/>
        <v>Hakkarainen</v>
      </c>
      <c r="E308" s="39" t="s">
        <v>2468</v>
      </c>
      <c r="F308" s="30" t="s">
        <v>13</v>
      </c>
      <c r="G308" s="35" t="s">
        <v>386</v>
      </c>
      <c r="H308" s="35" t="s">
        <v>73</v>
      </c>
      <c r="I308" s="35" t="s">
        <v>2446</v>
      </c>
      <c r="J308" s="35">
        <v>21</v>
      </c>
      <c r="K308" s="35">
        <f>VALUE(COUNTIF(Validation!$A$2:$H$47,E308))</f>
        <v>0</v>
      </c>
      <c r="L308" s="361">
        <f t="shared" si="50"/>
        <v>925000</v>
      </c>
      <c r="M308" s="361">
        <f t="shared" si="51"/>
        <v>925000</v>
      </c>
      <c r="N308" s="358">
        <v>925000</v>
      </c>
      <c r="O308" s="358">
        <v>925000</v>
      </c>
      <c r="P308" s="358">
        <v>925000</v>
      </c>
      <c r="Q308" s="358" t="s">
        <v>8</v>
      </c>
      <c r="R308" s="358">
        <v>0</v>
      </c>
      <c r="S308" s="358">
        <v>0</v>
      </c>
      <c r="T308" s="358">
        <v>0</v>
      </c>
      <c r="U308" s="35">
        <f t="shared" si="52"/>
        <v>3</v>
      </c>
      <c r="W308">
        <f t="shared" si="53"/>
        <v>1</v>
      </c>
      <c r="X308" s="35">
        <f t="shared" si="54"/>
        <v>1</v>
      </c>
      <c r="Y308">
        <f t="shared" si="55"/>
        <v>1</v>
      </c>
      <c r="AB308">
        <f t="shared" si="58"/>
        <v>1</v>
      </c>
      <c r="AC308">
        <f t="shared" ca="1" si="59"/>
        <v>0</v>
      </c>
      <c r="AD308" t="str">
        <f ca="1">IF(AC308=1,COUNTIF($AC$3:AC308,1),"")</f>
        <v/>
      </c>
      <c r="AE308" s="155" t="str">
        <f ca="1">IFERROR(INDEX(Données!$B$3:$B$1479,MATCH(ROWS($AD$3:AD308),$AD$3:$AD$1479,0)),"")</f>
        <v/>
      </c>
    </row>
    <row r="309" spans="1:31" ht="15.75" x14ac:dyDescent="0.25">
      <c r="A309" t="str">
        <f t="shared" si="56"/>
        <v>Matthew Highmore - CHI - C</v>
      </c>
      <c r="B309" t="str">
        <f t="shared" si="57"/>
        <v>Matthew Highmore - CHI - C</v>
      </c>
      <c r="C309" t="str">
        <f t="shared" si="48"/>
        <v>Matthew</v>
      </c>
      <c r="D309" t="str">
        <f t="shared" si="49"/>
        <v>Highmore</v>
      </c>
      <c r="E309" s="39" t="s">
        <v>1907</v>
      </c>
      <c r="F309" s="30" t="s">
        <v>13</v>
      </c>
      <c r="G309" s="35" t="s">
        <v>386</v>
      </c>
      <c r="H309" s="35" t="s">
        <v>73</v>
      </c>
      <c r="I309" s="35" t="s">
        <v>2446</v>
      </c>
      <c r="J309" s="35">
        <v>23</v>
      </c>
      <c r="K309" s="35">
        <f>VALUE(COUNTIF(Validation!$A$2:$H$47,E309))</f>
        <v>0</v>
      </c>
      <c r="L309" s="361">
        <f t="shared" si="50"/>
        <v>925000</v>
      </c>
      <c r="M309" s="361">
        <f t="shared" si="51"/>
        <v>0</v>
      </c>
      <c r="N309" s="358">
        <v>925000</v>
      </c>
      <c r="O309" s="358" t="s">
        <v>8</v>
      </c>
      <c r="P309" s="358">
        <v>0</v>
      </c>
      <c r="Q309" s="358">
        <v>0</v>
      </c>
      <c r="R309" s="358">
        <v>0</v>
      </c>
      <c r="S309" s="358">
        <v>0</v>
      </c>
      <c r="T309" s="358">
        <v>0</v>
      </c>
      <c r="U309" s="35">
        <f t="shared" si="52"/>
        <v>1</v>
      </c>
      <c r="W309">
        <f t="shared" si="53"/>
        <v>1</v>
      </c>
      <c r="X309" s="35">
        <f t="shared" si="54"/>
        <v>1</v>
      </c>
      <c r="Y309">
        <f t="shared" si="55"/>
        <v>0</v>
      </c>
      <c r="AB309">
        <f t="shared" si="58"/>
        <v>1</v>
      </c>
      <c r="AC309">
        <f t="shared" ca="1" si="59"/>
        <v>0</v>
      </c>
      <c r="AD309" t="str">
        <f ca="1">IF(AC309=1,COUNTIF($AC$3:AC309,1),"")</f>
        <v/>
      </c>
      <c r="AE309" s="155" t="str">
        <f ca="1">IFERROR(INDEX(Données!$B$3:$B$1479,MATCH(ROWS($AD$3:AD309),$AD$3:$AD$1479,0)),"")</f>
        <v/>
      </c>
    </row>
    <row r="310" spans="1:31" ht="15.75" x14ac:dyDescent="0.25">
      <c r="A310" t="str">
        <f t="shared" si="56"/>
        <v>Reese Johnson - CHI - AD</v>
      </c>
      <c r="B310" t="str">
        <f t="shared" si="57"/>
        <v>Reese Johnson - CHI - AD</v>
      </c>
      <c r="C310" t="str">
        <f t="shared" si="48"/>
        <v>Reese</v>
      </c>
      <c r="D310" t="str">
        <f t="shared" si="49"/>
        <v>Johnson</v>
      </c>
      <c r="E310" s="39" t="s">
        <v>2466</v>
      </c>
      <c r="F310" s="30" t="s">
        <v>13</v>
      </c>
      <c r="G310" s="35" t="s">
        <v>386</v>
      </c>
      <c r="H310" s="35" t="s">
        <v>2438</v>
      </c>
      <c r="I310" s="35" t="s">
        <v>2446</v>
      </c>
      <c r="J310" s="35">
        <v>21</v>
      </c>
      <c r="K310" s="35">
        <f>VALUE(COUNTIF(Validation!$A$2:$H$47,E310))</f>
        <v>0</v>
      </c>
      <c r="L310" s="361">
        <f t="shared" si="50"/>
        <v>925000</v>
      </c>
      <c r="M310" s="361">
        <f t="shared" si="51"/>
        <v>925000</v>
      </c>
      <c r="N310" s="358">
        <v>925000</v>
      </c>
      <c r="O310" s="358">
        <v>925000</v>
      </c>
      <c r="P310" s="358">
        <v>925000</v>
      </c>
      <c r="Q310" s="358" t="s">
        <v>8</v>
      </c>
      <c r="R310" s="358">
        <v>0</v>
      </c>
      <c r="S310" s="358">
        <v>0</v>
      </c>
      <c r="T310" s="358">
        <v>0</v>
      </c>
      <c r="U310" s="35">
        <f t="shared" si="52"/>
        <v>3</v>
      </c>
      <c r="W310">
        <f t="shared" si="53"/>
        <v>1</v>
      </c>
      <c r="X310" s="35">
        <f t="shared" si="54"/>
        <v>1</v>
      </c>
      <c r="Y310">
        <f t="shared" si="55"/>
        <v>1</v>
      </c>
      <c r="AB310">
        <f t="shared" si="58"/>
        <v>1</v>
      </c>
      <c r="AC310">
        <f t="shared" ca="1" si="59"/>
        <v>0</v>
      </c>
      <c r="AD310" t="str">
        <f ca="1">IF(AC310=1,COUNTIF($AC$3:AC310,1),"")</f>
        <v/>
      </c>
      <c r="AE310" s="155" t="str">
        <f ca="1">IFERROR(INDEX(Données!$B$3:$B$1479,MATCH(ROWS($AD$3:AD310),$AD$3:$AD$1479,0)),"")</f>
        <v/>
      </c>
    </row>
    <row r="311" spans="1:31" ht="15.75" x14ac:dyDescent="0.25">
      <c r="A311" t="str">
        <f t="shared" si="56"/>
        <v>Slater Koekkoek - CHI - DG</v>
      </c>
      <c r="B311" t="str">
        <f t="shared" si="57"/>
        <v>Slater Koekkoek - CHI - DG</v>
      </c>
      <c r="C311" t="str">
        <f t="shared" si="48"/>
        <v>Slater</v>
      </c>
      <c r="D311" t="str">
        <f t="shared" si="49"/>
        <v>Koekkoek</v>
      </c>
      <c r="E311" s="39" t="s">
        <v>1561</v>
      </c>
      <c r="F311" s="30" t="s">
        <v>13</v>
      </c>
      <c r="G311" s="35">
        <v>0</v>
      </c>
      <c r="H311" s="35" t="s">
        <v>2445</v>
      </c>
      <c r="I311" s="35" t="s">
        <v>2439</v>
      </c>
      <c r="J311" s="35">
        <v>25</v>
      </c>
      <c r="K311" s="35">
        <f>VALUE(COUNTIF(Validation!$A$2:$H$47,E311))</f>
        <v>0</v>
      </c>
      <c r="L311" s="361">
        <f t="shared" si="50"/>
        <v>925000</v>
      </c>
      <c r="M311" s="361">
        <f t="shared" si="51"/>
        <v>0</v>
      </c>
      <c r="N311" s="358">
        <v>925000</v>
      </c>
      <c r="O311" s="358" t="s">
        <v>8</v>
      </c>
      <c r="P311" s="358">
        <v>0</v>
      </c>
      <c r="Q311" s="358">
        <v>0</v>
      </c>
      <c r="R311" s="358">
        <v>0</v>
      </c>
      <c r="S311" s="358">
        <v>0</v>
      </c>
      <c r="T311" s="358">
        <v>0</v>
      </c>
      <c r="U311" s="35">
        <f t="shared" si="52"/>
        <v>1</v>
      </c>
      <c r="W311">
        <f t="shared" si="53"/>
        <v>1</v>
      </c>
      <c r="X311" s="35">
        <f t="shared" si="54"/>
        <v>0</v>
      </c>
      <c r="Y311">
        <f t="shared" si="55"/>
        <v>0</v>
      </c>
      <c r="AB311">
        <f t="shared" si="58"/>
        <v>1</v>
      </c>
      <c r="AC311">
        <f t="shared" ca="1" si="59"/>
        <v>0</v>
      </c>
      <c r="AD311" t="str">
        <f ca="1">IF(AC311=1,COUNTIF($AC$3:AC311,1),"")</f>
        <v/>
      </c>
      <c r="AE311" s="155" t="str">
        <f ca="1">IFERROR(INDEX(Données!$B$3:$B$1479,MATCH(ROWS($AD$3:AD311),$AD$3:$AD$1479,0)),"")</f>
        <v/>
      </c>
    </row>
    <row r="312" spans="1:31" ht="15.75" x14ac:dyDescent="0.25">
      <c r="A312" t="str">
        <f t="shared" si="56"/>
        <v>Chad Krys - CHI - D</v>
      </c>
      <c r="B312" t="str">
        <f t="shared" si="57"/>
        <v>Chad Krys - CHI - D</v>
      </c>
      <c r="C312" t="str">
        <f t="shared" si="48"/>
        <v>Chad</v>
      </c>
      <c r="D312" t="str">
        <f t="shared" si="49"/>
        <v>Krys</v>
      </c>
      <c r="E312" s="39" t="s">
        <v>2472</v>
      </c>
      <c r="F312" s="30" t="s">
        <v>13</v>
      </c>
      <c r="G312" s="35" t="s">
        <v>386</v>
      </c>
      <c r="H312" s="35" t="s">
        <v>82</v>
      </c>
      <c r="I312" s="35" t="s">
        <v>2446</v>
      </c>
      <c r="J312" s="35">
        <v>21</v>
      </c>
      <c r="K312" s="35">
        <f>VALUE(COUNTIF(Validation!$A$2:$H$47,E312))</f>
        <v>0</v>
      </c>
      <c r="L312" s="361">
        <f t="shared" si="50"/>
        <v>925000</v>
      </c>
      <c r="M312" s="361">
        <f t="shared" si="51"/>
        <v>925000</v>
      </c>
      <c r="N312" s="358">
        <v>925000</v>
      </c>
      <c r="O312" s="358">
        <v>925000</v>
      </c>
      <c r="P312" s="358">
        <v>925000</v>
      </c>
      <c r="Q312" s="358" t="s">
        <v>8</v>
      </c>
      <c r="R312" s="358">
        <v>0</v>
      </c>
      <c r="S312" s="358">
        <v>0</v>
      </c>
      <c r="T312" s="358">
        <v>0</v>
      </c>
      <c r="U312" s="35">
        <f t="shared" si="52"/>
        <v>3</v>
      </c>
      <c r="W312">
        <f t="shared" si="53"/>
        <v>1</v>
      </c>
      <c r="X312" s="35">
        <f t="shared" si="54"/>
        <v>1</v>
      </c>
      <c r="Y312">
        <f t="shared" si="55"/>
        <v>1</v>
      </c>
      <c r="AB312">
        <f t="shared" si="58"/>
        <v>1</v>
      </c>
      <c r="AC312">
        <f t="shared" ca="1" si="59"/>
        <v>0</v>
      </c>
      <c r="AD312" t="str">
        <f ca="1">IF(AC312=1,COUNTIF($AC$3:AC312,1),"")</f>
        <v/>
      </c>
      <c r="AE312" s="155" t="str">
        <f ca="1">IFERROR(INDEX(Données!$B$3:$B$1479,MATCH(ROWS($AD$3:AD312),$AD$3:$AD$1479,0)),"")</f>
        <v/>
      </c>
    </row>
    <row r="313" spans="1:31" ht="15.75" x14ac:dyDescent="0.25">
      <c r="A313" t="str">
        <f t="shared" si="56"/>
        <v>Philipp Kurashev - CHI - C, AG</v>
      </c>
      <c r="B313" t="str">
        <f t="shared" si="57"/>
        <v>Philipp Kurashev - CHI - C, AG</v>
      </c>
      <c r="C313" t="str">
        <f t="shared" si="48"/>
        <v>Philipp</v>
      </c>
      <c r="D313" t="str">
        <f t="shared" si="49"/>
        <v>Kurashev</v>
      </c>
      <c r="E313" s="39" t="s">
        <v>2467</v>
      </c>
      <c r="F313" s="30" t="s">
        <v>13</v>
      </c>
      <c r="G313" s="35" t="s">
        <v>386</v>
      </c>
      <c r="H313" s="35" t="s">
        <v>2452</v>
      </c>
      <c r="I313" s="35" t="s">
        <v>2446</v>
      </c>
      <c r="J313" s="35">
        <v>19</v>
      </c>
      <c r="K313" s="35">
        <f>VALUE(COUNTIF(Validation!$A$2:$H$47,E313))</f>
        <v>0</v>
      </c>
      <c r="L313" s="361">
        <f t="shared" si="50"/>
        <v>925000</v>
      </c>
      <c r="M313" s="361">
        <f t="shared" si="51"/>
        <v>925000</v>
      </c>
      <c r="N313" s="358">
        <v>925000</v>
      </c>
      <c r="O313" s="358">
        <v>925000</v>
      </c>
      <c r="P313" s="358">
        <v>925000</v>
      </c>
      <c r="Q313" s="358" t="s">
        <v>8</v>
      </c>
      <c r="R313" s="358">
        <v>0</v>
      </c>
      <c r="S313" s="358">
        <v>0</v>
      </c>
      <c r="T313" s="358">
        <v>0</v>
      </c>
      <c r="U313" s="35">
        <f t="shared" si="52"/>
        <v>3</v>
      </c>
      <c r="W313">
        <f t="shared" si="53"/>
        <v>1</v>
      </c>
      <c r="X313" s="35">
        <f t="shared" si="54"/>
        <v>1</v>
      </c>
      <c r="Y313">
        <f t="shared" si="55"/>
        <v>1</v>
      </c>
      <c r="AB313">
        <f t="shared" si="58"/>
        <v>1</v>
      </c>
      <c r="AC313">
        <f t="shared" ca="1" si="59"/>
        <v>0</v>
      </c>
      <c r="AD313" t="str">
        <f ca="1">IF(AC313=1,COUNTIF($AC$3:AC313,1),"")</f>
        <v/>
      </c>
      <c r="AE313" s="155" t="str">
        <f ca="1">IFERROR(INDEX(Données!$B$3:$B$1479,MATCH(ROWS($AD$3:AD313),$AD$3:$AD$1479,0)),"")</f>
        <v/>
      </c>
    </row>
    <row r="314" spans="1:31" ht="15.75" x14ac:dyDescent="0.25">
      <c r="A314" t="str">
        <f t="shared" si="56"/>
        <v>Nathan Noel - CHI - C</v>
      </c>
      <c r="B314" t="str">
        <f t="shared" si="57"/>
        <v>Nathan Noel - CHI - C</v>
      </c>
      <c r="C314" t="str">
        <f t="shared" si="48"/>
        <v>Nathan</v>
      </c>
      <c r="D314" t="str">
        <f t="shared" si="49"/>
        <v>Noel</v>
      </c>
      <c r="E314" s="39" t="s">
        <v>1908</v>
      </c>
      <c r="F314" s="30" t="s">
        <v>13</v>
      </c>
      <c r="G314" s="35" t="s">
        <v>386</v>
      </c>
      <c r="H314" s="35" t="s">
        <v>73</v>
      </c>
      <c r="I314" s="35" t="s">
        <v>2446</v>
      </c>
      <c r="J314" s="35">
        <v>22</v>
      </c>
      <c r="K314" s="35">
        <f>VALUE(COUNTIF(Validation!$A$2:$H$47,E314))</f>
        <v>0</v>
      </c>
      <c r="L314" s="361">
        <f t="shared" si="50"/>
        <v>925000</v>
      </c>
      <c r="M314" s="361">
        <f t="shared" si="51"/>
        <v>0</v>
      </c>
      <c r="N314" s="358">
        <v>925000</v>
      </c>
      <c r="O314" s="358" t="s">
        <v>8</v>
      </c>
      <c r="P314" s="358">
        <v>0</v>
      </c>
      <c r="Q314" s="358">
        <v>0</v>
      </c>
      <c r="R314" s="358">
        <v>0</v>
      </c>
      <c r="S314" s="358">
        <v>0</v>
      </c>
      <c r="T314" s="358">
        <v>0</v>
      </c>
      <c r="U314" s="35">
        <f t="shared" si="52"/>
        <v>1</v>
      </c>
      <c r="W314">
        <f t="shared" si="53"/>
        <v>1</v>
      </c>
      <c r="X314" s="35">
        <f t="shared" si="54"/>
        <v>1</v>
      </c>
      <c r="Y314">
        <f t="shared" si="55"/>
        <v>0</v>
      </c>
      <c r="AB314">
        <f t="shared" si="58"/>
        <v>1</v>
      </c>
      <c r="AC314">
        <f t="shared" ca="1" si="59"/>
        <v>0</v>
      </c>
      <c r="AD314" t="str">
        <f ca="1">IF(AC314=1,COUNTIF($AC$3:AC314,1),"")</f>
        <v/>
      </c>
      <c r="AE314" s="155" t="str">
        <f ca="1">IFERROR(INDEX(Données!$B$3:$B$1479,MATCH(ROWS($AD$3:AD314),$AD$3:$AD$1479,0)),"")</f>
        <v/>
      </c>
    </row>
    <row r="315" spans="1:31" ht="15.75" x14ac:dyDescent="0.25">
      <c r="A315" t="str">
        <f t="shared" si="56"/>
        <v>Tim Soderlund - CHI - C, AG</v>
      </c>
      <c r="B315" t="str">
        <f t="shared" si="57"/>
        <v>Tim Soderlund - CHI - C, AG</v>
      </c>
      <c r="C315" t="str">
        <f t="shared" si="48"/>
        <v>Tim</v>
      </c>
      <c r="D315" t="str">
        <f t="shared" si="49"/>
        <v>Soderlund</v>
      </c>
      <c r="E315" s="39" t="s">
        <v>2864</v>
      </c>
      <c r="F315" s="30" t="s">
        <v>13</v>
      </c>
      <c r="G315" s="35" t="s">
        <v>386</v>
      </c>
      <c r="H315" s="35" t="s">
        <v>2452</v>
      </c>
      <c r="I315" s="35" t="s">
        <v>2446</v>
      </c>
      <c r="J315" s="35">
        <v>21</v>
      </c>
      <c r="K315" s="35">
        <f>VALUE(COUNTIF(Validation!$A$2:$H$47,E315))</f>
        <v>0</v>
      </c>
      <c r="L315" s="361">
        <f t="shared" si="50"/>
        <v>925000</v>
      </c>
      <c r="M315" s="361">
        <f t="shared" si="51"/>
        <v>925000</v>
      </c>
      <c r="N315" s="358">
        <v>925000</v>
      </c>
      <c r="O315" s="358">
        <v>925000</v>
      </c>
      <c r="P315" s="358">
        <v>925000</v>
      </c>
      <c r="Q315" s="358" t="s">
        <v>8</v>
      </c>
      <c r="R315" s="358">
        <v>0</v>
      </c>
      <c r="S315" s="358">
        <v>0</v>
      </c>
      <c r="T315" s="358">
        <v>0</v>
      </c>
      <c r="U315" s="35">
        <f t="shared" si="52"/>
        <v>3</v>
      </c>
      <c r="W315">
        <f t="shared" si="53"/>
        <v>1</v>
      </c>
      <c r="X315" s="35">
        <f t="shared" si="54"/>
        <v>1</v>
      </c>
      <c r="Y315">
        <f t="shared" si="55"/>
        <v>1</v>
      </c>
      <c r="AB315">
        <f t="shared" si="58"/>
        <v>1</v>
      </c>
      <c r="AC315">
        <f t="shared" ca="1" si="59"/>
        <v>0</v>
      </c>
      <c r="AD315" t="str">
        <f ca="1">IF(AC315=1,COUNTIF($AC$3:AC315,1),"")</f>
        <v/>
      </c>
      <c r="AE315" s="155" t="str">
        <f ca="1">IFERROR(INDEX(Données!$B$3:$B$1479,MATCH(ROWS($AD$3:AD315),$AD$3:$AD$1479,0)),"")</f>
        <v/>
      </c>
    </row>
    <row r="316" spans="1:31" ht="15.75" x14ac:dyDescent="0.25">
      <c r="A316" t="str">
        <f t="shared" si="56"/>
        <v>Joni Tuulola - CHI - DG</v>
      </c>
      <c r="B316" t="str">
        <f t="shared" si="57"/>
        <v>Joni Tuulola - CHI - DG</v>
      </c>
      <c r="C316" t="str">
        <f t="shared" si="48"/>
        <v>Joni</v>
      </c>
      <c r="D316" t="str">
        <f t="shared" si="49"/>
        <v>Tuulola</v>
      </c>
      <c r="E316" s="39" t="s">
        <v>1909</v>
      </c>
      <c r="F316" s="30" t="s">
        <v>13</v>
      </c>
      <c r="G316" s="35" t="s">
        <v>386</v>
      </c>
      <c r="H316" s="35" t="s">
        <v>2445</v>
      </c>
      <c r="I316" s="35" t="s">
        <v>2446</v>
      </c>
      <c r="J316" s="35">
        <v>23</v>
      </c>
      <c r="K316" s="35">
        <f>VALUE(COUNTIF(Validation!$A$2:$H$47,E316))</f>
        <v>0</v>
      </c>
      <c r="L316" s="361">
        <f t="shared" si="50"/>
        <v>925000</v>
      </c>
      <c r="M316" s="361">
        <f t="shared" si="51"/>
        <v>0</v>
      </c>
      <c r="N316" s="358">
        <v>925000</v>
      </c>
      <c r="O316" s="358" t="s">
        <v>8</v>
      </c>
      <c r="P316" s="358">
        <v>0</v>
      </c>
      <c r="Q316" s="358">
        <v>0</v>
      </c>
      <c r="R316" s="358">
        <v>0</v>
      </c>
      <c r="S316" s="358">
        <v>0</v>
      </c>
      <c r="T316" s="358">
        <v>0</v>
      </c>
      <c r="U316" s="35">
        <f t="shared" si="52"/>
        <v>1</v>
      </c>
      <c r="W316">
        <f t="shared" si="53"/>
        <v>1</v>
      </c>
      <c r="X316" s="35">
        <f t="shared" si="54"/>
        <v>1</v>
      </c>
      <c r="Y316">
        <f t="shared" si="55"/>
        <v>0</v>
      </c>
      <c r="AB316">
        <f t="shared" si="58"/>
        <v>1</v>
      </c>
      <c r="AC316">
        <f t="shared" ca="1" si="59"/>
        <v>0</v>
      </c>
      <c r="AD316" t="str">
        <f ca="1">IF(AC316=1,COUNTIF($AC$3:AC316,1),"")</f>
        <v/>
      </c>
      <c r="AE316" s="155" t="str">
        <f ca="1">IFERROR(INDEX(Données!$B$3:$B$1479,MATCH(ROWS($AD$3:AD316),$AD$3:$AD$1479,0)),"")</f>
        <v/>
      </c>
    </row>
    <row r="317" spans="1:31" ht="15.75" x14ac:dyDescent="0.25">
      <c r="A317" t="str">
        <f t="shared" si="56"/>
        <v>Anton Wedin - CHI - AG, AD</v>
      </c>
      <c r="B317" t="str">
        <f t="shared" si="57"/>
        <v>Anton Wedin - CHI - AG, AD</v>
      </c>
      <c r="C317" t="str">
        <f t="shared" si="48"/>
        <v>Anton</v>
      </c>
      <c r="D317" t="str">
        <f t="shared" si="49"/>
        <v>Wedin</v>
      </c>
      <c r="E317" s="39" t="s">
        <v>2463</v>
      </c>
      <c r="F317" s="30" t="s">
        <v>13</v>
      </c>
      <c r="G317" s="35" t="s">
        <v>386</v>
      </c>
      <c r="H317" s="35" t="s">
        <v>2442</v>
      </c>
      <c r="I317" s="35" t="s">
        <v>2446</v>
      </c>
      <c r="J317" s="9">
        <v>26</v>
      </c>
      <c r="K317" s="35">
        <f>VALUE(COUNTIF(Validation!$A$2:$H$47,E317))</f>
        <v>0</v>
      </c>
      <c r="L317" s="361">
        <f t="shared" si="50"/>
        <v>925000</v>
      </c>
      <c r="M317" s="361">
        <f t="shared" si="51"/>
        <v>0</v>
      </c>
      <c r="N317" s="358">
        <v>925000</v>
      </c>
      <c r="O317" s="358" t="s">
        <v>7</v>
      </c>
      <c r="P317" s="358">
        <v>0</v>
      </c>
      <c r="Q317" s="358">
        <v>0</v>
      </c>
      <c r="R317" s="358">
        <v>0</v>
      </c>
      <c r="S317" s="358">
        <v>0</v>
      </c>
      <c r="T317" s="358">
        <v>0</v>
      </c>
      <c r="U317" s="35">
        <f t="shared" si="52"/>
        <v>1</v>
      </c>
      <c r="W317">
        <f t="shared" si="53"/>
        <v>1</v>
      </c>
      <c r="X317" s="35">
        <f t="shared" si="54"/>
        <v>1</v>
      </c>
      <c r="Y317">
        <f t="shared" si="55"/>
        <v>0</v>
      </c>
      <c r="AB317">
        <f t="shared" si="58"/>
        <v>1</v>
      </c>
      <c r="AC317">
        <f t="shared" ca="1" si="59"/>
        <v>0</v>
      </c>
      <c r="AD317" t="str">
        <f ca="1">IF(AC317=1,COUNTIF($AC$3:AC317,1),"")</f>
        <v/>
      </c>
      <c r="AE317" s="155" t="str">
        <f ca="1">IFERROR(INDEX(Données!$B$3:$B$1479,MATCH(ROWS($AD$3:AD317),$AD$3:$AD$1479,0)),"")</f>
        <v/>
      </c>
    </row>
    <row r="318" spans="1:31" ht="15.75" x14ac:dyDescent="0.25">
      <c r="A318" t="str">
        <f t="shared" si="56"/>
        <v>Aleksi Saarela - CHI - C, AG</v>
      </c>
      <c r="B318" t="str">
        <f t="shared" si="57"/>
        <v>Aleksi Saarela - CHI - C, AG</v>
      </c>
      <c r="C318" t="str">
        <f t="shared" si="48"/>
        <v>Aleksi</v>
      </c>
      <c r="D318" t="str">
        <f t="shared" si="49"/>
        <v>Saarela</v>
      </c>
      <c r="E318" s="39" t="s">
        <v>1639</v>
      </c>
      <c r="F318" s="30" t="s">
        <v>13</v>
      </c>
      <c r="G318" s="35" t="s">
        <v>386</v>
      </c>
      <c r="H318" s="35" t="s">
        <v>2452</v>
      </c>
      <c r="I318" s="35" t="s">
        <v>2446</v>
      </c>
      <c r="J318" s="35">
        <v>22</v>
      </c>
      <c r="K318" s="35">
        <f>VALUE(COUNTIF(Validation!$A$2:$H$47,E318))</f>
        <v>0</v>
      </c>
      <c r="L318" s="361">
        <f t="shared" si="50"/>
        <v>902500</v>
      </c>
      <c r="M318" s="361">
        <f t="shared" si="51"/>
        <v>0</v>
      </c>
      <c r="N318" s="358">
        <v>902500</v>
      </c>
      <c r="O318" s="358" t="s">
        <v>8</v>
      </c>
      <c r="P318" s="358">
        <v>0</v>
      </c>
      <c r="Q318" s="358">
        <v>0</v>
      </c>
      <c r="R318" s="358">
        <v>0</v>
      </c>
      <c r="S318" s="358">
        <v>0</v>
      </c>
      <c r="T318" s="358">
        <v>0</v>
      </c>
      <c r="U318" s="35">
        <f t="shared" si="52"/>
        <v>1</v>
      </c>
      <c r="W318">
        <f t="shared" si="53"/>
        <v>1</v>
      </c>
      <c r="X318" s="35">
        <f t="shared" si="54"/>
        <v>1</v>
      </c>
      <c r="Y318">
        <f t="shared" si="55"/>
        <v>0</v>
      </c>
      <c r="AB318">
        <f t="shared" si="58"/>
        <v>1</v>
      </c>
      <c r="AC318">
        <f t="shared" ca="1" si="59"/>
        <v>0</v>
      </c>
      <c r="AD318" t="str">
        <f ca="1">IF(AC318=1,COUNTIF($AC$3:AC318,1),"")</f>
        <v/>
      </c>
      <c r="AE318" s="155" t="str">
        <f ca="1">IFERROR(INDEX(Données!$B$3:$B$1479,MATCH(ROWS($AD$3:AD318),$AD$3:$AD$1479,0)),"")</f>
        <v/>
      </c>
    </row>
    <row r="319" spans="1:31" ht="15.75" x14ac:dyDescent="0.25">
      <c r="A319" t="str">
        <f t="shared" si="56"/>
        <v>Mackenzie Entwistle - CHI - C</v>
      </c>
      <c r="B319" t="str">
        <f t="shared" si="57"/>
        <v>Mackenzie Entwistle - CHI - C</v>
      </c>
      <c r="C319" t="str">
        <f t="shared" si="48"/>
        <v>Mackenzie</v>
      </c>
      <c r="D319" t="str">
        <f t="shared" si="49"/>
        <v>Entwistle</v>
      </c>
      <c r="E319" s="39" t="s">
        <v>2469</v>
      </c>
      <c r="F319" s="30" t="s">
        <v>13</v>
      </c>
      <c r="G319" s="35" t="s">
        <v>386</v>
      </c>
      <c r="H319" s="9" t="s">
        <v>73</v>
      </c>
      <c r="I319" s="9" t="s">
        <v>2446</v>
      </c>
      <c r="J319" s="9">
        <v>20</v>
      </c>
      <c r="K319" s="35">
        <f>VALUE(COUNTIF(Validation!$A$2:$H$47,E319))</f>
        <v>0</v>
      </c>
      <c r="L319" s="361">
        <f t="shared" si="50"/>
        <v>894167</v>
      </c>
      <c r="M319" s="361">
        <f t="shared" si="51"/>
        <v>894167</v>
      </c>
      <c r="N319" s="358">
        <v>894167</v>
      </c>
      <c r="O319" s="358">
        <v>894167</v>
      </c>
      <c r="P319" s="358">
        <v>894167</v>
      </c>
      <c r="Q319" s="358" t="s">
        <v>8</v>
      </c>
      <c r="R319" s="358">
        <v>0</v>
      </c>
      <c r="S319" s="358">
        <v>0</v>
      </c>
      <c r="T319" s="358">
        <v>0</v>
      </c>
      <c r="U319" s="35">
        <f t="shared" si="52"/>
        <v>3</v>
      </c>
      <c r="W319">
        <f t="shared" si="53"/>
        <v>1</v>
      </c>
      <c r="X319" s="35">
        <f t="shared" si="54"/>
        <v>1</v>
      </c>
      <c r="Y319">
        <f t="shared" si="55"/>
        <v>1</v>
      </c>
      <c r="AB319">
        <f t="shared" si="58"/>
        <v>1</v>
      </c>
      <c r="AC319">
        <f t="shared" ca="1" si="59"/>
        <v>0</v>
      </c>
      <c r="AD319" t="str">
        <f ca="1">IF(AC319=1,COUNTIF($AC$3:AC319,1),"")</f>
        <v/>
      </c>
      <c r="AE319" s="155" t="str">
        <f ca="1">IFERROR(INDEX(Données!$B$3:$B$1479,MATCH(ROWS($AD$3:AD319),$AD$3:$AD$1479,0)),"")</f>
        <v/>
      </c>
    </row>
    <row r="320" spans="1:31" ht="15.75" x14ac:dyDescent="0.25">
      <c r="A320" t="str">
        <f t="shared" si="56"/>
        <v>Alex DeBrincat - CHI - AG, AD</v>
      </c>
      <c r="B320" t="str">
        <f t="shared" si="57"/>
        <v>Alex DeBrincat - CHI - AG, AD</v>
      </c>
      <c r="C320" t="str">
        <f t="shared" si="48"/>
        <v>Alex</v>
      </c>
      <c r="D320" t="str">
        <f t="shared" si="49"/>
        <v>DeBrincat</v>
      </c>
      <c r="E320" s="39" t="s">
        <v>1892</v>
      </c>
      <c r="F320" s="30" t="s">
        <v>13</v>
      </c>
      <c r="G320" s="35" t="s">
        <v>403</v>
      </c>
      <c r="H320" s="35" t="s">
        <v>2442</v>
      </c>
      <c r="I320" s="35" t="s">
        <v>2439</v>
      </c>
      <c r="J320" s="35">
        <v>21</v>
      </c>
      <c r="K320" s="35">
        <f>VALUE(COUNTIF(Validation!$A$2:$H$47,E320))</f>
        <v>0</v>
      </c>
      <c r="L320" s="361">
        <f t="shared" si="50"/>
        <v>894166</v>
      </c>
      <c r="M320" s="361">
        <f t="shared" si="51"/>
        <v>0</v>
      </c>
      <c r="N320" s="358">
        <v>894166</v>
      </c>
      <c r="O320" s="358" t="s">
        <v>8</v>
      </c>
      <c r="P320" s="358">
        <v>0</v>
      </c>
      <c r="Q320" s="358">
        <v>0</v>
      </c>
      <c r="R320" s="358">
        <v>0</v>
      </c>
      <c r="S320" s="358">
        <v>0</v>
      </c>
      <c r="T320" s="358">
        <v>0</v>
      </c>
      <c r="U320" s="35">
        <f t="shared" si="52"/>
        <v>1</v>
      </c>
      <c r="W320">
        <f t="shared" si="53"/>
        <v>1</v>
      </c>
      <c r="X320" s="35">
        <f t="shared" si="54"/>
        <v>1</v>
      </c>
      <c r="Y320">
        <f t="shared" si="55"/>
        <v>0</v>
      </c>
      <c r="AB320">
        <f t="shared" si="58"/>
        <v>1</v>
      </c>
      <c r="AC320">
        <f t="shared" ca="1" si="59"/>
        <v>0</v>
      </c>
      <c r="AD320" t="str">
        <f ca="1">IF(AC320=1,COUNTIF($AC$3:AC320,1),"")</f>
        <v/>
      </c>
      <c r="AE320" s="155" t="str">
        <f ca="1">IFERROR(INDEX(Données!$B$3:$B$1479,MATCH(ROWS($AD$3:AD320),$AD$3:$AD$1479,0)),"")</f>
        <v/>
      </c>
    </row>
    <row r="321" spans="1:31" ht="15.75" x14ac:dyDescent="0.25">
      <c r="A321" t="str">
        <f t="shared" si="56"/>
        <v>Carl Dahlstrom - CHI - DG</v>
      </c>
      <c r="B321" t="str">
        <f t="shared" si="57"/>
        <v>Carl Dahlstrom - CHI - DG</v>
      </c>
      <c r="C321" t="str">
        <f t="shared" si="48"/>
        <v>Carl</v>
      </c>
      <c r="D321" t="str">
        <f t="shared" si="49"/>
        <v>Dahlstrom</v>
      </c>
      <c r="E321" s="39" t="s">
        <v>2851</v>
      </c>
      <c r="F321" s="30" t="s">
        <v>13</v>
      </c>
      <c r="G321" s="35">
        <v>0</v>
      </c>
      <c r="H321" s="35" t="s">
        <v>2445</v>
      </c>
      <c r="I321" s="35" t="s">
        <v>2439</v>
      </c>
      <c r="J321" s="35">
        <v>24</v>
      </c>
      <c r="K321" s="35">
        <f>VALUE(COUNTIF(Validation!$A$2:$H$47,E321))</f>
        <v>0</v>
      </c>
      <c r="L321" s="361">
        <f t="shared" si="50"/>
        <v>850000</v>
      </c>
      <c r="M321" s="361">
        <f t="shared" si="51"/>
        <v>850000</v>
      </c>
      <c r="N321" s="358">
        <v>850000</v>
      </c>
      <c r="O321" s="358">
        <v>850000</v>
      </c>
      <c r="P321" s="358" t="s">
        <v>8</v>
      </c>
      <c r="Q321" s="358">
        <v>0</v>
      </c>
      <c r="R321" s="358">
        <v>0</v>
      </c>
      <c r="S321" s="358">
        <v>0</v>
      </c>
      <c r="T321" s="358">
        <v>0</v>
      </c>
      <c r="U321" s="35">
        <f t="shared" si="52"/>
        <v>2</v>
      </c>
      <c r="W321">
        <f t="shared" si="53"/>
        <v>1</v>
      </c>
      <c r="X321" s="35">
        <f t="shared" si="54"/>
        <v>0</v>
      </c>
      <c r="Y321">
        <f t="shared" si="55"/>
        <v>1</v>
      </c>
      <c r="AB321">
        <f t="shared" si="58"/>
        <v>1</v>
      </c>
      <c r="AC321">
        <f t="shared" ca="1" si="59"/>
        <v>0</v>
      </c>
      <c r="AD321" t="str">
        <f ca="1">IF(AC321=1,COUNTIF($AC$3:AC321,1),"")</f>
        <v/>
      </c>
      <c r="AE321" s="155" t="str">
        <f ca="1">IFERROR(INDEX(Données!$B$3:$B$1479,MATCH(ROWS($AD$3:AD321),$AD$3:$AD$1479,0)),"")</f>
        <v/>
      </c>
    </row>
    <row r="322" spans="1:31" ht="15.75" x14ac:dyDescent="0.25">
      <c r="A322" t="str">
        <f t="shared" si="56"/>
        <v>John Quenneville - CHI - AG, C</v>
      </c>
      <c r="B322" t="str">
        <f t="shared" si="57"/>
        <v>John Quenneville - CHI - AG, C</v>
      </c>
      <c r="C322" t="str">
        <f t="shared" si="48"/>
        <v>John</v>
      </c>
      <c r="D322" t="str">
        <f t="shared" si="49"/>
        <v>Quenneville</v>
      </c>
      <c r="E322" s="39" t="s">
        <v>1709</v>
      </c>
      <c r="F322" s="30" t="s">
        <v>13</v>
      </c>
      <c r="G322" s="35">
        <v>0</v>
      </c>
      <c r="H322" s="35" t="s">
        <v>2450</v>
      </c>
      <c r="I322" s="35" t="s">
        <v>2446</v>
      </c>
      <c r="J322" s="35">
        <v>23</v>
      </c>
      <c r="K322" s="35">
        <f>VALUE(COUNTIF(Validation!$A$2:$H$47,E322))</f>
        <v>0</v>
      </c>
      <c r="L322" s="361">
        <f t="shared" si="50"/>
        <v>750000</v>
      </c>
      <c r="M322" s="361">
        <f t="shared" si="51"/>
        <v>750000</v>
      </c>
      <c r="N322" s="358">
        <v>750000</v>
      </c>
      <c r="O322" s="358">
        <v>750000</v>
      </c>
      <c r="P322" s="358" t="s">
        <v>8</v>
      </c>
      <c r="Q322" s="358">
        <v>0</v>
      </c>
      <c r="R322" s="358">
        <v>0</v>
      </c>
      <c r="S322" s="358">
        <v>0</v>
      </c>
      <c r="T322" s="358">
        <v>0</v>
      </c>
      <c r="U322" s="35">
        <f t="shared" si="52"/>
        <v>2</v>
      </c>
      <c r="W322">
        <f t="shared" si="53"/>
        <v>1</v>
      </c>
      <c r="X322" s="35">
        <f t="shared" si="54"/>
        <v>0</v>
      </c>
      <c r="Y322">
        <f t="shared" si="55"/>
        <v>1</v>
      </c>
      <c r="AB322">
        <f t="shared" si="58"/>
        <v>1</v>
      </c>
      <c r="AC322">
        <f t="shared" ca="1" si="59"/>
        <v>0</v>
      </c>
      <c r="AD322" t="str">
        <f ca="1">IF(AC322=1,COUNTIF($AC$3:AC322,1),"")</f>
        <v/>
      </c>
      <c r="AE322" s="155" t="str">
        <f ca="1">IFERROR(INDEX(Données!$B$3:$B$1479,MATCH(ROWS($AD$3:AD322),$AD$3:$AD$1479,0)),"")</f>
        <v/>
      </c>
    </row>
    <row r="323" spans="1:31" ht="15.75" x14ac:dyDescent="0.25">
      <c r="A323" t="str">
        <f t="shared" si="56"/>
        <v>Dylan Sikura - CHI - AG, AD, C</v>
      </c>
      <c r="B323" t="str">
        <f t="shared" si="57"/>
        <v>Dylan Sikura - CHI - AG, AD, C</v>
      </c>
      <c r="C323" t="str">
        <f t="shared" ref="C323:C386" si="60">RIGHT(E323,(LEN(E323)-1)-SEARCH(",",E323,1))</f>
        <v>Dylan</v>
      </c>
      <c r="D323" t="str">
        <f t="shared" ref="D323:D386" si="61">LEFT(E323,SEARCH(",",E323,1)-1)</f>
        <v>Sikura</v>
      </c>
      <c r="E323" s="39" t="s">
        <v>1891</v>
      </c>
      <c r="F323" s="30" t="s">
        <v>13</v>
      </c>
      <c r="G323" s="35">
        <v>0</v>
      </c>
      <c r="H323" s="35" t="s">
        <v>2470</v>
      </c>
      <c r="I323" s="35" t="s">
        <v>2446</v>
      </c>
      <c r="J323" s="35">
        <v>24</v>
      </c>
      <c r="K323" s="35">
        <f>VALUE(COUNTIF(Validation!$A$2:$H$47,E323))</f>
        <v>0</v>
      </c>
      <c r="L323" s="361">
        <f t="shared" ref="L323:L386" si="62">IF(OR(N323="RFA",N323="UFA",N323="",N323=0),0,N323)</f>
        <v>750000</v>
      </c>
      <c r="M323" s="361">
        <f t="shared" ref="M323:M386" si="63">IF(OR(O323="RFA",O323="UFA",O323="",O323=0),0,O323)</f>
        <v>750000</v>
      </c>
      <c r="N323" s="358">
        <v>750000</v>
      </c>
      <c r="O323" s="358">
        <v>750000</v>
      </c>
      <c r="P323" s="358" t="s">
        <v>8</v>
      </c>
      <c r="Q323" s="358">
        <v>0</v>
      </c>
      <c r="R323" s="358">
        <v>0</v>
      </c>
      <c r="S323" s="358">
        <v>0</v>
      </c>
      <c r="T323" s="358">
        <v>0</v>
      </c>
      <c r="U323" s="35">
        <f t="shared" ref="U323:U386" si="64">COUNTIF(N323:T323,"&gt;0")</f>
        <v>2</v>
      </c>
      <c r="W323">
        <f t="shared" ref="W323:W386" si="65">COUNTIF($E$3:$E$1479,E323)</f>
        <v>1</v>
      </c>
      <c r="X323" s="35">
        <f t="shared" ref="X323:X386" si="66">IF(LEFT(G323,3)="ELC",1,0)</f>
        <v>0</v>
      </c>
      <c r="Y323">
        <f t="shared" ref="Y323:Y386" si="67">IF(L323=M323,1,0)</f>
        <v>1</v>
      </c>
      <c r="AB323">
        <f t="shared" si="58"/>
        <v>1</v>
      </c>
      <c r="AC323">
        <f t="shared" ca="1" si="59"/>
        <v>0</v>
      </c>
      <c r="AD323" t="str">
        <f ca="1">IF(AC323=1,COUNTIF($AC$3:AC323,1),"")</f>
        <v/>
      </c>
      <c r="AE323" s="155" t="str">
        <f ca="1">IFERROR(INDEX(Données!$B$3:$B$1479,MATCH(ROWS($AD$3:AD323),$AD$3:$AD$1479,0)),"")</f>
        <v/>
      </c>
    </row>
    <row r="324" spans="1:31" ht="15.75" x14ac:dyDescent="0.25">
      <c r="A324" t="str">
        <f t="shared" ref="A324:A387" si="68">C324&amp;" "&amp;D324&amp;" - "&amp;F324&amp;" - "&amp;H324</f>
        <v>Alexandre Fortin - CHI - C, AG</v>
      </c>
      <c r="B324" t="str">
        <f t="shared" ref="B324:B387" si="69">A324</f>
        <v>Alexandre Fortin - CHI - C, AG</v>
      </c>
      <c r="C324" t="str">
        <f t="shared" si="60"/>
        <v>Alexandre</v>
      </c>
      <c r="D324" t="str">
        <f t="shared" si="61"/>
        <v>Fortin</v>
      </c>
      <c r="E324" s="39" t="s">
        <v>1915</v>
      </c>
      <c r="F324" s="30" t="s">
        <v>13</v>
      </c>
      <c r="G324" s="35" t="s">
        <v>386</v>
      </c>
      <c r="H324" s="35" t="s">
        <v>2452</v>
      </c>
      <c r="I324" s="35" t="s">
        <v>2446</v>
      </c>
      <c r="J324" s="35">
        <v>22</v>
      </c>
      <c r="K324" s="35">
        <f>VALUE(COUNTIF(Validation!$A$2:$H$47,E324))</f>
        <v>0</v>
      </c>
      <c r="L324" s="361">
        <f t="shared" si="62"/>
        <v>706666</v>
      </c>
      <c r="M324" s="361">
        <f t="shared" si="63"/>
        <v>0</v>
      </c>
      <c r="N324" s="358">
        <v>706666</v>
      </c>
      <c r="O324" s="358" t="s">
        <v>8</v>
      </c>
      <c r="P324" s="358">
        <v>0</v>
      </c>
      <c r="Q324" s="358">
        <v>0</v>
      </c>
      <c r="R324" s="358">
        <v>0</v>
      </c>
      <c r="S324" s="358">
        <v>0</v>
      </c>
      <c r="T324" s="358">
        <v>0</v>
      </c>
      <c r="U324" s="35">
        <f t="shared" si="64"/>
        <v>1</v>
      </c>
      <c r="W324">
        <f t="shared" si="65"/>
        <v>1</v>
      </c>
      <c r="X324" s="35">
        <f t="shared" si="66"/>
        <v>1</v>
      </c>
      <c r="Y324">
        <f t="shared" si="67"/>
        <v>0</v>
      </c>
      <c r="AB324">
        <f t="shared" ref="AB324:AB387" si="70">SEARCH(AA324,A324)</f>
        <v>1</v>
      </c>
      <c r="AC324">
        <f t="shared" ca="1" si="59"/>
        <v>0</v>
      </c>
      <c r="AD324" t="str">
        <f ca="1">IF(AC324=1,COUNTIF($AC$3:AC324,1),"")</f>
        <v/>
      </c>
      <c r="AE324" s="155" t="str">
        <f ca="1">IFERROR(INDEX(Données!$B$3:$B$1479,MATCH(ROWS($AD$3:AD324),$AD$3:$AD$1479,0)),"")</f>
        <v/>
      </c>
    </row>
    <row r="325" spans="1:31" ht="15.75" x14ac:dyDescent="0.25">
      <c r="A325" t="str">
        <f t="shared" si="68"/>
        <v>Jacob Nilsson - CHI - C, AG</v>
      </c>
      <c r="B325" t="str">
        <f t="shared" si="69"/>
        <v>Jacob Nilsson - CHI - C, AG</v>
      </c>
      <c r="C325" t="str">
        <f t="shared" si="60"/>
        <v>Jacob</v>
      </c>
      <c r="D325" t="str">
        <f t="shared" si="61"/>
        <v>Nilsson</v>
      </c>
      <c r="E325" s="39" t="s">
        <v>1902</v>
      </c>
      <c r="F325" s="35" t="s">
        <v>13</v>
      </c>
      <c r="G325" s="35">
        <v>0</v>
      </c>
      <c r="H325" s="9" t="s">
        <v>2452</v>
      </c>
      <c r="I325" s="9" t="s">
        <v>2446</v>
      </c>
      <c r="J325" s="9">
        <v>25</v>
      </c>
      <c r="K325" s="35">
        <f>VALUE(COUNTIF(Validation!$A$2:$H$47,E325))</f>
        <v>0</v>
      </c>
      <c r="L325" s="361">
        <f t="shared" si="62"/>
        <v>700000</v>
      </c>
      <c r="M325" s="361">
        <f t="shared" si="63"/>
        <v>0</v>
      </c>
      <c r="N325" s="358">
        <v>700000</v>
      </c>
      <c r="O325" s="358" t="s">
        <v>8</v>
      </c>
      <c r="P325" s="358">
        <v>0</v>
      </c>
      <c r="Q325" s="358">
        <v>0</v>
      </c>
      <c r="R325" s="358">
        <v>0</v>
      </c>
      <c r="S325" s="358">
        <v>0</v>
      </c>
      <c r="T325" s="358">
        <v>0</v>
      </c>
      <c r="U325" s="35">
        <f t="shared" si="64"/>
        <v>1</v>
      </c>
      <c r="W325">
        <f t="shared" si="65"/>
        <v>1</v>
      </c>
      <c r="X325" s="35">
        <f t="shared" si="66"/>
        <v>0</v>
      </c>
      <c r="Y325">
        <f t="shared" si="67"/>
        <v>0</v>
      </c>
      <c r="AB325">
        <f t="shared" si="70"/>
        <v>1</v>
      </c>
      <c r="AC325">
        <f t="shared" ref="AC325:AC388" ca="1" si="71">IFERROR(SEARCH(INDIRECT(CELL("adresse")),B325,1),0)</f>
        <v>0</v>
      </c>
      <c r="AD325" t="str">
        <f ca="1">IF(AC325=1,COUNTIF($AC$3:AC325,1),"")</f>
        <v/>
      </c>
      <c r="AE325" s="155" t="str">
        <f ca="1">IFERROR(INDEX(Données!$B$3:$B$1479,MATCH(ROWS($AD$3:AD325),$AD$3:$AD$1479,0)),"")</f>
        <v/>
      </c>
    </row>
    <row r="326" spans="1:31" ht="15.75" x14ac:dyDescent="0.25">
      <c r="A326" t="str">
        <f t="shared" si="68"/>
        <v>Brendan Perlini - CHI - AD, AG</v>
      </c>
      <c r="B326" t="str">
        <f t="shared" si="69"/>
        <v>Brendan Perlini - CHI - AD, AG</v>
      </c>
      <c r="C326" t="str">
        <f t="shared" si="60"/>
        <v>Brendan</v>
      </c>
      <c r="D326" t="str">
        <f t="shared" si="61"/>
        <v>Perlini</v>
      </c>
      <c r="E326" s="39" t="s">
        <v>2159</v>
      </c>
      <c r="F326" s="30" t="s">
        <v>13</v>
      </c>
      <c r="G326" s="35">
        <v>0</v>
      </c>
      <c r="H326" s="9" t="s">
        <v>2441</v>
      </c>
      <c r="I326" s="9" t="s">
        <v>2439</v>
      </c>
      <c r="J326" s="9">
        <v>23</v>
      </c>
      <c r="K326" s="35">
        <f>VALUE(COUNTIF(Validation!$A$2:$H$47,E326))</f>
        <v>0</v>
      </c>
      <c r="L326" s="361">
        <f t="shared" si="62"/>
        <v>0</v>
      </c>
      <c r="M326" s="361">
        <f t="shared" si="63"/>
        <v>0</v>
      </c>
      <c r="N326" s="358" t="s">
        <v>8</v>
      </c>
      <c r="O326" s="358">
        <v>0</v>
      </c>
      <c r="P326" s="358">
        <v>0</v>
      </c>
      <c r="Q326" s="358">
        <v>0</v>
      </c>
      <c r="R326" s="358">
        <v>0</v>
      </c>
      <c r="S326" s="358">
        <v>0</v>
      </c>
      <c r="T326" s="358">
        <v>0</v>
      </c>
      <c r="U326" s="35">
        <f t="shared" si="64"/>
        <v>0</v>
      </c>
      <c r="W326">
        <f t="shared" si="65"/>
        <v>1</v>
      </c>
      <c r="X326" s="35">
        <f t="shared" si="66"/>
        <v>0</v>
      </c>
      <c r="Y326">
        <f t="shared" si="67"/>
        <v>1</v>
      </c>
      <c r="AB326">
        <f t="shared" si="70"/>
        <v>1</v>
      </c>
      <c r="AC326">
        <f t="shared" ca="1" si="71"/>
        <v>0</v>
      </c>
      <c r="AD326" t="str">
        <f ca="1">IF(AC326=1,COUNTIF($AC$3:AC326,1),"")</f>
        <v/>
      </c>
      <c r="AE326" s="155" t="str">
        <f ca="1">IFERROR(INDEX(Données!$B$3:$B$1479,MATCH(ROWS($AD$3:AD326),$AD$3:$AD$1479,0)),"")</f>
        <v/>
      </c>
    </row>
    <row r="327" spans="1:31" ht="15.75" x14ac:dyDescent="0.25">
      <c r="A327" t="str">
        <f t="shared" si="68"/>
        <v>Cam Atkinson - CLB - AD, AG</v>
      </c>
      <c r="B327" t="str">
        <f t="shared" si="69"/>
        <v>Cam Atkinson - CLB - AD, AG</v>
      </c>
      <c r="C327" t="str">
        <f t="shared" si="60"/>
        <v>Cam</v>
      </c>
      <c r="D327" t="str">
        <f t="shared" si="61"/>
        <v>Atkinson</v>
      </c>
      <c r="E327" s="39" t="s">
        <v>2938</v>
      </c>
      <c r="F327" s="30" t="s">
        <v>14</v>
      </c>
      <c r="G327" s="35" t="s">
        <v>372</v>
      </c>
      <c r="H327" s="35" t="s">
        <v>2441</v>
      </c>
      <c r="I327" s="35" t="s">
        <v>2439</v>
      </c>
      <c r="J327" s="35">
        <v>30</v>
      </c>
      <c r="K327" s="35">
        <f>VALUE(COUNTIF(Validation!$A$2:$H$47,E327))</f>
        <v>0</v>
      </c>
      <c r="L327" s="361">
        <f t="shared" si="62"/>
        <v>5875000</v>
      </c>
      <c r="M327" s="361">
        <f t="shared" si="63"/>
        <v>5875000</v>
      </c>
      <c r="N327" s="358">
        <v>5875000</v>
      </c>
      <c r="O327" s="358">
        <v>5875000</v>
      </c>
      <c r="P327" s="358">
        <v>5875000</v>
      </c>
      <c r="Q327" s="358">
        <v>5875000</v>
      </c>
      <c r="R327" s="358">
        <v>5875000</v>
      </c>
      <c r="S327" s="358">
        <v>5875000</v>
      </c>
      <c r="T327" s="358" t="s">
        <v>7</v>
      </c>
      <c r="U327" s="35">
        <f t="shared" si="64"/>
        <v>6</v>
      </c>
      <c r="W327">
        <f t="shared" si="65"/>
        <v>1</v>
      </c>
      <c r="X327" s="35">
        <f t="shared" si="66"/>
        <v>0</v>
      </c>
      <c r="Y327">
        <f t="shared" si="67"/>
        <v>1</v>
      </c>
      <c r="AB327">
        <f t="shared" si="70"/>
        <v>1</v>
      </c>
      <c r="AC327">
        <f t="shared" ca="1" si="71"/>
        <v>0</v>
      </c>
      <c r="AD327" t="str">
        <f ca="1">IF(AC327=1,COUNTIF($AC$3:AC327,1),"")</f>
        <v/>
      </c>
      <c r="AE327" s="155" t="str">
        <f ca="1">IFERROR(INDEX(Données!$B$3:$B$1479,MATCH(ROWS($AD$3:AD327),$AD$3:$AD$1479,0)),"")</f>
        <v/>
      </c>
    </row>
    <row r="328" spans="1:31" ht="15.75" x14ac:dyDescent="0.25">
      <c r="A328" t="str">
        <f t="shared" si="68"/>
        <v>Brandon Dubinsky - CLB - C, AG</v>
      </c>
      <c r="B328" t="str">
        <f t="shared" si="69"/>
        <v>Brandon Dubinsky - CLB - C, AG</v>
      </c>
      <c r="C328" t="str">
        <f t="shared" si="60"/>
        <v>Brandon</v>
      </c>
      <c r="D328" t="str">
        <f t="shared" si="61"/>
        <v>Dubinsky</v>
      </c>
      <c r="E328" s="39" t="s">
        <v>1655</v>
      </c>
      <c r="F328" s="30" t="s">
        <v>14</v>
      </c>
      <c r="G328" s="35" t="s">
        <v>370</v>
      </c>
      <c r="H328" s="35" t="s">
        <v>2452</v>
      </c>
      <c r="I328" s="35" t="s">
        <v>2439</v>
      </c>
      <c r="J328" s="35">
        <v>33</v>
      </c>
      <c r="K328" s="35">
        <f>VALUE(COUNTIF(Validation!$A$2:$H$47,E328))</f>
        <v>0</v>
      </c>
      <c r="L328" s="361">
        <f t="shared" si="62"/>
        <v>5850000</v>
      </c>
      <c r="M328" s="361">
        <f t="shared" si="63"/>
        <v>5850000</v>
      </c>
      <c r="N328" s="358">
        <v>5850000</v>
      </c>
      <c r="O328" s="358">
        <v>5850000</v>
      </c>
      <c r="P328" s="358" t="s">
        <v>7</v>
      </c>
      <c r="Q328" s="358">
        <v>0</v>
      </c>
      <c r="R328" s="358">
        <v>0</v>
      </c>
      <c r="S328" s="358">
        <v>0</v>
      </c>
      <c r="T328" s="358">
        <v>0</v>
      </c>
      <c r="U328" s="35">
        <f t="shared" si="64"/>
        <v>2</v>
      </c>
      <c r="W328">
        <f t="shared" si="65"/>
        <v>1</v>
      </c>
      <c r="X328" s="35">
        <f t="shared" si="66"/>
        <v>0</v>
      </c>
      <c r="Y328">
        <f t="shared" si="67"/>
        <v>1</v>
      </c>
      <c r="AB328">
        <f t="shared" si="70"/>
        <v>1</v>
      </c>
      <c r="AC328">
        <f t="shared" ca="1" si="71"/>
        <v>0</v>
      </c>
      <c r="AD328" t="str">
        <f ca="1">IF(AC328=1,COUNTIF($AC$3:AC328,1),"")</f>
        <v/>
      </c>
      <c r="AE328" s="155" t="str">
        <f ca="1">IFERROR(INDEX(Données!$B$3:$B$1479,MATCH(ROWS($AD$3:AD328),$AD$3:$AD$1479,0)),"")</f>
        <v/>
      </c>
    </row>
    <row r="329" spans="1:31" ht="15.75" x14ac:dyDescent="0.25">
      <c r="A329" t="str">
        <f t="shared" si="68"/>
        <v>Nick Foligno - CLB - AG, C, AD</v>
      </c>
      <c r="B329" t="str">
        <f t="shared" si="69"/>
        <v>Nick Foligno - CLB - AG, C, AD</v>
      </c>
      <c r="C329" t="str">
        <f t="shared" si="60"/>
        <v>Nick</v>
      </c>
      <c r="D329" t="str">
        <f t="shared" si="61"/>
        <v>Foligno</v>
      </c>
      <c r="E329" s="39" t="s">
        <v>2960</v>
      </c>
      <c r="F329" s="30" t="s">
        <v>14</v>
      </c>
      <c r="G329" s="35" t="s">
        <v>370</v>
      </c>
      <c r="H329" s="35" t="s">
        <v>2462</v>
      </c>
      <c r="I329" s="35" t="s">
        <v>2439</v>
      </c>
      <c r="J329" s="35">
        <v>31</v>
      </c>
      <c r="K329" s="35">
        <f>VALUE(COUNTIF(Validation!$A$2:$H$47,E329))</f>
        <v>0</v>
      </c>
      <c r="L329" s="361">
        <f t="shared" si="62"/>
        <v>5500000</v>
      </c>
      <c r="M329" s="361">
        <f t="shared" si="63"/>
        <v>5500000</v>
      </c>
      <c r="N329" s="358">
        <v>5500000</v>
      </c>
      <c r="O329" s="358">
        <v>5500000</v>
      </c>
      <c r="P329" s="358" t="s">
        <v>7</v>
      </c>
      <c r="Q329" s="358">
        <v>0</v>
      </c>
      <c r="R329" s="358">
        <v>0</v>
      </c>
      <c r="S329" s="358">
        <v>0</v>
      </c>
      <c r="T329" s="358">
        <v>0</v>
      </c>
      <c r="U329" s="35">
        <f t="shared" si="64"/>
        <v>2</v>
      </c>
      <c r="W329">
        <f t="shared" si="65"/>
        <v>1</v>
      </c>
      <c r="X329" s="35">
        <f t="shared" si="66"/>
        <v>0</v>
      </c>
      <c r="Y329">
        <f t="shared" si="67"/>
        <v>1</v>
      </c>
      <c r="AB329">
        <f t="shared" si="70"/>
        <v>1</v>
      </c>
      <c r="AC329">
        <f t="shared" ca="1" si="71"/>
        <v>0</v>
      </c>
      <c r="AD329" t="str">
        <f ca="1">IF(AC329=1,COUNTIF($AC$3:AC329,1),"")</f>
        <v/>
      </c>
      <c r="AE329" s="155" t="str">
        <f ca="1">IFERROR(INDEX(Données!$B$3:$B$1479,MATCH(ROWS($AD$3:AD329),$AD$3:$AD$1479,0)),"")</f>
        <v/>
      </c>
    </row>
    <row r="330" spans="1:31" ht="15.75" x14ac:dyDescent="0.25">
      <c r="A330" t="str">
        <f t="shared" si="68"/>
        <v>Gustav Nyquist - CLB - AD, AG</v>
      </c>
      <c r="B330" t="str">
        <f t="shared" si="69"/>
        <v>Gustav Nyquist - CLB - AD, AG</v>
      </c>
      <c r="C330" t="str">
        <f t="shared" si="60"/>
        <v>Gustav</v>
      </c>
      <c r="D330" t="str">
        <f t="shared" si="61"/>
        <v>Nyquist</v>
      </c>
      <c r="E330" s="39" t="s">
        <v>1421</v>
      </c>
      <c r="F330" s="30" t="s">
        <v>14</v>
      </c>
      <c r="G330" s="35">
        <v>0</v>
      </c>
      <c r="H330" s="35" t="s">
        <v>2441</v>
      </c>
      <c r="I330" s="35" t="s">
        <v>2439</v>
      </c>
      <c r="J330" s="35">
        <v>29</v>
      </c>
      <c r="K330" s="35">
        <f>VALUE(COUNTIF(Validation!$A$2:$H$47,E330))</f>
        <v>0</v>
      </c>
      <c r="L330" s="361">
        <f t="shared" si="62"/>
        <v>5500000</v>
      </c>
      <c r="M330" s="361">
        <f t="shared" si="63"/>
        <v>5500000</v>
      </c>
      <c r="N330" s="358">
        <v>5500000</v>
      </c>
      <c r="O330" s="358">
        <v>5500000</v>
      </c>
      <c r="P330" s="358">
        <v>5500000</v>
      </c>
      <c r="Q330" s="358">
        <v>5500000</v>
      </c>
      <c r="R330" s="358" t="s">
        <v>7</v>
      </c>
      <c r="S330" s="358">
        <v>0</v>
      </c>
      <c r="T330" s="358">
        <v>0</v>
      </c>
      <c r="U330" s="35">
        <f t="shared" si="64"/>
        <v>4</v>
      </c>
      <c r="W330">
        <f t="shared" si="65"/>
        <v>1</v>
      </c>
      <c r="X330" s="35">
        <f t="shared" si="66"/>
        <v>0</v>
      </c>
      <c r="Y330">
        <f t="shared" si="67"/>
        <v>1</v>
      </c>
      <c r="AB330">
        <f t="shared" si="70"/>
        <v>1</v>
      </c>
      <c r="AC330">
        <f t="shared" ca="1" si="71"/>
        <v>0</v>
      </c>
      <c r="AD330" t="str">
        <f ca="1">IF(AC330=1,COUNTIF($AC$3:AC330,1),"")</f>
        <v/>
      </c>
      <c r="AE330" s="155" t="str">
        <f ca="1">IFERROR(INDEX(Données!$B$3:$B$1479,MATCH(ROWS($AD$3:AD330),$AD$3:$AD$1479,0)),"")</f>
        <v/>
      </c>
    </row>
    <row r="331" spans="1:31" ht="15.75" x14ac:dyDescent="0.25">
      <c r="A331" t="str">
        <f t="shared" si="68"/>
        <v>Seth Jones - CLB - DD</v>
      </c>
      <c r="B331" t="str">
        <f t="shared" si="69"/>
        <v>Seth Jones - CLB - DD</v>
      </c>
      <c r="C331" t="str">
        <f t="shared" si="60"/>
        <v>Seth</v>
      </c>
      <c r="D331" t="str">
        <f t="shared" si="61"/>
        <v>Jones</v>
      </c>
      <c r="E331" s="39" t="s">
        <v>2974</v>
      </c>
      <c r="F331" s="30" t="s">
        <v>14</v>
      </c>
      <c r="G331" s="35">
        <v>0</v>
      </c>
      <c r="H331" s="35" t="s">
        <v>2444</v>
      </c>
      <c r="I331" s="35" t="s">
        <v>2439</v>
      </c>
      <c r="J331" s="35">
        <v>24</v>
      </c>
      <c r="K331" s="35">
        <f>VALUE(COUNTIF(Validation!$A$2:$H$47,E331))</f>
        <v>0</v>
      </c>
      <c r="L331" s="361">
        <f t="shared" si="62"/>
        <v>5400000</v>
      </c>
      <c r="M331" s="361">
        <f t="shared" si="63"/>
        <v>5400000</v>
      </c>
      <c r="N331" s="358">
        <v>5400000</v>
      </c>
      <c r="O331" s="358">
        <v>5400000</v>
      </c>
      <c r="P331" s="358">
        <v>5400000</v>
      </c>
      <c r="Q331" s="358" t="s">
        <v>7</v>
      </c>
      <c r="R331" s="358">
        <v>0</v>
      </c>
      <c r="S331" s="358">
        <v>0</v>
      </c>
      <c r="T331" s="358">
        <v>0</v>
      </c>
      <c r="U331" s="35">
        <f t="shared" si="64"/>
        <v>3</v>
      </c>
      <c r="W331">
        <f t="shared" si="65"/>
        <v>1</v>
      </c>
      <c r="X331" s="35">
        <f t="shared" si="66"/>
        <v>0</v>
      </c>
      <c r="Y331">
        <f t="shared" si="67"/>
        <v>1</v>
      </c>
      <c r="AB331">
        <f t="shared" si="70"/>
        <v>1</v>
      </c>
      <c r="AC331">
        <f t="shared" ca="1" si="71"/>
        <v>0</v>
      </c>
      <c r="AD331" t="str">
        <f ca="1">IF(AC331=1,COUNTIF($AC$3:AC331,1),"")</f>
        <v/>
      </c>
      <c r="AE331" s="155" t="str">
        <f ca="1">IFERROR(INDEX(Données!$B$3:$B$1479,MATCH(ROWS($AD$3:AD331),$AD$3:$AD$1479,0)),"")</f>
        <v/>
      </c>
    </row>
    <row r="332" spans="1:31" ht="15.75" x14ac:dyDescent="0.25">
      <c r="A332" t="str">
        <f t="shared" si="68"/>
        <v>Alexander Wennberg - CLB - C</v>
      </c>
      <c r="B332" t="str">
        <f t="shared" si="69"/>
        <v>Alexander Wennberg - CLB - C</v>
      </c>
      <c r="C332" t="str">
        <f t="shared" si="60"/>
        <v>Alexander</v>
      </c>
      <c r="D332" t="str">
        <f t="shared" si="61"/>
        <v>Wennberg</v>
      </c>
      <c r="E332" s="39" t="s">
        <v>1656</v>
      </c>
      <c r="F332" s="30" t="s">
        <v>14</v>
      </c>
      <c r="G332" s="35">
        <v>0</v>
      </c>
      <c r="H332" s="9" t="s">
        <v>73</v>
      </c>
      <c r="I332" s="9" t="s">
        <v>2439</v>
      </c>
      <c r="J332" s="9">
        <v>24</v>
      </c>
      <c r="K332" s="35">
        <f>VALUE(COUNTIF(Validation!$A$2:$H$47,E332))</f>
        <v>0</v>
      </c>
      <c r="L332" s="361">
        <f t="shared" si="62"/>
        <v>4900000</v>
      </c>
      <c r="M332" s="361">
        <f t="shared" si="63"/>
        <v>4900000</v>
      </c>
      <c r="N332" s="358">
        <v>4900000</v>
      </c>
      <c r="O332" s="358">
        <v>4900000</v>
      </c>
      <c r="P332" s="358">
        <v>4900000</v>
      </c>
      <c r="Q332" s="358">
        <v>4900000</v>
      </c>
      <c r="R332" s="358" t="s">
        <v>7</v>
      </c>
      <c r="S332" s="358">
        <v>0</v>
      </c>
      <c r="T332" s="358">
        <v>0</v>
      </c>
      <c r="U332" s="35">
        <f t="shared" si="64"/>
        <v>4</v>
      </c>
      <c r="W332">
        <f t="shared" si="65"/>
        <v>1</v>
      </c>
      <c r="X332" s="35">
        <f t="shared" si="66"/>
        <v>0</v>
      </c>
      <c r="Y332">
        <f t="shared" si="67"/>
        <v>1</v>
      </c>
      <c r="AB332">
        <f t="shared" si="70"/>
        <v>1</v>
      </c>
      <c r="AC332">
        <f t="shared" ca="1" si="71"/>
        <v>0</v>
      </c>
      <c r="AD332" t="str">
        <f ca="1">IF(AC332=1,COUNTIF($AC$3:AC332,1),"")</f>
        <v/>
      </c>
      <c r="AE332" s="155" t="str">
        <f ca="1">IFERROR(INDEX(Données!$B$3:$B$1479,MATCH(ROWS($AD$3:AD332),$AD$3:$AD$1479,0)),"")</f>
        <v/>
      </c>
    </row>
    <row r="333" spans="1:31" ht="15.75" x14ac:dyDescent="0.25">
      <c r="A333" t="str">
        <f t="shared" si="68"/>
        <v>Ryan Murray - CLB - DG</v>
      </c>
      <c r="B333" t="str">
        <f t="shared" si="69"/>
        <v>Ryan Murray - CLB - DG</v>
      </c>
      <c r="C333" t="str">
        <f t="shared" si="60"/>
        <v>Ryan</v>
      </c>
      <c r="D333" t="str">
        <f t="shared" si="61"/>
        <v>Murray</v>
      </c>
      <c r="E333" s="39" t="s">
        <v>1664</v>
      </c>
      <c r="F333" s="30" t="s">
        <v>14</v>
      </c>
      <c r="G333" s="35">
        <v>0</v>
      </c>
      <c r="H333" s="9" t="s">
        <v>2445</v>
      </c>
      <c r="I333" s="9" t="s">
        <v>2439</v>
      </c>
      <c r="J333" s="9">
        <v>25</v>
      </c>
      <c r="K333" s="35">
        <f>VALUE(COUNTIF(Validation!$A$2:$H$47,E333))</f>
        <v>0</v>
      </c>
      <c r="L333" s="361">
        <f t="shared" si="62"/>
        <v>4600000</v>
      </c>
      <c r="M333" s="361">
        <f t="shared" si="63"/>
        <v>4600000</v>
      </c>
      <c r="N333" s="358">
        <v>4600000</v>
      </c>
      <c r="O333" s="358">
        <v>4600000</v>
      </c>
      <c r="P333" s="358" t="s">
        <v>7</v>
      </c>
      <c r="Q333" s="358">
        <v>0</v>
      </c>
      <c r="R333" s="358">
        <v>0</v>
      </c>
      <c r="S333" s="358">
        <v>0</v>
      </c>
      <c r="T333" s="358">
        <v>0</v>
      </c>
      <c r="U333" s="35">
        <f t="shared" si="64"/>
        <v>2</v>
      </c>
      <c r="W333">
        <f t="shared" si="65"/>
        <v>1</v>
      </c>
      <c r="X333" s="35">
        <f t="shared" si="66"/>
        <v>0</v>
      </c>
      <c r="Y333">
        <f t="shared" si="67"/>
        <v>1</v>
      </c>
      <c r="AB333">
        <f t="shared" si="70"/>
        <v>1</v>
      </c>
      <c r="AC333">
        <f t="shared" ca="1" si="71"/>
        <v>0</v>
      </c>
      <c r="AD333" t="str">
        <f ca="1">IF(AC333=1,COUNTIF($AC$3:AC333,1),"")</f>
        <v/>
      </c>
      <c r="AE333" s="155" t="str">
        <f ca="1">IFERROR(INDEX(Données!$B$3:$B$1479,MATCH(ROWS($AD$3:AD333),$AD$3:$AD$1479,0)),"")</f>
        <v/>
      </c>
    </row>
    <row r="334" spans="1:31" ht="15.75" x14ac:dyDescent="0.25">
      <c r="A334" t="str">
        <f t="shared" si="68"/>
        <v>David Savard - CLB - DD</v>
      </c>
      <c r="B334" t="str">
        <f t="shared" si="69"/>
        <v>David Savard - CLB - DD</v>
      </c>
      <c r="C334" t="str">
        <f t="shared" si="60"/>
        <v>David</v>
      </c>
      <c r="D334" t="str">
        <f t="shared" si="61"/>
        <v>Savard</v>
      </c>
      <c r="E334" s="351" t="s">
        <v>1663</v>
      </c>
      <c r="F334" s="30" t="s">
        <v>14</v>
      </c>
      <c r="G334" s="35">
        <v>0</v>
      </c>
      <c r="H334" s="35" t="s">
        <v>2444</v>
      </c>
      <c r="I334" s="35" t="s">
        <v>2439</v>
      </c>
      <c r="J334" s="35">
        <v>28</v>
      </c>
      <c r="K334" s="35">
        <f>VALUE(COUNTIF(Validation!$A$2:$H$47,E334))</f>
        <v>0</v>
      </c>
      <c r="L334" s="361">
        <f t="shared" si="62"/>
        <v>4250000</v>
      </c>
      <c r="M334" s="361">
        <f t="shared" si="63"/>
        <v>4250000</v>
      </c>
      <c r="N334" s="358">
        <v>4250000</v>
      </c>
      <c r="O334" s="358">
        <v>4250000</v>
      </c>
      <c r="P334" s="358" t="s">
        <v>7</v>
      </c>
      <c r="Q334" s="358">
        <v>0</v>
      </c>
      <c r="R334" s="358">
        <v>0</v>
      </c>
      <c r="S334" s="358">
        <v>0</v>
      </c>
      <c r="T334" s="358">
        <v>0</v>
      </c>
      <c r="U334" s="35">
        <f t="shared" si="64"/>
        <v>2</v>
      </c>
      <c r="W334">
        <f t="shared" si="65"/>
        <v>1</v>
      </c>
      <c r="X334" s="35">
        <f t="shared" si="66"/>
        <v>0</v>
      </c>
      <c r="Y334">
        <f t="shared" si="67"/>
        <v>1</v>
      </c>
      <c r="AB334">
        <f t="shared" si="70"/>
        <v>1</v>
      </c>
      <c r="AC334">
        <f t="shared" ca="1" si="71"/>
        <v>0</v>
      </c>
      <c r="AD334" t="str">
        <f ca="1">IF(AC334=1,COUNTIF($AC$3:AC334,1),"")</f>
        <v/>
      </c>
      <c r="AE334" s="155" t="str">
        <f ca="1">IFERROR(INDEX(Données!$B$3:$B$1479,MATCH(ROWS($AD$3:AD334),$AD$3:$AD$1479,0)),"")</f>
        <v/>
      </c>
    </row>
    <row r="335" spans="1:31" ht="15.75" x14ac:dyDescent="0.25">
      <c r="A335" t="str">
        <f t="shared" si="68"/>
        <v>Boone Jenner - CLB - C, AG</v>
      </c>
      <c r="B335" t="str">
        <f t="shared" si="69"/>
        <v>Boone Jenner - CLB - C, AG</v>
      </c>
      <c r="C335" t="str">
        <f t="shared" si="60"/>
        <v>Boone</v>
      </c>
      <c r="D335" t="str">
        <f t="shared" si="61"/>
        <v>Jenner</v>
      </c>
      <c r="E335" s="39" t="s">
        <v>2971</v>
      </c>
      <c r="F335" s="30" t="s">
        <v>14</v>
      </c>
      <c r="G335" s="35">
        <v>0</v>
      </c>
      <c r="H335" s="35" t="s">
        <v>2452</v>
      </c>
      <c r="I335" s="35" t="s">
        <v>2439</v>
      </c>
      <c r="J335" s="35">
        <v>26</v>
      </c>
      <c r="K335" s="35">
        <f>VALUE(COUNTIF(Validation!$A$2:$H$47,E335))</f>
        <v>0</v>
      </c>
      <c r="L335" s="361">
        <f t="shared" si="62"/>
        <v>3750000</v>
      </c>
      <c r="M335" s="361">
        <f t="shared" si="63"/>
        <v>3750000</v>
      </c>
      <c r="N335" s="358">
        <v>3750000</v>
      </c>
      <c r="O335" s="358">
        <v>3750000</v>
      </c>
      <c r="P335" s="358">
        <v>3750000</v>
      </c>
      <c r="Q335" s="358" t="s">
        <v>7</v>
      </c>
      <c r="R335" s="358">
        <v>0</v>
      </c>
      <c r="S335" s="358">
        <v>0</v>
      </c>
      <c r="T335" s="358">
        <v>0</v>
      </c>
      <c r="U335" s="35">
        <f t="shared" si="64"/>
        <v>3</v>
      </c>
      <c r="W335">
        <f t="shared" si="65"/>
        <v>1</v>
      </c>
      <c r="X335" s="35">
        <f t="shared" si="66"/>
        <v>0</v>
      </c>
      <c r="Y335">
        <f t="shared" si="67"/>
        <v>1</v>
      </c>
      <c r="AB335">
        <f t="shared" si="70"/>
        <v>1</v>
      </c>
      <c r="AC335">
        <f t="shared" ca="1" si="71"/>
        <v>0</v>
      </c>
      <c r="AD335" t="str">
        <f ca="1">IF(AC335=1,COUNTIF($AC$3:AC335,1),"")</f>
        <v/>
      </c>
      <c r="AE335" s="155" t="str">
        <f ca="1">IFERROR(INDEX(Données!$B$3:$B$1479,MATCH(ROWS($AD$3:AD335),$AD$3:$AD$1479,0)),"")</f>
        <v/>
      </c>
    </row>
    <row r="336" spans="1:31" ht="15.75" x14ac:dyDescent="0.25">
      <c r="A336" t="str">
        <f t="shared" si="68"/>
        <v>Pierre-Luc Dubois - CLB - C, AG</v>
      </c>
      <c r="B336" t="str">
        <f t="shared" si="69"/>
        <v>Pierre-Luc Dubois - CLB - C, AG</v>
      </c>
      <c r="C336" t="str">
        <f t="shared" si="60"/>
        <v>Pierre-Luc</v>
      </c>
      <c r="D336" t="str">
        <f t="shared" si="61"/>
        <v>Dubois</v>
      </c>
      <c r="E336" s="39" t="s">
        <v>1660</v>
      </c>
      <c r="F336" s="30" t="s">
        <v>14</v>
      </c>
      <c r="G336" s="35" t="s">
        <v>403</v>
      </c>
      <c r="H336" s="35" t="s">
        <v>2452</v>
      </c>
      <c r="I336" s="35" t="s">
        <v>2439</v>
      </c>
      <c r="J336" s="35">
        <v>21</v>
      </c>
      <c r="K336" s="35">
        <f>VALUE(COUNTIF(Validation!$A$2:$H$47,E336))</f>
        <v>0</v>
      </c>
      <c r="L336" s="361">
        <f t="shared" si="62"/>
        <v>3394166</v>
      </c>
      <c r="M336" s="361">
        <f t="shared" si="63"/>
        <v>0</v>
      </c>
      <c r="N336" s="358">
        <v>3394166</v>
      </c>
      <c r="O336" s="358" t="s">
        <v>8</v>
      </c>
      <c r="P336" s="358">
        <v>0</v>
      </c>
      <c r="Q336" s="358">
        <v>0</v>
      </c>
      <c r="R336" s="358">
        <v>0</v>
      </c>
      <c r="S336" s="358">
        <v>0</v>
      </c>
      <c r="T336" s="358">
        <v>0</v>
      </c>
      <c r="U336" s="35">
        <f t="shared" si="64"/>
        <v>1</v>
      </c>
      <c r="W336">
        <f t="shared" si="65"/>
        <v>1</v>
      </c>
      <c r="X336" s="35">
        <f t="shared" si="66"/>
        <v>1</v>
      </c>
      <c r="Y336">
        <f t="shared" si="67"/>
        <v>0</v>
      </c>
      <c r="AB336">
        <f t="shared" si="70"/>
        <v>1</v>
      </c>
      <c r="AC336">
        <f t="shared" ca="1" si="71"/>
        <v>0</v>
      </c>
      <c r="AD336" t="str">
        <f ca="1">IF(AC336=1,COUNTIF($AC$3:AC336,1),"")</f>
        <v/>
      </c>
      <c r="AE336" s="155" t="str">
        <f ca="1">IFERROR(INDEX(Données!$B$3:$B$1479,MATCH(ROWS($AD$3:AD336),$AD$3:$AD$1479,0)),"")</f>
        <v/>
      </c>
    </row>
    <row r="337" spans="1:31" ht="15.75" x14ac:dyDescent="0.25">
      <c r="A337" t="str">
        <f t="shared" si="68"/>
        <v>Riley Nash - CLB - C, AD</v>
      </c>
      <c r="B337" t="str">
        <f t="shared" si="69"/>
        <v>Riley Nash - CLB - C, AD</v>
      </c>
      <c r="C337" t="str">
        <f t="shared" si="60"/>
        <v>Riley</v>
      </c>
      <c r="D337" t="str">
        <f t="shared" si="61"/>
        <v>Nash</v>
      </c>
      <c r="E337" s="39" t="s">
        <v>1657</v>
      </c>
      <c r="F337" s="30" t="s">
        <v>14</v>
      </c>
      <c r="G337" s="35">
        <v>0</v>
      </c>
      <c r="H337" s="35" t="s">
        <v>2448</v>
      </c>
      <c r="I337" s="35" t="s">
        <v>2439</v>
      </c>
      <c r="J337" s="35">
        <v>30</v>
      </c>
      <c r="K337" s="35">
        <f>VALUE(COUNTIF(Validation!$A$2:$H$47,E337))</f>
        <v>0</v>
      </c>
      <c r="L337" s="361">
        <f t="shared" si="62"/>
        <v>2750000</v>
      </c>
      <c r="M337" s="361">
        <f t="shared" si="63"/>
        <v>2750000</v>
      </c>
      <c r="N337" s="358">
        <v>2750000</v>
      </c>
      <c r="O337" s="358">
        <v>2750000</v>
      </c>
      <c r="P337" s="358" t="s">
        <v>7</v>
      </c>
      <c r="Q337" s="358">
        <v>0</v>
      </c>
      <c r="R337" s="358">
        <v>0</v>
      </c>
      <c r="S337" s="358">
        <v>0</v>
      </c>
      <c r="T337" s="358">
        <v>0</v>
      </c>
      <c r="U337" s="35">
        <f t="shared" si="64"/>
        <v>2</v>
      </c>
      <c r="W337">
        <f t="shared" si="65"/>
        <v>1</v>
      </c>
      <c r="X337" s="35">
        <f t="shared" si="66"/>
        <v>0</v>
      </c>
      <c r="Y337">
        <f t="shared" si="67"/>
        <v>1</v>
      </c>
      <c r="AB337">
        <f t="shared" si="70"/>
        <v>1</v>
      </c>
      <c r="AC337">
        <f t="shared" ca="1" si="71"/>
        <v>0</v>
      </c>
      <c r="AD337" t="str">
        <f ca="1">IF(AC337=1,COUNTIF($AC$3:AC337,1),"")</f>
        <v/>
      </c>
      <c r="AE337" s="155" t="str">
        <f ca="1">IFERROR(INDEX(Données!$B$3:$B$1479,MATCH(ROWS($AD$3:AD337),$AD$3:$AD$1479,0)),"")</f>
        <v/>
      </c>
    </row>
    <row r="338" spans="1:31" ht="15.75" x14ac:dyDescent="0.25">
      <c r="A338" t="str">
        <f t="shared" si="68"/>
        <v>Markus Nutivaara - CLB - DD</v>
      </c>
      <c r="B338" t="str">
        <f t="shared" si="69"/>
        <v>Markus Nutivaara - CLB - DD</v>
      </c>
      <c r="C338" t="str">
        <f t="shared" si="60"/>
        <v>Markus</v>
      </c>
      <c r="D338" t="str">
        <f t="shared" si="61"/>
        <v>Nutivaara</v>
      </c>
      <c r="E338" s="39" t="s">
        <v>1665</v>
      </c>
      <c r="F338" s="30" t="s">
        <v>14</v>
      </c>
      <c r="G338" s="35">
        <v>0</v>
      </c>
      <c r="H338" s="35" t="s">
        <v>2444</v>
      </c>
      <c r="I338" s="35" t="s">
        <v>2439</v>
      </c>
      <c r="J338" s="35">
        <v>25</v>
      </c>
      <c r="K338" s="35">
        <f>VALUE(COUNTIF(Validation!$A$2:$H$47,E338))</f>
        <v>0</v>
      </c>
      <c r="L338" s="361">
        <f t="shared" si="62"/>
        <v>2700000</v>
      </c>
      <c r="M338" s="361">
        <f t="shared" si="63"/>
        <v>2700000</v>
      </c>
      <c r="N338" s="358">
        <v>2700000</v>
      </c>
      <c r="O338" s="358">
        <v>2700000</v>
      </c>
      <c r="P338" s="358">
        <v>2700000</v>
      </c>
      <c r="Q338" s="358" t="s">
        <v>7</v>
      </c>
      <c r="R338" s="358">
        <v>0</v>
      </c>
      <c r="S338" s="358">
        <v>0</v>
      </c>
      <c r="T338" s="358">
        <v>0</v>
      </c>
      <c r="U338" s="35">
        <f t="shared" si="64"/>
        <v>3</v>
      </c>
      <c r="W338">
        <f t="shared" si="65"/>
        <v>1</v>
      </c>
      <c r="X338" s="35">
        <f t="shared" si="66"/>
        <v>0</v>
      </c>
      <c r="Y338">
        <f t="shared" si="67"/>
        <v>1</v>
      </c>
      <c r="AB338">
        <f t="shared" si="70"/>
        <v>1</v>
      </c>
      <c r="AC338">
        <f t="shared" ca="1" si="71"/>
        <v>0</v>
      </c>
      <c r="AD338" t="str">
        <f ca="1">IF(AC338=1,COUNTIF($AC$3:AC338,1),"")</f>
        <v/>
      </c>
      <c r="AE338" s="155" t="str">
        <f ca="1">IFERROR(INDEX(Données!$B$3:$B$1479,MATCH(ROWS($AD$3:AD338),$AD$3:$AD$1479,0)),"")</f>
        <v/>
      </c>
    </row>
    <row r="339" spans="1:31" ht="15.75" x14ac:dyDescent="0.25">
      <c r="A339" t="str">
        <f t="shared" si="68"/>
        <v>Oliver Bjorkstrand - CLB - AD</v>
      </c>
      <c r="B339" t="str">
        <f t="shared" si="69"/>
        <v>Oliver Bjorkstrand - CLB - AD</v>
      </c>
      <c r="C339" t="str">
        <f t="shared" si="60"/>
        <v>Oliver</v>
      </c>
      <c r="D339" t="str">
        <f t="shared" si="61"/>
        <v>Bjorkstrand</v>
      </c>
      <c r="E339" s="39" t="s">
        <v>1658</v>
      </c>
      <c r="F339" s="30" t="s">
        <v>14</v>
      </c>
      <c r="G339" s="35">
        <v>0</v>
      </c>
      <c r="H339" s="35" t="s">
        <v>2438</v>
      </c>
      <c r="I339" s="35" t="s">
        <v>2439</v>
      </c>
      <c r="J339" s="35">
        <v>24</v>
      </c>
      <c r="K339" s="35">
        <f>VALUE(COUNTIF(Validation!$A$2:$H$47,E339))</f>
        <v>0</v>
      </c>
      <c r="L339" s="361">
        <f t="shared" si="62"/>
        <v>2500000</v>
      </c>
      <c r="M339" s="361">
        <f t="shared" si="63"/>
        <v>2500000</v>
      </c>
      <c r="N339" s="358">
        <v>2500000</v>
      </c>
      <c r="O339" s="358">
        <v>2500000</v>
      </c>
      <c r="P339" s="358" t="s">
        <v>8</v>
      </c>
      <c r="Q339" s="358">
        <v>0</v>
      </c>
      <c r="R339" s="358">
        <v>0</v>
      </c>
      <c r="S339" s="358">
        <v>0</v>
      </c>
      <c r="T339" s="358">
        <v>0</v>
      </c>
      <c r="U339" s="35">
        <f t="shared" si="64"/>
        <v>2</v>
      </c>
      <c r="W339">
        <f t="shared" si="65"/>
        <v>1</v>
      </c>
      <c r="X339" s="35">
        <f t="shared" si="66"/>
        <v>0</v>
      </c>
      <c r="Y339">
        <f t="shared" si="67"/>
        <v>1</v>
      </c>
      <c r="AB339">
        <f t="shared" si="70"/>
        <v>1</v>
      </c>
      <c r="AC339">
        <f t="shared" ca="1" si="71"/>
        <v>0</v>
      </c>
      <c r="AD339" t="str">
        <f ca="1">IF(AC339=1,COUNTIF($AC$3:AC339,1),"")</f>
        <v/>
      </c>
      <c r="AE339" s="155" t="str">
        <f ca="1">IFERROR(INDEX(Données!$B$3:$B$1479,MATCH(ROWS($AD$3:AD339),$AD$3:$AD$1479,0)),"")</f>
        <v/>
      </c>
    </row>
    <row r="340" spans="1:31" ht="15.75" x14ac:dyDescent="0.25">
      <c r="A340" t="str">
        <f t="shared" si="68"/>
        <v>Josh Anderson - CLB - AD</v>
      </c>
      <c r="B340" t="str">
        <f t="shared" si="69"/>
        <v>Josh Anderson - CLB - AD</v>
      </c>
      <c r="C340" t="str">
        <f t="shared" si="60"/>
        <v>Josh</v>
      </c>
      <c r="D340" t="str">
        <f t="shared" si="61"/>
        <v>Anderson</v>
      </c>
      <c r="E340" s="39" t="s">
        <v>1659</v>
      </c>
      <c r="F340" s="30" t="s">
        <v>14</v>
      </c>
      <c r="G340" s="35">
        <v>0</v>
      </c>
      <c r="H340" s="9" t="s">
        <v>2438</v>
      </c>
      <c r="I340" s="9" t="s">
        <v>2439</v>
      </c>
      <c r="J340" s="9">
        <v>25</v>
      </c>
      <c r="K340" s="35">
        <f>VALUE(COUNTIF(Validation!$A$2:$H$47,E340))</f>
        <v>0</v>
      </c>
      <c r="L340" s="361">
        <f t="shared" si="62"/>
        <v>1850000</v>
      </c>
      <c r="M340" s="361">
        <f t="shared" si="63"/>
        <v>0</v>
      </c>
      <c r="N340" s="358">
        <v>1850000</v>
      </c>
      <c r="O340" s="358" t="s">
        <v>8</v>
      </c>
      <c r="P340" s="358">
        <v>0</v>
      </c>
      <c r="Q340" s="358">
        <v>0</v>
      </c>
      <c r="R340" s="358">
        <v>0</v>
      </c>
      <c r="S340" s="358">
        <v>0</v>
      </c>
      <c r="T340" s="358">
        <v>0</v>
      </c>
      <c r="U340" s="35">
        <f t="shared" si="64"/>
        <v>1</v>
      </c>
      <c r="W340">
        <f t="shared" si="65"/>
        <v>2</v>
      </c>
      <c r="X340" s="35">
        <f t="shared" si="66"/>
        <v>0</v>
      </c>
      <c r="Y340">
        <f t="shared" si="67"/>
        <v>0</v>
      </c>
      <c r="AB340">
        <f t="shared" si="70"/>
        <v>1</v>
      </c>
      <c r="AC340">
        <f t="shared" ca="1" si="71"/>
        <v>0</v>
      </c>
      <c r="AD340" t="str">
        <f ca="1">IF(AC340=1,COUNTIF($AC$3:AC340,1),"")</f>
        <v/>
      </c>
      <c r="AE340" s="155" t="str">
        <f ca="1">IFERROR(INDEX(Données!$B$3:$B$1479,MATCH(ROWS($AD$3:AD340),$AD$3:$AD$1479,0)),"")</f>
        <v/>
      </c>
    </row>
    <row r="341" spans="1:31" ht="15.75" x14ac:dyDescent="0.25">
      <c r="A341" t="str">
        <f t="shared" si="68"/>
        <v>Emil Bemstrom - CLB - C, AD</v>
      </c>
      <c r="B341" t="str">
        <f t="shared" si="69"/>
        <v>Emil Bemstrom - CLB - C, AD</v>
      </c>
      <c r="C341" t="str">
        <f t="shared" si="60"/>
        <v>Emil</v>
      </c>
      <c r="D341" t="str">
        <f t="shared" si="61"/>
        <v>Bemstrom</v>
      </c>
      <c r="E341" s="39" t="s">
        <v>2847</v>
      </c>
      <c r="F341" s="30" t="s">
        <v>14</v>
      </c>
      <c r="G341" s="35" t="s">
        <v>386</v>
      </c>
      <c r="H341" s="9" t="s">
        <v>2448</v>
      </c>
      <c r="I341" s="9" t="s">
        <v>2446</v>
      </c>
      <c r="J341" s="9">
        <v>20</v>
      </c>
      <c r="K341" s="35">
        <f>VALUE(COUNTIF(Validation!$A$2:$H$47,E341))</f>
        <v>0</v>
      </c>
      <c r="L341" s="361">
        <f t="shared" si="62"/>
        <v>1633333</v>
      </c>
      <c r="M341" s="361">
        <f t="shared" si="63"/>
        <v>1633333</v>
      </c>
      <c r="N341" s="358">
        <v>1633333</v>
      </c>
      <c r="O341" s="358">
        <v>1633333</v>
      </c>
      <c r="P341" s="358">
        <v>1633333</v>
      </c>
      <c r="Q341" s="358" t="s">
        <v>8</v>
      </c>
      <c r="R341" s="358">
        <v>0</v>
      </c>
      <c r="S341" s="358">
        <v>0</v>
      </c>
      <c r="T341" s="358">
        <v>0</v>
      </c>
      <c r="U341" s="35">
        <f t="shared" si="64"/>
        <v>3</v>
      </c>
      <c r="W341">
        <f t="shared" si="65"/>
        <v>1</v>
      </c>
      <c r="X341" s="35">
        <f t="shared" si="66"/>
        <v>1</v>
      </c>
      <c r="Y341">
        <f t="shared" si="67"/>
        <v>1</v>
      </c>
      <c r="AB341">
        <f t="shared" si="70"/>
        <v>1</v>
      </c>
      <c r="AC341">
        <f t="shared" ca="1" si="71"/>
        <v>0</v>
      </c>
      <c r="AD341" t="str">
        <f ca="1">IF(AC341=1,COUNTIF($AC$3:AC341,1),"")</f>
        <v/>
      </c>
      <c r="AE341" s="155" t="str">
        <f ca="1">IFERROR(INDEX(Données!$B$3:$B$1479,MATCH(ROWS($AD$3:AD341),$AD$3:$AD$1479,0)),"")</f>
        <v/>
      </c>
    </row>
    <row r="342" spans="1:31" ht="15.75" x14ac:dyDescent="0.25">
      <c r="A342" t="str">
        <f t="shared" si="68"/>
        <v>Scott Harrington - CLB - DG</v>
      </c>
      <c r="B342" t="str">
        <f t="shared" si="69"/>
        <v>Scott Harrington - CLB - DG</v>
      </c>
      <c r="C342" t="str">
        <f t="shared" si="60"/>
        <v>Scott</v>
      </c>
      <c r="D342" t="str">
        <f t="shared" si="61"/>
        <v>Harrington</v>
      </c>
      <c r="E342" s="39" t="s">
        <v>1668</v>
      </c>
      <c r="F342" s="30" t="s">
        <v>14</v>
      </c>
      <c r="G342" s="35">
        <v>0</v>
      </c>
      <c r="H342" s="35" t="s">
        <v>2445</v>
      </c>
      <c r="I342" s="35" t="s">
        <v>2439</v>
      </c>
      <c r="J342" s="35">
        <v>26</v>
      </c>
      <c r="K342" s="35">
        <f>VALUE(COUNTIF(Validation!$A$2:$H$47,E342))</f>
        <v>0</v>
      </c>
      <c r="L342" s="361">
        <f t="shared" si="62"/>
        <v>1633333</v>
      </c>
      <c r="M342" s="361">
        <f t="shared" si="63"/>
        <v>1633333</v>
      </c>
      <c r="N342" s="358">
        <v>1633333</v>
      </c>
      <c r="O342" s="358">
        <v>1633333</v>
      </c>
      <c r="P342" s="358">
        <v>1633333</v>
      </c>
      <c r="Q342" s="358" t="s">
        <v>7</v>
      </c>
      <c r="R342" s="358">
        <v>0</v>
      </c>
      <c r="S342" s="358">
        <v>0</v>
      </c>
      <c r="T342" s="358">
        <v>0</v>
      </c>
      <c r="U342" s="35">
        <f t="shared" si="64"/>
        <v>3</v>
      </c>
      <c r="W342">
        <f t="shared" si="65"/>
        <v>1</v>
      </c>
      <c r="X342" s="35">
        <f t="shared" si="66"/>
        <v>0</v>
      </c>
      <c r="Y342">
        <f t="shared" si="67"/>
        <v>1</v>
      </c>
      <c r="AB342">
        <f t="shared" si="70"/>
        <v>1</v>
      </c>
      <c r="AC342">
        <f t="shared" ca="1" si="71"/>
        <v>0</v>
      </c>
      <c r="AD342" t="str">
        <f ca="1">IF(AC342=1,COUNTIF($AC$3:AC342,1),"")</f>
        <v/>
      </c>
      <c r="AE342" s="155" t="str">
        <f ca="1">IFERROR(INDEX(Données!$B$3:$B$1479,MATCH(ROWS($AD$3:AD342),$AD$3:$AD$1479,0)),"")</f>
        <v/>
      </c>
    </row>
    <row r="343" spans="1:31" ht="15.75" x14ac:dyDescent="0.25">
      <c r="A343" t="str">
        <f t="shared" si="68"/>
        <v>Andrew Peeke - CLB - DD</v>
      </c>
      <c r="B343" t="str">
        <f t="shared" si="69"/>
        <v>Andrew Peeke - CLB - DD</v>
      </c>
      <c r="C343" t="str">
        <f t="shared" si="60"/>
        <v>Andrew</v>
      </c>
      <c r="D343" t="str">
        <f t="shared" si="61"/>
        <v>Peeke</v>
      </c>
      <c r="E343" s="39" t="s">
        <v>2642</v>
      </c>
      <c r="F343" s="30" t="s">
        <v>14</v>
      </c>
      <c r="G343" s="35" t="s">
        <v>386</v>
      </c>
      <c r="H343" s="35" t="s">
        <v>2444</v>
      </c>
      <c r="I343" s="35" t="s">
        <v>2446</v>
      </c>
      <c r="J343" s="35">
        <v>21</v>
      </c>
      <c r="K343" s="35">
        <f>VALUE(COUNTIF(Validation!$A$2:$H$47,E343))</f>
        <v>0</v>
      </c>
      <c r="L343" s="361">
        <f t="shared" si="62"/>
        <v>1491667</v>
      </c>
      <c r="M343" s="361">
        <f t="shared" si="63"/>
        <v>1491667</v>
      </c>
      <c r="N343" s="358">
        <v>1491667</v>
      </c>
      <c r="O343" s="358">
        <v>1491667</v>
      </c>
      <c r="P343" s="358" t="s">
        <v>8</v>
      </c>
      <c r="Q343" s="358">
        <v>0</v>
      </c>
      <c r="R343" s="358">
        <v>0</v>
      </c>
      <c r="S343" s="358">
        <v>0</v>
      </c>
      <c r="T343" s="358">
        <v>0</v>
      </c>
      <c r="U343" s="35">
        <f t="shared" si="64"/>
        <v>2</v>
      </c>
      <c r="W343">
        <f t="shared" si="65"/>
        <v>1</v>
      </c>
      <c r="X343" s="35">
        <f t="shared" si="66"/>
        <v>1</v>
      </c>
      <c r="Y343">
        <f t="shared" si="67"/>
        <v>1</v>
      </c>
      <c r="AB343">
        <f t="shared" si="70"/>
        <v>1</v>
      </c>
      <c r="AC343">
        <f t="shared" ca="1" si="71"/>
        <v>0</v>
      </c>
      <c r="AD343" t="str">
        <f ca="1">IF(AC343=1,COUNTIF($AC$3:AC343,1),"")</f>
        <v/>
      </c>
      <c r="AE343" s="155" t="str">
        <f ca="1">IFERROR(INDEX(Données!$B$3:$B$1479,MATCH(ROWS($AD$3:AD343),$AD$3:$AD$1479,0)),"")</f>
        <v/>
      </c>
    </row>
    <row r="344" spans="1:31" ht="15.75" x14ac:dyDescent="0.25">
      <c r="A344" t="str">
        <f t="shared" si="68"/>
        <v>Vladislav Gavrikov - CLB - D</v>
      </c>
      <c r="B344" t="str">
        <f t="shared" si="69"/>
        <v>Vladislav Gavrikov - CLB - D</v>
      </c>
      <c r="C344" t="str">
        <f t="shared" si="60"/>
        <v>Vladislav</v>
      </c>
      <c r="D344" t="str">
        <f t="shared" si="61"/>
        <v>Gavrikov</v>
      </c>
      <c r="E344" s="39" t="s">
        <v>2641</v>
      </c>
      <c r="F344" s="30" t="s">
        <v>14</v>
      </c>
      <c r="G344" s="35" t="s">
        <v>386</v>
      </c>
      <c r="H344" s="35" t="s">
        <v>82</v>
      </c>
      <c r="I344" s="35" t="s">
        <v>2446</v>
      </c>
      <c r="J344" s="35">
        <v>23</v>
      </c>
      <c r="K344" s="35">
        <f>VALUE(COUNTIF(Validation!$A$2:$H$47,E344))</f>
        <v>0</v>
      </c>
      <c r="L344" s="361">
        <f t="shared" si="62"/>
        <v>1350000</v>
      </c>
      <c r="M344" s="361">
        <f t="shared" si="63"/>
        <v>0</v>
      </c>
      <c r="N344" s="358">
        <v>1350000</v>
      </c>
      <c r="O344" s="358" t="s">
        <v>8</v>
      </c>
      <c r="P344" s="358">
        <v>0</v>
      </c>
      <c r="Q344" s="358">
        <v>0</v>
      </c>
      <c r="R344" s="358">
        <v>0</v>
      </c>
      <c r="S344" s="358">
        <v>0</v>
      </c>
      <c r="T344" s="358">
        <v>0</v>
      </c>
      <c r="U344" s="35">
        <f t="shared" si="64"/>
        <v>1</v>
      </c>
      <c r="W344">
        <f t="shared" si="65"/>
        <v>1</v>
      </c>
      <c r="X344" s="35">
        <f t="shared" si="66"/>
        <v>1</v>
      </c>
      <c r="Y344">
        <f t="shared" si="67"/>
        <v>0</v>
      </c>
      <c r="AB344">
        <f t="shared" si="70"/>
        <v>1</v>
      </c>
      <c r="AC344">
        <f t="shared" ca="1" si="71"/>
        <v>0</v>
      </c>
      <c r="AD344" t="str">
        <f ca="1">IF(AC344=1,COUNTIF($AC$3:AC344,1),"")</f>
        <v/>
      </c>
      <c r="AE344" s="155" t="str">
        <f ca="1">IFERROR(INDEX(Données!$B$3:$B$1479,MATCH(ROWS($AD$3:AD344),$AD$3:$AD$1479,0)),"")</f>
        <v/>
      </c>
    </row>
    <row r="345" spans="1:31" ht="15.75" x14ac:dyDescent="0.25">
      <c r="A345" t="str">
        <f t="shared" si="68"/>
        <v>Liam Foudy - CLB - C</v>
      </c>
      <c r="B345" t="str">
        <f t="shared" si="69"/>
        <v>Liam Foudy - CLB - C</v>
      </c>
      <c r="C345" t="str">
        <f t="shared" si="60"/>
        <v>Liam</v>
      </c>
      <c r="D345" t="str">
        <f t="shared" si="61"/>
        <v>Foudy</v>
      </c>
      <c r="E345" s="39" t="s">
        <v>1672</v>
      </c>
      <c r="F345" s="30" t="s">
        <v>14</v>
      </c>
      <c r="G345" s="35" t="s">
        <v>386</v>
      </c>
      <c r="H345" s="35" t="s">
        <v>73</v>
      </c>
      <c r="I345" s="35" t="s">
        <v>2446</v>
      </c>
      <c r="J345" s="35">
        <v>19</v>
      </c>
      <c r="K345" s="35">
        <f>VALUE(COUNTIF(Validation!$A$2:$H$47,E345))</f>
        <v>0</v>
      </c>
      <c r="L345" s="361">
        <f t="shared" si="62"/>
        <v>1269167</v>
      </c>
      <c r="M345" s="361">
        <f t="shared" si="63"/>
        <v>1269167</v>
      </c>
      <c r="N345" s="358">
        <v>1269167</v>
      </c>
      <c r="O345" s="358">
        <v>1269167</v>
      </c>
      <c r="P345" s="358">
        <v>1269167</v>
      </c>
      <c r="Q345" s="358" t="s">
        <v>8</v>
      </c>
      <c r="R345" s="358">
        <v>0</v>
      </c>
      <c r="S345" s="358">
        <v>0</v>
      </c>
      <c r="T345" s="358">
        <v>0</v>
      </c>
      <c r="U345" s="35">
        <f t="shared" si="64"/>
        <v>3</v>
      </c>
      <c r="W345">
        <f t="shared" si="65"/>
        <v>1</v>
      </c>
      <c r="X345" s="35">
        <f t="shared" si="66"/>
        <v>1</v>
      </c>
      <c r="Y345">
        <f t="shared" si="67"/>
        <v>1</v>
      </c>
      <c r="AB345">
        <f t="shared" si="70"/>
        <v>1</v>
      </c>
      <c r="AC345">
        <f t="shared" ca="1" si="71"/>
        <v>0</v>
      </c>
      <c r="AD345" t="str">
        <f ca="1">IF(AC345=1,COUNTIF($AC$3:AC345,1),"")</f>
        <v/>
      </c>
      <c r="AE345" s="155" t="str">
        <f ca="1">IFERROR(INDEX(Données!$B$3:$B$1479,MATCH(ROWS($AD$3:AD345),$AD$3:$AD$1479,0)),"")</f>
        <v/>
      </c>
    </row>
    <row r="346" spans="1:31" ht="15.75" x14ac:dyDescent="0.25">
      <c r="A346" t="str">
        <f t="shared" si="68"/>
        <v>Joonas Korpisalo - CLB - G</v>
      </c>
      <c r="B346" t="str">
        <f t="shared" si="69"/>
        <v>Joonas Korpisalo - CLB - G</v>
      </c>
      <c r="C346" t="str">
        <f t="shared" si="60"/>
        <v>Joonas</v>
      </c>
      <c r="D346" t="str">
        <f t="shared" si="61"/>
        <v>Korpisalo</v>
      </c>
      <c r="E346" s="39" t="s">
        <v>1670</v>
      </c>
      <c r="F346" s="30" t="s">
        <v>14</v>
      </c>
      <c r="G346" s="35">
        <v>0</v>
      </c>
      <c r="H346" s="35" t="s">
        <v>127</v>
      </c>
      <c r="I346" s="35" t="s">
        <v>2439</v>
      </c>
      <c r="J346" s="35">
        <v>25</v>
      </c>
      <c r="K346" s="35">
        <f>VALUE(COUNTIF(Validation!$A$2:$H$47,E346))</f>
        <v>0</v>
      </c>
      <c r="L346" s="361">
        <f t="shared" si="62"/>
        <v>1150000</v>
      </c>
      <c r="M346" s="361">
        <f t="shared" si="63"/>
        <v>0</v>
      </c>
      <c r="N346" s="358">
        <v>1150000</v>
      </c>
      <c r="O346" s="358" t="s">
        <v>8</v>
      </c>
      <c r="P346" s="358">
        <v>0</v>
      </c>
      <c r="Q346" s="358">
        <v>0</v>
      </c>
      <c r="R346" s="358">
        <v>0</v>
      </c>
      <c r="S346" s="358">
        <v>0</v>
      </c>
      <c r="T346" s="358">
        <v>0</v>
      </c>
      <c r="U346" s="35">
        <f t="shared" si="64"/>
        <v>1</v>
      </c>
      <c r="W346">
        <f t="shared" si="65"/>
        <v>1</v>
      </c>
      <c r="X346" s="35">
        <f t="shared" si="66"/>
        <v>0</v>
      </c>
      <c r="Y346">
        <f t="shared" si="67"/>
        <v>0</v>
      </c>
      <c r="AB346">
        <f t="shared" si="70"/>
        <v>1</v>
      </c>
      <c r="AC346">
        <f t="shared" ca="1" si="71"/>
        <v>0</v>
      </c>
      <c r="AD346" t="str">
        <f ca="1">IF(AC346=1,COUNTIF($AC$3:AC346,1),"")</f>
        <v/>
      </c>
      <c r="AE346" s="155" t="str">
        <f ca="1">IFERROR(INDEX(Données!$B$3:$B$1479,MATCH(ROWS($AD$3:AD346),$AD$3:$AD$1479,0)),"")</f>
        <v/>
      </c>
    </row>
    <row r="347" spans="1:31" ht="15.75" x14ac:dyDescent="0.25">
      <c r="A347" t="str">
        <f t="shared" si="68"/>
        <v>Matiss Kivlenieks - CLB - G</v>
      </c>
      <c r="B347" t="str">
        <f t="shared" si="69"/>
        <v>Matiss Kivlenieks - CLB - G</v>
      </c>
      <c r="C347" t="str">
        <f t="shared" si="60"/>
        <v>Matiss</v>
      </c>
      <c r="D347" t="str">
        <f t="shared" si="61"/>
        <v>Kivlenieks</v>
      </c>
      <c r="E347" s="39" t="s">
        <v>1673</v>
      </c>
      <c r="F347" s="30" t="s">
        <v>14</v>
      </c>
      <c r="G347" s="35" t="s">
        <v>386</v>
      </c>
      <c r="H347" s="35" t="s">
        <v>127</v>
      </c>
      <c r="I347" s="35" t="s">
        <v>2446</v>
      </c>
      <c r="J347" s="35">
        <v>22</v>
      </c>
      <c r="K347" s="35">
        <f>VALUE(COUNTIF(Validation!$A$2:$H$47,E347))</f>
        <v>0</v>
      </c>
      <c r="L347" s="361">
        <f t="shared" si="62"/>
        <v>1066667</v>
      </c>
      <c r="M347" s="361">
        <f t="shared" si="63"/>
        <v>0</v>
      </c>
      <c r="N347" s="358">
        <v>1066667</v>
      </c>
      <c r="O347" s="358" t="s">
        <v>8</v>
      </c>
      <c r="P347" s="358">
        <v>0</v>
      </c>
      <c r="Q347" s="358">
        <v>0</v>
      </c>
      <c r="R347" s="358">
        <v>0</v>
      </c>
      <c r="S347" s="358">
        <v>0</v>
      </c>
      <c r="T347" s="358">
        <v>0</v>
      </c>
      <c r="U347" s="35">
        <f t="shared" si="64"/>
        <v>1</v>
      </c>
      <c r="W347">
        <f t="shared" si="65"/>
        <v>1</v>
      </c>
      <c r="X347" s="35">
        <f t="shared" si="66"/>
        <v>1</v>
      </c>
      <c r="Y347">
        <f t="shared" si="67"/>
        <v>0</v>
      </c>
      <c r="AB347">
        <f t="shared" si="70"/>
        <v>1</v>
      </c>
      <c r="AC347">
        <f t="shared" ca="1" si="71"/>
        <v>0</v>
      </c>
      <c r="AD347" t="str">
        <f ca="1">IF(AC347=1,COUNTIF($AC$3:AC347,1),"")</f>
        <v/>
      </c>
      <c r="AE347" s="155" t="str">
        <f ca="1">IFERROR(INDEX(Données!$B$3:$B$1479,MATCH(ROWS($AD$3:AD347),$AD$3:$AD$1479,0)),"")</f>
        <v/>
      </c>
    </row>
    <row r="348" spans="1:31" ht="15.75" x14ac:dyDescent="0.25">
      <c r="A348" t="str">
        <f t="shared" si="68"/>
        <v>Ryan Collins - CLB - DD</v>
      </c>
      <c r="B348" t="str">
        <f t="shared" si="69"/>
        <v>Ryan Collins - CLB - DD</v>
      </c>
      <c r="C348" t="str">
        <f t="shared" si="60"/>
        <v>Ryan</v>
      </c>
      <c r="D348" t="str">
        <f t="shared" si="61"/>
        <v>Collins</v>
      </c>
      <c r="E348" s="39" t="s">
        <v>1676</v>
      </c>
      <c r="F348" s="30" t="s">
        <v>14</v>
      </c>
      <c r="G348" s="35" t="s">
        <v>386</v>
      </c>
      <c r="H348" s="35" t="s">
        <v>2444</v>
      </c>
      <c r="I348" s="35" t="s">
        <v>2446</v>
      </c>
      <c r="J348" s="35">
        <v>23</v>
      </c>
      <c r="K348" s="35">
        <f>VALUE(COUNTIF(Validation!$A$2:$H$47,E348))</f>
        <v>0</v>
      </c>
      <c r="L348" s="361">
        <f t="shared" si="62"/>
        <v>925000</v>
      </c>
      <c r="M348" s="361">
        <f t="shared" si="63"/>
        <v>0</v>
      </c>
      <c r="N348" s="358">
        <v>925000</v>
      </c>
      <c r="O348" s="358" t="s">
        <v>8</v>
      </c>
      <c r="P348" s="358">
        <v>0</v>
      </c>
      <c r="Q348" s="358">
        <v>0</v>
      </c>
      <c r="R348" s="358">
        <v>0</v>
      </c>
      <c r="S348" s="358">
        <v>0</v>
      </c>
      <c r="T348" s="358">
        <v>0</v>
      </c>
      <c r="U348" s="35">
        <f t="shared" si="64"/>
        <v>1</v>
      </c>
      <c r="W348">
        <f t="shared" si="65"/>
        <v>1</v>
      </c>
      <c r="X348" s="35">
        <f t="shared" si="66"/>
        <v>1</v>
      </c>
      <c r="Y348">
        <f t="shared" si="67"/>
        <v>0</v>
      </c>
      <c r="AB348">
        <f t="shared" si="70"/>
        <v>1</v>
      </c>
      <c r="AC348">
        <f t="shared" ca="1" si="71"/>
        <v>0</v>
      </c>
      <c r="AD348" t="str">
        <f ca="1">IF(AC348=1,COUNTIF($AC$3:AC348,1),"")</f>
        <v/>
      </c>
      <c r="AE348" s="155" t="str">
        <f ca="1">IFERROR(INDEX(Données!$B$3:$B$1479,MATCH(ROWS($AD$3:AD348),$AD$3:$AD$1479,0)),"")</f>
        <v/>
      </c>
    </row>
    <row r="349" spans="1:31" ht="15.75" x14ac:dyDescent="0.25">
      <c r="A349" t="str">
        <f t="shared" si="68"/>
        <v>Trey Fix-Wolansky - CLB - AD</v>
      </c>
      <c r="B349" t="str">
        <f t="shared" si="69"/>
        <v>Trey Fix-Wolansky - CLB - AD</v>
      </c>
      <c r="C349" t="str">
        <f t="shared" si="60"/>
        <v>Trey</v>
      </c>
      <c r="D349" t="str">
        <f t="shared" si="61"/>
        <v>Fix-Wolansky</v>
      </c>
      <c r="E349" s="39" t="s">
        <v>2639</v>
      </c>
      <c r="F349" s="30" t="s">
        <v>14</v>
      </c>
      <c r="G349" s="35" t="s">
        <v>386</v>
      </c>
      <c r="H349" s="35" t="s">
        <v>2438</v>
      </c>
      <c r="I349" s="35" t="s">
        <v>2446</v>
      </c>
      <c r="J349" s="35">
        <v>20</v>
      </c>
      <c r="K349" s="35">
        <f>VALUE(COUNTIF(Validation!$A$2:$H$47,E349))</f>
        <v>0</v>
      </c>
      <c r="L349" s="361">
        <f t="shared" si="62"/>
        <v>925000</v>
      </c>
      <c r="M349" s="361">
        <f t="shared" si="63"/>
        <v>925000</v>
      </c>
      <c r="N349" s="358">
        <v>925000</v>
      </c>
      <c r="O349" s="358">
        <v>925000</v>
      </c>
      <c r="P349" s="358">
        <v>925000</v>
      </c>
      <c r="Q349" s="358" t="s">
        <v>8</v>
      </c>
      <c r="R349" s="358">
        <v>0</v>
      </c>
      <c r="S349" s="358">
        <v>0</v>
      </c>
      <c r="T349" s="358">
        <v>0</v>
      </c>
      <c r="U349" s="35">
        <f t="shared" si="64"/>
        <v>3</v>
      </c>
      <c r="W349">
        <f t="shared" si="65"/>
        <v>1</v>
      </c>
      <c r="X349" s="35">
        <f t="shared" si="66"/>
        <v>1</v>
      </c>
      <c r="Y349">
        <f t="shared" si="67"/>
        <v>1</v>
      </c>
      <c r="AB349">
        <f t="shared" si="70"/>
        <v>1</v>
      </c>
      <c r="AC349">
        <f t="shared" ca="1" si="71"/>
        <v>0</v>
      </c>
      <c r="AD349" t="str">
        <f ca="1">IF(AC349=1,COUNTIF($AC$3:AC349,1),"")</f>
        <v/>
      </c>
      <c r="AE349" s="155" t="str">
        <f ca="1">IFERROR(INDEX(Données!$B$3:$B$1479,MATCH(ROWS($AD$3:AD349),$AD$3:$AD$1479,0)),"")</f>
        <v/>
      </c>
    </row>
    <row r="350" spans="1:31" ht="15.75" x14ac:dyDescent="0.25">
      <c r="A350" t="str">
        <f t="shared" si="68"/>
        <v>Maxime Fortier - CLB - AD, C</v>
      </c>
      <c r="B350" t="str">
        <f t="shared" si="69"/>
        <v>Maxime Fortier - CLB - AD, C</v>
      </c>
      <c r="C350" t="str">
        <f t="shared" si="60"/>
        <v>Maxime</v>
      </c>
      <c r="D350" t="str">
        <f t="shared" si="61"/>
        <v>Fortier</v>
      </c>
      <c r="E350" s="39" t="s">
        <v>1680</v>
      </c>
      <c r="F350" s="30" t="s">
        <v>14</v>
      </c>
      <c r="G350" s="35" t="s">
        <v>386</v>
      </c>
      <c r="H350" s="9" t="s">
        <v>2453</v>
      </c>
      <c r="I350" s="9" t="s">
        <v>2446</v>
      </c>
      <c r="J350" s="9">
        <v>21</v>
      </c>
      <c r="K350" s="35">
        <f>VALUE(COUNTIF(Validation!$A$2:$H$47,E350))</f>
        <v>0</v>
      </c>
      <c r="L350" s="361">
        <f t="shared" si="62"/>
        <v>925000</v>
      </c>
      <c r="M350" s="361">
        <f t="shared" si="63"/>
        <v>0</v>
      </c>
      <c r="N350" s="358">
        <v>925000</v>
      </c>
      <c r="O350" s="358" t="s">
        <v>8</v>
      </c>
      <c r="P350" s="358">
        <v>0</v>
      </c>
      <c r="Q350" s="358">
        <v>0</v>
      </c>
      <c r="R350" s="358">
        <v>0</v>
      </c>
      <c r="S350" s="358">
        <v>0</v>
      </c>
      <c r="T350" s="358">
        <v>0</v>
      </c>
      <c r="U350" s="35">
        <f t="shared" si="64"/>
        <v>1</v>
      </c>
      <c r="W350">
        <f t="shared" si="65"/>
        <v>1</v>
      </c>
      <c r="X350" s="35">
        <f t="shared" si="66"/>
        <v>1</v>
      </c>
      <c r="Y350">
        <f t="shared" si="67"/>
        <v>0</v>
      </c>
      <c r="AB350">
        <f t="shared" si="70"/>
        <v>1</v>
      </c>
      <c r="AC350">
        <f t="shared" ca="1" si="71"/>
        <v>0</v>
      </c>
      <c r="AD350" t="str">
        <f ca="1">IF(AC350=1,COUNTIF($AC$3:AC350,1),"")</f>
        <v/>
      </c>
      <c r="AE350" s="155" t="str">
        <f ca="1">IFERROR(INDEX(Données!$B$3:$B$1479,MATCH(ROWS($AD$3:AD350),$AD$3:$AD$1479,0)),"")</f>
        <v/>
      </c>
    </row>
    <row r="351" spans="1:31" ht="15.75" x14ac:dyDescent="0.25">
      <c r="A351" t="str">
        <f t="shared" si="68"/>
        <v>Jakob Lilja - CLB - AG</v>
      </c>
      <c r="B351" t="str">
        <f t="shared" si="69"/>
        <v>Jakob Lilja - CLB - AG</v>
      </c>
      <c r="C351" t="str">
        <f t="shared" si="60"/>
        <v>Jakob</v>
      </c>
      <c r="D351" t="str">
        <f t="shared" si="61"/>
        <v>Lilja</v>
      </c>
      <c r="E351" s="39" t="s">
        <v>2640</v>
      </c>
      <c r="F351" s="30" t="s">
        <v>14</v>
      </c>
      <c r="G351" s="35" t="s">
        <v>386</v>
      </c>
      <c r="H351" s="35" t="s">
        <v>2440</v>
      </c>
      <c r="I351" s="35" t="s">
        <v>2446</v>
      </c>
      <c r="J351" s="35">
        <v>26</v>
      </c>
      <c r="K351" s="35">
        <f>VALUE(COUNTIF(Validation!$A$2:$H$47,E351))</f>
        <v>0</v>
      </c>
      <c r="L351" s="361">
        <f t="shared" si="62"/>
        <v>925000</v>
      </c>
      <c r="M351" s="361">
        <f t="shared" si="63"/>
        <v>0</v>
      </c>
      <c r="N351" s="358">
        <v>925000</v>
      </c>
      <c r="O351" s="358" t="s">
        <v>8</v>
      </c>
      <c r="P351" s="358">
        <v>0</v>
      </c>
      <c r="Q351" s="358">
        <v>0</v>
      </c>
      <c r="R351" s="358">
        <v>0</v>
      </c>
      <c r="S351" s="358">
        <v>0</v>
      </c>
      <c r="T351" s="358">
        <v>0</v>
      </c>
      <c r="U351" s="35">
        <f t="shared" si="64"/>
        <v>1</v>
      </c>
      <c r="W351">
        <f t="shared" si="65"/>
        <v>1</v>
      </c>
      <c r="X351" s="35">
        <f t="shared" si="66"/>
        <v>1</v>
      </c>
      <c r="Y351">
        <f t="shared" si="67"/>
        <v>0</v>
      </c>
      <c r="AB351">
        <f t="shared" si="70"/>
        <v>1</v>
      </c>
      <c r="AC351">
        <f t="shared" ca="1" si="71"/>
        <v>0</v>
      </c>
      <c r="AD351" t="str">
        <f ca="1">IF(AC351=1,COUNTIF($AC$3:AC351,1),"")</f>
        <v/>
      </c>
      <c r="AE351" s="155" t="str">
        <f ca="1">IFERROR(INDEX(Données!$B$3:$B$1479,MATCH(ROWS($AD$3:AD351),$AD$3:$AD$1479,0)),"")</f>
        <v/>
      </c>
    </row>
    <row r="352" spans="1:31" ht="15.75" x14ac:dyDescent="0.25">
      <c r="A352" t="str">
        <f t="shared" si="68"/>
        <v>Kevin Stenlund - CLB - AD</v>
      </c>
      <c r="B352" t="str">
        <f t="shared" si="69"/>
        <v>Kevin Stenlund - CLB - AD</v>
      </c>
      <c r="C352" t="str">
        <f t="shared" si="60"/>
        <v>Kevin</v>
      </c>
      <c r="D352" t="str">
        <f t="shared" si="61"/>
        <v>Stenlund</v>
      </c>
      <c r="E352" s="39" t="s">
        <v>1677</v>
      </c>
      <c r="F352" s="30" t="s">
        <v>14</v>
      </c>
      <c r="G352" s="35" t="s">
        <v>386</v>
      </c>
      <c r="H352" s="35" t="s">
        <v>2438</v>
      </c>
      <c r="I352" s="35" t="s">
        <v>2446</v>
      </c>
      <c r="J352" s="35">
        <v>22</v>
      </c>
      <c r="K352" s="35">
        <f>VALUE(COUNTIF(Validation!$A$2:$H$47,E352))</f>
        <v>0</v>
      </c>
      <c r="L352" s="361">
        <f t="shared" si="62"/>
        <v>925000</v>
      </c>
      <c r="M352" s="361">
        <f t="shared" si="63"/>
        <v>0</v>
      </c>
      <c r="N352" s="358">
        <v>925000</v>
      </c>
      <c r="O352" s="358" t="s">
        <v>8</v>
      </c>
      <c r="P352" s="358">
        <v>0</v>
      </c>
      <c r="Q352" s="358">
        <v>0</v>
      </c>
      <c r="R352" s="358">
        <v>0</v>
      </c>
      <c r="S352" s="358">
        <v>0</v>
      </c>
      <c r="T352" s="358">
        <v>0</v>
      </c>
      <c r="U352" s="35">
        <f t="shared" si="64"/>
        <v>1</v>
      </c>
      <c r="W352">
        <f t="shared" si="65"/>
        <v>1</v>
      </c>
      <c r="X352" s="35">
        <f t="shared" si="66"/>
        <v>1</v>
      </c>
      <c r="Y352">
        <f t="shared" si="67"/>
        <v>0</v>
      </c>
      <c r="AB352">
        <f t="shared" si="70"/>
        <v>1</v>
      </c>
      <c r="AC352">
        <f t="shared" ca="1" si="71"/>
        <v>0</v>
      </c>
      <c r="AD352" t="str">
        <f ca="1">IF(AC352=1,COUNTIF($AC$3:AC352,1),"")</f>
        <v/>
      </c>
      <c r="AE352" s="155" t="str">
        <f ca="1">IFERROR(INDEX(Données!$B$3:$B$1479,MATCH(ROWS($AD$3:AD352),$AD$3:$AD$1479,0)),"")</f>
        <v/>
      </c>
    </row>
    <row r="353" spans="1:31" ht="15.75" x14ac:dyDescent="0.25">
      <c r="A353" t="str">
        <f t="shared" si="68"/>
        <v>Daniil Tarasov - CLB - G</v>
      </c>
      <c r="B353" t="str">
        <f t="shared" si="69"/>
        <v>Daniil Tarasov - CLB - G</v>
      </c>
      <c r="C353" t="str">
        <f t="shared" si="60"/>
        <v>Daniil</v>
      </c>
      <c r="D353" t="str">
        <f t="shared" si="61"/>
        <v>Tarasov</v>
      </c>
      <c r="E353" s="39" t="s">
        <v>2644</v>
      </c>
      <c r="F353" s="30" t="s">
        <v>14</v>
      </c>
      <c r="G353" s="35" t="s">
        <v>386</v>
      </c>
      <c r="H353" s="35" t="s">
        <v>127</v>
      </c>
      <c r="I353" s="35" t="s">
        <v>2446</v>
      </c>
      <c r="J353" s="35">
        <v>20</v>
      </c>
      <c r="K353" s="35">
        <f>VALUE(COUNTIF(Validation!$A$2:$H$47,E353))</f>
        <v>0</v>
      </c>
      <c r="L353" s="361">
        <f t="shared" si="62"/>
        <v>925000</v>
      </c>
      <c r="M353" s="361">
        <f t="shared" si="63"/>
        <v>925000</v>
      </c>
      <c r="N353" s="358">
        <v>925000</v>
      </c>
      <c r="O353" s="358">
        <v>925000</v>
      </c>
      <c r="P353" s="358">
        <v>925000</v>
      </c>
      <c r="Q353" s="358" t="s">
        <v>8</v>
      </c>
      <c r="R353" s="358">
        <v>0</v>
      </c>
      <c r="S353" s="358">
        <v>0</v>
      </c>
      <c r="T353" s="358">
        <v>0</v>
      </c>
      <c r="U353" s="35">
        <f t="shared" si="64"/>
        <v>3</v>
      </c>
      <c r="W353">
        <f t="shared" si="65"/>
        <v>1</v>
      </c>
      <c r="X353" s="35">
        <f t="shared" si="66"/>
        <v>1</v>
      </c>
      <c r="Y353">
        <f t="shared" si="67"/>
        <v>1</v>
      </c>
      <c r="AB353">
        <f t="shared" si="70"/>
        <v>1</v>
      </c>
      <c r="AC353">
        <f t="shared" ca="1" si="71"/>
        <v>0</v>
      </c>
      <c r="AD353" t="str">
        <f ca="1">IF(AC353=1,COUNTIF($AC$3:AC353,1),"")</f>
        <v/>
      </c>
      <c r="AE353" s="155" t="str">
        <f ca="1">IFERROR(INDEX(Données!$B$3:$B$1479,MATCH(ROWS($AD$3:AD353),$AD$3:$AD$1479,0)),"")</f>
        <v/>
      </c>
    </row>
    <row r="354" spans="1:31" ht="15.75" x14ac:dyDescent="0.25">
      <c r="A354" t="str">
        <f t="shared" si="68"/>
        <v>Alexandre Texier - CLB - C</v>
      </c>
      <c r="B354" t="str">
        <f t="shared" si="69"/>
        <v>Alexandre Texier - CLB - C</v>
      </c>
      <c r="C354" t="str">
        <f t="shared" si="60"/>
        <v>Alexandre</v>
      </c>
      <c r="D354" t="str">
        <f t="shared" si="61"/>
        <v>Texier</v>
      </c>
      <c r="E354" s="39" t="s">
        <v>1674</v>
      </c>
      <c r="F354" s="30" t="s">
        <v>14</v>
      </c>
      <c r="G354" s="35" t="s">
        <v>386</v>
      </c>
      <c r="H354" s="35" t="s">
        <v>73</v>
      </c>
      <c r="I354" s="35" t="s">
        <v>2446</v>
      </c>
      <c r="J354" s="35">
        <v>19</v>
      </c>
      <c r="K354" s="35">
        <f>VALUE(COUNTIF(Validation!$A$2:$H$47,E354))</f>
        <v>0</v>
      </c>
      <c r="L354" s="361">
        <f t="shared" si="62"/>
        <v>925000</v>
      </c>
      <c r="M354" s="361">
        <f t="shared" si="63"/>
        <v>925000</v>
      </c>
      <c r="N354" s="358">
        <v>925000</v>
      </c>
      <c r="O354" s="358">
        <v>925000</v>
      </c>
      <c r="P354" s="358" t="s">
        <v>8</v>
      </c>
      <c r="Q354" s="358">
        <v>0</v>
      </c>
      <c r="R354" s="358">
        <v>0</v>
      </c>
      <c r="S354" s="358">
        <v>0</v>
      </c>
      <c r="T354" s="358">
        <v>0</v>
      </c>
      <c r="U354" s="35">
        <f t="shared" si="64"/>
        <v>2</v>
      </c>
      <c r="W354">
        <f t="shared" si="65"/>
        <v>1</v>
      </c>
      <c r="X354" s="35">
        <f t="shared" si="66"/>
        <v>1</v>
      </c>
      <c r="Y354">
        <f t="shared" si="67"/>
        <v>1</v>
      </c>
      <c r="AB354">
        <f t="shared" si="70"/>
        <v>1</v>
      </c>
      <c r="AC354">
        <f t="shared" ca="1" si="71"/>
        <v>0</v>
      </c>
      <c r="AD354" t="str">
        <f ca="1">IF(AC354=1,COUNTIF($AC$3:AC354,1),"")</f>
        <v/>
      </c>
      <c r="AE354" s="155" t="str">
        <f ca="1">IFERROR(INDEX(Données!$B$3:$B$1479,MATCH(ROWS($AD$3:AD354),$AD$3:$AD$1479,0)),"")</f>
        <v/>
      </c>
    </row>
    <row r="355" spans="1:31" ht="15.75" x14ac:dyDescent="0.25">
      <c r="A355" t="str">
        <f t="shared" si="68"/>
        <v>Veini Vehvilainen - CLB - G</v>
      </c>
      <c r="B355" t="str">
        <f t="shared" si="69"/>
        <v>Veini Vehvilainen - CLB - G</v>
      </c>
      <c r="C355" t="str">
        <f t="shared" si="60"/>
        <v>Veini</v>
      </c>
      <c r="D355" t="str">
        <f t="shared" si="61"/>
        <v>Vehvilainen</v>
      </c>
      <c r="E355" s="39" t="s">
        <v>2645</v>
      </c>
      <c r="F355" s="30" t="s">
        <v>14</v>
      </c>
      <c r="G355" s="35" t="s">
        <v>386</v>
      </c>
      <c r="H355" s="35" t="s">
        <v>127</v>
      </c>
      <c r="I355" s="35" t="s">
        <v>2446</v>
      </c>
      <c r="J355" s="35">
        <v>22</v>
      </c>
      <c r="K355" s="35">
        <f>VALUE(COUNTIF(Validation!$A$2:$H$47,E355))</f>
        <v>0</v>
      </c>
      <c r="L355" s="361">
        <f t="shared" si="62"/>
        <v>925000</v>
      </c>
      <c r="M355" s="361">
        <f t="shared" si="63"/>
        <v>925000</v>
      </c>
      <c r="N355" s="358">
        <v>925000</v>
      </c>
      <c r="O355" s="358">
        <v>925000</v>
      </c>
      <c r="P355" s="358" t="s">
        <v>8</v>
      </c>
      <c r="Q355" s="358">
        <v>0</v>
      </c>
      <c r="R355" s="358">
        <v>0</v>
      </c>
      <c r="S355" s="358">
        <v>0</v>
      </c>
      <c r="T355" s="358">
        <v>0</v>
      </c>
      <c r="U355" s="35">
        <f t="shared" si="64"/>
        <v>2</v>
      </c>
      <c r="W355">
        <f t="shared" si="65"/>
        <v>1</v>
      </c>
      <c r="X355" s="35">
        <f t="shared" si="66"/>
        <v>1</v>
      </c>
      <c r="Y355">
        <f t="shared" si="67"/>
        <v>1</v>
      </c>
      <c r="AB355">
        <f t="shared" si="70"/>
        <v>1</v>
      </c>
      <c r="AC355">
        <f t="shared" ca="1" si="71"/>
        <v>0</v>
      </c>
      <c r="AD355" t="str">
        <f ca="1">IF(AC355=1,COUNTIF($AC$3:AC355,1),"")</f>
        <v/>
      </c>
      <c r="AE355" s="155" t="str">
        <f ca="1">IFERROR(INDEX(Données!$B$3:$B$1479,MATCH(ROWS($AD$3:AD355),$AD$3:$AD$1479,0)),"")</f>
        <v/>
      </c>
    </row>
    <row r="356" spans="1:31" ht="15.75" x14ac:dyDescent="0.25">
      <c r="A356" t="str">
        <f t="shared" si="68"/>
        <v>Gabriel Carlsson - CLB - DG</v>
      </c>
      <c r="B356" t="str">
        <f t="shared" si="69"/>
        <v>Gabriel Carlsson - CLB - DG</v>
      </c>
      <c r="C356" t="str">
        <f t="shared" si="60"/>
        <v>Gabriel</v>
      </c>
      <c r="D356" t="str">
        <f t="shared" si="61"/>
        <v>Carlsson</v>
      </c>
      <c r="E356" s="39" t="s">
        <v>1675</v>
      </c>
      <c r="F356" s="30" t="s">
        <v>14</v>
      </c>
      <c r="G356" s="35" t="s">
        <v>386</v>
      </c>
      <c r="H356" s="35" t="s">
        <v>2445</v>
      </c>
      <c r="I356" s="35" t="s">
        <v>2446</v>
      </c>
      <c r="J356" s="35">
        <v>22</v>
      </c>
      <c r="K356" s="35">
        <f>VALUE(COUNTIF(Validation!$A$2:$H$47,E356))</f>
        <v>0</v>
      </c>
      <c r="L356" s="361">
        <f t="shared" si="62"/>
        <v>894166</v>
      </c>
      <c r="M356" s="361">
        <f t="shared" si="63"/>
        <v>0</v>
      </c>
      <c r="N356" s="358">
        <v>894166</v>
      </c>
      <c r="O356" s="358" t="s">
        <v>8</v>
      </c>
      <c r="P356" s="358">
        <v>0</v>
      </c>
      <c r="Q356" s="358">
        <v>0</v>
      </c>
      <c r="R356" s="358">
        <v>0</v>
      </c>
      <c r="S356" s="358">
        <v>0</v>
      </c>
      <c r="T356" s="358">
        <v>0</v>
      </c>
      <c r="U356" s="35">
        <f t="shared" si="64"/>
        <v>1</v>
      </c>
      <c r="W356">
        <f t="shared" si="65"/>
        <v>1</v>
      </c>
      <c r="X356" s="35">
        <f t="shared" si="66"/>
        <v>1</v>
      </c>
      <c r="Y356">
        <f t="shared" si="67"/>
        <v>0</v>
      </c>
      <c r="AB356">
        <f t="shared" si="70"/>
        <v>1</v>
      </c>
      <c r="AC356">
        <f t="shared" ca="1" si="71"/>
        <v>0</v>
      </c>
      <c r="AD356" t="str">
        <f ca="1">IF(AC356=1,COUNTIF($AC$3:AC356,1),"")</f>
        <v/>
      </c>
      <c r="AE356" s="155" t="str">
        <f ca="1">IFERROR(INDEX(Données!$B$3:$B$1479,MATCH(ROWS($AD$3:AD356),$AD$3:$AD$1479,0)),"")</f>
        <v/>
      </c>
    </row>
    <row r="357" spans="1:31" ht="15.75" x14ac:dyDescent="0.25">
      <c r="A357" t="str">
        <f t="shared" si="68"/>
        <v>Ryan MacInnis - CLB - C</v>
      </c>
      <c r="B357" t="str">
        <f t="shared" si="69"/>
        <v>Ryan MacInnis - CLB - C</v>
      </c>
      <c r="C357" t="str">
        <f t="shared" si="60"/>
        <v>Ryan</v>
      </c>
      <c r="D357" t="str">
        <f t="shared" si="61"/>
        <v>MacInnis</v>
      </c>
      <c r="E357" s="39" t="s">
        <v>1678</v>
      </c>
      <c r="F357" s="30" t="s">
        <v>14</v>
      </c>
      <c r="G357" s="35">
        <v>0</v>
      </c>
      <c r="H357" s="35" t="s">
        <v>73</v>
      </c>
      <c r="I357" s="35" t="s">
        <v>2446</v>
      </c>
      <c r="J357" s="35">
        <v>23</v>
      </c>
      <c r="K357" s="35">
        <f>VALUE(COUNTIF(Validation!$A$2:$H$47,E357))</f>
        <v>0</v>
      </c>
      <c r="L357" s="361">
        <f t="shared" si="62"/>
        <v>874125</v>
      </c>
      <c r="M357" s="361">
        <f t="shared" si="63"/>
        <v>0</v>
      </c>
      <c r="N357" s="358">
        <v>874125</v>
      </c>
      <c r="O357" s="358" t="s">
        <v>8</v>
      </c>
      <c r="P357" s="358">
        <v>0</v>
      </c>
      <c r="Q357" s="358">
        <v>0</v>
      </c>
      <c r="R357" s="358">
        <v>0</v>
      </c>
      <c r="S357" s="358">
        <v>0</v>
      </c>
      <c r="T357" s="358">
        <v>0</v>
      </c>
      <c r="U357" s="35">
        <f t="shared" si="64"/>
        <v>1</v>
      </c>
      <c r="W357">
        <f t="shared" si="65"/>
        <v>1</v>
      </c>
      <c r="X357" s="35">
        <f t="shared" si="66"/>
        <v>0</v>
      </c>
      <c r="Y357">
        <f t="shared" si="67"/>
        <v>0</v>
      </c>
      <c r="AB357">
        <f t="shared" si="70"/>
        <v>1</v>
      </c>
      <c r="AC357">
        <f t="shared" ca="1" si="71"/>
        <v>0</v>
      </c>
      <c r="AD357" t="str">
        <f ca="1">IF(AC357=1,COUNTIF($AC$3:AC357,1),"")</f>
        <v/>
      </c>
      <c r="AE357" s="155" t="str">
        <f ca="1">IFERROR(INDEX(Données!$B$3:$B$1479,MATCH(ROWS($AD$3:AD357),$AD$3:$AD$1479,0)),"")</f>
        <v/>
      </c>
    </row>
    <row r="358" spans="1:31" ht="15.75" x14ac:dyDescent="0.25">
      <c r="A358" t="str">
        <f t="shared" si="68"/>
        <v>Elvis Merzlikins - CLB - G</v>
      </c>
      <c r="B358" t="str">
        <f t="shared" si="69"/>
        <v>Elvis Merzlikins - CLB - G</v>
      </c>
      <c r="C358" t="str">
        <f t="shared" si="60"/>
        <v>Elvis</v>
      </c>
      <c r="D358" t="str">
        <f t="shared" si="61"/>
        <v>Merzlikins</v>
      </c>
      <c r="E358" s="39" t="s">
        <v>2638</v>
      </c>
      <c r="F358" s="30" t="s">
        <v>14</v>
      </c>
      <c r="G358" s="35">
        <v>0</v>
      </c>
      <c r="H358" s="35" t="s">
        <v>127</v>
      </c>
      <c r="I358" s="35" t="s">
        <v>2439</v>
      </c>
      <c r="J358" s="35">
        <v>25</v>
      </c>
      <c r="K358" s="35">
        <f>VALUE(COUNTIF(Validation!$A$2:$H$47,E358))</f>
        <v>0</v>
      </c>
      <c r="L358" s="361">
        <f t="shared" si="62"/>
        <v>874125</v>
      </c>
      <c r="M358" s="361">
        <f t="shared" si="63"/>
        <v>0</v>
      </c>
      <c r="N358" s="358">
        <v>874125</v>
      </c>
      <c r="O358" s="358" t="s">
        <v>8</v>
      </c>
      <c r="P358" s="358">
        <v>0</v>
      </c>
      <c r="Q358" s="358">
        <v>0</v>
      </c>
      <c r="R358" s="358">
        <v>0</v>
      </c>
      <c r="S358" s="358">
        <v>0</v>
      </c>
      <c r="T358" s="358">
        <v>0</v>
      </c>
      <c r="U358" s="35">
        <f t="shared" si="64"/>
        <v>1</v>
      </c>
      <c r="W358">
        <f t="shared" si="65"/>
        <v>1</v>
      </c>
      <c r="X358" s="35">
        <f t="shared" si="66"/>
        <v>0</v>
      </c>
      <c r="Y358">
        <f t="shared" si="67"/>
        <v>0</v>
      </c>
      <c r="AB358">
        <f t="shared" si="70"/>
        <v>1</v>
      </c>
      <c r="AC358">
        <f t="shared" ca="1" si="71"/>
        <v>0</v>
      </c>
      <c r="AD358" t="str">
        <f ca="1">IF(AC358=1,COUNTIF($AC$3:AC358,1),"")</f>
        <v/>
      </c>
      <c r="AE358" s="155" t="str">
        <f ca="1">IFERROR(INDEX(Données!$B$3:$B$1479,MATCH(ROWS($AD$3:AD358),$AD$3:$AD$1479,0)),"")</f>
        <v/>
      </c>
    </row>
    <row r="359" spans="1:31" ht="15.75" x14ac:dyDescent="0.25">
      <c r="A359" t="str">
        <f t="shared" si="68"/>
        <v>Sonny Milano - CLB - AG</v>
      </c>
      <c r="B359" t="str">
        <f t="shared" si="69"/>
        <v>Sonny Milano - CLB - AG</v>
      </c>
      <c r="C359" t="str">
        <f t="shared" si="60"/>
        <v>Sonny</v>
      </c>
      <c r="D359" t="str">
        <f t="shared" si="61"/>
        <v>Milano</v>
      </c>
      <c r="E359" s="39" t="s">
        <v>1661</v>
      </c>
      <c r="F359" s="30" t="s">
        <v>14</v>
      </c>
      <c r="G359" s="35">
        <v>0</v>
      </c>
      <c r="H359" s="35" t="s">
        <v>2440</v>
      </c>
      <c r="I359" s="35" t="s">
        <v>2446</v>
      </c>
      <c r="J359" s="35">
        <v>23</v>
      </c>
      <c r="K359" s="35">
        <f>VALUE(COUNTIF(Validation!$A$2:$H$47,E359))</f>
        <v>0</v>
      </c>
      <c r="L359" s="361">
        <f t="shared" si="62"/>
        <v>874125</v>
      </c>
      <c r="M359" s="361">
        <f t="shared" si="63"/>
        <v>0</v>
      </c>
      <c r="N359" s="358">
        <v>874125</v>
      </c>
      <c r="O359" s="358" t="s">
        <v>8</v>
      </c>
      <c r="P359" s="358">
        <v>0</v>
      </c>
      <c r="Q359" s="358">
        <v>0</v>
      </c>
      <c r="R359" s="358">
        <v>0</v>
      </c>
      <c r="S359" s="358">
        <v>0</v>
      </c>
      <c r="T359" s="358">
        <v>0</v>
      </c>
      <c r="U359" s="35">
        <f t="shared" si="64"/>
        <v>1</v>
      </c>
      <c r="W359">
        <f t="shared" si="65"/>
        <v>1</v>
      </c>
      <c r="X359" s="35">
        <f t="shared" si="66"/>
        <v>0</v>
      </c>
      <c r="Y359">
        <f t="shared" si="67"/>
        <v>0</v>
      </c>
      <c r="AB359">
        <f t="shared" si="70"/>
        <v>1</v>
      </c>
      <c r="AC359">
        <f t="shared" ca="1" si="71"/>
        <v>0</v>
      </c>
      <c r="AD359" t="str">
        <f ca="1">IF(AC359=1,COUNTIF($AC$3:AC359,1),"")</f>
        <v/>
      </c>
      <c r="AE359" s="155" t="str">
        <f ca="1">IFERROR(INDEX(Données!$B$3:$B$1479,MATCH(ROWS($AD$3:AD359),$AD$3:$AD$1479,0)),"")</f>
        <v/>
      </c>
    </row>
    <row r="360" spans="1:31" ht="15.75" x14ac:dyDescent="0.25">
      <c r="A360" t="str">
        <f t="shared" si="68"/>
        <v>Eric Robinson - CLB - AG</v>
      </c>
      <c r="B360" t="str">
        <f t="shared" si="69"/>
        <v>Eric Robinson - CLB - AG</v>
      </c>
      <c r="C360" t="str">
        <f t="shared" si="60"/>
        <v>Eric</v>
      </c>
      <c r="D360" t="str">
        <f t="shared" si="61"/>
        <v>Robinson</v>
      </c>
      <c r="E360" s="39" t="s">
        <v>1671</v>
      </c>
      <c r="F360" s="30" t="s">
        <v>14</v>
      </c>
      <c r="G360" s="35">
        <v>0</v>
      </c>
      <c r="H360" s="35" t="s">
        <v>2440</v>
      </c>
      <c r="I360" s="35" t="s">
        <v>2439</v>
      </c>
      <c r="J360" s="35">
        <v>24</v>
      </c>
      <c r="K360" s="35">
        <f>VALUE(COUNTIF(Validation!$A$2:$H$47,E360))</f>
        <v>0</v>
      </c>
      <c r="L360" s="361">
        <f t="shared" si="62"/>
        <v>874125</v>
      </c>
      <c r="M360" s="361">
        <f t="shared" si="63"/>
        <v>0</v>
      </c>
      <c r="N360" s="358">
        <v>874125</v>
      </c>
      <c r="O360" s="358" t="s">
        <v>8</v>
      </c>
      <c r="P360" s="358">
        <v>0</v>
      </c>
      <c r="Q360" s="358">
        <v>0</v>
      </c>
      <c r="R360" s="358">
        <v>0</v>
      </c>
      <c r="S360" s="358">
        <v>0</v>
      </c>
      <c r="T360" s="358">
        <v>0</v>
      </c>
      <c r="U360" s="35">
        <f t="shared" si="64"/>
        <v>1</v>
      </c>
      <c r="W360">
        <f t="shared" si="65"/>
        <v>1</v>
      </c>
      <c r="X360" s="35">
        <f t="shared" si="66"/>
        <v>0</v>
      </c>
      <c r="Y360">
        <f t="shared" si="67"/>
        <v>0</v>
      </c>
      <c r="AB360">
        <f t="shared" si="70"/>
        <v>1</v>
      </c>
      <c r="AC360">
        <f t="shared" ca="1" si="71"/>
        <v>0</v>
      </c>
      <c r="AD360" t="str">
        <f ca="1">IF(AC360=1,COUNTIF($AC$3:AC360,1),"")</f>
        <v/>
      </c>
      <c r="AE360" s="155" t="str">
        <f ca="1">IFERROR(INDEX(Données!$B$3:$B$1479,MATCH(ROWS($AD$3:AD360),$AD$3:$AD$1479,0)),"")</f>
        <v/>
      </c>
    </row>
    <row r="361" spans="1:31" ht="15.75" x14ac:dyDescent="0.25">
      <c r="A361" t="str">
        <f t="shared" si="68"/>
        <v>Paul Bittner - CLB - AG</v>
      </c>
      <c r="B361" t="str">
        <f t="shared" si="69"/>
        <v>Paul Bittner - CLB - AG</v>
      </c>
      <c r="C361" t="str">
        <f t="shared" si="60"/>
        <v>Paul</v>
      </c>
      <c r="D361" t="str">
        <f t="shared" si="61"/>
        <v>Bittner</v>
      </c>
      <c r="E361" s="39" t="s">
        <v>1682</v>
      </c>
      <c r="F361" s="30" t="s">
        <v>14</v>
      </c>
      <c r="G361" s="35" t="s">
        <v>403</v>
      </c>
      <c r="H361" s="35" t="s">
        <v>2440</v>
      </c>
      <c r="I361" s="35" t="s">
        <v>2446</v>
      </c>
      <c r="J361" s="35">
        <v>22</v>
      </c>
      <c r="K361" s="35">
        <f>VALUE(COUNTIF(Validation!$A$2:$H$47,E361))</f>
        <v>0</v>
      </c>
      <c r="L361" s="361">
        <f t="shared" si="62"/>
        <v>863333</v>
      </c>
      <c r="M361" s="361">
        <f t="shared" si="63"/>
        <v>0</v>
      </c>
      <c r="N361" s="358">
        <v>863333</v>
      </c>
      <c r="O361" s="358" t="s">
        <v>8</v>
      </c>
      <c r="P361" s="358">
        <v>0</v>
      </c>
      <c r="Q361" s="358">
        <v>0</v>
      </c>
      <c r="R361" s="358">
        <v>0</v>
      </c>
      <c r="S361" s="358">
        <v>0</v>
      </c>
      <c r="T361" s="358">
        <v>0</v>
      </c>
      <c r="U361" s="35">
        <f t="shared" si="64"/>
        <v>1</v>
      </c>
      <c r="W361">
        <f t="shared" si="65"/>
        <v>1</v>
      </c>
      <c r="X361" s="35">
        <f t="shared" si="66"/>
        <v>1</v>
      </c>
      <c r="Y361">
        <f t="shared" si="67"/>
        <v>0</v>
      </c>
      <c r="AB361">
        <f t="shared" si="70"/>
        <v>1</v>
      </c>
      <c r="AC361">
        <f t="shared" ca="1" si="71"/>
        <v>0</v>
      </c>
      <c r="AD361" t="str">
        <f ca="1">IF(AC361=1,COUNTIF($AC$3:AC361,1),"")</f>
        <v/>
      </c>
      <c r="AE361" s="155" t="str">
        <f ca="1">IFERROR(INDEX(Données!$B$3:$B$1479,MATCH(ROWS($AD$3:AD361),$AD$3:$AD$1479,0)),"")</f>
        <v/>
      </c>
    </row>
    <row r="362" spans="1:31" ht="15.75" x14ac:dyDescent="0.25">
      <c r="A362" t="str">
        <f t="shared" si="68"/>
        <v>Marko Dano - CLB - C, AG, AD</v>
      </c>
      <c r="B362" t="str">
        <f t="shared" si="69"/>
        <v>Marko Dano - CLB - C, AG, AD</v>
      </c>
      <c r="C362" t="str">
        <f t="shared" si="60"/>
        <v>Marko</v>
      </c>
      <c r="D362" t="str">
        <f t="shared" si="61"/>
        <v>Dano</v>
      </c>
      <c r="E362" s="39" t="s">
        <v>2756</v>
      </c>
      <c r="F362" s="30" t="s">
        <v>14</v>
      </c>
      <c r="G362" s="35">
        <v>0</v>
      </c>
      <c r="H362" s="35" t="s">
        <v>2494</v>
      </c>
      <c r="I362" s="35" t="s">
        <v>2446</v>
      </c>
      <c r="J362" s="35">
        <v>24</v>
      </c>
      <c r="K362" s="35">
        <f>VALUE(COUNTIF(Validation!$A$2:$H$47,E362))</f>
        <v>0</v>
      </c>
      <c r="L362" s="361">
        <f t="shared" si="62"/>
        <v>800000</v>
      </c>
      <c r="M362" s="361">
        <f t="shared" si="63"/>
        <v>0</v>
      </c>
      <c r="N362" s="358">
        <v>800000</v>
      </c>
      <c r="O362" s="358" t="s">
        <v>8</v>
      </c>
      <c r="P362" s="358">
        <v>0</v>
      </c>
      <c r="Q362" s="358">
        <v>0</v>
      </c>
      <c r="R362" s="358">
        <v>0</v>
      </c>
      <c r="S362" s="358">
        <v>0</v>
      </c>
      <c r="T362" s="358">
        <v>0</v>
      </c>
      <c r="U362" s="35">
        <f t="shared" si="64"/>
        <v>1</v>
      </c>
      <c r="W362">
        <f t="shared" si="65"/>
        <v>1</v>
      </c>
      <c r="X362" s="35">
        <f t="shared" si="66"/>
        <v>0</v>
      </c>
      <c r="Y362">
        <f t="shared" si="67"/>
        <v>0</v>
      </c>
      <c r="AB362">
        <f t="shared" si="70"/>
        <v>1</v>
      </c>
      <c r="AC362">
        <f t="shared" ca="1" si="71"/>
        <v>0</v>
      </c>
      <c r="AD362" t="str">
        <f ca="1">IF(AC362=1,COUNTIF($AC$3:AC362,1),"")</f>
        <v/>
      </c>
      <c r="AE362" s="155" t="str">
        <f ca="1">IFERROR(INDEX(Données!$B$3:$B$1479,MATCH(ROWS($AD$3:AD362),$AD$3:$AD$1479,0)),"")</f>
        <v/>
      </c>
    </row>
    <row r="363" spans="1:31" ht="15.75" x14ac:dyDescent="0.25">
      <c r="A363" t="str">
        <f t="shared" si="68"/>
        <v>Kole Sherwood - CLB - AD, C</v>
      </c>
      <c r="B363" t="str">
        <f t="shared" si="69"/>
        <v>Kole Sherwood - CLB - AD, C</v>
      </c>
      <c r="C363" t="str">
        <f t="shared" si="60"/>
        <v>Kole</v>
      </c>
      <c r="D363" t="str">
        <f t="shared" si="61"/>
        <v>Sherwood</v>
      </c>
      <c r="E363" s="39" t="s">
        <v>1688</v>
      </c>
      <c r="F363" s="30" t="s">
        <v>14</v>
      </c>
      <c r="G363" s="35" t="s">
        <v>386</v>
      </c>
      <c r="H363" s="35" t="s">
        <v>2453</v>
      </c>
      <c r="I363" s="35" t="s">
        <v>2446</v>
      </c>
      <c r="J363" s="35">
        <v>22</v>
      </c>
      <c r="K363" s="35">
        <f>VALUE(COUNTIF(Validation!$A$2:$H$47,E363))</f>
        <v>0</v>
      </c>
      <c r="L363" s="361">
        <f t="shared" si="62"/>
        <v>777777</v>
      </c>
      <c r="M363" s="361">
        <f t="shared" si="63"/>
        <v>0</v>
      </c>
      <c r="N363" s="358">
        <v>777777</v>
      </c>
      <c r="O363" s="358" t="s">
        <v>8</v>
      </c>
      <c r="P363" s="358">
        <v>0</v>
      </c>
      <c r="Q363" s="358">
        <v>0</v>
      </c>
      <c r="R363" s="358">
        <v>0</v>
      </c>
      <c r="S363" s="358">
        <v>0</v>
      </c>
      <c r="T363" s="358">
        <v>0</v>
      </c>
      <c r="U363" s="35">
        <f t="shared" si="64"/>
        <v>1</v>
      </c>
      <c r="W363">
        <f t="shared" si="65"/>
        <v>1</v>
      </c>
      <c r="X363" s="35">
        <f t="shared" si="66"/>
        <v>1</v>
      </c>
      <c r="Y363">
        <f t="shared" si="67"/>
        <v>0</v>
      </c>
      <c r="AB363">
        <f t="shared" si="70"/>
        <v>1</v>
      </c>
      <c r="AC363">
        <f t="shared" ca="1" si="71"/>
        <v>0</v>
      </c>
      <c r="AD363" t="str">
        <f ca="1">IF(AC363=1,COUNTIF($AC$3:AC363,1),"")</f>
        <v/>
      </c>
      <c r="AE363" s="155" t="str">
        <f ca="1">IFERROR(INDEX(Données!$B$3:$B$1479,MATCH(ROWS($AD$3:AD363),$AD$3:$AD$1479,0)),"")</f>
        <v/>
      </c>
    </row>
    <row r="364" spans="1:31" ht="15.75" x14ac:dyDescent="0.25">
      <c r="A364" t="str">
        <f t="shared" si="68"/>
        <v>Zac Dalpe - CLB - C</v>
      </c>
      <c r="B364" t="str">
        <f t="shared" si="69"/>
        <v>Zac Dalpe - CLB - C</v>
      </c>
      <c r="C364" t="str">
        <f t="shared" si="60"/>
        <v>Zac</v>
      </c>
      <c r="D364" t="str">
        <f t="shared" si="61"/>
        <v>Dalpe</v>
      </c>
      <c r="E364" s="39" t="s">
        <v>1685</v>
      </c>
      <c r="F364" s="30" t="s">
        <v>14</v>
      </c>
      <c r="G364" s="35">
        <v>0</v>
      </c>
      <c r="H364" s="35" t="s">
        <v>73</v>
      </c>
      <c r="I364" s="35" t="s">
        <v>2446</v>
      </c>
      <c r="J364" s="35">
        <v>29</v>
      </c>
      <c r="K364" s="35">
        <f>VALUE(COUNTIF(Validation!$A$2:$H$47,E364))</f>
        <v>0</v>
      </c>
      <c r="L364" s="361">
        <f t="shared" si="62"/>
        <v>750000</v>
      </c>
      <c r="M364" s="361">
        <f t="shared" si="63"/>
        <v>750000</v>
      </c>
      <c r="N364" s="358">
        <v>750000</v>
      </c>
      <c r="O364" s="358">
        <v>750000</v>
      </c>
      <c r="P364" s="358" t="s">
        <v>7</v>
      </c>
      <c r="Q364" s="358">
        <v>0</v>
      </c>
      <c r="R364" s="358">
        <v>0</v>
      </c>
      <c r="S364" s="358">
        <v>0</v>
      </c>
      <c r="T364" s="358">
        <v>0</v>
      </c>
      <c r="U364" s="35">
        <f t="shared" si="64"/>
        <v>2</v>
      </c>
      <c r="W364">
        <f t="shared" si="65"/>
        <v>1</v>
      </c>
      <c r="X364" s="35">
        <f t="shared" si="66"/>
        <v>0</v>
      </c>
      <c r="Y364">
        <f t="shared" si="67"/>
        <v>1</v>
      </c>
      <c r="AB364">
        <f t="shared" si="70"/>
        <v>1</v>
      </c>
      <c r="AC364">
        <f t="shared" ca="1" si="71"/>
        <v>0</v>
      </c>
      <c r="AD364" t="str">
        <f ca="1">IF(AC364=1,COUNTIF($AC$3:AC364,1),"")</f>
        <v/>
      </c>
      <c r="AE364" s="155" t="str">
        <f ca="1">IFERROR(INDEX(Données!$B$3:$B$1479,MATCH(ROWS($AD$3:AD364),$AD$3:$AD$1479,0)),"")</f>
        <v/>
      </c>
    </row>
    <row r="365" spans="1:31" ht="15.75" x14ac:dyDescent="0.25">
      <c r="A365" t="str">
        <f t="shared" si="68"/>
        <v>Markus Hannikainen - CLB - AG</v>
      </c>
      <c r="B365" t="str">
        <f t="shared" si="69"/>
        <v>Markus Hannikainen - CLB - AG</v>
      </c>
      <c r="C365" t="str">
        <f t="shared" si="60"/>
        <v>Markus</v>
      </c>
      <c r="D365" t="str">
        <f t="shared" si="61"/>
        <v>Hannikainen</v>
      </c>
      <c r="E365" s="39" t="s">
        <v>2874</v>
      </c>
      <c r="F365" s="30" t="s">
        <v>14</v>
      </c>
      <c r="G365" s="35">
        <v>0</v>
      </c>
      <c r="H365" s="35" t="s">
        <v>2440</v>
      </c>
      <c r="I365" s="35" t="s">
        <v>2439</v>
      </c>
      <c r="J365" s="35">
        <v>26</v>
      </c>
      <c r="K365" s="35">
        <f>VALUE(COUNTIF(Validation!$A$2:$H$47,E365))</f>
        <v>0</v>
      </c>
      <c r="L365" s="361">
        <f t="shared" si="62"/>
        <v>750000</v>
      </c>
      <c r="M365" s="361">
        <f t="shared" si="63"/>
        <v>0</v>
      </c>
      <c r="N365" s="358">
        <v>750000</v>
      </c>
      <c r="O365" s="358" t="s">
        <v>7</v>
      </c>
      <c r="P365" s="358">
        <v>0</v>
      </c>
      <c r="Q365" s="358">
        <v>0</v>
      </c>
      <c r="R365" s="358">
        <v>0</v>
      </c>
      <c r="S365" s="358">
        <v>0</v>
      </c>
      <c r="T365" s="358">
        <v>0</v>
      </c>
      <c r="U365" s="35">
        <f t="shared" si="64"/>
        <v>1</v>
      </c>
      <c r="W365">
        <f t="shared" si="65"/>
        <v>1</v>
      </c>
      <c r="X365" s="35">
        <f t="shared" si="66"/>
        <v>0</v>
      </c>
      <c r="Y365">
        <f t="shared" si="67"/>
        <v>0</v>
      </c>
      <c r="AB365">
        <f t="shared" si="70"/>
        <v>1</v>
      </c>
      <c r="AC365">
        <f t="shared" ca="1" si="71"/>
        <v>0</v>
      </c>
      <c r="AD365" t="str">
        <f ca="1">IF(AC365=1,COUNTIF($AC$3:AC365,1),"")</f>
        <v/>
      </c>
      <c r="AE365" s="155" t="str">
        <f ca="1">IFERROR(INDEX(Données!$B$3:$B$1479,MATCH(ROWS($AD$3:AD365),$AD$3:$AD$1479,0)),"")</f>
        <v/>
      </c>
    </row>
    <row r="366" spans="1:31" ht="15.75" x14ac:dyDescent="0.25">
      <c r="A366" t="str">
        <f t="shared" si="68"/>
        <v>Dean Kukan - CLB - DG</v>
      </c>
      <c r="B366" t="str">
        <f t="shared" si="69"/>
        <v>Dean Kukan - CLB - DG</v>
      </c>
      <c r="C366" t="str">
        <f t="shared" si="60"/>
        <v>Dean</v>
      </c>
      <c r="D366" t="str">
        <f t="shared" si="61"/>
        <v>Kukan</v>
      </c>
      <c r="E366" s="39" t="s">
        <v>1667</v>
      </c>
      <c r="F366" s="30" t="s">
        <v>14</v>
      </c>
      <c r="G366" s="35">
        <v>0</v>
      </c>
      <c r="H366" s="35" t="s">
        <v>2445</v>
      </c>
      <c r="I366" s="35" t="s">
        <v>2439</v>
      </c>
      <c r="J366" s="35">
        <v>26</v>
      </c>
      <c r="K366" s="35">
        <f>VALUE(COUNTIF(Validation!$A$2:$H$47,E366))</f>
        <v>0</v>
      </c>
      <c r="L366" s="361">
        <f t="shared" si="62"/>
        <v>725000</v>
      </c>
      <c r="M366" s="361">
        <f t="shared" si="63"/>
        <v>0</v>
      </c>
      <c r="N366" s="358">
        <v>725000</v>
      </c>
      <c r="O366" s="358" t="s">
        <v>8</v>
      </c>
      <c r="P366" s="358">
        <v>0</v>
      </c>
      <c r="Q366" s="358">
        <v>0</v>
      </c>
      <c r="R366" s="358">
        <v>0</v>
      </c>
      <c r="S366" s="358">
        <v>0</v>
      </c>
      <c r="T366" s="358">
        <v>0</v>
      </c>
      <c r="U366" s="35">
        <f t="shared" si="64"/>
        <v>1</v>
      </c>
      <c r="W366">
        <f t="shared" si="65"/>
        <v>1</v>
      </c>
      <c r="X366" s="35">
        <f t="shared" si="66"/>
        <v>0</v>
      </c>
      <c r="Y366">
        <f t="shared" si="67"/>
        <v>0</v>
      </c>
      <c r="AB366">
        <f t="shared" si="70"/>
        <v>1</v>
      </c>
      <c r="AC366">
        <f t="shared" ca="1" si="71"/>
        <v>0</v>
      </c>
      <c r="AD366" t="str">
        <f ca="1">IF(AC366=1,COUNTIF($AC$3:AC366,1),"")</f>
        <v/>
      </c>
      <c r="AE366" s="155" t="str">
        <f ca="1">IFERROR(INDEX(Données!$B$3:$B$1479,MATCH(ROWS($AD$3:AD366),$AD$3:$AD$1479,0)),"")</f>
        <v/>
      </c>
    </row>
    <row r="367" spans="1:31" ht="15.75" x14ac:dyDescent="0.25">
      <c r="A367" t="str">
        <f t="shared" si="68"/>
        <v>Michael Prapavessis - CLB - DG</v>
      </c>
      <c r="B367" t="str">
        <f t="shared" si="69"/>
        <v>Michael Prapavessis - CLB - DG</v>
      </c>
      <c r="C367" t="str">
        <f t="shared" si="60"/>
        <v>Michael</v>
      </c>
      <c r="D367" t="str">
        <f t="shared" si="61"/>
        <v>Prapavessis</v>
      </c>
      <c r="E367" s="39" t="s">
        <v>2643</v>
      </c>
      <c r="F367" s="30" t="s">
        <v>14</v>
      </c>
      <c r="G367" s="35" t="s">
        <v>386</v>
      </c>
      <c r="H367" s="35" t="s">
        <v>2445</v>
      </c>
      <c r="I367" s="35" t="s">
        <v>2446</v>
      </c>
      <c r="J367" s="35">
        <v>23</v>
      </c>
      <c r="K367" s="35">
        <f>VALUE(COUNTIF(Validation!$A$2:$H$47,E367))</f>
        <v>0</v>
      </c>
      <c r="L367" s="361">
        <f t="shared" si="62"/>
        <v>725000</v>
      </c>
      <c r="M367" s="361">
        <f t="shared" si="63"/>
        <v>0</v>
      </c>
      <c r="N367" s="358">
        <v>725000</v>
      </c>
      <c r="O367" s="358" t="s">
        <v>8</v>
      </c>
      <c r="P367" s="358">
        <v>0</v>
      </c>
      <c r="Q367" s="358">
        <v>0</v>
      </c>
      <c r="R367" s="358">
        <v>0</v>
      </c>
      <c r="S367" s="358">
        <v>0</v>
      </c>
      <c r="T367" s="358">
        <v>0</v>
      </c>
      <c r="U367" s="35">
        <f t="shared" si="64"/>
        <v>1</v>
      </c>
      <c r="W367">
        <f t="shared" si="65"/>
        <v>1</v>
      </c>
      <c r="X367" s="35">
        <f t="shared" si="66"/>
        <v>1</v>
      </c>
      <c r="Y367">
        <f t="shared" si="67"/>
        <v>0</v>
      </c>
      <c r="AB367">
        <f t="shared" si="70"/>
        <v>1</v>
      </c>
      <c r="AC367">
        <f t="shared" ca="1" si="71"/>
        <v>0</v>
      </c>
      <c r="AD367" t="str">
        <f ca="1">IF(AC367=1,COUNTIF($AC$3:AC367,1),"")</f>
        <v/>
      </c>
      <c r="AE367" s="155" t="str">
        <f ca="1">IFERROR(INDEX(Données!$B$3:$B$1479,MATCH(ROWS($AD$3:AD367),$AD$3:$AD$1479,0)),"")</f>
        <v/>
      </c>
    </row>
    <row r="368" spans="1:31" ht="15.75" x14ac:dyDescent="0.25">
      <c r="A368" t="str">
        <f t="shared" si="68"/>
        <v>Calvin Thürkauf - CLB - C, AG</v>
      </c>
      <c r="B368" t="str">
        <f t="shared" si="69"/>
        <v>Calvin Thürkauf - CLB - C, AG</v>
      </c>
      <c r="C368" t="str">
        <f t="shared" si="60"/>
        <v>Calvin</v>
      </c>
      <c r="D368" t="str">
        <f t="shared" si="61"/>
        <v>Thürkauf</v>
      </c>
      <c r="E368" s="39" t="s">
        <v>1686</v>
      </c>
      <c r="F368" s="30" t="s">
        <v>14</v>
      </c>
      <c r="G368" s="35" t="s">
        <v>386</v>
      </c>
      <c r="H368" s="35" t="s">
        <v>2452</v>
      </c>
      <c r="I368" s="35" t="s">
        <v>2446</v>
      </c>
      <c r="J368" s="35">
        <v>22</v>
      </c>
      <c r="K368" s="35">
        <f>VALUE(COUNTIF(Validation!$A$2:$H$47,E368))</f>
        <v>0</v>
      </c>
      <c r="L368" s="361">
        <f t="shared" si="62"/>
        <v>714444</v>
      </c>
      <c r="M368" s="361">
        <f t="shared" si="63"/>
        <v>0</v>
      </c>
      <c r="N368" s="358">
        <v>714444</v>
      </c>
      <c r="O368" s="358" t="s">
        <v>8</v>
      </c>
      <c r="P368" s="358">
        <v>0</v>
      </c>
      <c r="Q368" s="358">
        <v>0</v>
      </c>
      <c r="R368" s="358">
        <v>0</v>
      </c>
      <c r="S368" s="358">
        <v>0</v>
      </c>
      <c r="T368" s="358">
        <v>0</v>
      </c>
      <c r="U368" s="35">
        <f t="shared" si="64"/>
        <v>1</v>
      </c>
      <c r="W368">
        <f t="shared" si="65"/>
        <v>1</v>
      </c>
      <c r="X368" s="35">
        <f t="shared" si="66"/>
        <v>1</v>
      </c>
      <c r="Y368">
        <f t="shared" si="67"/>
        <v>0</v>
      </c>
      <c r="AB368">
        <f t="shared" si="70"/>
        <v>1</v>
      </c>
      <c r="AC368">
        <f t="shared" ca="1" si="71"/>
        <v>0</v>
      </c>
      <c r="AD368" t="str">
        <f ca="1">IF(AC368=1,COUNTIF($AC$3:AC368,1),"")</f>
        <v/>
      </c>
      <c r="AE368" s="155" t="str">
        <f ca="1">IFERROR(INDEX(Données!$B$3:$B$1479,MATCH(ROWS($AD$3:AD368),$AD$3:$AD$1479,0)),"")</f>
        <v/>
      </c>
    </row>
    <row r="369" spans="1:31" ht="15.75" x14ac:dyDescent="0.25">
      <c r="A369" t="str">
        <f t="shared" si="68"/>
        <v>Adam Clendening - CLB - DD</v>
      </c>
      <c r="B369" t="str">
        <f t="shared" si="69"/>
        <v>Adam Clendening - CLB - DD</v>
      </c>
      <c r="C369" t="str">
        <f t="shared" si="60"/>
        <v>Adam</v>
      </c>
      <c r="D369" t="str">
        <f t="shared" si="61"/>
        <v>Clendening</v>
      </c>
      <c r="E369" s="39" t="s">
        <v>1687</v>
      </c>
      <c r="F369" s="30" t="s">
        <v>14</v>
      </c>
      <c r="G369" s="35">
        <v>0</v>
      </c>
      <c r="H369" s="35" t="s">
        <v>2444</v>
      </c>
      <c r="I369" s="35" t="s">
        <v>2439</v>
      </c>
      <c r="J369" s="35">
        <v>26</v>
      </c>
      <c r="K369" s="35">
        <f>VALUE(COUNTIF(Validation!$A$2:$H$47,E369))</f>
        <v>0</v>
      </c>
      <c r="L369" s="361">
        <f t="shared" si="62"/>
        <v>700000</v>
      </c>
      <c r="M369" s="361">
        <f t="shared" si="63"/>
        <v>700000</v>
      </c>
      <c r="N369" s="358">
        <v>700000</v>
      </c>
      <c r="O369" s="358">
        <v>700000</v>
      </c>
      <c r="P369" s="358" t="s">
        <v>7</v>
      </c>
      <c r="Q369" s="358">
        <v>0</v>
      </c>
      <c r="R369" s="358">
        <v>0</v>
      </c>
      <c r="S369" s="358">
        <v>0</v>
      </c>
      <c r="T369" s="358">
        <v>0</v>
      </c>
      <c r="U369" s="35">
        <f t="shared" si="64"/>
        <v>2</v>
      </c>
      <c r="W369">
        <f t="shared" si="65"/>
        <v>1</v>
      </c>
      <c r="X369" s="35">
        <f t="shared" si="66"/>
        <v>0</v>
      </c>
      <c r="Y369">
        <f t="shared" si="67"/>
        <v>1</v>
      </c>
      <c r="AB369">
        <f t="shared" si="70"/>
        <v>1</v>
      </c>
      <c r="AC369">
        <f t="shared" ca="1" si="71"/>
        <v>0</v>
      </c>
      <c r="AD369" t="str">
        <f ca="1">IF(AC369=1,COUNTIF($AC$3:AC369,1),"")</f>
        <v/>
      </c>
      <c r="AE369" s="155" t="str">
        <f ca="1">IFERROR(INDEX(Données!$B$3:$B$1479,MATCH(ROWS($AD$3:AD369),$AD$3:$AD$1479,0)),"")</f>
        <v/>
      </c>
    </row>
    <row r="370" spans="1:31" ht="15.75" x14ac:dyDescent="0.25">
      <c r="A370" t="str">
        <f t="shared" si="68"/>
        <v>Justin Scott - CLB - AD, C</v>
      </c>
      <c r="B370" t="str">
        <f t="shared" si="69"/>
        <v>Justin Scott - CLB - AD, C</v>
      </c>
      <c r="C370" t="str">
        <f t="shared" si="60"/>
        <v>Justin</v>
      </c>
      <c r="D370" t="str">
        <f t="shared" si="61"/>
        <v>Scott</v>
      </c>
      <c r="E370" s="39" t="s">
        <v>1681</v>
      </c>
      <c r="F370" s="30" t="s">
        <v>14</v>
      </c>
      <c r="G370" s="35">
        <v>0</v>
      </c>
      <c r="H370" s="35" t="s">
        <v>2453</v>
      </c>
      <c r="I370" s="35" t="s">
        <v>2446</v>
      </c>
      <c r="J370" s="35">
        <v>24</v>
      </c>
      <c r="K370" s="35">
        <f>VALUE(COUNTIF(Validation!$A$2:$H$47,E370))</f>
        <v>0</v>
      </c>
      <c r="L370" s="361">
        <f t="shared" si="62"/>
        <v>700000</v>
      </c>
      <c r="M370" s="361">
        <f t="shared" si="63"/>
        <v>0</v>
      </c>
      <c r="N370" s="358">
        <v>700000</v>
      </c>
      <c r="O370" s="358" t="s">
        <v>8</v>
      </c>
      <c r="P370" s="358">
        <v>0</v>
      </c>
      <c r="Q370" s="358">
        <v>0</v>
      </c>
      <c r="R370" s="358">
        <v>0</v>
      </c>
      <c r="S370" s="358">
        <v>0</v>
      </c>
      <c r="T370" s="358">
        <v>0</v>
      </c>
      <c r="U370" s="35">
        <f t="shared" si="64"/>
        <v>1</v>
      </c>
      <c r="W370">
        <f t="shared" si="65"/>
        <v>1</v>
      </c>
      <c r="X370" s="35">
        <f t="shared" si="66"/>
        <v>0</v>
      </c>
      <c r="Y370">
        <f t="shared" si="67"/>
        <v>0</v>
      </c>
      <c r="AB370">
        <f t="shared" si="70"/>
        <v>1</v>
      </c>
      <c r="AC370">
        <f t="shared" ca="1" si="71"/>
        <v>0</v>
      </c>
      <c r="AD370" t="str">
        <f ca="1">IF(AC370=1,COUNTIF($AC$3:AC370,1),"")</f>
        <v/>
      </c>
      <c r="AE370" s="155" t="str">
        <f ca="1">IFERROR(INDEX(Données!$B$3:$B$1479,MATCH(ROWS($AD$3:AD370),$AD$3:$AD$1479,0)),"")</f>
        <v/>
      </c>
    </row>
    <row r="371" spans="1:31" ht="15.75" x14ac:dyDescent="0.25">
      <c r="A371" t="str">
        <f t="shared" si="68"/>
        <v>Doyle Somerby - CLB - D</v>
      </c>
      <c r="B371" t="str">
        <f t="shared" si="69"/>
        <v>Doyle Somerby - CLB - D</v>
      </c>
      <c r="C371" t="str">
        <f t="shared" si="60"/>
        <v>Doyle</v>
      </c>
      <c r="D371" t="str">
        <f t="shared" si="61"/>
        <v>Somerby</v>
      </c>
      <c r="E371" s="39" t="s">
        <v>1684</v>
      </c>
      <c r="F371" s="30" t="s">
        <v>14</v>
      </c>
      <c r="G371" s="35">
        <v>0</v>
      </c>
      <c r="H371" s="35" t="s">
        <v>82</v>
      </c>
      <c r="I371" s="35" t="s">
        <v>2446</v>
      </c>
      <c r="J371" s="35">
        <v>25</v>
      </c>
      <c r="K371" s="35">
        <f>VALUE(COUNTIF(Validation!$A$2:$H$47,E371))</f>
        <v>0</v>
      </c>
      <c r="L371" s="361">
        <f t="shared" si="62"/>
        <v>700000</v>
      </c>
      <c r="M371" s="361">
        <f t="shared" si="63"/>
        <v>0</v>
      </c>
      <c r="N371" s="358">
        <v>700000</v>
      </c>
      <c r="O371" s="358" t="s">
        <v>8</v>
      </c>
      <c r="P371" s="358">
        <v>0</v>
      </c>
      <c r="Q371" s="358">
        <v>0</v>
      </c>
      <c r="R371" s="358">
        <v>0</v>
      </c>
      <c r="S371" s="358">
        <v>0</v>
      </c>
      <c r="T371" s="358">
        <v>0</v>
      </c>
      <c r="U371" s="35">
        <f t="shared" si="64"/>
        <v>1</v>
      </c>
      <c r="W371">
        <f t="shared" si="65"/>
        <v>1</v>
      </c>
      <c r="X371" s="35">
        <f t="shared" si="66"/>
        <v>0</v>
      </c>
      <c r="Y371">
        <f t="shared" si="67"/>
        <v>0</v>
      </c>
      <c r="AB371">
        <f t="shared" si="70"/>
        <v>1</v>
      </c>
      <c r="AC371">
        <f t="shared" ca="1" si="71"/>
        <v>0</v>
      </c>
      <c r="AD371" t="str">
        <f ca="1">IF(AC371=1,COUNTIF($AC$3:AC371,1),"")</f>
        <v/>
      </c>
      <c r="AE371" s="155" t="str">
        <f ca="1">IFERROR(INDEX(Données!$B$3:$B$1479,MATCH(ROWS($AD$3:AD371),$AD$3:$AD$1479,0)),"")</f>
        <v/>
      </c>
    </row>
    <row r="372" spans="1:31" ht="15.75" x14ac:dyDescent="0.25">
      <c r="A372" t="str">
        <f t="shared" si="68"/>
        <v>Nathan Gerbe - CLB - AG, AD</v>
      </c>
      <c r="B372" t="str">
        <f t="shared" si="69"/>
        <v>Nathan Gerbe - CLB - AG, AD</v>
      </c>
      <c r="C372" t="str">
        <f t="shared" si="60"/>
        <v>Nathan</v>
      </c>
      <c r="D372" t="str">
        <f t="shared" si="61"/>
        <v>Gerbe</v>
      </c>
      <c r="E372" s="39" t="s">
        <v>1689</v>
      </c>
      <c r="F372" s="30" t="s">
        <v>14</v>
      </c>
      <c r="G372" s="35">
        <v>0</v>
      </c>
      <c r="H372" s="35" t="s">
        <v>2442</v>
      </c>
      <c r="I372" s="35" t="s">
        <v>2446</v>
      </c>
      <c r="J372" s="35">
        <v>32</v>
      </c>
      <c r="K372" s="35">
        <f>VALUE(COUNTIF(Validation!$A$2:$H$47,E372))</f>
        <v>0</v>
      </c>
      <c r="L372" s="361">
        <f t="shared" si="62"/>
        <v>675000</v>
      </c>
      <c r="M372" s="361">
        <f t="shared" si="63"/>
        <v>0</v>
      </c>
      <c r="N372" s="358">
        <v>675000</v>
      </c>
      <c r="O372" s="358" t="s">
        <v>7</v>
      </c>
      <c r="P372" s="358">
        <v>0</v>
      </c>
      <c r="Q372" s="358">
        <v>0</v>
      </c>
      <c r="R372" s="358">
        <v>0</v>
      </c>
      <c r="S372" s="358">
        <v>0</v>
      </c>
      <c r="T372" s="358">
        <v>0</v>
      </c>
      <c r="U372" s="35">
        <f t="shared" si="64"/>
        <v>1</v>
      </c>
      <c r="W372">
        <f t="shared" si="65"/>
        <v>1</v>
      </c>
      <c r="X372" s="35">
        <f t="shared" si="66"/>
        <v>0</v>
      </c>
      <c r="Y372">
        <f t="shared" si="67"/>
        <v>0</v>
      </c>
      <c r="AB372">
        <f t="shared" si="70"/>
        <v>1</v>
      </c>
      <c r="AC372">
        <f t="shared" ca="1" si="71"/>
        <v>0</v>
      </c>
      <c r="AD372" t="str">
        <f ca="1">IF(AC372=1,COUNTIF($AC$3:AC372,1),"")</f>
        <v/>
      </c>
      <c r="AE372" s="155" t="str">
        <f ca="1">IFERROR(INDEX(Données!$B$3:$B$1479,MATCH(ROWS($AD$3:AD372),$AD$3:$AD$1479,0)),"")</f>
        <v/>
      </c>
    </row>
    <row r="373" spans="1:31" ht="15.75" x14ac:dyDescent="0.25">
      <c r="A373" t="str">
        <f t="shared" si="68"/>
        <v>Dillon Simpson - CLB - DG</v>
      </c>
      <c r="B373" t="str">
        <f t="shared" si="69"/>
        <v>Dillon Simpson - CLB - DG</v>
      </c>
      <c r="C373" t="str">
        <f t="shared" si="60"/>
        <v>Dillon</v>
      </c>
      <c r="D373" t="str">
        <f t="shared" si="61"/>
        <v>Simpson</v>
      </c>
      <c r="E373" s="39" t="s">
        <v>1690</v>
      </c>
      <c r="F373" s="30" t="s">
        <v>14</v>
      </c>
      <c r="G373" s="35">
        <v>0</v>
      </c>
      <c r="H373" s="35" t="s">
        <v>2445</v>
      </c>
      <c r="I373" s="35" t="s">
        <v>2446</v>
      </c>
      <c r="J373" s="35">
        <v>26</v>
      </c>
      <c r="K373" s="35">
        <f>VALUE(COUNTIF(Validation!$A$2:$H$47,E373))</f>
        <v>0</v>
      </c>
      <c r="L373" s="361">
        <f t="shared" si="62"/>
        <v>675000</v>
      </c>
      <c r="M373" s="361">
        <f t="shared" si="63"/>
        <v>0</v>
      </c>
      <c r="N373" s="358">
        <v>675000</v>
      </c>
      <c r="O373" s="358" t="s">
        <v>7</v>
      </c>
      <c r="P373" s="358">
        <v>0</v>
      </c>
      <c r="Q373" s="358">
        <v>0</v>
      </c>
      <c r="R373" s="358">
        <v>0</v>
      </c>
      <c r="S373" s="358">
        <v>0</v>
      </c>
      <c r="T373" s="358">
        <v>0</v>
      </c>
      <c r="U373" s="35">
        <f t="shared" si="64"/>
        <v>1</v>
      </c>
      <c r="W373">
        <f t="shared" si="65"/>
        <v>1</v>
      </c>
      <c r="X373" s="35">
        <f t="shared" si="66"/>
        <v>0</v>
      </c>
      <c r="Y373">
        <f t="shared" si="67"/>
        <v>0</v>
      </c>
      <c r="AB373">
        <f t="shared" si="70"/>
        <v>1</v>
      </c>
      <c r="AC373">
        <f t="shared" ca="1" si="71"/>
        <v>0</v>
      </c>
      <c r="AD373" t="str">
        <f ca="1">IF(AC373=1,COUNTIF($AC$3:AC373,1),"")</f>
        <v/>
      </c>
      <c r="AE373" s="155" t="str">
        <f ca="1">IFERROR(INDEX(Données!$B$3:$B$1479,MATCH(ROWS($AD$3:AD373),$AD$3:$AD$1479,0)),"")</f>
        <v/>
      </c>
    </row>
    <row r="374" spans="1:31" ht="15.75" x14ac:dyDescent="0.25">
      <c r="A374" t="str">
        <f t="shared" si="68"/>
        <v>Zachary Werenski - CLB - DG</v>
      </c>
      <c r="B374" t="str">
        <f t="shared" si="69"/>
        <v>Zachary Werenski - CLB - DG</v>
      </c>
      <c r="C374" t="str">
        <f t="shared" si="60"/>
        <v>Zachary</v>
      </c>
      <c r="D374" t="str">
        <f t="shared" si="61"/>
        <v>Werenski</v>
      </c>
      <c r="E374" s="39" t="s">
        <v>1666</v>
      </c>
      <c r="F374" s="30" t="s">
        <v>14</v>
      </c>
      <c r="G374" s="35">
        <v>0</v>
      </c>
      <c r="H374" s="35" t="s">
        <v>2445</v>
      </c>
      <c r="I374" s="9" t="s">
        <v>2439</v>
      </c>
      <c r="J374" s="35">
        <v>22</v>
      </c>
      <c r="K374" s="35">
        <f>VALUE(COUNTIF(Validation!$A$2:$H$47,E374))</f>
        <v>0</v>
      </c>
      <c r="L374" s="361">
        <f t="shared" si="62"/>
        <v>0</v>
      </c>
      <c r="M374" s="361">
        <f t="shared" si="63"/>
        <v>0</v>
      </c>
      <c r="N374" s="358" t="s">
        <v>8</v>
      </c>
      <c r="O374" s="358">
        <v>0</v>
      </c>
      <c r="P374" s="358">
        <v>0</v>
      </c>
      <c r="Q374" s="358">
        <v>0</v>
      </c>
      <c r="R374" s="358">
        <v>0</v>
      </c>
      <c r="S374" s="358">
        <v>0</v>
      </c>
      <c r="T374" s="358">
        <v>0</v>
      </c>
      <c r="U374" s="35">
        <f t="shared" si="64"/>
        <v>0</v>
      </c>
      <c r="W374">
        <f t="shared" si="65"/>
        <v>1</v>
      </c>
      <c r="X374" s="35">
        <f t="shared" si="66"/>
        <v>0</v>
      </c>
      <c r="Y374">
        <f t="shared" si="67"/>
        <v>1</v>
      </c>
      <c r="AB374">
        <f t="shared" si="70"/>
        <v>1</v>
      </c>
      <c r="AC374">
        <f t="shared" ca="1" si="71"/>
        <v>0</v>
      </c>
      <c r="AD374" t="str">
        <f ca="1">IF(AC374=1,COUNTIF($AC$3:AC374,1),"")</f>
        <v/>
      </c>
      <c r="AE374" s="155" t="str">
        <f ca="1">IFERROR(INDEX(Données!$B$3:$B$1479,MATCH(ROWS($AD$3:AD374),$AD$3:$AD$1479,0)),"")</f>
        <v/>
      </c>
    </row>
    <row r="375" spans="1:31" ht="15.75" x14ac:dyDescent="0.25">
      <c r="A375" t="str">
        <f t="shared" si="68"/>
        <v>Nathan MacKinnon - COL - C, AD</v>
      </c>
      <c r="B375" t="str">
        <f t="shared" si="69"/>
        <v>Nathan MacKinnon - COL - C, AD</v>
      </c>
      <c r="C375" t="str">
        <f t="shared" si="60"/>
        <v>Nathan</v>
      </c>
      <c r="D375" t="str">
        <f t="shared" si="61"/>
        <v>MacKinnon</v>
      </c>
      <c r="E375" s="39" t="s">
        <v>2986</v>
      </c>
      <c r="F375" s="30" t="s">
        <v>15</v>
      </c>
      <c r="G375" s="35">
        <v>0</v>
      </c>
      <c r="H375" s="35" t="s">
        <v>2448</v>
      </c>
      <c r="I375" s="35" t="s">
        <v>2439</v>
      </c>
      <c r="J375" s="35">
        <v>23</v>
      </c>
      <c r="K375" s="35">
        <f>VALUE(COUNTIF(Validation!$A$2:$H$47,E375))</f>
        <v>0</v>
      </c>
      <c r="L375" s="361">
        <f t="shared" si="62"/>
        <v>6300000</v>
      </c>
      <c r="M375" s="361">
        <f t="shared" si="63"/>
        <v>6300000</v>
      </c>
      <c r="N375" s="358">
        <v>6300000</v>
      </c>
      <c r="O375" s="358">
        <v>6300000</v>
      </c>
      <c r="P375" s="358">
        <v>6300000</v>
      </c>
      <c r="Q375" s="362">
        <v>6300000</v>
      </c>
      <c r="R375" s="358" t="s">
        <v>7</v>
      </c>
      <c r="S375" s="358">
        <v>0</v>
      </c>
      <c r="T375" s="358">
        <v>0</v>
      </c>
      <c r="U375" s="35">
        <f t="shared" si="64"/>
        <v>4</v>
      </c>
      <c r="W375">
        <f t="shared" si="65"/>
        <v>1</v>
      </c>
      <c r="X375" s="35">
        <f t="shared" si="66"/>
        <v>0</v>
      </c>
      <c r="Y375">
        <f t="shared" si="67"/>
        <v>1</v>
      </c>
      <c r="AB375">
        <f t="shared" si="70"/>
        <v>1</v>
      </c>
      <c r="AC375">
        <f t="shared" ca="1" si="71"/>
        <v>0</v>
      </c>
      <c r="AD375" t="str">
        <f ca="1">IF(AC375=1,COUNTIF($AC$3:AC375,1),"")</f>
        <v/>
      </c>
      <c r="AE375" s="155" t="str">
        <f ca="1">IFERROR(INDEX(Données!$B$3:$B$1479,MATCH(ROWS($AD$3:AD375),$AD$3:$AD$1479,0)),"")</f>
        <v/>
      </c>
    </row>
    <row r="376" spans="1:31" ht="15.75" x14ac:dyDescent="0.25">
      <c r="A376" t="str">
        <f t="shared" si="68"/>
        <v>Erik Johnson - COL - DD</v>
      </c>
      <c r="B376" t="str">
        <f t="shared" si="69"/>
        <v>Erik Johnson - COL - DD</v>
      </c>
      <c r="C376" t="str">
        <f t="shared" si="60"/>
        <v>Erik</v>
      </c>
      <c r="D376" t="str">
        <f t="shared" si="61"/>
        <v>Johnson</v>
      </c>
      <c r="E376" s="39" t="s">
        <v>2973</v>
      </c>
      <c r="F376" s="30" t="s">
        <v>15</v>
      </c>
      <c r="G376" s="35" t="s">
        <v>370</v>
      </c>
      <c r="H376" s="35" t="s">
        <v>2444</v>
      </c>
      <c r="I376" s="35" t="s">
        <v>2439</v>
      </c>
      <c r="J376" s="35">
        <v>31</v>
      </c>
      <c r="K376" s="35">
        <f>VALUE(COUNTIF(Validation!$A$2:$H$47,E376))</f>
        <v>0</v>
      </c>
      <c r="L376" s="361">
        <f t="shared" si="62"/>
        <v>6000000</v>
      </c>
      <c r="M376" s="361">
        <f t="shared" si="63"/>
        <v>6000000</v>
      </c>
      <c r="N376" s="358">
        <v>6000000</v>
      </c>
      <c r="O376" s="358">
        <v>6000000</v>
      </c>
      <c r="P376" s="358">
        <v>6000000</v>
      </c>
      <c r="Q376" s="358">
        <v>6000000</v>
      </c>
      <c r="R376" s="358" t="s">
        <v>7</v>
      </c>
      <c r="S376" s="358">
        <v>0</v>
      </c>
      <c r="T376" s="358">
        <v>0</v>
      </c>
      <c r="U376" s="35">
        <f t="shared" si="64"/>
        <v>4</v>
      </c>
      <c r="W376">
        <f t="shared" si="65"/>
        <v>1</v>
      </c>
      <c r="X376" s="35">
        <f t="shared" si="66"/>
        <v>0</v>
      </c>
      <c r="Y376">
        <f t="shared" si="67"/>
        <v>1</v>
      </c>
      <c r="AB376">
        <f t="shared" si="70"/>
        <v>1</v>
      </c>
      <c r="AC376">
        <f t="shared" ca="1" si="71"/>
        <v>0</v>
      </c>
      <c r="AD376" t="str">
        <f ca="1">IF(AC376=1,COUNTIF($AC$3:AC376,1),"")</f>
        <v/>
      </c>
      <c r="AE376" s="155" t="str">
        <f ca="1">IFERROR(INDEX(Données!$B$3:$B$1479,MATCH(ROWS($AD$3:AD376),$AD$3:$AD$1479,0)),"")</f>
        <v/>
      </c>
    </row>
    <row r="377" spans="1:31" ht="15.75" x14ac:dyDescent="0.25">
      <c r="A377" t="str">
        <f t="shared" si="68"/>
        <v>Gabriel Landeskog - COL - AG</v>
      </c>
      <c r="B377" t="str">
        <f t="shared" si="69"/>
        <v>Gabriel Landeskog - COL - AG</v>
      </c>
      <c r="C377" t="str">
        <f t="shared" si="60"/>
        <v>Gabriel</v>
      </c>
      <c r="D377" t="str">
        <f t="shared" si="61"/>
        <v>Landeskog</v>
      </c>
      <c r="E377" s="39" t="s">
        <v>2918</v>
      </c>
      <c r="F377" s="30" t="s">
        <v>15</v>
      </c>
      <c r="G377" s="35" t="s">
        <v>381</v>
      </c>
      <c r="H377" s="35" t="s">
        <v>2440</v>
      </c>
      <c r="I377" s="35" t="s">
        <v>2439</v>
      </c>
      <c r="J377" s="35">
        <v>26</v>
      </c>
      <c r="K377" s="35">
        <f>VALUE(COUNTIF(Validation!$A$2:$H$47,E377))</f>
        <v>0</v>
      </c>
      <c r="L377" s="361">
        <f t="shared" si="62"/>
        <v>5571429</v>
      </c>
      <c r="M377" s="361">
        <f t="shared" si="63"/>
        <v>5571429</v>
      </c>
      <c r="N377" s="358">
        <v>5571429</v>
      </c>
      <c r="O377" s="358">
        <v>5571429</v>
      </c>
      <c r="P377" s="358" t="s">
        <v>7</v>
      </c>
      <c r="Q377" s="358">
        <v>0</v>
      </c>
      <c r="R377" s="358">
        <v>0</v>
      </c>
      <c r="S377" s="358">
        <v>0</v>
      </c>
      <c r="T377" s="358">
        <v>0</v>
      </c>
      <c r="U377" s="35">
        <f t="shared" si="64"/>
        <v>2</v>
      </c>
      <c r="W377">
        <f t="shared" si="65"/>
        <v>1</v>
      </c>
      <c r="X377" s="35">
        <f t="shared" si="66"/>
        <v>0</v>
      </c>
      <c r="Y377">
        <f t="shared" si="67"/>
        <v>1</v>
      </c>
      <c r="AB377">
        <f t="shared" si="70"/>
        <v>1</v>
      </c>
      <c r="AC377">
        <f t="shared" ca="1" si="71"/>
        <v>0</v>
      </c>
      <c r="AD377" t="str">
        <f ca="1">IF(AC377=1,COUNTIF($AC$3:AC377,1),"")</f>
        <v/>
      </c>
      <c r="AE377" s="155" t="str">
        <f ca="1">IFERROR(INDEX(Données!$B$3:$B$1479,MATCH(ROWS($AD$3:AD377),$AD$3:$AD$1479,0)),"")</f>
        <v/>
      </c>
    </row>
    <row r="378" spans="1:31" ht="15.75" x14ac:dyDescent="0.25">
      <c r="A378" t="str">
        <f t="shared" si="68"/>
        <v>Nazem Kadri - COL - C</v>
      </c>
      <c r="B378" t="str">
        <f t="shared" si="69"/>
        <v>Nazem Kadri - COL - C</v>
      </c>
      <c r="C378" t="str">
        <f t="shared" si="60"/>
        <v>Nazem</v>
      </c>
      <c r="D378" t="str">
        <f t="shared" si="61"/>
        <v>Kadri</v>
      </c>
      <c r="E378" s="39" t="s">
        <v>1586</v>
      </c>
      <c r="F378" s="30" t="s">
        <v>15</v>
      </c>
      <c r="G378" s="35" t="s">
        <v>381</v>
      </c>
      <c r="H378" s="9" t="s">
        <v>73</v>
      </c>
      <c r="I378" s="9" t="s">
        <v>2439</v>
      </c>
      <c r="J378" s="9">
        <v>28</v>
      </c>
      <c r="K378" s="35">
        <f>VALUE(COUNTIF(Validation!$A$2:$H$47,E378))</f>
        <v>0</v>
      </c>
      <c r="L378" s="361">
        <f t="shared" si="62"/>
        <v>4500000</v>
      </c>
      <c r="M378" s="361">
        <f t="shared" si="63"/>
        <v>4500000</v>
      </c>
      <c r="N378" s="358">
        <v>4500000</v>
      </c>
      <c r="O378" s="358">
        <v>4500000</v>
      </c>
      <c r="P378" s="358">
        <v>4500000</v>
      </c>
      <c r="Q378" s="358" t="s">
        <v>7</v>
      </c>
      <c r="R378" s="358">
        <v>0</v>
      </c>
      <c r="S378" s="358">
        <v>0</v>
      </c>
      <c r="T378" s="358">
        <v>0</v>
      </c>
      <c r="U378" s="35">
        <f t="shared" si="64"/>
        <v>3</v>
      </c>
      <c r="W378">
        <f t="shared" si="65"/>
        <v>1</v>
      </c>
      <c r="X378" s="35">
        <f t="shared" si="66"/>
        <v>0</v>
      </c>
      <c r="Y378">
        <f t="shared" si="67"/>
        <v>1</v>
      </c>
      <c r="AB378">
        <f t="shared" si="70"/>
        <v>1</v>
      </c>
      <c r="AC378">
        <f t="shared" ca="1" si="71"/>
        <v>0</v>
      </c>
      <c r="AD378" t="str">
        <f ca="1">IF(AC378=1,COUNTIF($AC$3:AC378,1),"")</f>
        <v/>
      </c>
      <c r="AE378" s="155" t="str">
        <f ca="1">IFERROR(INDEX(Données!$B$3:$B$1479,MATCH(ROWS($AD$3:AD378),$AD$3:$AD$1479,0)),"")</f>
        <v/>
      </c>
    </row>
    <row r="379" spans="1:31" ht="15.75" x14ac:dyDescent="0.25">
      <c r="A379" t="str">
        <f t="shared" si="68"/>
        <v>Ian Cole - COL - DG</v>
      </c>
      <c r="B379" t="str">
        <f t="shared" si="69"/>
        <v>Ian Cole - COL - DG</v>
      </c>
      <c r="C379" t="str">
        <f t="shared" si="60"/>
        <v>Ian</v>
      </c>
      <c r="D379" t="str">
        <f t="shared" si="61"/>
        <v>Cole</v>
      </c>
      <c r="E379" s="39" t="s">
        <v>1925</v>
      </c>
      <c r="F379" s="30" t="s">
        <v>15</v>
      </c>
      <c r="G379" s="35">
        <v>0</v>
      </c>
      <c r="H379" s="35" t="s">
        <v>2445</v>
      </c>
      <c r="I379" s="35" t="s">
        <v>2439</v>
      </c>
      <c r="J379" s="35">
        <v>30</v>
      </c>
      <c r="K379" s="35">
        <f>VALUE(COUNTIF(Validation!$A$2:$H$47,E379))</f>
        <v>0</v>
      </c>
      <c r="L379" s="361">
        <f t="shared" si="62"/>
        <v>4250000</v>
      </c>
      <c r="M379" s="361">
        <f t="shared" si="63"/>
        <v>4250000</v>
      </c>
      <c r="N379" s="358">
        <v>4250000</v>
      </c>
      <c r="O379" s="358">
        <v>4250000</v>
      </c>
      <c r="P379" s="358" t="s">
        <v>7</v>
      </c>
      <c r="Q379" s="362">
        <v>0</v>
      </c>
      <c r="R379" s="358">
        <v>0</v>
      </c>
      <c r="S379" s="358">
        <v>0</v>
      </c>
      <c r="T379" s="358">
        <v>0</v>
      </c>
      <c r="U379" s="35">
        <f t="shared" si="64"/>
        <v>2</v>
      </c>
      <c r="W379">
        <f t="shared" si="65"/>
        <v>1</v>
      </c>
      <c r="X379" s="35">
        <f t="shared" si="66"/>
        <v>0</v>
      </c>
      <c r="Y379">
        <f t="shared" si="67"/>
        <v>1</v>
      </c>
      <c r="AB379">
        <f t="shared" si="70"/>
        <v>1</v>
      </c>
      <c r="AC379">
        <f t="shared" ca="1" si="71"/>
        <v>0</v>
      </c>
      <c r="AD379" t="str">
        <f ca="1">IF(AC379=1,COUNTIF($AC$3:AC379,1),"")</f>
        <v/>
      </c>
      <c r="AE379" s="155" t="str">
        <f ca="1">IFERROR(INDEX(Données!$B$3:$B$1479,MATCH(ROWS($AD$3:AD379),$AD$3:$AD$1479,0)),"")</f>
        <v/>
      </c>
    </row>
    <row r="380" spans="1:31" ht="15.75" x14ac:dyDescent="0.25">
      <c r="A380" t="str">
        <f t="shared" si="68"/>
        <v>Joonas Donskoi - COL - AD</v>
      </c>
      <c r="B380" t="str">
        <f t="shared" si="69"/>
        <v>Joonas Donskoi - COL - AD</v>
      </c>
      <c r="C380" t="str">
        <f t="shared" si="60"/>
        <v>Joonas</v>
      </c>
      <c r="D380" t="str">
        <f t="shared" si="61"/>
        <v>Donskoi</v>
      </c>
      <c r="E380" s="39" t="s">
        <v>2297</v>
      </c>
      <c r="F380" s="30" t="s">
        <v>15</v>
      </c>
      <c r="G380" s="35">
        <v>0</v>
      </c>
      <c r="H380" s="35" t="s">
        <v>2438</v>
      </c>
      <c r="I380" s="35" t="s">
        <v>2439</v>
      </c>
      <c r="J380" s="35">
        <v>27</v>
      </c>
      <c r="K380" s="35">
        <f>VALUE(COUNTIF(Validation!$A$2:$H$47,E380))</f>
        <v>0</v>
      </c>
      <c r="L380" s="361">
        <f t="shared" si="62"/>
        <v>3900000</v>
      </c>
      <c r="M380" s="361">
        <f t="shared" si="63"/>
        <v>3900000</v>
      </c>
      <c r="N380" s="358">
        <v>3900000</v>
      </c>
      <c r="O380" s="358">
        <v>3900000</v>
      </c>
      <c r="P380" s="358">
        <v>3900000</v>
      </c>
      <c r="Q380" s="358">
        <v>3900000</v>
      </c>
      <c r="R380" s="358" t="s">
        <v>7</v>
      </c>
      <c r="S380" s="358">
        <v>0</v>
      </c>
      <c r="T380" s="358">
        <v>0</v>
      </c>
      <c r="U380" s="35">
        <f t="shared" si="64"/>
        <v>4</v>
      </c>
      <c r="W380">
        <f t="shared" si="65"/>
        <v>1</v>
      </c>
      <c r="X380" s="35">
        <f t="shared" si="66"/>
        <v>0</v>
      </c>
      <c r="Y380">
        <f t="shared" si="67"/>
        <v>1</v>
      </c>
      <c r="AB380">
        <f t="shared" si="70"/>
        <v>1</v>
      </c>
      <c r="AC380">
        <f t="shared" ca="1" si="71"/>
        <v>0</v>
      </c>
      <c r="AD380" t="str">
        <f ca="1">IF(AC380=1,COUNTIF($AC$3:AC380,1),"")</f>
        <v/>
      </c>
      <c r="AE380" s="155" t="str">
        <f ca="1">IFERROR(INDEX(Données!$B$3:$B$1479,MATCH(ROWS($AD$3:AD380),$AD$3:$AD$1479,0)),"")</f>
        <v/>
      </c>
    </row>
    <row r="381" spans="1:31" ht="15.75" x14ac:dyDescent="0.25">
      <c r="A381" t="str">
        <f t="shared" si="68"/>
        <v>J.T. Compher - COL - AD, C</v>
      </c>
      <c r="B381" t="str">
        <f t="shared" si="69"/>
        <v>J.T. Compher - COL - AD, C</v>
      </c>
      <c r="C381" t="str">
        <f t="shared" si="60"/>
        <v>J.T.</v>
      </c>
      <c r="D381" t="str">
        <f t="shared" si="61"/>
        <v>Compher</v>
      </c>
      <c r="E381" s="39" t="s">
        <v>1921</v>
      </c>
      <c r="F381" s="30" t="s">
        <v>15</v>
      </c>
      <c r="G381" s="35">
        <v>0</v>
      </c>
      <c r="H381" s="35" t="s">
        <v>2453</v>
      </c>
      <c r="I381" s="35" t="s">
        <v>2439</v>
      </c>
      <c r="J381" s="35">
        <v>24</v>
      </c>
      <c r="K381" s="35">
        <f>VALUE(COUNTIF(Validation!$A$2:$H$47,E381))</f>
        <v>0</v>
      </c>
      <c r="L381" s="361">
        <f t="shared" si="62"/>
        <v>3500000</v>
      </c>
      <c r="M381" s="361">
        <f t="shared" si="63"/>
        <v>3500000</v>
      </c>
      <c r="N381" s="358">
        <v>3500000</v>
      </c>
      <c r="O381" s="358">
        <v>3500000</v>
      </c>
      <c r="P381" s="358">
        <v>3500000</v>
      </c>
      <c r="Q381" s="358">
        <v>3500000</v>
      </c>
      <c r="R381" s="358" t="s">
        <v>7</v>
      </c>
      <c r="S381" s="358">
        <v>0</v>
      </c>
      <c r="T381" s="358">
        <v>0</v>
      </c>
      <c r="U381" s="35">
        <f t="shared" si="64"/>
        <v>4</v>
      </c>
      <c r="W381">
        <f t="shared" si="65"/>
        <v>1</v>
      </c>
      <c r="X381" s="35">
        <f t="shared" si="66"/>
        <v>0</v>
      </c>
      <c r="Y381">
        <f t="shared" si="67"/>
        <v>1</v>
      </c>
      <c r="AB381">
        <f t="shared" si="70"/>
        <v>1</v>
      </c>
      <c r="AC381">
        <f t="shared" ca="1" si="71"/>
        <v>0</v>
      </c>
      <c r="AD381" t="str">
        <f ca="1">IF(AC381=1,COUNTIF($AC$3:AC381,1),"")</f>
        <v/>
      </c>
      <c r="AE381" s="155" t="str">
        <f ca="1">IFERROR(INDEX(Données!$B$3:$B$1479,MATCH(ROWS($AD$3:AD381),$AD$3:$AD$1479,0)),"")</f>
        <v/>
      </c>
    </row>
    <row r="382" spans="1:31" ht="15.75" x14ac:dyDescent="0.25">
      <c r="A382" t="str">
        <f t="shared" si="68"/>
        <v>Bowen Byram - COL - DG</v>
      </c>
      <c r="B382" t="str">
        <f t="shared" si="69"/>
        <v>Bowen Byram - COL - DG</v>
      </c>
      <c r="C382" t="str">
        <f t="shared" si="60"/>
        <v>Bowen</v>
      </c>
      <c r="D382" t="str">
        <f t="shared" si="61"/>
        <v>Byram</v>
      </c>
      <c r="E382" s="39" t="s">
        <v>2757</v>
      </c>
      <c r="F382" s="30" t="s">
        <v>15</v>
      </c>
      <c r="G382" s="35" t="s">
        <v>388</v>
      </c>
      <c r="H382" s="35" t="s">
        <v>2445</v>
      </c>
      <c r="I382" s="35" t="s">
        <v>389</v>
      </c>
      <c r="J382" s="35">
        <v>18</v>
      </c>
      <c r="K382" s="35">
        <f>VALUE(COUNTIF(Validation!$A$2:$H$47,E382))</f>
        <v>0</v>
      </c>
      <c r="L382" s="361">
        <f t="shared" si="62"/>
        <v>3425000</v>
      </c>
      <c r="M382" s="361">
        <f t="shared" si="63"/>
        <v>3425000</v>
      </c>
      <c r="N382" s="358">
        <v>3425000</v>
      </c>
      <c r="O382" s="358">
        <v>3425000</v>
      </c>
      <c r="P382" s="358">
        <v>3425000</v>
      </c>
      <c r="Q382" s="358" t="s">
        <v>8</v>
      </c>
      <c r="R382" s="358">
        <v>0</v>
      </c>
      <c r="S382" s="358">
        <v>0</v>
      </c>
      <c r="T382" s="358">
        <v>0</v>
      </c>
      <c r="U382" s="35">
        <f t="shared" si="64"/>
        <v>3</v>
      </c>
      <c r="W382">
        <f t="shared" si="65"/>
        <v>1</v>
      </c>
      <c r="X382" s="35">
        <f t="shared" si="66"/>
        <v>1</v>
      </c>
      <c r="Y382">
        <f t="shared" si="67"/>
        <v>1</v>
      </c>
      <c r="AB382">
        <f t="shared" si="70"/>
        <v>1</v>
      </c>
      <c r="AC382">
        <f t="shared" ca="1" si="71"/>
        <v>0</v>
      </c>
      <c r="AD382" t="str">
        <f ca="1">IF(AC382=1,COUNTIF($AC$3:AC382,1),"")</f>
        <v/>
      </c>
      <c r="AE382" s="155" t="str">
        <f ca="1">IFERROR(INDEX(Données!$B$3:$B$1479,MATCH(ROWS($AD$3:AD382),$AD$3:$AD$1479,0)),"")</f>
        <v/>
      </c>
    </row>
    <row r="383" spans="1:31" ht="15.75" x14ac:dyDescent="0.25">
      <c r="A383" t="str">
        <f t="shared" si="68"/>
        <v>Philipp Grubauer - COL - G</v>
      </c>
      <c r="B383" t="str">
        <f t="shared" si="69"/>
        <v>Philipp Grubauer - COL - G</v>
      </c>
      <c r="C383" t="str">
        <f t="shared" si="60"/>
        <v>Philipp</v>
      </c>
      <c r="D383" t="str">
        <f t="shared" si="61"/>
        <v>Grubauer</v>
      </c>
      <c r="E383" s="39" t="s">
        <v>1932</v>
      </c>
      <c r="F383" s="30" t="s">
        <v>15</v>
      </c>
      <c r="G383" s="35">
        <v>0</v>
      </c>
      <c r="H383" s="9" t="s">
        <v>127</v>
      </c>
      <c r="I383" s="9" t="s">
        <v>2439</v>
      </c>
      <c r="J383" s="9">
        <v>27</v>
      </c>
      <c r="K383" s="35">
        <f>VALUE(COUNTIF(Validation!$A$2:$H$47,E383))</f>
        <v>0</v>
      </c>
      <c r="L383" s="361">
        <f t="shared" si="62"/>
        <v>3333333</v>
      </c>
      <c r="M383" s="361">
        <f t="shared" si="63"/>
        <v>3333333</v>
      </c>
      <c r="N383" s="358">
        <v>3333333</v>
      </c>
      <c r="O383" s="358">
        <v>3333333</v>
      </c>
      <c r="P383" s="358" t="s">
        <v>7</v>
      </c>
      <c r="Q383" s="358">
        <v>0</v>
      </c>
      <c r="R383" s="358">
        <v>0</v>
      </c>
      <c r="S383" s="358">
        <v>0</v>
      </c>
      <c r="T383" s="358">
        <v>0</v>
      </c>
      <c r="U383" s="35">
        <f t="shared" si="64"/>
        <v>2</v>
      </c>
      <c r="W383">
        <f t="shared" si="65"/>
        <v>1</v>
      </c>
      <c r="X383" s="35">
        <f t="shared" si="66"/>
        <v>0</v>
      </c>
      <c r="Y383">
        <f t="shared" si="67"/>
        <v>1</v>
      </c>
      <c r="AB383">
        <f t="shared" si="70"/>
        <v>1</v>
      </c>
      <c r="AC383">
        <f t="shared" ca="1" si="71"/>
        <v>0</v>
      </c>
      <c r="AD383" t="str">
        <f ca="1">IF(AC383=1,COUNTIF($AC$3:AC383,1),"")</f>
        <v/>
      </c>
      <c r="AE383" s="155" t="str">
        <f ca="1">IFERROR(INDEX(Données!$B$3:$B$1479,MATCH(ROWS($AD$3:AD383),$AD$3:$AD$1479,0)),"")</f>
        <v/>
      </c>
    </row>
    <row r="384" spans="1:31" ht="15.75" x14ac:dyDescent="0.25">
      <c r="A384" t="str">
        <f t="shared" si="68"/>
        <v>Andre Burakovsky - COL - AG, AD</v>
      </c>
      <c r="B384" t="str">
        <f t="shared" si="69"/>
        <v>Andre Burakovsky - COL - AG, AD</v>
      </c>
      <c r="C384" t="str">
        <f t="shared" si="60"/>
        <v>Andre</v>
      </c>
      <c r="D384" t="str">
        <f t="shared" si="61"/>
        <v>Burakovsky</v>
      </c>
      <c r="E384" s="39" t="s">
        <v>2893</v>
      </c>
      <c r="F384" s="30" t="s">
        <v>15</v>
      </c>
      <c r="G384" s="35">
        <v>0</v>
      </c>
      <c r="H384" s="35" t="s">
        <v>2442</v>
      </c>
      <c r="I384" s="35" t="s">
        <v>2439</v>
      </c>
      <c r="J384" s="35">
        <v>24</v>
      </c>
      <c r="K384" s="35">
        <f>VALUE(COUNTIF(Validation!$A$2:$H$47,E384))</f>
        <v>0</v>
      </c>
      <c r="L384" s="361">
        <f t="shared" si="62"/>
        <v>3250000</v>
      </c>
      <c r="M384" s="361">
        <f t="shared" si="63"/>
        <v>0</v>
      </c>
      <c r="N384" s="358">
        <v>3250000</v>
      </c>
      <c r="O384" s="358" t="s">
        <v>8</v>
      </c>
      <c r="P384" s="358">
        <v>0</v>
      </c>
      <c r="Q384" s="358">
        <v>0</v>
      </c>
      <c r="R384" s="358">
        <v>0</v>
      </c>
      <c r="S384" s="358">
        <v>0</v>
      </c>
      <c r="T384" s="358">
        <v>0</v>
      </c>
      <c r="U384" s="35">
        <f t="shared" si="64"/>
        <v>1</v>
      </c>
      <c r="W384">
        <f t="shared" si="65"/>
        <v>1</v>
      </c>
      <c r="X384" s="35">
        <f t="shared" si="66"/>
        <v>0</v>
      </c>
      <c r="Y384">
        <f t="shared" si="67"/>
        <v>0</v>
      </c>
      <c r="AB384">
        <f t="shared" si="70"/>
        <v>1</v>
      </c>
      <c r="AC384">
        <f t="shared" ca="1" si="71"/>
        <v>0</v>
      </c>
      <c r="AD384" t="str">
        <f ca="1">IF(AC384=1,COUNTIF($AC$3:AC384,1),"")</f>
        <v/>
      </c>
      <c r="AE384" s="155" t="str">
        <f ca="1">IFERROR(INDEX(Données!$B$3:$B$1479,MATCH(ROWS($AD$3:AD384),$AD$3:$AD$1479,0)),"")</f>
        <v/>
      </c>
    </row>
    <row r="385" spans="1:31" ht="15.75" x14ac:dyDescent="0.25">
      <c r="A385" t="str">
        <f t="shared" si="68"/>
        <v>Nikita Zadorov - COL - DG</v>
      </c>
      <c r="B385" t="str">
        <f t="shared" si="69"/>
        <v>Nikita Zadorov - COL - DG</v>
      </c>
      <c r="C385" t="str">
        <f t="shared" si="60"/>
        <v>Nikita</v>
      </c>
      <c r="D385" t="str">
        <f t="shared" si="61"/>
        <v>Zadorov</v>
      </c>
      <c r="E385" s="39" t="s">
        <v>1927</v>
      </c>
      <c r="F385" s="30" t="s">
        <v>15</v>
      </c>
      <c r="G385" s="35">
        <v>0</v>
      </c>
      <c r="H385" s="35" t="s">
        <v>2445</v>
      </c>
      <c r="I385" s="35" t="s">
        <v>2439</v>
      </c>
      <c r="J385" s="35">
        <v>24</v>
      </c>
      <c r="K385" s="35">
        <f>VALUE(COUNTIF(Validation!$A$2:$H$47,E385))</f>
        <v>0</v>
      </c>
      <c r="L385" s="361">
        <f t="shared" si="62"/>
        <v>3200000</v>
      </c>
      <c r="M385" s="361">
        <f t="shared" si="63"/>
        <v>0</v>
      </c>
      <c r="N385" s="358">
        <v>3200000</v>
      </c>
      <c r="O385" s="358" t="s">
        <v>8</v>
      </c>
      <c r="P385" s="358">
        <v>0</v>
      </c>
      <c r="Q385" s="358">
        <v>0</v>
      </c>
      <c r="R385" s="358">
        <v>0</v>
      </c>
      <c r="S385" s="358">
        <v>0</v>
      </c>
      <c r="T385" s="358">
        <v>0</v>
      </c>
      <c r="U385" s="35">
        <f t="shared" si="64"/>
        <v>1</v>
      </c>
      <c r="W385">
        <f t="shared" si="65"/>
        <v>1</v>
      </c>
      <c r="X385" s="35">
        <f t="shared" si="66"/>
        <v>0</v>
      </c>
      <c r="Y385">
        <f t="shared" si="67"/>
        <v>0</v>
      </c>
      <c r="AB385">
        <f t="shared" si="70"/>
        <v>1</v>
      </c>
      <c r="AC385">
        <f t="shared" ca="1" si="71"/>
        <v>0</v>
      </c>
      <c r="AD385" t="str">
        <f ca="1">IF(AC385=1,COUNTIF($AC$3:AC385,1),"")</f>
        <v/>
      </c>
      <c r="AE385" s="155" t="str">
        <f ca="1">IFERROR(INDEX(Données!$B$3:$B$1479,MATCH(ROWS($AD$3:AD385),$AD$3:$AD$1479,0)),"")</f>
        <v/>
      </c>
    </row>
    <row r="386" spans="1:31" ht="15.75" x14ac:dyDescent="0.25">
      <c r="A386" t="str">
        <f t="shared" si="68"/>
        <v>Cale Makar - COL - DD</v>
      </c>
      <c r="B386" t="str">
        <f t="shared" si="69"/>
        <v>Cale Makar - COL - DD</v>
      </c>
      <c r="C386" t="str">
        <f t="shared" si="60"/>
        <v>Cale</v>
      </c>
      <c r="D386" t="str">
        <f t="shared" si="61"/>
        <v>Makar</v>
      </c>
      <c r="E386" s="39" t="s">
        <v>2666</v>
      </c>
      <c r="F386" s="30" t="s">
        <v>15</v>
      </c>
      <c r="G386" s="35" t="s">
        <v>386</v>
      </c>
      <c r="H386" s="9" t="s">
        <v>2444</v>
      </c>
      <c r="I386" s="9" t="s">
        <v>2439</v>
      </c>
      <c r="J386" s="9">
        <v>20</v>
      </c>
      <c r="K386" s="35">
        <f>VALUE(COUNTIF(Validation!$A$2:$H$47,E386))</f>
        <v>0</v>
      </c>
      <c r="L386" s="361">
        <f t="shared" si="62"/>
        <v>2854166</v>
      </c>
      <c r="M386" s="361">
        <f t="shared" si="63"/>
        <v>2854166</v>
      </c>
      <c r="N386" s="358">
        <v>2854166</v>
      </c>
      <c r="O386" s="358">
        <v>2854166</v>
      </c>
      <c r="P386" s="358" t="s">
        <v>8</v>
      </c>
      <c r="Q386" s="358">
        <v>0</v>
      </c>
      <c r="R386" s="358">
        <v>0</v>
      </c>
      <c r="S386" s="358">
        <v>0</v>
      </c>
      <c r="T386" s="358">
        <v>0</v>
      </c>
      <c r="U386" s="35">
        <f t="shared" si="64"/>
        <v>2</v>
      </c>
      <c r="W386">
        <f t="shared" si="65"/>
        <v>1</v>
      </c>
      <c r="X386" s="35">
        <f t="shared" si="66"/>
        <v>1</v>
      </c>
      <c r="Y386">
        <f t="shared" si="67"/>
        <v>1</v>
      </c>
      <c r="AB386">
        <f t="shared" si="70"/>
        <v>1</v>
      </c>
      <c r="AC386">
        <f t="shared" ca="1" si="71"/>
        <v>0</v>
      </c>
      <c r="AD386" t="str">
        <f ca="1">IF(AC386=1,COUNTIF($AC$3:AC386,1),"")</f>
        <v/>
      </c>
      <c r="AE386" s="155" t="str">
        <f ca="1">IFERROR(INDEX(Données!$B$3:$B$1479,MATCH(ROWS($AD$3:AD386),$AD$3:$AD$1479,0)),"")</f>
        <v/>
      </c>
    </row>
    <row r="387" spans="1:31" ht="15.75" x14ac:dyDescent="0.25">
      <c r="A387" t="str">
        <f t="shared" si="68"/>
        <v>Matt Calvert - COL - AG, AD</v>
      </c>
      <c r="B387" t="str">
        <f t="shared" si="69"/>
        <v>Matt Calvert - COL - AG, AD</v>
      </c>
      <c r="C387" t="str">
        <f t="shared" ref="C387:C450" si="72">RIGHT(E387,(LEN(E387)-1)-SEARCH(",",E387,1))</f>
        <v>Matt</v>
      </c>
      <c r="D387" t="str">
        <f t="shared" ref="D387:D450" si="73">LEFT(E387,SEARCH(",",E387,1)-1)</f>
        <v>Calvert</v>
      </c>
      <c r="E387" s="39" t="s">
        <v>1917</v>
      </c>
      <c r="F387" s="30" t="s">
        <v>15</v>
      </c>
      <c r="G387" s="35">
        <v>0</v>
      </c>
      <c r="H387" s="35" t="s">
        <v>2442</v>
      </c>
      <c r="I387" s="35" t="s">
        <v>2439</v>
      </c>
      <c r="J387" s="35">
        <v>29</v>
      </c>
      <c r="K387" s="35">
        <f>VALUE(COUNTIF(Validation!$A$2:$H$47,E387))</f>
        <v>0</v>
      </c>
      <c r="L387" s="361">
        <f t="shared" ref="L387:L450" si="74">IF(OR(N387="RFA",N387="UFA",N387="",N387=0),0,N387)</f>
        <v>2850000</v>
      </c>
      <c r="M387" s="361">
        <f t="shared" ref="M387:M450" si="75">IF(OR(O387="RFA",O387="UFA",O387="",O387=0),0,O387)</f>
        <v>2850000</v>
      </c>
      <c r="N387" s="358">
        <v>2850000</v>
      </c>
      <c r="O387" s="358">
        <v>2850000</v>
      </c>
      <c r="P387" s="358" t="s">
        <v>7</v>
      </c>
      <c r="Q387" s="358">
        <v>0</v>
      </c>
      <c r="R387" s="358">
        <v>0</v>
      </c>
      <c r="S387" s="358">
        <v>0</v>
      </c>
      <c r="T387" s="358">
        <v>0</v>
      </c>
      <c r="U387" s="35">
        <f t="shared" ref="U387:U450" si="76">COUNTIF(N387:T387,"&gt;0")</f>
        <v>2</v>
      </c>
      <c r="W387">
        <f t="shared" ref="W387:W450" si="77">COUNTIF($E$3:$E$1479,E387)</f>
        <v>1</v>
      </c>
      <c r="X387" s="35">
        <f t="shared" ref="X387:X450" si="78">IF(LEFT(G387,3)="ELC",1,0)</f>
        <v>0</v>
      </c>
      <c r="Y387">
        <f t="shared" ref="Y387:Y450" si="79">IF(L387=M387,1,0)</f>
        <v>1</v>
      </c>
      <c r="AB387">
        <f t="shared" si="70"/>
        <v>1</v>
      </c>
      <c r="AC387">
        <f t="shared" ca="1" si="71"/>
        <v>0</v>
      </c>
      <c r="AD387" t="str">
        <f ca="1">IF(AC387=1,COUNTIF($AC$3:AC387,1),"")</f>
        <v/>
      </c>
      <c r="AE387" s="155" t="str">
        <f ca="1">IFERROR(INDEX(Données!$B$3:$B$1479,MATCH(ROWS($AD$3:AD387),$AD$3:$AD$1479,0)),"")</f>
        <v/>
      </c>
    </row>
    <row r="388" spans="1:31" ht="15.75" x14ac:dyDescent="0.25">
      <c r="A388" t="str">
        <f t="shared" ref="A388:A451" si="80">C388&amp;" "&amp;D388&amp;" - "&amp;F388&amp;" - "&amp;H388</f>
        <v>Colin Wilson - COL - C, AG</v>
      </c>
      <c r="B388" t="str">
        <f t="shared" ref="B388:B451" si="81">A388</f>
        <v>Colin Wilson - COL - C, AG</v>
      </c>
      <c r="C388" t="str">
        <f t="shared" si="72"/>
        <v>Colin</v>
      </c>
      <c r="D388" t="str">
        <f t="shared" si="73"/>
        <v>Wilson</v>
      </c>
      <c r="E388" s="39" t="s">
        <v>1916</v>
      </c>
      <c r="F388" s="30" t="s">
        <v>15</v>
      </c>
      <c r="G388" s="35">
        <v>0</v>
      </c>
      <c r="H388" s="35" t="s">
        <v>2452</v>
      </c>
      <c r="I388" s="9" t="s">
        <v>2439</v>
      </c>
      <c r="J388" s="35">
        <v>29</v>
      </c>
      <c r="K388" s="35">
        <f>VALUE(COUNTIF(Validation!$A$2:$H$47,E388))</f>
        <v>0</v>
      </c>
      <c r="L388" s="361">
        <f t="shared" si="74"/>
        <v>2600000</v>
      </c>
      <c r="M388" s="361">
        <f t="shared" si="75"/>
        <v>0</v>
      </c>
      <c r="N388" s="358">
        <v>2600000</v>
      </c>
      <c r="O388" s="358" t="s">
        <v>7</v>
      </c>
      <c r="P388" s="358">
        <v>0</v>
      </c>
      <c r="Q388" s="358">
        <v>0</v>
      </c>
      <c r="R388" s="358">
        <v>0</v>
      </c>
      <c r="S388" s="358">
        <v>0</v>
      </c>
      <c r="T388" s="358">
        <v>0</v>
      </c>
      <c r="U388" s="35">
        <f t="shared" si="76"/>
        <v>1</v>
      </c>
      <c r="W388">
        <f t="shared" si="77"/>
        <v>1</v>
      </c>
      <c r="X388" s="35">
        <f t="shared" si="78"/>
        <v>0</v>
      </c>
      <c r="Y388">
        <f t="shared" si="79"/>
        <v>0</v>
      </c>
      <c r="AB388">
        <f t="shared" ref="AB388:AB451" si="82">SEARCH(AA388,A388)</f>
        <v>1</v>
      </c>
      <c r="AC388">
        <f t="shared" ca="1" si="71"/>
        <v>0</v>
      </c>
      <c r="AD388" t="str">
        <f ca="1">IF(AC388=1,COUNTIF($AC$3:AC388,1),"")</f>
        <v/>
      </c>
      <c r="AE388" s="155" t="str">
        <f ca="1">IFERROR(INDEX(Données!$B$3:$B$1479,MATCH(ROWS($AD$3:AD388),$AD$3:$AD$1479,0)),"")</f>
        <v/>
      </c>
    </row>
    <row r="389" spans="1:31" ht="15.75" x14ac:dyDescent="0.25">
      <c r="A389" t="str">
        <f t="shared" si="80"/>
        <v>Matt Nieto - COL - AG, AD</v>
      </c>
      <c r="B389" t="str">
        <f t="shared" si="81"/>
        <v>Matt Nieto - COL - AG, AD</v>
      </c>
      <c r="C389" t="str">
        <f t="shared" si="72"/>
        <v>Matt</v>
      </c>
      <c r="D389" t="str">
        <f t="shared" si="73"/>
        <v>Nieto</v>
      </c>
      <c r="E389" s="39" t="s">
        <v>1918</v>
      </c>
      <c r="F389" s="30" t="s">
        <v>15</v>
      </c>
      <c r="G389" s="35">
        <v>0</v>
      </c>
      <c r="H389" s="35" t="s">
        <v>2442</v>
      </c>
      <c r="I389" s="35" t="s">
        <v>2439</v>
      </c>
      <c r="J389" s="35">
        <v>26</v>
      </c>
      <c r="K389" s="35">
        <f>VALUE(COUNTIF(Validation!$A$2:$H$47,E389))</f>
        <v>0</v>
      </c>
      <c r="L389" s="361">
        <f t="shared" si="74"/>
        <v>1975000</v>
      </c>
      <c r="M389" s="361">
        <f t="shared" si="75"/>
        <v>0</v>
      </c>
      <c r="N389" s="358">
        <v>1975000</v>
      </c>
      <c r="O389" s="358" t="s">
        <v>7</v>
      </c>
      <c r="P389" s="358">
        <v>0</v>
      </c>
      <c r="Q389" s="358">
        <v>0</v>
      </c>
      <c r="R389" s="358">
        <v>0</v>
      </c>
      <c r="S389" s="358">
        <v>0</v>
      </c>
      <c r="T389" s="358">
        <v>0</v>
      </c>
      <c r="U389" s="35">
        <f t="shared" si="76"/>
        <v>1</v>
      </c>
      <c r="W389">
        <f t="shared" si="77"/>
        <v>1</v>
      </c>
      <c r="X389" s="35">
        <f t="shared" si="78"/>
        <v>0</v>
      </c>
      <c r="Y389">
        <f t="shared" si="79"/>
        <v>0</v>
      </c>
      <c r="AB389">
        <f t="shared" si="82"/>
        <v>1</v>
      </c>
      <c r="AC389">
        <f t="shared" ref="AC389:AC452" ca="1" si="83">IFERROR(SEARCH(INDIRECT(CELL("adresse")),B389,1),0)</f>
        <v>0</v>
      </c>
      <c r="AD389" t="str">
        <f ca="1">IF(AC389=1,COUNTIF($AC$3:AC389,1),"")</f>
        <v/>
      </c>
      <c r="AE389" s="155" t="str">
        <f ca="1">IFERROR(INDEX(Données!$B$3:$B$1479,MATCH(ROWS($AD$3:AD389),$AD$3:$AD$1479,0)),"")</f>
        <v/>
      </c>
    </row>
    <row r="390" spans="1:31" ht="15.75" x14ac:dyDescent="0.25">
      <c r="A390" t="str">
        <f t="shared" si="80"/>
        <v>Pierre-edouard Bellemare - COL - AG, C</v>
      </c>
      <c r="B390" t="str">
        <f t="shared" si="81"/>
        <v>Pierre-edouard Bellemare - COL - AG, C</v>
      </c>
      <c r="C390" t="str">
        <f t="shared" si="72"/>
        <v>Pierre-edouard</v>
      </c>
      <c r="D390" t="str">
        <f t="shared" si="73"/>
        <v>Bellemare</v>
      </c>
      <c r="E390" s="39" t="s">
        <v>2891</v>
      </c>
      <c r="F390" s="30" t="s">
        <v>15</v>
      </c>
      <c r="G390" s="35">
        <v>0</v>
      </c>
      <c r="H390" s="35" t="s">
        <v>2450</v>
      </c>
      <c r="I390" s="35" t="s">
        <v>2439</v>
      </c>
      <c r="J390" s="35">
        <v>34</v>
      </c>
      <c r="K390" s="35">
        <f>VALUE(COUNTIF(Validation!$A$2:$H$47,E390))</f>
        <v>0</v>
      </c>
      <c r="L390" s="361">
        <f t="shared" si="74"/>
        <v>1800000</v>
      </c>
      <c r="M390" s="361">
        <f t="shared" si="75"/>
        <v>1800000</v>
      </c>
      <c r="N390" s="358">
        <v>1800000</v>
      </c>
      <c r="O390" s="358">
        <v>1800000</v>
      </c>
      <c r="P390" s="358" t="s">
        <v>7</v>
      </c>
      <c r="Q390" s="358">
        <v>0</v>
      </c>
      <c r="R390" s="358">
        <v>0</v>
      </c>
      <c r="S390" s="358">
        <v>0</v>
      </c>
      <c r="T390" s="358">
        <v>0</v>
      </c>
      <c r="U390" s="35">
        <f t="shared" si="76"/>
        <v>2</v>
      </c>
      <c r="W390">
        <f t="shared" si="77"/>
        <v>1</v>
      </c>
      <c r="X390" s="35">
        <f t="shared" si="78"/>
        <v>0</v>
      </c>
      <c r="Y390">
        <f t="shared" si="79"/>
        <v>1</v>
      </c>
      <c r="AB390">
        <f t="shared" si="82"/>
        <v>1</v>
      </c>
      <c r="AC390">
        <f t="shared" ca="1" si="83"/>
        <v>0</v>
      </c>
      <c r="AD390" t="str">
        <f ca="1">IF(AC390=1,COUNTIF($AC$3:AC390,1),"")</f>
        <v/>
      </c>
      <c r="AE390" s="155" t="str">
        <f ca="1">IFERROR(INDEX(Données!$B$3:$B$1479,MATCH(ROWS($AD$3:AD390),$AD$3:$AD$1479,0)),"")</f>
        <v/>
      </c>
    </row>
    <row r="391" spans="1:31" ht="15.75" x14ac:dyDescent="0.25">
      <c r="A391" t="str">
        <f t="shared" si="80"/>
        <v>Tyson Jost - COL - C, AG, AD</v>
      </c>
      <c r="B391" t="str">
        <f t="shared" si="81"/>
        <v>Tyson Jost - COL - C, AG, AD</v>
      </c>
      <c r="C391" t="str">
        <f t="shared" si="72"/>
        <v>Tyson</v>
      </c>
      <c r="D391" t="str">
        <f t="shared" si="73"/>
        <v>Jost</v>
      </c>
      <c r="E391" s="39" t="s">
        <v>1923</v>
      </c>
      <c r="F391" s="30" t="s">
        <v>15</v>
      </c>
      <c r="G391" s="35" t="s">
        <v>386</v>
      </c>
      <c r="H391" s="35" t="s">
        <v>2494</v>
      </c>
      <c r="I391" s="35" t="s">
        <v>2439</v>
      </c>
      <c r="J391" s="35">
        <v>21</v>
      </c>
      <c r="K391" s="35">
        <f>VALUE(COUNTIF(Validation!$A$2:$H$47,E391))</f>
        <v>0</v>
      </c>
      <c r="L391" s="361">
        <f t="shared" si="74"/>
        <v>1673333</v>
      </c>
      <c r="M391" s="361">
        <f t="shared" si="75"/>
        <v>0</v>
      </c>
      <c r="N391" s="358">
        <v>1673333</v>
      </c>
      <c r="O391" s="358" t="s">
        <v>8</v>
      </c>
      <c r="P391" s="358">
        <v>0</v>
      </c>
      <c r="Q391" s="358">
        <v>0</v>
      </c>
      <c r="R391" s="358">
        <v>0</v>
      </c>
      <c r="S391" s="358">
        <v>0</v>
      </c>
      <c r="T391" s="358">
        <v>0</v>
      </c>
      <c r="U391" s="35">
        <f t="shared" si="76"/>
        <v>1</v>
      </c>
      <c r="W391">
        <f t="shared" si="77"/>
        <v>1</v>
      </c>
      <c r="X391" s="35">
        <f t="shared" si="78"/>
        <v>1</v>
      </c>
      <c r="Y391">
        <f t="shared" si="79"/>
        <v>0</v>
      </c>
      <c r="AB391">
        <f t="shared" si="82"/>
        <v>1</v>
      </c>
      <c r="AC391">
        <f t="shared" ca="1" si="83"/>
        <v>0</v>
      </c>
      <c r="AD391" t="str">
        <f ca="1">IF(AC391=1,COUNTIF($AC$3:AC391,1),"")</f>
        <v/>
      </c>
      <c r="AE391" s="155" t="str">
        <f ca="1">IFERROR(INDEX(Données!$B$3:$B$1479,MATCH(ROWS($AD$3:AD391),$AD$3:$AD$1479,0)),"")</f>
        <v/>
      </c>
    </row>
    <row r="392" spans="1:31" ht="15.75" x14ac:dyDescent="0.25">
      <c r="A392" t="str">
        <f t="shared" si="80"/>
        <v>Mark Barberio - COL - DG</v>
      </c>
      <c r="B392" t="str">
        <f t="shared" si="81"/>
        <v>Mark Barberio - COL - DG</v>
      </c>
      <c r="C392" t="str">
        <f t="shared" si="72"/>
        <v>Mark</v>
      </c>
      <c r="D392" t="str">
        <f t="shared" si="73"/>
        <v>Barberio</v>
      </c>
      <c r="E392" s="39" t="s">
        <v>1928</v>
      </c>
      <c r="F392" s="31" t="s">
        <v>15</v>
      </c>
      <c r="G392" s="35">
        <v>0</v>
      </c>
      <c r="H392" s="35" t="s">
        <v>2445</v>
      </c>
      <c r="I392" s="35" t="s">
        <v>2439</v>
      </c>
      <c r="J392" s="35">
        <v>29</v>
      </c>
      <c r="K392" s="35">
        <f>VALUE(COUNTIF(Validation!$A$2:$H$47,E392))</f>
        <v>0</v>
      </c>
      <c r="L392" s="361">
        <f t="shared" si="74"/>
        <v>1450000</v>
      </c>
      <c r="M392" s="361">
        <f t="shared" si="75"/>
        <v>0</v>
      </c>
      <c r="N392" s="358">
        <v>1450000</v>
      </c>
      <c r="O392" s="358" t="s">
        <v>7</v>
      </c>
      <c r="P392" s="358">
        <v>0</v>
      </c>
      <c r="Q392" s="358">
        <v>0</v>
      </c>
      <c r="R392" s="358">
        <v>0</v>
      </c>
      <c r="S392" s="358">
        <v>0</v>
      </c>
      <c r="T392" s="358">
        <v>0</v>
      </c>
      <c r="U392" s="35">
        <f t="shared" si="76"/>
        <v>1</v>
      </c>
      <c r="W392">
        <f t="shared" si="77"/>
        <v>1</v>
      </c>
      <c r="X392" s="35">
        <f t="shared" si="78"/>
        <v>0</v>
      </c>
      <c r="Y392">
        <f t="shared" si="79"/>
        <v>0</v>
      </c>
      <c r="AB392">
        <f t="shared" si="82"/>
        <v>1</v>
      </c>
      <c r="AC392">
        <f t="shared" ca="1" si="83"/>
        <v>0</v>
      </c>
      <c r="AD392" t="str">
        <f ca="1">IF(AC392=1,COUNTIF($AC$3:AC392,1),"")</f>
        <v/>
      </c>
      <c r="AE392" s="155" t="str">
        <f ca="1">IFERROR(INDEX(Données!$B$3:$B$1479,MATCH(ROWS($AD$3:AD392),$AD$3:$AD$1479,0)),"")</f>
        <v/>
      </c>
    </row>
    <row r="393" spans="1:31" ht="15.75" x14ac:dyDescent="0.25">
      <c r="A393" t="str">
        <f t="shared" si="80"/>
        <v>Kevin Connauton - COL - DG</v>
      </c>
      <c r="B393" t="str">
        <f t="shared" si="81"/>
        <v>Kevin Connauton - COL - DG</v>
      </c>
      <c r="C393" t="str">
        <f t="shared" si="72"/>
        <v>Kevin</v>
      </c>
      <c r="D393" t="str">
        <f t="shared" si="73"/>
        <v>Connauton</v>
      </c>
      <c r="E393" s="39" t="s">
        <v>2162</v>
      </c>
      <c r="F393" s="30" t="s">
        <v>15</v>
      </c>
      <c r="G393" s="35">
        <v>0</v>
      </c>
      <c r="H393" s="35" t="s">
        <v>2445</v>
      </c>
      <c r="I393" s="35" t="s">
        <v>2439</v>
      </c>
      <c r="J393" s="35">
        <v>29</v>
      </c>
      <c r="K393" s="35">
        <f>VALUE(COUNTIF(Validation!$A$2:$H$47,E393))</f>
        <v>0</v>
      </c>
      <c r="L393" s="361">
        <f t="shared" si="74"/>
        <v>1375000</v>
      </c>
      <c r="M393" s="361">
        <f t="shared" si="75"/>
        <v>0</v>
      </c>
      <c r="N393" s="358">
        <v>1375000</v>
      </c>
      <c r="O393" s="358" t="s">
        <v>7</v>
      </c>
      <c r="P393" s="358">
        <v>0</v>
      </c>
      <c r="Q393" s="358">
        <v>0</v>
      </c>
      <c r="R393" s="358">
        <v>0</v>
      </c>
      <c r="S393" s="358">
        <v>0</v>
      </c>
      <c r="T393" s="358">
        <v>0</v>
      </c>
      <c r="U393" s="35">
        <f t="shared" si="76"/>
        <v>1</v>
      </c>
      <c r="W393">
        <f t="shared" si="77"/>
        <v>1</v>
      </c>
      <c r="X393" s="35">
        <f t="shared" si="78"/>
        <v>0</v>
      </c>
      <c r="Y393">
        <f t="shared" si="79"/>
        <v>0</v>
      </c>
      <c r="AB393">
        <f t="shared" si="82"/>
        <v>1</v>
      </c>
      <c r="AC393">
        <f t="shared" ca="1" si="83"/>
        <v>0</v>
      </c>
      <c r="AD393" t="str">
        <f ca="1">IF(AC393=1,COUNTIF($AC$3:AC393,1),"")</f>
        <v/>
      </c>
      <c r="AE393" s="155" t="str">
        <f ca="1">IFERROR(INDEX(Données!$B$3:$B$1479,MATCH(ROWS($AD$3:AD393),$AD$3:$AD$1479,0)),"")</f>
        <v/>
      </c>
    </row>
    <row r="394" spans="1:31" ht="15.75" x14ac:dyDescent="0.25">
      <c r="A394" t="str">
        <f t="shared" si="80"/>
        <v>Martin Kaut - COL - C</v>
      </c>
      <c r="B394" t="str">
        <f t="shared" si="81"/>
        <v>Martin Kaut - COL - C</v>
      </c>
      <c r="C394" t="str">
        <f t="shared" si="72"/>
        <v>Martin</v>
      </c>
      <c r="D394" t="str">
        <f t="shared" si="73"/>
        <v>Kaut</v>
      </c>
      <c r="E394" s="39" t="s">
        <v>1935</v>
      </c>
      <c r="F394" s="30" t="s">
        <v>15</v>
      </c>
      <c r="G394" s="35" t="s">
        <v>386</v>
      </c>
      <c r="H394" s="35" t="s">
        <v>73</v>
      </c>
      <c r="I394" s="35" t="s">
        <v>2446</v>
      </c>
      <c r="J394" s="35">
        <v>19</v>
      </c>
      <c r="K394" s="35">
        <f>VALUE(COUNTIF(Validation!$A$2:$H$47,E394))</f>
        <v>0</v>
      </c>
      <c r="L394" s="361">
        <f t="shared" si="74"/>
        <v>1319167</v>
      </c>
      <c r="M394" s="361">
        <f t="shared" si="75"/>
        <v>1319167</v>
      </c>
      <c r="N394" s="358">
        <v>1319167</v>
      </c>
      <c r="O394" s="358">
        <v>1319167</v>
      </c>
      <c r="P394" s="358">
        <v>1319167</v>
      </c>
      <c r="Q394" s="358" t="s">
        <v>8</v>
      </c>
      <c r="R394" s="358">
        <v>0</v>
      </c>
      <c r="S394" s="358">
        <v>0</v>
      </c>
      <c r="T394" s="358">
        <v>0</v>
      </c>
      <c r="U394" s="35">
        <f t="shared" si="76"/>
        <v>3</v>
      </c>
      <c r="W394">
        <f t="shared" si="77"/>
        <v>1</v>
      </c>
      <c r="X394" s="35">
        <f t="shared" si="78"/>
        <v>1</v>
      </c>
      <c r="Y394">
        <f t="shared" si="79"/>
        <v>1</v>
      </c>
      <c r="AB394">
        <f t="shared" si="82"/>
        <v>1</v>
      </c>
      <c r="AC394">
        <f t="shared" ca="1" si="83"/>
        <v>0</v>
      </c>
      <c r="AD394" t="str">
        <f ca="1">IF(AC394=1,COUNTIF($AC$3:AC394,1),"")</f>
        <v/>
      </c>
      <c r="AE394" s="155" t="str">
        <f ca="1">IFERROR(INDEX(Données!$B$3:$B$1479,MATCH(ROWS($AD$3:AD394),$AD$3:$AD$1479,0)),"")</f>
        <v/>
      </c>
    </row>
    <row r="395" spans="1:31" ht="15.75" x14ac:dyDescent="0.25">
      <c r="A395" t="str">
        <f t="shared" si="80"/>
        <v>Josh Dickinson - COL - C</v>
      </c>
      <c r="B395" t="str">
        <f t="shared" si="81"/>
        <v>Josh Dickinson - COL - C</v>
      </c>
      <c r="C395" t="str">
        <f t="shared" si="72"/>
        <v>Josh</v>
      </c>
      <c r="D395" t="str">
        <f t="shared" si="73"/>
        <v>Dickinson</v>
      </c>
      <c r="E395" s="39" t="s">
        <v>1934</v>
      </c>
      <c r="F395" s="30" t="s">
        <v>15</v>
      </c>
      <c r="G395" s="35" t="s">
        <v>386</v>
      </c>
      <c r="H395" s="35" t="s">
        <v>73</v>
      </c>
      <c r="I395" s="35" t="s">
        <v>2446</v>
      </c>
      <c r="J395" s="35">
        <v>21</v>
      </c>
      <c r="K395" s="35">
        <f>VALUE(COUNTIF(Validation!$A$2:$H$47,E395))</f>
        <v>0</v>
      </c>
      <c r="L395" s="361">
        <f t="shared" si="74"/>
        <v>1137500</v>
      </c>
      <c r="M395" s="361">
        <f t="shared" si="75"/>
        <v>1137500</v>
      </c>
      <c r="N395" s="358">
        <v>1137500</v>
      </c>
      <c r="O395" s="358">
        <v>1137500</v>
      </c>
      <c r="P395" s="358" t="s">
        <v>8</v>
      </c>
      <c r="Q395" s="358">
        <v>0</v>
      </c>
      <c r="R395" s="358">
        <v>0</v>
      </c>
      <c r="S395" s="358">
        <v>0</v>
      </c>
      <c r="T395" s="358">
        <v>0</v>
      </c>
      <c r="U395" s="35">
        <f t="shared" si="76"/>
        <v>2</v>
      </c>
      <c r="W395">
        <f t="shared" si="77"/>
        <v>1</v>
      </c>
      <c r="X395" s="35">
        <f t="shared" si="78"/>
        <v>1</v>
      </c>
      <c r="Y395">
        <f t="shared" si="79"/>
        <v>1</v>
      </c>
      <c r="AB395">
        <f t="shared" si="82"/>
        <v>1</v>
      </c>
      <c r="AC395">
        <f t="shared" ca="1" si="83"/>
        <v>0</v>
      </c>
      <c r="AD395" t="str">
        <f ca="1">IF(AC395=1,COUNTIF($AC$3:AC395,1),"")</f>
        <v/>
      </c>
      <c r="AE395" s="155" t="str">
        <f ca="1">IFERROR(INDEX(Données!$B$3:$B$1479,MATCH(ROWS($AD$3:AD395),$AD$3:$AD$1479,0)),"")</f>
        <v/>
      </c>
    </row>
    <row r="396" spans="1:31" ht="15.75" x14ac:dyDescent="0.25">
      <c r="A396" t="str">
        <f t="shared" si="80"/>
        <v>Logan O'Connor - COL - AD</v>
      </c>
      <c r="B396" t="str">
        <f t="shared" si="81"/>
        <v>Logan O'Connor - COL - AD</v>
      </c>
      <c r="C396" t="str">
        <f t="shared" si="72"/>
        <v>Logan</v>
      </c>
      <c r="D396" t="str">
        <f t="shared" si="73"/>
        <v>O'Connor</v>
      </c>
      <c r="E396" s="39" t="s">
        <v>1937</v>
      </c>
      <c r="F396" s="30" t="s">
        <v>15</v>
      </c>
      <c r="G396" s="35" t="s">
        <v>386</v>
      </c>
      <c r="H396" s="35" t="s">
        <v>2438</v>
      </c>
      <c r="I396" s="35" t="s">
        <v>2446</v>
      </c>
      <c r="J396" s="35">
        <v>22</v>
      </c>
      <c r="K396" s="35">
        <f>VALUE(COUNTIF(Validation!$A$2:$H$47,E396))</f>
        <v>0</v>
      </c>
      <c r="L396" s="361">
        <f t="shared" si="74"/>
        <v>1137500</v>
      </c>
      <c r="M396" s="361">
        <f t="shared" si="75"/>
        <v>0</v>
      </c>
      <c r="N396" s="358">
        <v>1137500</v>
      </c>
      <c r="O396" s="358" t="s">
        <v>8</v>
      </c>
      <c r="P396" s="358">
        <v>0</v>
      </c>
      <c r="Q396" s="358">
        <v>0</v>
      </c>
      <c r="R396" s="358">
        <v>0</v>
      </c>
      <c r="S396" s="358">
        <v>0</v>
      </c>
      <c r="T396" s="358">
        <v>0</v>
      </c>
      <c r="U396" s="35">
        <f t="shared" si="76"/>
        <v>1</v>
      </c>
      <c r="W396">
        <f t="shared" si="77"/>
        <v>1</v>
      </c>
      <c r="X396" s="35">
        <f t="shared" si="78"/>
        <v>1</v>
      </c>
      <c r="Y396">
        <f t="shared" si="79"/>
        <v>0</v>
      </c>
      <c r="AB396">
        <f t="shared" si="82"/>
        <v>1</v>
      </c>
      <c r="AC396">
        <f t="shared" ca="1" si="83"/>
        <v>0</v>
      </c>
      <c r="AD396" t="str">
        <f ca="1">IF(AC396=1,COUNTIF($AC$3:AC396,1),"")</f>
        <v/>
      </c>
      <c r="AE396" s="155" t="str">
        <f ca="1">IFERROR(INDEX(Données!$B$3:$B$1479,MATCH(ROWS($AD$3:AD396),$AD$3:$AD$1479,0)),"")</f>
        <v/>
      </c>
    </row>
    <row r="397" spans="1:31" ht="15.75" x14ac:dyDescent="0.25">
      <c r="A397" t="str">
        <f t="shared" si="80"/>
        <v>Shane Bowers - COL - C</v>
      </c>
      <c r="B397" t="str">
        <f t="shared" si="81"/>
        <v>Shane Bowers - COL - C</v>
      </c>
      <c r="C397" t="str">
        <f t="shared" si="72"/>
        <v>Shane</v>
      </c>
      <c r="D397" t="str">
        <f t="shared" si="73"/>
        <v>Bowers</v>
      </c>
      <c r="E397" s="39" t="s">
        <v>2667</v>
      </c>
      <c r="F397" s="30" t="s">
        <v>15</v>
      </c>
      <c r="G397" s="35" t="s">
        <v>386</v>
      </c>
      <c r="H397" s="35" t="s">
        <v>73</v>
      </c>
      <c r="I397" s="35" t="s">
        <v>2446</v>
      </c>
      <c r="J397" s="35">
        <v>20</v>
      </c>
      <c r="K397" s="35">
        <f>VALUE(COUNTIF(Validation!$A$2:$H$47,E397))</f>
        <v>0</v>
      </c>
      <c r="L397" s="361">
        <f t="shared" si="74"/>
        <v>1075000</v>
      </c>
      <c r="M397" s="361">
        <f t="shared" si="75"/>
        <v>1075000</v>
      </c>
      <c r="N397" s="358">
        <v>1075000</v>
      </c>
      <c r="O397" s="358">
        <v>1075000</v>
      </c>
      <c r="P397" s="358">
        <v>1075000</v>
      </c>
      <c r="Q397" s="358" t="s">
        <v>8</v>
      </c>
      <c r="R397" s="358">
        <v>0</v>
      </c>
      <c r="S397" s="358">
        <v>0</v>
      </c>
      <c r="T397" s="358">
        <v>0</v>
      </c>
      <c r="U397" s="35">
        <f t="shared" si="76"/>
        <v>3</v>
      </c>
      <c r="W397">
        <f t="shared" si="77"/>
        <v>1</v>
      </c>
      <c r="X397" s="35">
        <f t="shared" si="78"/>
        <v>1</v>
      </c>
      <c r="Y397">
        <f t="shared" si="79"/>
        <v>1</v>
      </c>
      <c r="AB397">
        <f t="shared" si="82"/>
        <v>1</v>
      </c>
      <c r="AC397">
        <f t="shared" ca="1" si="83"/>
        <v>0</v>
      </c>
      <c r="AD397" t="str">
        <f ca="1">IF(AC397=1,COUNTIF($AC$3:AC397,1),"")</f>
        <v/>
      </c>
      <c r="AE397" s="155" t="str">
        <f ca="1">IFERROR(INDEX(Données!$B$3:$B$1479,MATCH(ROWS($AD$3:AD397),$AD$3:$AD$1479,0)),"")</f>
        <v/>
      </c>
    </row>
    <row r="398" spans="1:31" ht="15.75" x14ac:dyDescent="0.25">
      <c r="A398" t="str">
        <f t="shared" si="80"/>
        <v>Pavel Francouz - COL - G</v>
      </c>
      <c r="B398" t="str">
        <f t="shared" si="81"/>
        <v>Pavel Francouz - COL - G</v>
      </c>
      <c r="C398" t="str">
        <f t="shared" si="72"/>
        <v>Pavel</v>
      </c>
      <c r="D398" t="str">
        <f t="shared" si="73"/>
        <v>Francouz</v>
      </c>
      <c r="E398" s="39" t="s">
        <v>1946</v>
      </c>
      <c r="F398" s="30" t="s">
        <v>15</v>
      </c>
      <c r="G398" s="35">
        <v>0</v>
      </c>
      <c r="H398" s="35" t="s">
        <v>127</v>
      </c>
      <c r="I398" s="35" t="s">
        <v>2439</v>
      </c>
      <c r="J398" s="35">
        <v>29</v>
      </c>
      <c r="K398" s="35">
        <f>VALUE(COUNTIF(Validation!$A$2:$H$47,E398))</f>
        <v>0</v>
      </c>
      <c r="L398" s="361">
        <f t="shared" si="74"/>
        <v>950000</v>
      </c>
      <c r="M398" s="361">
        <f t="shared" si="75"/>
        <v>0</v>
      </c>
      <c r="N398" s="358">
        <v>950000</v>
      </c>
      <c r="O398" s="358" t="s">
        <v>7</v>
      </c>
      <c r="P398" s="358">
        <v>0</v>
      </c>
      <c r="Q398" s="358">
        <v>0</v>
      </c>
      <c r="R398" s="358">
        <v>0</v>
      </c>
      <c r="S398" s="358">
        <v>0</v>
      </c>
      <c r="T398" s="358">
        <v>0</v>
      </c>
      <c r="U398" s="35">
        <f t="shared" si="76"/>
        <v>1</v>
      </c>
      <c r="W398">
        <f t="shared" si="77"/>
        <v>1</v>
      </c>
      <c r="X398" s="35">
        <f t="shared" si="78"/>
        <v>0</v>
      </c>
      <c r="Y398">
        <f t="shared" si="79"/>
        <v>0</v>
      </c>
      <c r="AB398">
        <f t="shared" si="82"/>
        <v>1</v>
      </c>
      <c r="AC398">
        <f t="shared" ca="1" si="83"/>
        <v>0</v>
      </c>
      <c r="AD398" t="str">
        <f ca="1">IF(AC398=1,COUNTIF($AC$3:AC398,1),"")</f>
        <v/>
      </c>
      <c r="AE398" s="155" t="str">
        <f ca="1">IFERROR(INDEX(Données!$B$3:$B$1479,MATCH(ROWS($AD$3:AD398),$AD$3:$AD$1479,0)),"")</f>
        <v/>
      </c>
    </row>
    <row r="399" spans="1:31" ht="15.75" x14ac:dyDescent="0.25">
      <c r="A399" t="str">
        <f t="shared" si="80"/>
        <v>Samuel Girard - COL - DG</v>
      </c>
      <c r="B399" t="str">
        <f t="shared" si="81"/>
        <v>Samuel Girard - COL - DG</v>
      </c>
      <c r="C399" t="str">
        <f t="shared" si="72"/>
        <v>Samuel</v>
      </c>
      <c r="D399" t="str">
        <f t="shared" si="73"/>
        <v>Girard</v>
      </c>
      <c r="E399" s="39" t="s">
        <v>1929</v>
      </c>
      <c r="F399" s="30" t="s">
        <v>15</v>
      </c>
      <c r="G399" s="35" t="s">
        <v>403</v>
      </c>
      <c r="H399" s="35" t="s">
        <v>2445</v>
      </c>
      <c r="I399" s="35" t="s">
        <v>2439</v>
      </c>
      <c r="J399" s="35">
        <v>21</v>
      </c>
      <c r="K399" s="35">
        <f>VALUE(COUNTIF(Validation!$A$2:$H$47,E399))</f>
        <v>0</v>
      </c>
      <c r="L399" s="361">
        <f t="shared" si="74"/>
        <v>935833</v>
      </c>
      <c r="M399" s="361">
        <f t="shared" si="75"/>
        <v>5000000</v>
      </c>
      <c r="N399" s="358">
        <v>935833</v>
      </c>
      <c r="O399" s="358">
        <v>5000000</v>
      </c>
      <c r="P399" s="358">
        <v>5000000</v>
      </c>
      <c r="Q399" s="358">
        <v>5000000</v>
      </c>
      <c r="R399" s="358">
        <v>5000000</v>
      </c>
      <c r="S399" s="358">
        <v>5000000</v>
      </c>
      <c r="T399" s="358">
        <v>5000000</v>
      </c>
      <c r="U399" s="35">
        <f t="shared" si="76"/>
        <v>7</v>
      </c>
      <c r="W399">
        <f t="shared" si="77"/>
        <v>1</v>
      </c>
      <c r="X399" s="35">
        <f t="shared" si="78"/>
        <v>1</v>
      </c>
      <c r="Y399">
        <f t="shared" si="79"/>
        <v>0</v>
      </c>
      <c r="AB399">
        <f t="shared" si="82"/>
        <v>1</v>
      </c>
      <c r="AC399">
        <f t="shared" ca="1" si="83"/>
        <v>0</v>
      </c>
      <c r="AD399" t="str">
        <f ca="1">IF(AC399=1,COUNTIF($AC$3:AC399,1),"")</f>
        <v/>
      </c>
      <c r="AE399" s="155" t="str">
        <f ca="1">IFERROR(INDEX(Données!$B$3:$B$1479,MATCH(ROWS($AD$3:AD399),$AD$3:$AD$1479,0)),"")</f>
        <v/>
      </c>
    </row>
    <row r="400" spans="1:31" ht="15.75" x14ac:dyDescent="0.25">
      <c r="A400" t="str">
        <f t="shared" si="80"/>
        <v>Nicolas Meloche - COL - D</v>
      </c>
      <c r="B400" t="str">
        <f t="shared" si="81"/>
        <v>Nicolas Meloche - COL - D</v>
      </c>
      <c r="C400" t="str">
        <f t="shared" si="72"/>
        <v>Nicolas</v>
      </c>
      <c r="D400" t="str">
        <f t="shared" si="73"/>
        <v>Meloche</v>
      </c>
      <c r="E400" s="39" t="s">
        <v>1938</v>
      </c>
      <c r="F400" s="30" t="s">
        <v>15</v>
      </c>
      <c r="G400" s="35" t="s">
        <v>386</v>
      </c>
      <c r="H400" s="35" t="s">
        <v>82</v>
      </c>
      <c r="I400" s="35" t="s">
        <v>2446</v>
      </c>
      <c r="J400" s="35">
        <v>22</v>
      </c>
      <c r="K400" s="35">
        <f>VALUE(COUNTIF(Validation!$A$2:$H$47,E400))</f>
        <v>0</v>
      </c>
      <c r="L400" s="361">
        <f t="shared" si="74"/>
        <v>925000</v>
      </c>
      <c r="M400" s="361">
        <f t="shared" si="75"/>
        <v>0</v>
      </c>
      <c r="N400" s="358">
        <v>925000</v>
      </c>
      <c r="O400" s="358" t="s">
        <v>8</v>
      </c>
      <c r="P400" s="358">
        <v>0</v>
      </c>
      <c r="Q400" s="358">
        <v>0</v>
      </c>
      <c r="R400" s="358">
        <v>0</v>
      </c>
      <c r="S400" s="358">
        <v>0</v>
      </c>
      <c r="T400" s="358">
        <v>0</v>
      </c>
      <c r="U400" s="35">
        <f t="shared" si="76"/>
        <v>1</v>
      </c>
      <c r="W400">
        <f t="shared" si="77"/>
        <v>1</v>
      </c>
      <c r="X400" s="35">
        <f t="shared" si="78"/>
        <v>1</v>
      </c>
      <c r="Y400">
        <f t="shared" si="79"/>
        <v>0</v>
      </c>
      <c r="AB400">
        <f t="shared" si="82"/>
        <v>1</v>
      </c>
      <c r="AC400">
        <f t="shared" ca="1" si="83"/>
        <v>0</v>
      </c>
      <c r="AD400" t="str">
        <f ca="1">IF(AC400=1,COUNTIF($AC$3:AC400,1),"")</f>
        <v/>
      </c>
      <c r="AE400" s="155" t="str">
        <f ca="1">IFERROR(INDEX(Données!$B$3:$B$1479,MATCH(ROWS($AD$3:AD400),$AD$3:$AD$1479,0)),"")</f>
        <v/>
      </c>
    </row>
    <row r="401" spans="1:31" ht="15.75" x14ac:dyDescent="0.25">
      <c r="A401" t="str">
        <f t="shared" si="80"/>
        <v>Igor Shvyryov - COL - C</v>
      </c>
      <c r="B401" t="str">
        <f t="shared" si="81"/>
        <v>Igor Shvyryov - COL - C</v>
      </c>
      <c r="C401" t="str">
        <f t="shared" si="72"/>
        <v>Igor</v>
      </c>
      <c r="D401" t="str">
        <f t="shared" si="73"/>
        <v>Shvyryov</v>
      </c>
      <c r="E401" s="39" t="s">
        <v>1940</v>
      </c>
      <c r="F401" s="30" t="s">
        <v>15</v>
      </c>
      <c r="G401" s="35" t="s">
        <v>386</v>
      </c>
      <c r="H401" s="35" t="s">
        <v>73</v>
      </c>
      <c r="I401" s="35" t="s">
        <v>2446</v>
      </c>
      <c r="J401" s="35">
        <v>21</v>
      </c>
      <c r="K401" s="35">
        <f>VALUE(COUNTIF(Validation!$A$2:$H$47,E401))</f>
        <v>0</v>
      </c>
      <c r="L401" s="361">
        <f t="shared" si="74"/>
        <v>925000</v>
      </c>
      <c r="M401" s="361">
        <f t="shared" si="75"/>
        <v>925000</v>
      </c>
      <c r="N401" s="358">
        <v>925000</v>
      </c>
      <c r="O401" s="358">
        <v>925000</v>
      </c>
      <c r="P401" s="358" t="s">
        <v>8</v>
      </c>
      <c r="Q401" s="358">
        <v>0</v>
      </c>
      <c r="R401" s="358">
        <v>0</v>
      </c>
      <c r="S401" s="358">
        <v>0</v>
      </c>
      <c r="T401" s="358">
        <v>0</v>
      </c>
      <c r="U401" s="35">
        <f t="shared" si="76"/>
        <v>2</v>
      </c>
      <c r="W401">
        <f t="shared" si="77"/>
        <v>1</v>
      </c>
      <c r="X401" s="35">
        <f t="shared" si="78"/>
        <v>1</v>
      </c>
      <c r="Y401">
        <f t="shared" si="79"/>
        <v>1</v>
      </c>
      <c r="AB401">
        <f t="shared" si="82"/>
        <v>1</v>
      </c>
      <c r="AC401">
        <f t="shared" ca="1" si="83"/>
        <v>0</v>
      </c>
      <c r="AD401" t="str">
        <f ca="1">IF(AC401=1,COUNTIF($AC$3:AC401,1),"")</f>
        <v/>
      </c>
      <c r="AE401" s="155" t="str">
        <f ca="1">IFERROR(INDEX(Données!$B$3:$B$1479,MATCH(ROWS($AD$3:AD401),$AD$3:$AD$1479,0)),"")</f>
        <v/>
      </c>
    </row>
    <row r="402" spans="1:31" ht="15.75" x14ac:dyDescent="0.25">
      <c r="A402" t="str">
        <f t="shared" si="80"/>
        <v>Conor Timmins - COL - DD</v>
      </c>
      <c r="B402" t="str">
        <f t="shared" si="81"/>
        <v>Conor Timmins - COL - DD</v>
      </c>
      <c r="C402" t="str">
        <f t="shared" si="72"/>
        <v>Conor</v>
      </c>
      <c r="D402" t="str">
        <f t="shared" si="73"/>
        <v>Timmins</v>
      </c>
      <c r="E402" s="39" t="s">
        <v>1933</v>
      </c>
      <c r="F402" s="30" t="s">
        <v>15</v>
      </c>
      <c r="G402" s="35" t="s">
        <v>386</v>
      </c>
      <c r="H402" s="35" t="s">
        <v>2444</v>
      </c>
      <c r="I402" s="35" t="s">
        <v>2446</v>
      </c>
      <c r="J402" s="35">
        <v>20</v>
      </c>
      <c r="K402" s="35">
        <f>VALUE(COUNTIF(Validation!$A$2:$H$47,E402))</f>
        <v>0</v>
      </c>
      <c r="L402" s="361">
        <f t="shared" si="74"/>
        <v>925000</v>
      </c>
      <c r="M402" s="361">
        <f t="shared" si="75"/>
        <v>925000</v>
      </c>
      <c r="N402" s="358">
        <v>925000</v>
      </c>
      <c r="O402" s="358">
        <v>925000</v>
      </c>
      <c r="P402" s="358" t="s">
        <v>8</v>
      </c>
      <c r="Q402" s="358">
        <v>0</v>
      </c>
      <c r="R402" s="358">
        <v>0</v>
      </c>
      <c r="S402" s="358">
        <v>0</v>
      </c>
      <c r="T402" s="358">
        <v>0</v>
      </c>
      <c r="U402" s="35">
        <f t="shared" si="76"/>
        <v>2</v>
      </c>
      <c r="W402">
        <f t="shared" si="77"/>
        <v>1</v>
      </c>
      <c r="X402" s="35">
        <f t="shared" si="78"/>
        <v>1</v>
      </c>
      <c r="Y402">
        <f t="shared" si="79"/>
        <v>1</v>
      </c>
      <c r="AB402">
        <f t="shared" si="82"/>
        <v>1</v>
      </c>
      <c r="AC402">
        <f t="shared" ca="1" si="83"/>
        <v>0</v>
      </c>
      <c r="AD402" t="str">
        <f ca="1">IF(AC402=1,COUNTIF($AC$3:AC402,1),"")</f>
        <v/>
      </c>
      <c r="AE402" s="155" t="str">
        <f ca="1">IFERROR(INDEX(Données!$B$3:$B$1479,MATCH(ROWS($AD$3:AD402),$AD$3:$AD$1479,0)),"")</f>
        <v/>
      </c>
    </row>
    <row r="403" spans="1:31" ht="15.75" x14ac:dyDescent="0.25">
      <c r="A403" t="str">
        <f t="shared" si="80"/>
        <v>Adam Werner - COL - G</v>
      </c>
      <c r="B403" t="str">
        <f t="shared" si="81"/>
        <v>Adam Werner - COL - G</v>
      </c>
      <c r="C403" t="str">
        <f t="shared" si="72"/>
        <v>Adam</v>
      </c>
      <c r="D403" t="str">
        <f t="shared" si="73"/>
        <v>Werner</v>
      </c>
      <c r="E403" s="39" t="s">
        <v>2669</v>
      </c>
      <c r="F403" s="30" t="s">
        <v>15</v>
      </c>
      <c r="G403" s="35" t="s">
        <v>386</v>
      </c>
      <c r="H403" s="35" t="s">
        <v>127</v>
      </c>
      <c r="I403" s="9" t="s">
        <v>2446</v>
      </c>
      <c r="J403" s="35">
        <v>22</v>
      </c>
      <c r="K403" s="35">
        <f>VALUE(COUNTIF(Validation!$A$2:$H$47,E403))</f>
        <v>0</v>
      </c>
      <c r="L403" s="361">
        <f t="shared" si="74"/>
        <v>925000</v>
      </c>
      <c r="M403" s="361">
        <f t="shared" si="75"/>
        <v>925000</v>
      </c>
      <c r="N403" s="358">
        <v>925000</v>
      </c>
      <c r="O403" s="358">
        <v>925000</v>
      </c>
      <c r="P403" s="358" t="s">
        <v>8</v>
      </c>
      <c r="Q403" s="358">
        <v>0</v>
      </c>
      <c r="R403" s="358">
        <v>0</v>
      </c>
      <c r="S403" s="358">
        <v>0</v>
      </c>
      <c r="T403" s="358">
        <v>0</v>
      </c>
      <c r="U403" s="35">
        <f t="shared" si="76"/>
        <v>2</v>
      </c>
      <c r="W403">
        <f t="shared" si="77"/>
        <v>1</v>
      </c>
      <c r="X403" s="35">
        <f t="shared" si="78"/>
        <v>1</v>
      </c>
      <c r="Y403">
        <f t="shared" si="79"/>
        <v>1</v>
      </c>
      <c r="AB403">
        <f t="shared" si="82"/>
        <v>1</v>
      </c>
      <c r="AC403">
        <f t="shared" ca="1" si="83"/>
        <v>0</v>
      </c>
      <c r="AD403" t="str">
        <f ca="1">IF(AC403=1,COUNTIF($AC$3:AC403,1),"")</f>
        <v/>
      </c>
      <c r="AE403" s="155" t="str">
        <f ca="1">IFERROR(INDEX(Données!$B$3:$B$1479,MATCH(ROWS($AD$3:AD403),$AD$3:$AD$1479,0)),"")</f>
        <v/>
      </c>
    </row>
    <row r="404" spans="1:31" ht="15.75" x14ac:dyDescent="0.25">
      <c r="A404" t="str">
        <f t="shared" si="80"/>
        <v>Nicholas Henry - COL - AD</v>
      </c>
      <c r="B404" t="str">
        <f t="shared" si="81"/>
        <v>Nicholas Henry - COL - AD</v>
      </c>
      <c r="C404" t="str">
        <f t="shared" si="72"/>
        <v>Nicholas</v>
      </c>
      <c r="D404" t="str">
        <f t="shared" si="73"/>
        <v>Henry</v>
      </c>
      <c r="E404" s="39" t="s">
        <v>2668</v>
      </c>
      <c r="F404" s="30" t="s">
        <v>15</v>
      </c>
      <c r="G404" s="35" t="s">
        <v>386</v>
      </c>
      <c r="H404" s="35" t="s">
        <v>2438</v>
      </c>
      <c r="I404" s="35" t="s">
        <v>2446</v>
      </c>
      <c r="J404" s="35">
        <v>20</v>
      </c>
      <c r="K404" s="35">
        <f>VALUE(COUNTIF(Validation!$A$2:$H$47,E404))</f>
        <v>0</v>
      </c>
      <c r="L404" s="361">
        <f t="shared" si="74"/>
        <v>826666</v>
      </c>
      <c r="M404" s="361">
        <f t="shared" si="75"/>
        <v>826666</v>
      </c>
      <c r="N404" s="358">
        <v>826666</v>
      </c>
      <c r="O404" s="358">
        <v>826666</v>
      </c>
      <c r="P404" s="358">
        <v>826666</v>
      </c>
      <c r="Q404" s="358" t="s">
        <v>8</v>
      </c>
      <c r="R404" s="358">
        <v>0</v>
      </c>
      <c r="S404" s="358">
        <v>0</v>
      </c>
      <c r="T404" s="358">
        <v>0</v>
      </c>
      <c r="U404" s="35">
        <f t="shared" si="76"/>
        <v>3</v>
      </c>
      <c r="W404">
        <f t="shared" si="77"/>
        <v>1</v>
      </c>
      <c r="X404" s="35">
        <f t="shared" si="78"/>
        <v>1</v>
      </c>
      <c r="Y404">
        <f t="shared" si="79"/>
        <v>1</v>
      </c>
      <c r="AB404">
        <f t="shared" si="82"/>
        <v>1</v>
      </c>
      <c r="AC404">
        <f t="shared" ca="1" si="83"/>
        <v>0</v>
      </c>
      <c r="AD404" t="str">
        <f ca="1">IF(AC404=1,COUNTIF($AC$3:AC404,1),"")</f>
        <v/>
      </c>
      <c r="AE404" s="155" t="str">
        <f ca="1">IFERROR(INDEX(Données!$B$3:$B$1479,MATCH(ROWS($AD$3:AD404),$AD$3:$AD$1479,0)),"")</f>
        <v/>
      </c>
    </row>
    <row r="405" spans="1:31" ht="15.75" x14ac:dyDescent="0.25">
      <c r="A405" t="str">
        <f t="shared" si="80"/>
        <v>Josh Anderson - COL - DG</v>
      </c>
      <c r="B405" t="str">
        <f t="shared" si="81"/>
        <v>Josh Anderson - COL - DG</v>
      </c>
      <c r="C405" t="str">
        <f t="shared" si="72"/>
        <v>Josh</v>
      </c>
      <c r="D405" t="str">
        <f t="shared" si="73"/>
        <v>Anderson</v>
      </c>
      <c r="E405" s="39" t="s">
        <v>1659</v>
      </c>
      <c r="F405" s="30" t="s">
        <v>15</v>
      </c>
      <c r="G405" s="35" t="s">
        <v>386</v>
      </c>
      <c r="H405" s="35" t="s">
        <v>2445</v>
      </c>
      <c r="I405" s="35" t="s">
        <v>2446</v>
      </c>
      <c r="J405" s="35">
        <v>20</v>
      </c>
      <c r="K405" s="35">
        <f>VALUE(COUNTIF(Validation!$A$2:$H$47,E405))</f>
        <v>0</v>
      </c>
      <c r="L405" s="361">
        <f t="shared" si="74"/>
        <v>816666</v>
      </c>
      <c r="M405" s="361">
        <f t="shared" si="75"/>
        <v>816666</v>
      </c>
      <c r="N405" s="358">
        <v>816666</v>
      </c>
      <c r="O405" s="358">
        <v>816666</v>
      </c>
      <c r="P405" s="358" t="s">
        <v>8</v>
      </c>
      <c r="Q405" s="358">
        <v>0</v>
      </c>
      <c r="R405" s="358">
        <v>0</v>
      </c>
      <c r="S405" s="358">
        <v>0</v>
      </c>
      <c r="T405" s="358">
        <v>0</v>
      </c>
      <c r="U405" s="35">
        <f t="shared" si="76"/>
        <v>2</v>
      </c>
      <c r="W405">
        <f t="shared" si="77"/>
        <v>2</v>
      </c>
      <c r="X405" s="35">
        <f t="shared" si="78"/>
        <v>1</v>
      </c>
      <c r="Y405">
        <f t="shared" si="79"/>
        <v>1</v>
      </c>
      <c r="AB405">
        <f t="shared" si="82"/>
        <v>1</v>
      </c>
      <c r="AC405">
        <f t="shared" ca="1" si="83"/>
        <v>0</v>
      </c>
      <c r="AD405" t="str">
        <f ca="1">IF(AC405=1,COUNTIF($AC$3:AC405,1),"")</f>
        <v/>
      </c>
      <c r="AE405" s="155" t="str">
        <f ca="1">IFERROR(INDEX(Données!$B$3:$B$1479,MATCH(ROWS($AD$3:AD405),$AD$3:$AD$1479,0)),"")</f>
        <v/>
      </c>
    </row>
    <row r="406" spans="1:31" ht="15.75" x14ac:dyDescent="0.25">
      <c r="A406" t="str">
        <f t="shared" si="80"/>
        <v>Vladislav Kamenev - COL - C</v>
      </c>
      <c r="B406" t="str">
        <f t="shared" si="81"/>
        <v>Vladislav Kamenev - COL - C</v>
      </c>
      <c r="C406" t="str">
        <f t="shared" si="72"/>
        <v>Vladislav</v>
      </c>
      <c r="D406" t="str">
        <f t="shared" si="73"/>
        <v>Kamenev</v>
      </c>
      <c r="E406" s="39" t="s">
        <v>1939</v>
      </c>
      <c r="F406" s="30" t="s">
        <v>15</v>
      </c>
      <c r="G406" s="35">
        <v>0</v>
      </c>
      <c r="H406" s="35" t="s">
        <v>73</v>
      </c>
      <c r="I406" s="35" t="s">
        <v>2439</v>
      </c>
      <c r="J406" s="35">
        <v>23</v>
      </c>
      <c r="K406" s="35">
        <f>VALUE(COUNTIF(Validation!$A$2:$H$47,E406))</f>
        <v>0</v>
      </c>
      <c r="L406" s="361">
        <f t="shared" si="74"/>
        <v>750000</v>
      </c>
      <c r="M406" s="361">
        <f t="shared" si="75"/>
        <v>0</v>
      </c>
      <c r="N406" s="358">
        <v>750000</v>
      </c>
      <c r="O406" s="358" t="s">
        <v>8</v>
      </c>
      <c r="P406" s="358">
        <v>0</v>
      </c>
      <c r="Q406" s="358">
        <v>0</v>
      </c>
      <c r="R406" s="358">
        <v>0</v>
      </c>
      <c r="S406" s="358">
        <v>0</v>
      </c>
      <c r="T406" s="358">
        <v>0</v>
      </c>
      <c r="U406" s="35">
        <f t="shared" si="76"/>
        <v>1</v>
      </c>
      <c r="W406">
        <f t="shared" si="77"/>
        <v>1</v>
      </c>
      <c r="X406" s="35">
        <f t="shared" si="78"/>
        <v>0</v>
      </c>
      <c r="Y406">
        <f t="shared" si="79"/>
        <v>0</v>
      </c>
      <c r="AB406">
        <f t="shared" si="82"/>
        <v>1</v>
      </c>
      <c r="AC406">
        <f t="shared" ca="1" si="83"/>
        <v>0</v>
      </c>
      <c r="AD406" t="str">
        <f ca="1">IF(AC406=1,COUNTIF($AC$3:AC406,1),"")</f>
        <v/>
      </c>
      <c r="AE406" s="155" t="str">
        <f ca="1">IFERROR(INDEX(Données!$B$3:$B$1479,MATCH(ROWS($AD$3:AD406),$AD$3:$AD$1479,0)),"")</f>
        <v/>
      </c>
    </row>
    <row r="407" spans="1:31" ht="15.75" x14ac:dyDescent="0.25">
      <c r="A407" t="str">
        <f t="shared" si="80"/>
        <v>Jacob MacDonald - COL - DG</v>
      </c>
      <c r="B407" t="str">
        <f t="shared" si="81"/>
        <v>Jacob MacDonald - COL - DG</v>
      </c>
      <c r="C407" t="str">
        <f t="shared" si="72"/>
        <v>Jacob</v>
      </c>
      <c r="D407" t="str">
        <f t="shared" si="73"/>
        <v>MacDonald</v>
      </c>
      <c r="E407" s="39" t="s">
        <v>1471</v>
      </c>
      <c r="F407" s="30" t="s">
        <v>15</v>
      </c>
      <c r="G407" s="35">
        <v>0</v>
      </c>
      <c r="H407" s="9" t="s">
        <v>2445</v>
      </c>
      <c r="I407" s="9" t="s">
        <v>2446</v>
      </c>
      <c r="J407" s="9">
        <v>26</v>
      </c>
      <c r="K407" s="35">
        <f>VALUE(COUNTIF(Validation!$A$2:$H$47,E407))</f>
        <v>0</v>
      </c>
      <c r="L407" s="361">
        <f t="shared" si="74"/>
        <v>750000</v>
      </c>
      <c r="M407" s="361">
        <f t="shared" si="75"/>
        <v>0</v>
      </c>
      <c r="N407" s="358">
        <v>750000</v>
      </c>
      <c r="O407" s="358" t="s">
        <v>7</v>
      </c>
      <c r="P407" s="358">
        <v>0</v>
      </c>
      <c r="Q407" s="358">
        <v>0</v>
      </c>
      <c r="R407" s="358">
        <v>0</v>
      </c>
      <c r="S407" s="358">
        <v>0</v>
      </c>
      <c r="T407" s="358">
        <v>0</v>
      </c>
      <c r="U407" s="35">
        <f t="shared" si="76"/>
        <v>1</v>
      </c>
      <c r="W407">
        <f t="shared" si="77"/>
        <v>1</v>
      </c>
      <c r="X407" s="35">
        <f t="shared" si="78"/>
        <v>0</v>
      </c>
      <c r="Y407">
        <f t="shared" si="79"/>
        <v>0</v>
      </c>
      <c r="AB407">
        <f t="shared" si="82"/>
        <v>1</v>
      </c>
      <c r="AC407">
        <f t="shared" ca="1" si="83"/>
        <v>0</v>
      </c>
      <c r="AD407" t="str">
        <f ca="1">IF(AC407=1,COUNTIF($AC$3:AC407,1),"")</f>
        <v/>
      </c>
      <c r="AE407" s="155" t="str">
        <f ca="1">IFERROR(INDEX(Données!$B$3:$B$1479,MATCH(ROWS($AD$3:AD407),$AD$3:$AD$1479,0)),"")</f>
        <v/>
      </c>
    </row>
    <row r="408" spans="1:31" ht="15.75" x14ac:dyDescent="0.25">
      <c r="A408" t="str">
        <f t="shared" si="80"/>
        <v>Calle Rosen - COL - DG</v>
      </c>
      <c r="B408" t="str">
        <f t="shared" si="81"/>
        <v>Calle Rosen - COL - DG</v>
      </c>
      <c r="C408" t="str">
        <f t="shared" si="72"/>
        <v>Calle</v>
      </c>
      <c r="D408" t="str">
        <f t="shared" si="73"/>
        <v>Rosen</v>
      </c>
      <c r="E408" s="39" t="s">
        <v>2906</v>
      </c>
      <c r="F408" s="30" t="s">
        <v>15</v>
      </c>
      <c r="G408" s="35">
        <v>0</v>
      </c>
      <c r="H408" s="35" t="s">
        <v>2445</v>
      </c>
      <c r="I408" s="35" t="s">
        <v>2446</v>
      </c>
      <c r="J408" s="35">
        <v>25</v>
      </c>
      <c r="K408" s="35">
        <f>VALUE(COUNTIF(Validation!$A$2:$H$47,E408))</f>
        <v>0</v>
      </c>
      <c r="L408" s="361">
        <f t="shared" si="74"/>
        <v>750000</v>
      </c>
      <c r="M408" s="361">
        <f t="shared" si="75"/>
        <v>750000</v>
      </c>
      <c r="N408" s="358">
        <v>750000</v>
      </c>
      <c r="O408" s="358">
        <v>750000</v>
      </c>
      <c r="P408" s="358" t="s">
        <v>7</v>
      </c>
      <c r="Q408" s="358">
        <v>0</v>
      </c>
      <c r="R408" s="358">
        <v>0</v>
      </c>
      <c r="S408" s="358">
        <v>0</v>
      </c>
      <c r="T408" s="358">
        <v>0</v>
      </c>
      <c r="U408" s="35">
        <f t="shared" si="76"/>
        <v>2</v>
      </c>
      <c r="W408">
        <f t="shared" si="77"/>
        <v>1</v>
      </c>
      <c r="X408" s="35">
        <f t="shared" si="78"/>
        <v>0</v>
      </c>
      <c r="Y408">
        <f t="shared" si="79"/>
        <v>1</v>
      </c>
      <c r="AB408">
        <f t="shared" si="82"/>
        <v>1</v>
      </c>
      <c r="AC408">
        <f t="shared" ca="1" si="83"/>
        <v>0</v>
      </c>
      <c r="AD408" t="str">
        <f ca="1">IF(AC408=1,COUNTIF($AC$3:AC408,1),"")</f>
        <v/>
      </c>
      <c r="AE408" s="155" t="str">
        <f ca="1">IFERROR(INDEX(Données!$B$3:$B$1479,MATCH(ROWS($AD$3:AD408),$AD$3:$AD$1479,0)),"")</f>
        <v/>
      </c>
    </row>
    <row r="409" spans="1:31" ht="15.75" x14ac:dyDescent="0.25">
      <c r="A409" t="str">
        <f t="shared" si="80"/>
        <v>Anton Lindholm - COL - DG</v>
      </c>
      <c r="B409" t="str">
        <f t="shared" si="81"/>
        <v>Anton Lindholm - COL - DG</v>
      </c>
      <c r="C409" t="str">
        <f t="shared" si="72"/>
        <v>Anton</v>
      </c>
      <c r="D409" t="str">
        <f t="shared" si="73"/>
        <v>Lindholm</v>
      </c>
      <c r="E409" s="39" t="s">
        <v>1930</v>
      </c>
      <c r="F409" s="30" t="s">
        <v>15</v>
      </c>
      <c r="G409" s="35">
        <v>0</v>
      </c>
      <c r="H409" s="35" t="s">
        <v>2445</v>
      </c>
      <c r="I409" s="35" t="s">
        <v>2446</v>
      </c>
      <c r="J409" s="35">
        <v>24</v>
      </c>
      <c r="K409" s="35">
        <f>VALUE(COUNTIF(Validation!$A$2:$H$47,E409))</f>
        <v>0</v>
      </c>
      <c r="L409" s="361">
        <f t="shared" si="74"/>
        <v>742500</v>
      </c>
      <c r="M409" s="361">
        <f t="shared" si="75"/>
        <v>742500</v>
      </c>
      <c r="N409" s="358">
        <v>742500</v>
      </c>
      <c r="O409" s="358">
        <v>742500</v>
      </c>
      <c r="P409" s="358" t="s">
        <v>8</v>
      </c>
      <c r="Q409" s="358">
        <v>0</v>
      </c>
      <c r="R409" s="358">
        <v>0</v>
      </c>
      <c r="S409" s="358">
        <v>0</v>
      </c>
      <c r="T409" s="358">
        <v>0</v>
      </c>
      <c r="U409" s="35">
        <f t="shared" si="76"/>
        <v>2</v>
      </c>
      <c r="W409">
        <f t="shared" si="77"/>
        <v>1</v>
      </c>
      <c r="X409" s="35">
        <f t="shared" si="78"/>
        <v>0</v>
      </c>
      <c r="Y409">
        <f t="shared" si="79"/>
        <v>1</v>
      </c>
      <c r="AB409">
        <f t="shared" si="82"/>
        <v>1</v>
      </c>
      <c r="AC409">
        <f t="shared" ca="1" si="83"/>
        <v>0</v>
      </c>
      <c r="AD409" t="str">
        <f ca="1">IF(AC409=1,COUNTIF($AC$3:AC409,1),"")</f>
        <v/>
      </c>
      <c r="AE409" s="155" t="str">
        <f ca="1">IFERROR(INDEX(Données!$B$3:$B$1479,MATCH(ROWS($AD$3:AD409),$AD$3:$AD$1479,0)),"")</f>
        <v/>
      </c>
    </row>
    <row r="410" spans="1:31" ht="15.75" x14ac:dyDescent="0.25">
      <c r="A410" t="str">
        <f t="shared" si="80"/>
        <v>Travis Barron - COL - AG</v>
      </c>
      <c r="B410" t="str">
        <f t="shared" si="81"/>
        <v>Travis Barron - COL - AG</v>
      </c>
      <c r="C410" t="str">
        <f t="shared" si="72"/>
        <v>Travis</v>
      </c>
      <c r="D410" t="str">
        <f t="shared" si="73"/>
        <v>Barron</v>
      </c>
      <c r="E410" s="39" t="s">
        <v>1942</v>
      </c>
      <c r="F410" s="30" t="s">
        <v>15</v>
      </c>
      <c r="G410" s="35" t="s">
        <v>386</v>
      </c>
      <c r="H410" s="35" t="s">
        <v>2440</v>
      </c>
      <c r="I410" s="35" t="s">
        <v>2446</v>
      </c>
      <c r="J410" s="35">
        <v>20</v>
      </c>
      <c r="K410" s="35">
        <f>VALUE(COUNTIF(Validation!$A$2:$H$47,E410))</f>
        <v>0</v>
      </c>
      <c r="L410" s="361">
        <f t="shared" si="74"/>
        <v>741666</v>
      </c>
      <c r="M410" s="361">
        <f t="shared" si="75"/>
        <v>741666</v>
      </c>
      <c r="N410" s="358">
        <v>741666</v>
      </c>
      <c r="O410" s="358">
        <v>741666</v>
      </c>
      <c r="P410" s="358" t="s">
        <v>8</v>
      </c>
      <c r="Q410" s="358">
        <v>0</v>
      </c>
      <c r="R410" s="358">
        <v>0</v>
      </c>
      <c r="S410" s="358">
        <v>0</v>
      </c>
      <c r="T410" s="358">
        <v>0</v>
      </c>
      <c r="U410" s="35">
        <f t="shared" si="76"/>
        <v>2</v>
      </c>
      <c r="W410">
        <f t="shared" si="77"/>
        <v>1</v>
      </c>
      <c r="X410" s="35">
        <f t="shared" si="78"/>
        <v>1</v>
      </c>
      <c r="Y410">
        <f t="shared" si="79"/>
        <v>1</v>
      </c>
      <c r="AB410">
        <f t="shared" si="82"/>
        <v>1</v>
      </c>
      <c r="AC410">
        <f t="shared" ca="1" si="83"/>
        <v>0</v>
      </c>
      <c r="AD410" t="str">
        <f ca="1">IF(AC410=1,COUNTIF($AC$3:AC410,1),"")</f>
        <v/>
      </c>
      <c r="AE410" s="155" t="str">
        <f ca="1">IFERROR(INDEX(Données!$B$3:$B$1479,MATCH(ROWS($AD$3:AD410),$AD$3:$AD$1479,0)),"")</f>
        <v/>
      </c>
    </row>
    <row r="411" spans="1:31" ht="15.75" x14ac:dyDescent="0.25">
      <c r="A411" t="str">
        <f t="shared" si="80"/>
        <v>Sheldon Dries - COL - C</v>
      </c>
      <c r="B411" t="str">
        <f t="shared" si="81"/>
        <v>Sheldon Dries - COL - C</v>
      </c>
      <c r="C411" t="str">
        <f t="shared" si="72"/>
        <v>Sheldon</v>
      </c>
      <c r="D411" t="str">
        <f t="shared" si="73"/>
        <v>Dries</v>
      </c>
      <c r="E411" s="39" t="s">
        <v>1936</v>
      </c>
      <c r="F411" s="30" t="s">
        <v>15</v>
      </c>
      <c r="G411" s="35">
        <v>0</v>
      </c>
      <c r="H411" s="9" t="s">
        <v>73</v>
      </c>
      <c r="I411" s="9" t="s">
        <v>2446</v>
      </c>
      <c r="J411" s="9">
        <v>25</v>
      </c>
      <c r="K411" s="35">
        <f>VALUE(COUNTIF(Validation!$A$2:$H$47,E411))</f>
        <v>0</v>
      </c>
      <c r="L411" s="361">
        <f t="shared" si="74"/>
        <v>735000</v>
      </c>
      <c r="M411" s="361">
        <f t="shared" si="75"/>
        <v>0</v>
      </c>
      <c r="N411" s="358">
        <v>735000</v>
      </c>
      <c r="O411" s="358" t="s">
        <v>8</v>
      </c>
      <c r="P411" s="358">
        <v>0</v>
      </c>
      <c r="Q411" s="358">
        <v>0</v>
      </c>
      <c r="R411" s="358">
        <v>0</v>
      </c>
      <c r="S411" s="358">
        <v>0</v>
      </c>
      <c r="T411" s="358">
        <v>0</v>
      </c>
      <c r="U411" s="35">
        <f t="shared" si="76"/>
        <v>1</v>
      </c>
      <c r="W411">
        <f t="shared" si="77"/>
        <v>1</v>
      </c>
      <c r="X411" s="35">
        <f t="shared" si="78"/>
        <v>0</v>
      </c>
      <c r="Y411">
        <f t="shared" si="79"/>
        <v>0</v>
      </c>
      <c r="AB411">
        <f t="shared" si="82"/>
        <v>1</v>
      </c>
      <c r="AC411">
        <f t="shared" ca="1" si="83"/>
        <v>0</v>
      </c>
      <c r="AD411" t="str">
        <f ca="1">IF(AC411=1,COUNTIF($AC$3:AC411,1),"")</f>
        <v/>
      </c>
      <c r="AE411" s="155" t="str">
        <f ca="1">IFERROR(INDEX(Données!$B$3:$B$1479,MATCH(ROWS($AD$3:AD411),$AD$3:$AD$1479,0)),"")</f>
        <v/>
      </c>
    </row>
    <row r="412" spans="1:31" ht="15.75" x14ac:dyDescent="0.25">
      <c r="A412" t="str">
        <f t="shared" si="80"/>
        <v>Ryan Graves - COL - DG</v>
      </c>
      <c r="B412" t="str">
        <f t="shared" si="81"/>
        <v>Ryan Graves - COL - DG</v>
      </c>
      <c r="C412" t="str">
        <f t="shared" si="72"/>
        <v>Ryan</v>
      </c>
      <c r="D412" t="str">
        <f t="shared" si="73"/>
        <v>Graves</v>
      </c>
      <c r="E412" s="39" t="s">
        <v>1949</v>
      </c>
      <c r="F412" s="30" t="s">
        <v>15</v>
      </c>
      <c r="G412" s="35">
        <v>0</v>
      </c>
      <c r="H412" s="35" t="s">
        <v>2445</v>
      </c>
      <c r="I412" s="35" t="s">
        <v>2439</v>
      </c>
      <c r="J412" s="35">
        <v>24</v>
      </c>
      <c r="K412" s="35">
        <f>VALUE(COUNTIF(Validation!$A$2:$H$47,E412))</f>
        <v>0</v>
      </c>
      <c r="L412" s="361">
        <f t="shared" si="74"/>
        <v>735000</v>
      </c>
      <c r="M412" s="361">
        <f t="shared" si="75"/>
        <v>0</v>
      </c>
      <c r="N412" s="358">
        <v>735000</v>
      </c>
      <c r="O412" s="358" t="s">
        <v>8</v>
      </c>
      <c r="P412" s="358">
        <v>0</v>
      </c>
      <c r="Q412" s="358">
        <v>0</v>
      </c>
      <c r="R412" s="358">
        <v>0</v>
      </c>
      <c r="S412" s="358">
        <v>0</v>
      </c>
      <c r="T412" s="358">
        <v>0</v>
      </c>
      <c r="U412" s="35">
        <f t="shared" si="76"/>
        <v>1</v>
      </c>
      <c r="W412">
        <f t="shared" si="77"/>
        <v>1</v>
      </c>
      <c r="X412" s="35">
        <f t="shared" si="78"/>
        <v>0</v>
      </c>
      <c r="Y412">
        <f t="shared" si="79"/>
        <v>0</v>
      </c>
      <c r="AB412">
        <f t="shared" si="82"/>
        <v>1</v>
      </c>
      <c r="AC412">
        <f t="shared" ca="1" si="83"/>
        <v>0</v>
      </c>
      <c r="AD412" t="str">
        <f ca="1">IF(AC412=1,COUNTIF($AC$3:AC412,1),"")</f>
        <v/>
      </c>
      <c r="AE412" s="155" t="str">
        <f ca="1">IFERROR(INDEX(Données!$B$3:$B$1479,MATCH(ROWS($AD$3:AD412),$AD$3:$AD$1479,0)),"")</f>
        <v/>
      </c>
    </row>
    <row r="413" spans="1:31" ht="15.75" x14ac:dyDescent="0.25">
      <c r="A413" t="str">
        <f t="shared" si="80"/>
        <v>AJ Greer - COL - AG</v>
      </c>
      <c r="B413" t="str">
        <f t="shared" si="81"/>
        <v>AJ Greer - COL - AG</v>
      </c>
      <c r="C413" t="str">
        <f t="shared" si="72"/>
        <v>AJ</v>
      </c>
      <c r="D413" t="str">
        <f t="shared" si="73"/>
        <v>Greer</v>
      </c>
      <c r="E413" s="39" t="s">
        <v>1943</v>
      </c>
      <c r="F413" s="30" t="s">
        <v>15</v>
      </c>
      <c r="G413" s="35">
        <v>0</v>
      </c>
      <c r="H413" s="35" t="s">
        <v>2440</v>
      </c>
      <c r="I413" s="35" t="s">
        <v>2446</v>
      </c>
      <c r="J413" s="35">
        <v>22</v>
      </c>
      <c r="K413" s="35">
        <f>VALUE(COUNTIF(Validation!$A$2:$H$47,E413))</f>
        <v>0</v>
      </c>
      <c r="L413" s="361">
        <f t="shared" si="74"/>
        <v>735000</v>
      </c>
      <c r="M413" s="361">
        <f t="shared" si="75"/>
        <v>0</v>
      </c>
      <c r="N413" s="358">
        <v>735000</v>
      </c>
      <c r="O413" s="358" t="s">
        <v>8</v>
      </c>
      <c r="P413" s="358">
        <v>0</v>
      </c>
      <c r="Q413" s="358">
        <v>0</v>
      </c>
      <c r="R413" s="358">
        <v>0</v>
      </c>
      <c r="S413" s="358">
        <v>0</v>
      </c>
      <c r="T413" s="358">
        <v>0</v>
      </c>
      <c r="U413" s="35">
        <f t="shared" si="76"/>
        <v>1</v>
      </c>
      <c r="W413">
        <f t="shared" si="77"/>
        <v>1</v>
      </c>
      <c r="X413" s="35">
        <f t="shared" si="78"/>
        <v>0</v>
      </c>
      <c r="Y413">
        <f t="shared" si="79"/>
        <v>0</v>
      </c>
      <c r="AB413">
        <f t="shared" si="82"/>
        <v>1</v>
      </c>
      <c r="AC413">
        <f t="shared" ca="1" si="83"/>
        <v>0</v>
      </c>
      <c r="AD413" t="str">
        <f ca="1">IF(AC413=1,COUNTIF($AC$3:AC413,1),"")</f>
        <v/>
      </c>
      <c r="AE413" s="155" t="str">
        <f ca="1">IFERROR(INDEX(Données!$B$3:$B$1479,MATCH(ROWS($AD$3:AD413),$AD$3:$AD$1479,0)),"")</f>
        <v/>
      </c>
    </row>
    <row r="414" spans="1:31" ht="15.75" x14ac:dyDescent="0.25">
      <c r="A414" t="str">
        <f t="shared" si="80"/>
        <v>Mark Alt - COL - DD</v>
      </c>
      <c r="B414" t="str">
        <f t="shared" si="81"/>
        <v>Mark Alt - COL - DD</v>
      </c>
      <c r="C414" t="str">
        <f t="shared" si="72"/>
        <v>Mark</v>
      </c>
      <c r="D414" t="str">
        <f t="shared" si="73"/>
        <v>Alt</v>
      </c>
      <c r="E414" s="39" t="s">
        <v>1944</v>
      </c>
      <c r="F414" s="30" t="s">
        <v>15</v>
      </c>
      <c r="G414" s="35">
        <v>0</v>
      </c>
      <c r="H414" s="35" t="s">
        <v>2444</v>
      </c>
      <c r="I414" s="35" t="s">
        <v>2446</v>
      </c>
      <c r="J414" s="35">
        <v>27</v>
      </c>
      <c r="K414" s="35">
        <f>VALUE(COUNTIF(Validation!$A$2:$H$47,E414))</f>
        <v>0</v>
      </c>
      <c r="L414" s="361">
        <f t="shared" si="74"/>
        <v>725000</v>
      </c>
      <c r="M414" s="361">
        <f t="shared" si="75"/>
        <v>0</v>
      </c>
      <c r="N414" s="358">
        <v>725000</v>
      </c>
      <c r="O414" s="358" t="s">
        <v>7</v>
      </c>
      <c r="P414" s="358">
        <v>0</v>
      </c>
      <c r="Q414" s="358">
        <v>0</v>
      </c>
      <c r="R414" s="358">
        <v>0</v>
      </c>
      <c r="S414" s="358">
        <v>0</v>
      </c>
      <c r="T414" s="358">
        <v>0</v>
      </c>
      <c r="U414" s="35">
        <f t="shared" si="76"/>
        <v>1</v>
      </c>
      <c r="W414">
        <f t="shared" si="77"/>
        <v>1</v>
      </c>
      <c r="X414" s="35">
        <f t="shared" si="78"/>
        <v>0</v>
      </c>
      <c r="Y414">
        <f t="shared" si="79"/>
        <v>0</v>
      </c>
      <c r="AB414">
        <f t="shared" si="82"/>
        <v>1</v>
      </c>
      <c r="AC414">
        <f t="shared" ca="1" si="83"/>
        <v>0</v>
      </c>
      <c r="AD414" t="str">
        <f ca="1">IF(AC414=1,COUNTIF($AC$3:AC414,1),"")</f>
        <v/>
      </c>
      <c r="AE414" s="155" t="str">
        <f ca="1">IFERROR(INDEX(Données!$B$3:$B$1479,MATCH(ROWS($AD$3:AD414),$AD$3:$AD$1479,0)),"")</f>
        <v/>
      </c>
    </row>
    <row r="415" spans="1:31" ht="15.75" x14ac:dyDescent="0.25">
      <c r="A415" t="str">
        <f t="shared" si="80"/>
        <v>Ty Lewis - COL - AG</v>
      </c>
      <c r="B415" t="str">
        <f t="shared" si="81"/>
        <v>Ty Lewis - COL - AG</v>
      </c>
      <c r="C415" t="str">
        <f t="shared" si="72"/>
        <v>Ty</v>
      </c>
      <c r="D415" t="str">
        <f t="shared" si="73"/>
        <v>Lewis</v>
      </c>
      <c r="E415" s="39" t="s">
        <v>1945</v>
      </c>
      <c r="F415" s="30" t="s">
        <v>15</v>
      </c>
      <c r="G415" s="35" t="s">
        <v>386</v>
      </c>
      <c r="H415" s="35" t="s">
        <v>2440</v>
      </c>
      <c r="I415" s="35" t="s">
        <v>2446</v>
      </c>
      <c r="J415" s="35">
        <v>21</v>
      </c>
      <c r="K415" s="35">
        <f>VALUE(COUNTIF(Validation!$A$2:$H$47,E415))</f>
        <v>0</v>
      </c>
      <c r="L415" s="361">
        <f t="shared" si="74"/>
        <v>716666</v>
      </c>
      <c r="M415" s="361">
        <f t="shared" si="75"/>
        <v>716666</v>
      </c>
      <c r="N415" s="358">
        <v>716666</v>
      </c>
      <c r="O415" s="358">
        <v>716666</v>
      </c>
      <c r="P415" s="358" t="s">
        <v>8</v>
      </c>
      <c r="Q415" s="358">
        <v>0</v>
      </c>
      <c r="R415" s="358">
        <v>0</v>
      </c>
      <c r="S415" s="358">
        <v>0</v>
      </c>
      <c r="T415" s="358">
        <v>0</v>
      </c>
      <c r="U415" s="35">
        <f t="shared" si="76"/>
        <v>2</v>
      </c>
      <c r="W415">
        <f t="shared" si="77"/>
        <v>1</v>
      </c>
      <c r="X415" s="35">
        <f t="shared" si="78"/>
        <v>1</v>
      </c>
      <c r="Y415">
        <f t="shared" si="79"/>
        <v>1</v>
      </c>
      <c r="AB415">
        <f t="shared" si="82"/>
        <v>1</v>
      </c>
      <c r="AC415">
        <f t="shared" ca="1" si="83"/>
        <v>0</v>
      </c>
      <c r="AD415" t="str">
        <f ca="1">IF(AC415=1,COUNTIF($AC$3:AC415,1),"")</f>
        <v/>
      </c>
      <c r="AE415" s="155" t="str">
        <f ca="1">IFERROR(INDEX(Données!$B$3:$B$1479,MATCH(ROWS($AD$3:AD415),$AD$3:$AD$1479,0)),"")</f>
        <v/>
      </c>
    </row>
    <row r="416" spans="1:31" ht="15.75" x14ac:dyDescent="0.25">
      <c r="A416" t="str">
        <f t="shared" si="80"/>
        <v>Jayson Megna - COL - AD</v>
      </c>
      <c r="B416" t="str">
        <f t="shared" si="81"/>
        <v>Jayson Megna - COL - AD</v>
      </c>
      <c r="C416" t="str">
        <f t="shared" si="72"/>
        <v>Jayson</v>
      </c>
      <c r="D416" t="str">
        <f t="shared" si="73"/>
        <v>Megna</v>
      </c>
      <c r="E416" s="39" t="s">
        <v>1883</v>
      </c>
      <c r="F416" s="30" t="s">
        <v>15</v>
      </c>
      <c r="G416" s="35">
        <v>0</v>
      </c>
      <c r="H416" s="9" t="s">
        <v>2438</v>
      </c>
      <c r="I416" s="9" t="s">
        <v>2446</v>
      </c>
      <c r="J416" s="9">
        <v>29</v>
      </c>
      <c r="K416" s="35">
        <f>VALUE(COUNTIF(Validation!$A$2:$H$47,E416))</f>
        <v>0</v>
      </c>
      <c r="L416" s="361">
        <f t="shared" si="74"/>
        <v>700000</v>
      </c>
      <c r="M416" s="361">
        <f t="shared" si="75"/>
        <v>0</v>
      </c>
      <c r="N416" s="358">
        <v>700000</v>
      </c>
      <c r="O416" s="358" t="s">
        <v>7</v>
      </c>
      <c r="P416" s="358">
        <v>0</v>
      </c>
      <c r="Q416" s="358">
        <v>0</v>
      </c>
      <c r="R416" s="358">
        <v>0</v>
      </c>
      <c r="S416" s="358">
        <v>0</v>
      </c>
      <c r="T416" s="358">
        <v>0</v>
      </c>
      <c r="U416" s="35">
        <f t="shared" si="76"/>
        <v>1</v>
      </c>
      <c r="W416">
        <f t="shared" si="77"/>
        <v>1</v>
      </c>
      <c r="X416" s="35">
        <f t="shared" si="78"/>
        <v>0</v>
      </c>
      <c r="Y416">
        <f t="shared" si="79"/>
        <v>0</v>
      </c>
      <c r="AB416">
        <f t="shared" si="82"/>
        <v>1</v>
      </c>
      <c r="AC416">
        <f t="shared" ca="1" si="83"/>
        <v>0</v>
      </c>
      <c r="AD416" t="str">
        <f ca="1">IF(AC416=1,COUNTIF($AC$3:AC416,1),"")</f>
        <v/>
      </c>
      <c r="AE416" s="155" t="str">
        <f ca="1">IFERROR(INDEX(Données!$B$3:$B$1479,MATCH(ROWS($AD$3:AD416),$AD$3:$AD$1479,0)),"")</f>
        <v/>
      </c>
    </row>
    <row r="417" spans="1:31" ht="15.75" x14ac:dyDescent="0.25">
      <c r="A417" t="str">
        <f t="shared" si="80"/>
        <v>Daniel Renouf - COL - D</v>
      </c>
      <c r="B417" t="str">
        <f t="shared" si="81"/>
        <v>Daniel Renouf - COL - D</v>
      </c>
      <c r="C417" t="str">
        <f t="shared" si="72"/>
        <v>Daniel</v>
      </c>
      <c r="D417" t="str">
        <f t="shared" si="73"/>
        <v>Renouf</v>
      </c>
      <c r="E417" s="39" t="s">
        <v>1652</v>
      </c>
      <c r="F417" s="30" t="s">
        <v>15</v>
      </c>
      <c r="G417" s="35">
        <v>0</v>
      </c>
      <c r="H417" s="35" t="s">
        <v>82</v>
      </c>
      <c r="I417" s="35" t="s">
        <v>2446</v>
      </c>
      <c r="J417" s="35">
        <v>25</v>
      </c>
      <c r="K417" s="35">
        <f>VALUE(COUNTIF(Validation!$A$2:$H$47,E417))</f>
        <v>0</v>
      </c>
      <c r="L417" s="361">
        <f t="shared" si="74"/>
        <v>700000</v>
      </c>
      <c r="M417" s="361">
        <f t="shared" si="75"/>
        <v>700000</v>
      </c>
      <c r="N417" s="358">
        <v>700000</v>
      </c>
      <c r="O417" s="358">
        <v>700000</v>
      </c>
      <c r="P417" s="358" t="s">
        <v>7</v>
      </c>
      <c r="Q417" s="358">
        <v>0</v>
      </c>
      <c r="R417" s="358">
        <v>0</v>
      </c>
      <c r="S417" s="358">
        <v>0</v>
      </c>
      <c r="T417" s="358">
        <v>0</v>
      </c>
      <c r="U417" s="35">
        <f t="shared" si="76"/>
        <v>2</v>
      </c>
      <c r="W417">
        <f t="shared" si="77"/>
        <v>1</v>
      </c>
      <c r="X417" s="35">
        <f t="shared" si="78"/>
        <v>0</v>
      </c>
      <c r="Y417">
        <f t="shared" si="79"/>
        <v>1</v>
      </c>
      <c r="AB417">
        <f t="shared" si="82"/>
        <v>1</v>
      </c>
      <c r="AC417">
        <f t="shared" ca="1" si="83"/>
        <v>0</v>
      </c>
      <c r="AD417" t="str">
        <f ca="1">IF(AC417=1,COUNTIF($AC$3:AC417,1),"")</f>
        <v/>
      </c>
      <c r="AE417" s="155" t="str">
        <f ca="1">IFERROR(INDEX(Données!$B$3:$B$1479,MATCH(ROWS($AD$3:AD417),$AD$3:$AD$1479,0)),"")</f>
        <v/>
      </c>
    </row>
    <row r="418" spans="1:31" ht="15.75" x14ac:dyDescent="0.25">
      <c r="A418" t="str">
        <f t="shared" si="80"/>
        <v>T.J. Tynan - COL - C</v>
      </c>
      <c r="B418" t="str">
        <f t="shared" si="81"/>
        <v>T.J. Tynan - COL - C</v>
      </c>
      <c r="C418" t="str">
        <f t="shared" si="72"/>
        <v>T.J.</v>
      </c>
      <c r="D418" t="str">
        <f t="shared" si="73"/>
        <v>Tynan</v>
      </c>
      <c r="E418" s="39" t="s">
        <v>2400</v>
      </c>
      <c r="F418" s="30" t="s">
        <v>15</v>
      </c>
      <c r="G418" s="35">
        <v>0</v>
      </c>
      <c r="H418" s="35" t="s">
        <v>73</v>
      </c>
      <c r="I418" s="35" t="s">
        <v>2446</v>
      </c>
      <c r="J418" s="35">
        <v>27</v>
      </c>
      <c r="K418" s="35">
        <f>VALUE(COUNTIF(Validation!$A$2:$H$47,E418))</f>
        <v>0</v>
      </c>
      <c r="L418" s="361">
        <f t="shared" si="74"/>
        <v>700000</v>
      </c>
      <c r="M418" s="361">
        <f t="shared" si="75"/>
        <v>0</v>
      </c>
      <c r="N418" s="358">
        <v>700000</v>
      </c>
      <c r="O418" s="358" t="s">
        <v>7</v>
      </c>
      <c r="P418" s="358">
        <v>0</v>
      </c>
      <c r="Q418" s="358">
        <v>0</v>
      </c>
      <c r="R418" s="358">
        <v>0</v>
      </c>
      <c r="S418" s="358">
        <v>0</v>
      </c>
      <c r="T418" s="358">
        <v>0</v>
      </c>
      <c r="U418" s="35">
        <f t="shared" si="76"/>
        <v>1</v>
      </c>
      <c r="W418">
        <f t="shared" si="77"/>
        <v>1</v>
      </c>
      <c r="X418" s="35">
        <f t="shared" si="78"/>
        <v>0</v>
      </c>
      <c r="Y418">
        <f t="shared" si="79"/>
        <v>0</v>
      </c>
      <c r="AB418">
        <f t="shared" si="82"/>
        <v>1</v>
      </c>
      <c r="AC418">
        <f t="shared" ca="1" si="83"/>
        <v>0</v>
      </c>
      <c r="AD418" t="str">
        <f ca="1">IF(AC418=1,COUNTIF($AC$3:AC418,1),"")</f>
        <v/>
      </c>
      <c r="AE418" s="155" t="str">
        <f ca="1">IFERROR(INDEX(Données!$B$3:$B$1479,MATCH(ROWS($AD$3:AD418),$AD$3:$AD$1479,0)),"")</f>
        <v/>
      </c>
    </row>
    <row r="419" spans="1:31" ht="15.75" x14ac:dyDescent="0.25">
      <c r="A419" t="str">
        <f t="shared" si="80"/>
        <v>Mikko Rantanen - COL - AD</v>
      </c>
      <c r="B419" t="str">
        <f t="shared" si="81"/>
        <v>Mikko Rantanen - COL - AD</v>
      </c>
      <c r="C419" t="str">
        <f t="shared" si="72"/>
        <v>Mikko</v>
      </c>
      <c r="D419" t="str">
        <f t="shared" si="73"/>
        <v>Rantanen</v>
      </c>
      <c r="E419" s="39" t="s">
        <v>1922</v>
      </c>
      <c r="F419" s="30" t="s">
        <v>15</v>
      </c>
      <c r="G419" s="35">
        <v>0</v>
      </c>
      <c r="H419" s="35" t="s">
        <v>2438</v>
      </c>
      <c r="I419" s="35" t="s">
        <v>2439</v>
      </c>
      <c r="J419" s="35">
        <v>22</v>
      </c>
      <c r="K419" s="35">
        <f>VALUE(COUNTIF(Validation!$A$2:$H$47,E419))</f>
        <v>0</v>
      </c>
      <c r="L419" s="361">
        <f t="shared" si="74"/>
        <v>0</v>
      </c>
      <c r="M419" s="361">
        <f t="shared" si="75"/>
        <v>0</v>
      </c>
      <c r="N419" s="358" t="s">
        <v>8</v>
      </c>
      <c r="O419" s="358">
        <v>0</v>
      </c>
      <c r="P419" s="358">
        <v>0</v>
      </c>
      <c r="Q419" s="358">
        <v>0</v>
      </c>
      <c r="R419" s="358">
        <v>0</v>
      </c>
      <c r="S419" s="358">
        <v>0</v>
      </c>
      <c r="T419" s="358">
        <v>0</v>
      </c>
      <c r="U419" s="35">
        <f t="shared" si="76"/>
        <v>0</v>
      </c>
      <c r="W419">
        <f t="shared" si="77"/>
        <v>1</v>
      </c>
      <c r="X419" s="35">
        <f t="shared" si="78"/>
        <v>0</v>
      </c>
      <c r="Y419">
        <f t="shared" si="79"/>
        <v>1</v>
      </c>
      <c r="AB419">
        <f t="shared" si="82"/>
        <v>1</v>
      </c>
      <c r="AC419">
        <f t="shared" ca="1" si="83"/>
        <v>0</v>
      </c>
      <c r="AD419" t="str">
        <f ca="1">IF(AC419=1,COUNTIF($AC$3:AC419,1),"")</f>
        <v/>
      </c>
      <c r="AE419" s="155" t="str">
        <f ca="1">IFERROR(INDEX(Données!$B$3:$B$1479,MATCH(ROWS($AD$3:AD419),$AD$3:$AD$1479,0)),"")</f>
        <v/>
      </c>
    </row>
    <row r="420" spans="1:31" ht="15.75" x14ac:dyDescent="0.25">
      <c r="A420" t="str">
        <f t="shared" si="80"/>
        <v>Tyler Seguin - DAL - C, RW</v>
      </c>
      <c r="B420" t="str">
        <f t="shared" si="81"/>
        <v>Tyler Seguin - DAL - C, RW</v>
      </c>
      <c r="C420" t="str">
        <f t="shared" si="72"/>
        <v>Tyler</v>
      </c>
      <c r="D420" t="str">
        <f t="shared" si="73"/>
        <v>Seguin</v>
      </c>
      <c r="E420" s="39" t="s">
        <v>2999</v>
      </c>
      <c r="F420" s="30" t="s">
        <v>16</v>
      </c>
      <c r="G420" s="35" t="s">
        <v>420</v>
      </c>
      <c r="H420" s="35" t="s">
        <v>2684</v>
      </c>
      <c r="I420" s="35" t="s">
        <v>2677</v>
      </c>
      <c r="J420" s="35">
        <v>27</v>
      </c>
      <c r="K420" s="35">
        <f>VALUE(COUNTIF(Validation!$A$2:$H$47,E420))</f>
        <v>0</v>
      </c>
      <c r="L420" s="361">
        <f t="shared" si="74"/>
        <v>9850000</v>
      </c>
      <c r="M420" s="361">
        <f t="shared" si="75"/>
        <v>9850000</v>
      </c>
      <c r="N420" s="358">
        <v>9850000</v>
      </c>
      <c r="O420" s="358">
        <v>9850000</v>
      </c>
      <c r="P420" s="358">
        <v>9850000</v>
      </c>
      <c r="Q420" s="358">
        <v>9850000</v>
      </c>
      <c r="R420" s="358">
        <v>9850000</v>
      </c>
      <c r="S420" s="358">
        <v>9850000</v>
      </c>
      <c r="T420" s="358">
        <v>9850000</v>
      </c>
      <c r="U420" s="35">
        <f t="shared" si="76"/>
        <v>7</v>
      </c>
      <c r="W420">
        <f t="shared" si="77"/>
        <v>1</v>
      </c>
      <c r="X420" s="35">
        <f t="shared" si="78"/>
        <v>0</v>
      </c>
      <c r="Y420">
        <f t="shared" si="79"/>
        <v>1</v>
      </c>
      <c r="AB420">
        <f t="shared" si="82"/>
        <v>1</v>
      </c>
      <c r="AC420">
        <f t="shared" ca="1" si="83"/>
        <v>0</v>
      </c>
      <c r="AD420" t="str">
        <f ca="1">IF(AC420=1,COUNTIF($AC$3:AC420,1),"")</f>
        <v/>
      </c>
      <c r="AE420" s="155" t="str">
        <f ca="1">IFERROR(INDEX(Données!$B$3:$B$1479,MATCH(ROWS($AD$3:AD420),$AD$3:$AD$1479,0)),"")</f>
        <v/>
      </c>
    </row>
    <row r="421" spans="1:31" ht="15.75" x14ac:dyDescent="0.25">
      <c r="A421" t="str">
        <f t="shared" si="80"/>
        <v>Jamie Benn - DAL - LW</v>
      </c>
      <c r="B421" t="str">
        <f t="shared" si="81"/>
        <v>Jamie Benn - DAL - LW</v>
      </c>
      <c r="C421" t="str">
        <f t="shared" si="72"/>
        <v>Jamie</v>
      </c>
      <c r="D421" t="str">
        <f t="shared" si="73"/>
        <v>Benn</v>
      </c>
      <c r="E421" s="39" t="s">
        <v>2942</v>
      </c>
      <c r="F421" s="30" t="s">
        <v>16</v>
      </c>
      <c r="G421" s="35" t="s">
        <v>420</v>
      </c>
      <c r="H421" s="35" t="s">
        <v>93</v>
      </c>
      <c r="I421" s="35" t="s">
        <v>2677</v>
      </c>
      <c r="J421" s="35">
        <v>30</v>
      </c>
      <c r="K421" s="35">
        <f>VALUE(COUNTIF(Validation!$A$2:$H$47,E421))</f>
        <v>0</v>
      </c>
      <c r="L421" s="361">
        <f t="shared" si="74"/>
        <v>9500000</v>
      </c>
      <c r="M421" s="361">
        <f t="shared" si="75"/>
        <v>9500000</v>
      </c>
      <c r="N421" s="358">
        <v>9500000</v>
      </c>
      <c r="O421" s="358">
        <v>9500000</v>
      </c>
      <c r="P421" s="358">
        <v>9500000</v>
      </c>
      <c r="Q421" s="358">
        <v>9500000</v>
      </c>
      <c r="R421" s="358">
        <v>9500000</v>
      </c>
      <c r="S421" s="358">
        <v>9500000</v>
      </c>
      <c r="T421" s="358" t="s">
        <v>7</v>
      </c>
      <c r="U421" s="35">
        <f t="shared" si="76"/>
        <v>6</v>
      </c>
      <c r="W421">
        <f t="shared" si="77"/>
        <v>1</v>
      </c>
      <c r="X421" s="35">
        <f t="shared" si="78"/>
        <v>0</v>
      </c>
      <c r="Y421">
        <f t="shared" si="79"/>
        <v>1</v>
      </c>
      <c r="AB421">
        <f t="shared" si="82"/>
        <v>1</v>
      </c>
      <c r="AC421">
        <f t="shared" ca="1" si="83"/>
        <v>0</v>
      </c>
      <c r="AD421" t="str">
        <f ca="1">IF(AC421=1,COUNTIF($AC$3:AC421,1),"")</f>
        <v/>
      </c>
      <c r="AE421" s="155" t="str">
        <f ca="1">IFERROR(INDEX(Données!$B$3:$B$1479,MATCH(ROWS($AD$3:AD421),$AD$3:$AD$1479,0)),"")</f>
        <v/>
      </c>
    </row>
    <row r="422" spans="1:31" ht="15.75" x14ac:dyDescent="0.25">
      <c r="A422" t="str">
        <f t="shared" si="80"/>
        <v>Joe Pavelski - DAL - RW, C</v>
      </c>
      <c r="B422" t="str">
        <f t="shared" si="81"/>
        <v>Joe Pavelski - DAL - RW, C</v>
      </c>
      <c r="C422" t="str">
        <f t="shared" si="72"/>
        <v>Joe</v>
      </c>
      <c r="D422" t="str">
        <f t="shared" si="73"/>
        <v>Pavelski</v>
      </c>
      <c r="E422" s="39" t="s">
        <v>2482</v>
      </c>
      <c r="F422" s="30" t="s">
        <v>16</v>
      </c>
      <c r="G422" s="35" t="s">
        <v>420</v>
      </c>
      <c r="H422" s="9" t="s">
        <v>2678</v>
      </c>
      <c r="I422" s="9" t="s">
        <v>2677</v>
      </c>
      <c r="J422" s="9">
        <v>35</v>
      </c>
      <c r="K422" s="35">
        <f>VALUE(COUNTIF(Validation!$A$2:$H$47,E422))</f>
        <v>0</v>
      </c>
      <c r="L422" s="361">
        <f t="shared" si="74"/>
        <v>7000000</v>
      </c>
      <c r="M422" s="361">
        <f t="shared" si="75"/>
        <v>7000000</v>
      </c>
      <c r="N422" s="358">
        <v>7000000</v>
      </c>
      <c r="O422" s="358">
        <v>7000000</v>
      </c>
      <c r="P422" s="358">
        <v>7000000</v>
      </c>
      <c r="Q422" s="358" t="s">
        <v>7</v>
      </c>
      <c r="R422" s="358">
        <v>0</v>
      </c>
      <c r="S422" s="358">
        <v>0</v>
      </c>
      <c r="T422" s="358">
        <v>0</v>
      </c>
      <c r="U422" s="35">
        <f t="shared" si="76"/>
        <v>3</v>
      </c>
      <c r="W422">
        <f t="shared" si="77"/>
        <v>1</v>
      </c>
      <c r="X422" s="35">
        <f t="shared" si="78"/>
        <v>0</v>
      </c>
      <c r="Y422">
        <f t="shared" si="79"/>
        <v>1</v>
      </c>
      <c r="AB422">
        <f t="shared" si="82"/>
        <v>1</v>
      </c>
      <c r="AC422">
        <f t="shared" ca="1" si="83"/>
        <v>0</v>
      </c>
      <c r="AD422" t="str">
        <f ca="1">IF(AC422=1,COUNTIF($AC$3:AC422,1),"")</f>
        <v/>
      </c>
      <c r="AE422" s="155" t="str">
        <f ca="1">IFERROR(INDEX(Données!$B$3:$B$1479,MATCH(ROWS($AD$3:AD422),$AD$3:$AD$1479,0)),"")</f>
        <v/>
      </c>
    </row>
    <row r="423" spans="1:31" ht="15.75" x14ac:dyDescent="0.25">
      <c r="A423" t="str">
        <f t="shared" si="80"/>
        <v>Alexander Radulov - DAL - RW</v>
      </c>
      <c r="B423" t="str">
        <f t="shared" si="81"/>
        <v>Alexander Radulov - DAL - RW</v>
      </c>
      <c r="C423" t="str">
        <f t="shared" si="72"/>
        <v>Alexander</v>
      </c>
      <c r="D423" t="str">
        <f t="shared" si="73"/>
        <v>Radulov</v>
      </c>
      <c r="E423" s="39" t="s">
        <v>2995</v>
      </c>
      <c r="F423" s="30" t="s">
        <v>16</v>
      </c>
      <c r="G423" s="35" t="s">
        <v>420</v>
      </c>
      <c r="H423" s="35" t="s">
        <v>88</v>
      </c>
      <c r="I423" s="35" t="s">
        <v>2677</v>
      </c>
      <c r="J423" s="35">
        <v>33</v>
      </c>
      <c r="K423" s="35">
        <f>VALUE(COUNTIF(Validation!$A$2:$H$47,E423))</f>
        <v>0</v>
      </c>
      <c r="L423" s="361">
        <f t="shared" si="74"/>
        <v>6250000</v>
      </c>
      <c r="M423" s="361">
        <f t="shared" si="75"/>
        <v>6250000</v>
      </c>
      <c r="N423" s="358">
        <v>6250000</v>
      </c>
      <c r="O423" s="358">
        <v>6250000</v>
      </c>
      <c r="P423" s="358">
        <v>6250000</v>
      </c>
      <c r="Q423" s="358" t="s">
        <v>7</v>
      </c>
      <c r="R423" s="358">
        <v>0</v>
      </c>
      <c r="S423" s="358">
        <v>0</v>
      </c>
      <c r="T423" s="358">
        <v>0</v>
      </c>
      <c r="U423" s="35">
        <f t="shared" si="76"/>
        <v>3</v>
      </c>
      <c r="W423">
        <f t="shared" si="77"/>
        <v>1</v>
      </c>
      <c r="X423" s="35">
        <f t="shared" si="78"/>
        <v>0</v>
      </c>
      <c r="Y423">
        <f t="shared" si="79"/>
        <v>1</v>
      </c>
      <c r="AB423">
        <f t="shared" si="82"/>
        <v>1</v>
      </c>
      <c r="AC423">
        <f t="shared" ca="1" si="83"/>
        <v>0</v>
      </c>
      <c r="AD423" t="str">
        <f ca="1">IF(AC423=1,COUNTIF($AC$3:AC423,1),"")</f>
        <v/>
      </c>
      <c r="AE423" s="155" t="str">
        <f ca="1">IFERROR(INDEX(Données!$B$3:$B$1479,MATCH(ROWS($AD$3:AD423),$AD$3:$AD$1479,0)),"")</f>
        <v/>
      </c>
    </row>
    <row r="424" spans="1:31" ht="15.75" x14ac:dyDescent="0.25">
      <c r="A424" t="str">
        <f t="shared" si="80"/>
        <v>Esa Lindell - DAL - LD</v>
      </c>
      <c r="B424" t="str">
        <f t="shared" si="81"/>
        <v>Esa Lindell - DAL - LD</v>
      </c>
      <c r="C424" t="str">
        <f t="shared" si="72"/>
        <v>Esa</v>
      </c>
      <c r="D424" t="str">
        <f t="shared" si="73"/>
        <v>Lindell</v>
      </c>
      <c r="E424" s="39" t="s">
        <v>1959</v>
      </c>
      <c r="F424" s="30" t="s">
        <v>16</v>
      </c>
      <c r="G424" s="35">
        <v>0</v>
      </c>
      <c r="H424" s="35" t="s">
        <v>380</v>
      </c>
      <c r="I424" s="35" t="s">
        <v>2677</v>
      </c>
      <c r="J424" s="35">
        <v>25</v>
      </c>
      <c r="K424" s="35">
        <f>VALUE(COUNTIF(Validation!$A$2:$H$47,E424))</f>
        <v>0</v>
      </c>
      <c r="L424" s="361">
        <f t="shared" si="74"/>
        <v>5800000</v>
      </c>
      <c r="M424" s="361">
        <f t="shared" si="75"/>
        <v>5800000</v>
      </c>
      <c r="N424" s="358">
        <v>5800000</v>
      </c>
      <c r="O424" s="358">
        <v>5800000</v>
      </c>
      <c r="P424" s="358">
        <v>5800000</v>
      </c>
      <c r="Q424" s="358">
        <v>5800000</v>
      </c>
      <c r="R424" s="358">
        <v>5800000</v>
      </c>
      <c r="S424" s="358">
        <v>5800000</v>
      </c>
      <c r="T424" s="358" t="s">
        <v>7</v>
      </c>
      <c r="U424" s="35">
        <f t="shared" si="76"/>
        <v>6</v>
      </c>
      <c r="W424">
        <f t="shared" si="77"/>
        <v>1</v>
      </c>
      <c r="X424" s="35">
        <f t="shared" si="78"/>
        <v>0</v>
      </c>
      <c r="Y424">
        <f t="shared" si="79"/>
        <v>1</v>
      </c>
      <c r="AB424">
        <f t="shared" si="82"/>
        <v>1</v>
      </c>
      <c r="AC424">
        <f t="shared" ca="1" si="83"/>
        <v>0</v>
      </c>
      <c r="AD424" t="str">
        <f ca="1">IF(AC424=1,COUNTIF($AC$3:AC424,1),"")</f>
        <v/>
      </c>
      <c r="AE424" s="155" t="str">
        <f ca="1">IFERROR(INDEX(Données!$B$3:$B$1479,MATCH(ROWS($AD$3:AD424),$AD$3:$AD$1479,0)),"")</f>
        <v/>
      </c>
    </row>
    <row r="425" spans="1:31" ht="15.75" x14ac:dyDescent="0.25">
      <c r="A425" t="str">
        <f t="shared" si="80"/>
        <v>Ben Bishop - DAL - G</v>
      </c>
      <c r="B425" t="str">
        <f t="shared" si="81"/>
        <v>Ben Bishop - DAL - G</v>
      </c>
      <c r="C425" t="str">
        <f t="shared" si="72"/>
        <v>Ben</v>
      </c>
      <c r="D425" t="str">
        <f t="shared" si="73"/>
        <v>Bishop</v>
      </c>
      <c r="E425" s="39" t="s">
        <v>1962</v>
      </c>
      <c r="F425" s="30" t="s">
        <v>16</v>
      </c>
      <c r="G425" s="35" t="s">
        <v>420</v>
      </c>
      <c r="H425" s="35" t="s">
        <v>127</v>
      </c>
      <c r="I425" s="35" t="s">
        <v>2677</v>
      </c>
      <c r="J425" s="35">
        <v>32</v>
      </c>
      <c r="K425" s="35">
        <f>VALUE(COUNTIF(Validation!$A$2:$H$47,E425))</f>
        <v>0</v>
      </c>
      <c r="L425" s="361">
        <f t="shared" si="74"/>
        <v>4916666</v>
      </c>
      <c r="M425" s="361">
        <f t="shared" si="75"/>
        <v>4916666</v>
      </c>
      <c r="N425" s="358">
        <v>4916666</v>
      </c>
      <c r="O425" s="358">
        <v>4916666</v>
      </c>
      <c r="P425" s="358">
        <v>4916666</v>
      </c>
      <c r="Q425" s="358">
        <v>4916666</v>
      </c>
      <c r="R425" s="358" t="s">
        <v>7</v>
      </c>
      <c r="S425" s="358">
        <v>0</v>
      </c>
      <c r="T425" s="358">
        <v>0</v>
      </c>
      <c r="U425" s="35">
        <f t="shared" si="76"/>
        <v>4</v>
      </c>
      <c r="W425">
        <f t="shared" si="77"/>
        <v>1</v>
      </c>
      <c r="X425" s="35">
        <f t="shared" si="78"/>
        <v>0</v>
      </c>
      <c r="Y425">
        <f t="shared" si="79"/>
        <v>1</v>
      </c>
      <c r="AB425">
        <f t="shared" si="82"/>
        <v>1</v>
      </c>
      <c r="AC425">
        <f t="shared" ca="1" si="83"/>
        <v>0</v>
      </c>
      <c r="AD425" t="str">
        <f ca="1">IF(AC425=1,COUNTIF($AC$3:AC425,1),"")</f>
        <v/>
      </c>
      <c r="AE425" s="155" t="str">
        <f ca="1">IFERROR(INDEX(Données!$B$3:$B$1479,MATCH(ROWS($AD$3:AD425),$AD$3:$AD$1479,0)),"")</f>
        <v/>
      </c>
    </row>
    <row r="426" spans="1:31" ht="15.75" x14ac:dyDescent="0.25">
      <c r="A426" t="str">
        <f t="shared" si="80"/>
        <v>Martin Hanzal - DAL - C</v>
      </c>
      <c r="B426" t="str">
        <f t="shared" si="81"/>
        <v>Martin Hanzal - DAL - C</v>
      </c>
      <c r="C426" t="str">
        <f t="shared" si="72"/>
        <v>Martin</v>
      </c>
      <c r="D426" t="str">
        <f t="shared" si="73"/>
        <v>Hanzal</v>
      </c>
      <c r="E426" s="39" t="s">
        <v>1951</v>
      </c>
      <c r="F426" s="30" t="s">
        <v>16</v>
      </c>
      <c r="G426" s="35" t="s">
        <v>381</v>
      </c>
      <c r="H426" s="35" t="s">
        <v>73</v>
      </c>
      <c r="I426" s="35" t="s">
        <v>2677</v>
      </c>
      <c r="J426" s="35">
        <v>32</v>
      </c>
      <c r="K426" s="35">
        <f>VALUE(COUNTIF(Validation!$A$2:$H$47,E426))</f>
        <v>0</v>
      </c>
      <c r="L426" s="361">
        <f t="shared" si="74"/>
        <v>4750000</v>
      </c>
      <c r="M426" s="361">
        <f t="shared" si="75"/>
        <v>0</v>
      </c>
      <c r="N426" s="358">
        <v>4750000</v>
      </c>
      <c r="O426" s="358" t="s">
        <v>7</v>
      </c>
      <c r="P426" s="358">
        <v>0</v>
      </c>
      <c r="Q426" s="358">
        <v>0</v>
      </c>
      <c r="R426" s="358">
        <v>0</v>
      </c>
      <c r="S426" s="358">
        <v>0</v>
      </c>
      <c r="T426" s="358">
        <v>0</v>
      </c>
      <c r="U426" s="35">
        <f t="shared" si="76"/>
        <v>1</v>
      </c>
      <c r="W426">
        <f t="shared" si="77"/>
        <v>1</v>
      </c>
      <c r="X426" s="35">
        <f t="shared" si="78"/>
        <v>0</v>
      </c>
      <c r="Y426">
        <f t="shared" si="79"/>
        <v>0</v>
      </c>
      <c r="AB426">
        <f t="shared" si="82"/>
        <v>1</v>
      </c>
      <c r="AC426">
        <f t="shared" ca="1" si="83"/>
        <v>0</v>
      </c>
      <c r="AD426" t="str">
        <f ca="1">IF(AC426=1,COUNTIF($AC$3:AC426,1),"")</f>
        <v/>
      </c>
      <c r="AE426" s="155" t="str">
        <f ca="1">IFERROR(INDEX(Données!$B$3:$B$1479,MATCH(ROWS($AD$3:AD426),$AD$3:$AD$1479,0)),"")</f>
        <v/>
      </c>
    </row>
    <row r="427" spans="1:31" ht="15.75" x14ac:dyDescent="0.25">
      <c r="A427" t="str">
        <f t="shared" si="80"/>
        <v>John Klingberg - DAL - RD</v>
      </c>
      <c r="B427" t="str">
        <f t="shared" si="81"/>
        <v>John Klingberg - DAL - RD</v>
      </c>
      <c r="C427" t="str">
        <f t="shared" si="72"/>
        <v>John</v>
      </c>
      <c r="D427" t="str">
        <f t="shared" si="73"/>
        <v>Klingberg</v>
      </c>
      <c r="E427" s="39" t="s">
        <v>2916</v>
      </c>
      <c r="F427" s="30" t="s">
        <v>16</v>
      </c>
      <c r="G427" s="35">
        <v>0</v>
      </c>
      <c r="H427" s="35" t="s">
        <v>379</v>
      </c>
      <c r="I427" s="35" t="s">
        <v>2677</v>
      </c>
      <c r="J427" s="35">
        <v>26</v>
      </c>
      <c r="K427" s="35">
        <f>VALUE(COUNTIF(Validation!$A$2:$H$47,E427))</f>
        <v>0</v>
      </c>
      <c r="L427" s="361">
        <f t="shared" si="74"/>
        <v>4250000</v>
      </c>
      <c r="M427" s="361">
        <f t="shared" si="75"/>
        <v>4250000</v>
      </c>
      <c r="N427" s="358">
        <v>4250000</v>
      </c>
      <c r="O427" s="358">
        <v>4250000</v>
      </c>
      <c r="P427" s="358">
        <v>4250000</v>
      </c>
      <c r="Q427" s="362" t="s">
        <v>7</v>
      </c>
      <c r="R427" s="358">
        <v>0</v>
      </c>
      <c r="S427" s="358">
        <v>0</v>
      </c>
      <c r="T427" s="358">
        <v>0</v>
      </c>
      <c r="U427" s="35">
        <f t="shared" si="76"/>
        <v>3</v>
      </c>
      <c r="W427">
        <f t="shared" si="77"/>
        <v>1</v>
      </c>
      <c r="X427" s="35">
        <f t="shared" si="78"/>
        <v>0</v>
      </c>
      <c r="Y427">
        <f t="shared" si="79"/>
        <v>1</v>
      </c>
      <c r="AB427">
        <f t="shared" si="82"/>
        <v>1</v>
      </c>
      <c r="AC427">
        <f t="shared" ca="1" si="83"/>
        <v>0</v>
      </c>
      <c r="AD427" t="str">
        <f ca="1">IF(AC427=1,COUNTIF($AC$3:AC427,1),"")</f>
        <v/>
      </c>
      <c r="AE427" s="155" t="str">
        <f ca="1">IFERROR(INDEX(Données!$B$3:$B$1479,MATCH(ROWS($AD$3:AD427),$AD$3:$AD$1479,0)),"")</f>
        <v/>
      </c>
    </row>
    <row r="428" spans="1:31" ht="15.75" x14ac:dyDescent="0.25">
      <c r="A428" t="str">
        <f t="shared" si="80"/>
        <v>Miro Heiskanen - DAL - LD</v>
      </c>
      <c r="B428" t="str">
        <f t="shared" si="81"/>
        <v>Miro Heiskanen - DAL - LD</v>
      </c>
      <c r="C428" t="str">
        <f t="shared" si="72"/>
        <v>Miro</v>
      </c>
      <c r="D428" t="str">
        <f t="shared" si="73"/>
        <v>Heiskanen</v>
      </c>
      <c r="E428" s="39" t="s">
        <v>1966</v>
      </c>
      <c r="F428" s="30" t="s">
        <v>16</v>
      </c>
      <c r="G428" s="35" t="s">
        <v>386</v>
      </c>
      <c r="H428" s="35" t="s">
        <v>380</v>
      </c>
      <c r="I428" s="35" t="s">
        <v>2677</v>
      </c>
      <c r="J428" s="35">
        <v>20</v>
      </c>
      <c r="K428" s="35">
        <f>VALUE(COUNTIF(Validation!$A$2:$H$47,E428))</f>
        <v>0</v>
      </c>
      <c r="L428" s="361">
        <f t="shared" si="74"/>
        <v>3394166</v>
      </c>
      <c r="M428" s="361">
        <f t="shared" si="75"/>
        <v>3394166</v>
      </c>
      <c r="N428" s="358">
        <v>3394166</v>
      </c>
      <c r="O428" s="358">
        <v>3394166</v>
      </c>
      <c r="P428" s="358" t="s">
        <v>8</v>
      </c>
      <c r="Q428" s="358">
        <v>0</v>
      </c>
      <c r="R428" s="358">
        <v>0</v>
      </c>
      <c r="S428" s="358">
        <v>0</v>
      </c>
      <c r="T428" s="358">
        <v>0</v>
      </c>
      <c r="U428" s="35">
        <f t="shared" si="76"/>
        <v>2</v>
      </c>
      <c r="W428">
        <f t="shared" si="77"/>
        <v>1</v>
      </c>
      <c r="X428" s="35">
        <f t="shared" si="78"/>
        <v>1</v>
      </c>
      <c r="Y428">
        <f t="shared" si="79"/>
        <v>1</v>
      </c>
      <c r="AB428">
        <f t="shared" si="82"/>
        <v>1</v>
      </c>
      <c r="AC428">
        <f t="shared" ca="1" si="83"/>
        <v>0</v>
      </c>
      <c r="AD428" t="str">
        <f ca="1">IF(AC428=1,COUNTIF($AC$3:AC428,1),"")</f>
        <v/>
      </c>
      <c r="AE428" s="155" t="str">
        <f ca="1">IFERROR(INDEX(Données!$B$3:$B$1479,MATCH(ROWS($AD$3:AD428),$AD$3:$AD$1479,0)),"")</f>
        <v/>
      </c>
    </row>
    <row r="429" spans="1:31" ht="15.75" x14ac:dyDescent="0.25">
      <c r="A429" t="str">
        <f t="shared" si="80"/>
        <v>Andrew Cogliano - DAL - LW, RW, C</v>
      </c>
      <c r="B429" t="str">
        <f t="shared" si="81"/>
        <v>Andrew Cogliano - DAL - LW, RW, C</v>
      </c>
      <c r="C429" t="str">
        <f t="shared" si="72"/>
        <v>Andrew</v>
      </c>
      <c r="D429" t="str">
        <f t="shared" si="73"/>
        <v>Cogliano</v>
      </c>
      <c r="E429" s="39" t="s">
        <v>2117</v>
      </c>
      <c r="F429" s="30" t="s">
        <v>16</v>
      </c>
      <c r="G429" s="35" t="s">
        <v>381</v>
      </c>
      <c r="H429" s="35" t="s">
        <v>2681</v>
      </c>
      <c r="I429" s="35" t="s">
        <v>2677</v>
      </c>
      <c r="J429" s="35">
        <v>32</v>
      </c>
      <c r="K429" s="35">
        <f>VALUE(COUNTIF(Validation!$A$2:$H$47,E429))</f>
        <v>0</v>
      </c>
      <c r="L429" s="361">
        <f t="shared" si="74"/>
        <v>3250000</v>
      </c>
      <c r="M429" s="361">
        <f t="shared" si="75"/>
        <v>3250000</v>
      </c>
      <c r="N429" s="358">
        <v>3250000</v>
      </c>
      <c r="O429" s="358">
        <v>3250000</v>
      </c>
      <c r="P429" s="358" t="s">
        <v>7</v>
      </c>
      <c r="Q429" s="358">
        <v>0</v>
      </c>
      <c r="R429" s="358">
        <v>0</v>
      </c>
      <c r="S429" s="358">
        <v>0</v>
      </c>
      <c r="T429" s="358">
        <v>0</v>
      </c>
      <c r="U429" s="35">
        <f t="shared" si="76"/>
        <v>2</v>
      </c>
      <c r="W429">
        <f t="shared" si="77"/>
        <v>1</v>
      </c>
      <c r="X429" s="35">
        <f t="shared" si="78"/>
        <v>0</v>
      </c>
      <c r="Y429">
        <f t="shared" si="79"/>
        <v>1</v>
      </c>
      <c r="AB429">
        <f t="shared" si="82"/>
        <v>1</v>
      </c>
      <c r="AC429">
        <f t="shared" ca="1" si="83"/>
        <v>0</v>
      </c>
      <c r="AD429" t="str">
        <f ca="1">IF(AC429=1,COUNTIF($AC$3:AC429,1),"")</f>
        <v/>
      </c>
      <c r="AE429" s="155" t="str">
        <f ca="1">IFERROR(INDEX(Données!$B$3:$B$1479,MATCH(ROWS($AD$3:AD429),$AD$3:$AD$1479,0)),"")</f>
        <v/>
      </c>
    </row>
    <row r="430" spans="1:31" ht="15.75" x14ac:dyDescent="0.25">
      <c r="A430" t="str">
        <f t="shared" si="80"/>
        <v>Corey Perry - DAL - RW</v>
      </c>
      <c r="B430" t="str">
        <f t="shared" si="81"/>
        <v>Corey Perry - DAL - RW</v>
      </c>
      <c r="C430" t="str">
        <f t="shared" si="72"/>
        <v>Corey</v>
      </c>
      <c r="D430" t="str">
        <f t="shared" si="73"/>
        <v>Perry</v>
      </c>
      <c r="E430" s="39" t="s">
        <v>2483</v>
      </c>
      <c r="F430" s="30" t="s">
        <v>16</v>
      </c>
      <c r="G430" s="35" t="s">
        <v>372</v>
      </c>
      <c r="H430" s="9" t="s">
        <v>88</v>
      </c>
      <c r="I430" s="9" t="s">
        <v>2677</v>
      </c>
      <c r="J430" s="9">
        <v>34</v>
      </c>
      <c r="K430" s="35">
        <f>VALUE(COUNTIF(Validation!$A$2:$H$47,E430))</f>
        <v>0</v>
      </c>
      <c r="L430" s="361">
        <f t="shared" si="74"/>
        <v>3250000</v>
      </c>
      <c r="M430" s="361">
        <f t="shared" si="75"/>
        <v>0</v>
      </c>
      <c r="N430" s="358">
        <v>3250000</v>
      </c>
      <c r="O430" s="358" t="s">
        <v>7</v>
      </c>
      <c r="P430" s="358">
        <v>0</v>
      </c>
      <c r="Q430" s="358">
        <v>0</v>
      </c>
      <c r="R430" s="358">
        <v>0</v>
      </c>
      <c r="S430" s="358">
        <v>0</v>
      </c>
      <c r="T430" s="358">
        <v>0</v>
      </c>
      <c r="U430" s="35">
        <f t="shared" si="76"/>
        <v>1</v>
      </c>
      <c r="W430">
        <f t="shared" si="77"/>
        <v>1</v>
      </c>
      <c r="X430" s="35">
        <f t="shared" si="78"/>
        <v>0</v>
      </c>
      <c r="Y430">
        <f t="shared" si="79"/>
        <v>0</v>
      </c>
      <c r="AB430">
        <f t="shared" si="82"/>
        <v>1</v>
      </c>
      <c r="AC430">
        <f t="shared" ca="1" si="83"/>
        <v>0</v>
      </c>
      <c r="AD430" t="str">
        <f ca="1">IF(AC430=1,COUNTIF($AC$3:AC430,1),"")</f>
        <v/>
      </c>
      <c r="AE430" s="155" t="str">
        <f ca="1">IFERROR(INDEX(Données!$B$3:$B$1479,MATCH(ROWS($AD$3:AD430),$AD$3:$AD$1479,0)),"")</f>
        <v/>
      </c>
    </row>
    <row r="431" spans="1:31" ht="15.75" x14ac:dyDescent="0.25">
      <c r="A431" t="str">
        <f t="shared" si="80"/>
        <v>Anton Khudobin - DAL - G</v>
      </c>
      <c r="B431" t="str">
        <f t="shared" si="81"/>
        <v>Anton Khudobin - DAL - G</v>
      </c>
      <c r="C431" t="str">
        <f t="shared" si="72"/>
        <v>Anton</v>
      </c>
      <c r="D431" t="str">
        <f t="shared" si="73"/>
        <v>Khudobin</v>
      </c>
      <c r="E431" s="39" t="s">
        <v>1963</v>
      </c>
      <c r="F431" s="30" t="s">
        <v>16</v>
      </c>
      <c r="G431" s="35">
        <v>0</v>
      </c>
      <c r="H431" s="35" t="s">
        <v>127</v>
      </c>
      <c r="I431" s="35" t="s">
        <v>2677</v>
      </c>
      <c r="J431" s="35">
        <v>33</v>
      </c>
      <c r="K431" s="35">
        <f>VALUE(COUNTIF(Validation!$A$2:$H$47,E431))</f>
        <v>0</v>
      </c>
      <c r="L431" s="361">
        <f t="shared" si="74"/>
        <v>2500000</v>
      </c>
      <c r="M431" s="361">
        <f t="shared" si="75"/>
        <v>0</v>
      </c>
      <c r="N431" s="358">
        <v>2500000</v>
      </c>
      <c r="O431" s="358" t="s">
        <v>7</v>
      </c>
      <c r="P431" s="358">
        <v>0</v>
      </c>
      <c r="Q431" s="358">
        <v>0</v>
      </c>
      <c r="R431" s="358">
        <v>0</v>
      </c>
      <c r="S431" s="358">
        <v>0</v>
      </c>
      <c r="T431" s="358">
        <v>0</v>
      </c>
      <c r="U431" s="35">
        <f t="shared" si="76"/>
        <v>1</v>
      </c>
      <c r="W431">
        <f t="shared" si="77"/>
        <v>1</v>
      </c>
      <c r="X431" s="35">
        <f t="shared" si="78"/>
        <v>0</v>
      </c>
      <c r="Y431">
        <f t="shared" si="79"/>
        <v>0</v>
      </c>
      <c r="AB431">
        <f t="shared" si="82"/>
        <v>1</v>
      </c>
      <c r="AC431">
        <f t="shared" ca="1" si="83"/>
        <v>0</v>
      </c>
      <c r="AD431" t="str">
        <f ca="1">IF(AC431=1,COUNTIF($AC$3:AC431,1),"")</f>
        <v/>
      </c>
      <c r="AE431" s="155" t="str">
        <f ca="1">IFERROR(INDEX(Données!$B$3:$B$1479,MATCH(ROWS($AD$3:AD431),$AD$3:$AD$1479,0)),"")</f>
        <v/>
      </c>
    </row>
    <row r="432" spans="1:31" ht="15.75" x14ac:dyDescent="0.25">
      <c r="A432" t="str">
        <f t="shared" si="80"/>
        <v>Blake Comeau - DAL - LW, RW</v>
      </c>
      <c r="B432" t="str">
        <f t="shared" si="81"/>
        <v>Blake Comeau - DAL - LW, RW</v>
      </c>
      <c r="C432" t="str">
        <f t="shared" si="72"/>
        <v>Blake</v>
      </c>
      <c r="D432" t="str">
        <f t="shared" si="73"/>
        <v>Comeau</v>
      </c>
      <c r="E432" s="39" t="s">
        <v>1952</v>
      </c>
      <c r="F432" s="30" t="s">
        <v>16</v>
      </c>
      <c r="G432" s="35">
        <v>0</v>
      </c>
      <c r="H432" s="9" t="s">
        <v>2689</v>
      </c>
      <c r="I432" s="9" t="s">
        <v>2677</v>
      </c>
      <c r="J432" s="9">
        <v>33</v>
      </c>
      <c r="K432" s="35">
        <f>VALUE(COUNTIF(Validation!$A$2:$H$47,E432))</f>
        <v>0</v>
      </c>
      <c r="L432" s="361">
        <f t="shared" si="74"/>
        <v>2400000</v>
      </c>
      <c r="M432" s="361">
        <f t="shared" si="75"/>
        <v>2400000</v>
      </c>
      <c r="N432" s="358">
        <v>2400000</v>
      </c>
      <c r="O432" s="358">
        <v>2400000</v>
      </c>
      <c r="P432" s="358" t="s">
        <v>7</v>
      </c>
      <c r="Q432" s="358">
        <v>0</v>
      </c>
      <c r="R432" s="358">
        <v>0</v>
      </c>
      <c r="S432" s="358">
        <v>0</v>
      </c>
      <c r="T432" s="358">
        <v>0</v>
      </c>
      <c r="U432" s="35">
        <f t="shared" si="76"/>
        <v>2</v>
      </c>
      <c r="W432">
        <f t="shared" si="77"/>
        <v>1</v>
      </c>
      <c r="X432" s="35">
        <f t="shared" si="78"/>
        <v>0</v>
      </c>
      <c r="Y432">
        <f t="shared" si="79"/>
        <v>1</v>
      </c>
      <c r="AB432">
        <f t="shared" si="82"/>
        <v>1</v>
      </c>
      <c r="AC432">
        <f t="shared" ca="1" si="83"/>
        <v>0</v>
      </c>
      <c r="AD432" t="str">
        <f ca="1">IF(AC432=1,COUNTIF($AC$3:AC432,1),"")</f>
        <v/>
      </c>
      <c r="AE432" s="155" t="str">
        <f ca="1">IFERROR(INDEX(Données!$B$3:$B$1479,MATCH(ROWS($AD$3:AD432),$AD$3:$AD$1479,0)),"")</f>
        <v/>
      </c>
    </row>
    <row r="433" spans="1:31" ht="15.75" x14ac:dyDescent="0.25">
      <c r="A433" t="str">
        <f t="shared" si="80"/>
        <v>Stephen Johns - DAL - RD</v>
      </c>
      <c r="B433" t="str">
        <f t="shared" si="81"/>
        <v>Stephen Johns - DAL - RD</v>
      </c>
      <c r="C433" t="str">
        <f t="shared" si="72"/>
        <v>Stephen</v>
      </c>
      <c r="D433" t="str">
        <f t="shared" si="73"/>
        <v>Johns</v>
      </c>
      <c r="E433" s="39" t="s">
        <v>1958</v>
      </c>
      <c r="F433" s="30" t="s">
        <v>16</v>
      </c>
      <c r="G433" s="35">
        <v>0</v>
      </c>
      <c r="H433" s="35" t="s">
        <v>379</v>
      </c>
      <c r="I433" s="35" t="s">
        <v>374</v>
      </c>
      <c r="J433" s="35">
        <v>27</v>
      </c>
      <c r="K433" s="35">
        <f>VALUE(COUNTIF(Validation!$A$2:$H$47,E433))</f>
        <v>0</v>
      </c>
      <c r="L433" s="361">
        <f t="shared" si="74"/>
        <v>2350000</v>
      </c>
      <c r="M433" s="361">
        <f t="shared" si="75"/>
        <v>2350000</v>
      </c>
      <c r="N433" s="358">
        <v>2350000</v>
      </c>
      <c r="O433" s="358">
        <v>2350000</v>
      </c>
      <c r="P433" s="358" t="s">
        <v>7</v>
      </c>
      <c r="Q433" s="358">
        <v>0</v>
      </c>
      <c r="R433" s="358">
        <v>0</v>
      </c>
      <c r="S433" s="358">
        <v>0</v>
      </c>
      <c r="T433" s="358">
        <v>0</v>
      </c>
      <c r="U433" s="35">
        <f t="shared" si="76"/>
        <v>2</v>
      </c>
      <c r="W433">
        <f t="shared" si="77"/>
        <v>1</v>
      </c>
      <c r="X433" s="35">
        <f t="shared" si="78"/>
        <v>0</v>
      </c>
      <c r="Y433">
        <f t="shared" si="79"/>
        <v>1</v>
      </c>
      <c r="AB433">
        <f t="shared" si="82"/>
        <v>1</v>
      </c>
      <c r="AC433">
        <f t="shared" ca="1" si="83"/>
        <v>0</v>
      </c>
      <c r="AD433" t="str">
        <f ca="1">IF(AC433=1,COUNTIF($AC$3:AC433,1),"")</f>
        <v/>
      </c>
      <c r="AE433" s="155" t="str">
        <f ca="1">IFERROR(INDEX(Données!$B$3:$B$1479,MATCH(ROWS($AD$3:AD433),$AD$3:$AD$1479,0)),"")</f>
        <v/>
      </c>
    </row>
    <row r="434" spans="1:31" ht="15.75" x14ac:dyDescent="0.25">
      <c r="A434" t="str">
        <f t="shared" si="80"/>
        <v>Mattias Janmark - DAL - LW, C</v>
      </c>
      <c r="B434" t="str">
        <f t="shared" si="81"/>
        <v>Mattias Janmark - DAL - LW, C</v>
      </c>
      <c r="C434" t="str">
        <f t="shared" si="72"/>
        <v>Mattias</v>
      </c>
      <c r="D434" t="str">
        <f t="shared" si="73"/>
        <v>Janmark</v>
      </c>
      <c r="E434" s="39" t="s">
        <v>1954</v>
      </c>
      <c r="F434" s="30" t="s">
        <v>16</v>
      </c>
      <c r="G434" s="35">
        <v>0</v>
      </c>
      <c r="H434" s="9" t="s">
        <v>2696</v>
      </c>
      <c r="I434" s="9" t="s">
        <v>2677</v>
      </c>
      <c r="J434" s="9">
        <v>26</v>
      </c>
      <c r="K434" s="35">
        <f>VALUE(COUNTIF(Validation!$A$2:$H$47,E434))</f>
        <v>0</v>
      </c>
      <c r="L434" s="361">
        <f t="shared" si="74"/>
        <v>2300000</v>
      </c>
      <c r="M434" s="361">
        <f t="shared" si="75"/>
        <v>0</v>
      </c>
      <c r="N434" s="358">
        <v>2300000</v>
      </c>
      <c r="O434" s="358" t="s">
        <v>7</v>
      </c>
      <c r="P434" s="358">
        <v>0</v>
      </c>
      <c r="Q434" s="358">
        <v>0</v>
      </c>
      <c r="R434" s="358">
        <v>0</v>
      </c>
      <c r="S434" s="358">
        <v>0</v>
      </c>
      <c r="T434" s="358">
        <v>0</v>
      </c>
      <c r="U434" s="35">
        <f t="shared" si="76"/>
        <v>1</v>
      </c>
      <c r="W434">
        <f t="shared" si="77"/>
        <v>1</v>
      </c>
      <c r="X434" s="35">
        <f t="shared" si="78"/>
        <v>0</v>
      </c>
      <c r="Y434">
        <f t="shared" si="79"/>
        <v>0</v>
      </c>
      <c r="AB434">
        <f t="shared" si="82"/>
        <v>1</v>
      </c>
      <c r="AC434">
        <f t="shared" ca="1" si="83"/>
        <v>0</v>
      </c>
      <c r="AD434" t="str">
        <f ca="1">IF(AC434=1,COUNTIF($AC$3:AC434,1),"")</f>
        <v/>
      </c>
      <c r="AE434" s="155" t="str">
        <f ca="1">IFERROR(INDEX(Données!$B$3:$B$1479,MATCH(ROWS($AD$3:AD434),$AD$3:$AD$1479,0)),"")</f>
        <v/>
      </c>
    </row>
    <row r="435" spans="1:31" ht="15.75" x14ac:dyDescent="0.25">
      <c r="A435" t="str">
        <f t="shared" si="80"/>
        <v>Radek Faksa - DAL - C</v>
      </c>
      <c r="B435" t="str">
        <f t="shared" si="81"/>
        <v>Radek Faksa - DAL - C</v>
      </c>
      <c r="C435" t="str">
        <f t="shared" si="72"/>
        <v>Radek</v>
      </c>
      <c r="D435" t="str">
        <f t="shared" si="73"/>
        <v>Faksa</v>
      </c>
      <c r="E435" s="39" t="s">
        <v>1955</v>
      </c>
      <c r="F435" s="30" t="s">
        <v>16</v>
      </c>
      <c r="G435" s="35">
        <v>0</v>
      </c>
      <c r="H435" s="9" t="s">
        <v>73</v>
      </c>
      <c r="I435" s="9" t="s">
        <v>2677</v>
      </c>
      <c r="J435" s="9">
        <v>25</v>
      </c>
      <c r="K435" s="35">
        <f>VALUE(COUNTIF(Validation!$A$2:$H$47,E435))</f>
        <v>0</v>
      </c>
      <c r="L435" s="361">
        <f t="shared" si="74"/>
        <v>2200000</v>
      </c>
      <c r="M435" s="361">
        <f t="shared" si="75"/>
        <v>0</v>
      </c>
      <c r="N435" s="358">
        <v>2200000</v>
      </c>
      <c r="O435" s="358" t="s">
        <v>8</v>
      </c>
      <c r="P435" s="358">
        <v>0</v>
      </c>
      <c r="Q435" s="358">
        <v>0</v>
      </c>
      <c r="R435" s="358">
        <v>0</v>
      </c>
      <c r="S435" s="358">
        <v>0</v>
      </c>
      <c r="T435" s="358">
        <v>0</v>
      </c>
      <c r="U435" s="35">
        <f t="shared" si="76"/>
        <v>1</v>
      </c>
      <c r="W435">
        <f t="shared" si="77"/>
        <v>1</v>
      </c>
      <c r="X435" s="35">
        <f t="shared" si="78"/>
        <v>0</v>
      </c>
      <c r="Y435">
        <f t="shared" si="79"/>
        <v>0</v>
      </c>
      <c r="AB435">
        <f t="shared" si="82"/>
        <v>1</v>
      </c>
      <c r="AC435">
        <f t="shared" ca="1" si="83"/>
        <v>0</v>
      </c>
      <c r="AD435" t="str">
        <f ca="1">IF(AC435=1,COUNTIF($AC$3:AC435,1),"")</f>
        <v/>
      </c>
      <c r="AE435" s="155" t="str">
        <f ca="1">IFERROR(INDEX(Données!$B$3:$B$1479,MATCH(ROWS($AD$3:AD435),$AD$3:$AD$1479,0)),"")</f>
        <v/>
      </c>
    </row>
    <row r="436" spans="1:31" ht="15.75" x14ac:dyDescent="0.25">
      <c r="A436" t="str">
        <f t="shared" si="80"/>
        <v>Jamie Oleksiak - DAL - LD</v>
      </c>
      <c r="B436" t="str">
        <f t="shared" si="81"/>
        <v>Jamie Oleksiak - DAL - LD</v>
      </c>
      <c r="C436" t="str">
        <f t="shared" si="72"/>
        <v>Jamie</v>
      </c>
      <c r="D436" t="str">
        <f t="shared" si="73"/>
        <v>Oleksiak</v>
      </c>
      <c r="E436" s="39" t="s">
        <v>1831</v>
      </c>
      <c r="F436" s="30" t="s">
        <v>16</v>
      </c>
      <c r="G436" s="35">
        <v>0</v>
      </c>
      <c r="H436" s="35" t="s">
        <v>380</v>
      </c>
      <c r="I436" s="35" t="s">
        <v>2677</v>
      </c>
      <c r="J436" s="35">
        <v>26</v>
      </c>
      <c r="K436" s="35">
        <f>VALUE(COUNTIF(Validation!$A$2:$H$47,E436))</f>
        <v>0</v>
      </c>
      <c r="L436" s="361">
        <f t="shared" si="74"/>
        <v>2137500</v>
      </c>
      <c r="M436" s="361">
        <f t="shared" si="75"/>
        <v>2137500</v>
      </c>
      <c r="N436" s="358">
        <v>2137500</v>
      </c>
      <c r="O436" s="358">
        <v>2137500</v>
      </c>
      <c r="P436" s="358" t="s">
        <v>7</v>
      </c>
      <c r="Q436" s="358">
        <v>0</v>
      </c>
      <c r="R436" s="358">
        <v>0</v>
      </c>
      <c r="S436" s="358">
        <v>0</v>
      </c>
      <c r="T436" s="358">
        <v>0</v>
      </c>
      <c r="U436" s="35">
        <f t="shared" si="76"/>
        <v>2</v>
      </c>
      <c r="W436">
        <f t="shared" si="77"/>
        <v>1</v>
      </c>
      <c r="X436" s="35">
        <f t="shared" si="78"/>
        <v>0</v>
      </c>
      <c r="Y436">
        <f t="shared" si="79"/>
        <v>1</v>
      </c>
      <c r="AB436">
        <f t="shared" si="82"/>
        <v>1</v>
      </c>
      <c r="AC436">
        <f t="shared" ca="1" si="83"/>
        <v>0</v>
      </c>
      <c r="AD436" t="str">
        <f ca="1">IF(AC436=1,COUNTIF($AC$3:AC436,1),"")</f>
        <v/>
      </c>
      <c r="AE436" s="155" t="str">
        <f ca="1">IFERROR(INDEX(Données!$B$3:$B$1479,MATCH(ROWS($AD$3:AD436),$AD$3:$AD$1479,0)),"")</f>
        <v/>
      </c>
    </row>
    <row r="437" spans="1:31" ht="15.75" x14ac:dyDescent="0.25">
      <c r="A437" t="str">
        <f t="shared" si="80"/>
        <v>Andrej Sekera - DAL - LD</v>
      </c>
      <c r="B437" t="str">
        <f t="shared" si="81"/>
        <v>Andrej Sekera - DAL - LD</v>
      </c>
      <c r="C437" t="str">
        <f t="shared" si="72"/>
        <v>Andrej</v>
      </c>
      <c r="D437" t="str">
        <f t="shared" si="73"/>
        <v>Sekera</v>
      </c>
      <c r="E437" s="39" t="s">
        <v>2223</v>
      </c>
      <c r="F437" s="30" t="s">
        <v>16</v>
      </c>
      <c r="G437" s="35">
        <v>0</v>
      </c>
      <c r="H437" s="35" t="s">
        <v>380</v>
      </c>
      <c r="I437" s="35" t="s">
        <v>2677</v>
      </c>
      <c r="J437" s="35">
        <v>33</v>
      </c>
      <c r="K437" s="35">
        <f>VALUE(COUNTIF(Validation!$A$2:$H$47,E437))</f>
        <v>0</v>
      </c>
      <c r="L437" s="361">
        <f t="shared" si="74"/>
        <v>2000000</v>
      </c>
      <c r="M437" s="361">
        <f t="shared" si="75"/>
        <v>0</v>
      </c>
      <c r="N437" s="358">
        <v>2000000</v>
      </c>
      <c r="O437" s="358" t="s">
        <v>7</v>
      </c>
      <c r="P437" s="358">
        <v>0</v>
      </c>
      <c r="Q437" s="358">
        <v>0</v>
      </c>
      <c r="R437" s="358">
        <v>0</v>
      </c>
      <c r="S437" s="358">
        <v>0</v>
      </c>
      <c r="T437" s="358">
        <v>0</v>
      </c>
      <c r="U437" s="35">
        <f t="shared" si="76"/>
        <v>1</v>
      </c>
      <c r="W437">
        <f t="shared" si="77"/>
        <v>1</v>
      </c>
      <c r="X437" s="35">
        <f t="shared" si="78"/>
        <v>0</v>
      </c>
      <c r="Y437">
        <f t="shared" si="79"/>
        <v>0</v>
      </c>
      <c r="AB437">
        <f t="shared" si="82"/>
        <v>1</v>
      </c>
      <c r="AC437">
        <f t="shared" ca="1" si="83"/>
        <v>0</v>
      </c>
      <c r="AD437" t="str">
        <f ca="1">IF(AC437=1,COUNTIF($AC$3:AC437,1),"")</f>
        <v/>
      </c>
      <c r="AE437" s="155" t="str">
        <f ca="1">IFERROR(INDEX(Données!$B$3:$B$1479,MATCH(ROWS($AD$3:AD437),$AD$3:$AD$1479,0)),"")</f>
        <v/>
      </c>
    </row>
    <row r="438" spans="1:31" ht="15.75" x14ac:dyDescent="0.25">
      <c r="A438" t="str">
        <f t="shared" si="80"/>
        <v>Roman Polák - DAL - RD</v>
      </c>
      <c r="B438" t="str">
        <f t="shared" si="81"/>
        <v>Roman Polák - DAL - RD</v>
      </c>
      <c r="C438" t="str">
        <f t="shared" si="72"/>
        <v>Roman</v>
      </c>
      <c r="D438" t="str">
        <f t="shared" si="73"/>
        <v>Polák</v>
      </c>
      <c r="E438" s="39" t="s">
        <v>1960</v>
      </c>
      <c r="F438" s="30" t="s">
        <v>16</v>
      </c>
      <c r="G438" s="35">
        <v>0</v>
      </c>
      <c r="H438" s="35" t="s">
        <v>379</v>
      </c>
      <c r="I438" s="35" t="s">
        <v>2677</v>
      </c>
      <c r="J438" s="35">
        <v>33</v>
      </c>
      <c r="K438" s="35">
        <f>VALUE(COUNTIF(Validation!$A$2:$H$47,E438))</f>
        <v>0</v>
      </c>
      <c r="L438" s="361">
        <f t="shared" si="74"/>
        <v>1750000</v>
      </c>
      <c r="M438" s="361">
        <f t="shared" si="75"/>
        <v>0</v>
      </c>
      <c r="N438" s="358">
        <v>1750000</v>
      </c>
      <c r="O438" s="358" t="s">
        <v>7</v>
      </c>
      <c r="P438" s="358">
        <v>0</v>
      </c>
      <c r="Q438" s="358">
        <v>0</v>
      </c>
      <c r="R438" s="358">
        <v>0</v>
      </c>
      <c r="S438" s="358">
        <v>0</v>
      </c>
      <c r="T438" s="358">
        <v>0</v>
      </c>
      <c r="U438" s="35">
        <f t="shared" si="76"/>
        <v>1</v>
      </c>
      <c r="W438">
        <f t="shared" si="77"/>
        <v>1</v>
      </c>
      <c r="X438" s="35">
        <f t="shared" si="78"/>
        <v>0</v>
      </c>
      <c r="Y438">
        <f t="shared" si="79"/>
        <v>0</v>
      </c>
      <c r="AB438">
        <f t="shared" si="82"/>
        <v>1</v>
      </c>
      <c r="AC438">
        <f t="shared" ca="1" si="83"/>
        <v>0</v>
      </c>
      <c r="AD438" t="str">
        <f ca="1">IF(AC438=1,COUNTIF($AC$3:AC438,1),"")</f>
        <v/>
      </c>
      <c r="AE438" s="155" t="str">
        <f ca="1">IFERROR(INDEX(Données!$B$3:$B$1479,MATCH(ROWS($AD$3:AD438),$AD$3:$AD$1479,0)),"")</f>
        <v/>
      </c>
    </row>
    <row r="439" spans="1:31" ht="15.75" x14ac:dyDescent="0.25">
      <c r="A439" t="str">
        <f t="shared" si="80"/>
        <v>Denis Gurianov - DAL - LW</v>
      </c>
      <c r="B439" t="str">
        <f t="shared" si="81"/>
        <v>Denis Gurianov - DAL - LW</v>
      </c>
      <c r="C439" t="str">
        <f t="shared" si="72"/>
        <v>Denis</v>
      </c>
      <c r="D439" t="str">
        <f t="shared" si="73"/>
        <v>Gurianov</v>
      </c>
      <c r="E439" s="39" t="s">
        <v>1967</v>
      </c>
      <c r="F439" s="30" t="s">
        <v>16</v>
      </c>
      <c r="G439" s="35" t="s">
        <v>386</v>
      </c>
      <c r="H439" s="35" t="s">
        <v>93</v>
      </c>
      <c r="I439" s="35" t="s">
        <v>2690</v>
      </c>
      <c r="J439" s="35">
        <v>22</v>
      </c>
      <c r="K439" s="35">
        <f>VALUE(COUNTIF(Validation!$A$2:$H$47,E439))</f>
        <v>0</v>
      </c>
      <c r="L439" s="361">
        <f t="shared" si="74"/>
        <v>1644166</v>
      </c>
      <c r="M439" s="361">
        <f t="shared" si="75"/>
        <v>0</v>
      </c>
      <c r="N439" s="358">
        <v>1644166</v>
      </c>
      <c r="O439" s="358" t="s">
        <v>8</v>
      </c>
      <c r="P439" s="358">
        <v>0</v>
      </c>
      <c r="Q439" s="358">
        <v>0</v>
      </c>
      <c r="R439" s="358">
        <v>0</v>
      </c>
      <c r="S439" s="358">
        <v>0</v>
      </c>
      <c r="T439" s="358">
        <v>0</v>
      </c>
      <c r="U439" s="35">
        <f t="shared" si="76"/>
        <v>1</v>
      </c>
      <c r="W439">
        <f t="shared" si="77"/>
        <v>1</v>
      </c>
      <c r="X439" s="35">
        <f t="shared" si="78"/>
        <v>1</v>
      </c>
      <c r="Y439">
        <f t="shared" si="79"/>
        <v>0</v>
      </c>
      <c r="AB439">
        <f t="shared" si="82"/>
        <v>1</v>
      </c>
      <c r="AC439">
        <f t="shared" ca="1" si="83"/>
        <v>0</v>
      </c>
      <c r="AD439" t="str">
        <f ca="1">IF(AC439=1,COUNTIF($AC$3:AC439,1),"")</f>
        <v/>
      </c>
      <c r="AE439" s="155" t="str">
        <f ca="1">IFERROR(INDEX(Données!$B$3:$B$1479,MATCH(ROWS($AD$3:AD439),$AD$3:$AD$1479,0)),"")</f>
        <v/>
      </c>
    </row>
    <row r="440" spans="1:31" ht="15.75" x14ac:dyDescent="0.25">
      <c r="A440" t="str">
        <f t="shared" si="80"/>
        <v>Jason Dickinson - DAL - C</v>
      </c>
      <c r="B440" t="str">
        <f t="shared" si="81"/>
        <v>Jason Dickinson - DAL - C</v>
      </c>
      <c r="C440" t="str">
        <f t="shared" si="72"/>
        <v>Jason</v>
      </c>
      <c r="D440" t="str">
        <f t="shared" si="73"/>
        <v>Dickinson</v>
      </c>
      <c r="E440" s="39" t="s">
        <v>1968</v>
      </c>
      <c r="F440" s="30" t="s">
        <v>16</v>
      </c>
      <c r="G440" s="35">
        <v>0</v>
      </c>
      <c r="H440" s="35" t="s">
        <v>73</v>
      </c>
      <c r="I440" s="35" t="s">
        <v>2677</v>
      </c>
      <c r="J440" s="35">
        <v>24</v>
      </c>
      <c r="K440" s="35">
        <f>VALUE(COUNTIF(Validation!$A$2:$H$47,E440))</f>
        <v>0</v>
      </c>
      <c r="L440" s="361">
        <f t="shared" si="74"/>
        <v>1500000</v>
      </c>
      <c r="M440" s="361">
        <f t="shared" si="75"/>
        <v>1500000</v>
      </c>
      <c r="N440" s="358">
        <v>1500000</v>
      </c>
      <c r="O440" s="358">
        <v>1500000</v>
      </c>
      <c r="P440" s="358" t="s">
        <v>8</v>
      </c>
      <c r="Q440" s="358">
        <v>0</v>
      </c>
      <c r="R440" s="358">
        <v>0</v>
      </c>
      <c r="S440" s="358">
        <v>0</v>
      </c>
      <c r="T440" s="358">
        <v>0</v>
      </c>
      <c r="U440" s="35">
        <f t="shared" si="76"/>
        <v>2</v>
      </c>
      <c r="W440">
        <f t="shared" si="77"/>
        <v>1</v>
      </c>
      <c r="X440" s="35">
        <f t="shared" si="78"/>
        <v>0</v>
      </c>
      <c r="Y440">
        <f t="shared" si="79"/>
        <v>1</v>
      </c>
      <c r="AB440">
        <f t="shared" si="82"/>
        <v>1</v>
      </c>
      <c r="AC440">
        <f t="shared" ca="1" si="83"/>
        <v>0</v>
      </c>
      <c r="AD440" t="str">
        <f ca="1">IF(AC440=1,COUNTIF($AC$3:AC440,1),"")</f>
        <v/>
      </c>
      <c r="AE440" s="155" t="str">
        <f ca="1">IFERROR(INDEX(Données!$B$3:$B$1479,MATCH(ROWS($AD$3:AD440),$AD$3:$AD$1479,0)),"")</f>
        <v/>
      </c>
    </row>
    <row r="441" spans="1:31" ht="15.75" x14ac:dyDescent="0.25">
      <c r="A441" t="str">
        <f t="shared" si="80"/>
        <v>Ty Dellandrea - DAL - C</v>
      </c>
      <c r="B441" t="str">
        <f t="shared" si="81"/>
        <v>Ty Dellandrea - DAL - C</v>
      </c>
      <c r="C441" t="str">
        <f t="shared" si="72"/>
        <v>Ty</v>
      </c>
      <c r="D441" t="str">
        <f t="shared" si="73"/>
        <v>Dellandrea</v>
      </c>
      <c r="E441" s="39" t="s">
        <v>2489</v>
      </c>
      <c r="F441" s="30" t="s">
        <v>16</v>
      </c>
      <c r="G441" s="35" t="s">
        <v>388</v>
      </c>
      <c r="H441" s="35" t="s">
        <v>73</v>
      </c>
      <c r="I441" s="35" t="s">
        <v>389</v>
      </c>
      <c r="J441" s="35">
        <v>19</v>
      </c>
      <c r="K441" s="35">
        <f>VALUE(COUNTIF(Validation!$A$2:$H$47,E441))</f>
        <v>0</v>
      </c>
      <c r="L441" s="361">
        <f t="shared" si="74"/>
        <v>1431667</v>
      </c>
      <c r="M441" s="361">
        <f t="shared" si="75"/>
        <v>1431667</v>
      </c>
      <c r="N441" s="358">
        <v>1431667</v>
      </c>
      <c r="O441" s="358">
        <v>1431667</v>
      </c>
      <c r="P441" s="358">
        <v>1431667</v>
      </c>
      <c r="Q441" s="358" t="s">
        <v>8</v>
      </c>
      <c r="R441" s="358">
        <v>0</v>
      </c>
      <c r="S441" s="358">
        <v>0</v>
      </c>
      <c r="T441" s="358">
        <v>0</v>
      </c>
      <c r="U441" s="35">
        <f t="shared" si="76"/>
        <v>3</v>
      </c>
      <c r="W441">
        <f t="shared" si="77"/>
        <v>1</v>
      </c>
      <c r="X441" s="35">
        <f t="shared" si="78"/>
        <v>1</v>
      </c>
      <c r="Y441">
        <f t="shared" si="79"/>
        <v>1</v>
      </c>
      <c r="AB441">
        <f t="shared" si="82"/>
        <v>1</v>
      </c>
      <c r="AC441">
        <f t="shared" ca="1" si="83"/>
        <v>0</v>
      </c>
      <c r="AD441" t="str">
        <f ca="1">IF(AC441=1,COUNTIF($AC$3:AC441,1),"")</f>
        <v/>
      </c>
      <c r="AE441" s="155" t="str">
        <f ca="1">IFERROR(INDEX(Données!$B$3:$B$1479,MATCH(ROWS($AD$3:AD441),$AD$3:$AD$1479,0)),"")</f>
        <v/>
      </c>
    </row>
    <row r="442" spans="1:31" ht="15.75" x14ac:dyDescent="0.25">
      <c r="A442" t="str">
        <f t="shared" si="80"/>
        <v>Jake Oettinger - DAL - G</v>
      </c>
      <c r="B442" t="str">
        <f t="shared" si="81"/>
        <v>Jake Oettinger - DAL - G</v>
      </c>
      <c r="C442" t="str">
        <f t="shared" si="72"/>
        <v>Jake</v>
      </c>
      <c r="D442" t="str">
        <f t="shared" si="73"/>
        <v>Oettinger</v>
      </c>
      <c r="E442" s="39" t="s">
        <v>2493</v>
      </c>
      <c r="F442" s="30" t="s">
        <v>16</v>
      </c>
      <c r="G442" s="35" t="s">
        <v>386</v>
      </c>
      <c r="H442" s="35" t="s">
        <v>127</v>
      </c>
      <c r="I442" s="35" t="s">
        <v>2690</v>
      </c>
      <c r="J442" s="35">
        <v>20</v>
      </c>
      <c r="K442" s="35">
        <f>VALUE(COUNTIF(Validation!$A$2:$H$47,E442))</f>
        <v>0</v>
      </c>
      <c r="L442" s="361">
        <f t="shared" si="74"/>
        <v>1387500</v>
      </c>
      <c r="M442" s="361">
        <f t="shared" si="75"/>
        <v>1387500</v>
      </c>
      <c r="N442" s="358">
        <v>1387500</v>
      </c>
      <c r="O442" s="358">
        <v>1387500</v>
      </c>
      <c r="P442" s="358">
        <v>1387500</v>
      </c>
      <c r="Q442" s="358" t="s">
        <v>8</v>
      </c>
      <c r="R442" s="358">
        <v>0</v>
      </c>
      <c r="S442" s="358">
        <v>0</v>
      </c>
      <c r="T442" s="358">
        <v>0</v>
      </c>
      <c r="U442" s="35">
        <f t="shared" si="76"/>
        <v>3</v>
      </c>
      <c r="W442">
        <f t="shared" si="77"/>
        <v>1</v>
      </c>
      <c r="X442" s="35">
        <f t="shared" si="78"/>
        <v>1</v>
      </c>
      <c r="Y442">
        <f t="shared" si="79"/>
        <v>1</v>
      </c>
      <c r="AB442">
        <f t="shared" si="82"/>
        <v>1</v>
      </c>
      <c r="AC442">
        <f t="shared" ca="1" si="83"/>
        <v>0</v>
      </c>
      <c r="AD442" t="str">
        <f ca="1">IF(AC442=1,COUNTIF($AC$3:AC442,1),"")</f>
        <v/>
      </c>
      <c r="AE442" s="155" t="str">
        <f ca="1">IFERROR(INDEX(Données!$B$3:$B$1479,MATCH(ROWS($AD$3:AD442),$AD$3:$AD$1479,0)),"")</f>
        <v/>
      </c>
    </row>
    <row r="443" spans="1:31" ht="15.75" x14ac:dyDescent="0.25">
      <c r="A443" t="str">
        <f t="shared" si="80"/>
        <v>Joseph Cecconi - DAL - D</v>
      </c>
      <c r="B443" t="str">
        <f t="shared" si="81"/>
        <v>Joseph Cecconi - DAL - D</v>
      </c>
      <c r="C443" t="str">
        <f t="shared" si="72"/>
        <v>Joseph</v>
      </c>
      <c r="D443" t="str">
        <f t="shared" si="73"/>
        <v>Cecconi</v>
      </c>
      <c r="E443" s="39" t="s">
        <v>2491</v>
      </c>
      <c r="F443" s="30" t="s">
        <v>16</v>
      </c>
      <c r="G443" s="35" t="s">
        <v>386</v>
      </c>
      <c r="H443" s="35" t="s">
        <v>82</v>
      </c>
      <c r="I443" s="35" t="s">
        <v>2690</v>
      </c>
      <c r="J443" s="35">
        <v>22</v>
      </c>
      <c r="K443" s="35">
        <f>VALUE(COUNTIF(Validation!$A$2:$H$47,E443))</f>
        <v>0</v>
      </c>
      <c r="L443" s="361">
        <f t="shared" si="74"/>
        <v>1293750</v>
      </c>
      <c r="M443" s="361">
        <f t="shared" si="75"/>
        <v>1293750</v>
      </c>
      <c r="N443" s="358">
        <v>1293750</v>
      </c>
      <c r="O443" s="358">
        <v>1293750</v>
      </c>
      <c r="P443" s="358" t="s">
        <v>8</v>
      </c>
      <c r="Q443" s="358">
        <v>0</v>
      </c>
      <c r="R443" s="358">
        <v>0</v>
      </c>
      <c r="S443" s="358">
        <v>0</v>
      </c>
      <c r="T443" s="358">
        <v>0</v>
      </c>
      <c r="U443" s="35">
        <f t="shared" si="76"/>
        <v>2</v>
      </c>
      <c r="W443">
        <f t="shared" si="77"/>
        <v>1</v>
      </c>
      <c r="X443" s="35">
        <f t="shared" si="78"/>
        <v>1</v>
      </c>
      <c r="Y443">
        <f t="shared" si="79"/>
        <v>1</v>
      </c>
      <c r="AB443">
        <f t="shared" si="82"/>
        <v>1</v>
      </c>
      <c r="AC443">
        <f t="shared" ca="1" si="83"/>
        <v>0</v>
      </c>
      <c r="AD443" t="str">
        <f ca="1">IF(AC443=1,COUNTIF($AC$3:AC443,1),"")</f>
        <v/>
      </c>
      <c r="AE443" s="155" t="str">
        <f ca="1">IFERROR(INDEX(Données!$B$3:$B$1479,MATCH(ROWS($AD$3:AD443),$AD$3:$AD$1479,0)),"")</f>
        <v/>
      </c>
    </row>
    <row r="444" spans="1:31" ht="15.75" x14ac:dyDescent="0.25">
      <c r="A444" t="str">
        <f t="shared" si="80"/>
        <v>Riley Tufte - DAL - LW</v>
      </c>
      <c r="B444" t="str">
        <f t="shared" si="81"/>
        <v>Riley Tufte - DAL - LW</v>
      </c>
      <c r="C444" t="str">
        <f t="shared" si="72"/>
        <v>Riley</v>
      </c>
      <c r="D444" t="str">
        <f t="shared" si="73"/>
        <v>Tufte</v>
      </c>
      <c r="E444" s="39" t="s">
        <v>2487</v>
      </c>
      <c r="F444" s="30" t="s">
        <v>16</v>
      </c>
      <c r="G444" s="35" t="s">
        <v>386</v>
      </c>
      <c r="H444" s="35" t="s">
        <v>93</v>
      </c>
      <c r="I444" s="35" t="s">
        <v>2690</v>
      </c>
      <c r="J444" s="35">
        <v>21</v>
      </c>
      <c r="K444" s="35">
        <f>VALUE(COUNTIF(Validation!$A$2:$H$47,E444))</f>
        <v>0</v>
      </c>
      <c r="L444" s="361">
        <f t="shared" si="74"/>
        <v>995833</v>
      </c>
      <c r="M444" s="361">
        <f t="shared" si="75"/>
        <v>995833</v>
      </c>
      <c r="N444" s="358">
        <v>995833</v>
      </c>
      <c r="O444" s="358">
        <v>995833</v>
      </c>
      <c r="P444" s="358">
        <v>995833</v>
      </c>
      <c r="Q444" s="358" t="s">
        <v>8</v>
      </c>
      <c r="R444" s="358">
        <v>0</v>
      </c>
      <c r="S444" s="358">
        <v>0</v>
      </c>
      <c r="T444" s="358">
        <v>0</v>
      </c>
      <c r="U444" s="35">
        <f t="shared" si="76"/>
        <v>3</v>
      </c>
      <c r="W444">
        <f t="shared" si="77"/>
        <v>1</v>
      </c>
      <c r="X444" s="35">
        <f t="shared" si="78"/>
        <v>1</v>
      </c>
      <c r="Y444">
        <f t="shared" si="79"/>
        <v>1</v>
      </c>
      <c r="AB444">
        <f t="shared" si="82"/>
        <v>1</v>
      </c>
      <c r="AC444">
        <f t="shared" ca="1" si="83"/>
        <v>0</v>
      </c>
      <c r="AD444" t="str">
        <f ca="1">IF(AC444=1,COUNTIF($AC$3:AC444,1),"")</f>
        <v/>
      </c>
      <c r="AE444" s="155" t="str">
        <f ca="1">IFERROR(INDEX(Données!$B$3:$B$1479,MATCH(ROWS($AD$3:AD444),$AD$3:$AD$1479,0)),"")</f>
        <v/>
      </c>
    </row>
    <row r="445" spans="1:31" ht="15.75" x14ac:dyDescent="0.25">
      <c r="A445" t="str">
        <f t="shared" si="80"/>
        <v>Tony Calderone - DAL - RW</v>
      </c>
      <c r="B445" t="str">
        <f t="shared" si="81"/>
        <v>Tony Calderone - DAL - RW</v>
      </c>
      <c r="C445" t="str">
        <f t="shared" si="72"/>
        <v>Tony</v>
      </c>
      <c r="D445" t="str">
        <f t="shared" si="73"/>
        <v>Calderone</v>
      </c>
      <c r="E445" s="39" t="s">
        <v>1972</v>
      </c>
      <c r="F445" s="30" t="s">
        <v>16</v>
      </c>
      <c r="G445" s="35" t="s">
        <v>386</v>
      </c>
      <c r="H445" s="35" t="s">
        <v>88</v>
      </c>
      <c r="I445" s="35" t="s">
        <v>2690</v>
      </c>
      <c r="J445" s="35">
        <v>24</v>
      </c>
      <c r="K445" s="35">
        <f>VALUE(COUNTIF(Validation!$A$2:$H$47,E445))</f>
        <v>0</v>
      </c>
      <c r="L445" s="361">
        <f t="shared" si="74"/>
        <v>925000</v>
      </c>
      <c r="M445" s="361">
        <f t="shared" si="75"/>
        <v>0</v>
      </c>
      <c r="N445" s="358">
        <v>925000</v>
      </c>
      <c r="O445" s="358" t="s">
        <v>8</v>
      </c>
      <c r="P445" s="358">
        <v>0</v>
      </c>
      <c r="Q445" s="358">
        <v>0</v>
      </c>
      <c r="R445" s="358">
        <v>0</v>
      </c>
      <c r="S445" s="358">
        <v>0</v>
      </c>
      <c r="T445" s="358">
        <v>0</v>
      </c>
      <c r="U445" s="35">
        <f t="shared" si="76"/>
        <v>1</v>
      </c>
      <c r="W445">
        <f t="shared" si="77"/>
        <v>1</v>
      </c>
      <c r="X445" s="35">
        <f t="shared" si="78"/>
        <v>1</v>
      </c>
      <c r="Y445">
        <f t="shared" si="79"/>
        <v>0</v>
      </c>
      <c r="AB445">
        <f t="shared" si="82"/>
        <v>1</v>
      </c>
      <c r="AC445">
        <f t="shared" ca="1" si="83"/>
        <v>0</v>
      </c>
      <c r="AD445" t="str">
        <f ca="1">IF(AC445=1,COUNTIF($AC$3:AC445,1),"")</f>
        <v/>
      </c>
      <c r="AE445" s="155" t="str">
        <f ca="1">IFERROR(INDEX(Données!$B$3:$B$1479,MATCH(ROWS($AD$3:AD445),$AD$3:$AD$1479,0)),"")</f>
        <v/>
      </c>
    </row>
    <row r="446" spans="1:31" ht="15.75" x14ac:dyDescent="0.25">
      <c r="A446" t="str">
        <f t="shared" si="80"/>
        <v>Emil Djuse - DAL - LD</v>
      </c>
      <c r="B446" t="str">
        <f t="shared" si="81"/>
        <v>Emil Djuse - DAL - LD</v>
      </c>
      <c r="C446" t="str">
        <f t="shared" si="72"/>
        <v>Emil</v>
      </c>
      <c r="D446" t="str">
        <f t="shared" si="73"/>
        <v>Djuse</v>
      </c>
      <c r="E446" s="39" t="s">
        <v>2492</v>
      </c>
      <c r="F446" s="30" t="s">
        <v>16</v>
      </c>
      <c r="G446" s="35" t="s">
        <v>386</v>
      </c>
      <c r="H446" s="35" t="s">
        <v>380</v>
      </c>
      <c r="I446" s="35" t="s">
        <v>2690</v>
      </c>
      <c r="J446" s="35">
        <v>25</v>
      </c>
      <c r="K446" s="35">
        <f>VALUE(COUNTIF(Validation!$A$2:$H$47,E446))</f>
        <v>0</v>
      </c>
      <c r="L446" s="361">
        <f t="shared" si="74"/>
        <v>925000</v>
      </c>
      <c r="M446" s="361">
        <f t="shared" si="75"/>
        <v>0</v>
      </c>
      <c r="N446" s="358">
        <v>925000</v>
      </c>
      <c r="O446" s="358" t="s">
        <v>8</v>
      </c>
      <c r="P446" s="358">
        <v>0</v>
      </c>
      <c r="Q446" s="358">
        <v>0</v>
      </c>
      <c r="R446" s="358">
        <v>0</v>
      </c>
      <c r="S446" s="358">
        <v>0</v>
      </c>
      <c r="T446" s="358">
        <v>0</v>
      </c>
      <c r="U446" s="35">
        <f t="shared" si="76"/>
        <v>1</v>
      </c>
      <c r="W446">
        <f t="shared" si="77"/>
        <v>1</v>
      </c>
      <c r="X446" s="35">
        <f t="shared" si="78"/>
        <v>1</v>
      </c>
      <c r="Y446">
        <f t="shared" si="79"/>
        <v>0</v>
      </c>
      <c r="AB446">
        <f t="shared" si="82"/>
        <v>1</v>
      </c>
      <c r="AC446">
        <f t="shared" ca="1" si="83"/>
        <v>0</v>
      </c>
      <c r="AD446" t="str">
        <f ca="1">IF(AC446=1,COUNTIF($AC$3:AC446,1),"")</f>
        <v/>
      </c>
      <c r="AE446" s="155" t="str">
        <f ca="1">IFERROR(INDEX(Données!$B$3:$B$1479,MATCH(ROWS($AD$3:AD446),$AD$3:$AD$1479,0)),"")</f>
        <v/>
      </c>
    </row>
    <row r="447" spans="1:31" ht="15.75" x14ac:dyDescent="0.25">
      <c r="A447" t="str">
        <f t="shared" si="80"/>
        <v>Tye Felhaber - DAL - C</v>
      </c>
      <c r="B447" t="str">
        <f t="shared" si="81"/>
        <v>Tye Felhaber - DAL - C</v>
      </c>
      <c r="C447" t="str">
        <f t="shared" si="72"/>
        <v>Tye</v>
      </c>
      <c r="D447" t="str">
        <f t="shared" si="73"/>
        <v>Felhaber</v>
      </c>
      <c r="E447" s="39" t="s">
        <v>2486</v>
      </c>
      <c r="F447" s="30" t="s">
        <v>16</v>
      </c>
      <c r="G447" s="35" t="s">
        <v>386</v>
      </c>
      <c r="H447" s="35" t="s">
        <v>73</v>
      </c>
      <c r="I447" s="35" t="s">
        <v>2690</v>
      </c>
      <c r="J447" s="35">
        <v>21</v>
      </c>
      <c r="K447" s="35">
        <f>VALUE(COUNTIF(Validation!$A$2:$H$47,E447))</f>
        <v>0</v>
      </c>
      <c r="L447" s="361">
        <f t="shared" si="74"/>
        <v>925000</v>
      </c>
      <c r="M447" s="361">
        <f t="shared" si="75"/>
        <v>925000</v>
      </c>
      <c r="N447" s="358">
        <v>925000</v>
      </c>
      <c r="O447" s="358">
        <v>925000</v>
      </c>
      <c r="P447" s="358">
        <v>925000</v>
      </c>
      <c r="Q447" s="358" t="s">
        <v>8</v>
      </c>
      <c r="R447" s="358">
        <v>0</v>
      </c>
      <c r="S447" s="358">
        <v>0</v>
      </c>
      <c r="T447" s="358">
        <v>0</v>
      </c>
      <c r="U447" s="35">
        <f t="shared" si="76"/>
        <v>3</v>
      </c>
      <c r="W447">
        <f t="shared" si="77"/>
        <v>1</v>
      </c>
      <c r="X447" s="35">
        <f t="shared" si="78"/>
        <v>1</v>
      </c>
      <c r="Y447">
        <f t="shared" si="79"/>
        <v>1</v>
      </c>
      <c r="AB447">
        <f t="shared" si="82"/>
        <v>1</v>
      </c>
      <c r="AC447">
        <f t="shared" ca="1" si="83"/>
        <v>0</v>
      </c>
      <c r="AD447" t="str">
        <f ca="1">IF(AC447=1,COUNTIF($AC$3:AC447,1),"")</f>
        <v/>
      </c>
      <c r="AE447" s="155" t="str">
        <f ca="1">IFERROR(INDEX(Données!$B$3:$B$1479,MATCH(ROWS($AD$3:AD447),$AD$3:$AD$1479,0)),"")</f>
        <v/>
      </c>
    </row>
    <row r="448" spans="1:31" ht="15.75" x14ac:dyDescent="0.25">
      <c r="A448" t="str">
        <f t="shared" si="80"/>
        <v>Rhett Gardner - DAL - C, LW</v>
      </c>
      <c r="B448" t="str">
        <f t="shared" si="81"/>
        <v>Rhett Gardner - DAL - C, LW</v>
      </c>
      <c r="C448" t="str">
        <f t="shared" si="72"/>
        <v>Rhett</v>
      </c>
      <c r="D448" t="str">
        <f t="shared" si="73"/>
        <v>Gardner</v>
      </c>
      <c r="E448" s="39" t="s">
        <v>2485</v>
      </c>
      <c r="F448" s="30" t="s">
        <v>16</v>
      </c>
      <c r="G448" s="35" t="s">
        <v>386</v>
      </c>
      <c r="H448" s="35" t="s">
        <v>2679</v>
      </c>
      <c r="I448" s="35" t="s">
        <v>2690</v>
      </c>
      <c r="J448" s="35">
        <v>23</v>
      </c>
      <c r="K448" s="35">
        <f>VALUE(COUNTIF(Validation!$A$2:$H$47,E448))</f>
        <v>0</v>
      </c>
      <c r="L448" s="361">
        <f t="shared" si="74"/>
        <v>925000</v>
      </c>
      <c r="M448" s="361">
        <f t="shared" si="75"/>
        <v>925000</v>
      </c>
      <c r="N448" s="358">
        <v>925000</v>
      </c>
      <c r="O448" s="358">
        <v>925000</v>
      </c>
      <c r="P448" s="358" t="s">
        <v>8</v>
      </c>
      <c r="Q448" s="358">
        <v>0</v>
      </c>
      <c r="R448" s="358">
        <v>0</v>
      </c>
      <c r="S448" s="358">
        <v>0</v>
      </c>
      <c r="T448" s="358">
        <v>0</v>
      </c>
      <c r="U448" s="35">
        <f t="shared" si="76"/>
        <v>2</v>
      </c>
      <c r="W448">
        <f t="shared" si="77"/>
        <v>1</v>
      </c>
      <c r="X448" s="35">
        <f t="shared" si="78"/>
        <v>1</v>
      </c>
      <c r="Y448">
        <f t="shared" si="79"/>
        <v>1</v>
      </c>
      <c r="AB448">
        <f t="shared" si="82"/>
        <v>1</v>
      </c>
      <c r="AC448">
        <f t="shared" ca="1" si="83"/>
        <v>0</v>
      </c>
      <c r="AD448" t="str">
        <f ca="1">IF(AC448=1,COUNTIF($AC$3:AC448,1),"")</f>
        <v/>
      </c>
      <c r="AE448" s="155" t="str">
        <f ca="1">IFERROR(INDEX(Données!$B$3:$B$1479,MATCH(ROWS($AD$3:AD448),$AD$3:$AD$1479,0)),"")</f>
        <v/>
      </c>
    </row>
    <row r="449" spans="1:31" ht="15.75" x14ac:dyDescent="0.25">
      <c r="A449" t="str">
        <f t="shared" si="80"/>
        <v>Roope Hintz - DAL - C, LW</v>
      </c>
      <c r="B449" t="str">
        <f t="shared" si="81"/>
        <v>Roope Hintz - DAL - C, LW</v>
      </c>
      <c r="C449" t="str">
        <f t="shared" si="72"/>
        <v>Roope</v>
      </c>
      <c r="D449" t="str">
        <f t="shared" si="73"/>
        <v>Hintz</v>
      </c>
      <c r="E449" s="39" t="s">
        <v>1970</v>
      </c>
      <c r="F449" s="30" t="s">
        <v>16</v>
      </c>
      <c r="G449" s="35" t="s">
        <v>386</v>
      </c>
      <c r="H449" s="35" t="s">
        <v>2679</v>
      </c>
      <c r="I449" s="35" t="s">
        <v>2677</v>
      </c>
      <c r="J449" s="35">
        <v>22</v>
      </c>
      <c r="K449" s="35">
        <f>VALUE(COUNTIF(Validation!$A$2:$H$47,E449))</f>
        <v>0</v>
      </c>
      <c r="L449" s="361">
        <f t="shared" si="74"/>
        <v>925000</v>
      </c>
      <c r="M449" s="361">
        <f t="shared" si="75"/>
        <v>0</v>
      </c>
      <c r="N449" s="358">
        <v>925000</v>
      </c>
      <c r="O449" s="358" t="s">
        <v>8</v>
      </c>
      <c r="P449" s="358">
        <v>0</v>
      </c>
      <c r="Q449" s="358">
        <v>0</v>
      </c>
      <c r="R449" s="358">
        <v>0</v>
      </c>
      <c r="S449" s="358">
        <v>0</v>
      </c>
      <c r="T449" s="358">
        <v>0</v>
      </c>
      <c r="U449" s="35">
        <f t="shared" si="76"/>
        <v>1</v>
      </c>
      <c r="W449">
        <f t="shared" si="77"/>
        <v>1</v>
      </c>
      <c r="X449" s="35">
        <f t="shared" si="78"/>
        <v>1</v>
      </c>
      <c r="Y449">
        <f t="shared" si="79"/>
        <v>0</v>
      </c>
      <c r="AB449">
        <f t="shared" si="82"/>
        <v>1</v>
      </c>
      <c r="AC449">
        <f t="shared" ca="1" si="83"/>
        <v>0</v>
      </c>
      <c r="AD449" t="str">
        <f ca="1">IF(AC449=1,COUNTIF($AC$3:AC449,1),"")</f>
        <v/>
      </c>
      <c r="AE449" s="155" t="str">
        <f ca="1">IFERROR(INDEX(Données!$B$3:$B$1479,MATCH(ROWS($AD$3:AD449),$AD$3:$AD$1479,0)),"")</f>
        <v/>
      </c>
    </row>
    <row r="450" spans="1:31" ht="15.75" x14ac:dyDescent="0.25">
      <c r="A450" t="str">
        <f t="shared" si="80"/>
        <v>Joel Kiviranta - DAL - LW, RW</v>
      </c>
      <c r="B450" t="str">
        <f t="shared" si="81"/>
        <v>Joel Kiviranta - DAL - LW, RW</v>
      </c>
      <c r="C450" t="str">
        <f t="shared" si="72"/>
        <v>Joel</v>
      </c>
      <c r="D450" t="str">
        <f t="shared" si="73"/>
        <v>Kiviranta</v>
      </c>
      <c r="E450" s="39" t="s">
        <v>2484</v>
      </c>
      <c r="F450" s="30" t="s">
        <v>16</v>
      </c>
      <c r="G450" s="35" t="s">
        <v>386</v>
      </c>
      <c r="H450" s="35" t="s">
        <v>2689</v>
      </c>
      <c r="I450" s="35" t="s">
        <v>2690</v>
      </c>
      <c r="J450" s="35">
        <v>23</v>
      </c>
      <c r="K450" s="35">
        <f>VALUE(COUNTIF(Validation!$A$2:$H$47,E450))</f>
        <v>0</v>
      </c>
      <c r="L450" s="361">
        <f t="shared" si="74"/>
        <v>925000</v>
      </c>
      <c r="M450" s="361">
        <f t="shared" si="75"/>
        <v>925000</v>
      </c>
      <c r="N450" s="358">
        <v>925000</v>
      </c>
      <c r="O450" s="358">
        <v>925000</v>
      </c>
      <c r="P450" s="358" t="s">
        <v>8</v>
      </c>
      <c r="Q450" s="358">
        <v>0</v>
      </c>
      <c r="R450" s="358">
        <v>0</v>
      </c>
      <c r="S450" s="358">
        <v>0</v>
      </c>
      <c r="T450" s="358">
        <v>0</v>
      </c>
      <c r="U450" s="35">
        <f t="shared" si="76"/>
        <v>2</v>
      </c>
      <c r="W450">
        <f t="shared" si="77"/>
        <v>1</v>
      </c>
      <c r="X450" s="35">
        <f t="shared" si="78"/>
        <v>1</v>
      </c>
      <c r="Y450">
        <f t="shared" si="79"/>
        <v>1</v>
      </c>
      <c r="AB450">
        <f t="shared" si="82"/>
        <v>1</v>
      </c>
      <c r="AC450">
        <f t="shared" ca="1" si="83"/>
        <v>0</v>
      </c>
      <c r="AD450" t="str">
        <f ca="1">IF(AC450=1,COUNTIF($AC$3:AC450,1),"")</f>
        <v/>
      </c>
      <c r="AE450" s="155" t="str">
        <f ca="1">IFERROR(INDEX(Données!$B$3:$B$1479,MATCH(ROWS($AD$3:AD450),$AD$3:$AD$1479,0)),"")</f>
        <v/>
      </c>
    </row>
    <row r="451" spans="1:31" ht="15.75" x14ac:dyDescent="0.25">
      <c r="A451" t="str">
        <f t="shared" si="80"/>
        <v>Josh Melnick - DAL - RW</v>
      </c>
      <c r="B451" t="str">
        <f t="shared" si="81"/>
        <v>Josh Melnick - DAL - RW</v>
      </c>
      <c r="C451" t="str">
        <f t="shared" ref="C451:C514" si="84">RIGHT(E451,(LEN(E451)-1)-SEARCH(",",E451,1))</f>
        <v>Josh</v>
      </c>
      <c r="D451" t="str">
        <f t="shared" ref="D451:D514" si="85">LEFT(E451,SEARCH(",",E451,1)-1)</f>
        <v>Melnick</v>
      </c>
      <c r="E451" s="39" t="s">
        <v>2488</v>
      </c>
      <c r="F451" s="30" t="s">
        <v>16</v>
      </c>
      <c r="G451" s="35" t="s">
        <v>386</v>
      </c>
      <c r="H451" s="35" t="s">
        <v>88</v>
      </c>
      <c r="I451" s="35" t="s">
        <v>2690</v>
      </c>
      <c r="J451" s="35">
        <v>24</v>
      </c>
      <c r="K451" s="35">
        <f>VALUE(COUNTIF(Validation!$A$2:$H$47,E451))</f>
        <v>0</v>
      </c>
      <c r="L451" s="361">
        <f t="shared" ref="L451:L514" si="86">IF(OR(N451="RFA",N451="UFA",N451="",N451=0),0,N451)</f>
        <v>925000</v>
      </c>
      <c r="M451" s="361">
        <f t="shared" ref="M451:M514" si="87">IF(OR(O451="RFA",O451="UFA",O451="",O451=0),0,O451)</f>
        <v>0</v>
      </c>
      <c r="N451" s="358">
        <v>925000</v>
      </c>
      <c r="O451" s="358" t="s">
        <v>8</v>
      </c>
      <c r="P451" s="358">
        <v>0</v>
      </c>
      <c r="Q451" s="358">
        <v>0</v>
      </c>
      <c r="R451" s="358">
        <v>0</v>
      </c>
      <c r="S451" s="358">
        <v>0</v>
      </c>
      <c r="T451" s="358">
        <v>0</v>
      </c>
      <c r="U451" s="35">
        <f t="shared" ref="U451:U514" si="88">COUNTIF(N451:T451,"&gt;0")</f>
        <v>1</v>
      </c>
      <c r="W451">
        <f t="shared" ref="W451:W514" si="89">COUNTIF($E$3:$E$1479,E451)</f>
        <v>1</v>
      </c>
      <c r="X451" s="35">
        <f t="shared" ref="X451:X514" si="90">IF(LEFT(G451,3)="ELC",1,0)</f>
        <v>1</v>
      </c>
      <c r="Y451">
        <f t="shared" ref="Y451:Y514" si="91">IF(L451=M451,1,0)</f>
        <v>0</v>
      </c>
      <c r="AB451">
        <f t="shared" si="82"/>
        <v>1</v>
      </c>
      <c r="AC451">
        <f t="shared" ca="1" si="83"/>
        <v>0</v>
      </c>
      <c r="AD451" t="str">
        <f ca="1">IF(AC451=1,COUNTIF($AC$3:AC451,1),"")</f>
        <v/>
      </c>
      <c r="AE451" s="155" t="str">
        <f ca="1">IFERROR(INDEX(Données!$B$3:$B$1479,MATCH(ROWS($AD$3:AD451),$AD$3:$AD$1479,0)),"")</f>
        <v/>
      </c>
    </row>
    <row r="452" spans="1:31" ht="15.75" x14ac:dyDescent="0.25">
      <c r="A452" t="str">
        <f t="shared" ref="A452:A515" si="92">C452&amp;" "&amp;D452&amp;" - "&amp;F452&amp;" - "&amp;H452</f>
        <v>Colton Point - DAL - G</v>
      </c>
      <c r="B452" t="str">
        <f t="shared" ref="B452:B515" si="93">A452</f>
        <v>Colton Point - DAL - G</v>
      </c>
      <c r="C452" t="str">
        <f t="shared" si="84"/>
        <v>Colton</v>
      </c>
      <c r="D452" t="str">
        <f t="shared" si="85"/>
        <v>Point</v>
      </c>
      <c r="E452" s="39" t="s">
        <v>1965</v>
      </c>
      <c r="F452" s="30" t="s">
        <v>16</v>
      </c>
      <c r="G452" s="35" t="s">
        <v>386</v>
      </c>
      <c r="H452" s="9" t="s">
        <v>127</v>
      </c>
      <c r="I452" s="9" t="s">
        <v>2690</v>
      </c>
      <c r="J452" s="9">
        <v>21</v>
      </c>
      <c r="K452" s="35">
        <f>VALUE(COUNTIF(Validation!$A$2:$H$47,E452))</f>
        <v>0</v>
      </c>
      <c r="L452" s="361">
        <f t="shared" si="86"/>
        <v>925000</v>
      </c>
      <c r="M452" s="361">
        <f t="shared" si="87"/>
        <v>925000</v>
      </c>
      <c r="N452" s="358">
        <v>925000</v>
      </c>
      <c r="O452" s="358">
        <v>925000</v>
      </c>
      <c r="P452" s="358" t="s">
        <v>8</v>
      </c>
      <c r="Q452" s="358">
        <v>0</v>
      </c>
      <c r="R452" s="358">
        <v>0</v>
      </c>
      <c r="S452" s="358">
        <v>0</v>
      </c>
      <c r="T452" s="358">
        <v>0</v>
      </c>
      <c r="U452" s="35">
        <f t="shared" si="88"/>
        <v>2</v>
      </c>
      <c r="W452">
        <f t="shared" si="89"/>
        <v>1</v>
      </c>
      <c r="X452" s="35">
        <f t="shared" si="90"/>
        <v>1</v>
      </c>
      <c r="Y452">
        <f t="shared" si="91"/>
        <v>1</v>
      </c>
      <c r="AB452">
        <f t="shared" ref="AB452:AB515" si="94">SEARCH(AA452,A452)</f>
        <v>1</v>
      </c>
      <c r="AC452">
        <f t="shared" ca="1" si="83"/>
        <v>0</v>
      </c>
      <c r="AD452" t="str">
        <f ca="1">IF(AC452=1,COUNTIF($AC$3:AC452,1),"")</f>
        <v/>
      </c>
      <c r="AE452" s="155" t="str">
        <f ca="1">IFERROR(INDEX(Données!$B$3:$B$1479,MATCH(ROWS($AD$3:AD452),$AD$3:$AD$1479,0)),"")</f>
        <v/>
      </c>
    </row>
    <row r="453" spans="1:31" ht="15.75" x14ac:dyDescent="0.25">
      <c r="A453" t="str">
        <f t="shared" si="92"/>
        <v>Riley Damiani - DAL - C</v>
      </c>
      <c r="B453" t="str">
        <f t="shared" si="93"/>
        <v>Riley Damiani - DAL - C</v>
      </c>
      <c r="C453" t="str">
        <f t="shared" si="84"/>
        <v>Riley</v>
      </c>
      <c r="D453" t="str">
        <f t="shared" si="85"/>
        <v>Damiani</v>
      </c>
      <c r="E453" s="39" t="s">
        <v>2490</v>
      </c>
      <c r="F453" s="30" t="s">
        <v>16</v>
      </c>
      <c r="G453" s="35" t="s">
        <v>388</v>
      </c>
      <c r="H453" s="35" t="s">
        <v>73</v>
      </c>
      <c r="I453" s="35" t="s">
        <v>389</v>
      </c>
      <c r="J453" s="35">
        <v>19</v>
      </c>
      <c r="K453" s="35">
        <f>VALUE(COUNTIF(Validation!$A$2:$H$47,E453))</f>
        <v>0</v>
      </c>
      <c r="L453" s="361">
        <f t="shared" si="86"/>
        <v>901666</v>
      </c>
      <c r="M453" s="361">
        <f t="shared" si="87"/>
        <v>901666</v>
      </c>
      <c r="N453" s="358">
        <v>901666</v>
      </c>
      <c r="O453" s="358">
        <v>901666</v>
      </c>
      <c r="P453" s="358">
        <v>901666</v>
      </c>
      <c r="Q453" s="358" t="s">
        <v>8</v>
      </c>
      <c r="R453" s="358">
        <v>0</v>
      </c>
      <c r="S453" s="358">
        <v>0</v>
      </c>
      <c r="T453" s="358">
        <v>0</v>
      </c>
      <c r="U453" s="35">
        <f t="shared" si="88"/>
        <v>3</v>
      </c>
      <c r="W453">
        <f t="shared" si="89"/>
        <v>1</v>
      </c>
      <c r="X453" s="35">
        <f t="shared" si="90"/>
        <v>1</v>
      </c>
      <c r="Y453">
        <f t="shared" si="91"/>
        <v>1</v>
      </c>
      <c r="AB453">
        <f t="shared" si="94"/>
        <v>1</v>
      </c>
      <c r="AC453">
        <f t="shared" ref="AC453:AC516" ca="1" si="95">IFERROR(SEARCH(INDIRECT(CELL("adresse")),B453,1),0)</f>
        <v>0</v>
      </c>
      <c r="AD453" t="str">
        <f ca="1">IF(AC453=1,COUNTIF($AC$3:AC453,1),"")</f>
        <v/>
      </c>
      <c r="AE453" s="155" t="str">
        <f ca="1">IFERROR(INDEX(Données!$B$3:$B$1479,MATCH(ROWS($AD$3:AD453),$AD$3:$AD$1479,0)),"")</f>
        <v/>
      </c>
    </row>
    <row r="454" spans="1:31" ht="15.75" x14ac:dyDescent="0.25">
      <c r="A454" t="str">
        <f t="shared" si="92"/>
        <v>Jason Robertson - DAL - LW</v>
      </c>
      <c r="B454" t="str">
        <f t="shared" si="93"/>
        <v>Jason Robertson - DAL - LW</v>
      </c>
      <c r="C454" t="str">
        <f t="shared" si="84"/>
        <v>Jason</v>
      </c>
      <c r="D454" t="str">
        <f t="shared" si="85"/>
        <v>Robertson</v>
      </c>
      <c r="E454" s="39" t="s">
        <v>1969</v>
      </c>
      <c r="F454" s="30" t="s">
        <v>16</v>
      </c>
      <c r="G454" s="35" t="s">
        <v>386</v>
      </c>
      <c r="H454" s="35" t="s">
        <v>93</v>
      </c>
      <c r="I454" s="35" t="s">
        <v>2690</v>
      </c>
      <c r="J454" s="35">
        <v>20</v>
      </c>
      <c r="K454" s="35">
        <f>VALUE(COUNTIF(Validation!$A$2:$H$47,E454))</f>
        <v>0</v>
      </c>
      <c r="L454" s="361">
        <f t="shared" si="86"/>
        <v>894167</v>
      </c>
      <c r="M454" s="361">
        <f t="shared" si="87"/>
        <v>894167</v>
      </c>
      <c r="N454" s="358">
        <v>894167</v>
      </c>
      <c r="O454" s="358">
        <v>894167</v>
      </c>
      <c r="P454" s="358">
        <v>894167</v>
      </c>
      <c r="Q454" s="358" t="s">
        <v>8</v>
      </c>
      <c r="R454" s="358">
        <v>0</v>
      </c>
      <c r="S454" s="358">
        <v>0</v>
      </c>
      <c r="T454" s="358">
        <v>0</v>
      </c>
      <c r="U454" s="35">
        <f t="shared" si="88"/>
        <v>3</v>
      </c>
      <c r="W454">
        <f t="shared" si="89"/>
        <v>1</v>
      </c>
      <c r="X454" s="35">
        <f t="shared" si="90"/>
        <v>1</v>
      </c>
      <c r="Y454">
        <f t="shared" si="91"/>
        <v>1</v>
      </c>
      <c r="AB454">
        <f t="shared" si="94"/>
        <v>1</v>
      </c>
      <c r="AC454">
        <f t="shared" ca="1" si="95"/>
        <v>0</v>
      </c>
      <c r="AD454" t="str">
        <f ca="1">IF(AC454=1,COUNTIF($AC$3:AC454,1),"")</f>
        <v/>
      </c>
      <c r="AE454" s="155" t="str">
        <f ca="1">IFERROR(INDEX(Données!$B$3:$B$1479,MATCH(ROWS($AD$3:AD454),$AD$3:$AD$1479,0)),"")</f>
        <v/>
      </c>
    </row>
    <row r="455" spans="1:31" ht="15.75" x14ac:dyDescent="0.25">
      <c r="A455" t="str">
        <f t="shared" si="92"/>
        <v>Adam Mascherin - DAL - C, LW</v>
      </c>
      <c r="B455" t="str">
        <f t="shared" si="93"/>
        <v>Adam Mascherin - DAL - C, LW</v>
      </c>
      <c r="C455" t="str">
        <f t="shared" si="84"/>
        <v>Adam</v>
      </c>
      <c r="D455" t="str">
        <f t="shared" si="85"/>
        <v>Mascherin</v>
      </c>
      <c r="E455" s="39" t="s">
        <v>1971</v>
      </c>
      <c r="F455" s="30" t="s">
        <v>16</v>
      </c>
      <c r="G455" s="35" t="s">
        <v>386</v>
      </c>
      <c r="H455" s="35" t="s">
        <v>2679</v>
      </c>
      <c r="I455" s="35" t="s">
        <v>2690</v>
      </c>
      <c r="J455" s="35">
        <v>21</v>
      </c>
      <c r="K455" s="35">
        <f>VALUE(COUNTIF(Validation!$A$2:$H$47,E455))</f>
        <v>0</v>
      </c>
      <c r="L455" s="361">
        <f t="shared" si="86"/>
        <v>880000</v>
      </c>
      <c r="M455" s="361">
        <f t="shared" si="87"/>
        <v>880000</v>
      </c>
      <c r="N455" s="358">
        <v>880000</v>
      </c>
      <c r="O455" s="358">
        <v>880000</v>
      </c>
      <c r="P455" s="358" t="s">
        <v>8</v>
      </c>
      <c r="Q455" s="358">
        <v>0</v>
      </c>
      <c r="R455" s="358">
        <v>0</v>
      </c>
      <c r="S455" s="358">
        <v>0</v>
      </c>
      <c r="T455" s="358">
        <v>0</v>
      </c>
      <c r="U455" s="35">
        <f t="shared" si="88"/>
        <v>2</v>
      </c>
      <c r="W455">
        <f t="shared" si="89"/>
        <v>1</v>
      </c>
      <c r="X455" s="35">
        <f t="shared" si="90"/>
        <v>1</v>
      </c>
      <c r="Y455">
        <f t="shared" si="91"/>
        <v>1</v>
      </c>
      <c r="AB455">
        <f t="shared" si="94"/>
        <v>1</v>
      </c>
      <c r="AC455">
        <f t="shared" ca="1" si="95"/>
        <v>0</v>
      </c>
      <c r="AD455" t="str">
        <f ca="1">IF(AC455=1,COUNTIF($AC$3:AC455,1),"")</f>
        <v/>
      </c>
      <c r="AE455" s="155" t="str">
        <f ca="1">IFERROR(INDEX(Données!$B$3:$B$1479,MATCH(ROWS($AD$3:AD455),$AD$3:$AD$1479,0)),"")</f>
        <v/>
      </c>
    </row>
    <row r="456" spans="1:31" ht="15.75" x14ac:dyDescent="0.25">
      <c r="A456" t="str">
        <f t="shared" si="92"/>
        <v>Benjamin Gleason - DAL - LD</v>
      </c>
      <c r="B456" t="str">
        <f t="shared" si="93"/>
        <v>Benjamin Gleason - DAL - LD</v>
      </c>
      <c r="C456" t="str">
        <f t="shared" si="84"/>
        <v>Benjamin</v>
      </c>
      <c r="D456" t="str">
        <f t="shared" si="85"/>
        <v>Gleason</v>
      </c>
      <c r="E456" s="39" t="s">
        <v>1973</v>
      </c>
      <c r="F456" s="30" t="s">
        <v>16</v>
      </c>
      <c r="G456" s="35" t="s">
        <v>386</v>
      </c>
      <c r="H456" s="35" t="s">
        <v>380</v>
      </c>
      <c r="I456" s="35" t="s">
        <v>2690</v>
      </c>
      <c r="J456" s="35">
        <v>21</v>
      </c>
      <c r="K456" s="35">
        <f>VALUE(COUNTIF(Validation!$A$2:$H$47,E456))</f>
        <v>0</v>
      </c>
      <c r="L456" s="361">
        <f t="shared" si="86"/>
        <v>761666</v>
      </c>
      <c r="M456" s="361">
        <f t="shared" si="87"/>
        <v>761666</v>
      </c>
      <c r="N456" s="358">
        <v>761666</v>
      </c>
      <c r="O456" s="358">
        <v>761666</v>
      </c>
      <c r="P456" s="358" t="s">
        <v>8</v>
      </c>
      <c r="Q456" s="358">
        <v>0</v>
      </c>
      <c r="R456" s="358">
        <v>0</v>
      </c>
      <c r="S456" s="358">
        <v>0</v>
      </c>
      <c r="T456" s="358">
        <v>0</v>
      </c>
      <c r="U456" s="35">
        <f t="shared" si="88"/>
        <v>2</v>
      </c>
      <c r="W456">
        <f t="shared" si="89"/>
        <v>1</v>
      </c>
      <c r="X456" s="35">
        <f t="shared" si="90"/>
        <v>1</v>
      </c>
      <c r="Y456">
        <f t="shared" si="91"/>
        <v>1</v>
      </c>
      <c r="AB456">
        <f t="shared" si="94"/>
        <v>1</v>
      </c>
      <c r="AC456">
        <f t="shared" ca="1" si="95"/>
        <v>0</v>
      </c>
      <c r="AD456" t="str">
        <f ca="1">IF(AC456=1,COUNTIF($AC$3:AC456,1),"")</f>
        <v/>
      </c>
      <c r="AE456" s="155" t="str">
        <f ca="1">IFERROR(INDEX(Données!$B$3:$B$1479,MATCH(ROWS($AD$3:AD456),$AD$3:$AD$1479,0)),"")</f>
        <v/>
      </c>
    </row>
    <row r="457" spans="1:31" ht="15.75" x14ac:dyDescent="0.25">
      <c r="A457" t="str">
        <f t="shared" si="92"/>
        <v>Justin Dowling - DAL - C</v>
      </c>
      <c r="B457" t="str">
        <f t="shared" si="93"/>
        <v>Justin Dowling - DAL - C</v>
      </c>
      <c r="C457" t="str">
        <f t="shared" si="84"/>
        <v>Justin</v>
      </c>
      <c r="D457" t="str">
        <f t="shared" si="85"/>
        <v>Dowling</v>
      </c>
      <c r="E457" s="39" t="s">
        <v>1982</v>
      </c>
      <c r="F457" s="30" t="s">
        <v>16</v>
      </c>
      <c r="G457" s="35">
        <v>0</v>
      </c>
      <c r="H457" s="35" t="s">
        <v>73</v>
      </c>
      <c r="I457" s="35" t="s">
        <v>2677</v>
      </c>
      <c r="J457" s="35">
        <v>28</v>
      </c>
      <c r="K457" s="35">
        <f>VALUE(COUNTIF(Validation!$A$2:$H$47,E457))</f>
        <v>0</v>
      </c>
      <c r="L457" s="361">
        <f t="shared" si="86"/>
        <v>750000</v>
      </c>
      <c r="M457" s="361">
        <f t="shared" si="87"/>
        <v>750000</v>
      </c>
      <c r="N457" s="358">
        <v>750000</v>
      </c>
      <c r="O457" s="358">
        <v>750000</v>
      </c>
      <c r="P457" s="358" t="s">
        <v>7</v>
      </c>
      <c r="Q457" s="358">
        <v>0</v>
      </c>
      <c r="R457" s="358">
        <v>0</v>
      </c>
      <c r="S457" s="358">
        <v>0</v>
      </c>
      <c r="T457" s="358">
        <v>0</v>
      </c>
      <c r="U457" s="35">
        <f t="shared" si="88"/>
        <v>2</v>
      </c>
      <c r="W457">
        <f t="shared" si="89"/>
        <v>1</v>
      </c>
      <c r="X457" s="35">
        <f t="shared" si="90"/>
        <v>0</v>
      </c>
      <c r="Y457">
        <f t="shared" si="91"/>
        <v>1</v>
      </c>
      <c r="AB457">
        <f t="shared" si="94"/>
        <v>1</v>
      </c>
      <c r="AC457">
        <f t="shared" ca="1" si="95"/>
        <v>0</v>
      </c>
      <c r="AD457" t="str">
        <f ca="1">IF(AC457=1,COUNTIF($AC$3:AC457,1),"")</f>
        <v/>
      </c>
      <c r="AE457" s="155" t="str">
        <f ca="1">IFERROR(INDEX(Données!$B$3:$B$1479,MATCH(ROWS($AD$3:AD457),$AD$3:$AD$1479,0)),"")</f>
        <v/>
      </c>
    </row>
    <row r="458" spans="1:31" ht="15.75" x14ac:dyDescent="0.25">
      <c r="A458" t="str">
        <f t="shared" si="92"/>
        <v>John Nyberg - DAL - LD</v>
      </c>
      <c r="B458" t="str">
        <f t="shared" si="93"/>
        <v>John Nyberg - DAL - LD</v>
      </c>
      <c r="C458" t="str">
        <f t="shared" si="84"/>
        <v>John</v>
      </c>
      <c r="D458" t="str">
        <f t="shared" si="85"/>
        <v>Nyberg</v>
      </c>
      <c r="E458" s="39" t="s">
        <v>1974</v>
      </c>
      <c r="F458" s="30" t="s">
        <v>16</v>
      </c>
      <c r="G458" s="35" t="s">
        <v>386</v>
      </c>
      <c r="H458" s="9" t="s">
        <v>380</v>
      </c>
      <c r="I458" s="9" t="s">
        <v>2690</v>
      </c>
      <c r="J458" s="9">
        <v>23</v>
      </c>
      <c r="K458" s="35">
        <f>VALUE(COUNTIF(Validation!$A$2:$H$47,E458))</f>
        <v>0</v>
      </c>
      <c r="L458" s="361">
        <f t="shared" si="86"/>
        <v>745000</v>
      </c>
      <c r="M458" s="361">
        <f t="shared" si="87"/>
        <v>0</v>
      </c>
      <c r="N458" s="358">
        <v>745000</v>
      </c>
      <c r="O458" s="358" t="s">
        <v>8</v>
      </c>
      <c r="P458" s="358">
        <v>0</v>
      </c>
      <c r="Q458" s="358">
        <v>0</v>
      </c>
      <c r="R458" s="358">
        <v>0</v>
      </c>
      <c r="S458" s="358">
        <v>0</v>
      </c>
      <c r="T458" s="358">
        <v>0</v>
      </c>
      <c r="U458" s="35">
        <f t="shared" si="88"/>
        <v>1</v>
      </c>
      <c r="W458">
        <f t="shared" si="89"/>
        <v>1</v>
      </c>
      <c r="X458" s="35">
        <f t="shared" si="90"/>
        <v>1</v>
      </c>
      <c r="Y458">
        <f t="shared" si="91"/>
        <v>0</v>
      </c>
      <c r="AB458">
        <f t="shared" si="94"/>
        <v>1</v>
      </c>
      <c r="AC458">
        <f t="shared" ca="1" si="95"/>
        <v>0</v>
      </c>
      <c r="AD458" t="str">
        <f ca="1">IF(AC458=1,COUNTIF($AC$3:AC458,1),"")</f>
        <v/>
      </c>
      <c r="AE458" s="155" t="str">
        <f ca="1">IFERROR(INDEX(Données!$B$3:$B$1479,MATCH(ROWS($AD$3:AD458),$AD$3:$AD$1479,0)),"")</f>
        <v/>
      </c>
    </row>
    <row r="459" spans="1:31" ht="15.75" x14ac:dyDescent="0.25">
      <c r="A459" t="str">
        <f t="shared" si="92"/>
        <v>Nicholas Caamano - DAL - RW</v>
      </c>
      <c r="B459" t="str">
        <f t="shared" si="93"/>
        <v>Nicholas Caamano - DAL - RW</v>
      </c>
      <c r="C459" t="str">
        <f t="shared" si="84"/>
        <v>Nicholas</v>
      </c>
      <c r="D459" t="str">
        <f t="shared" si="85"/>
        <v>Caamano</v>
      </c>
      <c r="E459" s="39" t="s">
        <v>1975</v>
      </c>
      <c r="F459" s="35" t="s">
        <v>16</v>
      </c>
      <c r="G459" s="35" t="s">
        <v>386</v>
      </c>
      <c r="H459" s="35" t="s">
        <v>88</v>
      </c>
      <c r="I459" s="35" t="s">
        <v>2690</v>
      </c>
      <c r="J459" s="35">
        <v>20</v>
      </c>
      <c r="K459" s="35">
        <f>VALUE(COUNTIF(Validation!$A$2:$H$47,E459))</f>
        <v>0</v>
      </c>
      <c r="L459" s="361">
        <f t="shared" si="86"/>
        <v>738333</v>
      </c>
      <c r="M459" s="361">
        <f t="shared" si="87"/>
        <v>738333</v>
      </c>
      <c r="N459" s="358">
        <v>738333</v>
      </c>
      <c r="O459" s="358">
        <v>738333</v>
      </c>
      <c r="P459" s="358" t="s">
        <v>8</v>
      </c>
      <c r="Q459" s="358">
        <v>0</v>
      </c>
      <c r="R459" s="358">
        <v>0</v>
      </c>
      <c r="S459" s="358">
        <v>0</v>
      </c>
      <c r="T459" s="358">
        <v>0</v>
      </c>
      <c r="U459" s="35">
        <f t="shared" si="88"/>
        <v>2</v>
      </c>
      <c r="W459">
        <f t="shared" si="89"/>
        <v>1</v>
      </c>
      <c r="X459" s="35">
        <f t="shared" si="90"/>
        <v>1</v>
      </c>
      <c r="Y459">
        <f t="shared" si="91"/>
        <v>1</v>
      </c>
      <c r="AB459">
        <f t="shared" si="94"/>
        <v>1</v>
      </c>
      <c r="AC459">
        <f t="shared" ca="1" si="95"/>
        <v>0</v>
      </c>
      <c r="AD459" t="str">
        <f ca="1">IF(AC459=1,COUNTIF($AC$3:AC459,1),"")</f>
        <v/>
      </c>
      <c r="AE459" s="155" t="str">
        <f ca="1">IFERROR(INDEX(Données!$B$3:$B$1479,MATCH(ROWS($AD$3:AD459),$AD$3:$AD$1479,0)),"")</f>
        <v/>
      </c>
    </row>
    <row r="460" spans="1:31" ht="15.75" x14ac:dyDescent="0.25">
      <c r="A460" t="str">
        <f t="shared" si="92"/>
        <v>Taylor Fedun - DAL - RD</v>
      </c>
      <c r="B460" t="str">
        <f t="shared" si="93"/>
        <v>Taylor Fedun - DAL - RD</v>
      </c>
      <c r="C460" t="str">
        <f t="shared" si="84"/>
        <v>Taylor</v>
      </c>
      <c r="D460" t="str">
        <f t="shared" si="85"/>
        <v>Fedun</v>
      </c>
      <c r="E460" s="39" t="s">
        <v>1417</v>
      </c>
      <c r="F460" s="30" t="s">
        <v>16</v>
      </c>
      <c r="G460" s="35">
        <v>0</v>
      </c>
      <c r="H460" s="35" t="s">
        <v>379</v>
      </c>
      <c r="I460" s="35" t="s">
        <v>2677</v>
      </c>
      <c r="J460" s="35">
        <v>31</v>
      </c>
      <c r="K460" s="35">
        <f>VALUE(COUNTIF(Validation!$A$2:$H$47,E460))</f>
        <v>0</v>
      </c>
      <c r="L460" s="361">
        <f t="shared" si="86"/>
        <v>737500</v>
      </c>
      <c r="M460" s="361">
        <f t="shared" si="87"/>
        <v>737500</v>
      </c>
      <c r="N460" s="358">
        <v>737500</v>
      </c>
      <c r="O460" s="358">
        <v>737500</v>
      </c>
      <c r="P460" s="358" t="s">
        <v>7</v>
      </c>
      <c r="Q460" s="358">
        <v>0</v>
      </c>
      <c r="R460" s="358">
        <v>0</v>
      </c>
      <c r="S460" s="358">
        <v>0</v>
      </c>
      <c r="T460" s="358">
        <v>0</v>
      </c>
      <c r="U460" s="35">
        <f t="shared" si="88"/>
        <v>2</v>
      </c>
      <c r="W460">
        <f t="shared" si="89"/>
        <v>1</v>
      </c>
      <c r="X460" s="35">
        <f t="shared" si="90"/>
        <v>0</v>
      </c>
      <c r="Y460">
        <f t="shared" si="91"/>
        <v>1</v>
      </c>
      <c r="AB460">
        <f t="shared" si="94"/>
        <v>1</v>
      </c>
      <c r="AC460">
        <f t="shared" ca="1" si="95"/>
        <v>0</v>
      </c>
      <c r="AD460" t="str">
        <f ca="1">IF(AC460=1,COUNTIF($AC$3:AC460,1),"")</f>
        <v/>
      </c>
      <c r="AE460" s="155" t="str">
        <f ca="1">IFERROR(INDEX(Données!$B$3:$B$1479,MATCH(ROWS($AD$3:AD460),$AD$3:$AD$1479,0)),"")</f>
        <v/>
      </c>
    </row>
    <row r="461" spans="1:31" ht="15.75" x14ac:dyDescent="0.25">
      <c r="A461" t="str">
        <f t="shared" si="92"/>
        <v>Tanner Kero - DAL - C</v>
      </c>
      <c r="B461" t="str">
        <f t="shared" si="93"/>
        <v>Tanner Kero - DAL - C</v>
      </c>
      <c r="C461" t="str">
        <f t="shared" si="84"/>
        <v>Tanner</v>
      </c>
      <c r="D461" t="str">
        <f t="shared" si="85"/>
        <v>Kero</v>
      </c>
      <c r="E461" s="39" t="s">
        <v>2358</v>
      </c>
      <c r="F461" s="30" t="s">
        <v>16</v>
      </c>
      <c r="G461" s="35">
        <v>0</v>
      </c>
      <c r="H461" s="35" t="s">
        <v>73</v>
      </c>
      <c r="I461" s="35" t="s">
        <v>2690</v>
      </c>
      <c r="J461" s="35">
        <v>27</v>
      </c>
      <c r="K461" s="35">
        <f>VALUE(COUNTIF(Validation!$A$2:$H$47,E461))</f>
        <v>0</v>
      </c>
      <c r="L461" s="361">
        <f t="shared" si="86"/>
        <v>737500</v>
      </c>
      <c r="M461" s="361">
        <f t="shared" si="87"/>
        <v>737500</v>
      </c>
      <c r="N461" s="358">
        <v>737500</v>
      </c>
      <c r="O461" s="358">
        <v>737500</v>
      </c>
      <c r="P461" s="358" t="s">
        <v>7</v>
      </c>
      <c r="Q461" s="358">
        <v>0</v>
      </c>
      <c r="R461" s="358">
        <v>0</v>
      </c>
      <c r="S461" s="358">
        <v>0</v>
      </c>
      <c r="T461" s="358">
        <v>0</v>
      </c>
      <c r="U461" s="35">
        <f t="shared" si="88"/>
        <v>2</v>
      </c>
      <c r="W461">
        <f t="shared" si="89"/>
        <v>1</v>
      </c>
      <c r="X461" s="35">
        <f t="shared" si="90"/>
        <v>0</v>
      </c>
      <c r="Y461">
        <f t="shared" si="91"/>
        <v>1</v>
      </c>
      <c r="AB461">
        <f t="shared" si="94"/>
        <v>1</v>
      </c>
      <c r="AC461">
        <f t="shared" ca="1" si="95"/>
        <v>0</v>
      </c>
      <c r="AD461" t="str">
        <f ca="1">IF(AC461=1,COUNTIF($AC$3:AC461,1),"")</f>
        <v/>
      </c>
      <c r="AE461" s="155" t="str">
        <f ca="1">IFERROR(INDEX(Données!$B$3:$B$1479,MATCH(ROWS($AD$3:AD461),$AD$3:$AD$1479,0)),"")</f>
        <v/>
      </c>
    </row>
    <row r="462" spans="1:31" ht="15.75" x14ac:dyDescent="0.25">
      <c r="A462" t="str">
        <f t="shared" si="92"/>
        <v>Joel L'Esperance - DAL - C, RW</v>
      </c>
      <c r="B462" t="str">
        <f t="shared" si="93"/>
        <v>Joel L'Esperance - DAL - C, RW</v>
      </c>
      <c r="C462" t="str">
        <f t="shared" si="84"/>
        <v>Joel</v>
      </c>
      <c r="D462" t="str">
        <f t="shared" si="85"/>
        <v>L'Esperance</v>
      </c>
      <c r="E462" s="39" t="s">
        <v>1977</v>
      </c>
      <c r="F462" s="30" t="s">
        <v>16</v>
      </c>
      <c r="G462" s="35" t="s">
        <v>386</v>
      </c>
      <c r="H462" s="35" t="s">
        <v>2684</v>
      </c>
      <c r="I462" s="35" t="s">
        <v>2690</v>
      </c>
      <c r="J462" s="35">
        <v>23</v>
      </c>
      <c r="K462" s="35">
        <f>VALUE(COUNTIF(Validation!$A$2:$H$47,E462))</f>
        <v>0</v>
      </c>
      <c r="L462" s="361">
        <f t="shared" si="86"/>
        <v>722500</v>
      </c>
      <c r="M462" s="361">
        <f t="shared" si="87"/>
        <v>0</v>
      </c>
      <c r="N462" s="358">
        <v>722500</v>
      </c>
      <c r="O462" s="358" t="s">
        <v>8</v>
      </c>
      <c r="P462" s="358">
        <v>0</v>
      </c>
      <c r="Q462" s="358">
        <v>0</v>
      </c>
      <c r="R462" s="358">
        <v>0</v>
      </c>
      <c r="S462" s="358">
        <v>0</v>
      </c>
      <c r="T462" s="358">
        <v>0</v>
      </c>
      <c r="U462" s="35">
        <f t="shared" si="88"/>
        <v>1</v>
      </c>
      <c r="W462">
        <f t="shared" si="89"/>
        <v>1</v>
      </c>
      <c r="X462" s="35">
        <f t="shared" si="90"/>
        <v>1</v>
      </c>
      <c r="Y462">
        <f t="shared" si="91"/>
        <v>0</v>
      </c>
      <c r="AB462">
        <f t="shared" si="94"/>
        <v>1</v>
      </c>
      <c r="AC462">
        <f t="shared" ca="1" si="95"/>
        <v>0</v>
      </c>
      <c r="AD462" t="str">
        <f ca="1">IF(AC462=1,COUNTIF($AC$3:AC462,1),"")</f>
        <v/>
      </c>
      <c r="AE462" s="155" t="str">
        <f ca="1">IFERROR(INDEX(Données!$B$3:$B$1479,MATCH(ROWS($AD$3:AD462),$AD$3:$AD$1479,0)),"")</f>
        <v/>
      </c>
    </row>
    <row r="463" spans="1:31" ht="15.75" x14ac:dyDescent="0.25">
      <c r="A463" t="str">
        <f t="shared" si="92"/>
        <v>Ondrej Vala - DAL - LD</v>
      </c>
      <c r="B463" t="str">
        <f t="shared" si="93"/>
        <v>Ondrej Vala - DAL - LD</v>
      </c>
      <c r="C463" t="str">
        <f t="shared" si="84"/>
        <v>Ondrej</v>
      </c>
      <c r="D463" t="str">
        <f t="shared" si="85"/>
        <v>Vala</v>
      </c>
      <c r="E463" s="39" t="s">
        <v>1979</v>
      </c>
      <c r="F463" s="30" t="s">
        <v>16</v>
      </c>
      <c r="G463" s="35" t="s">
        <v>386</v>
      </c>
      <c r="H463" s="35" t="s">
        <v>380</v>
      </c>
      <c r="I463" s="35" t="s">
        <v>2690</v>
      </c>
      <c r="J463" s="35">
        <v>21</v>
      </c>
      <c r="K463" s="35">
        <f>VALUE(COUNTIF(Validation!$A$2:$H$47,E463))</f>
        <v>0</v>
      </c>
      <c r="L463" s="361">
        <f t="shared" si="86"/>
        <v>701666</v>
      </c>
      <c r="M463" s="361">
        <f t="shared" si="87"/>
        <v>701666</v>
      </c>
      <c r="N463" s="358">
        <v>701666</v>
      </c>
      <c r="O463" s="358">
        <v>701666</v>
      </c>
      <c r="P463" s="358" t="s">
        <v>8</v>
      </c>
      <c r="Q463" s="358">
        <v>0</v>
      </c>
      <c r="R463" s="358">
        <v>0</v>
      </c>
      <c r="S463" s="358">
        <v>0</v>
      </c>
      <c r="T463" s="358">
        <v>0</v>
      </c>
      <c r="U463" s="35">
        <f t="shared" si="88"/>
        <v>2</v>
      </c>
      <c r="W463">
        <f t="shared" si="89"/>
        <v>1</v>
      </c>
      <c r="X463" s="35">
        <f t="shared" si="90"/>
        <v>1</v>
      </c>
      <c r="Y463">
        <f t="shared" si="91"/>
        <v>1</v>
      </c>
      <c r="AB463">
        <f t="shared" si="94"/>
        <v>1</v>
      </c>
      <c r="AC463">
        <f t="shared" ca="1" si="95"/>
        <v>0</v>
      </c>
      <c r="AD463" t="str">
        <f ca="1">IF(AC463=1,COUNTIF($AC$3:AC463,1),"")</f>
        <v/>
      </c>
      <c r="AE463" s="155" t="str">
        <f ca="1">IFERROR(INDEX(Données!$B$3:$B$1479,MATCH(ROWS($AD$3:AD463),$AD$3:$AD$1479,0)),"")</f>
        <v/>
      </c>
    </row>
    <row r="464" spans="1:31" ht="15.75" x14ac:dyDescent="0.25">
      <c r="A464" t="str">
        <f t="shared" si="92"/>
        <v>Gavin Bayreuther - DAL - D</v>
      </c>
      <c r="B464" t="str">
        <f t="shared" si="93"/>
        <v>Gavin Bayreuther - DAL - D</v>
      </c>
      <c r="C464" t="str">
        <f t="shared" si="84"/>
        <v>Gavin</v>
      </c>
      <c r="D464" t="str">
        <f t="shared" si="85"/>
        <v>Bayreuther</v>
      </c>
      <c r="E464" s="39" t="s">
        <v>1964</v>
      </c>
      <c r="F464" s="30" t="s">
        <v>16</v>
      </c>
      <c r="G464" s="35">
        <v>0</v>
      </c>
      <c r="H464" s="35" t="s">
        <v>82</v>
      </c>
      <c r="I464" s="35" t="s">
        <v>2690</v>
      </c>
      <c r="J464" s="35">
        <v>25</v>
      </c>
      <c r="K464" s="35">
        <f>VALUE(COUNTIF(Validation!$A$2:$H$47,E464))</f>
        <v>0</v>
      </c>
      <c r="L464" s="361">
        <f t="shared" si="86"/>
        <v>700000</v>
      </c>
      <c r="M464" s="361">
        <f t="shared" si="87"/>
        <v>0</v>
      </c>
      <c r="N464" s="358">
        <v>700000</v>
      </c>
      <c r="O464" s="358" t="s">
        <v>8</v>
      </c>
      <c r="P464" s="358">
        <v>0</v>
      </c>
      <c r="Q464" s="358">
        <v>0</v>
      </c>
      <c r="R464" s="358">
        <v>0</v>
      </c>
      <c r="S464" s="358">
        <v>0</v>
      </c>
      <c r="T464" s="358">
        <v>0</v>
      </c>
      <c r="U464" s="35">
        <f t="shared" si="88"/>
        <v>1</v>
      </c>
      <c r="W464">
        <f t="shared" si="89"/>
        <v>1</v>
      </c>
      <c r="X464" s="35">
        <f t="shared" si="90"/>
        <v>0</v>
      </c>
      <c r="Y464">
        <f t="shared" si="91"/>
        <v>0</v>
      </c>
      <c r="AB464">
        <f t="shared" si="94"/>
        <v>1</v>
      </c>
      <c r="AC464">
        <f t="shared" ca="1" si="95"/>
        <v>0</v>
      </c>
      <c r="AD464" t="str">
        <f ca="1">IF(AC464=1,COUNTIF($AC$3:AC464,1),"")</f>
        <v/>
      </c>
      <c r="AE464" s="155" t="str">
        <f ca="1">IFERROR(INDEX(Données!$B$3:$B$1479,MATCH(ROWS($AD$3:AD464),$AD$3:$AD$1479,0)),"")</f>
        <v/>
      </c>
    </row>
    <row r="465" spans="1:31" ht="15.75" x14ac:dyDescent="0.25">
      <c r="A465" t="str">
        <f t="shared" si="92"/>
        <v>Landon Bow - DAL - G</v>
      </c>
      <c r="B465" t="str">
        <f t="shared" si="93"/>
        <v>Landon Bow - DAL - G</v>
      </c>
      <c r="C465" t="str">
        <f t="shared" si="84"/>
        <v>Landon</v>
      </c>
      <c r="D465" t="str">
        <f t="shared" si="85"/>
        <v>Bow</v>
      </c>
      <c r="E465" s="39" t="s">
        <v>1980</v>
      </c>
      <c r="F465" s="30" t="s">
        <v>16</v>
      </c>
      <c r="G465" s="35">
        <v>0</v>
      </c>
      <c r="H465" s="35" t="s">
        <v>127</v>
      </c>
      <c r="I465" s="35" t="s">
        <v>2690</v>
      </c>
      <c r="J465" s="35">
        <v>23</v>
      </c>
      <c r="K465" s="35">
        <f>VALUE(COUNTIF(Validation!$A$2:$H$47,E465))</f>
        <v>0</v>
      </c>
      <c r="L465" s="361">
        <f t="shared" si="86"/>
        <v>700000</v>
      </c>
      <c r="M465" s="361">
        <f t="shared" si="87"/>
        <v>0</v>
      </c>
      <c r="N465" s="358">
        <v>700000</v>
      </c>
      <c r="O465" s="358" t="s">
        <v>8</v>
      </c>
      <c r="P465" s="358">
        <v>0</v>
      </c>
      <c r="Q465" s="358">
        <v>0</v>
      </c>
      <c r="R465" s="358">
        <v>0</v>
      </c>
      <c r="S465" s="358">
        <v>0</v>
      </c>
      <c r="T465" s="358">
        <v>0</v>
      </c>
      <c r="U465" s="35">
        <f t="shared" si="88"/>
        <v>1</v>
      </c>
      <c r="W465">
        <f t="shared" si="89"/>
        <v>1</v>
      </c>
      <c r="X465" s="35">
        <f t="shared" si="90"/>
        <v>0</v>
      </c>
      <c r="Y465">
        <f t="shared" si="91"/>
        <v>0</v>
      </c>
      <c r="AB465">
        <f t="shared" si="94"/>
        <v>1</v>
      </c>
      <c r="AC465">
        <f t="shared" ca="1" si="95"/>
        <v>0</v>
      </c>
      <c r="AD465" t="str">
        <f ca="1">IF(AC465=1,COUNTIF($AC$3:AC465,1),"")</f>
        <v/>
      </c>
      <c r="AE465" s="155" t="str">
        <f ca="1">IFERROR(INDEX(Données!$B$3:$B$1479,MATCH(ROWS($AD$3:AD465),$AD$3:$AD$1479,0)),"")</f>
        <v/>
      </c>
    </row>
    <row r="466" spans="1:31" ht="15.75" x14ac:dyDescent="0.25">
      <c r="A466" t="str">
        <f t="shared" si="92"/>
        <v>Joel Hanley - DAL - LD</v>
      </c>
      <c r="B466" t="str">
        <f t="shared" si="93"/>
        <v>Joel Hanley - DAL - LD</v>
      </c>
      <c r="C466" t="str">
        <f t="shared" si="84"/>
        <v>Joel</v>
      </c>
      <c r="D466" t="str">
        <f t="shared" si="85"/>
        <v>Hanley</v>
      </c>
      <c r="E466" s="39" t="s">
        <v>1984</v>
      </c>
      <c r="F466" s="30" t="s">
        <v>16</v>
      </c>
      <c r="G466" s="35">
        <v>0</v>
      </c>
      <c r="H466" s="35" t="s">
        <v>380</v>
      </c>
      <c r="I466" s="35" t="s">
        <v>2690</v>
      </c>
      <c r="J466" s="35">
        <v>28</v>
      </c>
      <c r="K466" s="35">
        <f>VALUE(COUNTIF(Validation!$A$2:$H$47,E466))</f>
        <v>0</v>
      </c>
      <c r="L466" s="361">
        <f t="shared" si="86"/>
        <v>700000</v>
      </c>
      <c r="M466" s="361">
        <f t="shared" si="87"/>
        <v>700000</v>
      </c>
      <c r="N466" s="358">
        <v>700000</v>
      </c>
      <c r="O466" s="358">
        <v>700000</v>
      </c>
      <c r="P466" s="358" t="s">
        <v>7</v>
      </c>
      <c r="Q466" s="358">
        <v>0</v>
      </c>
      <c r="R466" s="358">
        <v>0</v>
      </c>
      <c r="S466" s="358">
        <v>0</v>
      </c>
      <c r="T466" s="358">
        <v>0</v>
      </c>
      <c r="U466" s="35">
        <f t="shared" si="88"/>
        <v>2</v>
      </c>
      <c r="W466">
        <f t="shared" si="89"/>
        <v>1</v>
      </c>
      <c r="X466" s="35">
        <f t="shared" si="90"/>
        <v>0</v>
      </c>
      <c r="Y466">
        <f t="shared" si="91"/>
        <v>1</v>
      </c>
      <c r="AB466">
        <f t="shared" si="94"/>
        <v>1</v>
      </c>
      <c r="AC466">
        <f t="shared" ca="1" si="95"/>
        <v>0</v>
      </c>
      <c r="AD466" t="str">
        <f ca="1">IF(AC466=1,COUNTIF($AC$3:AC466,1),"")</f>
        <v/>
      </c>
      <c r="AE466" s="155" t="str">
        <f ca="1">IFERROR(INDEX(Données!$B$3:$B$1479,MATCH(ROWS($AD$3:AD466),$AD$3:$AD$1479,0)),"")</f>
        <v/>
      </c>
    </row>
    <row r="467" spans="1:31" ht="15.75" x14ac:dyDescent="0.25">
      <c r="A467" t="str">
        <f t="shared" si="92"/>
        <v>Dillon Heatherington - DAL - LD</v>
      </c>
      <c r="B467" t="str">
        <f t="shared" si="93"/>
        <v>Dillon Heatherington - DAL - LD</v>
      </c>
      <c r="C467" t="str">
        <f t="shared" si="84"/>
        <v>Dillon</v>
      </c>
      <c r="D467" t="str">
        <f t="shared" si="85"/>
        <v>Heatherington</v>
      </c>
      <c r="E467" s="39" t="s">
        <v>1983</v>
      </c>
      <c r="F467" s="30" t="s">
        <v>16</v>
      </c>
      <c r="G467" s="35">
        <v>0</v>
      </c>
      <c r="H467" s="35" t="s">
        <v>380</v>
      </c>
      <c r="I467" s="35" t="s">
        <v>2690</v>
      </c>
      <c r="J467" s="35">
        <v>24</v>
      </c>
      <c r="K467" s="35">
        <f>VALUE(COUNTIF(Validation!$A$2:$H$47,E467))</f>
        <v>0</v>
      </c>
      <c r="L467" s="361">
        <f t="shared" si="86"/>
        <v>700000</v>
      </c>
      <c r="M467" s="361">
        <f t="shared" si="87"/>
        <v>0</v>
      </c>
      <c r="N467" s="358">
        <v>700000</v>
      </c>
      <c r="O467" s="358" t="s">
        <v>8</v>
      </c>
      <c r="P467" s="358">
        <v>0</v>
      </c>
      <c r="Q467" s="358">
        <v>0</v>
      </c>
      <c r="R467" s="358">
        <v>0</v>
      </c>
      <c r="S467" s="358">
        <v>0</v>
      </c>
      <c r="T467" s="358">
        <v>0</v>
      </c>
      <c r="U467" s="35">
        <f t="shared" si="88"/>
        <v>1</v>
      </c>
      <c r="W467">
        <f t="shared" si="89"/>
        <v>1</v>
      </c>
      <c r="X467" s="35">
        <f t="shared" si="90"/>
        <v>0</v>
      </c>
      <c r="Y467">
        <f t="shared" si="91"/>
        <v>0</v>
      </c>
      <c r="AB467">
        <f t="shared" si="94"/>
        <v>1</v>
      </c>
      <c r="AC467">
        <f t="shared" ca="1" si="95"/>
        <v>0</v>
      </c>
      <c r="AD467" t="str">
        <f ca="1">IF(AC467=1,COUNTIF($AC$3:AC467,1),"")</f>
        <v/>
      </c>
      <c r="AE467" s="155" t="str">
        <f ca="1">IFERROR(INDEX(Données!$B$3:$B$1479,MATCH(ROWS($AD$3:AD467),$AD$3:$AD$1479,0)),"")</f>
        <v/>
      </c>
    </row>
    <row r="468" spans="1:31" ht="15.75" x14ac:dyDescent="0.25">
      <c r="A468" t="str">
        <f t="shared" si="92"/>
        <v>Reece Scarlett - DAL - RD</v>
      </c>
      <c r="B468" t="str">
        <f t="shared" si="93"/>
        <v>Reece Scarlett - DAL - RD</v>
      </c>
      <c r="C468" t="str">
        <f t="shared" si="84"/>
        <v>Reece</v>
      </c>
      <c r="D468" t="str">
        <f t="shared" si="85"/>
        <v>Scarlett</v>
      </c>
      <c r="E468" s="39" t="s">
        <v>1985</v>
      </c>
      <c r="F468" s="30" t="s">
        <v>16</v>
      </c>
      <c r="G468" s="35">
        <v>0</v>
      </c>
      <c r="H468" s="35" t="s">
        <v>379</v>
      </c>
      <c r="I468" s="35" t="s">
        <v>2690</v>
      </c>
      <c r="J468" s="35">
        <v>26</v>
      </c>
      <c r="K468" s="35">
        <f>VALUE(COUNTIF(Validation!$A$2:$H$47,E468))</f>
        <v>0</v>
      </c>
      <c r="L468" s="361">
        <f t="shared" si="86"/>
        <v>700000</v>
      </c>
      <c r="M468" s="361">
        <f t="shared" si="87"/>
        <v>0</v>
      </c>
      <c r="N468" s="358">
        <v>700000</v>
      </c>
      <c r="O468" s="358" t="s">
        <v>7</v>
      </c>
      <c r="P468" s="358">
        <v>0</v>
      </c>
      <c r="Q468" s="358">
        <v>0</v>
      </c>
      <c r="R468" s="358">
        <v>0</v>
      </c>
      <c r="S468" s="358">
        <v>0</v>
      </c>
      <c r="T468" s="358">
        <v>0</v>
      </c>
      <c r="U468" s="35">
        <f t="shared" si="88"/>
        <v>1</v>
      </c>
      <c r="W468">
        <f t="shared" si="89"/>
        <v>1</v>
      </c>
      <c r="X468" s="35">
        <f t="shared" si="90"/>
        <v>0</v>
      </c>
      <c r="Y468">
        <f t="shared" si="91"/>
        <v>0</v>
      </c>
      <c r="AB468">
        <f t="shared" si="94"/>
        <v>1</v>
      </c>
      <c r="AC468">
        <f t="shared" ca="1" si="95"/>
        <v>0</v>
      </c>
      <c r="AD468" t="str">
        <f ca="1">IF(AC468=1,COUNTIF($AC$3:AC468,1),"")</f>
        <v/>
      </c>
      <c r="AE468" s="155" t="str">
        <f ca="1">IFERROR(INDEX(Données!$B$3:$B$1479,MATCH(ROWS($AD$3:AD468),$AD$3:$AD$1479,0)),"")</f>
        <v/>
      </c>
    </row>
    <row r="469" spans="1:31" ht="15.75" x14ac:dyDescent="0.25">
      <c r="A469" t="str">
        <f t="shared" si="92"/>
        <v>Michael Mersch - DAL - LW</v>
      </c>
      <c r="B469" t="str">
        <f t="shared" si="93"/>
        <v>Michael Mersch - DAL - LW</v>
      </c>
      <c r="C469" t="str">
        <f t="shared" si="84"/>
        <v>Michael</v>
      </c>
      <c r="D469" t="str">
        <f t="shared" si="85"/>
        <v>Mersch</v>
      </c>
      <c r="E469" s="39" t="s">
        <v>1981</v>
      </c>
      <c r="F469" s="30" t="s">
        <v>16</v>
      </c>
      <c r="G469" s="35">
        <v>0</v>
      </c>
      <c r="H469" s="9" t="s">
        <v>93</v>
      </c>
      <c r="I469" s="9" t="s">
        <v>2690</v>
      </c>
      <c r="J469" s="9">
        <v>26</v>
      </c>
      <c r="K469" s="35">
        <f>VALUE(COUNTIF(Validation!$A$2:$H$47,E469))</f>
        <v>0</v>
      </c>
      <c r="L469" s="361">
        <f t="shared" si="86"/>
        <v>675000</v>
      </c>
      <c r="M469" s="361">
        <f t="shared" si="87"/>
        <v>0</v>
      </c>
      <c r="N469" s="358">
        <v>675000</v>
      </c>
      <c r="O469" s="358" t="s">
        <v>7</v>
      </c>
      <c r="P469" s="358">
        <v>0</v>
      </c>
      <c r="Q469" s="358">
        <v>0</v>
      </c>
      <c r="R469" s="358">
        <v>0</v>
      </c>
      <c r="S469" s="358">
        <v>0</v>
      </c>
      <c r="T469" s="358">
        <v>0</v>
      </c>
      <c r="U469" s="35">
        <f t="shared" si="88"/>
        <v>1</v>
      </c>
      <c r="W469">
        <f t="shared" si="89"/>
        <v>1</v>
      </c>
      <c r="X469" s="35">
        <f t="shared" si="90"/>
        <v>0</v>
      </c>
      <c r="Y469">
        <f t="shared" si="91"/>
        <v>0</v>
      </c>
      <c r="AB469">
        <f t="shared" si="94"/>
        <v>1</v>
      </c>
      <c r="AC469">
        <f t="shared" ca="1" si="95"/>
        <v>0</v>
      </c>
      <c r="AD469" t="str">
        <f ca="1">IF(AC469=1,COUNTIF($AC$3:AC469,1),"")</f>
        <v/>
      </c>
      <c r="AE469" s="155" t="str">
        <f ca="1">IFERROR(INDEX(Données!$B$3:$B$1479,MATCH(ROWS($AD$3:AD469),$AD$3:$AD$1479,0)),"")</f>
        <v/>
      </c>
    </row>
    <row r="470" spans="1:31" ht="15.75" x14ac:dyDescent="0.25">
      <c r="A470" t="str">
        <f t="shared" si="92"/>
        <v>Julius Honka - DAL - RD</v>
      </c>
      <c r="B470" t="str">
        <f t="shared" si="93"/>
        <v>Julius Honka - DAL - RD</v>
      </c>
      <c r="C470" t="str">
        <f t="shared" si="84"/>
        <v>Julius</v>
      </c>
      <c r="D470" t="str">
        <f t="shared" si="85"/>
        <v>Honka</v>
      </c>
      <c r="E470" s="39" t="s">
        <v>1961</v>
      </c>
      <c r="F470" s="30" t="s">
        <v>16</v>
      </c>
      <c r="G470" s="35">
        <v>0</v>
      </c>
      <c r="H470" s="35" t="s">
        <v>379</v>
      </c>
      <c r="I470" s="35" t="s">
        <v>2677</v>
      </c>
      <c r="J470" s="35">
        <v>23</v>
      </c>
      <c r="K470" s="35">
        <f>VALUE(COUNTIF(Validation!$A$2:$H$47,E470))</f>
        <v>0</v>
      </c>
      <c r="L470" s="361">
        <f t="shared" si="86"/>
        <v>0</v>
      </c>
      <c r="M470" s="361">
        <f t="shared" si="87"/>
        <v>0</v>
      </c>
      <c r="N470" s="358" t="s">
        <v>8</v>
      </c>
      <c r="O470" s="358">
        <v>0</v>
      </c>
      <c r="P470" s="358">
        <v>0</v>
      </c>
      <c r="Q470" s="358">
        <v>0</v>
      </c>
      <c r="R470" s="358">
        <v>0</v>
      </c>
      <c r="S470" s="358">
        <v>0</v>
      </c>
      <c r="T470" s="358">
        <v>0</v>
      </c>
      <c r="U470" s="35">
        <f t="shared" si="88"/>
        <v>0</v>
      </c>
      <c r="W470">
        <f t="shared" si="89"/>
        <v>1</v>
      </c>
      <c r="X470" s="35">
        <f t="shared" si="90"/>
        <v>0</v>
      </c>
      <c r="Y470">
        <f t="shared" si="91"/>
        <v>1</v>
      </c>
      <c r="AB470">
        <f t="shared" si="94"/>
        <v>1</v>
      </c>
      <c r="AC470">
        <f t="shared" ca="1" si="95"/>
        <v>0</v>
      </c>
      <c r="AD470" t="str">
        <f ca="1">IF(AC470=1,COUNTIF($AC$3:AC470,1),"")</f>
        <v/>
      </c>
      <c r="AE470" s="155" t="str">
        <f ca="1">IFERROR(INDEX(Données!$B$3:$B$1479,MATCH(ROWS($AD$3:AD470),$AD$3:$AD$1479,0)),"")</f>
        <v/>
      </c>
    </row>
    <row r="471" spans="1:31" ht="15.75" x14ac:dyDescent="0.25">
      <c r="A471" t="str">
        <f t="shared" si="92"/>
        <v>Dylan Larkin - DET - C, AG</v>
      </c>
      <c r="B471" t="str">
        <f t="shared" si="93"/>
        <v>Dylan Larkin - DET - C, AG</v>
      </c>
      <c r="C471" t="str">
        <f t="shared" si="84"/>
        <v>Dylan</v>
      </c>
      <c r="D471" t="str">
        <f t="shared" si="85"/>
        <v>Larkin</v>
      </c>
      <c r="E471" s="39" t="s">
        <v>1419</v>
      </c>
      <c r="F471" s="30" t="s">
        <v>17</v>
      </c>
      <c r="G471" s="35">
        <v>0</v>
      </c>
      <c r="H471" s="35" t="s">
        <v>2452</v>
      </c>
      <c r="I471" s="35" t="s">
        <v>2439</v>
      </c>
      <c r="J471" s="35">
        <v>23</v>
      </c>
      <c r="K471" s="35">
        <f>VALUE(COUNTIF(Validation!$A$2:$H$47,E471))</f>
        <v>0</v>
      </c>
      <c r="L471" s="361">
        <f t="shared" si="86"/>
        <v>6100000</v>
      </c>
      <c r="M471" s="361">
        <f t="shared" si="87"/>
        <v>6100000</v>
      </c>
      <c r="N471" s="358">
        <v>6100000</v>
      </c>
      <c r="O471" s="358">
        <v>6100000</v>
      </c>
      <c r="P471" s="358">
        <v>6100000</v>
      </c>
      <c r="Q471" s="358">
        <v>6100000</v>
      </c>
      <c r="R471" s="358" t="s">
        <v>7</v>
      </c>
      <c r="S471" s="358">
        <v>0</v>
      </c>
      <c r="T471" s="358">
        <v>0</v>
      </c>
      <c r="U471" s="35">
        <f t="shared" si="88"/>
        <v>4</v>
      </c>
      <c r="W471">
        <f t="shared" si="89"/>
        <v>1</v>
      </c>
      <c r="X471" s="35">
        <f t="shared" si="90"/>
        <v>0</v>
      </c>
      <c r="Y471">
        <f t="shared" si="91"/>
        <v>1</v>
      </c>
      <c r="AB471">
        <f t="shared" si="94"/>
        <v>1</v>
      </c>
      <c r="AC471">
        <f t="shared" ca="1" si="95"/>
        <v>0</v>
      </c>
      <c r="AD471" t="str">
        <f ca="1">IF(AC471=1,COUNTIF($AC$3:AC471,1),"")</f>
        <v/>
      </c>
      <c r="AE471" s="155" t="str">
        <f ca="1">IFERROR(INDEX(Données!$B$3:$B$1479,MATCH(ROWS($AD$3:AD471),$AD$3:$AD$1479,0)),"")</f>
        <v/>
      </c>
    </row>
    <row r="472" spans="1:31" ht="15.75" x14ac:dyDescent="0.25">
      <c r="A472" t="str">
        <f t="shared" si="92"/>
        <v>Henrik Zetterberg - DET - C</v>
      </c>
      <c r="B472" t="str">
        <f t="shared" si="93"/>
        <v>Henrik Zetterberg - DET - C</v>
      </c>
      <c r="C472" t="str">
        <f t="shared" si="84"/>
        <v>Henrik</v>
      </c>
      <c r="D472" t="str">
        <f t="shared" si="85"/>
        <v>Zetterberg</v>
      </c>
      <c r="E472" s="39" t="s">
        <v>2522</v>
      </c>
      <c r="F472" s="30" t="s">
        <v>17</v>
      </c>
      <c r="G472" s="35">
        <v>0</v>
      </c>
      <c r="H472" s="35" t="s">
        <v>73</v>
      </c>
      <c r="I472" s="35" t="s">
        <v>374</v>
      </c>
      <c r="J472" s="35">
        <v>38</v>
      </c>
      <c r="K472" s="35">
        <f>VALUE(COUNTIF(Validation!$A$2:$H$47,E472))</f>
        <v>0</v>
      </c>
      <c r="L472" s="361">
        <f t="shared" si="86"/>
        <v>6083333</v>
      </c>
      <c r="M472" s="361">
        <f t="shared" si="87"/>
        <v>6083333</v>
      </c>
      <c r="N472" s="358">
        <v>6083333</v>
      </c>
      <c r="O472" s="358">
        <v>6083333</v>
      </c>
      <c r="P472" s="358" t="s">
        <v>7</v>
      </c>
      <c r="Q472" s="358">
        <v>0</v>
      </c>
      <c r="R472" s="358">
        <v>0</v>
      </c>
      <c r="S472" s="358">
        <v>0</v>
      </c>
      <c r="T472" s="358">
        <v>0</v>
      </c>
      <c r="U472" s="35">
        <f t="shared" si="88"/>
        <v>2</v>
      </c>
      <c r="W472">
        <f t="shared" si="89"/>
        <v>1</v>
      </c>
      <c r="X472" s="35">
        <f t="shared" si="90"/>
        <v>0</v>
      </c>
      <c r="Y472">
        <f t="shared" si="91"/>
        <v>1</v>
      </c>
      <c r="AB472">
        <f t="shared" si="94"/>
        <v>1</v>
      </c>
      <c r="AC472">
        <f t="shared" ca="1" si="95"/>
        <v>0</v>
      </c>
      <c r="AD472" t="str">
        <f ca="1">IF(AC472=1,COUNTIF($AC$3:AC472,1),"")</f>
        <v/>
      </c>
      <c r="AE472" s="155" t="str">
        <f ca="1">IFERROR(INDEX(Données!$B$3:$B$1479,MATCH(ROWS($AD$3:AD472),$AD$3:$AD$1479,0)),"")</f>
        <v/>
      </c>
    </row>
    <row r="473" spans="1:31" ht="15.75" x14ac:dyDescent="0.25">
      <c r="A473" t="str">
        <f t="shared" si="92"/>
        <v>Mike Green - DET - DD</v>
      </c>
      <c r="B473" t="str">
        <f t="shared" si="93"/>
        <v>Mike Green - DET - DD</v>
      </c>
      <c r="C473" t="str">
        <f t="shared" si="84"/>
        <v>Mike</v>
      </c>
      <c r="D473" t="str">
        <f t="shared" si="85"/>
        <v>Green</v>
      </c>
      <c r="E473" s="39" t="s">
        <v>1430</v>
      </c>
      <c r="F473" s="30" t="s">
        <v>17</v>
      </c>
      <c r="G473" s="35" t="s">
        <v>381</v>
      </c>
      <c r="H473" s="35" t="s">
        <v>2444</v>
      </c>
      <c r="I473" s="35" t="s">
        <v>2439</v>
      </c>
      <c r="J473" s="35">
        <v>33</v>
      </c>
      <c r="K473" s="35">
        <f>VALUE(COUNTIF(Validation!$A$2:$H$47,E473))</f>
        <v>0</v>
      </c>
      <c r="L473" s="361">
        <f t="shared" si="86"/>
        <v>5375000</v>
      </c>
      <c r="M473" s="361">
        <f t="shared" si="87"/>
        <v>0</v>
      </c>
      <c r="N473" s="358">
        <v>5375000</v>
      </c>
      <c r="O473" s="358" t="s">
        <v>7</v>
      </c>
      <c r="P473" s="358">
        <v>0</v>
      </c>
      <c r="Q473" s="358">
        <v>0</v>
      </c>
      <c r="R473" s="358">
        <v>0</v>
      </c>
      <c r="S473" s="358">
        <v>0</v>
      </c>
      <c r="T473" s="358">
        <v>0</v>
      </c>
      <c r="U473" s="35">
        <f t="shared" si="88"/>
        <v>1</v>
      </c>
      <c r="W473">
        <f t="shared" si="89"/>
        <v>1</v>
      </c>
      <c r="X473" s="35">
        <f t="shared" si="90"/>
        <v>0</v>
      </c>
      <c r="Y473">
        <f t="shared" si="91"/>
        <v>0</v>
      </c>
      <c r="AB473">
        <f t="shared" si="94"/>
        <v>1</v>
      </c>
      <c r="AC473">
        <f t="shared" ca="1" si="95"/>
        <v>0</v>
      </c>
      <c r="AD473" t="str">
        <f ca="1">IF(AC473=1,COUNTIF($AC$3:AC473,1),"")</f>
        <v/>
      </c>
      <c r="AE473" s="155" t="str">
        <f ca="1">IFERROR(INDEX(Données!$B$3:$B$1479,MATCH(ROWS($AD$3:AD473),$AD$3:$AD$1479,0)),"")</f>
        <v/>
      </c>
    </row>
    <row r="474" spans="1:31" ht="15.75" x14ac:dyDescent="0.25">
      <c r="A474" t="str">
        <f t="shared" si="92"/>
        <v>Frans Nielsen - DET - C</v>
      </c>
      <c r="B474" t="str">
        <f t="shared" si="93"/>
        <v>Frans Nielsen - DET - C</v>
      </c>
      <c r="C474" t="str">
        <f t="shared" si="84"/>
        <v>Frans</v>
      </c>
      <c r="D474" t="str">
        <f t="shared" si="85"/>
        <v>Nielsen</v>
      </c>
      <c r="E474" s="39" t="s">
        <v>1420</v>
      </c>
      <c r="F474" s="30" t="s">
        <v>17</v>
      </c>
      <c r="G474" s="35" t="s">
        <v>381</v>
      </c>
      <c r="H474" s="35" t="s">
        <v>73</v>
      </c>
      <c r="I474" s="35" t="s">
        <v>2439</v>
      </c>
      <c r="J474" s="35">
        <v>35</v>
      </c>
      <c r="K474" s="35">
        <f>VALUE(COUNTIF(Validation!$A$2:$H$47,E474))</f>
        <v>0</v>
      </c>
      <c r="L474" s="361">
        <f t="shared" si="86"/>
        <v>5250000</v>
      </c>
      <c r="M474" s="361">
        <f t="shared" si="87"/>
        <v>5250000</v>
      </c>
      <c r="N474" s="358">
        <v>5250000</v>
      </c>
      <c r="O474" s="358">
        <v>5250000</v>
      </c>
      <c r="P474" s="358">
        <v>5250000</v>
      </c>
      <c r="Q474" s="358" t="s">
        <v>7</v>
      </c>
      <c r="R474" s="358">
        <v>0</v>
      </c>
      <c r="S474" s="358">
        <v>0</v>
      </c>
      <c r="T474" s="358">
        <v>0</v>
      </c>
      <c r="U474" s="35">
        <f t="shared" si="88"/>
        <v>3</v>
      </c>
      <c r="W474">
        <f t="shared" si="89"/>
        <v>1</v>
      </c>
      <c r="X474" s="35">
        <f t="shared" si="90"/>
        <v>0</v>
      </c>
      <c r="Y474">
        <f t="shared" si="91"/>
        <v>1</v>
      </c>
      <c r="AB474">
        <f t="shared" si="94"/>
        <v>1</v>
      </c>
      <c r="AC474">
        <f t="shared" ca="1" si="95"/>
        <v>0</v>
      </c>
      <c r="AD474" t="str">
        <f ca="1">IF(AC474=1,COUNTIF($AC$3:AC474,1),"")</f>
        <v/>
      </c>
      <c r="AE474" s="155" t="str">
        <f ca="1">IFERROR(INDEX(Données!$B$3:$B$1479,MATCH(ROWS($AD$3:AD474),$AD$3:$AD$1479,0)),"")</f>
        <v/>
      </c>
    </row>
    <row r="475" spans="1:31" ht="15.75" x14ac:dyDescent="0.25">
      <c r="A475" t="str">
        <f t="shared" si="92"/>
        <v>Jimmy Howard - DET - G</v>
      </c>
      <c r="B475" t="str">
        <f t="shared" si="93"/>
        <v>Jimmy Howard - DET - G</v>
      </c>
      <c r="C475" t="str">
        <f t="shared" si="84"/>
        <v>Jimmy</v>
      </c>
      <c r="D475" t="str">
        <f t="shared" si="85"/>
        <v>Howard</v>
      </c>
      <c r="E475" s="39" t="s">
        <v>1435</v>
      </c>
      <c r="F475" s="30" t="s">
        <v>17</v>
      </c>
      <c r="G475" s="35" t="s">
        <v>2511</v>
      </c>
      <c r="H475" s="35" t="s">
        <v>127</v>
      </c>
      <c r="I475" s="35" t="s">
        <v>2439</v>
      </c>
      <c r="J475" s="35">
        <v>35</v>
      </c>
      <c r="K475" s="35">
        <f>VALUE(COUNTIF(Validation!$A$2:$H$47,E475))</f>
        <v>0</v>
      </c>
      <c r="L475" s="361">
        <f t="shared" si="86"/>
        <v>5100000</v>
      </c>
      <c r="M475" s="361">
        <f t="shared" si="87"/>
        <v>0</v>
      </c>
      <c r="N475" s="358">
        <v>5100000</v>
      </c>
      <c r="O475" s="358" t="s">
        <v>7</v>
      </c>
      <c r="P475" s="358">
        <v>0</v>
      </c>
      <c r="Q475" s="358">
        <v>0</v>
      </c>
      <c r="R475" s="358">
        <v>0</v>
      </c>
      <c r="S475" s="358">
        <v>0</v>
      </c>
      <c r="T475" s="358">
        <v>0</v>
      </c>
      <c r="U475" s="35">
        <f t="shared" si="88"/>
        <v>1</v>
      </c>
      <c r="W475">
        <f t="shared" si="89"/>
        <v>1</v>
      </c>
      <c r="X475" s="35">
        <f t="shared" si="90"/>
        <v>0</v>
      </c>
      <c r="Y475">
        <f t="shared" si="91"/>
        <v>0</v>
      </c>
      <c r="AB475">
        <f t="shared" si="94"/>
        <v>1</v>
      </c>
      <c r="AC475">
        <f t="shared" ca="1" si="95"/>
        <v>0</v>
      </c>
      <c r="AD475" t="str">
        <f ca="1">IF(AC475=1,COUNTIF($AC$3:AC475,1),"")</f>
        <v/>
      </c>
      <c r="AE475" s="155" t="str">
        <f ca="1">IFERROR(INDEX(Données!$B$3:$B$1479,MATCH(ROWS($AD$3:AD475),$AD$3:$AD$1479,0)),"")</f>
        <v/>
      </c>
    </row>
    <row r="476" spans="1:31" ht="15.75" x14ac:dyDescent="0.25">
      <c r="A476" t="str">
        <f t="shared" si="92"/>
        <v>Danny DeKeyser - DET - DG</v>
      </c>
      <c r="B476" t="str">
        <f t="shared" si="93"/>
        <v>Danny DeKeyser - DET - DG</v>
      </c>
      <c r="C476" t="str">
        <f t="shared" si="84"/>
        <v>Danny</v>
      </c>
      <c r="D476" t="str">
        <f t="shared" si="85"/>
        <v>DeKeyser</v>
      </c>
      <c r="E476" s="39" t="s">
        <v>1431</v>
      </c>
      <c r="F476" s="30" t="s">
        <v>17</v>
      </c>
      <c r="G476" s="35" t="s">
        <v>372</v>
      </c>
      <c r="H476" s="35" t="s">
        <v>2445</v>
      </c>
      <c r="I476" s="35" t="s">
        <v>2439</v>
      </c>
      <c r="J476" s="35">
        <v>29</v>
      </c>
      <c r="K476" s="35">
        <f>VALUE(COUNTIF(Validation!$A$2:$H$47,E476))</f>
        <v>0</v>
      </c>
      <c r="L476" s="361">
        <f t="shared" si="86"/>
        <v>5000000</v>
      </c>
      <c r="M476" s="361">
        <f t="shared" si="87"/>
        <v>5000000</v>
      </c>
      <c r="N476" s="358">
        <v>5000000</v>
      </c>
      <c r="O476" s="358">
        <v>5000000</v>
      </c>
      <c r="P476" s="358">
        <v>5000000</v>
      </c>
      <c r="Q476" s="358" t="s">
        <v>7</v>
      </c>
      <c r="R476" s="358">
        <v>0</v>
      </c>
      <c r="S476" s="358">
        <v>0</v>
      </c>
      <c r="T476" s="358">
        <v>0</v>
      </c>
      <c r="U476" s="35">
        <f t="shared" si="88"/>
        <v>3</v>
      </c>
      <c r="W476">
        <f t="shared" si="89"/>
        <v>1</v>
      </c>
      <c r="X476" s="35">
        <f t="shared" si="90"/>
        <v>0</v>
      </c>
      <c r="Y476">
        <f t="shared" si="91"/>
        <v>1</v>
      </c>
      <c r="AB476">
        <f t="shared" si="94"/>
        <v>1</v>
      </c>
      <c r="AC476">
        <f t="shared" ca="1" si="95"/>
        <v>0</v>
      </c>
      <c r="AD476" t="str">
        <f ca="1">IF(AC476=1,COUNTIF($AC$3:AC476,1),"")</f>
        <v/>
      </c>
      <c r="AE476" s="155" t="str">
        <f ca="1">IFERROR(INDEX(Données!$B$3:$B$1479,MATCH(ROWS($AD$3:AD476),$AD$3:$AD$1479,0)),"")</f>
        <v/>
      </c>
    </row>
    <row r="477" spans="1:31" ht="15.75" x14ac:dyDescent="0.25">
      <c r="A477" t="str">
        <f t="shared" si="92"/>
        <v>Justin Abdelkader - DET - AG, AD</v>
      </c>
      <c r="B477" t="str">
        <f t="shared" si="93"/>
        <v>Justin Abdelkader - DET - AG, AD</v>
      </c>
      <c r="C477" t="str">
        <f t="shared" si="84"/>
        <v>Justin</v>
      </c>
      <c r="D477" t="str">
        <f t="shared" si="85"/>
        <v>Abdelkader</v>
      </c>
      <c r="E477" s="39" t="s">
        <v>2937</v>
      </c>
      <c r="F477" s="30" t="s">
        <v>17</v>
      </c>
      <c r="G477" s="35" t="s">
        <v>372</v>
      </c>
      <c r="H477" s="35" t="s">
        <v>2442</v>
      </c>
      <c r="I477" s="35" t="s">
        <v>2439</v>
      </c>
      <c r="J477" s="35">
        <v>32</v>
      </c>
      <c r="K477" s="35">
        <f>VALUE(COUNTIF(Validation!$A$2:$H$47,E477))</f>
        <v>0</v>
      </c>
      <c r="L477" s="361">
        <f t="shared" si="86"/>
        <v>4250000</v>
      </c>
      <c r="M477" s="361">
        <f t="shared" si="87"/>
        <v>4250000</v>
      </c>
      <c r="N477" s="358">
        <v>4250000</v>
      </c>
      <c r="O477" s="358">
        <v>4250000</v>
      </c>
      <c r="P477" s="358">
        <v>4250000</v>
      </c>
      <c r="Q477" s="358">
        <v>4250000</v>
      </c>
      <c r="R477" s="358" t="s">
        <v>7</v>
      </c>
      <c r="S477" s="358">
        <v>0</v>
      </c>
      <c r="T477" s="358">
        <v>0</v>
      </c>
      <c r="U477" s="35">
        <f t="shared" si="88"/>
        <v>4</v>
      </c>
      <c r="W477">
        <f t="shared" si="89"/>
        <v>1</v>
      </c>
      <c r="X477" s="35">
        <f t="shared" si="90"/>
        <v>0</v>
      </c>
      <c r="Y477">
        <f t="shared" si="91"/>
        <v>1</v>
      </c>
      <c r="AB477">
        <f t="shared" si="94"/>
        <v>1</v>
      </c>
      <c r="AC477">
        <f t="shared" ca="1" si="95"/>
        <v>0</v>
      </c>
      <c r="AD477" t="str">
        <f ca="1">IF(AC477=1,COUNTIF($AC$3:AC477,1),"")</f>
        <v/>
      </c>
      <c r="AE477" s="155" t="str">
        <f ca="1">IFERROR(INDEX(Données!$B$3:$B$1479,MATCH(ROWS($AD$3:AD477),$AD$3:$AD$1479,0)),"")</f>
        <v/>
      </c>
    </row>
    <row r="478" spans="1:31" ht="15.75" x14ac:dyDescent="0.25">
      <c r="A478" t="str">
        <f t="shared" si="92"/>
        <v>Jonathan Ericsson - DET - DG</v>
      </c>
      <c r="B478" t="str">
        <f t="shared" si="93"/>
        <v>Jonathan Ericsson - DET - DG</v>
      </c>
      <c r="C478" t="str">
        <f t="shared" si="84"/>
        <v>Jonathan</v>
      </c>
      <c r="D478" t="str">
        <f t="shared" si="85"/>
        <v>Ericsson</v>
      </c>
      <c r="E478" s="39" t="s">
        <v>1432</v>
      </c>
      <c r="F478" s="30" t="s">
        <v>17</v>
      </c>
      <c r="G478" s="35" t="s">
        <v>381</v>
      </c>
      <c r="H478" s="9" t="s">
        <v>2445</v>
      </c>
      <c r="I478" s="9" t="s">
        <v>2439</v>
      </c>
      <c r="J478" s="9">
        <v>35</v>
      </c>
      <c r="K478" s="35">
        <f>VALUE(COUNTIF(Validation!$A$2:$H$47,E478))</f>
        <v>0</v>
      </c>
      <c r="L478" s="361">
        <f t="shared" si="86"/>
        <v>4250000</v>
      </c>
      <c r="M478" s="361">
        <f t="shared" si="87"/>
        <v>0</v>
      </c>
      <c r="N478" s="358">
        <v>4250000</v>
      </c>
      <c r="O478" s="358" t="s">
        <v>7</v>
      </c>
      <c r="P478" s="358">
        <v>0</v>
      </c>
      <c r="Q478" s="358">
        <v>0</v>
      </c>
      <c r="R478" s="358">
        <v>0</v>
      </c>
      <c r="S478" s="358">
        <v>0</v>
      </c>
      <c r="T478" s="358">
        <v>0</v>
      </c>
      <c r="U478" s="35">
        <f t="shared" si="88"/>
        <v>1</v>
      </c>
      <c r="W478">
        <f t="shared" si="89"/>
        <v>1</v>
      </c>
      <c r="X478" s="35">
        <f t="shared" si="90"/>
        <v>0</v>
      </c>
      <c r="Y478">
        <f t="shared" si="91"/>
        <v>0</v>
      </c>
      <c r="AB478">
        <f t="shared" si="94"/>
        <v>1</v>
      </c>
      <c r="AC478">
        <f t="shared" ca="1" si="95"/>
        <v>0</v>
      </c>
      <c r="AD478" t="str">
        <f ca="1">IF(AC478=1,COUNTIF($AC$3:AC478,1),"")</f>
        <v/>
      </c>
      <c r="AE478" s="155" t="str">
        <f ca="1">IFERROR(INDEX(Données!$B$3:$B$1479,MATCH(ROWS($AD$3:AD478),$AD$3:$AD$1479,0)),"")</f>
        <v/>
      </c>
    </row>
    <row r="479" spans="1:31" ht="15.75" x14ac:dyDescent="0.25">
      <c r="A479" t="str">
        <f t="shared" si="92"/>
        <v>Johan Franzen - DET - AD, AG</v>
      </c>
      <c r="B479" t="str">
        <f t="shared" si="93"/>
        <v>Johan Franzen - DET - AD, AG</v>
      </c>
      <c r="C479" t="str">
        <f t="shared" si="84"/>
        <v>Johan</v>
      </c>
      <c r="D479" t="str">
        <f t="shared" si="85"/>
        <v>Franzen</v>
      </c>
      <c r="E479" s="39" t="s">
        <v>1422</v>
      </c>
      <c r="F479" s="30" t="s">
        <v>17</v>
      </c>
      <c r="G479" s="35">
        <v>0</v>
      </c>
      <c r="H479" s="35" t="s">
        <v>2441</v>
      </c>
      <c r="I479" s="35" t="s">
        <v>374</v>
      </c>
      <c r="J479" s="35">
        <v>39</v>
      </c>
      <c r="K479" s="35">
        <f>VALUE(COUNTIF(Validation!$A$2:$H$47,E479))</f>
        <v>0</v>
      </c>
      <c r="L479" s="361">
        <f t="shared" si="86"/>
        <v>3954545</v>
      </c>
      <c r="M479" s="361">
        <f t="shared" si="87"/>
        <v>0</v>
      </c>
      <c r="N479" s="358">
        <v>3954545</v>
      </c>
      <c r="O479" s="358" t="s">
        <v>7</v>
      </c>
      <c r="P479" s="358">
        <v>0</v>
      </c>
      <c r="Q479" s="358">
        <v>0</v>
      </c>
      <c r="R479" s="358">
        <v>0</v>
      </c>
      <c r="S479" s="358">
        <v>0</v>
      </c>
      <c r="T479" s="358">
        <v>0</v>
      </c>
      <c r="U479" s="35">
        <f t="shared" si="88"/>
        <v>1</v>
      </c>
      <c r="W479">
        <f t="shared" si="89"/>
        <v>1</v>
      </c>
      <c r="X479" s="35">
        <f t="shared" si="90"/>
        <v>0</v>
      </c>
      <c r="Y479">
        <f t="shared" si="91"/>
        <v>0</v>
      </c>
      <c r="AB479">
        <f t="shared" si="94"/>
        <v>1</v>
      </c>
      <c r="AC479">
        <f t="shared" ca="1" si="95"/>
        <v>0</v>
      </c>
      <c r="AD479" t="str">
        <f ca="1">IF(AC479=1,COUNTIF($AC$3:AC479,1),"")</f>
        <v/>
      </c>
      <c r="AE479" s="155" t="str">
        <f ca="1">IFERROR(INDEX(Données!$B$3:$B$1479,MATCH(ROWS($AD$3:AD479),$AD$3:$AD$1479,0)),"")</f>
        <v/>
      </c>
    </row>
    <row r="480" spans="1:31" ht="15.75" x14ac:dyDescent="0.25">
      <c r="A480" t="str">
        <f t="shared" si="92"/>
        <v>Darren Helm - DET - C, AG, AD</v>
      </c>
      <c r="B480" t="str">
        <f t="shared" si="93"/>
        <v>Darren Helm - DET - C, AG, AD</v>
      </c>
      <c r="C480" t="str">
        <f t="shared" si="84"/>
        <v>Darren</v>
      </c>
      <c r="D480" t="str">
        <f t="shared" si="85"/>
        <v>Helm</v>
      </c>
      <c r="E480" s="39" t="s">
        <v>1423</v>
      </c>
      <c r="F480" s="30" t="s">
        <v>17</v>
      </c>
      <c r="G480" s="35" t="s">
        <v>372</v>
      </c>
      <c r="H480" s="35" t="s">
        <v>2494</v>
      </c>
      <c r="I480" s="35" t="s">
        <v>2439</v>
      </c>
      <c r="J480" s="35">
        <v>32</v>
      </c>
      <c r="K480" s="35">
        <f>VALUE(COUNTIF(Validation!$A$2:$H$47,E480))</f>
        <v>0</v>
      </c>
      <c r="L480" s="361">
        <f t="shared" si="86"/>
        <v>3850000</v>
      </c>
      <c r="M480" s="361">
        <f t="shared" si="87"/>
        <v>3850000</v>
      </c>
      <c r="N480" s="358">
        <v>3850000</v>
      </c>
      <c r="O480" s="358">
        <v>3850000</v>
      </c>
      <c r="P480" s="358" t="s">
        <v>7</v>
      </c>
      <c r="Q480" s="358">
        <v>0</v>
      </c>
      <c r="R480" s="358">
        <v>0</v>
      </c>
      <c r="S480" s="358">
        <v>0</v>
      </c>
      <c r="T480" s="358">
        <v>0</v>
      </c>
      <c r="U480" s="35">
        <f t="shared" si="88"/>
        <v>2</v>
      </c>
      <c r="W480">
        <f t="shared" si="89"/>
        <v>1</v>
      </c>
      <c r="X480" s="35">
        <f t="shared" si="90"/>
        <v>0</v>
      </c>
      <c r="Y480">
        <f t="shared" si="91"/>
        <v>1</v>
      </c>
      <c r="AB480">
        <f t="shared" si="94"/>
        <v>1</v>
      </c>
      <c r="AC480">
        <f t="shared" ca="1" si="95"/>
        <v>0</v>
      </c>
      <c r="AD480" t="str">
        <f ca="1">IF(AC480=1,COUNTIF($AC$3:AC480,1),"")</f>
        <v/>
      </c>
      <c r="AE480" s="155" t="str">
        <f ca="1">IFERROR(INDEX(Données!$B$3:$B$1479,MATCH(ROWS($AD$3:AD480),$AD$3:$AD$1479,0)),"")</f>
        <v/>
      </c>
    </row>
    <row r="481" spans="1:31" ht="15.75" x14ac:dyDescent="0.25">
      <c r="A481" t="str">
        <f t="shared" si="92"/>
        <v>Anthony Mantha - DET - AD, AG</v>
      </c>
      <c r="B481" t="str">
        <f t="shared" si="93"/>
        <v>Anthony Mantha - DET - AD, AG</v>
      </c>
      <c r="C481" t="str">
        <f t="shared" si="84"/>
        <v>Anthony</v>
      </c>
      <c r="D481" t="str">
        <f t="shared" si="85"/>
        <v>Mantha</v>
      </c>
      <c r="E481" s="39" t="s">
        <v>1424</v>
      </c>
      <c r="F481" s="30" t="s">
        <v>17</v>
      </c>
      <c r="G481" s="35">
        <v>0</v>
      </c>
      <c r="H481" s="35" t="s">
        <v>2441</v>
      </c>
      <c r="I481" s="35" t="s">
        <v>2439</v>
      </c>
      <c r="J481" s="35">
        <v>24</v>
      </c>
      <c r="K481" s="35">
        <f>VALUE(COUNTIF(Validation!$A$2:$H$47,E481))</f>
        <v>0</v>
      </c>
      <c r="L481" s="361">
        <f t="shared" si="86"/>
        <v>3300000</v>
      </c>
      <c r="M481" s="361">
        <f t="shared" si="87"/>
        <v>0</v>
      </c>
      <c r="N481" s="358">
        <v>3300000</v>
      </c>
      <c r="O481" s="358" t="s">
        <v>8</v>
      </c>
      <c r="P481" s="358">
        <v>0</v>
      </c>
      <c r="Q481" s="358">
        <v>0</v>
      </c>
      <c r="R481" s="358">
        <v>0</v>
      </c>
      <c r="S481" s="358">
        <v>0</v>
      </c>
      <c r="T481" s="358">
        <v>0</v>
      </c>
      <c r="U481" s="35">
        <f t="shared" si="88"/>
        <v>1</v>
      </c>
      <c r="W481">
        <f t="shared" si="89"/>
        <v>1</v>
      </c>
      <c r="X481" s="35">
        <f t="shared" si="90"/>
        <v>0</v>
      </c>
      <c r="Y481">
        <f t="shared" si="91"/>
        <v>0</v>
      </c>
      <c r="AB481">
        <f t="shared" si="94"/>
        <v>1</v>
      </c>
      <c r="AC481">
        <f t="shared" ca="1" si="95"/>
        <v>0</v>
      </c>
      <c r="AD481" t="str">
        <f ca="1">IF(AC481=1,COUNTIF($AC$3:AC481,1),"")</f>
        <v/>
      </c>
      <c r="AE481" s="155" t="str">
        <f ca="1">IFERROR(INDEX(Données!$B$3:$B$1479,MATCH(ROWS($AD$3:AD481),$AD$3:$AD$1479,0)),"")</f>
        <v/>
      </c>
    </row>
    <row r="482" spans="1:31" ht="15.75" x14ac:dyDescent="0.25">
      <c r="A482" t="str">
        <f t="shared" si="92"/>
        <v>Trevor Daley - DET - DD</v>
      </c>
      <c r="B482" t="str">
        <f t="shared" si="93"/>
        <v>Trevor Daley - DET - DD</v>
      </c>
      <c r="C482" t="str">
        <f t="shared" si="84"/>
        <v>Trevor</v>
      </c>
      <c r="D482" t="str">
        <f t="shared" si="85"/>
        <v>Daley</v>
      </c>
      <c r="E482" s="39" t="s">
        <v>1433</v>
      </c>
      <c r="F482" s="30" t="s">
        <v>17</v>
      </c>
      <c r="G482" s="35" t="s">
        <v>381</v>
      </c>
      <c r="H482" s="35" t="s">
        <v>2444</v>
      </c>
      <c r="I482" s="35" t="s">
        <v>2439</v>
      </c>
      <c r="J482" s="35">
        <v>35</v>
      </c>
      <c r="K482" s="35">
        <f>VALUE(COUNTIF(Validation!$A$2:$H$47,E482))</f>
        <v>0</v>
      </c>
      <c r="L482" s="361">
        <f t="shared" si="86"/>
        <v>3166666</v>
      </c>
      <c r="M482" s="361">
        <f t="shared" si="87"/>
        <v>0</v>
      </c>
      <c r="N482" s="358">
        <v>3166666</v>
      </c>
      <c r="O482" s="358" t="s">
        <v>7</v>
      </c>
      <c r="P482" s="358">
        <v>0</v>
      </c>
      <c r="Q482" s="358">
        <v>0</v>
      </c>
      <c r="R482" s="358">
        <v>0</v>
      </c>
      <c r="S482" s="358">
        <v>0</v>
      </c>
      <c r="T482" s="358">
        <v>0</v>
      </c>
      <c r="U482" s="35">
        <f t="shared" si="88"/>
        <v>1</v>
      </c>
      <c r="W482">
        <f t="shared" si="89"/>
        <v>1</v>
      </c>
      <c r="X482" s="35">
        <f t="shared" si="90"/>
        <v>0</v>
      </c>
      <c r="Y482">
        <f t="shared" si="91"/>
        <v>0</v>
      </c>
      <c r="AB482">
        <f t="shared" si="94"/>
        <v>1</v>
      </c>
      <c r="AC482">
        <f t="shared" ca="1" si="95"/>
        <v>0</v>
      </c>
      <c r="AD482" t="str">
        <f ca="1">IF(AC482=1,COUNTIF($AC$3:AC482,1),"")</f>
        <v/>
      </c>
      <c r="AE482" s="155" t="str">
        <f ca="1">IFERROR(INDEX(Données!$B$3:$B$1479,MATCH(ROWS($AD$3:AD482),$AD$3:$AD$1479,0)),"")</f>
        <v/>
      </c>
    </row>
    <row r="483" spans="1:31" ht="15.75" x14ac:dyDescent="0.25">
      <c r="A483" t="str">
        <f t="shared" si="92"/>
        <v>Andreas Athanasiou - DET - C, AG, AD</v>
      </c>
      <c r="B483" t="str">
        <f t="shared" si="93"/>
        <v>Andreas Athanasiou - DET - C, AG, AD</v>
      </c>
      <c r="C483" t="str">
        <f t="shared" si="84"/>
        <v>Andreas</v>
      </c>
      <c r="D483" t="str">
        <f t="shared" si="85"/>
        <v>Athanasiou</v>
      </c>
      <c r="E483" s="39" t="s">
        <v>1425</v>
      </c>
      <c r="F483" s="30" t="s">
        <v>17</v>
      </c>
      <c r="G483" s="35">
        <v>0</v>
      </c>
      <c r="H483" s="35" t="s">
        <v>2494</v>
      </c>
      <c r="I483" s="35" t="s">
        <v>2439</v>
      </c>
      <c r="J483" s="35">
        <v>25</v>
      </c>
      <c r="K483" s="35">
        <f>VALUE(COUNTIF(Validation!$A$2:$H$47,E483))</f>
        <v>0</v>
      </c>
      <c r="L483" s="361">
        <f t="shared" si="86"/>
        <v>3000000</v>
      </c>
      <c r="M483" s="361">
        <f t="shared" si="87"/>
        <v>0</v>
      </c>
      <c r="N483" s="358">
        <v>3000000</v>
      </c>
      <c r="O483" s="358" t="s">
        <v>8</v>
      </c>
      <c r="P483" s="358">
        <v>0</v>
      </c>
      <c r="Q483" s="358">
        <v>0</v>
      </c>
      <c r="R483" s="358">
        <v>0</v>
      </c>
      <c r="S483" s="358">
        <v>0</v>
      </c>
      <c r="T483" s="358">
        <v>0</v>
      </c>
      <c r="U483" s="35">
        <f t="shared" si="88"/>
        <v>1</v>
      </c>
      <c r="W483">
        <f t="shared" si="89"/>
        <v>1</v>
      </c>
      <c r="X483" s="35">
        <f t="shared" si="90"/>
        <v>0</v>
      </c>
      <c r="Y483">
        <f t="shared" si="91"/>
        <v>0</v>
      </c>
      <c r="AB483">
        <f t="shared" si="94"/>
        <v>1</v>
      </c>
      <c r="AC483">
        <f t="shared" ca="1" si="95"/>
        <v>0</v>
      </c>
      <c r="AD483" t="str">
        <f ca="1">IF(AC483=1,COUNTIF($AC$3:AC483,1),"")</f>
        <v/>
      </c>
      <c r="AE483" s="155" t="str">
        <f ca="1">IFERROR(INDEX(Données!$B$3:$B$1479,MATCH(ROWS($AD$3:AD483),$AD$3:$AD$1479,0)),"")</f>
        <v/>
      </c>
    </row>
    <row r="484" spans="1:31" ht="15.75" x14ac:dyDescent="0.25">
      <c r="A484" t="str">
        <f t="shared" si="92"/>
        <v>Jonathan Bernier - DET - G</v>
      </c>
      <c r="B484" t="str">
        <f t="shared" si="93"/>
        <v>Jonathan Bernier - DET - G</v>
      </c>
      <c r="C484" t="str">
        <f t="shared" si="84"/>
        <v>Jonathan</v>
      </c>
      <c r="D484" t="str">
        <f t="shared" si="85"/>
        <v>Bernier</v>
      </c>
      <c r="E484" s="39" t="s">
        <v>1436</v>
      </c>
      <c r="F484" s="30" t="s">
        <v>17</v>
      </c>
      <c r="G484" s="35">
        <v>0</v>
      </c>
      <c r="H484" s="9" t="s">
        <v>127</v>
      </c>
      <c r="I484" s="9" t="s">
        <v>2439</v>
      </c>
      <c r="J484" s="9">
        <v>31</v>
      </c>
      <c r="K484" s="35">
        <f>VALUE(COUNTIF(Validation!$A$2:$H$47,E484))</f>
        <v>0</v>
      </c>
      <c r="L484" s="361">
        <f t="shared" si="86"/>
        <v>3000000</v>
      </c>
      <c r="M484" s="361">
        <f t="shared" si="87"/>
        <v>3000000</v>
      </c>
      <c r="N484" s="358">
        <v>3000000</v>
      </c>
      <c r="O484" s="358">
        <v>3000000</v>
      </c>
      <c r="P484" s="358" t="s">
        <v>7</v>
      </c>
      <c r="Q484" s="358">
        <v>0</v>
      </c>
      <c r="R484" s="358">
        <v>0</v>
      </c>
      <c r="S484" s="358">
        <v>0</v>
      </c>
      <c r="T484" s="358">
        <v>0</v>
      </c>
      <c r="U484" s="35">
        <f t="shared" si="88"/>
        <v>2</v>
      </c>
      <c r="W484">
        <f t="shared" si="89"/>
        <v>1</v>
      </c>
      <c r="X484" s="35">
        <f t="shared" si="90"/>
        <v>0</v>
      </c>
      <c r="Y484">
        <f t="shared" si="91"/>
        <v>1</v>
      </c>
      <c r="AB484">
        <f t="shared" si="94"/>
        <v>1</v>
      </c>
      <c r="AC484">
        <f t="shared" ca="1" si="95"/>
        <v>0</v>
      </c>
      <c r="AD484" t="str">
        <f ca="1">IF(AC484=1,COUNTIF($AC$3:AC484,1),"")</f>
        <v/>
      </c>
      <c r="AE484" s="155" t="str">
        <f ca="1">IFERROR(INDEX(Données!$B$3:$B$1479,MATCH(ROWS($AD$3:AD484),$AD$3:$AD$1479,0)),"")</f>
        <v/>
      </c>
    </row>
    <row r="485" spans="1:31" ht="15.75" x14ac:dyDescent="0.25">
      <c r="A485" t="str">
        <f t="shared" si="92"/>
        <v>Valtteri Filppula - DET - C, AG</v>
      </c>
      <c r="B485" t="str">
        <f t="shared" si="93"/>
        <v>Valtteri Filppula - DET - C, AG</v>
      </c>
      <c r="C485" t="str">
        <f t="shared" si="84"/>
        <v>Valtteri</v>
      </c>
      <c r="D485" t="str">
        <f t="shared" si="85"/>
        <v>Filppula</v>
      </c>
      <c r="E485" s="39" t="s">
        <v>1728</v>
      </c>
      <c r="F485" s="30" t="s">
        <v>17</v>
      </c>
      <c r="G485" s="35" t="s">
        <v>2520</v>
      </c>
      <c r="H485" s="9" t="s">
        <v>2452</v>
      </c>
      <c r="I485" s="9" t="s">
        <v>2439</v>
      </c>
      <c r="J485" s="9">
        <v>35</v>
      </c>
      <c r="K485" s="35">
        <f>VALUE(COUNTIF(Validation!$A$2:$H$47,E485))</f>
        <v>0</v>
      </c>
      <c r="L485" s="361">
        <f t="shared" si="86"/>
        <v>3000000</v>
      </c>
      <c r="M485" s="361">
        <f t="shared" si="87"/>
        <v>3000000</v>
      </c>
      <c r="N485" s="358">
        <v>3000000</v>
      </c>
      <c r="O485" s="358">
        <v>3000000</v>
      </c>
      <c r="P485" s="358" t="s">
        <v>7</v>
      </c>
      <c r="Q485" s="358">
        <v>0</v>
      </c>
      <c r="R485" s="358">
        <v>0</v>
      </c>
      <c r="S485" s="358">
        <v>0</v>
      </c>
      <c r="T485" s="358">
        <v>0</v>
      </c>
      <c r="U485" s="35">
        <f t="shared" si="88"/>
        <v>2</v>
      </c>
      <c r="W485">
        <f t="shared" si="89"/>
        <v>1</v>
      </c>
      <c r="X485" s="35">
        <f t="shared" si="90"/>
        <v>0</v>
      </c>
      <c r="Y485">
        <f t="shared" si="91"/>
        <v>1</v>
      </c>
      <c r="AB485">
        <f t="shared" si="94"/>
        <v>1</v>
      </c>
      <c r="AC485">
        <f t="shared" ca="1" si="95"/>
        <v>0</v>
      </c>
      <c r="AD485" t="str">
        <f ca="1">IF(AC485=1,COUNTIF($AC$3:AC485,1),"")</f>
        <v/>
      </c>
      <c r="AE485" s="155" t="str">
        <f ca="1">IFERROR(INDEX(Données!$B$3:$B$1479,MATCH(ROWS($AD$3:AD485),$AD$3:$AD$1479,0)),"")</f>
        <v/>
      </c>
    </row>
    <row r="486" spans="1:31" ht="15.75" x14ac:dyDescent="0.25">
      <c r="A486" t="str">
        <f t="shared" si="92"/>
        <v>Patrik Nemeth - DET - DG</v>
      </c>
      <c r="B486" t="str">
        <f t="shared" si="93"/>
        <v>Patrik Nemeth - DET - DG</v>
      </c>
      <c r="C486" t="str">
        <f t="shared" si="84"/>
        <v>Patrik</v>
      </c>
      <c r="D486" t="str">
        <f t="shared" si="85"/>
        <v>Nemeth</v>
      </c>
      <c r="E486" s="39" t="s">
        <v>1926</v>
      </c>
      <c r="F486" s="30" t="s">
        <v>17</v>
      </c>
      <c r="G486" s="35">
        <v>0</v>
      </c>
      <c r="H486" s="35" t="s">
        <v>2445</v>
      </c>
      <c r="I486" s="35" t="s">
        <v>2439</v>
      </c>
      <c r="J486" s="35">
        <v>27</v>
      </c>
      <c r="K486" s="35">
        <f>VALUE(COUNTIF(Validation!$A$2:$H$47,E486))</f>
        <v>0</v>
      </c>
      <c r="L486" s="361">
        <f t="shared" si="86"/>
        <v>3000000</v>
      </c>
      <c r="M486" s="361">
        <f t="shared" si="87"/>
        <v>3000000</v>
      </c>
      <c r="N486" s="358">
        <v>3000000</v>
      </c>
      <c r="O486" s="358">
        <v>3000000</v>
      </c>
      <c r="P486" s="358" t="s">
        <v>7</v>
      </c>
      <c r="Q486" s="358">
        <v>0</v>
      </c>
      <c r="R486" s="358">
        <v>0</v>
      </c>
      <c r="S486" s="358">
        <v>0</v>
      </c>
      <c r="T486" s="358">
        <v>0</v>
      </c>
      <c r="U486" s="35">
        <f t="shared" si="88"/>
        <v>2</v>
      </c>
      <c r="W486">
        <f t="shared" si="89"/>
        <v>1</v>
      </c>
      <c r="X486" s="35">
        <f t="shared" si="90"/>
        <v>0</v>
      </c>
      <c r="Y486">
        <f t="shared" si="91"/>
        <v>1</v>
      </c>
      <c r="AB486">
        <f t="shared" si="94"/>
        <v>1</v>
      </c>
      <c r="AC486">
        <f t="shared" ca="1" si="95"/>
        <v>0</v>
      </c>
      <c r="AD486" t="str">
        <f ca="1">IF(AC486=1,COUNTIF($AC$3:AC486,1),"")</f>
        <v/>
      </c>
      <c r="AE486" s="155" t="str">
        <f ca="1">IFERROR(INDEX(Données!$B$3:$B$1479,MATCH(ROWS($AD$3:AD486),$AD$3:$AD$1479,0)),"")</f>
        <v/>
      </c>
    </row>
    <row r="487" spans="1:31" ht="15.75" x14ac:dyDescent="0.25">
      <c r="A487" t="str">
        <f t="shared" si="92"/>
        <v>Luke Glendening - DET - C, AD, AG</v>
      </c>
      <c r="B487" t="str">
        <f t="shared" si="93"/>
        <v>Luke Glendening - DET - C, AD, AG</v>
      </c>
      <c r="C487" t="str">
        <f t="shared" si="84"/>
        <v>Luke</v>
      </c>
      <c r="D487" t="str">
        <f t="shared" si="85"/>
        <v>Glendening</v>
      </c>
      <c r="E487" s="39" t="s">
        <v>1426</v>
      </c>
      <c r="F487" s="30" t="s">
        <v>17</v>
      </c>
      <c r="G487" s="35">
        <v>0</v>
      </c>
      <c r="H487" s="35" t="s">
        <v>2521</v>
      </c>
      <c r="I487" s="35" t="s">
        <v>2439</v>
      </c>
      <c r="J487" s="35">
        <v>30</v>
      </c>
      <c r="K487" s="35">
        <f>VALUE(COUNTIF(Validation!$A$2:$H$47,E487))</f>
        <v>0</v>
      </c>
      <c r="L487" s="361">
        <f t="shared" si="86"/>
        <v>1800000</v>
      </c>
      <c r="M487" s="361">
        <f t="shared" si="87"/>
        <v>1800000</v>
      </c>
      <c r="N487" s="358">
        <v>1800000</v>
      </c>
      <c r="O487" s="358">
        <v>1800000</v>
      </c>
      <c r="P487" s="358" t="s">
        <v>7</v>
      </c>
      <c r="Q487" s="358">
        <v>0</v>
      </c>
      <c r="R487" s="358">
        <v>0</v>
      </c>
      <c r="S487" s="358">
        <v>0</v>
      </c>
      <c r="T487" s="358">
        <v>0</v>
      </c>
      <c r="U487" s="35">
        <f t="shared" si="88"/>
        <v>2</v>
      </c>
      <c r="W487">
        <f t="shared" si="89"/>
        <v>1</v>
      </c>
      <c r="X487" s="35">
        <f t="shared" si="90"/>
        <v>0</v>
      </c>
      <c r="Y487">
        <f t="shared" si="91"/>
        <v>1</v>
      </c>
      <c r="AB487">
        <f t="shared" si="94"/>
        <v>1</v>
      </c>
      <c r="AC487">
        <f t="shared" ca="1" si="95"/>
        <v>0</v>
      </c>
      <c r="AD487" t="str">
        <f ca="1">IF(AC487=1,COUNTIF($AC$3:AC487,1),"")</f>
        <v/>
      </c>
      <c r="AE487" s="155" t="str">
        <f ca="1">IFERROR(INDEX(Données!$B$3:$B$1479,MATCH(ROWS($AD$3:AD487),$AD$3:$AD$1479,0)),"")</f>
        <v/>
      </c>
    </row>
    <row r="488" spans="1:31" ht="15.75" x14ac:dyDescent="0.25">
      <c r="A488" t="str">
        <f t="shared" si="92"/>
        <v>Oliwer Kaski - DET - DD</v>
      </c>
      <c r="B488" t="str">
        <f t="shared" si="93"/>
        <v>Oliwer Kaski - DET - DD</v>
      </c>
      <c r="C488" t="str">
        <f t="shared" si="84"/>
        <v>Oliwer</v>
      </c>
      <c r="D488" t="str">
        <f t="shared" si="85"/>
        <v>Kaski</v>
      </c>
      <c r="E488" s="39" t="s">
        <v>2528</v>
      </c>
      <c r="F488" s="30" t="s">
        <v>17</v>
      </c>
      <c r="G488" s="35" t="s">
        <v>386</v>
      </c>
      <c r="H488" s="35" t="s">
        <v>2444</v>
      </c>
      <c r="I488" s="35" t="s">
        <v>2446</v>
      </c>
      <c r="J488" s="35">
        <v>23</v>
      </c>
      <c r="K488" s="35">
        <f>VALUE(COUNTIF(Validation!$A$2:$H$47,E488))</f>
        <v>0</v>
      </c>
      <c r="L488" s="361">
        <f t="shared" si="86"/>
        <v>1775000</v>
      </c>
      <c r="M488" s="361">
        <f t="shared" si="87"/>
        <v>0</v>
      </c>
      <c r="N488" s="358">
        <v>1775000</v>
      </c>
      <c r="O488" s="358" t="s">
        <v>8</v>
      </c>
      <c r="P488" s="358">
        <v>0</v>
      </c>
      <c r="Q488" s="358">
        <v>0</v>
      </c>
      <c r="R488" s="358">
        <v>0</v>
      </c>
      <c r="S488" s="358">
        <v>0</v>
      </c>
      <c r="T488" s="358">
        <v>0</v>
      </c>
      <c r="U488" s="35">
        <f t="shared" si="88"/>
        <v>1</v>
      </c>
      <c r="W488">
        <f t="shared" si="89"/>
        <v>1</v>
      </c>
      <c r="X488" s="35">
        <f t="shared" si="90"/>
        <v>1</v>
      </c>
      <c r="Y488">
        <f t="shared" si="91"/>
        <v>0</v>
      </c>
      <c r="AB488">
        <f t="shared" si="94"/>
        <v>1</v>
      </c>
      <c r="AC488">
        <f t="shared" ca="1" si="95"/>
        <v>0</v>
      </c>
      <c r="AD488" t="str">
        <f ca="1">IF(AC488=1,COUNTIF($AC$3:AC488,1),"")</f>
        <v/>
      </c>
      <c r="AE488" s="155" t="str">
        <f ca="1">IFERROR(INDEX(Données!$B$3:$B$1479,MATCH(ROWS($AD$3:AD488),$AD$3:$AD$1479,0)),"")</f>
        <v/>
      </c>
    </row>
    <row r="489" spans="1:31" ht="15.75" x14ac:dyDescent="0.25">
      <c r="A489" t="str">
        <f t="shared" si="92"/>
        <v>Moritz Seider - DET - DD</v>
      </c>
      <c r="B489" t="str">
        <f t="shared" si="93"/>
        <v>Moritz Seider - DET - DD</v>
      </c>
      <c r="C489" t="str">
        <f t="shared" si="84"/>
        <v>Moritz</v>
      </c>
      <c r="D489" t="str">
        <f t="shared" si="85"/>
        <v>Seider</v>
      </c>
      <c r="E489" s="39" t="s">
        <v>2733</v>
      </c>
      <c r="F489" s="30" t="s">
        <v>17</v>
      </c>
      <c r="G489" s="35" t="s">
        <v>386</v>
      </c>
      <c r="H489" s="35" t="s">
        <v>2444</v>
      </c>
      <c r="I489" s="35" t="s">
        <v>2446</v>
      </c>
      <c r="J489" s="35">
        <v>18</v>
      </c>
      <c r="K489" s="35">
        <f>VALUE(COUNTIF(Validation!$A$2:$H$47,E489))</f>
        <v>0</v>
      </c>
      <c r="L489" s="361">
        <f t="shared" si="86"/>
        <v>1775000</v>
      </c>
      <c r="M489" s="361">
        <f t="shared" si="87"/>
        <v>1775000</v>
      </c>
      <c r="N489" s="358">
        <v>1775000</v>
      </c>
      <c r="O489" s="358">
        <v>1775000</v>
      </c>
      <c r="P489" s="358">
        <v>1775000</v>
      </c>
      <c r="Q489" s="358" t="s">
        <v>8</v>
      </c>
      <c r="R489" s="358">
        <v>0</v>
      </c>
      <c r="S489" s="358">
        <v>0</v>
      </c>
      <c r="T489" s="358">
        <v>0</v>
      </c>
      <c r="U489" s="35">
        <f t="shared" si="88"/>
        <v>3</v>
      </c>
      <c r="W489">
        <f t="shared" si="89"/>
        <v>1</v>
      </c>
      <c r="X489" s="35">
        <f t="shared" si="90"/>
        <v>1</v>
      </c>
      <c r="Y489">
        <f t="shared" si="91"/>
        <v>1</v>
      </c>
      <c r="AB489">
        <f t="shared" si="94"/>
        <v>1</v>
      </c>
      <c r="AC489">
        <f t="shared" ca="1" si="95"/>
        <v>0</v>
      </c>
      <c r="AD489" t="str">
        <f ca="1">IF(AC489=1,COUNTIF($AC$3:AC489,1),"")</f>
        <v/>
      </c>
      <c r="AE489" s="155" t="str">
        <f ca="1">IFERROR(INDEX(Données!$B$3:$B$1479,MATCH(ROWS($AD$3:AD489),$AD$3:$AD$1479,0)),"")</f>
        <v/>
      </c>
    </row>
    <row r="490" spans="1:31" ht="15.75" x14ac:dyDescent="0.25">
      <c r="A490" t="str">
        <f t="shared" si="92"/>
        <v>Filip Zadina - DET - AG, AD</v>
      </c>
      <c r="B490" t="str">
        <f t="shared" si="93"/>
        <v>Filip Zadina - DET - AG, AD</v>
      </c>
      <c r="C490" t="str">
        <f t="shared" si="84"/>
        <v>Filip</v>
      </c>
      <c r="D490" t="str">
        <f t="shared" si="85"/>
        <v>Zadina</v>
      </c>
      <c r="E490" s="39" t="s">
        <v>1439</v>
      </c>
      <c r="F490" s="30" t="s">
        <v>17</v>
      </c>
      <c r="G490" s="35" t="s">
        <v>386</v>
      </c>
      <c r="H490" s="35" t="s">
        <v>2442</v>
      </c>
      <c r="I490" s="35" t="s">
        <v>2446</v>
      </c>
      <c r="J490" s="35">
        <v>19</v>
      </c>
      <c r="K490" s="35">
        <f>VALUE(COUNTIF(Validation!$A$2:$H$47,E490))</f>
        <v>0</v>
      </c>
      <c r="L490" s="361">
        <f t="shared" si="86"/>
        <v>1744167</v>
      </c>
      <c r="M490" s="361">
        <f t="shared" si="87"/>
        <v>1744167</v>
      </c>
      <c r="N490" s="358">
        <v>1744167</v>
      </c>
      <c r="O490" s="358">
        <v>1744167</v>
      </c>
      <c r="P490" s="358">
        <v>1744167</v>
      </c>
      <c r="Q490" s="358" t="s">
        <v>8</v>
      </c>
      <c r="R490" s="358">
        <v>0</v>
      </c>
      <c r="S490" s="358">
        <v>0</v>
      </c>
      <c r="T490" s="358">
        <v>0</v>
      </c>
      <c r="U490" s="35">
        <f t="shared" si="88"/>
        <v>3</v>
      </c>
      <c r="W490">
        <f t="shared" si="89"/>
        <v>1</v>
      </c>
      <c r="X490" s="35">
        <f t="shared" si="90"/>
        <v>1</v>
      </c>
      <c r="Y490">
        <f t="shared" si="91"/>
        <v>1</v>
      </c>
      <c r="AB490">
        <f t="shared" si="94"/>
        <v>1</v>
      </c>
      <c r="AC490">
        <f t="shared" ca="1" si="95"/>
        <v>0</v>
      </c>
      <c r="AD490" t="str">
        <f ca="1">IF(AC490=1,COUNTIF($AC$3:AC490,1),"")</f>
        <v/>
      </c>
      <c r="AE490" s="155" t="str">
        <f ca="1">IFERROR(INDEX(Données!$B$3:$B$1479,MATCH(ROWS($AD$3:AD490),$AD$3:$AD$1479,0)),"")</f>
        <v/>
      </c>
    </row>
    <row r="491" spans="1:31" ht="15.75" x14ac:dyDescent="0.25">
      <c r="A491" t="str">
        <f t="shared" si="92"/>
        <v>Michael Rasmussen - DET - AG, C, AD</v>
      </c>
      <c r="B491" t="str">
        <f t="shared" si="93"/>
        <v>Michael Rasmussen - DET - AG, C, AD</v>
      </c>
      <c r="C491" t="str">
        <f t="shared" si="84"/>
        <v>Michael</v>
      </c>
      <c r="D491" t="str">
        <f t="shared" si="85"/>
        <v>Rasmussen</v>
      </c>
      <c r="E491" s="39" t="s">
        <v>1441</v>
      </c>
      <c r="F491" s="30" t="s">
        <v>17</v>
      </c>
      <c r="G491" s="35" t="s">
        <v>386</v>
      </c>
      <c r="H491" s="35" t="s">
        <v>2462</v>
      </c>
      <c r="I491" s="35" t="s">
        <v>2439</v>
      </c>
      <c r="J491" s="35">
        <v>20</v>
      </c>
      <c r="K491" s="35">
        <f>VALUE(COUNTIF(Validation!$A$2:$H$47,E491))</f>
        <v>0</v>
      </c>
      <c r="L491" s="361">
        <f t="shared" si="86"/>
        <v>1710833</v>
      </c>
      <c r="M491" s="361">
        <f t="shared" si="87"/>
        <v>1710833</v>
      </c>
      <c r="N491" s="358">
        <v>1710833</v>
      </c>
      <c r="O491" s="358">
        <v>1710833</v>
      </c>
      <c r="P491" s="358" t="s">
        <v>8</v>
      </c>
      <c r="Q491" s="358">
        <v>0</v>
      </c>
      <c r="R491" s="358">
        <v>0</v>
      </c>
      <c r="S491" s="362">
        <v>0</v>
      </c>
      <c r="T491" s="358">
        <v>0</v>
      </c>
      <c r="U491" s="35">
        <f t="shared" si="88"/>
        <v>2</v>
      </c>
      <c r="W491">
        <f t="shared" si="89"/>
        <v>1</v>
      </c>
      <c r="X491" s="35">
        <f t="shared" si="90"/>
        <v>1</v>
      </c>
      <c r="Y491">
        <f t="shared" si="91"/>
        <v>1</v>
      </c>
      <c r="AB491">
        <f t="shared" si="94"/>
        <v>1</v>
      </c>
      <c r="AC491">
        <f t="shared" ca="1" si="95"/>
        <v>0</v>
      </c>
      <c r="AD491" t="str">
        <f ca="1">IF(AC491=1,COUNTIF($AC$3:AC491,1),"")</f>
        <v/>
      </c>
      <c r="AE491" s="155" t="str">
        <f ca="1">IFERROR(INDEX(Données!$B$3:$B$1479,MATCH(ROWS($AD$3:AD491),$AD$3:$AD$1479,0)),"")</f>
        <v/>
      </c>
    </row>
    <row r="492" spans="1:31" ht="15.75" x14ac:dyDescent="0.25">
      <c r="A492" t="str">
        <f t="shared" si="92"/>
        <v>David Pope - DET - AG</v>
      </c>
      <c r="B492" t="str">
        <f t="shared" si="93"/>
        <v>David Pope - DET - AG</v>
      </c>
      <c r="C492" t="str">
        <f t="shared" si="84"/>
        <v>David</v>
      </c>
      <c r="D492" t="str">
        <f t="shared" si="85"/>
        <v>Pope</v>
      </c>
      <c r="E492" s="39" t="s">
        <v>1438</v>
      </c>
      <c r="F492" s="30" t="s">
        <v>17</v>
      </c>
      <c r="G492" s="35" t="s">
        <v>386</v>
      </c>
      <c r="H492" s="35" t="s">
        <v>2440</v>
      </c>
      <c r="I492" s="35" t="s">
        <v>2446</v>
      </c>
      <c r="J492" s="35">
        <v>24</v>
      </c>
      <c r="K492" s="35">
        <f>VALUE(COUNTIF(Validation!$A$2:$H$47,E492))</f>
        <v>0</v>
      </c>
      <c r="L492" s="361">
        <f t="shared" si="86"/>
        <v>1437500</v>
      </c>
      <c r="M492" s="361">
        <f t="shared" si="87"/>
        <v>0</v>
      </c>
      <c r="N492" s="358">
        <v>1437500</v>
      </c>
      <c r="O492" s="358" t="s">
        <v>8</v>
      </c>
      <c r="P492" s="358">
        <v>0</v>
      </c>
      <c r="Q492" s="358">
        <v>0</v>
      </c>
      <c r="R492" s="358">
        <v>0</v>
      </c>
      <c r="S492" s="358">
        <v>0</v>
      </c>
      <c r="T492" s="358">
        <v>0</v>
      </c>
      <c r="U492" s="35">
        <f t="shared" si="88"/>
        <v>1</v>
      </c>
      <c r="W492">
        <f t="shared" si="89"/>
        <v>1</v>
      </c>
      <c r="X492" s="35">
        <f t="shared" si="90"/>
        <v>1</v>
      </c>
      <c r="Y492">
        <f t="shared" si="91"/>
        <v>0</v>
      </c>
      <c r="AB492">
        <f t="shared" si="94"/>
        <v>1</v>
      </c>
      <c r="AC492">
        <f t="shared" ca="1" si="95"/>
        <v>0</v>
      </c>
      <c r="AD492" t="str">
        <f ca="1">IF(AC492=1,COUNTIF($AC$3:AC492,1),"")</f>
        <v/>
      </c>
      <c r="AE492" s="155" t="str">
        <f ca="1">IFERROR(INDEX(Données!$B$3:$B$1479,MATCH(ROWS($AD$3:AD492),$AD$3:$AD$1479,0)),"")</f>
        <v/>
      </c>
    </row>
    <row r="493" spans="1:31" ht="15.75" x14ac:dyDescent="0.25">
      <c r="A493" t="str">
        <f t="shared" si="92"/>
        <v>Tyler Bertuzzi - DET - AG, AD</v>
      </c>
      <c r="B493" t="str">
        <f t="shared" si="93"/>
        <v>Tyler Bertuzzi - DET - AG, AD</v>
      </c>
      <c r="C493" t="str">
        <f t="shared" si="84"/>
        <v>Tyler</v>
      </c>
      <c r="D493" t="str">
        <f t="shared" si="85"/>
        <v>Bertuzzi</v>
      </c>
      <c r="E493" s="39" t="s">
        <v>1427</v>
      </c>
      <c r="F493" s="30" t="s">
        <v>17</v>
      </c>
      <c r="G493" s="35">
        <v>0</v>
      </c>
      <c r="H493" s="35" t="s">
        <v>2442</v>
      </c>
      <c r="I493" s="35" t="s">
        <v>2439</v>
      </c>
      <c r="J493" s="35">
        <v>24</v>
      </c>
      <c r="K493" s="35">
        <f>VALUE(COUNTIF(Validation!$A$2:$H$47,E493))</f>
        <v>0</v>
      </c>
      <c r="L493" s="361">
        <f t="shared" si="86"/>
        <v>1400000</v>
      </c>
      <c r="M493" s="361">
        <f t="shared" si="87"/>
        <v>0</v>
      </c>
      <c r="N493" s="358">
        <v>1400000</v>
      </c>
      <c r="O493" s="358" t="s">
        <v>8</v>
      </c>
      <c r="P493" s="358">
        <v>0</v>
      </c>
      <c r="Q493" s="358">
        <v>0</v>
      </c>
      <c r="R493" s="358">
        <v>0</v>
      </c>
      <c r="S493" s="358">
        <v>0</v>
      </c>
      <c r="T493" s="358">
        <v>0</v>
      </c>
      <c r="U493" s="35">
        <f t="shared" si="88"/>
        <v>1</v>
      </c>
      <c r="W493">
        <f t="shared" si="89"/>
        <v>1</v>
      </c>
      <c r="X493" s="35">
        <f t="shared" si="90"/>
        <v>0</v>
      </c>
      <c r="Y493">
        <f t="shared" si="91"/>
        <v>0</v>
      </c>
      <c r="AB493">
        <f t="shared" si="94"/>
        <v>1</v>
      </c>
      <c r="AC493">
        <f t="shared" ca="1" si="95"/>
        <v>0</v>
      </c>
      <c r="AD493" t="str">
        <f ca="1">IF(AC493=1,COUNTIF($AC$3:AC493,1),"")</f>
        <v/>
      </c>
      <c r="AE493" s="155" t="str">
        <f ca="1">IFERROR(INDEX(Données!$B$3:$B$1479,MATCH(ROWS($AD$3:AD493),$AD$3:$AD$1479,0)),"")</f>
        <v/>
      </c>
    </row>
    <row r="494" spans="1:31" ht="15.75" x14ac:dyDescent="0.25">
      <c r="A494" t="str">
        <f t="shared" si="92"/>
        <v>Taro Hirose - DET - AG</v>
      </c>
      <c r="B494" t="str">
        <f t="shared" si="93"/>
        <v>Taro Hirose - DET - AG</v>
      </c>
      <c r="C494" t="str">
        <f t="shared" si="84"/>
        <v>Taro</v>
      </c>
      <c r="D494" t="str">
        <f t="shared" si="85"/>
        <v>Hirose</v>
      </c>
      <c r="E494" s="39" t="s">
        <v>2524</v>
      </c>
      <c r="F494" s="30" t="s">
        <v>17</v>
      </c>
      <c r="G494" s="35" t="s">
        <v>386</v>
      </c>
      <c r="H494" s="35" t="s">
        <v>2440</v>
      </c>
      <c r="I494" s="35" t="s">
        <v>2446</v>
      </c>
      <c r="J494" s="35">
        <v>23</v>
      </c>
      <c r="K494" s="35">
        <f>VALUE(COUNTIF(Validation!$A$2:$H$47,E494))</f>
        <v>0</v>
      </c>
      <c r="L494" s="361">
        <f t="shared" si="86"/>
        <v>1350000</v>
      </c>
      <c r="M494" s="361">
        <f t="shared" si="87"/>
        <v>0</v>
      </c>
      <c r="N494" s="358">
        <v>1350000</v>
      </c>
      <c r="O494" s="358" t="s">
        <v>8</v>
      </c>
      <c r="P494" s="358">
        <v>0</v>
      </c>
      <c r="Q494" s="358">
        <v>0</v>
      </c>
      <c r="R494" s="358">
        <v>0</v>
      </c>
      <c r="S494" s="358">
        <v>0</v>
      </c>
      <c r="T494" s="358">
        <v>0</v>
      </c>
      <c r="U494" s="35">
        <f t="shared" si="88"/>
        <v>1</v>
      </c>
      <c r="W494">
        <f t="shared" si="89"/>
        <v>1</v>
      </c>
      <c r="X494" s="35">
        <f t="shared" si="90"/>
        <v>1</v>
      </c>
      <c r="Y494">
        <f t="shared" si="91"/>
        <v>0</v>
      </c>
      <c r="AB494">
        <f t="shared" si="94"/>
        <v>1</v>
      </c>
      <c r="AC494">
        <f t="shared" ca="1" si="95"/>
        <v>0</v>
      </c>
      <c r="AD494" t="str">
        <f ca="1">IF(AC494=1,COUNTIF($AC$3:AC494,1),"")</f>
        <v/>
      </c>
      <c r="AE494" s="155" t="str">
        <f ca="1">IFERROR(INDEX(Données!$B$3:$B$1479,MATCH(ROWS($AD$3:AD494),$AD$3:$AD$1479,0)),"")</f>
        <v/>
      </c>
    </row>
    <row r="495" spans="1:31" ht="15.75" x14ac:dyDescent="0.25">
      <c r="A495" t="str">
        <f t="shared" si="92"/>
        <v>Ryan Kuffner - DET - AG</v>
      </c>
      <c r="B495" t="str">
        <f t="shared" si="93"/>
        <v>Ryan Kuffner - DET - AG</v>
      </c>
      <c r="C495" t="str">
        <f t="shared" si="84"/>
        <v>Ryan</v>
      </c>
      <c r="D495" t="str">
        <f t="shared" si="85"/>
        <v>Kuffner</v>
      </c>
      <c r="E495" s="39" t="s">
        <v>2523</v>
      </c>
      <c r="F495" s="30" t="s">
        <v>17</v>
      </c>
      <c r="G495" s="35" t="s">
        <v>386</v>
      </c>
      <c r="H495" s="35" t="s">
        <v>2440</v>
      </c>
      <c r="I495" s="35" t="s">
        <v>2446</v>
      </c>
      <c r="J495" s="35">
        <v>23</v>
      </c>
      <c r="K495" s="35">
        <f>VALUE(COUNTIF(Validation!$A$2:$H$47,E495))</f>
        <v>0</v>
      </c>
      <c r="L495" s="361">
        <f t="shared" si="86"/>
        <v>1350000</v>
      </c>
      <c r="M495" s="361">
        <f t="shared" si="87"/>
        <v>0</v>
      </c>
      <c r="N495" s="358">
        <v>1350000</v>
      </c>
      <c r="O495" s="358" t="s">
        <v>8</v>
      </c>
      <c r="P495" s="358">
        <v>0</v>
      </c>
      <c r="Q495" s="358">
        <v>0</v>
      </c>
      <c r="R495" s="358">
        <v>0</v>
      </c>
      <c r="S495" s="358">
        <v>0</v>
      </c>
      <c r="T495" s="358">
        <v>0</v>
      </c>
      <c r="U495" s="35">
        <f t="shared" si="88"/>
        <v>1</v>
      </c>
      <c r="W495">
        <f t="shared" si="89"/>
        <v>1</v>
      </c>
      <c r="X495" s="35">
        <f t="shared" si="90"/>
        <v>1</v>
      </c>
      <c r="Y495">
        <f t="shared" si="91"/>
        <v>0</v>
      </c>
      <c r="AB495">
        <f t="shared" si="94"/>
        <v>1</v>
      </c>
      <c r="AC495">
        <f t="shared" ca="1" si="95"/>
        <v>0</v>
      </c>
      <c r="AD495" t="str">
        <f ca="1">IF(AC495=1,COUNTIF($AC$3:AC495,1),"")</f>
        <v/>
      </c>
      <c r="AE495" s="155" t="str">
        <f ca="1">IFERROR(INDEX(Données!$B$3:$B$1479,MATCH(ROWS($AD$3:AD495),$AD$3:$AD$1479,0)),"")</f>
        <v/>
      </c>
    </row>
    <row r="496" spans="1:31" ht="15.75" x14ac:dyDescent="0.25">
      <c r="A496" t="str">
        <f t="shared" si="92"/>
        <v>Joseph Veleno - DET - C</v>
      </c>
      <c r="B496" t="str">
        <f t="shared" si="93"/>
        <v>Joseph Veleno - DET - C</v>
      </c>
      <c r="C496" t="str">
        <f t="shared" si="84"/>
        <v>Joseph</v>
      </c>
      <c r="D496" t="str">
        <f t="shared" si="85"/>
        <v>Veleno</v>
      </c>
      <c r="E496" s="39" t="s">
        <v>2525</v>
      </c>
      <c r="F496" s="30" t="s">
        <v>17</v>
      </c>
      <c r="G496" s="35" t="s">
        <v>386</v>
      </c>
      <c r="H496" s="9" t="s">
        <v>73</v>
      </c>
      <c r="I496" s="9" t="s">
        <v>2446</v>
      </c>
      <c r="J496" s="9">
        <v>19</v>
      </c>
      <c r="K496" s="35">
        <f>VALUE(COUNTIF(Validation!$A$2:$H$47,E496))</f>
        <v>0</v>
      </c>
      <c r="L496" s="361">
        <f t="shared" si="86"/>
        <v>1243750</v>
      </c>
      <c r="M496" s="361">
        <f t="shared" si="87"/>
        <v>1243750</v>
      </c>
      <c r="N496" s="358">
        <v>1243750</v>
      </c>
      <c r="O496" s="358">
        <v>1243750</v>
      </c>
      <c r="P496" s="358">
        <v>1243750</v>
      </c>
      <c r="Q496" s="358" t="s">
        <v>8</v>
      </c>
      <c r="R496" s="358">
        <v>0</v>
      </c>
      <c r="S496" s="358">
        <v>0</v>
      </c>
      <c r="T496" s="358">
        <v>0</v>
      </c>
      <c r="U496" s="35">
        <f t="shared" si="88"/>
        <v>3</v>
      </c>
      <c r="W496">
        <f t="shared" si="89"/>
        <v>1</v>
      </c>
      <c r="X496" s="35">
        <f t="shared" si="90"/>
        <v>1</v>
      </c>
      <c r="Y496">
        <f t="shared" si="91"/>
        <v>1</v>
      </c>
      <c r="AB496">
        <f t="shared" si="94"/>
        <v>1</v>
      </c>
      <c r="AC496">
        <f t="shared" ca="1" si="95"/>
        <v>0</v>
      </c>
      <c r="AD496" t="str">
        <f ca="1">IF(AC496=1,COUNTIF($AC$3:AC496,1),"")</f>
        <v/>
      </c>
      <c r="AE496" s="155" t="str">
        <f ca="1">IFERROR(INDEX(Données!$B$3:$B$1479,MATCH(ROWS($AD$3:AD496),$AD$3:$AD$1479,0)),"")</f>
        <v/>
      </c>
    </row>
    <row r="497" spans="1:31" ht="15.75" x14ac:dyDescent="0.25">
      <c r="A497" t="str">
        <f t="shared" si="92"/>
        <v>Filip Larsson - DET - G</v>
      </c>
      <c r="B497" t="str">
        <f t="shared" si="93"/>
        <v>Filip Larsson - DET - G</v>
      </c>
      <c r="C497" t="str">
        <f t="shared" si="84"/>
        <v>Filip</v>
      </c>
      <c r="D497" t="str">
        <f t="shared" si="85"/>
        <v>Larsson</v>
      </c>
      <c r="E497" s="39" t="s">
        <v>2530</v>
      </c>
      <c r="F497" s="30" t="s">
        <v>17</v>
      </c>
      <c r="G497" s="35" t="s">
        <v>386</v>
      </c>
      <c r="H497" s="35" t="s">
        <v>127</v>
      </c>
      <c r="I497" s="35" t="s">
        <v>2446</v>
      </c>
      <c r="J497" s="35">
        <v>20</v>
      </c>
      <c r="K497" s="35">
        <f>VALUE(COUNTIF(Validation!$A$2:$H$47,E497))</f>
        <v>0</v>
      </c>
      <c r="L497" s="361">
        <f t="shared" si="86"/>
        <v>1100000</v>
      </c>
      <c r="M497" s="361">
        <f t="shared" si="87"/>
        <v>1100000</v>
      </c>
      <c r="N497" s="358">
        <v>1100000</v>
      </c>
      <c r="O497" s="358">
        <v>1100000</v>
      </c>
      <c r="P497" s="358">
        <v>1100000</v>
      </c>
      <c r="Q497" s="358" t="s">
        <v>8</v>
      </c>
      <c r="R497" s="358">
        <v>0</v>
      </c>
      <c r="S497" s="358">
        <v>0</v>
      </c>
      <c r="T497" s="358">
        <v>0</v>
      </c>
      <c r="U497" s="35">
        <f t="shared" si="88"/>
        <v>3</v>
      </c>
      <c r="W497">
        <f t="shared" si="89"/>
        <v>1</v>
      </c>
      <c r="X497" s="35">
        <f t="shared" si="90"/>
        <v>1</v>
      </c>
      <c r="Y497">
        <f t="shared" si="91"/>
        <v>1</v>
      </c>
      <c r="AB497">
        <f t="shared" si="94"/>
        <v>1</v>
      </c>
      <c r="AC497">
        <f t="shared" ca="1" si="95"/>
        <v>0</v>
      </c>
      <c r="AD497" t="str">
        <f ca="1">IF(AC497=1,COUNTIF($AC$3:AC497,1),"")</f>
        <v/>
      </c>
      <c r="AE497" s="155" t="str">
        <f ca="1">IFERROR(INDEX(Données!$B$3:$B$1479,MATCH(ROWS($AD$3:AD497),$AD$3:$AD$1479,0)),"")</f>
        <v/>
      </c>
    </row>
    <row r="498" spans="1:31" ht="15.75" x14ac:dyDescent="0.25">
      <c r="A498" t="str">
        <f t="shared" si="92"/>
        <v>Evgeny Svechnikov - DET - AG</v>
      </c>
      <c r="B498" t="str">
        <f t="shared" si="93"/>
        <v>Evgeny Svechnikov - DET - AG</v>
      </c>
      <c r="C498" t="str">
        <f t="shared" si="84"/>
        <v>Evgeny</v>
      </c>
      <c r="D498" t="str">
        <f t="shared" si="85"/>
        <v>Svechnikov</v>
      </c>
      <c r="E498" s="39" t="s">
        <v>1442</v>
      </c>
      <c r="F498" s="30" t="s">
        <v>17</v>
      </c>
      <c r="G498" s="35" t="s">
        <v>403</v>
      </c>
      <c r="H498" s="35" t="s">
        <v>2440</v>
      </c>
      <c r="I498" s="35" t="s">
        <v>2439</v>
      </c>
      <c r="J498" s="35">
        <v>22</v>
      </c>
      <c r="K498" s="35">
        <f>VALUE(COUNTIF(Validation!$A$2:$H$47,E498))</f>
        <v>0</v>
      </c>
      <c r="L498" s="361">
        <f t="shared" si="86"/>
        <v>1075833</v>
      </c>
      <c r="M498" s="361">
        <f t="shared" si="87"/>
        <v>0</v>
      </c>
      <c r="N498" s="358">
        <v>1075833</v>
      </c>
      <c r="O498" s="358" t="s">
        <v>8</v>
      </c>
      <c r="P498" s="358">
        <v>0</v>
      </c>
      <c r="Q498" s="358">
        <v>0</v>
      </c>
      <c r="R498" s="358">
        <v>0</v>
      </c>
      <c r="S498" s="358">
        <v>0</v>
      </c>
      <c r="T498" s="358">
        <v>0</v>
      </c>
      <c r="U498" s="35">
        <f t="shared" si="88"/>
        <v>1</v>
      </c>
      <c r="W498">
        <f t="shared" si="89"/>
        <v>1</v>
      </c>
      <c r="X498" s="35">
        <f t="shared" si="90"/>
        <v>1</v>
      </c>
      <c r="Y498">
        <f t="shared" si="91"/>
        <v>0</v>
      </c>
      <c r="AB498">
        <f t="shared" si="94"/>
        <v>1</v>
      </c>
      <c r="AC498">
        <f t="shared" ca="1" si="95"/>
        <v>0</v>
      </c>
      <c r="AD498" t="str">
        <f ca="1">IF(AC498=1,COUNTIF($AC$3:AC498,1),"")</f>
        <v/>
      </c>
      <c r="AE498" s="155" t="str">
        <f ca="1">IFERROR(INDEX(Données!$B$3:$B$1479,MATCH(ROWS($AD$3:AD498),$AD$3:$AD$1479,0)),"")</f>
        <v/>
      </c>
    </row>
    <row r="499" spans="1:31" ht="15.75" x14ac:dyDescent="0.25">
      <c r="A499" t="str">
        <f t="shared" si="92"/>
        <v>Madison Bowey - DET - DD</v>
      </c>
      <c r="B499" t="str">
        <f t="shared" si="93"/>
        <v>Madison Bowey - DET - DD</v>
      </c>
      <c r="C499" t="str">
        <f t="shared" si="84"/>
        <v>Madison</v>
      </c>
      <c r="D499" t="str">
        <f t="shared" si="85"/>
        <v>Bowey</v>
      </c>
      <c r="E499" s="39" t="s">
        <v>1865</v>
      </c>
      <c r="F499" s="30" t="s">
        <v>17</v>
      </c>
      <c r="G499" s="35">
        <v>0</v>
      </c>
      <c r="H499" s="35" t="s">
        <v>2444</v>
      </c>
      <c r="I499" s="35" t="s">
        <v>2439</v>
      </c>
      <c r="J499" s="35">
        <v>24</v>
      </c>
      <c r="K499" s="35">
        <f>VALUE(COUNTIF(Validation!$A$2:$H$47,E499))</f>
        <v>0</v>
      </c>
      <c r="L499" s="361">
        <f t="shared" si="86"/>
        <v>1000000</v>
      </c>
      <c r="M499" s="361">
        <f t="shared" si="87"/>
        <v>0</v>
      </c>
      <c r="N499" s="358">
        <v>1000000</v>
      </c>
      <c r="O499" s="358" t="s">
        <v>8</v>
      </c>
      <c r="P499" s="358">
        <v>0</v>
      </c>
      <c r="Q499" s="358">
        <v>0</v>
      </c>
      <c r="R499" s="358">
        <v>0</v>
      </c>
      <c r="S499" s="358">
        <v>0</v>
      </c>
      <c r="T499" s="358">
        <v>0</v>
      </c>
      <c r="U499" s="35">
        <f t="shared" si="88"/>
        <v>1</v>
      </c>
      <c r="W499">
        <f t="shared" si="89"/>
        <v>1</v>
      </c>
      <c r="X499" s="35">
        <f t="shared" si="90"/>
        <v>0</v>
      </c>
      <c r="Y499">
        <f t="shared" si="91"/>
        <v>0</v>
      </c>
      <c r="AB499">
        <f t="shared" si="94"/>
        <v>1</v>
      </c>
      <c r="AC499">
        <f t="shared" ca="1" si="95"/>
        <v>0</v>
      </c>
      <c r="AD499" t="str">
        <f ca="1">IF(AC499=1,COUNTIF($AC$3:AC499,1),"")</f>
        <v/>
      </c>
      <c r="AE499" s="155" t="str">
        <f ca="1">IFERROR(INDEX(Données!$B$3:$B$1479,MATCH(ROWS($AD$3:AD499),$AD$3:$AD$1479,0)),"")</f>
        <v/>
      </c>
    </row>
    <row r="500" spans="1:31" ht="15.75" x14ac:dyDescent="0.25">
      <c r="A500" t="str">
        <f t="shared" si="92"/>
        <v>Vili Saarijarvi - DET - DD</v>
      </c>
      <c r="B500" t="str">
        <f t="shared" si="93"/>
        <v>Vili Saarijarvi - DET - DD</v>
      </c>
      <c r="C500" t="str">
        <f t="shared" si="84"/>
        <v>Vili</v>
      </c>
      <c r="D500" t="str">
        <f t="shared" si="85"/>
        <v>Saarijarvi</v>
      </c>
      <c r="E500" s="39" t="s">
        <v>2883</v>
      </c>
      <c r="F500" s="30" t="s">
        <v>17</v>
      </c>
      <c r="G500" s="35" t="s">
        <v>386</v>
      </c>
      <c r="H500" s="35" t="s">
        <v>2444</v>
      </c>
      <c r="I500" s="35" t="s">
        <v>2446</v>
      </c>
      <c r="J500" s="35">
        <v>22</v>
      </c>
      <c r="K500" s="35">
        <f>VALUE(COUNTIF(Validation!$A$2:$H$47,E500))</f>
        <v>0</v>
      </c>
      <c r="L500" s="361">
        <f t="shared" si="86"/>
        <v>930000</v>
      </c>
      <c r="M500" s="361">
        <f t="shared" si="87"/>
        <v>0</v>
      </c>
      <c r="N500" s="358">
        <v>930000</v>
      </c>
      <c r="O500" s="358" t="s">
        <v>8</v>
      </c>
      <c r="P500" s="358">
        <v>0</v>
      </c>
      <c r="Q500" s="358">
        <v>0</v>
      </c>
      <c r="R500" s="358">
        <v>0</v>
      </c>
      <c r="S500" s="358">
        <v>0</v>
      </c>
      <c r="T500" s="358">
        <v>0</v>
      </c>
      <c r="U500" s="35">
        <f t="shared" si="88"/>
        <v>1</v>
      </c>
      <c r="W500">
        <f t="shared" si="89"/>
        <v>1</v>
      </c>
      <c r="X500" s="35">
        <f t="shared" si="90"/>
        <v>1</v>
      </c>
      <c r="Y500">
        <f t="shared" si="91"/>
        <v>0</v>
      </c>
      <c r="AB500">
        <f t="shared" si="94"/>
        <v>1</v>
      </c>
      <c r="AC500">
        <f t="shared" ca="1" si="95"/>
        <v>0</v>
      </c>
      <c r="AD500" t="str">
        <f ca="1">IF(AC500=1,COUNTIF($AC$3:AC500,1),"")</f>
        <v/>
      </c>
      <c r="AE500" s="155" t="str">
        <f ca="1">IFERROR(INDEX(Données!$B$3:$B$1479,MATCH(ROWS($AD$3:AD500),$AD$3:$AD$1479,0)),"")</f>
        <v/>
      </c>
    </row>
    <row r="501" spans="1:31" ht="15.75" x14ac:dyDescent="0.25">
      <c r="A501" t="str">
        <f t="shared" si="92"/>
        <v>Christoffer Ehn - DET - C, AG</v>
      </c>
      <c r="B501" t="str">
        <f t="shared" si="93"/>
        <v>Christoffer Ehn - DET - C, AG</v>
      </c>
      <c r="C501" t="str">
        <f t="shared" si="84"/>
        <v>Christoffer</v>
      </c>
      <c r="D501" t="str">
        <f t="shared" si="85"/>
        <v>Ehn</v>
      </c>
      <c r="E501" s="39" t="s">
        <v>1443</v>
      </c>
      <c r="F501" s="30" t="s">
        <v>17</v>
      </c>
      <c r="G501" s="35" t="s">
        <v>386</v>
      </c>
      <c r="H501" s="35" t="s">
        <v>2452</v>
      </c>
      <c r="I501" s="35" t="s">
        <v>2446</v>
      </c>
      <c r="J501" s="35">
        <v>23</v>
      </c>
      <c r="K501" s="35">
        <f>VALUE(COUNTIF(Validation!$A$2:$H$47,E501))</f>
        <v>0</v>
      </c>
      <c r="L501" s="361">
        <f t="shared" si="86"/>
        <v>925000</v>
      </c>
      <c r="M501" s="361">
        <f t="shared" si="87"/>
        <v>0</v>
      </c>
      <c r="N501" s="358">
        <v>925000</v>
      </c>
      <c r="O501" s="358" t="s">
        <v>8</v>
      </c>
      <c r="P501" s="358">
        <v>0</v>
      </c>
      <c r="Q501" s="358">
        <v>0</v>
      </c>
      <c r="R501" s="358">
        <v>0</v>
      </c>
      <c r="S501" s="358">
        <v>0</v>
      </c>
      <c r="T501" s="358">
        <v>0</v>
      </c>
      <c r="U501" s="35">
        <f t="shared" si="88"/>
        <v>1</v>
      </c>
      <c r="W501">
        <f t="shared" si="89"/>
        <v>1</v>
      </c>
      <c r="X501" s="35">
        <f t="shared" si="90"/>
        <v>1</v>
      </c>
      <c r="Y501">
        <f t="shared" si="91"/>
        <v>0</v>
      </c>
      <c r="AB501">
        <f t="shared" si="94"/>
        <v>1</v>
      </c>
      <c r="AC501">
        <f t="shared" ca="1" si="95"/>
        <v>0</v>
      </c>
      <c r="AD501" t="str">
        <f ca="1">IF(AC501=1,COUNTIF($AC$3:AC501,1),"")</f>
        <v/>
      </c>
      <c r="AE501" s="155" t="str">
        <f ca="1">IFERROR(INDEX(Données!$B$3:$B$1479,MATCH(ROWS($AD$3:AD501),$AD$3:$AD$1479,0)),"")</f>
        <v/>
      </c>
    </row>
    <row r="502" spans="1:31" ht="15.75" x14ac:dyDescent="0.25">
      <c r="A502" t="str">
        <f t="shared" si="92"/>
        <v>Gustav Lindstrom - DET - DD</v>
      </c>
      <c r="B502" t="str">
        <f t="shared" si="93"/>
        <v>Gustav Lindstrom - DET - DD</v>
      </c>
      <c r="C502" t="str">
        <f t="shared" si="84"/>
        <v>Gustav</v>
      </c>
      <c r="D502" t="str">
        <f t="shared" si="85"/>
        <v>Lindstrom</v>
      </c>
      <c r="E502" s="39" t="s">
        <v>2856</v>
      </c>
      <c r="F502" s="30" t="s">
        <v>17</v>
      </c>
      <c r="G502" s="35" t="s">
        <v>386</v>
      </c>
      <c r="H502" s="35" t="s">
        <v>2444</v>
      </c>
      <c r="I502" s="35" t="s">
        <v>2446</v>
      </c>
      <c r="J502" s="35">
        <v>20</v>
      </c>
      <c r="K502" s="35">
        <f>VALUE(COUNTIF(Validation!$A$2:$H$47,E502))</f>
        <v>0</v>
      </c>
      <c r="L502" s="361">
        <f t="shared" si="86"/>
        <v>925000</v>
      </c>
      <c r="M502" s="361">
        <f t="shared" si="87"/>
        <v>925000</v>
      </c>
      <c r="N502" s="358">
        <v>925000</v>
      </c>
      <c r="O502" s="358">
        <v>925000</v>
      </c>
      <c r="P502" s="358" t="s">
        <v>8</v>
      </c>
      <c r="Q502" s="358">
        <v>0</v>
      </c>
      <c r="R502" s="358">
        <v>0</v>
      </c>
      <c r="S502" s="358">
        <v>0</v>
      </c>
      <c r="T502" s="358">
        <v>0</v>
      </c>
      <c r="U502" s="35">
        <f t="shared" si="88"/>
        <v>2</v>
      </c>
      <c r="W502">
        <f t="shared" si="89"/>
        <v>1</v>
      </c>
      <c r="X502" s="35">
        <f t="shared" si="90"/>
        <v>1</v>
      </c>
      <c r="Y502">
        <f t="shared" si="91"/>
        <v>1</v>
      </c>
      <c r="AB502">
        <f t="shared" si="94"/>
        <v>1</v>
      </c>
      <c r="AC502">
        <f t="shared" ca="1" si="95"/>
        <v>0</v>
      </c>
      <c r="AD502" t="str">
        <f ca="1">IF(AC502=1,COUNTIF($AC$3:AC502,1),"")</f>
        <v/>
      </c>
      <c r="AE502" s="155" t="str">
        <f ca="1">IFERROR(INDEX(Données!$B$3:$B$1479,MATCH(ROWS($AD$3:AD502),$AD$3:$AD$1479,0)),"")</f>
        <v/>
      </c>
    </row>
    <row r="503" spans="1:31" ht="15.75" x14ac:dyDescent="0.25">
      <c r="A503" t="str">
        <f t="shared" si="92"/>
        <v>Chase Pearson - DET - C</v>
      </c>
      <c r="B503" t="str">
        <f t="shared" si="93"/>
        <v>Chase Pearson - DET - C</v>
      </c>
      <c r="C503" t="str">
        <f t="shared" si="84"/>
        <v>Chase</v>
      </c>
      <c r="D503" t="str">
        <f t="shared" si="85"/>
        <v>Pearson</v>
      </c>
      <c r="E503" s="39" t="s">
        <v>2526</v>
      </c>
      <c r="F503" s="30" t="s">
        <v>17</v>
      </c>
      <c r="G503" s="35" t="s">
        <v>386</v>
      </c>
      <c r="H503" s="9" t="s">
        <v>73</v>
      </c>
      <c r="I503" s="9" t="s">
        <v>2446</v>
      </c>
      <c r="J503" s="9">
        <v>21</v>
      </c>
      <c r="K503" s="35">
        <f>VALUE(COUNTIF(Validation!$A$2:$H$47,E503))</f>
        <v>0</v>
      </c>
      <c r="L503" s="361">
        <f t="shared" si="86"/>
        <v>925000</v>
      </c>
      <c r="M503" s="361">
        <f t="shared" si="87"/>
        <v>925000</v>
      </c>
      <c r="N503" s="358">
        <v>925000</v>
      </c>
      <c r="O503" s="358">
        <v>925000</v>
      </c>
      <c r="P503" s="358" t="s">
        <v>8</v>
      </c>
      <c r="Q503" s="358">
        <v>0</v>
      </c>
      <c r="R503" s="358">
        <v>0</v>
      </c>
      <c r="S503" s="358">
        <v>0</v>
      </c>
      <c r="T503" s="358">
        <v>0</v>
      </c>
      <c r="U503" s="35">
        <f t="shared" si="88"/>
        <v>2</v>
      </c>
      <c r="W503">
        <f t="shared" si="89"/>
        <v>1</v>
      </c>
      <c r="X503" s="35">
        <f t="shared" si="90"/>
        <v>1</v>
      </c>
      <c r="Y503">
        <f t="shared" si="91"/>
        <v>1</v>
      </c>
      <c r="AB503">
        <f t="shared" si="94"/>
        <v>1</v>
      </c>
      <c r="AC503">
        <f t="shared" ca="1" si="95"/>
        <v>0</v>
      </c>
      <c r="AD503" t="str">
        <f ca="1">IF(AC503=1,COUNTIF($AC$3:AC503,1),"")</f>
        <v/>
      </c>
      <c r="AE503" s="155" t="str">
        <f ca="1">IFERROR(INDEX(Données!$B$3:$B$1479,MATCH(ROWS($AD$3:AD503),$AD$3:$AD$1479,0)),"")</f>
        <v/>
      </c>
    </row>
    <row r="504" spans="1:31" ht="15.75" x14ac:dyDescent="0.25">
      <c r="A504" t="str">
        <f t="shared" si="92"/>
        <v>Filip Hronek - DET - DD</v>
      </c>
      <c r="B504" t="str">
        <f t="shared" si="93"/>
        <v>Filip Hronek - DET - DD</v>
      </c>
      <c r="C504" t="str">
        <f t="shared" si="84"/>
        <v>Filip</v>
      </c>
      <c r="D504" t="str">
        <f t="shared" si="85"/>
        <v>Hronek</v>
      </c>
      <c r="E504" s="39" t="s">
        <v>1445</v>
      </c>
      <c r="F504" s="30" t="s">
        <v>17</v>
      </c>
      <c r="G504" s="35" t="s">
        <v>386</v>
      </c>
      <c r="H504" s="35" t="s">
        <v>2444</v>
      </c>
      <c r="I504" s="35" t="s">
        <v>2439</v>
      </c>
      <c r="J504" s="35">
        <v>21</v>
      </c>
      <c r="K504" s="35">
        <f>VALUE(COUNTIF(Validation!$A$2:$H$47,E504))</f>
        <v>0</v>
      </c>
      <c r="L504" s="361">
        <f t="shared" si="86"/>
        <v>913333</v>
      </c>
      <c r="M504" s="361">
        <f t="shared" si="87"/>
        <v>913333</v>
      </c>
      <c r="N504" s="358">
        <v>913333</v>
      </c>
      <c r="O504" s="358">
        <v>913333</v>
      </c>
      <c r="P504" s="358" t="s">
        <v>8</v>
      </c>
      <c r="Q504" s="358">
        <v>0</v>
      </c>
      <c r="R504" s="358">
        <v>0</v>
      </c>
      <c r="S504" s="358">
        <v>0</v>
      </c>
      <c r="T504" s="358">
        <v>0</v>
      </c>
      <c r="U504" s="35">
        <f t="shared" si="88"/>
        <v>2</v>
      </c>
      <c r="W504">
        <f t="shared" si="89"/>
        <v>1</v>
      </c>
      <c r="X504" s="35">
        <f t="shared" si="90"/>
        <v>1</v>
      </c>
      <c r="Y504">
        <f t="shared" si="91"/>
        <v>1</v>
      </c>
      <c r="AB504">
        <f t="shared" si="94"/>
        <v>1</v>
      </c>
      <c r="AC504">
        <f t="shared" ca="1" si="95"/>
        <v>0</v>
      </c>
      <c r="AD504" t="str">
        <f ca="1">IF(AC504=1,COUNTIF($AC$3:AC504,1),"")</f>
        <v/>
      </c>
      <c r="AE504" s="155" t="str">
        <f ca="1">IFERROR(INDEX(Données!$B$3:$B$1479,MATCH(ROWS($AD$3:AD504),$AD$3:$AD$1479,0)),"")</f>
        <v/>
      </c>
    </row>
    <row r="505" spans="1:31" ht="15.75" x14ac:dyDescent="0.25">
      <c r="A505" t="str">
        <f t="shared" si="92"/>
        <v>Givani Smith - DET - AG</v>
      </c>
      <c r="B505" t="str">
        <f t="shared" si="93"/>
        <v>Givani Smith - DET - AG</v>
      </c>
      <c r="C505" t="str">
        <f t="shared" si="84"/>
        <v>Givani</v>
      </c>
      <c r="D505" t="str">
        <f t="shared" si="85"/>
        <v>Smith</v>
      </c>
      <c r="E505" s="39" t="s">
        <v>1446</v>
      </c>
      <c r="F505" s="30" t="s">
        <v>17</v>
      </c>
      <c r="G505" s="35" t="s">
        <v>386</v>
      </c>
      <c r="H505" s="35" t="s">
        <v>2440</v>
      </c>
      <c r="I505" s="35" t="s">
        <v>2446</v>
      </c>
      <c r="J505" s="35">
        <v>21</v>
      </c>
      <c r="K505" s="35">
        <f>VALUE(COUNTIF(Validation!$A$2:$H$47,E505))</f>
        <v>0</v>
      </c>
      <c r="L505" s="361">
        <f t="shared" si="86"/>
        <v>913333</v>
      </c>
      <c r="M505" s="361">
        <f t="shared" si="87"/>
        <v>913333</v>
      </c>
      <c r="N505" s="358">
        <v>913333</v>
      </c>
      <c r="O505" s="358">
        <v>913333</v>
      </c>
      <c r="P505" s="358" t="s">
        <v>8</v>
      </c>
      <c r="Q505" s="358">
        <v>0</v>
      </c>
      <c r="R505" s="358">
        <v>0</v>
      </c>
      <c r="S505" s="358">
        <v>0</v>
      </c>
      <c r="T505" s="358">
        <v>0</v>
      </c>
      <c r="U505" s="35">
        <f t="shared" si="88"/>
        <v>2</v>
      </c>
      <c r="W505">
        <f t="shared" si="89"/>
        <v>1</v>
      </c>
      <c r="X505" s="35">
        <f t="shared" si="90"/>
        <v>1</v>
      </c>
      <c r="Y505">
        <f t="shared" si="91"/>
        <v>1</v>
      </c>
      <c r="AB505">
        <f t="shared" si="94"/>
        <v>1</v>
      </c>
      <c r="AC505">
        <f t="shared" ca="1" si="95"/>
        <v>0</v>
      </c>
      <c r="AD505" t="str">
        <f ca="1">IF(AC505=1,COUNTIF($AC$3:AC505,1),"")</f>
        <v/>
      </c>
      <c r="AE505" s="155" t="str">
        <f ca="1">IFERROR(INDEX(Données!$B$3:$B$1479,MATCH(ROWS($AD$3:AD505),$AD$3:$AD$1479,0)),"")</f>
        <v/>
      </c>
    </row>
    <row r="506" spans="1:31" ht="15.75" x14ac:dyDescent="0.25">
      <c r="A506" t="str">
        <f t="shared" si="92"/>
        <v>Jared McIsaac - DET - DG</v>
      </c>
      <c r="B506" t="str">
        <f t="shared" si="93"/>
        <v>Jared McIsaac - DET - DG</v>
      </c>
      <c r="C506" t="str">
        <f t="shared" si="84"/>
        <v>Jared</v>
      </c>
      <c r="D506" t="str">
        <f t="shared" si="85"/>
        <v>McIsaac</v>
      </c>
      <c r="E506" s="39" t="s">
        <v>2529</v>
      </c>
      <c r="F506" s="30" t="s">
        <v>17</v>
      </c>
      <c r="G506" s="35" t="s">
        <v>388</v>
      </c>
      <c r="H506" s="35" t="s">
        <v>2445</v>
      </c>
      <c r="I506" s="35" t="s">
        <v>389</v>
      </c>
      <c r="J506" s="35">
        <v>19</v>
      </c>
      <c r="K506" s="35">
        <f>VALUE(COUNTIF(Validation!$A$2:$H$47,E506))</f>
        <v>0</v>
      </c>
      <c r="L506" s="361">
        <f t="shared" si="86"/>
        <v>910833</v>
      </c>
      <c r="M506" s="361">
        <f t="shared" si="87"/>
        <v>910833</v>
      </c>
      <c r="N506" s="358">
        <v>910833</v>
      </c>
      <c r="O506" s="358">
        <v>910833</v>
      </c>
      <c r="P506" s="358">
        <v>910833</v>
      </c>
      <c r="Q506" s="358" t="s">
        <v>8</v>
      </c>
      <c r="R506" s="358">
        <v>0</v>
      </c>
      <c r="S506" s="358">
        <v>0</v>
      </c>
      <c r="T506" s="358">
        <v>0</v>
      </c>
      <c r="U506" s="35">
        <f t="shared" si="88"/>
        <v>3</v>
      </c>
      <c r="W506">
        <f t="shared" si="89"/>
        <v>1</v>
      </c>
      <c r="X506" s="35">
        <f t="shared" si="90"/>
        <v>1</v>
      </c>
      <c r="Y506">
        <f t="shared" si="91"/>
        <v>1</v>
      </c>
      <c r="AB506">
        <f t="shared" si="94"/>
        <v>1</v>
      </c>
      <c r="AC506">
        <f t="shared" ca="1" si="95"/>
        <v>0</v>
      </c>
      <c r="AD506" t="str">
        <f ca="1">IF(AC506=1,COUNTIF($AC$3:AC506,1),"")</f>
        <v/>
      </c>
      <c r="AE506" s="155" t="str">
        <f ca="1">IFERROR(INDEX(Données!$B$3:$B$1479,MATCH(ROWS($AD$3:AD506),$AD$3:$AD$1479,0)),"")</f>
        <v/>
      </c>
    </row>
    <row r="507" spans="1:31" ht="15.75" x14ac:dyDescent="0.25">
      <c r="A507" t="str">
        <f t="shared" si="92"/>
        <v>Jacob DeLaRose - DET - C, AG</v>
      </c>
      <c r="B507" t="str">
        <f t="shared" si="93"/>
        <v>Jacob DeLaRose - DET - C, AG</v>
      </c>
      <c r="C507" t="str">
        <f t="shared" si="84"/>
        <v>Jacob</v>
      </c>
      <c r="D507" t="str">
        <f t="shared" si="85"/>
        <v>DeLaRose</v>
      </c>
      <c r="E507" s="39" t="s">
        <v>2927</v>
      </c>
      <c r="F507" s="30" t="s">
        <v>17</v>
      </c>
      <c r="G507" s="35">
        <v>0</v>
      </c>
      <c r="H507" s="35" t="s">
        <v>2452</v>
      </c>
      <c r="I507" s="35" t="s">
        <v>2439</v>
      </c>
      <c r="J507" s="35">
        <v>24</v>
      </c>
      <c r="K507" s="35">
        <f>VALUE(COUNTIF(Validation!$A$2:$H$47,E507))</f>
        <v>0</v>
      </c>
      <c r="L507" s="361">
        <f t="shared" si="86"/>
        <v>900000</v>
      </c>
      <c r="M507" s="361">
        <f t="shared" si="87"/>
        <v>0</v>
      </c>
      <c r="N507" s="358">
        <v>900000</v>
      </c>
      <c r="O507" s="358" t="s">
        <v>8</v>
      </c>
      <c r="P507" s="358">
        <v>0</v>
      </c>
      <c r="Q507" s="358">
        <v>0</v>
      </c>
      <c r="R507" s="358">
        <v>0</v>
      </c>
      <c r="S507" s="358">
        <v>0</v>
      </c>
      <c r="T507" s="358">
        <v>0</v>
      </c>
      <c r="U507" s="35">
        <f t="shared" si="88"/>
        <v>1</v>
      </c>
      <c r="W507">
        <f t="shared" si="89"/>
        <v>1</v>
      </c>
      <c r="X507" s="35">
        <f t="shared" si="90"/>
        <v>0</v>
      </c>
      <c r="Y507">
        <f t="shared" si="91"/>
        <v>0</v>
      </c>
      <c r="AB507">
        <f t="shared" si="94"/>
        <v>1</v>
      </c>
      <c r="AC507">
        <f t="shared" ca="1" si="95"/>
        <v>0</v>
      </c>
      <c r="AD507" t="str">
        <f ca="1">IF(AC507=1,COUNTIF($AC$3:AC507,1),"")</f>
        <v/>
      </c>
      <c r="AE507" s="155" t="str">
        <f ca="1">IFERROR(INDEX(Données!$B$3:$B$1479,MATCH(ROWS($AD$3:AD507),$AD$3:$AD$1479,0)),"")</f>
        <v/>
      </c>
    </row>
    <row r="508" spans="1:31" ht="15.75" x14ac:dyDescent="0.25">
      <c r="A508" t="str">
        <f t="shared" si="92"/>
        <v>Dennis Cholowski - DET - DG</v>
      </c>
      <c r="B508" t="str">
        <f t="shared" si="93"/>
        <v>Dennis Cholowski - DET - DG</v>
      </c>
      <c r="C508" t="str">
        <f t="shared" si="84"/>
        <v>Dennis</v>
      </c>
      <c r="D508" t="str">
        <f t="shared" si="85"/>
        <v>Cholowski</v>
      </c>
      <c r="E508" s="39" t="s">
        <v>1440</v>
      </c>
      <c r="F508" s="30" t="s">
        <v>17</v>
      </c>
      <c r="G508" s="35" t="s">
        <v>386</v>
      </c>
      <c r="H508" s="9" t="s">
        <v>2445</v>
      </c>
      <c r="I508" s="9" t="s">
        <v>2446</v>
      </c>
      <c r="J508" s="9">
        <v>21</v>
      </c>
      <c r="K508" s="35">
        <f>VALUE(COUNTIF(Validation!$A$2:$H$47,E508))</f>
        <v>0</v>
      </c>
      <c r="L508" s="361">
        <f t="shared" si="86"/>
        <v>894166</v>
      </c>
      <c r="M508" s="361">
        <f t="shared" si="87"/>
        <v>894166</v>
      </c>
      <c r="N508" s="358">
        <v>894166</v>
      </c>
      <c r="O508" s="358">
        <v>894166</v>
      </c>
      <c r="P508" s="358" t="s">
        <v>8</v>
      </c>
      <c r="Q508" s="358">
        <v>0</v>
      </c>
      <c r="R508" s="358">
        <v>0</v>
      </c>
      <c r="S508" s="358">
        <v>0</v>
      </c>
      <c r="T508" s="358">
        <v>0</v>
      </c>
      <c r="U508" s="35">
        <f t="shared" si="88"/>
        <v>2</v>
      </c>
      <c r="W508">
        <f t="shared" si="89"/>
        <v>1</v>
      </c>
      <c r="X508" s="35">
        <f t="shared" si="90"/>
        <v>1</v>
      </c>
      <c r="Y508">
        <f t="shared" si="91"/>
        <v>1</v>
      </c>
      <c r="AB508">
        <f t="shared" si="94"/>
        <v>1</v>
      </c>
      <c r="AC508">
        <f t="shared" ca="1" si="95"/>
        <v>0</v>
      </c>
      <c r="AD508" t="str">
        <f ca="1">IF(AC508=1,COUNTIF($AC$3:AC508,1),"")</f>
        <v/>
      </c>
      <c r="AE508" s="155" t="str">
        <f ca="1">IFERROR(INDEX(Données!$B$3:$B$1479,MATCH(ROWS($AD$3:AD508),$AD$3:$AD$1479,0)),"")</f>
        <v/>
      </c>
    </row>
    <row r="509" spans="1:31" ht="15.75" x14ac:dyDescent="0.25">
      <c r="A509" t="str">
        <f t="shared" si="92"/>
        <v>Calvin Pickard - DET - G</v>
      </c>
      <c r="B509" t="str">
        <f t="shared" si="93"/>
        <v>Calvin Pickard - DET - G</v>
      </c>
      <c r="C509" t="str">
        <f t="shared" si="84"/>
        <v>Calvin</v>
      </c>
      <c r="D509" t="str">
        <f t="shared" si="85"/>
        <v>Pickard</v>
      </c>
      <c r="E509" s="39" t="s">
        <v>1612</v>
      </c>
      <c r="F509" s="30" t="s">
        <v>17</v>
      </c>
      <c r="G509" s="35">
        <v>0</v>
      </c>
      <c r="H509" s="35" t="s">
        <v>127</v>
      </c>
      <c r="I509" s="35" t="s">
        <v>2439</v>
      </c>
      <c r="J509" s="35">
        <v>27</v>
      </c>
      <c r="K509" s="35">
        <f>VALUE(COUNTIF(Validation!$A$2:$H$47,E509))</f>
        <v>0</v>
      </c>
      <c r="L509" s="361">
        <f t="shared" si="86"/>
        <v>750000</v>
      </c>
      <c r="M509" s="361">
        <f t="shared" si="87"/>
        <v>750000</v>
      </c>
      <c r="N509" s="358">
        <v>750000</v>
      </c>
      <c r="O509" s="358">
        <v>750000</v>
      </c>
      <c r="P509" s="358" t="s">
        <v>7</v>
      </c>
      <c r="Q509" s="358">
        <v>0</v>
      </c>
      <c r="R509" s="358">
        <v>0</v>
      </c>
      <c r="S509" s="358">
        <v>0</v>
      </c>
      <c r="T509" s="358">
        <v>0</v>
      </c>
      <c r="U509" s="35">
        <f t="shared" si="88"/>
        <v>2</v>
      </c>
      <c r="W509">
        <f t="shared" si="89"/>
        <v>1</v>
      </c>
      <c r="X509" s="35">
        <f t="shared" si="90"/>
        <v>0</v>
      </c>
      <c r="Y509">
        <f t="shared" si="91"/>
        <v>1</v>
      </c>
      <c r="AB509">
        <f t="shared" si="94"/>
        <v>1</v>
      </c>
      <c r="AC509">
        <f t="shared" ca="1" si="95"/>
        <v>0</v>
      </c>
      <c r="AD509" t="str">
        <f ca="1">IF(AC509=1,COUNTIF($AC$3:AC509,1),"")</f>
        <v/>
      </c>
      <c r="AE509" s="155" t="str">
        <f ca="1">IFERROR(INDEX(Données!$B$3:$B$1479,MATCH(ROWS($AD$3:AD509),$AD$3:$AD$1479,0)),"")</f>
        <v/>
      </c>
    </row>
    <row r="510" spans="1:31" ht="15.75" x14ac:dyDescent="0.25">
      <c r="A510" t="str">
        <f t="shared" si="92"/>
        <v>Dominic Turgeon - DET - C</v>
      </c>
      <c r="B510" t="str">
        <f t="shared" si="93"/>
        <v>Dominic Turgeon - DET - C</v>
      </c>
      <c r="C510" t="str">
        <f t="shared" si="84"/>
        <v>Dominic</v>
      </c>
      <c r="D510" t="str">
        <f t="shared" si="85"/>
        <v>Turgeon</v>
      </c>
      <c r="E510" s="39" t="s">
        <v>1447</v>
      </c>
      <c r="F510" s="30" t="s">
        <v>17</v>
      </c>
      <c r="G510" s="35">
        <v>0</v>
      </c>
      <c r="H510" s="35" t="s">
        <v>73</v>
      </c>
      <c r="I510" s="35" t="s">
        <v>2446</v>
      </c>
      <c r="J510" s="35">
        <v>23</v>
      </c>
      <c r="K510" s="35">
        <f>VALUE(COUNTIF(Validation!$A$2:$H$47,E510))</f>
        <v>0</v>
      </c>
      <c r="L510" s="361">
        <f t="shared" si="86"/>
        <v>750000</v>
      </c>
      <c r="M510" s="361">
        <f t="shared" si="87"/>
        <v>0</v>
      </c>
      <c r="N510" s="358">
        <v>750000</v>
      </c>
      <c r="O510" s="358" t="s">
        <v>8</v>
      </c>
      <c r="P510" s="358">
        <v>0</v>
      </c>
      <c r="Q510" s="358">
        <v>0</v>
      </c>
      <c r="R510" s="358">
        <v>0</v>
      </c>
      <c r="S510" s="358">
        <v>0</v>
      </c>
      <c r="T510" s="358">
        <v>0</v>
      </c>
      <c r="U510" s="35">
        <f t="shared" si="88"/>
        <v>1</v>
      </c>
      <c r="W510">
        <f t="shared" si="89"/>
        <v>1</v>
      </c>
      <c r="X510" s="35">
        <f t="shared" si="90"/>
        <v>0</v>
      </c>
      <c r="Y510">
        <f t="shared" si="91"/>
        <v>0</v>
      </c>
      <c r="AB510">
        <f t="shared" si="94"/>
        <v>1</v>
      </c>
      <c r="AC510">
        <f t="shared" ca="1" si="95"/>
        <v>0</v>
      </c>
      <c r="AD510" t="str">
        <f ca="1">IF(AC510=1,COUNTIF($AC$3:AC510,1),"")</f>
        <v/>
      </c>
      <c r="AE510" s="155" t="str">
        <f ca="1">IFERROR(INDEX(Données!$B$3:$B$1479,MATCH(ROWS($AD$3:AD510),$AD$3:$AD$1479,0)),"")</f>
        <v/>
      </c>
    </row>
    <row r="511" spans="1:31" ht="15.75" x14ac:dyDescent="0.25">
      <c r="A511" t="str">
        <f t="shared" si="92"/>
        <v>Kaden Fulcher - DET - G</v>
      </c>
      <c r="B511" t="str">
        <f t="shared" si="93"/>
        <v>Kaden Fulcher - DET - G</v>
      </c>
      <c r="C511" t="str">
        <f t="shared" si="84"/>
        <v>Kaden</v>
      </c>
      <c r="D511" t="str">
        <f t="shared" si="85"/>
        <v>Fulcher</v>
      </c>
      <c r="E511" s="39" t="s">
        <v>1444</v>
      </c>
      <c r="F511" s="30" t="s">
        <v>17</v>
      </c>
      <c r="G511" s="35" t="s">
        <v>386</v>
      </c>
      <c r="H511" s="9" t="s">
        <v>127</v>
      </c>
      <c r="I511" s="9" t="s">
        <v>2446</v>
      </c>
      <c r="J511" s="9">
        <v>20</v>
      </c>
      <c r="K511" s="35">
        <f>VALUE(COUNTIF(Validation!$A$2:$H$47,E511))</f>
        <v>0</v>
      </c>
      <c r="L511" s="361">
        <f t="shared" si="86"/>
        <v>733333</v>
      </c>
      <c r="M511" s="361">
        <f t="shared" si="87"/>
        <v>733333</v>
      </c>
      <c r="N511" s="358">
        <v>733333</v>
      </c>
      <c r="O511" s="358">
        <v>733333</v>
      </c>
      <c r="P511" s="358">
        <v>733333</v>
      </c>
      <c r="Q511" s="358" t="s">
        <v>8</v>
      </c>
      <c r="R511" s="358">
        <v>0</v>
      </c>
      <c r="S511" s="358">
        <v>0</v>
      </c>
      <c r="T511" s="358">
        <v>0</v>
      </c>
      <c r="U511" s="35">
        <f t="shared" si="88"/>
        <v>3</v>
      </c>
      <c r="W511">
        <f t="shared" si="89"/>
        <v>1</v>
      </c>
      <c r="X511" s="35">
        <f t="shared" si="90"/>
        <v>1</v>
      </c>
      <c r="Y511">
        <f t="shared" si="91"/>
        <v>1</v>
      </c>
      <c r="AB511">
        <f t="shared" si="94"/>
        <v>1</v>
      </c>
      <c r="AC511">
        <f t="shared" ca="1" si="95"/>
        <v>0</v>
      </c>
      <c r="AD511" t="str">
        <f ca="1">IF(AC511=1,COUNTIF($AC$3:AC511,1),"")</f>
        <v/>
      </c>
      <c r="AE511" s="155" t="str">
        <f ca="1">IFERROR(INDEX(Données!$B$3:$B$1479,MATCH(ROWS($AD$3:AD511),$AD$3:$AD$1479,0)),"")</f>
        <v/>
      </c>
    </row>
    <row r="512" spans="1:31" ht="15.75" x14ac:dyDescent="0.25">
      <c r="A512" t="str">
        <f t="shared" si="92"/>
        <v>Turner Elson - DET - AG</v>
      </c>
      <c r="B512" t="str">
        <f t="shared" si="93"/>
        <v>Turner Elson - DET - AG</v>
      </c>
      <c r="C512" t="str">
        <f t="shared" si="84"/>
        <v>Turner</v>
      </c>
      <c r="D512" t="str">
        <f t="shared" si="85"/>
        <v>Elson</v>
      </c>
      <c r="E512" s="14" t="s">
        <v>2527</v>
      </c>
      <c r="F512" s="35" t="s">
        <v>17</v>
      </c>
      <c r="G512" s="35">
        <v>0</v>
      </c>
      <c r="H512" s="35" t="s">
        <v>2440</v>
      </c>
      <c r="I512" s="35" t="s">
        <v>2446</v>
      </c>
      <c r="J512" s="35">
        <v>26</v>
      </c>
      <c r="L512" s="361">
        <f t="shared" si="86"/>
        <v>700000</v>
      </c>
      <c r="M512" s="361">
        <f t="shared" si="87"/>
        <v>0</v>
      </c>
      <c r="N512" s="358">
        <v>700000</v>
      </c>
      <c r="O512" s="358" t="s">
        <v>7</v>
      </c>
      <c r="P512" s="358">
        <v>0</v>
      </c>
      <c r="Q512" s="358">
        <v>0</v>
      </c>
      <c r="R512" s="358">
        <v>0</v>
      </c>
      <c r="S512" s="358">
        <v>0</v>
      </c>
      <c r="T512" s="358">
        <v>0</v>
      </c>
      <c r="U512" s="35">
        <f t="shared" si="88"/>
        <v>1</v>
      </c>
      <c r="W512">
        <f t="shared" si="89"/>
        <v>1</v>
      </c>
      <c r="X512" s="35">
        <f t="shared" si="90"/>
        <v>0</v>
      </c>
      <c r="Y512">
        <f t="shared" si="91"/>
        <v>0</v>
      </c>
      <c r="AB512">
        <f t="shared" si="94"/>
        <v>1</v>
      </c>
      <c r="AC512">
        <f t="shared" ca="1" si="95"/>
        <v>0</v>
      </c>
      <c r="AD512" t="str">
        <f ca="1">IF(AC512=1,COUNTIF($AC$3:AC512,1),"")</f>
        <v/>
      </c>
      <c r="AE512" s="155" t="str">
        <f ca="1">IFERROR(INDEX(Données!$B$3:$B$1479,MATCH(ROWS($AD$3:AD512),$AD$3:$AD$1479,0)),"")</f>
        <v/>
      </c>
    </row>
    <row r="513" spans="1:31" ht="15.75" x14ac:dyDescent="0.25">
      <c r="A513" t="str">
        <f t="shared" si="92"/>
        <v>Joe Hicketts - DET - DG</v>
      </c>
      <c r="B513" t="str">
        <f t="shared" si="93"/>
        <v>Joe Hicketts - DET - DG</v>
      </c>
      <c r="C513" t="str">
        <f t="shared" si="84"/>
        <v>Joe</v>
      </c>
      <c r="D513" t="str">
        <f t="shared" si="85"/>
        <v>Hicketts</v>
      </c>
      <c r="E513" s="39" t="s">
        <v>1452</v>
      </c>
      <c r="F513" s="30" t="s">
        <v>17</v>
      </c>
      <c r="G513" s="35">
        <v>0</v>
      </c>
      <c r="H513" s="35" t="s">
        <v>2445</v>
      </c>
      <c r="I513" s="35" t="s">
        <v>2446</v>
      </c>
      <c r="J513" s="35">
        <v>23</v>
      </c>
      <c r="K513" s="35">
        <f>VALUE(COUNTIF(Validation!$A$2:$H$47,E513))</f>
        <v>0</v>
      </c>
      <c r="L513" s="361">
        <f t="shared" si="86"/>
        <v>700000</v>
      </c>
      <c r="M513" s="361">
        <f t="shared" si="87"/>
        <v>700000</v>
      </c>
      <c r="N513" s="358">
        <v>700000</v>
      </c>
      <c r="O513" s="358">
        <v>700000</v>
      </c>
      <c r="P513" s="358" t="s">
        <v>8</v>
      </c>
      <c r="Q513" s="358">
        <v>0</v>
      </c>
      <c r="R513" s="358">
        <v>0</v>
      </c>
      <c r="S513" s="358">
        <v>0</v>
      </c>
      <c r="T513" s="358">
        <v>0</v>
      </c>
      <c r="U513" s="35">
        <f t="shared" si="88"/>
        <v>2</v>
      </c>
      <c r="W513">
        <f t="shared" si="89"/>
        <v>1</v>
      </c>
      <c r="X513" s="35">
        <f t="shared" si="90"/>
        <v>0</v>
      </c>
      <c r="Y513">
        <f t="shared" si="91"/>
        <v>1</v>
      </c>
      <c r="AB513">
        <f t="shared" si="94"/>
        <v>1</v>
      </c>
      <c r="AC513">
        <f t="shared" ca="1" si="95"/>
        <v>0</v>
      </c>
      <c r="AD513" t="str">
        <f ca="1">IF(AC513=1,COUNTIF($AC$3:AC513,1),"")</f>
        <v/>
      </c>
      <c r="AE513" s="155" t="str">
        <f ca="1">IFERROR(INDEX(Données!$B$3:$B$1479,MATCH(ROWS($AD$3:AD513),$AD$3:$AD$1479,0)),"")</f>
        <v/>
      </c>
    </row>
    <row r="514" spans="1:31" ht="15.75" x14ac:dyDescent="0.25">
      <c r="A514" t="str">
        <f t="shared" si="92"/>
        <v>Brian Lashoff - DET - DG</v>
      </c>
      <c r="B514" t="str">
        <f t="shared" si="93"/>
        <v>Brian Lashoff - DET - DG</v>
      </c>
      <c r="C514" t="str">
        <f t="shared" si="84"/>
        <v>Brian</v>
      </c>
      <c r="D514" t="str">
        <f t="shared" si="85"/>
        <v>Lashoff</v>
      </c>
      <c r="E514" s="39" t="s">
        <v>1451</v>
      </c>
      <c r="F514" s="30" t="s">
        <v>17</v>
      </c>
      <c r="G514" s="35">
        <v>0</v>
      </c>
      <c r="H514" s="35" t="s">
        <v>2445</v>
      </c>
      <c r="I514" s="35" t="s">
        <v>2446</v>
      </c>
      <c r="J514" s="35">
        <v>29</v>
      </c>
      <c r="K514" s="35">
        <f>VALUE(COUNTIF(Validation!$A$2:$H$47,E514))</f>
        <v>0</v>
      </c>
      <c r="L514" s="361">
        <f t="shared" si="86"/>
        <v>700000</v>
      </c>
      <c r="M514" s="361">
        <f t="shared" si="87"/>
        <v>700000</v>
      </c>
      <c r="N514" s="358">
        <v>700000</v>
      </c>
      <c r="O514" s="358">
        <v>700000</v>
      </c>
      <c r="P514" s="358" t="s">
        <v>7</v>
      </c>
      <c r="Q514" s="358">
        <v>0</v>
      </c>
      <c r="R514" s="358">
        <v>0</v>
      </c>
      <c r="S514" s="358">
        <v>0</v>
      </c>
      <c r="T514" s="358">
        <v>0</v>
      </c>
      <c r="U514" s="35">
        <f t="shared" si="88"/>
        <v>2</v>
      </c>
      <c r="W514">
        <f t="shared" si="89"/>
        <v>1</v>
      </c>
      <c r="X514" s="35">
        <f t="shared" si="90"/>
        <v>0</v>
      </c>
      <c r="Y514">
        <f t="shared" si="91"/>
        <v>1</v>
      </c>
      <c r="AB514">
        <f t="shared" si="94"/>
        <v>1</v>
      </c>
      <c r="AC514">
        <f t="shared" ca="1" si="95"/>
        <v>0</v>
      </c>
      <c r="AD514" t="str">
        <f ca="1">IF(AC514=1,COUNTIF($AC$3:AC514,1),"")</f>
        <v/>
      </c>
      <c r="AE514" s="155" t="str">
        <f ca="1">IFERROR(INDEX(Données!$B$3:$B$1479,MATCH(ROWS($AD$3:AD514),$AD$3:$AD$1479,0)),"")</f>
        <v/>
      </c>
    </row>
    <row r="515" spans="1:31" ht="15.75" x14ac:dyDescent="0.25">
      <c r="A515" t="str">
        <f t="shared" si="92"/>
        <v>Dylan McIlrath - DET - DD</v>
      </c>
      <c r="B515" t="str">
        <f t="shared" si="93"/>
        <v>Dylan McIlrath - DET - DD</v>
      </c>
      <c r="C515" t="str">
        <f t="shared" ref="C515:C578" si="96">RIGHT(E515,(LEN(E515)-1)-SEARCH(",",E515,1))</f>
        <v>Dylan</v>
      </c>
      <c r="D515" t="str">
        <f t="shared" ref="D515:D578" si="97">LEFT(E515,SEARCH(",",E515,1)-1)</f>
        <v>McIlrath</v>
      </c>
      <c r="E515" s="39" t="s">
        <v>1450</v>
      </c>
      <c r="F515" s="30" t="s">
        <v>17</v>
      </c>
      <c r="G515" s="35">
        <v>0</v>
      </c>
      <c r="H515" s="35" t="s">
        <v>2444</v>
      </c>
      <c r="I515" s="35" t="s">
        <v>2446</v>
      </c>
      <c r="J515" s="35">
        <v>27</v>
      </c>
      <c r="K515" s="35">
        <f>VALUE(COUNTIF(Validation!$A$2:$H$47,E515))</f>
        <v>0</v>
      </c>
      <c r="L515" s="361">
        <f t="shared" ref="L515:L578" si="98">IF(OR(N515="RFA",N515="UFA",N515="",N515=0),0,N515)</f>
        <v>700000</v>
      </c>
      <c r="M515" s="361">
        <f t="shared" ref="M515:M578" si="99">IF(OR(O515="RFA",O515="UFA",O515="",O515=0),0,O515)</f>
        <v>700000</v>
      </c>
      <c r="N515" s="358">
        <v>700000</v>
      </c>
      <c r="O515" s="358">
        <v>700000</v>
      </c>
      <c r="P515" s="358" t="s">
        <v>7</v>
      </c>
      <c r="Q515" s="358">
        <v>0</v>
      </c>
      <c r="R515" s="358">
        <v>0</v>
      </c>
      <c r="S515" s="358">
        <v>0</v>
      </c>
      <c r="T515" s="358">
        <v>0</v>
      </c>
      <c r="U515" s="35">
        <f t="shared" ref="U515:U578" si="100">COUNTIF(N515:T515,"&gt;0")</f>
        <v>2</v>
      </c>
      <c r="W515">
        <f t="shared" ref="W515:W578" si="101">COUNTIF($E$3:$E$1479,E515)</f>
        <v>1</v>
      </c>
      <c r="X515" s="35">
        <f t="shared" ref="X515:X578" si="102">IF(LEFT(G515,3)="ELC",1,0)</f>
        <v>0</v>
      </c>
      <c r="Y515">
        <f t="shared" ref="Y515:Y578" si="103">IF(L515=M515,1,0)</f>
        <v>1</v>
      </c>
      <c r="AB515">
        <f t="shared" si="94"/>
        <v>1</v>
      </c>
      <c r="AC515">
        <f t="shared" ca="1" si="95"/>
        <v>0</v>
      </c>
      <c r="AD515" t="str">
        <f ca="1">IF(AC515=1,COUNTIF($AC$3:AC515,1),"")</f>
        <v/>
      </c>
      <c r="AE515" s="155" t="str">
        <f ca="1">IFERROR(INDEX(Données!$B$3:$B$1479,MATCH(ROWS($AD$3:AD515),$AD$3:$AD$1479,0)),"")</f>
        <v/>
      </c>
    </row>
    <row r="516" spans="1:31" ht="15.75" x14ac:dyDescent="0.25">
      <c r="A516" t="str">
        <f t="shared" ref="A516:A579" si="104">C516&amp;" "&amp;D516&amp;" - "&amp;F516&amp;" - "&amp;H516</f>
        <v>Matt Puempel - DET - AG</v>
      </c>
      <c r="B516" t="str">
        <f t="shared" ref="B516:B579" si="105">A516</f>
        <v>Matt Puempel - DET - AG</v>
      </c>
      <c r="C516" t="str">
        <f t="shared" si="96"/>
        <v>Matt</v>
      </c>
      <c r="D516" t="str">
        <f t="shared" si="97"/>
        <v>Puempel</v>
      </c>
      <c r="E516" s="39" t="s">
        <v>1448</v>
      </c>
      <c r="F516" s="30" t="s">
        <v>17</v>
      </c>
      <c r="G516" s="35">
        <v>0</v>
      </c>
      <c r="H516" s="35" t="s">
        <v>2440</v>
      </c>
      <c r="I516" s="35" t="s">
        <v>2446</v>
      </c>
      <c r="J516" s="35">
        <v>26</v>
      </c>
      <c r="K516" s="35">
        <f>VALUE(COUNTIF(Validation!$A$2:$H$47,E516))</f>
        <v>0</v>
      </c>
      <c r="L516" s="361">
        <f t="shared" si="98"/>
        <v>675000</v>
      </c>
      <c r="M516" s="361">
        <f t="shared" si="99"/>
        <v>0</v>
      </c>
      <c r="N516" s="358">
        <v>675000</v>
      </c>
      <c r="O516" s="358" t="s">
        <v>7</v>
      </c>
      <c r="P516" s="358">
        <v>0</v>
      </c>
      <c r="Q516" s="358">
        <v>0</v>
      </c>
      <c r="R516" s="358">
        <v>0</v>
      </c>
      <c r="S516" s="358">
        <v>0</v>
      </c>
      <c r="T516" s="358">
        <v>0</v>
      </c>
      <c r="U516" s="35">
        <f t="shared" si="100"/>
        <v>1</v>
      </c>
      <c r="W516">
        <f t="shared" si="101"/>
        <v>1</v>
      </c>
      <c r="X516" s="35">
        <f t="shared" si="102"/>
        <v>0</v>
      </c>
      <c r="Y516">
        <f t="shared" si="103"/>
        <v>0</v>
      </c>
      <c r="AB516">
        <f t="shared" ref="AB516:AB579" si="106">SEARCH(AA516,A516)</f>
        <v>1</v>
      </c>
      <c r="AC516">
        <f t="shared" ca="1" si="95"/>
        <v>0</v>
      </c>
      <c r="AD516" t="str">
        <f ca="1">IF(AC516=1,COUNTIF($AC$3:AC516,1),"")</f>
        <v/>
      </c>
      <c r="AE516" s="155" t="str">
        <f ca="1">IFERROR(INDEX(Données!$B$3:$B$1479,MATCH(ROWS($AD$3:AD516),$AD$3:$AD$1479,0)),"")</f>
        <v/>
      </c>
    </row>
    <row r="517" spans="1:31" ht="15.75" x14ac:dyDescent="0.25">
      <c r="A517" t="str">
        <f t="shared" si="104"/>
        <v>Chris Terry - DET - AG, AD</v>
      </c>
      <c r="B517" t="str">
        <f t="shared" si="105"/>
        <v>Chris Terry - DET - AG, AD</v>
      </c>
      <c r="C517" t="str">
        <f t="shared" si="96"/>
        <v>Chris</v>
      </c>
      <c r="D517" t="str">
        <f t="shared" si="97"/>
        <v>Terry</v>
      </c>
      <c r="E517" s="39" t="s">
        <v>1449</v>
      </c>
      <c r="F517" s="30" t="s">
        <v>17</v>
      </c>
      <c r="G517" s="35">
        <v>0</v>
      </c>
      <c r="H517" s="35" t="s">
        <v>2442</v>
      </c>
      <c r="I517" s="35" t="s">
        <v>2446</v>
      </c>
      <c r="J517" s="35">
        <v>30</v>
      </c>
      <c r="K517" s="35">
        <f>VALUE(COUNTIF(Validation!$A$2:$H$47,E517))</f>
        <v>0</v>
      </c>
      <c r="L517" s="361">
        <f t="shared" si="98"/>
        <v>675000</v>
      </c>
      <c r="M517" s="361">
        <f t="shared" si="99"/>
        <v>0</v>
      </c>
      <c r="N517" s="358">
        <v>675000</v>
      </c>
      <c r="O517" s="358" t="s">
        <v>7</v>
      </c>
      <c r="P517" s="358">
        <v>0</v>
      </c>
      <c r="Q517" s="358">
        <v>0</v>
      </c>
      <c r="R517" s="358">
        <v>0</v>
      </c>
      <c r="S517" s="358">
        <v>0</v>
      </c>
      <c r="T517" s="358">
        <v>0</v>
      </c>
      <c r="U517" s="35">
        <f t="shared" si="100"/>
        <v>1</v>
      </c>
      <c r="W517">
        <f t="shared" si="101"/>
        <v>1</v>
      </c>
      <c r="X517" s="35">
        <f t="shared" si="102"/>
        <v>0</v>
      </c>
      <c r="Y517">
        <f t="shared" si="103"/>
        <v>0</v>
      </c>
      <c r="AB517">
        <f t="shared" si="106"/>
        <v>1</v>
      </c>
      <c r="AC517">
        <f t="shared" ref="AC517:AC580" ca="1" si="107">IFERROR(SEARCH(INDIRECT(CELL("adresse")),B517,1),0)</f>
        <v>0</v>
      </c>
      <c r="AD517" t="str">
        <f ca="1">IF(AC517=1,COUNTIF($AC$3:AC517,1),"")</f>
        <v/>
      </c>
      <c r="AE517" s="155" t="str">
        <f ca="1">IFERROR(INDEX(Données!$B$3:$B$1479,MATCH(ROWS($AD$3:AD517),$AD$3:$AD$1479,0)),"")</f>
        <v/>
      </c>
    </row>
    <row r="518" spans="1:31" ht="15.75" x14ac:dyDescent="0.25">
      <c r="A518" t="str">
        <f t="shared" si="104"/>
        <v>Connor McDavid - EDM - C</v>
      </c>
      <c r="B518" t="str">
        <f t="shared" si="105"/>
        <v>Connor McDavid - EDM - C</v>
      </c>
      <c r="C518" t="str">
        <f t="shared" si="96"/>
        <v>Connor</v>
      </c>
      <c r="D518" t="str">
        <f t="shared" si="97"/>
        <v>McDavid</v>
      </c>
      <c r="E518" s="39" t="s">
        <v>2988</v>
      </c>
      <c r="F518" s="30" t="s">
        <v>18</v>
      </c>
      <c r="G518" s="35">
        <v>0</v>
      </c>
      <c r="H518" s="9" t="s">
        <v>73</v>
      </c>
      <c r="I518" s="9" t="s">
        <v>2439</v>
      </c>
      <c r="J518" s="9">
        <v>22</v>
      </c>
      <c r="K518" s="35">
        <f>VALUE(COUNTIF(Validation!$A$2:$H$47,E518))</f>
        <v>0</v>
      </c>
      <c r="L518" s="361">
        <f t="shared" si="98"/>
        <v>12500000</v>
      </c>
      <c r="M518" s="361">
        <f t="shared" si="99"/>
        <v>12500000</v>
      </c>
      <c r="N518" s="358">
        <v>12500000</v>
      </c>
      <c r="O518" s="358">
        <v>12500000</v>
      </c>
      <c r="P518" s="358">
        <v>12500000</v>
      </c>
      <c r="Q518" s="358">
        <v>12500000</v>
      </c>
      <c r="R518" s="358">
        <v>12500000</v>
      </c>
      <c r="S518" s="358">
        <v>12500000</v>
      </c>
      <c r="T518" s="358">
        <v>12500000</v>
      </c>
      <c r="U518" s="35">
        <f t="shared" si="100"/>
        <v>7</v>
      </c>
      <c r="W518">
        <f t="shared" si="101"/>
        <v>1</v>
      </c>
      <c r="X518" s="35">
        <f t="shared" si="102"/>
        <v>0</v>
      </c>
      <c r="Y518">
        <f t="shared" si="103"/>
        <v>1</v>
      </c>
      <c r="AB518">
        <f t="shared" si="106"/>
        <v>1</v>
      </c>
      <c r="AC518">
        <f t="shared" ca="1" si="107"/>
        <v>0</v>
      </c>
      <c r="AD518" t="str">
        <f ca="1">IF(AC518=1,COUNTIF($AC$3:AC518,1),"")</f>
        <v/>
      </c>
      <c r="AE518" s="155" t="str">
        <f ca="1">IFERROR(INDEX(Données!$B$3:$B$1479,MATCH(ROWS($AD$3:AD518),$AD$3:$AD$1479,0)),"")</f>
        <v/>
      </c>
    </row>
    <row r="519" spans="1:31" ht="15.75" x14ac:dyDescent="0.25">
      <c r="A519" t="str">
        <f t="shared" si="104"/>
        <v>Leon Draisaitl - EDM - C, AG, AD</v>
      </c>
      <c r="B519" t="str">
        <f t="shared" si="105"/>
        <v>Leon Draisaitl - EDM - C, AG, AD</v>
      </c>
      <c r="C519" t="str">
        <f t="shared" si="96"/>
        <v>Leon</v>
      </c>
      <c r="D519" t="str">
        <f t="shared" si="97"/>
        <v>Draisaitl</v>
      </c>
      <c r="E519" s="39" t="s">
        <v>2217</v>
      </c>
      <c r="F519" s="30" t="s">
        <v>18</v>
      </c>
      <c r="G519" s="35">
        <v>0</v>
      </c>
      <c r="H519" s="35" t="s">
        <v>2494</v>
      </c>
      <c r="I519" s="35" t="s">
        <v>2439</v>
      </c>
      <c r="J519" s="35">
        <v>23</v>
      </c>
      <c r="K519" s="35">
        <f>VALUE(COUNTIF(Validation!$A$2:$H$47,E519))</f>
        <v>0</v>
      </c>
      <c r="L519" s="361">
        <f t="shared" si="98"/>
        <v>8500000</v>
      </c>
      <c r="M519" s="361">
        <f t="shared" si="99"/>
        <v>8500000</v>
      </c>
      <c r="N519" s="358">
        <v>8500000</v>
      </c>
      <c r="O519" s="358">
        <v>8500000</v>
      </c>
      <c r="P519" s="358">
        <v>8500000</v>
      </c>
      <c r="Q519" s="358">
        <v>8500000</v>
      </c>
      <c r="R519" s="358">
        <v>8500000</v>
      </c>
      <c r="S519" s="358">
        <v>8500000</v>
      </c>
      <c r="T519" s="358" t="s">
        <v>7</v>
      </c>
      <c r="U519" s="35">
        <f t="shared" si="100"/>
        <v>6</v>
      </c>
      <c r="W519">
        <f t="shared" si="101"/>
        <v>1</v>
      </c>
      <c r="X519" s="35">
        <f t="shared" si="102"/>
        <v>0</v>
      </c>
      <c r="Y519">
        <f t="shared" si="103"/>
        <v>1</v>
      </c>
      <c r="AB519">
        <f t="shared" si="106"/>
        <v>1</v>
      </c>
      <c r="AC519">
        <f t="shared" ca="1" si="107"/>
        <v>0</v>
      </c>
      <c r="AD519" t="str">
        <f ca="1">IF(AC519=1,COUNTIF($AC$3:AC519,1),"")</f>
        <v/>
      </c>
      <c r="AE519" s="155" t="str">
        <f ca="1">IFERROR(INDEX(Données!$B$3:$B$1479,MATCH(ROWS($AD$3:AD519),$AD$3:$AD$1479,0)),"")</f>
        <v/>
      </c>
    </row>
    <row r="520" spans="1:31" ht="15.75" x14ac:dyDescent="0.25">
      <c r="A520" t="str">
        <f t="shared" si="104"/>
        <v>Ryan Nugent-Hopkins - EDM - C, AG</v>
      </c>
      <c r="B520" t="str">
        <f t="shared" si="105"/>
        <v>Ryan Nugent-Hopkins - EDM - C, AG</v>
      </c>
      <c r="C520" t="str">
        <f t="shared" si="96"/>
        <v>Ryan</v>
      </c>
      <c r="D520" t="str">
        <f t="shared" si="97"/>
        <v>Nugent-Hopkins</v>
      </c>
      <c r="E520" s="39" t="s">
        <v>2989</v>
      </c>
      <c r="F520" s="30" t="s">
        <v>18</v>
      </c>
      <c r="G520" s="35">
        <v>0</v>
      </c>
      <c r="H520" s="35" t="s">
        <v>2452</v>
      </c>
      <c r="I520" s="35" t="s">
        <v>2439</v>
      </c>
      <c r="J520" s="35">
        <v>26</v>
      </c>
      <c r="K520" s="35">
        <f>VALUE(COUNTIF(Validation!$A$2:$H$47,E520))</f>
        <v>0</v>
      </c>
      <c r="L520" s="361">
        <f t="shared" si="98"/>
        <v>6000000</v>
      </c>
      <c r="M520" s="361">
        <f t="shared" si="99"/>
        <v>6000000</v>
      </c>
      <c r="N520" s="358">
        <v>6000000</v>
      </c>
      <c r="O520" s="358">
        <v>6000000</v>
      </c>
      <c r="P520" s="358" t="s">
        <v>7</v>
      </c>
      <c r="Q520" s="358">
        <v>0</v>
      </c>
      <c r="R520" s="358">
        <v>0</v>
      </c>
      <c r="S520" s="358">
        <v>0</v>
      </c>
      <c r="T520" s="358">
        <v>0</v>
      </c>
      <c r="U520" s="35">
        <f t="shared" si="100"/>
        <v>2</v>
      </c>
      <c r="W520">
        <f t="shared" si="101"/>
        <v>1</v>
      </c>
      <c r="X520" s="35">
        <f t="shared" si="102"/>
        <v>0</v>
      </c>
      <c r="Y520">
        <f t="shared" si="103"/>
        <v>1</v>
      </c>
      <c r="AB520">
        <f t="shared" si="106"/>
        <v>1</v>
      </c>
      <c r="AC520">
        <f t="shared" ca="1" si="107"/>
        <v>0</v>
      </c>
      <c r="AD520" t="str">
        <f ca="1">IF(AC520=1,COUNTIF($AC$3:AC520,1),"")</f>
        <v/>
      </c>
      <c r="AE520" s="155" t="str">
        <f ca="1">IFERROR(INDEX(Données!$B$3:$B$1479,MATCH(ROWS($AD$3:AD520),$AD$3:$AD$1479,0)),"")</f>
        <v/>
      </c>
    </row>
    <row r="521" spans="1:31" ht="15.75" x14ac:dyDescent="0.25">
      <c r="A521" t="str">
        <f t="shared" si="104"/>
        <v>James Neal - EDM - AD, AG</v>
      </c>
      <c r="B521" t="str">
        <f t="shared" si="105"/>
        <v>James Neal - EDM - AD, AG</v>
      </c>
      <c r="C521" t="str">
        <f t="shared" si="96"/>
        <v>James</v>
      </c>
      <c r="D521" t="str">
        <f t="shared" si="97"/>
        <v>Neal</v>
      </c>
      <c r="E521" s="39" t="s">
        <v>2189</v>
      </c>
      <c r="F521" s="30" t="s">
        <v>18</v>
      </c>
      <c r="G521" s="35">
        <v>0</v>
      </c>
      <c r="H521" s="9" t="s">
        <v>2441</v>
      </c>
      <c r="I521" s="9" t="s">
        <v>2439</v>
      </c>
      <c r="J521" s="9">
        <v>31</v>
      </c>
      <c r="K521" s="35">
        <f>VALUE(COUNTIF(Validation!$A$2:$H$47,E521))</f>
        <v>0</v>
      </c>
      <c r="L521" s="361">
        <f t="shared" si="98"/>
        <v>5750000</v>
      </c>
      <c r="M521" s="361">
        <f t="shared" si="99"/>
        <v>5750000</v>
      </c>
      <c r="N521" s="358">
        <v>5750000</v>
      </c>
      <c r="O521" s="358">
        <v>5750000</v>
      </c>
      <c r="P521" s="358">
        <v>5750000</v>
      </c>
      <c r="Q521" s="358">
        <v>5750000</v>
      </c>
      <c r="R521" s="358" t="s">
        <v>7</v>
      </c>
      <c r="S521" s="358">
        <v>0</v>
      </c>
      <c r="T521" s="358">
        <v>0</v>
      </c>
      <c r="U521" s="35">
        <f t="shared" si="100"/>
        <v>4</v>
      </c>
      <c r="W521">
        <f t="shared" si="101"/>
        <v>1</v>
      </c>
      <c r="X521" s="35">
        <f t="shared" si="102"/>
        <v>0</v>
      </c>
      <c r="Y521">
        <f t="shared" si="103"/>
        <v>1</v>
      </c>
      <c r="AB521">
        <f t="shared" si="106"/>
        <v>1</v>
      </c>
      <c r="AC521">
        <f t="shared" ca="1" si="107"/>
        <v>0</v>
      </c>
      <c r="AD521" t="str">
        <f ca="1">IF(AC521=1,COUNTIF($AC$3:AC521,1),"")</f>
        <v/>
      </c>
      <c r="AE521" s="155" t="str">
        <f ca="1">IFERROR(INDEX(Données!$B$3:$B$1479,MATCH(ROWS($AD$3:AD521),$AD$3:$AD$1479,0)),"")</f>
        <v/>
      </c>
    </row>
    <row r="522" spans="1:31" ht="15.75" x14ac:dyDescent="0.25">
      <c r="A522" t="str">
        <f t="shared" si="104"/>
        <v>Mikko Koskinen - EDM - G</v>
      </c>
      <c r="B522" t="str">
        <f t="shared" si="105"/>
        <v>Mikko Koskinen - EDM - G</v>
      </c>
      <c r="C522" t="str">
        <f t="shared" si="96"/>
        <v>Mikko</v>
      </c>
      <c r="D522" t="str">
        <f t="shared" si="97"/>
        <v>Koskinen</v>
      </c>
      <c r="E522" s="39" t="s">
        <v>2230</v>
      </c>
      <c r="F522" s="30" t="s">
        <v>18</v>
      </c>
      <c r="G522" s="35" t="s">
        <v>381</v>
      </c>
      <c r="H522" s="35" t="s">
        <v>127</v>
      </c>
      <c r="I522" s="35" t="s">
        <v>2439</v>
      </c>
      <c r="J522" s="35">
        <v>31</v>
      </c>
      <c r="K522" s="35">
        <f>VALUE(COUNTIF(Validation!$A$2:$H$47,E522))</f>
        <v>0</v>
      </c>
      <c r="L522" s="361">
        <f t="shared" si="98"/>
        <v>4500000</v>
      </c>
      <c r="M522" s="361">
        <f t="shared" si="99"/>
        <v>4500000</v>
      </c>
      <c r="N522" s="358">
        <v>4500000</v>
      </c>
      <c r="O522" s="358">
        <v>4500000</v>
      </c>
      <c r="P522" s="358">
        <v>4500000</v>
      </c>
      <c r="Q522" s="358" t="s">
        <v>7</v>
      </c>
      <c r="R522" s="358">
        <v>0</v>
      </c>
      <c r="S522" s="358">
        <v>0</v>
      </c>
      <c r="T522" s="358">
        <v>0</v>
      </c>
      <c r="U522" s="35">
        <f t="shared" si="100"/>
        <v>3</v>
      </c>
      <c r="W522">
        <f t="shared" si="101"/>
        <v>1</v>
      </c>
      <c r="X522" s="35">
        <f t="shared" si="102"/>
        <v>0</v>
      </c>
      <c r="Y522">
        <f t="shared" si="103"/>
        <v>1</v>
      </c>
      <c r="AB522">
        <f t="shared" si="106"/>
        <v>1</v>
      </c>
      <c r="AC522">
        <f t="shared" ca="1" si="107"/>
        <v>0</v>
      </c>
      <c r="AD522" t="str">
        <f ca="1">IF(AC522=1,COUNTIF($AC$3:AC522,1),"")</f>
        <v/>
      </c>
      <c r="AE522" s="155" t="str">
        <f ca="1">IFERROR(INDEX(Données!$B$3:$B$1479,MATCH(ROWS($AD$3:AD522),$AD$3:$AD$1479,0)),"")</f>
        <v/>
      </c>
    </row>
    <row r="523" spans="1:31" ht="15.75" x14ac:dyDescent="0.25">
      <c r="A523" t="str">
        <f t="shared" si="104"/>
        <v>Oscar Klefbom - EDM - DG</v>
      </c>
      <c r="B523" t="str">
        <f t="shared" si="105"/>
        <v>Oscar Klefbom - EDM - DG</v>
      </c>
      <c r="C523" t="str">
        <f t="shared" si="96"/>
        <v>Oscar</v>
      </c>
      <c r="D523" t="str">
        <f t="shared" si="97"/>
        <v>Klefbom</v>
      </c>
      <c r="E523" s="39" t="s">
        <v>2224</v>
      </c>
      <c r="F523" s="30" t="s">
        <v>18</v>
      </c>
      <c r="G523" s="35">
        <v>0</v>
      </c>
      <c r="H523" s="35" t="s">
        <v>2445</v>
      </c>
      <c r="I523" s="35" t="s">
        <v>2439</v>
      </c>
      <c r="J523" s="35">
        <v>26</v>
      </c>
      <c r="K523" s="35">
        <f>VALUE(COUNTIF(Validation!$A$2:$H$47,E523))</f>
        <v>0</v>
      </c>
      <c r="L523" s="361">
        <f t="shared" si="98"/>
        <v>4167000</v>
      </c>
      <c r="M523" s="361">
        <f t="shared" si="99"/>
        <v>4167000</v>
      </c>
      <c r="N523" s="358">
        <v>4167000</v>
      </c>
      <c r="O523" s="358">
        <v>4167000</v>
      </c>
      <c r="P523" s="358">
        <v>4167000</v>
      </c>
      <c r="Q523" s="358">
        <v>4167000</v>
      </c>
      <c r="R523" s="358" t="s">
        <v>7</v>
      </c>
      <c r="S523" s="358">
        <v>0</v>
      </c>
      <c r="T523" s="358">
        <v>0</v>
      </c>
      <c r="U523" s="35">
        <f t="shared" si="100"/>
        <v>4</v>
      </c>
      <c r="W523">
        <f t="shared" si="101"/>
        <v>1</v>
      </c>
      <c r="X523" s="35">
        <f t="shared" si="102"/>
        <v>0</v>
      </c>
      <c r="Y523">
        <f t="shared" si="103"/>
        <v>1</v>
      </c>
      <c r="AB523">
        <f t="shared" si="106"/>
        <v>1</v>
      </c>
      <c r="AC523">
        <f t="shared" ca="1" si="107"/>
        <v>0</v>
      </c>
      <c r="AD523" t="str">
        <f ca="1">IF(AC523=1,COUNTIF($AC$3:AC523,1),"")</f>
        <v/>
      </c>
      <c r="AE523" s="155" t="str">
        <f ca="1">IFERROR(INDEX(Données!$B$3:$B$1479,MATCH(ROWS($AD$3:AD523),$AD$3:$AD$1479,0)),"")</f>
        <v/>
      </c>
    </row>
    <row r="524" spans="1:31" ht="15.75" x14ac:dyDescent="0.25">
      <c r="A524" t="str">
        <f t="shared" si="104"/>
        <v>Adam Larsson - EDM - DD</v>
      </c>
      <c r="B524" t="str">
        <f t="shared" si="105"/>
        <v>Adam Larsson - EDM - DD</v>
      </c>
      <c r="C524" t="str">
        <f t="shared" si="96"/>
        <v>Adam</v>
      </c>
      <c r="D524" t="str">
        <f t="shared" si="97"/>
        <v>Larsson</v>
      </c>
      <c r="E524" s="39" t="s">
        <v>2983</v>
      </c>
      <c r="F524" s="30" t="s">
        <v>18</v>
      </c>
      <c r="G524" s="35">
        <v>0</v>
      </c>
      <c r="H524" s="35" t="s">
        <v>2444</v>
      </c>
      <c r="I524" s="35" t="s">
        <v>2439</v>
      </c>
      <c r="J524" s="35">
        <v>26</v>
      </c>
      <c r="K524" s="35">
        <f>VALUE(COUNTIF(Validation!$A$2:$H$47,E524))</f>
        <v>0</v>
      </c>
      <c r="L524" s="361">
        <f t="shared" si="98"/>
        <v>4166666</v>
      </c>
      <c r="M524" s="361">
        <f t="shared" si="99"/>
        <v>4166666</v>
      </c>
      <c r="N524" s="358">
        <v>4166666</v>
      </c>
      <c r="O524" s="358">
        <v>4166666</v>
      </c>
      <c r="P524" s="358" t="s">
        <v>7</v>
      </c>
      <c r="Q524" s="358">
        <v>0</v>
      </c>
      <c r="R524" s="358">
        <v>0</v>
      </c>
      <c r="S524" s="358">
        <v>0</v>
      </c>
      <c r="T524" s="358">
        <v>0</v>
      </c>
      <c r="U524" s="35">
        <f t="shared" si="100"/>
        <v>2</v>
      </c>
      <c r="W524">
        <f t="shared" si="101"/>
        <v>1</v>
      </c>
      <c r="X524" s="35">
        <f t="shared" si="102"/>
        <v>0</v>
      </c>
      <c r="Y524">
        <f t="shared" si="103"/>
        <v>1</v>
      </c>
      <c r="AB524">
        <f t="shared" si="106"/>
        <v>1</v>
      </c>
      <c r="AC524">
        <f t="shared" ca="1" si="107"/>
        <v>0</v>
      </c>
      <c r="AD524" t="str">
        <f ca="1">IF(AC524=1,COUNTIF($AC$3:AC524,1),"")</f>
        <v/>
      </c>
      <c r="AE524" s="155" t="str">
        <f ca="1">IFERROR(INDEX(Données!$B$3:$B$1479,MATCH(ROWS($AD$3:AD524),$AD$3:$AD$1479,0)),"")</f>
        <v/>
      </c>
    </row>
    <row r="525" spans="1:31" ht="15.75" x14ac:dyDescent="0.25">
      <c r="A525" t="str">
        <f t="shared" si="104"/>
        <v>Kris Russell - EDM - DD</v>
      </c>
      <c r="B525" t="str">
        <f t="shared" si="105"/>
        <v>Kris Russell - EDM - DD</v>
      </c>
      <c r="C525" t="str">
        <f t="shared" si="96"/>
        <v>Kris</v>
      </c>
      <c r="D525" t="str">
        <f t="shared" si="97"/>
        <v>Russell</v>
      </c>
      <c r="E525" s="39" t="s">
        <v>2225</v>
      </c>
      <c r="F525" s="30" t="s">
        <v>18</v>
      </c>
      <c r="G525" s="35" t="s">
        <v>370</v>
      </c>
      <c r="H525" s="35" t="s">
        <v>2444</v>
      </c>
      <c r="I525" s="35" t="s">
        <v>2439</v>
      </c>
      <c r="J525" s="35">
        <v>32</v>
      </c>
      <c r="K525" s="35">
        <f>VALUE(COUNTIF(Validation!$A$2:$H$47,E525))</f>
        <v>0</v>
      </c>
      <c r="L525" s="361">
        <f t="shared" si="98"/>
        <v>4000000</v>
      </c>
      <c r="M525" s="361">
        <f t="shared" si="99"/>
        <v>4000000</v>
      </c>
      <c r="N525" s="358">
        <v>4000000</v>
      </c>
      <c r="O525" s="358">
        <v>4000000</v>
      </c>
      <c r="P525" s="358" t="s">
        <v>7</v>
      </c>
      <c r="Q525" s="358">
        <v>0</v>
      </c>
      <c r="R525" s="358">
        <v>0</v>
      </c>
      <c r="S525" s="358">
        <v>0</v>
      </c>
      <c r="T525" s="358">
        <v>0</v>
      </c>
      <c r="U525" s="35">
        <f t="shared" si="100"/>
        <v>2</v>
      </c>
      <c r="W525">
        <f t="shared" si="101"/>
        <v>1</v>
      </c>
      <c r="X525" s="35">
        <f t="shared" si="102"/>
        <v>0</v>
      </c>
      <c r="Y525">
        <f t="shared" si="103"/>
        <v>1</v>
      </c>
      <c r="AB525">
        <f t="shared" si="106"/>
        <v>1</v>
      </c>
      <c r="AC525">
        <f t="shared" ca="1" si="107"/>
        <v>0</v>
      </c>
      <c r="AD525" t="str">
        <f ca="1">IF(AC525=1,COUNTIF($AC$3:AC525,1),"")</f>
        <v/>
      </c>
      <c r="AE525" s="155" t="str">
        <f ca="1">IFERROR(INDEX(Données!$B$3:$B$1479,MATCH(ROWS($AD$3:AD525),$AD$3:$AD$1479,0)),"")</f>
        <v/>
      </c>
    </row>
    <row r="526" spans="1:31" ht="15.75" x14ac:dyDescent="0.25">
      <c r="A526" t="str">
        <f t="shared" si="104"/>
        <v>Mike Smith - EDM - G</v>
      </c>
      <c r="B526" t="str">
        <f t="shared" si="105"/>
        <v>Mike Smith - EDM - G</v>
      </c>
      <c r="C526" t="str">
        <f t="shared" si="96"/>
        <v>Mike</v>
      </c>
      <c r="D526" t="str">
        <f t="shared" si="97"/>
        <v>Smith</v>
      </c>
      <c r="E526" s="39" t="s">
        <v>2167</v>
      </c>
      <c r="F526" s="30" t="s">
        <v>18</v>
      </c>
      <c r="G526" s="35" t="s">
        <v>2520</v>
      </c>
      <c r="H526" s="35" t="s">
        <v>127</v>
      </c>
      <c r="I526" s="35" t="s">
        <v>2439</v>
      </c>
      <c r="J526" s="35">
        <v>37</v>
      </c>
      <c r="K526" s="35">
        <f>VALUE(COUNTIF(Validation!$A$2:$H$47,E526))</f>
        <v>0</v>
      </c>
      <c r="L526" s="361">
        <f t="shared" si="98"/>
        <v>3750000</v>
      </c>
      <c r="M526" s="361">
        <f t="shared" si="99"/>
        <v>0</v>
      </c>
      <c r="N526" s="358">
        <v>3750000</v>
      </c>
      <c r="O526" s="358" t="s">
        <v>7</v>
      </c>
      <c r="P526" s="358">
        <v>0</v>
      </c>
      <c r="Q526" s="358">
        <v>0</v>
      </c>
      <c r="R526" s="358">
        <v>0</v>
      </c>
      <c r="S526" s="358">
        <v>0</v>
      </c>
      <c r="T526" s="358">
        <v>0</v>
      </c>
      <c r="U526" s="35">
        <f t="shared" si="100"/>
        <v>1</v>
      </c>
      <c r="W526">
        <f t="shared" si="101"/>
        <v>1</v>
      </c>
      <c r="X526" s="35">
        <f t="shared" si="102"/>
        <v>0</v>
      </c>
      <c r="Y526">
        <f t="shared" si="103"/>
        <v>0</v>
      </c>
      <c r="AB526">
        <f t="shared" si="106"/>
        <v>1</v>
      </c>
      <c r="AC526">
        <f t="shared" ca="1" si="107"/>
        <v>0</v>
      </c>
      <c r="AD526" t="str">
        <f ca="1">IF(AC526=1,COUNTIF($AC$3:AC526,1),"")</f>
        <v/>
      </c>
      <c r="AE526" s="155" t="str">
        <f ca="1">IFERROR(INDEX(Données!$B$3:$B$1479,MATCH(ROWS($AD$3:AD526),$AD$3:$AD$1479,0)),"")</f>
        <v/>
      </c>
    </row>
    <row r="527" spans="1:31" ht="15.75" x14ac:dyDescent="0.25">
      <c r="A527" t="str">
        <f t="shared" si="104"/>
        <v>Darnell Nurse - EDM - DG</v>
      </c>
      <c r="B527" t="str">
        <f t="shared" si="105"/>
        <v>Darnell Nurse - EDM - DG</v>
      </c>
      <c r="C527" t="str">
        <f t="shared" si="96"/>
        <v>Darnell</v>
      </c>
      <c r="D527" t="str">
        <f t="shared" si="97"/>
        <v>Nurse</v>
      </c>
      <c r="E527" s="39" t="s">
        <v>2228</v>
      </c>
      <c r="F527" s="30" t="s">
        <v>18</v>
      </c>
      <c r="G527" s="35">
        <v>0</v>
      </c>
      <c r="H527" s="35" t="s">
        <v>2445</v>
      </c>
      <c r="I527" s="35" t="s">
        <v>2439</v>
      </c>
      <c r="J527" s="35">
        <v>24</v>
      </c>
      <c r="K527" s="35">
        <f>VALUE(COUNTIF(Validation!$A$2:$H$47,E527))</f>
        <v>0</v>
      </c>
      <c r="L527" s="361">
        <f t="shared" si="98"/>
        <v>3200000</v>
      </c>
      <c r="M527" s="361">
        <f t="shared" si="99"/>
        <v>0</v>
      </c>
      <c r="N527" s="358">
        <v>3200000</v>
      </c>
      <c r="O527" s="358" t="s">
        <v>8</v>
      </c>
      <c r="P527" s="358">
        <v>0</v>
      </c>
      <c r="Q527" s="358">
        <v>0</v>
      </c>
      <c r="R527" s="358">
        <v>0</v>
      </c>
      <c r="S527" s="358">
        <v>0</v>
      </c>
      <c r="T527" s="358">
        <v>0</v>
      </c>
      <c r="U527" s="35">
        <f t="shared" si="100"/>
        <v>1</v>
      </c>
      <c r="W527">
        <f t="shared" si="101"/>
        <v>1</v>
      </c>
      <c r="X527" s="35">
        <f t="shared" si="102"/>
        <v>0</v>
      </c>
      <c r="Y527">
        <f t="shared" si="103"/>
        <v>0</v>
      </c>
      <c r="AB527">
        <f t="shared" si="106"/>
        <v>1</v>
      </c>
      <c r="AC527">
        <f t="shared" ca="1" si="107"/>
        <v>0</v>
      </c>
      <c r="AD527" t="str">
        <f ca="1">IF(AC527=1,COUNTIF($AC$3:AC527,1),"")</f>
        <v/>
      </c>
      <c r="AE527" s="155" t="str">
        <f ca="1">IFERROR(INDEX(Données!$B$3:$B$1479,MATCH(ROWS($AD$3:AD527),$AD$3:$AD$1479,0)),"")</f>
        <v/>
      </c>
    </row>
    <row r="528" spans="1:31" ht="15.75" x14ac:dyDescent="0.25">
      <c r="A528" t="str">
        <f t="shared" si="104"/>
        <v>Sam Gagner - EDM - C, AD</v>
      </c>
      <c r="B528" t="str">
        <f t="shared" si="105"/>
        <v>Sam Gagner - EDM - C, AD</v>
      </c>
      <c r="C528" t="str">
        <f t="shared" si="96"/>
        <v>Sam</v>
      </c>
      <c r="D528" t="str">
        <f t="shared" si="97"/>
        <v>Gagner</v>
      </c>
      <c r="E528" s="39" t="s">
        <v>2331</v>
      </c>
      <c r="F528" s="30" t="s">
        <v>18</v>
      </c>
      <c r="G528" s="35">
        <v>0</v>
      </c>
      <c r="H528" s="35" t="s">
        <v>2448</v>
      </c>
      <c r="I528" s="35" t="s">
        <v>2439</v>
      </c>
      <c r="J528" s="35">
        <v>30</v>
      </c>
      <c r="K528" s="35">
        <f>VALUE(COUNTIF(Validation!$A$2:$H$47,E528))</f>
        <v>0</v>
      </c>
      <c r="L528" s="361">
        <f t="shared" si="98"/>
        <v>3150000</v>
      </c>
      <c r="M528" s="361">
        <f t="shared" si="99"/>
        <v>0</v>
      </c>
      <c r="N528" s="358">
        <v>3150000</v>
      </c>
      <c r="O528" s="358" t="s">
        <v>7</v>
      </c>
      <c r="P528" s="358">
        <v>0</v>
      </c>
      <c r="Q528" s="358">
        <v>0</v>
      </c>
      <c r="R528" s="358">
        <v>0</v>
      </c>
      <c r="S528" s="358">
        <v>0</v>
      </c>
      <c r="T528" s="358">
        <v>0</v>
      </c>
      <c r="U528" s="35">
        <f t="shared" si="100"/>
        <v>1</v>
      </c>
      <c r="W528">
        <f t="shared" si="101"/>
        <v>1</v>
      </c>
      <c r="X528" s="35">
        <f t="shared" si="102"/>
        <v>0</v>
      </c>
      <c r="Y528">
        <f t="shared" si="103"/>
        <v>0</v>
      </c>
      <c r="AB528">
        <f t="shared" si="106"/>
        <v>1</v>
      </c>
      <c r="AC528">
        <f t="shared" ca="1" si="107"/>
        <v>0</v>
      </c>
      <c r="AD528" t="str">
        <f ca="1">IF(AC528=1,COUNTIF($AC$3:AC528,1),"")</f>
        <v/>
      </c>
      <c r="AE528" s="155" t="str">
        <f ca="1">IFERROR(INDEX(Données!$B$3:$B$1479,MATCH(ROWS($AD$3:AD528),$AD$3:$AD$1479,0)),"")</f>
        <v/>
      </c>
    </row>
    <row r="529" spans="1:31" ht="15.75" x14ac:dyDescent="0.25">
      <c r="A529" t="str">
        <f t="shared" si="104"/>
        <v>Brandon Manning - EDM - DG</v>
      </c>
      <c r="B529" t="str">
        <f t="shared" si="105"/>
        <v>Brandon Manning - EDM - DG</v>
      </c>
      <c r="C529" t="str">
        <f t="shared" si="96"/>
        <v>Brandon</v>
      </c>
      <c r="D529" t="str">
        <f t="shared" si="97"/>
        <v>Manning</v>
      </c>
      <c r="E529" s="39" t="s">
        <v>1896</v>
      </c>
      <c r="F529" s="30" t="s">
        <v>18</v>
      </c>
      <c r="G529" s="35">
        <v>0</v>
      </c>
      <c r="H529" s="35" t="s">
        <v>2445</v>
      </c>
      <c r="I529" s="35" t="s">
        <v>2439</v>
      </c>
      <c r="J529" s="35">
        <v>29</v>
      </c>
      <c r="K529" s="35">
        <f>VALUE(COUNTIF(Validation!$A$2:$H$47,E529))</f>
        <v>0</v>
      </c>
      <c r="L529" s="361">
        <f t="shared" si="98"/>
        <v>2250000</v>
      </c>
      <c r="M529" s="361">
        <f t="shared" si="99"/>
        <v>0</v>
      </c>
      <c r="N529" s="358">
        <v>2250000</v>
      </c>
      <c r="O529" s="358" t="s">
        <v>7</v>
      </c>
      <c r="P529" s="358">
        <v>0</v>
      </c>
      <c r="Q529" s="358">
        <v>0</v>
      </c>
      <c r="R529" s="358">
        <v>0</v>
      </c>
      <c r="S529" s="358">
        <v>0</v>
      </c>
      <c r="T529" s="358">
        <v>0</v>
      </c>
      <c r="U529" s="35">
        <f t="shared" si="100"/>
        <v>1</v>
      </c>
      <c r="W529">
        <f t="shared" si="101"/>
        <v>1</v>
      </c>
      <c r="X529" s="35">
        <f t="shared" si="102"/>
        <v>0</v>
      </c>
      <c r="Y529">
        <f t="shared" si="103"/>
        <v>0</v>
      </c>
      <c r="AB529">
        <f t="shared" si="106"/>
        <v>1</v>
      </c>
      <c r="AC529">
        <f t="shared" ca="1" si="107"/>
        <v>0</v>
      </c>
      <c r="AD529" t="str">
        <f ca="1">IF(AC529=1,COUNTIF($AC$3:AC529,1),"")</f>
        <v/>
      </c>
      <c r="AE529" s="155" t="str">
        <f ca="1">IFERROR(INDEX(Données!$B$3:$B$1479,MATCH(ROWS($AD$3:AD529),$AD$3:$AD$1479,0)),"")</f>
        <v/>
      </c>
    </row>
    <row r="530" spans="1:31" ht="15.75" x14ac:dyDescent="0.25">
      <c r="A530" t="str">
        <f t="shared" si="104"/>
        <v>Alex Chiasson - EDM - AD</v>
      </c>
      <c r="B530" t="str">
        <f t="shared" si="105"/>
        <v>Alex Chiasson - EDM - AD</v>
      </c>
      <c r="C530" t="str">
        <f t="shared" si="96"/>
        <v>Alex</v>
      </c>
      <c r="D530" t="str">
        <f t="shared" si="97"/>
        <v>Chiasson</v>
      </c>
      <c r="E530" s="39" t="s">
        <v>2495</v>
      </c>
      <c r="F530" s="30" t="s">
        <v>18</v>
      </c>
      <c r="G530" s="35">
        <v>0</v>
      </c>
      <c r="H530" s="35" t="s">
        <v>2438</v>
      </c>
      <c r="I530" s="35" t="s">
        <v>2439</v>
      </c>
      <c r="J530" s="35">
        <v>28</v>
      </c>
      <c r="K530" s="35">
        <f>VALUE(COUNTIF(Validation!$A$2:$H$47,E530))</f>
        <v>0</v>
      </c>
      <c r="L530" s="361">
        <f t="shared" si="98"/>
        <v>2150000</v>
      </c>
      <c r="M530" s="361">
        <f t="shared" si="99"/>
        <v>2150000</v>
      </c>
      <c r="N530" s="358">
        <v>2150000</v>
      </c>
      <c r="O530" s="358">
        <v>2150000</v>
      </c>
      <c r="P530" s="358" t="s">
        <v>7</v>
      </c>
      <c r="Q530" s="358">
        <v>0</v>
      </c>
      <c r="R530" s="358">
        <v>0</v>
      </c>
      <c r="S530" s="358">
        <v>0</v>
      </c>
      <c r="T530" s="358">
        <v>0</v>
      </c>
      <c r="U530" s="35">
        <f t="shared" si="100"/>
        <v>2</v>
      </c>
      <c r="W530">
        <f t="shared" si="101"/>
        <v>1</v>
      </c>
      <c r="X530" s="35">
        <f t="shared" si="102"/>
        <v>0</v>
      </c>
      <c r="Y530">
        <f t="shared" si="103"/>
        <v>1</v>
      </c>
      <c r="AB530">
        <f t="shared" si="106"/>
        <v>1</v>
      </c>
      <c r="AC530">
        <f t="shared" ca="1" si="107"/>
        <v>0</v>
      </c>
      <c r="AD530" t="str">
        <f ca="1">IF(AC530=1,COUNTIF($AC$3:AC530,1),"")</f>
        <v/>
      </c>
      <c r="AE530" s="155" t="str">
        <f ca="1">IFERROR(INDEX(Données!$B$3:$B$1479,MATCH(ROWS($AD$3:AD530),$AD$3:$AD$1479,0)),"")</f>
        <v/>
      </c>
    </row>
    <row r="531" spans="1:31" ht="15.75" x14ac:dyDescent="0.25">
      <c r="A531" t="str">
        <f t="shared" si="104"/>
        <v>Zack Kassian - EDM - AD</v>
      </c>
      <c r="B531" t="str">
        <f t="shared" si="105"/>
        <v>Zack Kassian - EDM - AD</v>
      </c>
      <c r="C531" t="str">
        <f t="shared" si="96"/>
        <v>Zack</v>
      </c>
      <c r="D531" t="str">
        <f t="shared" si="97"/>
        <v>Kassian</v>
      </c>
      <c r="E531" s="39" t="s">
        <v>2219</v>
      </c>
      <c r="F531" s="30" t="s">
        <v>18</v>
      </c>
      <c r="G531" s="35">
        <v>0</v>
      </c>
      <c r="H531" s="35" t="s">
        <v>2438</v>
      </c>
      <c r="I531" s="35" t="s">
        <v>2439</v>
      </c>
      <c r="J531" s="35">
        <v>28</v>
      </c>
      <c r="K531" s="35">
        <f>VALUE(COUNTIF(Validation!$A$2:$H$47,E531))</f>
        <v>0</v>
      </c>
      <c r="L531" s="361">
        <f t="shared" si="98"/>
        <v>1950000</v>
      </c>
      <c r="M531" s="361">
        <f t="shared" si="99"/>
        <v>0</v>
      </c>
      <c r="N531" s="358">
        <v>1950000</v>
      </c>
      <c r="O531" s="358" t="s">
        <v>7</v>
      </c>
      <c r="P531" s="358">
        <v>0</v>
      </c>
      <c r="Q531" s="358">
        <v>0</v>
      </c>
      <c r="R531" s="358">
        <v>0</v>
      </c>
      <c r="S531" s="358">
        <v>0</v>
      </c>
      <c r="T531" s="358">
        <v>0</v>
      </c>
      <c r="U531" s="35">
        <f t="shared" si="100"/>
        <v>1</v>
      </c>
      <c r="W531">
        <f t="shared" si="101"/>
        <v>1</v>
      </c>
      <c r="X531" s="35">
        <f t="shared" si="102"/>
        <v>0</v>
      </c>
      <c r="Y531">
        <f t="shared" si="103"/>
        <v>0</v>
      </c>
      <c r="AB531">
        <f t="shared" si="106"/>
        <v>1</v>
      </c>
      <c r="AC531">
        <f t="shared" ca="1" si="107"/>
        <v>0</v>
      </c>
      <c r="AD531" t="str">
        <f ca="1">IF(AC531=1,COUNTIF($AC$3:AC531,1),"")</f>
        <v/>
      </c>
      <c r="AE531" s="155" t="str">
        <f ca="1">IFERROR(INDEX(Données!$B$3:$B$1479,MATCH(ROWS($AD$3:AD531),$AD$3:$AD$1479,0)),"")</f>
        <v/>
      </c>
    </row>
    <row r="532" spans="1:31" ht="15.75" x14ac:dyDescent="0.25">
      <c r="A532" t="str">
        <f t="shared" si="104"/>
        <v>Matthew Benning - EDM - DD</v>
      </c>
      <c r="B532" t="str">
        <f t="shared" si="105"/>
        <v>Matthew Benning - EDM - DD</v>
      </c>
      <c r="C532" t="str">
        <f t="shared" si="96"/>
        <v>Matthew</v>
      </c>
      <c r="D532" t="str">
        <f t="shared" si="97"/>
        <v>Benning</v>
      </c>
      <c r="E532" s="39" t="s">
        <v>2226</v>
      </c>
      <c r="F532" s="30" t="s">
        <v>18</v>
      </c>
      <c r="G532" s="35">
        <v>0</v>
      </c>
      <c r="H532" s="35" t="s">
        <v>2444</v>
      </c>
      <c r="I532" s="35" t="s">
        <v>2439</v>
      </c>
      <c r="J532" s="35">
        <v>25</v>
      </c>
      <c r="K532" s="35">
        <f>VALUE(COUNTIF(Validation!$A$2:$H$47,E532))</f>
        <v>0</v>
      </c>
      <c r="L532" s="361">
        <f t="shared" si="98"/>
        <v>1900000</v>
      </c>
      <c r="M532" s="361">
        <f t="shared" si="99"/>
        <v>0</v>
      </c>
      <c r="N532" s="358">
        <v>1900000</v>
      </c>
      <c r="O532" s="358" t="s">
        <v>8</v>
      </c>
      <c r="P532" s="358">
        <v>0</v>
      </c>
      <c r="Q532" s="358">
        <v>0</v>
      </c>
      <c r="R532" s="358">
        <v>0</v>
      </c>
      <c r="S532" s="358">
        <v>0</v>
      </c>
      <c r="T532" s="358">
        <v>0</v>
      </c>
      <c r="U532" s="35">
        <f t="shared" si="100"/>
        <v>1</v>
      </c>
      <c r="W532">
        <f t="shared" si="101"/>
        <v>1</v>
      </c>
      <c r="X532" s="35">
        <f t="shared" si="102"/>
        <v>0</v>
      </c>
      <c r="Y532">
        <f t="shared" si="103"/>
        <v>0</v>
      </c>
      <c r="AB532">
        <f t="shared" si="106"/>
        <v>1</v>
      </c>
      <c r="AC532">
        <f t="shared" ca="1" si="107"/>
        <v>0</v>
      </c>
      <c r="AD532" t="str">
        <f ca="1">IF(AC532=1,COUNTIF($AC$3:AC532,1),"")</f>
        <v/>
      </c>
      <c r="AE532" s="155" t="str">
        <f ca="1">IFERROR(INDEX(Données!$B$3:$B$1479,MATCH(ROWS($AD$3:AD532),$AD$3:$AD$1479,0)),"")</f>
        <v/>
      </c>
    </row>
    <row r="533" spans="1:31" ht="15.75" x14ac:dyDescent="0.25">
      <c r="A533" t="str">
        <f t="shared" si="104"/>
        <v>Philip Broberg - EDM - DG</v>
      </c>
      <c r="B533" t="str">
        <f t="shared" si="105"/>
        <v>Philip Broberg - EDM - DG</v>
      </c>
      <c r="C533" t="str">
        <f t="shared" si="96"/>
        <v>Philip</v>
      </c>
      <c r="D533" t="str">
        <f t="shared" si="97"/>
        <v>Broberg</v>
      </c>
      <c r="E533" s="39" t="s">
        <v>2721</v>
      </c>
      <c r="F533" s="30" t="s">
        <v>18</v>
      </c>
      <c r="G533" s="35" t="s">
        <v>388</v>
      </c>
      <c r="H533" s="35" t="s">
        <v>2445</v>
      </c>
      <c r="I533" s="35" t="s">
        <v>2592</v>
      </c>
      <c r="J533" s="35">
        <v>18</v>
      </c>
      <c r="K533" s="35">
        <f>VALUE(COUNTIF(Validation!$A$2:$H$47,E533))</f>
        <v>0</v>
      </c>
      <c r="L533" s="361">
        <f t="shared" si="98"/>
        <v>1775000</v>
      </c>
      <c r="M533" s="361">
        <f t="shared" si="99"/>
        <v>1775000</v>
      </c>
      <c r="N533" s="358">
        <v>1775000</v>
      </c>
      <c r="O533" s="358">
        <v>1775000</v>
      </c>
      <c r="P533" s="358">
        <v>1775000</v>
      </c>
      <c r="Q533" s="358" t="s">
        <v>8</v>
      </c>
      <c r="R533" s="358">
        <v>0</v>
      </c>
      <c r="S533" s="358">
        <v>0</v>
      </c>
      <c r="T533" s="358">
        <v>0</v>
      </c>
      <c r="U533" s="35">
        <f t="shared" si="100"/>
        <v>3</v>
      </c>
      <c r="W533">
        <f t="shared" si="101"/>
        <v>1</v>
      </c>
      <c r="X533" s="35">
        <f t="shared" si="102"/>
        <v>1</v>
      </c>
      <c r="Y533">
        <f t="shared" si="103"/>
        <v>1</v>
      </c>
      <c r="AB533">
        <f t="shared" si="106"/>
        <v>1</v>
      </c>
      <c r="AC533">
        <f t="shared" ca="1" si="107"/>
        <v>0</v>
      </c>
      <c r="AD533" t="str">
        <f ca="1">IF(AC533=1,COUNTIF($AC$3:AC533,1),"")</f>
        <v/>
      </c>
      <c r="AE533" s="155" t="str">
        <f ca="1">IFERROR(INDEX(Données!$B$3:$B$1479,MATCH(ROWS($AD$3:AD533),$AD$3:$AD$1479,0)),"")</f>
        <v/>
      </c>
    </row>
    <row r="534" spans="1:31" ht="15.75" x14ac:dyDescent="0.25">
      <c r="A534" t="str">
        <f t="shared" si="104"/>
        <v>Evan Bouchard - EDM - DD</v>
      </c>
      <c r="B534" t="str">
        <f t="shared" si="105"/>
        <v>Evan Bouchard - EDM - DD</v>
      </c>
      <c r="C534" t="str">
        <f t="shared" si="96"/>
        <v>Evan</v>
      </c>
      <c r="D534" t="str">
        <f t="shared" si="97"/>
        <v>Bouchard</v>
      </c>
      <c r="E534" s="39" t="s">
        <v>2233</v>
      </c>
      <c r="F534" s="30" t="s">
        <v>18</v>
      </c>
      <c r="G534" s="35" t="s">
        <v>386</v>
      </c>
      <c r="H534" s="35" t="s">
        <v>2444</v>
      </c>
      <c r="I534" s="35" t="s">
        <v>2446</v>
      </c>
      <c r="J534" s="35">
        <v>19</v>
      </c>
      <c r="K534" s="35">
        <f>VALUE(COUNTIF(Validation!$A$2:$H$47,E534))</f>
        <v>0</v>
      </c>
      <c r="L534" s="361">
        <f t="shared" si="98"/>
        <v>1627500</v>
      </c>
      <c r="M534" s="361">
        <f t="shared" si="99"/>
        <v>1627500</v>
      </c>
      <c r="N534" s="358">
        <v>1627500</v>
      </c>
      <c r="O534" s="358">
        <v>1627500</v>
      </c>
      <c r="P534" s="358">
        <v>1627500</v>
      </c>
      <c r="Q534" s="358" t="s">
        <v>8</v>
      </c>
      <c r="R534" s="358">
        <v>0</v>
      </c>
      <c r="S534" s="358">
        <v>0</v>
      </c>
      <c r="T534" s="358">
        <v>0</v>
      </c>
      <c r="U534" s="35">
        <f t="shared" si="100"/>
        <v>3</v>
      </c>
      <c r="W534">
        <f t="shared" si="101"/>
        <v>1</v>
      </c>
      <c r="X534" s="35">
        <f t="shared" si="102"/>
        <v>1</v>
      </c>
      <c r="Y534">
        <f t="shared" si="103"/>
        <v>1</v>
      </c>
      <c r="AB534">
        <f t="shared" si="106"/>
        <v>1</v>
      </c>
      <c r="AC534">
        <f t="shared" ca="1" si="107"/>
        <v>0</v>
      </c>
      <c r="AD534" t="str">
        <f ca="1">IF(AC534=1,COUNTIF($AC$3:AC534,1),"")</f>
        <v/>
      </c>
      <c r="AE534" s="155" t="str">
        <f ca="1">IFERROR(INDEX(Données!$B$3:$B$1479,MATCH(ROWS($AD$3:AD534),$AD$3:$AD$1479,0)),"")</f>
        <v/>
      </c>
    </row>
    <row r="535" spans="1:31" ht="15.75" x14ac:dyDescent="0.25">
      <c r="A535" t="str">
        <f t="shared" si="104"/>
        <v>Gaetan Haas - EDM - C</v>
      </c>
      <c r="B535" t="str">
        <f t="shared" si="105"/>
        <v>Gaetan Haas - EDM - C</v>
      </c>
      <c r="C535" t="str">
        <f t="shared" si="96"/>
        <v>Gaetan</v>
      </c>
      <c r="D535" t="str">
        <f t="shared" si="97"/>
        <v>Haas</v>
      </c>
      <c r="E535" s="39" t="s">
        <v>2868</v>
      </c>
      <c r="F535" s="30" t="s">
        <v>18</v>
      </c>
      <c r="G535" s="35" t="s">
        <v>386</v>
      </c>
      <c r="H535" s="35" t="s">
        <v>73</v>
      </c>
      <c r="I535" s="35" t="s">
        <v>2446</v>
      </c>
      <c r="J535" s="35">
        <v>27</v>
      </c>
      <c r="K535" s="35">
        <f>VALUE(COUNTIF(Validation!$A$2:$H$47,E535))</f>
        <v>0</v>
      </c>
      <c r="L535" s="361">
        <f t="shared" si="98"/>
        <v>1562500</v>
      </c>
      <c r="M535" s="361">
        <f t="shared" si="99"/>
        <v>0</v>
      </c>
      <c r="N535" s="358">
        <v>1562500</v>
      </c>
      <c r="O535" s="358" t="s">
        <v>7</v>
      </c>
      <c r="P535" s="358">
        <v>0</v>
      </c>
      <c r="Q535" s="358">
        <v>0</v>
      </c>
      <c r="R535" s="358">
        <v>0</v>
      </c>
      <c r="S535" s="358">
        <v>0</v>
      </c>
      <c r="T535" s="358">
        <v>0</v>
      </c>
      <c r="U535" s="35">
        <f t="shared" si="100"/>
        <v>1</v>
      </c>
      <c r="W535">
        <f t="shared" si="101"/>
        <v>1</v>
      </c>
      <c r="X535" s="35">
        <f t="shared" si="102"/>
        <v>1</v>
      </c>
      <c r="Y535">
        <f t="shared" si="103"/>
        <v>0</v>
      </c>
      <c r="AB535">
        <f t="shared" si="106"/>
        <v>1</v>
      </c>
      <c r="AC535">
        <f t="shared" ca="1" si="107"/>
        <v>0</v>
      </c>
      <c r="AD535" t="str">
        <f ca="1">IF(AC535=1,COUNTIF($AC$3:AC535,1),"")</f>
        <v/>
      </c>
      <c r="AE535" s="155" t="str">
        <f ca="1">IFERROR(INDEX(Données!$B$3:$B$1479,MATCH(ROWS($AD$3:AD535),$AD$3:$AD$1479,0)),"")</f>
        <v/>
      </c>
    </row>
    <row r="536" spans="1:31" ht="15.75" x14ac:dyDescent="0.25">
      <c r="A536" t="str">
        <f t="shared" si="104"/>
        <v>Markus Granlund - EDM - AD, AG, C</v>
      </c>
      <c r="B536" t="str">
        <f t="shared" si="105"/>
        <v>Markus Granlund - EDM - AD, AG, C</v>
      </c>
      <c r="C536" t="str">
        <f t="shared" si="96"/>
        <v>Markus</v>
      </c>
      <c r="D536" t="str">
        <f t="shared" si="97"/>
        <v>Granlund</v>
      </c>
      <c r="E536" s="39" t="s">
        <v>2335</v>
      </c>
      <c r="F536" s="30" t="s">
        <v>18</v>
      </c>
      <c r="G536" s="35">
        <v>0</v>
      </c>
      <c r="H536" s="35" t="s">
        <v>2496</v>
      </c>
      <c r="I536" s="35" t="s">
        <v>2439</v>
      </c>
      <c r="J536" s="35">
        <v>26</v>
      </c>
      <c r="K536" s="35">
        <f>VALUE(COUNTIF(Validation!$A$2:$H$47,E536))</f>
        <v>0</v>
      </c>
      <c r="L536" s="361">
        <f t="shared" si="98"/>
        <v>1300000</v>
      </c>
      <c r="M536" s="361">
        <f t="shared" si="99"/>
        <v>0</v>
      </c>
      <c r="N536" s="358">
        <v>1300000</v>
      </c>
      <c r="O536" s="358" t="s">
        <v>7</v>
      </c>
      <c r="P536" s="358">
        <v>0</v>
      </c>
      <c r="Q536" s="358">
        <v>0</v>
      </c>
      <c r="R536" s="358">
        <v>0</v>
      </c>
      <c r="S536" s="358">
        <v>0</v>
      </c>
      <c r="T536" s="358">
        <v>0</v>
      </c>
      <c r="U536" s="35">
        <f t="shared" si="100"/>
        <v>1</v>
      </c>
      <c r="W536">
        <f t="shared" si="101"/>
        <v>1</v>
      </c>
      <c r="X536" s="35">
        <f t="shared" si="102"/>
        <v>0</v>
      </c>
      <c r="Y536">
        <f t="shared" si="103"/>
        <v>0</v>
      </c>
      <c r="AB536">
        <f t="shared" si="106"/>
        <v>1</v>
      </c>
      <c r="AC536">
        <f t="shared" ca="1" si="107"/>
        <v>0</v>
      </c>
      <c r="AD536" t="str">
        <f ca="1">IF(AC536=1,COUNTIF($AC$3:AC536,1),"")</f>
        <v/>
      </c>
      <c r="AE536" s="155" t="str">
        <f ca="1">IFERROR(INDEX(Données!$B$3:$B$1479,MATCH(ROWS($AD$3:AD536),$AD$3:$AD$1479,0)),"")</f>
        <v/>
      </c>
    </row>
    <row r="537" spans="1:31" ht="15.75" x14ac:dyDescent="0.25">
      <c r="A537" t="str">
        <f t="shared" si="104"/>
        <v>Jujhar Khaira - EDM - C, AG</v>
      </c>
      <c r="B537" t="str">
        <f t="shared" si="105"/>
        <v>Jujhar Khaira - EDM - C, AG</v>
      </c>
      <c r="C537" t="str">
        <f t="shared" si="96"/>
        <v>Jujhar</v>
      </c>
      <c r="D537" t="str">
        <f t="shared" si="97"/>
        <v>Khaira</v>
      </c>
      <c r="E537" s="39" t="s">
        <v>2222</v>
      </c>
      <c r="F537" s="30" t="s">
        <v>18</v>
      </c>
      <c r="G537" s="35">
        <v>0</v>
      </c>
      <c r="H537" s="35" t="s">
        <v>2452</v>
      </c>
      <c r="I537" s="35" t="s">
        <v>2439</v>
      </c>
      <c r="J537" s="35">
        <v>25</v>
      </c>
      <c r="K537" s="35">
        <f>VALUE(COUNTIF(Validation!$A$2:$H$47,E537))</f>
        <v>0</v>
      </c>
      <c r="L537" s="361">
        <f t="shared" si="98"/>
        <v>1200000</v>
      </c>
      <c r="M537" s="361">
        <f t="shared" si="99"/>
        <v>1200000</v>
      </c>
      <c r="N537" s="358">
        <v>1200000</v>
      </c>
      <c r="O537" s="358">
        <v>1200000</v>
      </c>
      <c r="P537" s="358" t="s">
        <v>8</v>
      </c>
      <c r="Q537" s="358">
        <v>0</v>
      </c>
      <c r="R537" s="358">
        <v>0</v>
      </c>
      <c r="S537" s="358">
        <v>0</v>
      </c>
      <c r="T537" s="358">
        <v>0</v>
      </c>
      <c r="U537" s="35">
        <f t="shared" si="100"/>
        <v>2</v>
      </c>
      <c r="W537">
        <f t="shared" si="101"/>
        <v>1</v>
      </c>
      <c r="X537" s="35">
        <f t="shared" si="102"/>
        <v>0</v>
      </c>
      <c r="Y537">
        <f t="shared" si="103"/>
        <v>1</v>
      </c>
      <c r="AB537">
        <f t="shared" si="106"/>
        <v>1</v>
      </c>
      <c r="AC537">
        <f t="shared" ca="1" si="107"/>
        <v>0</v>
      </c>
      <c r="AD537" t="str">
        <f ca="1">IF(AC537=1,COUNTIF($AC$3:AC537,1),"")</f>
        <v/>
      </c>
      <c r="AE537" s="155" t="str">
        <f ca="1">IFERROR(INDEX(Données!$B$3:$B$1479,MATCH(ROWS($AD$3:AD537),$AD$3:$AD$1479,0)),"")</f>
        <v/>
      </c>
    </row>
    <row r="538" spans="1:31" ht="15.75" x14ac:dyDescent="0.25">
      <c r="A538" t="str">
        <f t="shared" si="104"/>
        <v>Kyle Brodziak - EDM - C</v>
      </c>
      <c r="B538" t="str">
        <f t="shared" si="105"/>
        <v>Kyle Brodziak - EDM - C</v>
      </c>
      <c r="C538" t="str">
        <f t="shared" si="96"/>
        <v>Kyle</v>
      </c>
      <c r="D538" t="str">
        <f t="shared" si="97"/>
        <v>Brodziak</v>
      </c>
      <c r="E538" s="39" t="s">
        <v>2221</v>
      </c>
      <c r="F538" s="30" t="s">
        <v>18</v>
      </c>
      <c r="G538" s="35">
        <v>0</v>
      </c>
      <c r="H538" s="35" t="s">
        <v>73</v>
      </c>
      <c r="I538" s="35" t="s">
        <v>2439</v>
      </c>
      <c r="J538" s="35">
        <v>35</v>
      </c>
      <c r="K538" s="35">
        <f>VALUE(COUNTIF(Validation!$A$2:$H$47,E538))</f>
        <v>0</v>
      </c>
      <c r="L538" s="361">
        <f t="shared" si="98"/>
        <v>1150000</v>
      </c>
      <c r="M538" s="361">
        <f t="shared" si="99"/>
        <v>0</v>
      </c>
      <c r="N538" s="358">
        <v>1150000</v>
      </c>
      <c r="O538" s="358" t="s">
        <v>7</v>
      </c>
      <c r="P538" s="358">
        <v>0</v>
      </c>
      <c r="Q538" s="358">
        <v>0</v>
      </c>
      <c r="R538" s="358">
        <v>0</v>
      </c>
      <c r="S538" s="358">
        <v>0</v>
      </c>
      <c r="T538" s="358">
        <v>0</v>
      </c>
      <c r="U538" s="35">
        <f t="shared" si="100"/>
        <v>1</v>
      </c>
      <c r="W538">
        <f t="shared" si="101"/>
        <v>1</v>
      </c>
      <c r="X538" s="35">
        <f t="shared" si="102"/>
        <v>0</v>
      </c>
      <c r="Y538">
        <f t="shared" si="103"/>
        <v>0</v>
      </c>
      <c r="AB538">
        <f t="shared" si="106"/>
        <v>1</v>
      </c>
      <c r="AC538">
        <f t="shared" ca="1" si="107"/>
        <v>0</v>
      </c>
      <c r="AD538" t="str">
        <f ca="1">IF(AC538=1,COUNTIF($AC$3:AC538,1),"")</f>
        <v/>
      </c>
      <c r="AE538" s="155" t="str">
        <f ca="1">IFERROR(INDEX(Données!$B$3:$B$1479,MATCH(ROWS($AD$3:AD538),$AD$3:$AD$1479,0)),"")</f>
        <v/>
      </c>
    </row>
    <row r="539" spans="1:31" ht="15.75" x14ac:dyDescent="0.25">
      <c r="A539" t="str">
        <f t="shared" si="104"/>
        <v>Kailer Yamamoto - EDM - AD, C</v>
      </c>
      <c r="B539" t="str">
        <f t="shared" si="105"/>
        <v>Kailer Yamamoto - EDM - AD, C</v>
      </c>
      <c r="C539" t="str">
        <f t="shared" si="96"/>
        <v>Kailer</v>
      </c>
      <c r="D539" t="str">
        <f t="shared" si="97"/>
        <v>Yamamoto</v>
      </c>
      <c r="E539" s="39" t="s">
        <v>2234</v>
      </c>
      <c r="F539" s="30" t="s">
        <v>18</v>
      </c>
      <c r="G539" s="35" t="s">
        <v>386</v>
      </c>
      <c r="H539" s="35" t="s">
        <v>2453</v>
      </c>
      <c r="I539" s="35" t="s">
        <v>2446</v>
      </c>
      <c r="J539" s="35">
        <v>20</v>
      </c>
      <c r="K539" s="35">
        <f>VALUE(COUNTIF(Validation!$A$2:$H$47,E539))</f>
        <v>0</v>
      </c>
      <c r="L539" s="361">
        <f t="shared" si="98"/>
        <v>1124166</v>
      </c>
      <c r="M539" s="361">
        <f t="shared" si="99"/>
        <v>1124166</v>
      </c>
      <c r="N539" s="358">
        <v>1124166</v>
      </c>
      <c r="O539" s="358">
        <v>1124166</v>
      </c>
      <c r="P539" s="358" t="s">
        <v>8</v>
      </c>
      <c r="Q539" s="358">
        <v>0</v>
      </c>
      <c r="R539" s="358">
        <v>0</v>
      </c>
      <c r="S539" s="358">
        <v>0</v>
      </c>
      <c r="T539" s="358">
        <v>0</v>
      </c>
      <c r="U539" s="35">
        <f t="shared" si="100"/>
        <v>2</v>
      </c>
      <c r="W539">
        <f t="shared" si="101"/>
        <v>1</v>
      </c>
      <c r="X539" s="35">
        <f t="shared" si="102"/>
        <v>1</v>
      </c>
      <c r="Y539">
        <f t="shared" si="103"/>
        <v>1</v>
      </c>
      <c r="AB539">
        <f t="shared" si="106"/>
        <v>1</v>
      </c>
      <c r="AC539">
        <f t="shared" ca="1" si="107"/>
        <v>0</v>
      </c>
      <c r="AD539" t="str">
        <f ca="1">IF(AC539=1,COUNTIF($AC$3:AC539,1),"")</f>
        <v/>
      </c>
      <c r="AE539" s="155" t="str">
        <f ca="1">IFERROR(INDEX(Données!$B$3:$B$1479,MATCH(ROWS($AD$3:AD539),$AD$3:$AD$1479,0)),"")</f>
        <v/>
      </c>
    </row>
    <row r="540" spans="1:31" ht="15.75" x14ac:dyDescent="0.25">
      <c r="A540" t="str">
        <f t="shared" si="104"/>
        <v>Josh Archibald - EDM - AD</v>
      </c>
      <c r="B540" t="str">
        <f t="shared" si="105"/>
        <v>Josh Archibald - EDM - AD</v>
      </c>
      <c r="C540" t="str">
        <f t="shared" si="96"/>
        <v>Josh</v>
      </c>
      <c r="D540" t="str">
        <f t="shared" si="97"/>
        <v>Archibald</v>
      </c>
      <c r="E540" s="39" t="s">
        <v>2720</v>
      </c>
      <c r="F540" s="30" t="s">
        <v>18</v>
      </c>
      <c r="G540" s="35">
        <v>0</v>
      </c>
      <c r="H540" s="9" t="s">
        <v>2438</v>
      </c>
      <c r="I540" s="9" t="s">
        <v>2439</v>
      </c>
      <c r="J540" s="9">
        <v>26</v>
      </c>
      <c r="K540" s="35">
        <f>VALUE(COUNTIF(Validation!$A$2:$H$47,E540))</f>
        <v>0</v>
      </c>
      <c r="L540" s="361">
        <f t="shared" si="98"/>
        <v>1000000</v>
      </c>
      <c r="M540" s="361">
        <f t="shared" si="99"/>
        <v>0</v>
      </c>
      <c r="N540" s="358">
        <v>1000000</v>
      </c>
      <c r="O540" s="358" t="s">
        <v>7</v>
      </c>
      <c r="P540" s="358">
        <v>0</v>
      </c>
      <c r="Q540" s="358">
        <v>0</v>
      </c>
      <c r="R540" s="358">
        <v>0</v>
      </c>
      <c r="S540" s="358">
        <v>0</v>
      </c>
      <c r="T540" s="358">
        <v>0</v>
      </c>
      <c r="U540" s="35">
        <f t="shared" si="100"/>
        <v>1</v>
      </c>
      <c r="W540">
        <f t="shared" si="101"/>
        <v>1</v>
      </c>
      <c r="X540" s="35">
        <f t="shared" si="102"/>
        <v>0</v>
      </c>
      <c r="Y540">
        <f t="shared" si="103"/>
        <v>0</v>
      </c>
      <c r="AB540">
        <f t="shared" si="106"/>
        <v>1</v>
      </c>
      <c r="AC540">
        <f t="shared" ca="1" si="107"/>
        <v>0</v>
      </c>
      <c r="AD540" t="str">
        <f ca="1">IF(AC540=1,COUNTIF($AC$3:AC540,1),"")</f>
        <v/>
      </c>
      <c r="AE540" s="155" t="str">
        <f ca="1">IFERROR(INDEX(Données!$B$3:$B$1479,MATCH(ROWS($AD$3:AD540),$AD$3:$AD$1479,0)),"")</f>
        <v/>
      </c>
    </row>
    <row r="541" spans="1:31" ht="15.75" x14ac:dyDescent="0.25">
      <c r="A541" t="str">
        <f t="shared" si="104"/>
        <v>Cooper Marody - EDM - C, AD</v>
      </c>
      <c r="B541" t="str">
        <f t="shared" si="105"/>
        <v>Cooper Marody - EDM - C, AD</v>
      </c>
      <c r="C541" t="str">
        <f t="shared" si="96"/>
        <v>Cooper</v>
      </c>
      <c r="D541" t="str">
        <f t="shared" si="97"/>
        <v>Marody</v>
      </c>
      <c r="E541" s="39" t="s">
        <v>2232</v>
      </c>
      <c r="F541" s="30" t="s">
        <v>18</v>
      </c>
      <c r="G541" s="35" t="s">
        <v>386</v>
      </c>
      <c r="H541" s="35" t="s">
        <v>2448</v>
      </c>
      <c r="I541" s="35" t="s">
        <v>2446</v>
      </c>
      <c r="J541" s="35">
        <v>22</v>
      </c>
      <c r="K541" s="35">
        <f>VALUE(COUNTIF(Validation!$A$2:$H$47,E541))</f>
        <v>0</v>
      </c>
      <c r="L541" s="361">
        <f t="shared" si="98"/>
        <v>1000000</v>
      </c>
      <c r="M541" s="361">
        <f t="shared" si="99"/>
        <v>1000000</v>
      </c>
      <c r="N541" s="358">
        <v>1000000</v>
      </c>
      <c r="O541" s="358">
        <v>1000000</v>
      </c>
      <c r="P541" s="358" t="s">
        <v>8</v>
      </c>
      <c r="Q541" s="358">
        <v>0</v>
      </c>
      <c r="R541" s="358">
        <v>0</v>
      </c>
      <c r="S541" s="358">
        <v>0</v>
      </c>
      <c r="T541" s="358">
        <v>0</v>
      </c>
      <c r="U541" s="35">
        <f t="shared" si="100"/>
        <v>2</v>
      </c>
      <c r="W541">
        <f t="shared" si="101"/>
        <v>1</v>
      </c>
      <c r="X541" s="35">
        <f t="shared" si="102"/>
        <v>1</v>
      </c>
      <c r="Y541">
        <f t="shared" si="103"/>
        <v>1</v>
      </c>
      <c r="AB541">
        <f t="shared" si="106"/>
        <v>1</v>
      </c>
      <c r="AC541">
        <f t="shared" ca="1" si="107"/>
        <v>0</v>
      </c>
      <c r="AD541" t="str">
        <f ca="1">IF(AC541=1,COUNTIF($AC$3:AC541,1),"")</f>
        <v/>
      </c>
      <c r="AE541" s="155" t="str">
        <f ca="1">IFERROR(INDEX(Données!$B$3:$B$1479,MATCH(ROWS($AD$3:AD541),$AD$3:$AD$1479,0)),"")</f>
        <v/>
      </c>
    </row>
    <row r="542" spans="1:31" ht="15.75" x14ac:dyDescent="0.25">
      <c r="A542" t="str">
        <f t="shared" si="104"/>
        <v>Joel Persson - EDM - DD</v>
      </c>
      <c r="B542" t="str">
        <f t="shared" si="105"/>
        <v>Joel Persson - EDM - DD</v>
      </c>
      <c r="C542" t="str">
        <f t="shared" si="96"/>
        <v>Joel</v>
      </c>
      <c r="D542" t="str">
        <f t="shared" si="97"/>
        <v>Persson</v>
      </c>
      <c r="E542" s="39" t="s">
        <v>2231</v>
      </c>
      <c r="F542" s="30" t="s">
        <v>18</v>
      </c>
      <c r="G542" s="35">
        <v>0</v>
      </c>
      <c r="H542" s="9" t="s">
        <v>2444</v>
      </c>
      <c r="I542" s="9" t="s">
        <v>2439</v>
      </c>
      <c r="J542" s="9">
        <v>25</v>
      </c>
      <c r="K542" s="35">
        <f>VALUE(COUNTIF(Validation!$A$2:$H$47,E542))</f>
        <v>0</v>
      </c>
      <c r="L542" s="361">
        <f t="shared" si="98"/>
        <v>1000000</v>
      </c>
      <c r="M542" s="361">
        <f t="shared" si="99"/>
        <v>0</v>
      </c>
      <c r="N542" s="358">
        <v>1000000</v>
      </c>
      <c r="O542" s="358" t="s">
        <v>8</v>
      </c>
      <c r="P542" s="358">
        <v>0</v>
      </c>
      <c r="Q542" s="358">
        <v>0</v>
      </c>
      <c r="R542" s="358">
        <v>0</v>
      </c>
      <c r="S542" s="358">
        <v>0</v>
      </c>
      <c r="T542" s="358">
        <v>0</v>
      </c>
      <c r="U542" s="35">
        <f t="shared" si="100"/>
        <v>1</v>
      </c>
      <c r="W542">
        <f t="shared" si="101"/>
        <v>1</v>
      </c>
      <c r="X542" s="35">
        <f t="shared" si="102"/>
        <v>0</v>
      </c>
      <c r="Y542">
        <f t="shared" si="103"/>
        <v>0</v>
      </c>
      <c r="AB542">
        <f t="shared" si="106"/>
        <v>1</v>
      </c>
      <c r="AC542">
        <f t="shared" ca="1" si="107"/>
        <v>0</v>
      </c>
      <c r="AD542" t="str">
        <f ca="1">IF(AC542=1,COUNTIF($AC$3:AC542,1),"")</f>
        <v/>
      </c>
      <c r="AE542" s="155" t="str">
        <f ca="1">IFERROR(INDEX(Données!$B$3:$B$1479,MATCH(ROWS($AD$3:AD542),$AD$3:$AD$1479,0)),"")</f>
        <v/>
      </c>
    </row>
    <row r="543" spans="1:31" ht="15.75" x14ac:dyDescent="0.25">
      <c r="A543" t="str">
        <f t="shared" si="104"/>
        <v>Cameron Hebig - EDM - C</v>
      </c>
      <c r="B543" t="str">
        <f t="shared" si="105"/>
        <v>Cameron Hebig - EDM - C</v>
      </c>
      <c r="C543" t="str">
        <f t="shared" si="96"/>
        <v>Cameron</v>
      </c>
      <c r="D543" t="str">
        <f t="shared" si="97"/>
        <v>Hebig</v>
      </c>
      <c r="E543" s="39" t="s">
        <v>2243</v>
      </c>
      <c r="F543" s="30" t="s">
        <v>18</v>
      </c>
      <c r="G543" s="35" t="s">
        <v>386</v>
      </c>
      <c r="H543" s="35" t="s">
        <v>73</v>
      </c>
      <c r="I543" s="35" t="s">
        <v>2446</v>
      </c>
      <c r="J543" s="35">
        <v>22</v>
      </c>
      <c r="K543" s="35">
        <f>VALUE(COUNTIF(Validation!$A$2:$H$47,E543))</f>
        <v>0</v>
      </c>
      <c r="L543" s="361">
        <f t="shared" si="98"/>
        <v>925000</v>
      </c>
      <c r="M543" s="361">
        <f t="shared" si="99"/>
        <v>0</v>
      </c>
      <c r="N543" s="358">
        <v>925000</v>
      </c>
      <c r="O543" s="358" t="s">
        <v>8</v>
      </c>
      <c r="P543" s="358">
        <v>0</v>
      </c>
      <c r="Q543" s="358">
        <v>0</v>
      </c>
      <c r="R543" s="358">
        <v>0</v>
      </c>
      <c r="S543" s="358">
        <v>0</v>
      </c>
      <c r="T543" s="358">
        <v>0</v>
      </c>
      <c r="U543" s="35">
        <f t="shared" si="100"/>
        <v>1</v>
      </c>
      <c r="W543">
        <f t="shared" si="101"/>
        <v>1</v>
      </c>
      <c r="X543" s="35">
        <f t="shared" si="102"/>
        <v>1</v>
      </c>
      <c r="Y543">
        <f t="shared" si="103"/>
        <v>0</v>
      </c>
      <c r="AB543">
        <f t="shared" si="106"/>
        <v>1</v>
      </c>
      <c r="AC543">
        <f t="shared" ca="1" si="107"/>
        <v>0</v>
      </c>
      <c r="AD543" t="str">
        <f ca="1">IF(AC543=1,COUNTIF($AC$3:AC543,1),"")</f>
        <v/>
      </c>
      <c r="AE543" s="155" t="str">
        <f ca="1">IFERROR(INDEX(Données!$B$3:$B$1479,MATCH(ROWS($AD$3:AD543),$AD$3:$AD$1479,0)),"")</f>
        <v/>
      </c>
    </row>
    <row r="544" spans="1:31" ht="15.75" x14ac:dyDescent="0.25">
      <c r="A544" t="str">
        <f t="shared" si="104"/>
        <v>Ryan Mantha - EDM - DD</v>
      </c>
      <c r="B544" t="str">
        <f t="shared" si="105"/>
        <v>Ryan Mantha - EDM - DD</v>
      </c>
      <c r="C544" t="str">
        <f t="shared" si="96"/>
        <v>Ryan</v>
      </c>
      <c r="D544" t="str">
        <f t="shared" si="97"/>
        <v>Mantha</v>
      </c>
      <c r="E544" s="39" t="s">
        <v>2235</v>
      </c>
      <c r="F544" s="30" t="s">
        <v>18</v>
      </c>
      <c r="G544" s="35" t="s">
        <v>386</v>
      </c>
      <c r="H544" s="35" t="s">
        <v>2444</v>
      </c>
      <c r="I544" s="35" t="s">
        <v>2446</v>
      </c>
      <c r="J544" s="35">
        <v>23</v>
      </c>
      <c r="K544" s="35">
        <f>VALUE(COUNTIF(Validation!$A$2:$H$47,E544))</f>
        <v>0</v>
      </c>
      <c r="L544" s="361">
        <f t="shared" si="98"/>
        <v>925000</v>
      </c>
      <c r="M544" s="361">
        <f t="shared" si="99"/>
        <v>0</v>
      </c>
      <c r="N544" s="358">
        <v>925000</v>
      </c>
      <c r="O544" s="358" t="s">
        <v>8</v>
      </c>
      <c r="P544" s="358">
        <v>0</v>
      </c>
      <c r="Q544" s="358">
        <v>0</v>
      </c>
      <c r="R544" s="358">
        <v>0</v>
      </c>
      <c r="S544" s="358">
        <v>0</v>
      </c>
      <c r="T544" s="358">
        <v>0</v>
      </c>
      <c r="U544" s="35">
        <f t="shared" si="100"/>
        <v>1</v>
      </c>
      <c r="W544">
        <f t="shared" si="101"/>
        <v>1</v>
      </c>
      <c r="X544" s="35">
        <f t="shared" si="102"/>
        <v>1</v>
      </c>
      <c r="Y544">
        <f t="shared" si="103"/>
        <v>0</v>
      </c>
      <c r="AB544">
        <f t="shared" si="106"/>
        <v>1</v>
      </c>
      <c r="AC544">
        <f t="shared" ca="1" si="107"/>
        <v>0</v>
      </c>
      <c r="AD544" t="str">
        <f ca="1">IF(AC544=1,COUNTIF($AC$3:AC544,1),"")</f>
        <v/>
      </c>
      <c r="AE544" s="155" t="str">
        <f ca="1">IFERROR(INDEX(Données!$B$3:$B$1479,MATCH(ROWS($AD$3:AD544),$AD$3:$AD$1479,0)),"")</f>
        <v/>
      </c>
    </row>
    <row r="545" spans="1:31" ht="15.75" x14ac:dyDescent="0.25">
      <c r="A545" t="str">
        <f t="shared" si="104"/>
        <v>Ryan McLeod - EDM - C</v>
      </c>
      <c r="B545" t="str">
        <f t="shared" si="105"/>
        <v>Ryan McLeod - EDM - C</v>
      </c>
      <c r="C545" t="str">
        <f t="shared" si="96"/>
        <v>Ryan</v>
      </c>
      <c r="D545" t="str">
        <f t="shared" si="97"/>
        <v>McLeod</v>
      </c>
      <c r="E545" s="39" t="s">
        <v>2500</v>
      </c>
      <c r="F545" s="30" t="s">
        <v>18</v>
      </c>
      <c r="G545" s="35" t="s">
        <v>386</v>
      </c>
      <c r="H545" s="35" t="s">
        <v>73</v>
      </c>
      <c r="I545" s="35" t="s">
        <v>2446</v>
      </c>
      <c r="J545" s="35">
        <v>19</v>
      </c>
      <c r="K545" s="35">
        <f>VALUE(COUNTIF(Validation!$A$2:$H$47,E545))</f>
        <v>0</v>
      </c>
      <c r="L545" s="361">
        <f t="shared" si="98"/>
        <v>925000</v>
      </c>
      <c r="M545" s="361">
        <f t="shared" si="99"/>
        <v>925000</v>
      </c>
      <c r="N545" s="358">
        <v>925000</v>
      </c>
      <c r="O545" s="358">
        <v>925000</v>
      </c>
      <c r="P545" s="358">
        <v>925000</v>
      </c>
      <c r="Q545" s="358" t="s">
        <v>8</v>
      </c>
      <c r="R545" s="358">
        <v>0</v>
      </c>
      <c r="S545" s="358">
        <v>0</v>
      </c>
      <c r="T545" s="358">
        <v>0</v>
      </c>
      <c r="U545" s="35">
        <f t="shared" si="100"/>
        <v>3</v>
      </c>
      <c r="W545">
        <f t="shared" si="101"/>
        <v>1</v>
      </c>
      <c r="X545" s="35">
        <f t="shared" si="102"/>
        <v>1</v>
      </c>
      <c r="Y545">
        <f t="shared" si="103"/>
        <v>1</v>
      </c>
      <c r="AB545">
        <f t="shared" si="106"/>
        <v>1</v>
      </c>
      <c r="AC545">
        <f t="shared" ca="1" si="107"/>
        <v>0</v>
      </c>
      <c r="AD545" t="str">
        <f ca="1">IF(AC545=1,COUNTIF($AC$3:AC545,1),"")</f>
        <v/>
      </c>
      <c r="AE545" s="155" t="str">
        <f ca="1">IFERROR(INDEX(Données!$B$3:$B$1479,MATCH(ROWS($AD$3:AD545),$AD$3:$AD$1479,0)),"")</f>
        <v/>
      </c>
    </row>
    <row r="546" spans="1:31" ht="15.75" x14ac:dyDescent="0.25">
      <c r="A546" t="str">
        <f t="shared" si="104"/>
        <v>Joakim Nygard - EDM - AG</v>
      </c>
      <c r="B546" t="str">
        <f t="shared" si="105"/>
        <v>Joakim Nygard - EDM - AG</v>
      </c>
      <c r="C546" t="str">
        <f t="shared" si="96"/>
        <v>Joakim</v>
      </c>
      <c r="D546" t="str">
        <f t="shared" si="97"/>
        <v>Nygard</v>
      </c>
      <c r="E546" s="39" t="s">
        <v>2911</v>
      </c>
      <c r="F546" s="30" t="s">
        <v>18</v>
      </c>
      <c r="G546" s="35" t="s">
        <v>386</v>
      </c>
      <c r="H546" s="35" t="s">
        <v>2440</v>
      </c>
      <c r="I546" s="35" t="s">
        <v>2439</v>
      </c>
      <c r="J546" s="35">
        <v>26</v>
      </c>
      <c r="K546" s="35">
        <f>VALUE(COUNTIF(Validation!$A$2:$H$47,E546))</f>
        <v>0</v>
      </c>
      <c r="L546" s="361">
        <f t="shared" si="98"/>
        <v>925000</v>
      </c>
      <c r="M546" s="361">
        <f t="shared" si="99"/>
        <v>0</v>
      </c>
      <c r="N546" s="358">
        <v>925000</v>
      </c>
      <c r="O546" s="358" t="s">
        <v>7</v>
      </c>
      <c r="P546" s="358">
        <v>0</v>
      </c>
      <c r="Q546" s="358">
        <v>0</v>
      </c>
      <c r="R546" s="358">
        <v>0</v>
      </c>
      <c r="S546" s="358">
        <v>0</v>
      </c>
      <c r="T546" s="358">
        <v>0</v>
      </c>
      <c r="U546" s="35">
        <f t="shared" si="100"/>
        <v>1</v>
      </c>
      <c r="W546">
        <f t="shared" si="101"/>
        <v>1</v>
      </c>
      <c r="X546" s="35">
        <f t="shared" si="102"/>
        <v>1</v>
      </c>
      <c r="Y546">
        <f t="shared" si="103"/>
        <v>0</v>
      </c>
      <c r="AB546">
        <f t="shared" si="106"/>
        <v>1</v>
      </c>
      <c r="AC546">
        <f t="shared" ca="1" si="107"/>
        <v>0</v>
      </c>
      <c r="AD546" t="str">
        <f ca="1">IF(AC546=1,COUNTIF($AC$3:AC546,1),"")</f>
        <v/>
      </c>
      <c r="AE546" s="155" t="str">
        <f ca="1">IFERROR(INDEX(Données!$B$3:$B$1479,MATCH(ROWS($AD$3:AD546),$AD$3:$AD$1479,0)),"")</f>
        <v/>
      </c>
    </row>
    <row r="547" spans="1:31" ht="15.75" x14ac:dyDescent="0.25">
      <c r="A547" t="str">
        <f t="shared" si="104"/>
        <v>Olivier Rodrigue - EDM - G</v>
      </c>
      <c r="B547" t="str">
        <f t="shared" si="105"/>
        <v>Olivier Rodrigue - EDM - G</v>
      </c>
      <c r="C547" t="str">
        <f t="shared" si="96"/>
        <v>Olivier</v>
      </c>
      <c r="D547" t="str">
        <f t="shared" si="97"/>
        <v>Rodrigue</v>
      </c>
      <c r="E547" s="39" t="s">
        <v>2502</v>
      </c>
      <c r="F547" s="30" t="s">
        <v>18</v>
      </c>
      <c r="G547" s="35" t="s">
        <v>388</v>
      </c>
      <c r="H547" s="35" t="s">
        <v>127</v>
      </c>
      <c r="I547" s="35" t="s">
        <v>389</v>
      </c>
      <c r="J547" s="35">
        <v>19</v>
      </c>
      <c r="K547" s="35">
        <f>VALUE(COUNTIF(Validation!$A$2:$H$47,E547))</f>
        <v>0</v>
      </c>
      <c r="L547" s="361">
        <f t="shared" si="98"/>
        <v>925000</v>
      </c>
      <c r="M547" s="361">
        <f t="shared" si="99"/>
        <v>925000</v>
      </c>
      <c r="N547" s="358">
        <v>925000</v>
      </c>
      <c r="O547" s="358">
        <v>925000</v>
      </c>
      <c r="P547" s="358">
        <v>925000</v>
      </c>
      <c r="Q547" s="358" t="s">
        <v>8</v>
      </c>
      <c r="R547" s="358">
        <v>0</v>
      </c>
      <c r="S547" s="358">
        <v>0</v>
      </c>
      <c r="T547" s="358">
        <v>0</v>
      </c>
      <c r="U547" s="35">
        <f t="shared" si="100"/>
        <v>3</v>
      </c>
      <c r="W547">
        <f t="shared" si="101"/>
        <v>1</v>
      </c>
      <c r="X547" s="35">
        <f t="shared" si="102"/>
        <v>1</v>
      </c>
      <c r="Y547">
        <f t="shared" si="103"/>
        <v>1</v>
      </c>
      <c r="AB547">
        <f t="shared" si="106"/>
        <v>1</v>
      </c>
      <c r="AC547">
        <f t="shared" ca="1" si="107"/>
        <v>0</v>
      </c>
      <c r="AD547" t="str">
        <f ca="1">IF(AC547=1,COUNTIF($AC$3:AC547,1),"")</f>
        <v/>
      </c>
      <c r="AE547" s="155" t="str">
        <f ca="1">IFERROR(INDEX(Données!$B$3:$B$1479,MATCH(ROWS($AD$3:AD547),$AD$3:$AD$1479,0)),"")</f>
        <v/>
      </c>
    </row>
    <row r="548" spans="1:31" ht="15.75" x14ac:dyDescent="0.25">
      <c r="A548" t="str">
        <f t="shared" si="104"/>
        <v>Stuart Skinner - EDM - G</v>
      </c>
      <c r="B548" t="str">
        <f t="shared" si="105"/>
        <v>Stuart Skinner - EDM - G</v>
      </c>
      <c r="C548" t="str">
        <f t="shared" si="96"/>
        <v>Stuart</v>
      </c>
      <c r="D548" t="str">
        <f t="shared" si="97"/>
        <v>Skinner</v>
      </c>
      <c r="E548" s="39" t="s">
        <v>2240</v>
      </c>
      <c r="F548" s="30" t="s">
        <v>18</v>
      </c>
      <c r="G548" s="35" t="s">
        <v>386</v>
      </c>
      <c r="H548" s="35" t="s">
        <v>127</v>
      </c>
      <c r="I548" s="35" t="s">
        <v>2446</v>
      </c>
      <c r="J548" s="35">
        <v>20</v>
      </c>
      <c r="K548" s="35">
        <f>VALUE(COUNTIF(Validation!$A$2:$H$47,E548))</f>
        <v>0</v>
      </c>
      <c r="L548" s="361">
        <f t="shared" si="98"/>
        <v>925000</v>
      </c>
      <c r="M548" s="361">
        <f t="shared" si="99"/>
        <v>925000</v>
      </c>
      <c r="N548" s="358">
        <v>925000</v>
      </c>
      <c r="O548" s="358">
        <v>925000</v>
      </c>
      <c r="P548" s="358" t="s">
        <v>8</v>
      </c>
      <c r="Q548" s="358">
        <v>0</v>
      </c>
      <c r="R548" s="358">
        <v>0</v>
      </c>
      <c r="S548" s="358">
        <v>0</v>
      </c>
      <c r="T548" s="358">
        <v>0</v>
      </c>
      <c r="U548" s="35">
        <f t="shared" si="100"/>
        <v>2</v>
      </c>
      <c r="W548">
        <f t="shared" si="101"/>
        <v>1</v>
      </c>
      <c r="X548" s="35">
        <f t="shared" si="102"/>
        <v>1</v>
      </c>
      <c r="Y548">
        <f t="shared" si="103"/>
        <v>1</v>
      </c>
      <c r="AB548">
        <f t="shared" si="106"/>
        <v>1</v>
      </c>
      <c r="AC548">
        <f t="shared" ca="1" si="107"/>
        <v>0</v>
      </c>
      <c r="AD548" t="str">
        <f ca="1">IF(AC548=1,COUNTIF($AC$3:AC548,1),"")</f>
        <v/>
      </c>
      <c r="AE548" s="155" t="str">
        <f ca="1">IFERROR(INDEX(Données!$B$3:$B$1479,MATCH(ROWS($AD$3:AD548),$AD$3:$AD$1479,0)),"")</f>
        <v/>
      </c>
    </row>
    <row r="549" spans="1:31" ht="15.75" x14ac:dyDescent="0.25">
      <c r="A549" t="str">
        <f t="shared" si="104"/>
        <v>Nolan Vesey - EDM - AG</v>
      </c>
      <c r="B549" t="str">
        <f t="shared" si="105"/>
        <v>Nolan Vesey - EDM - AG</v>
      </c>
      <c r="C549" t="str">
        <f t="shared" si="96"/>
        <v>Nolan</v>
      </c>
      <c r="D549" t="str">
        <f t="shared" si="97"/>
        <v>Vesey</v>
      </c>
      <c r="E549" s="39" t="s">
        <v>2238</v>
      </c>
      <c r="F549" s="30" t="s">
        <v>18</v>
      </c>
      <c r="G549" s="35" t="s">
        <v>386</v>
      </c>
      <c r="H549" s="35" t="s">
        <v>2440</v>
      </c>
      <c r="I549" s="35" t="s">
        <v>2446</v>
      </c>
      <c r="J549" s="35">
        <v>24</v>
      </c>
      <c r="K549" s="35">
        <f>VALUE(COUNTIF(Validation!$A$2:$H$47,E549))</f>
        <v>0</v>
      </c>
      <c r="L549" s="361">
        <f t="shared" si="98"/>
        <v>925000</v>
      </c>
      <c r="M549" s="361">
        <f t="shared" si="99"/>
        <v>0</v>
      </c>
      <c r="N549" s="358">
        <v>925000</v>
      </c>
      <c r="O549" s="358" t="s">
        <v>8</v>
      </c>
      <c r="P549" s="358">
        <v>0</v>
      </c>
      <c r="Q549" s="358">
        <v>0</v>
      </c>
      <c r="R549" s="358">
        <v>0</v>
      </c>
      <c r="S549" s="358">
        <v>0</v>
      </c>
      <c r="T549" s="358">
        <v>0</v>
      </c>
      <c r="U549" s="35">
        <f t="shared" si="100"/>
        <v>1</v>
      </c>
      <c r="W549">
        <f t="shared" si="101"/>
        <v>1</v>
      </c>
      <c r="X549" s="35">
        <f t="shared" si="102"/>
        <v>1</v>
      </c>
      <c r="Y549">
        <f t="shared" si="103"/>
        <v>0</v>
      </c>
      <c r="AB549">
        <f t="shared" si="106"/>
        <v>1</v>
      </c>
      <c r="AC549">
        <f t="shared" ca="1" si="107"/>
        <v>0</v>
      </c>
      <c r="AD549" t="str">
        <f ca="1">IF(AC549=1,COUNTIF($AC$3:AC549,1),"")</f>
        <v/>
      </c>
      <c r="AE549" s="155" t="str">
        <f ca="1">IFERROR(INDEX(Données!$B$3:$B$1479,MATCH(ROWS($AD$3:AD549),$AD$3:$AD$1479,0)),"")</f>
        <v/>
      </c>
    </row>
    <row r="550" spans="1:31" ht="15.75" x14ac:dyDescent="0.25">
      <c r="A550" t="str">
        <f t="shared" si="104"/>
        <v>Dylan Wells - EDM - G</v>
      </c>
      <c r="B550" t="str">
        <f t="shared" si="105"/>
        <v>Dylan Wells - EDM - G</v>
      </c>
      <c r="C550" t="str">
        <f t="shared" si="96"/>
        <v>Dylan</v>
      </c>
      <c r="D550" t="str">
        <f t="shared" si="97"/>
        <v>Wells</v>
      </c>
      <c r="E550" s="39" t="s">
        <v>2244</v>
      </c>
      <c r="F550" s="30" t="s">
        <v>18</v>
      </c>
      <c r="G550" s="35" t="s">
        <v>386</v>
      </c>
      <c r="H550" s="9" t="s">
        <v>127</v>
      </c>
      <c r="I550" s="9" t="s">
        <v>2446</v>
      </c>
      <c r="J550" s="9">
        <v>21</v>
      </c>
      <c r="K550" s="35">
        <f>VALUE(COUNTIF(Validation!$A$2:$H$47,E550))</f>
        <v>0</v>
      </c>
      <c r="L550" s="361">
        <f t="shared" si="98"/>
        <v>910833</v>
      </c>
      <c r="M550" s="361">
        <f t="shared" si="99"/>
        <v>910833</v>
      </c>
      <c r="N550" s="358">
        <v>910833</v>
      </c>
      <c r="O550" s="358">
        <v>910833</v>
      </c>
      <c r="P550" s="358" t="s">
        <v>8</v>
      </c>
      <c r="Q550" s="358">
        <v>0</v>
      </c>
      <c r="R550" s="358">
        <v>0</v>
      </c>
      <c r="S550" s="358">
        <v>0</v>
      </c>
      <c r="T550" s="358">
        <v>0</v>
      </c>
      <c r="U550" s="35">
        <f t="shared" si="100"/>
        <v>2</v>
      </c>
      <c r="W550">
        <f t="shared" si="101"/>
        <v>1</v>
      </c>
      <c r="X550" s="35">
        <f t="shared" si="102"/>
        <v>1</v>
      </c>
      <c r="Y550">
        <f t="shared" si="103"/>
        <v>1</v>
      </c>
      <c r="AB550">
        <f t="shared" si="106"/>
        <v>1</v>
      </c>
      <c r="AC550">
        <f t="shared" ca="1" si="107"/>
        <v>0</v>
      </c>
      <c r="AD550" t="str">
        <f ca="1">IF(AC550=1,COUNTIF($AC$3:AC550,1),"")</f>
        <v/>
      </c>
      <c r="AE550" s="155" t="str">
        <f ca="1">IFERROR(INDEX(Données!$B$3:$B$1479,MATCH(ROWS($AD$3:AD550),$AD$3:$AD$1479,0)),"")</f>
        <v/>
      </c>
    </row>
    <row r="551" spans="1:31" ht="15.75" x14ac:dyDescent="0.25">
      <c r="A551" t="str">
        <f t="shared" si="104"/>
        <v>Kirill Maksimov - EDM - AD</v>
      </c>
      <c r="B551" t="str">
        <f t="shared" si="105"/>
        <v>Kirill Maksimov - EDM - AD</v>
      </c>
      <c r="C551" t="str">
        <f t="shared" si="96"/>
        <v>Kirill</v>
      </c>
      <c r="D551" t="str">
        <f t="shared" si="97"/>
        <v>Maksimov</v>
      </c>
      <c r="E551" s="39" t="s">
        <v>2241</v>
      </c>
      <c r="F551" s="30" t="s">
        <v>18</v>
      </c>
      <c r="G551" s="35" t="s">
        <v>386</v>
      </c>
      <c r="H551" s="9" t="s">
        <v>2438</v>
      </c>
      <c r="I551" s="9" t="s">
        <v>2446</v>
      </c>
      <c r="J551" s="9">
        <v>20</v>
      </c>
      <c r="K551" s="35">
        <f>VALUE(COUNTIF(Validation!$A$2:$H$47,E551))</f>
        <v>0</v>
      </c>
      <c r="L551" s="361">
        <f t="shared" si="98"/>
        <v>879167</v>
      </c>
      <c r="M551" s="361">
        <f t="shared" si="99"/>
        <v>879167</v>
      </c>
      <c r="N551" s="358">
        <v>879167</v>
      </c>
      <c r="O551" s="358">
        <v>879167</v>
      </c>
      <c r="P551" s="358">
        <v>879167</v>
      </c>
      <c r="Q551" s="358" t="s">
        <v>8</v>
      </c>
      <c r="R551" s="358">
        <v>0</v>
      </c>
      <c r="S551" s="358">
        <v>0</v>
      </c>
      <c r="T551" s="358">
        <v>0</v>
      </c>
      <c r="U551" s="35">
        <f t="shared" si="100"/>
        <v>3</v>
      </c>
      <c r="W551">
        <f t="shared" si="101"/>
        <v>1</v>
      </c>
      <c r="X551" s="35">
        <f t="shared" si="102"/>
        <v>1</v>
      </c>
      <c r="Y551">
        <f t="shared" si="103"/>
        <v>1</v>
      </c>
      <c r="AB551">
        <f t="shared" si="106"/>
        <v>1</v>
      </c>
      <c r="AC551">
        <f t="shared" ca="1" si="107"/>
        <v>0</v>
      </c>
      <c r="AD551" t="str">
        <f ca="1">IF(AC551=1,COUNTIF($AC$3:AC551,1),"")</f>
        <v/>
      </c>
      <c r="AE551" s="155" t="str">
        <f ca="1">IFERROR(INDEX(Données!$B$3:$B$1479,MATCH(ROWS($AD$3:AD551),$AD$3:$AD$1479,0)),"")</f>
        <v/>
      </c>
    </row>
    <row r="552" spans="1:31" ht="15.75" x14ac:dyDescent="0.25">
      <c r="A552" t="str">
        <f t="shared" si="104"/>
        <v>Ostap Safin - EDM - AD, AG</v>
      </c>
      <c r="B552" t="str">
        <f t="shared" si="105"/>
        <v>Ostap Safin - EDM - AD, AG</v>
      </c>
      <c r="C552" t="str">
        <f t="shared" si="96"/>
        <v>Ostap</v>
      </c>
      <c r="D552" t="str">
        <f t="shared" si="97"/>
        <v>Safin</v>
      </c>
      <c r="E552" s="39" t="s">
        <v>2242</v>
      </c>
      <c r="F552" s="30" t="s">
        <v>18</v>
      </c>
      <c r="G552" s="35" t="s">
        <v>386</v>
      </c>
      <c r="H552" s="35" t="s">
        <v>2441</v>
      </c>
      <c r="I552" s="35" t="s">
        <v>2446</v>
      </c>
      <c r="J552" s="35">
        <v>20</v>
      </c>
      <c r="K552" s="35">
        <f>VALUE(COUNTIF(Validation!$A$2:$H$47,E552))</f>
        <v>0</v>
      </c>
      <c r="L552" s="361">
        <f t="shared" si="98"/>
        <v>879167</v>
      </c>
      <c r="M552" s="361">
        <f t="shared" si="99"/>
        <v>879167</v>
      </c>
      <c r="N552" s="358">
        <v>879167</v>
      </c>
      <c r="O552" s="358">
        <v>879167</v>
      </c>
      <c r="P552" s="358">
        <v>879167</v>
      </c>
      <c r="Q552" s="358" t="s">
        <v>8</v>
      </c>
      <c r="R552" s="358">
        <v>0</v>
      </c>
      <c r="S552" s="358">
        <v>0</v>
      </c>
      <c r="T552" s="358">
        <v>0</v>
      </c>
      <c r="U552" s="35">
        <f t="shared" si="100"/>
        <v>3</v>
      </c>
      <c r="W552">
        <f t="shared" si="101"/>
        <v>1</v>
      </c>
      <c r="X552" s="35">
        <f t="shared" si="102"/>
        <v>1</v>
      </c>
      <c r="Y552">
        <f t="shared" si="103"/>
        <v>1</v>
      </c>
      <c r="AB552">
        <f t="shared" si="106"/>
        <v>1</v>
      </c>
      <c r="AC552">
        <f t="shared" ca="1" si="107"/>
        <v>0</v>
      </c>
      <c r="AD552" t="str">
        <f ca="1">IF(AC552=1,COUNTIF($AC$3:AC552,1),"")</f>
        <v/>
      </c>
      <c r="AE552" s="155" t="str">
        <f ca="1">IFERROR(INDEX(Données!$B$3:$B$1479,MATCH(ROWS($AD$3:AD552),$AD$3:$AD$1479,0)),"")</f>
        <v/>
      </c>
    </row>
    <row r="553" spans="1:31" ht="15.75" x14ac:dyDescent="0.25">
      <c r="A553" t="str">
        <f t="shared" si="104"/>
        <v>Tyler Benson - EDM - AG</v>
      </c>
      <c r="B553" t="str">
        <f t="shared" si="105"/>
        <v>Tyler Benson - EDM - AG</v>
      </c>
      <c r="C553" t="str">
        <f t="shared" si="96"/>
        <v>Tyler</v>
      </c>
      <c r="D553" t="str">
        <f t="shared" si="97"/>
        <v>Benson</v>
      </c>
      <c r="E553" s="39" t="s">
        <v>2239</v>
      </c>
      <c r="F553" s="30" t="s">
        <v>18</v>
      </c>
      <c r="G553" s="35" t="s">
        <v>386</v>
      </c>
      <c r="H553" s="35" t="s">
        <v>2440</v>
      </c>
      <c r="I553" s="35" t="s">
        <v>2446</v>
      </c>
      <c r="J553" s="35">
        <v>21</v>
      </c>
      <c r="K553" s="35">
        <f>VALUE(COUNTIF(Validation!$A$2:$H$47,E553))</f>
        <v>0</v>
      </c>
      <c r="L553" s="361">
        <f t="shared" si="98"/>
        <v>863333</v>
      </c>
      <c r="M553" s="361">
        <f t="shared" si="99"/>
        <v>863333</v>
      </c>
      <c r="N553" s="358">
        <v>863333</v>
      </c>
      <c r="O553" s="358">
        <v>863333</v>
      </c>
      <c r="P553" s="358" t="s">
        <v>8</v>
      </c>
      <c r="Q553" s="358">
        <v>0</v>
      </c>
      <c r="R553" s="358">
        <v>0</v>
      </c>
      <c r="S553" s="358">
        <v>0</v>
      </c>
      <c r="T553" s="358">
        <v>0</v>
      </c>
      <c r="U553" s="35">
        <f t="shared" si="100"/>
        <v>2</v>
      </c>
      <c r="W553">
        <f t="shared" si="101"/>
        <v>1</v>
      </c>
      <c r="X553" s="35">
        <f t="shared" si="102"/>
        <v>1</v>
      </c>
      <c r="Y553">
        <f t="shared" si="103"/>
        <v>1</v>
      </c>
      <c r="AB553">
        <f t="shared" si="106"/>
        <v>1</v>
      </c>
      <c r="AC553">
        <f t="shared" ca="1" si="107"/>
        <v>0</v>
      </c>
      <c r="AD553" t="str">
        <f ca="1">IF(AC553=1,COUNTIF($AC$3:AC553,1),"")</f>
        <v/>
      </c>
      <c r="AE553" s="155" t="str">
        <f ca="1">IFERROR(INDEX(Données!$B$3:$B$1479,MATCH(ROWS($AD$3:AD553),$AD$3:$AD$1479,0)),"")</f>
        <v/>
      </c>
    </row>
    <row r="554" spans="1:31" ht="15.75" x14ac:dyDescent="0.25">
      <c r="A554" t="str">
        <f t="shared" si="104"/>
        <v>Dmitri Samorukov - EDM - DG</v>
      </c>
      <c r="B554" t="str">
        <f t="shared" si="105"/>
        <v>Dmitri Samorukov - EDM - DG</v>
      </c>
      <c r="C554" t="str">
        <f t="shared" si="96"/>
        <v>Dmitri</v>
      </c>
      <c r="D554" t="str">
        <f t="shared" si="97"/>
        <v>Samorukov</v>
      </c>
      <c r="E554" s="39" t="s">
        <v>2236</v>
      </c>
      <c r="F554" s="30" t="s">
        <v>18</v>
      </c>
      <c r="G554" s="35" t="s">
        <v>386</v>
      </c>
      <c r="H554" s="35" t="s">
        <v>2445</v>
      </c>
      <c r="I554" s="35" t="s">
        <v>2446</v>
      </c>
      <c r="J554" s="35">
        <v>20</v>
      </c>
      <c r="K554" s="35">
        <f>VALUE(COUNTIF(Validation!$A$2:$H$47,E554))</f>
        <v>0</v>
      </c>
      <c r="L554" s="361">
        <f t="shared" si="98"/>
        <v>863333</v>
      </c>
      <c r="M554" s="361">
        <f t="shared" si="99"/>
        <v>863333</v>
      </c>
      <c r="N554" s="358">
        <v>863333</v>
      </c>
      <c r="O554" s="358">
        <v>863333</v>
      </c>
      <c r="P554" s="358">
        <v>863333</v>
      </c>
      <c r="Q554" s="358" t="s">
        <v>8</v>
      </c>
      <c r="R554" s="358">
        <v>0</v>
      </c>
      <c r="S554" s="358">
        <v>0</v>
      </c>
      <c r="T554" s="358">
        <v>0</v>
      </c>
      <c r="U554" s="35">
        <f t="shared" si="100"/>
        <v>3</v>
      </c>
      <c r="W554">
        <f t="shared" si="101"/>
        <v>1</v>
      </c>
      <c r="X554" s="35">
        <f t="shared" si="102"/>
        <v>1</v>
      </c>
      <c r="Y554">
        <f t="shared" si="103"/>
        <v>1</v>
      </c>
      <c r="AB554">
        <f t="shared" si="106"/>
        <v>1</v>
      </c>
      <c r="AC554">
        <f t="shared" ca="1" si="107"/>
        <v>0</v>
      </c>
      <c r="AD554" t="str">
        <f ca="1">IF(AC554=1,COUNTIF($AC$3:AC554,1),"")</f>
        <v/>
      </c>
      <c r="AE554" s="155" t="str">
        <f ca="1">IFERROR(INDEX(Données!$B$3:$B$1479,MATCH(ROWS($AD$3:AD554),$AD$3:$AD$1479,0)),"")</f>
        <v/>
      </c>
    </row>
    <row r="555" spans="1:31" ht="15.75" x14ac:dyDescent="0.25">
      <c r="A555" t="str">
        <f t="shared" si="104"/>
        <v>Caleb Jones - EDM - DG</v>
      </c>
      <c r="B555" t="str">
        <f t="shared" si="105"/>
        <v>Caleb Jones - EDM - DG</v>
      </c>
      <c r="C555" t="str">
        <f t="shared" si="96"/>
        <v>Caleb</v>
      </c>
      <c r="D555" t="str">
        <f t="shared" si="97"/>
        <v>Jones</v>
      </c>
      <c r="E555" s="39" t="s">
        <v>2247</v>
      </c>
      <c r="F555" s="30" t="s">
        <v>18</v>
      </c>
      <c r="G555" s="35" t="s">
        <v>386</v>
      </c>
      <c r="H555" s="35" t="s">
        <v>2445</v>
      </c>
      <c r="I555" s="35" t="s">
        <v>2446</v>
      </c>
      <c r="J555" s="35">
        <v>22</v>
      </c>
      <c r="K555" s="35">
        <f>VALUE(COUNTIF(Validation!$A$2:$H$47,E555))</f>
        <v>0</v>
      </c>
      <c r="L555" s="361">
        <f t="shared" si="98"/>
        <v>815000</v>
      </c>
      <c r="M555" s="361">
        <f t="shared" si="99"/>
        <v>0</v>
      </c>
      <c r="N555" s="358">
        <v>815000</v>
      </c>
      <c r="O555" s="358" t="s">
        <v>8</v>
      </c>
      <c r="P555" s="358">
        <v>0</v>
      </c>
      <c r="Q555" s="358">
        <v>0</v>
      </c>
      <c r="R555" s="358">
        <v>0</v>
      </c>
      <c r="S555" s="358">
        <v>0</v>
      </c>
      <c r="T555" s="358">
        <v>0</v>
      </c>
      <c r="U555" s="35">
        <f t="shared" si="100"/>
        <v>1</v>
      </c>
      <c r="W555">
        <f t="shared" si="101"/>
        <v>1</v>
      </c>
      <c r="X555" s="35">
        <f t="shared" si="102"/>
        <v>1</v>
      </c>
      <c r="Y555">
        <f t="shared" si="103"/>
        <v>0</v>
      </c>
      <c r="AB555">
        <f t="shared" si="106"/>
        <v>1</v>
      </c>
      <c r="AC555">
        <f t="shared" ca="1" si="107"/>
        <v>0</v>
      </c>
      <c r="AD555" t="str">
        <f ca="1">IF(AC555=1,COUNTIF($AC$3:AC555,1),"")</f>
        <v/>
      </c>
      <c r="AE555" s="155" t="str">
        <f ca="1">IFERROR(INDEX(Données!$B$3:$B$1479,MATCH(ROWS($AD$3:AD555),$AD$3:$AD$1479,0)),"")</f>
        <v/>
      </c>
    </row>
    <row r="556" spans="1:31" ht="15.75" x14ac:dyDescent="0.25">
      <c r="A556" t="str">
        <f t="shared" si="104"/>
        <v>Ethan Bear - EDM - DD</v>
      </c>
      <c r="B556" t="str">
        <f t="shared" si="105"/>
        <v>Ethan Bear - EDM - DD</v>
      </c>
      <c r="C556" t="str">
        <f t="shared" si="96"/>
        <v>Ethan</v>
      </c>
      <c r="D556" t="str">
        <f t="shared" si="97"/>
        <v>Bear</v>
      </c>
      <c r="E556" s="39" t="s">
        <v>2248</v>
      </c>
      <c r="F556" s="30" t="s">
        <v>18</v>
      </c>
      <c r="G556" s="35" t="s">
        <v>386</v>
      </c>
      <c r="H556" s="35" t="s">
        <v>2444</v>
      </c>
      <c r="I556" s="35" t="s">
        <v>2446</v>
      </c>
      <c r="J556" s="35">
        <v>22</v>
      </c>
      <c r="K556" s="35">
        <f>VALUE(COUNTIF(Validation!$A$2:$H$47,E556))</f>
        <v>0</v>
      </c>
      <c r="L556" s="361">
        <f t="shared" si="98"/>
        <v>798333</v>
      </c>
      <c r="M556" s="361">
        <f t="shared" si="99"/>
        <v>0</v>
      </c>
      <c r="N556" s="358">
        <v>798333</v>
      </c>
      <c r="O556" s="358" t="s">
        <v>8</v>
      </c>
      <c r="P556" s="358">
        <v>0</v>
      </c>
      <c r="Q556" s="358">
        <v>0</v>
      </c>
      <c r="R556" s="358">
        <v>0</v>
      </c>
      <c r="S556" s="358">
        <v>0</v>
      </c>
      <c r="T556" s="358">
        <v>0</v>
      </c>
      <c r="U556" s="35">
        <f t="shared" si="100"/>
        <v>1</v>
      </c>
      <c r="W556">
        <f t="shared" si="101"/>
        <v>1</v>
      </c>
      <c r="X556" s="35">
        <f t="shared" si="102"/>
        <v>1</v>
      </c>
      <c r="Y556">
        <f t="shared" si="103"/>
        <v>0</v>
      </c>
      <c r="AB556">
        <f t="shared" si="106"/>
        <v>1</v>
      </c>
      <c r="AC556">
        <f t="shared" ca="1" si="107"/>
        <v>0</v>
      </c>
      <c r="AD556" t="str">
        <f ca="1">IF(AC556=1,COUNTIF($AC$3:AC556,1),"")</f>
        <v/>
      </c>
      <c r="AE556" s="155" t="str">
        <f ca="1">IFERROR(INDEX(Données!$B$3:$B$1479,MATCH(ROWS($AD$3:AD556),$AD$3:$AD$1479,0)),"")</f>
        <v/>
      </c>
    </row>
    <row r="557" spans="1:31" ht="15.75" x14ac:dyDescent="0.25">
      <c r="A557" t="str">
        <f t="shared" si="104"/>
        <v>William Lagesson - EDM - DG</v>
      </c>
      <c r="B557" t="str">
        <f t="shared" si="105"/>
        <v>William Lagesson - EDM - DG</v>
      </c>
      <c r="C557" t="str">
        <f t="shared" si="96"/>
        <v>William</v>
      </c>
      <c r="D557" t="str">
        <f t="shared" si="97"/>
        <v>Lagesson</v>
      </c>
      <c r="E557" s="39" t="s">
        <v>2245</v>
      </c>
      <c r="F557" s="30" t="s">
        <v>18</v>
      </c>
      <c r="G557" s="35" t="s">
        <v>386</v>
      </c>
      <c r="H557" s="35" t="s">
        <v>2445</v>
      </c>
      <c r="I557" s="35" t="s">
        <v>2446</v>
      </c>
      <c r="J557" s="35">
        <v>23</v>
      </c>
      <c r="K557" s="35">
        <f>VALUE(COUNTIF(Validation!$A$2:$H$47,E557))</f>
        <v>0</v>
      </c>
      <c r="L557" s="361">
        <f t="shared" si="98"/>
        <v>758333</v>
      </c>
      <c r="M557" s="361">
        <f t="shared" si="99"/>
        <v>0</v>
      </c>
      <c r="N557" s="358">
        <v>758333</v>
      </c>
      <c r="O557" s="358" t="s">
        <v>8</v>
      </c>
      <c r="P557" s="358">
        <v>0</v>
      </c>
      <c r="Q557" s="358">
        <v>0</v>
      </c>
      <c r="R557" s="358">
        <v>0</v>
      </c>
      <c r="S557" s="358">
        <v>0</v>
      </c>
      <c r="T557" s="358">
        <v>0</v>
      </c>
      <c r="U557" s="35">
        <f t="shared" si="100"/>
        <v>1</v>
      </c>
      <c r="W557">
        <f t="shared" si="101"/>
        <v>1</v>
      </c>
      <c r="X557" s="35">
        <f t="shared" si="102"/>
        <v>1</v>
      </c>
      <c r="Y557">
        <f t="shared" si="103"/>
        <v>0</v>
      </c>
      <c r="AB557">
        <f t="shared" si="106"/>
        <v>1</v>
      </c>
      <c r="AC557">
        <f t="shared" ca="1" si="107"/>
        <v>0</v>
      </c>
      <c r="AD557" t="str">
        <f ca="1">IF(AC557=1,COUNTIF($AC$3:AC557,1),"")</f>
        <v/>
      </c>
      <c r="AE557" s="155" t="str">
        <f ca="1">IFERROR(INDEX(Données!$B$3:$B$1479,MATCH(ROWS($AD$3:AD557),$AD$3:$AD$1479,0)),"")</f>
        <v/>
      </c>
    </row>
    <row r="558" spans="1:31" ht="15.75" x14ac:dyDescent="0.25">
      <c r="A558" t="str">
        <f t="shared" si="104"/>
        <v>Logan Day - EDM - D</v>
      </c>
      <c r="B558" t="str">
        <f t="shared" si="105"/>
        <v>Logan Day - EDM - D</v>
      </c>
      <c r="C558" t="str">
        <f t="shared" si="96"/>
        <v>Logan</v>
      </c>
      <c r="D558" t="str">
        <f t="shared" si="97"/>
        <v>Day</v>
      </c>
      <c r="E558" s="39" t="s">
        <v>2501</v>
      </c>
      <c r="F558" s="30" t="s">
        <v>18</v>
      </c>
      <c r="G558" s="35" t="s">
        <v>386</v>
      </c>
      <c r="H558" s="35" t="s">
        <v>82</v>
      </c>
      <c r="I558" s="35" t="s">
        <v>2446</v>
      </c>
      <c r="J558" s="35">
        <v>24</v>
      </c>
      <c r="K558" s="35">
        <f>VALUE(COUNTIF(Validation!$A$2:$H$47,E558))</f>
        <v>0</v>
      </c>
      <c r="L558" s="361">
        <f t="shared" si="98"/>
        <v>750000</v>
      </c>
      <c r="M558" s="361">
        <f t="shared" si="99"/>
        <v>0</v>
      </c>
      <c r="N558" s="358">
        <v>750000</v>
      </c>
      <c r="O558" s="358" t="s">
        <v>8</v>
      </c>
      <c r="P558" s="358">
        <v>0</v>
      </c>
      <c r="Q558" s="358">
        <v>0</v>
      </c>
      <c r="R558" s="358">
        <v>0</v>
      </c>
      <c r="S558" s="358">
        <v>0</v>
      </c>
      <c r="T558" s="358">
        <v>0</v>
      </c>
      <c r="U558" s="35">
        <f t="shared" si="100"/>
        <v>1</v>
      </c>
      <c r="W558">
        <f t="shared" si="101"/>
        <v>1</v>
      </c>
      <c r="X558" s="35">
        <f t="shared" si="102"/>
        <v>1</v>
      </c>
      <c r="Y558">
        <f t="shared" si="103"/>
        <v>0</v>
      </c>
      <c r="AB558">
        <f t="shared" si="106"/>
        <v>1</v>
      </c>
      <c r="AC558">
        <f t="shared" ca="1" si="107"/>
        <v>0</v>
      </c>
      <c r="AD558" t="str">
        <f ca="1">IF(AC558=1,COUNTIF($AC$3:AC558,1),"")</f>
        <v/>
      </c>
      <c r="AE558" s="155" t="str">
        <f ca="1">IFERROR(INDEX(Données!$B$3:$B$1479,MATCH(ROWS($AD$3:AD558),$AD$3:$AD$1479,0)),"")</f>
        <v/>
      </c>
    </row>
    <row r="559" spans="1:31" ht="15.75" x14ac:dyDescent="0.25">
      <c r="A559" t="str">
        <f t="shared" si="104"/>
        <v>Tomas Jurco - EDM - AD, AG</v>
      </c>
      <c r="B559" t="str">
        <f t="shared" si="105"/>
        <v>Tomas Jurco - EDM - AD, AG</v>
      </c>
      <c r="C559" t="str">
        <f t="shared" si="96"/>
        <v>Tomas</v>
      </c>
      <c r="D559" t="str">
        <f t="shared" si="97"/>
        <v>Jurco</v>
      </c>
      <c r="E559" s="39" t="s">
        <v>2498</v>
      </c>
      <c r="F559" s="30" t="s">
        <v>18</v>
      </c>
      <c r="G559" s="35">
        <v>0</v>
      </c>
      <c r="H559" s="9" t="s">
        <v>2441</v>
      </c>
      <c r="I559" s="9" t="s">
        <v>2439</v>
      </c>
      <c r="J559" s="9">
        <v>26</v>
      </c>
      <c r="K559" s="35">
        <f>VALUE(COUNTIF(Validation!$A$2:$H$47,E559))</f>
        <v>0</v>
      </c>
      <c r="L559" s="361">
        <f t="shared" si="98"/>
        <v>750000</v>
      </c>
      <c r="M559" s="361">
        <f t="shared" si="99"/>
        <v>0</v>
      </c>
      <c r="N559" s="358">
        <v>750000</v>
      </c>
      <c r="O559" s="358" t="s">
        <v>7</v>
      </c>
      <c r="P559" s="358">
        <v>0</v>
      </c>
      <c r="Q559" s="358">
        <v>0</v>
      </c>
      <c r="R559" s="358">
        <v>0</v>
      </c>
      <c r="S559" s="358">
        <v>0</v>
      </c>
      <c r="T559" s="358">
        <v>0</v>
      </c>
      <c r="U559" s="35">
        <f t="shared" si="100"/>
        <v>1</v>
      </c>
      <c r="W559">
        <f t="shared" si="101"/>
        <v>1</v>
      </c>
      <c r="X559" s="35">
        <f t="shared" si="102"/>
        <v>0</v>
      </c>
      <c r="Y559">
        <f t="shared" si="103"/>
        <v>0</v>
      </c>
      <c r="AB559">
        <f t="shared" si="106"/>
        <v>1</v>
      </c>
      <c r="AC559">
        <f t="shared" ca="1" si="107"/>
        <v>0</v>
      </c>
      <c r="AD559" t="str">
        <f ca="1">IF(AC559=1,COUNTIF($AC$3:AC559,1),"")</f>
        <v/>
      </c>
      <c r="AE559" s="155" t="str">
        <f ca="1">IFERROR(INDEX(Données!$B$3:$B$1479,MATCH(ROWS($AD$3:AD559),$AD$3:$AD$1479,0)),"")</f>
        <v/>
      </c>
    </row>
    <row r="560" spans="1:31" ht="15.75" x14ac:dyDescent="0.25">
      <c r="A560" t="str">
        <f t="shared" si="104"/>
        <v>Joseph Gambardella - EDM - AG</v>
      </c>
      <c r="B560" t="str">
        <f t="shared" si="105"/>
        <v>Joseph Gambardella - EDM - AG</v>
      </c>
      <c r="C560" t="str">
        <f t="shared" si="96"/>
        <v>Joseph</v>
      </c>
      <c r="D560" t="str">
        <f t="shared" si="97"/>
        <v>Gambardella</v>
      </c>
      <c r="E560" s="39" t="s">
        <v>2246</v>
      </c>
      <c r="F560" s="30" t="s">
        <v>18</v>
      </c>
      <c r="G560" s="35">
        <v>0</v>
      </c>
      <c r="H560" s="35" t="s">
        <v>2440</v>
      </c>
      <c r="I560" s="35" t="s">
        <v>2446</v>
      </c>
      <c r="J560" s="35">
        <v>25</v>
      </c>
      <c r="K560" s="35">
        <f>VALUE(COUNTIF(Validation!$A$2:$H$47,E560))</f>
        <v>0</v>
      </c>
      <c r="L560" s="361">
        <f t="shared" si="98"/>
        <v>700000</v>
      </c>
      <c r="M560" s="361">
        <f t="shared" si="99"/>
        <v>700000</v>
      </c>
      <c r="N560" s="358">
        <v>700000</v>
      </c>
      <c r="O560" s="358">
        <v>700000</v>
      </c>
      <c r="P560" s="358" t="s">
        <v>7</v>
      </c>
      <c r="Q560" s="358">
        <v>0</v>
      </c>
      <c r="R560" s="358">
        <v>0</v>
      </c>
      <c r="S560" s="358">
        <v>0</v>
      </c>
      <c r="T560" s="358">
        <v>0</v>
      </c>
      <c r="U560" s="35">
        <f t="shared" si="100"/>
        <v>2</v>
      </c>
      <c r="W560">
        <f t="shared" si="101"/>
        <v>1</v>
      </c>
      <c r="X560" s="35">
        <f t="shared" si="102"/>
        <v>0</v>
      </c>
      <c r="Y560">
        <f t="shared" si="103"/>
        <v>1</v>
      </c>
      <c r="AB560">
        <f t="shared" si="106"/>
        <v>1</v>
      </c>
      <c r="AC560">
        <f t="shared" ca="1" si="107"/>
        <v>0</v>
      </c>
      <c r="AD560" t="str">
        <f ca="1">IF(AC560=1,COUNTIF($AC$3:AC560,1),"")</f>
        <v/>
      </c>
      <c r="AE560" s="155" t="str">
        <f ca="1">IFERROR(INDEX(Données!$B$3:$B$1479,MATCH(ROWS($AD$3:AD560),$AD$3:$AD$1479,0)),"")</f>
        <v/>
      </c>
    </row>
    <row r="561" spans="1:31" ht="15.75" x14ac:dyDescent="0.25">
      <c r="A561" t="str">
        <f t="shared" si="104"/>
        <v>Brad Malone - EDM - C, AG</v>
      </c>
      <c r="B561" t="str">
        <f t="shared" si="105"/>
        <v>Brad Malone - EDM - C, AG</v>
      </c>
      <c r="C561" t="str">
        <f t="shared" si="96"/>
        <v>Brad</v>
      </c>
      <c r="D561" t="str">
        <f t="shared" si="97"/>
        <v>Malone</v>
      </c>
      <c r="E561" s="39" t="s">
        <v>2252</v>
      </c>
      <c r="F561" s="30" t="s">
        <v>18</v>
      </c>
      <c r="G561" s="35">
        <v>0</v>
      </c>
      <c r="H561" s="35" t="s">
        <v>2452</v>
      </c>
      <c r="I561" s="35" t="s">
        <v>2446</v>
      </c>
      <c r="J561" s="35">
        <v>30</v>
      </c>
      <c r="K561" s="35">
        <f>VALUE(COUNTIF(Validation!$A$2:$H$47,E561))</f>
        <v>0</v>
      </c>
      <c r="L561" s="361">
        <f t="shared" si="98"/>
        <v>700000</v>
      </c>
      <c r="M561" s="361">
        <f t="shared" si="99"/>
        <v>0</v>
      </c>
      <c r="N561" s="358">
        <v>700000</v>
      </c>
      <c r="O561" s="358" t="s">
        <v>7</v>
      </c>
      <c r="P561" s="358">
        <v>0</v>
      </c>
      <c r="Q561" s="358">
        <v>0</v>
      </c>
      <c r="R561" s="358">
        <v>0</v>
      </c>
      <c r="S561" s="358">
        <v>0</v>
      </c>
      <c r="T561" s="358">
        <v>0</v>
      </c>
      <c r="U561" s="35">
        <f t="shared" si="100"/>
        <v>1</v>
      </c>
      <c r="W561">
        <f t="shared" si="101"/>
        <v>1</v>
      </c>
      <c r="X561" s="35">
        <f t="shared" si="102"/>
        <v>0</v>
      </c>
      <c r="Y561">
        <f t="shared" si="103"/>
        <v>0</v>
      </c>
      <c r="AB561">
        <f t="shared" si="106"/>
        <v>1</v>
      </c>
      <c r="AC561">
        <f t="shared" ca="1" si="107"/>
        <v>0</v>
      </c>
      <c r="AD561" t="str">
        <f ca="1">IF(AC561=1,COUNTIF($AC$3:AC561,1),"")</f>
        <v/>
      </c>
      <c r="AE561" s="155" t="str">
        <f ca="1">IFERROR(INDEX(Données!$B$3:$B$1479,MATCH(ROWS($AD$3:AD561),$AD$3:$AD$1479,0)),"")</f>
        <v/>
      </c>
    </row>
    <row r="562" spans="1:31" ht="15.75" x14ac:dyDescent="0.25">
      <c r="A562" t="str">
        <f t="shared" si="104"/>
        <v>Patrick Russell - EDM - AD</v>
      </c>
      <c r="B562" t="str">
        <f t="shared" si="105"/>
        <v>Patrick Russell - EDM - AD</v>
      </c>
      <c r="C562" t="str">
        <f t="shared" si="96"/>
        <v>Patrick</v>
      </c>
      <c r="D562" t="str">
        <f t="shared" si="97"/>
        <v>Russell</v>
      </c>
      <c r="E562" s="39" t="s">
        <v>2249</v>
      </c>
      <c r="F562" s="30" t="s">
        <v>18</v>
      </c>
      <c r="G562" s="35">
        <v>0</v>
      </c>
      <c r="H562" s="35" t="s">
        <v>2438</v>
      </c>
      <c r="I562" s="35" t="s">
        <v>2446</v>
      </c>
      <c r="J562" s="35">
        <v>26</v>
      </c>
      <c r="K562" s="35">
        <f>VALUE(COUNTIF(Validation!$A$2:$H$47,E562))</f>
        <v>0</v>
      </c>
      <c r="L562" s="361">
        <f t="shared" si="98"/>
        <v>700000</v>
      </c>
      <c r="M562" s="361">
        <f t="shared" si="99"/>
        <v>0</v>
      </c>
      <c r="N562" s="358">
        <v>700000</v>
      </c>
      <c r="O562" s="358" t="s">
        <v>7</v>
      </c>
      <c r="P562" s="358">
        <v>0</v>
      </c>
      <c r="Q562" s="358">
        <v>0</v>
      </c>
      <c r="R562" s="358">
        <v>0</v>
      </c>
      <c r="S562" s="358">
        <v>0</v>
      </c>
      <c r="T562" s="358">
        <v>0</v>
      </c>
      <c r="U562" s="35">
        <f t="shared" si="100"/>
        <v>1</v>
      </c>
      <c r="W562">
        <f t="shared" si="101"/>
        <v>1</v>
      </c>
      <c r="X562" s="35">
        <f t="shared" si="102"/>
        <v>0</v>
      </c>
      <c r="Y562">
        <f t="shared" si="103"/>
        <v>0</v>
      </c>
      <c r="AB562">
        <f t="shared" si="106"/>
        <v>1</v>
      </c>
      <c r="AC562">
        <f t="shared" ca="1" si="107"/>
        <v>0</v>
      </c>
      <c r="AD562" t="str">
        <f ca="1">IF(AC562=1,COUNTIF($AC$3:AC562,1),"")</f>
        <v/>
      </c>
      <c r="AE562" s="155" t="str">
        <f ca="1">IFERROR(INDEX(Données!$B$3:$B$1479,MATCH(ROWS($AD$3:AD562),$AD$3:$AD$1479,0)),"")</f>
        <v/>
      </c>
    </row>
    <row r="563" spans="1:31" ht="15.75" x14ac:dyDescent="0.25">
      <c r="A563" t="str">
        <f t="shared" si="104"/>
        <v>Shane Starrett - EDM - G</v>
      </c>
      <c r="B563" t="str">
        <f t="shared" si="105"/>
        <v>Shane Starrett - EDM - G</v>
      </c>
      <c r="C563" t="str">
        <f t="shared" si="96"/>
        <v>Shane</v>
      </c>
      <c r="D563" t="str">
        <f t="shared" si="97"/>
        <v>Starrett</v>
      </c>
      <c r="E563" s="39" t="s">
        <v>2237</v>
      </c>
      <c r="F563" s="30" t="s">
        <v>18</v>
      </c>
      <c r="G563" s="35">
        <v>0</v>
      </c>
      <c r="H563" s="35" t="s">
        <v>127</v>
      </c>
      <c r="I563" s="35" t="s">
        <v>2446</v>
      </c>
      <c r="J563" s="35">
        <v>25</v>
      </c>
      <c r="K563" s="35">
        <f>VALUE(COUNTIF(Validation!$A$2:$H$47,E563))</f>
        <v>0</v>
      </c>
      <c r="L563" s="361">
        <f t="shared" si="98"/>
        <v>700000</v>
      </c>
      <c r="M563" s="361">
        <f t="shared" si="99"/>
        <v>0</v>
      </c>
      <c r="N563" s="358">
        <v>700000</v>
      </c>
      <c r="O563" s="358" t="s">
        <v>8</v>
      </c>
      <c r="P563" s="358">
        <v>0</v>
      </c>
      <c r="Q563" s="358">
        <v>0</v>
      </c>
      <c r="R563" s="358">
        <v>0</v>
      </c>
      <c r="S563" s="358">
        <v>0</v>
      </c>
      <c r="T563" s="358">
        <v>0</v>
      </c>
      <c r="U563" s="35">
        <f t="shared" si="100"/>
        <v>1</v>
      </c>
      <c r="W563">
        <f t="shared" si="101"/>
        <v>1</v>
      </c>
      <c r="X563" s="35">
        <f t="shared" si="102"/>
        <v>0</v>
      </c>
      <c r="Y563">
        <f t="shared" si="103"/>
        <v>0</v>
      </c>
      <c r="AB563">
        <f t="shared" si="106"/>
        <v>1</v>
      </c>
      <c r="AC563">
        <f t="shared" ca="1" si="107"/>
        <v>0</v>
      </c>
      <c r="AD563" t="str">
        <f ca="1">IF(AC563=1,COUNTIF($AC$3:AC563,1),"")</f>
        <v/>
      </c>
      <c r="AE563" s="155" t="str">
        <f ca="1">IFERROR(INDEX(Données!$B$3:$B$1479,MATCH(ROWS($AD$3:AD563),$AD$3:$AD$1479,0)),"")</f>
        <v/>
      </c>
    </row>
    <row r="564" spans="1:31" ht="15.75" x14ac:dyDescent="0.25">
      <c r="A564" t="str">
        <f t="shared" si="104"/>
        <v>Josh Currie - EDM - AD, C</v>
      </c>
      <c r="B564" t="str">
        <f t="shared" si="105"/>
        <v>Josh Currie - EDM - AD, C</v>
      </c>
      <c r="C564" t="str">
        <f t="shared" si="96"/>
        <v>Josh</v>
      </c>
      <c r="D564" t="str">
        <f t="shared" si="97"/>
        <v>Currie</v>
      </c>
      <c r="E564" s="39" t="s">
        <v>2250</v>
      </c>
      <c r="F564" s="30" t="s">
        <v>18</v>
      </c>
      <c r="G564" s="35">
        <v>0</v>
      </c>
      <c r="H564" s="35" t="s">
        <v>2453</v>
      </c>
      <c r="I564" s="35" t="s">
        <v>2446</v>
      </c>
      <c r="J564" s="35">
        <v>26</v>
      </c>
      <c r="K564" s="35">
        <f>VALUE(COUNTIF(Validation!$A$2:$H$47,E564))</f>
        <v>0</v>
      </c>
      <c r="L564" s="361">
        <f t="shared" si="98"/>
        <v>687500</v>
      </c>
      <c r="M564" s="361">
        <f t="shared" si="99"/>
        <v>0</v>
      </c>
      <c r="N564" s="358">
        <v>687500</v>
      </c>
      <c r="O564" s="358" t="s">
        <v>7</v>
      </c>
      <c r="P564" s="358">
        <v>0</v>
      </c>
      <c r="Q564" s="358">
        <v>0</v>
      </c>
      <c r="R564" s="358">
        <v>0</v>
      </c>
      <c r="S564" s="358">
        <v>0</v>
      </c>
      <c r="T564" s="358">
        <v>0</v>
      </c>
      <c r="U564" s="35">
        <f t="shared" si="100"/>
        <v>1</v>
      </c>
      <c r="W564">
        <f t="shared" si="101"/>
        <v>1</v>
      </c>
      <c r="X564" s="35">
        <f t="shared" si="102"/>
        <v>0</v>
      </c>
      <c r="Y564">
        <f t="shared" si="103"/>
        <v>0</v>
      </c>
      <c r="AB564">
        <f t="shared" si="106"/>
        <v>1</v>
      </c>
      <c r="AC564">
        <f t="shared" ca="1" si="107"/>
        <v>0</v>
      </c>
      <c r="AD564" t="str">
        <f ca="1">IF(AC564=1,COUNTIF($AC$3:AC564,1),"")</f>
        <v/>
      </c>
      <c r="AE564" s="155" t="str">
        <f ca="1">IFERROR(INDEX(Données!$B$3:$B$1479,MATCH(ROWS($AD$3:AD564),$AD$3:$AD$1479,0)),"")</f>
        <v/>
      </c>
    </row>
    <row r="565" spans="1:31" ht="15.75" x14ac:dyDescent="0.25">
      <c r="A565" t="str">
        <f t="shared" si="104"/>
        <v>Colby Cave - EDM - C</v>
      </c>
      <c r="B565" t="str">
        <f t="shared" si="105"/>
        <v>Colby Cave - EDM - C</v>
      </c>
      <c r="C565" t="str">
        <f t="shared" si="96"/>
        <v>Colby</v>
      </c>
      <c r="D565" t="str">
        <f t="shared" si="97"/>
        <v>Cave</v>
      </c>
      <c r="E565" s="39" t="s">
        <v>1378</v>
      </c>
      <c r="F565" s="30" t="s">
        <v>18</v>
      </c>
      <c r="G565" s="35">
        <v>0</v>
      </c>
      <c r="H565" s="35" t="s">
        <v>73</v>
      </c>
      <c r="I565" s="35" t="s">
        <v>2439</v>
      </c>
      <c r="J565" s="35">
        <v>24</v>
      </c>
      <c r="K565" s="35">
        <f>VALUE(COUNTIF(Validation!$A$2:$H$47,E565))</f>
        <v>0</v>
      </c>
      <c r="L565" s="361">
        <f t="shared" si="98"/>
        <v>675000</v>
      </c>
      <c r="M565" s="361">
        <f t="shared" si="99"/>
        <v>0</v>
      </c>
      <c r="N565" s="358">
        <v>675000</v>
      </c>
      <c r="O565" s="358" t="s">
        <v>8</v>
      </c>
      <c r="P565" s="358">
        <v>0</v>
      </c>
      <c r="Q565" s="358">
        <v>0</v>
      </c>
      <c r="R565" s="358">
        <v>0</v>
      </c>
      <c r="S565" s="358">
        <v>0</v>
      </c>
      <c r="T565" s="358">
        <v>0</v>
      </c>
      <c r="U565" s="35">
        <f t="shared" si="100"/>
        <v>1</v>
      </c>
      <c r="W565">
        <f t="shared" si="101"/>
        <v>1</v>
      </c>
      <c r="X565" s="35">
        <f t="shared" si="102"/>
        <v>0</v>
      </c>
      <c r="Y565">
        <f t="shared" si="103"/>
        <v>0</v>
      </c>
      <c r="AB565">
        <f t="shared" si="106"/>
        <v>1</v>
      </c>
      <c r="AC565">
        <f t="shared" ca="1" si="107"/>
        <v>0</v>
      </c>
      <c r="AD565" t="str">
        <f ca="1">IF(AC565=1,COUNTIF($AC$3:AC565,1),"")</f>
        <v/>
      </c>
      <c r="AE565" s="155" t="str">
        <f ca="1">IFERROR(INDEX(Données!$B$3:$B$1479,MATCH(ROWS($AD$3:AD565),$AD$3:$AD$1479,0)),"")</f>
        <v/>
      </c>
    </row>
    <row r="566" spans="1:31" ht="15.75" x14ac:dyDescent="0.25">
      <c r="A566" t="str">
        <f t="shared" si="104"/>
        <v>Keegan Lowe - EDM - DG</v>
      </c>
      <c r="B566" t="str">
        <f t="shared" si="105"/>
        <v>Keegan Lowe - EDM - DG</v>
      </c>
      <c r="C566" t="str">
        <f t="shared" si="96"/>
        <v>Keegan</v>
      </c>
      <c r="D566" t="str">
        <f t="shared" si="97"/>
        <v>Lowe</v>
      </c>
      <c r="E566" s="39" t="s">
        <v>2251</v>
      </c>
      <c r="F566" s="30" t="s">
        <v>18</v>
      </c>
      <c r="G566" s="35">
        <v>0</v>
      </c>
      <c r="H566" s="35" t="s">
        <v>2445</v>
      </c>
      <c r="I566" s="35" t="s">
        <v>2446</v>
      </c>
      <c r="J566" s="35">
        <v>26</v>
      </c>
      <c r="K566" s="35">
        <f>VALUE(COUNTIF(Validation!$A$2:$H$47,E566))</f>
        <v>0</v>
      </c>
      <c r="L566" s="361">
        <f t="shared" si="98"/>
        <v>675000</v>
      </c>
      <c r="M566" s="361">
        <f t="shared" si="99"/>
        <v>0</v>
      </c>
      <c r="N566" s="358">
        <v>675000</v>
      </c>
      <c r="O566" s="358" t="s">
        <v>7</v>
      </c>
      <c r="P566" s="358">
        <v>0</v>
      </c>
      <c r="Q566" s="358">
        <v>0</v>
      </c>
      <c r="R566" s="358">
        <v>0</v>
      </c>
      <c r="S566" s="358">
        <v>0</v>
      </c>
      <c r="T566" s="358">
        <v>0</v>
      </c>
      <c r="U566" s="35">
        <f t="shared" si="100"/>
        <v>1</v>
      </c>
      <c r="W566">
        <f t="shared" si="101"/>
        <v>1</v>
      </c>
      <c r="X566" s="35">
        <f t="shared" si="102"/>
        <v>0</v>
      </c>
      <c r="Y566">
        <f t="shared" si="103"/>
        <v>0</v>
      </c>
      <c r="AB566">
        <f t="shared" si="106"/>
        <v>1</v>
      </c>
      <c r="AC566">
        <f t="shared" ca="1" si="107"/>
        <v>0</v>
      </c>
      <c r="AD566" t="str">
        <f ca="1">IF(AC566=1,COUNTIF($AC$3:AC566,1),"")</f>
        <v/>
      </c>
      <c r="AE566" s="155" t="str">
        <f ca="1">IFERROR(INDEX(Données!$B$3:$B$1479,MATCH(ROWS($AD$3:AD566),$AD$3:$AD$1479,0)),"")</f>
        <v/>
      </c>
    </row>
    <row r="567" spans="1:31" ht="15.75" x14ac:dyDescent="0.25">
      <c r="A567" t="str">
        <f t="shared" si="104"/>
        <v>Jesse Puljujarvi - EDM - AD</v>
      </c>
      <c r="B567" t="str">
        <f t="shared" si="105"/>
        <v>Jesse Puljujarvi - EDM - AD</v>
      </c>
      <c r="C567" t="str">
        <f t="shared" si="96"/>
        <v>Jesse</v>
      </c>
      <c r="D567" t="str">
        <f t="shared" si="97"/>
        <v>Puljujarvi</v>
      </c>
      <c r="E567" s="39" t="s">
        <v>2882</v>
      </c>
      <c r="F567" s="30" t="s">
        <v>18</v>
      </c>
      <c r="G567" s="35">
        <v>0</v>
      </c>
      <c r="H567" s="9" t="s">
        <v>2438</v>
      </c>
      <c r="I567" s="9" t="s">
        <v>2439</v>
      </c>
      <c r="J567" s="9">
        <v>21</v>
      </c>
      <c r="K567" s="35">
        <f>VALUE(COUNTIF(Validation!$A$2:$H$47,E567))</f>
        <v>0</v>
      </c>
      <c r="L567" s="361">
        <f t="shared" si="98"/>
        <v>0</v>
      </c>
      <c r="M567" s="361">
        <f t="shared" si="99"/>
        <v>0</v>
      </c>
      <c r="N567" s="358" t="s">
        <v>8</v>
      </c>
      <c r="O567" s="358">
        <v>0</v>
      </c>
      <c r="P567" s="358">
        <v>0</v>
      </c>
      <c r="Q567" s="358">
        <v>0</v>
      </c>
      <c r="R567" s="358">
        <v>0</v>
      </c>
      <c r="S567" s="358">
        <v>0</v>
      </c>
      <c r="T567" s="358">
        <v>0</v>
      </c>
      <c r="U567" s="35">
        <f t="shared" si="100"/>
        <v>0</v>
      </c>
      <c r="W567">
        <f t="shared" si="101"/>
        <v>1</v>
      </c>
      <c r="X567" s="35">
        <f t="shared" si="102"/>
        <v>0</v>
      </c>
      <c r="Y567">
        <f t="shared" si="103"/>
        <v>1</v>
      </c>
      <c r="AB567">
        <f t="shared" si="106"/>
        <v>1</v>
      </c>
      <c r="AC567">
        <f t="shared" ca="1" si="107"/>
        <v>0</v>
      </c>
      <c r="AD567" t="str">
        <f ca="1">IF(AC567=1,COUNTIF($AC$3:AC567,1),"")</f>
        <v/>
      </c>
      <c r="AE567" s="155" t="str">
        <f ca="1">IFERROR(INDEX(Données!$B$3:$B$1479,MATCH(ROWS($AD$3:AD567),$AD$3:$AD$1479,0)),"")</f>
        <v/>
      </c>
    </row>
    <row r="568" spans="1:31" ht="15.75" x14ac:dyDescent="0.25">
      <c r="A568" t="str">
        <f t="shared" si="104"/>
        <v>Sergei Bobrovsky - FLO - G</v>
      </c>
      <c r="B568" t="str">
        <f t="shared" si="105"/>
        <v>Sergei Bobrovsky - FLO - G</v>
      </c>
      <c r="C568" t="str">
        <f t="shared" si="96"/>
        <v>Sergei</v>
      </c>
      <c r="D568" t="str">
        <f t="shared" si="97"/>
        <v>Bobrovsky</v>
      </c>
      <c r="E568" s="39" t="s">
        <v>1669</v>
      </c>
      <c r="F568" s="30" t="s">
        <v>2531</v>
      </c>
      <c r="G568" s="35" t="s">
        <v>420</v>
      </c>
      <c r="H568" s="35" t="s">
        <v>127</v>
      </c>
      <c r="I568" s="35" t="s">
        <v>2677</v>
      </c>
      <c r="J568" s="35">
        <v>30</v>
      </c>
      <c r="K568" s="35">
        <f>VALUE(COUNTIF(Validation!$A$2:$H$47,E568))</f>
        <v>0</v>
      </c>
      <c r="L568" s="361">
        <f t="shared" si="98"/>
        <v>10000000</v>
      </c>
      <c r="M568" s="361">
        <f t="shared" si="99"/>
        <v>10000000</v>
      </c>
      <c r="N568" s="358">
        <v>10000000</v>
      </c>
      <c r="O568" s="358">
        <v>10000000</v>
      </c>
      <c r="P568" s="358">
        <v>10000000</v>
      </c>
      <c r="Q568" s="358">
        <v>10000000</v>
      </c>
      <c r="R568" s="358">
        <v>10000000</v>
      </c>
      <c r="S568" s="358">
        <v>10000000</v>
      </c>
      <c r="T568" s="358">
        <v>10000000</v>
      </c>
      <c r="U568" s="35">
        <f t="shared" si="100"/>
        <v>7</v>
      </c>
      <c r="W568">
        <f t="shared" si="101"/>
        <v>1</v>
      </c>
      <c r="X568" s="35">
        <f t="shared" si="102"/>
        <v>0</v>
      </c>
      <c r="Y568">
        <f t="shared" si="103"/>
        <v>1</v>
      </c>
      <c r="AB568">
        <f t="shared" si="106"/>
        <v>1</v>
      </c>
      <c r="AC568">
        <f t="shared" ca="1" si="107"/>
        <v>0</v>
      </c>
      <c r="AD568" t="str">
        <f ca="1">IF(AC568=1,COUNTIF($AC$3:AC568,1),"")</f>
        <v/>
      </c>
      <c r="AE568" s="155" t="str">
        <f ca="1">IFERROR(INDEX(Données!$B$3:$B$1479,MATCH(ROWS($AD$3:AD568),$AD$3:$AD$1479,0)),"")</f>
        <v/>
      </c>
    </row>
    <row r="569" spans="1:31" ht="15.75" x14ac:dyDescent="0.25">
      <c r="A569" t="str">
        <f t="shared" si="104"/>
        <v>Aaron Ekblad - FLO - RD</v>
      </c>
      <c r="B569" t="str">
        <f t="shared" si="105"/>
        <v>Aaron Ekblad - FLO - RD</v>
      </c>
      <c r="C569" t="str">
        <f t="shared" si="96"/>
        <v>Aaron</v>
      </c>
      <c r="D569" t="str">
        <f t="shared" si="97"/>
        <v>Ekblad</v>
      </c>
      <c r="E569" s="39" t="s">
        <v>2956</v>
      </c>
      <c r="F569" s="30" t="s">
        <v>2531</v>
      </c>
      <c r="G569" s="35">
        <v>0</v>
      </c>
      <c r="H569" s="35" t="s">
        <v>379</v>
      </c>
      <c r="I569" s="35" t="s">
        <v>2677</v>
      </c>
      <c r="J569" s="35">
        <v>23</v>
      </c>
      <c r="K569" s="35">
        <f>VALUE(COUNTIF(Validation!$A$2:$H$47,E569))</f>
        <v>0</v>
      </c>
      <c r="L569" s="361">
        <f t="shared" si="98"/>
        <v>7500000</v>
      </c>
      <c r="M569" s="361">
        <f t="shared" si="99"/>
        <v>7500000</v>
      </c>
      <c r="N569" s="358">
        <v>7500000</v>
      </c>
      <c r="O569" s="358">
        <v>7500000</v>
      </c>
      <c r="P569" s="358">
        <v>7500000</v>
      </c>
      <c r="Q569" s="358">
        <v>7500000</v>
      </c>
      <c r="R569" s="358">
        <v>7500000</v>
      </c>
      <c r="S569" s="358">
        <v>7500000</v>
      </c>
      <c r="T569" s="358" t="s">
        <v>7</v>
      </c>
      <c r="U569" s="35">
        <f t="shared" si="100"/>
        <v>6</v>
      </c>
      <c r="W569">
        <f t="shared" si="101"/>
        <v>1</v>
      </c>
      <c r="X569" s="35">
        <f t="shared" si="102"/>
        <v>0</v>
      </c>
      <c r="Y569">
        <f t="shared" si="103"/>
        <v>1</v>
      </c>
      <c r="AB569">
        <f t="shared" si="106"/>
        <v>1</v>
      </c>
      <c r="AC569">
        <f t="shared" ca="1" si="107"/>
        <v>0</v>
      </c>
      <c r="AD569" t="str">
        <f ca="1">IF(AC569=1,COUNTIF($AC$3:AC569,1),"")</f>
        <v/>
      </c>
      <c r="AE569" s="155" t="str">
        <f ca="1">IFERROR(INDEX(Données!$B$3:$B$1479,MATCH(ROWS($AD$3:AD569),$AD$3:$AD$1479,0)),"")</f>
        <v/>
      </c>
    </row>
    <row r="570" spans="1:31" ht="15.75" x14ac:dyDescent="0.25">
      <c r="A570" t="str">
        <f t="shared" si="104"/>
        <v>Keith Yandle - FLO - LD</v>
      </c>
      <c r="B570" t="str">
        <f t="shared" si="105"/>
        <v>Keith Yandle - FLO - LD</v>
      </c>
      <c r="C570" t="str">
        <f t="shared" si="96"/>
        <v>Keith</v>
      </c>
      <c r="D570" t="str">
        <f t="shared" si="97"/>
        <v>Yandle</v>
      </c>
      <c r="E570" s="39" t="s">
        <v>2921</v>
      </c>
      <c r="F570" s="30" t="s">
        <v>2531</v>
      </c>
      <c r="G570" s="35" t="s">
        <v>420</v>
      </c>
      <c r="H570" s="35" t="s">
        <v>380</v>
      </c>
      <c r="I570" s="35" t="s">
        <v>2677</v>
      </c>
      <c r="J570" s="35">
        <v>32</v>
      </c>
      <c r="K570" s="35">
        <f>VALUE(COUNTIF(Validation!$A$2:$H$47,E570))</f>
        <v>0</v>
      </c>
      <c r="L570" s="361">
        <f t="shared" si="98"/>
        <v>6350000</v>
      </c>
      <c r="M570" s="361">
        <f t="shared" si="99"/>
        <v>6350000</v>
      </c>
      <c r="N570" s="358">
        <v>6350000</v>
      </c>
      <c r="O570" s="358">
        <v>6350000</v>
      </c>
      <c r="P570" s="358">
        <v>6350000</v>
      </c>
      <c r="Q570" s="358">
        <v>6350000</v>
      </c>
      <c r="R570" s="358" t="s">
        <v>7</v>
      </c>
      <c r="S570" s="358">
        <v>0</v>
      </c>
      <c r="T570" s="358">
        <v>0</v>
      </c>
      <c r="U570" s="35">
        <f t="shared" si="100"/>
        <v>4</v>
      </c>
      <c r="W570">
        <f t="shared" si="101"/>
        <v>1</v>
      </c>
      <c r="X570" s="35">
        <f t="shared" si="102"/>
        <v>0</v>
      </c>
      <c r="Y570">
        <f t="shared" si="103"/>
        <v>1</v>
      </c>
      <c r="AB570">
        <f t="shared" si="106"/>
        <v>1</v>
      </c>
      <c r="AC570">
        <f t="shared" ca="1" si="107"/>
        <v>0</v>
      </c>
      <c r="AD570" t="str">
        <f ca="1">IF(AC570=1,COUNTIF($AC$3:AC570,1),"")</f>
        <v/>
      </c>
      <c r="AE570" s="155" t="str">
        <f ca="1">IFERROR(INDEX(Données!$B$3:$B$1479,MATCH(ROWS($AD$3:AD570),$AD$3:$AD$1479,0)),"")</f>
        <v/>
      </c>
    </row>
    <row r="571" spans="1:31" ht="15.75" x14ac:dyDescent="0.25">
      <c r="A571" t="str">
        <f t="shared" si="104"/>
        <v>Aleksander Barkov - FLO - C</v>
      </c>
      <c r="B571" t="str">
        <f t="shared" si="105"/>
        <v>Aleksander Barkov - FLO - C</v>
      </c>
      <c r="C571" t="str">
        <f t="shared" si="96"/>
        <v>Aleksander</v>
      </c>
      <c r="D571" t="str">
        <f t="shared" si="97"/>
        <v>Barkov</v>
      </c>
      <c r="E571" s="39" t="s">
        <v>2923</v>
      </c>
      <c r="F571" s="30" t="s">
        <v>2531</v>
      </c>
      <c r="G571" s="35">
        <v>0</v>
      </c>
      <c r="H571" s="35" t="s">
        <v>73</v>
      </c>
      <c r="I571" s="35" t="s">
        <v>2677</v>
      </c>
      <c r="J571" s="35">
        <v>23</v>
      </c>
      <c r="K571" s="35">
        <f>VALUE(COUNTIF(Validation!$A$2:$H$47,E571))</f>
        <v>0</v>
      </c>
      <c r="L571" s="361">
        <f t="shared" si="98"/>
        <v>5900000</v>
      </c>
      <c r="M571" s="361">
        <f t="shared" si="99"/>
        <v>5900000</v>
      </c>
      <c r="N571" s="358">
        <v>5900000</v>
      </c>
      <c r="O571" s="358">
        <v>5900000</v>
      </c>
      <c r="P571" s="358">
        <v>5900000</v>
      </c>
      <c r="Q571" s="358" t="s">
        <v>7</v>
      </c>
      <c r="R571" s="358">
        <v>0</v>
      </c>
      <c r="S571" s="358">
        <v>0</v>
      </c>
      <c r="T571" s="358">
        <v>0</v>
      </c>
      <c r="U571" s="35">
        <f t="shared" si="100"/>
        <v>3</v>
      </c>
      <c r="W571">
        <f t="shared" si="101"/>
        <v>1</v>
      </c>
      <c r="X571" s="35">
        <f t="shared" si="102"/>
        <v>0</v>
      </c>
      <c r="Y571">
        <f t="shared" si="103"/>
        <v>1</v>
      </c>
      <c r="AB571">
        <f t="shared" si="106"/>
        <v>1</v>
      </c>
      <c r="AC571">
        <f t="shared" ca="1" si="107"/>
        <v>0</v>
      </c>
      <c r="AD571" t="str">
        <f ca="1">IF(AC571=1,COUNTIF($AC$3:AC571,1),"")</f>
        <v/>
      </c>
      <c r="AE571" s="155" t="str">
        <f ca="1">IFERROR(INDEX(Données!$B$3:$B$1479,MATCH(ROWS($AD$3:AD571),$AD$3:$AD$1479,0)),"")</f>
        <v/>
      </c>
    </row>
    <row r="572" spans="1:31" ht="15.75" x14ac:dyDescent="0.25">
      <c r="A572" t="str">
        <f t="shared" si="104"/>
        <v>Jonathan Huberdeau - FLO - LW, C</v>
      </c>
      <c r="B572" t="str">
        <f t="shared" si="105"/>
        <v>Jonathan Huberdeau - FLO - LW, C</v>
      </c>
      <c r="C572" t="str">
        <f t="shared" si="96"/>
        <v>Jonathan</v>
      </c>
      <c r="D572" t="str">
        <f t="shared" si="97"/>
        <v>Huberdeau</v>
      </c>
      <c r="E572" s="39" t="s">
        <v>2970</v>
      </c>
      <c r="F572" s="30" t="s">
        <v>2531</v>
      </c>
      <c r="G572" s="35" t="s">
        <v>420</v>
      </c>
      <c r="H572" s="35" t="s">
        <v>2696</v>
      </c>
      <c r="I572" s="35" t="s">
        <v>2677</v>
      </c>
      <c r="J572" s="35">
        <v>26</v>
      </c>
      <c r="K572" s="35">
        <f>VALUE(COUNTIF(Validation!$A$2:$H$47,E572))</f>
        <v>0</v>
      </c>
      <c r="L572" s="361">
        <f t="shared" si="98"/>
        <v>5900000</v>
      </c>
      <c r="M572" s="361">
        <f t="shared" si="99"/>
        <v>5900000</v>
      </c>
      <c r="N572" s="358">
        <v>5900000</v>
      </c>
      <c r="O572" s="358">
        <v>5900000</v>
      </c>
      <c r="P572" s="358">
        <v>5900000</v>
      </c>
      <c r="Q572" s="358">
        <v>5900000</v>
      </c>
      <c r="R572" s="358" t="s">
        <v>7</v>
      </c>
      <c r="S572" s="358">
        <v>0</v>
      </c>
      <c r="T572" s="358">
        <v>0</v>
      </c>
      <c r="U572" s="35">
        <f t="shared" si="100"/>
        <v>4</v>
      </c>
      <c r="W572">
        <f t="shared" si="101"/>
        <v>1</v>
      </c>
      <c r="X572" s="35">
        <f t="shared" si="102"/>
        <v>0</v>
      </c>
      <c r="Y572">
        <f t="shared" si="103"/>
        <v>1</v>
      </c>
      <c r="AB572">
        <f t="shared" si="106"/>
        <v>1</v>
      </c>
      <c r="AC572">
        <f t="shared" ca="1" si="107"/>
        <v>0</v>
      </c>
      <c r="AD572" t="str">
        <f ca="1">IF(AC572=1,COUNTIF($AC$3:AC572,1),"")</f>
        <v/>
      </c>
      <c r="AE572" s="155" t="str">
        <f ca="1">IFERROR(INDEX(Données!$B$3:$B$1479,MATCH(ROWS($AD$3:AD572),$AD$3:$AD$1479,0)),"")</f>
        <v/>
      </c>
    </row>
    <row r="573" spans="1:31" ht="15.75" x14ac:dyDescent="0.25">
      <c r="A573" t="str">
        <f t="shared" si="104"/>
        <v>Anton Stralman - FLO - RD</v>
      </c>
      <c r="B573" t="str">
        <f t="shared" si="105"/>
        <v>Anton Stralman - FLO - RD</v>
      </c>
      <c r="C573" t="str">
        <f t="shared" si="96"/>
        <v>Anton</v>
      </c>
      <c r="D573" t="str">
        <f t="shared" si="97"/>
        <v>Stralman</v>
      </c>
      <c r="E573" s="39" t="s">
        <v>2912</v>
      </c>
      <c r="F573" s="30" t="s">
        <v>2531</v>
      </c>
      <c r="G573" s="35" t="s">
        <v>381</v>
      </c>
      <c r="H573" s="35" t="s">
        <v>379</v>
      </c>
      <c r="I573" s="35" t="s">
        <v>2677</v>
      </c>
      <c r="J573" s="35">
        <v>33</v>
      </c>
      <c r="K573" s="35">
        <f>VALUE(COUNTIF(Validation!$A$2:$H$47,E573))</f>
        <v>0</v>
      </c>
      <c r="L573" s="361">
        <f t="shared" si="98"/>
        <v>5500000</v>
      </c>
      <c r="M573" s="361">
        <f t="shared" si="99"/>
        <v>5500000</v>
      </c>
      <c r="N573" s="358">
        <v>5500000</v>
      </c>
      <c r="O573" s="358">
        <v>5500000</v>
      </c>
      <c r="P573" s="358">
        <v>5500000</v>
      </c>
      <c r="Q573" s="358" t="s">
        <v>7</v>
      </c>
      <c r="R573" s="358">
        <v>0</v>
      </c>
      <c r="S573" s="358">
        <v>0</v>
      </c>
      <c r="T573" s="358">
        <v>0</v>
      </c>
      <c r="U573" s="35">
        <f t="shared" si="100"/>
        <v>3</v>
      </c>
      <c r="W573">
        <f t="shared" si="101"/>
        <v>1</v>
      </c>
      <c r="X573" s="35">
        <f t="shared" si="102"/>
        <v>0</v>
      </c>
      <c r="Y573">
        <f t="shared" si="103"/>
        <v>1</v>
      </c>
      <c r="AB573">
        <f t="shared" si="106"/>
        <v>1</v>
      </c>
      <c r="AC573">
        <f t="shared" ca="1" si="107"/>
        <v>0</v>
      </c>
      <c r="AD573" t="str">
        <f ca="1">IF(AC573=1,COUNTIF($AC$3:AC573,1),"")</f>
        <v/>
      </c>
      <c r="AE573" s="155" t="str">
        <f ca="1">IFERROR(INDEX(Données!$B$3:$B$1479,MATCH(ROWS($AD$3:AD573),$AD$3:$AD$1479,0)),"")</f>
        <v/>
      </c>
    </row>
    <row r="574" spans="1:31" ht="15.75" x14ac:dyDescent="0.25">
      <c r="A574" t="str">
        <f t="shared" si="104"/>
        <v>Mike Hoffman - FLO - RW, LW</v>
      </c>
      <c r="B574" t="str">
        <f t="shared" si="105"/>
        <v>Mike Hoffman - FLO - RW, LW</v>
      </c>
      <c r="C574" t="str">
        <f t="shared" si="96"/>
        <v>Mike</v>
      </c>
      <c r="D574" t="str">
        <f t="shared" si="97"/>
        <v>Hoffman</v>
      </c>
      <c r="E574" s="39" t="s">
        <v>1453</v>
      </c>
      <c r="F574" s="30" t="s">
        <v>2531</v>
      </c>
      <c r="G574" s="35" t="s">
        <v>381</v>
      </c>
      <c r="H574" s="35" t="s">
        <v>2680</v>
      </c>
      <c r="I574" s="35" t="s">
        <v>2677</v>
      </c>
      <c r="J574" s="35">
        <v>29</v>
      </c>
      <c r="K574" s="35">
        <f>VALUE(COUNTIF(Validation!$A$2:$H$47,E574))</f>
        <v>0</v>
      </c>
      <c r="L574" s="361">
        <f t="shared" si="98"/>
        <v>5187500</v>
      </c>
      <c r="M574" s="361">
        <f t="shared" si="99"/>
        <v>0</v>
      </c>
      <c r="N574" s="358">
        <v>5187500</v>
      </c>
      <c r="O574" s="358" t="s">
        <v>7</v>
      </c>
      <c r="P574" s="358">
        <v>0</v>
      </c>
      <c r="Q574" s="358">
        <v>0</v>
      </c>
      <c r="R574" s="358">
        <v>0</v>
      </c>
      <c r="S574" s="358">
        <v>0</v>
      </c>
      <c r="T574" s="358">
        <v>0</v>
      </c>
      <c r="U574" s="35">
        <f t="shared" si="100"/>
        <v>1</v>
      </c>
      <c r="W574">
        <f t="shared" si="101"/>
        <v>1</v>
      </c>
      <c r="X574" s="35">
        <f t="shared" si="102"/>
        <v>0</v>
      </c>
      <c r="Y574">
        <f t="shared" si="103"/>
        <v>0</v>
      </c>
      <c r="AB574">
        <f t="shared" si="106"/>
        <v>1</v>
      </c>
      <c r="AC574">
        <f t="shared" ca="1" si="107"/>
        <v>0</v>
      </c>
      <c r="AD574" t="str">
        <f ca="1">IF(AC574=1,COUNTIF($AC$3:AC574,1),"")</f>
        <v/>
      </c>
      <c r="AE574" s="155" t="str">
        <f ca="1">IFERROR(INDEX(Données!$B$3:$B$1479,MATCH(ROWS($AD$3:AD574),$AD$3:$AD$1479,0)),"")</f>
        <v/>
      </c>
    </row>
    <row r="575" spans="1:31" ht="15.75" x14ac:dyDescent="0.25">
      <c r="A575" t="str">
        <f t="shared" si="104"/>
        <v>Michael Matheson - FLO - LD</v>
      </c>
      <c r="B575" t="str">
        <f t="shared" si="105"/>
        <v>Michael Matheson - FLO - LD</v>
      </c>
      <c r="C575" t="str">
        <f t="shared" si="96"/>
        <v>Michael</v>
      </c>
      <c r="D575" t="str">
        <f t="shared" si="97"/>
        <v>Matheson</v>
      </c>
      <c r="E575" s="39" t="s">
        <v>1460</v>
      </c>
      <c r="F575" s="30" t="s">
        <v>2531</v>
      </c>
      <c r="G575" s="35">
        <v>0</v>
      </c>
      <c r="H575" s="35" t="s">
        <v>380</v>
      </c>
      <c r="I575" s="35" t="s">
        <v>2677</v>
      </c>
      <c r="J575" s="35">
        <v>25</v>
      </c>
      <c r="K575" s="35">
        <f>VALUE(COUNTIF(Validation!$A$2:$H$47,E575))</f>
        <v>0</v>
      </c>
      <c r="L575" s="361">
        <f t="shared" si="98"/>
        <v>4875000</v>
      </c>
      <c r="M575" s="361">
        <f t="shared" si="99"/>
        <v>4875000</v>
      </c>
      <c r="N575" s="358">
        <v>4875000</v>
      </c>
      <c r="O575" s="358">
        <v>4875000</v>
      </c>
      <c r="P575" s="358">
        <v>4875000</v>
      </c>
      <c r="Q575" s="358">
        <v>4875000</v>
      </c>
      <c r="R575" s="358">
        <v>4875000</v>
      </c>
      <c r="S575" s="358">
        <v>4875000</v>
      </c>
      <c r="T575" s="358">
        <v>4875000</v>
      </c>
      <c r="U575" s="35">
        <f t="shared" si="100"/>
        <v>7</v>
      </c>
      <c r="W575">
        <f t="shared" si="101"/>
        <v>1</v>
      </c>
      <c r="X575" s="35">
        <f t="shared" si="102"/>
        <v>0</v>
      </c>
      <c r="Y575">
        <f t="shared" si="103"/>
        <v>1</v>
      </c>
      <c r="AB575">
        <f t="shared" si="106"/>
        <v>1</v>
      </c>
      <c r="AC575">
        <f t="shared" ca="1" si="107"/>
        <v>0</v>
      </c>
      <c r="AD575" t="str">
        <f ca="1">IF(AC575=1,COUNTIF($AC$3:AC575,1),"")</f>
        <v/>
      </c>
      <c r="AE575" s="155" t="str">
        <f ca="1">IFERROR(INDEX(Données!$B$3:$B$1479,MATCH(ROWS($AD$3:AD575),$AD$3:$AD$1479,0)),"")</f>
        <v/>
      </c>
    </row>
    <row r="576" spans="1:31" ht="15.75" x14ac:dyDescent="0.25">
      <c r="A576" t="str">
        <f t="shared" si="104"/>
        <v>Vincent Trocheck - FLO - C, RW</v>
      </c>
      <c r="B576" t="str">
        <f t="shared" si="105"/>
        <v>Vincent Trocheck - FLO - C, RW</v>
      </c>
      <c r="C576" t="str">
        <f t="shared" si="96"/>
        <v>Vincent</v>
      </c>
      <c r="D576" t="str">
        <f t="shared" si="97"/>
        <v>Trocheck</v>
      </c>
      <c r="E576" s="39" t="s">
        <v>3012</v>
      </c>
      <c r="F576" s="30" t="s">
        <v>2531</v>
      </c>
      <c r="G576" s="35">
        <v>0</v>
      </c>
      <c r="H576" s="35" t="s">
        <v>2684</v>
      </c>
      <c r="I576" s="35" t="s">
        <v>2677</v>
      </c>
      <c r="J576" s="35">
        <v>26</v>
      </c>
      <c r="K576" s="35">
        <f>VALUE(COUNTIF(Validation!$A$2:$H$47,E576))</f>
        <v>0</v>
      </c>
      <c r="L576" s="361">
        <f t="shared" si="98"/>
        <v>4750000</v>
      </c>
      <c r="M576" s="361">
        <f t="shared" si="99"/>
        <v>4750000</v>
      </c>
      <c r="N576" s="358">
        <v>4750000</v>
      </c>
      <c r="O576" s="358">
        <v>4750000</v>
      </c>
      <c r="P576" s="358">
        <v>4750000</v>
      </c>
      <c r="Q576" s="358" t="s">
        <v>7</v>
      </c>
      <c r="R576" s="358">
        <v>0</v>
      </c>
      <c r="S576" s="358">
        <v>0</v>
      </c>
      <c r="T576" s="358">
        <v>0</v>
      </c>
      <c r="U576" s="35">
        <f t="shared" si="100"/>
        <v>3</v>
      </c>
      <c r="W576">
        <f t="shared" si="101"/>
        <v>1</v>
      </c>
      <c r="X576" s="35">
        <f t="shared" si="102"/>
        <v>0</v>
      </c>
      <c r="Y576">
        <f t="shared" si="103"/>
        <v>1</v>
      </c>
      <c r="AB576">
        <f t="shared" si="106"/>
        <v>1</v>
      </c>
      <c r="AC576">
        <f t="shared" ca="1" si="107"/>
        <v>0</v>
      </c>
      <c r="AD576" t="str">
        <f ca="1">IF(AC576=1,COUNTIF($AC$3:AC576,1),"")</f>
        <v/>
      </c>
      <c r="AE576" s="155" t="str">
        <f ca="1">IFERROR(INDEX(Données!$B$3:$B$1479,MATCH(ROWS($AD$3:AD576),$AD$3:$AD$1479,0)),"")</f>
        <v/>
      </c>
    </row>
    <row r="577" spans="1:31" ht="15.75" x14ac:dyDescent="0.25">
      <c r="A577" t="str">
        <f t="shared" si="104"/>
        <v>Evgeni Dadonov - FLO - RW, LW</v>
      </c>
      <c r="B577" t="str">
        <f t="shared" si="105"/>
        <v>Evgeni Dadonov - FLO - RW, LW</v>
      </c>
      <c r="C577" t="str">
        <f t="shared" si="96"/>
        <v>Evgeni</v>
      </c>
      <c r="D577" t="str">
        <f t="shared" si="97"/>
        <v>Dadonov</v>
      </c>
      <c r="E577" s="39" t="s">
        <v>1455</v>
      </c>
      <c r="F577" s="30" t="s">
        <v>2531</v>
      </c>
      <c r="G577" s="35" t="s">
        <v>370</v>
      </c>
      <c r="H577" s="35" t="s">
        <v>2680</v>
      </c>
      <c r="I577" s="35" t="s">
        <v>2677</v>
      </c>
      <c r="J577" s="35">
        <v>30</v>
      </c>
      <c r="K577" s="35">
        <f>VALUE(COUNTIF(Validation!$A$2:$H$47,E577))</f>
        <v>0</v>
      </c>
      <c r="L577" s="361">
        <f t="shared" si="98"/>
        <v>4000000</v>
      </c>
      <c r="M577" s="361">
        <f t="shared" si="99"/>
        <v>0</v>
      </c>
      <c r="N577" s="358">
        <v>4000000</v>
      </c>
      <c r="O577" s="358" t="s">
        <v>7</v>
      </c>
      <c r="P577" s="358">
        <v>0</v>
      </c>
      <c r="Q577" s="358">
        <v>0</v>
      </c>
      <c r="R577" s="358">
        <v>0</v>
      </c>
      <c r="S577" s="358">
        <v>0</v>
      </c>
      <c r="T577" s="358">
        <v>0</v>
      </c>
      <c r="U577" s="35">
        <f t="shared" si="100"/>
        <v>1</v>
      </c>
      <c r="W577">
        <f t="shared" si="101"/>
        <v>1</v>
      </c>
      <c r="X577" s="35">
        <f t="shared" si="102"/>
        <v>0</v>
      </c>
      <c r="Y577">
        <f t="shared" si="103"/>
        <v>0</v>
      </c>
      <c r="AB577">
        <f t="shared" si="106"/>
        <v>1</v>
      </c>
      <c r="AC577">
        <f t="shared" ca="1" si="107"/>
        <v>0</v>
      </c>
      <c r="AD577" t="str">
        <f ca="1">IF(AC577=1,COUNTIF($AC$3:AC577,1),"")</f>
        <v/>
      </c>
      <c r="AE577" s="155" t="str">
        <f ca="1">IFERROR(INDEX(Données!$B$3:$B$1479,MATCH(ROWS($AD$3:AD577),$AD$3:$AD$1479,0)),"")</f>
        <v/>
      </c>
    </row>
    <row r="578" spans="1:31" ht="15.75" x14ac:dyDescent="0.25">
      <c r="A578" t="str">
        <f t="shared" si="104"/>
        <v>Brett Connolly - FLO - RW, LW</v>
      </c>
      <c r="B578" t="str">
        <f t="shared" si="105"/>
        <v>Brett Connolly - FLO - RW, LW</v>
      </c>
      <c r="C578" t="str">
        <f t="shared" si="96"/>
        <v>Brett</v>
      </c>
      <c r="D578" t="str">
        <f t="shared" si="97"/>
        <v>Connolly</v>
      </c>
      <c r="E578" s="39" t="s">
        <v>1855</v>
      </c>
      <c r="F578" s="30" t="s">
        <v>2531</v>
      </c>
      <c r="G578" s="35">
        <v>0</v>
      </c>
      <c r="H578" s="35" t="s">
        <v>2680</v>
      </c>
      <c r="I578" s="35" t="s">
        <v>2677</v>
      </c>
      <c r="J578" s="35">
        <v>27</v>
      </c>
      <c r="K578" s="35">
        <f>VALUE(COUNTIF(Validation!$A$2:$H$47,E578))</f>
        <v>0</v>
      </c>
      <c r="L578" s="361">
        <f t="shared" si="98"/>
        <v>3500000</v>
      </c>
      <c r="M578" s="361">
        <f t="shared" si="99"/>
        <v>3500000</v>
      </c>
      <c r="N578" s="358">
        <v>3500000</v>
      </c>
      <c r="O578" s="358">
        <v>3500000</v>
      </c>
      <c r="P578" s="358">
        <v>3500000</v>
      </c>
      <c r="Q578" s="358">
        <v>3500000</v>
      </c>
      <c r="R578" s="358" t="s">
        <v>7</v>
      </c>
      <c r="S578" s="358">
        <v>0</v>
      </c>
      <c r="T578" s="358">
        <v>0</v>
      </c>
      <c r="U578" s="35">
        <f t="shared" si="100"/>
        <v>4</v>
      </c>
      <c r="W578">
        <f t="shared" si="101"/>
        <v>1</v>
      </c>
      <c r="X578" s="35">
        <f t="shared" si="102"/>
        <v>0</v>
      </c>
      <c r="Y578">
        <f t="shared" si="103"/>
        <v>1</v>
      </c>
      <c r="AB578">
        <f t="shared" si="106"/>
        <v>1</v>
      </c>
      <c r="AC578">
        <f t="shared" ca="1" si="107"/>
        <v>0</v>
      </c>
      <c r="AD578" t="str">
        <f ca="1">IF(AC578=1,COUNTIF($AC$3:AC578,1),"")</f>
        <v/>
      </c>
      <c r="AE578" s="155" t="str">
        <f ca="1">IFERROR(INDEX(Données!$B$3:$B$1479,MATCH(ROWS($AD$3:AD578),$AD$3:$AD$1479,0)),"")</f>
        <v/>
      </c>
    </row>
    <row r="579" spans="1:31" ht="15.75" x14ac:dyDescent="0.25">
      <c r="A579" t="str">
        <f t="shared" si="104"/>
        <v>Mark Pysyk - FLO - RD</v>
      </c>
      <c r="B579" t="str">
        <f t="shared" si="105"/>
        <v>Mark Pysyk - FLO - RD</v>
      </c>
      <c r="C579" t="str">
        <f t="shared" ref="C579:C642" si="108">RIGHT(E579,(LEN(E579)-1)-SEARCH(",",E579,1))</f>
        <v>Mark</v>
      </c>
      <c r="D579" t="str">
        <f t="shared" ref="D579:D642" si="109">LEFT(E579,SEARCH(",",E579,1)-1)</f>
        <v>Pysyk</v>
      </c>
      <c r="E579" s="39" t="s">
        <v>1461</v>
      </c>
      <c r="F579" s="30" t="s">
        <v>2531</v>
      </c>
      <c r="G579" s="35">
        <v>0</v>
      </c>
      <c r="H579" s="35" t="s">
        <v>379</v>
      </c>
      <c r="I579" s="35" t="s">
        <v>2677</v>
      </c>
      <c r="J579" s="35">
        <v>27</v>
      </c>
      <c r="K579" s="35">
        <f>VALUE(COUNTIF(Validation!$A$2:$H$47,E579))</f>
        <v>0</v>
      </c>
      <c r="L579" s="361">
        <f t="shared" ref="L579:L642" si="110">IF(OR(N579="RFA",N579="UFA",N579="",N579=0),0,N579)</f>
        <v>2733333</v>
      </c>
      <c r="M579" s="361">
        <f t="shared" ref="M579:M642" si="111">IF(OR(O579="RFA",O579="UFA",O579="",O579=0),0,O579)</f>
        <v>0</v>
      </c>
      <c r="N579" s="358">
        <v>2733333</v>
      </c>
      <c r="O579" s="358" t="s">
        <v>7</v>
      </c>
      <c r="P579" s="358">
        <v>0</v>
      </c>
      <c r="Q579" s="358">
        <v>0</v>
      </c>
      <c r="R579" s="358">
        <v>0</v>
      </c>
      <c r="S579" s="358">
        <v>0</v>
      </c>
      <c r="T579" s="358">
        <v>0</v>
      </c>
      <c r="U579" s="35">
        <f t="shared" ref="U579:U642" si="112">COUNTIF(N579:T579,"&gt;0")</f>
        <v>1</v>
      </c>
      <c r="W579">
        <f t="shared" ref="W579:W642" si="113">COUNTIF($E$3:$E$1479,E579)</f>
        <v>1</v>
      </c>
      <c r="X579" s="35">
        <f t="shared" ref="X579:X642" si="114">IF(LEFT(G579,3)="ELC",1,0)</f>
        <v>0</v>
      </c>
      <c r="Y579">
        <f t="shared" ref="Y579:Y642" si="115">IF(L579=M579,1,0)</f>
        <v>0</v>
      </c>
      <c r="AB579">
        <f t="shared" si="106"/>
        <v>1</v>
      </c>
      <c r="AC579">
        <f t="shared" ca="1" si="107"/>
        <v>0</v>
      </c>
      <c r="AD579" t="str">
        <f ca="1">IF(AC579=1,COUNTIF($AC$3:AC579,1),"")</f>
        <v/>
      </c>
      <c r="AE579" s="155" t="str">
        <f ca="1">IFERROR(INDEX(Données!$B$3:$B$1479,MATCH(ROWS($AD$3:AD579),$AD$3:$AD$1479,0)),"")</f>
        <v/>
      </c>
    </row>
    <row r="580" spans="1:31" ht="15.75" x14ac:dyDescent="0.25">
      <c r="A580" t="str">
        <f t="shared" ref="A580:A643" si="116">C580&amp;" "&amp;D580&amp;" - "&amp;F580&amp;" - "&amp;H580</f>
        <v>Frank Vatrano - FLO - RW, LW</v>
      </c>
      <c r="B580" t="str">
        <f t="shared" ref="B580:B643" si="117">A580</f>
        <v>Frank Vatrano - FLO - RW, LW</v>
      </c>
      <c r="C580" t="str">
        <f t="shared" si="108"/>
        <v>Frank</v>
      </c>
      <c r="D580" t="str">
        <f t="shared" si="109"/>
        <v>Vatrano</v>
      </c>
      <c r="E580" s="39" t="s">
        <v>1458</v>
      </c>
      <c r="F580" s="30" t="s">
        <v>2531</v>
      </c>
      <c r="G580" s="35">
        <v>0</v>
      </c>
      <c r="H580" s="35" t="s">
        <v>2680</v>
      </c>
      <c r="I580" s="35" t="s">
        <v>2677</v>
      </c>
      <c r="J580" s="35">
        <v>25</v>
      </c>
      <c r="K580" s="35">
        <f>VALUE(COUNTIF(Validation!$A$2:$H$47,E580))</f>
        <v>0</v>
      </c>
      <c r="L580" s="361">
        <f t="shared" si="110"/>
        <v>2533333</v>
      </c>
      <c r="M580" s="361">
        <f t="shared" si="111"/>
        <v>2533333</v>
      </c>
      <c r="N580" s="358">
        <v>2533333</v>
      </c>
      <c r="O580" s="358">
        <v>2533333</v>
      </c>
      <c r="P580" s="358">
        <v>2533333</v>
      </c>
      <c r="Q580" s="358" t="s">
        <v>7</v>
      </c>
      <c r="R580" s="358">
        <v>0</v>
      </c>
      <c r="S580" s="358">
        <v>0</v>
      </c>
      <c r="T580" s="358">
        <v>0</v>
      </c>
      <c r="U580" s="35">
        <f t="shared" si="112"/>
        <v>3</v>
      </c>
      <c r="W580">
        <f t="shared" si="113"/>
        <v>1</v>
      </c>
      <c r="X580" s="35">
        <f t="shared" si="114"/>
        <v>0</v>
      </c>
      <c r="Y580">
        <f t="shared" si="115"/>
        <v>1</v>
      </c>
      <c r="AB580">
        <f t="shared" ref="AB580:AB643" si="118">SEARCH(AA580,A580)</f>
        <v>1</v>
      </c>
      <c r="AC580">
        <f t="shared" ca="1" si="107"/>
        <v>0</v>
      </c>
      <c r="AD580" t="str">
        <f ca="1">IF(AC580=1,COUNTIF($AC$3:AC580,1),"")</f>
        <v/>
      </c>
      <c r="AE580" s="155" t="str">
        <f ca="1">IFERROR(INDEX(Données!$B$3:$B$1479,MATCH(ROWS($AD$3:AD580),$AD$3:$AD$1479,0)),"")</f>
        <v/>
      </c>
    </row>
    <row r="581" spans="1:31" ht="15.75" x14ac:dyDescent="0.25">
      <c r="A581" t="str">
        <f t="shared" si="116"/>
        <v>Aleksi Heponiemi - FLO - C</v>
      </c>
      <c r="B581" t="str">
        <f t="shared" si="117"/>
        <v>Aleksi Heponiemi - FLO - C</v>
      </c>
      <c r="C581" t="str">
        <f t="shared" si="108"/>
        <v>Aleksi</v>
      </c>
      <c r="D581" t="str">
        <f t="shared" si="109"/>
        <v>Heponiemi</v>
      </c>
      <c r="E581" s="39" t="s">
        <v>2532</v>
      </c>
      <c r="F581" s="30" t="s">
        <v>2531</v>
      </c>
      <c r="G581" s="35" t="s">
        <v>386</v>
      </c>
      <c r="H581" s="35" t="s">
        <v>73</v>
      </c>
      <c r="I581" s="35" t="s">
        <v>2690</v>
      </c>
      <c r="J581" s="35">
        <v>20</v>
      </c>
      <c r="K581" s="35">
        <f>VALUE(COUNTIF(Validation!$A$2:$H$47,E581))</f>
        <v>0</v>
      </c>
      <c r="L581" s="361">
        <f t="shared" si="110"/>
        <v>1775000</v>
      </c>
      <c r="M581" s="361">
        <f t="shared" si="111"/>
        <v>1775000</v>
      </c>
      <c r="N581" s="358">
        <v>1775000</v>
      </c>
      <c r="O581" s="358">
        <v>1775000</v>
      </c>
      <c r="P581" s="358">
        <v>1775000</v>
      </c>
      <c r="Q581" s="358" t="s">
        <v>8</v>
      </c>
      <c r="R581" s="358">
        <v>0</v>
      </c>
      <c r="S581" s="358">
        <v>0</v>
      </c>
      <c r="T581" s="358">
        <v>0</v>
      </c>
      <c r="U581" s="35">
        <f t="shared" si="112"/>
        <v>3</v>
      </c>
      <c r="W581">
        <f t="shared" si="113"/>
        <v>1</v>
      </c>
      <c r="X581" s="35">
        <f t="shared" si="114"/>
        <v>1</v>
      </c>
      <c r="Y581">
        <f t="shared" si="115"/>
        <v>1</v>
      </c>
      <c r="AB581">
        <f t="shared" si="118"/>
        <v>1</v>
      </c>
      <c r="AC581">
        <f t="shared" ref="AC581:AC644" ca="1" si="119">IFERROR(SEARCH(INDIRECT(CELL("adresse")),B581,1),0)</f>
        <v>0</v>
      </c>
      <c r="AD581" t="str">
        <f ca="1">IF(AC581=1,COUNTIF($AC$3:AC581,1),"")</f>
        <v/>
      </c>
      <c r="AE581" s="155" t="str">
        <f ca="1">IFERROR(INDEX(Données!$B$3:$B$1479,MATCH(ROWS($AD$3:AD581),$AD$3:$AD$1479,0)),"")</f>
        <v/>
      </c>
    </row>
    <row r="582" spans="1:31" ht="15.75" x14ac:dyDescent="0.25">
      <c r="A582" t="str">
        <f t="shared" si="116"/>
        <v>Noel Acciari - FLO - RW, C</v>
      </c>
      <c r="B582" t="str">
        <f t="shared" si="117"/>
        <v>Noel Acciari - FLO - RW, C</v>
      </c>
      <c r="C582" t="str">
        <f t="shared" si="108"/>
        <v>Noel</v>
      </c>
      <c r="D582" t="str">
        <f t="shared" si="109"/>
        <v>Acciari</v>
      </c>
      <c r="E582" s="39" t="s">
        <v>1352</v>
      </c>
      <c r="F582" s="30" t="s">
        <v>2531</v>
      </c>
      <c r="G582" s="35" t="s">
        <v>381</v>
      </c>
      <c r="H582" s="35" t="s">
        <v>2678</v>
      </c>
      <c r="I582" s="35" t="s">
        <v>2677</v>
      </c>
      <c r="J582" s="35">
        <v>27</v>
      </c>
      <c r="K582" s="35">
        <f>VALUE(COUNTIF(Validation!$A$2:$H$47,E582))</f>
        <v>0</v>
      </c>
      <c r="L582" s="361">
        <f t="shared" si="110"/>
        <v>1666667</v>
      </c>
      <c r="M582" s="361">
        <f t="shared" si="111"/>
        <v>1666667</v>
      </c>
      <c r="N582" s="358">
        <v>1666667</v>
      </c>
      <c r="O582" s="358">
        <v>1666667</v>
      </c>
      <c r="P582" s="358">
        <v>1666667</v>
      </c>
      <c r="Q582" s="358" t="s">
        <v>7</v>
      </c>
      <c r="R582" s="358">
        <v>0</v>
      </c>
      <c r="S582" s="358">
        <v>0</v>
      </c>
      <c r="T582" s="358">
        <v>0</v>
      </c>
      <c r="U582" s="35">
        <f t="shared" si="112"/>
        <v>3</v>
      </c>
      <c r="W582">
        <f t="shared" si="113"/>
        <v>1</v>
      </c>
      <c r="X582" s="35">
        <f t="shared" si="114"/>
        <v>0</v>
      </c>
      <c r="Y582">
        <f t="shared" si="115"/>
        <v>1</v>
      </c>
      <c r="AB582">
        <f t="shared" si="118"/>
        <v>1</v>
      </c>
      <c r="AC582">
        <f t="shared" ca="1" si="119"/>
        <v>0</v>
      </c>
      <c r="AD582" t="str">
        <f ca="1">IF(AC582=1,COUNTIF($AC$3:AC582,1),"")</f>
        <v/>
      </c>
      <c r="AE582" s="155" t="str">
        <f ca="1">IFERROR(INDEX(Données!$B$3:$B$1479,MATCH(ROWS($AD$3:AD582),$AD$3:$AD$1479,0)),"")</f>
        <v/>
      </c>
    </row>
    <row r="583" spans="1:31" ht="15.75" x14ac:dyDescent="0.25">
      <c r="A583" t="str">
        <f t="shared" si="116"/>
        <v>MacKenzie Weegar - FLO - RD</v>
      </c>
      <c r="B583" t="str">
        <f t="shared" si="117"/>
        <v>MacKenzie Weegar - FLO - RD</v>
      </c>
      <c r="C583" t="str">
        <f t="shared" si="108"/>
        <v>MacKenzie</v>
      </c>
      <c r="D583" t="str">
        <f t="shared" si="109"/>
        <v>Weegar</v>
      </c>
      <c r="E583" s="39" t="s">
        <v>1463</v>
      </c>
      <c r="F583" s="30" t="s">
        <v>2531</v>
      </c>
      <c r="G583" s="35">
        <v>0</v>
      </c>
      <c r="H583" s="35" t="s">
        <v>379</v>
      </c>
      <c r="I583" s="35" t="s">
        <v>2677</v>
      </c>
      <c r="J583" s="9">
        <v>25</v>
      </c>
      <c r="K583" s="35">
        <f>VALUE(COUNTIF(Validation!$A$2:$H$47,E583))</f>
        <v>0</v>
      </c>
      <c r="L583" s="361">
        <f t="shared" si="110"/>
        <v>1600000</v>
      </c>
      <c r="M583" s="361">
        <f t="shared" si="111"/>
        <v>0</v>
      </c>
      <c r="N583" s="358">
        <v>1600000</v>
      </c>
      <c r="O583" s="358" t="s">
        <v>8</v>
      </c>
      <c r="P583" s="358">
        <v>0</v>
      </c>
      <c r="Q583" s="358">
        <v>0</v>
      </c>
      <c r="R583" s="358">
        <v>0</v>
      </c>
      <c r="S583" s="358">
        <v>0</v>
      </c>
      <c r="T583" s="358">
        <v>0</v>
      </c>
      <c r="U583" s="35">
        <f t="shared" si="112"/>
        <v>1</v>
      </c>
      <c r="W583">
        <f t="shared" si="113"/>
        <v>1</v>
      </c>
      <c r="X583" s="35">
        <f t="shared" si="114"/>
        <v>0</v>
      </c>
      <c r="Y583">
        <f t="shared" si="115"/>
        <v>0</v>
      </c>
      <c r="AB583">
        <f t="shared" si="118"/>
        <v>1</v>
      </c>
      <c r="AC583">
        <f t="shared" ca="1" si="119"/>
        <v>0</v>
      </c>
      <c r="AD583" t="str">
        <f ca="1">IF(AC583=1,COUNTIF($AC$3:AC583,1),"")</f>
        <v/>
      </c>
      <c r="AE583" s="155" t="str">
        <f ca="1">IFERROR(INDEX(Données!$B$3:$B$1479,MATCH(ROWS($AD$3:AD583),$AD$3:$AD$1479,0)),"")</f>
        <v/>
      </c>
    </row>
    <row r="584" spans="1:31" ht="15.75" x14ac:dyDescent="0.25">
      <c r="A584" t="str">
        <f t="shared" si="116"/>
        <v>Owen Tippett - FLO - RW</v>
      </c>
      <c r="B584" t="str">
        <f t="shared" si="117"/>
        <v>Owen Tippett - FLO - RW</v>
      </c>
      <c r="C584" t="str">
        <f t="shared" si="108"/>
        <v>Owen</v>
      </c>
      <c r="D584" t="str">
        <f t="shared" si="109"/>
        <v>Tippett</v>
      </c>
      <c r="E584" s="39" t="s">
        <v>1467</v>
      </c>
      <c r="F584" s="30" t="s">
        <v>2531</v>
      </c>
      <c r="G584" s="35" t="s">
        <v>386</v>
      </c>
      <c r="H584" s="35" t="s">
        <v>88</v>
      </c>
      <c r="I584" s="35" t="s">
        <v>2690</v>
      </c>
      <c r="J584" s="35">
        <v>20</v>
      </c>
      <c r="K584" s="35">
        <f>VALUE(COUNTIF(Validation!$A$2:$H$47,E584))</f>
        <v>0</v>
      </c>
      <c r="L584" s="361">
        <f t="shared" si="110"/>
        <v>1596667</v>
      </c>
      <c r="M584" s="361">
        <f t="shared" si="111"/>
        <v>1596667</v>
      </c>
      <c r="N584" s="358">
        <v>1596667</v>
      </c>
      <c r="O584" s="358">
        <v>1596667</v>
      </c>
      <c r="P584" s="358">
        <v>1596667</v>
      </c>
      <c r="Q584" s="358" t="s">
        <v>8</v>
      </c>
      <c r="R584" s="358">
        <v>0</v>
      </c>
      <c r="S584" s="358">
        <v>0</v>
      </c>
      <c r="T584" s="358">
        <v>0</v>
      </c>
      <c r="U584" s="35">
        <f t="shared" si="112"/>
        <v>3</v>
      </c>
      <c r="W584">
        <f t="shared" si="113"/>
        <v>1</v>
      </c>
      <c r="X584" s="35">
        <f t="shared" si="114"/>
        <v>1</v>
      </c>
      <c r="Y584">
        <f t="shared" si="115"/>
        <v>1</v>
      </c>
      <c r="AB584">
        <f t="shared" si="118"/>
        <v>1</v>
      </c>
      <c r="AC584">
        <f t="shared" ca="1" si="119"/>
        <v>0</v>
      </c>
      <c r="AD584" t="str">
        <f ca="1">IF(AC584=1,COUNTIF($AC$3:AC584,1),"")</f>
        <v/>
      </c>
      <c r="AE584" s="155" t="str">
        <f ca="1">IFERROR(INDEX(Données!$B$3:$B$1479,MATCH(ROWS($AD$3:AD584),$AD$3:$AD$1479,0)),"")</f>
        <v/>
      </c>
    </row>
    <row r="585" spans="1:31" ht="15.75" x14ac:dyDescent="0.25">
      <c r="A585" t="str">
        <f t="shared" si="116"/>
        <v>Henrik Borgstrom - FLO - C</v>
      </c>
      <c r="B585" t="str">
        <f t="shared" si="117"/>
        <v>Henrik Borgstrom - FLO - C</v>
      </c>
      <c r="C585" t="str">
        <f t="shared" si="108"/>
        <v>Henrik</v>
      </c>
      <c r="D585" t="str">
        <f t="shared" si="109"/>
        <v>Borgstrom</v>
      </c>
      <c r="E585" s="39" t="s">
        <v>2850</v>
      </c>
      <c r="F585" s="30" t="s">
        <v>2531</v>
      </c>
      <c r="G585" s="35" t="s">
        <v>386</v>
      </c>
      <c r="H585" s="35" t="s">
        <v>73</v>
      </c>
      <c r="I585" s="35" t="s">
        <v>2677</v>
      </c>
      <c r="J585" s="35">
        <v>22</v>
      </c>
      <c r="K585" s="35">
        <f>VALUE(COUNTIF(Validation!$A$2:$H$47,E585))</f>
        <v>0</v>
      </c>
      <c r="L585" s="361">
        <f t="shared" si="110"/>
        <v>1491667</v>
      </c>
      <c r="M585" s="361">
        <f t="shared" si="111"/>
        <v>0</v>
      </c>
      <c r="N585" s="358">
        <v>1491667</v>
      </c>
      <c r="O585" s="358" t="s">
        <v>8</v>
      </c>
      <c r="P585" s="358">
        <v>0</v>
      </c>
      <c r="Q585" s="358">
        <v>0</v>
      </c>
      <c r="R585" s="358">
        <v>0</v>
      </c>
      <c r="S585" s="358">
        <v>0</v>
      </c>
      <c r="T585" s="358">
        <v>0</v>
      </c>
      <c r="U585" s="35">
        <f t="shared" si="112"/>
        <v>1</v>
      </c>
      <c r="W585">
        <f t="shared" si="113"/>
        <v>1</v>
      </c>
      <c r="X585" s="35">
        <f t="shared" si="114"/>
        <v>1</v>
      </c>
      <c r="Y585">
        <f t="shared" si="115"/>
        <v>0</v>
      </c>
      <c r="AB585">
        <f t="shared" si="118"/>
        <v>1</v>
      </c>
      <c r="AC585">
        <f t="shared" ca="1" si="119"/>
        <v>0</v>
      </c>
      <c r="AD585" t="str">
        <f ca="1">IF(AC585=1,COUNTIF($AC$3:AC585,1),"")</f>
        <v/>
      </c>
      <c r="AE585" s="155" t="str">
        <f ca="1">IFERROR(INDEX(Données!$B$3:$B$1479,MATCH(ROWS($AD$3:AD585),$AD$3:$AD$1479,0)),"")</f>
        <v/>
      </c>
    </row>
    <row r="586" spans="1:31" ht="15.75" x14ac:dyDescent="0.25">
      <c r="A586" t="str">
        <f t="shared" si="116"/>
        <v>Brady Keeper - FLO - RD</v>
      </c>
      <c r="B586" t="str">
        <f t="shared" si="117"/>
        <v>Brady Keeper - FLO - RD</v>
      </c>
      <c r="C586" t="str">
        <f t="shared" si="108"/>
        <v>Brady</v>
      </c>
      <c r="D586" t="str">
        <f t="shared" si="109"/>
        <v>Keeper</v>
      </c>
      <c r="E586" s="39" t="s">
        <v>2536</v>
      </c>
      <c r="F586" s="30" t="s">
        <v>2531</v>
      </c>
      <c r="G586" s="35" t="s">
        <v>386</v>
      </c>
      <c r="H586" s="35" t="s">
        <v>379</v>
      </c>
      <c r="I586" s="35" t="s">
        <v>2690</v>
      </c>
      <c r="J586" s="35">
        <v>23</v>
      </c>
      <c r="K586" s="35">
        <f>VALUE(COUNTIF(Validation!$A$2:$H$47,E586))</f>
        <v>0</v>
      </c>
      <c r="L586" s="361">
        <f t="shared" si="110"/>
        <v>1350000</v>
      </c>
      <c r="M586" s="361">
        <f t="shared" si="111"/>
        <v>0</v>
      </c>
      <c r="N586" s="358">
        <v>1350000</v>
      </c>
      <c r="O586" s="358" t="s">
        <v>8</v>
      </c>
      <c r="P586" s="358">
        <v>0</v>
      </c>
      <c r="Q586" s="358">
        <v>0</v>
      </c>
      <c r="R586" s="358">
        <v>0</v>
      </c>
      <c r="S586" s="358">
        <v>0</v>
      </c>
      <c r="T586" s="358">
        <v>0</v>
      </c>
      <c r="U586" s="35">
        <f t="shared" si="112"/>
        <v>1</v>
      </c>
      <c r="W586">
        <f t="shared" si="113"/>
        <v>1</v>
      </c>
      <c r="X586" s="35">
        <f t="shared" si="114"/>
        <v>1</v>
      </c>
      <c r="Y586">
        <f t="shared" si="115"/>
        <v>0</v>
      </c>
      <c r="AB586">
        <f t="shared" si="118"/>
        <v>1</v>
      </c>
      <c r="AC586">
        <f t="shared" ca="1" si="119"/>
        <v>0</v>
      </c>
      <c r="AD586" t="str">
        <f ca="1">IF(AC586=1,COUNTIF($AC$3:AC586,1),"")</f>
        <v/>
      </c>
      <c r="AE586" s="155" t="str">
        <f ca="1">IFERROR(INDEX(Données!$B$3:$B$1479,MATCH(ROWS($AD$3:AD586),$AD$3:$AD$1479,0)),"")</f>
        <v/>
      </c>
    </row>
    <row r="587" spans="1:31" ht="15.75" x14ac:dyDescent="0.25">
      <c r="A587" t="str">
        <f t="shared" si="116"/>
        <v>Colton Sceviour - FLO - RW</v>
      </c>
      <c r="B587" t="str">
        <f t="shared" si="117"/>
        <v>Colton Sceviour - FLO - RW</v>
      </c>
      <c r="C587" t="str">
        <f t="shared" si="108"/>
        <v>Colton</v>
      </c>
      <c r="D587" t="str">
        <f t="shared" si="109"/>
        <v>Sceviour</v>
      </c>
      <c r="E587" s="39" t="s">
        <v>1457</v>
      </c>
      <c r="F587" s="30" t="s">
        <v>2531</v>
      </c>
      <c r="G587" s="35">
        <v>0</v>
      </c>
      <c r="H587" s="35" t="s">
        <v>88</v>
      </c>
      <c r="I587" s="35" t="s">
        <v>2677</v>
      </c>
      <c r="J587" s="35">
        <v>30</v>
      </c>
      <c r="K587" s="35">
        <f>VALUE(COUNTIF(Validation!$A$2:$H$47,E587))</f>
        <v>0</v>
      </c>
      <c r="L587" s="361">
        <f t="shared" si="110"/>
        <v>1200000</v>
      </c>
      <c r="M587" s="361">
        <f t="shared" si="111"/>
        <v>1200000</v>
      </c>
      <c r="N587" s="358">
        <v>1200000</v>
      </c>
      <c r="O587" s="358">
        <v>1200000</v>
      </c>
      <c r="P587" s="358" t="s">
        <v>7</v>
      </c>
      <c r="Q587" s="358">
        <v>0</v>
      </c>
      <c r="R587" s="358">
        <v>0</v>
      </c>
      <c r="S587" s="358">
        <v>0</v>
      </c>
      <c r="T587" s="358">
        <v>0</v>
      </c>
      <c r="U587" s="35">
        <f t="shared" si="112"/>
        <v>2</v>
      </c>
      <c r="W587">
        <f t="shared" si="113"/>
        <v>1</v>
      </c>
      <c r="X587" s="35">
        <f t="shared" si="114"/>
        <v>0</v>
      </c>
      <c r="Y587">
        <f t="shared" si="115"/>
        <v>1</v>
      </c>
      <c r="AB587">
        <f t="shared" si="118"/>
        <v>1</v>
      </c>
      <c r="AC587">
        <f t="shared" ca="1" si="119"/>
        <v>0</v>
      </c>
      <c r="AD587" t="str">
        <f ca="1">IF(AC587=1,COUNTIF($AC$3:AC587,1),"")</f>
        <v/>
      </c>
      <c r="AE587" s="155" t="str">
        <f ca="1">IFERROR(INDEX(Données!$B$3:$B$1479,MATCH(ROWS($AD$3:AD587),$AD$3:$AD$1479,0)),"")</f>
        <v/>
      </c>
    </row>
    <row r="588" spans="1:31" ht="15.75" x14ac:dyDescent="0.25">
      <c r="A588" t="str">
        <f t="shared" si="116"/>
        <v>Rodrigo Abols - FLO - C</v>
      </c>
      <c r="B588" t="str">
        <f t="shared" si="117"/>
        <v>Rodrigo Abols - FLO - C</v>
      </c>
      <c r="C588" t="str">
        <f t="shared" si="108"/>
        <v>Rodrigo</v>
      </c>
      <c r="D588" t="str">
        <f t="shared" si="109"/>
        <v>Abols</v>
      </c>
      <c r="E588" s="39" t="s">
        <v>2534</v>
      </c>
      <c r="F588" s="30" t="s">
        <v>2531</v>
      </c>
      <c r="G588" s="35" t="s">
        <v>386</v>
      </c>
      <c r="H588" s="35" t="s">
        <v>73</v>
      </c>
      <c r="I588" s="35" t="s">
        <v>2690</v>
      </c>
      <c r="J588" s="35">
        <v>23</v>
      </c>
      <c r="K588" s="35">
        <f>VALUE(COUNTIF(Validation!$A$2:$H$47,E588))</f>
        <v>0</v>
      </c>
      <c r="L588" s="361">
        <f t="shared" si="110"/>
        <v>925000</v>
      </c>
      <c r="M588" s="361">
        <f t="shared" si="111"/>
        <v>925000</v>
      </c>
      <c r="N588" s="358">
        <v>925000</v>
      </c>
      <c r="O588" s="358">
        <v>925000</v>
      </c>
      <c r="P588" s="358" t="s">
        <v>8</v>
      </c>
      <c r="Q588" s="358">
        <v>0</v>
      </c>
      <c r="R588" s="358">
        <v>0</v>
      </c>
      <c r="S588" s="358">
        <v>0</v>
      </c>
      <c r="T588" s="358">
        <v>0</v>
      </c>
      <c r="U588" s="35">
        <f t="shared" si="112"/>
        <v>2</v>
      </c>
      <c r="W588">
        <f t="shared" si="113"/>
        <v>1</v>
      </c>
      <c r="X588" s="35">
        <f t="shared" si="114"/>
        <v>1</v>
      </c>
      <c r="Y588">
        <f t="shared" si="115"/>
        <v>1</v>
      </c>
      <c r="AB588">
        <f t="shared" si="118"/>
        <v>1</v>
      </c>
      <c r="AC588">
        <f t="shared" ca="1" si="119"/>
        <v>0</v>
      </c>
      <c r="AD588" t="str">
        <f ca="1">IF(AC588=1,COUNTIF($AC$3:AC588,1),"")</f>
        <v/>
      </c>
      <c r="AE588" s="155" t="str">
        <f ca="1">IFERROR(INDEX(Données!$B$3:$B$1479,MATCH(ROWS($AD$3:AD588),$AD$3:$AD$1479,0)),"")</f>
        <v/>
      </c>
    </row>
    <row r="589" spans="1:31" ht="15.75" x14ac:dyDescent="0.25">
      <c r="A589" t="str">
        <f t="shared" si="116"/>
        <v>Patrick Bajkov - FLO - RW, LW</v>
      </c>
      <c r="B589" t="str">
        <f t="shared" si="117"/>
        <v>Patrick Bajkov - FLO - RW, LW</v>
      </c>
      <c r="C589" t="str">
        <f t="shared" si="108"/>
        <v>Patrick</v>
      </c>
      <c r="D589" t="str">
        <f t="shared" si="109"/>
        <v>Bajkov</v>
      </c>
      <c r="E589" s="39" t="s">
        <v>1469</v>
      </c>
      <c r="F589" s="30" t="s">
        <v>2531</v>
      </c>
      <c r="G589" s="35" t="s">
        <v>386</v>
      </c>
      <c r="H589" s="35" t="s">
        <v>2680</v>
      </c>
      <c r="I589" s="35" t="s">
        <v>2690</v>
      </c>
      <c r="J589" s="35">
        <v>21</v>
      </c>
      <c r="K589" s="35">
        <f>VALUE(COUNTIF(Validation!$A$2:$H$47,E589))</f>
        <v>0</v>
      </c>
      <c r="L589" s="361">
        <f t="shared" si="110"/>
        <v>925000</v>
      </c>
      <c r="M589" s="361">
        <f t="shared" si="111"/>
        <v>925000</v>
      </c>
      <c r="N589" s="358">
        <v>925000</v>
      </c>
      <c r="O589" s="358">
        <v>925000</v>
      </c>
      <c r="P589" s="358" t="s">
        <v>8</v>
      </c>
      <c r="Q589" s="358">
        <v>0</v>
      </c>
      <c r="R589" s="358">
        <v>0</v>
      </c>
      <c r="S589" s="358">
        <v>0</v>
      </c>
      <c r="T589" s="358">
        <v>0</v>
      </c>
      <c r="U589" s="35">
        <f t="shared" si="112"/>
        <v>2</v>
      </c>
      <c r="W589">
        <f t="shared" si="113"/>
        <v>1</v>
      </c>
      <c r="X589" s="35">
        <f t="shared" si="114"/>
        <v>1</v>
      </c>
      <c r="Y589">
        <f t="shared" si="115"/>
        <v>1</v>
      </c>
      <c r="AB589">
        <f t="shared" si="118"/>
        <v>1</v>
      </c>
      <c r="AC589">
        <f t="shared" ca="1" si="119"/>
        <v>0</v>
      </c>
      <c r="AD589" t="str">
        <f ca="1">IF(AC589=1,COUNTIF($AC$3:AC589,1),"")</f>
        <v/>
      </c>
      <c r="AE589" s="155" t="str">
        <f ca="1">IFERROR(INDEX(Données!$B$3:$B$1479,MATCH(ROWS($AD$3:AD589),$AD$3:$AD$1479,0)),"")</f>
        <v/>
      </c>
    </row>
    <row r="590" spans="1:31" ht="15.75" x14ac:dyDescent="0.25">
      <c r="A590" t="str">
        <f t="shared" si="116"/>
        <v>Ryan Bednard - FLO - G</v>
      </c>
      <c r="B590" t="str">
        <f t="shared" si="117"/>
        <v>Ryan Bednard - FLO - G</v>
      </c>
      <c r="C590" t="str">
        <f t="shared" si="108"/>
        <v>Ryan</v>
      </c>
      <c r="D590" t="str">
        <f t="shared" si="109"/>
        <v>Bednard</v>
      </c>
      <c r="E590" s="39" t="s">
        <v>2538</v>
      </c>
      <c r="F590" s="30" t="s">
        <v>2531</v>
      </c>
      <c r="G590" s="35" t="s">
        <v>386</v>
      </c>
      <c r="H590" s="35" t="s">
        <v>127</v>
      </c>
      <c r="I590" s="35" t="s">
        <v>2690</v>
      </c>
      <c r="J590" s="35">
        <v>22</v>
      </c>
      <c r="K590" s="35">
        <f>VALUE(COUNTIF(Validation!$A$2:$H$47,E590))</f>
        <v>0</v>
      </c>
      <c r="L590" s="361">
        <f t="shared" si="110"/>
        <v>925000</v>
      </c>
      <c r="M590" s="361">
        <f t="shared" si="111"/>
        <v>925000</v>
      </c>
      <c r="N590" s="358">
        <v>925000</v>
      </c>
      <c r="O590" s="358">
        <v>925000</v>
      </c>
      <c r="P590" s="358" t="s">
        <v>8</v>
      </c>
      <c r="Q590" s="358">
        <v>0</v>
      </c>
      <c r="R590" s="358">
        <v>0</v>
      </c>
      <c r="S590" s="358">
        <v>0</v>
      </c>
      <c r="T590" s="358">
        <v>0</v>
      </c>
      <c r="U590" s="35">
        <f t="shared" si="112"/>
        <v>2</v>
      </c>
      <c r="W590">
        <f t="shared" si="113"/>
        <v>1</v>
      </c>
      <c r="X590" s="35">
        <f t="shared" si="114"/>
        <v>1</v>
      </c>
      <c r="Y590">
        <f t="shared" si="115"/>
        <v>1</v>
      </c>
      <c r="AB590">
        <f t="shared" si="118"/>
        <v>1</v>
      </c>
      <c r="AC590">
        <f t="shared" ca="1" si="119"/>
        <v>0</v>
      </c>
      <c r="AD590" t="str">
        <f ca="1">IF(AC590=1,COUNTIF($AC$3:AC590,1),"")</f>
        <v/>
      </c>
      <c r="AE590" s="155" t="str">
        <f ca="1">IFERROR(INDEX(Données!$B$3:$B$1479,MATCH(ROWS($AD$3:AD590),$AD$3:$AD$1479,0)),"")</f>
        <v/>
      </c>
    </row>
    <row r="591" spans="1:31" ht="15.75" x14ac:dyDescent="0.25">
      <c r="A591" t="str">
        <f t="shared" si="116"/>
        <v>Serron Noel - FLO - RW</v>
      </c>
      <c r="B591" t="str">
        <f t="shared" si="117"/>
        <v>Serron Noel - FLO - RW</v>
      </c>
      <c r="C591" t="str">
        <f t="shared" si="108"/>
        <v>Serron</v>
      </c>
      <c r="D591" t="str">
        <f t="shared" si="109"/>
        <v>Noel</v>
      </c>
      <c r="E591" s="39" t="s">
        <v>2533</v>
      </c>
      <c r="F591" s="30" t="s">
        <v>2531</v>
      </c>
      <c r="G591" s="35" t="s">
        <v>388</v>
      </c>
      <c r="H591" s="35" t="s">
        <v>88</v>
      </c>
      <c r="I591" s="35" t="s">
        <v>389</v>
      </c>
      <c r="J591" s="35">
        <v>19</v>
      </c>
      <c r="K591" s="35">
        <f>VALUE(COUNTIF(Validation!$A$2:$H$47,E591))</f>
        <v>0</v>
      </c>
      <c r="L591" s="361">
        <f t="shared" si="110"/>
        <v>925000</v>
      </c>
      <c r="M591" s="361">
        <f t="shared" si="111"/>
        <v>925000</v>
      </c>
      <c r="N591" s="358">
        <v>925000</v>
      </c>
      <c r="O591" s="358">
        <v>925000</v>
      </c>
      <c r="P591" s="358">
        <v>925000</v>
      </c>
      <c r="Q591" s="358" t="s">
        <v>8</v>
      </c>
      <c r="R591" s="358">
        <v>0</v>
      </c>
      <c r="S591" s="358">
        <v>0</v>
      </c>
      <c r="T591" s="358">
        <v>0</v>
      </c>
      <c r="U591" s="35">
        <f t="shared" si="112"/>
        <v>3</v>
      </c>
      <c r="W591">
        <f t="shared" si="113"/>
        <v>1</v>
      </c>
      <c r="X591" s="35">
        <f t="shared" si="114"/>
        <v>1</v>
      </c>
      <c r="Y591">
        <f t="shared" si="115"/>
        <v>1</v>
      </c>
      <c r="AB591">
        <f t="shared" si="118"/>
        <v>1</v>
      </c>
      <c r="AC591">
        <f t="shared" ca="1" si="119"/>
        <v>0</v>
      </c>
      <c r="AD591" t="str">
        <f ca="1">IF(AC591=1,COUNTIF($AC$3:AC591,1),"")</f>
        <v/>
      </c>
      <c r="AE591" s="155" t="str">
        <f ca="1">IFERROR(INDEX(Données!$B$3:$B$1479,MATCH(ROWS($AD$3:AD591),$AD$3:$AD$1479,0)),"")</f>
        <v/>
      </c>
    </row>
    <row r="592" spans="1:31" ht="15.75" x14ac:dyDescent="0.25">
      <c r="A592" t="str">
        <f t="shared" si="116"/>
        <v>Jonathan Ang - FLO - C</v>
      </c>
      <c r="B592" t="str">
        <f t="shared" si="117"/>
        <v>Jonathan Ang - FLO - C</v>
      </c>
      <c r="C592" t="str">
        <f t="shared" si="108"/>
        <v>Jonathan</v>
      </c>
      <c r="D592" t="str">
        <f t="shared" si="109"/>
        <v>Ang</v>
      </c>
      <c r="E592" s="39" t="s">
        <v>1472</v>
      </c>
      <c r="F592" s="30" t="s">
        <v>2531</v>
      </c>
      <c r="G592" s="35" t="s">
        <v>386</v>
      </c>
      <c r="H592" s="9" t="s">
        <v>73</v>
      </c>
      <c r="I592" s="9" t="s">
        <v>2690</v>
      </c>
      <c r="J592" s="9">
        <v>21</v>
      </c>
      <c r="K592" s="35">
        <f>VALUE(COUNTIF(Validation!$A$2:$H$47,E592))</f>
        <v>0</v>
      </c>
      <c r="L592" s="361">
        <f t="shared" si="110"/>
        <v>910833</v>
      </c>
      <c r="M592" s="361">
        <f t="shared" si="111"/>
        <v>910833</v>
      </c>
      <c r="N592" s="358">
        <v>910833</v>
      </c>
      <c r="O592" s="358">
        <v>910833</v>
      </c>
      <c r="P592" s="358" t="s">
        <v>8</v>
      </c>
      <c r="Q592" s="358">
        <v>0</v>
      </c>
      <c r="R592" s="358">
        <v>0</v>
      </c>
      <c r="S592" s="358">
        <v>0</v>
      </c>
      <c r="T592" s="358">
        <v>0</v>
      </c>
      <c r="U592" s="35">
        <f t="shared" si="112"/>
        <v>2</v>
      </c>
      <c r="W592">
        <f t="shared" si="113"/>
        <v>1</v>
      </c>
      <c r="X592" s="35">
        <f t="shared" si="114"/>
        <v>1</v>
      </c>
      <c r="Y592">
        <f t="shared" si="115"/>
        <v>1</v>
      </c>
      <c r="AB592">
        <f t="shared" si="118"/>
        <v>1</v>
      </c>
      <c r="AC592">
        <f t="shared" ca="1" si="119"/>
        <v>0</v>
      </c>
      <c r="AD592" t="str">
        <f ca="1">IF(AC592=1,COUNTIF($AC$3:AC592,1),"")</f>
        <v/>
      </c>
      <c r="AE592" s="155" t="str">
        <f ca="1">IFERROR(INDEX(Données!$B$3:$B$1479,MATCH(ROWS($AD$3:AD592),$AD$3:$AD$1479,0)),"")</f>
        <v/>
      </c>
    </row>
    <row r="593" spans="1:31" ht="15.75" x14ac:dyDescent="0.25">
      <c r="A593" t="str">
        <f t="shared" si="116"/>
        <v>Cliff Pu - FLO - RW</v>
      </c>
      <c r="B593" t="str">
        <f t="shared" si="117"/>
        <v>Cliff Pu - FLO - RW</v>
      </c>
      <c r="C593" t="str">
        <f t="shared" si="108"/>
        <v>Cliff</v>
      </c>
      <c r="D593" t="str">
        <f t="shared" si="109"/>
        <v>Pu</v>
      </c>
      <c r="E593" s="39" t="s">
        <v>1642</v>
      </c>
      <c r="F593" s="30" t="s">
        <v>2531</v>
      </c>
      <c r="G593" s="35" t="s">
        <v>386</v>
      </c>
      <c r="H593" s="35" t="s">
        <v>88</v>
      </c>
      <c r="I593" s="35" t="s">
        <v>2690</v>
      </c>
      <c r="J593" s="35">
        <v>21</v>
      </c>
      <c r="K593" s="35">
        <f>VALUE(COUNTIF(Validation!$A$2:$H$47,E593))</f>
        <v>0</v>
      </c>
      <c r="L593" s="361">
        <f t="shared" si="110"/>
        <v>910833</v>
      </c>
      <c r="M593" s="361">
        <f t="shared" si="111"/>
        <v>910833</v>
      </c>
      <c r="N593" s="358">
        <v>910833</v>
      </c>
      <c r="O593" s="358">
        <v>910833</v>
      </c>
      <c r="P593" s="358" t="s">
        <v>8</v>
      </c>
      <c r="Q593" s="358">
        <v>0</v>
      </c>
      <c r="R593" s="358">
        <v>0</v>
      </c>
      <c r="S593" s="358">
        <v>0</v>
      </c>
      <c r="T593" s="358">
        <v>0</v>
      </c>
      <c r="U593" s="35">
        <f t="shared" si="112"/>
        <v>2</v>
      </c>
      <c r="W593">
        <f t="shared" si="113"/>
        <v>1</v>
      </c>
      <c r="X593" s="35">
        <f t="shared" si="114"/>
        <v>1</v>
      </c>
      <c r="Y593">
        <f t="shared" si="115"/>
        <v>1</v>
      </c>
      <c r="AB593">
        <f t="shared" si="118"/>
        <v>1</v>
      </c>
      <c r="AC593">
        <f t="shared" ca="1" si="119"/>
        <v>0</v>
      </c>
      <c r="AD593" t="str">
        <f ca="1">IF(AC593=1,COUNTIF($AC$3:AC593,1),"")</f>
        <v/>
      </c>
      <c r="AE593" s="155" t="str">
        <f ca="1">IFERROR(INDEX(Données!$B$3:$B$1479,MATCH(ROWS($AD$3:AD593),$AD$3:$AD$1479,0)),"")</f>
        <v/>
      </c>
    </row>
    <row r="594" spans="1:31" ht="15.75" x14ac:dyDescent="0.25">
      <c r="A594" t="str">
        <f t="shared" si="116"/>
        <v>Riley Stillman - FLO - LD</v>
      </c>
      <c r="B594" t="str">
        <f t="shared" si="117"/>
        <v>Riley Stillman - FLO - LD</v>
      </c>
      <c r="C594" t="str">
        <f t="shared" si="108"/>
        <v>Riley</v>
      </c>
      <c r="D594" t="str">
        <f t="shared" si="109"/>
        <v>Stillman</v>
      </c>
      <c r="E594" s="39" t="s">
        <v>1470</v>
      </c>
      <c r="F594" s="30" t="s">
        <v>2531</v>
      </c>
      <c r="G594" s="35" t="s">
        <v>386</v>
      </c>
      <c r="H594" s="35" t="s">
        <v>380</v>
      </c>
      <c r="I594" s="35" t="s">
        <v>2690</v>
      </c>
      <c r="J594" s="35">
        <v>21</v>
      </c>
      <c r="K594" s="35">
        <f>VALUE(COUNTIF(Validation!$A$2:$H$47,E594))</f>
        <v>0</v>
      </c>
      <c r="L594" s="361">
        <f t="shared" si="110"/>
        <v>900000</v>
      </c>
      <c r="M594" s="361">
        <f t="shared" si="111"/>
        <v>900000</v>
      </c>
      <c r="N594" s="358">
        <v>900000</v>
      </c>
      <c r="O594" s="358">
        <v>900000</v>
      </c>
      <c r="P594" s="358" t="s">
        <v>8</v>
      </c>
      <c r="Q594" s="358">
        <v>0</v>
      </c>
      <c r="R594" s="358">
        <v>0</v>
      </c>
      <c r="S594" s="358">
        <v>0</v>
      </c>
      <c r="T594" s="358">
        <v>0</v>
      </c>
      <c r="U594" s="35">
        <f t="shared" si="112"/>
        <v>2</v>
      </c>
      <c r="W594">
        <f t="shared" si="113"/>
        <v>1</v>
      </c>
      <c r="X594" s="35">
        <f t="shared" si="114"/>
        <v>1</v>
      </c>
      <c r="Y594">
        <f t="shared" si="115"/>
        <v>1</v>
      </c>
      <c r="AB594">
        <f t="shared" si="118"/>
        <v>1</v>
      </c>
      <c r="AC594">
        <f t="shared" ca="1" si="119"/>
        <v>0</v>
      </c>
      <c r="AD594" t="str">
        <f ca="1">IF(AC594=1,COUNTIF($AC$3:AC594,1),"")</f>
        <v/>
      </c>
      <c r="AE594" s="155" t="str">
        <f ca="1">IFERROR(INDEX(Données!$B$3:$B$1479,MATCH(ROWS($AD$3:AD594),$AD$3:$AD$1479,0)),"")</f>
        <v/>
      </c>
    </row>
    <row r="595" spans="1:31" ht="15.75" x14ac:dyDescent="0.25">
      <c r="A595" t="str">
        <f t="shared" si="116"/>
        <v>Jayce Hawryluk - FLO - LW, C</v>
      </c>
      <c r="B595" t="str">
        <f t="shared" si="117"/>
        <v>Jayce Hawryluk - FLO - LW, C</v>
      </c>
      <c r="C595" t="str">
        <f t="shared" si="108"/>
        <v>Jayce</v>
      </c>
      <c r="D595" t="str">
        <f t="shared" si="109"/>
        <v>Hawryluk</v>
      </c>
      <c r="E595" s="39" t="s">
        <v>1466</v>
      </c>
      <c r="F595" s="30" t="s">
        <v>2531</v>
      </c>
      <c r="G595" s="35">
        <v>0</v>
      </c>
      <c r="H595" s="35" t="s">
        <v>2696</v>
      </c>
      <c r="I595" s="35" t="s">
        <v>2690</v>
      </c>
      <c r="J595" s="35">
        <v>23</v>
      </c>
      <c r="K595" s="35">
        <f>VALUE(COUNTIF(Validation!$A$2:$H$47,E595))</f>
        <v>0</v>
      </c>
      <c r="L595" s="361">
        <f t="shared" si="110"/>
        <v>874125</v>
      </c>
      <c r="M595" s="361">
        <f t="shared" si="111"/>
        <v>0</v>
      </c>
      <c r="N595" s="358">
        <v>874125</v>
      </c>
      <c r="O595" s="358" t="s">
        <v>8</v>
      </c>
      <c r="P595" s="358">
        <v>0</v>
      </c>
      <c r="Q595" s="358">
        <v>0</v>
      </c>
      <c r="R595" s="358">
        <v>0</v>
      </c>
      <c r="S595" s="358">
        <v>0</v>
      </c>
      <c r="T595" s="358">
        <v>0</v>
      </c>
      <c r="U595" s="35">
        <f t="shared" si="112"/>
        <v>1</v>
      </c>
      <c r="W595">
        <f t="shared" si="113"/>
        <v>1</v>
      </c>
      <c r="X595" s="35">
        <f t="shared" si="114"/>
        <v>0</v>
      </c>
      <c r="Y595">
        <f t="shared" si="115"/>
        <v>0</v>
      </c>
      <c r="AB595">
        <f t="shared" si="118"/>
        <v>1</v>
      </c>
      <c r="AC595">
        <f t="shared" ca="1" si="119"/>
        <v>0</v>
      </c>
      <c r="AD595" t="str">
        <f ca="1">IF(AC595=1,COUNTIF($AC$3:AC595,1),"")</f>
        <v/>
      </c>
      <c r="AE595" s="155" t="str">
        <f ca="1">IFERROR(INDEX(Données!$B$3:$B$1479,MATCH(ROWS($AD$3:AD595),$AD$3:$AD$1479,0)),"")</f>
        <v/>
      </c>
    </row>
    <row r="596" spans="1:31" ht="15.75" x14ac:dyDescent="0.25">
      <c r="A596" t="str">
        <f t="shared" si="116"/>
        <v>Chris Driedger - FLO - G</v>
      </c>
      <c r="B596" t="str">
        <f t="shared" si="117"/>
        <v>Chris Driedger - FLO - G</v>
      </c>
      <c r="C596" t="str">
        <f t="shared" si="108"/>
        <v>Chris</v>
      </c>
      <c r="D596" t="str">
        <f t="shared" si="109"/>
        <v>Driedger</v>
      </c>
      <c r="E596" s="39" t="s">
        <v>2537</v>
      </c>
      <c r="F596" s="30" t="s">
        <v>2531</v>
      </c>
      <c r="G596" s="35">
        <v>0</v>
      </c>
      <c r="H596" s="35" t="s">
        <v>127</v>
      </c>
      <c r="I596" s="35" t="s">
        <v>2690</v>
      </c>
      <c r="J596" s="35">
        <v>25</v>
      </c>
      <c r="K596" s="35">
        <f>VALUE(COUNTIF(Validation!$A$2:$H$47,E596))</f>
        <v>0</v>
      </c>
      <c r="L596" s="361">
        <f t="shared" si="110"/>
        <v>850000</v>
      </c>
      <c r="M596" s="361">
        <f t="shared" si="111"/>
        <v>850000</v>
      </c>
      <c r="N596" s="358">
        <v>850000</v>
      </c>
      <c r="O596" s="358">
        <v>850000</v>
      </c>
      <c r="P596" s="358" t="s">
        <v>7</v>
      </c>
      <c r="Q596" s="358">
        <v>0</v>
      </c>
      <c r="R596" s="358">
        <v>0</v>
      </c>
      <c r="S596" s="358">
        <v>0</v>
      </c>
      <c r="T596" s="358">
        <v>0</v>
      </c>
      <c r="U596" s="35">
        <f t="shared" si="112"/>
        <v>2</v>
      </c>
      <c r="W596">
        <f t="shared" si="113"/>
        <v>1</v>
      </c>
      <c r="X596" s="35">
        <f t="shared" si="114"/>
        <v>0</v>
      </c>
      <c r="Y596">
        <f t="shared" si="115"/>
        <v>1</v>
      </c>
      <c r="AB596">
        <f t="shared" si="118"/>
        <v>1</v>
      </c>
      <c r="AC596">
        <f t="shared" ca="1" si="119"/>
        <v>0</v>
      </c>
      <c r="AD596" t="str">
        <f ca="1">IF(AC596=1,COUNTIF($AC$3:AC596,1),"")</f>
        <v/>
      </c>
      <c r="AE596" s="155" t="str">
        <f ca="1">IFERROR(INDEX(Données!$B$3:$B$1479,MATCH(ROWS($AD$3:AD596),$AD$3:$AD$1479,0)),"")</f>
        <v/>
      </c>
    </row>
    <row r="597" spans="1:31" ht="15.75" x14ac:dyDescent="0.25">
      <c r="A597" t="str">
        <f t="shared" si="116"/>
        <v>Kevin Roy - FLO - C, LW</v>
      </c>
      <c r="B597" t="str">
        <f t="shared" si="117"/>
        <v>Kevin Roy - FLO - C, LW</v>
      </c>
      <c r="C597" t="str">
        <f t="shared" si="108"/>
        <v>Kevin</v>
      </c>
      <c r="D597" t="str">
        <f t="shared" si="109"/>
        <v>Roy</v>
      </c>
      <c r="E597" s="39" t="s">
        <v>2718</v>
      </c>
      <c r="F597" s="30" t="s">
        <v>2531</v>
      </c>
      <c r="G597" s="35">
        <v>0</v>
      </c>
      <c r="H597" s="9" t="s">
        <v>2679</v>
      </c>
      <c r="I597" s="9" t="s">
        <v>2690</v>
      </c>
      <c r="J597" s="9">
        <v>26</v>
      </c>
      <c r="K597" s="35">
        <f>VALUE(COUNTIF(Validation!$A$2:$H$47,E597))</f>
        <v>0</v>
      </c>
      <c r="L597" s="361">
        <f t="shared" si="110"/>
        <v>850000</v>
      </c>
      <c r="M597" s="361">
        <f t="shared" si="111"/>
        <v>0</v>
      </c>
      <c r="N597" s="358">
        <v>850000</v>
      </c>
      <c r="O597" s="358" t="s">
        <v>7</v>
      </c>
      <c r="P597" s="358">
        <v>0</v>
      </c>
      <c r="Q597" s="358">
        <v>0</v>
      </c>
      <c r="R597" s="358">
        <v>0</v>
      </c>
      <c r="S597" s="358">
        <v>0</v>
      </c>
      <c r="T597" s="358">
        <v>0</v>
      </c>
      <c r="U597" s="35">
        <f t="shared" si="112"/>
        <v>1</v>
      </c>
      <c r="W597">
        <f t="shared" si="113"/>
        <v>1</v>
      </c>
      <c r="X597" s="35">
        <f t="shared" si="114"/>
        <v>0</v>
      </c>
      <c r="Y597">
        <f t="shared" si="115"/>
        <v>0</v>
      </c>
      <c r="AB597">
        <f t="shared" si="118"/>
        <v>1</v>
      </c>
      <c r="AC597">
        <f t="shared" ca="1" si="119"/>
        <v>0</v>
      </c>
      <c r="AD597" t="str">
        <f ca="1">IF(AC597=1,COUNTIF($AC$3:AC597,1),"")</f>
        <v/>
      </c>
      <c r="AE597" s="155" t="str">
        <f ca="1">IFERROR(INDEX(Données!$B$3:$B$1479,MATCH(ROWS($AD$3:AD597),$AD$3:$AD$1479,0)),"")</f>
        <v/>
      </c>
    </row>
    <row r="598" spans="1:31" ht="15.75" x14ac:dyDescent="0.25">
      <c r="A598" t="str">
        <f t="shared" si="116"/>
        <v>Dominic Toninato - FLO - C</v>
      </c>
      <c r="B598" t="str">
        <f t="shared" si="117"/>
        <v>Dominic Toninato - FLO - C</v>
      </c>
      <c r="C598" t="str">
        <f t="shared" si="108"/>
        <v>Dominic</v>
      </c>
      <c r="D598" t="str">
        <f t="shared" si="109"/>
        <v>Toninato</v>
      </c>
      <c r="E598" s="39" t="s">
        <v>1919</v>
      </c>
      <c r="F598" s="30" t="s">
        <v>2531</v>
      </c>
      <c r="G598" s="35">
        <v>0</v>
      </c>
      <c r="H598" s="35" t="s">
        <v>73</v>
      </c>
      <c r="I598" s="35" t="s">
        <v>2690</v>
      </c>
      <c r="J598" s="35">
        <v>25</v>
      </c>
      <c r="K598" s="35">
        <f>VALUE(COUNTIF(Validation!$A$2:$H$47,E598))</f>
        <v>0</v>
      </c>
      <c r="L598" s="361">
        <f t="shared" si="110"/>
        <v>775000</v>
      </c>
      <c r="M598" s="361">
        <f t="shared" si="111"/>
        <v>0</v>
      </c>
      <c r="N598" s="358">
        <v>775000</v>
      </c>
      <c r="O598" s="358" t="s">
        <v>8</v>
      </c>
      <c r="P598" s="358">
        <v>0</v>
      </c>
      <c r="Q598" s="358">
        <v>0</v>
      </c>
      <c r="R598" s="358">
        <v>0</v>
      </c>
      <c r="S598" s="358">
        <v>0</v>
      </c>
      <c r="T598" s="358">
        <v>0</v>
      </c>
      <c r="U598" s="35">
        <f t="shared" si="112"/>
        <v>1</v>
      </c>
      <c r="W598">
        <f t="shared" si="113"/>
        <v>1</v>
      </c>
      <c r="X598" s="35">
        <f t="shared" si="114"/>
        <v>0</v>
      </c>
      <c r="Y598">
        <f t="shared" si="115"/>
        <v>0</v>
      </c>
      <c r="AB598">
        <f t="shared" si="118"/>
        <v>1</v>
      </c>
      <c r="AC598">
        <f t="shared" ca="1" si="119"/>
        <v>0</v>
      </c>
      <c r="AD598" t="str">
        <f ca="1">IF(AC598=1,COUNTIF($AC$3:AC598,1),"")</f>
        <v/>
      </c>
      <c r="AE598" s="155" t="str">
        <f ca="1">IFERROR(INDEX(Données!$B$3:$B$1479,MATCH(ROWS($AD$3:AD598),$AD$3:$AD$1479,0)),"")</f>
        <v/>
      </c>
    </row>
    <row r="599" spans="1:31" ht="15.75" x14ac:dyDescent="0.25">
      <c r="A599" t="str">
        <f t="shared" si="116"/>
        <v>Jake Massie - FLO - D</v>
      </c>
      <c r="B599" t="str">
        <f t="shared" si="117"/>
        <v>Jake Massie - FLO - D</v>
      </c>
      <c r="C599" t="str">
        <f t="shared" si="108"/>
        <v>Jake</v>
      </c>
      <c r="D599" t="str">
        <f t="shared" si="109"/>
        <v>Massie</v>
      </c>
      <c r="E599" s="39" t="s">
        <v>2719</v>
      </c>
      <c r="F599" s="30" t="s">
        <v>2531</v>
      </c>
      <c r="G599" s="35" t="s">
        <v>386</v>
      </c>
      <c r="H599" s="35" t="s">
        <v>82</v>
      </c>
      <c r="I599" s="35" t="s">
        <v>2690</v>
      </c>
      <c r="J599" s="35">
        <v>22</v>
      </c>
      <c r="K599" s="35">
        <f>VALUE(COUNTIF(Validation!$A$2:$H$47,E599))</f>
        <v>0</v>
      </c>
      <c r="L599" s="361">
        <f t="shared" si="110"/>
        <v>770000</v>
      </c>
      <c r="M599" s="361">
        <f t="shared" si="111"/>
        <v>770000</v>
      </c>
      <c r="N599" s="358">
        <v>770000</v>
      </c>
      <c r="O599" s="358">
        <v>770000</v>
      </c>
      <c r="P599" s="358" t="s">
        <v>8</v>
      </c>
      <c r="Q599" s="358">
        <v>0</v>
      </c>
      <c r="R599" s="358">
        <v>0</v>
      </c>
      <c r="S599" s="358">
        <v>0</v>
      </c>
      <c r="T599" s="358">
        <v>0</v>
      </c>
      <c r="U599" s="35">
        <f t="shared" si="112"/>
        <v>2</v>
      </c>
      <c r="W599">
        <f t="shared" si="113"/>
        <v>1</v>
      </c>
      <c r="X599" s="35">
        <f t="shared" si="114"/>
        <v>1</v>
      </c>
      <c r="Y599">
        <f t="shared" si="115"/>
        <v>1</v>
      </c>
      <c r="AB599">
        <f t="shared" si="118"/>
        <v>1</v>
      </c>
      <c r="AC599">
        <f t="shared" ca="1" si="119"/>
        <v>0</v>
      </c>
      <c r="AD599" t="str">
        <f ca="1">IF(AC599=1,COUNTIF($AC$3:AC599,1),"")</f>
        <v/>
      </c>
      <c r="AE599" s="155" t="str">
        <f ca="1">IFERROR(INDEX(Données!$B$3:$B$1479,MATCH(ROWS($AD$3:AD599),$AD$3:$AD$1479,0)),"")</f>
        <v/>
      </c>
    </row>
    <row r="600" spans="1:31" ht="15.75" x14ac:dyDescent="0.25">
      <c r="A600" t="str">
        <f t="shared" si="116"/>
        <v>Sebastian Repo - FLO - C, RW</v>
      </c>
      <c r="B600" t="str">
        <f t="shared" si="117"/>
        <v>Sebastian Repo - FLO - C, RW</v>
      </c>
      <c r="C600" t="str">
        <f t="shared" si="108"/>
        <v>Sebastian</v>
      </c>
      <c r="D600" t="str">
        <f t="shared" si="109"/>
        <v>Repo</v>
      </c>
      <c r="E600" s="39" t="s">
        <v>1473</v>
      </c>
      <c r="F600" s="30" t="s">
        <v>2531</v>
      </c>
      <c r="G600" s="35" t="s">
        <v>386</v>
      </c>
      <c r="H600" s="35" t="s">
        <v>2684</v>
      </c>
      <c r="I600" s="35" t="s">
        <v>2690</v>
      </c>
      <c r="J600" s="35">
        <v>23</v>
      </c>
      <c r="K600" s="35">
        <f>VALUE(COUNTIF(Validation!$A$2:$H$47,E600))</f>
        <v>0</v>
      </c>
      <c r="L600" s="361">
        <f t="shared" si="110"/>
        <v>740000</v>
      </c>
      <c r="M600" s="361">
        <f t="shared" si="111"/>
        <v>0</v>
      </c>
      <c r="N600" s="358">
        <v>740000</v>
      </c>
      <c r="O600" s="358" t="s">
        <v>8</v>
      </c>
      <c r="P600" s="358">
        <v>0</v>
      </c>
      <c r="Q600" s="358">
        <v>0</v>
      </c>
      <c r="R600" s="358">
        <v>0</v>
      </c>
      <c r="S600" s="358">
        <v>0</v>
      </c>
      <c r="T600" s="358">
        <v>0</v>
      </c>
      <c r="U600" s="35">
        <f t="shared" si="112"/>
        <v>1</v>
      </c>
      <c r="W600">
        <f t="shared" si="113"/>
        <v>1</v>
      </c>
      <c r="X600" s="35">
        <f t="shared" si="114"/>
        <v>1</v>
      </c>
      <c r="Y600">
        <f t="shared" si="115"/>
        <v>0</v>
      </c>
      <c r="AB600">
        <f t="shared" si="118"/>
        <v>1</v>
      </c>
      <c r="AC600">
        <f t="shared" ca="1" si="119"/>
        <v>0</v>
      </c>
      <c r="AD600" t="str">
        <f ca="1">IF(AC600=1,COUNTIF($AC$3:AC600,1),"")</f>
        <v/>
      </c>
      <c r="AE600" s="155" t="str">
        <f ca="1">IFERROR(INDEX(Données!$B$3:$B$1479,MATCH(ROWS($AD$3:AD600),$AD$3:$AD$1479,0)),"")</f>
        <v/>
      </c>
    </row>
    <row r="601" spans="1:31" ht="15.75" x14ac:dyDescent="0.25">
      <c r="A601" t="str">
        <f t="shared" si="116"/>
        <v>Tommy Cross - FLO - LD</v>
      </c>
      <c r="B601" t="str">
        <f t="shared" si="117"/>
        <v>Tommy Cross - FLO - LD</v>
      </c>
      <c r="C601" t="str">
        <f t="shared" si="108"/>
        <v>Tommy</v>
      </c>
      <c r="D601" t="str">
        <f t="shared" si="109"/>
        <v>Cross</v>
      </c>
      <c r="E601" s="39" t="s">
        <v>1691</v>
      </c>
      <c r="F601" s="30" t="s">
        <v>2531</v>
      </c>
      <c r="G601" s="35">
        <v>0</v>
      </c>
      <c r="H601" s="35" t="s">
        <v>380</v>
      </c>
      <c r="I601" s="35" t="s">
        <v>2690</v>
      </c>
      <c r="J601" s="35">
        <v>29</v>
      </c>
      <c r="K601" s="35">
        <f>VALUE(COUNTIF(Validation!$A$2:$H$47,E601))</f>
        <v>0</v>
      </c>
      <c r="L601" s="361">
        <f t="shared" si="110"/>
        <v>725000</v>
      </c>
      <c r="M601" s="361">
        <f t="shared" si="111"/>
        <v>725000</v>
      </c>
      <c r="N601" s="358">
        <v>725000</v>
      </c>
      <c r="O601" s="358">
        <v>725000</v>
      </c>
      <c r="P601" s="358" t="s">
        <v>7</v>
      </c>
      <c r="Q601" s="358">
        <v>0</v>
      </c>
      <c r="R601" s="358">
        <v>0</v>
      </c>
      <c r="S601" s="358">
        <v>0</v>
      </c>
      <c r="T601" s="358">
        <v>0</v>
      </c>
      <c r="U601" s="35">
        <f t="shared" si="112"/>
        <v>2</v>
      </c>
      <c r="W601">
        <f t="shared" si="113"/>
        <v>1</v>
      </c>
      <c r="X601" s="35">
        <f t="shared" si="114"/>
        <v>0</v>
      </c>
      <c r="Y601">
        <f t="shared" si="115"/>
        <v>1</v>
      </c>
      <c r="AB601">
        <f t="shared" si="118"/>
        <v>1</v>
      </c>
      <c r="AC601">
        <f t="shared" ca="1" si="119"/>
        <v>0</v>
      </c>
      <c r="AD601" t="str">
        <f ca="1">IF(AC601=1,COUNTIF($AC$3:AC601,1),"")</f>
        <v/>
      </c>
      <c r="AE601" s="155" t="str">
        <f ca="1">IFERROR(INDEX(Données!$B$3:$B$1479,MATCH(ROWS($AD$3:AD601),$AD$3:$AD$1479,0)),"")</f>
        <v/>
      </c>
    </row>
    <row r="602" spans="1:31" ht="15.75" x14ac:dyDescent="0.25">
      <c r="A602" t="str">
        <f t="shared" si="116"/>
        <v>Ethan Prow - FLO - RD</v>
      </c>
      <c r="B602" t="str">
        <f t="shared" si="117"/>
        <v>Ethan Prow - FLO - RD</v>
      </c>
      <c r="C602" t="str">
        <f t="shared" si="108"/>
        <v>Ethan</v>
      </c>
      <c r="D602" t="str">
        <f t="shared" si="109"/>
        <v>Prow</v>
      </c>
      <c r="E602" s="39" t="s">
        <v>1848</v>
      </c>
      <c r="F602" s="30" t="s">
        <v>2531</v>
      </c>
      <c r="G602" s="35">
        <v>0</v>
      </c>
      <c r="H602" s="35" t="s">
        <v>379</v>
      </c>
      <c r="I602" s="35" t="s">
        <v>2690</v>
      </c>
      <c r="J602" s="35">
        <v>26</v>
      </c>
      <c r="K602" s="35">
        <f>VALUE(COUNTIF(Validation!$A$2:$H$47,E602))</f>
        <v>0</v>
      </c>
      <c r="L602" s="361">
        <f t="shared" si="110"/>
        <v>725000</v>
      </c>
      <c r="M602" s="361">
        <f t="shared" si="111"/>
        <v>725000</v>
      </c>
      <c r="N602" s="358">
        <v>725000</v>
      </c>
      <c r="O602" s="358">
        <v>725000</v>
      </c>
      <c r="P602" s="358" t="s">
        <v>7</v>
      </c>
      <c r="Q602" s="358">
        <v>0</v>
      </c>
      <c r="R602" s="358">
        <v>0</v>
      </c>
      <c r="S602" s="358">
        <v>0</v>
      </c>
      <c r="T602" s="358">
        <v>0</v>
      </c>
      <c r="U602" s="35">
        <f t="shared" si="112"/>
        <v>2</v>
      </c>
      <c r="W602">
        <f t="shared" si="113"/>
        <v>1</v>
      </c>
      <c r="X602" s="35">
        <f t="shared" si="114"/>
        <v>0</v>
      </c>
      <c r="Y602">
        <f t="shared" si="115"/>
        <v>1</v>
      </c>
      <c r="AB602">
        <f t="shared" si="118"/>
        <v>1</v>
      </c>
      <c r="AC602">
        <f t="shared" ca="1" si="119"/>
        <v>0</v>
      </c>
      <c r="AD602" t="str">
        <f ca="1">IF(AC602=1,COUNTIF($AC$3:AC602,1),"")</f>
        <v/>
      </c>
      <c r="AE602" s="155" t="str">
        <f ca="1">IFERROR(INDEX(Données!$B$3:$B$1479,MATCH(ROWS($AD$3:AD602),$AD$3:$AD$1479,0)),"")</f>
        <v/>
      </c>
    </row>
    <row r="603" spans="1:31" ht="15.75" x14ac:dyDescent="0.25">
      <c r="A603" t="str">
        <f t="shared" si="116"/>
        <v>Dryden Hunt - FLO - LW, RW</v>
      </c>
      <c r="B603" t="str">
        <f t="shared" si="117"/>
        <v>Dryden Hunt - FLO - LW, RW</v>
      </c>
      <c r="C603" t="str">
        <f t="shared" si="108"/>
        <v>Dryden</v>
      </c>
      <c r="D603" t="str">
        <f t="shared" si="109"/>
        <v>Hunt</v>
      </c>
      <c r="E603" s="39" t="s">
        <v>1468</v>
      </c>
      <c r="F603" s="30" t="s">
        <v>2531</v>
      </c>
      <c r="G603" s="35">
        <v>0</v>
      </c>
      <c r="H603" s="35" t="s">
        <v>2689</v>
      </c>
      <c r="I603" s="35" t="s">
        <v>2690</v>
      </c>
      <c r="J603" s="35">
        <v>23</v>
      </c>
      <c r="K603" s="35">
        <f>VALUE(COUNTIF(Validation!$A$2:$H$47,E603))</f>
        <v>0</v>
      </c>
      <c r="L603" s="361">
        <f t="shared" si="110"/>
        <v>715000</v>
      </c>
      <c r="M603" s="361">
        <f t="shared" si="111"/>
        <v>0</v>
      </c>
      <c r="N603" s="358">
        <v>715000</v>
      </c>
      <c r="O603" s="358" t="s">
        <v>8</v>
      </c>
      <c r="P603" s="358">
        <v>0</v>
      </c>
      <c r="Q603" s="358">
        <v>0</v>
      </c>
      <c r="R603" s="358">
        <v>0</v>
      </c>
      <c r="S603" s="358">
        <v>0</v>
      </c>
      <c r="T603" s="358">
        <v>0</v>
      </c>
      <c r="U603" s="35">
        <f t="shared" si="112"/>
        <v>1</v>
      </c>
      <c r="W603">
        <f t="shared" si="113"/>
        <v>1</v>
      </c>
      <c r="X603" s="35">
        <f t="shared" si="114"/>
        <v>0</v>
      </c>
      <c r="Y603">
        <f t="shared" si="115"/>
        <v>0</v>
      </c>
      <c r="AB603">
        <f t="shared" si="118"/>
        <v>1</v>
      </c>
      <c r="AC603">
        <f t="shared" ca="1" si="119"/>
        <v>0</v>
      </c>
      <c r="AD603" t="str">
        <f ca="1">IF(AC603=1,COUNTIF($AC$3:AC603,1),"")</f>
        <v/>
      </c>
      <c r="AE603" s="155" t="str">
        <f ca="1">IFERROR(INDEX(Données!$B$3:$B$1479,MATCH(ROWS($AD$3:AD603),$AD$3:$AD$1479,0)),"")</f>
        <v/>
      </c>
    </row>
    <row r="604" spans="1:31" ht="15.75" x14ac:dyDescent="0.25">
      <c r="A604" t="str">
        <f t="shared" si="116"/>
        <v>Thomas Schemitsch - FLO - RD</v>
      </c>
      <c r="B604" t="str">
        <f t="shared" si="117"/>
        <v>Thomas Schemitsch - FLO - RD</v>
      </c>
      <c r="C604" t="str">
        <f t="shared" si="108"/>
        <v>Thomas</v>
      </c>
      <c r="D604" t="str">
        <f t="shared" si="109"/>
        <v>Schemitsch</v>
      </c>
      <c r="E604" s="39" t="s">
        <v>1475</v>
      </c>
      <c r="F604" s="30" t="s">
        <v>2531</v>
      </c>
      <c r="G604" s="35">
        <v>0</v>
      </c>
      <c r="H604" s="35" t="s">
        <v>379</v>
      </c>
      <c r="I604" s="35" t="s">
        <v>2690</v>
      </c>
      <c r="J604" s="35">
        <v>22</v>
      </c>
      <c r="K604" s="35">
        <f>VALUE(COUNTIF(Validation!$A$2:$H$47,E604))</f>
        <v>0</v>
      </c>
      <c r="L604" s="361">
        <f t="shared" si="110"/>
        <v>715000</v>
      </c>
      <c r="M604" s="361">
        <f t="shared" si="111"/>
        <v>0</v>
      </c>
      <c r="N604" s="358">
        <v>715000</v>
      </c>
      <c r="O604" s="358" t="s">
        <v>8</v>
      </c>
      <c r="P604" s="358">
        <v>0</v>
      </c>
      <c r="Q604" s="358">
        <v>0</v>
      </c>
      <c r="R604" s="358">
        <v>0</v>
      </c>
      <c r="S604" s="358">
        <v>0</v>
      </c>
      <c r="T604" s="358">
        <v>0</v>
      </c>
      <c r="U604" s="35">
        <f t="shared" si="112"/>
        <v>1</v>
      </c>
      <c r="W604">
        <f t="shared" si="113"/>
        <v>1</v>
      </c>
      <c r="X604" s="35">
        <f t="shared" si="114"/>
        <v>0</v>
      </c>
      <c r="Y604">
        <f t="shared" si="115"/>
        <v>0</v>
      </c>
      <c r="AB604">
        <f t="shared" si="118"/>
        <v>1</v>
      </c>
      <c r="AC604">
        <f t="shared" ca="1" si="119"/>
        <v>0</v>
      </c>
      <c r="AD604" t="str">
        <f ca="1">IF(AC604=1,COUNTIF($AC$3:AC604,1),"")</f>
        <v/>
      </c>
      <c r="AE604" s="155" t="str">
        <f ca="1">IFERROR(INDEX(Données!$B$3:$B$1479,MATCH(ROWS($AD$3:AD604),$AD$3:$AD$1479,0)),"")</f>
        <v/>
      </c>
    </row>
    <row r="605" spans="1:31" ht="15.75" x14ac:dyDescent="0.25">
      <c r="A605" t="str">
        <f t="shared" si="116"/>
        <v>Samuel Montembeault - FLO - G</v>
      </c>
      <c r="B605" t="str">
        <f t="shared" si="117"/>
        <v>Samuel Montembeault - FLO - G</v>
      </c>
      <c r="C605" t="str">
        <f t="shared" si="108"/>
        <v>Samuel</v>
      </c>
      <c r="D605" t="str">
        <f t="shared" si="109"/>
        <v>Montembeault</v>
      </c>
      <c r="E605" s="39" t="s">
        <v>1474</v>
      </c>
      <c r="F605" s="30" t="s">
        <v>2531</v>
      </c>
      <c r="G605" s="35">
        <v>0</v>
      </c>
      <c r="H605" s="9" t="s">
        <v>127</v>
      </c>
      <c r="I605" s="9" t="s">
        <v>2677</v>
      </c>
      <c r="J605" s="9">
        <v>22</v>
      </c>
      <c r="K605" s="35">
        <f>VALUE(COUNTIF(Validation!$A$2:$H$47,E605))</f>
        <v>0</v>
      </c>
      <c r="L605" s="361">
        <f t="shared" si="110"/>
        <v>708750</v>
      </c>
      <c r="M605" s="361">
        <f t="shared" si="111"/>
        <v>0</v>
      </c>
      <c r="N605" s="358">
        <v>708750</v>
      </c>
      <c r="O605" s="358" t="s">
        <v>8</v>
      </c>
      <c r="P605" s="358">
        <v>0</v>
      </c>
      <c r="Q605" s="358">
        <v>0</v>
      </c>
      <c r="R605" s="358">
        <v>0</v>
      </c>
      <c r="S605" s="358">
        <v>0</v>
      </c>
      <c r="T605" s="358">
        <v>0</v>
      </c>
      <c r="U605" s="35">
        <f t="shared" si="112"/>
        <v>1</v>
      </c>
      <c r="W605">
        <f t="shared" si="113"/>
        <v>1</v>
      </c>
      <c r="X605" s="35">
        <f t="shared" si="114"/>
        <v>0</v>
      </c>
      <c r="Y605">
        <f t="shared" si="115"/>
        <v>0</v>
      </c>
      <c r="AB605">
        <f t="shared" si="118"/>
        <v>1</v>
      </c>
      <c r="AC605">
        <f t="shared" ca="1" si="119"/>
        <v>0</v>
      </c>
      <c r="AD605" t="str">
        <f ca="1">IF(AC605=1,COUNTIF($AC$3:AC605,1),"")</f>
        <v/>
      </c>
      <c r="AE605" s="155" t="str">
        <f ca="1">IFERROR(INDEX(Données!$B$3:$B$1479,MATCH(ROWS($AD$3:AD605),$AD$3:$AD$1479,0)),"")</f>
        <v/>
      </c>
    </row>
    <row r="606" spans="1:31" ht="15.75" x14ac:dyDescent="0.25">
      <c r="A606" t="str">
        <f t="shared" si="116"/>
        <v>Philippe Desrosiers - FLO - G</v>
      </c>
      <c r="B606" t="str">
        <f t="shared" si="117"/>
        <v>Philippe Desrosiers - FLO - G</v>
      </c>
      <c r="C606" t="str">
        <f t="shared" si="108"/>
        <v>Philippe</v>
      </c>
      <c r="D606" t="str">
        <f t="shared" si="109"/>
        <v>Desrosiers</v>
      </c>
      <c r="E606" s="39" t="s">
        <v>1978</v>
      </c>
      <c r="F606" s="30" t="s">
        <v>2531</v>
      </c>
      <c r="G606" s="35">
        <v>0</v>
      </c>
      <c r="H606" s="35" t="s">
        <v>127</v>
      </c>
      <c r="I606" s="35" t="s">
        <v>2690</v>
      </c>
      <c r="J606" s="35">
        <v>23</v>
      </c>
      <c r="K606" s="35">
        <f>VALUE(COUNTIF(Validation!$A$2:$H$47,E606))</f>
        <v>0</v>
      </c>
      <c r="L606" s="361">
        <f t="shared" si="110"/>
        <v>700000</v>
      </c>
      <c r="M606" s="361">
        <f t="shared" si="111"/>
        <v>0</v>
      </c>
      <c r="N606" s="358">
        <v>700000</v>
      </c>
      <c r="O606" s="358" t="s">
        <v>8</v>
      </c>
      <c r="P606" s="358">
        <v>0</v>
      </c>
      <c r="Q606" s="358">
        <v>0</v>
      </c>
      <c r="R606" s="358">
        <v>0</v>
      </c>
      <c r="S606" s="358">
        <v>0</v>
      </c>
      <c r="T606" s="358">
        <v>0</v>
      </c>
      <c r="U606" s="35">
        <f t="shared" si="112"/>
        <v>1</v>
      </c>
      <c r="W606">
        <f t="shared" si="113"/>
        <v>1</v>
      </c>
      <c r="X606" s="35">
        <f t="shared" si="114"/>
        <v>0</v>
      </c>
      <c r="Y606">
        <f t="shared" si="115"/>
        <v>0</v>
      </c>
      <c r="AB606">
        <f t="shared" si="118"/>
        <v>1</v>
      </c>
      <c r="AC606">
        <f t="shared" ca="1" si="119"/>
        <v>0</v>
      </c>
      <c r="AD606" t="str">
        <f ca="1">IF(AC606=1,COUNTIF($AC$3:AC606,1),"")</f>
        <v/>
      </c>
      <c r="AE606" s="155" t="str">
        <f ca="1">IFERROR(INDEX(Données!$B$3:$B$1479,MATCH(ROWS($AD$3:AD606),$AD$3:$AD$1479,0)),"")</f>
        <v/>
      </c>
    </row>
    <row r="607" spans="1:31" ht="15.75" x14ac:dyDescent="0.25">
      <c r="A607" t="str">
        <f t="shared" si="116"/>
        <v>Anthony Greco - FLO - RW</v>
      </c>
      <c r="B607" t="str">
        <f t="shared" si="117"/>
        <v>Anthony Greco - FLO - RW</v>
      </c>
      <c r="C607" t="str">
        <f t="shared" si="108"/>
        <v>Anthony</v>
      </c>
      <c r="D607" t="str">
        <f t="shared" si="109"/>
        <v>Greco</v>
      </c>
      <c r="E607" s="39" t="s">
        <v>1478</v>
      </c>
      <c r="F607" s="30" t="s">
        <v>2531</v>
      </c>
      <c r="G607" s="35">
        <v>0</v>
      </c>
      <c r="H607" s="35" t="s">
        <v>88</v>
      </c>
      <c r="I607" s="35" t="s">
        <v>2690</v>
      </c>
      <c r="J607" s="35">
        <v>25</v>
      </c>
      <c r="K607" s="35">
        <f>VALUE(COUNTIF(Validation!$A$2:$H$47,E607))</f>
        <v>0</v>
      </c>
      <c r="L607" s="361">
        <f t="shared" si="110"/>
        <v>700000</v>
      </c>
      <c r="M607" s="361">
        <f t="shared" si="111"/>
        <v>0</v>
      </c>
      <c r="N607" s="358">
        <v>700000</v>
      </c>
      <c r="O607" s="358" t="s">
        <v>8</v>
      </c>
      <c r="P607" s="358">
        <v>0</v>
      </c>
      <c r="Q607" s="358">
        <v>0</v>
      </c>
      <c r="R607" s="358">
        <v>0</v>
      </c>
      <c r="S607" s="358">
        <v>0</v>
      </c>
      <c r="T607" s="358">
        <v>0</v>
      </c>
      <c r="U607" s="35">
        <f t="shared" si="112"/>
        <v>1</v>
      </c>
      <c r="W607">
        <f t="shared" si="113"/>
        <v>1</v>
      </c>
      <c r="X607" s="35">
        <f t="shared" si="114"/>
        <v>0</v>
      </c>
      <c r="Y607">
        <f t="shared" si="115"/>
        <v>0</v>
      </c>
      <c r="AB607">
        <f t="shared" si="118"/>
        <v>1</v>
      </c>
      <c r="AC607">
        <f t="shared" ca="1" si="119"/>
        <v>0</v>
      </c>
      <c r="AD607" t="str">
        <f ca="1">IF(AC607=1,COUNTIF($AC$3:AC607,1),"")</f>
        <v/>
      </c>
      <c r="AE607" s="155" t="str">
        <f ca="1">IFERROR(INDEX(Données!$B$3:$B$1479,MATCH(ROWS($AD$3:AD607),$AD$3:$AD$1479,0)),"")</f>
        <v/>
      </c>
    </row>
    <row r="608" spans="1:31" ht="15.75" x14ac:dyDescent="0.25">
      <c r="A608" t="str">
        <f t="shared" si="116"/>
        <v>Joel Lowry - FLO - LW</v>
      </c>
      <c r="B608" t="str">
        <f t="shared" si="117"/>
        <v>Joel Lowry - FLO - LW</v>
      </c>
      <c r="C608" t="str">
        <f t="shared" si="108"/>
        <v>Joel</v>
      </c>
      <c r="D608" t="str">
        <f t="shared" si="109"/>
        <v>Lowry</v>
      </c>
      <c r="E608" s="39" t="s">
        <v>2535</v>
      </c>
      <c r="F608" s="30" t="s">
        <v>2531</v>
      </c>
      <c r="G608" s="35">
        <v>0</v>
      </c>
      <c r="H608" s="35" t="s">
        <v>93</v>
      </c>
      <c r="I608" s="35" t="s">
        <v>2690</v>
      </c>
      <c r="J608" s="35">
        <v>27</v>
      </c>
      <c r="K608" s="35">
        <f>VALUE(COUNTIF(Validation!$A$2:$H$47,E608))</f>
        <v>0</v>
      </c>
      <c r="L608" s="361">
        <f t="shared" si="110"/>
        <v>700000</v>
      </c>
      <c r="M608" s="361">
        <f t="shared" si="111"/>
        <v>0</v>
      </c>
      <c r="N608" s="358">
        <v>700000</v>
      </c>
      <c r="O608" s="358" t="s">
        <v>7</v>
      </c>
      <c r="P608" s="358">
        <v>0</v>
      </c>
      <c r="Q608" s="358">
        <v>0</v>
      </c>
      <c r="R608" s="358">
        <v>0</v>
      </c>
      <c r="S608" s="358">
        <v>0</v>
      </c>
      <c r="T608" s="358">
        <v>0</v>
      </c>
      <c r="U608" s="35">
        <f t="shared" si="112"/>
        <v>1</v>
      </c>
      <c r="W608">
        <f t="shared" si="113"/>
        <v>1</v>
      </c>
      <c r="X608" s="35">
        <f t="shared" si="114"/>
        <v>0</v>
      </c>
      <c r="Y608">
        <f t="shared" si="115"/>
        <v>0</v>
      </c>
      <c r="AB608">
        <f t="shared" si="118"/>
        <v>1</v>
      </c>
      <c r="AC608">
        <f t="shared" ca="1" si="119"/>
        <v>0</v>
      </c>
      <c r="AD608" t="str">
        <f ca="1">IF(AC608=1,COUNTIF($AC$3:AC608,1),"")</f>
        <v/>
      </c>
      <c r="AE608" s="155" t="str">
        <f ca="1">IFERROR(INDEX(Données!$B$3:$B$1479,MATCH(ROWS($AD$3:AD608),$AD$3:$AD$1479,0)),"")</f>
        <v/>
      </c>
    </row>
    <row r="609" spans="1:31" ht="15.75" x14ac:dyDescent="0.25">
      <c r="A609" t="str">
        <f t="shared" si="116"/>
        <v>Ian McCoshen - FLO - LD</v>
      </c>
      <c r="B609" t="str">
        <f t="shared" si="117"/>
        <v>Ian McCoshen - FLO - LD</v>
      </c>
      <c r="C609" t="str">
        <f t="shared" si="108"/>
        <v>Ian</v>
      </c>
      <c r="D609" t="str">
        <f t="shared" si="109"/>
        <v>McCoshen</v>
      </c>
      <c r="E609" s="39" t="s">
        <v>1462</v>
      </c>
      <c r="F609" s="30" t="s">
        <v>2531</v>
      </c>
      <c r="G609" s="35">
        <v>0</v>
      </c>
      <c r="H609" s="35" t="s">
        <v>380</v>
      </c>
      <c r="I609" s="35" t="s">
        <v>2677</v>
      </c>
      <c r="J609" s="35">
        <v>24</v>
      </c>
      <c r="K609" s="35">
        <f>VALUE(COUNTIF(Validation!$A$2:$H$47,E609))</f>
        <v>0</v>
      </c>
      <c r="L609" s="361">
        <f t="shared" si="110"/>
        <v>700000</v>
      </c>
      <c r="M609" s="361">
        <f t="shared" si="111"/>
        <v>0</v>
      </c>
      <c r="N609" s="358">
        <v>700000</v>
      </c>
      <c r="O609" s="358" t="s">
        <v>8</v>
      </c>
      <c r="P609" s="358">
        <v>0</v>
      </c>
      <c r="Q609" s="358">
        <v>0</v>
      </c>
      <c r="R609" s="358">
        <v>0</v>
      </c>
      <c r="S609" s="358">
        <v>0</v>
      </c>
      <c r="T609" s="358">
        <v>0</v>
      </c>
      <c r="U609" s="35">
        <f t="shared" si="112"/>
        <v>1</v>
      </c>
      <c r="W609">
        <f t="shared" si="113"/>
        <v>1</v>
      </c>
      <c r="X609" s="35">
        <f t="shared" si="114"/>
        <v>0</v>
      </c>
      <c r="Y609">
        <f t="shared" si="115"/>
        <v>0</v>
      </c>
      <c r="AB609">
        <f t="shared" si="118"/>
        <v>1</v>
      </c>
      <c r="AC609">
        <f t="shared" ca="1" si="119"/>
        <v>0</v>
      </c>
      <c r="AD609" t="str">
        <f ca="1">IF(AC609=1,COUNTIF($AC$3:AC609,1),"")</f>
        <v/>
      </c>
      <c r="AE609" s="155" t="str">
        <f ca="1">IFERROR(INDEX(Données!$B$3:$B$1479,MATCH(ROWS($AD$3:AD609),$AD$3:$AD$1479,0)),"")</f>
        <v/>
      </c>
    </row>
    <row r="610" spans="1:31" ht="15.75" x14ac:dyDescent="0.25">
      <c r="A610" t="str">
        <f t="shared" si="116"/>
        <v>Joshua Brown - FLO - RD</v>
      </c>
      <c r="B610" t="str">
        <f t="shared" si="117"/>
        <v>Joshua Brown - FLO - RD</v>
      </c>
      <c r="C610" t="str">
        <f t="shared" si="108"/>
        <v>Joshua</v>
      </c>
      <c r="D610" t="str">
        <f t="shared" si="109"/>
        <v>Brown</v>
      </c>
      <c r="E610" s="39" t="s">
        <v>1477</v>
      </c>
      <c r="F610" s="30" t="s">
        <v>2531</v>
      </c>
      <c r="G610" s="35">
        <v>0</v>
      </c>
      <c r="H610" s="35" t="s">
        <v>379</v>
      </c>
      <c r="I610" s="35" t="s">
        <v>2677</v>
      </c>
      <c r="J610" s="35">
        <v>25</v>
      </c>
      <c r="K610" s="35">
        <f>VALUE(COUNTIF(Validation!$A$2:$H$47,E610))</f>
        <v>0</v>
      </c>
      <c r="L610" s="361">
        <f t="shared" si="110"/>
        <v>675000</v>
      </c>
      <c r="M610" s="361">
        <f t="shared" si="111"/>
        <v>0</v>
      </c>
      <c r="N610" s="358">
        <v>675000</v>
      </c>
      <c r="O610" s="358" t="s">
        <v>8</v>
      </c>
      <c r="P610" s="358">
        <v>0</v>
      </c>
      <c r="Q610" s="358">
        <v>0</v>
      </c>
      <c r="R610" s="358">
        <v>0</v>
      </c>
      <c r="S610" s="358">
        <v>0</v>
      </c>
      <c r="T610" s="358">
        <v>0</v>
      </c>
      <c r="U610" s="35">
        <f t="shared" si="112"/>
        <v>1</v>
      </c>
      <c r="W610">
        <f t="shared" si="113"/>
        <v>1</v>
      </c>
      <c r="X610" s="35">
        <f t="shared" si="114"/>
        <v>0</v>
      </c>
      <c r="Y610">
        <f t="shared" si="115"/>
        <v>0</v>
      </c>
      <c r="AB610">
        <f t="shared" si="118"/>
        <v>1</v>
      </c>
      <c r="AC610">
        <f t="shared" ca="1" si="119"/>
        <v>0</v>
      </c>
      <c r="AD610" t="str">
        <f ca="1">IF(AC610=1,COUNTIF($AC$3:AC610,1),"")</f>
        <v/>
      </c>
      <c r="AE610" s="155" t="str">
        <f ca="1">IFERROR(INDEX(Données!$B$3:$B$1479,MATCH(ROWS($AD$3:AD610),$AD$3:$AD$1479,0)),"")</f>
        <v/>
      </c>
    </row>
    <row r="611" spans="1:31" ht="15.75" x14ac:dyDescent="0.25">
      <c r="A611" t="str">
        <f t="shared" si="116"/>
        <v>Paul Thompson - FLO - RW</v>
      </c>
      <c r="B611" t="str">
        <f t="shared" si="117"/>
        <v>Paul Thompson - FLO - RW</v>
      </c>
      <c r="C611" t="str">
        <f t="shared" si="108"/>
        <v>Paul</v>
      </c>
      <c r="D611" t="str">
        <f t="shared" si="109"/>
        <v>Thompson</v>
      </c>
      <c r="E611" s="39" t="s">
        <v>1476</v>
      </c>
      <c r="F611" s="30" t="s">
        <v>2531</v>
      </c>
      <c r="G611" s="35">
        <v>0</v>
      </c>
      <c r="H611" s="35" t="s">
        <v>88</v>
      </c>
      <c r="I611" s="35" t="s">
        <v>2690</v>
      </c>
      <c r="J611" s="35">
        <v>30</v>
      </c>
      <c r="K611" s="35">
        <f>VALUE(COUNTIF(Validation!$A$2:$H$47,E611))</f>
        <v>0</v>
      </c>
      <c r="L611" s="361">
        <f t="shared" si="110"/>
        <v>675000</v>
      </c>
      <c r="M611" s="361">
        <f t="shared" si="111"/>
        <v>0</v>
      </c>
      <c r="N611" s="358">
        <v>675000</v>
      </c>
      <c r="O611" s="358" t="s">
        <v>7</v>
      </c>
      <c r="P611" s="358">
        <v>0</v>
      </c>
      <c r="Q611" s="362">
        <v>0</v>
      </c>
      <c r="R611" s="358">
        <v>0</v>
      </c>
      <c r="S611" s="358">
        <v>0</v>
      </c>
      <c r="T611" s="358">
        <v>0</v>
      </c>
      <c r="U611" s="35">
        <f t="shared" si="112"/>
        <v>1</v>
      </c>
      <c r="W611">
        <f t="shared" si="113"/>
        <v>1</v>
      </c>
      <c r="X611" s="35">
        <f t="shared" si="114"/>
        <v>0</v>
      </c>
      <c r="Y611">
        <f t="shared" si="115"/>
        <v>0</v>
      </c>
      <c r="AB611">
        <f t="shared" si="118"/>
        <v>1</v>
      </c>
      <c r="AC611">
        <f t="shared" ca="1" si="119"/>
        <v>0</v>
      </c>
      <c r="AD611" t="str">
        <f ca="1">IF(AC611=1,COUNTIF($AC$3:AC611,1),"")</f>
        <v/>
      </c>
      <c r="AE611" s="155" t="str">
        <f ca="1">IFERROR(INDEX(Données!$B$3:$B$1479,MATCH(ROWS($AD$3:AD611),$AD$3:$AD$1479,0)),"")</f>
        <v/>
      </c>
    </row>
    <row r="612" spans="1:31" ht="15.75" x14ac:dyDescent="0.25">
      <c r="A612" t="str">
        <f t="shared" si="116"/>
        <v>Denis Malgin - FLO - RW, C</v>
      </c>
      <c r="B612" t="str">
        <f t="shared" si="117"/>
        <v>Denis Malgin - FLO - RW, C</v>
      </c>
      <c r="C612" t="str">
        <f t="shared" si="108"/>
        <v>Denis</v>
      </c>
      <c r="D612" t="str">
        <f t="shared" si="109"/>
        <v>Malgin</v>
      </c>
      <c r="E612" s="39" t="s">
        <v>1459</v>
      </c>
      <c r="F612" s="30" t="s">
        <v>2531</v>
      </c>
      <c r="G612" s="35">
        <v>0</v>
      </c>
      <c r="H612" s="35" t="s">
        <v>2678</v>
      </c>
      <c r="I612" s="35" t="s">
        <v>2677</v>
      </c>
      <c r="J612" s="35">
        <v>22</v>
      </c>
      <c r="K612" s="35">
        <f>VALUE(COUNTIF(Validation!$A$2:$H$47,E612))</f>
        <v>0</v>
      </c>
      <c r="L612" s="361">
        <f t="shared" si="110"/>
        <v>0</v>
      </c>
      <c r="M612" s="361">
        <f t="shared" si="111"/>
        <v>0</v>
      </c>
      <c r="N612" s="358" t="s">
        <v>8</v>
      </c>
      <c r="O612" s="358">
        <v>0</v>
      </c>
      <c r="P612" s="358">
        <v>0</v>
      </c>
      <c r="Q612" s="358">
        <v>0</v>
      </c>
      <c r="R612" s="358">
        <v>0</v>
      </c>
      <c r="S612" s="358">
        <v>0</v>
      </c>
      <c r="T612" s="358">
        <v>0</v>
      </c>
      <c r="U612" s="35">
        <f t="shared" si="112"/>
        <v>0</v>
      </c>
      <c r="W612">
        <f t="shared" si="113"/>
        <v>1</v>
      </c>
      <c r="X612" s="35">
        <f t="shared" si="114"/>
        <v>0</v>
      </c>
      <c r="Y612">
        <f t="shared" si="115"/>
        <v>1</v>
      </c>
      <c r="AB612">
        <f t="shared" si="118"/>
        <v>1</v>
      </c>
      <c r="AC612">
        <f t="shared" ca="1" si="119"/>
        <v>0</v>
      </c>
      <c r="AD612" t="str">
        <f ca="1">IF(AC612=1,COUNTIF($AC$3:AC612,1),"")</f>
        <v/>
      </c>
      <c r="AE612" s="155" t="str">
        <f ca="1">IFERROR(INDEX(Données!$B$3:$B$1479,MATCH(ROWS($AD$3:AD612),$AD$3:$AD$1479,0)),"")</f>
        <v/>
      </c>
    </row>
    <row r="613" spans="1:31" ht="15.75" x14ac:dyDescent="0.25">
      <c r="A613" t="str">
        <f t="shared" si="116"/>
        <v>Drew Doughty - LAK - DD</v>
      </c>
      <c r="B613" t="str">
        <f t="shared" si="117"/>
        <v>Drew Doughty - LAK - DD</v>
      </c>
      <c r="C613" t="str">
        <f t="shared" si="108"/>
        <v>Drew</v>
      </c>
      <c r="D613" t="str">
        <f t="shared" si="109"/>
        <v>Doughty</v>
      </c>
      <c r="E613" s="39" t="s">
        <v>2954</v>
      </c>
      <c r="F613" s="30" t="s">
        <v>20</v>
      </c>
      <c r="G613" s="35" t="s">
        <v>420</v>
      </c>
      <c r="H613" s="35" t="s">
        <v>2444</v>
      </c>
      <c r="I613" s="35" t="s">
        <v>2439</v>
      </c>
      <c r="J613" s="35">
        <v>29</v>
      </c>
      <c r="K613" s="35">
        <f>VALUE(COUNTIF(Validation!$A$2:$H$47,E613))</f>
        <v>0</v>
      </c>
      <c r="L613" s="361">
        <f t="shared" si="110"/>
        <v>11000000</v>
      </c>
      <c r="M613" s="361">
        <f t="shared" si="111"/>
        <v>11000000</v>
      </c>
      <c r="N613" s="358">
        <v>11000000</v>
      </c>
      <c r="O613" s="358">
        <v>11000000</v>
      </c>
      <c r="P613" s="358">
        <v>11000000</v>
      </c>
      <c r="Q613" s="358">
        <v>11000000</v>
      </c>
      <c r="R613" s="358">
        <v>11000000</v>
      </c>
      <c r="S613" s="358">
        <v>11000000</v>
      </c>
      <c r="T613" s="358">
        <v>11000000</v>
      </c>
      <c r="U613" s="35">
        <f t="shared" si="112"/>
        <v>7</v>
      </c>
      <c r="W613">
        <f t="shared" si="113"/>
        <v>1</v>
      </c>
      <c r="X613" s="35">
        <f t="shared" si="114"/>
        <v>0</v>
      </c>
      <c r="Y613">
        <f t="shared" si="115"/>
        <v>1</v>
      </c>
      <c r="AB613">
        <f t="shared" si="118"/>
        <v>1</v>
      </c>
      <c r="AC613">
        <f t="shared" ca="1" si="119"/>
        <v>0</v>
      </c>
      <c r="AD613" t="str">
        <f ca="1">IF(AC613=1,COUNTIF($AC$3:AC613,1),"")</f>
        <v/>
      </c>
      <c r="AE613" s="155" t="str">
        <f ca="1">IFERROR(INDEX(Données!$B$3:$B$1479,MATCH(ROWS($AD$3:AD613),$AD$3:$AD$1479,0)),"")</f>
        <v/>
      </c>
    </row>
    <row r="614" spans="1:31" ht="15.75" x14ac:dyDescent="0.25">
      <c r="A614" t="str">
        <f t="shared" si="116"/>
        <v>Anze Kopitar - LAK - C</v>
      </c>
      <c r="B614" t="str">
        <f t="shared" si="117"/>
        <v>Anze Kopitar - LAK - C</v>
      </c>
      <c r="C614" t="str">
        <f t="shared" si="108"/>
        <v>Anze</v>
      </c>
      <c r="D614" t="str">
        <f t="shared" si="109"/>
        <v>Kopitar</v>
      </c>
      <c r="E614" s="39" t="s">
        <v>2979</v>
      </c>
      <c r="F614" s="30" t="s">
        <v>20</v>
      </c>
      <c r="G614" s="35" t="s">
        <v>420</v>
      </c>
      <c r="H614" s="35" t="s">
        <v>73</v>
      </c>
      <c r="I614" s="35" t="s">
        <v>2439</v>
      </c>
      <c r="J614" s="35">
        <v>31</v>
      </c>
      <c r="K614" s="35">
        <f>VALUE(COUNTIF(Validation!$A$2:$H$47,E614))</f>
        <v>0</v>
      </c>
      <c r="L614" s="361">
        <f t="shared" si="110"/>
        <v>10000000</v>
      </c>
      <c r="M614" s="361">
        <f t="shared" si="111"/>
        <v>10000000</v>
      </c>
      <c r="N614" s="358">
        <v>10000000</v>
      </c>
      <c r="O614" s="358">
        <v>10000000</v>
      </c>
      <c r="P614" s="358">
        <v>10000000</v>
      </c>
      <c r="Q614" s="358">
        <v>10000000</v>
      </c>
      <c r="R614" s="358">
        <v>10000000</v>
      </c>
      <c r="S614" s="358" t="s">
        <v>7</v>
      </c>
      <c r="T614" s="358">
        <v>0</v>
      </c>
      <c r="U614" s="35">
        <f t="shared" si="112"/>
        <v>5</v>
      </c>
      <c r="W614">
        <f t="shared" si="113"/>
        <v>1</v>
      </c>
      <c r="X614" s="35">
        <f t="shared" si="114"/>
        <v>0</v>
      </c>
      <c r="Y614">
        <f t="shared" si="115"/>
        <v>1</v>
      </c>
      <c r="AB614">
        <f t="shared" si="118"/>
        <v>1</v>
      </c>
      <c r="AC614">
        <f t="shared" ca="1" si="119"/>
        <v>0</v>
      </c>
      <c r="AD614" t="str">
        <f ca="1">IF(AC614=1,COUNTIF($AC$3:AC614,1),"")</f>
        <v/>
      </c>
      <c r="AE614" s="155" t="str">
        <f ca="1">IFERROR(INDEX(Données!$B$3:$B$1479,MATCH(ROWS($AD$3:AD614),$AD$3:$AD$1479,0)),"")</f>
        <v/>
      </c>
    </row>
    <row r="615" spans="1:31" ht="15.75" x14ac:dyDescent="0.25">
      <c r="A615" t="str">
        <f t="shared" si="116"/>
        <v>Ilya Kovalchuk - LAK - AG, AD</v>
      </c>
      <c r="B615" t="str">
        <f t="shared" si="117"/>
        <v>Ilya Kovalchuk - LAK - AG, AD</v>
      </c>
      <c r="C615" t="str">
        <f t="shared" si="108"/>
        <v>Ilya</v>
      </c>
      <c r="D615" t="str">
        <f t="shared" si="109"/>
        <v>Kovalchuk</v>
      </c>
      <c r="E615" s="39" t="s">
        <v>2253</v>
      </c>
      <c r="F615" s="30" t="s">
        <v>20</v>
      </c>
      <c r="G615" s="35" t="s">
        <v>2499</v>
      </c>
      <c r="H615" s="35" t="s">
        <v>2442</v>
      </c>
      <c r="I615" s="35" t="s">
        <v>2439</v>
      </c>
      <c r="J615" s="35">
        <v>36</v>
      </c>
      <c r="K615" s="35">
        <f>VALUE(COUNTIF(Validation!$A$2:$H$47,E615))</f>
        <v>0</v>
      </c>
      <c r="L615" s="361">
        <f t="shared" si="110"/>
        <v>6250000</v>
      </c>
      <c r="M615" s="361">
        <f t="shared" si="111"/>
        <v>6250000</v>
      </c>
      <c r="N615" s="358">
        <v>6250000</v>
      </c>
      <c r="O615" s="358">
        <v>6250000</v>
      </c>
      <c r="P615" s="358" t="s">
        <v>7</v>
      </c>
      <c r="Q615" s="358">
        <v>0</v>
      </c>
      <c r="R615" s="358">
        <v>0</v>
      </c>
      <c r="S615" s="358">
        <v>0</v>
      </c>
      <c r="T615" s="358">
        <v>0</v>
      </c>
      <c r="U615" s="35">
        <f t="shared" si="112"/>
        <v>2</v>
      </c>
      <c r="W615">
        <f t="shared" si="113"/>
        <v>1</v>
      </c>
      <c r="X615" s="35">
        <f t="shared" si="114"/>
        <v>0</v>
      </c>
      <c r="Y615">
        <f t="shared" si="115"/>
        <v>1</v>
      </c>
      <c r="AB615">
        <f t="shared" si="118"/>
        <v>1</v>
      </c>
      <c r="AC615">
        <f t="shared" ca="1" si="119"/>
        <v>0</v>
      </c>
      <c r="AD615" t="str">
        <f ca="1">IF(AC615=1,COUNTIF($AC$3:AC615,1),"")</f>
        <v/>
      </c>
      <c r="AE615" s="155" t="str">
        <f ca="1">IFERROR(INDEX(Données!$B$3:$B$1479,MATCH(ROWS($AD$3:AD615),$AD$3:$AD$1479,0)),"")</f>
        <v/>
      </c>
    </row>
    <row r="616" spans="1:31" ht="15.75" x14ac:dyDescent="0.25">
      <c r="A616" t="str">
        <f t="shared" si="116"/>
        <v>Dustin Brown - LAK - AD, AG</v>
      </c>
      <c r="B616" t="str">
        <f t="shared" si="117"/>
        <v>Dustin Brown - LAK - AD, AG</v>
      </c>
      <c r="C616" t="str">
        <f t="shared" si="108"/>
        <v>Dustin</v>
      </c>
      <c r="D616" t="str">
        <f t="shared" si="109"/>
        <v>Brown</v>
      </c>
      <c r="E616" s="39" t="s">
        <v>2254</v>
      </c>
      <c r="F616" s="30" t="s">
        <v>20</v>
      </c>
      <c r="G616" s="35" t="s">
        <v>381</v>
      </c>
      <c r="H616" s="35" t="s">
        <v>2441</v>
      </c>
      <c r="I616" s="35" t="s">
        <v>2439</v>
      </c>
      <c r="J616" s="35">
        <v>34</v>
      </c>
      <c r="K616" s="35">
        <f>VALUE(COUNTIF(Validation!$A$2:$H$47,E616))</f>
        <v>0</v>
      </c>
      <c r="L616" s="361">
        <f t="shared" si="110"/>
        <v>5875000</v>
      </c>
      <c r="M616" s="361">
        <f t="shared" si="111"/>
        <v>5875000</v>
      </c>
      <c r="N616" s="358">
        <v>5875000</v>
      </c>
      <c r="O616" s="358">
        <v>5875000</v>
      </c>
      <c r="P616" s="358">
        <v>5875000</v>
      </c>
      <c r="Q616" s="358" t="s">
        <v>7</v>
      </c>
      <c r="R616" s="358">
        <v>0</v>
      </c>
      <c r="S616" s="358">
        <v>0</v>
      </c>
      <c r="T616" s="358">
        <v>0</v>
      </c>
      <c r="U616" s="35">
        <f t="shared" si="112"/>
        <v>3</v>
      </c>
      <c r="W616">
        <f t="shared" si="113"/>
        <v>1</v>
      </c>
      <c r="X616" s="35">
        <f t="shared" si="114"/>
        <v>0</v>
      </c>
      <c r="Y616">
        <f t="shared" si="115"/>
        <v>1</v>
      </c>
      <c r="AB616">
        <f t="shared" si="118"/>
        <v>1</v>
      </c>
      <c r="AC616">
        <f t="shared" ca="1" si="119"/>
        <v>0</v>
      </c>
      <c r="AD616" t="str">
        <f ca="1">IF(AC616=1,COUNTIF($AC$3:AC616,1),"")</f>
        <v/>
      </c>
      <c r="AE616" s="155" t="str">
        <f ca="1">IFERROR(INDEX(Données!$B$3:$B$1479,MATCH(ROWS($AD$3:AD616),$AD$3:$AD$1479,0)),"")</f>
        <v/>
      </c>
    </row>
    <row r="617" spans="1:31" ht="15.75" x14ac:dyDescent="0.25">
      <c r="A617" t="str">
        <f t="shared" si="116"/>
        <v>Jonathan Quick - LAK - G</v>
      </c>
      <c r="B617" t="str">
        <f t="shared" si="117"/>
        <v>Jonathan Quick - LAK - G</v>
      </c>
      <c r="C617" t="str">
        <f t="shared" si="108"/>
        <v>Jonathan</v>
      </c>
      <c r="D617" t="str">
        <f t="shared" si="109"/>
        <v>Quick</v>
      </c>
      <c r="E617" s="39" t="s">
        <v>2267</v>
      </c>
      <c r="F617" s="30" t="s">
        <v>20</v>
      </c>
      <c r="G617" s="35">
        <v>0</v>
      </c>
      <c r="H617" s="9" t="s">
        <v>127</v>
      </c>
      <c r="I617" s="9" t="s">
        <v>2439</v>
      </c>
      <c r="J617" s="9">
        <v>33</v>
      </c>
      <c r="K617" s="35">
        <f>VALUE(COUNTIF(Validation!$A$2:$H$47,E617))</f>
        <v>0</v>
      </c>
      <c r="L617" s="361">
        <f t="shared" si="110"/>
        <v>5800000</v>
      </c>
      <c r="M617" s="361">
        <f t="shared" si="111"/>
        <v>5800000</v>
      </c>
      <c r="N617" s="358">
        <v>5800000</v>
      </c>
      <c r="O617" s="358">
        <v>5800000</v>
      </c>
      <c r="P617" s="358">
        <v>5800000</v>
      </c>
      <c r="Q617" s="358">
        <v>5800000</v>
      </c>
      <c r="R617" s="358" t="s">
        <v>7</v>
      </c>
      <c r="S617" s="358">
        <v>0</v>
      </c>
      <c r="T617" s="358">
        <v>0</v>
      </c>
      <c r="U617" s="35">
        <f t="shared" si="112"/>
        <v>4</v>
      </c>
      <c r="W617">
        <f t="shared" si="113"/>
        <v>1</v>
      </c>
      <c r="X617" s="35">
        <f t="shared" si="114"/>
        <v>0</v>
      </c>
      <c r="Y617">
        <f t="shared" si="115"/>
        <v>1</v>
      </c>
      <c r="AB617">
        <f t="shared" si="118"/>
        <v>1</v>
      </c>
      <c r="AC617">
        <f t="shared" ca="1" si="119"/>
        <v>0</v>
      </c>
      <c r="AD617" t="str">
        <f ca="1">IF(AC617=1,COUNTIF($AC$3:AC617,1),"")</f>
        <v/>
      </c>
      <c r="AE617" s="155" t="str">
        <f ca="1">IFERROR(INDEX(Données!$B$3:$B$1479,MATCH(ROWS($AD$3:AD617),$AD$3:$AD$1479,0)),"")</f>
        <v/>
      </c>
    </row>
    <row r="618" spans="1:31" ht="15.75" x14ac:dyDescent="0.25">
      <c r="A618" t="str">
        <f t="shared" si="116"/>
        <v>Jeff Carter - LAK - C, AD</v>
      </c>
      <c r="B618" t="str">
        <f t="shared" si="117"/>
        <v>Jeff Carter - LAK - C, AD</v>
      </c>
      <c r="C618" t="str">
        <f t="shared" si="108"/>
        <v>Jeff</v>
      </c>
      <c r="D618" t="str">
        <f t="shared" si="109"/>
        <v>Carter</v>
      </c>
      <c r="E618" s="39" t="s">
        <v>2948</v>
      </c>
      <c r="F618" s="30" t="s">
        <v>20</v>
      </c>
      <c r="G618" s="35">
        <v>0</v>
      </c>
      <c r="H618" s="35" t="s">
        <v>2448</v>
      </c>
      <c r="I618" s="35" t="s">
        <v>2439</v>
      </c>
      <c r="J618" s="35">
        <v>34</v>
      </c>
      <c r="K618" s="35">
        <f>VALUE(COUNTIF(Validation!$A$2:$H$47,E618))</f>
        <v>0</v>
      </c>
      <c r="L618" s="361">
        <f t="shared" si="110"/>
        <v>5272727</v>
      </c>
      <c r="M618" s="361">
        <f t="shared" si="111"/>
        <v>5272727</v>
      </c>
      <c r="N618" s="358">
        <v>5272727</v>
      </c>
      <c r="O618" s="358">
        <v>5272727</v>
      </c>
      <c r="P618" s="358">
        <v>5272727</v>
      </c>
      <c r="Q618" s="358" t="s">
        <v>7</v>
      </c>
      <c r="R618" s="358">
        <v>0</v>
      </c>
      <c r="S618" s="358">
        <v>0</v>
      </c>
      <c r="T618" s="358">
        <v>0</v>
      </c>
      <c r="U618" s="35">
        <f t="shared" si="112"/>
        <v>3</v>
      </c>
      <c r="W618">
        <f t="shared" si="113"/>
        <v>1</v>
      </c>
      <c r="X618" s="35">
        <f t="shared" si="114"/>
        <v>0</v>
      </c>
      <c r="Y618">
        <f t="shared" si="115"/>
        <v>1</v>
      </c>
      <c r="AB618">
        <f t="shared" si="118"/>
        <v>1</v>
      </c>
      <c r="AC618">
        <f t="shared" ca="1" si="119"/>
        <v>0</v>
      </c>
      <c r="AD618" t="str">
        <f ca="1">IF(AC618=1,COUNTIF($AC$3:AC618,1),"")</f>
        <v/>
      </c>
      <c r="AE618" s="155" t="str">
        <f ca="1">IFERROR(INDEX(Données!$B$3:$B$1479,MATCH(ROWS($AD$3:AD618),$AD$3:$AD$1479,0)),"")</f>
        <v/>
      </c>
    </row>
    <row r="619" spans="1:31" ht="15.75" x14ac:dyDescent="0.25">
      <c r="A619" t="str">
        <f t="shared" si="116"/>
        <v>Tyler Toffoli - LAK - AD, AG</v>
      </c>
      <c r="B619" t="str">
        <f t="shared" si="117"/>
        <v>Tyler Toffoli - LAK - AD, AG</v>
      </c>
      <c r="C619" t="str">
        <f t="shared" si="108"/>
        <v>Tyler</v>
      </c>
      <c r="D619" t="str">
        <f t="shared" si="109"/>
        <v>Toffoli</v>
      </c>
      <c r="E619" s="39" t="s">
        <v>2255</v>
      </c>
      <c r="F619" s="30" t="s">
        <v>20</v>
      </c>
      <c r="G619" s="35">
        <v>0</v>
      </c>
      <c r="H619" s="35" t="s">
        <v>2441</v>
      </c>
      <c r="I619" s="35" t="s">
        <v>2439</v>
      </c>
      <c r="J619" s="35">
        <v>27</v>
      </c>
      <c r="K619" s="35">
        <f>VALUE(COUNTIF(Validation!$A$2:$H$47,E619))</f>
        <v>0</v>
      </c>
      <c r="L619" s="361">
        <f t="shared" si="110"/>
        <v>4600000</v>
      </c>
      <c r="M619" s="361">
        <f t="shared" si="111"/>
        <v>0</v>
      </c>
      <c r="N619" s="358">
        <v>4600000</v>
      </c>
      <c r="O619" s="358" t="s">
        <v>7</v>
      </c>
      <c r="P619" s="358">
        <v>0</v>
      </c>
      <c r="Q619" s="358">
        <v>0</v>
      </c>
      <c r="R619" s="358">
        <v>0</v>
      </c>
      <c r="S619" s="358">
        <v>0</v>
      </c>
      <c r="T619" s="358">
        <v>0</v>
      </c>
      <c r="U619" s="35">
        <f t="shared" si="112"/>
        <v>1</v>
      </c>
      <c r="W619">
        <f t="shared" si="113"/>
        <v>1</v>
      </c>
      <c r="X619" s="35">
        <f t="shared" si="114"/>
        <v>0</v>
      </c>
      <c r="Y619">
        <f t="shared" si="115"/>
        <v>0</v>
      </c>
      <c r="AB619">
        <f t="shared" si="118"/>
        <v>1</v>
      </c>
      <c r="AC619">
        <f t="shared" ca="1" si="119"/>
        <v>0</v>
      </c>
      <c r="AD619" t="str">
        <f ca="1">IF(AC619=1,COUNTIF($AC$3:AC619,1),"")</f>
        <v/>
      </c>
      <c r="AE619" s="155" t="str">
        <f ca="1">IFERROR(INDEX(Données!$B$3:$B$1479,MATCH(ROWS($AD$3:AD619),$AD$3:$AD$1479,0)),"")</f>
        <v/>
      </c>
    </row>
    <row r="620" spans="1:31" ht="15.75" x14ac:dyDescent="0.25">
      <c r="A620" t="str">
        <f t="shared" si="116"/>
        <v>Alec Martinez - LAK - DD</v>
      </c>
      <c r="B620" t="str">
        <f t="shared" si="117"/>
        <v>Alec Martinez - LAK - DD</v>
      </c>
      <c r="C620" t="str">
        <f t="shared" si="108"/>
        <v>Alec</v>
      </c>
      <c r="D620" t="str">
        <f t="shared" si="109"/>
        <v>Martinez</v>
      </c>
      <c r="E620" s="39" t="s">
        <v>2263</v>
      </c>
      <c r="F620" s="30" t="s">
        <v>20</v>
      </c>
      <c r="G620" s="35">
        <v>0</v>
      </c>
      <c r="H620" s="35" t="s">
        <v>2444</v>
      </c>
      <c r="I620" s="35" t="s">
        <v>2439</v>
      </c>
      <c r="J620" s="35">
        <v>32</v>
      </c>
      <c r="K620" s="35">
        <f>VALUE(COUNTIF(Validation!$A$2:$H$47,E620))</f>
        <v>0</v>
      </c>
      <c r="L620" s="361">
        <f t="shared" si="110"/>
        <v>4000000</v>
      </c>
      <c r="M620" s="361">
        <f t="shared" si="111"/>
        <v>4000000</v>
      </c>
      <c r="N620" s="358">
        <v>4000000</v>
      </c>
      <c r="O620" s="358">
        <v>4000000</v>
      </c>
      <c r="P620" s="358" t="s">
        <v>7</v>
      </c>
      <c r="Q620" s="358">
        <v>0</v>
      </c>
      <c r="R620" s="358">
        <v>0</v>
      </c>
      <c r="S620" s="358">
        <v>0</v>
      </c>
      <c r="T620" s="358">
        <v>0</v>
      </c>
      <c r="U620" s="35">
        <f t="shared" si="112"/>
        <v>2</v>
      </c>
      <c r="W620">
        <f t="shared" si="113"/>
        <v>1</v>
      </c>
      <c r="X620" s="35">
        <f t="shared" si="114"/>
        <v>0</v>
      </c>
      <c r="Y620">
        <f t="shared" si="115"/>
        <v>1</v>
      </c>
      <c r="AB620">
        <f t="shared" si="118"/>
        <v>1</v>
      </c>
      <c r="AC620">
        <f t="shared" ca="1" si="119"/>
        <v>0</v>
      </c>
      <c r="AD620" t="str">
        <f ca="1">IF(AC620=1,COUNTIF($AC$3:AC620,1),"")</f>
        <v/>
      </c>
      <c r="AE620" s="155" t="str">
        <f ca="1">IFERROR(INDEX(Données!$B$3:$B$1479,MATCH(ROWS($AD$3:AD620),$AD$3:$AD$1479,0)),"")</f>
        <v/>
      </c>
    </row>
    <row r="621" spans="1:31" ht="15.75" x14ac:dyDescent="0.25">
      <c r="A621" t="str">
        <f t="shared" si="116"/>
        <v>Derek Forbort - LAK - DG</v>
      </c>
      <c r="B621" t="str">
        <f t="shared" si="117"/>
        <v>Derek Forbort - LAK - DG</v>
      </c>
      <c r="C621" t="str">
        <f t="shared" si="108"/>
        <v>Derek</v>
      </c>
      <c r="D621" t="str">
        <f t="shared" si="109"/>
        <v>Forbort</v>
      </c>
      <c r="E621" s="39" t="s">
        <v>2265</v>
      </c>
      <c r="F621" s="30" t="s">
        <v>20</v>
      </c>
      <c r="G621" s="35">
        <v>0</v>
      </c>
      <c r="H621" s="35" t="s">
        <v>2445</v>
      </c>
      <c r="I621" s="35" t="s">
        <v>2439</v>
      </c>
      <c r="J621" s="35">
        <v>27</v>
      </c>
      <c r="K621" s="35">
        <f>VALUE(COUNTIF(Validation!$A$2:$H$47,E621))</f>
        <v>0</v>
      </c>
      <c r="L621" s="361">
        <f t="shared" si="110"/>
        <v>2525000</v>
      </c>
      <c r="M621" s="361">
        <f t="shared" si="111"/>
        <v>0</v>
      </c>
      <c r="N621" s="358">
        <v>2525000</v>
      </c>
      <c r="O621" s="358" t="s">
        <v>7</v>
      </c>
      <c r="P621" s="358">
        <v>0</v>
      </c>
      <c r="Q621" s="358">
        <v>0</v>
      </c>
      <c r="R621" s="358">
        <v>0</v>
      </c>
      <c r="S621" s="358">
        <v>0</v>
      </c>
      <c r="T621" s="358">
        <v>0</v>
      </c>
      <c r="U621" s="35">
        <f t="shared" si="112"/>
        <v>1</v>
      </c>
      <c r="W621">
        <f t="shared" si="113"/>
        <v>1</v>
      </c>
      <c r="X621" s="35">
        <f t="shared" si="114"/>
        <v>0</v>
      </c>
      <c r="Y621">
        <f t="shared" si="115"/>
        <v>0</v>
      </c>
      <c r="AB621">
        <f t="shared" si="118"/>
        <v>1</v>
      </c>
      <c r="AC621">
        <f t="shared" ca="1" si="119"/>
        <v>0</v>
      </c>
      <c r="AD621" t="str">
        <f ca="1">IF(AC621=1,COUNTIF($AC$3:AC621,1),"")</f>
        <v/>
      </c>
      <c r="AE621" s="155" t="str">
        <f ca="1">IFERROR(INDEX(Données!$B$3:$B$1479,MATCH(ROWS($AD$3:AD621),$AD$3:$AD$1479,0)),"")</f>
        <v/>
      </c>
    </row>
    <row r="622" spans="1:31" ht="15.75" x14ac:dyDescent="0.25">
      <c r="A622" t="str">
        <f t="shared" si="116"/>
        <v>Alex Iafallo - LAK - AG, C</v>
      </c>
      <c r="B622" t="str">
        <f t="shared" si="117"/>
        <v>Alex Iafallo - LAK - AG, C</v>
      </c>
      <c r="C622" t="str">
        <f t="shared" si="108"/>
        <v>Alex</v>
      </c>
      <c r="D622" t="str">
        <f t="shared" si="109"/>
        <v>Iafallo</v>
      </c>
      <c r="E622" s="39" t="s">
        <v>2261</v>
      </c>
      <c r="F622" s="30" t="s">
        <v>20</v>
      </c>
      <c r="G622" s="35">
        <v>0</v>
      </c>
      <c r="H622" s="35" t="s">
        <v>2450</v>
      </c>
      <c r="I622" s="35" t="s">
        <v>2439</v>
      </c>
      <c r="J622" s="35">
        <v>25</v>
      </c>
      <c r="K622" s="35">
        <f>VALUE(COUNTIF(Validation!$A$2:$H$47,E622))</f>
        <v>0</v>
      </c>
      <c r="L622" s="361">
        <f t="shared" si="110"/>
        <v>2425000</v>
      </c>
      <c r="M622" s="361">
        <f t="shared" si="111"/>
        <v>2425000</v>
      </c>
      <c r="N622" s="358">
        <v>2425000</v>
      </c>
      <c r="O622" s="358">
        <v>2425000</v>
      </c>
      <c r="P622" s="358" t="s">
        <v>7</v>
      </c>
      <c r="Q622" s="358">
        <v>0</v>
      </c>
      <c r="R622" s="358">
        <v>0</v>
      </c>
      <c r="S622" s="358">
        <v>0</v>
      </c>
      <c r="T622" s="358">
        <v>0</v>
      </c>
      <c r="U622" s="35">
        <f t="shared" si="112"/>
        <v>2</v>
      </c>
      <c r="W622">
        <f t="shared" si="113"/>
        <v>1</v>
      </c>
      <c r="X622" s="35">
        <f t="shared" si="114"/>
        <v>0</v>
      </c>
      <c r="Y622">
        <f t="shared" si="115"/>
        <v>1</v>
      </c>
      <c r="AB622">
        <f t="shared" si="118"/>
        <v>1</v>
      </c>
      <c r="AC622">
        <f t="shared" ca="1" si="119"/>
        <v>0</v>
      </c>
      <c r="AD622" t="str">
        <f ca="1">IF(AC622=1,COUNTIF($AC$3:AC622,1),"")</f>
        <v/>
      </c>
      <c r="AE622" s="155" t="str">
        <f ca="1">IFERROR(INDEX(Données!$B$3:$B$1479,MATCH(ROWS($AD$3:AD622),$AD$3:$AD$1479,0)),"")</f>
        <v/>
      </c>
    </row>
    <row r="623" spans="1:31" ht="15.75" x14ac:dyDescent="0.25">
      <c r="A623" t="str">
        <f t="shared" si="116"/>
        <v>Trevor Lewis - LAK - C, AD, AG</v>
      </c>
      <c r="B623" t="str">
        <f t="shared" si="117"/>
        <v>Trevor Lewis - LAK - C, AD, AG</v>
      </c>
      <c r="C623" t="str">
        <f t="shared" si="108"/>
        <v>Trevor</v>
      </c>
      <c r="D623" t="str">
        <f t="shared" si="109"/>
        <v>Lewis</v>
      </c>
      <c r="E623" s="39" t="s">
        <v>2257</v>
      </c>
      <c r="F623" s="30" t="s">
        <v>20</v>
      </c>
      <c r="G623" s="35">
        <v>0</v>
      </c>
      <c r="H623" s="35" t="s">
        <v>2521</v>
      </c>
      <c r="I623" s="35" t="s">
        <v>2439</v>
      </c>
      <c r="J623" s="35">
        <v>32</v>
      </c>
      <c r="K623" s="35">
        <f>VALUE(COUNTIF(Validation!$A$2:$H$47,E623))</f>
        <v>0</v>
      </c>
      <c r="L623" s="361">
        <f t="shared" si="110"/>
        <v>2000000</v>
      </c>
      <c r="M623" s="361">
        <f t="shared" si="111"/>
        <v>0</v>
      </c>
      <c r="N623" s="358">
        <v>2000000</v>
      </c>
      <c r="O623" s="358" t="s">
        <v>7</v>
      </c>
      <c r="P623" s="358">
        <v>0</v>
      </c>
      <c r="Q623" s="358">
        <v>0</v>
      </c>
      <c r="R623" s="358">
        <v>0</v>
      </c>
      <c r="S623" s="358">
        <v>0</v>
      </c>
      <c r="T623" s="358">
        <v>0</v>
      </c>
      <c r="U623" s="35">
        <f t="shared" si="112"/>
        <v>1</v>
      </c>
      <c r="W623">
        <f t="shared" si="113"/>
        <v>1</v>
      </c>
      <c r="X623" s="35">
        <f t="shared" si="114"/>
        <v>0</v>
      </c>
      <c r="Y623">
        <f t="shared" si="115"/>
        <v>0</v>
      </c>
      <c r="AB623">
        <f t="shared" si="118"/>
        <v>1</v>
      </c>
      <c r="AC623">
        <f t="shared" ca="1" si="119"/>
        <v>0</v>
      </c>
      <c r="AD623" t="str">
        <f ca="1">IF(AC623=1,COUNTIF($AC$3:AC623,1),"")</f>
        <v/>
      </c>
      <c r="AE623" s="155" t="str">
        <f ca="1">IFERROR(INDEX(Données!$B$3:$B$1479,MATCH(ROWS($AD$3:AD623),$AD$3:$AD$1479,0)),"")</f>
        <v/>
      </c>
    </row>
    <row r="624" spans="1:31" ht="15.75" x14ac:dyDescent="0.25">
      <c r="A624" t="str">
        <f t="shared" si="116"/>
        <v>Michael Anderson - LAK - DG</v>
      </c>
      <c r="B624" t="str">
        <f t="shared" si="117"/>
        <v>Michael Anderson - LAK - DG</v>
      </c>
      <c r="C624" t="str">
        <f t="shared" si="108"/>
        <v>Michael</v>
      </c>
      <c r="D624" t="str">
        <f t="shared" si="109"/>
        <v>Anderson</v>
      </c>
      <c r="E624" s="39" t="s">
        <v>2625</v>
      </c>
      <c r="F624" s="30" t="s">
        <v>20</v>
      </c>
      <c r="G624" s="35" t="s">
        <v>386</v>
      </c>
      <c r="H624" s="35" t="s">
        <v>2445</v>
      </c>
      <c r="I624" s="35" t="s">
        <v>2446</v>
      </c>
      <c r="J624" s="35">
        <v>20</v>
      </c>
      <c r="K624" s="35">
        <f>VALUE(COUNTIF(Validation!$A$2:$H$47,E624))</f>
        <v>0</v>
      </c>
      <c r="L624" s="361">
        <f t="shared" si="110"/>
        <v>1775000</v>
      </c>
      <c r="M624" s="361">
        <f t="shared" si="111"/>
        <v>1775000</v>
      </c>
      <c r="N624" s="358">
        <v>1775000</v>
      </c>
      <c r="O624" s="358">
        <v>1775000</v>
      </c>
      <c r="P624" s="358">
        <v>1775000</v>
      </c>
      <c r="Q624" s="358" t="s">
        <v>8</v>
      </c>
      <c r="R624" s="358">
        <v>0</v>
      </c>
      <c r="S624" s="358">
        <v>0</v>
      </c>
      <c r="T624" s="358">
        <v>0</v>
      </c>
      <c r="U624" s="35">
        <f t="shared" si="112"/>
        <v>3</v>
      </c>
      <c r="W624">
        <f t="shared" si="113"/>
        <v>1</v>
      </c>
      <c r="X624" s="35">
        <f t="shared" si="114"/>
        <v>1</v>
      </c>
      <c r="Y624">
        <f t="shared" si="115"/>
        <v>1</v>
      </c>
      <c r="AB624">
        <f t="shared" si="118"/>
        <v>1</v>
      </c>
      <c r="AC624">
        <f t="shared" ca="1" si="119"/>
        <v>0</v>
      </c>
      <c r="AD624" t="str">
        <f ca="1">IF(AC624=1,COUNTIF($AC$3:AC624,1),"")</f>
        <v/>
      </c>
      <c r="AE624" s="155" t="str">
        <f ca="1">IFERROR(INDEX(Données!$B$3:$B$1479,MATCH(ROWS($AD$3:AD624),$AD$3:$AD$1479,0)),"")</f>
        <v/>
      </c>
    </row>
    <row r="625" spans="1:31" ht="15.75" x14ac:dyDescent="0.25">
      <c r="A625" t="str">
        <f t="shared" si="116"/>
        <v>Nikolai Prokhorkin - LAK - AG</v>
      </c>
      <c r="B625" t="str">
        <f t="shared" si="117"/>
        <v>Nikolai Prokhorkin - LAK - AG</v>
      </c>
      <c r="C625" t="str">
        <f t="shared" si="108"/>
        <v>Nikolai</v>
      </c>
      <c r="D625" t="str">
        <f t="shared" si="109"/>
        <v>Prokhorkin</v>
      </c>
      <c r="E625" s="39" t="s">
        <v>2623</v>
      </c>
      <c r="F625" s="30" t="s">
        <v>20</v>
      </c>
      <c r="G625" s="35" t="s">
        <v>386</v>
      </c>
      <c r="H625" s="35" t="s">
        <v>2440</v>
      </c>
      <c r="I625" s="35" t="s">
        <v>2446</v>
      </c>
      <c r="J625" s="35">
        <v>25</v>
      </c>
      <c r="K625" s="35">
        <f>VALUE(COUNTIF(Validation!$A$2:$H$47,E625))</f>
        <v>0</v>
      </c>
      <c r="L625" s="361">
        <f t="shared" si="110"/>
        <v>1775000</v>
      </c>
      <c r="M625" s="361">
        <f t="shared" si="111"/>
        <v>0</v>
      </c>
      <c r="N625" s="358">
        <v>1775000</v>
      </c>
      <c r="O625" s="358" t="s">
        <v>8</v>
      </c>
      <c r="P625" s="358">
        <v>0</v>
      </c>
      <c r="Q625" s="358">
        <v>0</v>
      </c>
      <c r="R625" s="358">
        <v>0</v>
      </c>
      <c r="S625" s="358">
        <v>0</v>
      </c>
      <c r="T625" s="358">
        <v>0</v>
      </c>
      <c r="U625" s="35">
        <f t="shared" si="112"/>
        <v>1</v>
      </c>
      <c r="W625">
        <f t="shared" si="113"/>
        <v>1</v>
      </c>
      <c r="X625" s="35">
        <f t="shared" si="114"/>
        <v>1</v>
      </c>
      <c r="Y625">
        <f t="shared" si="115"/>
        <v>0</v>
      </c>
      <c r="AB625">
        <f t="shared" si="118"/>
        <v>1</v>
      </c>
      <c r="AC625">
        <f t="shared" ca="1" si="119"/>
        <v>0</v>
      </c>
      <c r="AD625" t="str">
        <f ca="1">IF(AC625=1,COUNTIF($AC$3:AC625,1),"")</f>
        <v/>
      </c>
      <c r="AE625" s="155" t="str">
        <f ca="1">IFERROR(INDEX(Données!$B$3:$B$1479,MATCH(ROWS($AD$3:AD625),$AD$3:$AD$1479,0)),"")</f>
        <v/>
      </c>
    </row>
    <row r="626" spans="1:31" ht="15.75" x14ac:dyDescent="0.25">
      <c r="A626" t="str">
        <f t="shared" si="116"/>
        <v>Gabriel Vilardi - LAK - C</v>
      </c>
      <c r="B626" t="str">
        <f t="shared" si="117"/>
        <v>Gabriel Vilardi - LAK - C</v>
      </c>
      <c r="C626" t="str">
        <f t="shared" si="108"/>
        <v>Gabriel</v>
      </c>
      <c r="D626" t="str">
        <f t="shared" si="109"/>
        <v>Vilardi</v>
      </c>
      <c r="E626" s="39" t="s">
        <v>2271</v>
      </c>
      <c r="F626" s="30" t="s">
        <v>20</v>
      </c>
      <c r="G626" s="35" t="s">
        <v>386</v>
      </c>
      <c r="H626" s="35" t="s">
        <v>73</v>
      </c>
      <c r="I626" s="35" t="s">
        <v>2446</v>
      </c>
      <c r="J626" s="35">
        <v>19</v>
      </c>
      <c r="K626" s="35">
        <f>VALUE(COUNTIF(Validation!$A$2:$H$47,E626))</f>
        <v>0</v>
      </c>
      <c r="L626" s="361">
        <f t="shared" si="110"/>
        <v>1627500</v>
      </c>
      <c r="M626" s="361">
        <f t="shared" si="111"/>
        <v>1627500</v>
      </c>
      <c r="N626" s="358">
        <v>1627500</v>
      </c>
      <c r="O626" s="358">
        <v>1627500</v>
      </c>
      <c r="P626" s="358">
        <v>1627500</v>
      </c>
      <c r="Q626" s="358" t="s">
        <v>8</v>
      </c>
      <c r="R626" s="358">
        <v>0</v>
      </c>
      <c r="S626" s="358">
        <v>0</v>
      </c>
      <c r="T626" s="358">
        <v>0</v>
      </c>
      <c r="U626" s="35">
        <f t="shared" si="112"/>
        <v>3</v>
      </c>
      <c r="W626">
        <f t="shared" si="113"/>
        <v>1</v>
      </c>
      <c r="X626" s="35">
        <f t="shared" si="114"/>
        <v>1</v>
      </c>
      <c r="Y626">
        <f t="shared" si="115"/>
        <v>1</v>
      </c>
      <c r="AB626">
        <f t="shared" si="118"/>
        <v>1</v>
      </c>
      <c r="AC626">
        <f t="shared" ca="1" si="119"/>
        <v>0</v>
      </c>
      <c r="AD626" t="str">
        <f ca="1">IF(AC626=1,COUNTIF($AC$3:AC626,1),"")</f>
        <v/>
      </c>
      <c r="AE626" s="155" t="str">
        <f ca="1">IFERROR(INDEX(Données!$B$3:$B$1479,MATCH(ROWS($AD$3:AD626),$AD$3:$AD$1479,0)),"")</f>
        <v/>
      </c>
    </row>
    <row r="627" spans="1:31" ht="15.75" x14ac:dyDescent="0.25">
      <c r="A627" t="str">
        <f t="shared" si="116"/>
        <v>Kyle Clifford - LAK - AG</v>
      </c>
      <c r="B627" t="str">
        <f t="shared" si="117"/>
        <v>Kyle Clifford - LAK - AG</v>
      </c>
      <c r="C627" t="str">
        <f t="shared" si="108"/>
        <v>Kyle</v>
      </c>
      <c r="D627" t="str">
        <f t="shared" si="109"/>
        <v>Clifford</v>
      </c>
      <c r="E627" s="39" t="s">
        <v>2259</v>
      </c>
      <c r="F627" s="30" t="s">
        <v>20</v>
      </c>
      <c r="G627" s="35">
        <v>0</v>
      </c>
      <c r="H627" s="35" t="s">
        <v>2440</v>
      </c>
      <c r="I627" s="35" t="s">
        <v>2439</v>
      </c>
      <c r="J627" s="35">
        <v>28</v>
      </c>
      <c r="K627" s="35">
        <f>VALUE(COUNTIF(Validation!$A$2:$H$47,E627))</f>
        <v>0</v>
      </c>
      <c r="L627" s="361">
        <f t="shared" si="110"/>
        <v>1600000</v>
      </c>
      <c r="M627" s="361">
        <f t="shared" si="111"/>
        <v>0</v>
      </c>
      <c r="N627" s="358">
        <v>1600000</v>
      </c>
      <c r="O627" s="358" t="s">
        <v>7</v>
      </c>
      <c r="P627" s="358">
        <v>0</v>
      </c>
      <c r="Q627" s="358">
        <v>0</v>
      </c>
      <c r="R627" s="358">
        <v>0</v>
      </c>
      <c r="S627" s="358">
        <v>0</v>
      </c>
      <c r="T627" s="358">
        <v>0</v>
      </c>
      <c r="U627" s="35">
        <f t="shared" si="112"/>
        <v>1</v>
      </c>
      <c r="W627">
        <f t="shared" si="113"/>
        <v>1</v>
      </c>
      <c r="X627" s="35">
        <f t="shared" si="114"/>
        <v>0</v>
      </c>
      <c r="Y627">
        <f t="shared" si="115"/>
        <v>0</v>
      </c>
      <c r="AB627">
        <f t="shared" si="118"/>
        <v>1</v>
      </c>
      <c r="AC627">
        <f t="shared" ca="1" si="119"/>
        <v>0</v>
      </c>
      <c r="AD627" t="str">
        <f ca="1">IF(AC627=1,COUNTIF($AC$3:AC627,1),"")</f>
        <v/>
      </c>
      <c r="AE627" s="155" t="str">
        <f ca="1">IFERROR(INDEX(Données!$B$3:$B$1479,MATCH(ROWS($AD$3:AD627),$AD$3:$AD$1479,0)),"")</f>
        <v/>
      </c>
    </row>
    <row r="628" spans="1:31" ht="15.75" x14ac:dyDescent="0.25">
      <c r="A628" t="str">
        <f t="shared" si="116"/>
        <v>Blake Lizotte - LAK - C</v>
      </c>
      <c r="B628" t="str">
        <f t="shared" si="117"/>
        <v>Blake Lizotte - LAK - C</v>
      </c>
      <c r="C628" t="str">
        <f t="shared" si="108"/>
        <v>Blake</v>
      </c>
      <c r="D628" t="str">
        <f t="shared" si="109"/>
        <v>Lizotte</v>
      </c>
      <c r="E628" s="39" t="s">
        <v>2622</v>
      </c>
      <c r="F628" s="30" t="s">
        <v>20</v>
      </c>
      <c r="G628" s="35" t="s">
        <v>386</v>
      </c>
      <c r="H628" s="35" t="s">
        <v>73</v>
      </c>
      <c r="I628" s="35" t="s">
        <v>2439</v>
      </c>
      <c r="J628" s="35">
        <v>21</v>
      </c>
      <c r="K628" s="35">
        <f>VALUE(COUNTIF(Validation!$A$2:$H$47,E628))</f>
        <v>0</v>
      </c>
      <c r="L628" s="361">
        <f t="shared" si="110"/>
        <v>1491667</v>
      </c>
      <c r="M628" s="361">
        <f t="shared" si="111"/>
        <v>1491667</v>
      </c>
      <c r="N628" s="358">
        <v>1491667</v>
      </c>
      <c r="O628" s="358">
        <v>1491667</v>
      </c>
      <c r="P628" s="358" t="s">
        <v>8</v>
      </c>
      <c r="Q628" s="358">
        <v>0</v>
      </c>
      <c r="R628" s="358">
        <v>0</v>
      </c>
      <c r="S628" s="358">
        <v>0</v>
      </c>
      <c r="T628" s="358">
        <v>0</v>
      </c>
      <c r="U628" s="35">
        <f t="shared" si="112"/>
        <v>2</v>
      </c>
      <c r="W628">
        <f t="shared" si="113"/>
        <v>1</v>
      </c>
      <c r="X628" s="35">
        <f t="shared" si="114"/>
        <v>1</v>
      </c>
      <c r="Y628">
        <f t="shared" si="115"/>
        <v>1</v>
      </c>
      <c r="AB628">
        <f t="shared" si="118"/>
        <v>1</v>
      </c>
      <c r="AC628">
        <f t="shared" ca="1" si="119"/>
        <v>0</v>
      </c>
      <c r="AD628" t="str">
        <f ca="1">IF(AC628=1,COUNTIF($AC$3:AC628,1),"")</f>
        <v/>
      </c>
      <c r="AE628" s="155" t="str">
        <f ca="1">IFERROR(INDEX(Données!$B$3:$B$1479,MATCH(ROWS($AD$3:AD628),$AD$3:$AD$1479,0)),"")</f>
        <v/>
      </c>
    </row>
    <row r="629" spans="1:31" ht="15.75" x14ac:dyDescent="0.25">
      <c r="A629" t="str">
        <f t="shared" si="116"/>
        <v>Tobias Bjornfot - LAK - DG</v>
      </c>
      <c r="B629" t="str">
        <f t="shared" si="117"/>
        <v>Tobias Bjornfot - LAK - DG</v>
      </c>
      <c r="C629" t="str">
        <f t="shared" si="108"/>
        <v>Tobias</v>
      </c>
      <c r="D629" t="str">
        <f t="shared" si="109"/>
        <v>Bjornfot</v>
      </c>
      <c r="E629" s="39" t="s">
        <v>2849</v>
      </c>
      <c r="F629" s="30" t="s">
        <v>20</v>
      </c>
      <c r="G629" s="35" t="s">
        <v>386</v>
      </c>
      <c r="H629" s="35" t="s">
        <v>2445</v>
      </c>
      <c r="I629" s="35" t="s">
        <v>2446</v>
      </c>
      <c r="J629" s="35">
        <v>18</v>
      </c>
      <c r="K629" s="35">
        <f>VALUE(COUNTIF(Validation!$A$2:$H$47,E629))</f>
        <v>0</v>
      </c>
      <c r="L629" s="361">
        <f t="shared" si="110"/>
        <v>1083333</v>
      </c>
      <c r="M629" s="361">
        <f t="shared" si="111"/>
        <v>1083333</v>
      </c>
      <c r="N629" s="358">
        <v>1083333</v>
      </c>
      <c r="O629" s="358">
        <v>1083333</v>
      </c>
      <c r="P629" s="358">
        <v>1083333</v>
      </c>
      <c r="Q629" s="358" t="s">
        <v>8</v>
      </c>
      <c r="R629" s="358">
        <v>0</v>
      </c>
      <c r="S629" s="358">
        <v>0</v>
      </c>
      <c r="T629" s="358">
        <v>0</v>
      </c>
      <c r="U629" s="35">
        <f t="shared" si="112"/>
        <v>3</v>
      </c>
      <c r="W629">
        <f t="shared" si="113"/>
        <v>1</v>
      </c>
      <c r="X629" s="35">
        <f t="shared" si="114"/>
        <v>1</v>
      </c>
      <c r="Y629">
        <f t="shared" si="115"/>
        <v>1</v>
      </c>
      <c r="AB629">
        <f t="shared" si="118"/>
        <v>1</v>
      </c>
      <c r="AC629">
        <f t="shared" ca="1" si="119"/>
        <v>0</v>
      </c>
      <c r="AD629" t="str">
        <f ca="1">IF(AC629=1,COUNTIF($AC$3:AC629,1),"")</f>
        <v/>
      </c>
      <c r="AE629" s="155" t="str">
        <f ca="1">IFERROR(INDEX(Données!$B$3:$B$1479,MATCH(ROWS($AD$3:AD629),$AD$3:$AD$1479,0)),"")</f>
        <v/>
      </c>
    </row>
    <row r="630" spans="1:31" ht="15.75" x14ac:dyDescent="0.25">
      <c r="A630" t="str">
        <f t="shared" si="116"/>
        <v>Rasmus Kupari - LAK - C, AG, AD</v>
      </c>
      <c r="B630" t="str">
        <f t="shared" si="117"/>
        <v>Rasmus Kupari - LAK - C, AG, AD</v>
      </c>
      <c r="C630" t="str">
        <f t="shared" si="108"/>
        <v>Rasmus</v>
      </c>
      <c r="D630" t="str">
        <f t="shared" si="109"/>
        <v>Kupari</v>
      </c>
      <c r="E630" s="39" t="s">
        <v>2270</v>
      </c>
      <c r="F630" s="30" t="s">
        <v>20</v>
      </c>
      <c r="G630" s="35" t="s">
        <v>386</v>
      </c>
      <c r="H630" s="35" t="s">
        <v>2494</v>
      </c>
      <c r="I630" s="35" t="s">
        <v>2446</v>
      </c>
      <c r="J630" s="35">
        <v>19</v>
      </c>
      <c r="K630" s="35">
        <f>VALUE(COUNTIF(Validation!$A$2:$H$47,E630))</f>
        <v>0</v>
      </c>
      <c r="L630" s="361">
        <f t="shared" si="110"/>
        <v>1081667</v>
      </c>
      <c r="M630" s="361">
        <f t="shared" si="111"/>
        <v>1081667</v>
      </c>
      <c r="N630" s="358">
        <v>1081667</v>
      </c>
      <c r="O630" s="358">
        <v>1081667</v>
      </c>
      <c r="P630" s="358">
        <v>1081667</v>
      </c>
      <c r="Q630" s="358" t="s">
        <v>8</v>
      </c>
      <c r="R630" s="358">
        <v>0</v>
      </c>
      <c r="S630" s="358">
        <v>0</v>
      </c>
      <c r="T630" s="358">
        <v>0</v>
      </c>
      <c r="U630" s="35">
        <f t="shared" si="112"/>
        <v>3</v>
      </c>
      <c r="W630">
        <f t="shared" si="113"/>
        <v>1</v>
      </c>
      <c r="X630" s="35">
        <f t="shared" si="114"/>
        <v>1</v>
      </c>
      <c r="Y630">
        <f t="shared" si="115"/>
        <v>1</v>
      </c>
      <c r="AB630">
        <f t="shared" si="118"/>
        <v>1</v>
      </c>
      <c r="AC630">
        <f t="shared" ca="1" si="119"/>
        <v>0</v>
      </c>
      <c r="AD630" t="str">
        <f ca="1">IF(AC630=1,COUNTIF($AC$3:AC630,1),"")</f>
        <v/>
      </c>
      <c r="AE630" s="155" t="str">
        <f ca="1">IFERROR(INDEX(Données!$B$3:$B$1479,MATCH(ROWS($AD$3:AD630),$AD$3:$AD$1479,0)),"")</f>
        <v/>
      </c>
    </row>
    <row r="631" spans="1:31" ht="15.75" x14ac:dyDescent="0.25">
      <c r="A631" t="str">
        <f t="shared" si="116"/>
        <v>Matt Villalta - LAK - G</v>
      </c>
      <c r="B631" t="str">
        <f t="shared" si="117"/>
        <v>Matt Villalta - LAK - G</v>
      </c>
      <c r="C631" t="str">
        <f t="shared" si="108"/>
        <v>Matt</v>
      </c>
      <c r="D631" t="str">
        <f t="shared" si="109"/>
        <v>Villalta</v>
      </c>
      <c r="E631" s="39" t="s">
        <v>2275</v>
      </c>
      <c r="F631" s="30" t="s">
        <v>20</v>
      </c>
      <c r="G631" s="35" t="s">
        <v>386</v>
      </c>
      <c r="H631" s="35" t="s">
        <v>127</v>
      </c>
      <c r="I631" s="35" t="s">
        <v>2446</v>
      </c>
      <c r="J631" s="35">
        <v>20</v>
      </c>
      <c r="K631" s="35">
        <f>VALUE(COUNTIF(Validation!$A$2:$H$47,E631))</f>
        <v>0</v>
      </c>
      <c r="L631" s="361">
        <f t="shared" si="110"/>
        <v>927500</v>
      </c>
      <c r="M631" s="361">
        <f t="shared" si="111"/>
        <v>927500</v>
      </c>
      <c r="N631" s="358">
        <v>927500</v>
      </c>
      <c r="O631" s="358">
        <v>927500</v>
      </c>
      <c r="P631" s="358">
        <v>927500</v>
      </c>
      <c r="Q631" s="358" t="s">
        <v>8</v>
      </c>
      <c r="R631" s="358">
        <v>0</v>
      </c>
      <c r="S631" s="358">
        <v>0</v>
      </c>
      <c r="T631" s="358">
        <v>0</v>
      </c>
      <c r="U631" s="35">
        <f t="shared" si="112"/>
        <v>3</v>
      </c>
      <c r="W631">
        <f t="shared" si="113"/>
        <v>1</v>
      </c>
      <c r="X631" s="35">
        <f t="shared" si="114"/>
        <v>1</v>
      </c>
      <c r="Y631">
        <f t="shared" si="115"/>
        <v>1</v>
      </c>
      <c r="AB631">
        <f t="shared" si="118"/>
        <v>1</v>
      </c>
      <c r="AC631">
        <f t="shared" ca="1" si="119"/>
        <v>0</v>
      </c>
      <c r="AD631" t="str">
        <f ca="1">IF(AC631=1,COUNTIF($AC$3:AC631,1),"")</f>
        <v/>
      </c>
      <c r="AE631" s="155" t="str">
        <f ca="1">IFERROR(INDEX(Données!$B$3:$B$1479,MATCH(ROWS($AD$3:AD631),$AD$3:$AD$1479,0)),"")</f>
        <v/>
      </c>
    </row>
    <row r="632" spans="1:31" ht="15.75" x14ac:dyDescent="0.25">
      <c r="A632" t="str">
        <f t="shared" si="116"/>
        <v>Sean Durzi - LAK - DD</v>
      </c>
      <c r="B632" t="str">
        <f t="shared" si="117"/>
        <v>Sean Durzi - LAK - DD</v>
      </c>
      <c r="C632" t="str">
        <f t="shared" si="108"/>
        <v>Sean</v>
      </c>
      <c r="D632" t="str">
        <f t="shared" si="109"/>
        <v>Durzi</v>
      </c>
      <c r="E632" s="39" t="s">
        <v>2626</v>
      </c>
      <c r="F632" s="30" t="s">
        <v>20</v>
      </c>
      <c r="G632" s="35" t="s">
        <v>386</v>
      </c>
      <c r="H632" s="35" t="s">
        <v>2444</v>
      </c>
      <c r="I632" s="35" t="s">
        <v>2446</v>
      </c>
      <c r="J632" s="35">
        <v>20</v>
      </c>
      <c r="K632" s="35">
        <f>VALUE(COUNTIF(Validation!$A$2:$H$47,E632))</f>
        <v>0</v>
      </c>
      <c r="L632" s="361">
        <f t="shared" si="110"/>
        <v>925000</v>
      </c>
      <c r="M632" s="361">
        <f t="shared" si="111"/>
        <v>925000</v>
      </c>
      <c r="N632" s="358">
        <v>925000</v>
      </c>
      <c r="O632" s="358">
        <v>925000</v>
      </c>
      <c r="P632" s="358">
        <v>925000</v>
      </c>
      <c r="Q632" s="358" t="s">
        <v>8</v>
      </c>
      <c r="R632" s="358">
        <v>0</v>
      </c>
      <c r="S632" s="358">
        <v>0</v>
      </c>
      <c r="T632" s="358">
        <v>0</v>
      </c>
      <c r="U632" s="35">
        <f t="shared" si="112"/>
        <v>3</v>
      </c>
      <c r="W632">
        <f t="shared" si="113"/>
        <v>1</v>
      </c>
      <c r="X632" s="35">
        <f t="shared" si="114"/>
        <v>1</v>
      </c>
      <c r="Y632">
        <f t="shared" si="115"/>
        <v>1</v>
      </c>
      <c r="AB632">
        <f t="shared" si="118"/>
        <v>1</v>
      </c>
      <c r="AC632">
        <f t="shared" ca="1" si="119"/>
        <v>0</v>
      </c>
      <c r="AD632" t="str">
        <f ca="1">IF(AC632=1,COUNTIF($AC$3:AC632,1),"")</f>
        <v/>
      </c>
      <c r="AE632" s="155" t="str">
        <f ca="1">IFERROR(INDEX(Données!$B$3:$B$1479,MATCH(ROWS($AD$3:AD632),$AD$3:$AD$1479,0)),"")</f>
        <v/>
      </c>
    </row>
    <row r="633" spans="1:31" ht="15.75" x14ac:dyDescent="0.25">
      <c r="A633" t="str">
        <f t="shared" si="116"/>
        <v>Michael Eyssimont - LAK - C</v>
      </c>
      <c r="B633" t="str">
        <f t="shared" si="117"/>
        <v>Michael Eyssimont - LAK - C</v>
      </c>
      <c r="C633" t="str">
        <f t="shared" si="108"/>
        <v>Michael</v>
      </c>
      <c r="D633" t="str">
        <f t="shared" si="109"/>
        <v>Eyssimont</v>
      </c>
      <c r="E633" s="39" t="s">
        <v>2273</v>
      </c>
      <c r="F633" s="30" t="s">
        <v>20</v>
      </c>
      <c r="G633" s="35" t="s">
        <v>386</v>
      </c>
      <c r="H633" s="35" t="s">
        <v>73</v>
      </c>
      <c r="I633" s="9" t="s">
        <v>2446</v>
      </c>
      <c r="J633" s="35">
        <v>22</v>
      </c>
      <c r="K633" s="35">
        <f>VALUE(COUNTIF(Validation!$A$2:$H$47,E633))</f>
        <v>0</v>
      </c>
      <c r="L633" s="361">
        <f t="shared" si="110"/>
        <v>925000</v>
      </c>
      <c r="M633" s="361">
        <f t="shared" si="111"/>
        <v>0</v>
      </c>
      <c r="N633" s="358">
        <v>925000</v>
      </c>
      <c r="O633" s="358" t="s">
        <v>8</v>
      </c>
      <c r="P633" s="358">
        <v>0</v>
      </c>
      <c r="Q633" s="358">
        <v>0</v>
      </c>
      <c r="R633" s="358">
        <v>0</v>
      </c>
      <c r="S633" s="358">
        <v>0</v>
      </c>
      <c r="T633" s="358">
        <v>0</v>
      </c>
      <c r="U633" s="35">
        <f t="shared" si="112"/>
        <v>1</v>
      </c>
      <c r="W633">
        <f t="shared" si="113"/>
        <v>1</v>
      </c>
      <c r="X633" s="35">
        <f t="shared" si="114"/>
        <v>1</v>
      </c>
      <c r="Y633">
        <f t="shared" si="115"/>
        <v>0</v>
      </c>
      <c r="AB633">
        <f t="shared" si="118"/>
        <v>1</v>
      </c>
      <c r="AC633">
        <f t="shared" ca="1" si="119"/>
        <v>0</v>
      </c>
      <c r="AD633" t="str">
        <f ca="1">IF(AC633=1,COUNTIF($AC$3:AC633,1),"")</f>
        <v/>
      </c>
      <c r="AE633" s="155" t="str">
        <f ca="1">IFERROR(INDEX(Données!$B$3:$B$1479,MATCH(ROWS($AD$3:AD633),$AD$3:$AD$1479,0)),"")</f>
        <v/>
      </c>
    </row>
    <row r="634" spans="1:31" ht="15.75" x14ac:dyDescent="0.25">
      <c r="A634" t="str">
        <f t="shared" si="116"/>
        <v>Samuel Fagemo - LAK - AG, AD</v>
      </c>
      <c r="B634" t="str">
        <f t="shared" si="117"/>
        <v>Samuel Fagemo - LAK - AG, AD</v>
      </c>
      <c r="C634" t="str">
        <f t="shared" si="108"/>
        <v>Samuel</v>
      </c>
      <c r="D634" t="str">
        <f t="shared" si="109"/>
        <v>Fagemo</v>
      </c>
      <c r="E634" s="39" t="s">
        <v>2751</v>
      </c>
      <c r="F634" s="30" t="s">
        <v>20</v>
      </c>
      <c r="G634" s="35" t="s">
        <v>386</v>
      </c>
      <c r="H634" s="9" t="s">
        <v>2442</v>
      </c>
      <c r="I634" s="9" t="s">
        <v>2446</v>
      </c>
      <c r="J634" s="9">
        <v>19</v>
      </c>
      <c r="K634" s="35">
        <f>VALUE(COUNTIF(Validation!$A$2:$H$47,E634))</f>
        <v>0</v>
      </c>
      <c r="L634" s="361">
        <f t="shared" si="110"/>
        <v>925000</v>
      </c>
      <c r="M634" s="361">
        <f t="shared" si="111"/>
        <v>925000</v>
      </c>
      <c r="N634" s="358">
        <v>925000</v>
      </c>
      <c r="O634" s="358">
        <v>925000</v>
      </c>
      <c r="P634" s="358">
        <v>925000</v>
      </c>
      <c r="Q634" s="358" t="s">
        <v>8</v>
      </c>
      <c r="R634" s="358">
        <v>0</v>
      </c>
      <c r="S634" s="358">
        <v>0</v>
      </c>
      <c r="T634" s="358">
        <v>0</v>
      </c>
      <c r="U634" s="35">
        <f t="shared" si="112"/>
        <v>3</v>
      </c>
      <c r="W634">
        <f t="shared" si="113"/>
        <v>1</v>
      </c>
      <c r="X634" s="35">
        <f t="shared" si="114"/>
        <v>1</v>
      </c>
      <c r="Y634">
        <f t="shared" si="115"/>
        <v>1</v>
      </c>
      <c r="AB634">
        <f t="shared" si="118"/>
        <v>1</v>
      </c>
      <c r="AC634">
        <f t="shared" ca="1" si="119"/>
        <v>0</v>
      </c>
      <c r="AD634" t="str">
        <f ca="1">IF(AC634=1,COUNTIF($AC$3:AC634,1),"")</f>
        <v/>
      </c>
      <c r="AE634" s="155" t="str">
        <f ca="1">IFERROR(INDEX(Données!$B$3:$B$1479,MATCH(ROWS($AD$3:AD634),$AD$3:$AD$1479,0)),"")</f>
        <v/>
      </c>
    </row>
    <row r="635" spans="1:31" ht="15.75" x14ac:dyDescent="0.25">
      <c r="A635" t="str">
        <f t="shared" si="116"/>
        <v>Carl Grundstrom - LAK - AG</v>
      </c>
      <c r="B635" t="str">
        <f t="shared" si="117"/>
        <v>Carl Grundstrom - LAK - AG</v>
      </c>
      <c r="C635" t="str">
        <f t="shared" si="108"/>
        <v>Carl</v>
      </c>
      <c r="D635" t="str">
        <f t="shared" si="109"/>
        <v>Grundstrom</v>
      </c>
      <c r="E635" s="39" t="s">
        <v>2852</v>
      </c>
      <c r="F635" s="30" t="s">
        <v>20</v>
      </c>
      <c r="G635" s="35" t="s">
        <v>386</v>
      </c>
      <c r="H635" s="35" t="s">
        <v>2440</v>
      </c>
      <c r="I635" s="35" t="s">
        <v>2439</v>
      </c>
      <c r="J635" s="35">
        <v>21</v>
      </c>
      <c r="K635" s="35">
        <f>VALUE(COUNTIF(Validation!$A$2:$H$47,E635))</f>
        <v>0</v>
      </c>
      <c r="L635" s="361">
        <f t="shared" si="110"/>
        <v>925000</v>
      </c>
      <c r="M635" s="361">
        <f t="shared" si="111"/>
        <v>0</v>
      </c>
      <c r="N635" s="358">
        <v>925000</v>
      </c>
      <c r="O635" s="358" t="s">
        <v>8</v>
      </c>
      <c r="P635" s="358">
        <v>0</v>
      </c>
      <c r="Q635" s="358">
        <v>0</v>
      </c>
      <c r="R635" s="358">
        <v>0</v>
      </c>
      <c r="S635" s="358">
        <v>0</v>
      </c>
      <c r="T635" s="358">
        <v>0</v>
      </c>
      <c r="U635" s="35">
        <f t="shared" si="112"/>
        <v>1</v>
      </c>
      <c r="W635">
        <f t="shared" si="113"/>
        <v>1</v>
      </c>
      <c r="X635" s="35">
        <f t="shared" si="114"/>
        <v>1</v>
      </c>
      <c r="Y635">
        <f t="shared" si="115"/>
        <v>0</v>
      </c>
      <c r="AB635">
        <f t="shared" si="118"/>
        <v>1</v>
      </c>
      <c r="AC635">
        <f t="shared" ca="1" si="119"/>
        <v>0</v>
      </c>
      <c r="AD635" t="str">
        <f ca="1">IF(AC635=1,COUNTIF($AC$3:AC635,1),"")</f>
        <v/>
      </c>
      <c r="AE635" s="155" t="str">
        <f ca="1">IFERROR(INDEX(Données!$B$3:$B$1479,MATCH(ROWS($AD$3:AD635),$AD$3:$AD$1479,0)),"")</f>
        <v/>
      </c>
    </row>
    <row r="636" spans="1:31" ht="15.75" x14ac:dyDescent="0.25">
      <c r="A636" t="str">
        <f t="shared" si="116"/>
        <v>Austin Strand - LAK - DD</v>
      </c>
      <c r="B636" t="str">
        <f t="shared" si="117"/>
        <v>Austin Strand - LAK - DD</v>
      </c>
      <c r="C636" t="str">
        <f t="shared" si="108"/>
        <v>Austin</v>
      </c>
      <c r="D636" t="str">
        <f t="shared" si="109"/>
        <v>Strand</v>
      </c>
      <c r="E636" s="39" t="s">
        <v>2278</v>
      </c>
      <c r="F636" s="30" t="s">
        <v>20</v>
      </c>
      <c r="G636" s="35" t="s">
        <v>386</v>
      </c>
      <c r="H636" s="35" t="s">
        <v>2444</v>
      </c>
      <c r="I636" s="35" t="s">
        <v>2446</v>
      </c>
      <c r="J636" s="35">
        <v>22</v>
      </c>
      <c r="K636" s="35">
        <f>VALUE(COUNTIF(Validation!$A$2:$H$47,E636))</f>
        <v>0</v>
      </c>
      <c r="L636" s="361">
        <f t="shared" si="110"/>
        <v>925000</v>
      </c>
      <c r="M636" s="361">
        <f t="shared" si="111"/>
        <v>0</v>
      </c>
      <c r="N636" s="358">
        <v>925000</v>
      </c>
      <c r="O636" s="358" t="s">
        <v>8</v>
      </c>
      <c r="P636" s="358">
        <v>0</v>
      </c>
      <c r="Q636" s="358">
        <v>0</v>
      </c>
      <c r="R636" s="358">
        <v>0</v>
      </c>
      <c r="S636" s="358">
        <v>0</v>
      </c>
      <c r="T636" s="358">
        <v>0</v>
      </c>
      <c r="U636" s="35">
        <f t="shared" si="112"/>
        <v>1</v>
      </c>
      <c r="W636">
        <f t="shared" si="113"/>
        <v>1</v>
      </c>
      <c r="X636" s="35">
        <f t="shared" si="114"/>
        <v>1</v>
      </c>
      <c r="Y636">
        <f t="shared" si="115"/>
        <v>0</v>
      </c>
      <c r="AB636">
        <f t="shared" si="118"/>
        <v>1</v>
      </c>
      <c r="AC636">
        <f t="shared" ca="1" si="119"/>
        <v>0</v>
      </c>
      <c r="AD636" t="str">
        <f ca="1">IF(AC636=1,COUNTIF($AC$3:AC636,1),"")</f>
        <v/>
      </c>
      <c r="AE636" s="155" t="str">
        <f ca="1">IFERROR(INDEX(Données!$B$3:$B$1479,MATCH(ROWS($AD$3:AD636),$AD$3:$AD$1479,0)),"")</f>
        <v/>
      </c>
    </row>
    <row r="637" spans="1:31" ht="15.75" x14ac:dyDescent="0.25">
      <c r="A637" t="str">
        <f t="shared" si="116"/>
        <v>Akil Thomas - LAK - C</v>
      </c>
      <c r="B637" t="str">
        <f t="shared" si="117"/>
        <v>Akil Thomas - LAK - C</v>
      </c>
      <c r="C637" t="str">
        <f t="shared" si="108"/>
        <v>Akil</v>
      </c>
      <c r="D637" t="str">
        <f t="shared" si="109"/>
        <v>Thomas</v>
      </c>
      <c r="E637" s="39" t="s">
        <v>2624</v>
      </c>
      <c r="F637" s="30" t="s">
        <v>20</v>
      </c>
      <c r="G637" s="35" t="s">
        <v>388</v>
      </c>
      <c r="H637" s="35" t="s">
        <v>73</v>
      </c>
      <c r="I637" s="35" t="s">
        <v>389</v>
      </c>
      <c r="J637" s="35">
        <v>19</v>
      </c>
      <c r="K637" s="35">
        <f>VALUE(COUNTIF(Validation!$A$2:$H$47,E637))</f>
        <v>0</v>
      </c>
      <c r="L637" s="361">
        <f t="shared" si="110"/>
        <v>925000</v>
      </c>
      <c r="M637" s="361">
        <f t="shared" si="111"/>
        <v>925000</v>
      </c>
      <c r="N637" s="358">
        <v>925000</v>
      </c>
      <c r="O637" s="358">
        <v>925000</v>
      </c>
      <c r="P637" s="358">
        <v>925000</v>
      </c>
      <c r="Q637" s="358" t="s">
        <v>8</v>
      </c>
      <c r="R637" s="358">
        <v>0</v>
      </c>
      <c r="S637" s="358">
        <v>0</v>
      </c>
      <c r="T637" s="358">
        <v>0</v>
      </c>
      <c r="U637" s="35">
        <f t="shared" si="112"/>
        <v>3</v>
      </c>
      <c r="W637">
        <f t="shared" si="113"/>
        <v>1</v>
      </c>
      <c r="X637" s="35">
        <f t="shared" si="114"/>
        <v>1</v>
      </c>
      <c r="Y637">
        <f t="shared" si="115"/>
        <v>1</v>
      </c>
      <c r="AB637">
        <f t="shared" si="118"/>
        <v>1</v>
      </c>
      <c r="AC637">
        <f t="shared" ca="1" si="119"/>
        <v>0</v>
      </c>
      <c r="AD637" t="str">
        <f ca="1">IF(AC637=1,COUNTIF($AC$3:AC637,1),"")</f>
        <v/>
      </c>
      <c r="AE637" s="155" t="str">
        <f ca="1">IFERROR(INDEX(Données!$B$3:$B$1479,MATCH(ROWS($AD$3:AD637),$AD$3:$AD$1479,0)),"")</f>
        <v/>
      </c>
    </row>
    <row r="638" spans="1:31" ht="15.75" x14ac:dyDescent="0.25">
      <c r="A638" t="str">
        <f t="shared" si="116"/>
        <v>Austin Wagner - LAK - AD, AG</v>
      </c>
      <c r="B638" t="str">
        <f t="shared" si="117"/>
        <v>Austin Wagner - LAK - AD, AG</v>
      </c>
      <c r="C638" t="str">
        <f t="shared" si="108"/>
        <v>Austin</v>
      </c>
      <c r="D638" t="str">
        <f t="shared" si="109"/>
        <v>Wagner</v>
      </c>
      <c r="E638" s="39" t="s">
        <v>2277</v>
      </c>
      <c r="F638" s="30" t="s">
        <v>20</v>
      </c>
      <c r="G638" s="35" t="s">
        <v>386</v>
      </c>
      <c r="H638" s="35" t="s">
        <v>2441</v>
      </c>
      <c r="I638" s="35" t="s">
        <v>2439</v>
      </c>
      <c r="J638" s="9">
        <v>22</v>
      </c>
      <c r="K638" s="35">
        <f>VALUE(COUNTIF(Validation!$A$2:$H$47,E638))</f>
        <v>0</v>
      </c>
      <c r="L638" s="361">
        <f t="shared" si="110"/>
        <v>925000</v>
      </c>
      <c r="M638" s="361">
        <f t="shared" si="111"/>
        <v>0</v>
      </c>
      <c r="N638" s="358">
        <v>925000</v>
      </c>
      <c r="O638" s="358" t="s">
        <v>8</v>
      </c>
      <c r="P638" s="358">
        <v>0</v>
      </c>
      <c r="Q638" s="358">
        <v>0</v>
      </c>
      <c r="R638" s="358">
        <v>0</v>
      </c>
      <c r="S638" s="358">
        <v>0</v>
      </c>
      <c r="T638" s="358">
        <v>0</v>
      </c>
      <c r="U638" s="35">
        <f t="shared" si="112"/>
        <v>1</v>
      </c>
      <c r="W638">
        <f t="shared" si="113"/>
        <v>1</v>
      </c>
      <c r="X638" s="35">
        <f t="shared" si="114"/>
        <v>1</v>
      </c>
      <c r="Y638">
        <f t="shared" si="115"/>
        <v>0</v>
      </c>
      <c r="AB638">
        <f t="shared" si="118"/>
        <v>1</v>
      </c>
      <c r="AC638">
        <f t="shared" ca="1" si="119"/>
        <v>0</v>
      </c>
      <c r="AD638" t="str">
        <f ca="1">IF(AC638=1,COUNTIF($AC$3:AC638,1),"")</f>
        <v/>
      </c>
      <c r="AE638" s="155" t="str">
        <f ca="1">IFERROR(INDEX(Données!$B$3:$B$1479,MATCH(ROWS($AD$3:AD638),$AD$3:$AD$1479,0)),"")</f>
        <v/>
      </c>
    </row>
    <row r="639" spans="1:31" ht="15.75" x14ac:dyDescent="0.25">
      <c r="A639" t="str">
        <f t="shared" si="116"/>
        <v>Jaret Anderson-Dolan - LAK - C</v>
      </c>
      <c r="B639" t="str">
        <f t="shared" si="117"/>
        <v>Jaret Anderson-Dolan - LAK - C</v>
      </c>
      <c r="C639" t="str">
        <f t="shared" si="108"/>
        <v>Jaret</v>
      </c>
      <c r="D639" t="str">
        <f t="shared" si="109"/>
        <v>Anderson-Dolan</v>
      </c>
      <c r="E639" s="39" t="s">
        <v>2281</v>
      </c>
      <c r="F639" s="30" t="s">
        <v>20</v>
      </c>
      <c r="G639" s="35" t="s">
        <v>386</v>
      </c>
      <c r="H639" s="35" t="s">
        <v>73</v>
      </c>
      <c r="I639" s="35" t="s">
        <v>2446</v>
      </c>
      <c r="J639" s="35">
        <v>19</v>
      </c>
      <c r="K639" s="35">
        <f>VALUE(COUNTIF(Validation!$A$2:$H$47,E639))</f>
        <v>0</v>
      </c>
      <c r="L639" s="361">
        <f t="shared" si="110"/>
        <v>913333</v>
      </c>
      <c r="M639" s="361">
        <f t="shared" si="111"/>
        <v>913333</v>
      </c>
      <c r="N639" s="358">
        <v>913333</v>
      </c>
      <c r="O639" s="358">
        <v>913333</v>
      </c>
      <c r="P639" s="358">
        <v>913333</v>
      </c>
      <c r="Q639" s="358" t="s">
        <v>8</v>
      </c>
      <c r="R639" s="358">
        <v>0</v>
      </c>
      <c r="S639" s="358">
        <v>0</v>
      </c>
      <c r="T639" s="358">
        <v>0</v>
      </c>
      <c r="U639" s="35">
        <f t="shared" si="112"/>
        <v>3</v>
      </c>
      <c r="W639">
        <f t="shared" si="113"/>
        <v>1</v>
      </c>
      <c r="X639" s="35">
        <f t="shared" si="114"/>
        <v>1</v>
      </c>
      <c r="Y639">
        <f t="shared" si="115"/>
        <v>1</v>
      </c>
      <c r="AB639">
        <f t="shared" si="118"/>
        <v>1</v>
      </c>
      <c r="AC639">
        <f t="shared" ca="1" si="119"/>
        <v>0</v>
      </c>
      <c r="AD639" t="str">
        <f ca="1">IF(AC639=1,COUNTIF($AC$3:AC639,1),"")</f>
        <v/>
      </c>
      <c r="AE639" s="155" t="str">
        <f ca="1">IFERROR(INDEX(Données!$B$3:$B$1479,MATCH(ROWS($AD$3:AD639),$AD$3:$AD$1479,0)),"")</f>
        <v/>
      </c>
    </row>
    <row r="640" spans="1:31" ht="15.75" x14ac:dyDescent="0.25">
      <c r="A640" t="str">
        <f t="shared" si="116"/>
        <v>Kale Clague - LAK - DG</v>
      </c>
      <c r="B640" t="str">
        <f t="shared" si="117"/>
        <v>Kale Clague - LAK - DG</v>
      </c>
      <c r="C640" t="str">
        <f t="shared" si="108"/>
        <v>Kale</v>
      </c>
      <c r="D640" t="str">
        <f t="shared" si="109"/>
        <v>Clague</v>
      </c>
      <c r="E640" s="39" t="s">
        <v>2276</v>
      </c>
      <c r="F640" s="30" t="s">
        <v>20</v>
      </c>
      <c r="G640" s="35" t="s">
        <v>386</v>
      </c>
      <c r="H640" s="35" t="s">
        <v>2445</v>
      </c>
      <c r="I640" s="35" t="s">
        <v>2446</v>
      </c>
      <c r="J640" s="35">
        <v>21</v>
      </c>
      <c r="K640" s="35">
        <f>VALUE(COUNTIF(Validation!$A$2:$H$47,E640))</f>
        <v>0</v>
      </c>
      <c r="L640" s="361">
        <f t="shared" si="110"/>
        <v>894166</v>
      </c>
      <c r="M640" s="361">
        <f t="shared" si="111"/>
        <v>894166</v>
      </c>
      <c r="N640" s="358">
        <v>894166</v>
      </c>
      <c r="O640" s="358">
        <v>894166</v>
      </c>
      <c r="P640" s="358" t="s">
        <v>8</v>
      </c>
      <c r="Q640" s="358">
        <v>0</v>
      </c>
      <c r="R640" s="358">
        <v>0</v>
      </c>
      <c r="S640" s="358">
        <v>0</v>
      </c>
      <c r="T640" s="358">
        <v>0</v>
      </c>
      <c r="U640" s="35">
        <f t="shared" si="112"/>
        <v>2</v>
      </c>
      <c r="W640">
        <f t="shared" si="113"/>
        <v>1</v>
      </c>
      <c r="X640" s="35">
        <f t="shared" si="114"/>
        <v>1</v>
      </c>
      <c r="Y640">
        <f t="shared" si="115"/>
        <v>1</v>
      </c>
      <c r="AB640">
        <f t="shared" si="118"/>
        <v>1</v>
      </c>
      <c r="AC640">
        <f t="shared" ca="1" si="119"/>
        <v>0</v>
      </c>
      <c r="AD640" t="str">
        <f ca="1">IF(AC640=1,COUNTIF($AC$3:AC640,1),"")</f>
        <v/>
      </c>
      <c r="AE640" s="155" t="str">
        <f ca="1">IFERROR(INDEX(Données!$B$3:$B$1479,MATCH(ROWS($AD$3:AD640),$AD$3:$AD$1479,0)),"")</f>
        <v/>
      </c>
    </row>
    <row r="641" spans="1:31" ht="15.75" x14ac:dyDescent="0.25">
      <c r="A641" t="str">
        <f t="shared" si="116"/>
        <v>Sheldon Rempal - LAK - AG, AD</v>
      </c>
      <c r="B641" t="str">
        <f t="shared" si="117"/>
        <v>Sheldon Rempal - LAK - AG, AD</v>
      </c>
      <c r="C641" t="str">
        <f t="shared" si="108"/>
        <v>Sheldon</v>
      </c>
      <c r="D641" t="str">
        <f t="shared" si="109"/>
        <v>Rempal</v>
      </c>
      <c r="E641" s="39" t="s">
        <v>2260</v>
      </c>
      <c r="F641" s="30" t="s">
        <v>20</v>
      </c>
      <c r="G641" s="35">
        <v>0</v>
      </c>
      <c r="H641" s="9" t="s">
        <v>2442</v>
      </c>
      <c r="I641" s="9" t="s">
        <v>2446</v>
      </c>
      <c r="J641" s="9">
        <v>24</v>
      </c>
      <c r="K641" s="35">
        <f>VALUE(COUNTIF(Validation!$A$2:$H$47,E641))</f>
        <v>0</v>
      </c>
      <c r="L641" s="361">
        <f t="shared" si="110"/>
        <v>874125</v>
      </c>
      <c r="M641" s="361">
        <f t="shared" si="111"/>
        <v>0</v>
      </c>
      <c r="N641" s="358">
        <v>874125</v>
      </c>
      <c r="O641" s="358" t="s">
        <v>8</v>
      </c>
      <c r="P641" s="358">
        <v>0</v>
      </c>
      <c r="Q641" s="358">
        <v>0</v>
      </c>
      <c r="R641" s="358">
        <v>0</v>
      </c>
      <c r="S641" s="358">
        <v>0</v>
      </c>
      <c r="T641" s="358">
        <v>0</v>
      </c>
      <c r="U641" s="35">
        <f t="shared" si="112"/>
        <v>1</v>
      </c>
      <c r="W641">
        <f t="shared" si="113"/>
        <v>1</v>
      </c>
      <c r="X641" s="35">
        <f t="shared" si="114"/>
        <v>0</v>
      </c>
      <c r="Y641">
        <f t="shared" si="115"/>
        <v>0</v>
      </c>
      <c r="AB641">
        <f t="shared" si="118"/>
        <v>1</v>
      </c>
      <c r="AC641">
        <f t="shared" ca="1" si="119"/>
        <v>0</v>
      </c>
      <c r="AD641" t="str">
        <f ca="1">IF(AC641=1,COUNTIF($AC$3:AC641,1),"")</f>
        <v/>
      </c>
      <c r="AE641" s="155" t="str">
        <f ca="1">IFERROR(INDEX(Données!$B$3:$B$1479,MATCH(ROWS($AD$3:AD641),$AD$3:$AD$1479,0)),"")</f>
        <v/>
      </c>
    </row>
    <row r="642" spans="1:31" ht="15.75" x14ac:dyDescent="0.25">
      <c r="A642" t="str">
        <f t="shared" si="116"/>
        <v>Cal Petersen - LAK - G</v>
      </c>
      <c r="B642" t="str">
        <f t="shared" si="117"/>
        <v>Cal Petersen - LAK - G</v>
      </c>
      <c r="C642" t="str">
        <f t="shared" si="108"/>
        <v>Cal</v>
      </c>
      <c r="D642" t="str">
        <f t="shared" si="109"/>
        <v>Petersen</v>
      </c>
      <c r="E642" s="39" t="s">
        <v>2269</v>
      </c>
      <c r="F642" s="30" t="s">
        <v>20</v>
      </c>
      <c r="G642" s="35">
        <v>0</v>
      </c>
      <c r="H642" s="9" t="s">
        <v>127</v>
      </c>
      <c r="I642" s="9" t="s">
        <v>2446</v>
      </c>
      <c r="J642" s="9">
        <v>24</v>
      </c>
      <c r="K642" s="35">
        <f>VALUE(COUNTIF(Validation!$A$2:$H$47,E642))</f>
        <v>0</v>
      </c>
      <c r="L642" s="361">
        <f t="shared" si="110"/>
        <v>858333</v>
      </c>
      <c r="M642" s="361">
        <f t="shared" si="111"/>
        <v>858333</v>
      </c>
      <c r="N642" s="358">
        <v>858333</v>
      </c>
      <c r="O642" s="358">
        <v>858333</v>
      </c>
      <c r="P642" s="358">
        <v>858333</v>
      </c>
      <c r="Q642" s="358" t="s">
        <v>7</v>
      </c>
      <c r="R642" s="358">
        <v>0</v>
      </c>
      <c r="S642" s="358">
        <v>0</v>
      </c>
      <c r="T642" s="358">
        <v>0</v>
      </c>
      <c r="U642" s="35">
        <f t="shared" si="112"/>
        <v>3</v>
      </c>
      <c r="W642">
        <f t="shared" si="113"/>
        <v>1</v>
      </c>
      <c r="X642" s="35">
        <f t="shared" si="114"/>
        <v>0</v>
      </c>
      <c r="Y642">
        <f t="shared" si="115"/>
        <v>1</v>
      </c>
      <c r="AB642">
        <f t="shared" si="118"/>
        <v>1</v>
      </c>
      <c r="AC642">
        <f t="shared" ca="1" si="119"/>
        <v>0</v>
      </c>
      <c r="AD642" t="str">
        <f ca="1">IF(AC642=1,COUNTIF($AC$3:AC642,1),"")</f>
        <v/>
      </c>
      <c r="AE642" s="155" t="str">
        <f ca="1">IFERROR(INDEX(Données!$B$3:$B$1479,MATCH(ROWS($AD$3:AD642),$AD$3:$AD$1479,0)),"")</f>
        <v/>
      </c>
    </row>
    <row r="643" spans="1:31" ht="15.75" x14ac:dyDescent="0.25">
      <c r="A643" t="str">
        <f t="shared" si="116"/>
        <v>Paul LaDue - LAK - DD</v>
      </c>
      <c r="B643" t="str">
        <f t="shared" si="117"/>
        <v>Paul LaDue - LAK - DD</v>
      </c>
      <c r="C643" t="str">
        <f t="shared" ref="C643:C706" si="120">RIGHT(E643,(LEN(E643)-1)-SEARCH(",",E643,1))</f>
        <v>Paul</v>
      </c>
      <c r="D643" t="str">
        <f t="shared" ref="D643:D706" si="121">LEFT(E643,SEARCH(",",E643,1)-1)</f>
        <v>LaDue</v>
      </c>
      <c r="E643" s="39" t="s">
        <v>2274</v>
      </c>
      <c r="F643" s="30" t="s">
        <v>20</v>
      </c>
      <c r="G643" s="35">
        <v>0</v>
      </c>
      <c r="H643" s="9" t="s">
        <v>2444</v>
      </c>
      <c r="I643" s="9" t="s">
        <v>2439</v>
      </c>
      <c r="J643" s="9">
        <v>26</v>
      </c>
      <c r="K643" s="35">
        <f>VALUE(COUNTIF(Validation!$A$2:$H$47,E643))</f>
        <v>0</v>
      </c>
      <c r="L643" s="361">
        <f t="shared" ref="L643:L706" si="122">IF(OR(N643="RFA",N643="UFA",N643="",N643=0),0,N643)</f>
        <v>825000</v>
      </c>
      <c r="M643" s="361">
        <f t="shared" ref="M643:M706" si="123">IF(OR(O643="RFA",O643="UFA",O643="",O643=0),0,O643)</f>
        <v>0</v>
      </c>
      <c r="N643" s="358">
        <v>825000</v>
      </c>
      <c r="O643" s="358" t="s">
        <v>7</v>
      </c>
      <c r="P643" s="358">
        <v>0</v>
      </c>
      <c r="Q643" s="358">
        <v>0</v>
      </c>
      <c r="R643" s="358">
        <v>0</v>
      </c>
      <c r="S643" s="358">
        <v>0</v>
      </c>
      <c r="T643" s="358">
        <v>0</v>
      </c>
      <c r="U643" s="35">
        <f t="shared" ref="U643:U706" si="124">COUNTIF(N643:T643,"&gt;0")</f>
        <v>1</v>
      </c>
      <c r="W643">
        <f t="shared" ref="W643:W706" si="125">COUNTIF($E$3:$E$1479,E643)</f>
        <v>1</v>
      </c>
      <c r="X643" s="35">
        <f t="shared" ref="X643:X706" si="126">IF(LEFT(G643,3)="ELC",1,0)</f>
        <v>0</v>
      </c>
      <c r="Y643">
        <f t="shared" ref="Y643:Y706" si="127">IF(L643=M643,1,0)</f>
        <v>0</v>
      </c>
      <c r="AB643">
        <f t="shared" si="118"/>
        <v>1</v>
      </c>
      <c r="AC643">
        <f t="shared" ca="1" si="119"/>
        <v>0</v>
      </c>
      <c r="AD643" t="str">
        <f ca="1">IF(AC643=1,COUNTIF($AC$3:AC643,1),"")</f>
        <v/>
      </c>
      <c r="AE643" s="155" t="str">
        <f ca="1">IFERROR(INDEX(Données!$B$3:$B$1479,MATCH(ROWS($AD$3:AD643),$AD$3:$AD$1479,0)),"")</f>
        <v/>
      </c>
    </row>
    <row r="644" spans="1:31" ht="15.75" x14ac:dyDescent="0.25">
      <c r="A644" t="str">
        <f t="shared" ref="A644:A707" si="128">C644&amp;" "&amp;D644&amp;" - "&amp;F644&amp;" - "&amp;H644</f>
        <v>Markus Phillips - LAK - DG</v>
      </c>
      <c r="B644" t="str">
        <f t="shared" ref="B644:B707" si="129">A644</f>
        <v>Markus Phillips - LAK - DG</v>
      </c>
      <c r="C644" t="str">
        <f t="shared" si="120"/>
        <v>Markus</v>
      </c>
      <c r="D644" t="str">
        <f t="shared" si="121"/>
        <v>Phillips</v>
      </c>
      <c r="E644" s="39" t="s">
        <v>2627</v>
      </c>
      <c r="F644" s="30" t="s">
        <v>20</v>
      </c>
      <c r="G644" s="35" t="s">
        <v>386</v>
      </c>
      <c r="H644" s="9" t="s">
        <v>2445</v>
      </c>
      <c r="I644" s="9" t="s">
        <v>2446</v>
      </c>
      <c r="J644" s="9">
        <v>20</v>
      </c>
      <c r="K644" s="35">
        <f>VALUE(COUNTIF(Validation!$A$2:$H$47,E644))</f>
        <v>0</v>
      </c>
      <c r="L644" s="361">
        <f t="shared" si="122"/>
        <v>801667</v>
      </c>
      <c r="M644" s="361">
        <f t="shared" si="123"/>
        <v>801667</v>
      </c>
      <c r="N644" s="358">
        <v>801667</v>
      </c>
      <c r="O644" s="358">
        <v>801667</v>
      </c>
      <c r="P644" s="358">
        <v>801667</v>
      </c>
      <c r="Q644" s="358" t="s">
        <v>8</v>
      </c>
      <c r="R644" s="358">
        <v>0</v>
      </c>
      <c r="S644" s="358">
        <v>0</v>
      </c>
      <c r="T644" s="358">
        <v>0</v>
      </c>
      <c r="U644" s="35">
        <f t="shared" si="124"/>
        <v>3</v>
      </c>
      <c r="W644">
        <f t="shared" si="125"/>
        <v>1</v>
      </c>
      <c r="X644" s="35">
        <f t="shared" si="126"/>
        <v>1</v>
      </c>
      <c r="Y644">
        <f t="shared" si="127"/>
        <v>1</v>
      </c>
      <c r="AB644">
        <f t="shared" ref="AB644:AB707" si="130">SEARCH(AA644,A644)</f>
        <v>1</v>
      </c>
      <c r="AC644">
        <f t="shared" ca="1" si="119"/>
        <v>0</v>
      </c>
      <c r="AD644" t="str">
        <f ca="1">IF(AC644=1,COUNTIF($AC$3:AC644,1),"")</f>
        <v/>
      </c>
      <c r="AE644" s="155" t="str">
        <f ca="1">IFERROR(INDEX(Données!$B$3:$B$1479,MATCH(ROWS($AD$3:AD644),$AD$3:$AD$1479,0)),"")</f>
        <v/>
      </c>
    </row>
    <row r="645" spans="1:31" ht="15.75" x14ac:dyDescent="0.25">
      <c r="A645" t="str">
        <f t="shared" si="128"/>
        <v>Johan Sodergran - LAK - C</v>
      </c>
      <c r="B645" t="str">
        <f t="shared" si="129"/>
        <v>Johan Sodergran - LAK - C</v>
      </c>
      <c r="C645" t="str">
        <f t="shared" si="120"/>
        <v>Johan</v>
      </c>
      <c r="D645" t="str">
        <f t="shared" si="121"/>
        <v>Sodergran</v>
      </c>
      <c r="E645" s="39" t="s">
        <v>2863</v>
      </c>
      <c r="F645" s="30" t="s">
        <v>20</v>
      </c>
      <c r="G645" s="35" t="s">
        <v>386</v>
      </c>
      <c r="H645" s="35" t="s">
        <v>73</v>
      </c>
      <c r="I645" s="35" t="s">
        <v>2446</v>
      </c>
      <c r="J645" s="35">
        <v>19</v>
      </c>
      <c r="K645" s="35">
        <f>VALUE(COUNTIF(Validation!$A$2:$H$47,E645))</f>
        <v>0</v>
      </c>
      <c r="L645" s="361">
        <f t="shared" si="122"/>
        <v>791667</v>
      </c>
      <c r="M645" s="361">
        <f t="shared" si="123"/>
        <v>791667</v>
      </c>
      <c r="N645" s="358">
        <v>791667</v>
      </c>
      <c r="O645" s="358">
        <v>791667</v>
      </c>
      <c r="P645" s="358">
        <v>791667</v>
      </c>
      <c r="Q645" s="358" t="s">
        <v>8</v>
      </c>
      <c r="R645" s="358">
        <v>0</v>
      </c>
      <c r="S645" s="358">
        <v>0</v>
      </c>
      <c r="T645" s="358">
        <v>0</v>
      </c>
      <c r="U645" s="35">
        <f t="shared" si="124"/>
        <v>3</v>
      </c>
      <c r="W645">
        <f t="shared" si="125"/>
        <v>1</v>
      </c>
      <c r="X645" s="35">
        <f t="shared" si="126"/>
        <v>1</v>
      </c>
      <c r="Y645">
        <f t="shared" si="127"/>
        <v>1</v>
      </c>
      <c r="AB645">
        <f t="shared" si="130"/>
        <v>1</v>
      </c>
      <c r="AC645">
        <f t="shared" ref="AC645:AC708" ca="1" si="131">IFERROR(SEARCH(INDIRECT(CELL("adresse")),B645,1),0)</f>
        <v>0</v>
      </c>
      <c r="AD645" t="str">
        <f ca="1">IF(AC645=1,COUNTIF($AC$3:AC645,1),"")</f>
        <v/>
      </c>
      <c r="AE645" s="155" t="str">
        <f ca="1">IFERROR(INDEX(Données!$B$3:$B$1479,MATCH(ROWS($AD$3:AD645),$AD$3:$AD$1479,0)),"")</f>
        <v/>
      </c>
    </row>
    <row r="646" spans="1:31" ht="15.75" x14ac:dyDescent="0.25">
      <c r="A646" t="str">
        <f t="shared" si="128"/>
        <v>Cole Kehler - LAK - G</v>
      </c>
      <c r="B646" t="str">
        <f t="shared" si="129"/>
        <v>Cole Kehler - LAK - G</v>
      </c>
      <c r="C646" t="str">
        <f t="shared" si="120"/>
        <v>Cole</v>
      </c>
      <c r="D646" t="str">
        <f t="shared" si="121"/>
        <v>Kehler</v>
      </c>
      <c r="E646" s="39" t="s">
        <v>2279</v>
      </c>
      <c r="F646" s="30" t="s">
        <v>20</v>
      </c>
      <c r="G646" s="35" t="s">
        <v>386</v>
      </c>
      <c r="H646" s="35" t="s">
        <v>127</v>
      </c>
      <c r="I646" s="35" t="s">
        <v>2446</v>
      </c>
      <c r="J646" s="35">
        <v>21</v>
      </c>
      <c r="K646" s="35">
        <f>VALUE(COUNTIF(Validation!$A$2:$H$47,E646))</f>
        <v>0</v>
      </c>
      <c r="L646" s="361">
        <f t="shared" si="122"/>
        <v>783333</v>
      </c>
      <c r="M646" s="361">
        <f t="shared" si="123"/>
        <v>0</v>
      </c>
      <c r="N646" s="358">
        <v>783333</v>
      </c>
      <c r="O646" s="358" t="s">
        <v>8</v>
      </c>
      <c r="P646" s="358">
        <v>0</v>
      </c>
      <c r="Q646" s="358">
        <v>0</v>
      </c>
      <c r="R646" s="358">
        <v>0</v>
      </c>
      <c r="S646" s="358">
        <v>0</v>
      </c>
      <c r="T646" s="358">
        <v>0</v>
      </c>
      <c r="U646" s="35">
        <f t="shared" si="124"/>
        <v>1</v>
      </c>
      <c r="W646">
        <f t="shared" si="125"/>
        <v>1</v>
      </c>
      <c r="X646" s="35">
        <f t="shared" si="126"/>
        <v>1</v>
      </c>
      <c r="Y646">
        <f t="shared" si="127"/>
        <v>0</v>
      </c>
      <c r="AB646">
        <f t="shared" si="130"/>
        <v>1</v>
      </c>
      <c r="AC646">
        <f t="shared" ca="1" si="131"/>
        <v>0</v>
      </c>
      <c r="AD646" t="str">
        <f ca="1">IF(AC646=1,COUNTIF($AC$3:AC646,1),"")</f>
        <v/>
      </c>
      <c r="AE646" s="155" t="str">
        <f ca="1">IFERROR(INDEX(Données!$B$3:$B$1479,MATCH(ROWS($AD$3:AD646),$AD$3:$AD$1479,0)),"")</f>
        <v/>
      </c>
    </row>
    <row r="647" spans="1:31" ht="15.75" x14ac:dyDescent="0.25">
      <c r="A647" t="str">
        <f t="shared" si="128"/>
        <v>Sean Walker - LAK - DD</v>
      </c>
      <c r="B647" t="str">
        <f t="shared" si="129"/>
        <v>Sean Walker - LAK - DD</v>
      </c>
      <c r="C647" t="str">
        <f t="shared" si="120"/>
        <v>Sean</v>
      </c>
      <c r="D647" t="str">
        <f t="shared" si="121"/>
        <v>Walker</v>
      </c>
      <c r="E647" s="39" t="s">
        <v>2280</v>
      </c>
      <c r="F647" s="30" t="s">
        <v>20</v>
      </c>
      <c r="G647" s="35" t="s">
        <v>386</v>
      </c>
      <c r="H647" s="9" t="s">
        <v>2444</v>
      </c>
      <c r="I647" s="9" t="s">
        <v>2439</v>
      </c>
      <c r="J647" s="9">
        <v>24</v>
      </c>
      <c r="K647" s="35">
        <f>VALUE(COUNTIF(Validation!$A$2:$H$47,E647))</f>
        <v>0</v>
      </c>
      <c r="L647" s="361">
        <f t="shared" si="122"/>
        <v>745000</v>
      </c>
      <c r="M647" s="361">
        <f t="shared" si="123"/>
        <v>0</v>
      </c>
      <c r="N647" s="358">
        <v>745000</v>
      </c>
      <c r="O647" s="358" t="s">
        <v>8</v>
      </c>
      <c r="P647" s="358">
        <v>0</v>
      </c>
      <c r="Q647" s="358">
        <v>0</v>
      </c>
      <c r="R647" s="358">
        <v>0</v>
      </c>
      <c r="S647" s="358">
        <v>0</v>
      </c>
      <c r="T647" s="358">
        <v>0</v>
      </c>
      <c r="U647" s="35">
        <f t="shared" si="124"/>
        <v>1</v>
      </c>
      <c r="W647">
        <f t="shared" si="125"/>
        <v>1</v>
      </c>
      <c r="X647" s="35">
        <f t="shared" si="126"/>
        <v>1</v>
      </c>
      <c r="Y647">
        <f t="shared" si="127"/>
        <v>0</v>
      </c>
      <c r="AB647">
        <f t="shared" si="130"/>
        <v>1</v>
      </c>
      <c r="AC647">
        <f t="shared" ca="1" si="131"/>
        <v>0</v>
      </c>
      <c r="AD647" t="str">
        <f ca="1">IF(AC647=1,COUNTIF($AC$3:AC647,1),"")</f>
        <v/>
      </c>
      <c r="AE647" s="155" t="str">
        <f ca="1">IFERROR(INDEX(Données!$B$3:$B$1479,MATCH(ROWS($AD$3:AD647),$AD$3:$AD$1479,0)),"")</f>
        <v/>
      </c>
    </row>
    <row r="648" spans="1:31" ht="15.75" x14ac:dyDescent="0.25">
      <c r="A648" t="str">
        <f t="shared" si="128"/>
        <v>Brad Morrison - LAK - C</v>
      </c>
      <c r="B648" t="str">
        <f t="shared" si="129"/>
        <v>Brad Morrison - LAK - C</v>
      </c>
      <c r="C648" t="str">
        <f t="shared" si="120"/>
        <v>Brad</v>
      </c>
      <c r="D648" t="str">
        <f t="shared" si="121"/>
        <v>Morrison</v>
      </c>
      <c r="E648" s="39" t="s">
        <v>2282</v>
      </c>
      <c r="F648" s="30" t="s">
        <v>20</v>
      </c>
      <c r="G648" s="35" t="s">
        <v>386</v>
      </c>
      <c r="H648" s="9" t="s">
        <v>73</v>
      </c>
      <c r="I648" s="9" t="s">
        <v>2446</v>
      </c>
      <c r="J648" s="9">
        <v>22</v>
      </c>
      <c r="K648" s="35">
        <f>VALUE(COUNTIF(Validation!$A$2:$H$47,E648))</f>
        <v>0</v>
      </c>
      <c r="L648" s="361">
        <f t="shared" si="122"/>
        <v>743333</v>
      </c>
      <c r="M648" s="361">
        <f t="shared" si="123"/>
        <v>743333</v>
      </c>
      <c r="N648" s="358">
        <v>743333</v>
      </c>
      <c r="O648" s="358">
        <v>743333</v>
      </c>
      <c r="P648" s="358" t="s">
        <v>8</v>
      </c>
      <c r="Q648" s="358">
        <v>0</v>
      </c>
      <c r="R648" s="358">
        <v>0</v>
      </c>
      <c r="S648" s="358">
        <v>0</v>
      </c>
      <c r="T648" s="358">
        <v>0</v>
      </c>
      <c r="U648" s="35">
        <f t="shared" si="124"/>
        <v>2</v>
      </c>
      <c r="W648">
        <f t="shared" si="125"/>
        <v>1</v>
      </c>
      <c r="X648" s="35">
        <f t="shared" si="126"/>
        <v>1</v>
      </c>
      <c r="Y648">
        <f t="shared" si="127"/>
        <v>1</v>
      </c>
      <c r="AB648">
        <f t="shared" si="130"/>
        <v>1</v>
      </c>
      <c r="AC648">
        <f t="shared" ca="1" si="131"/>
        <v>0</v>
      </c>
      <c r="AD648" t="str">
        <f ca="1">IF(AC648=1,COUNTIF($AC$3:AC648,1),"")</f>
        <v/>
      </c>
      <c r="AE648" s="155" t="str">
        <f ca="1">IFERROR(INDEX(Données!$B$3:$B$1479,MATCH(ROWS($AD$3:AD648),$AD$3:$AD$1479,0)),"")</f>
        <v/>
      </c>
    </row>
    <row r="649" spans="1:31" ht="15.75" x14ac:dyDescent="0.25">
      <c r="A649" t="str">
        <f t="shared" si="128"/>
        <v>Chaz Reddekopp - LAK - DG</v>
      </c>
      <c r="B649" t="str">
        <f t="shared" si="129"/>
        <v>Chaz Reddekopp - LAK - DG</v>
      </c>
      <c r="C649" t="str">
        <f t="shared" si="120"/>
        <v>Chaz</v>
      </c>
      <c r="D649" t="str">
        <f t="shared" si="121"/>
        <v>Reddekopp</v>
      </c>
      <c r="E649" s="39" t="s">
        <v>2283</v>
      </c>
      <c r="F649" s="30" t="s">
        <v>20</v>
      </c>
      <c r="G649" s="35" t="s">
        <v>386</v>
      </c>
      <c r="H649" s="35" t="s">
        <v>2445</v>
      </c>
      <c r="I649" s="35" t="s">
        <v>2446</v>
      </c>
      <c r="J649" s="35">
        <v>22</v>
      </c>
      <c r="K649" s="35">
        <f>VALUE(COUNTIF(Validation!$A$2:$H$47,E649))</f>
        <v>0</v>
      </c>
      <c r="L649" s="361">
        <f t="shared" si="122"/>
        <v>733333</v>
      </c>
      <c r="M649" s="361">
        <f t="shared" si="123"/>
        <v>0</v>
      </c>
      <c r="N649" s="358">
        <v>733333</v>
      </c>
      <c r="O649" s="358" t="s">
        <v>8</v>
      </c>
      <c r="P649" s="358">
        <v>0</v>
      </c>
      <c r="Q649" s="358">
        <v>0</v>
      </c>
      <c r="R649" s="358">
        <v>0</v>
      </c>
      <c r="S649" s="358">
        <v>0</v>
      </c>
      <c r="T649" s="358">
        <v>0</v>
      </c>
      <c r="U649" s="35">
        <f t="shared" si="124"/>
        <v>1</v>
      </c>
      <c r="W649">
        <f t="shared" si="125"/>
        <v>1</v>
      </c>
      <c r="X649" s="35">
        <f t="shared" si="126"/>
        <v>1</v>
      </c>
      <c r="Y649">
        <f t="shared" si="127"/>
        <v>0</v>
      </c>
      <c r="AB649">
        <f t="shared" si="130"/>
        <v>1</v>
      </c>
      <c r="AC649">
        <f t="shared" ca="1" si="131"/>
        <v>0</v>
      </c>
      <c r="AD649" t="str">
        <f ca="1">IF(AC649=1,COUNTIF($AC$3:AC649,1),"")</f>
        <v/>
      </c>
      <c r="AE649" s="155" t="str">
        <f ca="1">IFERROR(INDEX(Données!$B$3:$B$1479,MATCH(ROWS($AD$3:AD649),$AD$3:$AD$1479,0)),"")</f>
        <v/>
      </c>
    </row>
    <row r="650" spans="1:31" ht="15.75" x14ac:dyDescent="0.25">
      <c r="A650" t="str">
        <f t="shared" si="128"/>
        <v>Drake Rymsha - LAK - C</v>
      </c>
      <c r="B650" t="str">
        <f t="shared" si="129"/>
        <v>Drake Rymsha - LAK - C</v>
      </c>
      <c r="C650" t="str">
        <f t="shared" si="120"/>
        <v>Drake</v>
      </c>
      <c r="D650" t="str">
        <f t="shared" si="121"/>
        <v>Rymsha</v>
      </c>
      <c r="E650" s="39" t="s">
        <v>2284</v>
      </c>
      <c r="F650" s="30" t="s">
        <v>20</v>
      </c>
      <c r="G650" s="35" t="s">
        <v>386</v>
      </c>
      <c r="H650" s="9" t="s">
        <v>73</v>
      </c>
      <c r="I650" s="9" t="s">
        <v>2446</v>
      </c>
      <c r="J650" s="9">
        <v>21</v>
      </c>
      <c r="K650" s="35">
        <f>VALUE(COUNTIF(Validation!$A$2:$H$47,E650))</f>
        <v>0</v>
      </c>
      <c r="L650" s="361">
        <f t="shared" si="122"/>
        <v>733333</v>
      </c>
      <c r="M650" s="361">
        <f t="shared" si="123"/>
        <v>733333</v>
      </c>
      <c r="N650" s="358">
        <v>733333</v>
      </c>
      <c r="O650" s="358">
        <v>733333</v>
      </c>
      <c r="P650" s="358" t="s">
        <v>8</v>
      </c>
      <c r="Q650" s="358">
        <v>0</v>
      </c>
      <c r="R650" s="358">
        <v>0</v>
      </c>
      <c r="S650" s="358">
        <v>0</v>
      </c>
      <c r="T650" s="358">
        <v>0</v>
      </c>
      <c r="U650" s="35">
        <f t="shared" si="124"/>
        <v>2</v>
      </c>
      <c r="W650">
        <f t="shared" si="125"/>
        <v>1</v>
      </c>
      <c r="X650" s="35">
        <f t="shared" si="126"/>
        <v>1</v>
      </c>
      <c r="Y650">
        <f t="shared" si="127"/>
        <v>1</v>
      </c>
      <c r="AB650">
        <f t="shared" si="130"/>
        <v>1</v>
      </c>
      <c r="AC650">
        <f t="shared" ca="1" si="131"/>
        <v>0</v>
      </c>
      <c r="AD650" t="str">
        <f ca="1">IF(AC650=1,COUNTIF($AC$3:AC650,1),"")</f>
        <v/>
      </c>
      <c r="AE650" s="155" t="str">
        <f ca="1">IFERROR(INDEX(Données!$B$3:$B$1479,MATCH(ROWS($AD$3:AD650),$AD$3:$AD$1479,0)),"")</f>
        <v/>
      </c>
    </row>
    <row r="651" spans="1:31" ht="15.75" x14ac:dyDescent="0.25">
      <c r="A651" t="str">
        <f t="shared" si="128"/>
        <v>Joakim Ryan - LAK - DG</v>
      </c>
      <c r="B651" t="str">
        <f t="shared" si="129"/>
        <v>Joakim Ryan - LAK - DG</v>
      </c>
      <c r="C651" t="str">
        <f t="shared" si="120"/>
        <v>Joakim</v>
      </c>
      <c r="D651" t="str">
        <f t="shared" si="121"/>
        <v>Ryan</v>
      </c>
      <c r="E651" s="39" t="s">
        <v>2307</v>
      </c>
      <c r="F651" s="35" t="s">
        <v>20</v>
      </c>
      <c r="G651" s="35">
        <v>0</v>
      </c>
      <c r="H651" s="35" t="s">
        <v>2445</v>
      </c>
      <c r="I651" s="35" t="s">
        <v>2439</v>
      </c>
      <c r="J651" s="35">
        <v>26</v>
      </c>
      <c r="K651" s="35">
        <f>VALUE(COUNTIF(Validation!$A$2:$H$47,E651))</f>
        <v>0</v>
      </c>
      <c r="L651" s="361">
        <f t="shared" si="122"/>
        <v>725000</v>
      </c>
      <c r="M651" s="361">
        <f t="shared" si="123"/>
        <v>0</v>
      </c>
      <c r="N651" s="358">
        <v>725000</v>
      </c>
      <c r="O651" s="358" t="s">
        <v>7</v>
      </c>
      <c r="P651" s="358">
        <v>0</v>
      </c>
      <c r="Q651" s="358">
        <v>0</v>
      </c>
      <c r="R651" s="358">
        <v>0</v>
      </c>
      <c r="S651" s="358">
        <v>0</v>
      </c>
      <c r="T651" s="358">
        <v>0</v>
      </c>
      <c r="U651" s="35">
        <f t="shared" si="124"/>
        <v>1</v>
      </c>
      <c r="W651">
        <f t="shared" si="125"/>
        <v>1</v>
      </c>
      <c r="X651" s="35">
        <f t="shared" si="126"/>
        <v>0</v>
      </c>
      <c r="Y651">
        <f t="shared" si="127"/>
        <v>0</v>
      </c>
      <c r="AB651">
        <f t="shared" si="130"/>
        <v>1</v>
      </c>
      <c r="AC651">
        <f t="shared" ca="1" si="131"/>
        <v>0</v>
      </c>
      <c r="AD651" t="str">
        <f ca="1">IF(AC651=1,COUNTIF($AC$3:AC651,1),"")</f>
        <v/>
      </c>
      <c r="AE651" s="155" t="str">
        <f ca="1">IFERROR(INDEX(Données!$B$3:$B$1479,MATCH(ROWS($AD$3:AD651),$AD$3:$AD$1479,0)),"")</f>
        <v/>
      </c>
    </row>
    <row r="652" spans="1:31" ht="15.75" x14ac:dyDescent="0.25">
      <c r="A652" t="str">
        <f t="shared" si="128"/>
        <v>Bokondji Imama - LAK - AG</v>
      </c>
      <c r="B652" t="str">
        <f t="shared" si="129"/>
        <v>Bokondji Imama - LAK - AG</v>
      </c>
      <c r="C652" t="str">
        <f t="shared" si="120"/>
        <v>Bokondji</v>
      </c>
      <c r="D652" t="str">
        <f t="shared" si="121"/>
        <v>Imama</v>
      </c>
      <c r="E652" s="39" t="s">
        <v>2286</v>
      </c>
      <c r="F652" s="30" t="s">
        <v>20</v>
      </c>
      <c r="G652" s="35" t="s">
        <v>386</v>
      </c>
      <c r="H652" s="35" t="s">
        <v>2440</v>
      </c>
      <c r="I652" s="35" t="s">
        <v>2446</v>
      </c>
      <c r="J652" s="35">
        <v>23</v>
      </c>
      <c r="K652" s="35">
        <f>VALUE(COUNTIF(Validation!$A$2:$H$47,E652))</f>
        <v>0</v>
      </c>
      <c r="L652" s="361">
        <f t="shared" si="122"/>
        <v>706667</v>
      </c>
      <c r="M652" s="361">
        <f t="shared" si="123"/>
        <v>0</v>
      </c>
      <c r="N652" s="358">
        <v>706667</v>
      </c>
      <c r="O652" s="358" t="s">
        <v>8</v>
      </c>
      <c r="P652" s="358">
        <v>0</v>
      </c>
      <c r="Q652" s="358">
        <v>0</v>
      </c>
      <c r="R652" s="358">
        <v>0</v>
      </c>
      <c r="S652" s="358">
        <v>0</v>
      </c>
      <c r="T652" s="358">
        <v>0</v>
      </c>
      <c r="U652" s="35">
        <f t="shared" si="124"/>
        <v>1</v>
      </c>
      <c r="W652">
        <f t="shared" si="125"/>
        <v>1</v>
      </c>
      <c r="X652" s="35">
        <f t="shared" si="126"/>
        <v>1</v>
      </c>
      <c r="Y652">
        <f t="shared" si="127"/>
        <v>0</v>
      </c>
      <c r="AB652">
        <f t="shared" si="130"/>
        <v>1</v>
      </c>
      <c r="AC652">
        <f t="shared" ca="1" si="131"/>
        <v>0</v>
      </c>
      <c r="AD652" t="str">
        <f ca="1">IF(AC652=1,COUNTIF($AC$3:AC652,1),"")</f>
        <v/>
      </c>
      <c r="AE652" s="155" t="str">
        <f ca="1">IFERROR(INDEX(Données!$B$3:$B$1479,MATCH(ROWS($AD$3:AD652),$AD$3:$AD$1479,0)),"")</f>
        <v/>
      </c>
    </row>
    <row r="653" spans="1:31" ht="15.75" x14ac:dyDescent="0.25">
      <c r="A653" t="str">
        <f t="shared" si="128"/>
        <v>Jacob Moverare - LAK - DG</v>
      </c>
      <c r="B653" t="str">
        <f t="shared" si="129"/>
        <v>Jacob Moverare - LAK - DG</v>
      </c>
      <c r="C653" t="str">
        <f t="shared" si="120"/>
        <v>Jacob</v>
      </c>
      <c r="D653" t="str">
        <f t="shared" si="121"/>
        <v>Moverare</v>
      </c>
      <c r="E653" s="39" t="s">
        <v>2287</v>
      </c>
      <c r="F653" s="30" t="s">
        <v>20</v>
      </c>
      <c r="G653" s="35" t="s">
        <v>386</v>
      </c>
      <c r="H653" s="9" t="s">
        <v>2445</v>
      </c>
      <c r="I653" s="9" t="s">
        <v>2592</v>
      </c>
      <c r="J653" s="9">
        <v>20</v>
      </c>
      <c r="K653" s="35">
        <f>VALUE(COUNTIF(Validation!$A$2:$H$47,E653))</f>
        <v>0</v>
      </c>
      <c r="L653" s="361">
        <f t="shared" si="122"/>
        <v>705556</v>
      </c>
      <c r="M653" s="361">
        <f t="shared" si="123"/>
        <v>705556</v>
      </c>
      <c r="N653" s="358">
        <v>705556</v>
      </c>
      <c r="O653" s="358">
        <v>705556</v>
      </c>
      <c r="P653" s="358" t="s">
        <v>8</v>
      </c>
      <c r="Q653" s="358">
        <v>0</v>
      </c>
      <c r="R653" s="358">
        <v>0</v>
      </c>
      <c r="S653" s="358">
        <v>0</v>
      </c>
      <c r="T653" s="358">
        <v>0</v>
      </c>
      <c r="U653" s="35">
        <f t="shared" si="124"/>
        <v>2</v>
      </c>
      <c r="W653">
        <f t="shared" si="125"/>
        <v>1</v>
      </c>
      <c r="X653" s="35">
        <f t="shared" si="126"/>
        <v>1</v>
      </c>
      <c r="Y653">
        <f t="shared" si="127"/>
        <v>1</v>
      </c>
      <c r="AB653">
        <f t="shared" si="130"/>
        <v>1</v>
      </c>
      <c r="AC653">
        <f t="shared" ca="1" si="131"/>
        <v>0</v>
      </c>
      <c r="AD653" t="str">
        <f ca="1">IF(AC653=1,COUNTIF($AC$3:AC653,1),"")</f>
        <v/>
      </c>
      <c r="AE653" s="155" t="str">
        <f ca="1">IFERROR(INDEX(Données!$B$3:$B$1479,MATCH(ROWS($AD$3:AD653),$AD$3:$AD$1479,0)),"")</f>
        <v/>
      </c>
    </row>
    <row r="654" spans="1:31" ht="15.75" x14ac:dyDescent="0.25">
      <c r="A654" t="str">
        <f t="shared" si="128"/>
        <v>Michael Amadio - LAK - C, AD</v>
      </c>
      <c r="B654" t="str">
        <f t="shared" si="129"/>
        <v>Michael Amadio - LAK - C, AD</v>
      </c>
      <c r="C654" t="str">
        <f t="shared" si="120"/>
        <v>Michael</v>
      </c>
      <c r="D654" t="str">
        <f t="shared" si="121"/>
        <v>Amadio</v>
      </c>
      <c r="E654" s="39" t="s">
        <v>2285</v>
      </c>
      <c r="F654" s="30" t="s">
        <v>20</v>
      </c>
      <c r="G654" s="35">
        <v>0</v>
      </c>
      <c r="H654" s="35" t="s">
        <v>2448</v>
      </c>
      <c r="I654" s="35" t="s">
        <v>2446</v>
      </c>
      <c r="J654" s="35">
        <v>23</v>
      </c>
      <c r="K654" s="35">
        <f>VALUE(COUNTIF(Validation!$A$2:$H$47,E654))</f>
        <v>0</v>
      </c>
      <c r="L654" s="361">
        <f t="shared" si="122"/>
        <v>700000</v>
      </c>
      <c r="M654" s="361">
        <f t="shared" si="123"/>
        <v>700000</v>
      </c>
      <c r="N654" s="358">
        <v>700000</v>
      </c>
      <c r="O654" s="358">
        <v>700000</v>
      </c>
      <c r="P654" s="358" t="s">
        <v>8</v>
      </c>
      <c r="Q654" s="358">
        <v>0</v>
      </c>
      <c r="R654" s="358">
        <v>0</v>
      </c>
      <c r="S654" s="358">
        <v>0</v>
      </c>
      <c r="T654" s="358">
        <v>0</v>
      </c>
      <c r="U654" s="35">
        <f t="shared" si="124"/>
        <v>2</v>
      </c>
      <c r="W654">
        <f t="shared" si="125"/>
        <v>1</v>
      </c>
      <c r="X654" s="35">
        <f t="shared" si="126"/>
        <v>0</v>
      </c>
      <c r="Y654">
        <f t="shared" si="127"/>
        <v>1</v>
      </c>
      <c r="AB654">
        <f t="shared" si="130"/>
        <v>1</v>
      </c>
      <c r="AC654">
        <f t="shared" ca="1" si="131"/>
        <v>0</v>
      </c>
      <c r="AD654" t="str">
        <f ca="1">IF(AC654=1,COUNTIF($AC$3:AC654,1),"")</f>
        <v/>
      </c>
      <c r="AE654" s="155" t="str">
        <f ca="1">IFERROR(INDEX(Données!$B$3:$B$1479,MATCH(ROWS($AD$3:AD654),$AD$3:$AD$1479,0)),"")</f>
        <v/>
      </c>
    </row>
    <row r="655" spans="1:31" ht="15.75" x14ac:dyDescent="0.25">
      <c r="A655" t="str">
        <f t="shared" si="128"/>
        <v>Daniel Brickley - LAK - DG</v>
      </c>
      <c r="B655" t="str">
        <f t="shared" si="129"/>
        <v>Daniel Brickley - LAK - DG</v>
      </c>
      <c r="C655" t="str">
        <f t="shared" si="120"/>
        <v>Daniel</v>
      </c>
      <c r="D655" t="str">
        <f t="shared" si="121"/>
        <v>Brickley</v>
      </c>
      <c r="E655" s="39" t="s">
        <v>2266</v>
      </c>
      <c r="F655" s="30" t="s">
        <v>20</v>
      </c>
      <c r="G655" s="35">
        <v>0</v>
      </c>
      <c r="H655" s="35" t="s">
        <v>2445</v>
      </c>
      <c r="I655" s="35" t="s">
        <v>2446</v>
      </c>
      <c r="J655" s="35">
        <v>24</v>
      </c>
      <c r="K655" s="35">
        <f>VALUE(COUNTIF(Validation!$A$2:$H$47,E655))</f>
        <v>0</v>
      </c>
      <c r="L655" s="361">
        <f t="shared" si="122"/>
        <v>700000</v>
      </c>
      <c r="M655" s="361">
        <f t="shared" si="123"/>
        <v>700000</v>
      </c>
      <c r="N655" s="358">
        <v>700000</v>
      </c>
      <c r="O655" s="358">
        <v>700000</v>
      </c>
      <c r="P655" s="358" t="s">
        <v>8</v>
      </c>
      <c r="Q655" s="358">
        <v>0</v>
      </c>
      <c r="R655" s="358">
        <v>0</v>
      </c>
      <c r="S655" s="358">
        <v>0</v>
      </c>
      <c r="T655" s="358">
        <v>0</v>
      </c>
      <c r="U655" s="35">
        <f t="shared" si="124"/>
        <v>2</v>
      </c>
      <c r="W655">
        <f t="shared" si="125"/>
        <v>1</v>
      </c>
      <c r="X655" s="35">
        <f t="shared" si="126"/>
        <v>0</v>
      </c>
      <c r="Y655">
        <f t="shared" si="127"/>
        <v>1</v>
      </c>
      <c r="AB655">
        <f t="shared" si="130"/>
        <v>1</v>
      </c>
      <c r="AC655">
        <f t="shared" ca="1" si="131"/>
        <v>0</v>
      </c>
      <c r="AD655" t="str">
        <f ca="1">IF(AC655=1,COUNTIF($AC$3:AC655,1),"")</f>
        <v/>
      </c>
      <c r="AE655" s="155" t="str">
        <f ca="1">IFERROR(INDEX(Données!$B$3:$B$1479,MATCH(ROWS($AD$3:AD655),$AD$3:$AD$1479,0)),"")</f>
        <v/>
      </c>
    </row>
    <row r="656" spans="1:31" ht="15.75" x14ac:dyDescent="0.25">
      <c r="A656" t="str">
        <f t="shared" si="128"/>
        <v>Martin Frk - LAK - AD</v>
      </c>
      <c r="B656" t="str">
        <f t="shared" si="129"/>
        <v>Martin Frk - LAK - AD</v>
      </c>
      <c r="C656" t="str">
        <f t="shared" si="120"/>
        <v>Martin</v>
      </c>
      <c r="D656" t="str">
        <f t="shared" si="121"/>
        <v>Frk</v>
      </c>
      <c r="E656" s="39" t="s">
        <v>1428</v>
      </c>
      <c r="F656" s="30" t="s">
        <v>20</v>
      </c>
      <c r="G656" s="35">
        <v>0</v>
      </c>
      <c r="H656" s="35" t="s">
        <v>2438</v>
      </c>
      <c r="I656" s="35" t="s">
        <v>2446</v>
      </c>
      <c r="J656" s="35">
        <v>25</v>
      </c>
      <c r="K656" s="35">
        <f>VALUE(COUNTIF(Validation!$A$2:$H$47,E656))</f>
        <v>0</v>
      </c>
      <c r="L656" s="361">
        <f t="shared" si="122"/>
        <v>700000</v>
      </c>
      <c r="M656" s="361">
        <f t="shared" si="123"/>
        <v>0</v>
      </c>
      <c r="N656" s="358">
        <v>700000</v>
      </c>
      <c r="O656" s="358" t="s">
        <v>8</v>
      </c>
      <c r="P656" s="358">
        <v>0</v>
      </c>
      <c r="Q656" s="358">
        <v>0</v>
      </c>
      <c r="R656" s="358">
        <v>0</v>
      </c>
      <c r="S656" s="358">
        <v>0</v>
      </c>
      <c r="T656" s="358">
        <v>0</v>
      </c>
      <c r="U656" s="35">
        <f t="shared" si="124"/>
        <v>1</v>
      </c>
      <c r="W656">
        <f t="shared" si="125"/>
        <v>1</v>
      </c>
      <c r="X656" s="35">
        <f t="shared" si="126"/>
        <v>0</v>
      </c>
      <c r="Y656">
        <f t="shared" si="127"/>
        <v>0</v>
      </c>
      <c r="AB656">
        <f t="shared" si="130"/>
        <v>1</v>
      </c>
      <c r="AC656">
        <f t="shared" ca="1" si="131"/>
        <v>0</v>
      </c>
      <c r="AD656" t="str">
        <f ca="1">IF(AC656=1,COUNTIF($AC$3:AC656,1),"")</f>
        <v/>
      </c>
      <c r="AE656" s="155" t="str">
        <f ca="1">IFERROR(INDEX(Données!$B$3:$B$1479,MATCH(ROWS($AD$3:AD656),$AD$3:$AD$1479,0)),"")</f>
        <v/>
      </c>
    </row>
    <row r="657" spans="1:31" ht="15.75" x14ac:dyDescent="0.25">
      <c r="A657" t="str">
        <f t="shared" si="128"/>
        <v>Mario Kempe - LAK - C, AG</v>
      </c>
      <c r="B657" t="str">
        <f t="shared" si="129"/>
        <v>Mario Kempe - LAK - C, AG</v>
      </c>
      <c r="C657" t="str">
        <f t="shared" si="120"/>
        <v>Mario</v>
      </c>
      <c r="D657" t="str">
        <f t="shared" si="121"/>
        <v>Kempe</v>
      </c>
      <c r="E657" s="39" t="s">
        <v>2750</v>
      </c>
      <c r="F657" s="30" t="s">
        <v>20</v>
      </c>
      <c r="G657" s="35">
        <v>0</v>
      </c>
      <c r="H657" s="35" t="s">
        <v>2452</v>
      </c>
      <c r="I657" s="35" t="s">
        <v>2439</v>
      </c>
      <c r="J657" s="35">
        <v>30</v>
      </c>
      <c r="K657" s="35">
        <f>VALUE(COUNTIF(Validation!$A$2:$H$47,E657))</f>
        <v>0</v>
      </c>
      <c r="L657" s="361">
        <f t="shared" si="122"/>
        <v>700000</v>
      </c>
      <c r="M657" s="361">
        <f t="shared" si="123"/>
        <v>0</v>
      </c>
      <c r="N657" s="358">
        <v>700000</v>
      </c>
      <c r="O657" s="358" t="s">
        <v>7</v>
      </c>
      <c r="P657" s="358">
        <v>0</v>
      </c>
      <c r="Q657" s="358">
        <v>0</v>
      </c>
      <c r="R657" s="358">
        <v>0</v>
      </c>
      <c r="S657" s="358">
        <v>0</v>
      </c>
      <c r="T657" s="358">
        <v>0</v>
      </c>
      <c r="U657" s="35">
        <f t="shared" si="124"/>
        <v>1</v>
      </c>
      <c r="W657">
        <f t="shared" si="125"/>
        <v>1</v>
      </c>
      <c r="X657" s="35">
        <f t="shared" si="126"/>
        <v>0</v>
      </c>
      <c r="Y657">
        <f t="shared" si="127"/>
        <v>0</v>
      </c>
      <c r="AB657">
        <f t="shared" si="130"/>
        <v>1</v>
      </c>
      <c r="AC657">
        <f t="shared" ca="1" si="131"/>
        <v>0</v>
      </c>
      <c r="AD657" t="str">
        <f ca="1">IF(AC657=1,COUNTIF($AC$3:AC657,1),"")</f>
        <v/>
      </c>
      <c r="AE657" s="155" t="str">
        <f ca="1">IFERROR(INDEX(Données!$B$3:$B$1479,MATCH(ROWS($AD$3:AD657),$AD$3:$AD$1479,0)),"")</f>
        <v/>
      </c>
    </row>
    <row r="658" spans="1:31" ht="15.75" x14ac:dyDescent="0.25">
      <c r="A658" t="str">
        <f t="shared" si="128"/>
        <v>Matt Roy - LAK - DD</v>
      </c>
      <c r="B658" t="str">
        <f t="shared" si="129"/>
        <v>Matt Roy - LAK - DD</v>
      </c>
      <c r="C658" t="str">
        <f t="shared" si="120"/>
        <v>Matt</v>
      </c>
      <c r="D658" t="str">
        <f t="shared" si="121"/>
        <v>Roy</v>
      </c>
      <c r="E658" s="39" t="s">
        <v>2272</v>
      </c>
      <c r="F658" s="30" t="s">
        <v>20</v>
      </c>
      <c r="G658" s="35">
        <v>0</v>
      </c>
      <c r="H658" s="35" t="s">
        <v>2444</v>
      </c>
      <c r="I658" s="35" t="s">
        <v>2439</v>
      </c>
      <c r="J658" s="35">
        <v>24</v>
      </c>
      <c r="K658" s="35">
        <f>VALUE(COUNTIF(Validation!$A$2:$H$47,E658))</f>
        <v>0</v>
      </c>
      <c r="L658" s="361">
        <f t="shared" si="122"/>
        <v>700000</v>
      </c>
      <c r="M658" s="361">
        <f t="shared" si="123"/>
        <v>700000</v>
      </c>
      <c r="N658" s="358">
        <v>700000</v>
      </c>
      <c r="O658" s="358">
        <v>700000</v>
      </c>
      <c r="P658" s="358" t="s">
        <v>8</v>
      </c>
      <c r="Q658" s="358">
        <v>0</v>
      </c>
      <c r="R658" s="358">
        <v>0</v>
      </c>
      <c r="S658" s="358">
        <v>0</v>
      </c>
      <c r="T658" s="358">
        <v>0</v>
      </c>
      <c r="U658" s="35">
        <f t="shared" si="124"/>
        <v>2</v>
      </c>
      <c r="W658">
        <f t="shared" si="125"/>
        <v>1</v>
      </c>
      <c r="X658" s="35">
        <f t="shared" si="126"/>
        <v>0</v>
      </c>
      <c r="Y658">
        <f t="shared" si="127"/>
        <v>1</v>
      </c>
      <c r="AB658">
        <f t="shared" si="130"/>
        <v>1</v>
      </c>
      <c r="AC658">
        <f t="shared" ca="1" si="131"/>
        <v>0</v>
      </c>
      <c r="AD658" t="str">
        <f ca="1">IF(AC658=1,COUNTIF($AC$3:AC658,1),"")</f>
        <v/>
      </c>
      <c r="AE658" s="155" t="str">
        <f ca="1">IFERROR(INDEX(Données!$B$3:$B$1479,MATCH(ROWS($AD$3:AD658),$AD$3:$AD$1479,0)),"")</f>
        <v/>
      </c>
    </row>
    <row r="659" spans="1:31" ht="15.75" x14ac:dyDescent="0.25">
      <c r="A659" t="str">
        <f t="shared" si="128"/>
        <v>Matt Luff - LAK - AD</v>
      </c>
      <c r="B659" t="str">
        <f t="shared" si="129"/>
        <v>Matt Luff - LAK - AD</v>
      </c>
      <c r="C659" t="str">
        <f t="shared" si="120"/>
        <v>Matt</v>
      </c>
      <c r="D659" t="str">
        <f t="shared" si="121"/>
        <v>Luff</v>
      </c>
      <c r="E659" s="39" t="s">
        <v>2289</v>
      </c>
      <c r="F659" s="30" t="s">
        <v>20</v>
      </c>
      <c r="G659" s="35" t="s">
        <v>386</v>
      </c>
      <c r="H659" s="35" t="s">
        <v>2438</v>
      </c>
      <c r="I659" s="35" t="s">
        <v>2446</v>
      </c>
      <c r="J659" s="35">
        <v>22</v>
      </c>
      <c r="K659" s="35">
        <f>VALUE(COUNTIF(Validation!$A$2:$H$47,E659))</f>
        <v>0</v>
      </c>
      <c r="L659" s="361">
        <f t="shared" si="122"/>
        <v>677777</v>
      </c>
      <c r="M659" s="361">
        <f t="shared" si="123"/>
        <v>0</v>
      </c>
      <c r="N659" s="358">
        <v>677777</v>
      </c>
      <c r="O659" s="358" t="s">
        <v>8</v>
      </c>
      <c r="P659" s="358">
        <v>0</v>
      </c>
      <c r="Q659" s="358">
        <v>0</v>
      </c>
      <c r="R659" s="358">
        <v>0</v>
      </c>
      <c r="S659" s="358">
        <v>0</v>
      </c>
      <c r="T659" s="358">
        <v>0</v>
      </c>
      <c r="U659" s="35">
        <f t="shared" si="124"/>
        <v>1</v>
      </c>
      <c r="W659">
        <f t="shared" si="125"/>
        <v>1</v>
      </c>
      <c r="X659" s="35">
        <f t="shared" si="126"/>
        <v>1</v>
      </c>
      <c r="Y659">
        <f t="shared" si="127"/>
        <v>0</v>
      </c>
      <c r="AB659">
        <f t="shared" si="130"/>
        <v>1</v>
      </c>
      <c r="AC659">
        <f t="shared" ca="1" si="131"/>
        <v>0</v>
      </c>
      <c r="AD659" t="str">
        <f ca="1">IF(AC659=1,COUNTIF($AC$3:AC659,1),"")</f>
        <v/>
      </c>
      <c r="AE659" s="155" t="str">
        <f ca="1">IFERROR(INDEX(Données!$B$3:$B$1479,MATCH(ROWS($AD$3:AD659),$AD$3:$AD$1479,0)),"")</f>
        <v/>
      </c>
    </row>
    <row r="660" spans="1:31" ht="15.75" x14ac:dyDescent="0.25">
      <c r="A660" t="str">
        <f t="shared" si="128"/>
        <v>Jack Campbell - LAK - G</v>
      </c>
      <c r="B660" t="str">
        <f t="shared" si="129"/>
        <v>Jack Campbell - LAK - G</v>
      </c>
      <c r="C660" t="str">
        <f t="shared" si="120"/>
        <v>Jack</v>
      </c>
      <c r="D660" t="str">
        <f t="shared" si="121"/>
        <v>Campbell</v>
      </c>
      <c r="E660" s="39" t="s">
        <v>2268</v>
      </c>
      <c r="F660" s="30" t="s">
        <v>20</v>
      </c>
      <c r="G660" s="35">
        <v>0</v>
      </c>
      <c r="H660" s="35" t="s">
        <v>127</v>
      </c>
      <c r="I660" s="35" t="s">
        <v>2439</v>
      </c>
      <c r="J660" s="35">
        <v>27</v>
      </c>
      <c r="K660" s="35">
        <f>VALUE(COUNTIF(Validation!$A$2:$H$47,E660))</f>
        <v>0</v>
      </c>
      <c r="L660" s="361">
        <f t="shared" si="122"/>
        <v>675000</v>
      </c>
      <c r="M660" s="361">
        <f t="shared" si="123"/>
        <v>0</v>
      </c>
      <c r="N660" s="358">
        <v>675000</v>
      </c>
      <c r="O660" s="358" t="s">
        <v>7</v>
      </c>
      <c r="P660" s="358">
        <v>0</v>
      </c>
      <c r="Q660" s="358">
        <v>0</v>
      </c>
      <c r="R660" s="358">
        <v>0</v>
      </c>
      <c r="S660" s="358">
        <v>0</v>
      </c>
      <c r="T660" s="358">
        <v>0</v>
      </c>
      <c r="U660" s="35">
        <f t="shared" si="124"/>
        <v>1</v>
      </c>
      <c r="W660">
        <f t="shared" si="125"/>
        <v>1</v>
      </c>
      <c r="X660" s="35">
        <f t="shared" si="126"/>
        <v>0</v>
      </c>
      <c r="Y660">
        <f t="shared" si="127"/>
        <v>0</v>
      </c>
      <c r="AB660">
        <f t="shared" si="130"/>
        <v>1</v>
      </c>
      <c r="AC660">
        <f t="shared" ca="1" si="131"/>
        <v>0</v>
      </c>
      <c r="AD660" t="str">
        <f ca="1">IF(AC660=1,COUNTIF($AC$3:AC660,1),"")</f>
        <v/>
      </c>
      <c r="AE660" s="155" t="str">
        <f ca="1">IFERROR(INDEX(Données!$B$3:$B$1479,MATCH(ROWS($AD$3:AD660),$AD$3:$AD$1479,0)),"")</f>
        <v/>
      </c>
    </row>
    <row r="661" spans="1:31" ht="15.75" x14ac:dyDescent="0.25">
      <c r="A661" t="str">
        <f t="shared" si="128"/>
        <v>Kurtis MacDermid - LAK - DD</v>
      </c>
      <c r="B661" t="str">
        <f t="shared" si="129"/>
        <v>Kurtis MacDermid - LAK - DD</v>
      </c>
      <c r="C661" t="str">
        <f t="shared" si="120"/>
        <v>Kurtis</v>
      </c>
      <c r="D661" t="str">
        <f t="shared" si="121"/>
        <v>MacDermid</v>
      </c>
      <c r="E661" s="39" t="s">
        <v>2290</v>
      </c>
      <c r="F661" s="30" t="s">
        <v>20</v>
      </c>
      <c r="G661" s="35">
        <v>0</v>
      </c>
      <c r="H661" s="35" t="s">
        <v>2444</v>
      </c>
      <c r="I661" s="35" t="s">
        <v>2439</v>
      </c>
      <c r="J661" s="35">
        <v>25</v>
      </c>
      <c r="K661" s="35">
        <f>VALUE(COUNTIF(Validation!$A$2:$H$47,E661))</f>
        <v>0</v>
      </c>
      <c r="L661" s="361">
        <f t="shared" si="122"/>
        <v>675000</v>
      </c>
      <c r="M661" s="361">
        <f t="shared" si="123"/>
        <v>0</v>
      </c>
      <c r="N661" s="358">
        <v>675000</v>
      </c>
      <c r="O661" s="358" t="s">
        <v>8</v>
      </c>
      <c r="P661" s="358">
        <v>0</v>
      </c>
      <c r="Q661" s="358">
        <v>0</v>
      </c>
      <c r="R661" s="358">
        <v>0</v>
      </c>
      <c r="S661" s="358">
        <v>0</v>
      </c>
      <c r="T661" s="358">
        <v>0</v>
      </c>
      <c r="U661" s="35">
        <f t="shared" si="124"/>
        <v>1</v>
      </c>
      <c r="W661">
        <f t="shared" si="125"/>
        <v>1</v>
      </c>
      <c r="X661" s="35">
        <f t="shared" si="126"/>
        <v>0</v>
      </c>
      <c r="Y661">
        <f t="shared" si="127"/>
        <v>0</v>
      </c>
      <c r="AB661">
        <f t="shared" si="130"/>
        <v>1</v>
      </c>
      <c r="AC661">
        <f t="shared" ca="1" si="131"/>
        <v>0</v>
      </c>
      <c r="AD661" t="str">
        <f ca="1">IF(AC661=1,COUNTIF($AC$3:AC661,1),"")</f>
        <v/>
      </c>
      <c r="AE661" s="155" t="str">
        <f ca="1">IFERROR(INDEX(Données!$B$3:$B$1479,MATCH(ROWS($AD$3:AD661),$AD$3:$AD$1479,0)),"")</f>
        <v/>
      </c>
    </row>
    <row r="662" spans="1:31" ht="15.75" x14ac:dyDescent="0.25">
      <c r="A662" t="str">
        <f t="shared" si="128"/>
        <v>Adrian Kempe - LAK - C, AG</v>
      </c>
      <c r="B662" t="str">
        <f t="shared" si="129"/>
        <v>Adrian Kempe - LAK - C, AG</v>
      </c>
      <c r="C662" t="str">
        <f t="shared" si="120"/>
        <v>Adrian</v>
      </c>
      <c r="D662" t="str">
        <f t="shared" si="121"/>
        <v>Kempe</v>
      </c>
      <c r="E662" s="39" t="s">
        <v>2262</v>
      </c>
      <c r="F662" s="30" t="s">
        <v>20</v>
      </c>
      <c r="G662" s="35">
        <v>0</v>
      </c>
      <c r="H662" s="35" t="s">
        <v>2452</v>
      </c>
      <c r="I662" s="35" t="s">
        <v>2439</v>
      </c>
      <c r="J662" s="35">
        <v>22</v>
      </c>
      <c r="K662" s="35">
        <f>VALUE(COUNTIF(Validation!$A$2:$H$47,E662))</f>
        <v>0</v>
      </c>
      <c r="L662" s="361">
        <f t="shared" si="122"/>
        <v>0</v>
      </c>
      <c r="M662" s="361">
        <f t="shared" si="123"/>
        <v>0</v>
      </c>
      <c r="N662" s="358" t="s">
        <v>8</v>
      </c>
      <c r="O662" s="358">
        <v>0</v>
      </c>
      <c r="P662" s="358">
        <v>0</v>
      </c>
      <c r="Q662" s="358">
        <v>0</v>
      </c>
      <c r="R662" s="358">
        <v>0</v>
      </c>
      <c r="S662" s="358">
        <v>0</v>
      </c>
      <c r="T662" s="358">
        <v>0</v>
      </c>
      <c r="U662" s="35">
        <f t="shared" si="124"/>
        <v>0</v>
      </c>
      <c r="W662">
        <f t="shared" si="125"/>
        <v>1</v>
      </c>
      <c r="X662" s="35">
        <f t="shared" si="126"/>
        <v>0</v>
      </c>
      <c r="Y662">
        <f t="shared" si="127"/>
        <v>1</v>
      </c>
      <c r="AB662">
        <f t="shared" si="130"/>
        <v>1</v>
      </c>
      <c r="AC662">
        <f t="shared" ca="1" si="131"/>
        <v>0</v>
      </c>
      <c r="AD662" t="str">
        <f ca="1">IF(AC662=1,COUNTIF($AC$3:AC662,1),"")</f>
        <v/>
      </c>
      <c r="AE662" s="155" t="str">
        <f ca="1">IFERROR(INDEX(Données!$B$3:$B$1479,MATCH(ROWS($AD$3:AD662),$AD$3:$AD$1479,0)),"")</f>
        <v/>
      </c>
    </row>
    <row r="663" spans="1:31" ht="15.75" x14ac:dyDescent="0.25">
      <c r="A663" t="str">
        <f t="shared" si="128"/>
        <v>Zach Parise - MIN - AG</v>
      </c>
      <c r="B663" t="str">
        <f t="shared" si="129"/>
        <v>Zach Parise - MIN - AG</v>
      </c>
      <c r="C663" t="str">
        <f t="shared" si="120"/>
        <v>Zach</v>
      </c>
      <c r="D663" t="str">
        <f t="shared" si="121"/>
        <v>Parise</v>
      </c>
      <c r="E663" s="39" t="s">
        <v>2993</v>
      </c>
      <c r="F663" s="30" t="s">
        <v>21</v>
      </c>
      <c r="G663" s="35" t="s">
        <v>420</v>
      </c>
      <c r="H663" s="9" t="s">
        <v>2440</v>
      </c>
      <c r="I663" s="9" t="s">
        <v>2439</v>
      </c>
      <c r="J663" s="9">
        <v>35</v>
      </c>
      <c r="K663" s="35">
        <f>VALUE(COUNTIF(Validation!$A$2:$H$47,E663))</f>
        <v>0</v>
      </c>
      <c r="L663" s="361">
        <f t="shared" si="122"/>
        <v>7538461</v>
      </c>
      <c r="M663" s="361">
        <f t="shared" si="123"/>
        <v>7538461</v>
      </c>
      <c r="N663" s="358">
        <v>7538461</v>
      </c>
      <c r="O663" s="358">
        <v>7538461</v>
      </c>
      <c r="P663" s="358">
        <v>7538461</v>
      </c>
      <c r="Q663" s="358">
        <v>7538461</v>
      </c>
      <c r="R663" s="358">
        <v>7538461</v>
      </c>
      <c r="S663" s="358">
        <v>7538461</v>
      </c>
      <c r="T663" s="358" t="s">
        <v>7</v>
      </c>
      <c r="U663" s="35">
        <f t="shared" si="124"/>
        <v>6</v>
      </c>
      <c r="W663">
        <f t="shared" si="125"/>
        <v>1</v>
      </c>
      <c r="X663" s="35">
        <f t="shared" si="126"/>
        <v>0</v>
      </c>
      <c r="Y663">
        <f t="shared" si="127"/>
        <v>1</v>
      </c>
      <c r="AB663">
        <f t="shared" si="130"/>
        <v>1</v>
      </c>
      <c r="AC663">
        <f t="shared" ca="1" si="131"/>
        <v>0</v>
      </c>
      <c r="AD663" t="str">
        <f ca="1">IF(AC663=1,COUNTIF($AC$3:AC663,1),"")</f>
        <v/>
      </c>
      <c r="AE663" s="155" t="str">
        <f ca="1">IFERROR(INDEX(Données!$B$3:$B$1479,MATCH(ROWS($AD$3:AD663),$AD$3:$AD$1479,0)),"")</f>
        <v/>
      </c>
    </row>
    <row r="664" spans="1:31" ht="15.75" x14ac:dyDescent="0.25">
      <c r="A664" t="str">
        <f t="shared" si="128"/>
        <v>Ryan Suter - MIN - DG</v>
      </c>
      <c r="B664" t="str">
        <f t="shared" si="129"/>
        <v>Ryan Suter - MIN - DG</v>
      </c>
      <c r="C664" t="str">
        <f t="shared" si="120"/>
        <v>Ryan</v>
      </c>
      <c r="D664" t="str">
        <f t="shared" si="121"/>
        <v>Suter</v>
      </c>
      <c r="E664" s="39" t="s">
        <v>3006</v>
      </c>
      <c r="F664" s="30" t="s">
        <v>21</v>
      </c>
      <c r="G664" s="35" t="s">
        <v>420</v>
      </c>
      <c r="H664" s="35" t="s">
        <v>2445</v>
      </c>
      <c r="I664" s="35" t="s">
        <v>2439</v>
      </c>
      <c r="J664" s="35">
        <v>34</v>
      </c>
      <c r="K664" s="35">
        <f>VALUE(COUNTIF(Validation!$A$2:$H$47,E664))</f>
        <v>0</v>
      </c>
      <c r="L664" s="361">
        <f t="shared" si="122"/>
        <v>7538461</v>
      </c>
      <c r="M664" s="361">
        <f t="shared" si="123"/>
        <v>7538461</v>
      </c>
      <c r="N664" s="358">
        <v>7538461</v>
      </c>
      <c r="O664" s="358">
        <v>7538461</v>
      </c>
      <c r="P664" s="358">
        <v>7538461</v>
      </c>
      <c r="Q664" s="358">
        <v>7538461</v>
      </c>
      <c r="R664" s="358">
        <v>7538461</v>
      </c>
      <c r="S664" s="358">
        <v>7538461</v>
      </c>
      <c r="T664" s="358" t="s">
        <v>7</v>
      </c>
      <c r="U664" s="35">
        <f t="shared" si="124"/>
        <v>6</v>
      </c>
      <c r="W664">
        <f t="shared" si="125"/>
        <v>1</v>
      </c>
      <c r="X664" s="35">
        <f t="shared" si="126"/>
        <v>0</v>
      </c>
      <c r="Y664">
        <f t="shared" si="127"/>
        <v>1</v>
      </c>
      <c r="AB664">
        <f t="shared" si="130"/>
        <v>1</v>
      </c>
      <c r="AC664">
        <f t="shared" ca="1" si="131"/>
        <v>0</v>
      </c>
      <c r="AD664" t="str">
        <f ca="1">IF(AC664=1,COUNTIF($AC$3:AC664,1),"")</f>
        <v/>
      </c>
      <c r="AE664" s="155" t="str">
        <f ca="1">IFERROR(INDEX(Données!$B$3:$B$1479,MATCH(ROWS($AD$3:AD664),$AD$3:$AD$1479,0)),"")</f>
        <v/>
      </c>
    </row>
    <row r="665" spans="1:31" ht="15.75" x14ac:dyDescent="0.25">
      <c r="A665" t="str">
        <f t="shared" si="128"/>
        <v>Matt Dumba - MIN - DD</v>
      </c>
      <c r="B665" t="str">
        <f t="shared" si="129"/>
        <v>Matt Dumba - MIN - DD</v>
      </c>
      <c r="C665" t="str">
        <f t="shared" si="120"/>
        <v>Matt</v>
      </c>
      <c r="D665" t="str">
        <f t="shared" si="121"/>
        <v>Dumba</v>
      </c>
      <c r="E665" s="39" t="s">
        <v>1994</v>
      </c>
      <c r="F665" s="30" t="s">
        <v>21</v>
      </c>
      <c r="G665" s="35">
        <v>0</v>
      </c>
      <c r="H665" s="35" t="s">
        <v>2444</v>
      </c>
      <c r="I665" s="35" t="s">
        <v>2439</v>
      </c>
      <c r="J665" s="35">
        <v>25</v>
      </c>
      <c r="K665" s="35">
        <f>VALUE(COUNTIF(Validation!$A$2:$H$47,E665))</f>
        <v>0</v>
      </c>
      <c r="L665" s="361">
        <f t="shared" si="122"/>
        <v>6000000</v>
      </c>
      <c r="M665" s="361">
        <f t="shared" si="123"/>
        <v>6000000</v>
      </c>
      <c r="N665" s="358">
        <v>6000000</v>
      </c>
      <c r="O665" s="358">
        <v>6000000</v>
      </c>
      <c r="P665" s="358">
        <v>6000000</v>
      </c>
      <c r="Q665" s="358">
        <v>6000000</v>
      </c>
      <c r="R665" s="358" t="s">
        <v>7</v>
      </c>
      <c r="S665" s="358">
        <v>0</v>
      </c>
      <c r="T665" s="358">
        <v>0</v>
      </c>
      <c r="U665" s="35">
        <f t="shared" si="124"/>
        <v>4</v>
      </c>
      <c r="W665">
        <f t="shared" si="125"/>
        <v>1</v>
      </c>
      <c r="X665" s="35">
        <f t="shared" si="126"/>
        <v>0</v>
      </c>
      <c r="Y665">
        <f t="shared" si="127"/>
        <v>1</v>
      </c>
      <c r="AB665">
        <f t="shared" si="130"/>
        <v>1</v>
      </c>
      <c r="AC665">
        <f t="shared" ca="1" si="131"/>
        <v>0</v>
      </c>
      <c r="AD665" t="str">
        <f ca="1">IF(AC665=1,COUNTIF($AC$3:AC665,1),"")</f>
        <v/>
      </c>
      <c r="AE665" s="155" t="str">
        <f ca="1">IFERROR(INDEX(Données!$B$3:$B$1479,MATCH(ROWS($AD$3:AD665),$AD$3:$AD$1479,0)),"")</f>
        <v/>
      </c>
    </row>
    <row r="666" spans="1:31" ht="15.75" x14ac:dyDescent="0.25">
      <c r="A666" t="str">
        <f t="shared" si="128"/>
        <v>Mats Zuccarello - MIN - AD</v>
      </c>
      <c r="B666" t="str">
        <f t="shared" si="129"/>
        <v>Mats Zuccarello - MIN - AD</v>
      </c>
      <c r="C666" t="str">
        <f t="shared" si="120"/>
        <v>Mats</v>
      </c>
      <c r="D666" t="str">
        <f t="shared" si="121"/>
        <v>Zuccarello</v>
      </c>
      <c r="E666" s="39" t="s">
        <v>2613</v>
      </c>
      <c r="F666" s="30" t="s">
        <v>21</v>
      </c>
      <c r="G666" s="35" t="s">
        <v>420</v>
      </c>
      <c r="H666" s="35" t="s">
        <v>2438</v>
      </c>
      <c r="I666" s="35" t="s">
        <v>2439</v>
      </c>
      <c r="J666" s="35">
        <v>31</v>
      </c>
      <c r="K666" s="35">
        <f>VALUE(COUNTIF(Validation!$A$2:$H$47,E666))</f>
        <v>0</v>
      </c>
      <c r="L666" s="361">
        <f t="shared" si="122"/>
        <v>6000000</v>
      </c>
      <c r="M666" s="361">
        <f t="shared" si="123"/>
        <v>6000000</v>
      </c>
      <c r="N666" s="358">
        <v>6000000</v>
      </c>
      <c r="O666" s="358">
        <v>6000000</v>
      </c>
      <c r="P666" s="358">
        <v>6000000</v>
      </c>
      <c r="Q666" s="358">
        <v>6000000</v>
      </c>
      <c r="R666" s="358">
        <v>6000000</v>
      </c>
      <c r="S666" s="358" t="s">
        <v>7</v>
      </c>
      <c r="T666" s="358">
        <v>0</v>
      </c>
      <c r="U666" s="35">
        <f t="shared" si="124"/>
        <v>5</v>
      </c>
      <c r="W666">
        <f t="shared" si="125"/>
        <v>1</v>
      </c>
      <c r="X666" s="35">
        <f t="shared" si="126"/>
        <v>0</v>
      </c>
      <c r="Y666">
        <f t="shared" si="127"/>
        <v>1</v>
      </c>
      <c r="AB666">
        <f t="shared" si="130"/>
        <v>1</v>
      </c>
      <c r="AC666">
        <f t="shared" ca="1" si="131"/>
        <v>0</v>
      </c>
      <c r="AD666" t="str">
        <f ca="1">IF(AC666=1,COUNTIF($AC$3:AC666,1),"")</f>
        <v/>
      </c>
      <c r="AE666" s="155" t="str">
        <f ca="1">IFERROR(INDEX(Données!$B$3:$B$1479,MATCH(ROWS($AD$3:AD666),$AD$3:$AD$1479,0)),"")</f>
        <v/>
      </c>
    </row>
    <row r="667" spans="1:31" ht="15.75" x14ac:dyDescent="0.25">
      <c r="A667" t="str">
        <f t="shared" si="128"/>
        <v>Mikko Koivu - MIN - C</v>
      </c>
      <c r="B667" t="str">
        <f t="shared" si="129"/>
        <v>Mikko Koivu - MIN - C</v>
      </c>
      <c r="C667" t="str">
        <f t="shared" si="120"/>
        <v>Mikko</v>
      </c>
      <c r="D667" t="str">
        <f t="shared" si="121"/>
        <v>Koivu</v>
      </c>
      <c r="E667" s="39" t="s">
        <v>2978</v>
      </c>
      <c r="F667" s="30" t="s">
        <v>21</v>
      </c>
      <c r="G667" s="35" t="s">
        <v>2499</v>
      </c>
      <c r="H667" s="9" t="s">
        <v>73</v>
      </c>
      <c r="I667" s="9" t="s">
        <v>2439</v>
      </c>
      <c r="J667" s="9">
        <v>36</v>
      </c>
      <c r="K667" s="35">
        <f>VALUE(COUNTIF(Validation!$A$2:$H$47,E667))</f>
        <v>0</v>
      </c>
      <c r="L667" s="361">
        <f t="shared" si="122"/>
        <v>5500000</v>
      </c>
      <c r="M667" s="361">
        <f t="shared" si="123"/>
        <v>0</v>
      </c>
      <c r="N667" s="358">
        <v>5500000</v>
      </c>
      <c r="O667" s="358" t="s">
        <v>7</v>
      </c>
      <c r="P667" s="358">
        <v>0</v>
      </c>
      <c r="Q667" s="358">
        <v>0</v>
      </c>
      <c r="R667" s="358">
        <v>0</v>
      </c>
      <c r="S667" s="358">
        <v>0</v>
      </c>
      <c r="T667" s="358">
        <v>0</v>
      </c>
      <c r="U667" s="35">
        <f t="shared" si="124"/>
        <v>1</v>
      </c>
      <c r="W667">
        <f t="shared" si="125"/>
        <v>1</v>
      </c>
      <c r="X667" s="35">
        <f t="shared" si="126"/>
        <v>0</v>
      </c>
      <c r="Y667">
        <f t="shared" si="127"/>
        <v>0</v>
      </c>
      <c r="AB667">
        <f t="shared" si="130"/>
        <v>1</v>
      </c>
      <c r="AC667">
        <f t="shared" ca="1" si="131"/>
        <v>0</v>
      </c>
      <c r="AD667" t="str">
        <f ca="1">IF(AC667=1,COUNTIF($AC$3:AC667,1),"")</f>
        <v/>
      </c>
      <c r="AE667" s="155" t="str">
        <f ca="1">IFERROR(INDEX(Données!$B$3:$B$1479,MATCH(ROWS($AD$3:AD667),$AD$3:$AD$1479,0)),"")</f>
        <v/>
      </c>
    </row>
    <row r="668" spans="1:31" ht="15.75" x14ac:dyDescent="0.25">
      <c r="A668" t="str">
        <f t="shared" si="128"/>
        <v>Jason Zucker - MIN - AG, AD</v>
      </c>
      <c r="B668" t="str">
        <f t="shared" si="129"/>
        <v>Jason Zucker - MIN - AG, AD</v>
      </c>
      <c r="C668" t="str">
        <f t="shared" si="120"/>
        <v>Jason</v>
      </c>
      <c r="D668" t="str">
        <f t="shared" si="121"/>
        <v>Zucker</v>
      </c>
      <c r="E668" s="39" t="s">
        <v>1987</v>
      </c>
      <c r="F668" s="30" t="s">
        <v>21</v>
      </c>
      <c r="G668" s="35" t="s">
        <v>381</v>
      </c>
      <c r="H668" s="35" t="s">
        <v>2442</v>
      </c>
      <c r="I668" s="35" t="s">
        <v>2439</v>
      </c>
      <c r="J668" s="35">
        <v>27</v>
      </c>
      <c r="K668" s="35">
        <f>VALUE(COUNTIF(Validation!$A$2:$H$47,E668))</f>
        <v>0</v>
      </c>
      <c r="L668" s="361">
        <f t="shared" si="122"/>
        <v>5500000</v>
      </c>
      <c r="M668" s="361">
        <f t="shared" si="123"/>
        <v>5500000</v>
      </c>
      <c r="N668" s="358">
        <v>5500000</v>
      </c>
      <c r="O668" s="358">
        <v>5500000</v>
      </c>
      <c r="P668" s="358">
        <v>5500000</v>
      </c>
      <c r="Q668" s="358">
        <v>5500000</v>
      </c>
      <c r="R668" s="358" t="s">
        <v>7</v>
      </c>
      <c r="S668" s="358">
        <v>0</v>
      </c>
      <c r="T668" s="358">
        <v>0</v>
      </c>
      <c r="U668" s="35">
        <f t="shared" si="124"/>
        <v>4</v>
      </c>
      <c r="W668">
        <f t="shared" si="125"/>
        <v>1</v>
      </c>
      <c r="X668" s="35">
        <f t="shared" si="126"/>
        <v>0</v>
      </c>
      <c r="Y668">
        <f t="shared" si="127"/>
        <v>1</v>
      </c>
      <c r="AB668">
        <f t="shared" si="130"/>
        <v>1</v>
      </c>
      <c r="AC668">
        <f t="shared" ca="1" si="131"/>
        <v>0</v>
      </c>
      <c r="AD668" t="str">
        <f ca="1">IF(AC668=1,COUNTIF($AC$3:AC668,1),"")</f>
        <v/>
      </c>
      <c r="AE668" s="155" t="str">
        <f ca="1">IFERROR(INDEX(Données!$B$3:$B$1479,MATCH(ROWS($AD$3:AD668),$AD$3:$AD$1479,0)),"")</f>
        <v/>
      </c>
    </row>
    <row r="669" spans="1:31" ht="15.75" x14ac:dyDescent="0.25">
      <c r="A669" t="str">
        <f t="shared" si="128"/>
        <v>Jared Spurgeon - MIN - DD</v>
      </c>
      <c r="B669" t="str">
        <f t="shared" si="129"/>
        <v>Jared Spurgeon - MIN - DD</v>
      </c>
      <c r="C669" t="str">
        <f t="shared" si="120"/>
        <v>Jared</v>
      </c>
      <c r="D669" t="str">
        <f t="shared" si="121"/>
        <v>Spurgeon</v>
      </c>
      <c r="E669" s="39" t="s">
        <v>1995</v>
      </c>
      <c r="F669" s="30" t="s">
        <v>21</v>
      </c>
      <c r="G669" s="35" t="s">
        <v>381</v>
      </c>
      <c r="H669" s="35" t="s">
        <v>2444</v>
      </c>
      <c r="I669" s="35" t="s">
        <v>2439</v>
      </c>
      <c r="J669" s="35">
        <v>29</v>
      </c>
      <c r="K669" s="35">
        <f>VALUE(COUNTIF(Validation!$A$2:$H$47,E669))</f>
        <v>0</v>
      </c>
      <c r="L669" s="361">
        <f t="shared" si="122"/>
        <v>5187500</v>
      </c>
      <c r="M669" s="361">
        <f t="shared" si="123"/>
        <v>0</v>
      </c>
      <c r="N669" s="358">
        <v>5187500</v>
      </c>
      <c r="O669" s="358" t="s">
        <v>7</v>
      </c>
      <c r="P669" s="358">
        <v>0</v>
      </c>
      <c r="Q669" s="358">
        <v>0</v>
      </c>
      <c r="R669" s="362">
        <v>0</v>
      </c>
      <c r="S669" s="358">
        <v>0</v>
      </c>
      <c r="T669" s="358">
        <v>0</v>
      </c>
      <c r="U669" s="35">
        <f t="shared" si="124"/>
        <v>1</v>
      </c>
      <c r="W669">
        <f t="shared" si="125"/>
        <v>1</v>
      </c>
      <c r="X669" s="35">
        <f t="shared" si="126"/>
        <v>0</v>
      </c>
      <c r="Y669">
        <f t="shared" si="127"/>
        <v>0</v>
      </c>
      <c r="AB669">
        <f t="shared" si="130"/>
        <v>1</v>
      </c>
      <c r="AC669">
        <f t="shared" ca="1" si="131"/>
        <v>0</v>
      </c>
      <c r="AD669" t="str">
        <f ca="1">IF(AC669=1,COUNTIF($AC$3:AC669,1),"")</f>
        <v/>
      </c>
      <c r="AE669" s="155" t="str">
        <f ca="1">IFERROR(INDEX(Données!$B$3:$B$1479,MATCH(ROWS($AD$3:AD669),$AD$3:$AD$1479,0)),"")</f>
        <v/>
      </c>
    </row>
    <row r="670" spans="1:31" ht="15.75" x14ac:dyDescent="0.25">
      <c r="A670" t="str">
        <f t="shared" si="128"/>
        <v>Devan Dubnyk - MIN - G</v>
      </c>
      <c r="B670" t="str">
        <f t="shared" si="129"/>
        <v>Devan Dubnyk - MIN - G</v>
      </c>
      <c r="C670" t="str">
        <f t="shared" si="120"/>
        <v>Devan</v>
      </c>
      <c r="D670" t="str">
        <f t="shared" si="121"/>
        <v>Dubnyk</v>
      </c>
      <c r="E670" s="39" t="s">
        <v>2001</v>
      </c>
      <c r="F670" s="30" t="s">
        <v>21</v>
      </c>
      <c r="G670" s="35" t="s">
        <v>381</v>
      </c>
      <c r="H670" s="35" t="s">
        <v>127</v>
      </c>
      <c r="I670" s="35" t="s">
        <v>2439</v>
      </c>
      <c r="J670" s="35">
        <v>33</v>
      </c>
      <c r="K670" s="35">
        <f>VALUE(COUNTIF(Validation!$A$2:$H$47,E670))</f>
        <v>0</v>
      </c>
      <c r="L670" s="361">
        <f t="shared" si="122"/>
        <v>4333333</v>
      </c>
      <c r="M670" s="361">
        <f t="shared" si="123"/>
        <v>4333333</v>
      </c>
      <c r="N670" s="358">
        <v>4333333</v>
      </c>
      <c r="O670" s="358">
        <v>4333333</v>
      </c>
      <c r="P670" s="358" t="s">
        <v>7</v>
      </c>
      <c r="Q670" s="358">
        <v>0</v>
      </c>
      <c r="R670" s="358">
        <v>0</v>
      </c>
      <c r="S670" s="358">
        <v>0</v>
      </c>
      <c r="T670" s="358">
        <v>0</v>
      </c>
      <c r="U670" s="35">
        <f t="shared" si="124"/>
        <v>2</v>
      </c>
      <c r="W670">
        <f t="shared" si="125"/>
        <v>1</v>
      </c>
      <c r="X670" s="35">
        <f t="shared" si="126"/>
        <v>0</v>
      </c>
      <c r="Y670">
        <f t="shared" si="127"/>
        <v>1</v>
      </c>
      <c r="AB670">
        <f t="shared" si="130"/>
        <v>1</v>
      </c>
      <c r="AC670">
        <f t="shared" ca="1" si="131"/>
        <v>0</v>
      </c>
      <c r="AD670" t="str">
        <f ca="1">IF(AC670=1,COUNTIF($AC$3:AC670,1),"")</f>
        <v/>
      </c>
      <c r="AE670" s="155" t="str">
        <f ca="1">IFERROR(INDEX(Données!$B$3:$B$1479,MATCH(ROWS($AD$3:AD670),$AD$3:$AD$1479,0)),"")</f>
        <v/>
      </c>
    </row>
    <row r="671" spans="1:31" ht="15.75" x14ac:dyDescent="0.25">
      <c r="A671" t="str">
        <f t="shared" si="128"/>
        <v>Jonas Brodin - MIN - DG</v>
      </c>
      <c r="B671" t="str">
        <f t="shared" si="129"/>
        <v>Jonas Brodin - MIN - DG</v>
      </c>
      <c r="C671" t="str">
        <f t="shared" si="120"/>
        <v>Jonas</v>
      </c>
      <c r="D671" t="str">
        <f t="shared" si="121"/>
        <v>Brodin</v>
      </c>
      <c r="E671" s="39" t="s">
        <v>1996</v>
      </c>
      <c r="F671" s="30" t="s">
        <v>21</v>
      </c>
      <c r="G671" s="35">
        <v>0</v>
      </c>
      <c r="H671" s="35" t="s">
        <v>2445</v>
      </c>
      <c r="I671" s="35" t="s">
        <v>2439</v>
      </c>
      <c r="J671" s="35">
        <v>26</v>
      </c>
      <c r="K671" s="35">
        <f>VALUE(COUNTIF(Validation!$A$2:$H$47,E671))</f>
        <v>0</v>
      </c>
      <c r="L671" s="361">
        <f t="shared" si="122"/>
        <v>4166667</v>
      </c>
      <c r="M671" s="361">
        <f t="shared" si="123"/>
        <v>4166667</v>
      </c>
      <c r="N671" s="358">
        <v>4166667</v>
      </c>
      <c r="O671" s="358">
        <v>4166667</v>
      </c>
      <c r="P671" s="358" t="s">
        <v>7</v>
      </c>
      <c r="Q671" s="358">
        <v>0</v>
      </c>
      <c r="R671" s="358">
        <v>0</v>
      </c>
      <c r="S671" s="358">
        <v>0</v>
      </c>
      <c r="T671" s="358">
        <v>0</v>
      </c>
      <c r="U671" s="35">
        <f t="shared" si="124"/>
        <v>2</v>
      </c>
      <c r="W671">
        <f t="shared" si="125"/>
        <v>1</v>
      </c>
      <c r="X671" s="35">
        <f t="shared" si="126"/>
        <v>0</v>
      </c>
      <c r="Y671">
        <f t="shared" si="127"/>
        <v>1</v>
      </c>
      <c r="AB671">
        <f t="shared" si="130"/>
        <v>1</v>
      </c>
      <c r="AC671">
        <f t="shared" ca="1" si="131"/>
        <v>0</v>
      </c>
      <c r="AD671" t="str">
        <f ca="1">IF(AC671=1,COUNTIF($AC$3:AC671,1),"")</f>
        <v/>
      </c>
      <c r="AE671" s="155" t="str">
        <f ca="1">IFERROR(INDEX(Données!$B$3:$B$1479,MATCH(ROWS($AD$3:AD671),$AD$3:$AD$1479,0)),"")</f>
        <v/>
      </c>
    </row>
    <row r="672" spans="1:31" ht="15.75" x14ac:dyDescent="0.25">
      <c r="A672" t="str">
        <f t="shared" si="128"/>
        <v>Victor Rask - MIN - C</v>
      </c>
      <c r="B672" t="str">
        <f t="shared" si="129"/>
        <v>Victor Rask - MIN - C</v>
      </c>
      <c r="C672" t="str">
        <f t="shared" si="120"/>
        <v>Victor</v>
      </c>
      <c r="D672" t="str">
        <f t="shared" si="121"/>
        <v>Rask</v>
      </c>
      <c r="E672" s="39" t="s">
        <v>1620</v>
      </c>
      <c r="F672" s="30" t="s">
        <v>21</v>
      </c>
      <c r="G672" s="35">
        <v>0</v>
      </c>
      <c r="H672" s="35" t="s">
        <v>73</v>
      </c>
      <c r="I672" s="35" t="s">
        <v>2439</v>
      </c>
      <c r="J672" s="35">
        <v>26</v>
      </c>
      <c r="K672" s="35">
        <f>VALUE(COUNTIF(Validation!$A$2:$H$47,E672))</f>
        <v>0</v>
      </c>
      <c r="L672" s="361">
        <f t="shared" si="122"/>
        <v>4000000</v>
      </c>
      <c r="M672" s="361">
        <f t="shared" si="123"/>
        <v>4000000</v>
      </c>
      <c r="N672" s="358">
        <v>4000000</v>
      </c>
      <c r="O672" s="358">
        <v>4000000</v>
      </c>
      <c r="P672" s="358">
        <v>4000000</v>
      </c>
      <c r="Q672" s="358" t="s">
        <v>7</v>
      </c>
      <c r="R672" s="358">
        <v>0</v>
      </c>
      <c r="S672" s="358">
        <v>0</v>
      </c>
      <c r="T672" s="358">
        <v>0</v>
      </c>
      <c r="U672" s="35">
        <f t="shared" si="124"/>
        <v>3</v>
      </c>
      <c r="W672">
        <f t="shared" si="125"/>
        <v>1</v>
      </c>
      <c r="X672" s="35">
        <f t="shared" si="126"/>
        <v>0</v>
      </c>
      <c r="Y672">
        <f t="shared" si="127"/>
        <v>1</v>
      </c>
      <c r="AB672">
        <f t="shared" si="130"/>
        <v>1</v>
      </c>
      <c r="AC672">
        <f t="shared" ca="1" si="131"/>
        <v>0</v>
      </c>
      <c r="AD672" t="str">
        <f ca="1">IF(AC672=1,COUNTIF($AC$3:AC672,1),"")</f>
        <v/>
      </c>
      <c r="AE672" s="155" t="str">
        <f ca="1">IFERROR(INDEX(Données!$B$3:$B$1479,MATCH(ROWS($AD$3:AD672),$AD$3:$AD$1479,0)),"")</f>
        <v/>
      </c>
    </row>
    <row r="673" spans="1:31" ht="15.75" x14ac:dyDescent="0.25">
      <c r="A673" t="str">
        <f t="shared" si="128"/>
        <v>Eric Staal - MIN - C</v>
      </c>
      <c r="B673" t="str">
        <f t="shared" si="129"/>
        <v>Eric Staal - MIN - C</v>
      </c>
      <c r="C673" t="str">
        <f t="shared" si="120"/>
        <v>Eric</v>
      </c>
      <c r="D673" t="str">
        <f t="shared" si="121"/>
        <v>Staal</v>
      </c>
      <c r="E673" s="39" t="s">
        <v>1989</v>
      </c>
      <c r="F673" s="30" t="s">
        <v>21</v>
      </c>
      <c r="G673" s="35">
        <v>0</v>
      </c>
      <c r="H673" s="35" t="s">
        <v>73</v>
      </c>
      <c r="I673" s="35" t="s">
        <v>2439</v>
      </c>
      <c r="J673" s="35">
        <v>34</v>
      </c>
      <c r="K673" s="35">
        <f>VALUE(COUNTIF(Validation!$A$2:$H$47,E673))</f>
        <v>0</v>
      </c>
      <c r="L673" s="361">
        <f t="shared" si="122"/>
        <v>3250000</v>
      </c>
      <c r="M673" s="361">
        <f t="shared" si="123"/>
        <v>3250000</v>
      </c>
      <c r="N673" s="358">
        <v>3250000</v>
      </c>
      <c r="O673" s="358">
        <v>3250000</v>
      </c>
      <c r="P673" s="358" t="s">
        <v>7</v>
      </c>
      <c r="Q673" s="358">
        <v>0</v>
      </c>
      <c r="R673" s="358">
        <v>0</v>
      </c>
      <c r="S673" s="358">
        <v>0</v>
      </c>
      <c r="T673" s="358">
        <v>0</v>
      </c>
      <c r="U673" s="35">
        <f t="shared" si="124"/>
        <v>2</v>
      </c>
      <c r="W673">
        <f t="shared" si="125"/>
        <v>1</v>
      </c>
      <c r="X673" s="35">
        <f t="shared" si="126"/>
        <v>0</v>
      </c>
      <c r="Y673">
        <f t="shared" si="127"/>
        <v>1</v>
      </c>
      <c r="AB673">
        <f t="shared" si="130"/>
        <v>1</v>
      </c>
      <c r="AC673">
        <f t="shared" ca="1" si="131"/>
        <v>0</v>
      </c>
      <c r="AD673" t="str">
        <f ca="1">IF(AC673=1,COUNTIF($AC$3:AC673,1),"")</f>
        <v/>
      </c>
      <c r="AE673" s="155" t="str">
        <f ca="1">IFERROR(INDEX(Données!$B$3:$B$1479,MATCH(ROWS($AD$3:AD673),$AD$3:$AD$1479,0)),"")</f>
        <v/>
      </c>
    </row>
    <row r="674" spans="1:31" ht="15.75" x14ac:dyDescent="0.25">
      <c r="A674" t="str">
        <f t="shared" si="128"/>
        <v>Marcus Foligno - MIN - AG, AD</v>
      </c>
      <c r="B674" t="str">
        <f t="shared" si="129"/>
        <v>Marcus Foligno - MIN - AG, AD</v>
      </c>
      <c r="C674" t="str">
        <f t="shared" si="120"/>
        <v>Marcus</v>
      </c>
      <c r="D674" t="str">
        <f t="shared" si="121"/>
        <v>Foligno</v>
      </c>
      <c r="E674" s="39" t="s">
        <v>1991</v>
      </c>
      <c r="F674" s="30" t="s">
        <v>21</v>
      </c>
      <c r="G674" s="35">
        <v>0</v>
      </c>
      <c r="H674" s="35" t="s">
        <v>2442</v>
      </c>
      <c r="I674" s="35" t="s">
        <v>2439</v>
      </c>
      <c r="J674" s="35">
        <v>28</v>
      </c>
      <c r="K674" s="35">
        <f>VALUE(COUNTIF(Validation!$A$2:$H$47,E674))</f>
        <v>0</v>
      </c>
      <c r="L674" s="361">
        <f t="shared" si="122"/>
        <v>2875000</v>
      </c>
      <c r="M674" s="361">
        <f t="shared" si="123"/>
        <v>2875000</v>
      </c>
      <c r="N674" s="358">
        <v>2875000</v>
      </c>
      <c r="O674" s="358">
        <v>2875000</v>
      </c>
      <c r="P674" s="358" t="s">
        <v>7</v>
      </c>
      <c r="Q674" s="358">
        <v>0</v>
      </c>
      <c r="R674" s="358">
        <v>0</v>
      </c>
      <c r="S674" s="358">
        <v>0</v>
      </c>
      <c r="T674" s="358">
        <v>0</v>
      </c>
      <c r="U674" s="35">
        <f t="shared" si="124"/>
        <v>2</v>
      </c>
      <c r="W674">
        <f t="shared" si="125"/>
        <v>1</v>
      </c>
      <c r="X674" s="35">
        <f t="shared" si="126"/>
        <v>0</v>
      </c>
      <c r="Y674">
        <f t="shared" si="127"/>
        <v>1</v>
      </c>
      <c r="AB674">
        <f t="shared" si="130"/>
        <v>1</v>
      </c>
      <c r="AC674">
        <f t="shared" ca="1" si="131"/>
        <v>0</v>
      </c>
      <c r="AD674" t="str">
        <f ca="1">IF(AC674=1,COUNTIF($AC$3:AC674,1),"")</f>
        <v/>
      </c>
      <c r="AE674" s="155" t="str">
        <f ca="1">IFERROR(INDEX(Données!$B$3:$B$1479,MATCH(ROWS($AD$3:AD674),$AD$3:$AD$1479,0)),"")</f>
        <v/>
      </c>
    </row>
    <row r="675" spans="1:31" ht="15.75" x14ac:dyDescent="0.25">
      <c r="A675" t="str">
        <f t="shared" si="128"/>
        <v>Greg Pateryn - MIN - DD</v>
      </c>
      <c r="B675" t="str">
        <f t="shared" si="129"/>
        <v>Greg Pateryn - MIN - DD</v>
      </c>
      <c r="C675" t="str">
        <f t="shared" si="120"/>
        <v>Greg</v>
      </c>
      <c r="D675" t="str">
        <f t="shared" si="121"/>
        <v>Pateryn</v>
      </c>
      <c r="E675" s="39" t="s">
        <v>1997</v>
      </c>
      <c r="F675" s="30" t="s">
        <v>21</v>
      </c>
      <c r="G675" s="35">
        <v>0</v>
      </c>
      <c r="H675" s="35" t="s">
        <v>2444</v>
      </c>
      <c r="I675" s="35" t="s">
        <v>2439</v>
      </c>
      <c r="J675" s="35">
        <v>29</v>
      </c>
      <c r="K675" s="35">
        <f>VALUE(COUNTIF(Validation!$A$2:$H$47,E675))</f>
        <v>0</v>
      </c>
      <c r="L675" s="361">
        <f t="shared" si="122"/>
        <v>2250000</v>
      </c>
      <c r="M675" s="361">
        <f t="shared" si="123"/>
        <v>2250000</v>
      </c>
      <c r="N675" s="358">
        <v>2250000</v>
      </c>
      <c r="O675" s="358">
        <v>2250000</v>
      </c>
      <c r="P675" s="358" t="s">
        <v>7</v>
      </c>
      <c r="Q675" s="358">
        <v>0</v>
      </c>
      <c r="R675" s="358">
        <v>0</v>
      </c>
      <c r="S675" s="358">
        <v>0</v>
      </c>
      <c r="T675" s="358">
        <v>0</v>
      </c>
      <c r="U675" s="35">
        <f t="shared" si="124"/>
        <v>2</v>
      </c>
      <c r="W675">
        <f t="shared" si="125"/>
        <v>1</v>
      </c>
      <c r="X675" s="35">
        <f t="shared" si="126"/>
        <v>0</v>
      </c>
      <c r="Y675">
        <f t="shared" si="127"/>
        <v>1</v>
      </c>
      <c r="AB675">
        <f t="shared" si="130"/>
        <v>1</v>
      </c>
      <c r="AC675">
        <f t="shared" ca="1" si="131"/>
        <v>0</v>
      </c>
      <c r="AD675" t="str">
        <f ca="1">IF(AC675=1,COUNTIF($AC$3:AC675,1),"")</f>
        <v/>
      </c>
      <c r="AE675" s="155" t="str">
        <f ca="1">IFERROR(INDEX(Données!$B$3:$B$1479,MATCH(ROWS($AD$3:AD675),$AD$3:$AD$1479,0)),"")</f>
        <v/>
      </c>
    </row>
    <row r="676" spans="1:31" ht="15.75" x14ac:dyDescent="0.25">
      <c r="A676" t="str">
        <f t="shared" si="128"/>
        <v>Ryan Donato - MIN - AD, AG, C</v>
      </c>
      <c r="B676" t="str">
        <f t="shared" si="129"/>
        <v>Ryan Donato - MIN - AD, AG, C</v>
      </c>
      <c r="C676" t="str">
        <f t="shared" si="120"/>
        <v>Ryan</v>
      </c>
      <c r="D676" t="str">
        <f t="shared" si="121"/>
        <v>Donato</v>
      </c>
      <c r="E676" s="39" t="s">
        <v>1349</v>
      </c>
      <c r="F676" s="30" t="s">
        <v>21</v>
      </c>
      <c r="G676" s="35">
        <v>0</v>
      </c>
      <c r="H676" s="35" t="s">
        <v>2496</v>
      </c>
      <c r="I676" s="35" t="s">
        <v>2439</v>
      </c>
      <c r="J676" s="35">
        <v>23</v>
      </c>
      <c r="K676" s="35">
        <f>VALUE(COUNTIF(Validation!$A$2:$H$47,E676))</f>
        <v>0</v>
      </c>
      <c r="L676" s="361">
        <f t="shared" si="122"/>
        <v>1900000</v>
      </c>
      <c r="M676" s="361">
        <f t="shared" si="123"/>
        <v>1900000</v>
      </c>
      <c r="N676" s="358">
        <v>1900000</v>
      </c>
      <c r="O676" s="358">
        <v>1900000</v>
      </c>
      <c r="P676" s="358" t="s">
        <v>8</v>
      </c>
      <c r="Q676" s="358">
        <v>0</v>
      </c>
      <c r="R676" s="358">
        <v>0</v>
      </c>
      <c r="S676" s="358">
        <v>0</v>
      </c>
      <c r="T676" s="358">
        <v>0</v>
      </c>
      <c r="U676" s="35">
        <f t="shared" si="124"/>
        <v>2</v>
      </c>
      <c r="W676">
        <f t="shared" si="125"/>
        <v>1</v>
      </c>
      <c r="X676" s="35">
        <f t="shared" si="126"/>
        <v>0</v>
      </c>
      <c r="Y676">
        <f t="shared" si="127"/>
        <v>1</v>
      </c>
      <c r="AB676">
        <f t="shared" si="130"/>
        <v>1</v>
      </c>
      <c r="AC676">
        <f t="shared" ca="1" si="131"/>
        <v>0</v>
      </c>
      <c r="AD676" t="str">
        <f ca="1">IF(AC676=1,COUNTIF($AC$3:AC676,1),"")</f>
        <v/>
      </c>
      <c r="AE676" s="155" t="str">
        <f ca="1">IFERROR(INDEX(Données!$B$3:$B$1479,MATCH(ROWS($AD$3:AD676),$AD$3:$AD$1479,0)),"")</f>
        <v/>
      </c>
    </row>
    <row r="677" spans="1:31" ht="15.75" x14ac:dyDescent="0.25">
      <c r="A677" t="str">
        <f t="shared" si="128"/>
        <v>Ryan Hartman - MIN - AG, AD</v>
      </c>
      <c r="B677" t="str">
        <f t="shared" si="129"/>
        <v>Ryan Hartman - MIN - AG, AD</v>
      </c>
      <c r="C677" t="str">
        <f t="shared" si="120"/>
        <v>Ryan</v>
      </c>
      <c r="D677" t="str">
        <f t="shared" si="121"/>
        <v>Hartman</v>
      </c>
      <c r="E677" s="39" t="s">
        <v>2023</v>
      </c>
      <c r="F677" s="30" t="s">
        <v>21</v>
      </c>
      <c r="G677" s="35">
        <v>0</v>
      </c>
      <c r="H677" s="35" t="s">
        <v>2442</v>
      </c>
      <c r="I677" s="35" t="s">
        <v>2439</v>
      </c>
      <c r="J677" s="35">
        <v>24</v>
      </c>
      <c r="K677" s="35">
        <f>VALUE(COUNTIF(Validation!$A$2:$H$47,E677))</f>
        <v>0</v>
      </c>
      <c r="L677" s="361">
        <f t="shared" si="122"/>
        <v>1900000</v>
      </c>
      <c r="M677" s="361">
        <f t="shared" si="123"/>
        <v>1900000</v>
      </c>
      <c r="N677" s="358">
        <v>1900000</v>
      </c>
      <c r="O677" s="358">
        <v>1900000</v>
      </c>
      <c r="P677" s="358" t="s">
        <v>8</v>
      </c>
      <c r="Q677" s="358">
        <v>0</v>
      </c>
      <c r="R677" s="358">
        <v>0</v>
      </c>
      <c r="S677" s="358">
        <v>0</v>
      </c>
      <c r="T677" s="358">
        <v>0</v>
      </c>
      <c r="U677" s="35">
        <f t="shared" si="124"/>
        <v>2</v>
      </c>
      <c r="W677">
        <f t="shared" si="125"/>
        <v>1</v>
      </c>
      <c r="X677" s="35">
        <f t="shared" si="126"/>
        <v>0</v>
      </c>
      <c r="Y677">
        <f t="shared" si="127"/>
        <v>1</v>
      </c>
      <c r="AB677">
        <f t="shared" si="130"/>
        <v>1</v>
      </c>
      <c r="AC677">
        <f t="shared" ca="1" si="131"/>
        <v>0</v>
      </c>
      <c r="AD677" t="str">
        <f ca="1">IF(AC677=1,COUNTIF($AC$3:AC677,1),"")</f>
        <v/>
      </c>
      <c r="AE677" s="155" t="str">
        <f ca="1">IFERROR(INDEX(Données!$B$3:$B$1479,MATCH(ROWS($AD$3:AD677),$AD$3:$AD$1479,0)),"")</f>
        <v/>
      </c>
    </row>
    <row r="678" spans="1:31" ht="15.75" x14ac:dyDescent="0.25">
      <c r="A678" t="str">
        <f t="shared" si="128"/>
        <v>Luke Kunin - MIN - AD, C</v>
      </c>
      <c r="B678" t="str">
        <f t="shared" si="129"/>
        <v>Luke Kunin - MIN - AD, C</v>
      </c>
      <c r="C678" t="str">
        <f t="shared" si="120"/>
        <v>Luke</v>
      </c>
      <c r="D678" t="str">
        <f t="shared" si="121"/>
        <v>Kunin</v>
      </c>
      <c r="E678" s="39" t="s">
        <v>2004</v>
      </c>
      <c r="F678" s="30" t="s">
        <v>21</v>
      </c>
      <c r="G678" s="35" t="s">
        <v>386</v>
      </c>
      <c r="H678" s="35" t="s">
        <v>2453</v>
      </c>
      <c r="I678" s="35" t="s">
        <v>2446</v>
      </c>
      <c r="J678" s="35">
        <v>21</v>
      </c>
      <c r="K678" s="35">
        <f>VALUE(COUNTIF(Validation!$A$2:$H$47,E678))</f>
        <v>0</v>
      </c>
      <c r="L678" s="361">
        <f t="shared" si="122"/>
        <v>1425000</v>
      </c>
      <c r="M678" s="361">
        <f t="shared" si="123"/>
        <v>0</v>
      </c>
      <c r="N678" s="358">
        <v>1425000</v>
      </c>
      <c r="O678" s="358" t="s">
        <v>8</v>
      </c>
      <c r="P678" s="358">
        <v>0</v>
      </c>
      <c r="Q678" s="358">
        <v>0</v>
      </c>
      <c r="R678" s="358">
        <v>0</v>
      </c>
      <c r="S678" s="358">
        <v>0</v>
      </c>
      <c r="T678" s="358">
        <v>0</v>
      </c>
      <c r="U678" s="35">
        <f t="shared" si="124"/>
        <v>1</v>
      </c>
      <c r="W678">
        <f t="shared" si="125"/>
        <v>1</v>
      </c>
      <c r="X678" s="35">
        <f t="shared" si="126"/>
        <v>1</v>
      </c>
      <c r="Y678">
        <f t="shared" si="127"/>
        <v>0</v>
      </c>
      <c r="AB678">
        <f t="shared" si="130"/>
        <v>1</v>
      </c>
      <c r="AC678">
        <f t="shared" ca="1" si="131"/>
        <v>0</v>
      </c>
      <c r="AD678" t="str">
        <f ca="1">IF(AC678=1,COUNTIF($AC$3:AC678,1),"")</f>
        <v/>
      </c>
      <c r="AE678" s="155" t="str">
        <f ca="1">IFERROR(INDEX(Données!$B$3:$B$1479,MATCH(ROWS($AD$3:AD678),$AD$3:$AD$1479,0)),"")</f>
        <v/>
      </c>
    </row>
    <row r="679" spans="1:31" ht="15.75" x14ac:dyDescent="0.25">
      <c r="A679" t="str">
        <f t="shared" si="128"/>
        <v>Mat Robson - MIN - G</v>
      </c>
      <c r="B679" t="str">
        <f t="shared" si="129"/>
        <v>Mat Robson - MIN - G</v>
      </c>
      <c r="C679" t="str">
        <f t="shared" si="120"/>
        <v>Mat</v>
      </c>
      <c r="D679" t="str">
        <f t="shared" si="121"/>
        <v>Robson</v>
      </c>
      <c r="E679" s="39" t="s">
        <v>2621</v>
      </c>
      <c r="F679" s="30" t="s">
        <v>21</v>
      </c>
      <c r="G679" s="35" t="s">
        <v>386</v>
      </c>
      <c r="H679" s="35" t="s">
        <v>127</v>
      </c>
      <c r="I679" s="35" t="s">
        <v>2446</v>
      </c>
      <c r="J679" s="35">
        <v>23</v>
      </c>
      <c r="K679" s="35">
        <f>VALUE(COUNTIF(Validation!$A$2:$H$47,E679))</f>
        <v>0</v>
      </c>
      <c r="L679" s="361">
        <f t="shared" si="122"/>
        <v>1387500</v>
      </c>
      <c r="M679" s="361">
        <f t="shared" si="123"/>
        <v>0</v>
      </c>
      <c r="N679" s="358">
        <v>1387500</v>
      </c>
      <c r="O679" s="358" t="s">
        <v>8</v>
      </c>
      <c r="P679" s="358">
        <v>0</v>
      </c>
      <c r="Q679" s="358">
        <v>0</v>
      </c>
      <c r="R679" s="358">
        <v>0</v>
      </c>
      <c r="S679" s="358">
        <v>0</v>
      </c>
      <c r="T679" s="358">
        <v>0</v>
      </c>
      <c r="U679" s="35">
        <f t="shared" si="124"/>
        <v>1</v>
      </c>
      <c r="W679">
        <f t="shared" si="125"/>
        <v>1</v>
      </c>
      <c r="X679" s="35">
        <f t="shared" si="126"/>
        <v>1</v>
      </c>
      <c r="Y679">
        <f t="shared" si="127"/>
        <v>0</v>
      </c>
      <c r="AB679">
        <f t="shared" si="130"/>
        <v>1</v>
      </c>
      <c r="AC679">
        <f t="shared" ca="1" si="131"/>
        <v>0</v>
      </c>
      <c r="AD679" t="str">
        <f ca="1">IF(AC679=1,COUNTIF($AC$3:AC679,1),"")</f>
        <v/>
      </c>
      <c r="AE679" s="155" t="str">
        <f ca="1">IFERROR(INDEX(Données!$B$3:$B$1479,MATCH(ROWS($AD$3:AD679),$AD$3:$AD$1479,0)),"")</f>
        <v/>
      </c>
    </row>
    <row r="680" spans="1:31" ht="15.75" x14ac:dyDescent="0.25">
      <c r="A680" t="str">
        <f t="shared" si="128"/>
        <v>Jordan Greenway - MIN - AG</v>
      </c>
      <c r="B680" t="str">
        <f t="shared" si="129"/>
        <v>Jordan Greenway - MIN - AG</v>
      </c>
      <c r="C680" t="str">
        <f t="shared" si="120"/>
        <v>Jordan</v>
      </c>
      <c r="D680" t="str">
        <f t="shared" si="121"/>
        <v>Greenway</v>
      </c>
      <c r="E680" s="39" t="s">
        <v>1992</v>
      </c>
      <c r="F680" s="30" t="s">
        <v>21</v>
      </c>
      <c r="G680" s="35" t="s">
        <v>386</v>
      </c>
      <c r="H680" s="35" t="s">
        <v>2440</v>
      </c>
      <c r="I680" s="35" t="s">
        <v>2446</v>
      </c>
      <c r="J680" s="35">
        <v>22</v>
      </c>
      <c r="K680" s="35">
        <f>VALUE(COUNTIF(Validation!$A$2:$H$47,E680))</f>
        <v>0</v>
      </c>
      <c r="L680" s="361">
        <f t="shared" si="122"/>
        <v>1225000</v>
      </c>
      <c r="M680" s="361">
        <f t="shared" si="123"/>
        <v>0</v>
      </c>
      <c r="N680" s="358">
        <v>1225000</v>
      </c>
      <c r="O680" s="358" t="s">
        <v>8</v>
      </c>
      <c r="P680" s="358">
        <v>0</v>
      </c>
      <c r="Q680" s="358">
        <v>0</v>
      </c>
      <c r="R680" s="358">
        <v>0</v>
      </c>
      <c r="S680" s="358">
        <v>0</v>
      </c>
      <c r="T680" s="358">
        <v>0</v>
      </c>
      <c r="U680" s="35">
        <f t="shared" si="124"/>
        <v>1</v>
      </c>
      <c r="W680">
        <f t="shared" si="125"/>
        <v>1</v>
      </c>
      <c r="X680" s="35">
        <f t="shared" si="126"/>
        <v>1</v>
      </c>
      <c r="Y680">
        <f t="shared" si="127"/>
        <v>0</v>
      </c>
      <c r="AB680">
        <f t="shared" si="130"/>
        <v>1</v>
      </c>
      <c r="AC680">
        <f t="shared" ca="1" si="131"/>
        <v>0</v>
      </c>
      <c r="AD680" t="str">
        <f ca="1">IF(AC680=1,COUNTIF($AC$3:AC680,1),"")</f>
        <v/>
      </c>
      <c r="AE680" s="155" t="str">
        <f ca="1">IFERROR(INDEX(Données!$B$3:$B$1479,MATCH(ROWS($AD$3:AD680),$AD$3:$AD$1479,0)),"")</f>
        <v/>
      </c>
    </row>
    <row r="681" spans="1:31" ht="15.75" x14ac:dyDescent="0.25">
      <c r="A681" t="str">
        <f t="shared" si="128"/>
        <v>Connor Dewar - MIN - AG</v>
      </c>
      <c r="B681" t="str">
        <f t="shared" si="129"/>
        <v>Connor Dewar - MIN - AG</v>
      </c>
      <c r="C681" t="str">
        <f t="shared" si="120"/>
        <v>Connor</v>
      </c>
      <c r="D681" t="str">
        <f t="shared" si="121"/>
        <v>Dewar</v>
      </c>
      <c r="E681" s="39" t="s">
        <v>2616</v>
      </c>
      <c r="F681" s="30" t="s">
        <v>21</v>
      </c>
      <c r="G681" s="35" t="s">
        <v>386</v>
      </c>
      <c r="H681" s="35" t="s">
        <v>2440</v>
      </c>
      <c r="I681" s="35" t="s">
        <v>2446</v>
      </c>
      <c r="J681" s="35">
        <v>20</v>
      </c>
      <c r="K681" s="35">
        <f>VALUE(COUNTIF(Validation!$A$2:$H$47,E681))</f>
        <v>0</v>
      </c>
      <c r="L681" s="361">
        <f t="shared" si="122"/>
        <v>925000</v>
      </c>
      <c r="M681" s="361">
        <f t="shared" si="123"/>
        <v>925000</v>
      </c>
      <c r="N681" s="358">
        <v>925000</v>
      </c>
      <c r="O681" s="358">
        <v>925000</v>
      </c>
      <c r="P681" s="358">
        <v>925000</v>
      </c>
      <c r="Q681" s="358" t="s">
        <v>8</v>
      </c>
      <c r="R681" s="358">
        <v>0</v>
      </c>
      <c r="S681" s="358">
        <v>0</v>
      </c>
      <c r="T681" s="358">
        <v>0</v>
      </c>
      <c r="U681" s="35">
        <f t="shared" si="124"/>
        <v>3</v>
      </c>
      <c r="W681">
        <f t="shared" si="125"/>
        <v>1</v>
      </c>
      <c r="X681" s="35">
        <f t="shared" si="126"/>
        <v>1</v>
      </c>
      <c r="Y681">
        <f t="shared" si="127"/>
        <v>1</v>
      </c>
      <c r="AB681">
        <f t="shared" si="130"/>
        <v>1</v>
      </c>
      <c r="AC681">
        <f t="shared" ca="1" si="131"/>
        <v>0</v>
      </c>
      <c r="AD681" t="str">
        <f ca="1">IF(AC681=1,COUNTIF($AC$3:AC681,1),"")</f>
        <v/>
      </c>
      <c r="AE681" s="155" t="str">
        <f ca="1">IFERROR(INDEX(Données!$B$3:$B$1479,MATCH(ROWS($AD$3:AD681),$AD$3:$AD$1479,0)),"")</f>
        <v/>
      </c>
    </row>
    <row r="682" spans="1:31" ht="15.75" x14ac:dyDescent="0.25">
      <c r="A682" t="str">
        <f t="shared" si="128"/>
        <v>Brandon Duhaime - MIN - AD</v>
      </c>
      <c r="B682" t="str">
        <f t="shared" si="129"/>
        <v>Brandon Duhaime - MIN - AD</v>
      </c>
      <c r="C682" t="str">
        <f t="shared" si="120"/>
        <v>Brandon</v>
      </c>
      <c r="D682" t="str">
        <f t="shared" si="121"/>
        <v>Duhaime</v>
      </c>
      <c r="E682" s="39" t="s">
        <v>2614</v>
      </c>
      <c r="F682" s="30" t="s">
        <v>21</v>
      </c>
      <c r="G682" s="35" t="s">
        <v>386</v>
      </c>
      <c r="H682" s="35" t="s">
        <v>2438</v>
      </c>
      <c r="I682" s="35" t="s">
        <v>2446</v>
      </c>
      <c r="J682" s="35">
        <v>22</v>
      </c>
      <c r="K682" s="35">
        <f>VALUE(COUNTIF(Validation!$A$2:$H$47,E682))</f>
        <v>0</v>
      </c>
      <c r="L682" s="361">
        <f t="shared" si="122"/>
        <v>925000</v>
      </c>
      <c r="M682" s="361">
        <f t="shared" si="123"/>
        <v>925000</v>
      </c>
      <c r="N682" s="358">
        <v>925000</v>
      </c>
      <c r="O682" s="358">
        <v>925000</v>
      </c>
      <c r="P682" s="358" t="s">
        <v>8</v>
      </c>
      <c r="Q682" s="358">
        <v>0</v>
      </c>
      <c r="R682" s="358">
        <v>0</v>
      </c>
      <c r="S682" s="358">
        <v>0</v>
      </c>
      <c r="T682" s="358">
        <v>0</v>
      </c>
      <c r="U682" s="35">
        <f t="shared" si="124"/>
        <v>2</v>
      </c>
      <c r="W682">
        <f t="shared" si="125"/>
        <v>1</v>
      </c>
      <c r="X682" s="35">
        <f t="shared" si="126"/>
        <v>1</v>
      </c>
      <c r="Y682">
        <f t="shared" si="127"/>
        <v>1</v>
      </c>
      <c r="AB682">
        <f t="shared" si="130"/>
        <v>1</v>
      </c>
      <c r="AC682">
        <f t="shared" ca="1" si="131"/>
        <v>0</v>
      </c>
      <c r="AD682" t="str">
        <f ca="1">IF(AC682=1,COUNTIF($AC$3:AC682,1),"")</f>
        <v/>
      </c>
      <c r="AE682" s="155" t="str">
        <f ca="1">IFERROR(INDEX(Données!$B$3:$B$1479,MATCH(ROWS($AD$3:AD682),$AD$3:$AD$1479,0)),"")</f>
        <v/>
      </c>
    </row>
    <row r="683" spans="1:31" ht="15.75" x14ac:dyDescent="0.25">
      <c r="A683" t="str">
        <f t="shared" si="128"/>
        <v>Kaapo Kahkonen - MIN - G</v>
      </c>
      <c r="B683" t="str">
        <f t="shared" si="129"/>
        <v>Kaapo Kahkonen - MIN - G</v>
      </c>
      <c r="C683" t="str">
        <f t="shared" si="120"/>
        <v>Kaapo</v>
      </c>
      <c r="D683" t="str">
        <f t="shared" si="121"/>
        <v>Kahkonen</v>
      </c>
      <c r="E683" s="39" t="s">
        <v>2877</v>
      </c>
      <c r="F683" s="30" t="s">
        <v>21</v>
      </c>
      <c r="G683" s="35" t="s">
        <v>386</v>
      </c>
      <c r="H683" s="35" t="s">
        <v>127</v>
      </c>
      <c r="I683" s="35" t="s">
        <v>2446</v>
      </c>
      <c r="J683" s="35">
        <v>22</v>
      </c>
      <c r="K683" s="35">
        <f>VALUE(COUNTIF(Validation!$A$2:$H$47,E683))</f>
        <v>0</v>
      </c>
      <c r="L683" s="361">
        <f t="shared" si="122"/>
        <v>925000</v>
      </c>
      <c r="M683" s="361">
        <f t="shared" si="123"/>
        <v>0</v>
      </c>
      <c r="N683" s="358">
        <v>925000</v>
      </c>
      <c r="O683" s="358" t="s">
        <v>8</v>
      </c>
      <c r="P683" s="358">
        <v>0</v>
      </c>
      <c r="Q683" s="358">
        <v>0</v>
      </c>
      <c r="R683" s="358">
        <v>0</v>
      </c>
      <c r="S683" s="358">
        <v>0</v>
      </c>
      <c r="T683" s="358">
        <v>0</v>
      </c>
      <c r="U683" s="35">
        <f t="shared" si="124"/>
        <v>1</v>
      </c>
      <c r="W683">
        <f t="shared" si="125"/>
        <v>1</v>
      </c>
      <c r="X683" s="35">
        <f t="shared" si="126"/>
        <v>1</v>
      </c>
      <c r="Y683">
        <f t="shared" si="127"/>
        <v>0</v>
      </c>
      <c r="AB683">
        <f t="shared" si="130"/>
        <v>1</v>
      </c>
      <c r="AC683">
        <f t="shared" ca="1" si="131"/>
        <v>0</v>
      </c>
      <c r="AD683" t="str">
        <f ca="1">IF(AC683=1,COUNTIF($AC$3:AC683,1),"")</f>
        <v/>
      </c>
      <c r="AE683" s="155" t="str">
        <f ca="1">IFERROR(INDEX(Données!$B$3:$B$1479,MATCH(ROWS($AD$3:AD683),$AD$3:$AD$1479,0)),"")</f>
        <v/>
      </c>
    </row>
    <row r="684" spans="1:31" ht="15.75" x14ac:dyDescent="0.25">
      <c r="A684" t="str">
        <f t="shared" si="128"/>
        <v>Alexander Khovanov - MIN - C</v>
      </c>
      <c r="B684" t="str">
        <f t="shared" si="129"/>
        <v>Alexander Khovanov - MIN - C</v>
      </c>
      <c r="C684" t="str">
        <f t="shared" si="120"/>
        <v>Alexander</v>
      </c>
      <c r="D684" t="str">
        <f t="shared" si="121"/>
        <v>Khovanov</v>
      </c>
      <c r="E684" s="39" t="s">
        <v>2615</v>
      </c>
      <c r="F684" s="30" t="s">
        <v>21</v>
      </c>
      <c r="G684" s="35" t="s">
        <v>386</v>
      </c>
      <c r="H684" s="35" t="s">
        <v>73</v>
      </c>
      <c r="I684" s="35" t="s">
        <v>2446</v>
      </c>
      <c r="J684" s="35">
        <v>19</v>
      </c>
      <c r="K684" s="35">
        <f>VALUE(COUNTIF(Validation!$A$2:$H$47,E684))</f>
        <v>0</v>
      </c>
      <c r="L684" s="361">
        <f t="shared" si="122"/>
        <v>925000</v>
      </c>
      <c r="M684" s="361">
        <f t="shared" si="123"/>
        <v>925000</v>
      </c>
      <c r="N684" s="358">
        <v>925000</v>
      </c>
      <c r="O684" s="358">
        <v>925000</v>
      </c>
      <c r="P684" s="358">
        <v>925000</v>
      </c>
      <c r="Q684" s="358" t="s">
        <v>8</v>
      </c>
      <c r="R684" s="358">
        <v>0</v>
      </c>
      <c r="S684" s="358">
        <v>0</v>
      </c>
      <c r="T684" s="358">
        <v>0</v>
      </c>
      <c r="U684" s="35">
        <f t="shared" si="124"/>
        <v>3</v>
      </c>
      <c r="W684">
        <f t="shared" si="125"/>
        <v>1</v>
      </c>
      <c r="X684" s="35">
        <f t="shared" si="126"/>
        <v>1</v>
      </c>
      <c r="Y684">
        <f t="shared" si="127"/>
        <v>1</v>
      </c>
      <c r="AB684">
        <f t="shared" si="130"/>
        <v>1</v>
      </c>
      <c r="AC684">
        <f t="shared" ca="1" si="131"/>
        <v>0</v>
      </c>
      <c r="AD684" t="str">
        <f ca="1">IF(AC684=1,COUNTIF($AC$3:AC684,1),"")</f>
        <v/>
      </c>
      <c r="AE684" s="155" t="str">
        <f ca="1">IFERROR(INDEX(Données!$B$3:$B$1479,MATCH(ROWS($AD$3:AD684),$AD$3:$AD$1479,0)),"")</f>
        <v/>
      </c>
    </row>
    <row r="685" spans="1:31" ht="15.75" x14ac:dyDescent="0.25">
      <c r="A685" t="str">
        <f t="shared" si="128"/>
        <v>Mason Shaw - MIN - C</v>
      </c>
      <c r="B685" t="str">
        <f t="shared" si="129"/>
        <v>Mason Shaw - MIN - C</v>
      </c>
      <c r="C685" t="str">
        <f t="shared" si="120"/>
        <v>Mason</v>
      </c>
      <c r="D685" t="str">
        <f t="shared" si="121"/>
        <v>Shaw</v>
      </c>
      <c r="E685" s="39" t="s">
        <v>2007</v>
      </c>
      <c r="F685" s="30" t="s">
        <v>21</v>
      </c>
      <c r="G685" s="35" t="s">
        <v>386</v>
      </c>
      <c r="H685" s="35" t="s">
        <v>73</v>
      </c>
      <c r="I685" s="35" t="s">
        <v>2446</v>
      </c>
      <c r="J685" s="35">
        <v>20</v>
      </c>
      <c r="K685" s="35">
        <f>VALUE(COUNTIF(Validation!$A$2:$H$47,E685))</f>
        <v>0</v>
      </c>
      <c r="L685" s="361">
        <f t="shared" si="122"/>
        <v>925000</v>
      </c>
      <c r="M685" s="361">
        <f t="shared" si="123"/>
        <v>925000</v>
      </c>
      <c r="N685" s="358">
        <v>925000</v>
      </c>
      <c r="O685" s="358">
        <v>925000</v>
      </c>
      <c r="P685" s="358" t="s">
        <v>8</v>
      </c>
      <c r="Q685" s="358">
        <v>0</v>
      </c>
      <c r="R685" s="358">
        <v>0</v>
      </c>
      <c r="S685" s="358">
        <v>0</v>
      </c>
      <c r="T685" s="358">
        <v>0</v>
      </c>
      <c r="U685" s="35">
        <f t="shared" si="124"/>
        <v>2</v>
      </c>
      <c r="W685">
        <f t="shared" si="125"/>
        <v>1</v>
      </c>
      <c r="X685" s="35">
        <f t="shared" si="126"/>
        <v>1</v>
      </c>
      <c r="Y685">
        <f t="shared" si="127"/>
        <v>1</v>
      </c>
      <c r="AB685">
        <f t="shared" si="130"/>
        <v>1</v>
      </c>
      <c r="AC685">
        <f t="shared" ca="1" si="131"/>
        <v>0</v>
      </c>
      <c r="AD685" t="str">
        <f ca="1">IF(AC685=1,COUNTIF($AC$3:AC685,1),"")</f>
        <v/>
      </c>
      <c r="AE685" s="155" t="str">
        <f ca="1">IFERROR(INDEX(Données!$B$3:$B$1479,MATCH(ROWS($AD$3:AD685),$AD$3:$AD$1479,0)),"")</f>
        <v/>
      </c>
    </row>
    <row r="686" spans="1:31" ht="15.75" x14ac:dyDescent="0.25">
      <c r="A686" t="str">
        <f t="shared" si="128"/>
        <v>Will Bitten - MIN - AD, C</v>
      </c>
      <c r="B686" t="str">
        <f t="shared" si="129"/>
        <v>Will Bitten - MIN - AD, C</v>
      </c>
      <c r="C686" t="str">
        <f t="shared" si="120"/>
        <v>Will</v>
      </c>
      <c r="D686" t="str">
        <f t="shared" si="121"/>
        <v>Bitten</v>
      </c>
      <c r="E686" s="39" t="s">
        <v>1501</v>
      </c>
      <c r="F686" s="30" t="s">
        <v>21</v>
      </c>
      <c r="G686" s="35" t="s">
        <v>386</v>
      </c>
      <c r="H686" s="35" t="s">
        <v>2453</v>
      </c>
      <c r="I686" s="35" t="s">
        <v>2446</v>
      </c>
      <c r="J686" s="35">
        <v>21</v>
      </c>
      <c r="K686" s="35">
        <f>VALUE(COUNTIF(Validation!$A$2:$H$47,E686))</f>
        <v>0</v>
      </c>
      <c r="L686" s="361">
        <f t="shared" si="122"/>
        <v>910000</v>
      </c>
      <c r="M686" s="361">
        <f t="shared" si="123"/>
        <v>910000</v>
      </c>
      <c r="N686" s="358">
        <v>910000</v>
      </c>
      <c r="O686" s="358">
        <v>910000</v>
      </c>
      <c r="P686" s="358" t="s">
        <v>8</v>
      </c>
      <c r="Q686" s="358">
        <v>0</v>
      </c>
      <c r="R686" s="358">
        <v>0</v>
      </c>
      <c r="S686" s="358">
        <v>0</v>
      </c>
      <c r="T686" s="358">
        <v>0</v>
      </c>
      <c r="U686" s="35">
        <f t="shared" si="124"/>
        <v>2</v>
      </c>
      <c r="W686">
        <f t="shared" si="125"/>
        <v>1</v>
      </c>
      <c r="X686" s="35">
        <f t="shared" si="126"/>
        <v>1</v>
      </c>
      <c r="Y686">
        <f t="shared" si="127"/>
        <v>1</v>
      </c>
      <c r="AB686">
        <f t="shared" si="130"/>
        <v>1</v>
      </c>
      <c r="AC686">
        <f t="shared" ca="1" si="131"/>
        <v>0</v>
      </c>
      <c r="AD686" t="str">
        <f ca="1">IF(AC686=1,COUNTIF($AC$3:AC686,1),"")</f>
        <v/>
      </c>
      <c r="AE686" s="155" t="str">
        <f ca="1">IFERROR(INDEX(Données!$B$3:$B$1479,MATCH(ROWS($AD$3:AD686),$AD$3:$AD$1479,0)),"")</f>
        <v/>
      </c>
    </row>
    <row r="687" spans="1:31" ht="15.75" x14ac:dyDescent="0.25">
      <c r="A687" t="str">
        <f t="shared" si="128"/>
        <v>Nico Sturm - MIN - C</v>
      </c>
      <c r="B687" t="str">
        <f t="shared" si="129"/>
        <v>Nico Sturm - MIN - C</v>
      </c>
      <c r="C687" t="str">
        <f t="shared" si="120"/>
        <v>Nico</v>
      </c>
      <c r="D687" t="str">
        <f t="shared" si="121"/>
        <v>Sturm</v>
      </c>
      <c r="E687" s="39" t="s">
        <v>2619</v>
      </c>
      <c r="F687" s="30" t="s">
        <v>21</v>
      </c>
      <c r="G687" s="35">
        <v>0</v>
      </c>
      <c r="H687" s="35" t="s">
        <v>73</v>
      </c>
      <c r="I687" s="35" t="s">
        <v>2446</v>
      </c>
      <c r="J687" s="35">
        <v>24</v>
      </c>
      <c r="K687" s="35">
        <f>VALUE(COUNTIF(Validation!$A$2:$H$47,E687))</f>
        <v>0</v>
      </c>
      <c r="L687" s="361">
        <f t="shared" si="122"/>
        <v>874125</v>
      </c>
      <c r="M687" s="361">
        <f t="shared" si="123"/>
        <v>0</v>
      </c>
      <c r="N687" s="358">
        <v>874125</v>
      </c>
      <c r="O687" s="358" t="s">
        <v>8</v>
      </c>
      <c r="P687" s="358">
        <v>0</v>
      </c>
      <c r="Q687" s="358">
        <v>0</v>
      </c>
      <c r="R687" s="358">
        <v>0</v>
      </c>
      <c r="S687" s="358">
        <v>0</v>
      </c>
      <c r="T687" s="358">
        <v>0</v>
      </c>
      <c r="U687" s="35">
        <f t="shared" si="124"/>
        <v>1</v>
      </c>
      <c r="W687">
        <f t="shared" si="125"/>
        <v>1</v>
      </c>
      <c r="X687" s="35">
        <f t="shared" si="126"/>
        <v>0</v>
      </c>
      <c r="Y687">
        <f t="shared" si="127"/>
        <v>0</v>
      </c>
      <c r="AB687">
        <f t="shared" si="130"/>
        <v>1</v>
      </c>
      <c r="AC687">
        <f t="shared" ca="1" si="131"/>
        <v>0</v>
      </c>
      <c r="AD687" t="str">
        <f ca="1">IF(AC687=1,COUNTIF($AC$3:AC687,1),"")</f>
        <v/>
      </c>
      <c r="AE687" s="155" t="str">
        <f ca="1">IFERROR(INDEX(Données!$B$3:$B$1479,MATCH(ROWS($AD$3:AD687),$AD$3:$AD$1479,0)),"")</f>
        <v/>
      </c>
    </row>
    <row r="688" spans="1:31" ht="15.75" x14ac:dyDescent="0.25">
      <c r="A688" t="str">
        <f t="shared" si="128"/>
        <v>Ivan Lodnia - MIN - AD</v>
      </c>
      <c r="B688" t="str">
        <f t="shared" si="129"/>
        <v>Ivan Lodnia - MIN - AD</v>
      </c>
      <c r="C688" t="str">
        <f t="shared" si="120"/>
        <v>Ivan</v>
      </c>
      <c r="D688" t="str">
        <f t="shared" si="121"/>
        <v>Lodnia</v>
      </c>
      <c r="E688" s="39" t="s">
        <v>2008</v>
      </c>
      <c r="F688" s="30" t="s">
        <v>21</v>
      </c>
      <c r="G688" s="35" t="s">
        <v>386</v>
      </c>
      <c r="H688" s="35" t="s">
        <v>2438</v>
      </c>
      <c r="I688" s="35" t="s">
        <v>2446</v>
      </c>
      <c r="J688" s="35">
        <v>19</v>
      </c>
      <c r="K688" s="35">
        <f>VALUE(COUNTIF(Validation!$A$2:$H$47,E688))</f>
        <v>0</v>
      </c>
      <c r="L688" s="361">
        <f t="shared" si="122"/>
        <v>871667</v>
      </c>
      <c r="M688" s="361">
        <f t="shared" si="123"/>
        <v>871667</v>
      </c>
      <c r="N688" s="358">
        <v>871667</v>
      </c>
      <c r="O688" s="358">
        <v>871667</v>
      </c>
      <c r="P688" s="358">
        <v>871667</v>
      </c>
      <c r="Q688" s="358" t="s">
        <v>8</v>
      </c>
      <c r="R688" s="358">
        <v>0</v>
      </c>
      <c r="S688" s="358">
        <v>0</v>
      </c>
      <c r="T688" s="358">
        <v>0</v>
      </c>
      <c r="U688" s="35">
        <f t="shared" si="124"/>
        <v>3</v>
      </c>
      <c r="W688">
        <f t="shared" si="125"/>
        <v>1</v>
      </c>
      <c r="X688" s="35">
        <f t="shared" si="126"/>
        <v>1</v>
      </c>
      <c r="Y688">
        <f t="shared" si="127"/>
        <v>1</v>
      </c>
      <c r="AB688">
        <f t="shared" si="130"/>
        <v>1</v>
      </c>
      <c r="AC688">
        <f t="shared" ca="1" si="131"/>
        <v>0</v>
      </c>
      <c r="AD688" t="str">
        <f ca="1">IF(AC688=1,COUNTIF($AC$3:AC688,1),"")</f>
        <v/>
      </c>
      <c r="AE688" s="155" t="str">
        <f ca="1">IFERROR(INDEX(Données!$B$3:$B$1479,MATCH(ROWS($AD$3:AD688),$AD$3:$AD$1479,0)),"")</f>
        <v/>
      </c>
    </row>
    <row r="689" spans="1:31" ht="15.75" x14ac:dyDescent="0.25">
      <c r="A689" t="str">
        <f t="shared" si="128"/>
        <v>Dmitry Sokolov - MIN - C</v>
      </c>
      <c r="B689" t="str">
        <f t="shared" si="129"/>
        <v>Dmitry Sokolov - MIN - C</v>
      </c>
      <c r="C689" t="str">
        <f t="shared" si="120"/>
        <v>Dmitry</v>
      </c>
      <c r="D689" t="str">
        <f t="shared" si="121"/>
        <v>Sokolov</v>
      </c>
      <c r="E689" s="39" t="s">
        <v>2009</v>
      </c>
      <c r="F689" s="30" t="s">
        <v>21</v>
      </c>
      <c r="G689" s="35" t="s">
        <v>386</v>
      </c>
      <c r="H689" s="9" t="s">
        <v>73</v>
      </c>
      <c r="I689" s="9" t="s">
        <v>2446</v>
      </c>
      <c r="J689" s="9">
        <v>21</v>
      </c>
      <c r="K689" s="35">
        <f>VALUE(COUNTIF(Validation!$A$2:$H$47,E689))</f>
        <v>0</v>
      </c>
      <c r="L689" s="361">
        <f t="shared" si="122"/>
        <v>830000</v>
      </c>
      <c r="M689" s="361">
        <f t="shared" si="123"/>
        <v>830000</v>
      </c>
      <c r="N689" s="358">
        <v>830000</v>
      </c>
      <c r="O689" s="358">
        <v>830000</v>
      </c>
      <c r="P689" s="358" t="s">
        <v>8</v>
      </c>
      <c r="Q689" s="358">
        <v>0</v>
      </c>
      <c r="R689" s="358">
        <v>0</v>
      </c>
      <c r="S689" s="358">
        <v>0</v>
      </c>
      <c r="T689" s="358">
        <v>0</v>
      </c>
      <c r="U689" s="35">
        <f t="shared" si="124"/>
        <v>2</v>
      </c>
      <c r="W689">
        <f t="shared" si="125"/>
        <v>1</v>
      </c>
      <c r="X689" s="35">
        <f t="shared" si="126"/>
        <v>1</v>
      </c>
      <c r="Y689">
        <f t="shared" si="127"/>
        <v>1</v>
      </c>
      <c r="AB689">
        <f t="shared" si="130"/>
        <v>1</v>
      </c>
      <c r="AC689">
        <f t="shared" ca="1" si="131"/>
        <v>0</v>
      </c>
      <c r="AD689" t="str">
        <f ca="1">IF(AC689=1,COUNTIF($AC$3:AC689,1),"")</f>
        <v/>
      </c>
      <c r="AE689" s="155" t="str">
        <f ca="1">IFERROR(INDEX(Données!$B$3:$B$1479,MATCH(ROWS($AD$3:AD689),$AD$3:$AD$1479,0)),"")</f>
        <v/>
      </c>
    </row>
    <row r="690" spans="1:31" ht="15.75" x14ac:dyDescent="0.25">
      <c r="A690" t="str">
        <f t="shared" si="128"/>
        <v>Gustav Bouramman - MIN - DD</v>
      </c>
      <c r="B690" t="str">
        <f t="shared" si="129"/>
        <v>Gustav Bouramman - MIN - DD</v>
      </c>
      <c r="C690" t="str">
        <f t="shared" si="120"/>
        <v>Gustav</v>
      </c>
      <c r="D690" t="str">
        <f t="shared" si="121"/>
        <v>Bouramman</v>
      </c>
      <c r="E690" s="39" t="s">
        <v>2010</v>
      </c>
      <c r="F690" s="30" t="s">
        <v>21</v>
      </c>
      <c r="G690" s="35" t="s">
        <v>386</v>
      </c>
      <c r="H690" s="35" t="s">
        <v>2444</v>
      </c>
      <c r="I690" s="35" t="s">
        <v>2446</v>
      </c>
      <c r="J690" s="35">
        <v>22</v>
      </c>
      <c r="K690" s="35">
        <f>VALUE(COUNTIF(Validation!$A$2:$H$47,E690))</f>
        <v>0</v>
      </c>
      <c r="L690" s="361">
        <f t="shared" si="122"/>
        <v>806666</v>
      </c>
      <c r="M690" s="361">
        <f t="shared" si="123"/>
        <v>0</v>
      </c>
      <c r="N690" s="358">
        <v>806666</v>
      </c>
      <c r="O690" s="358" t="s">
        <v>8</v>
      </c>
      <c r="P690" s="358">
        <v>0</v>
      </c>
      <c r="Q690" s="358">
        <v>0</v>
      </c>
      <c r="R690" s="358">
        <v>0</v>
      </c>
      <c r="S690" s="358">
        <v>0</v>
      </c>
      <c r="T690" s="358">
        <v>0</v>
      </c>
      <c r="U690" s="35">
        <f t="shared" si="124"/>
        <v>1</v>
      </c>
      <c r="W690">
        <f t="shared" si="125"/>
        <v>1</v>
      </c>
      <c r="X690" s="35">
        <f t="shared" si="126"/>
        <v>1</v>
      </c>
      <c r="Y690">
        <f t="shared" si="127"/>
        <v>0</v>
      </c>
      <c r="AB690">
        <f t="shared" si="130"/>
        <v>1</v>
      </c>
      <c r="AC690">
        <f t="shared" ca="1" si="131"/>
        <v>0</v>
      </c>
      <c r="AD690" t="str">
        <f ca="1">IF(AC690=1,COUNTIF($AC$3:AC690,1),"")</f>
        <v/>
      </c>
      <c r="AE690" s="155" t="str">
        <f ca="1">IFERROR(INDEX(Données!$B$3:$B$1479,MATCH(ROWS($AD$3:AD690),$AD$3:$AD$1479,0)),"")</f>
        <v/>
      </c>
    </row>
    <row r="691" spans="1:31" ht="15.75" x14ac:dyDescent="0.25">
      <c r="A691" t="str">
        <f t="shared" si="128"/>
        <v>Fedor Gordeev - MIN - DG</v>
      </c>
      <c r="B691" t="str">
        <f t="shared" si="129"/>
        <v>Fedor Gordeev - MIN - DG</v>
      </c>
      <c r="C691" t="str">
        <f t="shared" si="120"/>
        <v>Fedor</v>
      </c>
      <c r="D691" t="str">
        <f t="shared" si="121"/>
        <v>Gordeev</v>
      </c>
      <c r="E691" s="39" t="s">
        <v>2620</v>
      </c>
      <c r="F691" s="30" t="s">
        <v>21</v>
      </c>
      <c r="G691" s="35" t="s">
        <v>386</v>
      </c>
      <c r="H691" s="35" t="s">
        <v>2445</v>
      </c>
      <c r="I691" s="35" t="s">
        <v>2446</v>
      </c>
      <c r="J691" s="35">
        <v>20</v>
      </c>
      <c r="K691" s="35">
        <f>VALUE(COUNTIF(Validation!$A$2:$H$47,E691))</f>
        <v>0</v>
      </c>
      <c r="L691" s="361">
        <f t="shared" si="122"/>
        <v>791667</v>
      </c>
      <c r="M691" s="361">
        <f t="shared" si="123"/>
        <v>791667</v>
      </c>
      <c r="N691" s="358">
        <v>791667</v>
      </c>
      <c r="O691" s="358">
        <v>791667</v>
      </c>
      <c r="P691" s="358">
        <v>791667</v>
      </c>
      <c r="Q691" s="358" t="s">
        <v>8</v>
      </c>
      <c r="R691" s="358">
        <v>0</v>
      </c>
      <c r="S691" s="358">
        <v>0</v>
      </c>
      <c r="T691" s="358">
        <v>0</v>
      </c>
      <c r="U691" s="35">
        <f t="shared" si="124"/>
        <v>3</v>
      </c>
      <c r="W691">
        <f t="shared" si="125"/>
        <v>1</v>
      </c>
      <c r="X691" s="35">
        <f t="shared" si="126"/>
        <v>1</v>
      </c>
      <c r="Y691">
        <f t="shared" si="127"/>
        <v>1</v>
      </c>
      <c r="AB691">
        <f t="shared" si="130"/>
        <v>1</v>
      </c>
      <c r="AC691">
        <f t="shared" ca="1" si="131"/>
        <v>0</v>
      </c>
      <c r="AD691" t="str">
        <f ca="1">IF(AC691=1,COUNTIF($AC$3:AC691,1),"")</f>
        <v/>
      </c>
      <c r="AE691" s="155" t="str">
        <f ca="1">IFERROR(INDEX(Données!$B$3:$B$1479,MATCH(ROWS($AD$3:AD691),$AD$3:$AD$1479,0)),"")</f>
        <v/>
      </c>
    </row>
    <row r="692" spans="1:31" ht="15.75" x14ac:dyDescent="0.25">
      <c r="A692" t="str">
        <f t="shared" si="128"/>
        <v>Alex Stalock - MIN - G</v>
      </c>
      <c r="B692" t="str">
        <f t="shared" si="129"/>
        <v>Alex Stalock - MIN - G</v>
      </c>
      <c r="C692" t="str">
        <f t="shared" si="120"/>
        <v>Alex</v>
      </c>
      <c r="D692" t="str">
        <f t="shared" si="121"/>
        <v>Stalock</v>
      </c>
      <c r="E692" s="39" t="s">
        <v>2002</v>
      </c>
      <c r="F692" s="30" t="s">
        <v>21</v>
      </c>
      <c r="G692" s="35">
        <v>0</v>
      </c>
      <c r="H692" s="35" t="s">
        <v>127</v>
      </c>
      <c r="I692" s="35" t="s">
        <v>2439</v>
      </c>
      <c r="J692" s="35">
        <v>32</v>
      </c>
      <c r="K692" s="35">
        <f>VALUE(COUNTIF(Validation!$A$2:$H$47,E692))</f>
        <v>0</v>
      </c>
      <c r="L692" s="361">
        <f t="shared" si="122"/>
        <v>785000</v>
      </c>
      <c r="M692" s="361">
        <f t="shared" si="123"/>
        <v>785000</v>
      </c>
      <c r="N692" s="358">
        <v>785000</v>
      </c>
      <c r="O692" s="358">
        <v>785000</v>
      </c>
      <c r="P692" s="358">
        <v>785000</v>
      </c>
      <c r="Q692" s="358" t="s">
        <v>7</v>
      </c>
      <c r="R692" s="358">
        <v>0</v>
      </c>
      <c r="S692" s="358">
        <v>0</v>
      </c>
      <c r="T692" s="358">
        <v>0</v>
      </c>
      <c r="U692" s="35">
        <f t="shared" si="124"/>
        <v>3</v>
      </c>
      <c r="W692">
        <f t="shared" si="125"/>
        <v>1</v>
      </c>
      <c r="X692" s="35">
        <f t="shared" si="126"/>
        <v>0</v>
      </c>
      <c r="Y692">
        <f t="shared" si="127"/>
        <v>1</v>
      </c>
      <c r="AB692">
        <f t="shared" si="130"/>
        <v>1</v>
      </c>
      <c r="AC692">
        <f t="shared" ca="1" si="131"/>
        <v>0</v>
      </c>
      <c r="AD692" t="str">
        <f ca="1">IF(AC692=1,COUNTIF($AC$3:AC692,1),"")</f>
        <v/>
      </c>
      <c r="AE692" s="155" t="str">
        <f ca="1">IFERROR(INDEX(Données!$B$3:$B$1479,MATCH(ROWS($AD$3:AD692),$AD$3:$AD$1479,0)),"")</f>
        <v/>
      </c>
    </row>
    <row r="693" spans="1:31" ht="15.75" x14ac:dyDescent="0.25">
      <c r="A693" t="str">
        <f t="shared" si="128"/>
        <v>Carson Soucy - MIN - D</v>
      </c>
      <c r="B693" t="str">
        <f t="shared" si="129"/>
        <v>Carson Soucy - MIN - D</v>
      </c>
      <c r="C693" t="str">
        <f t="shared" si="120"/>
        <v>Carson</v>
      </c>
      <c r="D693" t="str">
        <f t="shared" si="121"/>
        <v>Soucy</v>
      </c>
      <c r="E693" s="39" t="s">
        <v>2003</v>
      </c>
      <c r="F693" s="30" t="s">
        <v>21</v>
      </c>
      <c r="G693" s="35">
        <v>0</v>
      </c>
      <c r="H693" s="35" t="s">
        <v>82</v>
      </c>
      <c r="I693" s="35" t="s">
        <v>2446</v>
      </c>
      <c r="J693" s="35">
        <v>25</v>
      </c>
      <c r="K693" s="35">
        <f>VALUE(COUNTIF(Validation!$A$2:$H$47,E693))</f>
        <v>0</v>
      </c>
      <c r="L693" s="361">
        <f t="shared" si="122"/>
        <v>750000</v>
      </c>
      <c r="M693" s="361">
        <f t="shared" si="123"/>
        <v>0</v>
      </c>
      <c r="N693" s="358">
        <v>750000</v>
      </c>
      <c r="O693" s="358" t="s">
        <v>8</v>
      </c>
      <c r="P693" s="358">
        <v>0</v>
      </c>
      <c r="Q693" s="358">
        <v>0</v>
      </c>
      <c r="R693" s="358">
        <v>0</v>
      </c>
      <c r="S693" s="358">
        <v>0</v>
      </c>
      <c r="T693" s="358">
        <v>0</v>
      </c>
      <c r="U693" s="35">
        <f t="shared" si="124"/>
        <v>1</v>
      </c>
      <c r="W693">
        <f t="shared" si="125"/>
        <v>1</v>
      </c>
      <c r="X693" s="35">
        <f t="shared" si="126"/>
        <v>0</v>
      </c>
      <c r="Y693">
        <f t="shared" si="127"/>
        <v>0</v>
      </c>
      <c r="AB693">
        <f t="shared" si="130"/>
        <v>1</v>
      </c>
      <c r="AC693">
        <f t="shared" ca="1" si="131"/>
        <v>0</v>
      </c>
      <c r="AD693" t="str">
        <f ca="1">IF(AC693=1,COUNTIF($AC$3:AC693,1),"")</f>
        <v/>
      </c>
      <c r="AE693" s="155" t="str">
        <f ca="1">IFERROR(INDEX(Données!$B$3:$B$1479,MATCH(ROWS($AD$3:AD693),$AD$3:$AD$1479,0)),"")</f>
        <v/>
      </c>
    </row>
    <row r="694" spans="1:31" ht="15.75" x14ac:dyDescent="0.25">
      <c r="A694" t="str">
        <f t="shared" si="128"/>
        <v>Dereck Baribeau - MIN - G</v>
      </c>
      <c r="B694" t="str">
        <f t="shared" si="129"/>
        <v>Dereck Baribeau - MIN - G</v>
      </c>
      <c r="C694" t="str">
        <f t="shared" si="120"/>
        <v>Dereck</v>
      </c>
      <c r="D694" t="str">
        <f t="shared" si="121"/>
        <v>Baribeau</v>
      </c>
      <c r="E694" s="39" t="s">
        <v>2889</v>
      </c>
      <c r="F694" s="30" t="s">
        <v>21</v>
      </c>
      <c r="G694" s="35" t="s">
        <v>386</v>
      </c>
      <c r="H694" s="35" t="s">
        <v>127</v>
      </c>
      <c r="I694" s="35" t="s">
        <v>2446</v>
      </c>
      <c r="J694" s="35">
        <v>20</v>
      </c>
      <c r="K694" s="35">
        <f>VALUE(COUNTIF(Validation!$A$2:$H$47,E694))</f>
        <v>0</v>
      </c>
      <c r="L694" s="361">
        <f t="shared" si="122"/>
        <v>733333</v>
      </c>
      <c r="M694" s="361">
        <f t="shared" si="123"/>
        <v>733333</v>
      </c>
      <c r="N694" s="358">
        <v>733333</v>
      </c>
      <c r="O694" s="358">
        <v>733333</v>
      </c>
      <c r="P694" s="358">
        <v>733333</v>
      </c>
      <c r="Q694" s="358" t="s">
        <v>8</v>
      </c>
      <c r="R694" s="358">
        <v>0</v>
      </c>
      <c r="S694" s="358">
        <v>0</v>
      </c>
      <c r="T694" s="358">
        <v>0</v>
      </c>
      <c r="U694" s="35">
        <f t="shared" si="124"/>
        <v>3</v>
      </c>
      <c r="W694">
        <f t="shared" si="125"/>
        <v>1</v>
      </c>
      <c r="X694" s="35">
        <f t="shared" si="126"/>
        <v>1</v>
      </c>
      <c r="Y694">
        <f t="shared" si="127"/>
        <v>1</v>
      </c>
      <c r="AB694">
        <f t="shared" si="130"/>
        <v>1</v>
      </c>
      <c r="AC694">
        <f t="shared" ca="1" si="131"/>
        <v>0</v>
      </c>
      <c r="AD694" t="str">
        <f ca="1">IF(AC694=1,COUNTIF($AC$3:AC694,1),"")</f>
        <v/>
      </c>
      <c r="AE694" s="155" t="str">
        <f ca="1">IFERROR(INDEX(Données!$B$3:$B$1479,MATCH(ROWS($AD$3:AD694),$AD$3:$AD$1479,0)),"")</f>
        <v/>
      </c>
    </row>
    <row r="695" spans="1:31" ht="15.75" x14ac:dyDescent="0.25">
      <c r="A695" t="str">
        <f t="shared" si="128"/>
        <v>Nick Seeler - MIN - DG</v>
      </c>
      <c r="B695" t="str">
        <f t="shared" si="129"/>
        <v>Nick Seeler - MIN - DG</v>
      </c>
      <c r="C695" t="str">
        <f t="shared" si="120"/>
        <v>Nick</v>
      </c>
      <c r="D695" t="str">
        <f t="shared" si="121"/>
        <v>Seeler</v>
      </c>
      <c r="E695" s="39" t="s">
        <v>1998</v>
      </c>
      <c r="F695" s="30" t="s">
        <v>21</v>
      </c>
      <c r="G695" s="35">
        <v>0</v>
      </c>
      <c r="H695" s="35" t="s">
        <v>2445</v>
      </c>
      <c r="I695" s="35" t="s">
        <v>2439</v>
      </c>
      <c r="J695" s="35">
        <v>26</v>
      </c>
      <c r="K695" s="35">
        <f>VALUE(COUNTIF(Validation!$A$2:$H$47,E695))</f>
        <v>0</v>
      </c>
      <c r="L695" s="361">
        <f t="shared" si="122"/>
        <v>725000</v>
      </c>
      <c r="M695" s="361">
        <f t="shared" si="123"/>
        <v>725000</v>
      </c>
      <c r="N695" s="358">
        <v>725000</v>
      </c>
      <c r="O695" s="358">
        <v>725000</v>
      </c>
      <c r="P695" s="358" t="s">
        <v>7</v>
      </c>
      <c r="Q695" s="358">
        <v>0</v>
      </c>
      <c r="R695" s="358">
        <v>0</v>
      </c>
      <c r="S695" s="358">
        <v>0</v>
      </c>
      <c r="T695" s="358">
        <v>0</v>
      </c>
      <c r="U695" s="35">
        <f t="shared" si="124"/>
        <v>2</v>
      </c>
      <c r="W695">
        <f t="shared" si="125"/>
        <v>1</v>
      </c>
      <c r="X695" s="35">
        <f t="shared" si="126"/>
        <v>0</v>
      </c>
      <c r="Y695">
        <f t="shared" si="127"/>
        <v>1</v>
      </c>
      <c r="AB695">
        <f t="shared" si="130"/>
        <v>1</v>
      </c>
      <c r="AC695">
        <f t="shared" ca="1" si="131"/>
        <v>0</v>
      </c>
      <c r="AD695" t="str">
        <f ca="1">IF(AC695=1,COUNTIF($AC$3:AC695,1),"")</f>
        <v/>
      </c>
      <c r="AE695" s="155" t="str">
        <f ca="1">IFERROR(INDEX(Données!$B$3:$B$1479,MATCH(ROWS($AD$3:AD695),$AD$3:$AD$1479,0)),"")</f>
        <v/>
      </c>
    </row>
    <row r="696" spans="1:31" ht="15.75" x14ac:dyDescent="0.25">
      <c r="A696" t="str">
        <f t="shared" si="128"/>
        <v>Brennan Menell - MIN - D</v>
      </c>
      <c r="B696" t="str">
        <f t="shared" si="129"/>
        <v>Brennan Menell - MIN - D</v>
      </c>
      <c r="C696" t="str">
        <f t="shared" si="120"/>
        <v>Brennan</v>
      </c>
      <c r="D696" t="str">
        <f t="shared" si="121"/>
        <v>Menell</v>
      </c>
      <c r="E696" s="39" t="s">
        <v>2011</v>
      </c>
      <c r="F696" s="30" t="s">
        <v>21</v>
      </c>
      <c r="G696" s="35" t="s">
        <v>386</v>
      </c>
      <c r="H696" s="35" t="s">
        <v>82</v>
      </c>
      <c r="I696" s="35" t="s">
        <v>2446</v>
      </c>
      <c r="J696" s="35">
        <v>22</v>
      </c>
      <c r="K696" s="35">
        <f>VALUE(COUNTIF(Validation!$A$2:$H$47,E696))</f>
        <v>0</v>
      </c>
      <c r="L696" s="361">
        <f t="shared" si="122"/>
        <v>716666</v>
      </c>
      <c r="M696" s="361">
        <f t="shared" si="123"/>
        <v>0</v>
      </c>
      <c r="N696" s="358">
        <v>716666</v>
      </c>
      <c r="O696" s="358" t="s">
        <v>8</v>
      </c>
      <c r="P696" s="358">
        <v>0</v>
      </c>
      <c r="Q696" s="358">
        <v>0</v>
      </c>
      <c r="R696" s="358">
        <v>0</v>
      </c>
      <c r="S696" s="358">
        <v>0</v>
      </c>
      <c r="T696" s="358">
        <v>0</v>
      </c>
      <c r="U696" s="35">
        <f t="shared" si="124"/>
        <v>1</v>
      </c>
      <c r="W696">
        <f t="shared" si="125"/>
        <v>1</v>
      </c>
      <c r="X696" s="35">
        <f t="shared" si="126"/>
        <v>1</v>
      </c>
      <c r="Y696">
        <f t="shared" si="127"/>
        <v>0</v>
      </c>
      <c r="AB696">
        <f t="shared" si="130"/>
        <v>1</v>
      </c>
      <c r="AC696">
        <f t="shared" ca="1" si="131"/>
        <v>0</v>
      </c>
      <c r="AD696" t="str">
        <f ca="1">IF(AC696=1,COUNTIF($AC$3:AC696,1),"")</f>
        <v/>
      </c>
      <c r="AE696" s="155" t="str">
        <f ca="1">IFERROR(INDEX(Données!$B$3:$B$1479,MATCH(ROWS($AD$3:AD696),$AD$3:$AD$1479,0)),"")</f>
        <v/>
      </c>
    </row>
    <row r="697" spans="1:31" ht="15.75" x14ac:dyDescent="0.25">
      <c r="A697" t="str">
        <f t="shared" si="128"/>
        <v>Matt Bartkowski - MIN - DD</v>
      </c>
      <c r="B697" t="str">
        <f t="shared" si="129"/>
        <v>Matt Bartkowski - MIN - DD</v>
      </c>
      <c r="C697" t="str">
        <f t="shared" si="120"/>
        <v>Matt</v>
      </c>
      <c r="D697" t="str">
        <f t="shared" si="121"/>
        <v>Bartkowski</v>
      </c>
      <c r="E697" s="39" t="s">
        <v>2015</v>
      </c>
      <c r="F697" s="30" t="s">
        <v>21</v>
      </c>
      <c r="G697" s="35">
        <v>0</v>
      </c>
      <c r="H697" s="35" t="s">
        <v>2444</v>
      </c>
      <c r="I697" s="35" t="s">
        <v>2446</v>
      </c>
      <c r="J697" s="35">
        <v>31</v>
      </c>
      <c r="K697" s="35">
        <f>VALUE(COUNTIF(Validation!$A$2:$H$47,E697))</f>
        <v>0</v>
      </c>
      <c r="L697" s="361">
        <f t="shared" si="122"/>
        <v>700000</v>
      </c>
      <c r="M697" s="361">
        <f t="shared" si="123"/>
        <v>0</v>
      </c>
      <c r="N697" s="358">
        <v>700000</v>
      </c>
      <c r="O697" s="358" t="s">
        <v>7</v>
      </c>
      <c r="P697" s="358">
        <v>0</v>
      </c>
      <c r="Q697" s="358">
        <v>0</v>
      </c>
      <c r="R697" s="358">
        <v>0</v>
      </c>
      <c r="S697" s="358">
        <v>0</v>
      </c>
      <c r="T697" s="358">
        <v>0</v>
      </c>
      <c r="U697" s="35">
        <f t="shared" si="124"/>
        <v>1</v>
      </c>
      <c r="W697">
        <f t="shared" si="125"/>
        <v>1</v>
      </c>
      <c r="X697" s="35">
        <f t="shared" si="126"/>
        <v>0</v>
      </c>
      <c r="Y697">
        <f t="shared" si="127"/>
        <v>0</v>
      </c>
      <c r="AB697">
        <f t="shared" si="130"/>
        <v>1</v>
      </c>
      <c r="AC697">
        <f t="shared" ca="1" si="131"/>
        <v>0</v>
      </c>
      <c r="AD697" t="str">
        <f ca="1">IF(AC697=1,COUNTIF($AC$3:AC697,1),"")</f>
        <v/>
      </c>
      <c r="AE697" s="155" t="str">
        <f ca="1">IFERROR(INDEX(Données!$B$3:$B$1479,MATCH(ROWS($AD$3:AD697),$AD$3:$AD$1479,0)),"")</f>
        <v/>
      </c>
    </row>
    <row r="698" spans="1:31" ht="15.75" x14ac:dyDescent="0.25">
      <c r="A698" t="str">
        <f t="shared" si="128"/>
        <v>Gabriel Dumont - MIN - C</v>
      </c>
      <c r="B698" t="str">
        <f t="shared" si="129"/>
        <v>Gabriel Dumont - MIN - C</v>
      </c>
      <c r="C698" t="str">
        <f t="shared" si="120"/>
        <v>Gabriel</v>
      </c>
      <c r="D698" t="str">
        <f t="shared" si="121"/>
        <v>Dumont</v>
      </c>
      <c r="E698" s="39" t="s">
        <v>1583</v>
      </c>
      <c r="F698" s="30" t="s">
        <v>21</v>
      </c>
      <c r="G698" s="35">
        <v>0</v>
      </c>
      <c r="H698" s="35" t="s">
        <v>73</v>
      </c>
      <c r="I698" s="35" t="s">
        <v>2446</v>
      </c>
      <c r="J698" s="35">
        <v>28</v>
      </c>
      <c r="K698" s="35">
        <f>VALUE(COUNTIF(Validation!$A$2:$H$47,E698))</f>
        <v>0</v>
      </c>
      <c r="L698" s="361">
        <f t="shared" si="122"/>
        <v>700000</v>
      </c>
      <c r="M698" s="361">
        <f t="shared" si="123"/>
        <v>700000</v>
      </c>
      <c r="N698" s="358">
        <v>700000</v>
      </c>
      <c r="O698" s="358">
        <v>700000</v>
      </c>
      <c r="P698" s="358" t="s">
        <v>7</v>
      </c>
      <c r="Q698" s="358">
        <v>0</v>
      </c>
      <c r="R698" s="358">
        <v>0</v>
      </c>
      <c r="S698" s="358">
        <v>0</v>
      </c>
      <c r="T698" s="358">
        <v>0</v>
      </c>
      <c r="U698" s="35">
        <f t="shared" si="124"/>
        <v>2</v>
      </c>
      <c r="W698">
        <f t="shared" si="125"/>
        <v>1</v>
      </c>
      <c r="X698" s="35">
        <f t="shared" si="126"/>
        <v>0</v>
      </c>
      <c r="Y698">
        <f t="shared" si="127"/>
        <v>1</v>
      </c>
      <c r="AB698">
        <f t="shared" si="130"/>
        <v>1</v>
      </c>
      <c r="AC698">
        <f t="shared" ca="1" si="131"/>
        <v>0</v>
      </c>
      <c r="AD698" t="str">
        <f ca="1">IF(AC698=1,COUNTIF($AC$3:AC698,1),"")</f>
        <v/>
      </c>
      <c r="AE698" s="155" t="str">
        <f ca="1">IFERROR(INDEX(Données!$B$3:$B$1479,MATCH(ROWS($AD$3:AD698),$AD$3:$AD$1479,0)),"")</f>
        <v/>
      </c>
    </row>
    <row r="699" spans="1:31" ht="15.75" x14ac:dyDescent="0.25">
      <c r="A699" t="str">
        <f t="shared" si="128"/>
        <v>Brad Hunt - MIN - DD</v>
      </c>
      <c r="B699" t="str">
        <f t="shared" si="129"/>
        <v>Brad Hunt - MIN - DD</v>
      </c>
      <c r="C699" t="str">
        <f t="shared" si="120"/>
        <v>Brad</v>
      </c>
      <c r="D699" t="str">
        <f t="shared" si="121"/>
        <v>Hunt</v>
      </c>
      <c r="E699" s="39" t="s">
        <v>2381</v>
      </c>
      <c r="F699" s="30" t="s">
        <v>21</v>
      </c>
      <c r="G699" s="35">
        <v>0</v>
      </c>
      <c r="H699" s="35" t="s">
        <v>2444</v>
      </c>
      <c r="I699" s="35" t="s">
        <v>2439</v>
      </c>
      <c r="J699" s="35">
        <v>30</v>
      </c>
      <c r="K699" s="35">
        <f>VALUE(COUNTIF(Validation!$A$2:$H$47,E699))</f>
        <v>0</v>
      </c>
      <c r="L699" s="361">
        <f t="shared" si="122"/>
        <v>700000</v>
      </c>
      <c r="M699" s="361">
        <f t="shared" si="123"/>
        <v>700000</v>
      </c>
      <c r="N699" s="358">
        <v>700000</v>
      </c>
      <c r="O699" s="358">
        <v>700000</v>
      </c>
      <c r="P699" s="358" t="s">
        <v>7</v>
      </c>
      <c r="Q699" s="358">
        <v>0</v>
      </c>
      <c r="R699" s="358">
        <v>0</v>
      </c>
      <c r="S699" s="358">
        <v>0</v>
      </c>
      <c r="T699" s="358">
        <v>0</v>
      </c>
      <c r="U699" s="35">
        <f t="shared" si="124"/>
        <v>2</v>
      </c>
      <c r="W699">
        <f t="shared" si="125"/>
        <v>1</v>
      </c>
      <c r="X699" s="35">
        <f t="shared" si="126"/>
        <v>0</v>
      </c>
      <c r="Y699">
        <f t="shared" si="127"/>
        <v>1</v>
      </c>
      <c r="AB699">
        <f t="shared" si="130"/>
        <v>1</v>
      </c>
      <c r="AC699">
        <f t="shared" ca="1" si="131"/>
        <v>0</v>
      </c>
      <c r="AD699" t="str">
        <f ca="1">IF(AC699=1,COUNTIF($AC$3:AC699,1),"")</f>
        <v/>
      </c>
      <c r="AE699" s="155" t="str">
        <f ca="1">IFERROR(INDEX(Données!$B$3:$B$1479,MATCH(ROWS($AD$3:AD699),$AD$3:$AD$1479,0)),"")</f>
        <v/>
      </c>
    </row>
    <row r="700" spans="1:31" ht="15.75" x14ac:dyDescent="0.25">
      <c r="A700" t="str">
        <f t="shared" si="128"/>
        <v>Luke Johnson - MIN - C</v>
      </c>
      <c r="B700" t="str">
        <f t="shared" si="129"/>
        <v>Luke Johnson - MIN - C</v>
      </c>
      <c r="C700" t="str">
        <f t="shared" si="120"/>
        <v>Luke</v>
      </c>
      <c r="D700" t="str">
        <f t="shared" si="121"/>
        <v>Johnson</v>
      </c>
      <c r="E700" s="39" t="s">
        <v>1914</v>
      </c>
      <c r="F700" s="30" t="s">
        <v>21</v>
      </c>
      <c r="G700" s="35">
        <v>0</v>
      </c>
      <c r="H700" s="35" t="s">
        <v>73</v>
      </c>
      <c r="I700" s="35" t="s">
        <v>2446</v>
      </c>
      <c r="J700" s="35">
        <v>24</v>
      </c>
      <c r="K700" s="35">
        <f>VALUE(COUNTIF(Validation!$A$2:$H$47,E700))</f>
        <v>0</v>
      </c>
      <c r="L700" s="361">
        <f t="shared" si="122"/>
        <v>700000</v>
      </c>
      <c r="M700" s="361">
        <f t="shared" si="123"/>
        <v>700000</v>
      </c>
      <c r="N700" s="358">
        <v>700000</v>
      </c>
      <c r="O700" s="358">
        <v>700000</v>
      </c>
      <c r="P700" s="358" t="s">
        <v>8</v>
      </c>
      <c r="Q700" s="358">
        <v>0</v>
      </c>
      <c r="R700" s="358">
        <v>0</v>
      </c>
      <c r="S700" s="358">
        <v>0</v>
      </c>
      <c r="T700" s="358">
        <v>0</v>
      </c>
      <c r="U700" s="35">
        <f t="shared" si="124"/>
        <v>2</v>
      </c>
      <c r="W700">
        <f t="shared" si="125"/>
        <v>1</v>
      </c>
      <c r="X700" s="35">
        <f t="shared" si="126"/>
        <v>0</v>
      </c>
      <c r="Y700">
        <f t="shared" si="127"/>
        <v>1</v>
      </c>
      <c r="AB700">
        <f t="shared" si="130"/>
        <v>1</v>
      </c>
      <c r="AC700">
        <f t="shared" ca="1" si="131"/>
        <v>0</v>
      </c>
      <c r="AD700" t="str">
        <f ca="1">IF(AC700=1,COUNTIF($AC$3:AC700,1),"")</f>
        <v/>
      </c>
      <c r="AE700" s="155" t="str">
        <f ca="1">IFERROR(INDEX(Données!$B$3:$B$1479,MATCH(ROWS($AD$3:AD700),$AD$3:$AD$1479,0)),"")</f>
        <v/>
      </c>
    </row>
    <row r="701" spans="1:31" ht="15.75" x14ac:dyDescent="0.25">
      <c r="A701" t="str">
        <f t="shared" si="128"/>
        <v>Gerald Mayhew - MIN - C, AD</v>
      </c>
      <c r="B701" t="str">
        <f t="shared" si="129"/>
        <v>Gerald Mayhew - MIN - C, AD</v>
      </c>
      <c r="C701" t="str">
        <f t="shared" si="120"/>
        <v>Gerald</v>
      </c>
      <c r="D701" t="str">
        <f t="shared" si="121"/>
        <v>Mayhew</v>
      </c>
      <c r="E701" s="39" t="s">
        <v>2617</v>
      </c>
      <c r="F701" s="30" t="s">
        <v>21</v>
      </c>
      <c r="G701" s="35">
        <v>0</v>
      </c>
      <c r="H701" s="35" t="s">
        <v>2448</v>
      </c>
      <c r="I701" s="35" t="s">
        <v>2446</v>
      </c>
      <c r="J701" s="35">
        <v>26</v>
      </c>
      <c r="K701" s="35">
        <f>VALUE(COUNTIF(Validation!$A$2:$H$47,E701))</f>
        <v>0</v>
      </c>
      <c r="L701" s="361">
        <f t="shared" si="122"/>
        <v>700000</v>
      </c>
      <c r="M701" s="361">
        <f t="shared" si="123"/>
        <v>700000</v>
      </c>
      <c r="N701" s="358">
        <v>700000</v>
      </c>
      <c r="O701" s="358">
        <v>700000</v>
      </c>
      <c r="P701" s="358" t="s">
        <v>7</v>
      </c>
      <c r="Q701" s="358">
        <v>0</v>
      </c>
      <c r="R701" s="358">
        <v>0</v>
      </c>
      <c r="S701" s="358">
        <v>0</v>
      </c>
      <c r="T701" s="358">
        <v>0</v>
      </c>
      <c r="U701" s="35">
        <f t="shared" si="124"/>
        <v>2</v>
      </c>
      <c r="W701">
        <f t="shared" si="125"/>
        <v>1</v>
      </c>
      <c r="X701" s="35">
        <f t="shared" si="126"/>
        <v>0</v>
      </c>
      <c r="Y701">
        <f t="shared" si="127"/>
        <v>1</v>
      </c>
      <c r="AB701">
        <f t="shared" si="130"/>
        <v>1</v>
      </c>
      <c r="AC701">
        <f t="shared" ca="1" si="131"/>
        <v>0</v>
      </c>
      <c r="AD701" t="str">
        <f ca="1">IF(AC701=1,COUNTIF($AC$3:AC701,1),"")</f>
        <v/>
      </c>
      <c r="AE701" s="155" t="str">
        <f ca="1">IFERROR(INDEX(Données!$B$3:$B$1479,MATCH(ROWS($AD$3:AD701),$AD$3:$AD$1479,0)),"")</f>
        <v/>
      </c>
    </row>
    <row r="702" spans="1:31" ht="15.75" x14ac:dyDescent="0.25">
      <c r="A702" t="str">
        <f t="shared" si="128"/>
        <v>Kyle Rau - MIN - AG, C</v>
      </c>
      <c r="B702" t="str">
        <f t="shared" si="129"/>
        <v>Kyle Rau - MIN - AG, C</v>
      </c>
      <c r="C702" t="str">
        <f t="shared" si="120"/>
        <v>Kyle</v>
      </c>
      <c r="D702" t="str">
        <f t="shared" si="121"/>
        <v>Rau</v>
      </c>
      <c r="E702" s="39" t="s">
        <v>2012</v>
      </c>
      <c r="F702" s="30" t="s">
        <v>21</v>
      </c>
      <c r="G702" s="35">
        <v>0</v>
      </c>
      <c r="H702" s="35" t="s">
        <v>2450</v>
      </c>
      <c r="I702" s="35" t="s">
        <v>2446</v>
      </c>
      <c r="J702" s="35">
        <v>26</v>
      </c>
      <c r="K702" s="35">
        <f>VALUE(COUNTIF(Validation!$A$2:$H$47,E702))</f>
        <v>0</v>
      </c>
      <c r="L702" s="361">
        <f t="shared" si="122"/>
        <v>700000</v>
      </c>
      <c r="M702" s="361">
        <f t="shared" si="123"/>
        <v>0</v>
      </c>
      <c r="N702" s="358">
        <v>700000</v>
      </c>
      <c r="O702" s="358" t="s">
        <v>7</v>
      </c>
      <c r="P702" s="358">
        <v>0</v>
      </c>
      <c r="Q702" s="358">
        <v>0</v>
      </c>
      <c r="R702" s="358">
        <v>0</v>
      </c>
      <c r="S702" s="358">
        <v>0</v>
      </c>
      <c r="T702" s="358">
        <v>0</v>
      </c>
      <c r="U702" s="35">
        <f t="shared" si="124"/>
        <v>1</v>
      </c>
      <c r="W702">
        <f t="shared" si="125"/>
        <v>1</v>
      </c>
      <c r="X702" s="35">
        <f t="shared" si="126"/>
        <v>0</v>
      </c>
      <c r="Y702">
        <f t="shared" si="127"/>
        <v>0</v>
      </c>
      <c r="AB702">
        <f t="shared" si="130"/>
        <v>1</v>
      </c>
      <c r="AC702">
        <f t="shared" ca="1" si="131"/>
        <v>0</v>
      </c>
      <c r="AD702" t="str">
        <f ca="1">IF(AC702=1,COUNTIF($AC$3:AC702,1),"")</f>
        <v/>
      </c>
      <c r="AE702" s="155" t="str">
        <f ca="1">IFERROR(INDEX(Données!$B$3:$B$1479,MATCH(ROWS($AD$3:AD702),$AD$3:$AD$1479,0)),"")</f>
        <v/>
      </c>
    </row>
    <row r="703" spans="1:31" ht="15.75" x14ac:dyDescent="0.25">
      <c r="A703" t="str">
        <f t="shared" si="128"/>
        <v>Hunter Warner - MIN - DD</v>
      </c>
      <c r="B703" t="str">
        <f t="shared" si="129"/>
        <v>Hunter Warner - MIN - DD</v>
      </c>
      <c r="C703" t="str">
        <f t="shared" si="120"/>
        <v>Hunter</v>
      </c>
      <c r="D703" t="str">
        <f t="shared" si="121"/>
        <v>Warner</v>
      </c>
      <c r="E703" s="39" t="s">
        <v>2017</v>
      </c>
      <c r="F703" s="30" t="s">
        <v>21</v>
      </c>
      <c r="G703" s="35">
        <v>0</v>
      </c>
      <c r="H703" s="9" t="s">
        <v>2444</v>
      </c>
      <c r="I703" s="9" t="s">
        <v>2446</v>
      </c>
      <c r="J703" s="9">
        <v>23</v>
      </c>
      <c r="K703" s="35">
        <f>VALUE(COUNTIF(Validation!$A$2:$H$47,E703))</f>
        <v>0</v>
      </c>
      <c r="L703" s="361">
        <f t="shared" si="122"/>
        <v>700000</v>
      </c>
      <c r="M703" s="361">
        <f t="shared" si="123"/>
        <v>0</v>
      </c>
      <c r="N703" s="358">
        <v>700000</v>
      </c>
      <c r="O703" s="358" t="s">
        <v>8</v>
      </c>
      <c r="P703" s="358">
        <v>0</v>
      </c>
      <c r="Q703" s="358">
        <v>0</v>
      </c>
      <c r="R703" s="358">
        <v>0</v>
      </c>
      <c r="S703" s="358">
        <v>0</v>
      </c>
      <c r="T703" s="358">
        <v>0</v>
      </c>
      <c r="U703" s="35">
        <f t="shared" si="124"/>
        <v>1</v>
      </c>
      <c r="W703">
        <f t="shared" si="125"/>
        <v>1</v>
      </c>
      <c r="X703" s="35">
        <f t="shared" si="126"/>
        <v>0</v>
      </c>
      <c r="Y703">
        <f t="shared" si="127"/>
        <v>0</v>
      </c>
      <c r="AB703">
        <f t="shared" si="130"/>
        <v>1</v>
      </c>
      <c r="AC703">
        <f t="shared" ca="1" si="131"/>
        <v>0</v>
      </c>
      <c r="AD703" t="str">
        <f ca="1">IF(AC703=1,COUNTIF($AC$3:AC703,1),"")</f>
        <v/>
      </c>
      <c r="AE703" s="155" t="str">
        <f ca="1">IFERROR(INDEX(Données!$B$3:$B$1479,MATCH(ROWS($AD$3:AD703),$AD$3:$AD$1479,0)),"")</f>
        <v/>
      </c>
    </row>
    <row r="704" spans="1:31" ht="15.75" x14ac:dyDescent="0.25">
      <c r="A704" t="str">
        <f t="shared" si="128"/>
        <v>Stepan Falkovsky - MIN - DG</v>
      </c>
      <c r="B704" t="str">
        <f t="shared" si="129"/>
        <v>Stepan Falkovsky - MIN - DG</v>
      </c>
      <c r="C704" t="str">
        <f t="shared" si="120"/>
        <v>Stepan</v>
      </c>
      <c r="D704" t="str">
        <f t="shared" si="121"/>
        <v>Falkovsky</v>
      </c>
      <c r="E704" s="39" t="s">
        <v>2288</v>
      </c>
      <c r="F704" s="30" t="s">
        <v>21</v>
      </c>
      <c r="G704" s="35" t="s">
        <v>386</v>
      </c>
      <c r="H704" s="9" t="s">
        <v>2445</v>
      </c>
      <c r="I704" s="9" t="s">
        <v>2446</v>
      </c>
      <c r="J704" s="9">
        <v>22</v>
      </c>
      <c r="K704" s="35">
        <f>VALUE(COUNTIF(Validation!$A$2:$H$47,E704))</f>
        <v>0</v>
      </c>
      <c r="L704" s="361">
        <f t="shared" si="122"/>
        <v>698333</v>
      </c>
      <c r="M704" s="361">
        <f t="shared" si="123"/>
        <v>0</v>
      </c>
      <c r="N704" s="358">
        <v>698333</v>
      </c>
      <c r="O704" s="358" t="s">
        <v>8</v>
      </c>
      <c r="P704" s="358">
        <v>0</v>
      </c>
      <c r="Q704" s="358">
        <v>0</v>
      </c>
      <c r="R704" s="358">
        <v>0</v>
      </c>
      <c r="S704" s="358">
        <v>0</v>
      </c>
      <c r="T704" s="358">
        <v>0</v>
      </c>
      <c r="U704" s="35">
        <f t="shared" si="124"/>
        <v>1</v>
      </c>
      <c r="W704">
        <f t="shared" si="125"/>
        <v>1</v>
      </c>
      <c r="X704" s="35">
        <f t="shared" si="126"/>
        <v>1</v>
      </c>
      <c r="Y704">
        <f t="shared" si="127"/>
        <v>0</v>
      </c>
      <c r="AB704">
        <f t="shared" si="130"/>
        <v>1</v>
      </c>
      <c r="AC704">
        <f t="shared" ca="1" si="131"/>
        <v>0</v>
      </c>
      <c r="AD704" t="str">
        <f ca="1">IF(AC704=1,COUNTIF($AC$3:AC704,1),"")</f>
        <v/>
      </c>
      <c r="AE704" s="155" t="str">
        <f ca="1">IFERROR(INDEX(Données!$B$3:$B$1479,MATCH(ROWS($AD$3:AD704),$AD$3:$AD$1479,0)),"")</f>
        <v/>
      </c>
    </row>
    <row r="705" spans="1:31" ht="15.75" x14ac:dyDescent="0.25">
      <c r="A705" t="str">
        <f t="shared" si="128"/>
        <v>J.T. Brown - MIN - AD</v>
      </c>
      <c r="B705" t="str">
        <f t="shared" si="129"/>
        <v>J.T. Brown - MIN - AD</v>
      </c>
      <c r="C705" t="str">
        <f t="shared" si="120"/>
        <v>J.T.</v>
      </c>
      <c r="D705" t="str">
        <f t="shared" si="121"/>
        <v>Brown</v>
      </c>
      <c r="E705" s="39" t="s">
        <v>1993</v>
      </c>
      <c r="F705" s="30" t="s">
        <v>21</v>
      </c>
      <c r="G705" s="35">
        <v>0</v>
      </c>
      <c r="H705" s="35" t="s">
        <v>2438</v>
      </c>
      <c r="I705" s="35" t="s">
        <v>2439</v>
      </c>
      <c r="J705" s="35">
        <v>29</v>
      </c>
      <c r="K705" s="35">
        <f>VALUE(COUNTIF(Validation!$A$2:$H$47,E705))</f>
        <v>0</v>
      </c>
      <c r="L705" s="361">
        <f t="shared" si="122"/>
        <v>687500</v>
      </c>
      <c r="M705" s="361">
        <f t="shared" si="123"/>
        <v>0</v>
      </c>
      <c r="N705" s="358">
        <v>687500</v>
      </c>
      <c r="O705" s="358" t="s">
        <v>7</v>
      </c>
      <c r="P705" s="358">
        <v>0</v>
      </c>
      <c r="Q705" s="358">
        <v>0</v>
      </c>
      <c r="R705" s="358">
        <v>0</v>
      </c>
      <c r="S705" s="358">
        <v>0</v>
      </c>
      <c r="T705" s="358">
        <v>0</v>
      </c>
      <c r="U705" s="35">
        <f t="shared" si="124"/>
        <v>1</v>
      </c>
      <c r="W705">
        <f t="shared" si="125"/>
        <v>1</v>
      </c>
      <c r="X705" s="35">
        <f t="shared" si="126"/>
        <v>0</v>
      </c>
      <c r="Y705">
        <f t="shared" si="127"/>
        <v>0</v>
      </c>
      <c r="AB705">
        <f t="shared" si="130"/>
        <v>1</v>
      </c>
      <c r="AC705">
        <f t="shared" ca="1" si="131"/>
        <v>0</v>
      </c>
      <c r="AD705" t="str">
        <f ca="1">IF(AC705=1,COUNTIF($AC$3:AC705,1),"")</f>
        <v/>
      </c>
      <c r="AE705" s="155" t="str">
        <f ca="1">IFERROR(INDEX(Données!$B$3:$B$1479,MATCH(ROWS($AD$3:AD705),$AD$3:$AD$1479,0)),"")</f>
        <v/>
      </c>
    </row>
    <row r="706" spans="1:31" ht="15.75" x14ac:dyDescent="0.25">
      <c r="A706" t="str">
        <f t="shared" si="128"/>
        <v>Sam Anas - MIN - C</v>
      </c>
      <c r="B706" t="str">
        <f t="shared" si="129"/>
        <v>Sam Anas - MIN - C</v>
      </c>
      <c r="C706" t="str">
        <f t="shared" si="120"/>
        <v>Sam</v>
      </c>
      <c r="D706" t="str">
        <f t="shared" si="121"/>
        <v>Anas</v>
      </c>
      <c r="E706" s="39" t="s">
        <v>2013</v>
      </c>
      <c r="F706" s="30" t="s">
        <v>21</v>
      </c>
      <c r="G706" s="35">
        <v>0</v>
      </c>
      <c r="H706" s="35" t="s">
        <v>73</v>
      </c>
      <c r="I706" s="35" t="s">
        <v>2446</v>
      </c>
      <c r="J706" s="35">
        <v>26</v>
      </c>
      <c r="K706" s="35">
        <f>VALUE(COUNTIF(Validation!$A$2:$H$47,E706))</f>
        <v>0</v>
      </c>
      <c r="L706" s="361">
        <f t="shared" si="122"/>
        <v>675000</v>
      </c>
      <c r="M706" s="361">
        <f t="shared" si="123"/>
        <v>0</v>
      </c>
      <c r="N706" s="358">
        <v>675000</v>
      </c>
      <c r="O706" s="358" t="s">
        <v>7</v>
      </c>
      <c r="P706" s="358">
        <v>0</v>
      </c>
      <c r="Q706" s="358">
        <v>0</v>
      </c>
      <c r="R706" s="358">
        <v>0</v>
      </c>
      <c r="S706" s="358">
        <v>0</v>
      </c>
      <c r="T706" s="358">
        <v>0</v>
      </c>
      <c r="U706" s="35">
        <f t="shared" si="124"/>
        <v>1</v>
      </c>
      <c r="W706">
        <f t="shared" si="125"/>
        <v>1</v>
      </c>
      <c r="X706" s="35">
        <f t="shared" si="126"/>
        <v>0</v>
      </c>
      <c r="Y706">
        <f t="shared" si="127"/>
        <v>0</v>
      </c>
      <c r="AB706">
        <f t="shared" si="130"/>
        <v>1</v>
      </c>
      <c r="AC706">
        <f t="shared" ca="1" si="131"/>
        <v>0</v>
      </c>
      <c r="AD706" t="str">
        <f ca="1">IF(AC706=1,COUNTIF($AC$3:AC706,1),"")</f>
        <v/>
      </c>
      <c r="AE706" s="155" t="str">
        <f ca="1">IFERROR(INDEX(Données!$B$3:$B$1479,MATCH(ROWS($AD$3:AD706),$AD$3:$AD$1479,0)),"")</f>
        <v/>
      </c>
    </row>
    <row r="707" spans="1:31" ht="15.75" x14ac:dyDescent="0.25">
      <c r="A707" t="str">
        <f t="shared" si="128"/>
        <v>Colton Beck - MIN - AG</v>
      </c>
      <c r="B707" t="str">
        <f t="shared" si="129"/>
        <v>Colton Beck - MIN - AG</v>
      </c>
      <c r="C707" t="str">
        <f t="shared" ref="C707:C770" si="132">RIGHT(E707,(LEN(E707)-1)-SEARCH(",",E707,1))</f>
        <v>Colton</v>
      </c>
      <c r="D707" t="str">
        <f t="shared" ref="D707:D770" si="133">LEFT(E707,SEARCH(",",E707,1)-1)</f>
        <v>Beck</v>
      </c>
      <c r="E707" s="39" t="s">
        <v>2618</v>
      </c>
      <c r="F707" s="30" t="s">
        <v>21</v>
      </c>
      <c r="G707" s="35">
        <v>0</v>
      </c>
      <c r="H707" s="35" t="s">
        <v>2440</v>
      </c>
      <c r="I707" s="35" t="s">
        <v>2446</v>
      </c>
      <c r="J707" s="35">
        <v>29</v>
      </c>
      <c r="K707" s="35">
        <f>VALUE(COUNTIF(Validation!$A$2:$H$47,E707))</f>
        <v>0</v>
      </c>
      <c r="L707" s="361">
        <f t="shared" ref="L707:L770" si="134">IF(OR(N707="RFA",N707="UFA",N707="",N707=0),0,N707)</f>
        <v>675000</v>
      </c>
      <c r="M707" s="361">
        <f t="shared" ref="M707:M770" si="135">IF(OR(O707="RFA",O707="UFA",O707="",O707=0),0,O707)</f>
        <v>0</v>
      </c>
      <c r="N707" s="358">
        <v>675000</v>
      </c>
      <c r="O707" s="358" t="s">
        <v>7</v>
      </c>
      <c r="P707" s="358">
        <v>0</v>
      </c>
      <c r="Q707" s="358">
        <v>0</v>
      </c>
      <c r="R707" s="358">
        <v>0</v>
      </c>
      <c r="S707" s="358">
        <v>0</v>
      </c>
      <c r="T707" s="358">
        <v>0</v>
      </c>
      <c r="U707" s="35">
        <f t="shared" ref="U707:U770" si="136">COUNTIF(N707:T707,"&gt;0")</f>
        <v>1</v>
      </c>
      <c r="W707">
        <f t="shared" ref="W707:W770" si="137">COUNTIF($E$3:$E$1479,E707)</f>
        <v>1</v>
      </c>
      <c r="X707" s="35">
        <f t="shared" ref="X707:X770" si="138">IF(LEFT(G707,3)="ELC",1,0)</f>
        <v>0</v>
      </c>
      <c r="Y707">
        <f t="shared" ref="Y707:Y770" si="139">IF(L707=M707,1,0)</f>
        <v>0</v>
      </c>
      <c r="AB707">
        <f t="shared" si="130"/>
        <v>1</v>
      </c>
      <c r="AC707">
        <f t="shared" ca="1" si="131"/>
        <v>0</v>
      </c>
      <c r="AD707" t="str">
        <f ca="1">IF(AC707=1,COUNTIF($AC$3:AC707,1),"")</f>
        <v/>
      </c>
      <c r="AE707" s="155" t="str">
        <f ca="1">IFERROR(INDEX(Données!$B$3:$B$1479,MATCH(ROWS($AD$3:AD707),$AD$3:$AD$1479,0)),"")</f>
        <v/>
      </c>
    </row>
    <row r="708" spans="1:31" ht="15.75" x14ac:dyDescent="0.25">
      <c r="A708" t="str">
        <f t="shared" ref="A708:A771" si="140">C708&amp;" "&amp;D708&amp;" - "&amp;F708&amp;" - "&amp;H708</f>
        <v>Michael Liambas - MIN - AG</v>
      </c>
      <c r="B708" t="str">
        <f t="shared" ref="B708:B771" si="141">A708</f>
        <v>Michael Liambas - MIN - AG</v>
      </c>
      <c r="C708" t="str">
        <f t="shared" si="132"/>
        <v>Michael</v>
      </c>
      <c r="D708" t="str">
        <f t="shared" si="133"/>
        <v>Liambas</v>
      </c>
      <c r="E708" s="39" t="s">
        <v>2014</v>
      </c>
      <c r="F708" s="30" t="s">
        <v>21</v>
      </c>
      <c r="G708" s="35">
        <v>0</v>
      </c>
      <c r="H708" s="35" t="s">
        <v>2440</v>
      </c>
      <c r="I708" s="35" t="s">
        <v>2446</v>
      </c>
      <c r="J708" s="35">
        <v>30</v>
      </c>
      <c r="K708" s="35">
        <f>VALUE(COUNTIF(Validation!$A$2:$H$47,E708))</f>
        <v>0</v>
      </c>
      <c r="L708" s="361">
        <f t="shared" si="134"/>
        <v>675000</v>
      </c>
      <c r="M708" s="361">
        <f t="shared" si="135"/>
        <v>0</v>
      </c>
      <c r="N708" s="358">
        <v>675000</v>
      </c>
      <c r="O708" s="358" t="s">
        <v>7</v>
      </c>
      <c r="P708" s="358">
        <v>0</v>
      </c>
      <c r="Q708" s="358">
        <v>0</v>
      </c>
      <c r="R708" s="358">
        <v>0</v>
      </c>
      <c r="S708" s="358">
        <v>0</v>
      </c>
      <c r="T708" s="358">
        <v>0</v>
      </c>
      <c r="U708" s="35">
        <f t="shared" si="136"/>
        <v>1</v>
      </c>
      <c r="W708">
        <f t="shared" si="137"/>
        <v>1</v>
      </c>
      <c r="X708" s="35">
        <f t="shared" si="138"/>
        <v>0</v>
      </c>
      <c r="Y708">
        <f t="shared" si="139"/>
        <v>0</v>
      </c>
      <c r="AB708">
        <f t="shared" ref="AB708:AB771" si="142">SEARCH(AA708,A708)</f>
        <v>1</v>
      </c>
      <c r="AC708">
        <f t="shared" ca="1" si="131"/>
        <v>0</v>
      </c>
      <c r="AD708" t="str">
        <f ca="1">IF(AC708=1,COUNTIF($AC$3:AC708,1),"")</f>
        <v/>
      </c>
      <c r="AE708" s="155" t="str">
        <f ca="1">IFERROR(INDEX(Données!$B$3:$B$1479,MATCH(ROWS($AD$3:AD708),$AD$3:$AD$1479,0)),"")</f>
        <v/>
      </c>
    </row>
    <row r="709" spans="1:31" ht="15.75" x14ac:dyDescent="0.25">
      <c r="A709" t="str">
        <f t="shared" si="140"/>
        <v>Louis Belpedio - MIN - DD</v>
      </c>
      <c r="B709" t="str">
        <f t="shared" si="141"/>
        <v>Louis Belpedio - MIN - DD</v>
      </c>
      <c r="C709" t="str">
        <f t="shared" si="132"/>
        <v>Louis</v>
      </c>
      <c r="D709" t="str">
        <f t="shared" si="133"/>
        <v>Belpedio</v>
      </c>
      <c r="E709" s="39" t="s">
        <v>2005</v>
      </c>
      <c r="F709" s="30" t="s">
        <v>21</v>
      </c>
      <c r="G709" s="35">
        <v>0</v>
      </c>
      <c r="H709" s="35" t="s">
        <v>2444</v>
      </c>
      <c r="I709" s="35" t="s">
        <v>2446</v>
      </c>
      <c r="J709" s="35">
        <v>23</v>
      </c>
      <c r="K709" s="35">
        <f>VALUE(COUNTIF(Validation!$A$2:$H$47,E709))</f>
        <v>0</v>
      </c>
      <c r="L709" s="361">
        <f t="shared" si="134"/>
        <v>0</v>
      </c>
      <c r="M709" s="361">
        <f t="shared" si="135"/>
        <v>0</v>
      </c>
      <c r="N709" s="358" t="s">
        <v>8</v>
      </c>
      <c r="O709" s="358">
        <v>0</v>
      </c>
      <c r="P709" s="358">
        <v>0</v>
      </c>
      <c r="Q709" s="358">
        <v>0</v>
      </c>
      <c r="R709" s="358">
        <v>0</v>
      </c>
      <c r="S709" s="358">
        <v>0</v>
      </c>
      <c r="T709" s="358">
        <v>0</v>
      </c>
      <c r="U709" s="35">
        <f t="shared" si="136"/>
        <v>0</v>
      </c>
      <c r="W709">
        <f t="shared" si="137"/>
        <v>1</v>
      </c>
      <c r="X709" s="35">
        <f t="shared" si="138"/>
        <v>0</v>
      </c>
      <c r="Y709">
        <f t="shared" si="139"/>
        <v>1</v>
      </c>
      <c r="AB709">
        <f t="shared" si="142"/>
        <v>1</v>
      </c>
      <c r="AC709">
        <f t="shared" ref="AC709:AC772" ca="1" si="143">IFERROR(SEARCH(INDIRECT(CELL("adresse")),B709,1),0)</f>
        <v>0</v>
      </c>
      <c r="AD709" t="str">
        <f ca="1">IF(AC709=1,COUNTIF($AC$3:AC709,1),"")</f>
        <v/>
      </c>
      <c r="AE709" s="155" t="str">
        <f ca="1">IFERROR(INDEX(Données!$B$3:$B$1479,MATCH(ROWS($AD$3:AD709),$AD$3:$AD$1479,0)),"")</f>
        <v/>
      </c>
    </row>
    <row r="710" spans="1:31" ht="15.75" x14ac:dyDescent="0.25">
      <c r="A710" t="str">
        <f t="shared" si="140"/>
        <v>Joel ErikssonEk - MIN - C</v>
      </c>
      <c r="B710" t="str">
        <f t="shared" si="141"/>
        <v>Joel ErikssonEk - MIN - C</v>
      </c>
      <c r="C710" t="str">
        <f t="shared" si="132"/>
        <v>Joel</v>
      </c>
      <c r="D710" t="str">
        <f t="shared" si="133"/>
        <v>ErikssonEk</v>
      </c>
      <c r="E710" s="39" t="s">
        <v>2931</v>
      </c>
      <c r="F710" s="30" t="s">
        <v>21</v>
      </c>
      <c r="G710" s="35">
        <v>0</v>
      </c>
      <c r="H710" s="9" t="s">
        <v>73</v>
      </c>
      <c r="I710" s="9" t="s">
        <v>2439</v>
      </c>
      <c r="J710" s="9">
        <v>22</v>
      </c>
      <c r="K710" s="35">
        <f>VALUE(COUNTIF(Validation!$A$2:$H$47,E710))</f>
        <v>0</v>
      </c>
      <c r="L710" s="361">
        <f t="shared" si="134"/>
        <v>0</v>
      </c>
      <c r="M710" s="361">
        <f t="shared" si="135"/>
        <v>0</v>
      </c>
      <c r="N710" s="358" t="s">
        <v>8</v>
      </c>
      <c r="O710" s="358">
        <v>0</v>
      </c>
      <c r="P710" s="358">
        <v>0</v>
      </c>
      <c r="Q710" s="358">
        <v>0</v>
      </c>
      <c r="R710" s="358">
        <v>0</v>
      </c>
      <c r="S710" s="358">
        <v>0</v>
      </c>
      <c r="T710" s="358">
        <v>0</v>
      </c>
      <c r="U710" s="35">
        <f t="shared" si="136"/>
        <v>0</v>
      </c>
      <c r="W710">
        <f t="shared" si="137"/>
        <v>1</v>
      </c>
      <c r="X710" s="35">
        <f t="shared" si="138"/>
        <v>0</v>
      </c>
      <c r="Y710">
        <f t="shared" si="139"/>
        <v>1</v>
      </c>
      <c r="AB710">
        <f t="shared" si="142"/>
        <v>1</v>
      </c>
      <c r="AC710">
        <f t="shared" ca="1" si="143"/>
        <v>0</v>
      </c>
      <c r="AD710" t="str">
        <f ca="1">IF(AC710=1,COUNTIF($AC$3:AC710,1),"")</f>
        <v/>
      </c>
      <c r="AE710" s="155" t="str">
        <f ca="1">IFERROR(INDEX(Données!$B$3:$B$1479,MATCH(ROWS($AD$3:AD710),$AD$3:$AD$1479,0)),"")</f>
        <v/>
      </c>
    </row>
    <row r="711" spans="1:31" ht="15.75" x14ac:dyDescent="0.25">
      <c r="A711" t="str">
        <f t="shared" si="140"/>
        <v>Kevin Fiala - MIN - AG</v>
      </c>
      <c r="B711" t="str">
        <f t="shared" si="141"/>
        <v>Kevin Fiala - MIN - AG</v>
      </c>
      <c r="C711" t="str">
        <f t="shared" si="132"/>
        <v>Kevin</v>
      </c>
      <c r="D711" t="str">
        <f t="shared" si="133"/>
        <v>Fiala</v>
      </c>
      <c r="E711" s="39" t="s">
        <v>2024</v>
      </c>
      <c r="F711" s="30" t="s">
        <v>21</v>
      </c>
      <c r="G711" s="35">
        <v>0</v>
      </c>
      <c r="H711" s="9" t="s">
        <v>2440</v>
      </c>
      <c r="I711" s="9" t="s">
        <v>2439</v>
      </c>
      <c r="J711" s="9">
        <v>23</v>
      </c>
      <c r="K711" s="35">
        <f>VALUE(COUNTIF(Validation!$A$2:$H$47,E711))</f>
        <v>0</v>
      </c>
      <c r="L711" s="361">
        <f t="shared" si="134"/>
        <v>0</v>
      </c>
      <c r="M711" s="361">
        <f t="shared" si="135"/>
        <v>0</v>
      </c>
      <c r="N711" s="358" t="s">
        <v>8</v>
      </c>
      <c r="O711" s="358">
        <v>0</v>
      </c>
      <c r="P711" s="358">
        <v>0</v>
      </c>
      <c r="Q711" s="358">
        <v>0</v>
      </c>
      <c r="R711" s="358">
        <v>0</v>
      </c>
      <c r="S711" s="358">
        <v>0</v>
      </c>
      <c r="T711" s="358">
        <v>0</v>
      </c>
      <c r="U711" s="35">
        <f t="shared" si="136"/>
        <v>0</v>
      </c>
      <c r="W711">
        <f t="shared" si="137"/>
        <v>1</v>
      </c>
      <c r="X711" s="35">
        <f t="shared" si="138"/>
        <v>0</v>
      </c>
      <c r="Y711">
        <f t="shared" si="139"/>
        <v>1</v>
      </c>
      <c r="AB711">
        <f t="shared" si="142"/>
        <v>1</v>
      </c>
      <c r="AC711">
        <f t="shared" ca="1" si="143"/>
        <v>0</v>
      </c>
      <c r="AD711" t="str">
        <f ca="1">IF(AC711=1,COUNTIF($AC$3:AC711,1),"")</f>
        <v/>
      </c>
      <c r="AE711" s="155" t="str">
        <f ca="1">IFERROR(INDEX(Données!$B$3:$B$1479,MATCH(ROWS($AD$3:AD711),$AD$3:$AD$1479,0)),"")</f>
        <v/>
      </c>
    </row>
    <row r="712" spans="1:31" ht="15.75" x14ac:dyDescent="0.25">
      <c r="A712" t="str">
        <f t="shared" si="140"/>
        <v>Carey Price - MTL - G</v>
      </c>
      <c r="B712" t="str">
        <f t="shared" si="141"/>
        <v>Carey Price - MTL - G</v>
      </c>
      <c r="C712" t="str">
        <f t="shared" si="132"/>
        <v>Carey</v>
      </c>
      <c r="D712" t="str">
        <f t="shared" si="133"/>
        <v>Price</v>
      </c>
      <c r="E712" s="39" t="s">
        <v>1495</v>
      </c>
      <c r="F712" s="30" t="s">
        <v>22</v>
      </c>
      <c r="G712" s="35" t="s">
        <v>420</v>
      </c>
      <c r="H712" s="35" t="s">
        <v>127</v>
      </c>
      <c r="I712" s="35" t="s">
        <v>2439</v>
      </c>
      <c r="J712" s="35">
        <v>31</v>
      </c>
      <c r="K712" s="35">
        <f>VALUE(COUNTIF(Validation!$A$2:$H$47,E712))</f>
        <v>0</v>
      </c>
      <c r="L712" s="361">
        <f t="shared" si="134"/>
        <v>10500000</v>
      </c>
      <c r="M712" s="361">
        <f t="shared" si="135"/>
        <v>10500000</v>
      </c>
      <c r="N712" s="358">
        <v>10500000</v>
      </c>
      <c r="O712" s="358">
        <v>10500000</v>
      </c>
      <c r="P712" s="358">
        <v>10500000</v>
      </c>
      <c r="Q712" s="358">
        <v>10500000</v>
      </c>
      <c r="R712" s="358">
        <v>10500000</v>
      </c>
      <c r="S712" s="358">
        <v>10500000</v>
      </c>
      <c r="T712" s="358">
        <v>10500000</v>
      </c>
      <c r="U712" s="35">
        <f t="shared" si="136"/>
        <v>7</v>
      </c>
      <c r="W712">
        <f t="shared" si="137"/>
        <v>1</v>
      </c>
      <c r="X712" s="35">
        <f t="shared" si="138"/>
        <v>0</v>
      </c>
      <c r="Y712">
        <f t="shared" si="139"/>
        <v>1</v>
      </c>
      <c r="AB712">
        <f t="shared" si="142"/>
        <v>1</v>
      </c>
      <c r="AC712">
        <f t="shared" ca="1" si="143"/>
        <v>0</v>
      </c>
      <c r="AD712" t="str">
        <f ca="1">IF(AC712=1,COUNTIF($AC$3:AC712,1),"")</f>
        <v/>
      </c>
      <c r="AE712" s="155" t="str">
        <f ca="1">IFERROR(INDEX(Données!$B$3:$B$1479,MATCH(ROWS($AD$3:AD712),$AD$3:$AD$1479,0)),"")</f>
        <v/>
      </c>
    </row>
    <row r="713" spans="1:31" ht="15.75" x14ac:dyDescent="0.25">
      <c r="A713" t="str">
        <f t="shared" si="140"/>
        <v>Shea Weber - MTL - DD</v>
      </c>
      <c r="B713" t="str">
        <f t="shared" si="141"/>
        <v>Shea Weber - MTL - DD</v>
      </c>
      <c r="C713" t="str">
        <f t="shared" si="132"/>
        <v>Shea</v>
      </c>
      <c r="D713" t="str">
        <f t="shared" si="133"/>
        <v>Weber</v>
      </c>
      <c r="E713" s="39" t="s">
        <v>3013</v>
      </c>
      <c r="F713" s="30" t="s">
        <v>22</v>
      </c>
      <c r="G713" s="35">
        <v>0</v>
      </c>
      <c r="H713" s="9" t="s">
        <v>2444</v>
      </c>
      <c r="I713" s="9" t="s">
        <v>2439</v>
      </c>
      <c r="J713" s="9">
        <v>33</v>
      </c>
      <c r="K713" s="35">
        <f>VALUE(COUNTIF(Validation!$A$2:$H$47,E713))</f>
        <v>0</v>
      </c>
      <c r="L713" s="361">
        <f t="shared" si="134"/>
        <v>7857143</v>
      </c>
      <c r="M713" s="361">
        <f t="shared" si="135"/>
        <v>7857143</v>
      </c>
      <c r="N713" s="358">
        <v>7857143</v>
      </c>
      <c r="O713" s="358">
        <v>7857143</v>
      </c>
      <c r="P713" s="358">
        <v>7857143</v>
      </c>
      <c r="Q713" s="358">
        <v>7857143</v>
      </c>
      <c r="R713" s="358">
        <v>7857143</v>
      </c>
      <c r="S713" s="358">
        <v>7857143</v>
      </c>
      <c r="T713" s="358">
        <v>7857143</v>
      </c>
      <c r="U713" s="35">
        <f t="shared" si="136"/>
        <v>7</v>
      </c>
      <c r="W713">
        <f t="shared" si="137"/>
        <v>1</v>
      </c>
      <c r="X713" s="35">
        <f t="shared" si="138"/>
        <v>0</v>
      </c>
      <c r="Y713">
        <f t="shared" si="139"/>
        <v>1</v>
      </c>
      <c r="AB713">
        <f t="shared" si="142"/>
        <v>1</v>
      </c>
      <c r="AC713">
        <f t="shared" ca="1" si="143"/>
        <v>0</v>
      </c>
      <c r="AD713" t="str">
        <f ca="1">IF(AC713=1,COUNTIF($AC$3:AC713,1),"")</f>
        <v/>
      </c>
      <c r="AE713" s="155" t="str">
        <f ca="1">IFERROR(INDEX(Données!$B$3:$B$1479,MATCH(ROWS($AD$3:AD713),$AD$3:$AD$1479,0)),"")</f>
        <v/>
      </c>
    </row>
    <row r="714" spans="1:31" ht="15.75" x14ac:dyDescent="0.25">
      <c r="A714" t="str">
        <f t="shared" si="140"/>
        <v>Jonathan Drouin - MTL - AG, AD, C</v>
      </c>
      <c r="B714" t="str">
        <f t="shared" si="141"/>
        <v>Jonathan Drouin - MTL - AG, AD, C</v>
      </c>
      <c r="C714" t="str">
        <f t="shared" si="132"/>
        <v>Jonathan</v>
      </c>
      <c r="D714" t="str">
        <f t="shared" si="133"/>
        <v>Drouin</v>
      </c>
      <c r="E714" s="39" t="s">
        <v>1479</v>
      </c>
      <c r="F714" s="30" t="s">
        <v>22</v>
      </c>
      <c r="G714" s="35">
        <v>0</v>
      </c>
      <c r="H714" s="9" t="s">
        <v>2470</v>
      </c>
      <c r="I714" s="9" t="s">
        <v>2439</v>
      </c>
      <c r="J714" s="9">
        <v>24</v>
      </c>
      <c r="K714" s="35">
        <f>VALUE(COUNTIF(Validation!$A$2:$H$47,E714))</f>
        <v>0</v>
      </c>
      <c r="L714" s="361">
        <f t="shared" si="134"/>
        <v>5500000</v>
      </c>
      <c r="M714" s="361">
        <f t="shared" si="135"/>
        <v>5500000</v>
      </c>
      <c r="N714" s="358">
        <v>5500000</v>
      </c>
      <c r="O714" s="358">
        <v>5500000</v>
      </c>
      <c r="P714" s="358">
        <v>5500000</v>
      </c>
      <c r="Q714" s="358">
        <v>5500000</v>
      </c>
      <c r="R714" s="358" t="s">
        <v>7</v>
      </c>
      <c r="S714" s="358">
        <v>0</v>
      </c>
      <c r="T714" s="358">
        <v>0</v>
      </c>
      <c r="U714" s="35">
        <f t="shared" si="136"/>
        <v>4</v>
      </c>
      <c r="W714">
        <f t="shared" si="137"/>
        <v>1</v>
      </c>
      <c r="X714" s="35">
        <f t="shared" si="138"/>
        <v>0</v>
      </c>
      <c r="Y714">
        <f t="shared" si="139"/>
        <v>1</v>
      </c>
      <c r="AB714">
        <f t="shared" si="142"/>
        <v>1</v>
      </c>
      <c r="AC714">
        <f t="shared" ca="1" si="143"/>
        <v>0</v>
      </c>
      <c r="AD714" t="str">
        <f ca="1">IF(AC714=1,COUNTIF($AC$3:AC714,1),"")</f>
        <v/>
      </c>
      <c r="AE714" s="155" t="str">
        <f ca="1">IFERROR(INDEX(Données!$B$3:$B$1479,MATCH(ROWS($AD$3:AD714),$AD$3:$AD$1479,0)),"")</f>
        <v/>
      </c>
    </row>
    <row r="715" spans="1:31" ht="15.75" x14ac:dyDescent="0.25">
      <c r="A715" t="str">
        <f t="shared" si="140"/>
        <v>Jeff Petry - MTL - DD</v>
      </c>
      <c r="B715" t="str">
        <f t="shared" si="141"/>
        <v>Jeff Petry - MTL - DD</v>
      </c>
      <c r="C715" t="str">
        <f t="shared" si="132"/>
        <v>Jeff</v>
      </c>
      <c r="D715" t="str">
        <f t="shared" si="133"/>
        <v>Petry</v>
      </c>
      <c r="E715" s="39" t="s">
        <v>1489</v>
      </c>
      <c r="F715" s="30" t="s">
        <v>22</v>
      </c>
      <c r="G715" s="35" t="s">
        <v>370</v>
      </c>
      <c r="H715" s="9" t="s">
        <v>2444</v>
      </c>
      <c r="I715" s="9" t="s">
        <v>2439</v>
      </c>
      <c r="J715" s="9">
        <v>31</v>
      </c>
      <c r="K715" s="35">
        <f>VALUE(COUNTIF(Validation!$A$2:$H$47,E715))</f>
        <v>0</v>
      </c>
      <c r="L715" s="361">
        <f t="shared" si="134"/>
        <v>5500000</v>
      </c>
      <c r="M715" s="361">
        <f t="shared" si="135"/>
        <v>5500000</v>
      </c>
      <c r="N715" s="358">
        <v>5500000</v>
      </c>
      <c r="O715" s="358">
        <v>5500000</v>
      </c>
      <c r="P715" s="358" t="s">
        <v>7</v>
      </c>
      <c r="Q715" s="358">
        <v>0</v>
      </c>
      <c r="R715" s="358">
        <v>0</v>
      </c>
      <c r="S715" s="358">
        <v>0</v>
      </c>
      <c r="T715" s="358">
        <v>0</v>
      </c>
      <c r="U715" s="35">
        <f t="shared" si="136"/>
        <v>2</v>
      </c>
      <c r="W715">
        <f t="shared" si="137"/>
        <v>1</v>
      </c>
      <c r="X715" s="35">
        <f t="shared" si="138"/>
        <v>0</v>
      </c>
      <c r="Y715">
        <f t="shared" si="139"/>
        <v>1</v>
      </c>
      <c r="AB715">
        <f t="shared" si="142"/>
        <v>1</v>
      </c>
      <c r="AC715">
        <f t="shared" ca="1" si="143"/>
        <v>0</v>
      </c>
      <c r="AD715" t="str">
        <f ca="1">IF(AC715=1,COUNTIF($AC$3:AC715,1),"")</f>
        <v/>
      </c>
      <c r="AE715" s="155" t="str">
        <f ca="1">IFERROR(INDEX(Données!$B$3:$B$1479,MATCH(ROWS($AD$3:AD715),$AD$3:$AD$1479,0)),"")</f>
        <v/>
      </c>
    </row>
    <row r="716" spans="1:31" ht="15.75" x14ac:dyDescent="0.25">
      <c r="A716" t="str">
        <f t="shared" si="140"/>
        <v>Tomas Tatar - MTL - AG, AD</v>
      </c>
      <c r="B716" t="str">
        <f t="shared" si="141"/>
        <v>Tomas Tatar - MTL - AG, AD</v>
      </c>
      <c r="C716" t="str">
        <f t="shared" si="132"/>
        <v>Tomas</v>
      </c>
      <c r="D716" t="str">
        <f t="shared" si="133"/>
        <v>Tatar</v>
      </c>
      <c r="E716" s="39" t="s">
        <v>1480</v>
      </c>
      <c r="F716" s="30" t="s">
        <v>22</v>
      </c>
      <c r="G716" s="35" t="s">
        <v>2504</v>
      </c>
      <c r="H716" s="35" t="s">
        <v>2442</v>
      </c>
      <c r="I716" s="35" t="s">
        <v>2439</v>
      </c>
      <c r="J716" s="35">
        <v>28</v>
      </c>
      <c r="K716" s="35">
        <f>VALUE(COUNTIF(Validation!$A$2:$H$47,E716))</f>
        <v>0</v>
      </c>
      <c r="L716" s="361">
        <f t="shared" si="134"/>
        <v>4800000</v>
      </c>
      <c r="M716" s="361">
        <f t="shared" si="135"/>
        <v>4800000</v>
      </c>
      <c r="N716" s="358">
        <v>4800000</v>
      </c>
      <c r="O716" s="358">
        <v>4800000</v>
      </c>
      <c r="P716" s="358" t="s">
        <v>7</v>
      </c>
      <c r="Q716" s="358">
        <v>0</v>
      </c>
      <c r="R716" s="358">
        <v>0</v>
      </c>
      <c r="S716" s="358">
        <v>0</v>
      </c>
      <c r="T716" s="358">
        <v>0</v>
      </c>
      <c r="U716" s="35">
        <f t="shared" si="136"/>
        <v>2</v>
      </c>
      <c r="W716">
        <f t="shared" si="137"/>
        <v>1</v>
      </c>
      <c r="X716" s="35">
        <f t="shared" si="138"/>
        <v>0</v>
      </c>
      <c r="Y716">
        <f t="shared" si="139"/>
        <v>1</v>
      </c>
      <c r="AB716">
        <f t="shared" si="142"/>
        <v>1</v>
      </c>
      <c r="AC716">
        <f t="shared" ca="1" si="143"/>
        <v>0</v>
      </c>
      <c r="AD716" t="str">
        <f ca="1">IF(AC716=1,COUNTIF($AC$3:AC716,1),"")</f>
        <v/>
      </c>
      <c r="AE716" s="155" t="str">
        <f ca="1">IFERROR(INDEX(Données!$B$3:$B$1479,MATCH(ROWS($AD$3:AD716),$AD$3:$AD$1479,0)),"")</f>
        <v/>
      </c>
    </row>
    <row r="717" spans="1:31" ht="15.75" x14ac:dyDescent="0.25">
      <c r="A717" t="str">
        <f t="shared" si="140"/>
        <v>Karl Alzner - MTL - DG</v>
      </c>
      <c r="B717" t="str">
        <f t="shared" si="141"/>
        <v>Karl Alzner - MTL - DG</v>
      </c>
      <c r="C717" t="str">
        <f t="shared" si="132"/>
        <v>Karl</v>
      </c>
      <c r="D717" t="str">
        <f t="shared" si="133"/>
        <v>Alzner</v>
      </c>
      <c r="E717" s="39" t="s">
        <v>1490</v>
      </c>
      <c r="F717" s="30" t="s">
        <v>22</v>
      </c>
      <c r="G717" s="35" t="s">
        <v>381</v>
      </c>
      <c r="H717" s="35" t="s">
        <v>2445</v>
      </c>
      <c r="I717" s="35" t="s">
        <v>2439</v>
      </c>
      <c r="J717" s="35">
        <v>30</v>
      </c>
      <c r="K717" s="35">
        <f>VALUE(COUNTIF(Validation!$A$2:$H$47,E717))</f>
        <v>0</v>
      </c>
      <c r="L717" s="361">
        <f t="shared" si="134"/>
        <v>4625000</v>
      </c>
      <c r="M717" s="361">
        <f t="shared" si="135"/>
        <v>4625000</v>
      </c>
      <c r="N717" s="358">
        <v>4625000</v>
      </c>
      <c r="O717" s="358">
        <v>4625000</v>
      </c>
      <c r="P717" s="358">
        <v>4625000</v>
      </c>
      <c r="Q717" s="358" t="s">
        <v>7</v>
      </c>
      <c r="R717" s="358">
        <v>0</v>
      </c>
      <c r="S717" s="358">
        <v>0</v>
      </c>
      <c r="T717" s="358">
        <v>0</v>
      </c>
      <c r="U717" s="35">
        <f t="shared" si="136"/>
        <v>3</v>
      </c>
      <c r="W717">
        <f t="shared" si="137"/>
        <v>1</v>
      </c>
      <c r="X717" s="35">
        <f t="shared" si="138"/>
        <v>0</v>
      </c>
      <c r="Y717">
        <f t="shared" si="139"/>
        <v>1</v>
      </c>
      <c r="AB717">
        <f t="shared" si="142"/>
        <v>1</v>
      </c>
      <c r="AC717">
        <f t="shared" ca="1" si="143"/>
        <v>0</v>
      </c>
      <c r="AD717" t="str">
        <f ca="1">IF(AC717=1,COUNTIF($AC$3:AC717,1),"")</f>
        <v/>
      </c>
      <c r="AE717" s="155" t="str">
        <f ca="1">IFERROR(INDEX(Données!$B$3:$B$1479,MATCH(ROWS($AD$3:AD717),$AD$3:$AD$1479,0)),"")</f>
        <v/>
      </c>
    </row>
    <row r="718" spans="1:31" ht="15.75" x14ac:dyDescent="0.25">
      <c r="A718" t="str">
        <f t="shared" si="140"/>
        <v>Brendan Gallagher - MTL - AD</v>
      </c>
      <c r="B718" t="str">
        <f t="shared" si="141"/>
        <v>Brendan Gallagher - MTL - AD</v>
      </c>
      <c r="C718" t="str">
        <f t="shared" si="132"/>
        <v>Brendan</v>
      </c>
      <c r="D718" t="str">
        <f t="shared" si="133"/>
        <v>Gallagher</v>
      </c>
      <c r="E718" s="39" t="s">
        <v>2962</v>
      </c>
      <c r="F718" s="30" t="s">
        <v>22</v>
      </c>
      <c r="G718" s="35">
        <v>0</v>
      </c>
      <c r="H718" s="35" t="s">
        <v>2438</v>
      </c>
      <c r="I718" s="35" t="s">
        <v>2439</v>
      </c>
      <c r="J718" s="35">
        <v>27</v>
      </c>
      <c r="K718" s="35">
        <f>VALUE(COUNTIF(Validation!$A$2:$H$47,E718))</f>
        <v>0</v>
      </c>
      <c r="L718" s="361">
        <f t="shared" si="134"/>
        <v>3750000</v>
      </c>
      <c r="M718" s="361">
        <f t="shared" si="135"/>
        <v>3750000</v>
      </c>
      <c r="N718" s="358">
        <v>3750000</v>
      </c>
      <c r="O718" s="358">
        <v>3750000</v>
      </c>
      <c r="P718" s="358" t="s">
        <v>7</v>
      </c>
      <c r="Q718" s="358">
        <v>0</v>
      </c>
      <c r="R718" s="358">
        <v>0</v>
      </c>
      <c r="S718" s="358">
        <v>0</v>
      </c>
      <c r="T718" s="358">
        <v>0</v>
      </c>
      <c r="U718" s="35">
        <f t="shared" si="136"/>
        <v>2</v>
      </c>
      <c r="W718">
        <f t="shared" si="137"/>
        <v>1</v>
      </c>
      <c r="X718" s="35">
        <f t="shared" si="138"/>
        <v>0</v>
      </c>
      <c r="Y718">
        <f t="shared" si="139"/>
        <v>1</v>
      </c>
      <c r="AB718">
        <f t="shared" si="142"/>
        <v>1</v>
      </c>
      <c r="AC718">
        <f t="shared" ca="1" si="143"/>
        <v>0</v>
      </c>
      <c r="AD718" t="str">
        <f ca="1">IF(AC718=1,COUNTIF($AC$3:AC718,1),"")</f>
        <v/>
      </c>
      <c r="AE718" s="155" t="str">
        <f ca="1">IFERROR(INDEX(Données!$B$3:$B$1479,MATCH(ROWS($AD$3:AD718),$AD$3:$AD$1479,0)),"")</f>
        <v/>
      </c>
    </row>
    <row r="719" spans="1:31" ht="15.75" x14ac:dyDescent="0.25">
      <c r="A719" t="str">
        <f t="shared" si="140"/>
        <v>Ben Chiarot - MTL - DG</v>
      </c>
      <c r="B719" t="str">
        <f t="shared" si="141"/>
        <v>Ben Chiarot - MTL - DG</v>
      </c>
      <c r="C719" t="str">
        <f t="shared" si="132"/>
        <v>Ben</v>
      </c>
      <c r="D719" t="str">
        <f t="shared" si="133"/>
        <v>Chiarot</v>
      </c>
      <c r="E719" s="39" t="s">
        <v>2731</v>
      </c>
      <c r="F719" s="30" t="s">
        <v>22</v>
      </c>
      <c r="G719" s="35" t="s">
        <v>381</v>
      </c>
      <c r="H719" s="35" t="s">
        <v>2445</v>
      </c>
      <c r="I719" s="35" t="s">
        <v>2439</v>
      </c>
      <c r="J719" s="35">
        <v>28</v>
      </c>
      <c r="K719" s="35">
        <f>VALUE(COUNTIF(Validation!$A$2:$H$47,E719))</f>
        <v>0</v>
      </c>
      <c r="L719" s="361">
        <f t="shared" si="134"/>
        <v>3500000</v>
      </c>
      <c r="M719" s="361">
        <f t="shared" si="135"/>
        <v>3500000</v>
      </c>
      <c r="N719" s="358">
        <v>3500000</v>
      </c>
      <c r="O719" s="358">
        <v>3500000</v>
      </c>
      <c r="P719" s="358">
        <v>3500000</v>
      </c>
      <c r="Q719" s="358" t="s">
        <v>7</v>
      </c>
      <c r="R719" s="358">
        <v>0</v>
      </c>
      <c r="S719" s="358">
        <v>0</v>
      </c>
      <c r="T719" s="358">
        <v>0</v>
      </c>
      <c r="U719" s="35">
        <f t="shared" si="136"/>
        <v>3</v>
      </c>
      <c r="W719">
        <f t="shared" si="137"/>
        <v>1</v>
      </c>
      <c r="X719" s="35">
        <f t="shared" si="138"/>
        <v>0</v>
      </c>
      <c r="Y719">
        <f t="shared" si="139"/>
        <v>1</v>
      </c>
      <c r="AB719">
        <f t="shared" si="142"/>
        <v>1</v>
      </c>
      <c r="AC719">
        <f t="shared" ca="1" si="143"/>
        <v>0</v>
      </c>
      <c r="AD719" t="str">
        <f ca="1">IF(AC719=1,COUNTIF($AC$3:AC719,1),"")</f>
        <v/>
      </c>
      <c r="AE719" s="155" t="str">
        <f ca="1">IFERROR(INDEX(Données!$B$3:$B$1479,MATCH(ROWS($AD$3:AD719),$AD$3:$AD$1479,0)),"")</f>
        <v/>
      </c>
    </row>
    <row r="720" spans="1:31" ht="15.75" x14ac:dyDescent="0.25">
      <c r="A720" t="str">
        <f t="shared" si="140"/>
        <v>Jesperi Kotkaniemi - MTL - C, AG</v>
      </c>
      <c r="B720" t="str">
        <f t="shared" si="141"/>
        <v>Jesperi Kotkaniemi - MTL - C, AG</v>
      </c>
      <c r="C720" t="str">
        <f t="shared" si="132"/>
        <v>Jesperi</v>
      </c>
      <c r="D720" t="str">
        <f t="shared" si="133"/>
        <v>Kotkaniemi</v>
      </c>
      <c r="E720" s="39" t="s">
        <v>1497</v>
      </c>
      <c r="F720" s="30" t="s">
        <v>22</v>
      </c>
      <c r="G720" s="35" t="s">
        <v>386</v>
      </c>
      <c r="H720" s="35" t="s">
        <v>2452</v>
      </c>
      <c r="I720" s="35" t="s">
        <v>2439</v>
      </c>
      <c r="J720" s="35">
        <v>19</v>
      </c>
      <c r="K720" s="35">
        <f>VALUE(COUNTIF(Validation!$A$2:$H$47,E720))</f>
        <v>0</v>
      </c>
      <c r="L720" s="361">
        <f t="shared" si="134"/>
        <v>3425000</v>
      </c>
      <c r="M720" s="361">
        <f t="shared" si="135"/>
        <v>3425000</v>
      </c>
      <c r="N720" s="358">
        <v>3425000</v>
      </c>
      <c r="O720" s="358">
        <v>3425000</v>
      </c>
      <c r="P720" s="358" t="s">
        <v>8</v>
      </c>
      <c r="Q720" s="358">
        <v>0</v>
      </c>
      <c r="R720" s="358">
        <v>0</v>
      </c>
      <c r="S720" s="358">
        <v>0</v>
      </c>
      <c r="T720" s="358">
        <v>0</v>
      </c>
      <c r="U720" s="35">
        <f t="shared" si="136"/>
        <v>2</v>
      </c>
      <c r="W720">
        <f t="shared" si="137"/>
        <v>1</v>
      </c>
      <c r="X720" s="35">
        <f t="shared" si="138"/>
        <v>1</v>
      </c>
      <c r="Y720">
        <f t="shared" si="139"/>
        <v>1</v>
      </c>
      <c r="AB720">
        <f t="shared" si="142"/>
        <v>1</v>
      </c>
      <c r="AC720">
        <f t="shared" ca="1" si="143"/>
        <v>0</v>
      </c>
      <c r="AD720" t="str">
        <f ca="1">IF(AC720=1,COUNTIF($AC$3:AC720,1),"")</f>
        <v/>
      </c>
      <c r="AE720" s="155" t="str">
        <f ca="1">IFERROR(INDEX(Données!$B$3:$B$1479,MATCH(ROWS($AD$3:AD720),$AD$3:$AD$1479,0)),"")</f>
        <v/>
      </c>
    </row>
    <row r="721" spans="1:31" ht="15.75" x14ac:dyDescent="0.25">
      <c r="A721" t="str">
        <f t="shared" si="140"/>
        <v>Paul Byron - MTL - AG, AD</v>
      </c>
      <c r="B721" t="str">
        <f t="shared" si="141"/>
        <v>Paul Byron - MTL - AG, AD</v>
      </c>
      <c r="C721" t="str">
        <f t="shared" si="132"/>
        <v>Paul</v>
      </c>
      <c r="D721" t="str">
        <f t="shared" si="133"/>
        <v>Byron</v>
      </c>
      <c r="E721" s="39" t="s">
        <v>2947</v>
      </c>
      <c r="F721" s="30" t="s">
        <v>22</v>
      </c>
      <c r="G721" s="35">
        <v>0</v>
      </c>
      <c r="H721" s="35" t="s">
        <v>2442</v>
      </c>
      <c r="I721" s="35" t="s">
        <v>2439</v>
      </c>
      <c r="J721" s="35">
        <v>30</v>
      </c>
      <c r="K721" s="35">
        <f>VALUE(COUNTIF(Validation!$A$2:$H$47,E721))</f>
        <v>0</v>
      </c>
      <c r="L721" s="361">
        <f t="shared" si="134"/>
        <v>3400000</v>
      </c>
      <c r="M721" s="361">
        <f t="shared" si="135"/>
        <v>3400000</v>
      </c>
      <c r="N721" s="358">
        <v>3400000</v>
      </c>
      <c r="O721" s="358">
        <v>3400000</v>
      </c>
      <c r="P721" s="358">
        <v>3400000</v>
      </c>
      <c r="Q721" s="358">
        <v>3400000</v>
      </c>
      <c r="R721" s="358" t="s">
        <v>7</v>
      </c>
      <c r="S721" s="358">
        <v>0</v>
      </c>
      <c r="T721" s="358">
        <v>0</v>
      </c>
      <c r="U721" s="35">
        <f t="shared" si="136"/>
        <v>4</v>
      </c>
      <c r="W721">
        <f t="shared" si="137"/>
        <v>1</v>
      </c>
      <c r="X721" s="35">
        <f t="shared" si="138"/>
        <v>0</v>
      </c>
      <c r="Y721">
        <f t="shared" si="139"/>
        <v>1</v>
      </c>
      <c r="AB721">
        <f t="shared" si="142"/>
        <v>1</v>
      </c>
      <c r="AC721">
        <f t="shared" ca="1" si="143"/>
        <v>0</v>
      </c>
      <c r="AD721" t="str">
        <f ca="1">IF(AC721=1,COUNTIF($AC$3:AC721,1),"")</f>
        <v/>
      </c>
      <c r="AE721" s="155" t="str">
        <f ca="1">IFERROR(INDEX(Données!$B$3:$B$1479,MATCH(ROWS($AD$3:AD721),$AD$3:$AD$1479,0)),"")</f>
        <v/>
      </c>
    </row>
    <row r="722" spans="1:31" ht="15.75" x14ac:dyDescent="0.25">
      <c r="A722" t="str">
        <f t="shared" si="140"/>
        <v>Max Domi - MTL - C, AG</v>
      </c>
      <c r="B722" t="str">
        <f t="shared" si="141"/>
        <v>Max Domi - MTL - C, AG</v>
      </c>
      <c r="C722" t="str">
        <f t="shared" si="132"/>
        <v>Max</v>
      </c>
      <c r="D722" t="str">
        <f t="shared" si="133"/>
        <v>Domi</v>
      </c>
      <c r="E722" s="39" t="s">
        <v>1482</v>
      </c>
      <c r="F722" s="30" t="s">
        <v>22</v>
      </c>
      <c r="G722" s="35">
        <v>0</v>
      </c>
      <c r="H722" s="9" t="s">
        <v>2452</v>
      </c>
      <c r="I722" s="9" t="s">
        <v>2439</v>
      </c>
      <c r="J722" s="9">
        <v>24</v>
      </c>
      <c r="K722" s="35">
        <f>VALUE(COUNTIF(Validation!$A$2:$H$47,E722))</f>
        <v>0</v>
      </c>
      <c r="L722" s="361">
        <f t="shared" si="134"/>
        <v>3150000</v>
      </c>
      <c r="M722" s="361">
        <f t="shared" si="135"/>
        <v>0</v>
      </c>
      <c r="N722" s="358">
        <v>3150000</v>
      </c>
      <c r="O722" s="358" t="s">
        <v>8</v>
      </c>
      <c r="P722" s="358">
        <v>0</v>
      </c>
      <c r="Q722" s="358">
        <v>0</v>
      </c>
      <c r="R722" s="358">
        <v>0</v>
      </c>
      <c r="S722" s="358">
        <v>0</v>
      </c>
      <c r="T722" s="358">
        <v>0</v>
      </c>
      <c r="U722" s="35">
        <f t="shared" si="136"/>
        <v>1</v>
      </c>
      <c r="W722">
        <f t="shared" si="137"/>
        <v>1</v>
      </c>
      <c r="X722" s="35">
        <f t="shared" si="138"/>
        <v>0</v>
      </c>
      <c r="Y722">
        <f t="shared" si="139"/>
        <v>0</v>
      </c>
      <c r="AB722">
        <f t="shared" si="142"/>
        <v>1</v>
      </c>
      <c r="AC722">
        <f t="shared" ca="1" si="143"/>
        <v>0</v>
      </c>
      <c r="AD722" t="str">
        <f ca="1">IF(AC722=1,COUNTIF($AC$3:AC722,1),"")</f>
        <v/>
      </c>
      <c r="AE722" s="155" t="str">
        <f ca="1">IFERROR(INDEX(Données!$B$3:$B$1479,MATCH(ROWS($AD$3:AD722),$AD$3:$AD$1479,0)),"")</f>
        <v/>
      </c>
    </row>
    <row r="723" spans="1:31" ht="15.75" x14ac:dyDescent="0.25">
      <c r="A723" t="str">
        <f t="shared" si="140"/>
        <v>Phillip Danault - MTL - C</v>
      </c>
      <c r="B723" t="str">
        <f t="shared" si="141"/>
        <v>Phillip Danault - MTL - C</v>
      </c>
      <c r="C723" t="str">
        <f t="shared" si="132"/>
        <v>Phillip</v>
      </c>
      <c r="D723" t="str">
        <f t="shared" si="133"/>
        <v>Danault</v>
      </c>
      <c r="E723" s="39" t="s">
        <v>1483</v>
      </c>
      <c r="F723" s="30" t="s">
        <v>22</v>
      </c>
      <c r="G723" s="35">
        <v>0</v>
      </c>
      <c r="H723" s="35" t="s">
        <v>73</v>
      </c>
      <c r="I723" s="35" t="s">
        <v>2439</v>
      </c>
      <c r="J723" s="35">
        <v>26</v>
      </c>
      <c r="K723" s="35">
        <f>VALUE(COUNTIF(Validation!$A$2:$H$47,E723))</f>
        <v>0</v>
      </c>
      <c r="L723" s="361">
        <f t="shared" si="134"/>
        <v>3083333</v>
      </c>
      <c r="M723" s="361">
        <f t="shared" si="135"/>
        <v>3083333</v>
      </c>
      <c r="N723" s="358">
        <v>3083333</v>
      </c>
      <c r="O723" s="358">
        <v>3083333</v>
      </c>
      <c r="P723" s="358" t="s">
        <v>7</v>
      </c>
      <c r="Q723" s="358">
        <v>0</v>
      </c>
      <c r="R723" s="358">
        <v>0</v>
      </c>
      <c r="S723" s="358">
        <v>0</v>
      </c>
      <c r="T723" s="358">
        <v>0</v>
      </c>
      <c r="U723" s="35">
        <f t="shared" si="136"/>
        <v>2</v>
      </c>
      <c r="W723">
        <f t="shared" si="137"/>
        <v>1</v>
      </c>
      <c r="X723" s="35">
        <f t="shared" si="138"/>
        <v>0</v>
      </c>
      <c r="Y723">
        <f t="shared" si="139"/>
        <v>1</v>
      </c>
      <c r="AB723">
        <f t="shared" si="142"/>
        <v>1</v>
      </c>
      <c r="AC723">
        <f t="shared" ca="1" si="143"/>
        <v>0</v>
      </c>
      <c r="AD723" t="str">
        <f ca="1">IF(AC723=1,COUNTIF($AC$3:AC723,1),"")</f>
        <v/>
      </c>
      <c r="AE723" s="155" t="str">
        <f ca="1">IFERROR(INDEX(Données!$B$3:$B$1479,MATCH(ROWS($AD$3:AD723),$AD$3:$AD$1479,0)),"")</f>
        <v/>
      </c>
    </row>
    <row r="724" spans="1:31" ht="15.75" x14ac:dyDescent="0.25">
      <c r="A724" t="str">
        <f t="shared" si="140"/>
        <v>Joel Armia - MTL - AD</v>
      </c>
      <c r="B724" t="str">
        <f t="shared" si="141"/>
        <v>Joel Armia - MTL - AD</v>
      </c>
      <c r="C724" t="str">
        <f t="shared" si="132"/>
        <v>Joel</v>
      </c>
      <c r="D724" t="str">
        <f t="shared" si="133"/>
        <v>Armia</v>
      </c>
      <c r="E724" s="39" t="s">
        <v>1484</v>
      </c>
      <c r="F724" s="30" t="s">
        <v>22</v>
      </c>
      <c r="G724" s="35">
        <v>0</v>
      </c>
      <c r="H724" s="35" t="s">
        <v>2438</v>
      </c>
      <c r="I724" s="35" t="s">
        <v>2439</v>
      </c>
      <c r="J724" s="35">
        <v>26</v>
      </c>
      <c r="K724" s="35">
        <f>VALUE(COUNTIF(Validation!$A$2:$H$47,E724))</f>
        <v>0</v>
      </c>
      <c r="L724" s="361">
        <f t="shared" si="134"/>
        <v>2600000</v>
      </c>
      <c r="M724" s="361">
        <f t="shared" si="135"/>
        <v>2600000</v>
      </c>
      <c r="N724" s="358">
        <v>2600000</v>
      </c>
      <c r="O724" s="358">
        <v>2600000</v>
      </c>
      <c r="P724" s="358" t="s">
        <v>7</v>
      </c>
      <c r="Q724" s="358">
        <v>0</v>
      </c>
      <c r="R724" s="358">
        <v>0</v>
      </c>
      <c r="S724" s="358">
        <v>0</v>
      </c>
      <c r="T724" s="358">
        <v>0</v>
      </c>
      <c r="U724" s="35">
        <f t="shared" si="136"/>
        <v>2</v>
      </c>
      <c r="W724">
        <f t="shared" si="137"/>
        <v>1</v>
      </c>
      <c r="X724" s="35">
        <f t="shared" si="138"/>
        <v>0</v>
      </c>
      <c r="Y724">
        <f t="shared" si="139"/>
        <v>1</v>
      </c>
      <c r="AB724">
        <f t="shared" si="142"/>
        <v>1</v>
      </c>
      <c r="AC724">
        <f t="shared" ca="1" si="143"/>
        <v>0</v>
      </c>
      <c r="AD724" t="str">
        <f ca="1">IF(AC724=1,COUNTIF($AC$3:AC724,1),"")</f>
        <v/>
      </c>
      <c r="AE724" s="155" t="str">
        <f ca="1">IFERROR(INDEX(Données!$B$3:$B$1479,MATCH(ROWS($AD$3:AD724),$AD$3:$AD$1479,0)),"")</f>
        <v/>
      </c>
    </row>
    <row r="725" spans="1:31" ht="15.75" x14ac:dyDescent="0.25">
      <c r="A725" t="str">
        <f t="shared" si="140"/>
        <v>Artturi Lehkonen - MTL - AG, AD</v>
      </c>
      <c r="B725" t="str">
        <f t="shared" si="141"/>
        <v>Artturi Lehkonen - MTL - AG, AD</v>
      </c>
      <c r="C725" t="str">
        <f t="shared" si="132"/>
        <v>Artturi</v>
      </c>
      <c r="D725" t="str">
        <f t="shared" si="133"/>
        <v>Lehkonen</v>
      </c>
      <c r="E725" s="39" t="s">
        <v>1487</v>
      </c>
      <c r="F725" s="30" t="s">
        <v>22</v>
      </c>
      <c r="G725" s="35">
        <v>0</v>
      </c>
      <c r="H725" s="9" t="s">
        <v>2442</v>
      </c>
      <c r="I725" s="9" t="s">
        <v>2439</v>
      </c>
      <c r="J725" s="9">
        <v>24</v>
      </c>
      <c r="K725" s="35">
        <f>VALUE(COUNTIF(Validation!$A$2:$H$47,E725))</f>
        <v>0</v>
      </c>
      <c r="L725" s="361">
        <f t="shared" si="134"/>
        <v>2400000</v>
      </c>
      <c r="M725" s="361">
        <f t="shared" si="135"/>
        <v>2400000</v>
      </c>
      <c r="N725" s="358">
        <v>2400000</v>
      </c>
      <c r="O725" s="358">
        <v>2400000</v>
      </c>
      <c r="P725" s="358" t="s">
        <v>8</v>
      </c>
      <c r="Q725" s="358">
        <v>0</v>
      </c>
      <c r="R725" s="358">
        <v>0</v>
      </c>
      <c r="S725" s="358">
        <v>0</v>
      </c>
      <c r="T725" s="358">
        <v>0</v>
      </c>
      <c r="U725" s="35">
        <f t="shared" si="136"/>
        <v>2</v>
      </c>
      <c r="W725">
        <f t="shared" si="137"/>
        <v>1</v>
      </c>
      <c r="X725" s="35">
        <f t="shared" si="138"/>
        <v>0</v>
      </c>
      <c r="Y725">
        <f t="shared" si="139"/>
        <v>1</v>
      </c>
      <c r="AB725">
        <f t="shared" si="142"/>
        <v>1</v>
      </c>
      <c r="AC725">
        <f t="shared" ca="1" si="143"/>
        <v>0</v>
      </c>
      <c r="AD725" t="str">
        <f ca="1">IF(AC725=1,COUNTIF($AC$3:AC725,1),"")</f>
        <v/>
      </c>
      <c r="AE725" s="155" t="str">
        <f ca="1">IFERROR(INDEX(Données!$B$3:$B$1479,MATCH(ROWS($AD$3:AD725),$AD$3:$AD$1479,0)),"")</f>
        <v/>
      </c>
    </row>
    <row r="726" spans="1:31" ht="15.75" x14ac:dyDescent="0.25">
      <c r="A726" t="str">
        <f t="shared" si="140"/>
        <v>Dale Weise - MTL - AD, AG</v>
      </c>
      <c r="B726" t="str">
        <f t="shared" si="141"/>
        <v>Dale Weise - MTL - AD, AG</v>
      </c>
      <c r="C726" t="str">
        <f t="shared" si="132"/>
        <v>Dale</v>
      </c>
      <c r="D726" t="str">
        <f t="shared" si="133"/>
        <v>Weise</v>
      </c>
      <c r="E726" s="39" t="s">
        <v>1786</v>
      </c>
      <c r="F726" s="30" t="s">
        <v>22</v>
      </c>
      <c r="G726" s="35">
        <v>0</v>
      </c>
      <c r="H726" s="9" t="s">
        <v>2441</v>
      </c>
      <c r="I726" s="9" t="s">
        <v>2439</v>
      </c>
      <c r="J726" s="9">
        <v>31</v>
      </c>
      <c r="K726" s="35">
        <f>VALUE(COUNTIF(Validation!$A$2:$H$47,E726))</f>
        <v>0</v>
      </c>
      <c r="L726" s="361">
        <f t="shared" si="134"/>
        <v>2350000</v>
      </c>
      <c r="M726" s="361">
        <f t="shared" si="135"/>
        <v>0</v>
      </c>
      <c r="N726" s="358">
        <v>2350000</v>
      </c>
      <c r="O726" s="358" t="s">
        <v>7</v>
      </c>
      <c r="P726" s="358">
        <v>0</v>
      </c>
      <c r="Q726" s="358">
        <v>0</v>
      </c>
      <c r="R726" s="358">
        <v>0</v>
      </c>
      <c r="S726" s="358">
        <v>0</v>
      </c>
      <c r="T726" s="358">
        <v>0</v>
      </c>
      <c r="U726" s="35">
        <f t="shared" si="136"/>
        <v>1</v>
      </c>
      <c r="W726">
        <f t="shared" si="137"/>
        <v>1</v>
      </c>
      <c r="X726" s="35">
        <f t="shared" si="138"/>
        <v>0</v>
      </c>
      <c r="Y726">
        <f t="shared" si="139"/>
        <v>0</v>
      </c>
      <c r="AB726">
        <f t="shared" si="142"/>
        <v>1</v>
      </c>
      <c r="AC726">
        <f t="shared" ca="1" si="143"/>
        <v>0</v>
      </c>
      <c r="AD726" t="str">
        <f ca="1">IF(AC726=1,COUNTIF($AC$3:AC726,1),"")</f>
        <v/>
      </c>
      <c r="AE726" s="155" t="str">
        <f ca="1">IFERROR(INDEX(Données!$B$3:$B$1479,MATCH(ROWS($AD$3:AD726),$AD$3:$AD$1479,0)),"")</f>
        <v/>
      </c>
    </row>
    <row r="727" spans="1:31" ht="15.75" x14ac:dyDescent="0.25">
      <c r="A727" t="str">
        <f t="shared" si="140"/>
        <v>Brett Kulak - MTL - DG</v>
      </c>
      <c r="B727" t="str">
        <f t="shared" si="141"/>
        <v>Brett Kulak - MTL - DG</v>
      </c>
      <c r="C727" t="str">
        <f t="shared" si="132"/>
        <v>Brett</v>
      </c>
      <c r="D727" t="str">
        <f t="shared" si="133"/>
        <v>Kulak</v>
      </c>
      <c r="E727" s="39" t="s">
        <v>2201</v>
      </c>
      <c r="F727" s="30" t="s">
        <v>22</v>
      </c>
      <c r="G727" s="35">
        <v>0</v>
      </c>
      <c r="H727" s="35" t="s">
        <v>2445</v>
      </c>
      <c r="I727" s="35" t="s">
        <v>2439</v>
      </c>
      <c r="J727" s="35">
        <v>25</v>
      </c>
      <c r="K727" s="35">
        <f>VALUE(COUNTIF(Validation!$A$2:$H$47,E727))</f>
        <v>0</v>
      </c>
      <c r="L727" s="361">
        <f t="shared" si="134"/>
        <v>1850000</v>
      </c>
      <c r="M727" s="361">
        <f t="shared" si="135"/>
        <v>1850000</v>
      </c>
      <c r="N727" s="358">
        <v>1850000</v>
      </c>
      <c r="O727" s="358">
        <v>1850000</v>
      </c>
      <c r="P727" s="358">
        <v>1850000</v>
      </c>
      <c r="Q727" s="358" t="s">
        <v>7</v>
      </c>
      <c r="R727" s="358">
        <v>0</v>
      </c>
      <c r="S727" s="358">
        <v>0</v>
      </c>
      <c r="T727" s="358">
        <v>0</v>
      </c>
      <c r="U727" s="35">
        <f t="shared" si="136"/>
        <v>3</v>
      </c>
      <c r="W727">
        <f t="shared" si="137"/>
        <v>1</v>
      </c>
      <c r="X727" s="35">
        <f t="shared" si="138"/>
        <v>0</v>
      </c>
      <c r="Y727">
        <f t="shared" si="139"/>
        <v>1</v>
      </c>
      <c r="AB727">
        <f t="shared" si="142"/>
        <v>1</v>
      </c>
      <c r="AC727">
        <f t="shared" ca="1" si="143"/>
        <v>0</v>
      </c>
      <c r="AD727" t="str">
        <f ca="1">IF(AC727=1,COUNTIF($AC$3:AC727,1),"")</f>
        <v/>
      </c>
      <c r="AE727" s="155" t="str">
        <f ca="1">IFERROR(INDEX(Données!$B$3:$B$1479,MATCH(ROWS($AD$3:AD727),$AD$3:$AD$1479,0)),"")</f>
        <v/>
      </c>
    </row>
    <row r="728" spans="1:31" ht="15.75" x14ac:dyDescent="0.25">
      <c r="A728" t="str">
        <f t="shared" si="140"/>
        <v>Keith Kinkaid - MTL - G</v>
      </c>
      <c r="B728" t="str">
        <f t="shared" si="141"/>
        <v>Keith Kinkaid - MTL - G</v>
      </c>
      <c r="C728" t="str">
        <f t="shared" si="132"/>
        <v>Keith</v>
      </c>
      <c r="D728" t="str">
        <f t="shared" si="133"/>
        <v>Kinkaid</v>
      </c>
      <c r="E728" s="39" t="s">
        <v>1706</v>
      </c>
      <c r="F728" s="30" t="s">
        <v>22</v>
      </c>
      <c r="G728" s="35">
        <v>0</v>
      </c>
      <c r="H728" s="35" t="s">
        <v>127</v>
      </c>
      <c r="I728" s="35" t="s">
        <v>2439</v>
      </c>
      <c r="J728" s="35">
        <v>30</v>
      </c>
      <c r="K728" s="35">
        <f>VALUE(COUNTIF(Validation!$A$2:$H$47,E728))</f>
        <v>0</v>
      </c>
      <c r="L728" s="361">
        <f t="shared" si="134"/>
        <v>1750000</v>
      </c>
      <c r="M728" s="361">
        <f t="shared" si="135"/>
        <v>0</v>
      </c>
      <c r="N728" s="358">
        <v>1750000</v>
      </c>
      <c r="O728" s="358" t="s">
        <v>7</v>
      </c>
      <c r="P728" s="358">
        <v>0</v>
      </c>
      <c r="Q728" s="358">
        <v>0</v>
      </c>
      <c r="R728" s="358">
        <v>0</v>
      </c>
      <c r="S728" s="358">
        <v>0</v>
      </c>
      <c r="T728" s="358">
        <v>0</v>
      </c>
      <c r="U728" s="35">
        <f t="shared" si="136"/>
        <v>1</v>
      </c>
      <c r="W728">
        <f t="shared" si="137"/>
        <v>1</v>
      </c>
      <c r="X728" s="35">
        <f t="shared" si="138"/>
        <v>0</v>
      </c>
      <c r="Y728">
        <f t="shared" si="139"/>
        <v>0</v>
      </c>
      <c r="AB728">
        <f t="shared" si="142"/>
        <v>1</v>
      </c>
      <c r="AC728">
        <f t="shared" ca="1" si="143"/>
        <v>0</v>
      </c>
      <c r="AD728" t="str">
        <f ca="1">IF(AC728=1,COUNTIF($AC$3:AC728,1),"")</f>
        <v/>
      </c>
      <c r="AE728" s="155" t="str">
        <f ca="1">IFERROR(INDEX(Données!$B$3:$B$1479,MATCH(ROWS($AD$3:AD728),$AD$3:$AD$1479,0)),"")</f>
        <v/>
      </c>
    </row>
    <row r="729" spans="1:31" ht="15.75" x14ac:dyDescent="0.25">
      <c r="A729" t="str">
        <f t="shared" si="140"/>
        <v>Mike Reilly - MTL - DG</v>
      </c>
      <c r="B729" t="str">
        <f t="shared" si="141"/>
        <v>Mike Reilly - MTL - DG</v>
      </c>
      <c r="C729" t="str">
        <f t="shared" si="132"/>
        <v>Mike</v>
      </c>
      <c r="D729" t="str">
        <f t="shared" si="133"/>
        <v>Reilly</v>
      </c>
      <c r="E729" s="39" t="s">
        <v>1494</v>
      </c>
      <c r="F729" s="30" t="s">
        <v>22</v>
      </c>
      <c r="G729" s="35">
        <v>0</v>
      </c>
      <c r="H729" s="35" t="s">
        <v>2445</v>
      </c>
      <c r="I729" s="35" t="s">
        <v>2439</v>
      </c>
      <c r="J729" s="35">
        <v>26</v>
      </c>
      <c r="K729" s="35">
        <f>VALUE(COUNTIF(Validation!$A$2:$H$47,E729))</f>
        <v>0</v>
      </c>
      <c r="L729" s="361">
        <f t="shared" si="134"/>
        <v>1500000</v>
      </c>
      <c r="M729" s="361">
        <f t="shared" si="135"/>
        <v>1500000</v>
      </c>
      <c r="N729" s="358">
        <v>1500000</v>
      </c>
      <c r="O729" s="358">
        <v>1500000</v>
      </c>
      <c r="P729" s="358" t="s">
        <v>7</v>
      </c>
      <c r="Q729" s="358">
        <v>0</v>
      </c>
      <c r="R729" s="358">
        <v>0</v>
      </c>
      <c r="S729" s="358">
        <v>0</v>
      </c>
      <c r="T729" s="358">
        <v>0</v>
      </c>
      <c r="U729" s="35">
        <f t="shared" si="136"/>
        <v>2</v>
      </c>
      <c r="W729">
        <f t="shared" si="137"/>
        <v>1</v>
      </c>
      <c r="X729" s="35">
        <f t="shared" si="138"/>
        <v>0</v>
      </c>
      <c r="Y729">
        <f t="shared" si="139"/>
        <v>1</v>
      </c>
      <c r="AB729">
        <f t="shared" si="142"/>
        <v>1</v>
      </c>
      <c r="AC729">
        <f t="shared" ca="1" si="143"/>
        <v>0</v>
      </c>
      <c r="AD729" t="str">
        <f ca="1">IF(AC729=1,COUNTIF($AC$3:AC729,1),"")</f>
        <v/>
      </c>
      <c r="AE729" s="155" t="str">
        <f ca="1">IFERROR(INDEX(Données!$B$3:$B$1479,MATCH(ROWS($AD$3:AD729),$AD$3:$AD$1479,0)),"")</f>
        <v/>
      </c>
    </row>
    <row r="730" spans="1:31" ht="15.75" x14ac:dyDescent="0.25">
      <c r="A730" t="str">
        <f t="shared" si="140"/>
        <v>Ryan Poehling - MTL - C</v>
      </c>
      <c r="B730" t="str">
        <f t="shared" si="141"/>
        <v>Ryan Poehling - MTL - C</v>
      </c>
      <c r="C730" t="str">
        <f t="shared" si="132"/>
        <v>Ryan</v>
      </c>
      <c r="D730" t="str">
        <f t="shared" si="133"/>
        <v>Poehling</v>
      </c>
      <c r="E730" s="39" t="s">
        <v>2603</v>
      </c>
      <c r="F730" s="30" t="s">
        <v>22</v>
      </c>
      <c r="G730" s="35" t="s">
        <v>386</v>
      </c>
      <c r="H730" s="35" t="s">
        <v>73</v>
      </c>
      <c r="I730" s="35" t="s">
        <v>2446</v>
      </c>
      <c r="J730" s="35">
        <v>20</v>
      </c>
      <c r="K730" s="35">
        <f>VALUE(COUNTIF(Validation!$A$2:$H$47,E730))</f>
        <v>0</v>
      </c>
      <c r="L730" s="361">
        <f t="shared" si="134"/>
        <v>1491667</v>
      </c>
      <c r="M730" s="361">
        <f t="shared" si="135"/>
        <v>1491667</v>
      </c>
      <c r="N730" s="358">
        <v>1491667</v>
      </c>
      <c r="O730" s="358">
        <v>1491667</v>
      </c>
      <c r="P730" s="358" t="s">
        <v>8</v>
      </c>
      <c r="Q730" s="358">
        <v>0</v>
      </c>
      <c r="R730" s="358">
        <v>0</v>
      </c>
      <c r="S730" s="358">
        <v>0</v>
      </c>
      <c r="T730" s="358">
        <v>0</v>
      </c>
      <c r="U730" s="35">
        <f t="shared" si="136"/>
        <v>2</v>
      </c>
      <c r="W730">
        <f t="shared" si="137"/>
        <v>1</v>
      </c>
      <c r="X730" s="35">
        <f t="shared" si="138"/>
        <v>1</v>
      </c>
      <c r="Y730">
        <f t="shared" si="139"/>
        <v>1</v>
      </c>
      <c r="AB730">
        <f t="shared" si="142"/>
        <v>1</v>
      </c>
      <c r="AC730">
        <f t="shared" ca="1" si="143"/>
        <v>0</v>
      </c>
      <c r="AD730" t="str">
        <f ca="1">IF(AC730=1,COUNTIF($AC$3:AC730,1),"")</f>
        <v/>
      </c>
      <c r="AE730" s="155" t="str">
        <f ca="1">IFERROR(INDEX(Données!$B$3:$B$1479,MATCH(ROWS($AD$3:AD730),$AD$3:$AD$1479,0)),"")</f>
        <v/>
      </c>
    </row>
    <row r="731" spans="1:31" ht="15.75" x14ac:dyDescent="0.25">
      <c r="A731" t="str">
        <f t="shared" si="140"/>
        <v>Jordan Weal - MTL - C, AG</v>
      </c>
      <c r="B731" t="str">
        <f t="shared" si="141"/>
        <v>Jordan Weal - MTL - C, AG</v>
      </c>
      <c r="C731" t="str">
        <f t="shared" si="132"/>
        <v>Jordan</v>
      </c>
      <c r="D731" t="str">
        <f t="shared" si="133"/>
        <v>Weal</v>
      </c>
      <c r="E731" s="39" t="s">
        <v>1788</v>
      </c>
      <c r="F731" s="30" t="s">
        <v>22</v>
      </c>
      <c r="G731" s="35">
        <v>0</v>
      </c>
      <c r="H731" s="35" t="s">
        <v>2452</v>
      </c>
      <c r="I731" s="35" t="s">
        <v>2439</v>
      </c>
      <c r="J731" s="9">
        <v>27</v>
      </c>
      <c r="K731" s="35">
        <f>VALUE(COUNTIF(Validation!$A$2:$H$47,E731))</f>
        <v>0</v>
      </c>
      <c r="L731" s="361">
        <f t="shared" si="134"/>
        <v>1400000</v>
      </c>
      <c r="M731" s="361">
        <f t="shared" si="135"/>
        <v>1400000</v>
      </c>
      <c r="N731" s="358">
        <v>1400000</v>
      </c>
      <c r="O731" s="358">
        <v>1400000</v>
      </c>
      <c r="P731" s="358" t="s">
        <v>7</v>
      </c>
      <c r="Q731" s="358">
        <v>0</v>
      </c>
      <c r="R731" s="358">
        <v>0</v>
      </c>
      <c r="S731" s="358">
        <v>0</v>
      </c>
      <c r="T731" s="358">
        <v>0</v>
      </c>
      <c r="U731" s="35">
        <f t="shared" si="136"/>
        <v>2</v>
      </c>
      <c r="W731">
        <f t="shared" si="137"/>
        <v>1</v>
      </c>
      <c r="X731" s="35">
        <f t="shared" si="138"/>
        <v>0</v>
      </c>
      <c r="Y731">
        <f t="shared" si="139"/>
        <v>1</v>
      </c>
      <c r="AB731">
        <f t="shared" si="142"/>
        <v>1</v>
      </c>
      <c r="AC731">
        <f t="shared" ca="1" si="143"/>
        <v>0</v>
      </c>
      <c r="AD731" t="str">
        <f ca="1">IF(AC731=1,COUNTIF($AC$3:AC731,1),"")</f>
        <v/>
      </c>
      <c r="AE731" s="155" t="str">
        <f ca="1">IFERROR(INDEX(Données!$B$3:$B$1479,MATCH(ROWS($AD$3:AD731),$AD$3:$AD$1479,0)),"")</f>
        <v/>
      </c>
    </row>
    <row r="732" spans="1:31" ht="15.75" x14ac:dyDescent="0.25">
      <c r="A732" t="str">
        <f t="shared" si="140"/>
        <v>Jake Evans - MTL - C, AD</v>
      </c>
      <c r="B732" t="str">
        <f t="shared" si="141"/>
        <v>Jake Evans - MTL - C, AD</v>
      </c>
      <c r="C732" t="str">
        <f t="shared" si="132"/>
        <v>Jake</v>
      </c>
      <c r="D732" t="str">
        <f t="shared" si="133"/>
        <v>Evans</v>
      </c>
      <c r="E732" s="39" t="s">
        <v>1498</v>
      </c>
      <c r="F732" s="30" t="s">
        <v>22</v>
      </c>
      <c r="G732" s="35" t="s">
        <v>386</v>
      </c>
      <c r="H732" s="9" t="s">
        <v>2448</v>
      </c>
      <c r="I732" s="9" t="s">
        <v>2446</v>
      </c>
      <c r="J732" s="9">
        <v>23</v>
      </c>
      <c r="K732" s="35">
        <f>VALUE(COUNTIF(Validation!$A$2:$H$47,E732))</f>
        <v>0</v>
      </c>
      <c r="L732" s="361">
        <f t="shared" si="134"/>
        <v>1350000</v>
      </c>
      <c r="M732" s="361">
        <f t="shared" si="135"/>
        <v>0</v>
      </c>
      <c r="N732" s="358">
        <v>1350000</v>
      </c>
      <c r="O732" s="358" t="s">
        <v>8</v>
      </c>
      <c r="P732" s="358">
        <v>0</v>
      </c>
      <c r="Q732" s="358">
        <v>0</v>
      </c>
      <c r="R732" s="358">
        <v>0</v>
      </c>
      <c r="S732" s="358">
        <v>0</v>
      </c>
      <c r="T732" s="358">
        <v>0</v>
      </c>
      <c r="U732" s="35">
        <f t="shared" si="136"/>
        <v>1</v>
      </c>
      <c r="W732">
        <f t="shared" si="137"/>
        <v>1</v>
      </c>
      <c r="X732" s="35">
        <f t="shared" si="138"/>
        <v>1</v>
      </c>
      <c r="Y732">
        <f t="shared" si="139"/>
        <v>0</v>
      </c>
      <c r="AB732">
        <f t="shared" si="142"/>
        <v>1</v>
      </c>
      <c r="AC732">
        <f t="shared" ca="1" si="143"/>
        <v>0</v>
      </c>
      <c r="AD732" t="str">
        <f ca="1">IF(AC732=1,COUNTIF($AC$3:AC732,1),"")</f>
        <v/>
      </c>
      <c r="AE732" s="155" t="str">
        <f ca="1">IFERROR(INDEX(Données!$B$3:$B$1479,MATCH(ROWS($AD$3:AD732),$AD$3:$AD$1479,0)),"")</f>
        <v/>
      </c>
    </row>
    <row r="733" spans="1:31" ht="15.75" x14ac:dyDescent="0.25">
      <c r="A733" t="str">
        <f t="shared" si="140"/>
        <v>Nick Suzuki - MTL - C</v>
      </c>
      <c r="B733" t="str">
        <f t="shared" si="141"/>
        <v>Nick Suzuki - MTL - C</v>
      </c>
      <c r="C733" t="str">
        <f t="shared" si="132"/>
        <v>Nick</v>
      </c>
      <c r="D733" t="str">
        <f t="shared" si="133"/>
        <v>Suzuki</v>
      </c>
      <c r="E733" s="39" t="s">
        <v>1499</v>
      </c>
      <c r="F733" s="30" t="s">
        <v>22</v>
      </c>
      <c r="G733" s="35" t="s">
        <v>386</v>
      </c>
      <c r="H733" s="35" t="s">
        <v>73</v>
      </c>
      <c r="I733" s="35" t="s">
        <v>2446</v>
      </c>
      <c r="J733" s="35">
        <v>20</v>
      </c>
      <c r="K733" s="35">
        <f>VALUE(COUNTIF(Validation!$A$2:$H$47,E733))</f>
        <v>0</v>
      </c>
      <c r="L733" s="361">
        <f t="shared" si="134"/>
        <v>1325833</v>
      </c>
      <c r="M733" s="361">
        <f t="shared" si="135"/>
        <v>1325833</v>
      </c>
      <c r="N733" s="358">
        <v>1325833</v>
      </c>
      <c r="O733" s="358">
        <v>1325833</v>
      </c>
      <c r="P733" s="358">
        <v>1325833</v>
      </c>
      <c r="Q733" s="358" t="s">
        <v>8</v>
      </c>
      <c r="R733" s="358">
        <v>0</v>
      </c>
      <c r="S733" s="358">
        <v>0</v>
      </c>
      <c r="T733" s="358">
        <v>0</v>
      </c>
      <c r="U733" s="35">
        <f t="shared" si="136"/>
        <v>3</v>
      </c>
      <c r="W733">
        <f t="shared" si="137"/>
        <v>1</v>
      </c>
      <c r="X733" s="35">
        <f t="shared" si="138"/>
        <v>1</v>
      </c>
      <c r="Y733">
        <f t="shared" si="139"/>
        <v>1</v>
      </c>
      <c r="AB733">
        <f t="shared" si="142"/>
        <v>1</v>
      </c>
      <c r="AC733">
        <f t="shared" ca="1" si="143"/>
        <v>0</v>
      </c>
      <c r="AD733" t="str">
        <f ca="1">IF(AC733=1,COUNTIF($AC$3:AC733,1),"")</f>
        <v/>
      </c>
      <c r="AE733" s="155" t="str">
        <f ca="1">IFERROR(INDEX(Données!$B$3:$B$1479,MATCH(ROWS($AD$3:AD733),$AD$3:$AD$1479,0)),"")</f>
        <v/>
      </c>
    </row>
    <row r="734" spans="1:31" ht="15.75" x14ac:dyDescent="0.25">
      <c r="A734" t="str">
        <f t="shared" si="140"/>
        <v>Matthew Peca - MTL - AG, C</v>
      </c>
      <c r="B734" t="str">
        <f t="shared" si="141"/>
        <v>Matthew Peca - MTL - AG, C</v>
      </c>
      <c r="C734" t="str">
        <f t="shared" si="132"/>
        <v>Matthew</v>
      </c>
      <c r="D734" t="str">
        <f t="shared" si="133"/>
        <v>Peca</v>
      </c>
      <c r="E734" s="39" t="s">
        <v>1485</v>
      </c>
      <c r="F734" s="30" t="s">
        <v>22</v>
      </c>
      <c r="G734" s="35">
        <v>0</v>
      </c>
      <c r="H734" s="35" t="s">
        <v>2450</v>
      </c>
      <c r="I734" s="35" t="s">
        <v>2439</v>
      </c>
      <c r="J734" s="35">
        <v>26</v>
      </c>
      <c r="K734" s="35">
        <f>VALUE(COUNTIF(Validation!$A$2:$H$47,E734))</f>
        <v>0</v>
      </c>
      <c r="L734" s="361">
        <f t="shared" si="134"/>
        <v>1300000</v>
      </c>
      <c r="M734" s="361">
        <f t="shared" si="135"/>
        <v>0</v>
      </c>
      <c r="N734" s="358">
        <v>1300000</v>
      </c>
      <c r="O734" s="358" t="s">
        <v>7</v>
      </c>
      <c r="P734" s="358">
        <v>0</v>
      </c>
      <c r="Q734" s="358">
        <v>0</v>
      </c>
      <c r="R734" s="358">
        <v>0</v>
      </c>
      <c r="S734" s="358">
        <v>0</v>
      </c>
      <c r="T734" s="358">
        <v>0</v>
      </c>
      <c r="U734" s="35">
        <f t="shared" si="136"/>
        <v>1</v>
      </c>
      <c r="W734">
        <f t="shared" si="137"/>
        <v>1</v>
      </c>
      <c r="X734" s="35">
        <f t="shared" si="138"/>
        <v>0</v>
      </c>
      <c r="Y734">
        <f t="shared" si="139"/>
        <v>0</v>
      </c>
      <c r="AB734">
        <f t="shared" si="142"/>
        <v>1</v>
      </c>
      <c r="AC734">
        <f t="shared" ca="1" si="143"/>
        <v>0</v>
      </c>
      <c r="AD734" t="str">
        <f ca="1">IF(AC734=1,COUNTIF($AC$3:AC734,1),"")</f>
        <v/>
      </c>
      <c r="AE734" s="155" t="str">
        <f ca="1">IFERROR(INDEX(Données!$B$3:$B$1479,MATCH(ROWS($AD$3:AD734),$AD$3:$AD$1479,0)),"")</f>
        <v/>
      </c>
    </row>
    <row r="735" spans="1:31" ht="15.75" x14ac:dyDescent="0.25">
      <c r="A735" t="str">
        <f t="shared" si="140"/>
        <v>Noah Juulsen - MTL - DD</v>
      </c>
      <c r="B735" t="str">
        <f t="shared" si="141"/>
        <v>Noah Juulsen - MTL - DD</v>
      </c>
      <c r="C735" t="str">
        <f t="shared" si="132"/>
        <v>Noah</v>
      </c>
      <c r="D735" t="str">
        <f t="shared" si="133"/>
        <v>Juulsen</v>
      </c>
      <c r="E735" s="39" t="s">
        <v>1492</v>
      </c>
      <c r="F735" s="30" t="s">
        <v>22</v>
      </c>
      <c r="G735" s="35" t="s">
        <v>386</v>
      </c>
      <c r="H735" s="35" t="s">
        <v>2444</v>
      </c>
      <c r="I735" s="35" t="s">
        <v>2446</v>
      </c>
      <c r="J735" s="35">
        <v>22</v>
      </c>
      <c r="K735" s="35">
        <f>VALUE(COUNTIF(Validation!$A$2:$H$47,E735))</f>
        <v>0</v>
      </c>
      <c r="L735" s="361">
        <f t="shared" si="134"/>
        <v>1063333</v>
      </c>
      <c r="M735" s="361">
        <f t="shared" si="135"/>
        <v>0</v>
      </c>
      <c r="N735" s="358">
        <v>1063333</v>
      </c>
      <c r="O735" s="358" t="s">
        <v>8</v>
      </c>
      <c r="P735" s="358">
        <v>0</v>
      </c>
      <c r="Q735" s="358">
        <v>0</v>
      </c>
      <c r="R735" s="358">
        <v>0</v>
      </c>
      <c r="S735" s="358">
        <v>0</v>
      </c>
      <c r="T735" s="358">
        <v>0</v>
      </c>
      <c r="U735" s="35">
        <f t="shared" si="136"/>
        <v>1</v>
      </c>
      <c r="W735">
        <f t="shared" si="137"/>
        <v>1</v>
      </c>
      <c r="X735" s="35">
        <f t="shared" si="138"/>
        <v>1</v>
      </c>
      <c r="Y735">
        <f t="shared" si="139"/>
        <v>0</v>
      </c>
      <c r="AB735">
        <f t="shared" si="142"/>
        <v>1</v>
      </c>
      <c r="AC735">
        <f t="shared" ca="1" si="143"/>
        <v>0</v>
      </c>
      <c r="AD735" t="str">
        <f ca="1">IF(AC735=1,COUNTIF($AC$3:AC735,1),"")</f>
        <v/>
      </c>
      <c r="AE735" s="155" t="str">
        <f ca="1">IFERROR(INDEX(Données!$B$3:$B$1479,MATCH(ROWS($AD$3:AD735),$AD$3:$AD$1479,0)),"")</f>
        <v/>
      </c>
    </row>
    <row r="736" spans="1:31" ht="15.75" x14ac:dyDescent="0.25">
      <c r="A736" t="str">
        <f t="shared" si="140"/>
        <v>Nick Cousins - MTL - C, AG</v>
      </c>
      <c r="B736" t="str">
        <f t="shared" si="141"/>
        <v>Nick Cousins - MTL - C, AG</v>
      </c>
      <c r="C736" t="str">
        <f t="shared" si="132"/>
        <v>Nick</v>
      </c>
      <c r="D736" t="str">
        <f t="shared" si="133"/>
        <v>Cousins</v>
      </c>
      <c r="E736" s="39" t="s">
        <v>2730</v>
      </c>
      <c r="F736" s="30" t="s">
        <v>22</v>
      </c>
      <c r="G736" s="35">
        <v>0</v>
      </c>
      <c r="H736" s="35" t="s">
        <v>2452</v>
      </c>
      <c r="I736" s="35" t="s">
        <v>2439</v>
      </c>
      <c r="J736" s="35">
        <v>26</v>
      </c>
      <c r="K736" s="35">
        <f>VALUE(COUNTIF(Validation!$A$2:$H$47,E736))</f>
        <v>0</v>
      </c>
      <c r="L736" s="361">
        <f t="shared" si="134"/>
        <v>1000000</v>
      </c>
      <c r="M736" s="361">
        <f t="shared" si="135"/>
        <v>0</v>
      </c>
      <c r="N736" s="358">
        <v>1000000</v>
      </c>
      <c r="O736" s="358" t="s">
        <v>8</v>
      </c>
      <c r="P736" s="358">
        <v>0</v>
      </c>
      <c r="Q736" s="358">
        <v>0</v>
      </c>
      <c r="R736" s="358">
        <v>0</v>
      </c>
      <c r="S736" s="358">
        <v>0</v>
      </c>
      <c r="T736" s="358">
        <v>0</v>
      </c>
      <c r="U736" s="35">
        <f t="shared" si="136"/>
        <v>1</v>
      </c>
      <c r="W736">
        <f t="shared" si="137"/>
        <v>1</v>
      </c>
      <c r="X736" s="35">
        <f t="shared" si="138"/>
        <v>0</v>
      </c>
      <c r="Y736">
        <f t="shared" si="139"/>
        <v>0</v>
      </c>
      <c r="AB736">
        <f t="shared" si="142"/>
        <v>1</v>
      </c>
      <c r="AC736">
        <f t="shared" ca="1" si="143"/>
        <v>0</v>
      </c>
      <c r="AD736" t="str">
        <f ca="1">IF(AC736=1,COUNTIF($AC$3:AC736,1),"")</f>
        <v/>
      </c>
      <c r="AE736" s="155" t="str">
        <f ca="1">IFERROR(INDEX(Données!$B$3:$B$1479,MATCH(ROWS($AD$3:AD736),$AD$3:$AD$1479,0)),"")</f>
        <v/>
      </c>
    </row>
    <row r="737" spans="1:31" ht="15.75" x14ac:dyDescent="0.25">
      <c r="A737" t="str">
        <f t="shared" si="140"/>
        <v>Nate Thompson - MTL - C</v>
      </c>
      <c r="B737" t="str">
        <f t="shared" si="141"/>
        <v>Nate Thompson - MTL - C</v>
      </c>
      <c r="C737" t="str">
        <f t="shared" si="132"/>
        <v>Nate</v>
      </c>
      <c r="D737" t="str">
        <f t="shared" si="133"/>
        <v>Thompson</v>
      </c>
      <c r="E737" s="39" t="s">
        <v>2258</v>
      </c>
      <c r="F737" s="30" t="s">
        <v>22</v>
      </c>
      <c r="G737" s="35">
        <v>0</v>
      </c>
      <c r="H737" s="35" t="s">
        <v>73</v>
      </c>
      <c r="I737" s="35" t="s">
        <v>2439</v>
      </c>
      <c r="J737" s="35">
        <v>34</v>
      </c>
      <c r="K737" s="35">
        <f>VALUE(COUNTIF(Validation!$A$2:$H$47,E737))</f>
        <v>0</v>
      </c>
      <c r="L737" s="361">
        <f t="shared" si="134"/>
        <v>1000000</v>
      </c>
      <c r="M737" s="361">
        <f t="shared" si="135"/>
        <v>0</v>
      </c>
      <c r="N737" s="358">
        <v>1000000</v>
      </c>
      <c r="O737" s="358" t="s">
        <v>7</v>
      </c>
      <c r="P737" s="358">
        <v>0</v>
      </c>
      <c r="Q737" s="358">
        <v>0</v>
      </c>
      <c r="R737" s="358">
        <v>0</v>
      </c>
      <c r="S737" s="358">
        <v>0</v>
      </c>
      <c r="T737" s="358">
        <v>0</v>
      </c>
      <c r="U737" s="35">
        <f t="shared" si="136"/>
        <v>1</v>
      </c>
      <c r="W737">
        <f t="shared" si="137"/>
        <v>1</v>
      </c>
      <c r="X737" s="35">
        <f t="shared" si="138"/>
        <v>0</v>
      </c>
      <c r="Y737">
        <f t="shared" si="139"/>
        <v>0</v>
      </c>
      <c r="AB737">
        <f t="shared" si="142"/>
        <v>1</v>
      </c>
      <c r="AC737">
        <f t="shared" ca="1" si="143"/>
        <v>0</v>
      </c>
      <c r="AD737" t="str">
        <f ca="1">IF(AC737=1,COUNTIF($AC$3:AC737,1),"")</f>
        <v/>
      </c>
      <c r="AE737" s="155" t="str">
        <f ca="1">IFERROR(INDEX(Données!$B$3:$B$1479,MATCH(ROWS($AD$3:AD737),$AD$3:$AD$1479,0)),"")</f>
        <v/>
      </c>
    </row>
    <row r="738" spans="1:31" ht="15.75" x14ac:dyDescent="0.25">
      <c r="A738" t="str">
        <f t="shared" si="140"/>
        <v>Cayden Primeau - MTL - G</v>
      </c>
      <c r="B738" t="str">
        <f t="shared" si="141"/>
        <v>Cayden Primeau - MTL - G</v>
      </c>
      <c r="C738" t="str">
        <f t="shared" si="132"/>
        <v>Cayden</v>
      </c>
      <c r="D738" t="str">
        <f t="shared" si="133"/>
        <v>Primeau</v>
      </c>
      <c r="E738" s="39" t="s">
        <v>2608</v>
      </c>
      <c r="F738" s="30" t="s">
        <v>22</v>
      </c>
      <c r="G738" s="35" t="s">
        <v>386</v>
      </c>
      <c r="H738" s="35" t="s">
        <v>127</v>
      </c>
      <c r="I738" s="35" t="s">
        <v>2446</v>
      </c>
      <c r="J738" s="35">
        <v>20</v>
      </c>
      <c r="K738" s="35">
        <f>VALUE(COUNTIF(Validation!$A$2:$H$47,E738))</f>
        <v>0</v>
      </c>
      <c r="L738" s="361">
        <f t="shared" si="134"/>
        <v>966666</v>
      </c>
      <c r="M738" s="361">
        <f t="shared" si="135"/>
        <v>966666</v>
      </c>
      <c r="N738" s="358">
        <v>966666</v>
      </c>
      <c r="O738" s="358">
        <v>966666</v>
      </c>
      <c r="P738" s="358">
        <v>966666</v>
      </c>
      <c r="Q738" s="358" t="s">
        <v>8</v>
      </c>
      <c r="R738" s="358">
        <v>0</v>
      </c>
      <c r="S738" s="358">
        <v>0</v>
      </c>
      <c r="T738" s="358">
        <v>0</v>
      </c>
      <c r="U738" s="35">
        <f t="shared" si="136"/>
        <v>3</v>
      </c>
      <c r="W738">
        <f t="shared" si="137"/>
        <v>1</v>
      </c>
      <c r="X738" s="35">
        <f t="shared" si="138"/>
        <v>1</v>
      </c>
      <c r="Y738">
        <f t="shared" si="139"/>
        <v>1</v>
      </c>
      <c r="AB738">
        <f t="shared" si="142"/>
        <v>1</v>
      </c>
      <c r="AC738">
        <f t="shared" ca="1" si="143"/>
        <v>0</v>
      </c>
      <c r="AD738" t="str">
        <f ca="1">IF(AC738=1,COUNTIF($AC$3:AC738,1),"")</f>
        <v/>
      </c>
      <c r="AE738" s="155" t="str">
        <f ca="1">IFERROR(INDEX(Données!$B$3:$B$1479,MATCH(ROWS($AD$3:AD738),$AD$3:$AD$1479,0)),"")</f>
        <v/>
      </c>
    </row>
    <row r="739" spans="1:31" ht="15.75" x14ac:dyDescent="0.25">
      <c r="A739" t="str">
        <f t="shared" si="140"/>
        <v>Otto Leskinen - MTL - DG</v>
      </c>
      <c r="B739" t="str">
        <f t="shared" si="141"/>
        <v>Otto Leskinen - MTL - DG</v>
      </c>
      <c r="C739" t="str">
        <f t="shared" si="132"/>
        <v>Otto</v>
      </c>
      <c r="D739" t="str">
        <f t="shared" si="133"/>
        <v>Leskinen</v>
      </c>
      <c r="E739" s="39" t="s">
        <v>2605</v>
      </c>
      <c r="F739" s="30" t="s">
        <v>22</v>
      </c>
      <c r="G739" s="35" t="s">
        <v>386</v>
      </c>
      <c r="H739" s="35" t="s">
        <v>2445</v>
      </c>
      <c r="I739" s="35" t="s">
        <v>2446</v>
      </c>
      <c r="J739" s="35">
        <v>22</v>
      </c>
      <c r="K739" s="35">
        <f>VALUE(COUNTIF(Validation!$A$2:$H$47,E739))</f>
        <v>0</v>
      </c>
      <c r="L739" s="361">
        <f t="shared" si="134"/>
        <v>925000</v>
      </c>
      <c r="M739" s="361">
        <f t="shared" si="135"/>
        <v>925000</v>
      </c>
      <c r="N739" s="358">
        <v>925000</v>
      </c>
      <c r="O739" s="358">
        <v>925000</v>
      </c>
      <c r="P739" s="358" t="s">
        <v>8</v>
      </c>
      <c r="Q739" s="358">
        <v>0</v>
      </c>
      <c r="R739" s="358">
        <v>0</v>
      </c>
      <c r="S739" s="358">
        <v>0</v>
      </c>
      <c r="T739" s="362">
        <v>0</v>
      </c>
      <c r="U739" s="35">
        <f t="shared" si="136"/>
        <v>2</v>
      </c>
      <c r="W739">
        <f t="shared" si="137"/>
        <v>1</v>
      </c>
      <c r="X739" s="35">
        <f t="shared" si="138"/>
        <v>1</v>
      </c>
      <c r="Y739">
        <f t="shared" si="139"/>
        <v>1</v>
      </c>
      <c r="AB739">
        <f t="shared" si="142"/>
        <v>1</v>
      </c>
      <c r="AC739">
        <f t="shared" ca="1" si="143"/>
        <v>0</v>
      </c>
      <c r="AD739" t="str">
        <f ca="1">IF(AC739=1,COUNTIF($AC$3:AC739,1),"")</f>
        <v/>
      </c>
      <c r="AE739" s="155" t="str">
        <f ca="1">IFERROR(INDEX(Données!$B$3:$B$1479,MATCH(ROWS($AD$3:AD739),$AD$3:$AD$1479,0)),"")</f>
        <v/>
      </c>
    </row>
    <row r="740" spans="1:31" ht="15.75" x14ac:dyDescent="0.25">
      <c r="A740" t="str">
        <f t="shared" si="140"/>
        <v>David Sklenička - MTL - DG</v>
      </c>
      <c r="B740" t="str">
        <f t="shared" si="141"/>
        <v>David Sklenička - MTL - DG</v>
      </c>
      <c r="C740" t="str">
        <f t="shared" si="132"/>
        <v>David</v>
      </c>
      <c r="D740" t="str">
        <f t="shared" si="133"/>
        <v>Sklenička</v>
      </c>
      <c r="E740" s="39" t="s">
        <v>1496</v>
      </c>
      <c r="F740" s="30" t="s">
        <v>22</v>
      </c>
      <c r="G740" s="35" t="s">
        <v>386</v>
      </c>
      <c r="H740" s="9" t="s">
        <v>2445</v>
      </c>
      <c r="I740" s="9" t="s">
        <v>2446</v>
      </c>
      <c r="J740" s="9">
        <v>22</v>
      </c>
      <c r="K740" s="35">
        <f>VALUE(COUNTIF(Validation!$A$2:$H$47,E740))</f>
        <v>0</v>
      </c>
      <c r="L740" s="361">
        <f t="shared" si="134"/>
        <v>925000</v>
      </c>
      <c r="M740" s="361">
        <f t="shared" si="135"/>
        <v>0</v>
      </c>
      <c r="N740" s="358">
        <v>925000</v>
      </c>
      <c r="O740" s="358" t="s">
        <v>8</v>
      </c>
      <c r="P740" s="358">
        <v>0</v>
      </c>
      <c r="Q740" s="358">
        <v>0</v>
      </c>
      <c r="R740" s="358">
        <v>0</v>
      </c>
      <c r="S740" s="358">
        <v>0</v>
      </c>
      <c r="T740" s="358">
        <v>0</v>
      </c>
      <c r="U740" s="35">
        <f t="shared" si="136"/>
        <v>1</v>
      </c>
      <c r="W740">
        <f t="shared" si="137"/>
        <v>1</v>
      </c>
      <c r="X740" s="35">
        <f t="shared" si="138"/>
        <v>1</v>
      </c>
      <c r="Y740">
        <f t="shared" si="139"/>
        <v>0</v>
      </c>
      <c r="AB740">
        <f t="shared" si="142"/>
        <v>1</v>
      </c>
      <c r="AC740">
        <f t="shared" ca="1" si="143"/>
        <v>0</v>
      </c>
      <c r="AD740" t="str">
        <f ca="1">IF(AC740=1,COUNTIF($AC$3:AC740,1),"")</f>
        <v/>
      </c>
      <c r="AE740" s="155" t="str">
        <f ca="1">IFERROR(INDEX(Données!$B$3:$B$1479,MATCH(ROWS($AD$3:AD740),$AD$3:$AD$1479,0)),"")</f>
        <v/>
      </c>
    </row>
    <row r="741" spans="1:31" ht="15.75" x14ac:dyDescent="0.25">
      <c r="A741" t="str">
        <f t="shared" si="140"/>
        <v>Lukas Vejdemo - MTL - C, AG, AD</v>
      </c>
      <c r="B741" t="str">
        <f t="shared" si="141"/>
        <v>Lukas Vejdemo - MTL - C, AG, AD</v>
      </c>
      <c r="C741" t="str">
        <f t="shared" si="132"/>
        <v>Lukas</v>
      </c>
      <c r="D741" t="str">
        <f t="shared" si="133"/>
        <v>Vejdemo</v>
      </c>
      <c r="E741" s="39" t="s">
        <v>1502</v>
      </c>
      <c r="F741" s="30" t="s">
        <v>22</v>
      </c>
      <c r="G741" s="35" t="s">
        <v>386</v>
      </c>
      <c r="H741" s="35" t="s">
        <v>2494</v>
      </c>
      <c r="I741" s="35" t="s">
        <v>2446</v>
      </c>
      <c r="J741" s="35">
        <v>23</v>
      </c>
      <c r="K741" s="35">
        <f>VALUE(COUNTIF(Validation!$A$2:$H$47,E741))</f>
        <v>0</v>
      </c>
      <c r="L741" s="361">
        <f t="shared" si="134"/>
        <v>925000</v>
      </c>
      <c r="M741" s="361">
        <f t="shared" si="135"/>
        <v>0</v>
      </c>
      <c r="N741" s="358">
        <v>925000</v>
      </c>
      <c r="O741" s="358" t="s">
        <v>8</v>
      </c>
      <c r="P741" s="358">
        <v>0</v>
      </c>
      <c r="Q741" s="358">
        <v>0</v>
      </c>
      <c r="R741" s="358">
        <v>0</v>
      </c>
      <c r="S741" s="358">
        <v>0</v>
      </c>
      <c r="T741" s="358">
        <v>0</v>
      </c>
      <c r="U741" s="35">
        <f t="shared" si="136"/>
        <v>1</v>
      </c>
      <c r="W741">
        <f t="shared" si="137"/>
        <v>1</v>
      </c>
      <c r="X741" s="35">
        <f t="shared" si="138"/>
        <v>1</v>
      </c>
      <c r="Y741">
        <f t="shared" si="139"/>
        <v>0</v>
      </c>
      <c r="AB741">
        <f t="shared" si="142"/>
        <v>1</v>
      </c>
      <c r="AC741">
        <f t="shared" ca="1" si="143"/>
        <v>0</v>
      </c>
      <c r="AD741" t="str">
        <f ca="1">IF(AC741=1,COUNTIF($AC$3:AC741,1),"")</f>
        <v/>
      </c>
      <c r="AE741" s="155" t="str">
        <f ca="1">IFERROR(INDEX(Données!$B$3:$B$1479,MATCH(ROWS($AD$3:AD741),$AD$3:$AD$1479,0)),"")</f>
        <v/>
      </c>
    </row>
    <row r="742" spans="1:31" ht="15.75" x14ac:dyDescent="0.25">
      <c r="A742" t="str">
        <f t="shared" si="140"/>
        <v>Josh Brook - MTL - DD</v>
      </c>
      <c r="B742" t="str">
        <f t="shared" si="141"/>
        <v>Josh Brook - MTL - DD</v>
      </c>
      <c r="C742" t="str">
        <f t="shared" si="132"/>
        <v>Josh</v>
      </c>
      <c r="D742" t="str">
        <f t="shared" si="133"/>
        <v>Brook</v>
      </c>
      <c r="E742" s="39" t="s">
        <v>2606</v>
      </c>
      <c r="F742" s="30" t="s">
        <v>22</v>
      </c>
      <c r="G742" s="35" t="s">
        <v>386</v>
      </c>
      <c r="H742" s="35" t="s">
        <v>2444</v>
      </c>
      <c r="I742" s="35" t="s">
        <v>2446</v>
      </c>
      <c r="J742" s="35">
        <v>20</v>
      </c>
      <c r="K742" s="35">
        <f>VALUE(COUNTIF(Validation!$A$2:$H$47,E742))</f>
        <v>0</v>
      </c>
      <c r="L742" s="361">
        <f t="shared" si="134"/>
        <v>910833</v>
      </c>
      <c r="M742" s="361">
        <f t="shared" si="135"/>
        <v>910833</v>
      </c>
      <c r="N742" s="358">
        <v>910833</v>
      </c>
      <c r="O742" s="358">
        <v>910833</v>
      </c>
      <c r="P742" s="358">
        <v>910833</v>
      </c>
      <c r="Q742" s="358" t="s">
        <v>8</v>
      </c>
      <c r="R742" s="358">
        <v>0</v>
      </c>
      <c r="S742" s="358">
        <v>0</v>
      </c>
      <c r="T742" s="358">
        <v>0</v>
      </c>
      <c r="U742" s="35">
        <f t="shared" si="136"/>
        <v>3</v>
      </c>
      <c r="W742">
        <f t="shared" si="137"/>
        <v>1</v>
      </c>
      <c r="X742" s="35">
        <f t="shared" si="138"/>
        <v>1</v>
      </c>
      <c r="Y742">
        <f t="shared" si="139"/>
        <v>1</v>
      </c>
      <c r="AB742">
        <f t="shared" si="142"/>
        <v>1</v>
      </c>
      <c r="AC742">
        <f t="shared" ca="1" si="143"/>
        <v>0</v>
      </c>
      <c r="AD742" t="str">
        <f ca="1">IF(AC742=1,COUNTIF($AC$3:AC742,1),"")</f>
        <v/>
      </c>
      <c r="AE742" s="155" t="str">
        <f ca="1">IFERROR(INDEX(Données!$B$3:$B$1479,MATCH(ROWS($AD$3:AD742),$AD$3:$AD$1479,0)),"")</f>
        <v/>
      </c>
    </row>
    <row r="743" spans="1:31" ht="15.75" x14ac:dyDescent="0.25">
      <c r="A743" t="str">
        <f t="shared" si="140"/>
        <v>Cale Fleury - MTL - DD</v>
      </c>
      <c r="B743" t="str">
        <f t="shared" si="141"/>
        <v>Cale Fleury - MTL - DD</v>
      </c>
      <c r="C743" t="str">
        <f t="shared" si="132"/>
        <v>Cale</v>
      </c>
      <c r="D743" t="str">
        <f t="shared" si="133"/>
        <v>Fleury</v>
      </c>
      <c r="E743" s="39" t="s">
        <v>2607</v>
      </c>
      <c r="F743" s="30" t="s">
        <v>22</v>
      </c>
      <c r="G743" s="35" t="s">
        <v>386</v>
      </c>
      <c r="H743" s="9" t="s">
        <v>2444</v>
      </c>
      <c r="I743" s="9" t="s">
        <v>2446</v>
      </c>
      <c r="J743" s="9">
        <v>20</v>
      </c>
      <c r="K743" s="35">
        <f>VALUE(COUNTIF(Validation!$A$2:$H$47,E743))</f>
        <v>0</v>
      </c>
      <c r="L743" s="361">
        <f t="shared" si="134"/>
        <v>883333</v>
      </c>
      <c r="M743" s="361">
        <f t="shared" si="135"/>
        <v>883333</v>
      </c>
      <c r="N743" s="358">
        <v>883333</v>
      </c>
      <c r="O743" s="358">
        <v>883333</v>
      </c>
      <c r="P743" s="358" t="s">
        <v>8</v>
      </c>
      <c r="Q743" s="358">
        <v>0</v>
      </c>
      <c r="R743" s="358">
        <v>0</v>
      </c>
      <c r="S743" s="358">
        <v>0</v>
      </c>
      <c r="T743" s="358">
        <v>0</v>
      </c>
      <c r="U743" s="35">
        <f t="shared" si="136"/>
        <v>2</v>
      </c>
      <c r="W743">
        <f t="shared" si="137"/>
        <v>1</v>
      </c>
      <c r="X743" s="35">
        <f t="shared" si="138"/>
        <v>1</v>
      </c>
      <c r="Y743">
        <f t="shared" si="139"/>
        <v>1</v>
      </c>
      <c r="AB743">
        <f t="shared" si="142"/>
        <v>1</v>
      </c>
      <c r="AC743">
        <f t="shared" ca="1" si="143"/>
        <v>0</v>
      </c>
      <c r="AD743" t="str">
        <f ca="1">IF(AC743=1,COUNTIF($AC$3:AC743,1),"")</f>
        <v/>
      </c>
      <c r="AE743" s="155" t="str">
        <f ca="1">IFERROR(INDEX(Données!$B$3:$B$1479,MATCH(ROWS($AD$3:AD743),$AD$3:$AD$1479,0)),"")</f>
        <v/>
      </c>
    </row>
    <row r="744" spans="1:31" ht="15.75" x14ac:dyDescent="0.25">
      <c r="A744" t="str">
        <f t="shared" si="140"/>
        <v>Victor Mete - MTL - DG</v>
      </c>
      <c r="B744" t="str">
        <f t="shared" si="141"/>
        <v>Victor Mete - MTL - DG</v>
      </c>
      <c r="C744" t="str">
        <f t="shared" si="132"/>
        <v>Victor</v>
      </c>
      <c r="D744" t="str">
        <f t="shared" si="133"/>
        <v>Mete</v>
      </c>
      <c r="E744" s="39" t="s">
        <v>1493</v>
      </c>
      <c r="F744" s="30" t="s">
        <v>22</v>
      </c>
      <c r="G744" s="35" t="s">
        <v>386</v>
      </c>
      <c r="H744" s="9" t="s">
        <v>2445</v>
      </c>
      <c r="I744" s="9" t="s">
        <v>2439</v>
      </c>
      <c r="J744" s="9">
        <v>21</v>
      </c>
      <c r="K744" s="35">
        <f>VALUE(COUNTIF(Validation!$A$2:$H$47,E744))</f>
        <v>0</v>
      </c>
      <c r="L744" s="361">
        <f t="shared" si="134"/>
        <v>870000</v>
      </c>
      <c r="M744" s="361">
        <f t="shared" si="135"/>
        <v>0</v>
      </c>
      <c r="N744" s="358">
        <v>870000</v>
      </c>
      <c r="O744" s="358" t="s">
        <v>8</v>
      </c>
      <c r="P744" s="358">
        <v>0</v>
      </c>
      <c r="Q744" s="358">
        <v>0</v>
      </c>
      <c r="R744" s="358">
        <v>0</v>
      </c>
      <c r="S744" s="358">
        <v>0</v>
      </c>
      <c r="T744" s="358">
        <v>0</v>
      </c>
      <c r="U744" s="35">
        <f t="shared" si="136"/>
        <v>1</v>
      </c>
      <c r="W744">
        <f t="shared" si="137"/>
        <v>1</v>
      </c>
      <c r="X744" s="35">
        <f t="shared" si="138"/>
        <v>1</v>
      </c>
      <c r="Y744">
        <f t="shared" si="139"/>
        <v>0</v>
      </c>
      <c r="AB744">
        <f t="shared" si="142"/>
        <v>1</v>
      </c>
      <c r="AC744">
        <f t="shared" ca="1" si="143"/>
        <v>0</v>
      </c>
      <c r="AD744" t="str">
        <f ca="1">IF(AC744=1,COUNTIF($AC$3:AC744,1),"")</f>
        <v/>
      </c>
      <c r="AE744" s="155" t="str">
        <f ca="1">IFERROR(INDEX(Données!$B$3:$B$1479,MATCH(ROWS($AD$3:AD744),$AD$3:$AD$1479,0)),"")</f>
        <v/>
      </c>
    </row>
    <row r="745" spans="1:31" ht="15.75" x14ac:dyDescent="0.25">
      <c r="A745" t="str">
        <f t="shared" si="140"/>
        <v>Christian Folin - MTL - DD</v>
      </c>
      <c r="B745" t="str">
        <f t="shared" si="141"/>
        <v>Christian Folin - MTL - DD</v>
      </c>
      <c r="C745" t="str">
        <f t="shared" si="132"/>
        <v>Christian</v>
      </c>
      <c r="D745" t="str">
        <f t="shared" si="133"/>
        <v>Folin</v>
      </c>
      <c r="E745" s="39" t="s">
        <v>1797</v>
      </c>
      <c r="F745" s="30" t="s">
        <v>22</v>
      </c>
      <c r="G745" s="35">
        <v>0</v>
      </c>
      <c r="H745" s="35" t="s">
        <v>2444</v>
      </c>
      <c r="I745" s="35" t="s">
        <v>2439</v>
      </c>
      <c r="J745" s="35">
        <v>28</v>
      </c>
      <c r="K745" s="35">
        <f>VALUE(COUNTIF(Validation!$A$2:$H$47,E745))</f>
        <v>0</v>
      </c>
      <c r="L745" s="361">
        <f t="shared" si="134"/>
        <v>800000</v>
      </c>
      <c r="M745" s="361">
        <f t="shared" si="135"/>
        <v>0</v>
      </c>
      <c r="N745" s="358">
        <v>800000</v>
      </c>
      <c r="O745" s="358" t="s">
        <v>7</v>
      </c>
      <c r="P745" s="358">
        <v>0</v>
      </c>
      <c r="Q745" s="358">
        <v>0</v>
      </c>
      <c r="R745" s="358">
        <v>0</v>
      </c>
      <c r="S745" s="358">
        <v>0</v>
      </c>
      <c r="T745" s="362">
        <v>0</v>
      </c>
      <c r="U745" s="35">
        <f t="shared" si="136"/>
        <v>1</v>
      </c>
      <c r="W745">
        <f t="shared" si="137"/>
        <v>1</v>
      </c>
      <c r="X745" s="35">
        <f t="shared" si="138"/>
        <v>0</v>
      </c>
      <c r="Y745">
        <f t="shared" si="139"/>
        <v>0</v>
      </c>
      <c r="AB745">
        <f t="shared" si="142"/>
        <v>1</v>
      </c>
      <c r="AC745">
        <f t="shared" ca="1" si="143"/>
        <v>0</v>
      </c>
      <c r="AD745" t="str">
        <f ca="1">IF(AC745=1,COUNTIF($AC$3:AC745,1),"")</f>
        <v/>
      </c>
      <c r="AE745" s="155" t="str">
        <f ca="1">IFERROR(INDEX(Données!$B$3:$B$1479,MATCH(ROWS($AD$3:AD745),$AD$3:$AD$1479,0)),"")</f>
        <v/>
      </c>
    </row>
    <row r="746" spans="1:31" ht="15.75" x14ac:dyDescent="0.25">
      <c r="A746" t="str">
        <f t="shared" si="140"/>
        <v>Charles Hudon - MTL - AG, AD</v>
      </c>
      <c r="B746" t="str">
        <f t="shared" si="141"/>
        <v>Charles Hudon - MTL - AG, AD</v>
      </c>
      <c r="C746" t="str">
        <f t="shared" si="132"/>
        <v>Charles</v>
      </c>
      <c r="D746" t="str">
        <f t="shared" si="133"/>
        <v>Hudon</v>
      </c>
      <c r="E746" s="39" t="s">
        <v>1488</v>
      </c>
      <c r="F746" s="30" t="s">
        <v>22</v>
      </c>
      <c r="G746" s="35">
        <v>0</v>
      </c>
      <c r="H746" s="35" t="s">
        <v>2442</v>
      </c>
      <c r="I746" s="35" t="s">
        <v>2439</v>
      </c>
      <c r="J746" s="35">
        <v>25</v>
      </c>
      <c r="K746" s="35">
        <f>VALUE(COUNTIF(Validation!$A$2:$H$47,E746))</f>
        <v>0</v>
      </c>
      <c r="L746" s="361">
        <f t="shared" si="134"/>
        <v>800000</v>
      </c>
      <c r="M746" s="361">
        <f t="shared" si="135"/>
        <v>0</v>
      </c>
      <c r="N746" s="358">
        <v>800000</v>
      </c>
      <c r="O746" s="358" t="s">
        <v>8</v>
      </c>
      <c r="P746" s="358">
        <v>0</v>
      </c>
      <c r="Q746" s="358">
        <v>0</v>
      </c>
      <c r="R746" s="358">
        <v>0</v>
      </c>
      <c r="S746" s="358">
        <v>0</v>
      </c>
      <c r="T746" s="358">
        <v>0</v>
      </c>
      <c r="U746" s="35">
        <f t="shared" si="136"/>
        <v>1</v>
      </c>
      <c r="W746">
        <f t="shared" si="137"/>
        <v>1</v>
      </c>
      <c r="X746" s="35">
        <f t="shared" si="138"/>
        <v>0</v>
      </c>
      <c r="Y746">
        <f t="shared" si="139"/>
        <v>0</v>
      </c>
      <c r="AB746">
        <f t="shared" si="142"/>
        <v>1</v>
      </c>
      <c r="AC746">
        <f t="shared" ca="1" si="143"/>
        <v>0</v>
      </c>
      <c r="AD746" t="str">
        <f ca="1">IF(AC746=1,COUNTIF($AC$3:AC746,1),"")</f>
        <v/>
      </c>
      <c r="AE746" s="155" t="str">
        <f ca="1">IFERROR(INDEX(Données!$B$3:$B$1479,MATCH(ROWS($AD$3:AD746),$AD$3:$AD$1479,0)),"")</f>
        <v/>
      </c>
    </row>
    <row r="747" spans="1:31" ht="15.75" x14ac:dyDescent="0.25">
      <c r="A747" t="str">
        <f t="shared" si="140"/>
        <v>Joel Teasdale - MTL - C</v>
      </c>
      <c r="B747" t="str">
        <f t="shared" si="141"/>
        <v>Joel Teasdale - MTL - C</v>
      </c>
      <c r="C747" t="str">
        <f t="shared" si="132"/>
        <v>Joel</v>
      </c>
      <c r="D747" t="str">
        <f t="shared" si="133"/>
        <v>Teasdale</v>
      </c>
      <c r="E747" s="39" t="s">
        <v>2869</v>
      </c>
      <c r="F747" s="30" t="s">
        <v>22</v>
      </c>
      <c r="G747" s="35" t="s">
        <v>386</v>
      </c>
      <c r="H747" s="35" t="s">
        <v>73</v>
      </c>
      <c r="I747" s="35" t="s">
        <v>2446</v>
      </c>
      <c r="J747" s="35">
        <v>20</v>
      </c>
      <c r="K747" s="35">
        <f>VALUE(COUNTIF(Validation!$A$2:$H$47,E747))</f>
        <v>0</v>
      </c>
      <c r="L747" s="361">
        <f t="shared" si="134"/>
        <v>786667</v>
      </c>
      <c r="M747" s="361">
        <f t="shared" si="135"/>
        <v>786667</v>
      </c>
      <c r="N747" s="358">
        <v>786667</v>
      </c>
      <c r="O747" s="358">
        <v>786667</v>
      </c>
      <c r="P747" s="358">
        <v>786667</v>
      </c>
      <c r="Q747" s="358" t="s">
        <v>8</v>
      </c>
      <c r="R747" s="358">
        <v>0</v>
      </c>
      <c r="S747" s="358">
        <v>0</v>
      </c>
      <c r="T747" s="358">
        <v>0</v>
      </c>
      <c r="U747" s="35">
        <f t="shared" si="136"/>
        <v>3</v>
      </c>
      <c r="W747">
        <f t="shared" si="137"/>
        <v>1</v>
      </c>
      <c r="X747" s="35">
        <f t="shared" si="138"/>
        <v>1</v>
      </c>
      <c r="Y747">
        <f t="shared" si="139"/>
        <v>1</v>
      </c>
      <c r="AB747">
        <f t="shared" si="142"/>
        <v>1</v>
      </c>
      <c r="AC747">
        <f t="shared" ca="1" si="143"/>
        <v>0</v>
      </c>
      <c r="AD747" t="str">
        <f ca="1">IF(AC747=1,COUNTIF($AC$3:AC747,1),"")</f>
        <v/>
      </c>
      <c r="AE747" s="155" t="str">
        <f ca="1">IFERROR(INDEX(Données!$B$3:$B$1479,MATCH(ROWS($AD$3:AD747),$AD$3:$AD$1479,0)),"")</f>
        <v/>
      </c>
    </row>
    <row r="748" spans="1:31" ht="15.75" x14ac:dyDescent="0.25">
      <c r="A748" t="str">
        <f t="shared" si="140"/>
        <v>Alexandre Alain - MTL - AD, C</v>
      </c>
      <c r="B748" t="str">
        <f t="shared" si="141"/>
        <v>Alexandre Alain - MTL - AD, C</v>
      </c>
      <c r="C748" t="str">
        <f t="shared" si="132"/>
        <v>Alexandre</v>
      </c>
      <c r="D748" t="str">
        <f t="shared" si="133"/>
        <v>Alain</v>
      </c>
      <c r="E748" s="39" t="s">
        <v>1504</v>
      </c>
      <c r="F748" s="30" t="s">
        <v>22</v>
      </c>
      <c r="G748" s="35" t="s">
        <v>386</v>
      </c>
      <c r="H748" s="35" t="s">
        <v>2453</v>
      </c>
      <c r="I748" s="35" t="s">
        <v>2446</v>
      </c>
      <c r="J748" s="35">
        <v>22</v>
      </c>
      <c r="K748" s="35">
        <f>VALUE(COUNTIF(Validation!$A$2:$H$47,E748))</f>
        <v>0</v>
      </c>
      <c r="L748" s="361">
        <f t="shared" si="134"/>
        <v>776666</v>
      </c>
      <c r="M748" s="361">
        <f t="shared" si="135"/>
        <v>776666</v>
      </c>
      <c r="N748" s="358">
        <v>776666</v>
      </c>
      <c r="O748" s="358">
        <v>776666</v>
      </c>
      <c r="P748" s="358" t="s">
        <v>8</v>
      </c>
      <c r="Q748" s="358">
        <v>0</v>
      </c>
      <c r="R748" s="358">
        <v>0</v>
      </c>
      <c r="S748" s="358">
        <v>0</v>
      </c>
      <c r="T748" s="358">
        <v>0</v>
      </c>
      <c r="U748" s="35">
        <f t="shared" si="136"/>
        <v>2</v>
      </c>
      <c r="W748">
        <f t="shared" si="137"/>
        <v>1</v>
      </c>
      <c r="X748" s="35">
        <f t="shared" si="138"/>
        <v>1</v>
      </c>
      <c r="Y748">
        <f t="shared" si="139"/>
        <v>1</v>
      </c>
      <c r="AB748">
        <f t="shared" si="142"/>
        <v>1</v>
      </c>
      <c r="AC748">
        <f t="shared" ca="1" si="143"/>
        <v>0</v>
      </c>
      <c r="AD748" t="str">
        <f ca="1">IF(AC748=1,COUNTIF($AC$3:AC748,1),"")</f>
        <v/>
      </c>
      <c r="AE748" s="155" t="str">
        <f ca="1">IFERROR(INDEX(Données!$B$3:$B$1479,MATCH(ROWS($AD$3:AD748),$AD$3:$AD$1479,0)),"")</f>
        <v/>
      </c>
    </row>
    <row r="749" spans="1:31" ht="15.75" x14ac:dyDescent="0.25">
      <c r="A749" t="str">
        <f t="shared" si="140"/>
        <v>Hayden Verbeek - MTL - C</v>
      </c>
      <c r="B749" t="str">
        <f t="shared" si="141"/>
        <v>Hayden Verbeek - MTL - C</v>
      </c>
      <c r="C749" t="str">
        <f t="shared" si="132"/>
        <v>Hayden</v>
      </c>
      <c r="D749" t="str">
        <f t="shared" si="133"/>
        <v>Verbeek</v>
      </c>
      <c r="E749" s="39" t="s">
        <v>1503</v>
      </c>
      <c r="F749" s="35" t="s">
        <v>22</v>
      </c>
      <c r="G749" s="35" t="s">
        <v>386</v>
      </c>
      <c r="H749" s="35" t="s">
        <v>73</v>
      </c>
      <c r="I749" s="35" t="s">
        <v>2446</v>
      </c>
      <c r="J749" s="35">
        <v>21</v>
      </c>
      <c r="K749" s="35">
        <f>VALUE(COUNTIF(Validation!$A$2:$H$47,E749))</f>
        <v>0</v>
      </c>
      <c r="L749" s="361">
        <f t="shared" si="134"/>
        <v>776666</v>
      </c>
      <c r="M749" s="361">
        <f t="shared" si="135"/>
        <v>776666</v>
      </c>
      <c r="N749" s="358">
        <v>776666</v>
      </c>
      <c r="O749" s="358">
        <v>776666</v>
      </c>
      <c r="P749" s="358" t="s">
        <v>8</v>
      </c>
      <c r="Q749" s="358">
        <v>0</v>
      </c>
      <c r="R749" s="358">
        <v>0</v>
      </c>
      <c r="S749" s="358">
        <v>0</v>
      </c>
      <c r="T749" s="358">
        <v>0</v>
      </c>
      <c r="U749" s="35">
        <f t="shared" si="136"/>
        <v>2</v>
      </c>
      <c r="W749">
        <f t="shared" si="137"/>
        <v>1</v>
      </c>
      <c r="X749" s="35">
        <f t="shared" si="138"/>
        <v>1</v>
      </c>
      <c r="Y749">
        <f t="shared" si="139"/>
        <v>1</v>
      </c>
      <c r="AB749">
        <f t="shared" si="142"/>
        <v>1</v>
      </c>
      <c r="AC749">
        <f t="shared" ca="1" si="143"/>
        <v>0</v>
      </c>
      <c r="AD749" t="str">
        <f ca="1">IF(AC749=1,COUNTIF($AC$3:AC749,1),"")</f>
        <v/>
      </c>
      <c r="AE749" s="155" t="str">
        <f ca="1">IFERROR(INDEX(Données!$B$3:$B$1479,MATCH(ROWS($AD$3:AD749),$AD$3:$AD$1479,0)),"")</f>
        <v/>
      </c>
    </row>
    <row r="750" spans="1:31" ht="15.75" x14ac:dyDescent="0.25">
      <c r="A750" t="str">
        <f t="shared" si="140"/>
        <v>Charlie Lindgren - MTL - G</v>
      </c>
      <c r="B750" t="str">
        <f t="shared" si="141"/>
        <v>Charlie Lindgren - MTL - G</v>
      </c>
      <c r="C750" t="str">
        <f t="shared" si="132"/>
        <v>Charlie</v>
      </c>
      <c r="D750" t="str">
        <f t="shared" si="133"/>
        <v>Lindgren</v>
      </c>
      <c r="E750" s="39" t="s">
        <v>1505</v>
      </c>
      <c r="F750" s="35" t="s">
        <v>22</v>
      </c>
      <c r="G750" s="35">
        <v>0</v>
      </c>
      <c r="H750" s="35" t="s">
        <v>127</v>
      </c>
      <c r="I750" s="35" t="s">
        <v>2446</v>
      </c>
      <c r="J750" s="35">
        <v>25</v>
      </c>
      <c r="K750" s="35">
        <f>VALUE(COUNTIF(Validation!$A$2:$H$47,E750))</f>
        <v>0</v>
      </c>
      <c r="L750" s="361">
        <f t="shared" si="134"/>
        <v>750000</v>
      </c>
      <c r="M750" s="361">
        <f t="shared" si="135"/>
        <v>750000</v>
      </c>
      <c r="N750" s="358">
        <v>750000</v>
      </c>
      <c r="O750" s="358">
        <v>750000</v>
      </c>
      <c r="P750" s="358" t="s">
        <v>7</v>
      </c>
      <c r="Q750" s="358">
        <v>0</v>
      </c>
      <c r="R750" s="358">
        <v>0</v>
      </c>
      <c r="S750" s="358">
        <v>0</v>
      </c>
      <c r="T750" s="358">
        <v>0</v>
      </c>
      <c r="U750" s="35">
        <f t="shared" si="136"/>
        <v>2</v>
      </c>
      <c r="W750">
        <f t="shared" si="137"/>
        <v>1</v>
      </c>
      <c r="X750" s="35">
        <f t="shared" si="138"/>
        <v>0</v>
      </c>
      <c r="Y750">
        <f t="shared" si="139"/>
        <v>1</v>
      </c>
      <c r="AB750">
        <f t="shared" si="142"/>
        <v>1</v>
      </c>
      <c r="AC750">
        <f t="shared" ca="1" si="143"/>
        <v>0</v>
      </c>
      <c r="AD750" t="str">
        <f ca="1">IF(AC750=1,COUNTIF($AC$3:AC750,1),"")</f>
        <v/>
      </c>
      <c r="AE750" s="155" t="str">
        <f ca="1">IFERROR(INDEX(Données!$B$3:$B$1479,MATCH(ROWS($AD$3:AD750),$AD$3:$AD$1479,0)),"")</f>
        <v/>
      </c>
    </row>
    <row r="751" spans="1:31" ht="15.75" x14ac:dyDescent="0.25">
      <c r="A751" t="str">
        <f t="shared" si="140"/>
        <v>Michael Pezzetta - MTL - AG, C</v>
      </c>
      <c r="B751" t="str">
        <f t="shared" si="141"/>
        <v>Michael Pezzetta - MTL - AG, C</v>
      </c>
      <c r="C751" t="str">
        <f t="shared" si="132"/>
        <v>Michael</v>
      </c>
      <c r="D751" t="str">
        <f t="shared" si="133"/>
        <v>Pezzetta</v>
      </c>
      <c r="E751" s="39" t="s">
        <v>1506</v>
      </c>
      <c r="F751" s="30" t="s">
        <v>22</v>
      </c>
      <c r="G751" s="35" t="s">
        <v>386</v>
      </c>
      <c r="H751" s="9" t="s">
        <v>2450</v>
      </c>
      <c r="I751" s="9" t="s">
        <v>2446</v>
      </c>
      <c r="J751" s="9">
        <v>21</v>
      </c>
      <c r="K751" s="35">
        <f>VALUE(COUNTIF(Validation!$A$2:$H$47,E751))</f>
        <v>0</v>
      </c>
      <c r="L751" s="361">
        <f t="shared" si="134"/>
        <v>743333</v>
      </c>
      <c r="M751" s="361">
        <f t="shared" si="135"/>
        <v>743333</v>
      </c>
      <c r="N751" s="358">
        <v>743333</v>
      </c>
      <c r="O751" s="358">
        <v>743333</v>
      </c>
      <c r="P751" s="358" t="s">
        <v>8</v>
      </c>
      <c r="Q751" s="358">
        <v>0</v>
      </c>
      <c r="R751" s="358">
        <v>0</v>
      </c>
      <c r="S751" s="358">
        <v>0</v>
      </c>
      <c r="T751" s="358">
        <v>0</v>
      </c>
      <c r="U751" s="35">
        <f t="shared" si="136"/>
        <v>2</v>
      </c>
      <c r="W751">
        <f t="shared" si="137"/>
        <v>1</v>
      </c>
      <c r="X751" s="35">
        <f t="shared" si="138"/>
        <v>1</v>
      </c>
      <c r="Y751">
        <f t="shared" si="139"/>
        <v>1</v>
      </c>
      <c r="AB751">
        <f t="shared" si="142"/>
        <v>1</v>
      </c>
      <c r="AC751">
        <f t="shared" ca="1" si="143"/>
        <v>0</v>
      </c>
      <c r="AD751" t="str">
        <f ca="1">IF(AC751=1,COUNTIF($AC$3:AC751,1),"")</f>
        <v/>
      </c>
      <c r="AE751" s="155" t="str">
        <f ca="1">IFERROR(INDEX(Données!$B$3:$B$1479,MATCH(ROWS($AD$3:AD751),$AD$3:$AD$1479,0)),"")</f>
        <v/>
      </c>
    </row>
    <row r="752" spans="1:31" ht="15.75" x14ac:dyDescent="0.25">
      <c r="A752" t="str">
        <f t="shared" si="140"/>
        <v>Antoine Waked - MTL - AD</v>
      </c>
      <c r="B752" t="str">
        <f t="shared" si="141"/>
        <v>Antoine Waked - MTL - AD</v>
      </c>
      <c r="C752" t="str">
        <f t="shared" si="132"/>
        <v>Antoine</v>
      </c>
      <c r="D752" t="str">
        <f t="shared" si="133"/>
        <v>Waked</v>
      </c>
      <c r="E752" s="39" t="s">
        <v>1507</v>
      </c>
      <c r="F752" s="30" t="s">
        <v>22</v>
      </c>
      <c r="G752" s="35" t="s">
        <v>386</v>
      </c>
      <c r="H752" s="35" t="s">
        <v>2438</v>
      </c>
      <c r="I752" s="35" t="s">
        <v>2446</v>
      </c>
      <c r="J752" s="9">
        <v>23</v>
      </c>
      <c r="K752" s="35">
        <f>VALUE(COUNTIF(Validation!$A$2:$H$47,E752))</f>
        <v>0</v>
      </c>
      <c r="L752" s="361">
        <f t="shared" si="134"/>
        <v>726667</v>
      </c>
      <c r="M752" s="361">
        <f t="shared" si="135"/>
        <v>0</v>
      </c>
      <c r="N752" s="358">
        <v>726667</v>
      </c>
      <c r="O752" s="358" t="s">
        <v>8</v>
      </c>
      <c r="P752" s="358">
        <v>0</v>
      </c>
      <c r="Q752" s="358">
        <v>0</v>
      </c>
      <c r="R752" s="358">
        <v>0</v>
      </c>
      <c r="S752" s="358">
        <v>0</v>
      </c>
      <c r="T752" s="358">
        <v>0</v>
      </c>
      <c r="U752" s="35">
        <f t="shared" si="136"/>
        <v>1</v>
      </c>
      <c r="W752">
        <f t="shared" si="137"/>
        <v>1</v>
      </c>
      <c r="X752" s="35">
        <f t="shared" si="138"/>
        <v>1</v>
      </c>
      <c r="Y752">
        <f t="shared" si="139"/>
        <v>0</v>
      </c>
      <c r="AB752">
        <f t="shared" si="142"/>
        <v>1</v>
      </c>
      <c r="AC752">
        <f t="shared" ca="1" si="143"/>
        <v>0</v>
      </c>
      <c r="AD752" t="str">
        <f ca="1">IF(AC752=1,COUNTIF($AC$3:AC752,1),"")</f>
        <v/>
      </c>
      <c r="AE752" s="155" t="str">
        <f ca="1">IFERROR(INDEX(Données!$B$3:$B$1479,MATCH(ROWS($AD$3:AD752),$AD$3:$AD$1479,0)),"")</f>
        <v/>
      </c>
    </row>
    <row r="753" spans="1:31" ht="15.75" x14ac:dyDescent="0.25">
      <c r="A753" t="str">
        <f t="shared" si="140"/>
        <v>Michael McNiven - MTL - G</v>
      </c>
      <c r="B753" t="str">
        <f t="shared" si="141"/>
        <v>Michael McNiven - MTL - G</v>
      </c>
      <c r="C753" t="str">
        <f t="shared" si="132"/>
        <v>Michael</v>
      </c>
      <c r="D753" t="str">
        <f t="shared" si="133"/>
        <v>McNiven</v>
      </c>
      <c r="E753" s="39" t="s">
        <v>1510</v>
      </c>
      <c r="F753" s="30" t="s">
        <v>22</v>
      </c>
      <c r="G753" s="35" t="s">
        <v>386</v>
      </c>
      <c r="H753" s="35" t="s">
        <v>127</v>
      </c>
      <c r="I753" s="35" t="s">
        <v>2446</v>
      </c>
      <c r="J753" s="35">
        <v>22</v>
      </c>
      <c r="K753" s="35">
        <f>VALUE(COUNTIF(Validation!$A$2:$H$47,E753))</f>
        <v>0</v>
      </c>
      <c r="L753" s="361">
        <f t="shared" si="134"/>
        <v>718888</v>
      </c>
      <c r="M753" s="361">
        <f t="shared" si="135"/>
        <v>0</v>
      </c>
      <c r="N753" s="358">
        <v>718888</v>
      </c>
      <c r="O753" s="358" t="s">
        <v>8</v>
      </c>
      <c r="P753" s="358">
        <v>0</v>
      </c>
      <c r="Q753" s="358">
        <v>0</v>
      </c>
      <c r="R753" s="358">
        <v>0</v>
      </c>
      <c r="S753" s="358">
        <v>0</v>
      </c>
      <c r="T753" s="358">
        <v>0</v>
      </c>
      <c r="U753" s="35">
        <f t="shared" si="136"/>
        <v>1</v>
      </c>
      <c r="W753">
        <f t="shared" si="137"/>
        <v>1</v>
      </c>
      <c r="X753" s="35">
        <f t="shared" si="138"/>
        <v>1</v>
      </c>
      <c r="Y753">
        <f t="shared" si="139"/>
        <v>0</v>
      </c>
      <c r="AB753">
        <f t="shared" si="142"/>
        <v>1</v>
      </c>
      <c r="AC753">
        <f t="shared" ca="1" si="143"/>
        <v>0</v>
      </c>
      <c r="AD753" t="str">
        <f ca="1">IF(AC753=1,COUNTIF($AC$3:AC753,1),"")</f>
        <v/>
      </c>
      <c r="AE753" s="155" t="str">
        <f ca="1">IFERROR(INDEX(Données!$B$3:$B$1479,MATCH(ROWS($AD$3:AD753),$AD$3:$AD$1479,0)),"")</f>
        <v/>
      </c>
    </row>
    <row r="754" spans="1:31" ht="15.75" x14ac:dyDescent="0.25">
      <c r="A754" t="str">
        <f t="shared" si="140"/>
        <v>Riley Barber - MTL - AD</v>
      </c>
      <c r="B754" t="str">
        <f t="shared" si="141"/>
        <v>Riley Barber - MTL - AD</v>
      </c>
      <c r="C754" t="str">
        <f t="shared" si="132"/>
        <v>Riley</v>
      </c>
      <c r="D754" t="str">
        <f t="shared" si="133"/>
        <v>Barber</v>
      </c>
      <c r="E754" s="39" t="s">
        <v>1886</v>
      </c>
      <c r="F754" s="30" t="s">
        <v>22</v>
      </c>
      <c r="G754" s="35">
        <v>0</v>
      </c>
      <c r="H754" s="35" t="s">
        <v>2438</v>
      </c>
      <c r="I754" s="35" t="s">
        <v>2446</v>
      </c>
      <c r="J754" s="35">
        <v>25</v>
      </c>
      <c r="K754" s="35">
        <f>VALUE(COUNTIF(Validation!$A$2:$H$47,E754))</f>
        <v>0</v>
      </c>
      <c r="L754" s="361">
        <f t="shared" si="134"/>
        <v>700000</v>
      </c>
      <c r="M754" s="361">
        <f t="shared" si="135"/>
        <v>0</v>
      </c>
      <c r="N754" s="358">
        <v>700000</v>
      </c>
      <c r="O754" s="358" t="s">
        <v>8</v>
      </c>
      <c r="P754" s="358">
        <v>0</v>
      </c>
      <c r="Q754" s="358">
        <v>0</v>
      </c>
      <c r="R754" s="358">
        <v>0</v>
      </c>
      <c r="S754" s="358">
        <v>0</v>
      </c>
      <c r="T754" s="358">
        <v>0</v>
      </c>
      <c r="U754" s="35">
        <f t="shared" si="136"/>
        <v>1</v>
      </c>
      <c r="W754">
        <f t="shared" si="137"/>
        <v>1</v>
      </c>
      <c r="X754" s="35">
        <f t="shared" si="138"/>
        <v>0</v>
      </c>
      <c r="Y754">
        <f t="shared" si="139"/>
        <v>0</v>
      </c>
      <c r="AB754">
        <f t="shared" si="142"/>
        <v>1</v>
      </c>
      <c r="AC754">
        <f t="shared" ca="1" si="143"/>
        <v>0</v>
      </c>
      <c r="AD754" t="str">
        <f ca="1">IF(AC754=1,COUNTIF($AC$3:AC754,1),"")</f>
        <v/>
      </c>
      <c r="AE754" s="155" t="str">
        <f ca="1">IFERROR(INDEX(Données!$B$3:$B$1479,MATCH(ROWS($AD$3:AD754),$AD$3:$AD$1479,0)),"")</f>
        <v/>
      </c>
    </row>
    <row r="755" spans="1:31" ht="15.75" x14ac:dyDescent="0.25">
      <c r="A755" t="str">
        <f t="shared" si="140"/>
        <v>Alex Belzile - MTL - AD, C</v>
      </c>
      <c r="B755" t="str">
        <f t="shared" si="141"/>
        <v>Alex Belzile - MTL - AD, C</v>
      </c>
      <c r="C755" t="str">
        <f t="shared" si="132"/>
        <v>Alex</v>
      </c>
      <c r="D755" t="str">
        <f t="shared" si="133"/>
        <v>Belzile</v>
      </c>
      <c r="E755" s="39" t="s">
        <v>2604</v>
      </c>
      <c r="F755" s="30" t="s">
        <v>22</v>
      </c>
      <c r="G755" s="35">
        <v>0</v>
      </c>
      <c r="H755" s="35" t="s">
        <v>2453</v>
      </c>
      <c r="I755" s="35" t="s">
        <v>2446</v>
      </c>
      <c r="J755" s="35">
        <v>27</v>
      </c>
      <c r="K755" s="35">
        <f>VALUE(COUNTIF(Validation!$A$2:$H$47,E755))</f>
        <v>0</v>
      </c>
      <c r="L755" s="361">
        <f t="shared" si="134"/>
        <v>700000</v>
      </c>
      <c r="M755" s="361">
        <f t="shared" si="135"/>
        <v>0</v>
      </c>
      <c r="N755" s="358">
        <v>700000</v>
      </c>
      <c r="O755" s="358" t="s">
        <v>7</v>
      </c>
      <c r="P755" s="358">
        <v>0</v>
      </c>
      <c r="Q755" s="358">
        <v>0</v>
      </c>
      <c r="R755" s="358">
        <v>0</v>
      </c>
      <c r="S755" s="358">
        <v>0</v>
      </c>
      <c r="T755" s="358">
        <v>0</v>
      </c>
      <c r="U755" s="35">
        <f t="shared" si="136"/>
        <v>1</v>
      </c>
      <c r="W755">
        <f t="shared" si="137"/>
        <v>1</v>
      </c>
      <c r="X755" s="35">
        <f t="shared" si="138"/>
        <v>0</v>
      </c>
      <c r="Y755">
        <f t="shared" si="139"/>
        <v>0</v>
      </c>
      <c r="AB755">
        <f t="shared" si="142"/>
        <v>1</v>
      </c>
      <c r="AC755">
        <f t="shared" ca="1" si="143"/>
        <v>0</v>
      </c>
      <c r="AD755" t="str">
        <f ca="1">IF(AC755=1,COUNTIF($AC$3:AC755,1),"")</f>
        <v/>
      </c>
      <c r="AE755" s="155" t="str">
        <f ca="1">IFERROR(INDEX(Données!$B$3:$B$1479,MATCH(ROWS($AD$3:AD755),$AD$3:$AD$1479,0)),"")</f>
        <v/>
      </c>
    </row>
    <row r="756" spans="1:31" ht="15.75" x14ac:dyDescent="0.25">
      <c r="A756" t="str">
        <f t="shared" si="140"/>
        <v>Michael McCarron - MTL - AD, C</v>
      </c>
      <c r="B756" t="str">
        <f t="shared" si="141"/>
        <v>Michael McCarron - MTL - AD, C</v>
      </c>
      <c r="C756" t="str">
        <f t="shared" si="132"/>
        <v>Michael</v>
      </c>
      <c r="D756" t="str">
        <f t="shared" si="133"/>
        <v>McCarron</v>
      </c>
      <c r="E756" s="39" t="s">
        <v>1500</v>
      </c>
      <c r="F756" s="30" t="s">
        <v>22</v>
      </c>
      <c r="G756" s="35">
        <v>0</v>
      </c>
      <c r="H756" s="35" t="s">
        <v>2453</v>
      </c>
      <c r="I756" s="35" t="s">
        <v>2446</v>
      </c>
      <c r="J756" s="35">
        <v>24</v>
      </c>
      <c r="K756" s="35">
        <f>VALUE(COUNTIF(Validation!$A$2:$H$47,E756))</f>
        <v>0</v>
      </c>
      <c r="L756" s="361">
        <f t="shared" si="134"/>
        <v>700000</v>
      </c>
      <c r="M756" s="361">
        <f t="shared" si="135"/>
        <v>0</v>
      </c>
      <c r="N756" s="358">
        <v>700000</v>
      </c>
      <c r="O756" s="358" t="s">
        <v>8</v>
      </c>
      <c r="P756" s="358">
        <v>0</v>
      </c>
      <c r="Q756" s="358">
        <v>0</v>
      </c>
      <c r="R756" s="358">
        <v>0</v>
      </c>
      <c r="S756" s="358">
        <v>0</v>
      </c>
      <c r="T756" s="358">
        <v>0</v>
      </c>
      <c r="U756" s="35">
        <f t="shared" si="136"/>
        <v>1</v>
      </c>
      <c r="W756">
        <f t="shared" si="137"/>
        <v>1</v>
      </c>
      <c r="X756" s="35">
        <f t="shared" si="138"/>
        <v>0</v>
      </c>
      <c r="Y756">
        <f t="shared" si="139"/>
        <v>0</v>
      </c>
      <c r="AB756">
        <f t="shared" si="142"/>
        <v>1</v>
      </c>
      <c r="AC756">
        <f t="shared" ca="1" si="143"/>
        <v>0</v>
      </c>
      <c r="AD756" t="str">
        <f ca="1">IF(AC756=1,COUNTIF($AC$3:AC756,1),"")</f>
        <v/>
      </c>
      <c r="AE756" s="155" t="str">
        <f ca="1">IFERROR(INDEX(Données!$B$3:$B$1479,MATCH(ROWS($AD$3:AD756),$AD$3:$AD$1479,0)),"")</f>
        <v/>
      </c>
    </row>
    <row r="757" spans="1:31" ht="15.75" x14ac:dyDescent="0.25">
      <c r="A757" t="str">
        <f t="shared" si="140"/>
        <v>Gustav Olofsson - MTL - DG</v>
      </c>
      <c r="B757" t="str">
        <f t="shared" si="141"/>
        <v>Gustav Olofsson - MTL - DG</v>
      </c>
      <c r="C757" t="str">
        <f t="shared" si="132"/>
        <v>Gustav</v>
      </c>
      <c r="D757" t="str">
        <f t="shared" si="133"/>
        <v>Olofsson</v>
      </c>
      <c r="E757" s="39" t="s">
        <v>1999</v>
      </c>
      <c r="F757" s="30" t="s">
        <v>22</v>
      </c>
      <c r="G757" s="35">
        <v>0</v>
      </c>
      <c r="H757" s="35" t="s">
        <v>2445</v>
      </c>
      <c r="I757" s="35" t="s">
        <v>2446</v>
      </c>
      <c r="J757" s="35">
        <v>24</v>
      </c>
      <c r="K757" s="35">
        <f>VALUE(COUNTIF(Validation!$A$2:$H$47,E757))</f>
        <v>0</v>
      </c>
      <c r="L757" s="361">
        <f t="shared" si="134"/>
        <v>700000</v>
      </c>
      <c r="M757" s="361">
        <f t="shared" si="135"/>
        <v>0</v>
      </c>
      <c r="N757" s="358">
        <v>700000</v>
      </c>
      <c r="O757" s="358" t="s">
        <v>8</v>
      </c>
      <c r="P757" s="358">
        <v>0</v>
      </c>
      <c r="Q757" s="358">
        <v>0</v>
      </c>
      <c r="R757" s="358">
        <v>0</v>
      </c>
      <c r="S757" s="358">
        <v>0</v>
      </c>
      <c r="T757" s="358">
        <v>0</v>
      </c>
      <c r="U757" s="35">
        <f t="shared" si="136"/>
        <v>1</v>
      </c>
      <c r="W757">
        <f t="shared" si="137"/>
        <v>1</v>
      </c>
      <c r="X757" s="35">
        <f t="shared" si="138"/>
        <v>0</v>
      </c>
      <c r="Y757">
        <f t="shared" si="139"/>
        <v>0</v>
      </c>
      <c r="AB757">
        <f t="shared" si="142"/>
        <v>1</v>
      </c>
      <c r="AC757">
        <f t="shared" ca="1" si="143"/>
        <v>0</v>
      </c>
      <c r="AD757" t="str">
        <f ca="1">IF(AC757=1,COUNTIF($AC$3:AC757,1),"")</f>
        <v/>
      </c>
      <c r="AE757" s="155" t="str">
        <f ca="1">IFERROR(INDEX(Données!$B$3:$B$1479,MATCH(ROWS($AD$3:AD757),$AD$3:$AD$1479,0)),"")</f>
        <v/>
      </c>
    </row>
    <row r="758" spans="1:31" ht="15.75" x14ac:dyDescent="0.25">
      <c r="A758" t="str">
        <f t="shared" si="140"/>
        <v>Xavier Ouellet - MTL - DG</v>
      </c>
      <c r="B758" t="str">
        <f t="shared" si="141"/>
        <v>Xavier Ouellet - MTL - DG</v>
      </c>
      <c r="C758" t="str">
        <f t="shared" si="132"/>
        <v>Xavier</v>
      </c>
      <c r="D758" t="str">
        <f t="shared" si="133"/>
        <v>Ouellet</v>
      </c>
      <c r="E758" s="39" t="s">
        <v>1437</v>
      </c>
      <c r="F758" s="30" t="s">
        <v>22</v>
      </c>
      <c r="G758" s="35">
        <v>0</v>
      </c>
      <c r="H758" s="35" t="s">
        <v>2445</v>
      </c>
      <c r="I758" s="35" t="s">
        <v>2446</v>
      </c>
      <c r="J758" s="35">
        <v>26</v>
      </c>
      <c r="K758" s="35">
        <f>VALUE(COUNTIF(Validation!$A$2:$H$47,E758))</f>
        <v>0</v>
      </c>
      <c r="L758" s="361">
        <f t="shared" si="134"/>
        <v>700000</v>
      </c>
      <c r="M758" s="361">
        <f t="shared" si="135"/>
        <v>0</v>
      </c>
      <c r="N758" s="358">
        <v>700000</v>
      </c>
      <c r="O758" s="358" t="s">
        <v>8</v>
      </c>
      <c r="P758" s="358">
        <v>0</v>
      </c>
      <c r="Q758" s="358">
        <v>0</v>
      </c>
      <c r="R758" s="358">
        <v>0</v>
      </c>
      <c r="S758" s="358">
        <v>0</v>
      </c>
      <c r="T758" s="358">
        <v>0</v>
      </c>
      <c r="U758" s="35">
        <f t="shared" si="136"/>
        <v>1</v>
      </c>
      <c r="W758">
        <f t="shared" si="137"/>
        <v>1</v>
      </c>
      <c r="X758" s="35">
        <f t="shared" si="138"/>
        <v>0</v>
      </c>
      <c r="Y758">
        <f t="shared" si="139"/>
        <v>0</v>
      </c>
      <c r="AB758">
        <f t="shared" si="142"/>
        <v>1</v>
      </c>
      <c r="AC758">
        <f t="shared" ca="1" si="143"/>
        <v>0</v>
      </c>
      <c r="AD758" t="str">
        <f ca="1">IF(AC758=1,COUNTIF($AC$3:AC758,1),"")</f>
        <v/>
      </c>
      <c r="AE758" s="155" t="str">
        <f ca="1">IFERROR(INDEX(Données!$B$3:$B$1479,MATCH(ROWS($AD$3:AD758),$AD$3:$AD$1479,0)),"")</f>
        <v/>
      </c>
    </row>
    <row r="759" spans="1:31" ht="15.75" x14ac:dyDescent="0.25">
      <c r="A759" t="str">
        <f t="shared" si="140"/>
        <v>Philip Varone - MTL - C</v>
      </c>
      <c r="B759" t="str">
        <f t="shared" si="141"/>
        <v>Philip Varone - MTL - C</v>
      </c>
      <c r="C759" t="str">
        <f t="shared" si="132"/>
        <v>Philip</v>
      </c>
      <c r="D759" t="str">
        <f t="shared" si="133"/>
        <v>Varone</v>
      </c>
      <c r="E759" s="39" t="s">
        <v>1821</v>
      </c>
      <c r="F759" s="30" t="s">
        <v>22</v>
      </c>
      <c r="G759" s="35">
        <v>0</v>
      </c>
      <c r="H759" s="35" t="s">
        <v>73</v>
      </c>
      <c r="I759" s="35" t="s">
        <v>2446</v>
      </c>
      <c r="J759" s="35">
        <v>28</v>
      </c>
      <c r="K759" s="35">
        <f>VALUE(COUNTIF(Validation!$A$2:$H$47,E759))</f>
        <v>0</v>
      </c>
      <c r="L759" s="361">
        <f t="shared" si="134"/>
        <v>700000</v>
      </c>
      <c r="M759" s="361">
        <f t="shared" si="135"/>
        <v>0</v>
      </c>
      <c r="N759" s="358">
        <v>700000</v>
      </c>
      <c r="O759" s="358" t="s">
        <v>7</v>
      </c>
      <c r="P759" s="358">
        <v>0</v>
      </c>
      <c r="Q759" s="358">
        <v>0</v>
      </c>
      <c r="R759" s="358">
        <v>0</v>
      </c>
      <c r="S759" s="358">
        <v>0</v>
      </c>
      <c r="T759" s="358">
        <v>0</v>
      </c>
      <c r="U759" s="35">
        <f t="shared" si="136"/>
        <v>1</v>
      </c>
      <c r="W759">
        <f t="shared" si="137"/>
        <v>1</v>
      </c>
      <c r="X759" s="35">
        <f t="shared" si="138"/>
        <v>0</v>
      </c>
      <c r="Y759">
        <f t="shared" si="139"/>
        <v>0</v>
      </c>
      <c r="AB759">
        <f t="shared" si="142"/>
        <v>1</v>
      </c>
      <c r="AC759">
        <f t="shared" ca="1" si="143"/>
        <v>0</v>
      </c>
      <c r="AD759" t="str">
        <f ca="1">IF(AC759=1,COUNTIF($AC$3:AC759,1),"")</f>
        <v/>
      </c>
      <c r="AE759" s="155" t="str">
        <f ca="1">IFERROR(INDEX(Données!$B$3:$B$1479,MATCH(ROWS($AD$3:AD759),$AD$3:$AD$1479,0)),"")</f>
        <v/>
      </c>
    </row>
    <row r="760" spans="1:31" ht="15.75" x14ac:dyDescent="0.25">
      <c r="A760" t="str">
        <f t="shared" si="140"/>
        <v>Matt Duchene - NAS - C, LW</v>
      </c>
      <c r="B760" t="str">
        <f t="shared" si="141"/>
        <v>Matt Duchene - NAS - C, LW</v>
      </c>
      <c r="C760" t="str">
        <f t="shared" si="132"/>
        <v>Matt</v>
      </c>
      <c r="D760" t="str">
        <f t="shared" si="133"/>
        <v>Duchene</v>
      </c>
      <c r="E760" s="39" t="s">
        <v>1516</v>
      </c>
      <c r="F760" s="30" t="s">
        <v>23</v>
      </c>
      <c r="G760" s="35">
        <v>0</v>
      </c>
      <c r="H760" s="35" t="s">
        <v>2679</v>
      </c>
      <c r="I760" s="35" t="s">
        <v>2677</v>
      </c>
      <c r="J760" s="35">
        <v>28</v>
      </c>
      <c r="K760" s="35">
        <f>VALUE(COUNTIF(Validation!$A$2:$H$47,E760))</f>
        <v>0</v>
      </c>
      <c r="L760" s="361">
        <f t="shared" si="134"/>
        <v>8000000</v>
      </c>
      <c r="M760" s="361">
        <f t="shared" si="135"/>
        <v>8000000</v>
      </c>
      <c r="N760" s="358">
        <v>8000000</v>
      </c>
      <c r="O760" s="358">
        <v>8000000</v>
      </c>
      <c r="P760" s="358">
        <v>8000000</v>
      </c>
      <c r="Q760" s="358">
        <v>8000000</v>
      </c>
      <c r="R760" s="358">
        <v>8000000</v>
      </c>
      <c r="S760" s="358">
        <v>8000000</v>
      </c>
      <c r="T760" s="358">
        <v>8000000</v>
      </c>
      <c r="U760" s="35">
        <f t="shared" si="136"/>
        <v>7</v>
      </c>
      <c r="W760">
        <f t="shared" si="137"/>
        <v>1</v>
      </c>
      <c r="X760" s="35">
        <f t="shared" si="138"/>
        <v>0</v>
      </c>
      <c r="Y760">
        <f t="shared" si="139"/>
        <v>1</v>
      </c>
      <c r="AB760">
        <f t="shared" si="142"/>
        <v>1</v>
      </c>
      <c r="AC760">
        <f t="shared" ca="1" si="143"/>
        <v>0</v>
      </c>
      <c r="AD760" t="str">
        <f ca="1">IF(AC760=1,COUNTIF($AC$3:AC760,1),"")</f>
        <v/>
      </c>
      <c r="AE760" s="155" t="str">
        <f ca="1">IFERROR(INDEX(Données!$B$3:$B$1479,MATCH(ROWS($AD$3:AD760),$AD$3:$AD$1479,0)),"")</f>
        <v/>
      </c>
    </row>
    <row r="761" spans="1:31" ht="15.75" x14ac:dyDescent="0.25">
      <c r="A761" t="str">
        <f t="shared" si="140"/>
        <v>Ryan Johansen - NAS - C, RW</v>
      </c>
      <c r="B761" t="str">
        <f t="shared" si="141"/>
        <v>Ryan Johansen - NAS - C, RW</v>
      </c>
      <c r="C761" t="str">
        <f t="shared" si="132"/>
        <v>Ryan</v>
      </c>
      <c r="D761" t="str">
        <f t="shared" si="133"/>
        <v>Johansen</v>
      </c>
      <c r="E761" s="39" t="s">
        <v>2972</v>
      </c>
      <c r="F761" s="30" t="s">
        <v>23</v>
      </c>
      <c r="G761" s="35">
        <v>0</v>
      </c>
      <c r="H761" s="35" t="s">
        <v>2684</v>
      </c>
      <c r="I761" s="35" t="s">
        <v>2677</v>
      </c>
      <c r="J761" s="35">
        <v>27</v>
      </c>
      <c r="K761" s="35">
        <f>VALUE(COUNTIF(Validation!$A$2:$H$47,E761))</f>
        <v>0</v>
      </c>
      <c r="L761" s="361">
        <f t="shared" si="134"/>
        <v>8000000</v>
      </c>
      <c r="M761" s="361">
        <f t="shared" si="135"/>
        <v>8000000</v>
      </c>
      <c r="N761" s="358">
        <v>8000000</v>
      </c>
      <c r="O761" s="358">
        <v>8000000</v>
      </c>
      <c r="P761" s="358">
        <v>8000000</v>
      </c>
      <c r="Q761" s="358">
        <v>8000000</v>
      </c>
      <c r="R761" s="358">
        <v>8000000</v>
      </c>
      <c r="S761" s="358">
        <v>8000000</v>
      </c>
      <c r="T761" s="358" t="s">
        <v>7</v>
      </c>
      <c r="U761" s="35">
        <f t="shared" si="136"/>
        <v>6</v>
      </c>
      <c r="W761">
        <f t="shared" si="137"/>
        <v>1</v>
      </c>
      <c r="X761" s="35">
        <f t="shared" si="138"/>
        <v>0</v>
      </c>
      <c r="Y761">
        <f t="shared" si="139"/>
        <v>1</v>
      </c>
      <c r="AB761">
        <f t="shared" si="142"/>
        <v>1</v>
      </c>
      <c r="AC761">
        <f t="shared" ca="1" si="143"/>
        <v>0</v>
      </c>
      <c r="AD761" t="str">
        <f ca="1">IF(AC761=1,COUNTIF($AC$3:AC761,1),"")</f>
        <v/>
      </c>
      <c r="AE761" s="155" t="str">
        <f ca="1">IFERROR(INDEX(Données!$B$3:$B$1479,MATCH(ROWS($AD$3:AD761),$AD$3:$AD$1479,0)),"")</f>
        <v/>
      </c>
    </row>
    <row r="762" spans="1:31" ht="15.75" x14ac:dyDescent="0.25">
      <c r="A762" t="str">
        <f t="shared" si="140"/>
        <v>Ryan Ellis - NAS - RD</v>
      </c>
      <c r="B762" t="str">
        <f t="shared" si="141"/>
        <v>Ryan Ellis - NAS - RD</v>
      </c>
      <c r="C762" t="str">
        <f t="shared" si="132"/>
        <v>Ryan</v>
      </c>
      <c r="D762" t="str">
        <f t="shared" si="133"/>
        <v>Ellis</v>
      </c>
      <c r="E762" s="14" t="s">
        <v>2958</v>
      </c>
      <c r="F762" s="30" t="s">
        <v>23</v>
      </c>
      <c r="G762" s="35">
        <v>0</v>
      </c>
      <c r="H762" s="35" t="s">
        <v>379</v>
      </c>
      <c r="I762" s="35" t="s">
        <v>2677</v>
      </c>
      <c r="J762" s="35">
        <v>28</v>
      </c>
      <c r="L762" s="361">
        <f t="shared" si="134"/>
        <v>6250000</v>
      </c>
      <c r="M762" s="361">
        <f t="shared" si="135"/>
        <v>6250000</v>
      </c>
      <c r="N762" s="358">
        <v>6250000</v>
      </c>
      <c r="O762" s="358">
        <v>6250000</v>
      </c>
      <c r="P762" s="358">
        <v>6250000</v>
      </c>
      <c r="Q762" s="358">
        <v>6250000</v>
      </c>
      <c r="R762" s="358">
        <v>6250000</v>
      </c>
      <c r="S762" s="358">
        <v>6250000</v>
      </c>
      <c r="T762" s="358">
        <v>6250000</v>
      </c>
      <c r="U762" s="35">
        <f t="shared" si="136"/>
        <v>7</v>
      </c>
      <c r="W762">
        <f t="shared" si="137"/>
        <v>1</v>
      </c>
      <c r="X762" s="35">
        <f t="shared" si="138"/>
        <v>0</v>
      </c>
      <c r="Y762">
        <f t="shared" si="139"/>
        <v>1</v>
      </c>
      <c r="AB762">
        <f t="shared" si="142"/>
        <v>1</v>
      </c>
      <c r="AC762">
        <f t="shared" ca="1" si="143"/>
        <v>0</v>
      </c>
      <c r="AD762" t="str">
        <f ca="1">IF(AC762=1,COUNTIF($AC$3:AC762,1),"")</f>
        <v/>
      </c>
      <c r="AE762" s="155" t="str">
        <f ca="1">IFERROR(INDEX(Données!$B$3:$B$1479,MATCH(ROWS($AD$3:AD762),$AD$3:$AD$1479,0)),"")</f>
        <v/>
      </c>
    </row>
    <row r="763" spans="1:31" ht="15.75" x14ac:dyDescent="0.25">
      <c r="A763" t="str">
        <f t="shared" si="140"/>
        <v>Filip Forsberg - NAS - LW</v>
      </c>
      <c r="B763" t="str">
        <f t="shared" si="141"/>
        <v>Filip Forsberg - NAS - LW</v>
      </c>
      <c r="C763" t="str">
        <f t="shared" si="132"/>
        <v>Filip</v>
      </c>
      <c r="D763" t="str">
        <f t="shared" si="133"/>
        <v>Forsberg</v>
      </c>
      <c r="E763" s="39" t="s">
        <v>2961</v>
      </c>
      <c r="F763" s="30" t="s">
        <v>23</v>
      </c>
      <c r="G763" s="35">
        <v>0</v>
      </c>
      <c r="H763" s="35" t="s">
        <v>93</v>
      </c>
      <c r="I763" s="35" t="s">
        <v>2677</v>
      </c>
      <c r="J763" s="35">
        <v>25</v>
      </c>
      <c r="K763" s="35">
        <f>VALUE(COUNTIF(Validation!$A$2:$H$47,E763))</f>
        <v>0</v>
      </c>
      <c r="L763" s="361">
        <f t="shared" si="134"/>
        <v>6000000</v>
      </c>
      <c r="M763" s="361">
        <f t="shared" si="135"/>
        <v>6000000</v>
      </c>
      <c r="N763" s="358">
        <v>6000000</v>
      </c>
      <c r="O763" s="358">
        <v>6000000</v>
      </c>
      <c r="P763" s="358">
        <v>6000000</v>
      </c>
      <c r="Q763" s="362" t="s">
        <v>7</v>
      </c>
      <c r="R763" s="358">
        <v>0</v>
      </c>
      <c r="S763" s="358">
        <v>0</v>
      </c>
      <c r="T763" s="358">
        <v>0</v>
      </c>
      <c r="U763" s="35">
        <f t="shared" si="136"/>
        <v>3</v>
      </c>
      <c r="W763">
        <f t="shared" si="137"/>
        <v>1</v>
      </c>
      <c r="X763" s="35">
        <f t="shared" si="138"/>
        <v>0</v>
      </c>
      <c r="Y763">
        <f t="shared" si="139"/>
        <v>1</v>
      </c>
      <c r="AB763">
        <f t="shared" si="142"/>
        <v>1</v>
      </c>
      <c r="AC763">
        <f t="shared" ca="1" si="143"/>
        <v>0</v>
      </c>
      <c r="AD763" t="str">
        <f ca="1">IF(AC763=1,COUNTIF($AC$3:AC763,1),"")</f>
        <v/>
      </c>
      <c r="AE763" s="155" t="str">
        <f ca="1">IFERROR(INDEX(Données!$B$3:$B$1479,MATCH(ROWS($AD$3:AD763),$AD$3:$AD$1479,0)),"")</f>
        <v/>
      </c>
    </row>
    <row r="764" spans="1:31" ht="15.75" x14ac:dyDescent="0.25">
      <c r="A764" t="str">
        <f t="shared" si="140"/>
        <v>Kyle Turris - NAS - C</v>
      </c>
      <c r="B764" t="str">
        <f t="shared" si="141"/>
        <v>Kyle Turris - NAS - C</v>
      </c>
      <c r="C764" t="str">
        <f t="shared" si="132"/>
        <v>Kyle</v>
      </c>
      <c r="D764" t="str">
        <f t="shared" si="133"/>
        <v>Turris</v>
      </c>
      <c r="E764" s="39" t="s">
        <v>2018</v>
      </c>
      <c r="F764" s="30" t="s">
        <v>23</v>
      </c>
      <c r="G764" s="35">
        <v>0</v>
      </c>
      <c r="H764" s="35" t="s">
        <v>73</v>
      </c>
      <c r="I764" s="35" t="s">
        <v>2677</v>
      </c>
      <c r="J764" s="35">
        <v>29</v>
      </c>
      <c r="K764" s="35">
        <f>VALUE(COUNTIF(Validation!$A$2:$H$47,E764))</f>
        <v>0</v>
      </c>
      <c r="L764" s="361">
        <f t="shared" si="134"/>
        <v>6000000</v>
      </c>
      <c r="M764" s="361">
        <f t="shared" si="135"/>
        <v>6000000</v>
      </c>
      <c r="N764" s="358">
        <v>6000000</v>
      </c>
      <c r="O764" s="358">
        <v>6000000</v>
      </c>
      <c r="P764" s="358">
        <v>6000000</v>
      </c>
      <c r="Q764" s="358">
        <v>6000000</v>
      </c>
      <c r="R764" s="358">
        <v>6000000</v>
      </c>
      <c r="S764" s="358" t="s">
        <v>7</v>
      </c>
      <c r="T764" s="358">
        <v>0</v>
      </c>
      <c r="U764" s="35">
        <f t="shared" si="136"/>
        <v>5</v>
      </c>
      <c r="W764">
        <f t="shared" si="137"/>
        <v>1</v>
      </c>
      <c r="X764" s="35">
        <f t="shared" si="138"/>
        <v>0</v>
      </c>
      <c r="Y764">
        <f t="shared" si="139"/>
        <v>1</v>
      </c>
      <c r="AB764">
        <f t="shared" si="142"/>
        <v>1</v>
      </c>
      <c r="AC764">
        <f t="shared" ca="1" si="143"/>
        <v>0</v>
      </c>
      <c r="AD764" t="str">
        <f ca="1">IF(AC764=1,COUNTIF($AC$3:AC764,1),"")</f>
        <v/>
      </c>
      <c r="AE764" s="155" t="str">
        <f ca="1">IFERROR(INDEX(Données!$B$3:$B$1479,MATCH(ROWS($AD$3:AD764),$AD$3:$AD$1479,0)),"")</f>
        <v/>
      </c>
    </row>
    <row r="765" spans="1:31" ht="15.75" x14ac:dyDescent="0.25">
      <c r="A765" t="str">
        <f t="shared" si="140"/>
        <v>Mikael Granlund - NAS - C, RW</v>
      </c>
      <c r="B765" t="str">
        <f t="shared" si="141"/>
        <v>Mikael Granlund - NAS - C, RW</v>
      </c>
      <c r="C765" t="str">
        <f t="shared" si="132"/>
        <v>Mikael</v>
      </c>
      <c r="D765" t="str">
        <f t="shared" si="133"/>
        <v>Granlund</v>
      </c>
      <c r="E765" s="39" t="s">
        <v>1986</v>
      </c>
      <c r="F765" s="30" t="s">
        <v>23</v>
      </c>
      <c r="G765" s="35">
        <v>0</v>
      </c>
      <c r="H765" s="35" t="s">
        <v>2684</v>
      </c>
      <c r="I765" s="35" t="s">
        <v>2677</v>
      </c>
      <c r="J765" s="35">
        <v>27</v>
      </c>
      <c r="K765" s="35">
        <f>VALUE(COUNTIF(Validation!$A$2:$H$47,E765))</f>
        <v>0</v>
      </c>
      <c r="L765" s="361">
        <f t="shared" si="134"/>
        <v>5750000</v>
      </c>
      <c r="M765" s="361">
        <f t="shared" si="135"/>
        <v>0</v>
      </c>
      <c r="N765" s="358">
        <v>5750000</v>
      </c>
      <c r="O765" s="358" t="s">
        <v>7</v>
      </c>
      <c r="P765" s="358">
        <v>0</v>
      </c>
      <c r="Q765" s="358">
        <v>0</v>
      </c>
      <c r="R765" s="358">
        <v>0</v>
      </c>
      <c r="S765" s="358">
        <v>0</v>
      </c>
      <c r="T765" s="358">
        <v>0</v>
      </c>
      <c r="U765" s="35">
        <f t="shared" si="136"/>
        <v>1</v>
      </c>
      <c r="W765">
        <f t="shared" si="137"/>
        <v>1</v>
      </c>
      <c r="X765" s="35">
        <f t="shared" si="138"/>
        <v>0</v>
      </c>
      <c r="Y765">
        <f t="shared" si="139"/>
        <v>0</v>
      </c>
      <c r="AB765">
        <f t="shared" si="142"/>
        <v>1</v>
      </c>
      <c r="AC765">
        <f t="shared" ca="1" si="143"/>
        <v>0</v>
      </c>
      <c r="AD765" t="str">
        <f ca="1">IF(AC765=1,COUNTIF($AC$3:AC765,1),"")</f>
        <v/>
      </c>
      <c r="AE765" s="155" t="str">
        <f ca="1">IFERROR(INDEX(Données!$B$3:$B$1479,MATCH(ROWS($AD$3:AD765),$AD$3:$AD$1479,0)),"")</f>
        <v/>
      </c>
    </row>
    <row r="766" spans="1:31" ht="15.75" x14ac:dyDescent="0.25">
      <c r="A766" t="str">
        <f t="shared" si="140"/>
        <v>Pekka Rinne - NAS - G</v>
      </c>
      <c r="B766" t="str">
        <f t="shared" si="141"/>
        <v>Pekka Rinne - NAS - G</v>
      </c>
      <c r="C766" t="str">
        <f t="shared" si="132"/>
        <v>Pekka</v>
      </c>
      <c r="D766" t="str">
        <f t="shared" si="133"/>
        <v>Rinne</v>
      </c>
      <c r="E766" s="39" t="s">
        <v>2031</v>
      </c>
      <c r="F766" s="30" t="s">
        <v>23</v>
      </c>
      <c r="G766" s="35" t="s">
        <v>2715</v>
      </c>
      <c r="H766" s="35" t="s">
        <v>127</v>
      </c>
      <c r="I766" s="35" t="s">
        <v>2677</v>
      </c>
      <c r="J766" s="35">
        <v>36</v>
      </c>
      <c r="K766" s="35">
        <f>VALUE(COUNTIF(Validation!$A$2:$H$47,E766))</f>
        <v>0</v>
      </c>
      <c r="L766" s="361">
        <f t="shared" si="134"/>
        <v>5000000</v>
      </c>
      <c r="M766" s="361">
        <f t="shared" si="135"/>
        <v>5000000</v>
      </c>
      <c r="N766" s="358">
        <v>5000000</v>
      </c>
      <c r="O766" s="358">
        <v>5000000</v>
      </c>
      <c r="P766" s="358" t="s">
        <v>7</v>
      </c>
      <c r="Q766" s="358">
        <v>0</v>
      </c>
      <c r="R766" s="358">
        <v>0</v>
      </c>
      <c r="S766" s="358">
        <v>0</v>
      </c>
      <c r="T766" s="358">
        <v>0</v>
      </c>
      <c r="U766" s="35">
        <f t="shared" si="136"/>
        <v>2</v>
      </c>
      <c r="W766">
        <f t="shared" si="137"/>
        <v>1</v>
      </c>
      <c r="X766" s="35">
        <f t="shared" si="138"/>
        <v>0</v>
      </c>
      <c r="Y766">
        <f t="shared" si="139"/>
        <v>1</v>
      </c>
      <c r="AB766">
        <f t="shared" si="142"/>
        <v>1</v>
      </c>
      <c r="AC766">
        <f t="shared" ca="1" si="143"/>
        <v>0</v>
      </c>
      <c r="AD766" t="str">
        <f ca="1">IF(AC766=1,COUNTIF($AC$3:AC766,1),"")</f>
        <v/>
      </c>
      <c r="AE766" s="155" t="str">
        <f ca="1">IFERROR(INDEX(Données!$B$3:$B$1479,MATCH(ROWS($AD$3:AD766),$AD$3:$AD$1479,0)),"")</f>
        <v/>
      </c>
    </row>
    <row r="767" spans="1:31" ht="15.75" x14ac:dyDescent="0.25">
      <c r="A767" t="str">
        <f t="shared" si="140"/>
        <v>Viktor Arvidsson - NAS - RW, LW</v>
      </c>
      <c r="B767" t="str">
        <f t="shared" si="141"/>
        <v>Viktor Arvidsson - NAS - RW, LW</v>
      </c>
      <c r="C767" t="str">
        <f t="shared" si="132"/>
        <v>Viktor</v>
      </c>
      <c r="D767" t="str">
        <f t="shared" si="133"/>
        <v>Arvidsson</v>
      </c>
      <c r="E767" s="39" t="s">
        <v>2020</v>
      </c>
      <c r="F767" s="30" t="s">
        <v>23</v>
      </c>
      <c r="G767" s="35">
        <v>0</v>
      </c>
      <c r="H767" s="35" t="s">
        <v>2680</v>
      </c>
      <c r="I767" s="35" t="s">
        <v>2677</v>
      </c>
      <c r="J767" s="35">
        <v>26</v>
      </c>
      <c r="K767" s="35">
        <f>VALUE(COUNTIF(Validation!$A$2:$H$47,E767))</f>
        <v>0</v>
      </c>
      <c r="L767" s="361">
        <f t="shared" si="134"/>
        <v>4250000</v>
      </c>
      <c r="M767" s="361">
        <f t="shared" si="135"/>
        <v>4250000</v>
      </c>
      <c r="N767" s="358">
        <v>4250000</v>
      </c>
      <c r="O767" s="358">
        <v>4250000</v>
      </c>
      <c r="P767" s="358">
        <v>4250000</v>
      </c>
      <c r="Q767" s="358">
        <v>4250000</v>
      </c>
      <c r="R767" s="358">
        <v>4250000</v>
      </c>
      <c r="S767" s="358" t="s">
        <v>7</v>
      </c>
      <c r="T767" s="358">
        <v>0</v>
      </c>
      <c r="U767" s="35">
        <f t="shared" si="136"/>
        <v>5</v>
      </c>
      <c r="W767">
        <f t="shared" si="137"/>
        <v>1</v>
      </c>
      <c r="X767" s="35">
        <f t="shared" si="138"/>
        <v>0</v>
      </c>
      <c r="Y767">
        <f t="shared" si="139"/>
        <v>1</v>
      </c>
      <c r="AB767">
        <f t="shared" si="142"/>
        <v>1</v>
      </c>
      <c r="AC767">
        <f t="shared" ca="1" si="143"/>
        <v>0</v>
      </c>
      <c r="AD767" t="str">
        <f ca="1">IF(AC767=1,COUNTIF($AC$3:AC767,1),"")</f>
        <v/>
      </c>
      <c r="AE767" s="155" t="str">
        <f ca="1">IFERROR(INDEX(Données!$B$3:$B$1479,MATCH(ROWS($AD$3:AD767),$AD$3:$AD$1479,0)),"")</f>
        <v/>
      </c>
    </row>
    <row r="768" spans="1:31" ht="15.75" x14ac:dyDescent="0.25">
      <c r="A768" t="str">
        <f t="shared" si="140"/>
        <v>Craig Smith - NAS - RW, C</v>
      </c>
      <c r="B768" t="str">
        <f t="shared" si="141"/>
        <v>Craig Smith - NAS - RW, C</v>
      </c>
      <c r="C768" t="str">
        <f t="shared" si="132"/>
        <v>Craig</v>
      </c>
      <c r="D768" t="str">
        <f t="shared" si="133"/>
        <v>Smith</v>
      </c>
      <c r="E768" s="39" t="s">
        <v>2019</v>
      </c>
      <c r="F768" s="30" t="s">
        <v>23</v>
      </c>
      <c r="G768" s="35">
        <v>0</v>
      </c>
      <c r="H768" s="35" t="s">
        <v>2678</v>
      </c>
      <c r="I768" s="35" t="s">
        <v>2677</v>
      </c>
      <c r="J768" s="35">
        <v>29</v>
      </c>
      <c r="K768" s="35">
        <f>VALUE(COUNTIF(Validation!$A$2:$H$47,E768))</f>
        <v>0</v>
      </c>
      <c r="L768" s="361">
        <f t="shared" si="134"/>
        <v>4250000</v>
      </c>
      <c r="M768" s="361">
        <f t="shared" si="135"/>
        <v>0</v>
      </c>
      <c r="N768" s="358">
        <v>4250000</v>
      </c>
      <c r="O768" s="358" t="s">
        <v>7</v>
      </c>
      <c r="P768" s="358">
        <v>0</v>
      </c>
      <c r="Q768" s="358">
        <v>0</v>
      </c>
      <c r="R768" s="358">
        <v>0</v>
      </c>
      <c r="S768" s="358">
        <v>0</v>
      </c>
      <c r="T768" s="358">
        <v>0</v>
      </c>
      <c r="U768" s="35">
        <f t="shared" si="136"/>
        <v>1</v>
      </c>
      <c r="W768">
        <f t="shared" si="137"/>
        <v>1</v>
      </c>
      <c r="X768" s="35">
        <f t="shared" si="138"/>
        <v>0</v>
      </c>
      <c r="Y768">
        <f t="shared" si="139"/>
        <v>0</v>
      </c>
      <c r="AB768">
        <f t="shared" si="142"/>
        <v>1</v>
      </c>
      <c r="AC768">
        <f t="shared" ca="1" si="143"/>
        <v>0</v>
      </c>
      <c r="AD768" t="str">
        <f ca="1">IF(AC768=1,COUNTIF($AC$3:AC768,1),"")</f>
        <v/>
      </c>
      <c r="AE768" s="155" t="str">
        <f ca="1">IFERROR(INDEX(Données!$B$3:$B$1479,MATCH(ROWS($AD$3:AD768),$AD$3:$AD$1479,0)),"")</f>
        <v/>
      </c>
    </row>
    <row r="769" spans="1:31" ht="15.75" x14ac:dyDescent="0.25">
      <c r="A769" t="str">
        <f t="shared" si="140"/>
        <v>Nick Bonino - NAS - C</v>
      </c>
      <c r="B769" t="str">
        <f t="shared" si="141"/>
        <v>Nick Bonino - NAS - C</v>
      </c>
      <c r="C769" t="str">
        <f t="shared" si="132"/>
        <v>Nick</v>
      </c>
      <c r="D769" t="str">
        <f t="shared" si="133"/>
        <v>Bonino</v>
      </c>
      <c r="E769" s="39" t="s">
        <v>2021</v>
      </c>
      <c r="F769" s="30" t="s">
        <v>23</v>
      </c>
      <c r="G769" s="35">
        <v>0</v>
      </c>
      <c r="H769" s="35" t="s">
        <v>73</v>
      </c>
      <c r="I769" s="35" t="s">
        <v>2677</v>
      </c>
      <c r="J769" s="35">
        <v>31</v>
      </c>
      <c r="K769" s="35">
        <f>VALUE(COUNTIF(Validation!$A$2:$H$47,E769))</f>
        <v>0</v>
      </c>
      <c r="L769" s="361">
        <f t="shared" si="134"/>
        <v>4100000</v>
      </c>
      <c r="M769" s="361">
        <f t="shared" si="135"/>
        <v>4100000</v>
      </c>
      <c r="N769" s="358">
        <v>4100000</v>
      </c>
      <c r="O769" s="358">
        <v>4100000</v>
      </c>
      <c r="P769" s="358" t="s">
        <v>7</v>
      </c>
      <c r="Q769" s="358">
        <v>0</v>
      </c>
      <c r="R769" s="358">
        <v>0</v>
      </c>
      <c r="S769" s="358">
        <v>0</v>
      </c>
      <c r="T769" s="358">
        <v>0</v>
      </c>
      <c r="U769" s="35">
        <f t="shared" si="136"/>
        <v>2</v>
      </c>
      <c r="W769">
        <f t="shared" si="137"/>
        <v>1</v>
      </c>
      <c r="X769" s="35">
        <f t="shared" si="138"/>
        <v>0</v>
      </c>
      <c r="Y769">
        <f t="shared" si="139"/>
        <v>1</v>
      </c>
      <c r="AB769">
        <f t="shared" si="142"/>
        <v>1</v>
      </c>
      <c r="AC769">
        <f t="shared" ca="1" si="143"/>
        <v>0</v>
      </c>
      <c r="AD769" t="str">
        <f ca="1">IF(AC769=1,COUNTIF($AC$3:AC769,1),"")</f>
        <v/>
      </c>
      <c r="AE769" s="155" t="str">
        <f ca="1">IFERROR(INDEX(Données!$B$3:$B$1479,MATCH(ROWS($AD$3:AD769),$AD$3:$AD$1479,0)),"")</f>
        <v/>
      </c>
    </row>
    <row r="770" spans="1:31" ht="15.75" x14ac:dyDescent="0.25">
      <c r="A770" t="str">
        <f t="shared" si="140"/>
        <v>Roman Josi - NAS - LD</v>
      </c>
      <c r="B770" t="str">
        <f t="shared" si="141"/>
        <v>Roman Josi - NAS - LD</v>
      </c>
      <c r="C770" t="str">
        <f t="shared" si="132"/>
        <v>Roman</v>
      </c>
      <c r="D770" t="str">
        <f t="shared" si="133"/>
        <v>Josi</v>
      </c>
      <c r="E770" s="39" t="s">
        <v>2975</v>
      </c>
      <c r="F770" s="30" t="s">
        <v>23</v>
      </c>
      <c r="G770" s="35">
        <v>0</v>
      </c>
      <c r="H770" s="9" t="s">
        <v>380</v>
      </c>
      <c r="I770" s="9" t="s">
        <v>2677</v>
      </c>
      <c r="J770" s="9">
        <v>29</v>
      </c>
      <c r="K770" s="35">
        <f>VALUE(COUNTIF(Validation!$A$2:$H$47,E770))</f>
        <v>0</v>
      </c>
      <c r="L770" s="361">
        <f t="shared" si="134"/>
        <v>4000000</v>
      </c>
      <c r="M770" s="361">
        <f t="shared" si="135"/>
        <v>0</v>
      </c>
      <c r="N770" s="358">
        <v>4000000</v>
      </c>
      <c r="O770" s="358" t="s">
        <v>7</v>
      </c>
      <c r="P770" s="358">
        <v>0</v>
      </c>
      <c r="Q770" s="358">
        <v>0</v>
      </c>
      <c r="R770" s="358">
        <v>0</v>
      </c>
      <c r="S770" s="358">
        <v>0</v>
      </c>
      <c r="T770" s="358">
        <v>0</v>
      </c>
      <c r="U770" s="35">
        <f t="shared" si="136"/>
        <v>1</v>
      </c>
      <c r="W770">
        <f t="shared" si="137"/>
        <v>1</v>
      </c>
      <c r="X770" s="35">
        <f t="shared" si="138"/>
        <v>0</v>
      </c>
      <c r="Y770">
        <f t="shared" si="139"/>
        <v>0</v>
      </c>
      <c r="AB770">
        <f t="shared" si="142"/>
        <v>1</v>
      </c>
      <c r="AC770">
        <f t="shared" ca="1" si="143"/>
        <v>0</v>
      </c>
      <c r="AD770" t="str">
        <f ca="1">IF(AC770=1,COUNTIF($AC$3:AC770,1),"")</f>
        <v/>
      </c>
      <c r="AE770" s="155" t="str">
        <f ca="1">IFERROR(INDEX(Données!$B$3:$B$1479,MATCH(ROWS($AD$3:AD770),$AD$3:$AD$1479,0)),"")</f>
        <v/>
      </c>
    </row>
    <row r="771" spans="1:31" ht="15.75" x14ac:dyDescent="0.25">
      <c r="A771" t="str">
        <f t="shared" si="140"/>
        <v>Mattias Ekholm - NAS - LD</v>
      </c>
      <c r="B771" t="str">
        <f t="shared" si="141"/>
        <v>Mattias Ekholm - NAS - LD</v>
      </c>
      <c r="C771" t="str">
        <f t="shared" ref="C771:C834" si="144">RIGHT(E771,(LEN(E771)-1)-SEARCH(",",E771,1))</f>
        <v>Mattias</v>
      </c>
      <c r="D771" t="str">
        <f t="shared" ref="D771:D834" si="145">LEFT(E771,SEARCH(",",E771,1)-1)</f>
        <v>Ekholm</v>
      </c>
      <c r="E771" s="14" t="s">
        <v>2917</v>
      </c>
      <c r="F771" s="30" t="s">
        <v>23</v>
      </c>
      <c r="G771" s="35">
        <v>0</v>
      </c>
      <c r="H771" s="35" t="s">
        <v>380</v>
      </c>
      <c r="I771" s="35" t="s">
        <v>2677</v>
      </c>
      <c r="J771" s="35">
        <v>29</v>
      </c>
      <c r="L771" s="361">
        <f t="shared" ref="L771:L834" si="146">IF(OR(N771="RFA",N771="UFA",N771="",N771=0),0,N771)</f>
        <v>3750000</v>
      </c>
      <c r="M771" s="361">
        <f t="shared" ref="M771:M834" si="147">IF(OR(O771="RFA",O771="UFA",O771="",O771=0),0,O771)</f>
        <v>3750000</v>
      </c>
      <c r="N771" s="358">
        <v>3750000</v>
      </c>
      <c r="O771" s="358">
        <v>3750000</v>
      </c>
      <c r="P771" s="358">
        <v>3750000</v>
      </c>
      <c r="Q771" s="358" t="s">
        <v>7</v>
      </c>
      <c r="R771" s="358">
        <v>0</v>
      </c>
      <c r="S771" s="358">
        <v>0</v>
      </c>
      <c r="T771" s="358">
        <v>0</v>
      </c>
      <c r="U771" s="35">
        <f t="shared" ref="U771:U834" si="148">COUNTIF(N771:T771,"&gt;0")</f>
        <v>3</v>
      </c>
      <c r="W771">
        <f t="shared" ref="W771:W834" si="149">COUNTIF($E$3:$E$1479,E771)</f>
        <v>1</v>
      </c>
      <c r="X771" s="35">
        <f t="shared" ref="X771:X834" si="150">IF(LEFT(G771,3)="ELC",1,0)</f>
        <v>0</v>
      </c>
      <c r="Y771">
        <f t="shared" ref="Y771:Y834" si="151">IF(L771=M771,1,0)</f>
        <v>1</v>
      </c>
      <c r="AB771">
        <f t="shared" si="142"/>
        <v>1</v>
      </c>
      <c r="AC771">
        <f t="shared" ca="1" si="143"/>
        <v>0</v>
      </c>
      <c r="AD771" t="str">
        <f ca="1">IF(AC771=1,COUNTIF($AC$3:AC771,1),"")</f>
        <v/>
      </c>
      <c r="AE771" s="155" t="str">
        <f ca="1">IFERROR(INDEX(Données!$B$3:$B$1479,MATCH(ROWS($AD$3:AD771),$AD$3:$AD$1479,0)),"")</f>
        <v/>
      </c>
    </row>
    <row r="772" spans="1:31" ht="15.75" x14ac:dyDescent="0.25">
      <c r="A772" t="str">
        <f t="shared" ref="A772:A835" si="152">C772&amp;" "&amp;D772&amp;" - "&amp;F772&amp;" - "&amp;H772</f>
        <v>Eeli Tolvanen - NAS - LW</v>
      </c>
      <c r="B772" t="str">
        <f t="shared" ref="B772:B835" si="153">A772</f>
        <v>Eeli Tolvanen - NAS - LW</v>
      </c>
      <c r="C772" t="str">
        <f t="shared" si="144"/>
        <v>Eeli</v>
      </c>
      <c r="D772" t="str">
        <f t="shared" si="145"/>
        <v>Tolvanen</v>
      </c>
      <c r="E772" s="39" t="s">
        <v>2022</v>
      </c>
      <c r="F772" s="30" t="s">
        <v>23</v>
      </c>
      <c r="G772" s="35" t="s">
        <v>386</v>
      </c>
      <c r="H772" s="35" t="s">
        <v>93</v>
      </c>
      <c r="I772" s="35" t="s">
        <v>2690</v>
      </c>
      <c r="J772" s="35">
        <v>20</v>
      </c>
      <c r="K772" s="35">
        <f>VALUE(COUNTIF(Validation!$A$2:$H$47,E772))</f>
        <v>0</v>
      </c>
      <c r="L772" s="361">
        <f t="shared" si="146"/>
        <v>3115000</v>
      </c>
      <c r="M772" s="361">
        <f t="shared" si="147"/>
        <v>3115000</v>
      </c>
      <c r="N772" s="358">
        <v>3115000</v>
      </c>
      <c r="O772" s="358">
        <v>3115000</v>
      </c>
      <c r="P772" s="358" t="s">
        <v>8</v>
      </c>
      <c r="Q772" s="358">
        <v>0</v>
      </c>
      <c r="R772" s="358">
        <v>0</v>
      </c>
      <c r="S772" s="358">
        <v>0</v>
      </c>
      <c r="T772" s="358">
        <v>0</v>
      </c>
      <c r="U772" s="35">
        <f t="shared" si="148"/>
        <v>2</v>
      </c>
      <c r="W772">
        <f t="shared" si="149"/>
        <v>1</v>
      </c>
      <c r="X772" s="35">
        <f t="shared" si="150"/>
        <v>1</v>
      </c>
      <c r="Y772">
        <f t="shared" si="151"/>
        <v>1</v>
      </c>
      <c r="AB772">
        <f t="shared" ref="AB772:AB835" si="154">SEARCH(AA772,A772)</f>
        <v>1</v>
      </c>
      <c r="AC772">
        <f t="shared" ca="1" si="143"/>
        <v>0</v>
      </c>
      <c r="AD772" t="str">
        <f ca="1">IF(AC772=1,COUNTIF($AC$3:AC772,1),"")</f>
        <v/>
      </c>
      <c r="AE772" s="155" t="str">
        <f ca="1">IFERROR(INDEX(Données!$B$3:$B$1479,MATCH(ROWS($AD$3:AD772),$AD$3:$AD$1479,0)),"")</f>
        <v/>
      </c>
    </row>
    <row r="773" spans="1:31" ht="15.75" x14ac:dyDescent="0.25">
      <c r="A773" t="str">
        <f t="shared" si="152"/>
        <v>Colton Sissons - NAS - RW, C</v>
      </c>
      <c r="B773" t="str">
        <f t="shared" si="153"/>
        <v>Colton Sissons - NAS - RW, C</v>
      </c>
      <c r="C773" t="str">
        <f t="shared" si="144"/>
        <v>Colton</v>
      </c>
      <c r="D773" t="str">
        <f t="shared" si="145"/>
        <v>Sissons</v>
      </c>
      <c r="E773" s="39" t="s">
        <v>2025</v>
      </c>
      <c r="F773" s="30" t="s">
        <v>23</v>
      </c>
      <c r="G773" s="35">
        <v>0</v>
      </c>
      <c r="H773" s="35" t="s">
        <v>2678</v>
      </c>
      <c r="I773" s="35" t="s">
        <v>2677</v>
      </c>
      <c r="J773" s="35">
        <v>25</v>
      </c>
      <c r="K773" s="35">
        <f>VALUE(COUNTIF(Validation!$A$2:$H$47,E773))</f>
        <v>0</v>
      </c>
      <c r="L773" s="361">
        <f t="shared" si="146"/>
        <v>2857143</v>
      </c>
      <c r="M773" s="361">
        <f t="shared" si="147"/>
        <v>2857143</v>
      </c>
      <c r="N773" s="358">
        <v>2857143</v>
      </c>
      <c r="O773" s="358">
        <v>2857143</v>
      </c>
      <c r="P773" s="358">
        <v>2857143</v>
      </c>
      <c r="Q773" s="358">
        <v>2857143</v>
      </c>
      <c r="R773" s="358">
        <v>2857143</v>
      </c>
      <c r="S773" s="358">
        <v>2857143</v>
      </c>
      <c r="T773" s="358">
        <v>2857143</v>
      </c>
      <c r="U773" s="35">
        <f t="shared" si="148"/>
        <v>7</v>
      </c>
      <c r="W773">
        <f t="shared" si="149"/>
        <v>1</v>
      </c>
      <c r="X773" s="35">
        <f t="shared" si="150"/>
        <v>0</v>
      </c>
      <c r="Y773">
        <f t="shared" si="151"/>
        <v>1</v>
      </c>
      <c r="AB773">
        <f t="shared" si="154"/>
        <v>1</v>
      </c>
      <c r="AC773">
        <f t="shared" ref="AC773:AC836" ca="1" si="155">IFERROR(SEARCH(INDIRECT(CELL("adresse")),B773,1),0)</f>
        <v>0</v>
      </c>
      <c r="AD773" t="str">
        <f ca="1">IF(AC773=1,COUNTIF($AC$3:AC773,1),"")</f>
        <v/>
      </c>
      <c r="AE773" s="155" t="str">
        <f ca="1">IFERROR(INDEX(Données!$B$3:$B$1479,MATCH(ROWS($AD$3:AD773),$AD$3:$AD$1479,0)),"")</f>
        <v/>
      </c>
    </row>
    <row r="774" spans="1:31" ht="15.75" x14ac:dyDescent="0.25">
      <c r="A774" t="str">
        <f t="shared" si="152"/>
        <v>Calle Jarnkrok - NAS - LW, C</v>
      </c>
      <c r="B774" t="str">
        <f t="shared" si="153"/>
        <v>Calle Jarnkrok - NAS - LW, C</v>
      </c>
      <c r="C774" t="str">
        <f t="shared" si="144"/>
        <v>Calle</v>
      </c>
      <c r="D774" t="str">
        <f t="shared" si="145"/>
        <v>Jarnkrok</v>
      </c>
      <c r="E774" s="39" t="s">
        <v>2875</v>
      </c>
      <c r="F774" s="30" t="s">
        <v>23</v>
      </c>
      <c r="G774" s="35">
        <v>0</v>
      </c>
      <c r="H774" s="35" t="s">
        <v>2696</v>
      </c>
      <c r="I774" s="35" t="s">
        <v>2677</v>
      </c>
      <c r="J774" s="35">
        <v>27</v>
      </c>
      <c r="K774" s="35">
        <f>VALUE(COUNTIF(Validation!$A$2:$H$47,E774))</f>
        <v>0</v>
      </c>
      <c r="L774" s="361">
        <f t="shared" si="146"/>
        <v>2000000</v>
      </c>
      <c r="M774" s="361">
        <f t="shared" si="147"/>
        <v>2000000</v>
      </c>
      <c r="N774" s="358">
        <v>2000000</v>
      </c>
      <c r="O774" s="358">
        <v>2000000</v>
      </c>
      <c r="P774" s="358">
        <v>2000000</v>
      </c>
      <c r="Q774" s="358" t="s">
        <v>7</v>
      </c>
      <c r="R774" s="358">
        <v>0</v>
      </c>
      <c r="S774" s="358">
        <v>0</v>
      </c>
      <c r="T774" s="358">
        <v>0</v>
      </c>
      <c r="U774" s="35">
        <f t="shared" si="148"/>
        <v>3</v>
      </c>
      <c r="W774">
        <f t="shared" si="149"/>
        <v>1</v>
      </c>
      <c r="X774" s="35">
        <f t="shared" si="150"/>
        <v>0</v>
      </c>
      <c r="Y774">
        <f t="shared" si="151"/>
        <v>1</v>
      </c>
      <c r="AB774">
        <f t="shared" si="154"/>
        <v>1</v>
      </c>
      <c r="AC774">
        <f t="shared" ca="1" si="155"/>
        <v>0</v>
      </c>
      <c r="AD774" t="str">
        <f ca="1">IF(AC774=1,COUNTIF($AC$3:AC774,1),"")</f>
        <v/>
      </c>
      <c r="AE774" s="155" t="str">
        <f ca="1">IFERROR(INDEX(Données!$B$3:$B$1479,MATCH(ROWS($AD$3:AD774),$AD$3:$AD$1479,0)),"")</f>
        <v/>
      </c>
    </row>
    <row r="775" spans="1:31" ht="15.75" x14ac:dyDescent="0.25">
      <c r="A775" t="str">
        <f t="shared" si="152"/>
        <v>Juuse Saros - NAS - G</v>
      </c>
      <c r="B775" t="str">
        <f t="shared" si="153"/>
        <v>Juuse Saros - NAS - G</v>
      </c>
      <c r="C775" t="str">
        <f t="shared" si="144"/>
        <v>Juuse</v>
      </c>
      <c r="D775" t="str">
        <f t="shared" si="145"/>
        <v>Saros</v>
      </c>
      <c r="E775" s="39" t="s">
        <v>2032</v>
      </c>
      <c r="F775" s="30" t="s">
        <v>23</v>
      </c>
      <c r="G775" s="35">
        <v>0</v>
      </c>
      <c r="H775" s="35" t="s">
        <v>127</v>
      </c>
      <c r="I775" s="35" t="s">
        <v>2677</v>
      </c>
      <c r="J775" s="35">
        <v>24</v>
      </c>
      <c r="K775" s="35">
        <f>VALUE(COUNTIF(Validation!$A$2:$H$47,E775))</f>
        <v>0</v>
      </c>
      <c r="L775" s="361">
        <f t="shared" si="146"/>
        <v>1500000</v>
      </c>
      <c r="M775" s="361">
        <f t="shared" si="147"/>
        <v>1500000</v>
      </c>
      <c r="N775" s="358">
        <v>1500000</v>
      </c>
      <c r="O775" s="358">
        <v>1500000</v>
      </c>
      <c r="P775" s="358" t="s">
        <v>8</v>
      </c>
      <c r="Q775" s="358">
        <v>0</v>
      </c>
      <c r="R775" s="358">
        <v>0</v>
      </c>
      <c r="S775" s="358">
        <v>0</v>
      </c>
      <c r="T775" s="358">
        <v>0</v>
      </c>
      <c r="U775" s="35">
        <f t="shared" si="148"/>
        <v>2</v>
      </c>
      <c r="W775">
        <f t="shared" si="149"/>
        <v>1</v>
      </c>
      <c r="X775" s="35">
        <f t="shared" si="150"/>
        <v>0</v>
      </c>
      <c r="Y775">
        <f t="shared" si="151"/>
        <v>1</v>
      </c>
      <c r="AB775">
        <f t="shared" si="154"/>
        <v>1</v>
      </c>
      <c r="AC775">
        <f t="shared" ca="1" si="155"/>
        <v>0</v>
      </c>
      <c r="AD775" t="str">
        <f ca="1">IF(AC775=1,COUNTIF($AC$3:AC775,1),"")</f>
        <v/>
      </c>
      <c r="AE775" s="155" t="str">
        <f ca="1">IFERROR(INDEX(Données!$B$3:$B$1479,MATCH(ROWS($AD$3:AD775),$AD$3:$AD$1479,0)),"")</f>
        <v/>
      </c>
    </row>
    <row r="776" spans="1:31" ht="15.75" x14ac:dyDescent="0.25">
      <c r="A776" t="str">
        <f t="shared" si="152"/>
        <v>Dante Fabbro - NAS - RD</v>
      </c>
      <c r="B776" t="str">
        <f t="shared" si="153"/>
        <v>Dante Fabbro - NAS - RD</v>
      </c>
      <c r="C776" t="str">
        <f t="shared" si="144"/>
        <v>Dante</v>
      </c>
      <c r="D776" t="str">
        <f t="shared" si="145"/>
        <v>Fabbro</v>
      </c>
      <c r="E776" s="39" t="s">
        <v>2512</v>
      </c>
      <c r="F776" s="30" t="s">
        <v>23</v>
      </c>
      <c r="G776" s="35" t="s">
        <v>386</v>
      </c>
      <c r="H776" s="9" t="s">
        <v>379</v>
      </c>
      <c r="I776" s="9" t="s">
        <v>2677</v>
      </c>
      <c r="J776" s="9">
        <v>21</v>
      </c>
      <c r="K776" s="35">
        <f>VALUE(COUNTIF(Validation!$A$2:$H$47,E776))</f>
        <v>0</v>
      </c>
      <c r="L776" s="361">
        <f t="shared" si="146"/>
        <v>1491666</v>
      </c>
      <c r="M776" s="361">
        <f t="shared" si="147"/>
        <v>1491666</v>
      </c>
      <c r="N776" s="358">
        <v>1491666</v>
      </c>
      <c r="O776" s="358">
        <v>1491666</v>
      </c>
      <c r="P776" s="358" t="s">
        <v>8</v>
      </c>
      <c r="Q776" s="358">
        <v>0</v>
      </c>
      <c r="R776" s="358">
        <v>0</v>
      </c>
      <c r="S776" s="358">
        <v>0</v>
      </c>
      <c r="T776" s="358">
        <v>0</v>
      </c>
      <c r="U776" s="35">
        <f t="shared" si="148"/>
        <v>2</v>
      </c>
      <c r="W776">
        <f t="shared" si="149"/>
        <v>1</v>
      </c>
      <c r="X776" s="35">
        <f t="shared" si="150"/>
        <v>1</v>
      </c>
      <c r="Y776">
        <f t="shared" si="151"/>
        <v>1</v>
      </c>
      <c r="AB776">
        <f t="shared" si="154"/>
        <v>1</v>
      </c>
      <c r="AC776">
        <f t="shared" ca="1" si="155"/>
        <v>0</v>
      </c>
      <c r="AD776" t="str">
        <f ca="1">IF(AC776=1,COUNTIF($AC$3:AC776,1),"")</f>
        <v/>
      </c>
      <c r="AE776" s="155" t="str">
        <f ca="1">IFERROR(INDEX(Données!$B$3:$B$1479,MATCH(ROWS($AD$3:AD776),$AD$3:$AD$1479,0)),"")</f>
        <v/>
      </c>
    </row>
    <row r="777" spans="1:31" ht="15.75" x14ac:dyDescent="0.25">
      <c r="A777" t="str">
        <f t="shared" si="152"/>
        <v>Steven Santini - NAS - RD</v>
      </c>
      <c r="B777" t="str">
        <f t="shared" si="153"/>
        <v>Steven Santini - NAS - RD</v>
      </c>
      <c r="C777" t="str">
        <f t="shared" si="144"/>
        <v>Steven</v>
      </c>
      <c r="D777" t="str">
        <f t="shared" si="145"/>
        <v>Santini</v>
      </c>
      <c r="E777" s="39" t="s">
        <v>1702</v>
      </c>
      <c r="F777" s="30" t="s">
        <v>23</v>
      </c>
      <c r="G777" s="35">
        <v>0</v>
      </c>
      <c r="H777" s="35" t="s">
        <v>379</v>
      </c>
      <c r="I777" s="35" t="s">
        <v>2677</v>
      </c>
      <c r="J777" s="35">
        <v>24</v>
      </c>
      <c r="K777" s="35">
        <f>VALUE(COUNTIF(Validation!$A$2:$H$47,E777))</f>
        <v>0</v>
      </c>
      <c r="L777" s="361">
        <f t="shared" si="146"/>
        <v>1416667</v>
      </c>
      <c r="M777" s="361">
        <f t="shared" si="147"/>
        <v>1416667</v>
      </c>
      <c r="N777" s="358">
        <v>1416667</v>
      </c>
      <c r="O777" s="358">
        <v>1416667</v>
      </c>
      <c r="P777" s="358" t="s">
        <v>8</v>
      </c>
      <c r="Q777" s="358">
        <v>0</v>
      </c>
      <c r="R777" s="358">
        <v>0</v>
      </c>
      <c r="S777" s="358">
        <v>0</v>
      </c>
      <c r="T777" s="358">
        <v>0</v>
      </c>
      <c r="U777" s="35">
        <f t="shared" si="148"/>
        <v>2</v>
      </c>
      <c r="W777">
        <f t="shared" si="149"/>
        <v>1</v>
      </c>
      <c r="X777" s="35">
        <f t="shared" si="150"/>
        <v>0</v>
      </c>
      <c r="Y777">
        <f t="shared" si="151"/>
        <v>1</v>
      </c>
      <c r="AB777">
        <f t="shared" si="154"/>
        <v>1</v>
      </c>
      <c r="AC777">
        <f t="shared" ca="1" si="155"/>
        <v>0</v>
      </c>
      <c r="AD777" t="str">
        <f ca="1">IF(AC777=1,COUNTIF($AC$3:AC777,1),"")</f>
        <v/>
      </c>
      <c r="AE777" s="155" t="str">
        <f ca="1">IFERROR(INDEX(Données!$B$3:$B$1479,MATCH(ROWS($AD$3:AD777),$AD$3:$AD$1479,0)),"")</f>
        <v/>
      </c>
    </row>
    <row r="778" spans="1:31" ht="15.75" x14ac:dyDescent="0.25">
      <c r="A778" t="str">
        <f t="shared" si="152"/>
        <v>Jeremy Davies - NAS - D</v>
      </c>
      <c r="B778" t="str">
        <f t="shared" si="153"/>
        <v>Jeremy Davies - NAS - D</v>
      </c>
      <c r="C778" t="str">
        <f t="shared" si="144"/>
        <v>Jeremy</v>
      </c>
      <c r="D778" t="str">
        <f t="shared" si="145"/>
        <v>Davies</v>
      </c>
      <c r="E778" s="39" t="s">
        <v>2517</v>
      </c>
      <c r="F778" s="30" t="s">
        <v>23</v>
      </c>
      <c r="G778" s="35" t="s">
        <v>386</v>
      </c>
      <c r="H778" s="35" t="s">
        <v>82</v>
      </c>
      <c r="I778" s="35" t="s">
        <v>2690</v>
      </c>
      <c r="J778" s="35">
        <v>22</v>
      </c>
      <c r="K778" s="35">
        <f>VALUE(COUNTIF(Validation!$A$2:$H$47,E778))</f>
        <v>0</v>
      </c>
      <c r="L778" s="361">
        <f t="shared" si="146"/>
        <v>1325000</v>
      </c>
      <c r="M778" s="361">
        <f t="shared" si="147"/>
        <v>1325000</v>
      </c>
      <c r="N778" s="358">
        <v>1325000</v>
      </c>
      <c r="O778" s="358">
        <v>1325000</v>
      </c>
      <c r="P778" s="358" t="s">
        <v>8</v>
      </c>
      <c r="Q778" s="358">
        <v>0</v>
      </c>
      <c r="R778" s="358">
        <v>0</v>
      </c>
      <c r="S778" s="358">
        <v>0</v>
      </c>
      <c r="T778" s="358">
        <v>0</v>
      </c>
      <c r="U778" s="35">
        <f t="shared" si="148"/>
        <v>2</v>
      </c>
      <c r="W778">
        <f t="shared" si="149"/>
        <v>1</v>
      </c>
      <c r="X778" s="35">
        <f t="shared" si="150"/>
        <v>1</v>
      </c>
      <c r="Y778">
        <f t="shared" si="151"/>
        <v>1</v>
      </c>
      <c r="AB778">
        <f t="shared" si="154"/>
        <v>1</v>
      </c>
      <c r="AC778">
        <f t="shared" ca="1" si="155"/>
        <v>0</v>
      </c>
      <c r="AD778" t="str">
        <f ca="1">IF(AC778=1,COUNTIF($AC$3:AC778,1),"")</f>
        <v/>
      </c>
      <c r="AE778" s="155" t="str">
        <f ca="1">IFERROR(INDEX(Données!$B$3:$B$1479,MATCH(ROWS($AD$3:AD778),$AD$3:$AD$1479,0)),"")</f>
        <v/>
      </c>
    </row>
    <row r="779" spans="1:31" ht="15.75" x14ac:dyDescent="0.25">
      <c r="A779" t="str">
        <f t="shared" si="152"/>
        <v>Dan Hamhuis - NAS - LD</v>
      </c>
      <c r="B779" t="str">
        <f t="shared" si="153"/>
        <v>Dan Hamhuis - NAS - LD</v>
      </c>
      <c r="C779" t="str">
        <f t="shared" si="144"/>
        <v>Dan</v>
      </c>
      <c r="D779" t="str">
        <f t="shared" si="145"/>
        <v>Hamhuis</v>
      </c>
      <c r="E779" s="39" t="s">
        <v>2027</v>
      </c>
      <c r="F779" s="30" t="s">
        <v>23</v>
      </c>
      <c r="G779" s="35" t="s">
        <v>2713</v>
      </c>
      <c r="H779" s="35" t="s">
        <v>380</v>
      </c>
      <c r="I779" s="35" t="s">
        <v>2677</v>
      </c>
      <c r="J779" s="35">
        <v>36</v>
      </c>
      <c r="K779" s="35">
        <f>VALUE(COUNTIF(Validation!$A$2:$H$47,E779))</f>
        <v>0</v>
      </c>
      <c r="L779" s="361">
        <f t="shared" si="146"/>
        <v>1250000</v>
      </c>
      <c r="M779" s="361">
        <f t="shared" si="147"/>
        <v>0</v>
      </c>
      <c r="N779" s="358">
        <v>1250000</v>
      </c>
      <c r="O779" s="358" t="s">
        <v>7</v>
      </c>
      <c r="P779" s="358">
        <v>0</v>
      </c>
      <c r="Q779" s="358">
        <v>0</v>
      </c>
      <c r="R779" s="358">
        <v>0</v>
      </c>
      <c r="S779" s="358">
        <v>0</v>
      </c>
      <c r="T779" s="358">
        <v>0</v>
      </c>
      <c r="U779" s="35">
        <f t="shared" si="148"/>
        <v>1</v>
      </c>
      <c r="W779">
        <f t="shared" si="149"/>
        <v>1</v>
      </c>
      <c r="X779" s="35">
        <f t="shared" si="150"/>
        <v>0</v>
      </c>
      <c r="Y779">
        <f t="shared" si="151"/>
        <v>0</v>
      </c>
      <c r="AB779">
        <f t="shared" si="154"/>
        <v>1</v>
      </c>
      <c r="AC779">
        <f t="shared" ca="1" si="155"/>
        <v>0</v>
      </c>
      <c r="AD779" t="str">
        <f ca="1">IF(AC779=1,COUNTIF($AC$3:AC779,1),"")</f>
        <v/>
      </c>
      <c r="AE779" s="155" t="str">
        <f ca="1">IFERROR(INDEX(Données!$B$3:$B$1479,MATCH(ROWS($AD$3:AD779),$AD$3:$AD$1479,0)),"")</f>
        <v/>
      </c>
    </row>
    <row r="780" spans="1:31" ht="15.75" x14ac:dyDescent="0.25">
      <c r="A780" t="str">
        <f t="shared" si="152"/>
        <v>Austin Watson - NAS - RW, LW</v>
      </c>
      <c r="B780" t="str">
        <f t="shared" si="153"/>
        <v>Austin Watson - NAS - RW, LW</v>
      </c>
      <c r="C780" t="str">
        <f t="shared" si="144"/>
        <v>Austin</v>
      </c>
      <c r="D780" t="str">
        <f t="shared" si="145"/>
        <v>Watson</v>
      </c>
      <c r="E780" s="39" t="s">
        <v>2033</v>
      </c>
      <c r="F780" s="30" t="s">
        <v>23</v>
      </c>
      <c r="G780" s="35">
        <v>0</v>
      </c>
      <c r="H780" s="35" t="s">
        <v>2680</v>
      </c>
      <c r="I780" s="35" t="s">
        <v>2677</v>
      </c>
      <c r="J780" s="9">
        <v>27</v>
      </c>
      <c r="K780" s="35">
        <f>VALUE(COUNTIF(Validation!$A$2:$H$47,E780))</f>
        <v>0</v>
      </c>
      <c r="L780" s="361">
        <f t="shared" si="146"/>
        <v>1100000</v>
      </c>
      <c r="M780" s="361">
        <f t="shared" si="147"/>
        <v>0</v>
      </c>
      <c r="N780" s="358">
        <v>1100000</v>
      </c>
      <c r="O780" s="358" t="s">
        <v>7</v>
      </c>
      <c r="P780" s="358">
        <v>0</v>
      </c>
      <c r="Q780" s="358">
        <v>0</v>
      </c>
      <c r="R780" s="358">
        <v>0</v>
      </c>
      <c r="S780" s="358">
        <v>0</v>
      </c>
      <c r="T780" s="358">
        <v>0</v>
      </c>
      <c r="U780" s="35">
        <f t="shared" si="148"/>
        <v>1</v>
      </c>
      <c r="W780">
        <f t="shared" si="149"/>
        <v>1</v>
      </c>
      <c r="X780" s="35">
        <f t="shared" si="150"/>
        <v>0</v>
      </c>
      <c r="Y780">
        <f t="shared" si="151"/>
        <v>0</v>
      </c>
      <c r="AB780">
        <f t="shared" si="154"/>
        <v>1</v>
      </c>
      <c r="AC780">
        <f t="shared" ca="1" si="155"/>
        <v>0</v>
      </c>
      <c r="AD780" t="str">
        <f ca="1">IF(AC780=1,COUNTIF($AC$3:AC780,1),"")</f>
        <v/>
      </c>
      <c r="AE780" s="155" t="str">
        <f ca="1">IFERROR(INDEX(Données!$B$3:$B$1479,MATCH(ROWS($AD$3:AD780),$AD$3:$AD$1479,0)),"")</f>
        <v/>
      </c>
    </row>
    <row r="781" spans="1:31" ht="15.75" x14ac:dyDescent="0.25">
      <c r="A781" t="str">
        <f t="shared" si="152"/>
        <v>Rocco Grimaldi - NAS - RW</v>
      </c>
      <c r="B781" t="str">
        <f t="shared" si="153"/>
        <v>Rocco Grimaldi - NAS - RW</v>
      </c>
      <c r="C781" t="str">
        <f t="shared" si="144"/>
        <v>Rocco</v>
      </c>
      <c r="D781" t="str">
        <f t="shared" si="145"/>
        <v>Grimaldi</v>
      </c>
      <c r="E781" s="39" t="s">
        <v>2042</v>
      </c>
      <c r="F781" s="30" t="s">
        <v>23</v>
      </c>
      <c r="G781" s="35">
        <v>0</v>
      </c>
      <c r="H781" s="35" t="s">
        <v>88</v>
      </c>
      <c r="I781" s="35" t="s">
        <v>2677</v>
      </c>
      <c r="J781" s="35">
        <v>26</v>
      </c>
      <c r="K781" s="35">
        <f>VALUE(COUNTIF(Validation!$A$2:$H$47,E781))</f>
        <v>0</v>
      </c>
      <c r="L781" s="361">
        <f t="shared" si="146"/>
        <v>1000000</v>
      </c>
      <c r="M781" s="361">
        <f t="shared" si="147"/>
        <v>0</v>
      </c>
      <c r="N781" s="358">
        <v>1000000</v>
      </c>
      <c r="O781" s="358" t="s">
        <v>7</v>
      </c>
      <c r="P781" s="358">
        <v>0</v>
      </c>
      <c r="Q781" s="358">
        <v>0</v>
      </c>
      <c r="R781" s="358">
        <v>0</v>
      </c>
      <c r="S781" s="358">
        <v>0</v>
      </c>
      <c r="T781" s="358">
        <v>0</v>
      </c>
      <c r="U781" s="35">
        <f t="shared" si="148"/>
        <v>1</v>
      </c>
      <c r="W781">
        <f t="shared" si="149"/>
        <v>1</v>
      </c>
      <c r="X781" s="35">
        <f t="shared" si="150"/>
        <v>0</v>
      </c>
      <c r="Y781">
        <f t="shared" si="151"/>
        <v>0</v>
      </c>
      <c r="AB781">
        <f t="shared" si="154"/>
        <v>1</v>
      </c>
      <c r="AC781">
        <f t="shared" ca="1" si="155"/>
        <v>0</v>
      </c>
      <c r="AD781" t="str">
        <f ca="1">IF(AC781=1,COUNTIF($AC$3:AC781,1),"")</f>
        <v/>
      </c>
      <c r="AE781" s="155" t="str">
        <f ca="1">IFERROR(INDEX(Données!$B$3:$B$1479,MATCH(ROWS($AD$3:AD781),$AD$3:$AD$1479,0)),"")</f>
        <v/>
      </c>
    </row>
    <row r="782" spans="1:31" ht="15.75" x14ac:dyDescent="0.25">
      <c r="A782" t="str">
        <f t="shared" si="152"/>
        <v>Lukas Craggs - NAS - LW</v>
      </c>
      <c r="B782" t="str">
        <f t="shared" si="153"/>
        <v>Lukas Craggs - NAS - LW</v>
      </c>
      <c r="C782" t="str">
        <f t="shared" si="144"/>
        <v>Lukas</v>
      </c>
      <c r="D782" t="str">
        <f t="shared" si="145"/>
        <v>Craggs</v>
      </c>
      <c r="E782" s="39" t="s">
        <v>2514</v>
      </c>
      <c r="F782" s="30" t="s">
        <v>23</v>
      </c>
      <c r="G782" s="35" t="s">
        <v>386</v>
      </c>
      <c r="H782" s="9" t="s">
        <v>93</v>
      </c>
      <c r="I782" s="9" t="s">
        <v>2690</v>
      </c>
      <c r="J782" s="9">
        <v>23</v>
      </c>
      <c r="K782" s="35">
        <f>VALUE(COUNTIF(Validation!$A$2:$H$47,E782))</f>
        <v>0</v>
      </c>
      <c r="L782" s="361">
        <f t="shared" si="146"/>
        <v>925000</v>
      </c>
      <c r="M782" s="361">
        <f t="shared" si="147"/>
        <v>925000</v>
      </c>
      <c r="N782" s="358">
        <v>925000</v>
      </c>
      <c r="O782" s="358">
        <v>925000</v>
      </c>
      <c r="P782" s="358" t="s">
        <v>8</v>
      </c>
      <c r="Q782" s="358">
        <v>0</v>
      </c>
      <c r="R782" s="358">
        <v>0</v>
      </c>
      <c r="S782" s="358">
        <v>0</v>
      </c>
      <c r="T782" s="358">
        <v>0</v>
      </c>
      <c r="U782" s="35">
        <f t="shared" si="148"/>
        <v>2</v>
      </c>
      <c r="W782">
        <f t="shared" si="149"/>
        <v>1</v>
      </c>
      <c r="X782" s="35">
        <f t="shared" si="150"/>
        <v>1</v>
      </c>
      <c r="Y782">
        <f t="shared" si="151"/>
        <v>1</v>
      </c>
      <c r="AB782">
        <f t="shared" si="154"/>
        <v>1</v>
      </c>
      <c r="AC782">
        <f t="shared" ca="1" si="155"/>
        <v>0</v>
      </c>
      <c r="AD782" t="str">
        <f ca="1">IF(AC782=1,COUNTIF($AC$3:AC782,1),"")</f>
        <v/>
      </c>
      <c r="AE782" s="155" t="str">
        <f ca="1">IFERROR(INDEX(Données!$B$3:$B$1479,MATCH(ROWS($AD$3:AD782),$AD$3:$AD$1479,0)),"")</f>
        <v/>
      </c>
    </row>
    <row r="783" spans="1:31" ht="15.75" x14ac:dyDescent="0.25">
      <c r="A783" t="str">
        <f t="shared" si="152"/>
        <v>Brandon Fortunato - NAS - LD</v>
      </c>
      <c r="B783" t="str">
        <f t="shared" si="153"/>
        <v>Brandon Fortunato - NAS - LD</v>
      </c>
      <c r="C783" t="str">
        <f t="shared" si="144"/>
        <v>Brandon</v>
      </c>
      <c r="D783" t="str">
        <f t="shared" si="145"/>
        <v>Fortunato</v>
      </c>
      <c r="E783" s="39" t="s">
        <v>2518</v>
      </c>
      <c r="F783" s="30" t="s">
        <v>23</v>
      </c>
      <c r="G783" s="35" t="s">
        <v>386</v>
      </c>
      <c r="H783" s="35" t="s">
        <v>380</v>
      </c>
      <c r="I783" s="35" t="s">
        <v>2690</v>
      </c>
      <c r="J783" s="35">
        <v>23</v>
      </c>
      <c r="K783" s="35">
        <f>VALUE(COUNTIF(Validation!$A$2:$H$47,E783))</f>
        <v>0</v>
      </c>
      <c r="L783" s="361">
        <f t="shared" si="146"/>
        <v>925000</v>
      </c>
      <c r="M783" s="361">
        <f t="shared" si="147"/>
        <v>925000</v>
      </c>
      <c r="N783" s="358">
        <v>925000</v>
      </c>
      <c r="O783" s="358">
        <v>925000</v>
      </c>
      <c r="P783" s="358" t="s">
        <v>8</v>
      </c>
      <c r="Q783" s="358">
        <v>0</v>
      </c>
      <c r="R783" s="358">
        <v>0</v>
      </c>
      <c r="S783" s="358">
        <v>0</v>
      </c>
      <c r="T783" s="358">
        <v>0</v>
      </c>
      <c r="U783" s="35">
        <f t="shared" si="148"/>
        <v>2</v>
      </c>
      <c r="W783">
        <f t="shared" si="149"/>
        <v>1</v>
      </c>
      <c r="X783" s="35">
        <f t="shared" si="150"/>
        <v>1</v>
      </c>
      <c r="Y783">
        <f t="shared" si="151"/>
        <v>1</v>
      </c>
      <c r="AB783">
        <f t="shared" si="154"/>
        <v>1</v>
      </c>
      <c r="AC783">
        <f t="shared" ca="1" si="155"/>
        <v>0</v>
      </c>
      <c r="AD783" t="str">
        <f ca="1">IF(AC783=1,COUNTIF($AC$3:AC783,1),"")</f>
        <v/>
      </c>
      <c r="AE783" s="155" t="str">
        <f ca="1">IFERROR(INDEX(Données!$B$3:$B$1479,MATCH(ROWS($AD$3:AD783),$AD$3:$AD$1479,0)),"")</f>
        <v/>
      </c>
    </row>
    <row r="784" spans="1:31" ht="15.75" x14ac:dyDescent="0.25">
      <c r="A784" t="str">
        <f t="shared" si="152"/>
        <v>Connor Ingram - NAS - G</v>
      </c>
      <c r="B784" t="str">
        <f t="shared" si="153"/>
        <v>Connor Ingram - NAS - G</v>
      </c>
      <c r="C784" t="str">
        <f t="shared" si="144"/>
        <v>Connor</v>
      </c>
      <c r="D784" t="str">
        <f t="shared" si="145"/>
        <v>Ingram</v>
      </c>
      <c r="E784" s="39" t="s">
        <v>1574</v>
      </c>
      <c r="F784" s="30" t="s">
        <v>23</v>
      </c>
      <c r="G784" s="35" t="s">
        <v>386</v>
      </c>
      <c r="H784" s="35" t="s">
        <v>127</v>
      </c>
      <c r="I784" s="35" t="s">
        <v>2690</v>
      </c>
      <c r="J784" s="35">
        <v>22</v>
      </c>
      <c r="K784" s="35">
        <f>VALUE(COUNTIF(Validation!$A$2:$H$47,E784))</f>
        <v>0</v>
      </c>
      <c r="L784" s="361">
        <f t="shared" si="146"/>
        <v>925000</v>
      </c>
      <c r="M784" s="361">
        <f t="shared" si="147"/>
        <v>0</v>
      </c>
      <c r="N784" s="358">
        <v>925000</v>
      </c>
      <c r="O784" s="358" t="s">
        <v>8</v>
      </c>
      <c r="P784" s="358">
        <v>0</v>
      </c>
      <c r="Q784" s="358">
        <v>0</v>
      </c>
      <c r="R784" s="358">
        <v>0</v>
      </c>
      <c r="S784" s="358">
        <v>0</v>
      </c>
      <c r="T784" s="358">
        <v>0</v>
      </c>
      <c r="U784" s="35">
        <f t="shared" si="148"/>
        <v>1</v>
      </c>
      <c r="W784">
        <f t="shared" si="149"/>
        <v>1</v>
      </c>
      <c r="X784" s="35">
        <f t="shared" si="150"/>
        <v>1</v>
      </c>
      <c r="Y784">
        <f t="shared" si="151"/>
        <v>0</v>
      </c>
      <c r="AB784">
        <f t="shared" si="154"/>
        <v>1</v>
      </c>
      <c r="AC784">
        <f t="shared" ca="1" si="155"/>
        <v>0</v>
      </c>
      <c r="AD784" t="str">
        <f ca="1">IF(AC784=1,COUNTIF($AC$3:AC784,1),"")</f>
        <v/>
      </c>
      <c r="AE784" s="155" t="str">
        <f ca="1">IFERROR(INDEX(Données!$B$3:$B$1479,MATCH(ROWS($AD$3:AD784),$AD$3:$AD$1479,0)),"")</f>
        <v/>
      </c>
    </row>
    <row r="785" spans="1:31" ht="15.75" x14ac:dyDescent="0.25">
      <c r="A785" t="str">
        <f t="shared" si="152"/>
        <v>Rem Pitlick - NAS - C</v>
      </c>
      <c r="B785" t="str">
        <f t="shared" si="153"/>
        <v>Rem Pitlick - NAS - C</v>
      </c>
      <c r="C785" t="str">
        <f t="shared" si="144"/>
        <v>Rem</v>
      </c>
      <c r="D785" t="str">
        <f t="shared" si="145"/>
        <v>Pitlick</v>
      </c>
      <c r="E785" s="39" t="s">
        <v>2513</v>
      </c>
      <c r="F785" s="30" t="s">
        <v>23</v>
      </c>
      <c r="G785" s="35" t="s">
        <v>386</v>
      </c>
      <c r="H785" s="35" t="s">
        <v>73</v>
      </c>
      <c r="I785" s="35" t="s">
        <v>2690</v>
      </c>
      <c r="J785" s="35">
        <v>22</v>
      </c>
      <c r="K785" s="35">
        <f>VALUE(COUNTIF(Validation!$A$2:$H$47,E785))</f>
        <v>0</v>
      </c>
      <c r="L785" s="361">
        <f t="shared" si="146"/>
        <v>925000</v>
      </c>
      <c r="M785" s="361">
        <f t="shared" si="147"/>
        <v>0</v>
      </c>
      <c r="N785" s="358">
        <v>925000</v>
      </c>
      <c r="O785" s="358" t="s">
        <v>8</v>
      </c>
      <c r="P785" s="358">
        <v>0</v>
      </c>
      <c r="Q785" s="358">
        <v>0</v>
      </c>
      <c r="R785" s="358">
        <v>0</v>
      </c>
      <c r="S785" s="358">
        <v>0</v>
      </c>
      <c r="T785" s="358">
        <v>0</v>
      </c>
      <c r="U785" s="35">
        <f t="shared" si="148"/>
        <v>1</v>
      </c>
      <c r="W785">
        <f t="shared" si="149"/>
        <v>1</v>
      </c>
      <c r="X785" s="35">
        <f t="shared" si="150"/>
        <v>1</v>
      </c>
      <c r="Y785">
        <f t="shared" si="151"/>
        <v>0</v>
      </c>
      <c r="AB785">
        <f t="shared" si="154"/>
        <v>1</v>
      </c>
      <c r="AC785">
        <f t="shared" ca="1" si="155"/>
        <v>0</v>
      </c>
      <c r="AD785" t="str">
        <f ca="1">IF(AC785=1,COUNTIF($AC$3:AC785,1),"")</f>
        <v/>
      </c>
      <c r="AE785" s="155" t="str">
        <f ca="1">IFERROR(INDEX(Données!$B$3:$B$1479,MATCH(ROWS($AD$3:AD785),$AD$3:$AD$1479,0)),"")</f>
        <v/>
      </c>
    </row>
    <row r="786" spans="1:31" ht="15.75" x14ac:dyDescent="0.25">
      <c r="A786" t="str">
        <f t="shared" si="152"/>
        <v>Niclas Westerholm - NAS - G</v>
      </c>
      <c r="B786" t="str">
        <f t="shared" si="153"/>
        <v>Niclas Westerholm - NAS - G</v>
      </c>
      <c r="C786" t="str">
        <f t="shared" si="144"/>
        <v>Niclas</v>
      </c>
      <c r="D786" t="str">
        <f t="shared" si="145"/>
        <v>Westerholm</v>
      </c>
      <c r="E786" s="39" t="s">
        <v>2034</v>
      </c>
      <c r="F786" s="30" t="s">
        <v>23</v>
      </c>
      <c r="G786" s="35" t="s">
        <v>386</v>
      </c>
      <c r="H786" s="35" t="s">
        <v>127</v>
      </c>
      <c r="I786" s="9" t="s">
        <v>2690</v>
      </c>
      <c r="J786" s="35">
        <v>22</v>
      </c>
      <c r="K786" s="35">
        <f>VALUE(COUNTIF(Validation!$A$2:$H$47,E786))</f>
        <v>0</v>
      </c>
      <c r="L786" s="361">
        <f t="shared" si="146"/>
        <v>925000</v>
      </c>
      <c r="M786" s="361">
        <f t="shared" si="147"/>
        <v>925000</v>
      </c>
      <c r="N786" s="358">
        <v>925000</v>
      </c>
      <c r="O786" s="358">
        <v>925000</v>
      </c>
      <c r="P786" s="358" t="s">
        <v>8</v>
      </c>
      <c r="Q786" s="358">
        <v>0</v>
      </c>
      <c r="R786" s="358">
        <v>0</v>
      </c>
      <c r="S786" s="358">
        <v>0</v>
      </c>
      <c r="T786" s="358">
        <v>0</v>
      </c>
      <c r="U786" s="35">
        <f t="shared" si="148"/>
        <v>2</v>
      </c>
      <c r="W786">
        <f t="shared" si="149"/>
        <v>1</v>
      </c>
      <c r="X786" s="35">
        <f t="shared" si="150"/>
        <v>1</v>
      </c>
      <c r="Y786">
        <f t="shared" si="151"/>
        <v>1</v>
      </c>
      <c r="AB786">
        <f t="shared" si="154"/>
        <v>1</v>
      </c>
      <c r="AC786">
        <f t="shared" ca="1" si="155"/>
        <v>0</v>
      </c>
      <c r="AD786" t="str">
        <f ca="1">IF(AC786=1,COUNTIF($AC$3:AC786,1),"")</f>
        <v/>
      </c>
      <c r="AE786" s="155" t="str">
        <f ca="1">IFERROR(INDEX(Données!$B$3:$B$1479,MATCH(ROWS($AD$3:AD786),$AD$3:$AD$1479,0)),"")</f>
        <v/>
      </c>
    </row>
    <row r="787" spans="1:31" ht="15.75" x14ac:dyDescent="0.25">
      <c r="A787" t="str">
        <f t="shared" si="152"/>
        <v>Josh Wilkins - NAS - C</v>
      </c>
      <c r="B787" t="str">
        <f t="shared" si="153"/>
        <v>Josh Wilkins - NAS - C</v>
      </c>
      <c r="C787" t="str">
        <f t="shared" si="144"/>
        <v>Josh</v>
      </c>
      <c r="D787" t="str">
        <f t="shared" si="145"/>
        <v>Wilkins</v>
      </c>
      <c r="E787" s="39" t="s">
        <v>2515</v>
      </c>
      <c r="F787" s="30" t="s">
        <v>23</v>
      </c>
      <c r="G787" s="35" t="s">
        <v>386</v>
      </c>
      <c r="H787" s="35" t="s">
        <v>73</v>
      </c>
      <c r="I787" s="9" t="s">
        <v>2690</v>
      </c>
      <c r="J787" s="35">
        <v>22</v>
      </c>
      <c r="K787" s="35">
        <f>VALUE(COUNTIF(Validation!$A$2:$H$47,E787))</f>
        <v>0</v>
      </c>
      <c r="L787" s="361">
        <f t="shared" si="146"/>
        <v>925000</v>
      </c>
      <c r="M787" s="361">
        <f t="shared" si="147"/>
        <v>925000</v>
      </c>
      <c r="N787" s="358">
        <v>925000</v>
      </c>
      <c r="O787" s="358">
        <v>925000</v>
      </c>
      <c r="P787" s="358" t="s">
        <v>8</v>
      </c>
      <c r="Q787" s="358">
        <v>0</v>
      </c>
      <c r="R787" s="358">
        <v>0</v>
      </c>
      <c r="S787" s="358">
        <v>0</v>
      </c>
      <c r="T787" s="358">
        <v>0</v>
      </c>
      <c r="U787" s="35">
        <f t="shared" si="148"/>
        <v>2</v>
      </c>
      <c r="W787">
        <f t="shared" si="149"/>
        <v>1</v>
      </c>
      <c r="X787" s="35">
        <f t="shared" si="150"/>
        <v>1</v>
      </c>
      <c r="Y787">
        <f t="shared" si="151"/>
        <v>1</v>
      </c>
      <c r="AB787">
        <f t="shared" si="154"/>
        <v>1</v>
      </c>
      <c r="AC787">
        <f t="shared" ca="1" si="155"/>
        <v>0</v>
      </c>
      <c r="AD787" t="str">
        <f ca="1">IF(AC787=1,COUNTIF($AC$3:AC787,1),"")</f>
        <v/>
      </c>
      <c r="AE787" s="155" t="str">
        <f ca="1">IFERROR(INDEX(Données!$B$3:$B$1479,MATCH(ROWS($AD$3:AD787),$AD$3:$AD$1479,0)),"")</f>
        <v/>
      </c>
    </row>
    <row r="788" spans="1:31" ht="15.75" x14ac:dyDescent="0.25">
      <c r="A788" t="str">
        <f t="shared" si="152"/>
        <v>Frederic Allard - NAS - RD</v>
      </c>
      <c r="B788" t="str">
        <f t="shared" si="153"/>
        <v>Frederic Allard - NAS - RD</v>
      </c>
      <c r="C788" t="str">
        <f t="shared" si="144"/>
        <v>Frederic</v>
      </c>
      <c r="D788" t="str">
        <f t="shared" si="145"/>
        <v>Allard</v>
      </c>
      <c r="E788" s="39" t="s">
        <v>2887</v>
      </c>
      <c r="F788" s="30" t="s">
        <v>23</v>
      </c>
      <c r="G788" s="35" t="s">
        <v>386</v>
      </c>
      <c r="H788" s="35" t="s">
        <v>379</v>
      </c>
      <c r="I788" s="35" t="s">
        <v>2690</v>
      </c>
      <c r="J788" s="35">
        <v>21</v>
      </c>
      <c r="K788" s="35">
        <f>VALUE(COUNTIF(Validation!$A$2:$H$47,E788))</f>
        <v>0</v>
      </c>
      <c r="L788" s="361">
        <f t="shared" si="146"/>
        <v>921666</v>
      </c>
      <c r="M788" s="361">
        <f t="shared" si="147"/>
        <v>921666</v>
      </c>
      <c r="N788" s="358">
        <v>921666</v>
      </c>
      <c r="O788" s="358">
        <v>921666</v>
      </c>
      <c r="P788" s="358" t="s">
        <v>8</v>
      </c>
      <c r="Q788" s="358">
        <v>0</v>
      </c>
      <c r="R788" s="358">
        <v>0</v>
      </c>
      <c r="S788" s="358">
        <v>0</v>
      </c>
      <c r="T788" s="358">
        <v>0</v>
      </c>
      <c r="U788" s="35">
        <f t="shared" si="148"/>
        <v>2</v>
      </c>
      <c r="W788">
        <f t="shared" si="149"/>
        <v>1</v>
      </c>
      <c r="X788" s="35">
        <f t="shared" si="150"/>
        <v>1</v>
      </c>
      <c r="Y788">
        <f t="shared" si="151"/>
        <v>1</v>
      </c>
      <c r="AB788">
        <f t="shared" si="154"/>
        <v>1</v>
      </c>
      <c r="AC788">
        <f t="shared" ca="1" si="155"/>
        <v>0</v>
      </c>
      <c r="AD788" t="str">
        <f ca="1">IF(AC788=1,COUNTIF($AC$3:AC788,1),"")</f>
        <v/>
      </c>
      <c r="AE788" s="155" t="str">
        <f ca="1">IFERROR(INDEX(Données!$B$3:$B$1479,MATCH(ROWS($AD$3:AD788),$AD$3:$AD$1479,0)),"")</f>
        <v/>
      </c>
    </row>
    <row r="789" spans="1:31" ht="15.75" x14ac:dyDescent="0.25">
      <c r="A789" t="str">
        <f t="shared" si="152"/>
        <v>Yakov Trenin - NAS - C</v>
      </c>
      <c r="B789" t="str">
        <f t="shared" si="153"/>
        <v>Yakov Trenin - NAS - C</v>
      </c>
      <c r="C789" t="str">
        <f t="shared" si="144"/>
        <v>Yakov</v>
      </c>
      <c r="D789" t="str">
        <f t="shared" si="145"/>
        <v>Trenin</v>
      </c>
      <c r="E789" s="39" t="s">
        <v>2036</v>
      </c>
      <c r="F789" s="30" t="s">
        <v>23</v>
      </c>
      <c r="G789" s="35" t="s">
        <v>386</v>
      </c>
      <c r="H789" s="35" t="s">
        <v>73</v>
      </c>
      <c r="I789" s="35" t="s">
        <v>2690</v>
      </c>
      <c r="J789" s="35">
        <v>22</v>
      </c>
      <c r="K789" s="35">
        <f>VALUE(COUNTIF(Validation!$A$2:$H$47,E789))</f>
        <v>0</v>
      </c>
      <c r="L789" s="361">
        <f t="shared" si="146"/>
        <v>863333</v>
      </c>
      <c r="M789" s="361">
        <f t="shared" si="147"/>
        <v>0</v>
      </c>
      <c r="N789" s="358">
        <v>863333</v>
      </c>
      <c r="O789" s="358" t="s">
        <v>8</v>
      </c>
      <c r="P789" s="358">
        <v>0</v>
      </c>
      <c r="Q789" s="358">
        <v>0</v>
      </c>
      <c r="R789" s="358">
        <v>0</v>
      </c>
      <c r="S789" s="358">
        <v>0</v>
      </c>
      <c r="T789" s="358">
        <v>0</v>
      </c>
      <c r="U789" s="35">
        <f t="shared" si="148"/>
        <v>1</v>
      </c>
      <c r="W789">
        <f t="shared" si="149"/>
        <v>1</v>
      </c>
      <c r="X789" s="35">
        <f t="shared" si="150"/>
        <v>1</v>
      </c>
      <c r="Y789">
        <f t="shared" si="151"/>
        <v>0</v>
      </c>
      <c r="AB789">
        <f t="shared" si="154"/>
        <v>1</v>
      </c>
      <c r="AC789">
        <f t="shared" ca="1" si="155"/>
        <v>0</v>
      </c>
      <c r="AD789" t="str">
        <f ca="1">IF(AC789=1,COUNTIF($AC$3:AC789,1),"")</f>
        <v/>
      </c>
      <c r="AE789" s="155" t="str">
        <f ca="1">IFERROR(INDEX(Données!$B$3:$B$1479,MATCH(ROWS($AD$3:AD789),$AD$3:$AD$1479,0)),"")</f>
        <v/>
      </c>
    </row>
    <row r="790" spans="1:31" ht="15.75" x14ac:dyDescent="0.25">
      <c r="A790" t="str">
        <f t="shared" si="152"/>
        <v>Zachary Magwood - NAS - C</v>
      </c>
      <c r="B790" t="str">
        <f t="shared" si="153"/>
        <v>Zachary Magwood - NAS - C</v>
      </c>
      <c r="C790" t="str">
        <f t="shared" si="144"/>
        <v>Zachary</v>
      </c>
      <c r="D790" t="str">
        <f t="shared" si="145"/>
        <v>Magwood</v>
      </c>
      <c r="E790" s="39" t="s">
        <v>2035</v>
      </c>
      <c r="F790" s="30" t="s">
        <v>23</v>
      </c>
      <c r="G790" s="35" t="s">
        <v>386</v>
      </c>
      <c r="H790" s="35" t="s">
        <v>73</v>
      </c>
      <c r="I790" s="35" t="s">
        <v>2690</v>
      </c>
      <c r="J790" s="35">
        <v>21</v>
      </c>
      <c r="K790" s="35">
        <f>VALUE(COUNTIF(Validation!$A$2:$H$47,E790))</f>
        <v>0</v>
      </c>
      <c r="L790" s="361">
        <f t="shared" si="146"/>
        <v>753333</v>
      </c>
      <c r="M790" s="361">
        <f t="shared" si="147"/>
        <v>753333</v>
      </c>
      <c r="N790" s="358">
        <v>753333</v>
      </c>
      <c r="O790" s="358">
        <v>753333</v>
      </c>
      <c r="P790" s="358" t="s">
        <v>8</v>
      </c>
      <c r="Q790" s="358">
        <v>0</v>
      </c>
      <c r="R790" s="358">
        <v>0</v>
      </c>
      <c r="S790" s="358">
        <v>0</v>
      </c>
      <c r="T790" s="358">
        <v>0</v>
      </c>
      <c r="U790" s="35">
        <f t="shared" si="148"/>
        <v>2</v>
      </c>
      <c r="W790">
        <f t="shared" si="149"/>
        <v>1</v>
      </c>
      <c r="X790" s="35">
        <f t="shared" si="150"/>
        <v>1</v>
      </c>
      <c r="Y790">
        <f t="shared" si="151"/>
        <v>1</v>
      </c>
      <c r="AB790">
        <f t="shared" si="154"/>
        <v>1</v>
      </c>
      <c r="AC790">
        <f t="shared" ca="1" si="155"/>
        <v>0</v>
      </c>
      <c r="AD790" t="str">
        <f ca="1">IF(AC790=1,COUNTIF($AC$3:AC790,1),"")</f>
        <v/>
      </c>
      <c r="AE790" s="155" t="str">
        <f ca="1">IFERROR(INDEX(Données!$B$3:$B$1479,MATCH(ROWS($AD$3:AD790),$AD$3:$AD$1479,0)),"")</f>
        <v/>
      </c>
    </row>
    <row r="791" spans="1:31" ht="15.75" x14ac:dyDescent="0.25">
      <c r="A791" t="str">
        <f t="shared" si="152"/>
        <v>Miikka Salomaki - NAS - LW, RW</v>
      </c>
      <c r="B791" t="str">
        <f t="shared" si="153"/>
        <v>Miikka Salomaki - NAS - LW, RW</v>
      </c>
      <c r="C791" t="str">
        <f t="shared" si="144"/>
        <v>Miikka</v>
      </c>
      <c r="D791" t="str">
        <f t="shared" si="145"/>
        <v>Salomaki</v>
      </c>
      <c r="E791" s="39" t="s">
        <v>2884</v>
      </c>
      <c r="F791" s="30" t="s">
        <v>23</v>
      </c>
      <c r="G791" s="35">
        <v>0</v>
      </c>
      <c r="H791" s="35" t="s">
        <v>2689</v>
      </c>
      <c r="I791" s="35" t="s">
        <v>2677</v>
      </c>
      <c r="J791" s="35">
        <v>26</v>
      </c>
      <c r="K791" s="35">
        <f>VALUE(COUNTIF(Validation!$A$2:$H$47,E791))</f>
        <v>0</v>
      </c>
      <c r="L791" s="361">
        <f t="shared" si="146"/>
        <v>750000</v>
      </c>
      <c r="M791" s="361">
        <f t="shared" si="147"/>
        <v>0</v>
      </c>
      <c r="N791" s="358">
        <v>750000</v>
      </c>
      <c r="O791" s="358" t="s">
        <v>7</v>
      </c>
      <c r="P791" s="358">
        <v>0</v>
      </c>
      <c r="Q791" s="358">
        <v>0</v>
      </c>
      <c r="R791" s="358">
        <v>0</v>
      </c>
      <c r="S791" s="358">
        <v>0</v>
      </c>
      <c r="T791" s="358">
        <v>0</v>
      </c>
      <c r="U791" s="35">
        <f t="shared" si="148"/>
        <v>1</v>
      </c>
      <c r="W791">
        <f t="shared" si="149"/>
        <v>1</v>
      </c>
      <c r="X791" s="35">
        <f t="shared" si="150"/>
        <v>0</v>
      </c>
      <c r="Y791">
        <f t="shared" si="151"/>
        <v>0</v>
      </c>
      <c r="AB791">
        <f t="shared" si="154"/>
        <v>1</v>
      </c>
      <c r="AC791">
        <f t="shared" ca="1" si="155"/>
        <v>0</v>
      </c>
      <c r="AD791" t="str">
        <f ca="1">IF(AC791=1,COUNTIF($AC$3:AC791,1),"")</f>
        <v/>
      </c>
      <c r="AE791" s="155" t="str">
        <f ca="1">IFERROR(INDEX(Données!$B$3:$B$1479,MATCH(ROWS($AD$3:AD791),$AD$3:$AD$1479,0)),"")</f>
        <v/>
      </c>
    </row>
    <row r="792" spans="1:31" ht="15.75" x14ac:dyDescent="0.25">
      <c r="A792" t="str">
        <f t="shared" si="152"/>
        <v>Mathieu Olivier - NAS - RW</v>
      </c>
      <c r="B792" t="str">
        <f t="shared" si="153"/>
        <v>Mathieu Olivier - NAS - RW</v>
      </c>
      <c r="C792" t="str">
        <f t="shared" si="144"/>
        <v>Mathieu</v>
      </c>
      <c r="D792" t="str">
        <f t="shared" si="145"/>
        <v>Olivier</v>
      </c>
      <c r="E792" s="39" t="s">
        <v>2516</v>
      </c>
      <c r="F792" s="30" t="s">
        <v>23</v>
      </c>
      <c r="G792" s="35" t="s">
        <v>386</v>
      </c>
      <c r="H792" s="9" t="s">
        <v>88</v>
      </c>
      <c r="I792" s="9" t="s">
        <v>2690</v>
      </c>
      <c r="J792" s="9">
        <v>22</v>
      </c>
      <c r="K792" s="35">
        <f>VALUE(COUNTIF(Validation!$A$2:$H$47,E792))</f>
        <v>0</v>
      </c>
      <c r="L792" s="361">
        <f t="shared" si="146"/>
        <v>730000</v>
      </c>
      <c r="M792" s="361">
        <f t="shared" si="147"/>
        <v>730000</v>
      </c>
      <c r="N792" s="358">
        <v>730000</v>
      </c>
      <c r="O792" s="358">
        <v>730000</v>
      </c>
      <c r="P792" s="358" t="s">
        <v>8</v>
      </c>
      <c r="Q792" s="358">
        <v>0</v>
      </c>
      <c r="R792" s="358">
        <v>0</v>
      </c>
      <c r="S792" s="358">
        <v>0</v>
      </c>
      <c r="T792" s="358">
        <v>0</v>
      </c>
      <c r="U792" s="35">
        <f t="shared" si="148"/>
        <v>2</v>
      </c>
      <c r="W792">
        <f t="shared" si="149"/>
        <v>1</v>
      </c>
      <c r="X792" s="35">
        <f t="shared" si="150"/>
        <v>1</v>
      </c>
      <c r="Y792">
        <f t="shared" si="151"/>
        <v>1</v>
      </c>
      <c r="AB792">
        <f t="shared" si="154"/>
        <v>1</v>
      </c>
      <c r="AC792">
        <f t="shared" ca="1" si="155"/>
        <v>0</v>
      </c>
      <c r="AD792" t="str">
        <f ca="1">IF(AC792=1,COUNTIF($AC$3:AC792,1),"")</f>
        <v/>
      </c>
      <c r="AE792" s="155" t="str">
        <f ca="1">IFERROR(INDEX(Données!$B$3:$B$1479,MATCH(ROWS($AD$3:AD792),$AD$3:$AD$1479,0)),"")</f>
        <v/>
      </c>
    </row>
    <row r="793" spans="1:31" ht="15.75" x14ac:dyDescent="0.25">
      <c r="A793" t="str">
        <f t="shared" si="152"/>
        <v>Tanner Jeannot - NAS - LW</v>
      </c>
      <c r="B793" t="str">
        <f t="shared" si="153"/>
        <v>Tanner Jeannot - NAS - LW</v>
      </c>
      <c r="C793" t="str">
        <f t="shared" si="144"/>
        <v>Tanner</v>
      </c>
      <c r="D793" t="str">
        <f t="shared" si="145"/>
        <v>Jeannot</v>
      </c>
      <c r="E793" s="39" t="s">
        <v>2038</v>
      </c>
      <c r="F793" s="30" t="s">
        <v>23</v>
      </c>
      <c r="G793" s="35" t="s">
        <v>386</v>
      </c>
      <c r="H793" s="35" t="s">
        <v>93</v>
      </c>
      <c r="I793" s="35" t="s">
        <v>2690</v>
      </c>
      <c r="J793" s="35">
        <v>22</v>
      </c>
      <c r="K793" s="35">
        <f>VALUE(COUNTIF(Validation!$A$2:$H$47,E793))</f>
        <v>0</v>
      </c>
      <c r="L793" s="361">
        <f t="shared" si="146"/>
        <v>713333</v>
      </c>
      <c r="M793" s="361">
        <f t="shared" si="147"/>
        <v>713333</v>
      </c>
      <c r="N793" s="358">
        <v>713333</v>
      </c>
      <c r="O793" s="358">
        <v>713333</v>
      </c>
      <c r="P793" s="358" t="s">
        <v>8</v>
      </c>
      <c r="Q793" s="358">
        <v>0</v>
      </c>
      <c r="R793" s="358">
        <v>0</v>
      </c>
      <c r="S793" s="358">
        <v>0</v>
      </c>
      <c r="T793" s="358">
        <v>0</v>
      </c>
      <c r="U793" s="35">
        <f t="shared" si="148"/>
        <v>2</v>
      </c>
      <c r="W793">
        <f t="shared" si="149"/>
        <v>1</v>
      </c>
      <c r="X793" s="35">
        <f t="shared" si="150"/>
        <v>1</v>
      </c>
      <c r="Y793">
        <f t="shared" si="151"/>
        <v>1</v>
      </c>
      <c r="AB793">
        <f t="shared" si="154"/>
        <v>1</v>
      </c>
      <c r="AC793">
        <f t="shared" ca="1" si="155"/>
        <v>0</v>
      </c>
      <c r="AD793" t="str">
        <f ca="1">IF(AC793=1,COUNTIF($AC$3:AC793,1),"")</f>
        <v/>
      </c>
      <c r="AE793" s="155" t="str">
        <f ca="1">IFERROR(INDEX(Données!$B$3:$B$1479,MATCH(ROWS($AD$3:AD793),$AD$3:$AD$1479,0)),"")</f>
        <v/>
      </c>
    </row>
    <row r="794" spans="1:31" ht="15.75" x14ac:dyDescent="0.25">
      <c r="A794" t="str">
        <f t="shared" si="152"/>
        <v>Daniel Carr - NAS - LW</v>
      </c>
      <c r="B794" t="str">
        <f t="shared" si="153"/>
        <v>Daniel Carr - NAS - LW</v>
      </c>
      <c r="C794" t="str">
        <f t="shared" si="144"/>
        <v>Daniel</v>
      </c>
      <c r="D794" t="str">
        <f t="shared" si="145"/>
        <v>Carr</v>
      </c>
      <c r="E794" s="39" t="s">
        <v>2392</v>
      </c>
      <c r="F794" s="30" t="s">
        <v>23</v>
      </c>
      <c r="G794" s="35">
        <v>0</v>
      </c>
      <c r="H794" s="35" t="s">
        <v>93</v>
      </c>
      <c r="I794" s="35" t="s">
        <v>2690</v>
      </c>
      <c r="J794" s="35">
        <v>27</v>
      </c>
      <c r="K794" s="35">
        <f>VALUE(COUNTIF(Validation!$A$2:$H$47,E794))</f>
        <v>0</v>
      </c>
      <c r="L794" s="361">
        <f t="shared" si="146"/>
        <v>700000</v>
      </c>
      <c r="M794" s="361">
        <f t="shared" si="147"/>
        <v>0</v>
      </c>
      <c r="N794" s="358">
        <v>700000</v>
      </c>
      <c r="O794" s="358" t="s">
        <v>7</v>
      </c>
      <c r="P794" s="358">
        <v>0</v>
      </c>
      <c r="Q794" s="358">
        <v>0</v>
      </c>
      <c r="R794" s="358">
        <v>0</v>
      </c>
      <c r="S794" s="358">
        <v>0</v>
      </c>
      <c r="T794" s="358">
        <v>0</v>
      </c>
      <c r="U794" s="35">
        <f t="shared" si="148"/>
        <v>1</v>
      </c>
      <c r="W794">
        <f t="shared" si="149"/>
        <v>1</v>
      </c>
      <c r="X794" s="35">
        <f t="shared" si="150"/>
        <v>0</v>
      </c>
      <c r="Y794">
        <f t="shared" si="151"/>
        <v>0</v>
      </c>
      <c r="AB794">
        <f t="shared" si="154"/>
        <v>1</v>
      </c>
      <c r="AC794">
        <f t="shared" ca="1" si="155"/>
        <v>0</v>
      </c>
      <c r="AD794" t="str">
        <f ca="1">IF(AC794=1,COUNTIF($AC$3:AC794,1),"")</f>
        <v/>
      </c>
      <c r="AE794" s="155" t="str">
        <f ca="1">IFERROR(INDEX(Données!$B$3:$B$1479,MATCH(ROWS($AD$3:AD794),$AD$3:$AD$1479,0)),"")</f>
        <v/>
      </c>
    </row>
    <row r="795" spans="1:31" ht="15.75" x14ac:dyDescent="0.25">
      <c r="A795" t="str">
        <f t="shared" si="152"/>
        <v>Laurent Dauphin - NAS - RW, C</v>
      </c>
      <c r="B795" t="str">
        <f t="shared" si="153"/>
        <v>Laurent Dauphin - NAS - RW, C</v>
      </c>
      <c r="C795" t="str">
        <f t="shared" si="144"/>
        <v>Laurent</v>
      </c>
      <c r="D795" t="str">
        <f t="shared" si="145"/>
        <v>Dauphin</v>
      </c>
      <c r="E795" s="39" t="s">
        <v>2175</v>
      </c>
      <c r="F795" s="30" t="s">
        <v>23</v>
      </c>
      <c r="G795" s="35">
        <v>0</v>
      </c>
      <c r="H795" s="9" t="s">
        <v>2678</v>
      </c>
      <c r="I795" s="9" t="s">
        <v>2690</v>
      </c>
      <c r="J795" s="9">
        <v>24</v>
      </c>
      <c r="K795" s="35">
        <f>VALUE(COUNTIF(Validation!$A$2:$H$47,E795))</f>
        <v>0</v>
      </c>
      <c r="L795" s="361">
        <f t="shared" si="146"/>
        <v>700000</v>
      </c>
      <c r="M795" s="361">
        <f t="shared" si="147"/>
        <v>0</v>
      </c>
      <c r="N795" s="358">
        <v>700000</v>
      </c>
      <c r="O795" s="358" t="s">
        <v>8</v>
      </c>
      <c r="P795" s="358">
        <v>0</v>
      </c>
      <c r="Q795" s="358">
        <v>0</v>
      </c>
      <c r="R795" s="358">
        <v>0</v>
      </c>
      <c r="S795" s="358">
        <v>0</v>
      </c>
      <c r="T795" s="358">
        <v>0</v>
      </c>
      <c r="U795" s="35">
        <f t="shared" si="148"/>
        <v>1</v>
      </c>
      <c r="W795">
        <f t="shared" si="149"/>
        <v>1</v>
      </c>
      <c r="X795" s="35">
        <f t="shared" si="150"/>
        <v>0</v>
      </c>
      <c r="Y795">
        <f t="shared" si="151"/>
        <v>0</v>
      </c>
      <c r="AB795">
        <f t="shared" si="154"/>
        <v>1</v>
      </c>
      <c r="AC795">
        <f t="shared" ca="1" si="155"/>
        <v>0</v>
      </c>
      <c r="AD795" t="str">
        <f ca="1">IF(AC795=1,COUNTIF($AC$3:AC795,1),"")</f>
        <v/>
      </c>
      <c r="AE795" s="155" t="str">
        <f ca="1">IFERROR(INDEX(Données!$B$3:$B$1479,MATCH(ROWS($AD$3:AD795),$AD$3:$AD$1479,0)),"")</f>
        <v/>
      </c>
    </row>
    <row r="796" spans="1:31" ht="15.75" x14ac:dyDescent="0.25">
      <c r="A796" t="str">
        <f t="shared" si="152"/>
        <v>Troy Grosenick - NAS - G</v>
      </c>
      <c r="B796" t="str">
        <f t="shared" si="153"/>
        <v>Troy Grosenick - NAS - G</v>
      </c>
      <c r="C796" t="str">
        <f t="shared" si="144"/>
        <v>Troy</v>
      </c>
      <c r="D796" t="str">
        <f t="shared" si="145"/>
        <v>Grosenick</v>
      </c>
      <c r="E796" s="39" t="s">
        <v>2043</v>
      </c>
      <c r="F796" s="30" t="s">
        <v>23</v>
      </c>
      <c r="G796" s="35">
        <v>0</v>
      </c>
      <c r="H796" s="35" t="s">
        <v>127</v>
      </c>
      <c r="I796" s="35" t="s">
        <v>2690</v>
      </c>
      <c r="J796" s="35">
        <v>29</v>
      </c>
      <c r="K796" s="35">
        <f>VALUE(COUNTIF(Validation!$A$2:$H$47,E796))</f>
        <v>0</v>
      </c>
      <c r="L796" s="361">
        <f t="shared" si="146"/>
        <v>700000</v>
      </c>
      <c r="M796" s="361">
        <f t="shared" si="147"/>
        <v>0</v>
      </c>
      <c r="N796" s="358">
        <v>700000</v>
      </c>
      <c r="O796" s="358" t="s">
        <v>7</v>
      </c>
      <c r="P796" s="358">
        <v>0</v>
      </c>
      <c r="Q796" s="358">
        <v>0</v>
      </c>
      <c r="R796" s="358">
        <v>0</v>
      </c>
      <c r="S796" s="358">
        <v>0</v>
      </c>
      <c r="T796" s="358">
        <v>0</v>
      </c>
      <c r="U796" s="35">
        <f t="shared" si="148"/>
        <v>1</v>
      </c>
      <c r="W796">
        <f t="shared" si="149"/>
        <v>1</v>
      </c>
      <c r="X796" s="35">
        <f t="shared" si="150"/>
        <v>0</v>
      </c>
      <c r="Y796">
        <f t="shared" si="151"/>
        <v>0</v>
      </c>
      <c r="AB796">
        <f t="shared" si="154"/>
        <v>1</v>
      </c>
      <c r="AC796">
        <f t="shared" ca="1" si="155"/>
        <v>0</v>
      </c>
      <c r="AD796" t="str">
        <f ca="1">IF(AC796=1,COUNTIF($AC$3:AC796,1),"")</f>
        <v/>
      </c>
      <c r="AE796" s="155" t="str">
        <f ca="1">IFERROR(INDEX(Données!$B$3:$B$1479,MATCH(ROWS($AD$3:AD796),$AD$3:$AD$1479,0)),"")</f>
        <v/>
      </c>
    </row>
    <row r="797" spans="1:31" ht="15.75" x14ac:dyDescent="0.25">
      <c r="A797" t="str">
        <f t="shared" si="152"/>
        <v>Jarred Tinordi - NAS - LD</v>
      </c>
      <c r="B797" t="str">
        <f t="shared" si="153"/>
        <v>Jarred Tinordi - NAS - LD</v>
      </c>
      <c r="C797" t="str">
        <f t="shared" si="144"/>
        <v>Jarred</v>
      </c>
      <c r="D797" t="str">
        <f t="shared" si="145"/>
        <v>Tinordi</v>
      </c>
      <c r="E797" s="39" t="s">
        <v>2044</v>
      </c>
      <c r="F797" s="30" t="s">
        <v>23</v>
      </c>
      <c r="G797" s="35">
        <v>0</v>
      </c>
      <c r="H797" s="35" t="s">
        <v>380</v>
      </c>
      <c r="I797" s="35" t="s">
        <v>2690</v>
      </c>
      <c r="J797" s="35">
        <v>27</v>
      </c>
      <c r="K797" s="35">
        <f>VALUE(COUNTIF(Validation!$A$2:$H$47,E797))</f>
        <v>0</v>
      </c>
      <c r="L797" s="361">
        <f t="shared" si="146"/>
        <v>700000</v>
      </c>
      <c r="M797" s="361">
        <f t="shared" si="147"/>
        <v>700000</v>
      </c>
      <c r="N797" s="358">
        <v>700000</v>
      </c>
      <c r="O797" s="358">
        <v>700000</v>
      </c>
      <c r="P797" s="358" t="s">
        <v>7</v>
      </c>
      <c r="Q797" s="358">
        <v>0</v>
      </c>
      <c r="R797" s="358">
        <v>0</v>
      </c>
      <c r="S797" s="358">
        <v>0</v>
      </c>
      <c r="T797" s="358">
        <v>0</v>
      </c>
      <c r="U797" s="35">
        <f t="shared" si="148"/>
        <v>2</v>
      </c>
      <c r="W797">
        <f t="shared" si="149"/>
        <v>1</v>
      </c>
      <c r="X797" s="35">
        <f t="shared" si="150"/>
        <v>0</v>
      </c>
      <c r="Y797">
        <f t="shared" si="151"/>
        <v>1</v>
      </c>
      <c r="AB797">
        <f t="shared" si="154"/>
        <v>1</v>
      </c>
      <c r="AC797">
        <f t="shared" ca="1" si="155"/>
        <v>0</v>
      </c>
      <c r="AD797" t="str">
        <f ca="1">IF(AC797=1,COUNTIF($AC$3:AC797,1),"")</f>
        <v/>
      </c>
      <c r="AE797" s="155" t="str">
        <f ca="1">IFERROR(INDEX(Données!$B$3:$B$1479,MATCH(ROWS($AD$3:AD797),$AD$3:$AD$1479,0)),"")</f>
        <v/>
      </c>
    </row>
    <row r="798" spans="1:31" ht="15.75" x14ac:dyDescent="0.25">
      <c r="A798" t="str">
        <f t="shared" si="152"/>
        <v>Alexandre Carrier - NAS - D</v>
      </c>
      <c r="B798" t="str">
        <f t="shared" si="153"/>
        <v>Alexandre Carrier - NAS - D</v>
      </c>
      <c r="C798" t="str">
        <f t="shared" si="144"/>
        <v>Alexandre</v>
      </c>
      <c r="D798" t="str">
        <f t="shared" si="145"/>
        <v>Carrier</v>
      </c>
      <c r="E798" s="39" t="s">
        <v>2039</v>
      </c>
      <c r="F798" s="30" t="s">
        <v>23</v>
      </c>
      <c r="G798" s="35" t="s">
        <v>403</v>
      </c>
      <c r="H798" s="35" t="s">
        <v>82</v>
      </c>
      <c r="I798" s="35" t="s">
        <v>2690</v>
      </c>
      <c r="J798" s="35">
        <v>22</v>
      </c>
      <c r="K798" s="35">
        <f>VALUE(COUNTIF(Validation!$A$2:$H$47,E798))</f>
        <v>0</v>
      </c>
      <c r="L798" s="361">
        <f t="shared" si="146"/>
        <v>691666</v>
      </c>
      <c r="M798" s="361">
        <f t="shared" si="147"/>
        <v>0</v>
      </c>
      <c r="N798" s="358">
        <v>691666</v>
      </c>
      <c r="O798" s="358" t="s">
        <v>8</v>
      </c>
      <c r="P798" s="358">
        <v>0</v>
      </c>
      <c r="Q798" s="358">
        <v>0</v>
      </c>
      <c r="R798" s="358">
        <v>0</v>
      </c>
      <c r="S798" s="358">
        <v>0</v>
      </c>
      <c r="T798" s="358">
        <v>0</v>
      </c>
      <c r="U798" s="35">
        <f t="shared" si="148"/>
        <v>1</v>
      </c>
      <c r="W798">
        <f t="shared" si="149"/>
        <v>1</v>
      </c>
      <c r="X798" s="35">
        <f t="shared" si="150"/>
        <v>1</v>
      </c>
      <c r="Y798">
        <f t="shared" si="151"/>
        <v>0</v>
      </c>
      <c r="AB798">
        <f t="shared" si="154"/>
        <v>1</v>
      </c>
      <c r="AC798">
        <f t="shared" ca="1" si="155"/>
        <v>0</v>
      </c>
      <c r="AD798" t="str">
        <f ca="1">IF(AC798=1,COUNTIF($AC$3:AC798,1),"")</f>
        <v/>
      </c>
      <c r="AE798" s="155" t="str">
        <f ca="1">IFERROR(INDEX(Données!$B$3:$B$1479,MATCH(ROWS($AD$3:AD798),$AD$3:$AD$1479,0)),"")</f>
        <v/>
      </c>
    </row>
    <row r="799" spans="1:31" ht="15.75" x14ac:dyDescent="0.25">
      <c r="A799" t="str">
        <f t="shared" si="152"/>
        <v>Anthony Richard - NAS - C</v>
      </c>
      <c r="B799" t="str">
        <f t="shared" si="153"/>
        <v>Anthony Richard - NAS - C</v>
      </c>
      <c r="C799" t="str">
        <f t="shared" si="144"/>
        <v>Anthony</v>
      </c>
      <c r="D799" t="str">
        <f t="shared" si="145"/>
        <v>Richard</v>
      </c>
      <c r="E799" s="39" t="s">
        <v>2040</v>
      </c>
      <c r="F799" s="30" t="s">
        <v>23</v>
      </c>
      <c r="G799" s="35" t="s">
        <v>403</v>
      </c>
      <c r="H799" s="35" t="s">
        <v>73</v>
      </c>
      <c r="I799" s="35" t="s">
        <v>2690</v>
      </c>
      <c r="J799" s="35">
        <v>22</v>
      </c>
      <c r="K799" s="35">
        <f>VALUE(COUNTIF(Validation!$A$2:$H$47,E799))</f>
        <v>0</v>
      </c>
      <c r="L799" s="361">
        <f t="shared" si="146"/>
        <v>691666</v>
      </c>
      <c r="M799" s="361">
        <f t="shared" si="147"/>
        <v>0</v>
      </c>
      <c r="N799" s="358">
        <v>691666</v>
      </c>
      <c r="O799" s="358" t="s">
        <v>8</v>
      </c>
      <c r="P799" s="358">
        <v>0</v>
      </c>
      <c r="Q799" s="358">
        <v>0</v>
      </c>
      <c r="R799" s="358">
        <v>0</v>
      </c>
      <c r="S799" s="358">
        <v>0</v>
      </c>
      <c r="T799" s="358">
        <v>0</v>
      </c>
      <c r="U799" s="35">
        <f t="shared" si="148"/>
        <v>1</v>
      </c>
      <c r="W799">
        <f t="shared" si="149"/>
        <v>1</v>
      </c>
      <c r="X799" s="35">
        <f t="shared" si="150"/>
        <v>1</v>
      </c>
      <c r="Y799">
        <f t="shared" si="151"/>
        <v>0</v>
      </c>
      <c r="AB799">
        <f t="shared" si="154"/>
        <v>1</v>
      </c>
      <c r="AC799">
        <f t="shared" ca="1" si="155"/>
        <v>0</v>
      </c>
      <c r="AD799" t="str">
        <f ca="1">IF(AC799=1,COUNTIF($AC$3:AC799,1),"")</f>
        <v/>
      </c>
      <c r="AE799" s="155" t="str">
        <f ca="1">IFERROR(INDEX(Données!$B$3:$B$1479,MATCH(ROWS($AD$3:AD799),$AD$3:$AD$1479,0)),"")</f>
        <v/>
      </c>
    </row>
    <row r="800" spans="1:31" ht="15.75" x14ac:dyDescent="0.25">
      <c r="A800" t="str">
        <f t="shared" si="152"/>
        <v>Colin Blackwell - NAS - C</v>
      </c>
      <c r="B800" t="str">
        <f t="shared" si="153"/>
        <v>Colin Blackwell - NAS - C</v>
      </c>
      <c r="C800" t="str">
        <f t="shared" si="144"/>
        <v>Colin</v>
      </c>
      <c r="D800" t="str">
        <f t="shared" si="145"/>
        <v>Blackwell</v>
      </c>
      <c r="E800" s="39" t="s">
        <v>2041</v>
      </c>
      <c r="F800" s="30" t="s">
        <v>23</v>
      </c>
      <c r="G800" s="35">
        <v>0</v>
      </c>
      <c r="H800" s="35" t="s">
        <v>73</v>
      </c>
      <c r="I800" s="35" t="s">
        <v>2690</v>
      </c>
      <c r="J800" s="35">
        <v>26</v>
      </c>
      <c r="K800" s="35">
        <f>VALUE(COUNTIF(Validation!$A$2:$H$47,E800))</f>
        <v>0</v>
      </c>
      <c r="L800" s="361">
        <f t="shared" si="146"/>
        <v>675000</v>
      </c>
      <c r="M800" s="361">
        <f t="shared" si="147"/>
        <v>0</v>
      </c>
      <c r="N800" s="358">
        <v>675000</v>
      </c>
      <c r="O800" s="358" t="s">
        <v>7</v>
      </c>
      <c r="P800" s="358">
        <v>0</v>
      </c>
      <c r="Q800" s="358">
        <v>0</v>
      </c>
      <c r="R800" s="358">
        <v>0</v>
      </c>
      <c r="S800" s="358">
        <v>0</v>
      </c>
      <c r="T800" s="358">
        <v>0</v>
      </c>
      <c r="U800" s="35">
        <f t="shared" si="148"/>
        <v>1</v>
      </c>
      <c r="W800">
        <f t="shared" si="149"/>
        <v>1</v>
      </c>
      <c r="X800" s="35">
        <f t="shared" si="150"/>
        <v>0</v>
      </c>
      <c r="Y800">
        <f t="shared" si="151"/>
        <v>0</v>
      </c>
      <c r="AB800">
        <f t="shared" si="154"/>
        <v>1</v>
      </c>
      <c r="AC800">
        <f t="shared" ca="1" si="155"/>
        <v>0</v>
      </c>
      <c r="AD800" t="str">
        <f ca="1">IF(AC800=1,COUNTIF($AC$3:AC800,1),"")</f>
        <v/>
      </c>
      <c r="AE800" s="155" t="str">
        <f ca="1">IFERROR(INDEX(Données!$B$3:$B$1479,MATCH(ROWS($AD$3:AD800),$AD$3:$AD$1479,0)),"")</f>
        <v/>
      </c>
    </row>
    <row r="801" spans="1:31" ht="15.75" x14ac:dyDescent="0.25">
      <c r="A801" t="str">
        <f t="shared" si="152"/>
        <v>Matt Donovan - NAS - LD</v>
      </c>
      <c r="B801" t="str">
        <f t="shared" si="153"/>
        <v>Matt Donovan - NAS - LD</v>
      </c>
      <c r="C801" t="str">
        <f t="shared" si="144"/>
        <v>Matt</v>
      </c>
      <c r="D801" t="str">
        <f t="shared" si="145"/>
        <v>Donovan</v>
      </c>
      <c r="E801" s="39" t="s">
        <v>2519</v>
      </c>
      <c r="F801" s="30" t="s">
        <v>23</v>
      </c>
      <c r="G801" s="35">
        <v>0</v>
      </c>
      <c r="H801" s="35" t="s">
        <v>380</v>
      </c>
      <c r="I801" s="35" t="s">
        <v>2690</v>
      </c>
      <c r="J801" s="35">
        <v>29</v>
      </c>
      <c r="K801" s="35">
        <f>VALUE(COUNTIF(Validation!$A$2:$H$47,E801))</f>
        <v>0</v>
      </c>
      <c r="L801" s="361">
        <f t="shared" si="146"/>
        <v>675000</v>
      </c>
      <c r="M801" s="361">
        <f t="shared" si="147"/>
        <v>0</v>
      </c>
      <c r="N801" s="358">
        <v>675000</v>
      </c>
      <c r="O801" s="358" t="s">
        <v>7</v>
      </c>
      <c r="P801" s="358">
        <v>0</v>
      </c>
      <c r="Q801" s="358">
        <v>0</v>
      </c>
      <c r="R801" s="358">
        <v>0</v>
      </c>
      <c r="S801" s="358">
        <v>0</v>
      </c>
      <c r="T801" s="358">
        <v>0</v>
      </c>
      <c r="U801" s="35">
        <f t="shared" si="148"/>
        <v>1</v>
      </c>
      <c r="W801">
        <f t="shared" si="149"/>
        <v>1</v>
      </c>
      <c r="X801" s="35">
        <f t="shared" si="150"/>
        <v>0</v>
      </c>
      <c r="Y801">
        <f t="shared" si="151"/>
        <v>0</v>
      </c>
      <c r="AB801">
        <f t="shared" si="154"/>
        <v>1</v>
      </c>
      <c r="AC801">
        <f t="shared" ca="1" si="155"/>
        <v>0</v>
      </c>
      <c r="AD801" t="str">
        <f ca="1">IF(AC801=1,COUNTIF($AC$3:AC801,1),"")</f>
        <v/>
      </c>
      <c r="AE801" s="155" t="str">
        <f ca="1">IFERROR(INDEX(Données!$B$3:$B$1479,MATCH(ROWS($AD$3:AD801),$AD$3:$AD$1479,0)),"")</f>
        <v/>
      </c>
    </row>
    <row r="802" spans="1:31" ht="15.75" x14ac:dyDescent="0.25">
      <c r="A802" t="str">
        <f t="shared" si="152"/>
        <v>Matt Irwin - NAS - RD</v>
      </c>
      <c r="B802" t="str">
        <f t="shared" si="153"/>
        <v>Matt Irwin - NAS - RD</v>
      </c>
      <c r="C802" t="str">
        <f t="shared" si="144"/>
        <v>Matt</v>
      </c>
      <c r="D802" t="str">
        <f t="shared" si="145"/>
        <v>Irwin</v>
      </c>
      <c r="E802" s="39" t="s">
        <v>2029</v>
      </c>
      <c r="F802" s="30" t="s">
        <v>23</v>
      </c>
      <c r="G802" s="35">
        <v>0</v>
      </c>
      <c r="H802" s="35" t="s">
        <v>379</v>
      </c>
      <c r="I802" s="35" t="s">
        <v>2677</v>
      </c>
      <c r="J802" s="35">
        <v>31</v>
      </c>
      <c r="K802" s="35">
        <f>VALUE(COUNTIF(Validation!$A$2:$H$47,E802))</f>
        <v>0</v>
      </c>
      <c r="L802" s="361">
        <f t="shared" si="146"/>
        <v>675000</v>
      </c>
      <c r="M802" s="361">
        <f t="shared" si="147"/>
        <v>0</v>
      </c>
      <c r="N802" s="358">
        <v>675000</v>
      </c>
      <c r="O802" s="358" t="s">
        <v>7</v>
      </c>
      <c r="P802" s="358">
        <v>0</v>
      </c>
      <c r="Q802" s="358">
        <v>0</v>
      </c>
      <c r="R802" s="358">
        <v>0</v>
      </c>
      <c r="S802" s="358">
        <v>0</v>
      </c>
      <c r="T802" s="358">
        <v>0</v>
      </c>
      <c r="U802" s="35">
        <f t="shared" si="148"/>
        <v>1</v>
      </c>
      <c r="W802">
        <f t="shared" si="149"/>
        <v>1</v>
      </c>
      <c r="X802" s="35">
        <f t="shared" si="150"/>
        <v>0</v>
      </c>
      <c r="Y802">
        <f t="shared" si="151"/>
        <v>0</v>
      </c>
      <c r="AB802">
        <f t="shared" si="154"/>
        <v>1</v>
      </c>
      <c r="AC802">
        <f t="shared" ca="1" si="155"/>
        <v>0</v>
      </c>
      <c r="AD802" t="str">
        <f ca="1">IF(AC802=1,COUNTIF($AC$3:AC802,1),"")</f>
        <v/>
      </c>
      <c r="AE802" s="155" t="str">
        <f ca="1">IFERROR(INDEX(Données!$B$3:$B$1479,MATCH(ROWS($AD$3:AD802),$AD$3:$AD$1479,0)),"")</f>
        <v/>
      </c>
    </row>
    <row r="803" spans="1:31" ht="15.75" x14ac:dyDescent="0.25">
      <c r="A803" t="str">
        <f t="shared" si="152"/>
        <v>Yannick Weber - NAS - RD</v>
      </c>
      <c r="B803" t="str">
        <f t="shared" si="153"/>
        <v>Yannick Weber - NAS - RD</v>
      </c>
      <c r="C803" t="str">
        <f t="shared" si="144"/>
        <v>Yannick</v>
      </c>
      <c r="D803" t="str">
        <f t="shared" si="145"/>
        <v>Weber</v>
      </c>
      <c r="E803" s="39" t="s">
        <v>2028</v>
      </c>
      <c r="F803" s="30" t="s">
        <v>23</v>
      </c>
      <c r="G803" s="35">
        <v>0</v>
      </c>
      <c r="H803" s="35" t="s">
        <v>379</v>
      </c>
      <c r="I803" s="35" t="s">
        <v>2677</v>
      </c>
      <c r="J803" s="9">
        <v>30</v>
      </c>
      <c r="K803" s="35">
        <f>VALUE(COUNTIF(Validation!$A$2:$H$47,E803))</f>
        <v>0</v>
      </c>
      <c r="L803" s="361">
        <f t="shared" si="146"/>
        <v>675000</v>
      </c>
      <c r="M803" s="361">
        <f t="shared" si="147"/>
        <v>0</v>
      </c>
      <c r="N803" s="358">
        <v>675000</v>
      </c>
      <c r="O803" s="358" t="s">
        <v>7</v>
      </c>
      <c r="P803" s="358">
        <v>0</v>
      </c>
      <c r="Q803" s="358">
        <v>0</v>
      </c>
      <c r="R803" s="358">
        <v>0</v>
      </c>
      <c r="S803" s="358">
        <v>0</v>
      </c>
      <c r="T803" s="358">
        <v>0</v>
      </c>
      <c r="U803" s="35">
        <f t="shared" si="148"/>
        <v>1</v>
      </c>
      <c r="W803">
        <f t="shared" si="149"/>
        <v>1</v>
      </c>
      <c r="X803" s="35">
        <f t="shared" si="150"/>
        <v>0</v>
      </c>
      <c r="Y803">
        <f t="shared" si="151"/>
        <v>0</v>
      </c>
      <c r="AB803">
        <f t="shared" si="154"/>
        <v>1</v>
      </c>
      <c r="AC803">
        <f t="shared" ca="1" si="155"/>
        <v>0</v>
      </c>
      <c r="AD803" t="str">
        <f ca="1">IF(AC803=1,COUNTIF($AC$3:AC803,1),"")</f>
        <v/>
      </c>
      <c r="AE803" s="155" t="str">
        <f ca="1">IFERROR(INDEX(Données!$B$3:$B$1479,MATCH(ROWS($AD$3:AD803),$AD$3:$AD$1479,0)),"")</f>
        <v/>
      </c>
    </row>
    <row r="804" spans="1:31" ht="15.75" x14ac:dyDescent="0.25">
      <c r="A804" t="str">
        <f t="shared" si="152"/>
        <v>Frederick Gaudreau - NAS - C</v>
      </c>
      <c r="B804" t="str">
        <f t="shared" si="153"/>
        <v>Frederick Gaudreau - NAS - C</v>
      </c>
      <c r="C804" t="str">
        <f t="shared" si="144"/>
        <v>Frederick</v>
      </c>
      <c r="D804" t="str">
        <f t="shared" si="145"/>
        <v>Gaudreau</v>
      </c>
      <c r="E804" s="39" t="s">
        <v>2900</v>
      </c>
      <c r="F804" s="30" t="s">
        <v>23</v>
      </c>
      <c r="G804" s="35">
        <v>0</v>
      </c>
      <c r="H804" s="35" t="s">
        <v>73</v>
      </c>
      <c r="I804" s="35" t="s">
        <v>2677</v>
      </c>
      <c r="J804" s="35">
        <v>26</v>
      </c>
      <c r="K804" s="35">
        <f>VALUE(COUNTIF(Validation!$A$2:$H$47,E804))</f>
        <v>0</v>
      </c>
      <c r="L804" s="361">
        <f t="shared" si="146"/>
        <v>666666</v>
      </c>
      <c r="M804" s="361">
        <f t="shared" si="147"/>
        <v>0</v>
      </c>
      <c r="N804" s="358">
        <v>666666</v>
      </c>
      <c r="O804" s="358" t="s">
        <v>7</v>
      </c>
      <c r="P804" s="358">
        <v>0</v>
      </c>
      <c r="Q804" s="358">
        <v>0</v>
      </c>
      <c r="R804" s="358">
        <v>0</v>
      </c>
      <c r="S804" s="358">
        <v>0</v>
      </c>
      <c r="T804" s="358">
        <v>0</v>
      </c>
      <c r="U804" s="35">
        <f t="shared" si="148"/>
        <v>1</v>
      </c>
      <c r="W804">
        <f t="shared" si="149"/>
        <v>1</v>
      </c>
      <c r="X804" s="35">
        <f t="shared" si="150"/>
        <v>0</v>
      </c>
      <c r="Y804">
        <f t="shared" si="151"/>
        <v>0</v>
      </c>
      <c r="AB804">
        <f t="shared" si="154"/>
        <v>1</v>
      </c>
      <c r="AC804">
        <f t="shared" ca="1" si="155"/>
        <v>0</v>
      </c>
      <c r="AD804" t="str">
        <f ca="1">IF(AC804=1,COUNTIF($AC$3:AC804,1),"")</f>
        <v/>
      </c>
      <c r="AE804" s="155" t="str">
        <f ca="1">IFERROR(INDEX(Données!$B$3:$B$1479,MATCH(ROWS($AD$3:AD804),$AD$3:$AD$1479,0)),"")</f>
        <v/>
      </c>
    </row>
    <row r="805" spans="1:31" ht="15.75" x14ac:dyDescent="0.25">
      <c r="A805" t="str">
        <f t="shared" si="152"/>
        <v>P.K. Subban - NJD - DD</v>
      </c>
      <c r="B805" t="str">
        <f t="shared" si="153"/>
        <v>P.K. Subban - NJD - DD</v>
      </c>
      <c r="C805" t="str">
        <f t="shared" si="144"/>
        <v>P.K.</v>
      </c>
      <c r="D805" t="str">
        <f t="shared" si="145"/>
        <v>Subban</v>
      </c>
      <c r="E805" s="39" t="s">
        <v>2026</v>
      </c>
      <c r="F805" s="30" t="s">
        <v>24</v>
      </c>
      <c r="G805" s="35">
        <v>0</v>
      </c>
      <c r="H805" s="35" t="s">
        <v>2444</v>
      </c>
      <c r="I805" s="35" t="s">
        <v>2439</v>
      </c>
      <c r="J805" s="35">
        <v>30</v>
      </c>
      <c r="K805" s="35">
        <f>VALUE(COUNTIF(Validation!$A$2:$H$47,E805))</f>
        <v>0</v>
      </c>
      <c r="L805" s="361">
        <f t="shared" si="146"/>
        <v>9000000</v>
      </c>
      <c r="M805" s="361">
        <f t="shared" si="147"/>
        <v>9000000</v>
      </c>
      <c r="N805" s="358">
        <v>9000000</v>
      </c>
      <c r="O805" s="358">
        <v>9000000</v>
      </c>
      <c r="P805" s="358">
        <v>9000000</v>
      </c>
      <c r="Q805" s="358" t="s">
        <v>7</v>
      </c>
      <c r="R805" s="358">
        <v>0</v>
      </c>
      <c r="S805" s="358">
        <v>0</v>
      </c>
      <c r="T805" s="358">
        <v>0</v>
      </c>
      <c r="U805" s="35">
        <f t="shared" si="148"/>
        <v>3</v>
      </c>
      <c r="W805">
        <f t="shared" si="149"/>
        <v>1</v>
      </c>
      <c r="X805" s="35">
        <f t="shared" si="150"/>
        <v>0</v>
      </c>
      <c r="Y805">
        <f t="shared" si="151"/>
        <v>1</v>
      </c>
      <c r="AB805">
        <f t="shared" si="154"/>
        <v>1</v>
      </c>
      <c r="AC805">
        <f t="shared" ca="1" si="155"/>
        <v>0</v>
      </c>
      <c r="AD805" t="str">
        <f ca="1">IF(AC805=1,COUNTIF($AC$3:AC805,1),"")</f>
        <v/>
      </c>
      <c r="AE805" s="155" t="str">
        <f ca="1">IFERROR(INDEX(Données!$B$3:$B$1479,MATCH(ROWS($AD$3:AD805),$AD$3:$AD$1479,0)),"")</f>
        <v/>
      </c>
    </row>
    <row r="806" spans="1:31" ht="15.75" x14ac:dyDescent="0.25">
      <c r="A806" t="str">
        <f t="shared" si="152"/>
        <v>Taylor Hall - NJD - AG, C</v>
      </c>
      <c r="B806" t="str">
        <f t="shared" si="153"/>
        <v>Taylor Hall - NJD - AG, C</v>
      </c>
      <c r="C806" t="str">
        <f t="shared" si="144"/>
        <v>Taylor</v>
      </c>
      <c r="D806" t="str">
        <f t="shared" si="145"/>
        <v>Hall</v>
      </c>
      <c r="E806" s="39" t="s">
        <v>2967</v>
      </c>
      <c r="F806" s="30" t="s">
        <v>24</v>
      </c>
      <c r="G806" s="35">
        <v>0</v>
      </c>
      <c r="H806" s="35" t="s">
        <v>2450</v>
      </c>
      <c r="I806" s="35" t="s">
        <v>2439</v>
      </c>
      <c r="J806" s="35">
        <v>27</v>
      </c>
      <c r="K806" s="35">
        <f>VALUE(COUNTIF(Validation!$A$2:$H$47,E806))</f>
        <v>0</v>
      </c>
      <c r="L806" s="361">
        <f t="shared" si="146"/>
        <v>6000000</v>
      </c>
      <c r="M806" s="361">
        <f t="shared" si="147"/>
        <v>0</v>
      </c>
      <c r="N806" s="358">
        <v>6000000</v>
      </c>
      <c r="O806" s="358" t="s">
        <v>7</v>
      </c>
      <c r="P806" s="358">
        <v>0</v>
      </c>
      <c r="Q806" s="358">
        <v>0</v>
      </c>
      <c r="R806" s="358">
        <v>0</v>
      </c>
      <c r="S806" s="358">
        <v>0</v>
      </c>
      <c r="T806" s="358">
        <v>0</v>
      </c>
      <c r="U806" s="35">
        <f t="shared" si="148"/>
        <v>1</v>
      </c>
      <c r="W806">
        <f t="shared" si="149"/>
        <v>1</v>
      </c>
      <c r="X806" s="35">
        <f t="shared" si="150"/>
        <v>0</v>
      </c>
      <c r="Y806">
        <f t="shared" si="151"/>
        <v>0</v>
      </c>
      <c r="AB806">
        <f t="shared" si="154"/>
        <v>1</v>
      </c>
      <c r="AC806">
        <f t="shared" ca="1" si="155"/>
        <v>0</v>
      </c>
      <c r="AD806" t="str">
        <f ca="1">IF(AC806=1,COUNTIF($AC$3:AC806,1),"")</f>
        <v/>
      </c>
      <c r="AE806" s="155" t="str">
        <f ca="1">IFERROR(INDEX(Données!$B$3:$B$1479,MATCH(ROWS($AD$3:AD806),$AD$3:$AD$1479,0)),"")</f>
        <v/>
      </c>
    </row>
    <row r="807" spans="1:31" ht="15.75" x14ac:dyDescent="0.25">
      <c r="A807" t="str">
        <f t="shared" si="152"/>
        <v>Cory Schneider - NJD - G</v>
      </c>
      <c r="B807" t="str">
        <f t="shared" si="153"/>
        <v>Cory Schneider - NJD - G</v>
      </c>
      <c r="C807" t="str">
        <f t="shared" si="144"/>
        <v>Cory</v>
      </c>
      <c r="D807" t="str">
        <f t="shared" si="145"/>
        <v>Schneider</v>
      </c>
      <c r="E807" s="39" t="s">
        <v>1705</v>
      </c>
      <c r="F807" s="30" t="s">
        <v>24</v>
      </c>
      <c r="G807" s="35" t="s">
        <v>372</v>
      </c>
      <c r="H807" s="35" t="s">
        <v>127</v>
      </c>
      <c r="I807" s="35" t="s">
        <v>2439</v>
      </c>
      <c r="J807" s="35">
        <v>33</v>
      </c>
      <c r="K807" s="35">
        <f>VALUE(COUNTIF(Validation!$A$2:$H$47,E807))</f>
        <v>0</v>
      </c>
      <c r="L807" s="361">
        <f t="shared" si="146"/>
        <v>6000000</v>
      </c>
      <c r="M807" s="361">
        <f t="shared" si="147"/>
        <v>6000000</v>
      </c>
      <c r="N807" s="358">
        <v>6000000</v>
      </c>
      <c r="O807" s="358">
        <v>6000000</v>
      </c>
      <c r="P807" s="358">
        <v>6000000</v>
      </c>
      <c r="Q807" s="358" t="s">
        <v>7</v>
      </c>
      <c r="R807" s="358">
        <v>0</v>
      </c>
      <c r="S807" s="358">
        <v>0</v>
      </c>
      <c r="T807" s="358">
        <v>0</v>
      </c>
      <c r="U807" s="35">
        <f t="shared" si="148"/>
        <v>3</v>
      </c>
      <c r="W807">
        <f t="shared" si="149"/>
        <v>1</v>
      </c>
      <c r="X807" s="35">
        <f t="shared" si="150"/>
        <v>0</v>
      </c>
      <c r="Y807">
        <f t="shared" si="151"/>
        <v>1</v>
      </c>
      <c r="AB807">
        <f t="shared" si="154"/>
        <v>1</v>
      </c>
      <c r="AC807">
        <f t="shared" ca="1" si="155"/>
        <v>0</v>
      </c>
      <c r="AD807" t="str">
        <f ca="1">IF(AC807=1,COUNTIF($AC$3:AC807,1),"")</f>
        <v/>
      </c>
      <c r="AE807" s="155" t="str">
        <f ca="1">IFERROR(INDEX(Données!$B$3:$B$1479,MATCH(ROWS($AD$3:AD807),$AD$3:$AD$1479,0)),"")</f>
        <v/>
      </c>
    </row>
    <row r="808" spans="1:31" ht="15.75" x14ac:dyDescent="0.25">
      <c r="A808" t="str">
        <f t="shared" si="152"/>
        <v>Travis Zajac - NJD - C</v>
      </c>
      <c r="B808" t="str">
        <f t="shared" si="153"/>
        <v>Travis Zajac - NJD - C</v>
      </c>
      <c r="C808" t="str">
        <f t="shared" si="144"/>
        <v>Travis</v>
      </c>
      <c r="D808" t="str">
        <f t="shared" si="145"/>
        <v>Zajac</v>
      </c>
      <c r="E808" s="39" t="s">
        <v>3014</v>
      </c>
      <c r="F808" s="30" t="s">
        <v>24</v>
      </c>
      <c r="G808" s="35" t="s">
        <v>372</v>
      </c>
      <c r="H808" s="35" t="s">
        <v>73</v>
      </c>
      <c r="I808" s="35" t="s">
        <v>2439</v>
      </c>
      <c r="J808" s="35">
        <v>34</v>
      </c>
      <c r="K808" s="35">
        <f>VALUE(COUNTIF(Validation!$A$2:$H$47,E808))</f>
        <v>0</v>
      </c>
      <c r="L808" s="361">
        <f t="shared" si="146"/>
        <v>5750000</v>
      </c>
      <c r="M808" s="361">
        <f t="shared" si="147"/>
        <v>5750000</v>
      </c>
      <c r="N808" s="358">
        <v>5750000</v>
      </c>
      <c r="O808" s="358">
        <v>5750000</v>
      </c>
      <c r="P808" s="358" t="s">
        <v>7</v>
      </c>
      <c r="Q808" s="358">
        <v>0</v>
      </c>
      <c r="R808" s="358">
        <v>0</v>
      </c>
      <c r="S808" s="358">
        <v>0</v>
      </c>
      <c r="T808" s="358">
        <v>0</v>
      </c>
      <c r="U808" s="35">
        <f t="shared" si="148"/>
        <v>2</v>
      </c>
      <c r="W808">
        <f t="shared" si="149"/>
        <v>1</v>
      </c>
      <c r="X808" s="35">
        <f t="shared" si="150"/>
        <v>0</v>
      </c>
      <c r="Y808">
        <f t="shared" si="151"/>
        <v>1</v>
      </c>
      <c r="AB808">
        <f t="shared" si="154"/>
        <v>1</v>
      </c>
      <c r="AC808">
        <f t="shared" ca="1" si="155"/>
        <v>0</v>
      </c>
      <c r="AD808" t="str">
        <f ca="1">IF(AC808=1,COUNTIF($AC$3:AC808,1),"")</f>
        <v/>
      </c>
      <c r="AE808" s="155" t="str">
        <f ca="1">IFERROR(INDEX(Données!$B$3:$B$1479,MATCH(ROWS($AD$3:AD808),$AD$3:$AD$1479,0)),"")</f>
        <v/>
      </c>
    </row>
    <row r="809" spans="1:31" ht="15.75" x14ac:dyDescent="0.25">
      <c r="A809" t="str">
        <f t="shared" si="152"/>
        <v>Andy Greene - NJD - DG</v>
      </c>
      <c r="B809" t="str">
        <f t="shared" si="153"/>
        <v>Andy Greene - NJD - DG</v>
      </c>
      <c r="C809" t="str">
        <f t="shared" si="144"/>
        <v>Andy</v>
      </c>
      <c r="D809" t="str">
        <f t="shared" si="145"/>
        <v>Greene</v>
      </c>
      <c r="E809" s="39" t="s">
        <v>2966</v>
      </c>
      <c r="F809" s="30" t="s">
        <v>24</v>
      </c>
      <c r="G809" s="35" t="s">
        <v>372</v>
      </c>
      <c r="H809" s="35" t="s">
        <v>2445</v>
      </c>
      <c r="I809" s="35" t="s">
        <v>2439</v>
      </c>
      <c r="J809" s="35">
        <v>36</v>
      </c>
      <c r="K809" s="35">
        <f>VALUE(COUNTIF(Validation!$A$2:$H$47,E809))</f>
        <v>0</v>
      </c>
      <c r="L809" s="361">
        <f t="shared" si="146"/>
        <v>5000000</v>
      </c>
      <c r="M809" s="361">
        <f t="shared" si="147"/>
        <v>0</v>
      </c>
      <c r="N809" s="358">
        <v>5000000</v>
      </c>
      <c r="O809" s="358" t="s">
        <v>7</v>
      </c>
      <c r="P809" s="358">
        <v>0</v>
      </c>
      <c r="Q809" s="358">
        <v>0</v>
      </c>
      <c r="R809" s="358">
        <v>0</v>
      </c>
      <c r="S809" s="358">
        <v>0</v>
      </c>
      <c r="T809" s="358">
        <v>0</v>
      </c>
      <c r="U809" s="35">
        <f t="shared" si="148"/>
        <v>1</v>
      </c>
      <c r="W809">
        <f t="shared" si="149"/>
        <v>1</v>
      </c>
      <c r="X809" s="35">
        <f t="shared" si="150"/>
        <v>0</v>
      </c>
      <c r="Y809">
        <f t="shared" si="151"/>
        <v>0</v>
      </c>
      <c r="AB809">
        <f t="shared" si="154"/>
        <v>1</v>
      </c>
      <c r="AC809">
        <f t="shared" ca="1" si="155"/>
        <v>0</v>
      </c>
      <c r="AD809" t="str">
        <f ca="1">IF(AC809=1,COUNTIF($AC$3:AC809,1),"")</f>
        <v/>
      </c>
      <c r="AE809" s="155" t="str">
        <f ca="1">IFERROR(INDEX(Données!$B$3:$B$1479,MATCH(ROWS($AD$3:AD809),$AD$3:$AD$1479,0)),"")</f>
        <v/>
      </c>
    </row>
    <row r="810" spans="1:31" ht="15.75" x14ac:dyDescent="0.25">
      <c r="A810" t="str">
        <f t="shared" si="152"/>
        <v>Wayne Simmonds - NJD - AD, AG</v>
      </c>
      <c r="B810" t="str">
        <f t="shared" si="153"/>
        <v>Wayne Simmonds - NJD - AD, AG</v>
      </c>
      <c r="C810" t="str">
        <f t="shared" si="144"/>
        <v>Wayne</v>
      </c>
      <c r="D810" t="str">
        <f t="shared" si="145"/>
        <v>Simmonds</v>
      </c>
      <c r="E810" s="39" t="s">
        <v>2646</v>
      </c>
      <c r="F810" s="30" t="s">
        <v>24</v>
      </c>
      <c r="G810" s="35">
        <v>0</v>
      </c>
      <c r="H810" s="35" t="s">
        <v>2441</v>
      </c>
      <c r="I810" s="35" t="s">
        <v>2439</v>
      </c>
      <c r="J810" s="35">
        <v>30</v>
      </c>
      <c r="K810" s="35">
        <f>VALUE(COUNTIF(Validation!$A$2:$H$47,E810))</f>
        <v>0</v>
      </c>
      <c r="L810" s="361">
        <f t="shared" si="146"/>
        <v>5000000</v>
      </c>
      <c r="M810" s="361">
        <f t="shared" si="147"/>
        <v>0</v>
      </c>
      <c r="N810" s="358">
        <v>5000000</v>
      </c>
      <c r="O810" s="358" t="s">
        <v>7</v>
      </c>
      <c r="P810" s="358">
        <v>0</v>
      </c>
      <c r="Q810" s="358">
        <v>0</v>
      </c>
      <c r="R810" s="358">
        <v>0</v>
      </c>
      <c r="S810" s="358">
        <v>0</v>
      </c>
      <c r="T810" s="358">
        <v>0</v>
      </c>
      <c r="U810" s="35">
        <f t="shared" si="148"/>
        <v>1</v>
      </c>
      <c r="W810">
        <f t="shared" si="149"/>
        <v>1</v>
      </c>
      <c r="X810" s="35">
        <f t="shared" si="150"/>
        <v>0</v>
      </c>
      <c r="Y810">
        <f t="shared" si="151"/>
        <v>0</v>
      </c>
      <c r="AB810">
        <f t="shared" si="154"/>
        <v>1</v>
      </c>
      <c r="AC810">
        <f t="shared" ca="1" si="155"/>
        <v>0</v>
      </c>
      <c r="AD810" t="str">
        <f ca="1">IF(AC810=1,COUNTIF($AC$3:AC810,1),"")</f>
        <v/>
      </c>
      <c r="AE810" s="155" t="str">
        <f ca="1">IFERROR(INDEX(Données!$B$3:$B$1479,MATCH(ROWS($AD$3:AD810),$AD$3:$AD$1479,0)),"")</f>
        <v/>
      </c>
    </row>
    <row r="811" spans="1:31" ht="15.75" x14ac:dyDescent="0.25">
      <c r="A811" t="str">
        <f t="shared" si="152"/>
        <v>Sami Vatanen - NJD - DG</v>
      </c>
      <c r="B811" t="str">
        <f t="shared" si="153"/>
        <v>Sami Vatanen - NJD - DG</v>
      </c>
      <c r="C811" t="str">
        <f t="shared" si="144"/>
        <v>Sami</v>
      </c>
      <c r="D811" t="str">
        <f t="shared" si="145"/>
        <v>Vatanen</v>
      </c>
      <c r="E811" s="39" t="s">
        <v>1700</v>
      </c>
      <c r="F811" s="30" t="s">
        <v>24</v>
      </c>
      <c r="G811" s="35">
        <v>0</v>
      </c>
      <c r="H811" s="35" t="s">
        <v>2445</v>
      </c>
      <c r="I811" s="35" t="s">
        <v>2439</v>
      </c>
      <c r="J811" s="35">
        <v>28</v>
      </c>
      <c r="K811" s="35">
        <f>VALUE(COUNTIF(Validation!$A$2:$H$47,E811))</f>
        <v>0</v>
      </c>
      <c r="L811" s="361">
        <f t="shared" si="146"/>
        <v>4875000</v>
      </c>
      <c r="M811" s="361">
        <f t="shared" si="147"/>
        <v>0</v>
      </c>
      <c r="N811" s="358">
        <v>4875000</v>
      </c>
      <c r="O811" s="358" t="s">
        <v>7</v>
      </c>
      <c r="P811" s="358">
        <v>0</v>
      </c>
      <c r="Q811" s="358">
        <v>0</v>
      </c>
      <c r="R811" s="358">
        <v>0</v>
      </c>
      <c r="S811" s="358">
        <v>0</v>
      </c>
      <c r="T811" s="358">
        <v>0</v>
      </c>
      <c r="U811" s="35">
        <f t="shared" si="148"/>
        <v>1</v>
      </c>
      <c r="W811">
        <f t="shared" si="149"/>
        <v>1</v>
      </c>
      <c r="X811" s="35">
        <f t="shared" si="150"/>
        <v>0</v>
      </c>
      <c r="Y811">
        <f t="shared" si="151"/>
        <v>0</v>
      </c>
      <c r="AB811">
        <f t="shared" si="154"/>
        <v>1</v>
      </c>
      <c r="AC811">
        <f t="shared" ca="1" si="155"/>
        <v>0</v>
      </c>
      <c r="AD811" t="str">
        <f ca="1">IF(AC811=1,COUNTIF($AC$3:AC811,1),"")</f>
        <v/>
      </c>
      <c r="AE811" s="155" t="str">
        <f ca="1">IFERROR(INDEX(Données!$B$3:$B$1479,MATCH(ROWS($AD$3:AD811),$AD$3:$AD$1479,0)),"")</f>
        <v/>
      </c>
    </row>
    <row r="812" spans="1:31" ht="15.75" x14ac:dyDescent="0.25">
      <c r="A812" t="str">
        <f t="shared" si="152"/>
        <v>Kyle Palmieri - NJD - AD, AG</v>
      </c>
      <c r="B812" t="str">
        <f t="shared" si="153"/>
        <v>Kyle Palmieri - NJD - AD, AG</v>
      </c>
      <c r="C812" t="str">
        <f t="shared" si="144"/>
        <v>Kyle</v>
      </c>
      <c r="D812" t="str">
        <f t="shared" si="145"/>
        <v>Palmieri</v>
      </c>
      <c r="E812" s="39" t="s">
        <v>1692</v>
      </c>
      <c r="F812" s="30" t="s">
        <v>24</v>
      </c>
      <c r="G812" s="35" t="s">
        <v>381</v>
      </c>
      <c r="H812" s="35" t="s">
        <v>2441</v>
      </c>
      <c r="I812" s="35" t="s">
        <v>2439</v>
      </c>
      <c r="J812" s="35">
        <v>28</v>
      </c>
      <c r="K812" s="35">
        <f>VALUE(COUNTIF(Validation!$A$2:$H$47,E812))</f>
        <v>0</v>
      </c>
      <c r="L812" s="361">
        <f t="shared" si="146"/>
        <v>4650000</v>
      </c>
      <c r="M812" s="361">
        <f t="shared" si="147"/>
        <v>4650000</v>
      </c>
      <c r="N812" s="358">
        <v>4650000</v>
      </c>
      <c r="O812" s="358">
        <v>4650000</v>
      </c>
      <c r="P812" s="358" t="s">
        <v>7</v>
      </c>
      <c r="Q812" s="358">
        <v>0</v>
      </c>
      <c r="R812" s="358">
        <v>0</v>
      </c>
      <c r="S812" s="358">
        <v>0</v>
      </c>
      <c r="T812" s="358">
        <v>0</v>
      </c>
      <c r="U812" s="35">
        <f t="shared" si="148"/>
        <v>2</v>
      </c>
      <c r="W812">
        <f t="shared" si="149"/>
        <v>1</v>
      </c>
      <c r="X812" s="35">
        <f t="shared" si="150"/>
        <v>0</v>
      </c>
      <c r="Y812">
        <f t="shared" si="151"/>
        <v>1</v>
      </c>
      <c r="AB812">
        <f t="shared" si="154"/>
        <v>1</v>
      </c>
      <c r="AC812">
        <f t="shared" ca="1" si="155"/>
        <v>0</v>
      </c>
      <c r="AD812" t="str">
        <f ca="1">IF(AC812=1,COUNTIF($AC$3:AC812,1),"")</f>
        <v/>
      </c>
      <c r="AE812" s="155" t="str">
        <f ca="1">IFERROR(INDEX(Données!$B$3:$B$1479,MATCH(ROWS($AD$3:AD812),$AD$3:$AD$1479,0)),"")</f>
        <v/>
      </c>
    </row>
    <row r="813" spans="1:31" ht="15.75" x14ac:dyDescent="0.25">
      <c r="A813" t="str">
        <f t="shared" si="152"/>
        <v>Nikita Gusev - NJD - AG</v>
      </c>
      <c r="B813" t="str">
        <f t="shared" si="153"/>
        <v>Nikita Gusev - NJD - AG</v>
      </c>
      <c r="C813" t="str">
        <f t="shared" si="144"/>
        <v>Nikita</v>
      </c>
      <c r="D813" t="str">
        <f t="shared" si="145"/>
        <v>Gusev</v>
      </c>
      <c r="E813" s="39" t="s">
        <v>2443</v>
      </c>
      <c r="F813" s="30" t="s">
        <v>24</v>
      </c>
      <c r="G813" s="35">
        <v>0</v>
      </c>
      <c r="H813" s="35" t="s">
        <v>2440</v>
      </c>
      <c r="I813" s="35" t="s">
        <v>2439</v>
      </c>
      <c r="J813" s="35">
        <v>27</v>
      </c>
      <c r="K813" s="35">
        <f>VALUE(COUNTIF(Validation!$A$2:$H$47,E813))</f>
        <v>0</v>
      </c>
      <c r="L813" s="361">
        <f t="shared" si="146"/>
        <v>4500000</v>
      </c>
      <c r="M813" s="361">
        <f t="shared" si="147"/>
        <v>4500000</v>
      </c>
      <c r="N813" s="358">
        <v>4500000</v>
      </c>
      <c r="O813" s="358">
        <v>4500000</v>
      </c>
      <c r="P813" s="358" t="s">
        <v>7</v>
      </c>
      <c r="Q813" s="358">
        <v>0</v>
      </c>
      <c r="R813" s="358">
        <v>0</v>
      </c>
      <c r="S813" s="358">
        <v>0</v>
      </c>
      <c r="T813" s="358">
        <v>0</v>
      </c>
      <c r="U813" s="35">
        <f t="shared" si="148"/>
        <v>2</v>
      </c>
      <c r="W813">
        <f t="shared" si="149"/>
        <v>1</v>
      </c>
      <c r="X813" s="35">
        <f t="shared" si="150"/>
        <v>0</v>
      </c>
      <c r="Y813">
        <f t="shared" si="151"/>
        <v>1</v>
      </c>
      <c r="AB813">
        <f t="shared" si="154"/>
        <v>1</v>
      </c>
      <c r="AC813">
        <f t="shared" ca="1" si="155"/>
        <v>0</v>
      </c>
      <c r="AD813" t="str">
        <f ca="1">IF(AC813=1,COUNTIF($AC$3:AC813,1),"")</f>
        <v/>
      </c>
      <c r="AE813" s="155" t="str">
        <f ca="1">IFERROR(INDEX(Données!$B$3:$B$1479,MATCH(ROWS($AD$3:AD813),$AD$3:$AD$1479,0)),"")</f>
        <v/>
      </c>
    </row>
    <row r="814" spans="1:31" ht="15.75" x14ac:dyDescent="0.25">
      <c r="A814" t="str">
        <f t="shared" si="152"/>
        <v>Damon Severson - NJD - DD</v>
      </c>
      <c r="B814" t="str">
        <f t="shared" si="153"/>
        <v>Damon Severson - NJD - DD</v>
      </c>
      <c r="C814" t="str">
        <f t="shared" si="144"/>
        <v>Damon</v>
      </c>
      <c r="D814" t="str">
        <f t="shared" si="145"/>
        <v>Severson</v>
      </c>
      <c r="E814" s="39" t="s">
        <v>1701</v>
      </c>
      <c r="F814" s="30" t="s">
        <v>24</v>
      </c>
      <c r="G814" s="35">
        <v>0</v>
      </c>
      <c r="H814" s="35" t="s">
        <v>2444</v>
      </c>
      <c r="I814" s="35" t="s">
        <v>2439</v>
      </c>
      <c r="J814" s="35">
        <v>25</v>
      </c>
      <c r="K814" s="35">
        <f>VALUE(COUNTIF(Validation!$A$2:$H$47,E814))</f>
        <v>0</v>
      </c>
      <c r="L814" s="361">
        <f t="shared" si="146"/>
        <v>4166666</v>
      </c>
      <c r="M814" s="361">
        <f t="shared" si="147"/>
        <v>4166666</v>
      </c>
      <c r="N814" s="358">
        <v>4166666</v>
      </c>
      <c r="O814" s="358">
        <v>4166666</v>
      </c>
      <c r="P814" s="358">
        <v>4166666</v>
      </c>
      <c r="Q814" s="358">
        <v>4166666</v>
      </c>
      <c r="R814" s="358" t="s">
        <v>7</v>
      </c>
      <c r="S814" s="358">
        <v>0</v>
      </c>
      <c r="T814" s="358">
        <v>0</v>
      </c>
      <c r="U814" s="35">
        <f t="shared" si="148"/>
        <v>4</v>
      </c>
      <c r="W814">
        <f t="shared" si="149"/>
        <v>1</v>
      </c>
      <c r="X814" s="35">
        <f t="shared" si="150"/>
        <v>0</v>
      </c>
      <c r="Y814">
        <f t="shared" si="151"/>
        <v>1</v>
      </c>
      <c r="AB814">
        <f t="shared" si="154"/>
        <v>1</v>
      </c>
      <c r="AC814">
        <f t="shared" ca="1" si="155"/>
        <v>0</v>
      </c>
      <c r="AD814" t="str">
        <f ca="1">IF(AC814=1,COUNTIF($AC$3:AC814,1),"")</f>
        <v/>
      </c>
      <c r="AE814" s="155" t="str">
        <f ca="1">IFERROR(INDEX(Données!$B$3:$B$1479,MATCH(ROWS($AD$3:AD814),$AD$3:$AD$1479,0)),"")</f>
        <v/>
      </c>
    </row>
    <row r="815" spans="1:31" ht="15.75" x14ac:dyDescent="0.25">
      <c r="A815" t="str">
        <f t="shared" si="152"/>
        <v>Nico Hischier - NJD - C</v>
      </c>
      <c r="B815" t="str">
        <f t="shared" si="153"/>
        <v>Nico Hischier - NJD - C</v>
      </c>
      <c r="C815" t="str">
        <f t="shared" si="144"/>
        <v>Nico</v>
      </c>
      <c r="D815" t="str">
        <f t="shared" si="145"/>
        <v>Hischier</v>
      </c>
      <c r="E815" s="39" t="s">
        <v>1694</v>
      </c>
      <c r="F815" s="30" t="s">
        <v>24</v>
      </c>
      <c r="G815" s="35" t="s">
        <v>386</v>
      </c>
      <c r="H815" s="35" t="s">
        <v>73</v>
      </c>
      <c r="I815" s="35" t="s">
        <v>2439</v>
      </c>
      <c r="J815" s="35">
        <v>20</v>
      </c>
      <c r="K815" s="35">
        <f>VALUE(COUNTIF(Validation!$A$2:$H$47,E815))</f>
        <v>0</v>
      </c>
      <c r="L815" s="361">
        <f t="shared" si="146"/>
        <v>3775000</v>
      </c>
      <c r="M815" s="361">
        <f t="shared" si="147"/>
        <v>0</v>
      </c>
      <c r="N815" s="358">
        <v>3775000</v>
      </c>
      <c r="O815" s="358" t="s">
        <v>8</v>
      </c>
      <c r="P815" s="358">
        <v>0</v>
      </c>
      <c r="Q815" s="358">
        <v>0</v>
      </c>
      <c r="R815" s="358">
        <v>0</v>
      </c>
      <c r="S815" s="358">
        <v>0</v>
      </c>
      <c r="T815" s="358">
        <v>0</v>
      </c>
      <c r="U815" s="35">
        <f t="shared" si="148"/>
        <v>1</v>
      </c>
      <c r="W815">
        <f t="shared" si="149"/>
        <v>1</v>
      </c>
      <c r="X815" s="35">
        <f t="shared" si="150"/>
        <v>1</v>
      </c>
      <c r="Y815">
        <f t="shared" si="151"/>
        <v>0</v>
      </c>
      <c r="AB815">
        <f t="shared" si="154"/>
        <v>1</v>
      </c>
      <c r="AC815">
        <f t="shared" ca="1" si="155"/>
        <v>0</v>
      </c>
      <c r="AD815" t="str">
        <f ca="1">IF(AC815=1,COUNTIF($AC$3:AC815,1),"")</f>
        <v/>
      </c>
      <c r="AE815" s="155" t="str">
        <f ca="1">IFERROR(INDEX(Données!$B$3:$B$1479,MATCH(ROWS($AD$3:AD815),$AD$3:$AD$1479,0)),"")</f>
        <v/>
      </c>
    </row>
    <row r="816" spans="1:31" ht="15.75" x14ac:dyDescent="0.25">
      <c r="A816" t="str">
        <f t="shared" si="152"/>
        <v>Jack Hughes - NJD - C</v>
      </c>
      <c r="B816" t="str">
        <f t="shared" si="153"/>
        <v>Jack Hughes - NJD - C</v>
      </c>
      <c r="C816" t="str">
        <f t="shared" si="144"/>
        <v>Jack</v>
      </c>
      <c r="D816" t="str">
        <f t="shared" si="145"/>
        <v>Hughes</v>
      </c>
      <c r="E816" s="39" t="s">
        <v>2748</v>
      </c>
      <c r="F816" s="30" t="s">
        <v>24</v>
      </c>
      <c r="G816" s="35" t="s">
        <v>388</v>
      </c>
      <c r="H816" s="35" t="s">
        <v>73</v>
      </c>
      <c r="I816" s="35" t="s">
        <v>2439</v>
      </c>
      <c r="J816" s="35">
        <v>18</v>
      </c>
      <c r="K816" s="35">
        <f>VALUE(COUNTIF(Validation!$A$2:$H$47,E816))</f>
        <v>0</v>
      </c>
      <c r="L816" s="361">
        <f t="shared" si="146"/>
        <v>3775000</v>
      </c>
      <c r="M816" s="361">
        <f t="shared" si="147"/>
        <v>3775000</v>
      </c>
      <c r="N816" s="358">
        <v>3775000</v>
      </c>
      <c r="O816" s="358">
        <v>3775000</v>
      </c>
      <c r="P816" s="358">
        <v>3775000</v>
      </c>
      <c r="Q816" s="358" t="s">
        <v>8</v>
      </c>
      <c r="R816" s="358">
        <v>0</v>
      </c>
      <c r="S816" s="358">
        <v>0</v>
      </c>
      <c r="T816" s="358">
        <v>0</v>
      </c>
      <c r="U816" s="35">
        <f t="shared" si="148"/>
        <v>3</v>
      </c>
      <c r="W816">
        <f t="shared" si="149"/>
        <v>1</v>
      </c>
      <c r="X816" s="35">
        <f t="shared" si="150"/>
        <v>1</v>
      </c>
      <c r="Y816">
        <f t="shared" si="151"/>
        <v>1</v>
      </c>
      <c r="AB816">
        <f t="shared" si="154"/>
        <v>1</v>
      </c>
      <c r="AC816">
        <f t="shared" ca="1" si="155"/>
        <v>0</v>
      </c>
      <c r="AD816" t="str">
        <f ca="1">IF(AC816=1,COUNTIF($AC$3:AC816,1),"")</f>
        <v/>
      </c>
      <c r="AE816" s="155" t="str">
        <f ca="1">IFERROR(INDEX(Données!$B$3:$B$1479,MATCH(ROWS($AD$3:AD816),$AD$3:$AD$1479,0)),"")</f>
        <v/>
      </c>
    </row>
    <row r="817" spans="1:31" ht="15.75" x14ac:dyDescent="0.25">
      <c r="A817" t="str">
        <f t="shared" si="152"/>
        <v>Will Butcher - NJD - DG</v>
      </c>
      <c r="B817" t="str">
        <f t="shared" si="153"/>
        <v>Will Butcher - NJD - DG</v>
      </c>
      <c r="C817" t="str">
        <f t="shared" si="144"/>
        <v>Will</v>
      </c>
      <c r="D817" t="str">
        <f t="shared" si="145"/>
        <v>Butcher</v>
      </c>
      <c r="E817" s="39" t="s">
        <v>1703</v>
      </c>
      <c r="F817" s="35" t="s">
        <v>24</v>
      </c>
      <c r="G817" s="35">
        <v>0</v>
      </c>
      <c r="H817" s="9" t="s">
        <v>2445</v>
      </c>
      <c r="I817" s="9" t="s">
        <v>2439</v>
      </c>
      <c r="J817" s="9">
        <v>24</v>
      </c>
      <c r="K817" s="35">
        <f>VALUE(COUNTIF(Validation!$A$2:$H$47,E817))</f>
        <v>0</v>
      </c>
      <c r="L817" s="361">
        <f t="shared" si="146"/>
        <v>3733333</v>
      </c>
      <c r="M817" s="361">
        <f t="shared" si="147"/>
        <v>3733333</v>
      </c>
      <c r="N817" s="358">
        <v>3733333</v>
      </c>
      <c r="O817" s="358">
        <v>3733333</v>
      </c>
      <c r="P817" s="358">
        <v>3733333</v>
      </c>
      <c r="Q817" s="358" t="s">
        <v>7</v>
      </c>
      <c r="R817" s="358">
        <v>0</v>
      </c>
      <c r="S817" s="358">
        <v>0</v>
      </c>
      <c r="T817" s="358">
        <v>0</v>
      </c>
      <c r="U817" s="35">
        <f t="shared" si="148"/>
        <v>3</v>
      </c>
      <c r="W817">
        <f t="shared" si="149"/>
        <v>1</v>
      </c>
      <c r="X817" s="35">
        <f t="shared" si="150"/>
        <v>0</v>
      </c>
      <c r="Y817">
        <f t="shared" si="151"/>
        <v>1</v>
      </c>
      <c r="AB817">
        <f t="shared" si="154"/>
        <v>1</v>
      </c>
      <c r="AC817">
        <f t="shared" ca="1" si="155"/>
        <v>0</v>
      </c>
      <c r="AD817" t="str">
        <f ca="1">IF(AC817=1,COUNTIF($AC$3:AC817,1),"")</f>
        <v/>
      </c>
      <c r="AE817" s="155" t="str">
        <f ca="1">IFERROR(INDEX(Données!$B$3:$B$1479,MATCH(ROWS($AD$3:AD817),$AD$3:$AD$1479,0)),"")</f>
        <v/>
      </c>
    </row>
    <row r="818" spans="1:31" ht="15.75" x14ac:dyDescent="0.25">
      <c r="A818" t="str">
        <f t="shared" si="152"/>
        <v>Miles Wood - NJD - AG</v>
      </c>
      <c r="B818" t="str">
        <f t="shared" si="153"/>
        <v>Miles Wood - NJD - AG</v>
      </c>
      <c r="C818" t="str">
        <f t="shared" si="144"/>
        <v>Miles</v>
      </c>
      <c r="D818" t="str">
        <f t="shared" si="145"/>
        <v>Wood</v>
      </c>
      <c r="E818" s="39" t="s">
        <v>1699</v>
      </c>
      <c r="F818" s="30" t="s">
        <v>24</v>
      </c>
      <c r="G818" s="35">
        <v>0</v>
      </c>
      <c r="H818" s="35" t="s">
        <v>2440</v>
      </c>
      <c r="I818" s="35" t="s">
        <v>2439</v>
      </c>
      <c r="J818" s="35">
        <v>23</v>
      </c>
      <c r="K818" s="35">
        <f>VALUE(COUNTIF(Validation!$A$2:$H$47,E818))</f>
        <v>0</v>
      </c>
      <c r="L818" s="361">
        <f t="shared" si="146"/>
        <v>2750000</v>
      </c>
      <c r="M818" s="361">
        <f t="shared" si="147"/>
        <v>2750000</v>
      </c>
      <c r="N818" s="358">
        <v>2750000</v>
      </c>
      <c r="O818" s="358">
        <v>2750000</v>
      </c>
      <c r="P818" s="358">
        <v>2750000</v>
      </c>
      <c r="Q818" s="358" t="s">
        <v>8</v>
      </c>
      <c r="R818" s="358">
        <v>0</v>
      </c>
      <c r="S818" s="358">
        <v>0</v>
      </c>
      <c r="T818" s="358">
        <v>0</v>
      </c>
      <c r="U818" s="35">
        <f t="shared" si="148"/>
        <v>3</v>
      </c>
      <c r="W818">
        <f t="shared" si="149"/>
        <v>1</v>
      </c>
      <c r="X818" s="35">
        <f t="shared" si="150"/>
        <v>0</v>
      </c>
      <c r="Y818">
        <f t="shared" si="151"/>
        <v>1</v>
      </c>
      <c r="AB818">
        <f t="shared" si="154"/>
        <v>1</v>
      </c>
      <c r="AC818">
        <f t="shared" ca="1" si="155"/>
        <v>0</v>
      </c>
      <c r="AD818" t="str">
        <f ca="1">IF(AC818=1,COUNTIF($AC$3:AC818,1),"")</f>
        <v/>
      </c>
      <c r="AE818" s="155" t="str">
        <f ca="1">IFERROR(INDEX(Données!$B$3:$B$1479,MATCH(ROWS($AD$3:AD818),$AD$3:$AD$1479,0)),"")</f>
        <v/>
      </c>
    </row>
    <row r="819" spans="1:31" ht="15.75" x14ac:dyDescent="0.25">
      <c r="A819" t="str">
        <f t="shared" si="152"/>
        <v>Blake Coleman - NJD - C, AG, AD</v>
      </c>
      <c r="B819" t="str">
        <f t="shared" si="153"/>
        <v>Blake Coleman - NJD - C, AG, AD</v>
      </c>
      <c r="C819" t="str">
        <f t="shared" si="144"/>
        <v>Blake</v>
      </c>
      <c r="D819" t="str">
        <f t="shared" si="145"/>
        <v>Coleman</v>
      </c>
      <c r="E819" s="39" t="s">
        <v>1693</v>
      </c>
      <c r="F819" s="30" t="s">
        <v>24</v>
      </c>
      <c r="G819" s="35">
        <v>0</v>
      </c>
      <c r="H819" s="35" t="s">
        <v>2494</v>
      </c>
      <c r="I819" s="35" t="s">
        <v>2439</v>
      </c>
      <c r="J819" s="35">
        <v>27</v>
      </c>
      <c r="K819" s="35">
        <f>VALUE(COUNTIF(Validation!$A$2:$H$47,E819))</f>
        <v>0</v>
      </c>
      <c r="L819" s="361">
        <f t="shared" si="146"/>
        <v>1800000</v>
      </c>
      <c r="M819" s="361">
        <f t="shared" si="147"/>
        <v>1800000</v>
      </c>
      <c r="N819" s="358">
        <v>1800000</v>
      </c>
      <c r="O819" s="358">
        <v>1800000</v>
      </c>
      <c r="P819" s="358" t="s">
        <v>7</v>
      </c>
      <c r="Q819" s="358">
        <v>0</v>
      </c>
      <c r="R819" s="358">
        <v>0</v>
      </c>
      <c r="S819" s="358">
        <v>0</v>
      </c>
      <c r="T819" s="358">
        <v>0</v>
      </c>
      <c r="U819" s="35">
        <f t="shared" si="148"/>
        <v>2</v>
      </c>
      <c r="W819">
        <f t="shared" si="149"/>
        <v>1</v>
      </c>
      <c r="X819" s="35">
        <f t="shared" si="150"/>
        <v>0</v>
      </c>
      <c r="Y819">
        <f t="shared" si="151"/>
        <v>1</v>
      </c>
      <c r="AB819">
        <f t="shared" si="154"/>
        <v>1</v>
      </c>
      <c r="AC819">
        <f t="shared" ca="1" si="155"/>
        <v>0</v>
      </c>
      <c r="AD819" t="str">
        <f ca="1">IF(AC819=1,COUNTIF($AC$3:AC819,1),"")</f>
        <v/>
      </c>
      <c r="AE819" s="155" t="str">
        <f ca="1">IFERROR(INDEX(Données!$B$3:$B$1479,MATCH(ROWS($AD$3:AD819),$AD$3:$AD$1479,0)),"")</f>
        <v/>
      </c>
    </row>
    <row r="820" spans="1:31" ht="15.75" x14ac:dyDescent="0.25">
      <c r="A820" t="str">
        <f t="shared" si="152"/>
        <v>Connor Carrick - NJD - DD</v>
      </c>
      <c r="B820" t="str">
        <f t="shared" si="153"/>
        <v>Connor Carrick - NJD - DD</v>
      </c>
      <c r="C820" t="str">
        <f t="shared" si="144"/>
        <v>Connor</v>
      </c>
      <c r="D820" t="str">
        <f t="shared" si="145"/>
        <v>Carrick</v>
      </c>
      <c r="E820" s="39" t="s">
        <v>1598</v>
      </c>
      <c r="F820" s="30" t="s">
        <v>24</v>
      </c>
      <c r="G820" s="35">
        <v>0</v>
      </c>
      <c r="H820" s="35" t="s">
        <v>2444</v>
      </c>
      <c r="I820" s="35" t="s">
        <v>2439</v>
      </c>
      <c r="J820" s="35">
        <v>25</v>
      </c>
      <c r="K820" s="35">
        <f>VALUE(COUNTIF(Validation!$A$2:$H$47,E820))</f>
        <v>0</v>
      </c>
      <c r="L820" s="361">
        <f t="shared" si="146"/>
        <v>1500000</v>
      </c>
      <c r="M820" s="361">
        <f t="shared" si="147"/>
        <v>1500000</v>
      </c>
      <c r="N820" s="358">
        <v>1500000</v>
      </c>
      <c r="O820" s="358">
        <v>1500000</v>
      </c>
      <c r="P820" s="358" t="s">
        <v>7</v>
      </c>
      <c r="Q820" s="358">
        <v>0</v>
      </c>
      <c r="R820" s="358">
        <v>0</v>
      </c>
      <c r="S820" s="358">
        <v>0</v>
      </c>
      <c r="T820" s="358">
        <v>0</v>
      </c>
      <c r="U820" s="35">
        <f t="shared" si="148"/>
        <v>2</v>
      </c>
      <c r="W820">
        <f t="shared" si="149"/>
        <v>1</v>
      </c>
      <c r="X820" s="35">
        <f t="shared" si="150"/>
        <v>0</v>
      </c>
      <c r="Y820">
        <f t="shared" si="151"/>
        <v>1</v>
      </c>
      <c r="AB820">
        <f t="shared" si="154"/>
        <v>1</v>
      </c>
      <c r="AC820">
        <f t="shared" ca="1" si="155"/>
        <v>0</v>
      </c>
      <c r="AD820" t="str">
        <f ca="1">IF(AC820=1,COUNTIF($AC$3:AC820,1),"")</f>
        <v/>
      </c>
      <c r="AE820" s="155" t="str">
        <f ca="1">IFERROR(INDEX(Données!$B$3:$B$1479,MATCH(ROWS($AD$3:AD820),$AD$3:$AD$1479,0)),"")</f>
        <v/>
      </c>
    </row>
    <row r="821" spans="1:31" ht="15.75" x14ac:dyDescent="0.25">
      <c r="A821" t="str">
        <f t="shared" si="152"/>
        <v>Mirco Mueller - NJD - DG</v>
      </c>
      <c r="B821" t="str">
        <f t="shared" si="153"/>
        <v>Mirco Mueller - NJD - DG</v>
      </c>
      <c r="C821" t="str">
        <f t="shared" si="144"/>
        <v>Mirco</v>
      </c>
      <c r="D821" t="str">
        <f t="shared" si="145"/>
        <v>Mueller</v>
      </c>
      <c r="E821" s="39" t="s">
        <v>1704</v>
      </c>
      <c r="F821" s="30" t="s">
        <v>24</v>
      </c>
      <c r="G821" s="35">
        <v>0</v>
      </c>
      <c r="H821" s="9" t="s">
        <v>2445</v>
      </c>
      <c r="I821" s="9" t="s">
        <v>2439</v>
      </c>
      <c r="J821" s="9">
        <v>24</v>
      </c>
      <c r="K821" s="35">
        <f>VALUE(COUNTIF(Validation!$A$2:$H$47,E821))</f>
        <v>0</v>
      </c>
      <c r="L821" s="361">
        <f t="shared" si="146"/>
        <v>1400000</v>
      </c>
      <c r="M821" s="361">
        <f t="shared" si="147"/>
        <v>0</v>
      </c>
      <c r="N821" s="358">
        <v>1400000</v>
      </c>
      <c r="O821" s="358" t="s">
        <v>8</v>
      </c>
      <c r="P821" s="358">
        <v>0</v>
      </c>
      <c r="Q821" s="358">
        <v>0</v>
      </c>
      <c r="R821" s="358">
        <v>0</v>
      </c>
      <c r="S821" s="358">
        <v>0</v>
      </c>
      <c r="T821" s="358">
        <v>0</v>
      </c>
      <c r="U821" s="35">
        <f t="shared" si="148"/>
        <v>1</v>
      </c>
      <c r="W821">
        <f t="shared" si="149"/>
        <v>1</v>
      </c>
      <c r="X821" s="35">
        <f t="shared" si="150"/>
        <v>0</v>
      </c>
      <c r="Y821">
        <f t="shared" si="151"/>
        <v>0</v>
      </c>
      <c r="AB821">
        <f t="shared" si="154"/>
        <v>1</v>
      </c>
      <c r="AC821">
        <f t="shared" ca="1" si="155"/>
        <v>0</v>
      </c>
      <c r="AD821" t="str">
        <f ca="1">IF(AC821=1,COUNTIF($AC$3:AC821,1),"")</f>
        <v/>
      </c>
      <c r="AE821" s="155" t="str">
        <f ca="1">IFERROR(INDEX(Données!$B$3:$B$1479,MATCH(ROWS($AD$3:AD821),$AD$3:$AD$1479,0)),"")</f>
        <v/>
      </c>
    </row>
    <row r="822" spans="1:31" ht="15.75" x14ac:dyDescent="0.25">
      <c r="A822" t="str">
        <f t="shared" si="152"/>
        <v>Michael Mcleod - NJD - C</v>
      </c>
      <c r="B822" t="str">
        <f t="shared" si="153"/>
        <v>Michael Mcleod - NJD - C</v>
      </c>
      <c r="C822" t="str">
        <f t="shared" si="144"/>
        <v>Michael</v>
      </c>
      <c r="D822" t="str">
        <f t="shared" si="145"/>
        <v>Mcleod</v>
      </c>
      <c r="E822" s="39" t="s">
        <v>1708</v>
      </c>
      <c r="F822" s="30" t="s">
        <v>24</v>
      </c>
      <c r="G822" s="35" t="s">
        <v>386</v>
      </c>
      <c r="H822" s="35" t="s">
        <v>73</v>
      </c>
      <c r="I822" s="35" t="s">
        <v>2446</v>
      </c>
      <c r="J822" s="35">
        <v>21</v>
      </c>
      <c r="K822" s="35">
        <f>VALUE(COUNTIF(Validation!$A$2:$H$47,E822))</f>
        <v>0</v>
      </c>
      <c r="L822" s="361">
        <f t="shared" si="146"/>
        <v>1363333</v>
      </c>
      <c r="M822" s="361">
        <f t="shared" si="147"/>
        <v>1363333</v>
      </c>
      <c r="N822" s="358">
        <v>1363333</v>
      </c>
      <c r="O822" s="358">
        <v>1363333</v>
      </c>
      <c r="P822" s="358" t="s">
        <v>8</v>
      </c>
      <c r="Q822" s="358">
        <v>0</v>
      </c>
      <c r="R822" s="358">
        <v>0</v>
      </c>
      <c r="S822" s="358">
        <v>0</v>
      </c>
      <c r="T822" s="358">
        <v>0</v>
      </c>
      <c r="U822" s="35">
        <f t="shared" si="148"/>
        <v>2</v>
      </c>
      <c r="W822">
        <f t="shared" si="149"/>
        <v>1</v>
      </c>
      <c r="X822" s="35">
        <f t="shared" si="150"/>
        <v>1</v>
      </c>
      <c r="Y822">
        <f t="shared" si="151"/>
        <v>1</v>
      </c>
      <c r="AB822">
        <f t="shared" si="154"/>
        <v>1</v>
      </c>
      <c r="AC822">
        <f t="shared" ca="1" si="155"/>
        <v>0</v>
      </c>
      <c r="AD822" t="str">
        <f ca="1">IF(AC822=1,COUNTIF($AC$3:AC822,1),"")</f>
        <v/>
      </c>
      <c r="AE822" s="155" t="str">
        <f ca="1">IFERROR(INDEX(Données!$B$3:$B$1479,MATCH(ROWS($AD$3:AD822),$AD$3:$AD$1479,0)),"")</f>
        <v/>
      </c>
    </row>
    <row r="823" spans="1:31" ht="15.75" x14ac:dyDescent="0.25">
      <c r="A823" t="str">
        <f t="shared" si="152"/>
        <v>Ty Smith - NJD - DG</v>
      </c>
      <c r="B823" t="str">
        <f t="shared" si="153"/>
        <v>Ty Smith - NJD - DG</v>
      </c>
      <c r="C823" t="str">
        <f t="shared" si="144"/>
        <v>Ty</v>
      </c>
      <c r="D823" t="str">
        <f t="shared" si="145"/>
        <v>Smith</v>
      </c>
      <c r="E823" s="39" t="s">
        <v>1707</v>
      </c>
      <c r="F823" s="30" t="s">
        <v>24</v>
      </c>
      <c r="G823" s="35" t="s">
        <v>388</v>
      </c>
      <c r="H823" s="35" t="s">
        <v>2445</v>
      </c>
      <c r="I823" s="35" t="s">
        <v>389</v>
      </c>
      <c r="J823" s="35">
        <v>19</v>
      </c>
      <c r="K823" s="35">
        <f>VALUE(COUNTIF(Validation!$A$2:$H$47,E823))</f>
        <v>0</v>
      </c>
      <c r="L823" s="361">
        <f t="shared" si="146"/>
        <v>1294167</v>
      </c>
      <c r="M823" s="361">
        <f t="shared" si="147"/>
        <v>1294167</v>
      </c>
      <c r="N823" s="358">
        <v>1294167</v>
      </c>
      <c r="O823" s="358">
        <v>1294167</v>
      </c>
      <c r="P823" s="358">
        <v>1294167</v>
      </c>
      <c r="Q823" s="358" t="s">
        <v>8</v>
      </c>
      <c r="R823" s="358">
        <v>0</v>
      </c>
      <c r="S823" s="358">
        <v>0</v>
      </c>
      <c r="T823" s="358">
        <v>0</v>
      </c>
      <c r="U823" s="35">
        <f t="shared" si="148"/>
        <v>3</v>
      </c>
      <c r="W823">
        <f t="shared" si="149"/>
        <v>1</v>
      </c>
      <c r="X823" s="35">
        <f t="shared" si="150"/>
        <v>1</v>
      </c>
      <c r="Y823">
        <f t="shared" si="151"/>
        <v>1</v>
      </c>
      <c r="AB823">
        <f t="shared" si="154"/>
        <v>1</v>
      </c>
      <c r="AC823">
        <f t="shared" ca="1" si="155"/>
        <v>0</v>
      </c>
      <c r="AD823" t="str">
        <f ca="1">IF(AC823=1,COUNTIF($AC$3:AC823,1),"")</f>
        <v/>
      </c>
      <c r="AE823" s="155" t="str">
        <f ca="1">IFERROR(INDEX(Données!$B$3:$B$1479,MATCH(ROWS($AD$3:AD823),$AD$3:$AD$1479,0)),"")</f>
        <v/>
      </c>
    </row>
    <row r="824" spans="1:31" ht="15.75" x14ac:dyDescent="0.25">
      <c r="A824" t="str">
        <f t="shared" si="152"/>
        <v>Blake Speers - NJD - C</v>
      </c>
      <c r="B824" t="str">
        <f t="shared" si="153"/>
        <v>Blake Speers - NJD - C</v>
      </c>
      <c r="C824" t="str">
        <f t="shared" si="144"/>
        <v>Blake</v>
      </c>
      <c r="D824" t="str">
        <f t="shared" si="145"/>
        <v>Speers</v>
      </c>
      <c r="E824" s="39" t="s">
        <v>1713</v>
      </c>
      <c r="F824" s="30" t="s">
        <v>24</v>
      </c>
      <c r="G824" s="35" t="s">
        <v>386</v>
      </c>
      <c r="H824" s="35" t="s">
        <v>73</v>
      </c>
      <c r="I824" s="35" t="s">
        <v>2446</v>
      </c>
      <c r="J824" s="35">
        <v>22</v>
      </c>
      <c r="K824" s="35">
        <f>VALUE(COUNTIF(Validation!$A$2:$H$47,E824))</f>
        <v>0</v>
      </c>
      <c r="L824" s="361">
        <f t="shared" si="146"/>
        <v>935833</v>
      </c>
      <c r="M824" s="361">
        <f t="shared" si="147"/>
        <v>0</v>
      </c>
      <c r="N824" s="358">
        <v>935833</v>
      </c>
      <c r="O824" s="358" t="s">
        <v>8</v>
      </c>
      <c r="P824" s="358">
        <v>0</v>
      </c>
      <c r="Q824" s="358">
        <v>0</v>
      </c>
      <c r="R824" s="358">
        <v>0</v>
      </c>
      <c r="S824" s="358">
        <v>0</v>
      </c>
      <c r="T824" s="358">
        <v>0</v>
      </c>
      <c r="U824" s="35">
        <f t="shared" si="148"/>
        <v>1</v>
      </c>
      <c r="W824">
        <f t="shared" si="149"/>
        <v>1</v>
      </c>
      <c r="X824" s="35">
        <f t="shared" si="150"/>
        <v>1</v>
      </c>
      <c r="Y824">
        <f t="shared" si="151"/>
        <v>0</v>
      </c>
      <c r="AB824">
        <f t="shared" si="154"/>
        <v>1</v>
      </c>
      <c r="AC824">
        <f t="shared" ca="1" si="155"/>
        <v>0</v>
      </c>
      <c r="AD824" t="str">
        <f ca="1">IF(AC824=1,COUNTIF($AC$3:AC824,1),"")</f>
        <v/>
      </c>
      <c r="AE824" s="155" t="str">
        <f ca="1">IFERROR(INDEX(Données!$B$3:$B$1479,MATCH(ROWS($AD$3:AD824),$AD$3:$AD$1479,0)),"")</f>
        <v/>
      </c>
    </row>
    <row r="825" spans="1:31" ht="15.75" x14ac:dyDescent="0.25">
      <c r="A825" t="str">
        <f t="shared" si="152"/>
        <v>Colton White - NJD - D</v>
      </c>
      <c r="B825" t="str">
        <f t="shared" si="153"/>
        <v>Colton White - NJD - D</v>
      </c>
      <c r="C825" t="str">
        <f t="shared" si="144"/>
        <v>Colton</v>
      </c>
      <c r="D825" t="str">
        <f t="shared" si="145"/>
        <v>White</v>
      </c>
      <c r="E825" s="39" t="s">
        <v>1714</v>
      </c>
      <c r="F825" s="30" t="s">
        <v>24</v>
      </c>
      <c r="G825" s="35" t="s">
        <v>386</v>
      </c>
      <c r="H825" s="35" t="s">
        <v>82</v>
      </c>
      <c r="I825" s="9" t="s">
        <v>2446</v>
      </c>
      <c r="J825" s="35">
        <v>22</v>
      </c>
      <c r="K825" s="35">
        <f>VALUE(COUNTIF(Validation!$A$2:$H$47,E825))</f>
        <v>0</v>
      </c>
      <c r="L825" s="361">
        <f t="shared" si="146"/>
        <v>935833</v>
      </c>
      <c r="M825" s="361">
        <f t="shared" si="147"/>
        <v>0</v>
      </c>
      <c r="N825" s="358">
        <v>935833</v>
      </c>
      <c r="O825" s="358" t="s">
        <v>8</v>
      </c>
      <c r="P825" s="358">
        <v>0</v>
      </c>
      <c r="Q825" s="358">
        <v>0</v>
      </c>
      <c r="R825" s="358">
        <v>0</v>
      </c>
      <c r="S825" s="358">
        <v>0</v>
      </c>
      <c r="T825" s="358">
        <v>0</v>
      </c>
      <c r="U825" s="35">
        <f t="shared" si="148"/>
        <v>1</v>
      </c>
      <c r="W825">
        <f t="shared" si="149"/>
        <v>1</v>
      </c>
      <c r="X825" s="35">
        <f t="shared" si="150"/>
        <v>1</v>
      </c>
      <c r="Y825">
        <f t="shared" si="151"/>
        <v>0</v>
      </c>
      <c r="AB825">
        <f t="shared" si="154"/>
        <v>1</v>
      </c>
      <c r="AC825">
        <f t="shared" ca="1" si="155"/>
        <v>0</v>
      </c>
      <c r="AD825" t="str">
        <f ca="1">IF(AC825=1,COUNTIF($AC$3:AC825,1),"")</f>
        <v/>
      </c>
      <c r="AE825" s="155" t="str">
        <f ca="1">IFERROR(INDEX(Données!$B$3:$B$1479,MATCH(ROWS($AD$3:AD825),$AD$3:$AD$1479,0)),"")</f>
        <v/>
      </c>
    </row>
    <row r="826" spans="1:31" ht="15.75" x14ac:dyDescent="0.25">
      <c r="A826" t="str">
        <f t="shared" si="152"/>
        <v>Joseph Anderson - NJD - AD</v>
      </c>
      <c r="B826" t="str">
        <f t="shared" si="153"/>
        <v>Joseph Anderson - NJD - AD</v>
      </c>
      <c r="C826" t="str">
        <f t="shared" si="144"/>
        <v>Joseph</v>
      </c>
      <c r="D826" t="str">
        <f t="shared" si="145"/>
        <v>Anderson</v>
      </c>
      <c r="E826" s="39" t="s">
        <v>1695</v>
      </c>
      <c r="F826" s="30" t="s">
        <v>24</v>
      </c>
      <c r="G826" s="35" t="s">
        <v>386</v>
      </c>
      <c r="H826" s="35" t="s">
        <v>2438</v>
      </c>
      <c r="I826" s="35" t="s">
        <v>2446</v>
      </c>
      <c r="J826" s="35">
        <v>21</v>
      </c>
      <c r="K826" s="35">
        <f>VALUE(COUNTIF(Validation!$A$2:$H$47,E826))</f>
        <v>0</v>
      </c>
      <c r="L826" s="361">
        <f t="shared" si="146"/>
        <v>925000</v>
      </c>
      <c r="M826" s="361">
        <f t="shared" si="147"/>
        <v>0</v>
      </c>
      <c r="N826" s="358">
        <v>925000</v>
      </c>
      <c r="O826" s="358" t="s">
        <v>8</v>
      </c>
      <c r="P826" s="358">
        <v>0</v>
      </c>
      <c r="Q826" s="358">
        <v>0</v>
      </c>
      <c r="R826" s="358">
        <v>0</v>
      </c>
      <c r="S826" s="358">
        <v>0</v>
      </c>
      <c r="T826" s="358">
        <v>0</v>
      </c>
      <c r="U826" s="35">
        <f t="shared" si="148"/>
        <v>1</v>
      </c>
      <c r="W826">
        <f t="shared" si="149"/>
        <v>1</v>
      </c>
      <c r="X826" s="35">
        <f t="shared" si="150"/>
        <v>1</v>
      </c>
      <c r="Y826">
        <f t="shared" si="151"/>
        <v>0</v>
      </c>
      <c r="AB826">
        <f t="shared" si="154"/>
        <v>1</v>
      </c>
      <c r="AC826">
        <f t="shared" ca="1" si="155"/>
        <v>0</v>
      </c>
      <c r="AD826" t="str">
        <f ca="1">IF(AC826=1,COUNTIF($AC$3:AC826,1),"")</f>
        <v/>
      </c>
      <c r="AE826" s="155" t="str">
        <f ca="1">IFERROR(INDEX(Données!$B$3:$B$1479,MATCH(ROWS($AD$3:AD826),$AD$3:$AD$1479,0)),"")</f>
        <v/>
      </c>
    </row>
    <row r="827" spans="1:31" ht="15.75" x14ac:dyDescent="0.25">
      <c r="A827" t="str">
        <f t="shared" si="152"/>
        <v>Jesper Boqvist - NJD - C, AG, AD</v>
      </c>
      <c r="B827" t="str">
        <f t="shared" si="153"/>
        <v>Jesper Boqvist - NJD - C, AG, AD</v>
      </c>
      <c r="C827" t="str">
        <f t="shared" si="144"/>
        <v>Jesper</v>
      </c>
      <c r="D827" t="str">
        <f t="shared" si="145"/>
        <v>Boqvist</v>
      </c>
      <c r="E827" s="39" t="s">
        <v>2647</v>
      </c>
      <c r="F827" s="30" t="s">
        <v>24</v>
      </c>
      <c r="G827" s="35" t="s">
        <v>386</v>
      </c>
      <c r="H827" s="35" t="s">
        <v>2494</v>
      </c>
      <c r="I827" s="35" t="s">
        <v>2446</v>
      </c>
      <c r="J827" s="35">
        <v>20</v>
      </c>
      <c r="K827" s="35">
        <f>VALUE(COUNTIF(Validation!$A$2:$H$47,E827))</f>
        <v>0</v>
      </c>
      <c r="L827" s="361">
        <f t="shared" si="146"/>
        <v>925000</v>
      </c>
      <c r="M827" s="361">
        <f t="shared" si="147"/>
        <v>925000</v>
      </c>
      <c r="N827" s="358">
        <v>925000</v>
      </c>
      <c r="O827" s="358">
        <v>925000</v>
      </c>
      <c r="P827" s="358">
        <v>925000</v>
      </c>
      <c r="Q827" s="358" t="s">
        <v>8</v>
      </c>
      <c r="R827" s="358">
        <v>0</v>
      </c>
      <c r="S827" s="358">
        <v>0</v>
      </c>
      <c r="T827" s="358">
        <v>0</v>
      </c>
      <c r="U827" s="35">
        <f t="shared" si="148"/>
        <v>3</v>
      </c>
      <c r="W827">
        <f t="shared" si="149"/>
        <v>1</v>
      </c>
      <c r="X827" s="35">
        <f t="shared" si="150"/>
        <v>1</v>
      </c>
      <c r="Y827">
        <f t="shared" si="151"/>
        <v>1</v>
      </c>
      <c r="AB827">
        <f t="shared" si="154"/>
        <v>1</v>
      </c>
      <c r="AC827">
        <f t="shared" ca="1" si="155"/>
        <v>0</v>
      </c>
      <c r="AD827" t="str">
        <f ca="1">IF(AC827=1,COUNTIF($AC$3:AC827,1),"")</f>
        <v/>
      </c>
      <c r="AE827" s="155" t="str">
        <f ca="1">IFERROR(INDEX(Données!$B$3:$B$1479,MATCH(ROWS($AD$3:AD827),$AD$3:$AD$1479,0)),"")</f>
        <v/>
      </c>
    </row>
    <row r="828" spans="1:31" ht="15.75" x14ac:dyDescent="0.25">
      <c r="A828" t="str">
        <f t="shared" si="152"/>
        <v>Mikhail Maltsev - NJD - AG</v>
      </c>
      <c r="B828" t="str">
        <f t="shared" si="153"/>
        <v>Mikhail Maltsev - NJD - AG</v>
      </c>
      <c r="C828" t="str">
        <f t="shared" si="144"/>
        <v>Mikhail</v>
      </c>
      <c r="D828" t="str">
        <f t="shared" si="145"/>
        <v>Maltsev</v>
      </c>
      <c r="E828" s="39" t="s">
        <v>2649</v>
      </c>
      <c r="F828" s="30" t="s">
        <v>24</v>
      </c>
      <c r="G828" s="35" t="s">
        <v>386</v>
      </c>
      <c r="H828" s="35" t="s">
        <v>2440</v>
      </c>
      <c r="I828" s="35" t="s">
        <v>2446</v>
      </c>
      <c r="J828" s="35">
        <v>21</v>
      </c>
      <c r="K828" s="35">
        <f>VALUE(COUNTIF(Validation!$A$2:$H$47,E828))</f>
        <v>0</v>
      </c>
      <c r="L828" s="361">
        <f t="shared" si="146"/>
        <v>925000</v>
      </c>
      <c r="M828" s="361">
        <f t="shared" si="147"/>
        <v>925000</v>
      </c>
      <c r="N828" s="358">
        <v>925000</v>
      </c>
      <c r="O828" s="358">
        <v>925000</v>
      </c>
      <c r="P828" s="358">
        <v>925000</v>
      </c>
      <c r="Q828" s="358" t="s">
        <v>8</v>
      </c>
      <c r="R828" s="358">
        <v>0</v>
      </c>
      <c r="S828" s="358">
        <v>0</v>
      </c>
      <c r="T828" s="358">
        <v>0</v>
      </c>
      <c r="U828" s="35">
        <f t="shared" si="148"/>
        <v>3</v>
      </c>
      <c r="W828">
        <f t="shared" si="149"/>
        <v>1</v>
      </c>
      <c r="X828" s="35">
        <f t="shared" si="150"/>
        <v>1</v>
      </c>
      <c r="Y828">
        <f t="shared" si="151"/>
        <v>1</v>
      </c>
      <c r="AB828">
        <f t="shared" si="154"/>
        <v>1</v>
      </c>
      <c r="AC828">
        <f t="shared" ca="1" si="155"/>
        <v>0</v>
      </c>
      <c r="AD828" t="str">
        <f ca="1">IF(AC828=1,COUNTIF($AC$3:AC828,1),"")</f>
        <v/>
      </c>
      <c r="AE828" s="155" t="str">
        <f ca="1">IFERROR(INDEX(Données!$B$3:$B$1479,MATCH(ROWS($AD$3:AD828),$AD$3:$AD$1479,0)),"")</f>
        <v/>
      </c>
    </row>
    <row r="829" spans="1:31" ht="15.75" x14ac:dyDescent="0.25">
      <c r="A829" t="str">
        <f t="shared" si="152"/>
        <v>Gilles Senn - NJD - G</v>
      </c>
      <c r="B829" t="str">
        <f t="shared" si="153"/>
        <v>Gilles Senn - NJD - G</v>
      </c>
      <c r="C829" t="str">
        <f t="shared" si="144"/>
        <v>Gilles</v>
      </c>
      <c r="D829" t="str">
        <f t="shared" si="145"/>
        <v>Senn</v>
      </c>
      <c r="E829" s="39" t="s">
        <v>2650</v>
      </c>
      <c r="F829" s="30" t="s">
        <v>24</v>
      </c>
      <c r="G829" s="35" t="s">
        <v>386</v>
      </c>
      <c r="H829" s="35" t="s">
        <v>127</v>
      </c>
      <c r="I829" s="35" t="s">
        <v>2446</v>
      </c>
      <c r="J829" s="35">
        <v>23</v>
      </c>
      <c r="K829" s="35">
        <f>VALUE(COUNTIF(Validation!$A$2:$H$47,E829))</f>
        <v>0</v>
      </c>
      <c r="L829" s="361">
        <f t="shared" si="146"/>
        <v>925000</v>
      </c>
      <c r="M829" s="361">
        <f t="shared" si="147"/>
        <v>925000</v>
      </c>
      <c r="N829" s="358">
        <v>925000</v>
      </c>
      <c r="O829" s="358">
        <v>925000</v>
      </c>
      <c r="P829" s="358" t="s">
        <v>8</v>
      </c>
      <c r="Q829" s="358">
        <v>0</v>
      </c>
      <c r="R829" s="358">
        <v>0</v>
      </c>
      <c r="S829" s="358">
        <v>0</v>
      </c>
      <c r="T829" s="358">
        <v>0</v>
      </c>
      <c r="U829" s="35">
        <f t="shared" si="148"/>
        <v>2</v>
      </c>
      <c r="W829">
        <f t="shared" si="149"/>
        <v>1</v>
      </c>
      <c r="X829" s="35">
        <f t="shared" si="150"/>
        <v>1</v>
      </c>
      <c r="Y829">
        <f t="shared" si="151"/>
        <v>1</v>
      </c>
      <c r="AB829">
        <f t="shared" si="154"/>
        <v>1</v>
      </c>
      <c r="AC829">
        <f t="shared" ca="1" si="155"/>
        <v>0</v>
      </c>
      <c r="AD829" t="str">
        <f ca="1">IF(AC829=1,COUNTIF($AC$3:AC829,1),"")</f>
        <v/>
      </c>
      <c r="AE829" s="155" t="str">
        <f ca="1">IFERROR(INDEX(Données!$B$3:$B$1479,MATCH(ROWS($AD$3:AD829),$AD$3:$AD$1479,0)),"")</f>
        <v/>
      </c>
    </row>
    <row r="830" spans="1:31" ht="15.75" x14ac:dyDescent="0.25">
      <c r="A830" t="str">
        <f t="shared" si="152"/>
        <v>Yegor Sharangovich - NJD - C</v>
      </c>
      <c r="B830" t="str">
        <f t="shared" si="153"/>
        <v>Yegor Sharangovich - NJD - C</v>
      </c>
      <c r="C830" t="str">
        <f t="shared" si="144"/>
        <v>Yegor</v>
      </c>
      <c r="D830" t="str">
        <f t="shared" si="145"/>
        <v>Sharangovich</v>
      </c>
      <c r="E830" s="39" t="s">
        <v>1710</v>
      </c>
      <c r="F830" s="30" t="s">
        <v>24</v>
      </c>
      <c r="G830" s="35" t="s">
        <v>386</v>
      </c>
      <c r="H830" s="35" t="s">
        <v>73</v>
      </c>
      <c r="I830" s="35" t="s">
        <v>2446</v>
      </c>
      <c r="J830" s="35">
        <v>21</v>
      </c>
      <c r="K830" s="35">
        <f>VALUE(COUNTIF(Validation!$A$2:$H$47,E830))</f>
        <v>0</v>
      </c>
      <c r="L830" s="361">
        <f t="shared" si="146"/>
        <v>925000</v>
      </c>
      <c r="M830" s="361">
        <f t="shared" si="147"/>
        <v>925000</v>
      </c>
      <c r="N830" s="358">
        <v>925000</v>
      </c>
      <c r="O830" s="358">
        <v>925000</v>
      </c>
      <c r="P830" s="358" t="s">
        <v>8</v>
      </c>
      <c r="Q830" s="358">
        <v>0</v>
      </c>
      <c r="R830" s="358">
        <v>0</v>
      </c>
      <c r="S830" s="358">
        <v>0</v>
      </c>
      <c r="T830" s="358">
        <v>0</v>
      </c>
      <c r="U830" s="35">
        <f t="shared" si="148"/>
        <v>2</v>
      </c>
      <c r="W830">
        <f t="shared" si="149"/>
        <v>1</v>
      </c>
      <c r="X830" s="35">
        <f t="shared" si="150"/>
        <v>1</v>
      </c>
      <c r="Y830">
        <f t="shared" si="151"/>
        <v>1</v>
      </c>
      <c r="AB830">
        <f t="shared" si="154"/>
        <v>1</v>
      </c>
      <c r="AC830">
        <f t="shared" ca="1" si="155"/>
        <v>0</v>
      </c>
      <c r="AD830" t="str">
        <f ca="1">IF(AC830=1,COUNTIF($AC$3:AC830,1),"")</f>
        <v/>
      </c>
      <c r="AE830" s="155" t="str">
        <f ca="1">IFERROR(INDEX(Données!$B$3:$B$1479,MATCH(ROWS($AD$3:AD830),$AD$3:$AD$1479,0)),"")</f>
        <v/>
      </c>
    </row>
    <row r="831" spans="1:31" ht="15.75" x14ac:dyDescent="0.25">
      <c r="A831" t="str">
        <f t="shared" si="152"/>
        <v>Marian Studenic - NJD - AD</v>
      </c>
      <c r="B831" t="str">
        <f t="shared" si="153"/>
        <v>Marian Studenic - NJD - AD</v>
      </c>
      <c r="C831" t="str">
        <f t="shared" si="144"/>
        <v>Marian</v>
      </c>
      <c r="D831" t="str">
        <f t="shared" si="145"/>
        <v>Studenic</v>
      </c>
      <c r="E831" s="39" t="s">
        <v>1711</v>
      </c>
      <c r="F831" s="30" t="s">
        <v>24</v>
      </c>
      <c r="G831" s="35" t="s">
        <v>386</v>
      </c>
      <c r="H831" s="35" t="s">
        <v>2438</v>
      </c>
      <c r="I831" s="35" t="s">
        <v>2446</v>
      </c>
      <c r="J831" s="35">
        <v>20</v>
      </c>
      <c r="K831" s="35">
        <f>VALUE(COUNTIF(Validation!$A$2:$H$47,E831))</f>
        <v>0</v>
      </c>
      <c r="L831" s="361">
        <f t="shared" si="146"/>
        <v>925000</v>
      </c>
      <c r="M831" s="361">
        <f t="shared" si="147"/>
        <v>925000</v>
      </c>
      <c r="N831" s="358">
        <v>925000</v>
      </c>
      <c r="O831" s="358">
        <v>925000</v>
      </c>
      <c r="P831" s="358" t="s">
        <v>8</v>
      </c>
      <c r="Q831" s="358">
        <v>0</v>
      </c>
      <c r="R831" s="358">
        <v>0</v>
      </c>
      <c r="S831" s="358">
        <v>0</v>
      </c>
      <c r="T831" s="358">
        <v>0</v>
      </c>
      <c r="U831" s="35">
        <f t="shared" si="148"/>
        <v>2</v>
      </c>
      <c r="W831">
        <f t="shared" si="149"/>
        <v>1</v>
      </c>
      <c r="X831" s="35">
        <f t="shared" si="150"/>
        <v>1</v>
      </c>
      <c r="Y831">
        <f t="shared" si="151"/>
        <v>1</v>
      </c>
      <c r="AB831">
        <f t="shared" si="154"/>
        <v>1</v>
      </c>
      <c r="AC831">
        <f t="shared" ca="1" si="155"/>
        <v>0</v>
      </c>
      <c r="AD831" t="str">
        <f ca="1">IF(AC831=1,COUNTIF($AC$3:AC831,1),"")</f>
        <v/>
      </c>
      <c r="AE831" s="155" t="str">
        <f ca="1">IFERROR(INDEX(Données!$B$3:$B$1479,MATCH(ROWS($AD$3:AD831),$AD$3:$AD$1479,0)),"")</f>
        <v/>
      </c>
    </row>
    <row r="832" spans="1:31" ht="15.75" x14ac:dyDescent="0.25">
      <c r="A832" t="str">
        <f t="shared" si="152"/>
        <v>Fabian Zetterlund - NJD - C, AD</v>
      </c>
      <c r="B832" t="str">
        <f t="shared" si="153"/>
        <v>Fabian Zetterlund - NJD - C, AD</v>
      </c>
      <c r="C832" t="str">
        <f t="shared" si="144"/>
        <v>Fabian</v>
      </c>
      <c r="D832" t="str">
        <f t="shared" si="145"/>
        <v>Zetterlund</v>
      </c>
      <c r="E832" s="39" t="s">
        <v>2648</v>
      </c>
      <c r="F832" s="30" t="s">
        <v>24</v>
      </c>
      <c r="G832" s="35" t="s">
        <v>386</v>
      </c>
      <c r="H832" s="35" t="s">
        <v>2448</v>
      </c>
      <c r="I832" s="35" t="s">
        <v>2446</v>
      </c>
      <c r="J832" s="35">
        <v>19</v>
      </c>
      <c r="K832" s="35">
        <f>VALUE(COUNTIF(Validation!$A$2:$H$47,E832))</f>
        <v>0</v>
      </c>
      <c r="L832" s="361">
        <f t="shared" si="146"/>
        <v>925000</v>
      </c>
      <c r="M832" s="361">
        <f t="shared" si="147"/>
        <v>925000</v>
      </c>
      <c r="N832" s="358">
        <v>925000</v>
      </c>
      <c r="O832" s="358">
        <v>925000</v>
      </c>
      <c r="P832" s="358">
        <v>925000</v>
      </c>
      <c r="Q832" s="358" t="s">
        <v>8</v>
      </c>
      <c r="R832" s="358">
        <v>0</v>
      </c>
      <c r="S832" s="358">
        <v>0</v>
      </c>
      <c r="T832" s="358">
        <v>0</v>
      </c>
      <c r="U832" s="35">
        <f t="shared" si="148"/>
        <v>3</v>
      </c>
      <c r="W832">
        <f t="shared" si="149"/>
        <v>1</v>
      </c>
      <c r="X832" s="35">
        <f t="shared" si="150"/>
        <v>1</v>
      </c>
      <c r="Y832">
        <f t="shared" si="151"/>
        <v>1</v>
      </c>
      <c r="AB832">
        <f t="shared" si="154"/>
        <v>1</v>
      </c>
      <c r="AC832">
        <f t="shared" ca="1" si="155"/>
        <v>0</v>
      </c>
      <c r="AD832" t="str">
        <f ca="1">IF(AC832=1,COUNTIF($AC$3:AC832,1),"")</f>
        <v/>
      </c>
      <c r="AE832" s="155" t="str">
        <f ca="1">IFERROR(INDEX(Données!$B$3:$B$1479,MATCH(ROWS($AD$3:AD832),$AD$3:$AD$1479,0)),"")</f>
        <v/>
      </c>
    </row>
    <row r="833" spans="1:31" ht="15.75" x14ac:dyDescent="0.25">
      <c r="A833" t="str">
        <f t="shared" si="152"/>
        <v>Brandon Gignac - NJD - C</v>
      </c>
      <c r="B833" t="str">
        <f t="shared" si="153"/>
        <v>Brandon Gignac - NJD - C</v>
      </c>
      <c r="C833" t="str">
        <f t="shared" si="144"/>
        <v>Brandon</v>
      </c>
      <c r="D833" t="str">
        <f t="shared" si="145"/>
        <v>Gignac</v>
      </c>
      <c r="E833" s="39" t="s">
        <v>1717</v>
      </c>
      <c r="F833" s="30" t="s">
        <v>24</v>
      </c>
      <c r="G833" s="35" t="s">
        <v>386</v>
      </c>
      <c r="H833" s="35" t="s">
        <v>73</v>
      </c>
      <c r="I833" s="35" t="s">
        <v>2446</v>
      </c>
      <c r="J833" s="35">
        <v>21</v>
      </c>
      <c r="K833" s="35">
        <f>VALUE(COUNTIF(Validation!$A$2:$H$47,E833))</f>
        <v>0</v>
      </c>
      <c r="L833" s="361">
        <f t="shared" si="146"/>
        <v>921666</v>
      </c>
      <c r="M833" s="361">
        <f t="shared" si="147"/>
        <v>921666</v>
      </c>
      <c r="N833" s="358">
        <v>921666</v>
      </c>
      <c r="O833" s="358">
        <v>921666</v>
      </c>
      <c r="P833" s="358" t="s">
        <v>8</v>
      </c>
      <c r="Q833" s="358">
        <v>0</v>
      </c>
      <c r="R833" s="358">
        <v>0</v>
      </c>
      <c r="S833" s="358">
        <v>0</v>
      </c>
      <c r="T833" s="358">
        <v>0</v>
      </c>
      <c r="U833" s="35">
        <f t="shared" si="148"/>
        <v>2</v>
      </c>
      <c r="W833">
        <f t="shared" si="149"/>
        <v>1</v>
      </c>
      <c r="X833" s="35">
        <f t="shared" si="150"/>
        <v>1</v>
      </c>
      <c r="Y833">
        <f t="shared" si="151"/>
        <v>1</v>
      </c>
      <c r="AB833">
        <f t="shared" si="154"/>
        <v>1</v>
      </c>
      <c r="AC833">
        <f t="shared" ca="1" si="155"/>
        <v>0</v>
      </c>
      <c r="AD833" t="str">
        <f ca="1">IF(AC833=1,COUNTIF($AC$3:AC833,1),"")</f>
        <v/>
      </c>
      <c r="AE833" s="155" t="str">
        <f ca="1">IFERROR(INDEX(Données!$B$3:$B$1479,MATCH(ROWS($AD$3:AD833),$AD$3:$AD$1479,0)),"")</f>
        <v/>
      </c>
    </row>
    <row r="834" spans="1:31" ht="15.75" x14ac:dyDescent="0.25">
      <c r="A834" t="str">
        <f t="shared" si="152"/>
        <v>Mackenzie Blackwood - NJD - G</v>
      </c>
      <c r="B834" t="str">
        <f t="shared" si="153"/>
        <v>Mackenzie Blackwood - NJD - G</v>
      </c>
      <c r="C834" t="str">
        <f t="shared" si="144"/>
        <v>Mackenzie</v>
      </c>
      <c r="D834" t="str">
        <f t="shared" si="145"/>
        <v>Blackwood</v>
      </c>
      <c r="E834" s="39" t="s">
        <v>1720</v>
      </c>
      <c r="F834" s="30" t="s">
        <v>24</v>
      </c>
      <c r="G834" s="35" t="s">
        <v>386</v>
      </c>
      <c r="H834" s="35" t="s">
        <v>127</v>
      </c>
      <c r="I834" s="35" t="s">
        <v>2439</v>
      </c>
      <c r="J834" s="35">
        <v>22</v>
      </c>
      <c r="K834" s="35">
        <f>VALUE(COUNTIF(Validation!$A$2:$H$47,E834))</f>
        <v>0</v>
      </c>
      <c r="L834" s="361">
        <f t="shared" si="146"/>
        <v>913333</v>
      </c>
      <c r="M834" s="361">
        <f t="shared" si="147"/>
        <v>0</v>
      </c>
      <c r="N834" s="358">
        <v>913333</v>
      </c>
      <c r="O834" s="358" t="s">
        <v>8</v>
      </c>
      <c r="P834" s="358">
        <v>0</v>
      </c>
      <c r="Q834" s="358">
        <v>0</v>
      </c>
      <c r="R834" s="358">
        <v>0</v>
      </c>
      <c r="S834" s="358">
        <v>0</v>
      </c>
      <c r="T834" s="358">
        <v>0</v>
      </c>
      <c r="U834" s="35">
        <f t="shared" si="148"/>
        <v>1</v>
      </c>
      <c r="W834">
        <f t="shared" si="149"/>
        <v>1</v>
      </c>
      <c r="X834" s="35">
        <f t="shared" si="150"/>
        <v>1</v>
      </c>
      <c r="Y834">
        <f t="shared" si="151"/>
        <v>0</v>
      </c>
      <c r="AB834">
        <f t="shared" si="154"/>
        <v>1</v>
      </c>
      <c r="AC834">
        <f t="shared" ca="1" si="155"/>
        <v>0</v>
      </c>
      <c r="AD834" t="str">
        <f ca="1">IF(AC834=1,COUNTIF($AC$3:AC834,1),"")</f>
        <v/>
      </c>
      <c r="AE834" s="155" t="str">
        <f ca="1">IFERROR(INDEX(Données!$B$3:$B$1479,MATCH(ROWS($AD$3:AD834),$AD$3:$AD$1479,0)),"")</f>
        <v/>
      </c>
    </row>
    <row r="835" spans="1:31" ht="15.75" x14ac:dyDescent="0.25">
      <c r="A835" t="str">
        <f t="shared" si="152"/>
        <v>Nathan Bastian - NJD - AD, C</v>
      </c>
      <c r="B835" t="str">
        <f t="shared" si="153"/>
        <v>Nathan Bastian - NJD - AD, C</v>
      </c>
      <c r="C835" t="str">
        <f t="shared" ref="C835:C898" si="156">RIGHT(E835,(LEN(E835)-1)-SEARCH(",",E835,1))</f>
        <v>Nathan</v>
      </c>
      <c r="D835" t="str">
        <f t="shared" ref="D835:D898" si="157">LEFT(E835,SEARCH(",",E835,1)-1)</f>
        <v>Bastian</v>
      </c>
      <c r="E835" s="39" t="s">
        <v>1716</v>
      </c>
      <c r="F835" s="30" t="s">
        <v>24</v>
      </c>
      <c r="G835" s="35" t="s">
        <v>386</v>
      </c>
      <c r="H835" s="35" t="s">
        <v>2453</v>
      </c>
      <c r="I835" s="35" t="s">
        <v>2446</v>
      </c>
      <c r="J835" s="35">
        <v>21</v>
      </c>
      <c r="K835" s="35">
        <f>VALUE(COUNTIF(Validation!$A$2:$H$47,E835))</f>
        <v>0</v>
      </c>
      <c r="L835" s="361">
        <f t="shared" ref="L835:L898" si="158">IF(OR(N835="RFA",N835="UFA",N835="",N835=0),0,N835)</f>
        <v>905000</v>
      </c>
      <c r="M835" s="361">
        <f t="shared" ref="M835:M898" si="159">IF(OR(O835="RFA",O835="UFA",O835="",O835=0),0,O835)</f>
        <v>905000</v>
      </c>
      <c r="N835" s="358">
        <v>905000</v>
      </c>
      <c r="O835" s="358">
        <v>905000</v>
      </c>
      <c r="P835" s="358" t="s">
        <v>8</v>
      </c>
      <c r="Q835" s="358">
        <v>0</v>
      </c>
      <c r="R835" s="358">
        <v>0</v>
      </c>
      <c r="S835" s="358">
        <v>0</v>
      </c>
      <c r="T835" s="358">
        <v>0</v>
      </c>
      <c r="U835" s="35">
        <f t="shared" ref="U835:U898" si="160">COUNTIF(N835:T835,"&gt;0")</f>
        <v>2</v>
      </c>
      <c r="W835">
        <f t="shared" ref="W835:W898" si="161">COUNTIF($E$3:$E$1479,E835)</f>
        <v>1</v>
      </c>
      <c r="X835" s="35">
        <f t="shared" ref="X835:X898" si="162">IF(LEFT(G835,3)="ELC",1,0)</f>
        <v>1</v>
      </c>
      <c r="Y835">
        <f t="shared" ref="Y835:Y898" si="163">IF(L835=M835,1,0)</f>
        <v>1</v>
      </c>
      <c r="AB835">
        <f t="shared" si="154"/>
        <v>1</v>
      </c>
      <c r="AC835">
        <f t="shared" ca="1" si="155"/>
        <v>0</v>
      </c>
      <c r="AD835" t="str">
        <f ca="1">IF(AC835=1,COUNTIF($AC$3:AC835,1),"")</f>
        <v/>
      </c>
      <c r="AE835" s="155" t="str">
        <f ca="1">IFERROR(INDEX(Données!$B$3:$B$1479,MATCH(ROWS($AD$3:AD835),$AD$3:$AD$1479,0)),"")</f>
        <v/>
      </c>
    </row>
    <row r="836" spans="1:31" ht="15.75" x14ac:dyDescent="0.25">
      <c r="A836" t="str">
        <f t="shared" ref="A836:A899" si="164">C836&amp;" "&amp;D836&amp;" - "&amp;F836&amp;" - "&amp;H836</f>
        <v>Jesper Bratt - NJD - AG, AD</v>
      </c>
      <c r="B836" t="str">
        <f t="shared" ref="B836:B899" si="165">A836</f>
        <v>Jesper Bratt - NJD - AG, AD</v>
      </c>
      <c r="C836" t="str">
        <f t="shared" si="156"/>
        <v>Jesper</v>
      </c>
      <c r="D836" t="str">
        <f t="shared" si="157"/>
        <v>Bratt</v>
      </c>
      <c r="E836" s="39" t="s">
        <v>1697</v>
      </c>
      <c r="F836" s="30" t="s">
        <v>24</v>
      </c>
      <c r="G836" s="35" t="s">
        <v>386</v>
      </c>
      <c r="H836" s="35" t="s">
        <v>2442</v>
      </c>
      <c r="I836" s="35" t="s">
        <v>2439</v>
      </c>
      <c r="J836" s="35">
        <v>21</v>
      </c>
      <c r="K836" s="35">
        <f>VALUE(COUNTIF(Validation!$A$2:$H$47,E836))</f>
        <v>0</v>
      </c>
      <c r="L836" s="361">
        <f t="shared" si="158"/>
        <v>825000</v>
      </c>
      <c r="M836" s="361">
        <f t="shared" si="159"/>
        <v>0</v>
      </c>
      <c r="N836" s="358">
        <v>825000</v>
      </c>
      <c r="O836" s="358" t="s">
        <v>8</v>
      </c>
      <c r="P836" s="358">
        <v>0</v>
      </c>
      <c r="Q836" s="358">
        <v>0</v>
      </c>
      <c r="R836" s="358">
        <v>0</v>
      </c>
      <c r="S836" s="358">
        <v>0</v>
      </c>
      <c r="T836" s="358">
        <v>0</v>
      </c>
      <c r="U836" s="35">
        <f t="shared" si="160"/>
        <v>1</v>
      </c>
      <c r="W836">
        <f t="shared" si="161"/>
        <v>1</v>
      </c>
      <c r="X836" s="35">
        <f t="shared" si="162"/>
        <v>1</v>
      </c>
      <c r="Y836">
        <f t="shared" si="163"/>
        <v>0</v>
      </c>
      <c r="AB836">
        <f t="shared" ref="AB836:AB899" si="166">SEARCH(AA836,A836)</f>
        <v>1</v>
      </c>
      <c r="AC836">
        <f t="shared" ca="1" si="155"/>
        <v>0</v>
      </c>
      <c r="AD836" t="str">
        <f ca="1">IF(AC836=1,COUNTIF($AC$3:AC836,1),"")</f>
        <v/>
      </c>
      <c r="AE836" s="155" t="str">
        <f ca="1">IFERROR(INDEX(Données!$B$3:$B$1479,MATCH(ROWS($AD$3:AD836),$AD$3:$AD$1479,0)),"")</f>
        <v/>
      </c>
    </row>
    <row r="837" spans="1:31" ht="15.75" x14ac:dyDescent="0.25">
      <c r="A837" t="str">
        <f t="shared" si="164"/>
        <v>Brett Seney - NJD - C, AG</v>
      </c>
      <c r="B837" t="str">
        <f t="shared" si="165"/>
        <v>Brett Seney - NJD - C, AG</v>
      </c>
      <c r="C837" t="str">
        <f t="shared" si="156"/>
        <v>Brett</v>
      </c>
      <c r="D837" t="str">
        <f t="shared" si="157"/>
        <v>Seney</v>
      </c>
      <c r="E837" s="39" t="s">
        <v>1712</v>
      </c>
      <c r="F837" s="30" t="s">
        <v>24</v>
      </c>
      <c r="G837" s="35" t="s">
        <v>386</v>
      </c>
      <c r="H837" s="35" t="s">
        <v>2452</v>
      </c>
      <c r="I837" s="35" t="s">
        <v>2446</v>
      </c>
      <c r="J837" s="35">
        <v>23</v>
      </c>
      <c r="K837" s="35">
        <f>VALUE(COUNTIF(Validation!$A$2:$H$47,E837))</f>
        <v>0</v>
      </c>
      <c r="L837" s="361">
        <f t="shared" si="158"/>
        <v>825000</v>
      </c>
      <c r="M837" s="361">
        <f t="shared" si="159"/>
        <v>0</v>
      </c>
      <c r="N837" s="358">
        <v>825000</v>
      </c>
      <c r="O837" s="358" t="s">
        <v>8</v>
      </c>
      <c r="P837" s="358">
        <v>0</v>
      </c>
      <c r="Q837" s="358">
        <v>0</v>
      </c>
      <c r="R837" s="358">
        <v>0</v>
      </c>
      <c r="S837" s="358">
        <v>0</v>
      </c>
      <c r="T837" s="358">
        <v>0</v>
      </c>
      <c r="U837" s="35">
        <f t="shared" si="160"/>
        <v>1</v>
      </c>
      <c r="W837">
        <f t="shared" si="161"/>
        <v>1</v>
      </c>
      <c r="X837" s="35">
        <f t="shared" si="162"/>
        <v>1</v>
      </c>
      <c r="Y837">
        <f t="shared" si="163"/>
        <v>0</v>
      </c>
      <c r="AB837">
        <f t="shared" si="166"/>
        <v>1</v>
      </c>
      <c r="AC837">
        <f t="shared" ref="AC837:AC900" ca="1" si="167">IFERROR(SEARCH(INDIRECT(CELL("adresse")),B837,1),0)</f>
        <v>0</v>
      </c>
      <c r="AD837" t="str">
        <f ca="1">IF(AC837=1,COUNTIF($AC$3:AC837,1),"")</f>
        <v/>
      </c>
      <c r="AE837" s="155" t="str">
        <f ca="1">IFERROR(INDEX(Données!$B$3:$B$1479,MATCH(ROWS($AD$3:AD837),$AD$3:$AD$1479,0)),"")</f>
        <v/>
      </c>
    </row>
    <row r="838" spans="1:31" ht="15.75" x14ac:dyDescent="0.25">
      <c r="A838" t="str">
        <f t="shared" si="164"/>
        <v>John Hayden - NJD - C, AD</v>
      </c>
      <c r="B838" t="str">
        <f t="shared" si="165"/>
        <v>John Hayden - NJD - C, AD</v>
      </c>
      <c r="C838" t="str">
        <f t="shared" si="156"/>
        <v>John</v>
      </c>
      <c r="D838" t="str">
        <f t="shared" si="157"/>
        <v>Hayden</v>
      </c>
      <c r="E838" s="39" t="s">
        <v>1893</v>
      </c>
      <c r="F838" s="35" t="s">
        <v>24</v>
      </c>
      <c r="G838" s="35">
        <v>0</v>
      </c>
      <c r="H838" s="9" t="s">
        <v>2448</v>
      </c>
      <c r="I838" s="9" t="s">
        <v>2439</v>
      </c>
      <c r="J838" s="9">
        <v>24</v>
      </c>
      <c r="K838" s="35">
        <f>VALUE(COUNTIF(Validation!$A$2:$H$47,E838))</f>
        <v>0</v>
      </c>
      <c r="L838" s="361">
        <f t="shared" si="158"/>
        <v>750000</v>
      </c>
      <c r="M838" s="361">
        <f t="shared" si="159"/>
        <v>0</v>
      </c>
      <c r="N838" s="358">
        <v>750000</v>
      </c>
      <c r="O838" s="358" t="s">
        <v>8</v>
      </c>
      <c r="P838" s="358">
        <v>0</v>
      </c>
      <c r="Q838" s="358">
        <v>0</v>
      </c>
      <c r="R838" s="358">
        <v>0</v>
      </c>
      <c r="S838" s="358">
        <v>0</v>
      </c>
      <c r="T838" s="358">
        <v>0</v>
      </c>
      <c r="U838" s="35">
        <f t="shared" si="160"/>
        <v>1</v>
      </c>
      <c r="W838">
        <f t="shared" si="161"/>
        <v>1</v>
      </c>
      <c r="X838" s="35">
        <f t="shared" si="162"/>
        <v>0</v>
      </c>
      <c r="Y838">
        <f t="shared" si="163"/>
        <v>0</v>
      </c>
      <c r="AB838">
        <f t="shared" si="166"/>
        <v>1</v>
      </c>
      <c r="AC838">
        <f t="shared" ca="1" si="167"/>
        <v>0</v>
      </c>
      <c r="AD838" t="str">
        <f ca="1">IF(AC838=1,COUNTIF($AC$3:AC838,1),"")</f>
        <v/>
      </c>
      <c r="AE838" s="155" t="str">
        <f ca="1">IFERROR(INDEX(Données!$B$3:$B$1479,MATCH(ROWS($AD$3:AD838),$AD$3:$AD$1479,0)),"")</f>
        <v/>
      </c>
    </row>
    <row r="839" spans="1:31" ht="15.75" x14ac:dyDescent="0.25">
      <c r="A839" t="str">
        <f t="shared" si="164"/>
        <v>Ben Street - NJD - C</v>
      </c>
      <c r="B839" t="str">
        <f t="shared" si="165"/>
        <v>Ben Street - NJD - C</v>
      </c>
      <c r="C839" t="str">
        <f t="shared" si="156"/>
        <v>Ben</v>
      </c>
      <c r="D839" t="str">
        <f t="shared" si="157"/>
        <v>Street</v>
      </c>
      <c r="E839" s="39" t="s">
        <v>2140</v>
      </c>
      <c r="F839" s="30" t="s">
        <v>24</v>
      </c>
      <c r="G839" s="35">
        <v>0</v>
      </c>
      <c r="H839" s="35" t="s">
        <v>73</v>
      </c>
      <c r="I839" s="35" t="s">
        <v>2446</v>
      </c>
      <c r="J839" s="35">
        <v>32</v>
      </c>
      <c r="K839" s="35">
        <f>VALUE(COUNTIF(Validation!$A$2:$H$47,E839))</f>
        <v>0</v>
      </c>
      <c r="L839" s="361">
        <f t="shared" si="158"/>
        <v>750000</v>
      </c>
      <c r="M839" s="361">
        <f t="shared" si="159"/>
        <v>0</v>
      </c>
      <c r="N839" s="358">
        <v>750000</v>
      </c>
      <c r="O839" s="358" t="s">
        <v>7</v>
      </c>
      <c r="P839" s="358">
        <v>0</v>
      </c>
      <c r="Q839" s="358">
        <v>0</v>
      </c>
      <c r="R839" s="358">
        <v>0</v>
      </c>
      <c r="S839" s="358">
        <v>0</v>
      </c>
      <c r="T839" s="358">
        <v>0</v>
      </c>
      <c r="U839" s="35">
        <f t="shared" si="160"/>
        <v>1</v>
      </c>
      <c r="W839">
        <f t="shared" si="161"/>
        <v>1</v>
      </c>
      <c r="X839" s="35">
        <f t="shared" si="162"/>
        <v>0</v>
      </c>
      <c r="Y839">
        <f t="shared" si="163"/>
        <v>0</v>
      </c>
      <c r="AB839">
        <f t="shared" si="166"/>
        <v>1</v>
      </c>
      <c r="AC839">
        <f t="shared" ca="1" si="167"/>
        <v>0</v>
      </c>
      <c r="AD839" t="str">
        <f ca="1">IF(AC839=1,COUNTIF($AC$3:AC839,1),"")</f>
        <v/>
      </c>
      <c r="AE839" s="155" t="str">
        <f ca="1">IFERROR(INDEX(Données!$B$3:$B$1479,MATCH(ROWS($AD$3:AD839),$AD$3:$AD$1479,0)),"")</f>
        <v/>
      </c>
    </row>
    <row r="840" spans="1:31" ht="15.75" x14ac:dyDescent="0.25">
      <c r="A840" t="str">
        <f t="shared" si="164"/>
        <v>Jeremy Groleau - NJD - DG</v>
      </c>
      <c r="B840" t="str">
        <f t="shared" si="165"/>
        <v>Jeremy Groleau - NJD - DG</v>
      </c>
      <c r="C840" t="str">
        <f t="shared" si="156"/>
        <v>Jeremy</v>
      </c>
      <c r="D840" t="str">
        <f t="shared" si="157"/>
        <v>Groleau</v>
      </c>
      <c r="E840" s="39" t="s">
        <v>2902</v>
      </c>
      <c r="F840" s="30" t="s">
        <v>24</v>
      </c>
      <c r="G840" s="35" t="s">
        <v>388</v>
      </c>
      <c r="H840" s="35" t="s">
        <v>2445</v>
      </c>
      <c r="I840" s="35" t="s">
        <v>389</v>
      </c>
      <c r="J840" s="35">
        <v>19</v>
      </c>
      <c r="K840" s="35">
        <f>VALUE(COUNTIF(Validation!$A$2:$H$47,E840))</f>
        <v>0</v>
      </c>
      <c r="L840" s="361">
        <f t="shared" si="158"/>
        <v>743333</v>
      </c>
      <c r="M840" s="361">
        <f t="shared" si="159"/>
        <v>743333</v>
      </c>
      <c r="N840" s="358">
        <v>743333</v>
      </c>
      <c r="O840" s="358">
        <v>743333</v>
      </c>
      <c r="P840" s="358">
        <v>743333</v>
      </c>
      <c r="Q840" s="358" t="s">
        <v>8</v>
      </c>
      <c r="R840" s="358">
        <v>0</v>
      </c>
      <c r="S840" s="358">
        <v>0</v>
      </c>
      <c r="T840" s="358">
        <v>0</v>
      </c>
      <c r="U840" s="35">
        <f t="shared" si="160"/>
        <v>3</v>
      </c>
      <c r="W840">
        <f t="shared" si="161"/>
        <v>1</v>
      </c>
      <c r="X840" s="35">
        <f t="shared" si="162"/>
        <v>1</v>
      </c>
      <c r="Y840">
        <f t="shared" si="163"/>
        <v>1</v>
      </c>
      <c r="AB840">
        <f t="shared" si="166"/>
        <v>1</v>
      </c>
      <c r="AC840">
        <f t="shared" ca="1" si="167"/>
        <v>0</v>
      </c>
      <c r="AD840" t="str">
        <f ca="1">IF(AC840=1,COUNTIF($AC$3:AC840,1),"")</f>
        <v/>
      </c>
      <c r="AE840" s="155" t="str">
        <f ca="1">IFERROR(INDEX(Données!$B$3:$B$1479,MATCH(ROWS($AD$3:AD840),$AD$3:$AD$1479,0)),"")</f>
        <v/>
      </c>
    </row>
    <row r="841" spans="1:31" ht="15.75" x14ac:dyDescent="0.25">
      <c r="A841" t="str">
        <f t="shared" si="164"/>
        <v>Evan Cormier - NJD - G</v>
      </c>
      <c r="B841" t="str">
        <f t="shared" si="165"/>
        <v>Evan Cormier - NJD - G</v>
      </c>
      <c r="C841" t="str">
        <f t="shared" si="156"/>
        <v>Evan</v>
      </c>
      <c r="D841" t="str">
        <f t="shared" si="157"/>
        <v>Cormier</v>
      </c>
      <c r="E841" s="39" t="s">
        <v>2651</v>
      </c>
      <c r="F841" s="30" t="s">
        <v>24</v>
      </c>
      <c r="G841" s="35" t="s">
        <v>386</v>
      </c>
      <c r="H841" s="35" t="s">
        <v>127</v>
      </c>
      <c r="I841" s="35" t="s">
        <v>2446</v>
      </c>
      <c r="J841" s="35">
        <v>21</v>
      </c>
      <c r="K841" s="35">
        <f>VALUE(COUNTIF(Validation!$A$2:$H$47,E841))</f>
        <v>0</v>
      </c>
      <c r="L841" s="361">
        <f t="shared" si="158"/>
        <v>718333</v>
      </c>
      <c r="M841" s="361">
        <f t="shared" si="159"/>
        <v>718333</v>
      </c>
      <c r="N841" s="358">
        <v>718333</v>
      </c>
      <c r="O841" s="358">
        <v>718333</v>
      </c>
      <c r="P841" s="358" t="s">
        <v>8</v>
      </c>
      <c r="Q841" s="358">
        <v>0</v>
      </c>
      <c r="R841" s="358">
        <v>0</v>
      </c>
      <c r="S841" s="358">
        <v>0</v>
      </c>
      <c r="T841" s="358">
        <v>0</v>
      </c>
      <c r="U841" s="35">
        <f t="shared" si="160"/>
        <v>2</v>
      </c>
      <c r="W841">
        <f t="shared" si="161"/>
        <v>1</v>
      </c>
      <c r="X841" s="35">
        <f t="shared" si="162"/>
        <v>1</v>
      </c>
      <c r="Y841">
        <f t="shared" si="163"/>
        <v>1</v>
      </c>
      <c r="AB841">
        <f t="shared" si="166"/>
        <v>1</v>
      </c>
      <c r="AC841">
        <f t="shared" ca="1" si="167"/>
        <v>0</v>
      </c>
      <c r="AD841" t="str">
        <f ca="1">IF(AC841=1,COUNTIF($AC$3:AC841,1),"")</f>
        <v/>
      </c>
      <c r="AE841" s="155" t="str">
        <f ca="1">IFERROR(INDEX(Données!$B$3:$B$1479,MATCH(ROWS($AD$3:AD841),$AD$3:$AD$1479,0)),"")</f>
        <v/>
      </c>
    </row>
    <row r="842" spans="1:31" ht="15.75" x14ac:dyDescent="0.25">
      <c r="A842" t="str">
        <f t="shared" si="164"/>
        <v>Brandon Baddock - NJD - AG, C</v>
      </c>
      <c r="B842" t="str">
        <f t="shared" si="165"/>
        <v>Brandon Baddock - NJD - AG, C</v>
      </c>
      <c r="C842" t="str">
        <f t="shared" si="156"/>
        <v>Brandon</v>
      </c>
      <c r="D842" t="str">
        <f t="shared" si="157"/>
        <v>Baddock</v>
      </c>
      <c r="E842" s="39" t="s">
        <v>1723</v>
      </c>
      <c r="F842" s="30" t="s">
        <v>24</v>
      </c>
      <c r="G842" s="35">
        <v>0</v>
      </c>
      <c r="H842" s="35" t="s">
        <v>2450</v>
      </c>
      <c r="I842" s="35" t="s">
        <v>2446</v>
      </c>
      <c r="J842" s="35">
        <v>24</v>
      </c>
      <c r="K842" s="35">
        <f>VALUE(COUNTIF(Validation!$A$2:$H$47,E842))</f>
        <v>0</v>
      </c>
      <c r="L842" s="361">
        <f t="shared" si="158"/>
        <v>700000</v>
      </c>
      <c r="M842" s="361">
        <f t="shared" si="159"/>
        <v>0</v>
      </c>
      <c r="N842" s="358">
        <v>700000</v>
      </c>
      <c r="O842" s="358" t="s">
        <v>8</v>
      </c>
      <c r="P842" s="358">
        <v>0</v>
      </c>
      <c r="Q842" s="358">
        <v>0</v>
      </c>
      <c r="R842" s="358">
        <v>0</v>
      </c>
      <c r="S842" s="358">
        <v>0</v>
      </c>
      <c r="T842" s="358">
        <v>0</v>
      </c>
      <c r="U842" s="35">
        <f t="shared" si="160"/>
        <v>1</v>
      </c>
      <c r="W842">
        <f t="shared" si="161"/>
        <v>1</v>
      </c>
      <c r="X842" s="35">
        <f t="shared" si="162"/>
        <v>0</v>
      </c>
      <c r="Y842">
        <f t="shared" si="163"/>
        <v>0</v>
      </c>
      <c r="AB842">
        <f t="shared" si="166"/>
        <v>1</v>
      </c>
      <c r="AC842">
        <f t="shared" ca="1" si="167"/>
        <v>0</v>
      </c>
      <c r="AD842" t="str">
        <f ca="1">IF(AC842=1,COUNTIF($AC$3:AC842,1),"")</f>
        <v/>
      </c>
      <c r="AE842" s="155" t="str">
        <f ca="1">IFERROR(INDEX(Données!$B$3:$B$1479,MATCH(ROWS($AD$3:AD842),$AD$3:$AD$1479,0)),"")</f>
        <v/>
      </c>
    </row>
    <row r="843" spans="1:31" ht="15.75" x14ac:dyDescent="0.25">
      <c r="A843" t="str">
        <f t="shared" si="164"/>
        <v>Josh Jacobs - NJD - D</v>
      </c>
      <c r="B843" t="str">
        <f t="shared" si="165"/>
        <v>Josh Jacobs - NJD - D</v>
      </c>
      <c r="C843" t="str">
        <f t="shared" si="156"/>
        <v>Josh</v>
      </c>
      <c r="D843" t="str">
        <f t="shared" si="157"/>
        <v>Jacobs</v>
      </c>
      <c r="E843" s="39" t="s">
        <v>1715</v>
      </c>
      <c r="F843" s="30" t="s">
        <v>24</v>
      </c>
      <c r="G843" s="35">
        <v>0</v>
      </c>
      <c r="H843" s="35" t="s">
        <v>82</v>
      </c>
      <c r="I843" s="35" t="s">
        <v>2446</v>
      </c>
      <c r="J843" s="35">
        <v>23</v>
      </c>
      <c r="K843" s="35">
        <f>VALUE(COUNTIF(Validation!$A$2:$H$47,E843))</f>
        <v>0</v>
      </c>
      <c r="L843" s="361">
        <f t="shared" si="158"/>
        <v>700000</v>
      </c>
      <c r="M843" s="361">
        <f t="shared" si="159"/>
        <v>0</v>
      </c>
      <c r="N843" s="358">
        <v>700000</v>
      </c>
      <c r="O843" s="358" t="s">
        <v>8</v>
      </c>
      <c r="P843" s="358">
        <v>0</v>
      </c>
      <c r="Q843" s="358">
        <v>0</v>
      </c>
      <c r="R843" s="358">
        <v>0</v>
      </c>
      <c r="S843" s="358">
        <v>0</v>
      </c>
      <c r="T843" s="358">
        <v>0</v>
      </c>
      <c r="U843" s="35">
        <f t="shared" si="160"/>
        <v>1</v>
      </c>
      <c r="W843">
        <f t="shared" si="161"/>
        <v>1</v>
      </c>
      <c r="X843" s="35">
        <f t="shared" si="162"/>
        <v>0</v>
      </c>
      <c r="Y843">
        <f t="shared" si="163"/>
        <v>0</v>
      </c>
      <c r="AB843">
        <f t="shared" si="166"/>
        <v>1</v>
      </c>
      <c r="AC843">
        <f t="shared" ca="1" si="167"/>
        <v>0</v>
      </c>
      <c r="AD843" t="str">
        <f ca="1">IF(AC843=1,COUNTIF($AC$3:AC843,1),"")</f>
        <v/>
      </c>
      <c r="AE843" s="155" t="str">
        <f ca="1">IFERROR(INDEX(Données!$B$3:$B$1479,MATCH(ROWS($AD$3:AD843),$AD$3:$AD$1479,0)),"")</f>
        <v/>
      </c>
    </row>
    <row r="844" spans="1:31" ht="15.75" x14ac:dyDescent="0.25">
      <c r="A844" t="str">
        <f t="shared" si="164"/>
        <v>Dakota Mermis - NJD - DD</v>
      </c>
      <c r="B844" t="str">
        <f t="shared" si="165"/>
        <v>Dakota Mermis - NJD - DD</v>
      </c>
      <c r="C844" t="str">
        <f t="shared" si="156"/>
        <v>Dakota</v>
      </c>
      <c r="D844" t="str">
        <f t="shared" si="157"/>
        <v>Mermis</v>
      </c>
      <c r="E844" s="39" t="s">
        <v>2182</v>
      </c>
      <c r="F844" s="30" t="s">
        <v>24</v>
      </c>
      <c r="G844" s="35">
        <v>0</v>
      </c>
      <c r="H844" s="35" t="s">
        <v>2444</v>
      </c>
      <c r="I844" s="35" t="s">
        <v>2446</v>
      </c>
      <c r="J844" s="35">
        <v>25</v>
      </c>
      <c r="K844" s="35">
        <f>VALUE(COUNTIF(Validation!$A$2:$H$47,E844))</f>
        <v>0</v>
      </c>
      <c r="L844" s="361">
        <f t="shared" si="158"/>
        <v>700000</v>
      </c>
      <c r="M844" s="361">
        <f t="shared" si="159"/>
        <v>0</v>
      </c>
      <c r="N844" s="358">
        <v>700000</v>
      </c>
      <c r="O844" s="358" t="s">
        <v>8</v>
      </c>
      <c r="P844" s="358">
        <v>0</v>
      </c>
      <c r="Q844" s="358">
        <v>0</v>
      </c>
      <c r="R844" s="358">
        <v>0</v>
      </c>
      <c r="S844" s="358">
        <v>0</v>
      </c>
      <c r="T844" s="358">
        <v>0</v>
      </c>
      <c r="U844" s="35">
        <f t="shared" si="160"/>
        <v>1</v>
      </c>
      <c r="W844">
        <f t="shared" si="161"/>
        <v>1</v>
      </c>
      <c r="X844" s="35">
        <f t="shared" si="162"/>
        <v>0</v>
      </c>
      <c r="Y844">
        <f t="shared" si="163"/>
        <v>0</v>
      </c>
      <c r="AB844">
        <f t="shared" si="166"/>
        <v>1</v>
      </c>
      <c r="AC844">
        <f t="shared" ca="1" si="167"/>
        <v>0</v>
      </c>
      <c r="AD844" t="str">
        <f ca="1">IF(AC844=1,COUNTIF($AC$3:AC844,1),"")</f>
        <v/>
      </c>
      <c r="AE844" s="155" t="str">
        <f ca="1">IFERROR(INDEX(Données!$B$3:$B$1479,MATCH(ROWS($AD$3:AD844),$AD$3:$AD$1479,0)),"")</f>
        <v/>
      </c>
    </row>
    <row r="845" spans="1:31" ht="15.75" x14ac:dyDescent="0.25">
      <c r="A845" t="str">
        <f t="shared" si="164"/>
        <v>Kevin Rooney - NJD - AD, C</v>
      </c>
      <c r="B845" t="str">
        <f t="shared" si="165"/>
        <v>Kevin Rooney - NJD - AD, C</v>
      </c>
      <c r="C845" t="str">
        <f t="shared" si="156"/>
        <v>Kevin</v>
      </c>
      <c r="D845" t="str">
        <f t="shared" si="157"/>
        <v>Rooney</v>
      </c>
      <c r="E845" s="39" t="s">
        <v>1719</v>
      </c>
      <c r="F845" s="30" t="s">
        <v>24</v>
      </c>
      <c r="G845" s="35">
        <v>0</v>
      </c>
      <c r="H845" s="35" t="s">
        <v>2453</v>
      </c>
      <c r="I845" s="35" t="s">
        <v>2439</v>
      </c>
      <c r="J845" s="35">
        <v>26</v>
      </c>
      <c r="K845" s="35">
        <f>VALUE(COUNTIF(Validation!$A$2:$H$47,E845))</f>
        <v>0</v>
      </c>
      <c r="L845" s="361">
        <f t="shared" si="158"/>
        <v>700000</v>
      </c>
      <c r="M845" s="361">
        <f t="shared" si="159"/>
        <v>0</v>
      </c>
      <c r="N845" s="358">
        <v>700000</v>
      </c>
      <c r="O845" s="358" t="s">
        <v>7</v>
      </c>
      <c r="P845" s="358">
        <v>0</v>
      </c>
      <c r="Q845" s="358">
        <v>0</v>
      </c>
      <c r="R845" s="358">
        <v>0</v>
      </c>
      <c r="S845" s="358">
        <v>0</v>
      </c>
      <c r="T845" s="358">
        <v>0</v>
      </c>
      <c r="U845" s="35">
        <f t="shared" si="160"/>
        <v>1</v>
      </c>
      <c r="W845">
        <f t="shared" si="161"/>
        <v>1</v>
      </c>
      <c r="X845" s="35">
        <f t="shared" si="162"/>
        <v>0</v>
      </c>
      <c r="Y845">
        <f t="shared" si="163"/>
        <v>0</v>
      </c>
      <c r="AB845">
        <f t="shared" si="166"/>
        <v>1</v>
      </c>
      <c r="AC845">
        <f t="shared" ca="1" si="167"/>
        <v>0</v>
      </c>
      <c r="AD845" t="str">
        <f ca="1">IF(AC845=1,COUNTIF($AC$3:AC845,1),"")</f>
        <v/>
      </c>
      <c r="AE845" s="155" t="str">
        <f ca="1">IFERROR(INDEX(Données!$B$3:$B$1479,MATCH(ROWS($AD$3:AD845),$AD$3:$AD$1479,0)),"")</f>
        <v/>
      </c>
    </row>
    <row r="846" spans="1:31" ht="15.75" x14ac:dyDescent="0.25">
      <c r="A846" t="str">
        <f t="shared" si="164"/>
        <v>Matt Tennyson - NJD - DD</v>
      </c>
      <c r="B846" t="str">
        <f t="shared" si="165"/>
        <v>Matt Tennyson - NJD - DD</v>
      </c>
      <c r="C846" t="str">
        <f t="shared" si="156"/>
        <v>Matt</v>
      </c>
      <c r="D846" t="str">
        <f t="shared" si="157"/>
        <v>Tennyson</v>
      </c>
      <c r="E846" s="39" t="s">
        <v>1418</v>
      </c>
      <c r="F846" s="30" t="s">
        <v>24</v>
      </c>
      <c r="G846" s="35">
        <v>0</v>
      </c>
      <c r="H846" s="35" t="s">
        <v>2444</v>
      </c>
      <c r="I846" s="35" t="s">
        <v>2446</v>
      </c>
      <c r="J846" s="35">
        <v>29</v>
      </c>
      <c r="K846" s="35">
        <f>VALUE(COUNTIF(Validation!$A$2:$H$47,E846))</f>
        <v>0</v>
      </c>
      <c r="L846" s="361">
        <f t="shared" si="158"/>
        <v>700000</v>
      </c>
      <c r="M846" s="361">
        <f t="shared" si="159"/>
        <v>700000</v>
      </c>
      <c r="N846" s="358">
        <v>700000</v>
      </c>
      <c r="O846" s="358">
        <v>700000</v>
      </c>
      <c r="P846" s="358" t="s">
        <v>7</v>
      </c>
      <c r="Q846" s="358">
        <v>0</v>
      </c>
      <c r="R846" s="358">
        <v>0</v>
      </c>
      <c r="S846" s="358">
        <v>0</v>
      </c>
      <c r="T846" s="358">
        <v>0</v>
      </c>
      <c r="U846" s="35">
        <f t="shared" si="160"/>
        <v>2</v>
      </c>
      <c r="W846">
        <f t="shared" si="161"/>
        <v>1</v>
      </c>
      <c r="X846" s="35">
        <f t="shared" si="162"/>
        <v>0</v>
      </c>
      <c r="Y846">
        <f t="shared" si="163"/>
        <v>1</v>
      </c>
      <c r="AB846">
        <f t="shared" si="166"/>
        <v>1</v>
      </c>
      <c r="AC846">
        <f t="shared" ca="1" si="167"/>
        <v>0</v>
      </c>
      <c r="AD846" t="str">
        <f ca="1">IF(AC846=1,COUNTIF($AC$3:AC846,1),"")</f>
        <v/>
      </c>
      <c r="AE846" s="155" t="str">
        <f ca="1">IFERROR(INDEX(Données!$B$3:$B$1479,MATCH(ROWS($AD$3:AD846),$AD$3:$AD$1479,0)),"")</f>
        <v/>
      </c>
    </row>
    <row r="847" spans="1:31" ht="15.75" x14ac:dyDescent="0.25">
      <c r="A847" t="str">
        <f t="shared" si="164"/>
        <v>Colby Sissons - NJD - D</v>
      </c>
      <c r="B847" t="str">
        <f t="shared" si="165"/>
        <v>Colby Sissons - NJD - D</v>
      </c>
      <c r="C847" t="str">
        <f t="shared" si="156"/>
        <v>Colby</v>
      </c>
      <c r="D847" t="str">
        <f t="shared" si="157"/>
        <v>Sissons</v>
      </c>
      <c r="E847" s="39" t="s">
        <v>1721</v>
      </c>
      <c r="F847" s="30" t="s">
        <v>24</v>
      </c>
      <c r="G847" s="35" t="s">
        <v>386</v>
      </c>
      <c r="H847" s="35" t="s">
        <v>82</v>
      </c>
      <c r="I847" s="35" t="s">
        <v>2446</v>
      </c>
      <c r="J847" s="35">
        <v>21</v>
      </c>
      <c r="K847" s="35">
        <f>VALUE(COUNTIF(Validation!$A$2:$H$47,E847))</f>
        <v>0</v>
      </c>
      <c r="L847" s="361">
        <f t="shared" si="158"/>
        <v>696111</v>
      </c>
      <c r="M847" s="361">
        <f t="shared" si="159"/>
        <v>696111</v>
      </c>
      <c r="N847" s="358">
        <v>696111</v>
      </c>
      <c r="O847" s="358">
        <v>696111</v>
      </c>
      <c r="P847" s="358" t="s">
        <v>8</v>
      </c>
      <c r="Q847" s="358">
        <v>0</v>
      </c>
      <c r="R847" s="358">
        <v>0</v>
      </c>
      <c r="S847" s="358">
        <v>0</v>
      </c>
      <c r="T847" s="358">
        <v>0</v>
      </c>
      <c r="U847" s="35">
        <f t="shared" si="160"/>
        <v>2</v>
      </c>
      <c r="W847">
        <f t="shared" si="161"/>
        <v>1</v>
      </c>
      <c r="X847" s="35">
        <f t="shared" si="162"/>
        <v>1</v>
      </c>
      <c r="Y847">
        <f t="shared" si="163"/>
        <v>1</v>
      </c>
      <c r="AB847">
        <f t="shared" si="166"/>
        <v>1</v>
      </c>
      <c r="AC847">
        <f t="shared" ca="1" si="167"/>
        <v>0</v>
      </c>
      <c r="AD847" t="str">
        <f ca="1">IF(AC847=1,COUNTIF($AC$3:AC847,1),"")</f>
        <v/>
      </c>
      <c r="AE847" s="155" t="str">
        <f ca="1">IFERROR(INDEX(Données!$B$3:$B$1479,MATCH(ROWS($AD$3:AD847),$AD$3:$AD$1479,0)),"")</f>
        <v/>
      </c>
    </row>
    <row r="848" spans="1:31" ht="15.75" x14ac:dyDescent="0.25">
      <c r="A848" t="str">
        <f t="shared" si="164"/>
        <v>Brian Strait - NJD - DG</v>
      </c>
      <c r="B848" t="str">
        <f t="shared" si="165"/>
        <v>Brian Strait - NJD - DG</v>
      </c>
      <c r="C848" t="str">
        <f t="shared" si="156"/>
        <v>Brian</v>
      </c>
      <c r="D848" t="str">
        <f t="shared" si="157"/>
        <v>Strait</v>
      </c>
      <c r="E848" s="39" t="s">
        <v>1722</v>
      </c>
      <c r="F848" s="30" t="s">
        <v>24</v>
      </c>
      <c r="G848" s="35">
        <v>0</v>
      </c>
      <c r="H848" s="35" t="s">
        <v>2445</v>
      </c>
      <c r="I848" s="35" t="s">
        <v>2446</v>
      </c>
      <c r="J848" s="35">
        <v>31</v>
      </c>
      <c r="K848" s="35">
        <f>VALUE(COUNTIF(Validation!$A$2:$H$47,E848))</f>
        <v>0</v>
      </c>
      <c r="L848" s="361">
        <f t="shared" si="158"/>
        <v>675000</v>
      </c>
      <c r="M848" s="361">
        <f t="shared" si="159"/>
        <v>0</v>
      </c>
      <c r="N848" s="358">
        <v>675000</v>
      </c>
      <c r="O848" s="358" t="s">
        <v>7</v>
      </c>
      <c r="P848" s="358">
        <v>0</v>
      </c>
      <c r="Q848" s="358">
        <v>0</v>
      </c>
      <c r="R848" s="358">
        <v>0</v>
      </c>
      <c r="S848" s="358">
        <v>0</v>
      </c>
      <c r="T848" s="358">
        <v>0</v>
      </c>
      <c r="U848" s="35">
        <f t="shared" si="160"/>
        <v>1</v>
      </c>
      <c r="W848">
        <f t="shared" si="161"/>
        <v>1</v>
      </c>
      <c r="X848" s="35">
        <f t="shared" si="162"/>
        <v>0</v>
      </c>
      <c r="Y848">
        <f t="shared" si="163"/>
        <v>0</v>
      </c>
      <c r="AB848">
        <f t="shared" si="166"/>
        <v>1</v>
      </c>
      <c r="AC848">
        <f t="shared" ca="1" si="167"/>
        <v>0</v>
      </c>
      <c r="AD848" t="str">
        <f ca="1">IF(AC848=1,COUNTIF($AC$3:AC848,1),"")</f>
        <v/>
      </c>
      <c r="AE848" s="155" t="str">
        <f ca="1">IFERROR(INDEX(Données!$B$3:$B$1479,MATCH(ROWS($AD$3:AD848),$AD$3:$AD$1479,0)),"")</f>
        <v/>
      </c>
    </row>
    <row r="849" spans="1:31" ht="15.75" x14ac:dyDescent="0.25">
      <c r="A849" t="str">
        <f t="shared" si="164"/>
        <v>Mike Cammalleri - NJD - 0</v>
      </c>
      <c r="B849" t="str">
        <f t="shared" si="165"/>
        <v>Mike Cammalleri - NJD - 0</v>
      </c>
      <c r="C849" t="str">
        <f t="shared" si="156"/>
        <v>Mike</v>
      </c>
      <c r="D849" t="str">
        <f t="shared" si="157"/>
        <v>Cammalleri</v>
      </c>
      <c r="E849" s="39" t="s">
        <v>2749</v>
      </c>
      <c r="F849" s="30" t="s">
        <v>24</v>
      </c>
      <c r="G849" s="35">
        <v>0</v>
      </c>
      <c r="H849" s="35">
        <v>0</v>
      </c>
      <c r="I849" s="35">
        <v>0</v>
      </c>
      <c r="J849" s="35">
        <v>0</v>
      </c>
      <c r="K849" s="35">
        <f>VALUE(COUNTIF(Validation!$A$2:$H$47,E849))</f>
        <v>0</v>
      </c>
      <c r="L849" s="361">
        <f t="shared" si="158"/>
        <v>0</v>
      </c>
      <c r="M849" s="361">
        <f t="shared" si="159"/>
        <v>0</v>
      </c>
      <c r="N849" s="358">
        <v>0</v>
      </c>
      <c r="O849" s="358">
        <v>0</v>
      </c>
      <c r="P849" s="358">
        <v>0</v>
      </c>
      <c r="Q849" s="358">
        <v>0</v>
      </c>
      <c r="R849" s="358">
        <v>0</v>
      </c>
      <c r="S849" s="358">
        <v>0</v>
      </c>
      <c r="T849" s="358">
        <v>0</v>
      </c>
      <c r="U849" s="35">
        <f t="shared" si="160"/>
        <v>0</v>
      </c>
      <c r="W849">
        <f t="shared" si="161"/>
        <v>1</v>
      </c>
      <c r="X849" s="35">
        <f t="shared" si="162"/>
        <v>0</v>
      </c>
      <c r="Y849">
        <f t="shared" si="163"/>
        <v>1</v>
      </c>
      <c r="AB849">
        <f t="shared" si="166"/>
        <v>1</v>
      </c>
      <c r="AC849">
        <f t="shared" ca="1" si="167"/>
        <v>0</v>
      </c>
      <c r="AD849" t="str">
        <f ca="1">IF(AC849=1,COUNTIF($AC$3:AC849,1),"")</f>
        <v/>
      </c>
      <c r="AE849" s="155" t="str">
        <f ca="1">IFERROR(INDEX(Données!$B$3:$B$1479,MATCH(ROWS($AD$3:AD849),$AD$3:$AD$1479,0)),"")</f>
        <v/>
      </c>
    </row>
    <row r="850" spans="1:31" ht="15.75" x14ac:dyDescent="0.25">
      <c r="A850" t="str">
        <f t="shared" si="164"/>
        <v>Pavel Zacha - NJD - C</v>
      </c>
      <c r="B850" t="str">
        <f t="shared" si="165"/>
        <v>Pavel Zacha - NJD - C</v>
      </c>
      <c r="C850" t="str">
        <f t="shared" si="156"/>
        <v>Pavel</v>
      </c>
      <c r="D850" t="str">
        <f t="shared" si="157"/>
        <v>Zacha</v>
      </c>
      <c r="E850" s="39" t="s">
        <v>1696</v>
      </c>
      <c r="F850" s="30" t="s">
        <v>24</v>
      </c>
      <c r="G850" s="35">
        <v>0</v>
      </c>
      <c r="H850" s="35" t="s">
        <v>73</v>
      </c>
      <c r="I850" s="35" t="s">
        <v>2439</v>
      </c>
      <c r="J850" s="35">
        <v>22</v>
      </c>
      <c r="K850" s="35">
        <f>VALUE(COUNTIF(Validation!$A$2:$H$47,E850))</f>
        <v>0</v>
      </c>
      <c r="L850" s="361">
        <f t="shared" si="158"/>
        <v>0</v>
      </c>
      <c r="M850" s="361">
        <f t="shared" si="159"/>
        <v>0</v>
      </c>
      <c r="N850" s="358" t="s">
        <v>8</v>
      </c>
      <c r="O850" s="358">
        <v>0</v>
      </c>
      <c r="P850" s="358">
        <v>0</v>
      </c>
      <c r="Q850" s="358">
        <v>0</v>
      </c>
      <c r="R850" s="358">
        <v>0</v>
      </c>
      <c r="S850" s="358">
        <v>0</v>
      </c>
      <c r="T850" s="358">
        <v>0</v>
      </c>
      <c r="U850" s="35">
        <f t="shared" si="160"/>
        <v>0</v>
      </c>
      <c r="W850">
        <f t="shared" si="161"/>
        <v>1</v>
      </c>
      <c r="X850" s="35">
        <f t="shared" si="162"/>
        <v>0</v>
      </c>
      <c r="Y850">
        <f t="shared" si="163"/>
        <v>1</v>
      </c>
      <c r="AB850">
        <f t="shared" si="166"/>
        <v>1</v>
      </c>
      <c r="AC850">
        <f t="shared" ca="1" si="167"/>
        <v>0</v>
      </c>
      <c r="AD850" t="str">
        <f ca="1">IF(AC850=1,COUNTIF($AC$3:AC850,1),"")</f>
        <v/>
      </c>
      <c r="AE850" s="155" t="str">
        <f ca="1">IFERROR(INDEX(Données!$B$3:$B$1479,MATCH(ROWS($AD$3:AD850),$AD$3:$AD$1479,0)),"")</f>
        <v/>
      </c>
    </row>
    <row r="851" spans="1:31" ht="15.75" x14ac:dyDescent="0.25">
      <c r="A851" t="str">
        <f t="shared" si="164"/>
        <v>Anders Lee - NYI - AG, C</v>
      </c>
      <c r="B851" t="str">
        <f t="shared" si="165"/>
        <v>Anders Lee - NYI - AG, C</v>
      </c>
      <c r="C851" t="str">
        <f t="shared" si="156"/>
        <v>Anders</v>
      </c>
      <c r="D851" t="str">
        <f t="shared" si="157"/>
        <v>Lee</v>
      </c>
      <c r="E851" s="39" t="s">
        <v>2984</v>
      </c>
      <c r="F851" s="30" t="s">
        <v>25</v>
      </c>
      <c r="G851" s="35" t="s">
        <v>372</v>
      </c>
      <c r="H851" s="35" t="s">
        <v>2450</v>
      </c>
      <c r="I851" s="35" t="s">
        <v>2439</v>
      </c>
      <c r="J851" s="35">
        <v>29</v>
      </c>
      <c r="K851" s="35">
        <f>VALUE(COUNTIF(Validation!$A$2:$H$47,E851))</f>
        <v>0</v>
      </c>
      <c r="L851" s="361">
        <f t="shared" si="158"/>
        <v>7000000</v>
      </c>
      <c r="M851" s="361">
        <f t="shared" si="159"/>
        <v>7000000</v>
      </c>
      <c r="N851" s="358">
        <v>7000000</v>
      </c>
      <c r="O851" s="358">
        <v>7000000</v>
      </c>
      <c r="P851" s="358">
        <v>7000000</v>
      </c>
      <c r="Q851" s="358">
        <v>7000000</v>
      </c>
      <c r="R851" s="358">
        <v>7000000</v>
      </c>
      <c r="S851" s="358">
        <v>7000000</v>
      </c>
      <c r="T851" s="358">
        <v>7000000</v>
      </c>
      <c r="U851" s="35">
        <f t="shared" si="160"/>
        <v>7</v>
      </c>
      <c r="W851">
        <f t="shared" si="161"/>
        <v>1</v>
      </c>
      <c r="X851" s="35">
        <f t="shared" si="162"/>
        <v>0</v>
      </c>
      <c r="Y851">
        <f t="shared" si="163"/>
        <v>1</v>
      </c>
      <c r="AB851">
        <f t="shared" si="166"/>
        <v>1</v>
      </c>
      <c r="AC851">
        <f t="shared" ca="1" si="167"/>
        <v>0</v>
      </c>
      <c r="AD851" t="str">
        <f ca="1">IF(AC851=1,COUNTIF($AC$3:AC851,1),"")</f>
        <v/>
      </c>
      <c r="AE851" s="155" t="str">
        <f ca="1">IFERROR(INDEX(Données!$B$3:$B$1479,MATCH(ROWS($AD$3:AD851),$AD$3:$AD$1479,0)),"")</f>
        <v/>
      </c>
    </row>
    <row r="852" spans="1:31" ht="15.75" x14ac:dyDescent="0.25">
      <c r="A852" t="str">
        <f t="shared" si="164"/>
        <v>Johnny Boychuk - NYI - DD</v>
      </c>
      <c r="B852" t="str">
        <f t="shared" si="165"/>
        <v>Johnny Boychuk - NYI - DD</v>
      </c>
      <c r="C852" t="str">
        <f t="shared" si="156"/>
        <v>Johnny</v>
      </c>
      <c r="D852" t="str">
        <f t="shared" si="157"/>
        <v>Boychuk</v>
      </c>
      <c r="E852" s="39" t="s">
        <v>1734</v>
      </c>
      <c r="F852" s="30" t="s">
        <v>25</v>
      </c>
      <c r="G852" s="35" t="s">
        <v>381</v>
      </c>
      <c r="H852" s="35" t="s">
        <v>2444</v>
      </c>
      <c r="I852" s="35" t="s">
        <v>2439</v>
      </c>
      <c r="J852" s="35">
        <v>35</v>
      </c>
      <c r="K852" s="35">
        <f>VALUE(COUNTIF(Validation!$A$2:$H$47,E852))</f>
        <v>0</v>
      </c>
      <c r="L852" s="361">
        <f t="shared" si="158"/>
        <v>6000000</v>
      </c>
      <c r="M852" s="361">
        <f t="shared" si="159"/>
        <v>6000000</v>
      </c>
      <c r="N852" s="358">
        <v>6000000</v>
      </c>
      <c r="O852" s="358">
        <v>6000000</v>
      </c>
      <c r="P852" s="358">
        <v>6000000</v>
      </c>
      <c r="Q852" s="358" t="s">
        <v>7</v>
      </c>
      <c r="R852" s="358">
        <v>0</v>
      </c>
      <c r="S852" s="358">
        <v>0</v>
      </c>
      <c r="T852" s="358">
        <v>0</v>
      </c>
      <c r="U852" s="35">
        <f t="shared" si="160"/>
        <v>3</v>
      </c>
      <c r="W852">
        <f t="shared" si="161"/>
        <v>1</v>
      </c>
      <c r="X852" s="35">
        <f t="shared" si="162"/>
        <v>0</v>
      </c>
      <c r="Y852">
        <f t="shared" si="163"/>
        <v>1</v>
      </c>
      <c r="AB852">
        <f t="shared" si="166"/>
        <v>1</v>
      </c>
      <c r="AC852">
        <f t="shared" ca="1" si="167"/>
        <v>0</v>
      </c>
      <c r="AD852" t="str">
        <f ca="1">IF(AC852=1,COUNTIF($AC$3:AC852,1),"")</f>
        <v/>
      </c>
      <c r="AE852" s="155" t="str">
        <f ca="1">IFERROR(INDEX(Données!$B$3:$B$1479,MATCH(ROWS($AD$3:AD852),$AD$3:$AD$1479,0)),"")</f>
        <v/>
      </c>
    </row>
    <row r="853" spans="1:31" ht="15.75" x14ac:dyDescent="0.25">
      <c r="A853" t="str">
        <f t="shared" si="164"/>
        <v>Brock Nelson - NYI - C, AG</v>
      </c>
      <c r="B853" t="str">
        <f t="shared" si="165"/>
        <v>Brock Nelson - NYI - C, AG</v>
      </c>
      <c r="C853" t="str">
        <f t="shared" si="156"/>
        <v>Brock</v>
      </c>
      <c r="D853" t="str">
        <f t="shared" si="157"/>
        <v>Nelson</v>
      </c>
      <c r="E853" s="39" t="s">
        <v>1725</v>
      </c>
      <c r="F853" s="30" t="s">
        <v>25</v>
      </c>
      <c r="G853" s="35" t="s">
        <v>372</v>
      </c>
      <c r="H853" s="9" t="s">
        <v>2452</v>
      </c>
      <c r="I853" s="9" t="s">
        <v>2439</v>
      </c>
      <c r="J853" s="9">
        <v>27</v>
      </c>
      <c r="K853" s="35">
        <f>VALUE(COUNTIF(Validation!$A$2:$H$47,E853))</f>
        <v>0</v>
      </c>
      <c r="L853" s="361">
        <f t="shared" si="158"/>
        <v>6000000</v>
      </c>
      <c r="M853" s="361">
        <f t="shared" si="159"/>
        <v>6000000</v>
      </c>
      <c r="N853" s="358">
        <v>6000000</v>
      </c>
      <c r="O853" s="358">
        <v>6000000</v>
      </c>
      <c r="P853" s="358">
        <v>6000000</v>
      </c>
      <c r="Q853" s="358">
        <v>6000000</v>
      </c>
      <c r="R853" s="358">
        <v>6000000</v>
      </c>
      <c r="S853" s="358">
        <v>6000000</v>
      </c>
      <c r="T853" s="358" t="s">
        <v>7</v>
      </c>
      <c r="U853" s="35">
        <f t="shared" si="160"/>
        <v>6</v>
      </c>
      <c r="W853">
        <f t="shared" si="161"/>
        <v>1</v>
      </c>
      <c r="X853" s="35">
        <f t="shared" si="162"/>
        <v>0</v>
      </c>
      <c r="Y853">
        <f t="shared" si="163"/>
        <v>1</v>
      </c>
      <c r="AB853">
        <f t="shared" si="166"/>
        <v>1</v>
      </c>
      <c r="AC853">
        <f t="shared" ca="1" si="167"/>
        <v>0</v>
      </c>
      <c r="AD853" t="str">
        <f ca="1">IF(AC853=1,COUNTIF($AC$3:AC853,1),"")</f>
        <v/>
      </c>
      <c r="AE853" s="155" t="str">
        <f ca="1">IFERROR(INDEX(Données!$B$3:$B$1479,MATCH(ROWS($AD$3:AD853),$AD$3:$AD$1479,0)),"")</f>
        <v/>
      </c>
    </row>
    <row r="854" spans="1:31" ht="15.75" x14ac:dyDescent="0.25">
      <c r="A854" t="str">
        <f t="shared" si="164"/>
        <v>Jordan Eberle - NYI - AD</v>
      </c>
      <c r="B854" t="str">
        <f t="shared" si="165"/>
        <v>Jordan Eberle - NYI - AD</v>
      </c>
      <c r="C854" t="str">
        <f t="shared" si="156"/>
        <v>Jordan</v>
      </c>
      <c r="D854" t="str">
        <f t="shared" si="157"/>
        <v>Eberle</v>
      </c>
      <c r="E854" s="39" t="s">
        <v>2571</v>
      </c>
      <c r="F854" s="30" t="s">
        <v>25</v>
      </c>
      <c r="G854" s="35" t="s">
        <v>372</v>
      </c>
      <c r="H854" s="35" t="s">
        <v>2438</v>
      </c>
      <c r="I854" s="35" t="s">
        <v>2439</v>
      </c>
      <c r="J854" s="35">
        <v>29</v>
      </c>
      <c r="K854" s="35">
        <f>VALUE(COUNTIF(Validation!$A$2:$H$47,E854))</f>
        <v>0</v>
      </c>
      <c r="L854" s="361">
        <f t="shared" si="158"/>
        <v>5500000</v>
      </c>
      <c r="M854" s="361">
        <f t="shared" si="159"/>
        <v>5500000</v>
      </c>
      <c r="N854" s="358">
        <v>5500000</v>
      </c>
      <c r="O854" s="358">
        <v>5500000</v>
      </c>
      <c r="P854" s="358">
        <v>5500000</v>
      </c>
      <c r="Q854" s="358">
        <v>5500000</v>
      </c>
      <c r="R854" s="358">
        <v>5500000</v>
      </c>
      <c r="S854" s="358" t="s">
        <v>7</v>
      </c>
      <c r="T854" s="358">
        <v>0</v>
      </c>
      <c r="U854" s="35">
        <f t="shared" si="160"/>
        <v>5</v>
      </c>
      <c r="W854">
        <f t="shared" si="161"/>
        <v>1</v>
      </c>
      <c r="X854" s="35">
        <f t="shared" si="162"/>
        <v>0</v>
      </c>
      <c r="Y854">
        <f t="shared" si="163"/>
        <v>1</v>
      </c>
      <c r="AB854">
        <f t="shared" si="166"/>
        <v>1</v>
      </c>
      <c r="AC854">
        <f t="shared" ca="1" si="167"/>
        <v>0</v>
      </c>
      <c r="AD854" t="str">
        <f ca="1">IF(AC854=1,COUNTIF($AC$3:AC854,1),"")</f>
        <v/>
      </c>
      <c r="AE854" s="155" t="str">
        <f ca="1">IFERROR(INDEX(Données!$B$3:$B$1479,MATCH(ROWS($AD$3:AD854),$AD$3:$AD$1479,0)),"")</f>
        <v/>
      </c>
    </row>
    <row r="855" spans="1:31" ht="15.75" x14ac:dyDescent="0.25">
      <c r="A855" t="str">
        <f t="shared" si="164"/>
        <v>Andrew Ladd - NYI - AG</v>
      </c>
      <c r="B855" t="str">
        <f t="shared" si="165"/>
        <v>Andrew Ladd - NYI - AG</v>
      </c>
      <c r="C855" t="str">
        <f t="shared" si="156"/>
        <v>Andrew</v>
      </c>
      <c r="D855" t="str">
        <f t="shared" si="157"/>
        <v>Ladd</v>
      </c>
      <c r="E855" s="39" t="s">
        <v>2982</v>
      </c>
      <c r="F855" s="30" t="s">
        <v>25</v>
      </c>
      <c r="G855" s="35" t="s">
        <v>372</v>
      </c>
      <c r="H855" s="35" t="s">
        <v>2440</v>
      </c>
      <c r="I855" s="35" t="s">
        <v>2439</v>
      </c>
      <c r="J855" s="35">
        <v>33</v>
      </c>
      <c r="K855" s="35">
        <f>VALUE(COUNTIF(Validation!$A$2:$H$47,E855))</f>
        <v>0</v>
      </c>
      <c r="L855" s="361">
        <f t="shared" si="158"/>
        <v>5500000</v>
      </c>
      <c r="M855" s="361">
        <f t="shared" si="159"/>
        <v>5500000</v>
      </c>
      <c r="N855" s="358">
        <v>5500000</v>
      </c>
      <c r="O855" s="358">
        <v>5500000</v>
      </c>
      <c r="P855" s="358">
        <v>5500000</v>
      </c>
      <c r="Q855" s="358">
        <v>5500000</v>
      </c>
      <c r="R855" s="358" t="s">
        <v>7</v>
      </c>
      <c r="S855" s="358">
        <v>0</v>
      </c>
      <c r="T855" s="358">
        <v>0</v>
      </c>
      <c r="U855" s="35">
        <f t="shared" si="160"/>
        <v>4</v>
      </c>
      <c r="W855">
        <f t="shared" si="161"/>
        <v>1</v>
      </c>
      <c r="X855" s="35">
        <f t="shared" si="162"/>
        <v>0</v>
      </c>
      <c r="Y855">
        <f t="shared" si="163"/>
        <v>1</v>
      </c>
      <c r="AB855">
        <f t="shared" si="166"/>
        <v>1</v>
      </c>
      <c r="AC855">
        <f t="shared" ca="1" si="167"/>
        <v>0</v>
      </c>
      <c r="AD855" t="str">
        <f ca="1">IF(AC855=1,COUNTIF($AC$3:AC855,1),"")</f>
        <v/>
      </c>
      <c r="AE855" s="155" t="str">
        <f ca="1">IFERROR(INDEX(Données!$B$3:$B$1479,MATCH(ROWS($AD$3:AD855),$AD$3:$AD$1479,0)),"")</f>
        <v/>
      </c>
    </row>
    <row r="856" spans="1:31" ht="15.75" x14ac:dyDescent="0.25">
      <c r="A856" t="str">
        <f t="shared" si="164"/>
        <v>Nick Leddy - NYI - DG</v>
      </c>
      <c r="B856" t="str">
        <f t="shared" si="165"/>
        <v>Nick Leddy - NYI - DG</v>
      </c>
      <c r="C856" t="str">
        <f t="shared" si="156"/>
        <v>Nick</v>
      </c>
      <c r="D856" t="str">
        <f t="shared" si="157"/>
        <v>Leddy</v>
      </c>
      <c r="E856" s="39" t="s">
        <v>1735</v>
      </c>
      <c r="F856" s="30" t="s">
        <v>25</v>
      </c>
      <c r="G856" s="35">
        <v>0</v>
      </c>
      <c r="H856" s="35" t="s">
        <v>2445</v>
      </c>
      <c r="I856" s="35" t="s">
        <v>2439</v>
      </c>
      <c r="J856" s="35">
        <v>28</v>
      </c>
      <c r="K856" s="35">
        <f>VALUE(COUNTIF(Validation!$A$2:$H$47,E856))</f>
        <v>0</v>
      </c>
      <c r="L856" s="361">
        <f t="shared" si="158"/>
        <v>5500000</v>
      </c>
      <c r="M856" s="361">
        <f t="shared" si="159"/>
        <v>5500000</v>
      </c>
      <c r="N856" s="358">
        <v>5500000</v>
      </c>
      <c r="O856" s="358">
        <v>5500000</v>
      </c>
      <c r="P856" s="358">
        <v>5500000</v>
      </c>
      <c r="Q856" s="358" t="s">
        <v>7</v>
      </c>
      <c r="R856" s="358">
        <v>0</v>
      </c>
      <c r="S856" s="358">
        <v>0</v>
      </c>
      <c r="T856" s="358">
        <v>0</v>
      </c>
      <c r="U856" s="35">
        <f t="shared" si="160"/>
        <v>3</v>
      </c>
      <c r="W856">
        <f t="shared" si="161"/>
        <v>1</v>
      </c>
      <c r="X856" s="35">
        <f t="shared" si="162"/>
        <v>0</v>
      </c>
      <c r="Y856">
        <f t="shared" si="163"/>
        <v>1</v>
      </c>
      <c r="AB856">
        <f t="shared" si="166"/>
        <v>1</v>
      </c>
      <c r="AC856">
        <f t="shared" ca="1" si="167"/>
        <v>0</v>
      </c>
      <c r="AD856" t="str">
        <f ca="1">IF(AC856=1,COUNTIF($AC$3:AC856,1),"")</f>
        <v/>
      </c>
      <c r="AE856" s="155" t="str">
        <f ca="1">IFERROR(INDEX(Données!$B$3:$B$1479,MATCH(ROWS($AD$3:AD856),$AD$3:$AD$1479,0)),"")</f>
        <v/>
      </c>
    </row>
    <row r="857" spans="1:31" ht="15.75" x14ac:dyDescent="0.25">
      <c r="A857" t="str">
        <f t="shared" si="164"/>
        <v>Josh Bailey - NYI - AD, AG</v>
      </c>
      <c r="B857" t="str">
        <f t="shared" si="165"/>
        <v>Josh Bailey - NYI - AD, AG</v>
      </c>
      <c r="C857" t="str">
        <f t="shared" si="156"/>
        <v>Josh</v>
      </c>
      <c r="D857" t="str">
        <f t="shared" si="157"/>
        <v>Bailey</v>
      </c>
      <c r="E857" s="39" t="s">
        <v>2941</v>
      </c>
      <c r="F857" s="30" t="s">
        <v>25</v>
      </c>
      <c r="G857" s="35">
        <v>0</v>
      </c>
      <c r="H857" s="35" t="s">
        <v>2441</v>
      </c>
      <c r="I857" s="35" t="s">
        <v>2439</v>
      </c>
      <c r="J857" s="35">
        <v>29</v>
      </c>
      <c r="K857" s="35">
        <f>VALUE(COUNTIF(Validation!$A$2:$H$47,E857))</f>
        <v>0</v>
      </c>
      <c r="L857" s="361">
        <f t="shared" si="158"/>
        <v>5000000</v>
      </c>
      <c r="M857" s="361">
        <f t="shared" si="159"/>
        <v>5000000</v>
      </c>
      <c r="N857" s="358">
        <v>5000000</v>
      </c>
      <c r="O857" s="358">
        <v>5000000</v>
      </c>
      <c r="P857" s="358">
        <v>5000000</v>
      </c>
      <c r="Q857" s="358">
        <v>5000000</v>
      </c>
      <c r="R857" s="358">
        <v>5000000</v>
      </c>
      <c r="S857" s="358" t="s">
        <v>7</v>
      </c>
      <c r="T857" s="358">
        <v>0</v>
      </c>
      <c r="U857" s="35">
        <f t="shared" si="160"/>
        <v>5</v>
      </c>
      <c r="W857">
        <f t="shared" si="161"/>
        <v>1</v>
      </c>
      <c r="X857" s="35">
        <f t="shared" si="162"/>
        <v>0</v>
      </c>
      <c r="Y857">
        <f t="shared" si="163"/>
        <v>1</v>
      </c>
      <c r="AB857">
        <f t="shared" si="166"/>
        <v>1</v>
      </c>
      <c r="AC857">
        <f t="shared" ca="1" si="167"/>
        <v>0</v>
      </c>
      <c r="AD857" t="str">
        <f ca="1">IF(AC857=1,COUNTIF($AC$3:AC857,1),"")</f>
        <v/>
      </c>
      <c r="AE857" s="155" t="str">
        <f ca="1">IFERROR(INDEX(Données!$B$3:$B$1479,MATCH(ROWS($AD$3:AD857),$AD$3:$AD$1479,0)),"")</f>
        <v/>
      </c>
    </row>
    <row r="858" spans="1:31" ht="15.75" x14ac:dyDescent="0.25">
      <c r="A858" t="str">
        <f t="shared" si="164"/>
        <v>Semyon Varlamov - NYI - G</v>
      </c>
      <c r="B858" t="str">
        <f t="shared" si="165"/>
        <v>Semyon Varlamov - NYI - G</v>
      </c>
      <c r="C858" t="str">
        <f t="shared" si="156"/>
        <v>Semyon</v>
      </c>
      <c r="D858" t="str">
        <f t="shared" si="157"/>
        <v>Varlamov</v>
      </c>
      <c r="E858" s="39" t="s">
        <v>1931</v>
      </c>
      <c r="F858" s="30" t="s">
        <v>25</v>
      </c>
      <c r="G858" s="35" t="s">
        <v>372</v>
      </c>
      <c r="H858" s="35" t="s">
        <v>127</v>
      </c>
      <c r="I858" s="35" t="s">
        <v>2439</v>
      </c>
      <c r="J858" s="35">
        <v>31</v>
      </c>
      <c r="K858" s="35">
        <f>VALUE(COUNTIF(Validation!$A$2:$H$47,E858))</f>
        <v>0</v>
      </c>
      <c r="L858" s="361">
        <f t="shared" si="158"/>
        <v>5000000</v>
      </c>
      <c r="M858" s="361">
        <f t="shared" si="159"/>
        <v>5000000</v>
      </c>
      <c r="N858" s="358">
        <v>5000000</v>
      </c>
      <c r="O858" s="358">
        <v>5000000</v>
      </c>
      <c r="P858" s="358">
        <v>5000000</v>
      </c>
      <c r="Q858" s="358">
        <v>5000000</v>
      </c>
      <c r="R858" s="358" t="s">
        <v>7</v>
      </c>
      <c r="S858" s="358">
        <v>0</v>
      </c>
      <c r="T858" s="358">
        <v>0</v>
      </c>
      <c r="U858" s="35">
        <f t="shared" si="160"/>
        <v>4</v>
      </c>
      <c r="W858">
        <f t="shared" si="161"/>
        <v>1</v>
      </c>
      <c r="X858" s="35">
        <f t="shared" si="162"/>
        <v>0</v>
      </c>
      <c r="Y858">
        <f t="shared" si="163"/>
        <v>1</v>
      </c>
      <c r="AB858">
        <f t="shared" si="166"/>
        <v>1</v>
      </c>
      <c r="AC858">
        <f t="shared" ca="1" si="167"/>
        <v>0</v>
      </c>
      <c r="AD858" t="str">
        <f ca="1">IF(AC858=1,COUNTIF($AC$3:AC858,1),"")</f>
        <v/>
      </c>
      <c r="AE858" s="155" t="str">
        <f ca="1">IFERROR(INDEX(Données!$B$3:$B$1479,MATCH(ROWS($AD$3:AD858),$AD$3:$AD$1479,0)),"")</f>
        <v/>
      </c>
    </row>
    <row r="859" spans="1:31" ht="15.75" x14ac:dyDescent="0.25">
      <c r="A859" t="str">
        <f t="shared" si="164"/>
        <v>Cal Clutterbuck - NYI - AD</v>
      </c>
      <c r="B859" t="str">
        <f t="shared" si="165"/>
        <v>Cal Clutterbuck - NYI - AD</v>
      </c>
      <c r="C859" t="str">
        <f t="shared" si="156"/>
        <v>Cal</v>
      </c>
      <c r="D859" t="str">
        <f t="shared" si="157"/>
        <v>Clutterbuck</v>
      </c>
      <c r="E859" s="39" t="s">
        <v>2950</v>
      </c>
      <c r="F859" s="30" t="s">
        <v>25</v>
      </c>
      <c r="G859" s="35">
        <v>0</v>
      </c>
      <c r="H859" s="9" t="s">
        <v>2438</v>
      </c>
      <c r="I859" s="9" t="s">
        <v>2439</v>
      </c>
      <c r="J859" s="9">
        <v>31</v>
      </c>
      <c r="K859" s="35">
        <f>VALUE(COUNTIF(Validation!$A$2:$H$47,E859))</f>
        <v>0</v>
      </c>
      <c r="L859" s="361">
        <f t="shared" si="158"/>
        <v>3500000</v>
      </c>
      <c r="M859" s="361">
        <f t="shared" si="159"/>
        <v>3500000</v>
      </c>
      <c r="N859" s="358">
        <v>3500000</v>
      </c>
      <c r="O859" s="358">
        <v>3500000</v>
      </c>
      <c r="P859" s="358">
        <v>3500000</v>
      </c>
      <c r="Q859" s="358" t="s">
        <v>7</v>
      </c>
      <c r="R859" s="358">
        <v>0</v>
      </c>
      <c r="S859" s="358">
        <v>0</v>
      </c>
      <c r="T859" s="358">
        <v>0</v>
      </c>
      <c r="U859" s="35">
        <f t="shared" si="160"/>
        <v>3</v>
      </c>
      <c r="W859">
        <f t="shared" si="161"/>
        <v>1</v>
      </c>
      <c r="X859" s="35">
        <f t="shared" si="162"/>
        <v>0</v>
      </c>
      <c r="Y859">
        <f t="shared" si="163"/>
        <v>1</v>
      </c>
      <c r="AB859">
        <f t="shared" si="166"/>
        <v>1</v>
      </c>
      <c r="AC859">
        <f t="shared" ca="1" si="167"/>
        <v>0</v>
      </c>
      <c r="AD859" t="str">
        <f ca="1">IF(AC859=1,COUNTIF($AC$3:AC859,1),"")</f>
        <v/>
      </c>
      <c r="AE859" s="155" t="str">
        <f ca="1">IFERROR(INDEX(Données!$B$3:$B$1479,MATCH(ROWS($AD$3:AD859),$AD$3:$AD$1479,0)),"")</f>
        <v/>
      </c>
    </row>
    <row r="860" spans="1:31" ht="15.75" x14ac:dyDescent="0.25">
      <c r="A860" t="str">
        <f t="shared" si="164"/>
        <v>Casey Cizikas - NYI - C</v>
      </c>
      <c r="B860" t="str">
        <f t="shared" si="165"/>
        <v>Casey Cizikas - NYI - C</v>
      </c>
      <c r="C860" t="str">
        <f t="shared" si="156"/>
        <v>Casey</v>
      </c>
      <c r="D860" t="str">
        <f t="shared" si="157"/>
        <v>Cizikas</v>
      </c>
      <c r="E860" s="39" t="s">
        <v>1726</v>
      </c>
      <c r="F860" s="30" t="s">
        <v>25</v>
      </c>
      <c r="G860" s="35">
        <v>0</v>
      </c>
      <c r="H860" s="35" t="s">
        <v>73</v>
      </c>
      <c r="I860" s="35" t="s">
        <v>2439</v>
      </c>
      <c r="J860" s="35">
        <v>28</v>
      </c>
      <c r="K860" s="35">
        <f>VALUE(COUNTIF(Validation!$A$2:$H$47,E860))</f>
        <v>0</v>
      </c>
      <c r="L860" s="361">
        <f t="shared" si="158"/>
        <v>3350000</v>
      </c>
      <c r="M860" s="361">
        <f t="shared" si="159"/>
        <v>3350000</v>
      </c>
      <c r="N860" s="358">
        <v>3350000</v>
      </c>
      <c r="O860" s="358">
        <v>3350000</v>
      </c>
      <c r="P860" s="358" t="s">
        <v>7</v>
      </c>
      <c r="Q860" s="358">
        <v>0</v>
      </c>
      <c r="R860" s="358">
        <v>0</v>
      </c>
      <c r="S860" s="358">
        <v>0</v>
      </c>
      <c r="T860" s="358">
        <v>0</v>
      </c>
      <c r="U860" s="35">
        <f t="shared" si="160"/>
        <v>2</v>
      </c>
      <c r="W860">
        <f t="shared" si="161"/>
        <v>1</v>
      </c>
      <c r="X860" s="35">
        <f t="shared" si="162"/>
        <v>0</v>
      </c>
      <c r="Y860">
        <f t="shared" si="163"/>
        <v>1</v>
      </c>
      <c r="AB860">
        <f t="shared" si="166"/>
        <v>1</v>
      </c>
      <c r="AC860">
        <f t="shared" ca="1" si="167"/>
        <v>0</v>
      </c>
      <c r="AD860" t="str">
        <f ca="1">IF(AC860=1,COUNTIF($AC$3:AC860,1),"")</f>
        <v/>
      </c>
      <c r="AE860" s="155" t="str">
        <f ca="1">IFERROR(INDEX(Données!$B$3:$B$1479,MATCH(ROWS($AD$3:AD860),$AD$3:$AD$1479,0)),"")</f>
        <v/>
      </c>
    </row>
    <row r="861" spans="1:31" ht="15.75" x14ac:dyDescent="0.25">
      <c r="A861" t="str">
        <f t="shared" si="164"/>
        <v>Thomas Greiss - NYI - G</v>
      </c>
      <c r="B861" t="str">
        <f t="shared" si="165"/>
        <v>Thomas Greiss - NYI - G</v>
      </c>
      <c r="C861" t="str">
        <f t="shared" si="156"/>
        <v>Thomas</v>
      </c>
      <c r="D861" t="str">
        <f t="shared" si="157"/>
        <v>Greiss</v>
      </c>
      <c r="E861" s="39" t="s">
        <v>1740</v>
      </c>
      <c r="F861" s="30" t="s">
        <v>25</v>
      </c>
      <c r="G861" s="35">
        <v>0</v>
      </c>
      <c r="H861" s="35" t="s">
        <v>127</v>
      </c>
      <c r="I861" s="35" t="s">
        <v>2439</v>
      </c>
      <c r="J861" s="35">
        <v>33</v>
      </c>
      <c r="K861" s="35">
        <f>VALUE(COUNTIF(Validation!$A$2:$H$47,E861))</f>
        <v>0</v>
      </c>
      <c r="L861" s="361">
        <f t="shared" si="158"/>
        <v>3333333</v>
      </c>
      <c r="M861" s="361">
        <f t="shared" si="159"/>
        <v>0</v>
      </c>
      <c r="N861" s="358">
        <v>3333333</v>
      </c>
      <c r="O861" s="358" t="s">
        <v>7</v>
      </c>
      <c r="P861" s="358">
        <v>0</v>
      </c>
      <c r="Q861" s="358">
        <v>0</v>
      </c>
      <c r="R861" s="358">
        <v>0</v>
      </c>
      <c r="S861" s="358">
        <v>0</v>
      </c>
      <c r="T861" s="358">
        <v>0</v>
      </c>
      <c r="U861" s="35">
        <f t="shared" si="160"/>
        <v>1</v>
      </c>
      <c r="W861">
        <f t="shared" si="161"/>
        <v>1</v>
      </c>
      <c r="X861" s="35">
        <f t="shared" si="162"/>
        <v>0</v>
      </c>
      <c r="Y861">
        <f t="shared" si="163"/>
        <v>0</v>
      </c>
      <c r="AB861">
        <f t="shared" si="166"/>
        <v>1</v>
      </c>
      <c r="AC861">
        <f t="shared" ca="1" si="167"/>
        <v>0</v>
      </c>
      <c r="AD861" t="str">
        <f ca="1">IF(AC861=1,COUNTIF($AC$3:AC861,1),"")</f>
        <v/>
      </c>
      <c r="AE861" s="155" t="str">
        <f ca="1">IFERROR(INDEX(Données!$B$3:$B$1479,MATCH(ROWS($AD$3:AD861),$AD$3:$AD$1479,0)),"")</f>
        <v/>
      </c>
    </row>
    <row r="862" spans="1:31" ht="15.75" x14ac:dyDescent="0.25">
      <c r="A862" t="str">
        <f t="shared" si="164"/>
        <v>Leo Komarov - NYI - AD, AG, C</v>
      </c>
      <c r="B862" t="str">
        <f t="shared" si="165"/>
        <v>Leo Komarov - NYI - AD, AG, C</v>
      </c>
      <c r="C862" t="str">
        <f t="shared" si="156"/>
        <v>Leo</v>
      </c>
      <c r="D862" t="str">
        <f t="shared" si="157"/>
        <v>Komarov</v>
      </c>
      <c r="E862" s="39" t="s">
        <v>1727</v>
      </c>
      <c r="F862" s="30" t="s">
        <v>25</v>
      </c>
      <c r="G862" s="35" t="s">
        <v>381</v>
      </c>
      <c r="H862" s="35" t="s">
        <v>2496</v>
      </c>
      <c r="I862" s="35" t="s">
        <v>2439</v>
      </c>
      <c r="J862" s="35">
        <v>32</v>
      </c>
      <c r="K862" s="35">
        <f>VALUE(COUNTIF(Validation!$A$2:$H$47,E862))</f>
        <v>0</v>
      </c>
      <c r="L862" s="361">
        <f t="shared" si="158"/>
        <v>3000000</v>
      </c>
      <c r="M862" s="361">
        <f t="shared" si="159"/>
        <v>3000000</v>
      </c>
      <c r="N862" s="358">
        <v>3000000</v>
      </c>
      <c r="O862" s="358">
        <v>3000000</v>
      </c>
      <c r="P862" s="358">
        <v>3000000</v>
      </c>
      <c r="Q862" s="358" t="s">
        <v>7</v>
      </c>
      <c r="R862" s="358">
        <v>0</v>
      </c>
      <c r="S862" s="358">
        <v>0</v>
      </c>
      <c r="T862" s="358">
        <v>0</v>
      </c>
      <c r="U862" s="35">
        <f t="shared" si="160"/>
        <v>3</v>
      </c>
      <c r="W862">
        <f t="shared" si="161"/>
        <v>1</v>
      </c>
      <c r="X862" s="35">
        <f t="shared" si="162"/>
        <v>0</v>
      </c>
      <c r="Y862">
        <f t="shared" si="163"/>
        <v>1</v>
      </c>
      <c r="AB862">
        <f t="shared" si="166"/>
        <v>1</v>
      </c>
      <c r="AC862">
        <f t="shared" ca="1" si="167"/>
        <v>0</v>
      </c>
      <c r="AD862" t="str">
        <f ca="1">IF(AC862=1,COUNTIF($AC$3:AC862,1),"")</f>
        <v/>
      </c>
      <c r="AE862" s="155" t="str">
        <f ca="1">IFERROR(INDEX(Données!$B$3:$B$1479,MATCH(ROWS($AD$3:AD862),$AD$3:$AD$1479,0)),"")</f>
        <v/>
      </c>
    </row>
    <row r="863" spans="1:31" ht="15.75" x14ac:dyDescent="0.25">
      <c r="A863" t="str">
        <f t="shared" si="164"/>
        <v>Thomas Hickey - NYI - DG</v>
      </c>
      <c r="B863" t="str">
        <f t="shared" si="165"/>
        <v>Thomas Hickey - NYI - DG</v>
      </c>
      <c r="C863" t="str">
        <f t="shared" si="156"/>
        <v>Thomas</v>
      </c>
      <c r="D863" t="str">
        <f t="shared" si="157"/>
        <v>Hickey</v>
      </c>
      <c r="E863" s="39" t="s">
        <v>1736</v>
      </c>
      <c r="F863" s="30" t="s">
        <v>25</v>
      </c>
      <c r="G863" s="35">
        <v>0</v>
      </c>
      <c r="H863" s="35" t="s">
        <v>2445</v>
      </c>
      <c r="I863" s="35" t="s">
        <v>2439</v>
      </c>
      <c r="J863" s="35">
        <v>30</v>
      </c>
      <c r="K863" s="35">
        <f>VALUE(COUNTIF(Validation!$A$2:$H$47,E863))</f>
        <v>0</v>
      </c>
      <c r="L863" s="361">
        <f t="shared" si="158"/>
        <v>2500000</v>
      </c>
      <c r="M863" s="361">
        <f t="shared" si="159"/>
        <v>2500000</v>
      </c>
      <c r="N863" s="358">
        <v>2500000</v>
      </c>
      <c r="O863" s="358">
        <v>2500000</v>
      </c>
      <c r="P863" s="358">
        <v>2500000</v>
      </c>
      <c r="Q863" s="358" t="s">
        <v>7</v>
      </c>
      <c r="R863" s="358">
        <v>0</v>
      </c>
      <c r="S863" s="358">
        <v>0</v>
      </c>
      <c r="T863" s="358">
        <v>0</v>
      </c>
      <c r="U863" s="35">
        <f t="shared" si="160"/>
        <v>3</v>
      </c>
      <c r="W863">
        <f t="shared" si="161"/>
        <v>1</v>
      </c>
      <c r="X863" s="35">
        <f t="shared" si="162"/>
        <v>0</v>
      </c>
      <c r="Y863">
        <f t="shared" si="163"/>
        <v>1</v>
      </c>
      <c r="AB863">
        <f t="shared" si="166"/>
        <v>1</v>
      </c>
      <c r="AC863">
        <f t="shared" ca="1" si="167"/>
        <v>0</v>
      </c>
      <c r="AD863" t="str">
        <f ca="1">IF(AC863=1,COUNTIF($AC$3:AC863,1),"")</f>
        <v/>
      </c>
      <c r="AE863" s="155" t="str">
        <f ca="1">IFERROR(INDEX(Données!$B$3:$B$1479,MATCH(ROWS($AD$3:AD863),$AD$3:$AD$1479,0)),"")</f>
        <v/>
      </c>
    </row>
    <row r="864" spans="1:31" ht="15.75" x14ac:dyDescent="0.25">
      <c r="A864" t="str">
        <f t="shared" si="164"/>
        <v>Matt Martin - NYI - AG, AD</v>
      </c>
      <c r="B864" t="str">
        <f t="shared" si="165"/>
        <v>Matt Martin - NYI - AG, AD</v>
      </c>
      <c r="C864" t="str">
        <f t="shared" si="156"/>
        <v>Matt</v>
      </c>
      <c r="D864" t="str">
        <f t="shared" si="157"/>
        <v>Martin</v>
      </c>
      <c r="E864" s="39" t="s">
        <v>1729</v>
      </c>
      <c r="F864" s="30" t="s">
        <v>25</v>
      </c>
      <c r="G864" s="35">
        <v>0</v>
      </c>
      <c r="H864" s="35" t="s">
        <v>2442</v>
      </c>
      <c r="I864" s="35" t="s">
        <v>2439</v>
      </c>
      <c r="J864" s="35">
        <v>30</v>
      </c>
      <c r="K864" s="35">
        <f>VALUE(COUNTIF(Validation!$A$2:$H$47,E864))</f>
        <v>0</v>
      </c>
      <c r="L864" s="361">
        <f t="shared" si="158"/>
        <v>2500000</v>
      </c>
      <c r="M864" s="361">
        <f t="shared" si="159"/>
        <v>0</v>
      </c>
      <c r="N864" s="358">
        <v>2500000</v>
      </c>
      <c r="O864" s="358" t="s">
        <v>7</v>
      </c>
      <c r="P864" s="358">
        <v>0</v>
      </c>
      <c r="Q864" s="358">
        <v>0</v>
      </c>
      <c r="R864" s="358">
        <v>0</v>
      </c>
      <c r="S864" s="358">
        <v>0</v>
      </c>
      <c r="T864" s="358">
        <v>0</v>
      </c>
      <c r="U864" s="35">
        <f t="shared" si="160"/>
        <v>1</v>
      </c>
      <c r="W864">
        <f t="shared" si="161"/>
        <v>1</v>
      </c>
      <c r="X864" s="35">
        <f t="shared" si="162"/>
        <v>0</v>
      </c>
      <c r="Y864">
        <f t="shared" si="163"/>
        <v>0</v>
      </c>
      <c r="AB864">
        <f t="shared" si="166"/>
        <v>1</v>
      </c>
      <c r="AC864">
        <f t="shared" ca="1" si="167"/>
        <v>0</v>
      </c>
      <c r="AD864" t="str">
        <f ca="1">IF(AC864=1,COUNTIF($AC$3:AC864,1),"")</f>
        <v/>
      </c>
      <c r="AE864" s="155" t="str">
        <f ca="1">IFERROR(INDEX(Données!$B$3:$B$1479,MATCH(ROWS($AD$3:AD864),$AD$3:$AD$1479,0)),"")</f>
        <v/>
      </c>
    </row>
    <row r="865" spans="1:31" ht="15.75" x14ac:dyDescent="0.25">
      <c r="A865" t="str">
        <f t="shared" si="164"/>
        <v>Ryan Pulock - NYI - DD</v>
      </c>
      <c r="B865" t="str">
        <f t="shared" si="165"/>
        <v>Ryan Pulock - NYI - DD</v>
      </c>
      <c r="C865" t="str">
        <f t="shared" si="156"/>
        <v>Ryan</v>
      </c>
      <c r="D865" t="str">
        <f t="shared" si="157"/>
        <v>Pulock</v>
      </c>
      <c r="E865" s="39" t="s">
        <v>1737</v>
      </c>
      <c r="F865" s="30" t="s">
        <v>25</v>
      </c>
      <c r="G865" s="35">
        <v>0</v>
      </c>
      <c r="H865" s="35" t="s">
        <v>2444</v>
      </c>
      <c r="I865" s="35" t="s">
        <v>2439</v>
      </c>
      <c r="J865" s="35">
        <v>24</v>
      </c>
      <c r="K865" s="35">
        <f>VALUE(COUNTIF(Validation!$A$2:$H$47,E865))</f>
        <v>0</v>
      </c>
      <c r="L865" s="361">
        <f t="shared" si="158"/>
        <v>2000000</v>
      </c>
      <c r="M865" s="361">
        <f t="shared" si="159"/>
        <v>0</v>
      </c>
      <c r="N865" s="358">
        <v>2000000</v>
      </c>
      <c r="O865" s="358" t="s">
        <v>8</v>
      </c>
      <c r="P865" s="358">
        <v>0</v>
      </c>
      <c r="Q865" s="358">
        <v>0</v>
      </c>
      <c r="R865" s="358">
        <v>0</v>
      </c>
      <c r="S865" s="358">
        <v>0</v>
      </c>
      <c r="T865" s="358">
        <v>0</v>
      </c>
      <c r="U865" s="35">
        <f t="shared" si="160"/>
        <v>1</v>
      </c>
      <c r="W865">
        <f t="shared" si="161"/>
        <v>1</v>
      </c>
      <c r="X865" s="35">
        <f t="shared" si="162"/>
        <v>0</v>
      </c>
      <c r="Y865">
        <f t="shared" si="163"/>
        <v>0</v>
      </c>
      <c r="AB865">
        <f t="shared" si="166"/>
        <v>1</v>
      </c>
      <c r="AC865">
        <f t="shared" ca="1" si="167"/>
        <v>0</v>
      </c>
      <c r="AD865" t="str">
        <f ca="1">IF(AC865=1,COUNTIF($AC$3:AC865,1),"")</f>
        <v/>
      </c>
      <c r="AE865" s="155" t="str">
        <f ca="1">IFERROR(INDEX(Données!$B$3:$B$1479,MATCH(ROWS($AD$3:AD865),$AD$3:$AD$1479,0)),"")</f>
        <v/>
      </c>
    </row>
    <row r="866" spans="1:31" ht="15.75" x14ac:dyDescent="0.25">
      <c r="A866" t="str">
        <f t="shared" si="164"/>
        <v>Adam Pelech - NYI - DG</v>
      </c>
      <c r="B866" t="str">
        <f t="shared" si="165"/>
        <v>Adam Pelech - NYI - DG</v>
      </c>
      <c r="C866" t="str">
        <f t="shared" si="156"/>
        <v>Adam</v>
      </c>
      <c r="D866" t="str">
        <f t="shared" si="157"/>
        <v>Pelech</v>
      </c>
      <c r="E866" s="39" t="s">
        <v>1738</v>
      </c>
      <c r="F866" s="30" t="s">
        <v>25</v>
      </c>
      <c r="G866" s="35">
        <v>0</v>
      </c>
      <c r="H866" s="35" t="s">
        <v>2445</v>
      </c>
      <c r="I866" s="35" t="s">
        <v>2439</v>
      </c>
      <c r="J866" s="35">
        <v>24</v>
      </c>
      <c r="K866" s="35">
        <f>VALUE(COUNTIF(Validation!$A$2:$H$47,E866))</f>
        <v>0</v>
      </c>
      <c r="L866" s="361">
        <f t="shared" si="158"/>
        <v>1600000</v>
      </c>
      <c r="M866" s="361">
        <f t="shared" si="159"/>
        <v>1600000</v>
      </c>
      <c r="N866" s="358">
        <v>1600000</v>
      </c>
      <c r="O866" s="358">
        <v>1600000</v>
      </c>
      <c r="P866" s="358" t="s">
        <v>8</v>
      </c>
      <c r="Q866" s="358">
        <v>0</v>
      </c>
      <c r="R866" s="358">
        <v>0</v>
      </c>
      <c r="S866" s="358">
        <v>0</v>
      </c>
      <c r="T866" s="358">
        <v>0</v>
      </c>
      <c r="U866" s="35">
        <f t="shared" si="160"/>
        <v>2</v>
      </c>
      <c r="W866">
        <f t="shared" si="161"/>
        <v>1</v>
      </c>
      <c r="X866" s="35">
        <f t="shared" si="162"/>
        <v>0</v>
      </c>
      <c r="Y866">
        <f t="shared" si="163"/>
        <v>1</v>
      </c>
      <c r="AB866">
        <f t="shared" si="166"/>
        <v>1</v>
      </c>
      <c r="AC866">
        <f t="shared" ca="1" si="167"/>
        <v>0</v>
      </c>
      <c r="AD866" t="str">
        <f ca="1">IF(AC866=1,COUNTIF($AC$3:AC866,1),"")</f>
        <v/>
      </c>
      <c r="AE866" s="155" t="str">
        <f ca="1">IFERROR(INDEX(Données!$B$3:$B$1479,MATCH(ROWS($AD$3:AD866),$AD$3:$AD$1479,0)),"")</f>
        <v/>
      </c>
    </row>
    <row r="867" spans="1:31" ht="15.75" x14ac:dyDescent="0.25">
      <c r="A867" t="str">
        <f t="shared" si="164"/>
        <v>Oliver Wahlstrom - NYI - C, AD</v>
      </c>
      <c r="B867" t="str">
        <f t="shared" si="165"/>
        <v>Oliver Wahlstrom - NYI - C, AD</v>
      </c>
      <c r="C867" t="str">
        <f t="shared" si="156"/>
        <v>Oliver</v>
      </c>
      <c r="D867" t="str">
        <f t="shared" si="157"/>
        <v>Wahlstrom</v>
      </c>
      <c r="E867" s="39" t="s">
        <v>2572</v>
      </c>
      <c r="F867" s="30" t="s">
        <v>25</v>
      </c>
      <c r="G867" s="35" t="s">
        <v>386</v>
      </c>
      <c r="H867" s="35" t="s">
        <v>2448</v>
      </c>
      <c r="I867" s="35" t="s">
        <v>2446</v>
      </c>
      <c r="J867" s="9">
        <v>19</v>
      </c>
      <c r="K867" s="35">
        <f>VALUE(COUNTIF(Validation!$A$2:$H$47,E867))</f>
        <v>0</v>
      </c>
      <c r="L867" s="361">
        <f t="shared" si="158"/>
        <v>1462500</v>
      </c>
      <c r="M867" s="361">
        <f t="shared" si="159"/>
        <v>1462500</v>
      </c>
      <c r="N867" s="358">
        <v>1462500</v>
      </c>
      <c r="O867" s="358">
        <v>1462500</v>
      </c>
      <c r="P867" s="358">
        <v>1462500</v>
      </c>
      <c r="Q867" s="358" t="s">
        <v>8</v>
      </c>
      <c r="R867" s="358">
        <v>0</v>
      </c>
      <c r="S867" s="358">
        <v>0</v>
      </c>
      <c r="T867" s="358">
        <v>0</v>
      </c>
      <c r="U867" s="35">
        <f t="shared" si="160"/>
        <v>3</v>
      </c>
      <c r="W867">
        <f t="shared" si="161"/>
        <v>1</v>
      </c>
      <c r="X867" s="35">
        <f t="shared" si="162"/>
        <v>1</v>
      </c>
      <c r="Y867">
        <f t="shared" si="163"/>
        <v>1</v>
      </c>
      <c r="AB867">
        <f t="shared" si="166"/>
        <v>1</v>
      </c>
      <c r="AC867">
        <f t="shared" ca="1" si="167"/>
        <v>0</v>
      </c>
      <c r="AD867" t="str">
        <f ca="1">IF(AC867=1,COUNTIF($AC$3:AC867,1),"")</f>
        <v/>
      </c>
      <c r="AE867" s="155" t="str">
        <f ca="1">IFERROR(INDEX(Données!$B$3:$B$1479,MATCH(ROWS($AD$3:AD867),$AD$3:$AD$1479,0)),"")</f>
        <v/>
      </c>
    </row>
    <row r="868" spans="1:31" ht="15.75" x14ac:dyDescent="0.25">
      <c r="A868" t="str">
        <f t="shared" si="164"/>
        <v>Scott Mayfield - NYI - DD</v>
      </c>
      <c r="B868" t="str">
        <f t="shared" si="165"/>
        <v>Scott Mayfield - NYI - DD</v>
      </c>
      <c r="C868" t="str">
        <f t="shared" si="156"/>
        <v>Scott</v>
      </c>
      <c r="D868" t="str">
        <f t="shared" si="157"/>
        <v>Mayfield</v>
      </c>
      <c r="E868" s="39" t="s">
        <v>1739</v>
      </c>
      <c r="F868" s="30" t="s">
        <v>25</v>
      </c>
      <c r="G868" s="35">
        <v>0</v>
      </c>
      <c r="H868" s="35" t="s">
        <v>2444</v>
      </c>
      <c r="I868" s="35" t="s">
        <v>2439</v>
      </c>
      <c r="J868" s="35">
        <v>26</v>
      </c>
      <c r="K868" s="35">
        <f>VALUE(COUNTIF(Validation!$A$2:$H$47,E868))</f>
        <v>0</v>
      </c>
      <c r="L868" s="361">
        <f t="shared" si="158"/>
        <v>1450000</v>
      </c>
      <c r="M868" s="361">
        <f t="shared" si="159"/>
        <v>1450000</v>
      </c>
      <c r="N868" s="358">
        <v>1450000</v>
      </c>
      <c r="O868" s="358">
        <v>1450000</v>
      </c>
      <c r="P868" s="358">
        <v>1450000</v>
      </c>
      <c r="Q868" s="358">
        <v>1450000</v>
      </c>
      <c r="R868" s="358" t="s">
        <v>7</v>
      </c>
      <c r="S868" s="358">
        <v>0</v>
      </c>
      <c r="T868" s="358">
        <v>0</v>
      </c>
      <c r="U868" s="35">
        <f t="shared" si="160"/>
        <v>4</v>
      </c>
      <c r="W868">
        <f t="shared" si="161"/>
        <v>1</v>
      </c>
      <c r="X868" s="35">
        <f t="shared" si="162"/>
        <v>0</v>
      </c>
      <c r="Y868">
        <f t="shared" si="163"/>
        <v>1</v>
      </c>
      <c r="AB868">
        <f t="shared" si="166"/>
        <v>1</v>
      </c>
      <c r="AC868">
        <f t="shared" ca="1" si="167"/>
        <v>0</v>
      </c>
      <c r="AD868" t="str">
        <f ca="1">IF(AC868=1,COUNTIF($AC$3:AC868,1),"")</f>
        <v/>
      </c>
      <c r="AE868" s="155" t="str">
        <f ca="1">IFERROR(INDEX(Données!$B$3:$B$1479,MATCH(ROWS($AD$3:AD868),$AD$3:$AD$1479,0)),"")</f>
        <v/>
      </c>
    </row>
    <row r="869" spans="1:31" ht="15.75" x14ac:dyDescent="0.25">
      <c r="A869" t="str">
        <f t="shared" si="164"/>
        <v>Noah Dobson - NYI - DD</v>
      </c>
      <c r="B869" t="str">
        <f t="shared" si="165"/>
        <v>Noah Dobson - NYI - DD</v>
      </c>
      <c r="C869" t="str">
        <f t="shared" si="156"/>
        <v>Noah</v>
      </c>
      <c r="D869" t="str">
        <f t="shared" si="157"/>
        <v>Dobson</v>
      </c>
      <c r="E869" s="39" t="s">
        <v>1742</v>
      </c>
      <c r="F869" s="30" t="s">
        <v>25</v>
      </c>
      <c r="G869" s="35" t="s">
        <v>388</v>
      </c>
      <c r="H869" s="35" t="s">
        <v>2444</v>
      </c>
      <c r="I869" s="35" t="s">
        <v>389</v>
      </c>
      <c r="J869" s="35">
        <v>19</v>
      </c>
      <c r="K869" s="35">
        <f>VALUE(COUNTIF(Validation!$A$2:$H$47,E869))</f>
        <v>0</v>
      </c>
      <c r="L869" s="361">
        <f t="shared" si="158"/>
        <v>1431667</v>
      </c>
      <c r="M869" s="361">
        <f t="shared" si="159"/>
        <v>1431667</v>
      </c>
      <c r="N869" s="358">
        <v>1431667</v>
      </c>
      <c r="O869" s="358">
        <v>1431667</v>
      </c>
      <c r="P869" s="358">
        <v>1431667</v>
      </c>
      <c r="Q869" s="358" t="s">
        <v>8</v>
      </c>
      <c r="R869" s="358">
        <v>0</v>
      </c>
      <c r="S869" s="358">
        <v>0</v>
      </c>
      <c r="T869" s="358">
        <v>0</v>
      </c>
      <c r="U869" s="35">
        <f t="shared" si="160"/>
        <v>3</v>
      </c>
      <c r="W869">
        <f t="shared" si="161"/>
        <v>1</v>
      </c>
      <c r="X869" s="35">
        <f t="shared" si="162"/>
        <v>1</v>
      </c>
      <c r="Y869">
        <f t="shared" si="163"/>
        <v>1</v>
      </c>
      <c r="AB869">
        <f t="shared" si="166"/>
        <v>1</v>
      </c>
      <c r="AC869">
        <f t="shared" ca="1" si="167"/>
        <v>0</v>
      </c>
      <c r="AD869" t="str">
        <f ca="1">IF(AC869=1,COUNTIF($AC$3:AC869,1),"")</f>
        <v/>
      </c>
      <c r="AE869" s="155" t="str">
        <f ca="1">IFERROR(INDEX(Données!$B$3:$B$1479,MATCH(ROWS($AD$3:AD869),$AD$3:$AD$1479,0)),"")</f>
        <v/>
      </c>
    </row>
    <row r="870" spans="1:31" ht="15.75" x14ac:dyDescent="0.25">
      <c r="A870" t="str">
        <f t="shared" si="164"/>
        <v>Mathew Barzal - NYI - C</v>
      </c>
      <c r="B870" t="str">
        <f t="shared" si="165"/>
        <v>Mathew Barzal - NYI - C</v>
      </c>
      <c r="C870" t="str">
        <f t="shared" si="156"/>
        <v>Mathew</v>
      </c>
      <c r="D870" t="str">
        <f t="shared" si="157"/>
        <v>Barzal</v>
      </c>
      <c r="E870" s="39" t="s">
        <v>1732</v>
      </c>
      <c r="F870" s="30" t="s">
        <v>25</v>
      </c>
      <c r="G870" s="35" t="s">
        <v>403</v>
      </c>
      <c r="H870" s="35" t="s">
        <v>73</v>
      </c>
      <c r="I870" s="35" t="s">
        <v>2439</v>
      </c>
      <c r="J870" s="35">
        <v>22</v>
      </c>
      <c r="K870" s="35">
        <f>VALUE(COUNTIF(Validation!$A$2:$H$47,E870))</f>
        <v>0</v>
      </c>
      <c r="L870" s="361">
        <f t="shared" si="158"/>
        <v>1263333</v>
      </c>
      <c r="M870" s="361">
        <f t="shared" si="159"/>
        <v>0</v>
      </c>
      <c r="N870" s="358">
        <v>1263333</v>
      </c>
      <c r="O870" s="358" t="s">
        <v>8</v>
      </c>
      <c r="P870" s="358">
        <v>0</v>
      </c>
      <c r="Q870" s="358">
        <v>0</v>
      </c>
      <c r="R870" s="358">
        <v>0</v>
      </c>
      <c r="S870" s="358">
        <v>0</v>
      </c>
      <c r="T870" s="358">
        <v>0</v>
      </c>
      <c r="U870" s="35">
        <f t="shared" si="160"/>
        <v>1</v>
      </c>
      <c r="W870">
        <f t="shared" si="161"/>
        <v>1</v>
      </c>
      <c r="X870" s="35">
        <f t="shared" si="162"/>
        <v>1</v>
      </c>
      <c r="Y870">
        <f t="shared" si="163"/>
        <v>0</v>
      </c>
      <c r="AB870">
        <f t="shared" si="166"/>
        <v>1</v>
      </c>
      <c r="AC870">
        <f t="shared" ca="1" si="167"/>
        <v>0</v>
      </c>
      <c r="AD870" t="str">
        <f ca="1">IF(AC870=1,COUNTIF($AC$3:AC870,1),"")</f>
        <v/>
      </c>
      <c r="AE870" s="155" t="str">
        <f ca="1">IFERROR(INDEX(Données!$B$3:$B$1479,MATCH(ROWS($AD$3:AD870),$AD$3:$AD$1479,0)),"")</f>
        <v/>
      </c>
    </row>
    <row r="871" spans="1:31" ht="15.75" x14ac:dyDescent="0.25">
      <c r="A871" t="str">
        <f t="shared" si="164"/>
        <v>Kieffer Bellows - NYI - C, AG</v>
      </c>
      <c r="B871" t="str">
        <f t="shared" si="165"/>
        <v>Kieffer Bellows - NYI - C, AG</v>
      </c>
      <c r="C871" t="str">
        <f t="shared" si="156"/>
        <v>Kieffer</v>
      </c>
      <c r="D871" t="str">
        <f t="shared" si="157"/>
        <v>Bellows</v>
      </c>
      <c r="E871" s="39" t="s">
        <v>1743</v>
      </c>
      <c r="F871" s="30" t="s">
        <v>25</v>
      </c>
      <c r="G871" s="35" t="s">
        <v>386</v>
      </c>
      <c r="H871" s="9" t="s">
        <v>2452</v>
      </c>
      <c r="I871" s="9" t="s">
        <v>2446</v>
      </c>
      <c r="J871" s="9">
        <v>21</v>
      </c>
      <c r="K871" s="35">
        <f>VALUE(COUNTIF(Validation!$A$2:$H$47,E871))</f>
        <v>0</v>
      </c>
      <c r="L871" s="361">
        <f t="shared" si="158"/>
        <v>1106666</v>
      </c>
      <c r="M871" s="361">
        <f t="shared" si="159"/>
        <v>1106666</v>
      </c>
      <c r="N871" s="358">
        <v>1106666</v>
      </c>
      <c r="O871" s="358">
        <v>1106666</v>
      </c>
      <c r="P871" s="358" t="s">
        <v>8</v>
      </c>
      <c r="Q871" s="358">
        <v>0</v>
      </c>
      <c r="R871" s="358">
        <v>0</v>
      </c>
      <c r="S871" s="358">
        <v>0</v>
      </c>
      <c r="T871" s="358">
        <v>0</v>
      </c>
      <c r="U871" s="35">
        <f t="shared" si="160"/>
        <v>2</v>
      </c>
      <c r="W871">
        <f t="shared" si="161"/>
        <v>1</v>
      </c>
      <c r="X871" s="35">
        <f t="shared" si="162"/>
        <v>1</v>
      </c>
      <c r="Y871">
        <f t="shared" si="163"/>
        <v>1</v>
      </c>
      <c r="AB871">
        <f t="shared" si="166"/>
        <v>1</v>
      </c>
      <c r="AC871">
        <f t="shared" ca="1" si="167"/>
        <v>0</v>
      </c>
      <c r="AD871" t="str">
        <f ca="1">IF(AC871=1,COUNTIF($AC$3:AC871,1),"")</f>
        <v/>
      </c>
      <c r="AE871" s="155" t="str">
        <f ca="1">IFERROR(INDEX(Données!$B$3:$B$1479,MATCH(ROWS($AD$3:AD871),$AD$3:$AD$1479,0)),"")</f>
        <v/>
      </c>
    </row>
    <row r="872" spans="1:31" ht="15.75" x14ac:dyDescent="0.25">
      <c r="A872" t="str">
        <f t="shared" si="164"/>
        <v>Ross Johnston - NYI - AG</v>
      </c>
      <c r="B872" t="str">
        <f t="shared" si="165"/>
        <v>Ross Johnston - NYI - AG</v>
      </c>
      <c r="C872" t="str">
        <f t="shared" si="156"/>
        <v>Ross</v>
      </c>
      <c r="D872" t="str">
        <f t="shared" si="157"/>
        <v>Johnston</v>
      </c>
      <c r="E872" s="39" t="s">
        <v>1730</v>
      </c>
      <c r="F872" s="30" t="s">
        <v>25</v>
      </c>
      <c r="G872" s="35">
        <v>0</v>
      </c>
      <c r="H872" s="35" t="s">
        <v>2440</v>
      </c>
      <c r="I872" s="35" t="s">
        <v>2439</v>
      </c>
      <c r="J872" s="35">
        <v>25</v>
      </c>
      <c r="K872" s="35">
        <f>VALUE(COUNTIF(Validation!$A$2:$H$47,E872))</f>
        <v>0</v>
      </c>
      <c r="L872" s="361">
        <f t="shared" si="158"/>
        <v>1000000</v>
      </c>
      <c r="M872" s="361">
        <f t="shared" si="159"/>
        <v>1000000</v>
      </c>
      <c r="N872" s="358">
        <v>1000000</v>
      </c>
      <c r="O872" s="358">
        <v>1000000</v>
      </c>
      <c r="P872" s="358">
        <v>1000000</v>
      </c>
      <c r="Q872" s="358" t="s">
        <v>7</v>
      </c>
      <c r="R872" s="358">
        <v>0</v>
      </c>
      <c r="S872" s="358">
        <v>0</v>
      </c>
      <c r="T872" s="362">
        <v>0</v>
      </c>
      <c r="U872" s="35">
        <f t="shared" si="160"/>
        <v>3</v>
      </c>
      <c r="W872">
        <f t="shared" si="161"/>
        <v>1</v>
      </c>
      <c r="X872" s="35">
        <f t="shared" si="162"/>
        <v>0</v>
      </c>
      <c r="Y872">
        <f t="shared" si="163"/>
        <v>1</v>
      </c>
      <c r="AB872">
        <f t="shared" si="166"/>
        <v>1</v>
      </c>
      <c r="AC872">
        <f t="shared" ca="1" si="167"/>
        <v>0</v>
      </c>
      <c r="AD872" t="str">
        <f ca="1">IF(AC872=1,COUNTIF($AC$3:AC872,1),"")</f>
        <v/>
      </c>
      <c r="AE872" s="155" t="str">
        <f ca="1">IFERROR(INDEX(Données!$B$3:$B$1479,MATCH(ROWS($AD$3:AD872),$AD$3:$AD$1479,0)),"")</f>
        <v/>
      </c>
    </row>
    <row r="873" spans="1:31" ht="15.75" x14ac:dyDescent="0.25">
      <c r="A873" t="str">
        <f t="shared" si="164"/>
        <v>Mitch VandeSompel - NYI - D</v>
      </c>
      <c r="B873" t="str">
        <f t="shared" si="165"/>
        <v>Mitch VandeSompel - NYI - D</v>
      </c>
      <c r="C873" t="str">
        <f t="shared" si="156"/>
        <v>Mitch</v>
      </c>
      <c r="D873" t="str">
        <f t="shared" si="157"/>
        <v>VandeSompel</v>
      </c>
      <c r="E873" s="39" t="s">
        <v>2936</v>
      </c>
      <c r="F873" s="30" t="s">
        <v>25</v>
      </c>
      <c r="G873" s="35" t="s">
        <v>386</v>
      </c>
      <c r="H873" s="35" t="s">
        <v>82</v>
      </c>
      <c r="I873" s="35" t="s">
        <v>2446</v>
      </c>
      <c r="J873" s="35">
        <v>22</v>
      </c>
      <c r="K873" s="35">
        <f>VALUE(COUNTIF(Validation!$A$2:$H$47,E873))</f>
        <v>0</v>
      </c>
      <c r="L873" s="361">
        <f t="shared" si="158"/>
        <v>935833</v>
      </c>
      <c r="M873" s="361">
        <f t="shared" si="159"/>
        <v>0</v>
      </c>
      <c r="N873" s="358">
        <v>935833</v>
      </c>
      <c r="O873" s="358" t="s">
        <v>8</v>
      </c>
      <c r="P873" s="358">
        <v>0</v>
      </c>
      <c r="Q873" s="358">
        <v>0</v>
      </c>
      <c r="R873" s="358">
        <v>0</v>
      </c>
      <c r="S873" s="358">
        <v>0</v>
      </c>
      <c r="T873" s="358">
        <v>0</v>
      </c>
      <c r="U873" s="35">
        <f t="shared" si="160"/>
        <v>1</v>
      </c>
      <c r="W873">
        <f t="shared" si="161"/>
        <v>1</v>
      </c>
      <c r="X873" s="35">
        <f t="shared" si="162"/>
        <v>1</v>
      </c>
      <c r="Y873">
        <f t="shared" si="163"/>
        <v>0</v>
      </c>
      <c r="AB873">
        <f t="shared" si="166"/>
        <v>1</v>
      </c>
      <c r="AC873">
        <f t="shared" ca="1" si="167"/>
        <v>0</v>
      </c>
      <c r="AD873" t="str">
        <f ca="1">IF(AC873=1,COUNTIF($AC$3:AC873,1),"")</f>
        <v/>
      </c>
      <c r="AE873" s="155" t="str">
        <f ca="1">IFERROR(INDEX(Données!$B$3:$B$1479,MATCH(ROWS($AD$3:AD873),$AD$3:$AD$1479,0)),"")</f>
        <v/>
      </c>
    </row>
    <row r="874" spans="1:31" ht="15.75" x14ac:dyDescent="0.25">
      <c r="A874" t="str">
        <f t="shared" si="164"/>
        <v>Jakub Skarek - NYI - G</v>
      </c>
      <c r="B874" t="str">
        <f t="shared" si="165"/>
        <v>Jakub Skarek - NYI - G</v>
      </c>
      <c r="C874" t="str">
        <f t="shared" si="156"/>
        <v>Jakub</v>
      </c>
      <c r="D874" t="str">
        <f t="shared" si="157"/>
        <v>Skarek</v>
      </c>
      <c r="E874" s="39" t="s">
        <v>1746</v>
      </c>
      <c r="F874" s="30" t="s">
        <v>25</v>
      </c>
      <c r="G874" s="35" t="s">
        <v>388</v>
      </c>
      <c r="H874" s="35" t="s">
        <v>127</v>
      </c>
      <c r="I874" s="35" t="s">
        <v>389</v>
      </c>
      <c r="J874" s="35">
        <v>19</v>
      </c>
      <c r="K874" s="35">
        <f>VALUE(COUNTIF(Validation!$A$2:$H$47,E874))</f>
        <v>0</v>
      </c>
      <c r="L874" s="361">
        <f t="shared" si="158"/>
        <v>927500</v>
      </c>
      <c r="M874" s="361">
        <f t="shared" si="159"/>
        <v>927500</v>
      </c>
      <c r="N874" s="358">
        <v>927500</v>
      </c>
      <c r="O874" s="358">
        <v>927500</v>
      </c>
      <c r="P874" s="358">
        <v>927500</v>
      </c>
      <c r="Q874" s="358" t="s">
        <v>8</v>
      </c>
      <c r="R874" s="358">
        <v>0</v>
      </c>
      <c r="S874" s="358">
        <v>0</v>
      </c>
      <c r="T874" s="358">
        <v>0</v>
      </c>
      <c r="U874" s="35">
        <f t="shared" si="160"/>
        <v>3</v>
      </c>
      <c r="W874">
        <f t="shared" si="161"/>
        <v>1</v>
      </c>
      <c r="X874" s="35">
        <f t="shared" si="162"/>
        <v>1</v>
      </c>
      <c r="Y874">
        <f t="shared" si="163"/>
        <v>1</v>
      </c>
      <c r="AB874">
        <f t="shared" si="166"/>
        <v>1</v>
      </c>
      <c r="AC874">
        <f t="shared" ca="1" si="167"/>
        <v>0</v>
      </c>
      <c r="AD874" t="str">
        <f ca="1">IF(AC874=1,COUNTIF($AC$3:AC874,1),"")</f>
        <v/>
      </c>
      <c r="AE874" s="155" t="str">
        <f ca="1">IFERROR(INDEX(Données!$B$3:$B$1479,MATCH(ROWS($AD$3:AD874),$AD$3:$AD$1479,0)),"")</f>
        <v/>
      </c>
    </row>
    <row r="875" spans="1:31" ht="15.75" x14ac:dyDescent="0.25">
      <c r="A875" t="str">
        <f t="shared" si="164"/>
        <v>Sebastian Aho - NYI - D</v>
      </c>
      <c r="B875" t="str">
        <f t="shared" si="165"/>
        <v>Sebastian Aho - NYI - D</v>
      </c>
      <c r="C875" t="str">
        <f t="shared" si="156"/>
        <v>Sebastian</v>
      </c>
      <c r="D875" t="str">
        <f t="shared" si="157"/>
        <v>Aho</v>
      </c>
      <c r="E875" s="39" t="s">
        <v>1622</v>
      </c>
      <c r="F875" s="30" t="s">
        <v>25</v>
      </c>
      <c r="G875" s="35" t="s">
        <v>386</v>
      </c>
      <c r="H875" s="35" t="s">
        <v>82</v>
      </c>
      <c r="I875" s="35" t="s">
        <v>2446</v>
      </c>
      <c r="J875" s="35">
        <v>23</v>
      </c>
      <c r="K875" s="35">
        <f>VALUE(COUNTIF(Validation!$A$2:$H$47,E875))</f>
        <v>0</v>
      </c>
      <c r="L875" s="361">
        <f t="shared" si="158"/>
        <v>925000</v>
      </c>
      <c r="M875" s="361">
        <f t="shared" si="159"/>
        <v>0</v>
      </c>
      <c r="N875" s="358">
        <v>925000</v>
      </c>
      <c r="O875" s="358" t="s">
        <v>8</v>
      </c>
      <c r="P875" s="358">
        <v>0</v>
      </c>
      <c r="Q875" s="358">
        <v>0</v>
      </c>
      <c r="R875" s="358">
        <v>0</v>
      </c>
      <c r="S875" s="358">
        <v>0</v>
      </c>
      <c r="T875" s="358">
        <v>0</v>
      </c>
      <c r="U875" s="35">
        <f t="shared" si="160"/>
        <v>1</v>
      </c>
      <c r="W875">
        <f t="shared" si="161"/>
        <v>2</v>
      </c>
      <c r="X875" s="35">
        <f t="shared" si="162"/>
        <v>1</v>
      </c>
      <c r="Y875">
        <f t="shared" si="163"/>
        <v>0</v>
      </c>
      <c r="AB875">
        <f t="shared" si="166"/>
        <v>1</v>
      </c>
      <c r="AC875">
        <f t="shared" ca="1" si="167"/>
        <v>0</v>
      </c>
      <c r="AD875" t="str">
        <f ca="1">IF(AC875=1,COUNTIF($AC$3:AC875,1),"")</f>
        <v/>
      </c>
      <c r="AE875" s="155" t="str">
        <f ca="1">IFERROR(INDEX(Données!$B$3:$B$1479,MATCH(ROWS($AD$3:AD875),$AD$3:$AD$1479,0)),"")</f>
        <v/>
      </c>
    </row>
    <row r="876" spans="1:31" ht="15.75" x14ac:dyDescent="0.25">
      <c r="A876" t="str">
        <f t="shared" si="164"/>
        <v>Bobo Carpenter - NYI - AG, C</v>
      </c>
      <c r="B876" t="str">
        <f t="shared" si="165"/>
        <v>Bobo Carpenter - NYI - AG, C</v>
      </c>
      <c r="C876" t="str">
        <f t="shared" si="156"/>
        <v>Bobo</v>
      </c>
      <c r="D876" t="str">
        <f t="shared" si="157"/>
        <v>Carpenter</v>
      </c>
      <c r="E876" s="39" t="s">
        <v>2573</v>
      </c>
      <c r="F876" s="30" t="s">
        <v>25</v>
      </c>
      <c r="G876" s="35" t="s">
        <v>386</v>
      </c>
      <c r="H876" s="9" t="s">
        <v>2450</v>
      </c>
      <c r="I876" s="9" t="s">
        <v>2446</v>
      </c>
      <c r="J876" s="9">
        <v>22</v>
      </c>
      <c r="K876" s="35">
        <f>VALUE(COUNTIF(Validation!$A$2:$H$47,E876))</f>
        <v>0</v>
      </c>
      <c r="L876" s="361">
        <f t="shared" si="158"/>
        <v>925000</v>
      </c>
      <c r="M876" s="361">
        <f t="shared" si="159"/>
        <v>925000</v>
      </c>
      <c r="N876" s="358">
        <v>925000</v>
      </c>
      <c r="O876" s="358">
        <v>925000</v>
      </c>
      <c r="P876" s="358" t="s">
        <v>8</v>
      </c>
      <c r="Q876" s="358">
        <v>0</v>
      </c>
      <c r="R876" s="358">
        <v>0</v>
      </c>
      <c r="S876" s="358">
        <v>0</v>
      </c>
      <c r="T876" s="358">
        <v>0</v>
      </c>
      <c r="U876" s="35">
        <f t="shared" si="160"/>
        <v>2</v>
      </c>
      <c r="W876">
        <f t="shared" si="161"/>
        <v>1</v>
      </c>
      <c r="X876" s="35">
        <f t="shared" si="162"/>
        <v>1</v>
      </c>
      <c r="Y876">
        <f t="shared" si="163"/>
        <v>1</v>
      </c>
      <c r="AB876">
        <f t="shared" si="166"/>
        <v>1</v>
      </c>
      <c r="AC876">
        <f t="shared" ca="1" si="167"/>
        <v>0</v>
      </c>
      <c r="AD876" t="str">
        <f ca="1">IF(AC876=1,COUNTIF($AC$3:AC876,1),"")</f>
        <v/>
      </c>
      <c r="AE876" s="155" t="str">
        <f ca="1">IFERROR(INDEX(Données!$B$3:$B$1479,MATCH(ROWS($AD$3:AD876),$AD$3:$AD$1479,0)),"")</f>
        <v/>
      </c>
    </row>
    <row r="877" spans="1:31" ht="15.75" x14ac:dyDescent="0.25">
      <c r="A877" t="str">
        <f t="shared" si="164"/>
        <v>Simon Holmstrom - NYI - AD</v>
      </c>
      <c r="B877" t="str">
        <f t="shared" si="165"/>
        <v>Simon Holmstrom - NYI - AD</v>
      </c>
      <c r="C877" t="str">
        <f t="shared" si="156"/>
        <v>Simon</v>
      </c>
      <c r="D877" t="str">
        <f t="shared" si="157"/>
        <v>Holmstrom</v>
      </c>
      <c r="E877" s="39" t="s">
        <v>2854</v>
      </c>
      <c r="F877" s="30" t="s">
        <v>25</v>
      </c>
      <c r="G877" s="35" t="s">
        <v>386</v>
      </c>
      <c r="H877" s="35" t="s">
        <v>2438</v>
      </c>
      <c r="I877" s="35" t="s">
        <v>2446</v>
      </c>
      <c r="J877" s="35">
        <v>18</v>
      </c>
      <c r="K877" s="35">
        <f>VALUE(COUNTIF(Validation!$A$2:$H$47,E877))</f>
        <v>0</v>
      </c>
      <c r="L877" s="361">
        <f t="shared" si="158"/>
        <v>925000</v>
      </c>
      <c r="M877" s="361">
        <f t="shared" si="159"/>
        <v>925000</v>
      </c>
      <c r="N877" s="358">
        <v>925000</v>
      </c>
      <c r="O877" s="358">
        <v>925000</v>
      </c>
      <c r="P877" s="358">
        <v>925000</v>
      </c>
      <c r="Q877" s="358" t="s">
        <v>8</v>
      </c>
      <c r="R877" s="358">
        <v>0</v>
      </c>
      <c r="S877" s="358">
        <v>0</v>
      </c>
      <c r="T877" s="358">
        <v>0</v>
      </c>
      <c r="U877" s="35">
        <f t="shared" si="160"/>
        <v>3</v>
      </c>
      <c r="W877">
        <f t="shared" si="161"/>
        <v>1</v>
      </c>
      <c r="X877" s="35">
        <f t="shared" si="162"/>
        <v>1</v>
      </c>
      <c r="Y877">
        <f t="shared" si="163"/>
        <v>1</v>
      </c>
      <c r="AB877">
        <f t="shared" si="166"/>
        <v>1</v>
      </c>
      <c r="AC877">
        <f t="shared" ca="1" si="167"/>
        <v>0</v>
      </c>
      <c r="AD877" t="str">
        <f ca="1">IF(AC877=1,COUNTIF($AC$3:AC877,1),"")</f>
        <v/>
      </c>
      <c r="AE877" s="155" t="str">
        <f ca="1">IFERROR(INDEX(Données!$B$3:$B$1479,MATCH(ROWS($AD$3:AD877),$AD$3:$AD$1479,0)),"")</f>
        <v/>
      </c>
    </row>
    <row r="878" spans="1:31" ht="15.75" x14ac:dyDescent="0.25">
      <c r="A878" t="str">
        <f t="shared" si="164"/>
        <v>Grant Hutton - NYI - DD</v>
      </c>
      <c r="B878" t="str">
        <f t="shared" si="165"/>
        <v>Grant Hutton - NYI - DD</v>
      </c>
      <c r="C878" t="str">
        <f t="shared" si="156"/>
        <v>Grant</v>
      </c>
      <c r="D878" t="str">
        <f t="shared" si="157"/>
        <v>Hutton</v>
      </c>
      <c r="E878" s="39" t="s">
        <v>2576</v>
      </c>
      <c r="F878" s="30" t="s">
        <v>25</v>
      </c>
      <c r="G878" s="35" t="s">
        <v>386</v>
      </c>
      <c r="H878" s="35" t="s">
        <v>2444</v>
      </c>
      <c r="I878" s="35" t="s">
        <v>2446</v>
      </c>
      <c r="J878" s="35">
        <v>24</v>
      </c>
      <c r="K878" s="35">
        <f>VALUE(COUNTIF(Validation!$A$2:$H$47,E878))</f>
        <v>0</v>
      </c>
      <c r="L878" s="361">
        <f t="shared" si="158"/>
        <v>925000</v>
      </c>
      <c r="M878" s="361">
        <f t="shared" si="159"/>
        <v>0</v>
      </c>
      <c r="N878" s="358">
        <v>925000</v>
      </c>
      <c r="O878" s="358" t="s">
        <v>8</v>
      </c>
      <c r="P878" s="358">
        <v>0</v>
      </c>
      <c r="Q878" s="358">
        <v>0</v>
      </c>
      <c r="R878" s="358">
        <v>0</v>
      </c>
      <c r="S878" s="358">
        <v>0</v>
      </c>
      <c r="T878" s="358">
        <v>0</v>
      </c>
      <c r="U878" s="35">
        <f t="shared" si="160"/>
        <v>1</v>
      </c>
      <c r="W878">
        <f t="shared" si="161"/>
        <v>1</v>
      </c>
      <c r="X878" s="35">
        <f t="shared" si="162"/>
        <v>1</v>
      </c>
      <c r="Y878">
        <f t="shared" si="163"/>
        <v>0</v>
      </c>
      <c r="AB878">
        <f t="shared" si="166"/>
        <v>1</v>
      </c>
      <c r="AC878">
        <f t="shared" ca="1" si="167"/>
        <v>0</v>
      </c>
      <c r="AD878" t="str">
        <f ca="1">IF(AC878=1,COUNTIF($AC$3:AC878,1),"")</f>
        <v/>
      </c>
      <c r="AE878" s="155" t="str">
        <f ca="1">IFERROR(INDEX(Données!$B$3:$B$1479,MATCH(ROWS($AD$3:AD878),$AD$3:$AD$1479,0)),"")</f>
        <v/>
      </c>
    </row>
    <row r="879" spans="1:31" ht="15.75" x14ac:dyDescent="0.25">
      <c r="A879" t="str">
        <f t="shared" si="164"/>
        <v>Otto Koivula - NYI - AG, AD</v>
      </c>
      <c r="B879" t="str">
        <f t="shared" si="165"/>
        <v>Otto Koivula - NYI - AG, AD</v>
      </c>
      <c r="C879" t="str">
        <f t="shared" si="156"/>
        <v>Otto</v>
      </c>
      <c r="D879" t="str">
        <f t="shared" si="157"/>
        <v>Koivula</v>
      </c>
      <c r="E879" s="39" t="s">
        <v>1745</v>
      </c>
      <c r="F879" s="30" t="s">
        <v>25</v>
      </c>
      <c r="G879" s="35" t="s">
        <v>386</v>
      </c>
      <c r="H879" s="35" t="s">
        <v>2442</v>
      </c>
      <c r="I879" s="35" t="s">
        <v>2446</v>
      </c>
      <c r="J879" s="35">
        <v>20</v>
      </c>
      <c r="K879" s="35">
        <f>VALUE(COUNTIF(Validation!$A$2:$H$47,E879))</f>
        <v>0</v>
      </c>
      <c r="L879" s="361">
        <f t="shared" si="158"/>
        <v>925000</v>
      </c>
      <c r="M879" s="361">
        <f t="shared" si="159"/>
        <v>925000</v>
      </c>
      <c r="N879" s="358">
        <v>925000</v>
      </c>
      <c r="O879" s="358">
        <v>925000</v>
      </c>
      <c r="P879" s="358" t="s">
        <v>8</v>
      </c>
      <c r="Q879" s="358">
        <v>0</v>
      </c>
      <c r="R879" s="358">
        <v>0</v>
      </c>
      <c r="S879" s="358">
        <v>0</v>
      </c>
      <c r="T879" s="358">
        <v>0</v>
      </c>
      <c r="U879" s="35">
        <f t="shared" si="160"/>
        <v>2</v>
      </c>
      <c r="W879">
        <f t="shared" si="161"/>
        <v>1</v>
      </c>
      <c r="X879" s="35">
        <f t="shared" si="162"/>
        <v>1</v>
      </c>
      <c r="Y879">
        <f t="shared" si="163"/>
        <v>1</v>
      </c>
      <c r="AB879">
        <f t="shared" si="166"/>
        <v>1</v>
      </c>
      <c r="AC879">
        <f t="shared" ca="1" si="167"/>
        <v>0</v>
      </c>
      <c r="AD879" t="str">
        <f ca="1">IF(AC879=1,COUNTIF($AC$3:AC879,1),"")</f>
        <v/>
      </c>
      <c r="AE879" s="155" t="str">
        <f ca="1">IFERROR(INDEX(Données!$B$3:$B$1479,MATCH(ROWS($AD$3:AD879),$AD$3:$AD$1479,0)),"")</f>
        <v/>
      </c>
    </row>
    <row r="880" spans="1:31" ht="15.75" x14ac:dyDescent="0.25">
      <c r="A880" t="str">
        <f t="shared" si="164"/>
        <v>David Quenneville - NYI - DD</v>
      </c>
      <c r="B880" t="str">
        <f t="shared" si="165"/>
        <v>David Quenneville - NYI - DD</v>
      </c>
      <c r="C880" t="str">
        <f t="shared" si="156"/>
        <v>David</v>
      </c>
      <c r="D880" t="str">
        <f t="shared" si="157"/>
        <v>Quenneville</v>
      </c>
      <c r="E880" s="39" t="s">
        <v>1747</v>
      </c>
      <c r="F880" s="30" t="s">
        <v>25</v>
      </c>
      <c r="G880" s="35" t="s">
        <v>386</v>
      </c>
      <c r="H880" s="35" t="s">
        <v>2444</v>
      </c>
      <c r="I880" s="35" t="s">
        <v>2446</v>
      </c>
      <c r="J880" s="35">
        <v>21</v>
      </c>
      <c r="K880" s="35">
        <f>VALUE(COUNTIF(Validation!$A$2:$H$47,E880))</f>
        <v>0</v>
      </c>
      <c r="L880" s="361">
        <f t="shared" si="158"/>
        <v>925000</v>
      </c>
      <c r="M880" s="361">
        <f t="shared" si="159"/>
        <v>925000</v>
      </c>
      <c r="N880" s="358">
        <v>925000</v>
      </c>
      <c r="O880" s="358">
        <v>925000</v>
      </c>
      <c r="P880" s="358" t="s">
        <v>8</v>
      </c>
      <c r="Q880" s="358">
        <v>0</v>
      </c>
      <c r="R880" s="358">
        <v>0</v>
      </c>
      <c r="S880" s="358">
        <v>0</v>
      </c>
      <c r="T880" s="358">
        <v>0</v>
      </c>
      <c r="U880" s="35">
        <f t="shared" si="160"/>
        <v>2</v>
      </c>
      <c r="W880">
        <f t="shared" si="161"/>
        <v>1</v>
      </c>
      <c r="X880" s="35">
        <f t="shared" si="162"/>
        <v>1</v>
      </c>
      <c r="Y880">
        <f t="shared" si="163"/>
        <v>1</v>
      </c>
      <c r="AB880">
        <f t="shared" si="166"/>
        <v>1</v>
      </c>
      <c r="AC880">
        <f t="shared" ca="1" si="167"/>
        <v>0</v>
      </c>
      <c r="AD880" t="str">
        <f ca="1">IF(AC880=1,COUNTIF($AC$3:AC880,1),"")</f>
        <v/>
      </c>
      <c r="AE880" s="155" t="str">
        <f ca="1">IFERROR(INDEX(Données!$B$3:$B$1479,MATCH(ROWS($AD$3:AD880),$AD$3:$AD$1479,0)),"")</f>
        <v/>
      </c>
    </row>
    <row r="881" spans="1:31" ht="15.75" x14ac:dyDescent="0.25">
      <c r="A881" t="str">
        <f t="shared" si="164"/>
        <v>Linus Soderstrom - NYI - G</v>
      </c>
      <c r="B881" t="str">
        <f t="shared" si="165"/>
        <v>Linus Soderstrom - NYI - G</v>
      </c>
      <c r="C881" t="str">
        <f t="shared" si="156"/>
        <v>Linus</v>
      </c>
      <c r="D881" t="str">
        <f t="shared" si="157"/>
        <v>Soderstrom</v>
      </c>
      <c r="E881" s="39" t="s">
        <v>2865</v>
      </c>
      <c r="F881" s="35" t="s">
        <v>25</v>
      </c>
      <c r="G881" s="35" t="s">
        <v>386</v>
      </c>
      <c r="H881" s="35" t="s">
        <v>127</v>
      </c>
      <c r="I881" s="35" t="s">
        <v>2446</v>
      </c>
      <c r="J881" s="35">
        <v>22</v>
      </c>
      <c r="K881" s="35">
        <f>VALUE(COUNTIF(Validation!$A$2:$H$47,E881))</f>
        <v>0</v>
      </c>
      <c r="L881" s="361">
        <f t="shared" si="158"/>
        <v>925000</v>
      </c>
      <c r="M881" s="361">
        <f t="shared" si="159"/>
        <v>0</v>
      </c>
      <c r="N881" s="358">
        <v>925000</v>
      </c>
      <c r="O881" s="358" t="s">
        <v>8</v>
      </c>
      <c r="P881" s="358">
        <v>0</v>
      </c>
      <c r="Q881" s="358">
        <v>0</v>
      </c>
      <c r="R881" s="358">
        <v>0</v>
      </c>
      <c r="S881" s="358">
        <v>0</v>
      </c>
      <c r="T881" s="358">
        <v>0</v>
      </c>
      <c r="U881" s="35">
        <f t="shared" si="160"/>
        <v>1</v>
      </c>
      <c r="W881">
        <f t="shared" si="161"/>
        <v>1</v>
      </c>
      <c r="X881" s="35">
        <f t="shared" si="162"/>
        <v>1</v>
      </c>
      <c r="Y881">
        <f t="shared" si="163"/>
        <v>0</v>
      </c>
      <c r="AB881">
        <f t="shared" si="166"/>
        <v>1</v>
      </c>
      <c r="AC881">
        <f t="shared" ca="1" si="167"/>
        <v>0</v>
      </c>
      <c r="AD881" t="str">
        <f ca="1">IF(AC881=1,COUNTIF($AC$3:AC881,1),"")</f>
        <v/>
      </c>
      <c r="AE881" s="155" t="str">
        <f ca="1">IFERROR(INDEX(Données!$B$3:$B$1479,MATCH(ROWS($AD$3:AD881),$AD$3:$AD$1479,0)),"")</f>
        <v/>
      </c>
    </row>
    <row r="882" spans="1:31" ht="15.75" x14ac:dyDescent="0.25">
      <c r="A882" t="str">
        <f t="shared" si="164"/>
        <v>Bode Wilde - NYI - DD</v>
      </c>
      <c r="B882" t="str">
        <f t="shared" si="165"/>
        <v>Bode Wilde - NYI - DD</v>
      </c>
      <c r="C882" t="str">
        <f t="shared" si="156"/>
        <v>Bode</v>
      </c>
      <c r="D882" t="str">
        <f t="shared" si="157"/>
        <v>Wilde</v>
      </c>
      <c r="E882" s="39" t="s">
        <v>2577</v>
      </c>
      <c r="F882" s="30" t="s">
        <v>25</v>
      </c>
      <c r="G882" s="35" t="s">
        <v>388</v>
      </c>
      <c r="H882" s="35" t="s">
        <v>2444</v>
      </c>
      <c r="I882" s="9" t="s">
        <v>389</v>
      </c>
      <c r="J882" s="35">
        <v>19</v>
      </c>
      <c r="K882" s="35">
        <f>VALUE(COUNTIF(Validation!$A$2:$H$47,E882))</f>
        <v>0</v>
      </c>
      <c r="L882" s="361">
        <f t="shared" si="158"/>
        <v>910833</v>
      </c>
      <c r="M882" s="361">
        <f t="shared" si="159"/>
        <v>910833</v>
      </c>
      <c r="N882" s="358">
        <v>910833</v>
      </c>
      <c r="O882" s="358">
        <v>910833</v>
      </c>
      <c r="P882" s="358">
        <v>910833</v>
      </c>
      <c r="Q882" s="358" t="s">
        <v>8</v>
      </c>
      <c r="R882" s="358">
        <v>0</v>
      </c>
      <c r="S882" s="358">
        <v>0</v>
      </c>
      <c r="T882" s="358">
        <v>0</v>
      </c>
      <c r="U882" s="35">
        <f t="shared" si="160"/>
        <v>3</v>
      </c>
      <c r="W882">
        <f t="shared" si="161"/>
        <v>1</v>
      </c>
      <c r="X882" s="35">
        <f t="shared" si="162"/>
        <v>1</v>
      </c>
      <c r="Y882">
        <f t="shared" si="163"/>
        <v>1</v>
      </c>
      <c r="AB882">
        <f t="shared" si="166"/>
        <v>1</v>
      </c>
      <c r="AC882">
        <f t="shared" ca="1" si="167"/>
        <v>0</v>
      </c>
      <c r="AD882" t="str">
        <f ca="1">IF(AC882=1,COUNTIF($AC$3:AC882,1),"")</f>
        <v/>
      </c>
      <c r="AE882" s="155" t="str">
        <f ca="1">IFERROR(INDEX(Données!$B$3:$B$1479,MATCH(ROWS($AD$3:AD882),$AD$3:$AD$1479,0)),"")</f>
        <v/>
      </c>
    </row>
    <row r="883" spans="1:31" ht="15.75" x14ac:dyDescent="0.25">
      <c r="A883" t="str">
        <f t="shared" si="164"/>
        <v>Parker Wotherspoon - NYI - D</v>
      </c>
      <c r="B883" t="str">
        <f t="shared" si="165"/>
        <v>Parker Wotherspoon - NYI - D</v>
      </c>
      <c r="C883" t="str">
        <f t="shared" si="156"/>
        <v>Parker</v>
      </c>
      <c r="D883" t="str">
        <f t="shared" si="157"/>
        <v>Wotherspoon</v>
      </c>
      <c r="E883" s="39" t="s">
        <v>1748</v>
      </c>
      <c r="F883" s="30" t="s">
        <v>25</v>
      </c>
      <c r="G883" s="35" t="s">
        <v>386</v>
      </c>
      <c r="H883" s="35" t="s">
        <v>82</v>
      </c>
      <c r="I883" s="35" t="s">
        <v>2446</v>
      </c>
      <c r="J883" s="35">
        <v>21</v>
      </c>
      <c r="K883" s="35">
        <f>VALUE(COUNTIF(Validation!$A$2:$H$47,E883))</f>
        <v>0</v>
      </c>
      <c r="L883" s="361">
        <f t="shared" si="158"/>
        <v>854722</v>
      </c>
      <c r="M883" s="361">
        <f t="shared" si="159"/>
        <v>0</v>
      </c>
      <c r="N883" s="358">
        <v>854722</v>
      </c>
      <c r="O883" s="358" t="s">
        <v>8</v>
      </c>
      <c r="P883" s="358">
        <v>0</v>
      </c>
      <c r="Q883" s="358">
        <v>0</v>
      </c>
      <c r="R883" s="358">
        <v>0</v>
      </c>
      <c r="S883" s="358">
        <v>0</v>
      </c>
      <c r="T883" s="358">
        <v>0</v>
      </c>
      <c r="U883" s="35">
        <f t="shared" si="160"/>
        <v>1</v>
      </c>
      <c r="W883">
        <f t="shared" si="161"/>
        <v>1</v>
      </c>
      <c r="X883" s="35">
        <f t="shared" si="162"/>
        <v>1</v>
      </c>
      <c r="Y883">
        <f t="shared" si="163"/>
        <v>0</v>
      </c>
      <c r="AB883">
        <f t="shared" si="166"/>
        <v>1</v>
      </c>
      <c r="AC883">
        <f t="shared" ca="1" si="167"/>
        <v>0</v>
      </c>
      <c r="AD883" t="str">
        <f ca="1">IF(AC883=1,COUNTIF($AC$3:AC883,1),"")</f>
        <v/>
      </c>
      <c r="AE883" s="155" t="str">
        <f ca="1">IFERROR(INDEX(Données!$B$3:$B$1479,MATCH(ROWS($AD$3:AD883),$AD$3:$AD$1479,0)),"")</f>
        <v/>
      </c>
    </row>
    <row r="884" spans="1:31" ht="15.75" x14ac:dyDescent="0.25">
      <c r="A884" t="str">
        <f t="shared" si="164"/>
        <v>Tom Kühnhackl - NYI - AD</v>
      </c>
      <c r="B884" t="str">
        <f t="shared" si="165"/>
        <v>Tom Kühnhackl - NYI - AD</v>
      </c>
      <c r="C884" t="str">
        <f t="shared" si="156"/>
        <v>Tom</v>
      </c>
      <c r="D884" t="str">
        <f t="shared" si="157"/>
        <v>Kühnhackl</v>
      </c>
      <c r="E884" s="39" t="s">
        <v>1733</v>
      </c>
      <c r="F884" s="30" t="s">
        <v>25</v>
      </c>
      <c r="G884" s="35">
        <v>0</v>
      </c>
      <c r="H884" s="35" t="s">
        <v>2438</v>
      </c>
      <c r="I884" s="35" t="s">
        <v>2439</v>
      </c>
      <c r="J884" s="35">
        <v>27</v>
      </c>
      <c r="K884" s="35">
        <f>VALUE(COUNTIF(Validation!$A$2:$H$47,E884))</f>
        <v>0</v>
      </c>
      <c r="L884" s="361">
        <f t="shared" si="158"/>
        <v>850000</v>
      </c>
      <c r="M884" s="361">
        <f t="shared" si="159"/>
        <v>0</v>
      </c>
      <c r="N884" s="358">
        <v>850000</v>
      </c>
      <c r="O884" s="358" t="s">
        <v>7</v>
      </c>
      <c r="P884" s="358">
        <v>0</v>
      </c>
      <c r="Q884" s="358">
        <v>0</v>
      </c>
      <c r="R884" s="358">
        <v>0</v>
      </c>
      <c r="S884" s="358">
        <v>0</v>
      </c>
      <c r="T884" s="358">
        <v>0</v>
      </c>
      <c r="U884" s="35">
        <f t="shared" si="160"/>
        <v>1</v>
      </c>
      <c r="W884">
        <f t="shared" si="161"/>
        <v>1</v>
      </c>
      <c r="X884" s="35">
        <f t="shared" si="162"/>
        <v>0</v>
      </c>
      <c r="Y884">
        <f t="shared" si="163"/>
        <v>0</v>
      </c>
      <c r="AB884">
        <f t="shared" si="166"/>
        <v>1</v>
      </c>
      <c r="AC884">
        <f t="shared" ca="1" si="167"/>
        <v>0</v>
      </c>
      <c r="AD884" t="str">
        <f ca="1">IF(AC884=1,COUNTIF($AC$3:AC884,1),"")</f>
        <v/>
      </c>
      <c r="AE884" s="155" t="str">
        <f ca="1">IFERROR(INDEX(Données!$B$3:$B$1479,MATCH(ROWS($AD$3:AD884),$AD$3:$AD$1479,0)),"")</f>
        <v/>
      </c>
    </row>
    <row r="885" spans="1:31" ht="15.75" x14ac:dyDescent="0.25">
      <c r="A885" t="str">
        <f t="shared" si="164"/>
        <v>Mason Jobst - NYI - C</v>
      </c>
      <c r="B885" t="str">
        <f t="shared" si="165"/>
        <v>Mason Jobst - NYI - C</v>
      </c>
      <c r="C885" t="str">
        <f t="shared" si="156"/>
        <v>Mason</v>
      </c>
      <c r="D885" t="str">
        <f t="shared" si="157"/>
        <v>Jobst</v>
      </c>
      <c r="E885" s="39" t="s">
        <v>2574</v>
      </c>
      <c r="F885" s="30" t="s">
        <v>25</v>
      </c>
      <c r="G885" s="35">
        <v>0</v>
      </c>
      <c r="H885" s="35" t="s">
        <v>73</v>
      </c>
      <c r="I885" s="35" t="s">
        <v>2446</v>
      </c>
      <c r="J885" s="35">
        <v>25</v>
      </c>
      <c r="K885" s="35">
        <f>VALUE(COUNTIF(Validation!$A$2:$H$47,E885))</f>
        <v>0</v>
      </c>
      <c r="L885" s="361">
        <f t="shared" si="158"/>
        <v>792500</v>
      </c>
      <c r="M885" s="361">
        <f t="shared" si="159"/>
        <v>792500</v>
      </c>
      <c r="N885" s="358">
        <v>792500</v>
      </c>
      <c r="O885" s="358">
        <v>792500</v>
      </c>
      <c r="P885" s="358" t="s">
        <v>7</v>
      </c>
      <c r="Q885" s="358">
        <v>0</v>
      </c>
      <c r="R885" s="358">
        <v>0</v>
      </c>
      <c r="S885" s="358">
        <v>0</v>
      </c>
      <c r="T885" s="358">
        <v>0</v>
      </c>
      <c r="U885" s="35">
        <f t="shared" si="160"/>
        <v>2</v>
      </c>
      <c r="W885">
        <f t="shared" si="161"/>
        <v>1</v>
      </c>
      <c r="X885" s="35">
        <f t="shared" si="162"/>
        <v>0</v>
      </c>
      <c r="Y885">
        <f t="shared" si="163"/>
        <v>1</v>
      </c>
      <c r="AB885">
        <f t="shared" si="166"/>
        <v>1</v>
      </c>
      <c r="AC885">
        <f t="shared" ca="1" si="167"/>
        <v>0</v>
      </c>
      <c r="AD885" t="str">
        <f ca="1">IF(AC885=1,COUNTIF($AC$3:AC885,1),"")</f>
        <v/>
      </c>
      <c r="AE885" s="155" t="str">
        <f ca="1">IFERROR(INDEX(Données!$B$3:$B$1479,MATCH(ROWS($AD$3:AD885),$AD$3:$AD$1479,0)),"")</f>
        <v/>
      </c>
    </row>
    <row r="886" spans="1:31" ht="15.75" x14ac:dyDescent="0.25">
      <c r="A886" t="str">
        <f t="shared" si="164"/>
        <v>Arnaud Durandeau - NYI - AG</v>
      </c>
      <c r="B886" t="str">
        <f t="shared" si="165"/>
        <v>Arnaud Durandeau - NYI - AG</v>
      </c>
      <c r="C886" t="str">
        <f t="shared" si="156"/>
        <v>Arnaud</v>
      </c>
      <c r="D886" t="str">
        <f t="shared" si="157"/>
        <v>Durandeau</v>
      </c>
      <c r="E886" s="39" t="s">
        <v>2575</v>
      </c>
      <c r="F886" s="30" t="s">
        <v>25</v>
      </c>
      <c r="G886" s="35" t="s">
        <v>386</v>
      </c>
      <c r="H886" s="35" t="s">
        <v>2440</v>
      </c>
      <c r="I886" s="35" t="s">
        <v>2446</v>
      </c>
      <c r="J886" s="35">
        <v>20</v>
      </c>
      <c r="K886" s="35">
        <f>VALUE(COUNTIF(Validation!$A$2:$H$47,E886))</f>
        <v>0</v>
      </c>
      <c r="L886" s="361">
        <f t="shared" si="158"/>
        <v>756667</v>
      </c>
      <c r="M886" s="361">
        <f t="shared" si="159"/>
        <v>756667</v>
      </c>
      <c r="N886" s="358">
        <v>756667</v>
      </c>
      <c r="O886" s="358">
        <v>756667</v>
      </c>
      <c r="P886" s="358">
        <v>756667</v>
      </c>
      <c r="Q886" s="358" t="s">
        <v>8</v>
      </c>
      <c r="R886" s="358">
        <v>0</v>
      </c>
      <c r="S886" s="358">
        <v>0</v>
      </c>
      <c r="T886" s="358">
        <v>0</v>
      </c>
      <c r="U886" s="35">
        <f t="shared" si="160"/>
        <v>3</v>
      </c>
      <c r="W886">
        <f t="shared" si="161"/>
        <v>1</v>
      </c>
      <c r="X886" s="35">
        <f t="shared" si="162"/>
        <v>1</v>
      </c>
      <c r="Y886">
        <f t="shared" si="163"/>
        <v>1</v>
      </c>
      <c r="AB886">
        <f t="shared" si="166"/>
        <v>1</v>
      </c>
      <c r="AC886">
        <f t="shared" ca="1" si="167"/>
        <v>0</v>
      </c>
      <c r="AD886" t="str">
        <f ca="1">IF(AC886=1,COUNTIF($AC$3:AC886,1),"")</f>
        <v/>
      </c>
      <c r="AE886" s="155" t="str">
        <f ca="1">IFERROR(INDEX(Données!$B$3:$B$1479,MATCH(ROWS($AD$3:AD886),$AD$3:$AD$1479,0)),"")</f>
        <v/>
      </c>
    </row>
    <row r="887" spans="1:31" ht="15.75" x14ac:dyDescent="0.25">
      <c r="A887" t="str">
        <f t="shared" si="164"/>
        <v>Scott Eansor - NYI - C</v>
      </c>
      <c r="B887" t="str">
        <f t="shared" si="165"/>
        <v>Scott Eansor - NYI - C</v>
      </c>
      <c r="C887" t="str">
        <f t="shared" si="156"/>
        <v>Scott</v>
      </c>
      <c r="D887" t="str">
        <f t="shared" si="157"/>
        <v>Eansor</v>
      </c>
      <c r="E887" s="39" t="s">
        <v>1749</v>
      </c>
      <c r="F887" s="30" t="s">
        <v>25</v>
      </c>
      <c r="G887" s="35" t="s">
        <v>386</v>
      </c>
      <c r="H887" s="35" t="s">
        <v>73</v>
      </c>
      <c r="I887" s="35" t="s">
        <v>2446</v>
      </c>
      <c r="J887" s="35">
        <v>23</v>
      </c>
      <c r="K887" s="35">
        <f>VALUE(COUNTIF(Validation!$A$2:$H$47,E887))</f>
        <v>0</v>
      </c>
      <c r="L887" s="361">
        <f t="shared" si="158"/>
        <v>720000</v>
      </c>
      <c r="M887" s="361">
        <f t="shared" si="159"/>
        <v>0</v>
      </c>
      <c r="N887" s="358">
        <v>720000</v>
      </c>
      <c r="O887" s="358" t="s">
        <v>8</v>
      </c>
      <c r="P887" s="358">
        <v>0</v>
      </c>
      <c r="Q887" s="358">
        <v>0</v>
      </c>
      <c r="R887" s="358">
        <v>0</v>
      </c>
      <c r="S887" s="358">
        <v>0</v>
      </c>
      <c r="T887" s="358">
        <v>0</v>
      </c>
      <c r="U887" s="35">
        <f t="shared" si="160"/>
        <v>1</v>
      </c>
      <c r="W887">
        <f t="shared" si="161"/>
        <v>1</v>
      </c>
      <c r="X887" s="35">
        <f t="shared" si="162"/>
        <v>1</v>
      </c>
      <c r="Y887">
        <f t="shared" si="163"/>
        <v>0</v>
      </c>
      <c r="AB887">
        <f t="shared" si="166"/>
        <v>1</v>
      </c>
      <c r="AC887">
        <f t="shared" ca="1" si="167"/>
        <v>0</v>
      </c>
      <c r="AD887" t="str">
        <f ca="1">IF(AC887=1,COUNTIF($AC$3:AC887,1),"")</f>
        <v/>
      </c>
      <c r="AE887" s="155" t="str">
        <f ca="1">IFERROR(INDEX(Données!$B$3:$B$1479,MATCH(ROWS($AD$3:AD887),$AD$3:$AD$1479,0)),"")</f>
        <v/>
      </c>
    </row>
    <row r="888" spans="1:31" ht="15.75" x14ac:dyDescent="0.25">
      <c r="A888" t="str">
        <f t="shared" si="164"/>
        <v>Cole Bardreau - NYI - C</v>
      </c>
      <c r="B888" t="str">
        <f t="shared" si="165"/>
        <v>Cole Bardreau - NYI - C</v>
      </c>
      <c r="C888" t="str">
        <f t="shared" si="156"/>
        <v>Cole</v>
      </c>
      <c r="D888" t="str">
        <f t="shared" si="157"/>
        <v>Bardreau</v>
      </c>
      <c r="E888" s="39" t="s">
        <v>1820</v>
      </c>
      <c r="F888" s="30" t="s">
        <v>25</v>
      </c>
      <c r="G888" s="35">
        <v>0</v>
      </c>
      <c r="H888" s="35" t="s">
        <v>73</v>
      </c>
      <c r="I888" s="35" t="s">
        <v>2446</v>
      </c>
      <c r="J888" s="35">
        <v>26</v>
      </c>
      <c r="K888" s="35">
        <f>VALUE(COUNTIF(Validation!$A$2:$H$47,E888))</f>
        <v>0</v>
      </c>
      <c r="L888" s="361">
        <f t="shared" si="158"/>
        <v>700000</v>
      </c>
      <c r="M888" s="361">
        <f t="shared" si="159"/>
        <v>700000</v>
      </c>
      <c r="N888" s="358">
        <v>700000</v>
      </c>
      <c r="O888" s="358">
        <v>700000</v>
      </c>
      <c r="P888" s="358" t="s">
        <v>7</v>
      </c>
      <c r="Q888" s="358">
        <v>0</v>
      </c>
      <c r="R888" s="358">
        <v>0</v>
      </c>
      <c r="S888" s="358">
        <v>0</v>
      </c>
      <c r="T888" s="358">
        <v>0</v>
      </c>
      <c r="U888" s="35">
        <f t="shared" si="160"/>
        <v>2</v>
      </c>
      <c r="W888">
        <f t="shared" si="161"/>
        <v>1</v>
      </c>
      <c r="X888" s="35">
        <f t="shared" si="162"/>
        <v>0</v>
      </c>
      <c r="Y888">
        <f t="shared" si="163"/>
        <v>1</v>
      </c>
      <c r="AB888">
        <f t="shared" si="166"/>
        <v>1</v>
      </c>
      <c r="AC888">
        <f t="shared" ca="1" si="167"/>
        <v>0</v>
      </c>
      <c r="AD888" t="str">
        <f ca="1">IF(AC888=1,COUNTIF($AC$3:AC888,1),"")</f>
        <v/>
      </c>
      <c r="AE888" s="155" t="str">
        <f ca="1">IFERROR(INDEX(Données!$B$3:$B$1479,MATCH(ROWS($AD$3:AD888),$AD$3:$AD$1479,0)),"")</f>
        <v/>
      </c>
    </row>
    <row r="889" spans="1:31" ht="15.75" x14ac:dyDescent="0.25">
      <c r="A889" t="str">
        <f t="shared" si="164"/>
        <v>Jared Coreau - NYI - G</v>
      </c>
      <c r="B889" t="str">
        <f t="shared" si="165"/>
        <v>Jared Coreau - NYI - G</v>
      </c>
      <c r="C889" t="str">
        <f t="shared" si="156"/>
        <v>Jared</v>
      </c>
      <c r="D889" t="str">
        <f t="shared" si="157"/>
        <v>Coreau</v>
      </c>
      <c r="E889" s="39" t="s">
        <v>2747</v>
      </c>
      <c r="F889" s="30" t="s">
        <v>25</v>
      </c>
      <c r="G889" s="35">
        <v>0</v>
      </c>
      <c r="H889" s="35" t="s">
        <v>127</v>
      </c>
      <c r="I889" s="35" t="s">
        <v>2446</v>
      </c>
      <c r="J889" s="35">
        <v>27</v>
      </c>
      <c r="K889" s="35">
        <f>VALUE(COUNTIF(Validation!$A$2:$H$47,E889))</f>
        <v>0</v>
      </c>
      <c r="L889" s="361">
        <f t="shared" si="158"/>
        <v>700000</v>
      </c>
      <c r="M889" s="361">
        <f t="shared" si="159"/>
        <v>0</v>
      </c>
      <c r="N889" s="358">
        <v>700000</v>
      </c>
      <c r="O889" s="358" t="s">
        <v>7</v>
      </c>
      <c r="P889" s="358">
        <v>0</v>
      </c>
      <c r="Q889" s="358">
        <v>0</v>
      </c>
      <c r="R889" s="358">
        <v>0</v>
      </c>
      <c r="S889" s="358">
        <v>0</v>
      </c>
      <c r="T889" s="358">
        <v>0</v>
      </c>
      <c r="U889" s="35">
        <f t="shared" si="160"/>
        <v>1</v>
      </c>
      <c r="W889">
        <f t="shared" si="161"/>
        <v>1</v>
      </c>
      <c r="X889" s="35">
        <f t="shared" si="162"/>
        <v>0</v>
      </c>
      <c r="Y889">
        <f t="shared" si="163"/>
        <v>0</v>
      </c>
      <c r="AB889">
        <f t="shared" si="166"/>
        <v>1</v>
      </c>
      <c r="AC889">
        <f t="shared" ca="1" si="167"/>
        <v>0</v>
      </c>
      <c r="AD889" t="str">
        <f ca="1">IF(AC889=1,COUNTIF($AC$3:AC889,1),"")</f>
        <v/>
      </c>
      <c r="AE889" s="155" t="str">
        <f ca="1">IFERROR(INDEX(Données!$B$3:$B$1479,MATCH(ROWS($AD$3:AD889),$AD$3:$AD$1479,0)),"")</f>
        <v/>
      </c>
    </row>
    <row r="890" spans="1:31" ht="15.75" x14ac:dyDescent="0.25">
      <c r="A890" t="str">
        <f t="shared" si="164"/>
        <v>Tanner Fritz - NYI - C, AD</v>
      </c>
      <c r="B890" t="str">
        <f t="shared" si="165"/>
        <v>Tanner Fritz - NYI - C, AD</v>
      </c>
      <c r="C890" t="str">
        <f t="shared" si="156"/>
        <v>Tanner</v>
      </c>
      <c r="D890" t="str">
        <f t="shared" si="157"/>
        <v>Fritz</v>
      </c>
      <c r="E890" s="39" t="s">
        <v>1755</v>
      </c>
      <c r="F890" s="30" t="s">
        <v>25</v>
      </c>
      <c r="G890" s="35">
        <v>0</v>
      </c>
      <c r="H890" s="35" t="s">
        <v>2448</v>
      </c>
      <c r="I890" s="35" t="s">
        <v>2439</v>
      </c>
      <c r="J890" s="35">
        <v>27</v>
      </c>
      <c r="K890" s="35">
        <f>VALUE(COUNTIF(Validation!$A$2:$H$47,E890))</f>
        <v>0</v>
      </c>
      <c r="L890" s="361">
        <f t="shared" si="158"/>
        <v>700000</v>
      </c>
      <c r="M890" s="361">
        <f t="shared" si="159"/>
        <v>700000</v>
      </c>
      <c r="N890" s="358">
        <v>700000</v>
      </c>
      <c r="O890" s="358">
        <v>700000</v>
      </c>
      <c r="P890" s="358" t="s">
        <v>7</v>
      </c>
      <c r="Q890" s="358">
        <v>0</v>
      </c>
      <c r="R890" s="358">
        <v>0</v>
      </c>
      <c r="S890" s="358">
        <v>0</v>
      </c>
      <c r="T890" s="358">
        <v>0</v>
      </c>
      <c r="U890" s="35">
        <f t="shared" si="160"/>
        <v>2</v>
      </c>
      <c r="W890">
        <f t="shared" si="161"/>
        <v>1</v>
      </c>
      <c r="X890" s="35">
        <f t="shared" si="162"/>
        <v>0</v>
      </c>
      <c r="Y890">
        <f t="shared" si="163"/>
        <v>1</v>
      </c>
      <c r="AB890">
        <f t="shared" si="166"/>
        <v>1</v>
      </c>
      <c r="AC890">
        <f t="shared" ca="1" si="167"/>
        <v>0</v>
      </c>
      <c r="AD890" t="str">
        <f ca="1">IF(AC890=1,COUNTIF($AC$3:AC890,1),"")</f>
        <v/>
      </c>
      <c r="AE890" s="155" t="str">
        <f ca="1">IFERROR(INDEX(Données!$B$3:$B$1479,MATCH(ROWS($AD$3:AD890),$AD$3:$AD$1479,0)),"")</f>
        <v/>
      </c>
    </row>
    <row r="891" spans="1:31" ht="15.75" x14ac:dyDescent="0.25">
      <c r="A891" t="str">
        <f t="shared" si="164"/>
        <v>Devon Toews - NYI - DG</v>
      </c>
      <c r="B891" t="str">
        <f t="shared" si="165"/>
        <v>Devon Toews - NYI - DG</v>
      </c>
      <c r="C891" t="str">
        <f t="shared" si="156"/>
        <v>Devon</v>
      </c>
      <c r="D891" t="str">
        <f t="shared" si="157"/>
        <v>Toews</v>
      </c>
      <c r="E891" s="39" t="s">
        <v>1750</v>
      </c>
      <c r="F891" s="35" t="s">
        <v>25</v>
      </c>
      <c r="G891" s="35">
        <v>0</v>
      </c>
      <c r="H891" s="35" t="s">
        <v>2445</v>
      </c>
      <c r="I891" s="35" t="s">
        <v>2439</v>
      </c>
      <c r="J891" s="35">
        <v>25</v>
      </c>
      <c r="K891" s="35">
        <f>VALUE(COUNTIF(Validation!$A$2:$H$47,E891))</f>
        <v>0</v>
      </c>
      <c r="L891" s="361">
        <f t="shared" si="158"/>
        <v>700000</v>
      </c>
      <c r="M891" s="361">
        <f t="shared" si="159"/>
        <v>0</v>
      </c>
      <c r="N891" s="358">
        <v>700000</v>
      </c>
      <c r="O891" s="358" t="s">
        <v>8</v>
      </c>
      <c r="P891" s="358">
        <v>0</v>
      </c>
      <c r="Q891" s="358">
        <v>0</v>
      </c>
      <c r="R891" s="358">
        <v>0</v>
      </c>
      <c r="S891" s="358">
        <v>0</v>
      </c>
      <c r="T891" s="358">
        <v>0</v>
      </c>
      <c r="U891" s="35">
        <f t="shared" si="160"/>
        <v>1</v>
      </c>
      <c r="W891">
        <f t="shared" si="161"/>
        <v>1</v>
      </c>
      <c r="X891" s="35">
        <f t="shared" si="162"/>
        <v>0</v>
      </c>
      <c r="Y891">
        <f t="shared" si="163"/>
        <v>0</v>
      </c>
      <c r="AB891">
        <f t="shared" si="166"/>
        <v>1</v>
      </c>
      <c r="AC891">
        <f t="shared" ca="1" si="167"/>
        <v>0</v>
      </c>
      <c r="AD891" t="str">
        <f ca="1">IF(AC891=1,COUNTIF($AC$3:AC891,1),"")</f>
        <v/>
      </c>
      <c r="AE891" s="155" t="str">
        <f ca="1">IFERROR(INDEX(Données!$B$3:$B$1479,MATCH(ROWS($AD$3:AD891),$AD$3:$AD$1479,0)),"")</f>
        <v/>
      </c>
    </row>
    <row r="892" spans="1:31" ht="15.75" x14ac:dyDescent="0.25">
      <c r="A892" t="str">
        <f t="shared" si="164"/>
        <v>Kyle Burroughs - NYI - DD</v>
      </c>
      <c r="B892" t="str">
        <f t="shared" si="165"/>
        <v>Kyle Burroughs - NYI - DD</v>
      </c>
      <c r="C892" t="str">
        <f t="shared" si="156"/>
        <v>Kyle</v>
      </c>
      <c r="D892" t="str">
        <f t="shared" si="157"/>
        <v>Burroughs</v>
      </c>
      <c r="E892" s="39" t="s">
        <v>1751</v>
      </c>
      <c r="F892" s="30" t="s">
        <v>25</v>
      </c>
      <c r="G892" s="35">
        <v>0</v>
      </c>
      <c r="H892" s="35" t="s">
        <v>2444</v>
      </c>
      <c r="I892" s="35" t="s">
        <v>2446</v>
      </c>
      <c r="J892" s="35">
        <v>24</v>
      </c>
      <c r="K892" s="35">
        <f>VALUE(COUNTIF(Validation!$A$2:$H$47,E892))</f>
        <v>0</v>
      </c>
      <c r="L892" s="361">
        <f t="shared" si="158"/>
        <v>675000</v>
      </c>
      <c r="M892" s="361">
        <f t="shared" si="159"/>
        <v>0</v>
      </c>
      <c r="N892" s="358">
        <v>675000</v>
      </c>
      <c r="O892" s="358" t="s">
        <v>8</v>
      </c>
      <c r="P892" s="358">
        <v>0</v>
      </c>
      <c r="Q892" s="358">
        <v>0</v>
      </c>
      <c r="R892" s="358">
        <v>0</v>
      </c>
      <c r="S892" s="358">
        <v>0</v>
      </c>
      <c r="T892" s="358">
        <v>0</v>
      </c>
      <c r="U892" s="35">
        <f t="shared" si="160"/>
        <v>1</v>
      </c>
      <c r="W892">
        <f t="shared" si="161"/>
        <v>1</v>
      </c>
      <c r="X892" s="35">
        <f t="shared" si="162"/>
        <v>0</v>
      </c>
      <c r="Y892">
        <f t="shared" si="163"/>
        <v>0</v>
      </c>
      <c r="AB892">
        <f t="shared" si="166"/>
        <v>1</v>
      </c>
      <c r="AC892">
        <f t="shared" ca="1" si="167"/>
        <v>0</v>
      </c>
      <c r="AD892" t="str">
        <f ca="1">IF(AC892=1,COUNTIF($AC$3:AC892,1),"")</f>
        <v/>
      </c>
      <c r="AE892" s="155" t="str">
        <f ca="1">IFERROR(INDEX(Données!$B$3:$B$1479,MATCH(ROWS($AD$3:AD892),$AD$3:$AD$1479,0)),"")</f>
        <v/>
      </c>
    </row>
    <row r="893" spans="1:31" ht="15.75" x14ac:dyDescent="0.25">
      <c r="A893" t="str">
        <f t="shared" si="164"/>
        <v>Christopher Gibson - NYI - G</v>
      </c>
      <c r="B893" t="str">
        <f t="shared" si="165"/>
        <v>Christopher Gibson - NYI - G</v>
      </c>
      <c r="C893" t="str">
        <f t="shared" si="156"/>
        <v>Christopher</v>
      </c>
      <c r="D893" t="str">
        <f t="shared" si="157"/>
        <v>Gibson</v>
      </c>
      <c r="E893" s="39" t="s">
        <v>1752</v>
      </c>
      <c r="F893" s="30" t="s">
        <v>25</v>
      </c>
      <c r="G893" s="35">
        <v>0</v>
      </c>
      <c r="H893" s="35" t="s">
        <v>127</v>
      </c>
      <c r="I893" s="35" t="s">
        <v>2446</v>
      </c>
      <c r="J893" s="35">
        <v>26</v>
      </c>
      <c r="K893" s="35">
        <f>VALUE(COUNTIF(Validation!$A$2:$H$47,E893))</f>
        <v>0</v>
      </c>
      <c r="L893" s="361">
        <f t="shared" si="158"/>
        <v>675000</v>
      </c>
      <c r="M893" s="361">
        <f t="shared" si="159"/>
        <v>0</v>
      </c>
      <c r="N893" s="358">
        <v>675000</v>
      </c>
      <c r="O893" s="358" t="s">
        <v>7</v>
      </c>
      <c r="P893" s="358">
        <v>0</v>
      </c>
      <c r="Q893" s="358">
        <v>0</v>
      </c>
      <c r="R893" s="358">
        <v>0</v>
      </c>
      <c r="S893" s="358">
        <v>0</v>
      </c>
      <c r="T893" s="358">
        <v>0</v>
      </c>
      <c r="U893" s="35">
        <f t="shared" si="160"/>
        <v>1</v>
      </c>
      <c r="W893">
        <f t="shared" si="161"/>
        <v>1</v>
      </c>
      <c r="X893" s="35">
        <f t="shared" si="162"/>
        <v>0</v>
      </c>
      <c r="Y893">
        <f t="shared" si="163"/>
        <v>0</v>
      </c>
      <c r="AB893">
        <f t="shared" si="166"/>
        <v>1</v>
      </c>
      <c r="AC893">
        <f t="shared" ca="1" si="167"/>
        <v>0</v>
      </c>
      <c r="AD893" t="str">
        <f ca="1">IF(AC893=1,COUNTIF($AC$3:AC893,1),"")</f>
        <v/>
      </c>
      <c r="AE893" s="155" t="str">
        <f ca="1">IFERROR(INDEX(Données!$B$3:$B$1479,MATCH(ROWS($AD$3:AD893),$AD$3:$AD$1479,0)),"")</f>
        <v/>
      </c>
    </row>
    <row r="894" spans="1:31" ht="15.75" x14ac:dyDescent="0.25">
      <c r="A894" t="str">
        <f t="shared" si="164"/>
        <v>Seth Helgeson - NYI - DG</v>
      </c>
      <c r="B894" t="str">
        <f t="shared" si="165"/>
        <v>Seth Helgeson - NYI - DG</v>
      </c>
      <c r="C894" t="str">
        <f t="shared" si="156"/>
        <v>Seth</v>
      </c>
      <c r="D894" t="str">
        <f t="shared" si="157"/>
        <v>Helgeson</v>
      </c>
      <c r="E894" s="39" t="s">
        <v>1753</v>
      </c>
      <c r="F894" s="30" t="s">
        <v>25</v>
      </c>
      <c r="G894" s="35">
        <v>0</v>
      </c>
      <c r="H894" s="9" t="s">
        <v>2445</v>
      </c>
      <c r="I894" s="9" t="s">
        <v>2446</v>
      </c>
      <c r="J894" s="9">
        <v>28</v>
      </c>
      <c r="K894" s="35">
        <f>VALUE(COUNTIF(Validation!$A$2:$H$47,E894))</f>
        <v>0</v>
      </c>
      <c r="L894" s="361">
        <f t="shared" si="158"/>
        <v>675000</v>
      </c>
      <c r="M894" s="361">
        <f t="shared" si="159"/>
        <v>0</v>
      </c>
      <c r="N894" s="358">
        <v>675000</v>
      </c>
      <c r="O894" s="358" t="s">
        <v>7</v>
      </c>
      <c r="P894" s="358">
        <v>0</v>
      </c>
      <c r="Q894" s="358">
        <v>0</v>
      </c>
      <c r="R894" s="358">
        <v>0</v>
      </c>
      <c r="S894" s="358">
        <v>0</v>
      </c>
      <c r="T894" s="358">
        <v>0</v>
      </c>
      <c r="U894" s="35">
        <f t="shared" si="160"/>
        <v>1</v>
      </c>
      <c r="W894">
        <f t="shared" si="161"/>
        <v>1</v>
      </c>
      <c r="X894" s="35">
        <f t="shared" si="162"/>
        <v>0</v>
      </c>
      <c r="Y894">
        <f t="shared" si="163"/>
        <v>0</v>
      </c>
      <c r="AB894">
        <f t="shared" si="166"/>
        <v>1</v>
      </c>
      <c r="AC894">
        <f t="shared" ca="1" si="167"/>
        <v>0</v>
      </c>
      <c r="AD894" t="str">
        <f ca="1">IF(AC894=1,COUNTIF($AC$3:AC894,1),"")</f>
        <v/>
      </c>
      <c r="AE894" s="155" t="str">
        <f ca="1">IFERROR(INDEX(Données!$B$3:$B$1479,MATCH(ROWS($AD$3:AD894),$AD$3:$AD$1479,0)),"")</f>
        <v/>
      </c>
    </row>
    <row r="895" spans="1:31" ht="15.75" x14ac:dyDescent="0.25">
      <c r="A895" t="str">
        <f t="shared" si="164"/>
        <v>Matt Lorito - NYI - AG, AD</v>
      </c>
      <c r="B895" t="str">
        <f t="shared" si="165"/>
        <v>Matt Lorito - NYI - AG, AD</v>
      </c>
      <c r="C895" t="str">
        <f t="shared" si="156"/>
        <v>Matt</v>
      </c>
      <c r="D895" t="str">
        <f t="shared" si="157"/>
        <v>Lorito</v>
      </c>
      <c r="E895" s="39" t="s">
        <v>1754</v>
      </c>
      <c r="F895" s="30" t="s">
        <v>25</v>
      </c>
      <c r="G895" s="35">
        <v>0</v>
      </c>
      <c r="H895" s="35" t="s">
        <v>2442</v>
      </c>
      <c r="I895" s="35" t="s">
        <v>2446</v>
      </c>
      <c r="J895" s="35">
        <v>29</v>
      </c>
      <c r="K895" s="35">
        <f>VALUE(COUNTIF(Validation!$A$2:$H$47,E895))</f>
        <v>0</v>
      </c>
      <c r="L895" s="361">
        <f t="shared" si="158"/>
        <v>675000</v>
      </c>
      <c r="M895" s="361">
        <f t="shared" si="159"/>
        <v>0</v>
      </c>
      <c r="N895" s="358">
        <v>675000</v>
      </c>
      <c r="O895" s="358" t="s">
        <v>7</v>
      </c>
      <c r="P895" s="358">
        <v>0</v>
      </c>
      <c r="Q895" s="358">
        <v>0</v>
      </c>
      <c r="R895" s="358">
        <v>0</v>
      </c>
      <c r="S895" s="358">
        <v>0</v>
      </c>
      <c r="T895" s="358">
        <v>0</v>
      </c>
      <c r="U895" s="35">
        <f t="shared" si="160"/>
        <v>1</v>
      </c>
      <c r="W895">
        <f t="shared" si="161"/>
        <v>1</v>
      </c>
      <c r="X895" s="35">
        <f t="shared" si="162"/>
        <v>0</v>
      </c>
      <c r="Y895">
        <f t="shared" si="163"/>
        <v>0</v>
      </c>
      <c r="AB895">
        <f t="shared" si="166"/>
        <v>1</v>
      </c>
      <c r="AC895">
        <f t="shared" ca="1" si="167"/>
        <v>0</v>
      </c>
      <c r="AD895" t="str">
        <f ca="1">IF(AC895=1,COUNTIF($AC$3:AC895,1),"")</f>
        <v/>
      </c>
      <c r="AE895" s="155" t="str">
        <f ca="1">IFERROR(INDEX(Données!$B$3:$B$1479,MATCH(ROWS($AD$3:AD895),$AD$3:$AD$1479,0)),"")</f>
        <v/>
      </c>
    </row>
    <row r="896" spans="1:31" ht="15.75" x14ac:dyDescent="0.25">
      <c r="A896" t="str">
        <f t="shared" si="164"/>
        <v>Travis St.Denis - NYI - C, AD</v>
      </c>
      <c r="B896" t="str">
        <f t="shared" si="165"/>
        <v>Travis St.Denis - NYI - C, AD</v>
      </c>
      <c r="C896" t="str">
        <f t="shared" si="156"/>
        <v>Travis</v>
      </c>
      <c r="D896" t="str">
        <f t="shared" si="157"/>
        <v>St.Denis</v>
      </c>
      <c r="E896" s="39" t="s">
        <v>2933</v>
      </c>
      <c r="F896" s="30" t="s">
        <v>25</v>
      </c>
      <c r="G896" s="35">
        <v>0</v>
      </c>
      <c r="H896" s="35" t="s">
        <v>2448</v>
      </c>
      <c r="I896" s="35" t="s">
        <v>2446</v>
      </c>
      <c r="J896" s="35">
        <v>26</v>
      </c>
      <c r="K896" s="35">
        <f>VALUE(COUNTIF(Validation!$A$2:$H$47,E896))</f>
        <v>0</v>
      </c>
      <c r="L896" s="361">
        <f t="shared" si="158"/>
        <v>675000</v>
      </c>
      <c r="M896" s="361">
        <f t="shared" si="159"/>
        <v>0</v>
      </c>
      <c r="N896" s="358">
        <v>675000</v>
      </c>
      <c r="O896" s="358" t="s">
        <v>7</v>
      </c>
      <c r="P896" s="358">
        <v>0</v>
      </c>
      <c r="Q896" s="358">
        <v>0</v>
      </c>
      <c r="R896" s="358">
        <v>0</v>
      </c>
      <c r="S896" s="358">
        <v>0</v>
      </c>
      <c r="T896" s="358">
        <v>0</v>
      </c>
      <c r="U896" s="35">
        <f t="shared" si="160"/>
        <v>1</v>
      </c>
      <c r="W896">
        <f t="shared" si="161"/>
        <v>1</v>
      </c>
      <c r="X896" s="35">
        <f t="shared" si="162"/>
        <v>0</v>
      </c>
      <c r="Y896">
        <f t="shared" si="163"/>
        <v>0</v>
      </c>
      <c r="AB896">
        <f t="shared" si="166"/>
        <v>1</v>
      </c>
      <c r="AC896">
        <f t="shared" ca="1" si="167"/>
        <v>0</v>
      </c>
      <c r="AD896" t="str">
        <f ca="1">IF(AC896=1,COUNTIF($AC$3:AC896,1),"")</f>
        <v/>
      </c>
      <c r="AE896" s="155" t="str">
        <f ca="1">IFERROR(INDEX(Données!$B$3:$B$1479,MATCH(ROWS($AD$3:AD896),$AD$3:$AD$1479,0)),"")</f>
        <v/>
      </c>
    </row>
    <row r="897" spans="1:31" ht="15.75" x14ac:dyDescent="0.25">
      <c r="A897" t="str">
        <f t="shared" si="164"/>
        <v>Anthony Beauvillier - NYI - AG</v>
      </c>
      <c r="B897" t="str">
        <f t="shared" si="165"/>
        <v>Anthony Beauvillier - NYI - AG</v>
      </c>
      <c r="C897" t="str">
        <f t="shared" si="156"/>
        <v>Anthony</v>
      </c>
      <c r="D897" t="str">
        <f t="shared" si="157"/>
        <v>Beauvillier</v>
      </c>
      <c r="E897" s="39" t="s">
        <v>1731</v>
      </c>
      <c r="F897" s="30" t="s">
        <v>25</v>
      </c>
      <c r="G897" s="35">
        <v>0</v>
      </c>
      <c r="H897" s="9" t="s">
        <v>2440</v>
      </c>
      <c r="I897" s="9" t="s">
        <v>2439</v>
      </c>
      <c r="J897" s="9">
        <v>22</v>
      </c>
      <c r="K897" s="35">
        <f>VALUE(COUNTIF(Validation!$A$2:$H$47,E897))</f>
        <v>0</v>
      </c>
      <c r="L897" s="361">
        <f t="shared" si="158"/>
        <v>0</v>
      </c>
      <c r="M897" s="361">
        <f t="shared" si="159"/>
        <v>0</v>
      </c>
      <c r="N897" s="358" t="s">
        <v>8</v>
      </c>
      <c r="O897" s="358">
        <v>0</v>
      </c>
      <c r="P897" s="358">
        <v>0</v>
      </c>
      <c r="Q897" s="358">
        <v>0</v>
      </c>
      <c r="R897" s="358">
        <v>0</v>
      </c>
      <c r="S897" s="358">
        <v>0</v>
      </c>
      <c r="T897" s="358">
        <v>0</v>
      </c>
      <c r="U897" s="35">
        <f t="shared" si="160"/>
        <v>0</v>
      </c>
      <c r="W897">
        <f t="shared" si="161"/>
        <v>1</v>
      </c>
      <c r="X897" s="35">
        <f t="shared" si="162"/>
        <v>0</v>
      </c>
      <c r="Y897">
        <f t="shared" si="163"/>
        <v>1</v>
      </c>
      <c r="AB897">
        <f t="shared" si="166"/>
        <v>1</v>
      </c>
      <c r="AC897">
        <f t="shared" ca="1" si="167"/>
        <v>0</v>
      </c>
      <c r="AD897" t="str">
        <f ca="1">IF(AC897=1,COUNTIF($AC$3:AC897,1),"")</f>
        <v/>
      </c>
      <c r="AE897" s="155" t="str">
        <f ca="1">IFERROR(INDEX(Données!$B$3:$B$1479,MATCH(ROWS($AD$3:AD897),$AD$3:$AD$1479,0)),"")</f>
        <v/>
      </c>
    </row>
    <row r="898" spans="1:31" ht="15.75" x14ac:dyDescent="0.25">
      <c r="A898" t="str">
        <f t="shared" si="164"/>
        <v>Michael DalColle - NYI - AG</v>
      </c>
      <c r="B898" t="str">
        <f t="shared" si="165"/>
        <v>Michael DalColle - NYI - AG</v>
      </c>
      <c r="C898" t="str">
        <f t="shared" si="156"/>
        <v>Michael</v>
      </c>
      <c r="D898" t="str">
        <f t="shared" si="157"/>
        <v>DalColle</v>
      </c>
      <c r="E898" s="39" t="s">
        <v>2925</v>
      </c>
      <c r="F898" s="30" t="s">
        <v>25</v>
      </c>
      <c r="G898" s="35">
        <v>0</v>
      </c>
      <c r="H898" s="35" t="s">
        <v>2440</v>
      </c>
      <c r="I898" s="35" t="s">
        <v>2439</v>
      </c>
      <c r="J898" s="35">
        <v>23</v>
      </c>
      <c r="K898" s="35">
        <f>VALUE(COUNTIF(Validation!$A$2:$H$47,E898))</f>
        <v>0</v>
      </c>
      <c r="L898" s="361">
        <f t="shared" si="158"/>
        <v>0</v>
      </c>
      <c r="M898" s="361">
        <f t="shared" si="159"/>
        <v>0</v>
      </c>
      <c r="N898" s="358" t="s">
        <v>8</v>
      </c>
      <c r="O898" s="358">
        <v>0</v>
      </c>
      <c r="P898" s="358">
        <v>0</v>
      </c>
      <c r="Q898" s="358">
        <v>0</v>
      </c>
      <c r="R898" s="358">
        <v>0</v>
      </c>
      <c r="S898" s="358">
        <v>0</v>
      </c>
      <c r="T898" s="358">
        <v>0</v>
      </c>
      <c r="U898" s="35">
        <f t="shared" si="160"/>
        <v>0</v>
      </c>
      <c r="W898">
        <f t="shared" si="161"/>
        <v>1</v>
      </c>
      <c r="X898" s="35">
        <f t="shared" si="162"/>
        <v>0</v>
      </c>
      <c r="Y898">
        <f t="shared" si="163"/>
        <v>1</v>
      </c>
      <c r="AB898">
        <f t="shared" si="166"/>
        <v>1</v>
      </c>
      <c r="AC898">
        <f t="shared" ca="1" si="167"/>
        <v>0</v>
      </c>
      <c r="AD898" t="str">
        <f ca="1">IF(AC898=1,COUNTIF($AC$3:AC898,1),"")</f>
        <v/>
      </c>
      <c r="AE898" s="155" t="str">
        <f ca="1">IFERROR(INDEX(Données!$B$3:$B$1479,MATCH(ROWS($AD$3:AD898),$AD$3:$AD$1479,0)),"")</f>
        <v/>
      </c>
    </row>
    <row r="899" spans="1:31" ht="15.75" x14ac:dyDescent="0.25">
      <c r="A899" t="str">
        <f t="shared" si="164"/>
        <v>Joshua Ho-Sang - NYI - AD, C</v>
      </c>
      <c r="B899" t="str">
        <f t="shared" si="165"/>
        <v>Joshua Ho-Sang - NYI - AD, C</v>
      </c>
      <c r="C899" t="str">
        <f t="shared" ref="C899:C962" si="168">RIGHT(E899,(LEN(E899)-1)-SEARCH(",",E899,1))</f>
        <v>Joshua</v>
      </c>
      <c r="D899" t="str">
        <f t="shared" ref="D899:D962" si="169">LEFT(E899,SEARCH(",",E899,1)-1)</f>
        <v>Ho-Sang</v>
      </c>
      <c r="E899" s="39" t="s">
        <v>1744</v>
      </c>
      <c r="F899" s="30" t="s">
        <v>25</v>
      </c>
      <c r="G899" s="35">
        <v>0</v>
      </c>
      <c r="H899" s="35" t="s">
        <v>2453</v>
      </c>
      <c r="I899" s="35" t="s">
        <v>2446</v>
      </c>
      <c r="J899" s="35">
        <v>23</v>
      </c>
      <c r="K899" s="35">
        <f>VALUE(COUNTIF(Validation!$A$2:$H$47,E899))</f>
        <v>0</v>
      </c>
      <c r="L899" s="361">
        <f t="shared" ref="L899:L962" si="170">IF(OR(N899="RFA",N899="UFA",N899="",N899=0),0,N899)</f>
        <v>0</v>
      </c>
      <c r="M899" s="361">
        <f t="shared" ref="M899:M962" si="171">IF(OR(O899="RFA",O899="UFA",O899="",O899=0),0,O899)</f>
        <v>0</v>
      </c>
      <c r="N899" s="358" t="s">
        <v>8</v>
      </c>
      <c r="O899" s="358">
        <v>0</v>
      </c>
      <c r="P899" s="358">
        <v>0</v>
      </c>
      <c r="Q899" s="358">
        <v>0</v>
      </c>
      <c r="R899" s="358">
        <v>0</v>
      </c>
      <c r="S899" s="358">
        <v>0</v>
      </c>
      <c r="T899" s="358">
        <v>0</v>
      </c>
      <c r="U899" s="35">
        <f t="shared" ref="U899:U962" si="172">COUNTIF(N899:T899,"&gt;0")</f>
        <v>0</v>
      </c>
      <c r="W899">
        <f t="shared" ref="W899:W962" si="173">COUNTIF($E$3:$E$1479,E899)</f>
        <v>1</v>
      </c>
      <c r="X899" s="35">
        <f t="shared" ref="X899:X963" si="174">IF(LEFT(G899,3)="ELC",1,0)</f>
        <v>0</v>
      </c>
      <c r="Y899">
        <f t="shared" ref="Y899:Y963" si="175">IF(L899=M899,1,0)</f>
        <v>1</v>
      </c>
      <c r="AB899">
        <f t="shared" si="166"/>
        <v>1</v>
      </c>
      <c r="AC899">
        <f t="shared" ca="1" si="167"/>
        <v>0</v>
      </c>
      <c r="AD899" t="str">
        <f ca="1">IF(AC899=1,COUNTIF($AC$3:AC899,1),"")</f>
        <v/>
      </c>
      <c r="AE899" s="155" t="str">
        <f ca="1">IFERROR(INDEX(Données!$B$3:$B$1479,MATCH(ROWS($AD$3:AD899),$AD$3:$AD$1479,0)),"")</f>
        <v/>
      </c>
    </row>
    <row r="900" spans="1:31" ht="15.75" x14ac:dyDescent="0.25">
      <c r="A900" t="str">
        <f t="shared" ref="A900:A963" si="176">C900&amp;" "&amp;D900&amp;" - "&amp;F900&amp;" - "&amp;H900</f>
        <v>Artemi Panarin - NYR - LW</v>
      </c>
      <c r="B900" t="str">
        <f t="shared" ref="B900:B963" si="177">A900</f>
        <v>Artemi Panarin - NYR - LW</v>
      </c>
      <c r="C900" t="str">
        <f t="shared" si="168"/>
        <v>Artemi</v>
      </c>
      <c r="D900" t="str">
        <f t="shared" si="169"/>
        <v>Panarin</v>
      </c>
      <c r="E900" s="39" t="s">
        <v>1654</v>
      </c>
      <c r="F900" s="30" t="s">
        <v>26</v>
      </c>
      <c r="G900" s="35" t="s">
        <v>420</v>
      </c>
      <c r="H900" s="35" t="s">
        <v>93</v>
      </c>
      <c r="I900" s="35" t="s">
        <v>2677</v>
      </c>
      <c r="J900" s="35">
        <v>27</v>
      </c>
      <c r="K900" s="35">
        <f>VALUE(COUNTIF(Validation!$A$2:$H$47,E900))</f>
        <v>0</v>
      </c>
      <c r="L900" s="361">
        <f t="shared" si="170"/>
        <v>11642857</v>
      </c>
      <c r="M900" s="361">
        <f t="shared" si="171"/>
        <v>11642857</v>
      </c>
      <c r="N900" s="358">
        <v>11642857</v>
      </c>
      <c r="O900" s="358">
        <v>11642857</v>
      </c>
      <c r="P900" s="358">
        <v>11642857</v>
      </c>
      <c r="Q900" s="358">
        <v>11642857</v>
      </c>
      <c r="R900" s="358">
        <v>11642857</v>
      </c>
      <c r="S900" s="358">
        <v>11642857</v>
      </c>
      <c r="T900" s="358">
        <v>11642857</v>
      </c>
      <c r="U900" s="35">
        <f t="shared" si="172"/>
        <v>7</v>
      </c>
      <c r="W900">
        <f t="shared" si="173"/>
        <v>1</v>
      </c>
      <c r="X900" s="35">
        <f t="shared" si="174"/>
        <v>0</v>
      </c>
      <c r="Y900">
        <f t="shared" si="175"/>
        <v>1</v>
      </c>
      <c r="AB900">
        <f t="shared" ref="AB900:AB963" si="178">SEARCH(AA900,A900)</f>
        <v>1</v>
      </c>
      <c r="AC900">
        <f t="shared" ca="1" si="167"/>
        <v>0</v>
      </c>
      <c r="AD900" t="str">
        <f ca="1">IF(AC900=1,COUNTIF($AC$3:AC900,1),"")</f>
        <v/>
      </c>
      <c r="AE900" s="155" t="str">
        <f ca="1">IFERROR(INDEX(Données!$B$3:$B$1479,MATCH(ROWS($AD$3:AD900),$AD$3:$AD$1479,0)),"")</f>
        <v/>
      </c>
    </row>
    <row r="901" spans="1:31" ht="15.75" x14ac:dyDescent="0.25">
      <c r="A901" t="str">
        <f t="shared" si="176"/>
        <v>Henrik Lundqvist - NYR - G</v>
      </c>
      <c r="B901" t="str">
        <f t="shared" si="177"/>
        <v>Henrik Lundqvist - NYR - G</v>
      </c>
      <c r="C901" t="str">
        <f t="shared" si="168"/>
        <v>Henrik</v>
      </c>
      <c r="D901" t="str">
        <f t="shared" si="169"/>
        <v>Lundqvist</v>
      </c>
      <c r="E901" s="39" t="s">
        <v>1764</v>
      </c>
      <c r="F901" s="30" t="s">
        <v>26</v>
      </c>
      <c r="G901" s="35" t="s">
        <v>420</v>
      </c>
      <c r="H901" s="35" t="s">
        <v>127</v>
      </c>
      <c r="I901" s="35" t="s">
        <v>2677</v>
      </c>
      <c r="J901" s="35">
        <v>37</v>
      </c>
      <c r="K901" s="35">
        <f>VALUE(COUNTIF(Validation!$A$2:$H$47,E901))</f>
        <v>0</v>
      </c>
      <c r="L901" s="361">
        <f t="shared" si="170"/>
        <v>8500000</v>
      </c>
      <c r="M901" s="361">
        <f t="shared" si="171"/>
        <v>8500000</v>
      </c>
      <c r="N901" s="358">
        <v>8500000</v>
      </c>
      <c r="O901" s="358">
        <v>8500000</v>
      </c>
      <c r="P901" s="358" t="s">
        <v>7</v>
      </c>
      <c r="Q901" s="358">
        <v>0</v>
      </c>
      <c r="R901" s="358">
        <v>0</v>
      </c>
      <c r="S901" s="358">
        <v>0</v>
      </c>
      <c r="T901" s="358">
        <v>0</v>
      </c>
      <c r="U901" s="35">
        <f t="shared" si="172"/>
        <v>2</v>
      </c>
      <c r="W901">
        <f t="shared" si="173"/>
        <v>1</v>
      </c>
      <c r="X901" s="35">
        <f t="shared" si="174"/>
        <v>0</v>
      </c>
      <c r="Y901">
        <f t="shared" si="175"/>
        <v>1</v>
      </c>
      <c r="AB901">
        <f t="shared" si="178"/>
        <v>1</v>
      </c>
      <c r="AC901">
        <f t="shared" ref="AC901:AC964" ca="1" si="179">IFERROR(SEARCH(INDIRECT(CELL("adresse")),B901,1),0)</f>
        <v>0</v>
      </c>
      <c r="AD901" t="str">
        <f ca="1">IF(AC901=1,COUNTIF($AC$3:AC901,1),"")</f>
        <v/>
      </c>
      <c r="AE901" s="155" t="str">
        <f ca="1">IFERROR(INDEX(Données!$B$3:$B$1479,MATCH(ROWS($AD$3:AD901),$AD$3:$AD$1479,0)),"")</f>
        <v/>
      </c>
    </row>
    <row r="902" spans="1:31" ht="15.75" x14ac:dyDescent="0.25">
      <c r="A902" t="str">
        <f t="shared" si="176"/>
        <v>Jacob Trouba - NYR - RD</v>
      </c>
      <c r="B902" t="str">
        <f t="shared" si="177"/>
        <v>Jacob Trouba - NYR - RD</v>
      </c>
      <c r="C902" t="str">
        <f t="shared" si="168"/>
        <v>Jacob</v>
      </c>
      <c r="D902" t="str">
        <f t="shared" si="169"/>
        <v>Trouba</v>
      </c>
      <c r="E902" s="39" t="s">
        <v>2090</v>
      </c>
      <c r="F902" s="30" t="s">
        <v>26</v>
      </c>
      <c r="G902" s="35">
        <v>0</v>
      </c>
      <c r="H902" s="35" t="s">
        <v>379</v>
      </c>
      <c r="I902" s="35" t="s">
        <v>2677</v>
      </c>
      <c r="J902" s="35">
        <v>25</v>
      </c>
      <c r="K902" s="35">
        <f>VALUE(COUNTIF(Validation!$A$2:$H$47,E902))</f>
        <v>0</v>
      </c>
      <c r="L902" s="361">
        <f t="shared" si="170"/>
        <v>8000000</v>
      </c>
      <c r="M902" s="361">
        <f t="shared" si="171"/>
        <v>8000000</v>
      </c>
      <c r="N902" s="358">
        <v>8000000</v>
      </c>
      <c r="O902" s="358">
        <v>8000000</v>
      </c>
      <c r="P902" s="358">
        <v>8000000</v>
      </c>
      <c r="Q902" s="358">
        <v>8000000</v>
      </c>
      <c r="R902" s="358">
        <v>8000000</v>
      </c>
      <c r="S902" s="358">
        <v>8000000</v>
      </c>
      <c r="T902" s="358">
        <v>8000000</v>
      </c>
      <c r="U902" s="35">
        <f t="shared" si="172"/>
        <v>7</v>
      </c>
      <c r="W902">
        <f t="shared" si="173"/>
        <v>1</v>
      </c>
      <c r="X902" s="35">
        <f t="shared" si="174"/>
        <v>0</v>
      </c>
      <c r="Y902">
        <f t="shared" si="175"/>
        <v>1</v>
      </c>
      <c r="AB902">
        <f t="shared" si="178"/>
        <v>1</v>
      </c>
      <c r="AC902">
        <f t="shared" ca="1" si="179"/>
        <v>0</v>
      </c>
      <c r="AD902" t="str">
        <f ca="1">IF(AC902=1,COUNTIF($AC$3:AC902,1),"")</f>
        <v/>
      </c>
      <c r="AE902" s="155" t="str">
        <f ca="1">IFERROR(INDEX(Données!$B$3:$B$1479,MATCH(ROWS($AD$3:AD902),$AD$3:$AD$1479,0)),"")</f>
        <v/>
      </c>
    </row>
    <row r="903" spans="1:31" ht="15.75" x14ac:dyDescent="0.25">
      <c r="A903" t="str">
        <f t="shared" si="176"/>
        <v>Marc Staal - NYR - LD</v>
      </c>
      <c r="B903" t="str">
        <f t="shared" si="177"/>
        <v>Marc Staal - NYR - LD</v>
      </c>
      <c r="C903" t="str">
        <f t="shared" si="168"/>
        <v>Marc</v>
      </c>
      <c r="D903" t="str">
        <f t="shared" si="169"/>
        <v>Staal</v>
      </c>
      <c r="E903" s="39" t="s">
        <v>3002</v>
      </c>
      <c r="F903" s="30" t="s">
        <v>26</v>
      </c>
      <c r="G903" s="35" t="s">
        <v>420</v>
      </c>
      <c r="H903" s="35" t="s">
        <v>380</v>
      </c>
      <c r="I903" s="35" t="s">
        <v>2677</v>
      </c>
      <c r="J903" s="35">
        <v>32</v>
      </c>
      <c r="K903" s="35">
        <f>VALUE(COUNTIF(Validation!$A$2:$H$47,E903))</f>
        <v>0</v>
      </c>
      <c r="L903" s="361">
        <f t="shared" si="170"/>
        <v>5700000</v>
      </c>
      <c r="M903" s="361">
        <f t="shared" si="171"/>
        <v>5700000</v>
      </c>
      <c r="N903" s="358">
        <v>5700000</v>
      </c>
      <c r="O903" s="358">
        <v>5700000</v>
      </c>
      <c r="P903" s="358" t="s">
        <v>7</v>
      </c>
      <c r="Q903" s="358">
        <v>0</v>
      </c>
      <c r="R903" s="358">
        <v>0</v>
      </c>
      <c r="S903" s="358">
        <v>0</v>
      </c>
      <c r="T903" s="358">
        <v>0</v>
      </c>
      <c r="U903" s="35">
        <f t="shared" si="172"/>
        <v>2</v>
      </c>
      <c r="W903">
        <f t="shared" si="173"/>
        <v>1</v>
      </c>
      <c r="X903" s="35">
        <f t="shared" si="174"/>
        <v>0</v>
      </c>
      <c r="Y903">
        <f t="shared" si="175"/>
        <v>1</v>
      </c>
      <c r="AB903">
        <f t="shared" si="178"/>
        <v>1</v>
      </c>
      <c r="AC903">
        <f t="shared" ca="1" si="179"/>
        <v>0</v>
      </c>
      <c r="AD903" t="str">
        <f ca="1">IF(AC903=1,COUNTIF($AC$3:AC903,1),"")</f>
        <v/>
      </c>
      <c r="AE903" s="155" t="str">
        <f ca="1">IFERROR(INDEX(Données!$B$3:$B$1479,MATCH(ROWS($AD$3:AD903),$AD$3:$AD$1479,0)),"")</f>
        <v/>
      </c>
    </row>
    <row r="904" spans="1:31" ht="15.75" x14ac:dyDescent="0.25">
      <c r="A904" t="str">
        <f t="shared" si="176"/>
        <v>Mika Zibanejad - NYR - C</v>
      </c>
      <c r="B904" t="str">
        <f t="shared" si="177"/>
        <v>Mika Zibanejad - NYR - C</v>
      </c>
      <c r="C904" t="str">
        <f t="shared" si="168"/>
        <v>Mika</v>
      </c>
      <c r="D904" t="str">
        <f t="shared" si="169"/>
        <v>Zibanejad</v>
      </c>
      <c r="E904" s="39" t="s">
        <v>2920</v>
      </c>
      <c r="F904" s="30" t="s">
        <v>26</v>
      </c>
      <c r="G904" s="35" t="s">
        <v>420</v>
      </c>
      <c r="H904" s="35" t="s">
        <v>73</v>
      </c>
      <c r="I904" s="35" t="s">
        <v>2677</v>
      </c>
      <c r="J904" s="35">
        <v>26</v>
      </c>
      <c r="K904" s="35">
        <f>VALUE(COUNTIF(Validation!$A$2:$H$47,E904))</f>
        <v>0</v>
      </c>
      <c r="L904" s="361">
        <f t="shared" si="170"/>
        <v>5350000</v>
      </c>
      <c r="M904" s="361">
        <f t="shared" si="171"/>
        <v>5350000</v>
      </c>
      <c r="N904" s="358">
        <v>5350000</v>
      </c>
      <c r="O904" s="358">
        <v>5350000</v>
      </c>
      <c r="P904" s="358">
        <v>5350000</v>
      </c>
      <c r="Q904" s="358" t="s">
        <v>7</v>
      </c>
      <c r="R904" s="358">
        <v>0</v>
      </c>
      <c r="S904" s="358">
        <v>0</v>
      </c>
      <c r="T904" s="358">
        <v>0</v>
      </c>
      <c r="U904" s="35">
        <f t="shared" si="172"/>
        <v>3</v>
      </c>
      <c r="W904">
        <f t="shared" si="173"/>
        <v>1</v>
      </c>
      <c r="X904" s="35">
        <f t="shared" si="174"/>
        <v>0</v>
      </c>
      <c r="Y904">
        <f t="shared" si="175"/>
        <v>1</v>
      </c>
      <c r="AB904">
        <f t="shared" si="178"/>
        <v>1</v>
      </c>
      <c r="AC904">
        <f t="shared" ca="1" si="179"/>
        <v>0</v>
      </c>
      <c r="AD904" t="str">
        <f ca="1">IF(AC904=1,COUNTIF($AC$3:AC904,1),"")</f>
        <v/>
      </c>
      <c r="AE904" s="155" t="str">
        <f ca="1">IFERROR(INDEX(Données!$B$3:$B$1479,MATCH(ROWS($AD$3:AD904),$AD$3:$AD$1479,0)),"")</f>
        <v/>
      </c>
    </row>
    <row r="905" spans="1:31" ht="15.75" x14ac:dyDescent="0.25">
      <c r="A905" t="str">
        <f t="shared" si="176"/>
        <v>Brady Skjei - NYR - LD</v>
      </c>
      <c r="B905" t="str">
        <f t="shared" si="177"/>
        <v>Brady Skjei - NYR - LD</v>
      </c>
      <c r="C905" t="str">
        <f t="shared" si="168"/>
        <v>Brady</v>
      </c>
      <c r="D905" t="str">
        <f t="shared" si="169"/>
        <v>Skjei</v>
      </c>
      <c r="E905" s="39" t="s">
        <v>1761</v>
      </c>
      <c r="F905" s="30" t="s">
        <v>26</v>
      </c>
      <c r="G905" s="35">
        <v>0</v>
      </c>
      <c r="H905" s="9" t="s">
        <v>380</v>
      </c>
      <c r="I905" s="9" t="s">
        <v>2677</v>
      </c>
      <c r="J905" s="9">
        <v>25</v>
      </c>
      <c r="K905" s="35">
        <f>VALUE(COUNTIF(Validation!$A$2:$H$47,E905))</f>
        <v>0</v>
      </c>
      <c r="L905" s="361">
        <f t="shared" si="170"/>
        <v>5250000</v>
      </c>
      <c r="M905" s="361">
        <f t="shared" si="171"/>
        <v>5250000</v>
      </c>
      <c r="N905" s="358">
        <v>5250000</v>
      </c>
      <c r="O905" s="358">
        <v>5250000</v>
      </c>
      <c r="P905" s="358">
        <v>5250000</v>
      </c>
      <c r="Q905" s="358">
        <v>5250000</v>
      </c>
      <c r="R905" s="358">
        <v>5250000</v>
      </c>
      <c r="S905" s="358" t="s">
        <v>7</v>
      </c>
      <c r="T905" s="358">
        <v>0</v>
      </c>
      <c r="U905" s="35">
        <f t="shared" si="172"/>
        <v>5</v>
      </c>
      <c r="W905">
        <f t="shared" si="173"/>
        <v>1</v>
      </c>
      <c r="X905" s="35">
        <f t="shared" si="174"/>
        <v>0</v>
      </c>
      <c r="Y905">
        <f t="shared" si="175"/>
        <v>1</v>
      </c>
      <c r="AB905">
        <f t="shared" si="178"/>
        <v>1</v>
      </c>
      <c r="AC905">
        <f t="shared" ca="1" si="179"/>
        <v>0</v>
      </c>
      <c r="AD905" t="str">
        <f ca="1">IF(AC905=1,COUNTIF($AC$3:AC905,1),"")</f>
        <v/>
      </c>
      <c r="AE905" s="155" t="str">
        <f ca="1">IFERROR(INDEX(Données!$B$3:$B$1479,MATCH(ROWS($AD$3:AD905),$AD$3:$AD$1479,0)),"")</f>
        <v/>
      </c>
    </row>
    <row r="906" spans="1:31" ht="15.75" x14ac:dyDescent="0.25">
      <c r="A906" t="str">
        <f t="shared" si="176"/>
        <v>Chris Kreider - NYR - LW</v>
      </c>
      <c r="B906" t="str">
        <f t="shared" si="177"/>
        <v>Chris Kreider - NYR - LW</v>
      </c>
      <c r="C906" t="str">
        <f t="shared" si="168"/>
        <v>Chris</v>
      </c>
      <c r="D906" t="str">
        <f t="shared" si="169"/>
        <v>Kreider</v>
      </c>
      <c r="E906" s="39" t="s">
        <v>2980</v>
      </c>
      <c r="F906" s="30" t="s">
        <v>26</v>
      </c>
      <c r="G906" s="35" t="s">
        <v>381</v>
      </c>
      <c r="H906" s="35" t="s">
        <v>93</v>
      </c>
      <c r="I906" s="35" t="s">
        <v>2677</v>
      </c>
      <c r="J906" s="35">
        <v>28</v>
      </c>
      <c r="K906" s="35">
        <f>VALUE(COUNTIF(Validation!$A$2:$H$47,E906))</f>
        <v>0</v>
      </c>
      <c r="L906" s="361">
        <f t="shared" si="170"/>
        <v>4625000</v>
      </c>
      <c r="M906" s="361">
        <f t="shared" si="171"/>
        <v>0</v>
      </c>
      <c r="N906" s="358">
        <v>4625000</v>
      </c>
      <c r="O906" s="358" t="s">
        <v>7</v>
      </c>
      <c r="P906" s="358">
        <v>0</v>
      </c>
      <c r="Q906" s="358">
        <v>0</v>
      </c>
      <c r="R906" s="358">
        <v>0</v>
      </c>
      <c r="S906" s="358">
        <v>0</v>
      </c>
      <c r="T906" s="358">
        <v>0</v>
      </c>
      <c r="U906" s="35">
        <f t="shared" si="172"/>
        <v>1</v>
      </c>
      <c r="W906">
        <f t="shared" si="173"/>
        <v>1</v>
      </c>
      <c r="X906" s="35">
        <f t="shared" si="174"/>
        <v>0</v>
      </c>
      <c r="Y906">
        <f t="shared" si="175"/>
        <v>0</v>
      </c>
      <c r="AB906">
        <f t="shared" si="178"/>
        <v>1</v>
      </c>
      <c r="AC906">
        <f t="shared" ca="1" si="179"/>
        <v>0</v>
      </c>
      <c r="AD906" t="str">
        <f ca="1">IF(AC906=1,COUNTIF($AC$3:AC906,1),"")</f>
        <v/>
      </c>
      <c r="AE906" s="155" t="str">
        <f ca="1">IFERROR(INDEX(Données!$B$3:$B$1479,MATCH(ROWS($AD$3:AD906),$AD$3:$AD$1479,0)),"")</f>
        <v/>
      </c>
    </row>
    <row r="907" spans="1:31" ht="15.75" x14ac:dyDescent="0.25">
      <c r="A907" t="str">
        <f t="shared" si="176"/>
        <v>Brendan Smith - NYR - RD, LW</v>
      </c>
      <c r="B907" t="str">
        <f t="shared" si="177"/>
        <v>Brendan Smith - NYR - RD, LW</v>
      </c>
      <c r="C907" t="str">
        <f t="shared" si="168"/>
        <v>Brendan</v>
      </c>
      <c r="D907" t="str">
        <f t="shared" si="169"/>
        <v>Smith</v>
      </c>
      <c r="E907" s="39" t="s">
        <v>1762</v>
      </c>
      <c r="F907" s="30" t="s">
        <v>26</v>
      </c>
      <c r="G907" s="35" t="s">
        <v>381</v>
      </c>
      <c r="H907" s="35" t="s">
        <v>2710</v>
      </c>
      <c r="I907" s="35" t="s">
        <v>2677</v>
      </c>
      <c r="J907" s="35">
        <v>30</v>
      </c>
      <c r="K907" s="35">
        <f>VALUE(COUNTIF(Validation!$A$2:$H$47,E907))</f>
        <v>0</v>
      </c>
      <c r="L907" s="361">
        <f t="shared" si="170"/>
        <v>4350000</v>
      </c>
      <c r="M907" s="361">
        <f t="shared" si="171"/>
        <v>4350000</v>
      </c>
      <c r="N907" s="358">
        <v>4350000</v>
      </c>
      <c r="O907" s="358">
        <v>4350000</v>
      </c>
      <c r="P907" s="358" t="s">
        <v>7</v>
      </c>
      <c r="Q907" s="358">
        <v>0</v>
      </c>
      <c r="R907" s="358">
        <v>0</v>
      </c>
      <c r="S907" s="358">
        <v>0</v>
      </c>
      <c r="T907" s="358">
        <v>0</v>
      </c>
      <c r="U907" s="35">
        <f t="shared" si="172"/>
        <v>2</v>
      </c>
      <c r="W907">
        <f t="shared" si="173"/>
        <v>1</v>
      </c>
      <c r="X907" s="35">
        <f t="shared" si="174"/>
        <v>0</v>
      </c>
      <c r="Y907">
        <f t="shared" si="175"/>
        <v>1</v>
      </c>
      <c r="AB907">
        <f t="shared" si="178"/>
        <v>1</v>
      </c>
      <c r="AC907">
        <f t="shared" ca="1" si="179"/>
        <v>0</v>
      </c>
      <c r="AD907" t="str">
        <f ca="1">IF(AC907=1,COUNTIF($AC$3:AC907,1),"")</f>
        <v/>
      </c>
      <c r="AE907" s="155" t="str">
        <f ca="1">IFERROR(INDEX(Données!$B$3:$B$1479,MATCH(ROWS($AD$3:AD907),$AD$3:$AD$1479,0)),"")</f>
        <v/>
      </c>
    </row>
    <row r="908" spans="1:31" ht="15.75" x14ac:dyDescent="0.25">
      <c r="A908" t="str">
        <f t="shared" si="176"/>
        <v>Vladislav Namestnikov - NYR - RW, LW, C</v>
      </c>
      <c r="B908" t="str">
        <f t="shared" si="177"/>
        <v>Vladislav Namestnikov - NYR - RW, LW, C</v>
      </c>
      <c r="C908" t="str">
        <f t="shared" si="168"/>
        <v>Vladislav</v>
      </c>
      <c r="D908" t="str">
        <f t="shared" si="169"/>
        <v>Namestnikov</v>
      </c>
      <c r="E908" s="39" t="s">
        <v>1757</v>
      </c>
      <c r="F908" s="30" t="s">
        <v>26</v>
      </c>
      <c r="G908" s="35">
        <v>0</v>
      </c>
      <c r="H908" s="9" t="s">
        <v>2708</v>
      </c>
      <c r="I908" s="9" t="s">
        <v>2677</v>
      </c>
      <c r="J908" s="9">
        <v>26</v>
      </c>
      <c r="K908" s="35">
        <f>VALUE(COUNTIF(Validation!$A$2:$H$47,E908))</f>
        <v>0</v>
      </c>
      <c r="L908" s="361">
        <f t="shared" si="170"/>
        <v>4000000</v>
      </c>
      <c r="M908" s="361">
        <f t="shared" si="171"/>
        <v>0</v>
      </c>
      <c r="N908" s="358">
        <v>4000000</v>
      </c>
      <c r="O908" s="358" t="s">
        <v>7</v>
      </c>
      <c r="P908" s="358">
        <v>0</v>
      </c>
      <c r="Q908" s="358">
        <v>0</v>
      </c>
      <c r="R908" s="358">
        <v>0</v>
      </c>
      <c r="S908" s="358">
        <v>0</v>
      </c>
      <c r="T908" s="358">
        <v>0</v>
      </c>
      <c r="U908" s="35">
        <f t="shared" si="172"/>
        <v>1</v>
      </c>
      <c r="W908">
        <f t="shared" si="173"/>
        <v>1</v>
      </c>
      <c r="X908" s="35">
        <f t="shared" si="174"/>
        <v>0</v>
      </c>
      <c r="Y908">
        <f t="shared" si="175"/>
        <v>0</v>
      </c>
      <c r="AB908">
        <f t="shared" si="178"/>
        <v>1</v>
      </c>
      <c r="AC908">
        <f t="shared" ca="1" si="179"/>
        <v>0</v>
      </c>
      <c r="AD908" t="str">
        <f ca="1">IF(AC908=1,COUNTIF($AC$3:AC908,1),"")</f>
        <v/>
      </c>
      <c r="AE908" s="155" t="str">
        <f ca="1">IFERROR(INDEX(Données!$B$3:$B$1479,MATCH(ROWS($AD$3:AD908),$AD$3:$AD$1479,0)),"")</f>
        <v/>
      </c>
    </row>
    <row r="909" spans="1:31" ht="15.75" x14ac:dyDescent="0.25">
      <c r="A909" t="str">
        <f t="shared" si="176"/>
        <v>Igor Shesterkin - NYR - G</v>
      </c>
      <c r="B909" t="str">
        <f t="shared" si="177"/>
        <v>Igor Shesterkin - NYR - G</v>
      </c>
      <c r="C909" t="str">
        <f t="shared" si="168"/>
        <v>Igor</v>
      </c>
      <c r="D909" t="str">
        <f t="shared" si="169"/>
        <v>Shesterkin</v>
      </c>
      <c r="E909" s="39" t="s">
        <v>2570</v>
      </c>
      <c r="F909" s="30" t="s">
        <v>26</v>
      </c>
      <c r="G909" s="35" t="s">
        <v>386</v>
      </c>
      <c r="H909" s="35" t="s">
        <v>127</v>
      </c>
      <c r="I909" s="35" t="s">
        <v>2690</v>
      </c>
      <c r="J909" s="35">
        <v>23</v>
      </c>
      <c r="K909" s="35">
        <f>VALUE(COUNTIF(Validation!$A$2:$H$47,E909))</f>
        <v>0</v>
      </c>
      <c r="L909" s="361">
        <f t="shared" si="170"/>
        <v>3775000</v>
      </c>
      <c r="M909" s="361">
        <f t="shared" si="171"/>
        <v>3775000</v>
      </c>
      <c r="N909" s="358">
        <v>3775000</v>
      </c>
      <c r="O909" s="358">
        <v>3775000</v>
      </c>
      <c r="P909" s="358" t="s">
        <v>8</v>
      </c>
      <c r="Q909" s="358">
        <v>0</v>
      </c>
      <c r="R909" s="358">
        <v>0</v>
      </c>
      <c r="S909" s="358">
        <v>0</v>
      </c>
      <c r="T909" s="358">
        <v>0</v>
      </c>
      <c r="U909" s="35">
        <f t="shared" si="172"/>
        <v>2</v>
      </c>
      <c r="W909">
        <f t="shared" si="173"/>
        <v>1</v>
      </c>
      <c r="X909" s="35">
        <f t="shared" si="174"/>
        <v>1</v>
      </c>
      <c r="Y909">
        <f t="shared" si="175"/>
        <v>1</v>
      </c>
      <c r="AB909">
        <f t="shared" si="178"/>
        <v>1</v>
      </c>
      <c r="AC909">
        <f t="shared" ca="1" si="179"/>
        <v>0</v>
      </c>
      <c r="AD909" t="str">
        <f ca="1">IF(AC909=1,COUNTIF($AC$3:AC909,1),"")</f>
        <v/>
      </c>
      <c r="AE909" s="155" t="str">
        <f ca="1">IFERROR(INDEX(Données!$B$3:$B$1479,MATCH(ROWS($AD$3:AD909),$AD$3:$AD$1479,0)),"")</f>
        <v/>
      </c>
    </row>
    <row r="910" spans="1:31" ht="15.75" x14ac:dyDescent="0.25">
      <c r="A910" t="str">
        <f t="shared" si="176"/>
        <v>Kaapo Kakko - NYR - RW</v>
      </c>
      <c r="B910" t="str">
        <f t="shared" si="177"/>
        <v>Kaapo Kakko - NYR - RW</v>
      </c>
      <c r="C910" t="str">
        <f t="shared" si="168"/>
        <v>Kaapo</v>
      </c>
      <c r="D910" t="str">
        <f t="shared" si="169"/>
        <v>Kakko</v>
      </c>
      <c r="E910" s="39" t="s">
        <v>2709</v>
      </c>
      <c r="F910" s="30" t="s">
        <v>26</v>
      </c>
      <c r="G910" s="35" t="s">
        <v>388</v>
      </c>
      <c r="H910" s="35" t="s">
        <v>88</v>
      </c>
      <c r="I910" s="35" t="s">
        <v>2677</v>
      </c>
      <c r="J910" s="35">
        <v>18</v>
      </c>
      <c r="K910" s="35">
        <f>VALUE(COUNTIF(Validation!$A$2:$H$47,E910))</f>
        <v>0</v>
      </c>
      <c r="L910" s="361">
        <f t="shared" si="170"/>
        <v>3575000</v>
      </c>
      <c r="M910" s="361">
        <f t="shared" si="171"/>
        <v>3575000</v>
      </c>
      <c r="N910" s="358">
        <v>3575000</v>
      </c>
      <c r="O910" s="358">
        <v>3575000</v>
      </c>
      <c r="P910" s="358">
        <v>3575000</v>
      </c>
      <c r="Q910" s="358" t="s">
        <v>8</v>
      </c>
      <c r="R910" s="358">
        <v>0</v>
      </c>
      <c r="S910" s="358">
        <v>0</v>
      </c>
      <c r="T910" s="358">
        <v>0</v>
      </c>
      <c r="U910" s="35">
        <f t="shared" si="172"/>
        <v>3</v>
      </c>
      <c r="W910">
        <f t="shared" si="173"/>
        <v>1</v>
      </c>
      <c r="X910" s="35">
        <f t="shared" si="174"/>
        <v>1</v>
      </c>
      <c r="Y910">
        <f t="shared" si="175"/>
        <v>1</v>
      </c>
      <c r="AB910">
        <f t="shared" si="178"/>
        <v>1</v>
      </c>
      <c r="AC910">
        <f t="shared" ca="1" si="179"/>
        <v>0</v>
      </c>
      <c r="AD910" t="str">
        <f ca="1">IF(AC910=1,COUNTIF($AC$3:AC910,1),"")</f>
        <v/>
      </c>
      <c r="AE910" s="155" t="str">
        <f ca="1">IFERROR(INDEX(Données!$B$3:$B$1479,MATCH(ROWS($AD$3:AD910),$AD$3:$AD$1479,0)),"")</f>
        <v/>
      </c>
    </row>
    <row r="911" spans="1:31" ht="15.75" x14ac:dyDescent="0.25">
      <c r="A911" t="str">
        <f t="shared" si="176"/>
        <v>Pavel Buchnevich - NYR - RW, LW</v>
      </c>
      <c r="B911" t="str">
        <f t="shared" si="177"/>
        <v>Pavel Buchnevich - NYR - RW, LW</v>
      </c>
      <c r="C911" t="str">
        <f t="shared" si="168"/>
        <v>Pavel</v>
      </c>
      <c r="D911" t="str">
        <f t="shared" si="169"/>
        <v>Buchnevich</v>
      </c>
      <c r="E911" s="39" t="s">
        <v>1759</v>
      </c>
      <c r="F911" s="30" t="s">
        <v>26</v>
      </c>
      <c r="G911" s="35">
        <v>0</v>
      </c>
      <c r="H911" s="35" t="s">
        <v>2680</v>
      </c>
      <c r="I911" s="35" t="s">
        <v>2677</v>
      </c>
      <c r="J911" s="35">
        <v>24</v>
      </c>
      <c r="K911" s="35">
        <f>VALUE(COUNTIF(Validation!$A$2:$H$47,E911))</f>
        <v>0</v>
      </c>
      <c r="L911" s="361">
        <f t="shared" si="170"/>
        <v>3250000</v>
      </c>
      <c r="M911" s="361">
        <f t="shared" si="171"/>
        <v>3250000</v>
      </c>
      <c r="N911" s="358">
        <v>3250000</v>
      </c>
      <c r="O911" s="358">
        <v>3250000</v>
      </c>
      <c r="P911" s="358" t="s">
        <v>8</v>
      </c>
      <c r="Q911" s="358">
        <v>0</v>
      </c>
      <c r="R911" s="358">
        <v>0</v>
      </c>
      <c r="S911" s="358">
        <v>0</v>
      </c>
      <c r="T911" s="358">
        <v>0</v>
      </c>
      <c r="U911" s="35">
        <f t="shared" si="172"/>
        <v>2</v>
      </c>
      <c r="W911">
        <f t="shared" si="173"/>
        <v>1</v>
      </c>
      <c r="X911" s="35">
        <f t="shared" si="174"/>
        <v>0</v>
      </c>
      <c r="Y911">
        <f t="shared" si="175"/>
        <v>1</v>
      </c>
      <c r="AB911">
        <f t="shared" si="178"/>
        <v>1</v>
      </c>
      <c r="AC911">
        <f t="shared" ca="1" si="179"/>
        <v>0</v>
      </c>
      <c r="AD911" t="str">
        <f ca="1">IF(AC911=1,COUNTIF($AC$3:AC911,1),"")</f>
        <v/>
      </c>
      <c r="AE911" s="155" t="str">
        <f ca="1">IFERROR(INDEX(Données!$B$3:$B$1479,MATCH(ROWS($AD$3:AD911),$AD$3:$AD$1479,0)),"")</f>
        <v/>
      </c>
    </row>
    <row r="912" spans="1:31" ht="15.75" x14ac:dyDescent="0.25">
      <c r="A912" t="str">
        <f t="shared" si="176"/>
        <v>Ryan Strome - NYR - C, RW</v>
      </c>
      <c r="B912" t="str">
        <f t="shared" si="177"/>
        <v>Ryan Strome - NYR - C, RW</v>
      </c>
      <c r="C912" t="str">
        <f t="shared" si="168"/>
        <v>Ryan</v>
      </c>
      <c r="D912" t="str">
        <f t="shared" si="169"/>
        <v>Strome</v>
      </c>
      <c r="E912" s="39" t="s">
        <v>2218</v>
      </c>
      <c r="F912" s="30" t="s">
        <v>26</v>
      </c>
      <c r="G912" s="35">
        <v>0</v>
      </c>
      <c r="H912" s="9" t="s">
        <v>2684</v>
      </c>
      <c r="I912" s="9" t="s">
        <v>2677</v>
      </c>
      <c r="J912" s="9">
        <v>26</v>
      </c>
      <c r="K912" s="35">
        <f>VALUE(COUNTIF(Validation!$A$2:$H$47,E912))</f>
        <v>0</v>
      </c>
      <c r="L912" s="361">
        <f t="shared" si="170"/>
        <v>3100000</v>
      </c>
      <c r="M912" s="361">
        <f t="shared" si="171"/>
        <v>0</v>
      </c>
      <c r="N912" s="358">
        <v>3100000</v>
      </c>
      <c r="O912" s="358" t="s">
        <v>8</v>
      </c>
      <c r="P912" s="358">
        <v>0</v>
      </c>
      <c r="Q912" s="358">
        <v>0</v>
      </c>
      <c r="R912" s="358">
        <v>0</v>
      </c>
      <c r="S912" s="358">
        <v>0</v>
      </c>
      <c r="T912" s="358">
        <v>0</v>
      </c>
      <c r="U912" s="35">
        <f t="shared" si="172"/>
        <v>1</v>
      </c>
      <c r="W912">
        <f t="shared" si="173"/>
        <v>1</v>
      </c>
      <c r="X912" s="35">
        <f t="shared" si="174"/>
        <v>0</v>
      </c>
      <c r="Y912">
        <f t="shared" si="175"/>
        <v>0</v>
      </c>
      <c r="AB912">
        <f t="shared" si="178"/>
        <v>1</v>
      </c>
      <c r="AC912">
        <f t="shared" ca="1" si="179"/>
        <v>0</v>
      </c>
      <c r="AD912" t="str">
        <f ca="1">IF(AC912=1,COUNTIF($AC$3:AC912,1),"")</f>
        <v/>
      </c>
      <c r="AE912" s="155" t="str">
        <f ca="1">IFERROR(INDEX(Données!$B$3:$B$1479,MATCH(ROWS($AD$3:AD912),$AD$3:$AD$1479,0)),"")</f>
        <v/>
      </c>
    </row>
    <row r="913" spans="1:31" ht="15.75" x14ac:dyDescent="0.25">
      <c r="A913" t="str">
        <f t="shared" si="176"/>
        <v>Matt Beleskey - NYR - LW</v>
      </c>
      <c r="B913" t="str">
        <f t="shared" si="177"/>
        <v>Matt Beleskey - NYR - LW</v>
      </c>
      <c r="C913" t="str">
        <f t="shared" si="168"/>
        <v>Matt</v>
      </c>
      <c r="D913" t="str">
        <f t="shared" si="169"/>
        <v>Beleskey</v>
      </c>
      <c r="E913" s="39" t="s">
        <v>1362</v>
      </c>
      <c r="F913" s="30" t="s">
        <v>26</v>
      </c>
      <c r="G913" s="35" t="s">
        <v>2686</v>
      </c>
      <c r="H913" s="35" t="s">
        <v>93</v>
      </c>
      <c r="I913" s="35" t="s">
        <v>2677</v>
      </c>
      <c r="J913" s="35">
        <v>31</v>
      </c>
      <c r="K913" s="35">
        <f>VALUE(COUNTIF(Validation!$A$2:$H$47,E913))</f>
        <v>0</v>
      </c>
      <c r="L913" s="361">
        <f t="shared" si="170"/>
        <v>1900000</v>
      </c>
      <c r="M913" s="361">
        <f t="shared" si="171"/>
        <v>0</v>
      </c>
      <c r="N913" s="358">
        <v>1900000</v>
      </c>
      <c r="O913" s="358" t="s">
        <v>7</v>
      </c>
      <c r="P913" s="358">
        <v>0</v>
      </c>
      <c r="Q913" s="358">
        <v>0</v>
      </c>
      <c r="R913" s="358">
        <v>0</v>
      </c>
      <c r="S913" s="358">
        <v>0</v>
      </c>
      <c r="T913" s="358">
        <v>0</v>
      </c>
      <c r="U913" s="35">
        <f t="shared" si="172"/>
        <v>1</v>
      </c>
      <c r="W913">
        <f t="shared" si="173"/>
        <v>1</v>
      </c>
      <c r="X913" s="35">
        <f t="shared" si="174"/>
        <v>0</v>
      </c>
      <c r="Y913">
        <f t="shared" si="175"/>
        <v>0</v>
      </c>
      <c r="AB913">
        <f t="shared" si="178"/>
        <v>1</v>
      </c>
      <c r="AC913">
        <f t="shared" ca="1" si="179"/>
        <v>0</v>
      </c>
      <c r="AD913" t="str">
        <f ca="1">IF(AC913=1,COUNTIF($AC$3:AC913,1),"")</f>
        <v/>
      </c>
      <c r="AE913" s="155" t="str">
        <f ca="1">IFERROR(INDEX(Données!$B$3:$B$1479,MATCH(ROWS($AD$3:AD913),$AD$3:$AD$1479,0)),"")</f>
        <v/>
      </c>
    </row>
    <row r="914" spans="1:31" ht="15.75" x14ac:dyDescent="0.25">
      <c r="A914" t="str">
        <f t="shared" si="176"/>
        <v>Jesper Fast - NYR - RW</v>
      </c>
      <c r="B914" t="str">
        <f t="shared" si="177"/>
        <v>Jesper Fast - NYR - RW</v>
      </c>
      <c r="C914" t="str">
        <f t="shared" si="168"/>
        <v>Jesper</v>
      </c>
      <c r="D914" t="str">
        <f t="shared" si="169"/>
        <v>Fast</v>
      </c>
      <c r="E914" s="39" t="s">
        <v>2959</v>
      </c>
      <c r="F914" s="35" t="s">
        <v>26</v>
      </c>
      <c r="G914" s="35">
        <v>0</v>
      </c>
      <c r="H914" s="9" t="s">
        <v>88</v>
      </c>
      <c r="I914" s="9" t="s">
        <v>2677</v>
      </c>
      <c r="J914" s="9">
        <v>27</v>
      </c>
      <c r="K914" s="35">
        <f>VALUE(COUNTIF(Validation!$A$2:$H$47,E914))</f>
        <v>0</v>
      </c>
      <c r="L914" s="361">
        <f t="shared" si="170"/>
        <v>1850000</v>
      </c>
      <c r="M914" s="361">
        <f t="shared" si="171"/>
        <v>0</v>
      </c>
      <c r="N914" s="358">
        <v>1850000</v>
      </c>
      <c r="O914" s="358" t="s">
        <v>7</v>
      </c>
      <c r="P914" s="358">
        <v>0</v>
      </c>
      <c r="Q914" s="358">
        <v>0</v>
      </c>
      <c r="R914" s="358">
        <v>0</v>
      </c>
      <c r="S914" s="358">
        <v>0</v>
      </c>
      <c r="T914" s="358">
        <v>0</v>
      </c>
      <c r="U914" s="35">
        <f t="shared" si="172"/>
        <v>1</v>
      </c>
      <c r="W914">
        <f t="shared" si="173"/>
        <v>1</v>
      </c>
      <c r="AB914">
        <f t="shared" si="178"/>
        <v>1</v>
      </c>
      <c r="AC914">
        <f t="shared" ca="1" si="179"/>
        <v>0</v>
      </c>
      <c r="AD914" t="str">
        <f ca="1">IF(AC914=1,COUNTIF($AC$3:AC914,1),"")</f>
        <v/>
      </c>
      <c r="AE914" s="155" t="str">
        <f ca="1">IFERROR(INDEX(Données!$B$3:$B$1479,MATCH(ROWS($AD$3:AD914),$AD$3:$AD$1479,0)),"")</f>
        <v/>
      </c>
    </row>
    <row r="915" spans="1:31" ht="15.75" x14ac:dyDescent="0.25">
      <c r="A915" t="str">
        <f t="shared" si="176"/>
        <v>Adam Fox - NYR - RD</v>
      </c>
      <c r="B915" t="str">
        <f t="shared" si="177"/>
        <v>Adam Fox - NYR - RD</v>
      </c>
      <c r="C915" t="str">
        <f t="shared" si="168"/>
        <v>Adam</v>
      </c>
      <c r="D915" t="str">
        <f t="shared" si="169"/>
        <v>Fox</v>
      </c>
      <c r="E915" s="39" t="s">
        <v>2562</v>
      </c>
      <c r="F915" s="30" t="s">
        <v>26</v>
      </c>
      <c r="G915" s="35" t="s">
        <v>386</v>
      </c>
      <c r="H915" s="35" t="s">
        <v>379</v>
      </c>
      <c r="I915" s="35" t="s">
        <v>2677</v>
      </c>
      <c r="J915" s="35">
        <v>21</v>
      </c>
      <c r="K915" s="35">
        <f>VALUE(COUNTIF(Validation!$A$2:$H$47,E915))</f>
        <v>0</v>
      </c>
      <c r="L915" s="361">
        <f t="shared" si="170"/>
        <v>1775000</v>
      </c>
      <c r="M915" s="361">
        <f t="shared" si="171"/>
        <v>1775000</v>
      </c>
      <c r="N915" s="358">
        <v>1775000</v>
      </c>
      <c r="O915" s="358">
        <v>1775000</v>
      </c>
      <c r="P915" s="358">
        <v>1775000</v>
      </c>
      <c r="Q915" s="358" t="s">
        <v>8</v>
      </c>
      <c r="R915" s="358">
        <v>0</v>
      </c>
      <c r="S915" s="358">
        <v>0</v>
      </c>
      <c r="T915" s="358">
        <v>0</v>
      </c>
      <c r="U915" s="35">
        <f t="shared" si="172"/>
        <v>3</v>
      </c>
      <c r="W915">
        <f t="shared" si="173"/>
        <v>1</v>
      </c>
      <c r="X915" s="35">
        <f t="shared" si="174"/>
        <v>1</v>
      </c>
      <c r="Y915">
        <f t="shared" si="175"/>
        <v>1</v>
      </c>
      <c r="AB915">
        <f t="shared" si="178"/>
        <v>1</v>
      </c>
      <c r="AC915">
        <f t="shared" ca="1" si="179"/>
        <v>0</v>
      </c>
      <c r="AD915" t="str">
        <f ca="1">IF(AC915=1,COUNTIF($AC$3:AC915,1),"")</f>
        <v/>
      </c>
      <c r="AE915" s="155" t="str">
        <f ca="1">IFERROR(INDEX(Données!$B$3:$B$1479,MATCH(ROWS($AD$3:AD915),$AD$3:$AD$1479,0)),"")</f>
        <v/>
      </c>
    </row>
    <row r="916" spans="1:31" ht="15.75" x14ac:dyDescent="0.25">
      <c r="A916" t="str">
        <f t="shared" si="176"/>
        <v>Vitali Kravtsov - NYR - RW</v>
      </c>
      <c r="B916" t="str">
        <f t="shared" si="177"/>
        <v>Vitali Kravtsov - NYR - RW</v>
      </c>
      <c r="C916" t="str">
        <f t="shared" si="168"/>
        <v>Vitali</v>
      </c>
      <c r="D916" t="str">
        <f t="shared" si="169"/>
        <v>Kravtsov</v>
      </c>
      <c r="E916" s="39" t="s">
        <v>2563</v>
      </c>
      <c r="F916" s="30" t="s">
        <v>26</v>
      </c>
      <c r="G916" s="35" t="s">
        <v>386</v>
      </c>
      <c r="H916" s="35" t="s">
        <v>88</v>
      </c>
      <c r="I916" s="35" t="s">
        <v>2690</v>
      </c>
      <c r="J916" s="35">
        <v>19</v>
      </c>
      <c r="K916" s="35">
        <f>VALUE(COUNTIF(Validation!$A$2:$H$47,E916))</f>
        <v>0</v>
      </c>
      <c r="L916" s="361">
        <f t="shared" si="170"/>
        <v>1775000</v>
      </c>
      <c r="M916" s="361">
        <f t="shared" si="171"/>
        <v>1775000</v>
      </c>
      <c r="N916" s="358">
        <v>1775000</v>
      </c>
      <c r="O916" s="358">
        <v>1775000</v>
      </c>
      <c r="P916" s="358">
        <v>1775000</v>
      </c>
      <c r="Q916" s="358" t="s">
        <v>8</v>
      </c>
      <c r="R916" s="358">
        <v>0</v>
      </c>
      <c r="S916" s="358">
        <v>0</v>
      </c>
      <c r="T916" s="358">
        <v>0</v>
      </c>
      <c r="U916" s="35">
        <f t="shared" si="172"/>
        <v>3</v>
      </c>
      <c r="W916">
        <f t="shared" si="173"/>
        <v>1</v>
      </c>
      <c r="X916" s="35">
        <f t="shared" si="174"/>
        <v>1</v>
      </c>
      <c r="Y916">
        <f t="shared" si="175"/>
        <v>1</v>
      </c>
      <c r="AB916">
        <f t="shared" si="178"/>
        <v>1</v>
      </c>
      <c r="AC916">
        <f t="shared" ca="1" si="179"/>
        <v>0</v>
      </c>
      <c r="AD916" t="str">
        <f ca="1">IF(AC916=1,COUNTIF($AC$3:AC916,1),"")</f>
        <v/>
      </c>
      <c r="AE916" s="155" t="str">
        <f ca="1">IFERROR(INDEX(Données!$B$3:$B$1479,MATCH(ROWS($AD$3:AD916),$AD$3:$AD$1479,0)),"")</f>
        <v/>
      </c>
    </row>
    <row r="917" spans="1:31" ht="15.75" x14ac:dyDescent="0.25">
      <c r="A917" t="str">
        <f t="shared" si="176"/>
        <v>Lias Andersson - NYR - C, LW</v>
      </c>
      <c r="B917" t="str">
        <f t="shared" si="177"/>
        <v>Lias Andersson - NYR - C, LW</v>
      </c>
      <c r="C917" t="str">
        <f t="shared" si="168"/>
        <v>Lias</v>
      </c>
      <c r="D917" t="str">
        <f t="shared" si="169"/>
        <v>Andersson</v>
      </c>
      <c r="E917" s="39" t="s">
        <v>1770</v>
      </c>
      <c r="F917" s="30" t="s">
        <v>26</v>
      </c>
      <c r="G917" s="35" t="s">
        <v>386</v>
      </c>
      <c r="H917" s="35" t="s">
        <v>2679</v>
      </c>
      <c r="I917" s="35" t="s">
        <v>2677</v>
      </c>
      <c r="J917" s="35">
        <v>20</v>
      </c>
      <c r="K917" s="35">
        <f>VALUE(COUNTIF(Validation!$A$2:$H$47,E917))</f>
        <v>0</v>
      </c>
      <c r="L917" s="361">
        <f t="shared" si="170"/>
        <v>1744166</v>
      </c>
      <c r="M917" s="361">
        <f t="shared" si="171"/>
        <v>1744166</v>
      </c>
      <c r="N917" s="358">
        <v>1744166</v>
      </c>
      <c r="O917" s="358">
        <v>1744166</v>
      </c>
      <c r="P917" s="358" t="s">
        <v>8</v>
      </c>
      <c r="Q917" s="358">
        <v>0</v>
      </c>
      <c r="R917" s="358">
        <v>0</v>
      </c>
      <c r="S917" s="358">
        <v>0</v>
      </c>
      <c r="T917" s="358">
        <v>0</v>
      </c>
      <c r="U917" s="35">
        <f t="shared" si="172"/>
        <v>2</v>
      </c>
      <c r="W917">
        <f t="shared" si="173"/>
        <v>1</v>
      </c>
      <c r="X917" s="35">
        <f t="shared" si="174"/>
        <v>1</v>
      </c>
      <c r="Y917">
        <f t="shared" si="175"/>
        <v>1</v>
      </c>
      <c r="AB917">
        <f t="shared" si="178"/>
        <v>1</v>
      </c>
      <c r="AC917">
        <f t="shared" ca="1" si="179"/>
        <v>0</v>
      </c>
      <c r="AD917" t="str">
        <f ca="1">IF(AC917=1,COUNTIF($AC$3:AC917,1),"")</f>
        <v/>
      </c>
      <c r="AE917" s="155" t="str">
        <f ca="1">IFERROR(INDEX(Données!$B$3:$B$1479,MATCH(ROWS($AD$3:AD917),$AD$3:$AD$1479,0)),"")</f>
        <v/>
      </c>
    </row>
    <row r="918" spans="1:31" ht="15.75" x14ac:dyDescent="0.25">
      <c r="A918" t="str">
        <f t="shared" si="176"/>
        <v>Filip Chytil - NYR - LW, C</v>
      </c>
      <c r="B918" t="str">
        <f t="shared" si="177"/>
        <v>Filip Chytil - NYR - LW, C</v>
      </c>
      <c r="C918" t="str">
        <f t="shared" si="168"/>
        <v>Filip</v>
      </c>
      <c r="D918" t="str">
        <f t="shared" si="169"/>
        <v>Chytil</v>
      </c>
      <c r="E918" s="39" t="s">
        <v>1769</v>
      </c>
      <c r="F918" s="30" t="s">
        <v>26</v>
      </c>
      <c r="G918" s="35" t="s">
        <v>386</v>
      </c>
      <c r="H918" s="35" t="s">
        <v>2696</v>
      </c>
      <c r="I918" s="35" t="s">
        <v>2677</v>
      </c>
      <c r="J918" s="35">
        <v>19</v>
      </c>
      <c r="K918" s="35">
        <f>VALUE(COUNTIF(Validation!$A$2:$H$47,E918))</f>
        <v>0</v>
      </c>
      <c r="L918" s="361">
        <f t="shared" si="170"/>
        <v>1244166</v>
      </c>
      <c r="M918" s="361">
        <f t="shared" si="171"/>
        <v>1244166</v>
      </c>
      <c r="N918" s="358">
        <v>1244166</v>
      </c>
      <c r="O918" s="358">
        <v>1244166</v>
      </c>
      <c r="P918" s="358" t="s">
        <v>8</v>
      </c>
      <c r="Q918" s="358">
        <v>0</v>
      </c>
      <c r="R918" s="358">
        <v>0</v>
      </c>
      <c r="S918" s="358">
        <v>0</v>
      </c>
      <c r="T918" s="358">
        <v>0</v>
      </c>
      <c r="U918" s="35">
        <f t="shared" si="172"/>
        <v>2</v>
      </c>
      <c r="W918">
        <f t="shared" si="173"/>
        <v>1</v>
      </c>
      <c r="X918" s="35">
        <f t="shared" si="174"/>
        <v>1</v>
      </c>
      <c r="Y918">
        <f t="shared" si="175"/>
        <v>1</v>
      </c>
      <c r="AB918">
        <f t="shared" si="178"/>
        <v>1</v>
      </c>
      <c r="AC918">
        <f t="shared" ca="1" si="179"/>
        <v>0</v>
      </c>
      <c r="AD918" t="str">
        <f ca="1">IF(AC918=1,COUNTIF($AC$3:AC918,1),"")</f>
        <v/>
      </c>
      <c r="AE918" s="155" t="str">
        <f ca="1">IFERROR(INDEX(Données!$B$3:$B$1479,MATCH(ROWS($AD$3:AD918),$AD$3:$AD$1479,0)),"")</f>
        <v/>
      </c>
    </row>
    <row r="919" spans="1:31" ht="15.75" x14ac:dyDescent="0.25">
      <c r="A919" t="str">
        <f t="shared" si="176"/>
        <v>Ville Meskanen - NYR - RW, LW</v>
      </c>
      <c r="B919" t="str">
        <f t="shared" si="177"/>
        <v>Ville Meskanen - NYR - RW, LW</v>
      </c>
      <c r="C919" t="str">
        <f t="shared" si="168"/>
        <v>Ville</v>
      </c>
      <c r="D919" t="str">
        <f t="shared" si="169"/>
        <v>Meskanen</v>
      </c>
      <c r="E919" s="39" t="s">
        <v>1766</v>
      </c>
      <c r="F919" s="30" t="s">
        <v>26</v>
      </c>
      <c r="G919" s="35" t="s">
        <v>386</v>
      </c>
      <c r="H919" s="35" t="s">
        <v>2680</v>
      </c>
      <c r="I919" s="35" t="s">
        <v>2690</v>
      </c>
      <c r="J919" s="35">
        <v>23</v>
      </c>
      <c r="K919" s="35">
        <f>VALUE(COUNTIF(Validation!$A$2:$H$47,E919))</f>
        <v>0</v>
      </c>
      <c r="L919" s="361">
        <f t="shared" si="170"/>
        <v>1137500</v>
      </c>
      <c r="M919" s="361">
        <f t="shared" si="171"/>
        <v>0</v>
      </c>
      <c r="N919" s="358">
        <v>1137500</v>
      </c>
      <c r="O919" s="358" t="s">
        <v>8</v>
      </c>
      <c r="P919" s="358">
        <v>0</v>
      </c>
      <c r="Q919" s="358">
        <v>0</v>
      </c>
      <c r="R919" s="358">
        <v>0</v>
      </c>
      <c r="S919" s="358">
        <v>0</v>
      </c>
      <c r="T919" s="358">
        <v>0</v>
      </c>
      <c r="U919" s="35">
        <f t="shared" si="172"/>
        <v>1</v>
      </c>
      <c r="W919">
        <f t="shared" si="173"/>
        <v>1</v>
      </c>
      <c r="X919" s="35">
        <f t="shared" si="174"/>
        <v>1</v>
      </c>
      <c r="Y919">
        <f t="shared" si="175"/>
        <v>0</v>
      </c>
      <c r="AB919">
        <f t="shared" si="178"/>
        <v>1</v>
      </c>
      <c r="AC919">
        <f t="shared" ca="1" si="179"/>
        <v>0</v>
      </c>
      <c r="AD919" t="str">
        <f ca="1">IF(AC919=1,COUNTIF($AC$3:AC919,1),"")</f>
        <v/>
      </c>
      <c r="AE919" s="155" t="str">
        <f ca="1">IFERROR(INDEX(Données!$B$3:$B$1479,MATCH(ROWS($AD$3:AD919),$AD$3:$AD$1479,0)),"")</f>
        <v/>
      </c>
    </row>
    <row r="920" spans="1:31" ht="15.75" x14ac:dyDescent="0.25">
      <c r="A920" t="str">
        <f t="shared" si="176"/>
        <v>Ryan Lindgren - NYR - LD</v>
      </c>
      <c r="B920" t="str">
        <f t="shared" si="177"/>
        <v>Ryan Lindgren - NYR - LD</v>
      </c>
      <c r="C920" t="str">
        <f t="shared" si="168"/>
        <v>Ryan</v>
      </c>
      <c r="D920" t="str">
        <f t="shared" si="169"/>
        <v>Lindgren</v>
      </c>
      <c r="E920" s="39" t="s">
        <v>1767</v>
      </c>
      <c r="F920" s="30" t="s">
        <v>26</v>
      </c>
      <c r="G920" s="35" t="s">
        <v>386</v>
      </c>
      <c r="H920" s="35" t="s">
        <v>380</v>
      </c>
      <c r="I920" s="35" t="s">
        <v>2690</v>
      </c>
      <c r="J920" s="35">
        <v>21</v>
      </c>
      <c r="K920" s="35">
        <f>VALUE(COUNTIF(Validation!$A$2:$H$47,E920))</f>
        <v>0</v>
      </c>
      <c r="L920" s="361">
        <f t="shared" si="170"/>
        <v>1100000</v>
      </c>
      <c r="M920" s="361">
        <f t="shared" si="171"/>
        <v>1100000</v>
      </c>
      <c r="N920" s="358">
        <v>1100000</v>
      </c>
      <c r="O920" s="358">
        <v>1100000</v>
      </c>
      <c r="P920" s="358" t="s">
        <v>8</v>
      </c>
      <c r="Q920" s="358">
        <v>0</v>
      </c>
      <c r="R920" s="358">
        <v>0</v>
      </c>
      <c r="S920" s="358">
        <v>0</v>
      </c>
      <c r="T920" s="358">
        <v>0</v>
      </c>
      <c r="U920" s="35">
        <f t="shared" si="172"/>
        <v>2</v>
      </c>
      <c r="W920">
        <f t="shared" si="173"/>
        <v>1</v>
      </c>
      <c r="X920" s="35">
        <f t="shared" si="174"/>
        <v>1</v>
      </c>
      <c r="Y920">
        <f t="shared" si="175"/>
        <v>1</v>
      </c>
      <c r="AB920">
        <f t="shared" si="178"/>
        <v>1</v>
      </c>
      <c r="AC920">
        <f t="shared" ca="1" si="179"/>
        <v>0</v>
      </c>
      <c r="AD920" t="str">
        <f ca="1">IF(AC920=1,COUNTIF($AC$3:AC920,1),"")</f>
        <v/>
      </c>
      <c r="AE920" s="155" t="str">
        <f ca="1">IFERROR(INDEX(Données!$B$3:$B$1479,MATCH(ROWS($AD$3:AD920),$AD$3:$AD$1479,0)),"")</f>
        <v/>
      </c>
    </row>
    <row r="921" spans="1:31" ht="15.75" x14ac:dyDescent="0.25">
      <c r="A921" t="str">
        <f t="shared" si="176"/>
        <v>Jacob Elmer - NYR - RW</v>
      </c>
      <c r="B921" t="str">
        <f t="shared" si="177"/>
        <v>Jacob Elmer - NYR - RW</v>
      </c>
      <c r="C921" t="str">
        <f t="shared" si="168"/>
        <v>Jacob</v>
      </c>
      <c r="D921" t="str">
        <f t="shared" si="169"/>
        <v>Elmer</v>
      </c>
      <c r="E921" s="14" t="s">
        <v>2564</v>
      </c>
      <c r="F921" s="30" t="s">
        <v>26</v>
      </c>
      <c r="G921" s="35" t="s">
        <v>386</v>
      </c>
      <c r="H921" s="35" t="s">
        <v>88</v>
      </c>
      <c r="I921" s="35" t="s">
        <v>2690</v>
      </c>
      <c r="J921" s="35">
        <v>20</v>
      </c>
      <c r="L921" s="361">
        <f t="shared" si="170"/>
        <v>925000</v>
      </c>
      <c r="M921" s="361">
        <f t="shared" si="171"/>
        <v>925000</v>
      </c>
      <c r="N921" s="358">
        <v>925000</v>
      </c>
      <c r="O921" s="358">
        <v>925000</v>
      </c>
      <c r="P921" s="358">
        <v>925000</v>
      </c>
      <c r="Q921" s="358" t="s">
        <v>8</v>
      </c>
      <c r="R921" s="358">
        <v>0</v>
      </c>
      <c r="S921" s="358">
        <v>0</v>
      </c>
      <c r="T921" s="358">
        <v>0</v>
      </c>
      <c r="U921" s="35">
        <f t="shared" si="172"/>
        <v>3</v>
      </c>
      <c r="W921">
        <f t="shared" si="173"/>
        <v>1</v>
      </c>
      <c r="X921" s="35">
        <f t="shared" si="174"/>
        <v>1</v>
      </c>
      <c r="Y921">
        <f t="shared" si="175"/>
        <v>1</v>
      </c>
      <c r="AB921">
        <f t="shared" si="178"/>
        <v>1</v>
      </c>
      <c r="AC921">
        <f t="shared" ca="1" si="179"/>
        <v>0</v>
      </c>
      <c r="AD921" t="str">
        <f ca="1">IF(AC921=1,COUNTIF($AC$3:AC921,1),"")</f>
        <v/>
      </c>
      <c r="AE921" s="155" t="str">
        <f ca="1">IFERROR(INDEX(Données!$B$3:$B$1479,MATCH(ROWS($AD$3:AD921),$AD$3:$AD$1479,0)),"")</f>
        <v/>
      </c>
    </row>
    <row r="922" spans="1:31" ht="15.75" x14ac:dyDescent="0.25">
      <c r="A922" t="str">
        <f t="shared" si="176"/>
        <v>Alexandar Georgiev - NYR - G</v>
      </c>
      <c r="B922" t="str">
        <f t="shared" si="177"/>
        <v>Alexandar Georgiev - NYR - G</v>
      </c>
      <c r="C922" t="str">
        <f t="shared" si="168"/>
        <v>Alexandar</v>
      </c>
      <c r="D922" t="str">
        <f t="shared" si="169"/>
        <v>Georgiev</v>
      </c>
      <c r="E922" s="39" t="s">
        <v>1775</v>
      </c>
      <c r="F922" s="30" t="s">
        <v>26</v>
      </c>
      <c r="G922" s="35" t="s">
        <v>386</v>
      </c>
      <c r="H922" s="35" t="s">
        <v>127</v>
      </c>
      <c r="I922" s="35" t="s">
        <v>2677</v>
      </c>
      <c r="J922" s="35">
        <v>23</v>
      </c>
      <c r="K922" s="35">
        <f>VALUE(COUNTIF(Validation!$A$2:$H$47,E922))</f>
        <v>0</v>
      </c>
      <c r="L922" s="361">
        <f t="shared" si="170"/>
        <v>925000</v>
      </c>
      <c r="M922" s="361">
        <f t="shared" si="171"/>
        <v>0</v>
      </c>
      <c r="N922" s="358">
        <v>925000</v>
      </c>
      <c r="O922" s="358" t="s">
        <v>8</v>
      </c>
      <c r="P922" s="358">
        <v>0</v>
      </c>
      <c r="Q922" s="358">
        <v>0</v>
      </c>
      <c r="R922" s="358">
        <v>0</v>
      </c>
      <c r="S922" s="358">
        <v>0</v>
      </c>
      <c r="T922" s="358">
        <v>0</v>
      </c>
      <c r="U922" s="35">
        <f t="shared" si="172"/>
        <v>1</v>
      </c>
      <c r="W922">
        <f t="shared" si="173"/>
        <v>1</v>
      </c>
      <c r="X922" s="35">
        <f t="shared" si="174"/>
        <v>1</v>
      </c>
      <c r="Y922">
        <f t="shared" si="175"/>
        <v>0</v>
      </c>
      <c r="AB922">
        <f t="shared" si="178"/>
        <v>1</v>
      </c>
      <c r="AC922">
        <f t="shared" ca="1" si="179"/>
        <v>0</v>
      </c>
      <c r="AD922" t="str">
        <f ca="1">IF(AC922=1,COUNTIF($AC$3:AC922,1),"")</f>
        <v/>
      </c>
      <c r="AE922" s="155" t="str">
        <f ca="1">IFERROR(INDEX(Données!$B$3:$B$1479,MATCH(ROWS($AD$3:AD922),$AD$3:$AD$1479,0)),"")</f>
        <v/>
      </c>
    </row>
    <row r="923" spans="1:31" ht="15.75" x14ac:dyDescent="0.25">
      <c r="A923" t="str">
        <f t="shared" si="176"/>
        <v>Adam Huska - NYR - G</v>
      </c>
      <c r="B923" t="str">
        <f t="shared" si="177"/>
        <v>Adam Huska - NYR - G</v>
      </c>
      <c r="C923" t="str">
        <f t="shared" si="168"/>
        <v>Adam</v>
      </c>
      <c r="D923" t="str">
        <f t="shared" si="169"/>
        <v>Huska</v>
      </c>
      <c r="E923" s="39" t="s">
        <v>2569</v>
      </c>
      <c r="F923" s="30" t="s">
        <v>26</v>
      </c>
      <c r="G923" s="35" t="s">
        <v>386</v>
      </c>
      <c r="H923" s="35" t="s">
        <v>127</v>
      </c>
      <c r="I923" s="35" t="s">
        <v>2690</v>
      </c>
      <c r="J923" s="35">
        <v>22</v>
      </c>
      <c r="K923" s="35">
        <f>VALUE(COUNTIF(Validation!$A$2:$H$47,E923))</f>
        <v>0</v>
      </c>
      <c r="L923" s="361">
        <f t="shared" si="170"/>
        <v>925000</v>
      </c>
      <c r="M923" s="361">
        <f t="shared" si="171"/>
        <v>925000</v>
      </c>
      <c r="N923" s="358">
        <v>925000</v>
      </c>
      <c r="O923" s="358">
        <v>925000</v>
      </c>
      <c r="P923" s="358" t="s">
        <v>8</v>
      </c>
      <c r="Q923" s="358">
        <v>0</v>
      </c>
      <c r="R923" s="358">
        <v>0</v>
      </c>
      <c r="S923" s="358">
        <v>0</v>
      </c>
      <c r="T923" s="358">
        <v>0</v>
      </c>
      <c r="U923" s="35">
        <f t="shared" si="172"/>
        <v>2</v>
      </c>
      <c r="W923">
        <f t="shared" si="173"/>
        <v>1</v>
      </c>
      <c r="X923" s="35">
        <f t="shared" si="174"/>
        <v>1</v>
      </c>
      <c r="Y923">
        <f t="shared" si="175"/>
        <v>1</v>
      </c>
      <c r="AB923">
        <f t="shared" si="178"/>
        <v>1</v>
      </c>
      <c r="AC923">
        <f t="shared" ca="1" si="179"/>
        <v>0</v>
      </c>
      <c r="AD923" t="str">
        <f ca="1">IF(AC923=1,COUNTIF($AC$3:AC923,1),"")</f>
        <v/>
      </c>
      <c r="AE923" s="155" t="str">
        <f ca="1">IFERROR(INDEX(Données!$B$3:$B$1479,MATCH(ROWS($AD$3:AD923),$AD$3:$AD$1479,0)),"")</f>
        <v/>
      </c>
    </row>
    <row r="924" spans="1:31" ht="15.75" x14ac:dyDescent="0.25">
      <c r="A924" t="str">
        <f t="shared" si="176"/>
        <v>Joey Keane - NYR - RD</v>
      </c>
      <c r="B924" t="str">
        <f t="shared" si="177"/>
        <v>Joey Keane - NYR - RD</v>
      </c>
      <c r="C924" t="str">
        <f t="shared" si="168"/>
        <v>Joey</v>
      </c>
      <c r="D924" t="str">
        <f t="shared" si="169"/>
        <v>Keane</v>
      </c>
      <c r="E924" s="39" t="s">
        <v>2568</v>
      </c>
      <c r="F924" s="30" t="s">
        <v>26</v>
      </c>
      <c r="G924" s="35" t="s">
        <v>386</v>
      </c>
      <c r="H924" s="35" t="s">
        <v>379</v>
      </c>
      <c r="I924" s="35" t="s">
        <v>2690</v>
      </c>
      <c r="J924" s="35">
        <v>20</v>
      </c>
      <c r="K924" s="35">
        <f>VALUE(COUNTIF(Validation!$A$2:$H$47,E924))</f>
        <v>0</v>
      </c>
      <c r="L924" s="361">
        <f t="shared" si="170"/>
        <v>925000</v>
      </c>
      <c r="M924" s="361">
        <f t="shared" si="171"/>
        <v>925000</v>
      </c>
      <c r="N924" s="358">
        <v>925000</v>
      </c>
      <c r="O924" s="358">
        <v>925000</v>
      </c>
      <c r="P924" s="358">
        <v>925000</v>
      </c>
      <c r="Q924" s="358" t="s">
        <v>8</v>
      </c>
      <c r="R924" s="358">
        <v>0</v>
      </c>
      <c r="S924" s="358">
        <v>0</v>
      </c>
      <c r="T924" s="358">
        <v>0</v>
      </c>
      <c r="U924" s="35">
        <f t="shared" si="172"/>
        <v>3</v>
      </c>
      <c r="W924">
        <f t="shared" si="173"/>
        <v>1</v>
      </c>
      <c r="X924" s="35">
        <f t="shared" si="174"/>
        <v>1</v>
      </c>
      <c r="Y924">
        <f t="shared" si="175"/>
        <v>1</v>
      </c>
      <c r="AB924">
        <f t="shared" si="178"/>
        <v>1</v>
      </c>
      <c r="AC924">
        <f t="shared" ca="1" si="179"/>
        <v>0</v>
      </c>
      <c r="AD924" t="str">
        <f ca="1">IF(AC924=1,COUNTIF($AC$3:AC924,1),"")</f>
        <v/>
      </c>
      <c r="AE924" s="155" t="str">
        <f ca="1">IFERROR(INDEX(Données!$B$3:$B$1479,MATCH(ROWS($AD$3:AD924),$AD$3:$AD$1479,0)),"")</f>
        <v/>
      </c>
    </row>
    <row r="925" spans="1:31" ht="15.75" x14ac:dyDescent="0.25">
      <c r="A925" t="str">
        <f t="shared" si="176"/>
        <v>Patrick Newell - NYR - C, LW</v>
      </c>
      <c r="B925" t="str">
        <f t="shared" si="177"/>
        <v>Patrick Newell - NYR - C, LW</v>
      </c>
      <c r="C925" t="str">
        <f t="shared" si="168"/>
        <v>Patrick</v>
      </c>
      <c r="D925" t="str">
        <f t="shared" si="169"/>
        <v>Newell</v>
      </c>
      <c r="E925" s="39" t="s">
        <v>2565</v>
      </c>
      <c r="F925" s="30" t="s">
        <v>26</v>
      </c>
      <c r="G925" s="35" t="s">
        <v>386</v>
      </c>
      <c r="H925" s="35" t="s">
        <v>2679</v>
      </c>
      <c r="I925" s="35" t="s">
        <v>2690</v>
      </c>
      <c r="J925" s="35">
        <v>23</v>
      </c>
      <c r="K925" s="35">
        <f>VALUE(COUNTIF(Validation!$A$2:$H$47,E925))</f>
        <v>0</v>
      </c>
      <c r="L925" s="361">
        <f t="shared" si="170"/>
        <v>925000</v>
      </c>
      <c r="M925" s="361">
        <f t="shared" si="171"/>
        <v>925000</v>
      </c>
      <c r="N925" s="358">
        <v>925000</v>
      </c>
      <c r="O925" s="358">
        <v>925000</v>
      </c>
      <c r="P925" s="358" t="s">
        <v>8</v>
      </c>
      <c r="Q925" s="358">
        <v>0</v>
      </c>
      <c r="R925" s="358">
        <v>0</v>
      </c>
      <c r="S925" s="358">
        <v>0</v>
      </c>
      <c r="T925" s="358">
        <v>0</v>
      </c>
      <c r="U925" s="35">
        <f t="shared" si="172"/>
        <v>2</v>
      </c>
      <c r="W925">
        <f t="shared" si="173"/>
        <v>1</v>
      </c>
      <c r="X925" s="35">
        <f t="shared" si="174"/>
        <v>1</v>
      </c>
      <c r="Y925">
        <f t="shared" si="175"/>
        <v>1</v>
      </c>
      <c r="AB925">
        <f t="shared" si="178"/>
        <v>1</v>
      </c>
      <c r="AC925">
        <f t="shared" ca="1" si="179"/>
        <v>0</v>
      </c>
      <c r="AD925" t="str">
        <f ca="1">IF(AC925=1,COUNTIF($AC$3:AC925,1),"")</f>
        <v/>
      </c>
      <c r="AE925" s="155" t="str">
        <f ca="1">IFERROR(INDEX(Données!$B$3:$B$1479,MATCH(ROWS($AD$3:AD925),$AD$3:$AD$1479,0)),"")</f>
        <v/>
      </c>
    </row>
    <row r="926" spans="1:31" ht="15.75" x14ac:dyDescent="0.25">
      <c r="A926" t="str">
        <f t="shared" si="176"/>
        <v>Tarmo Reunanen - NYR - D</v>
      </c>
      <c r="B926" t="str">
        <f t="shared" si="177"/>
        <v>Tarmo Reunanen - NYR - D</v>
      </c>
      <c r="C926" t="str">
        <f t="shared" si="168"/>
        <v>Tarmo</v>
      </c>
      <c r="D926" t="str">
        <f t="shared" si="169"/>
        <v>Reunanen</v>
      </c>
      <c r="E926" s="39" t="s">
        <v>2567</v>
      </c>
      <c r="F926" s="30" t="s">
        <v>26</v>
      </c>
      <c r="G926" s="35" t="s">
        <v>386</v>
      </c>
      <c r="H926" s="35" t="s">
        <v>82</v>
      </c>
      <c r="I926" s="35" t="s">
        <v>2690</v>
      </c>
      <c r="J926" s="35">
        <v>21</v>
      </c>
      <c r="K926" s="35">
        <f>VALUE(COUNTIF(Validation!$A$2:$H$47,E926))</f>
        <v>0</v>
      </c>
      <c r="L926" s="361">
        <f t="shared" si="170"/>
        <v>925000</v>
      </c>
      <c r="M926" s="361">
        <f t="shared" si="171"/>
        <v>925000</v>
      </c>
      <c r="N926" s="358">
        <v>925000</v>
      </c>
      <c r="O926" s="358">
        <v>925000</v>
      </c>
      <c r="P926" s="358">
        <v>925000</v>
      </c>
      <c r="Q926" s="358" t="s">
        <v>8</v>
      </c>
      <c r="R926" s="358">
        <v>0</v>
      </c>
      <c r="S926" s="358">
        <v>0</v>
      </c>
      <c r="T926" s="358">
        <v>0</v>
      </c>
      <c r="U926" s="35">
        <f t="shared" si="172"/>
        <v>3</v>
      </c>
      <c r="W926">
        <f t="shared" si="173"/>
        <v>1</v>
      </c>
      <c r="X926" s="35">
        <f t="shared" si="174"/>
        <v>1</v>
      </c>
      <c r="Y926">
        <f t="shared" si="175"/>
        <v>1</v>
      </c>
      <c r="AB926">
        <f t="shared" si="178"/>
        <v>1</v>
      </c>
      <c r="AC926">
        <f t="shared" ca="1" si="179"/>
        <v>0</v>
      </c>
      <c r="AD926" t="str">
        <f ca="1">IF(AC926=1,COUNTIF($AC$3:AC926,1),"")</f>
        <v/>
      </c>
      <c r="AE926" s="155" t="str">
        <f ca="1">IFERROR(INDEX(Données!$B$3:$B$1479,MATCH(ROWS($AD$3:AD926),$AD$3:$AD$1479,0)),"")</f>
        <v/>
      </c>
    </row>
    <row r="927" spans="1:31" ht="15.75" x14ac:dyDescent="0.25">
      <c r="A927" t="str">
        <f t="shared" si="176"/>
        <v>Yegor Rykov - NYR - LD</v>
      </c>
      <c r="B927" t="str">
        <f t="shared" si="177"/>
        <v>Yegor Rykov - NYR - LD</v>
      </c>
      <c r="C927" t="str">
        <f t="shared" si="168"/>
        <v>Yegor</v>
      </c>
      <c r="D927" t="str">
        <f t="shared" si="169"/>
        <v>Rykov</v>
      </c>
      <c r="E927" s="39" t="s">
        <v>2566</v>
      </c>
      <c r="F927" s="30" t="s">
        <v>26</v>
      </c>
      <c r="G927" s="35" t="s">
        <v>386</v>
      </c>
      <c r="H927" s="35" t="s">
        <v>380</v>
      </c>
      <c r="I927" s="35" t="s">
        <v>2690</v>
      </c>
      <c r="J927" s="35">
        <v>22</v>
      </c>
      <c r="K927" s="35">
        <f>VALUE(COUNTIF(Validation!$A$2:$H$47,E927))</f>
        <v>0</v>
      </c>
      <c r="L927" s="361">
        <f t="shared" si="170"/>
        <v>925000</v>
      </c>
      <c r="M927" s="361">
        <f t="shared" si="171"/>
        <v>925000</v>
      </c>
      <c r="N927" s="358">
        <v>925000</v>
      </c>
      <c r="O927" s="358">
        <v>925000</v>
      </c>
      <c r="P927" s="358" t="s">
        <v>8</v>
      </c>
      <c r="Q927" s="358">
        <v>0</v>
      </c>
      <c r="R927" s="358">
        <v>0</v>
      </c>
      <c r="S927" s="358">
        <v>0</v>
      </c>
      <c r="T927" s="358">
        <v>0</v>
      </c>
      <c r="U927" s="35">
        <f t="shared" si="172"/>
        <v>2</v>
      </c>
      <c r="W927">
        <f t="shared" si="173"/>
        <v>1</v>
      </c>
      <c r="X927" s="35">
        <f t="shared" si="174"/>
        <v>1</v>
      </c>
      <c r="Y927">
        <f t="shared" si="175"/>
        <v>1</v>
      </c>
      <c r="AB927">
        <f t="shared" si="178"/>
        <v>1</v>
      </c>
      <c r="AC927">
        <f t="shared" ca="1" si="179"/>
        <v>0</v>
      </c>
      <c r="AD927" t="str">
        <f ca="1">IF(AC927=1,COUNTIF($AC$3:AC927,1),"")</f>
        <v/>
      </c>
      <c r="AE927" s="155" t="str">
        <f ca="1">IFERROR(INDEX(Données!$B$3:$B$1479,MATCH(ROWS($AD$3:AD927),$AD$3:$AD$1479,0)),"")</f>
        <v/>
      </c>
    </row>
    <row r="928" spans="1:31" ht="15.75" x14ac:dyDescent="0.25">
      <c r="A928" t="str">
        <f t="shared" si="176"/>
        <v>Sean Day - NYR - D</v>
      </c>
      <c r="B928" t="str">
        <f t="shared" si="177"/>
        <v>Sean Day - NYR - D</v>
      </c>
      <c r="C928" t="str">
        <f t="shared" si="168"/>
        <v>Sean</v>
      </c>
      <c r="D928" t="str">
        <f t="shared" si="169"/>
        <v>Day</v>
      </c>
      <c r="E928" s="39" t="s">
        <v>1777</v>
      </c>
      <c r="F928" s="30" t="s">
        <v>26</v>
      </c>
      <c r="G928" s="35" t="s">
        <v>386</v>
      </c>
      <c r="H928" s="35" t="s">
        <v>82</v>
      </c>
      <c r="I928" s="35" t="s">
        <v>2690</v>
      </c>
      <c r="J928" s="35">
        <v>21</v>
      </c>
      <c r="K928" s="35">
        <f>VALUE(COUNTIF(Validation!$A$2:$H$47,E928))</f>
        <v>0</v>
      </c>
      <c r="L928" s="361">
        <f t="shared" si="170"/>
        <v>910833</v>
      </c>
      <c r="M928" s="361">
        <f t="shared" si="171"/>
        <v>910833</v>
      </c>
      <c r="N928" s="358">
        <v>910833</v>
      </c>
      <c r="O928" s="358">
        <v>910833</v>
      </c>
      <c r="P928" s="358" t="s">
        <v>8</v>
      </c>
      <c r="Q928" s="358">
        <v>0</v>
      </c>
      <c r="R928" s="358">
        <v>0</v>
      </c>
      <c r="S928" s="358">
        <v>0</v>
      </c>
      <c r="T928" s="358">
        <v>0</v>
      </c>
      <c r="U928" s="35">
        <f t="shared" si="172"/>
        <v>2</v>
      </c>
      <c r="W928">
        <f t="shared" si="173"/>
        <v>1</v>
      </c>
      <c r="X928" s="35">
        <f t="shared" si="174"/>
        <v>1</v>
      </c>
      <c r="Y928">
        <f t="shared" si="175"/>
        <v>1</v>
      </c>
      <c r="AB928">
        <f t="shared" si="178"/>
        <v>1</v>
      </c>
      <c r="AC928">
        <f t="shared" ca="1" si="179"/>
        <v>0</v>
      </c>
      <c r="AD928" t="str">
        <f ca="1">IF(AC928=1,COUNTIF($AC$3:AC928,1),"")</f>
        <v/>
      </c>
      <c r="AE928" s="155" t="str">
        <f ca="1">IFERROR(INDEX(Données!$B$3:$B$1479,MATCH(ROWS($AD$3:AD928),$AD$3:$AD$1479,0)),"")</f>
        <v/>
      </c>
    </row>
    <row r="929" spans="1:31" ht="15.75" x14ac:dyDescent="0.25">
      <c r="A929" t="str">
        <f t="shared" si="176"/>
        <v>Libor Hájek - NYR - LD</v>
      </c>
      <c r="B929" t="str">
        <f t="shared" si="177"/>
        <v>Libor Hájek - NYR - LD</v>
      </c>
      <c r="C929" t="str">
        <f t="shared" si="168"/>
        <v>Libor</v>
      </c>
      <c r="D929" t="str">
        <f t="shared" si="169"/>
        <v>Hájek</v>
      </c>
      <c r="E929" s="39" t="s">
        <v>1773</v>
      </c>
      <c r="F929" s="30" t="s">
        <v>26</v>
      </c>
      <c r="G929" s="35" t="s">
        <v>386</v>
      </c>
      <c r="H929" s="35" t="s">
        <v>380</v>
      </c>
      <c r="I929" s="35" t="s">
        <v>2677</v>
      </c>
      <c r="J929" s="35">
        <v>21</v>
      </c>
      <c r="K929" s="35">
        <f>VALUE(COUNTIF(Validation!$A$2:$H$47,E929))</f>
        <v>0</v>
      </c>
      <c r="L929" s="361">
        <f t="shared" si="170"/>
        <v>894166</v>
      </c>
      <c r="M929" s="361">
        <f t="shared" si="171"/>
        <v>894166</v>
      </c>
      <c r="N929" s="358">
        <v>894166</v>
      </c>
      <c r="O929" s="358">
        <v>894166</v>
      </c>
      <c r="P929" s="358" t="s">
        <v>8</v>
      </c>
      <c r="Q929" s="358">
        <v>0</v>
      </c>
      <c r="R929" s="358">
        <v>0</v>
      </c>
      <c r="S929" s="358">
        <v>0</v>
      </c>
      <c r="T929" s="358">
        <v>0</v>
      </c>
      <c r="U929" s="35">
        <f t="shared" si="172"/>
        <v>2</v>
      </c>
      <c r="W929">
        <f t="shared" si="173"/>
        <v>1</v>
      </c>
      <c r="X929" s="35">
        <f t="shared" si="174"/>
        <v>1</v>
      </c>
      <c r="Y929">
        <f t="shared" si="175"/>
        <v>1</v>
      </c>
      <c r="AB929">
        <f t="shared" si="178"/>
        <v>1</v>
      </c>
      <c r="AC929">
        <f t="shared" ca="1" si="179"/>
        <v>0</v>
      </c>
      <c r="AD929" t="str">
        <f ca="1">IF(AC929=1,COUNTIF($AC$3:AC929,1),"")</f>
        <v/>
      </c>
      <c r="AE929" s="155" t="str">
        <f ca="1">IFERROR(INDEX(Données!$B$3:$B$1479,MATCH(ROWS($AD$3:AD929),$AD$3:$AD$1479,0)),"")</f>
        <v/>
      </c>
    </row>
    <row r="930" spans="1:31" ht="15.75" x14ac:dyDescent="0.25">
      <c r="A930" t="str">
        <f t="shared" si="176"/>
        <v>Ryan Gropp - NYR - LW</v>
      </c>
      <c r="B930" t="str">
        <f t="shared" si="177"/>
        <v>Ryan Gropp - NYR - LW</v>
      </c>
      <c r="C930" t="str">
        <f t="shared" si="168"/>
        <v>Ryan</v>
      </c>
      <c r="D930" t="str">
        <f t="shared" si="169"/>
        <v>Gropp</v>
      </c>
      <c r="E930" s="39" t="s">
        <v>1774</v>
      </c>
      <c r="F930" s="30" t="s">
        <v>26</v>
      </c>
      <c r="G930" s="35" t="s">
        <v>386</v>
      </c>
      <c r="H930" s="35" t="s">
        <v>93</v>
      </c>
      <c r="I930" s="35" t="s">
        <v>2690</v>
      </c>
      <c r="J930" s="35">
        <v>22</v>
      </c>
      <c r="K930" s="35">
        <f>VALUE(COUNTIF(Validation!$A$2:$H$47,E930))</f>
        <v>0</v>
      </c>
      <c r="L930" s="361">
        <f t="shared" si="170"/>
        <v>888333</v>
      </c>
      <c r="M930" s="361">
        <f t="shared" si="171"/>
        <v>0</v>
      </c>
      <c r="N930" s="358">
        <v>888333</v>
      </c>
      <c r="O930" s="358" t="s">
        <v>8</v>
      </c>
      <c r="P930" s="358">
        <v>0</v>
      </c>
      <c r="Q930" s="358">
        <v>0</v>
      </c>
      <c r="R930" s="358">
        <v>0</v>
      </c>
      <c r="S930" s="358">
        <v>0</v>
      </c>
      <c r="T930" s="358">
        <v>0</v>
      </c>
      <c r="U930" s="35">
        <f t="shared" si="172"/>
        <v>1</v>
      </c>
      <c r="W930">
        <f t="shared" si="173"/>
        <v>1</v>
      </c>
      <c r="X930" s="35">
        <f t="shared" si="174"/>
        <v>1</v>
      </c>
      <c r="Y930">
        <f t="shared" si="175"/>
        <v>0</v>
      </c>
      <c r="AB930">
        <f t="shared" si="178"/>
        <v>1</v>
      </c>
      <c r="AC930">
        <f t="shared" ca="1" si="179"/>
        <v>0</v>
      </c>
      <c r="AD930" t="str">
        <f ca="1">IF(AC930=1,COUNTIF($AC$3:AC930,1),"")</f>
        <v/>
      </c>
      <c r="AE930" s="155" t="str">
        <f ca="1">IFERROR(INDEX(Données!$B$3:$B$1479,MATCH(ROWS($AD$3:AD930),$AD$3:$AD$1479,0)),"")</f>
        <v/>
      </c>
    </row>
    <row r="931" spans="1:31" ht="15.75" x14ac:dyDescent="0.25">
      <c r="A931" t="str">
        <f t="shared" si="176"/>
        <v>Brandon Crawley - NYR - D</v>
      </c>
      <c r="B931" t="str">
        <f t="shared" si="177"/>
        <v>Brandon Crawley - NYR - D</v>
      </c>
      <c r="C931" t="str">
        <f t="shared" si="168"/>
        <v>Brandon</v>
      </c>
      <c r="D931" t="str">
        <f t="shared" si="169"/>
        <v>Crawley</v>
      </c>
      <c r="E931" s="39" t="s">
        <v>1776</v>
      </c>
      <c r="F931" s="30" t="s">
        <v>26</v>
      </c>
      <c r="G931" s="35" t="s">
        <v>386</v>
      </c>
      <c r="H931" s="9" t="s">
        <v>82</v>
      </c>
      <c r="I931" s="9" t="s">
        <v>2690</v>
      </c>
      <c r="J931" s="9">
        <v>22</v>
      </c>
      <c r="K931" s="35">
        <f>VALUE(COUNTIF(Validation!$A$2:$H$47,E931))</f>
        <v>0</v>
      </c>
      <c r="L931" s="361">
        <f t="shared" si="170"/>
        <v>866666</v>
      </c>
      <c r="M931" s="361">
        <f t="shared" si="171"/>
        <v>0</v>
      </c>
      <c r="N931" s="358">
        <v>866666</v>
      </c>
      <c r="O931" s="358" t="s">
        <v>8</v>
      </c>
      <c r="P931" s="358">
        <v>0</v>
      </c>
      <c r="Q931" s="358">
        <v>0</v>
      </c>
      <c r="R931" s="358">
        <v>0</v>
      </c>
      <c r="S931" s="358">
        <v>0</v>
      </c>
      <c r="T931" s="358">
        <v>0</v>
      </c>
      <c r="U931" s="35">
        <f t="shared" si="172"/>
        <v>1</v>
      </c>
      <c r="W931">
        <f t="shared" si="173"/>
        <v>1</v>
      </c>
      <c r="X931" s="35">
        <f t="shared" si="174"/>
        <v>1</v>
      </c>
      <c r="Y931">
        <f t="shared" si="175"/>
        <v>0</v>
      </c>
      <c r="AB931">
        <f t="shared" si="178"/>
        <v>1</v>
      </c>
      <c r="AC931">
        <f t="shared" ca="1" si="179"/>
        <v>0</v>
      </c>
      <c r="AD931" t="str">
        <f ca="1">IF(AC931=1,COUNTIF($AC$3:AC931,1),"")</f>
        <v/>
      </c>
      <c r="AE931" s="155" t="str">
        <f ca="1">IFERROR(INDEX(Données!$B$3:$B$1479,MATCH(ROWS($AD$3:AD931),$AD$3:$AD$1479,0)),"")</f>
        <v/>
      </c>
    </row>
    <row r="932" spans="1:31" ht="15.75" x14ac:dyDescent="0.25">
      <c r="A932" t="str">
        <f t="shared" si="176"/>
        <v>Brett Howden - NYR - C</v>
      </c>
      <c r="B932" t="str">
        <f t="shared" si="177"/>
        <v>Brett Howden - NYR - C</v>
      </c>
      <c r="C932" t="str">
        <f t="shared" si="168"/>
        <v>Brett</v>
      </c>
      <c r="D932" t="str">
        <f t="shared" si="169"/>
        <v>Howden</v>
      </c>
      <c r="E932" s="39" t="s">
        <v>1772</v>
      </c>
      <c r="F932" s="30" t="s">
        <v>26</v>
      </c>
      <c r="G932" s="35" t="s">
        <v>386</v>
      </c>
      <c r="H932" s="35" t="s">
        <v>73</v>
      </c>
      <c r="I932" s="35" t="s">
        <v>2677</v>
      </c>
      <c r="J932" s="35">
        <v>21</v>
      </c>
      <c r="K932" s="35">
        <f>VALUE(COUNTIF(Validation!$A$2:$H$47,E932))</f>
        <v>0</v>
      </c>
      <c r="L932" s="361">
        <f t="shared" si="170"/>
        <v>863333</v>
      </c>
      <c r="M932" s="361">
        <f t="shared" si="171"/>
        <v>863333</v>
      </c>
      <c r="N932" s="358">
        <v>863333</v>
      </c>
      <c r="O932" s="358">
        <v>863333</v>
      </c>
      <c r="P932" s="358" t="s">
        <v>8</v>
      </c>
      <c r="Q932" s="358">
        <v>0</v>
      </c>
      <c r="R932" s="358">
        <v>0</v>
      </c>
      <c r="S932" s="358">
        <v>0</v>
      </c>
      <c r="T932" s="358">
        <v>0</v>
      </c>
      <c r="U932" s="35">
        <f t="shared" si="172"/>
        <v>2</v>
      </c>
      <c r="W932">
        <f t="shared" si="173"/>
        <v>1</v>
      </c>
      <c r="X932" s="35">
        <f t="shared" si="174"/>
        <v>1</v>
      </c>
      <c r="Y932">
        <f t="shared" si="175"/>
        <v>1</v>
      </c>
      <c r="AB932">
        <f t="shared" si="178"/>
        <v>1</v>
      </c>
      <c r="AC932">
        <f t="shared" ca="1" si="179"/>
        <v>0</v>
      </c>
      <c r="AD932" t="str">
        <f ca="1">IF(AC932=1,COUNTIF($AC$3:AC932,1),"")</f>
        <v/>
      </c>
      <c r="AE932" s="155" t="str">
        <f ca="1">IFERROR(INDEX(Données!$B$3:$B$1479,MATCH(ROWS($AD$3:AD932),$AD$3:$AD$1479,0)),"")</f>
        <v/>
      </c>
    </row>
    <row r="933" spans="1:31" ht="15.75" x14ac:dyDescent="0.25">
      <c r="A933" t="str">
        <f t="shared" si="176"/>
        <v>Dawson Leedahl - NYR - LW</v>
      </c>
      <c r="B933" t="str">
        <f t="shared" si="177"/>
        <v>Dawson Leedahl - NYR - LW</v>
      </c>
      <c r="C933" t="str">
        <f t="shared" si="168"/>
        <v>Dawson</v>
      </c>
      <c r="D933" t="str">
        <f t="shared" si="169"/>
        <v>Leedahl</v>
      </c>
      <c r="E933" s="39" t="s">
        <v>1779</v>
      </c>
      <c r="F933" s="30" t="s">
        <v>26</v>
      </c>
      <c r="G933" s="35" t="s">
        <v>386</v>
      </c>
      <c r="H933" s="9" t="s">
        <v>93</v>
      </c>
      <c r="I933" s="9" t="s">
        <v>2690</v>
      </c>
      <c r="J933" s="9">
        <v>23</v>
      </c>
      <c r="K933" s="35">
        <f>VALUE(COUNTIF(Validation!$A$2:$H$47,E933))</f>
        <v>0</v>
      </c>
      <c r="L933" s="361">
        <f t="shared" si="170"/>
        <v>825000</v>
      </c>
      <c r="M933" s="361">
        <f t="shared" si="171"/>
        <v>0</v>
      </c>
      <c r="N933" s="358">
        <v>825000</v>
      </c>
      <c r="O933" s="358" t="s">
        <v>8</v>
      </c>
      <c r="P933" s="358">
        <v>0</v>
      </c>
      <c r="Q933" s="358">
        <v>0</v>
      </c>
      <c r="R933" s="358">
        <v>0</v>
      </c>
      <c r="S933" s="358">
        <v>0</v>
      </c>
      <c r="T933" s="358">
        <v>0</v>
      </c>
      <c r="U933" s="35">
        <f t="shared" si="172"/>
        <v>1</v>
      </c>
      <c r="W933">
        <f t="shared" si="173"/>
        <v>1</v>
      </c>
      <c r="X933" s="35">
        <f t="shared" si="174"/>
        <v>1</v>
      </c>
      <c r="Y933">
        <f t="shared" si="175"/>
        <v>0</v>
      </c>
      <c r="AB933">
        <f t="shared" si="178"/>
        <v>1</v>
      </c>
      <c r="AC933">
        <f t="shared" ca="1" si="179"/>
        <v>0</v>
      </c>
      <c r="AD933" t="str">
        <f ca="1">IF(AC933=1,COUNTIF($AC$3:AC933,1),"")</f>
        <v/>
      </c>
      <c r="AE933" s="155" t="str">
        <f ca="1">IFERROR(INDEX(Données!$B$3:$B$1479,MATCH(ROWS($AD$3:AD933),$AD$3:$AD$1479,0)),"")</f>
        <v/>
      </c>
    </row>
    <row r="934" spans="1:31" ht="15.75" x14ac:dyDescent="0.25">
      <c r="A934" t="str">
        <f t="shared" si="176"/>
        <v>Ty Ronning - NYR - RW</v>
      </c>
      <c r="B934" t="str">
        <f t="shared" si="177"/>
        <v>Ty Ronning - NYR - RW</v>
      </c>
      <c r="C934" t="str">
        <f t="shared" si="168"/>
        <v>Ty</v>
      </c>
      <c r="D934" t="str">
        <f t="shared" si="169"/>
        <v>Ronning</v>
      </c>
      <c r="E934" s="39" t="s">
        <v>1778</v>
      </c>
      <c r="F934" s="30" t="s">
        <v>26</v>
      </c>
      <c r="G934" s="35" t="s">
        <v>386</v>
      </c>
      <c r="H934" s="35" t="s">
        <v>88</v>
      </c>
      <c r="I934" s="35" t="s">
        <v>2690</v>
      </c>
      <c r="J934" s="35">
        <v>21</v>
      </c>
      <c r="K934" s="35">
        <f>VALUE(COUNTIF(Validation!$A$2:$H$47,E934))</f>
        <v>0</v>
      </c>
      <c r="L934" s="361">
        <f t="shared" si="170"/>
        <v>750833</v>
      </c>
      <c r="M934" s="361">
        <f t="shared" si="171"/>
        <v>750833</v>
      </c>
      <c r="N934" s="358">
        <v>750833</v>
      </c>
      <c r="O934" s="358">
        <v>750833</v>
      </c>
      <c r="P934" s="358" t="s">
        <v>8</v>
      </c>
      <c r="Q934" s="358">
        <v>0</v>
      </c>
      <c r="R934" s="358">
        <v>0</v>
      </c>
      <c r="S934" s="358">
        <v>0</v>
      </c>
      <c r="T934" s="358">
        <v>0</v>
      </c>
      <c r="U934" s="35">
        <f t="shared" si="172"/>
        <v>2</v>
      </c>
      <c r="W934">
        <f t="shared" si="173"/>
        <v>1</v>
      </c>
      <c r="X934" s="35">
        <f t="shared" si="174"/>
        <v>1</v>
      </c>
      <c r="Y934">
        <f t="shared" si="175"/>
        <v>1</v>
      </c>
      <c r="AB934">
        <f t="shared" si="178"/>
        <v>1</v>
      </c>
      <c r="AC934">
        <f t="shared" ca="1" si="179"/>
        <v>0</v>
      </c>
      <c r="AD934" t="str">
        <f ca="1">IF(AC934=1,COUNTIF($AC$3:AC934,1),"")</f>
        <v/>
      </c>
      <c r="AE934" s="155" t="str">
        <f ca="1">IFERROR(INDEX(Données!$B$3:$B$1479,MATCH(ROWS($AD$3:AD934),$AD$3:$AD$1479,0)),"")</f>
        <v/>
      </c>
    </row>
    <row r="935" spans="1:31" ht="15.75" x14ac:dyDescent="0.25">
      <c r="A935" t="str">
        <f t="shared" si="176"/>
        <v>Greg McKegg - NYR - C, LW</v>
      </c>
      <c r="B935" t="str">
        <f t="shared" si="177"/>
        <v>Greg McKegg - NYR - C, LW</v>
      </c>
      <c r="C935" t="str">
        <f t="shared" si="168"/>
        <v>Greg</v>
      </c>
      <c r="D935" t="str">
        <f t="shared" si="169"/>
        <v>McKegg</v>
      </c>
      <c r="E935" s="39" t="s">
        <v>1647</v>
      </c>
      <c r="F935" s="30" t="s">
        <v>26</v>
      </c>
      <c r="G935" s="35">
        <v>0</v>
      </c>
      <c r="H935" s="35" t="s">
        <v>2679</v>
      </c>
      <c r="I935" s="35" t="s">
        <v>2677</v>
      </c>
      <c r="J935" s="35">
        <v>27</v>
      </c>
      <c r="K935" s="35">
        <f>VALUE(COUNTIF(Validation!$A$2:$H$47,E935))</f>
        <v>0</v>
      </c>
      <c r="L935" s="361">
        <f t="shared" si="170"/>
        <v>750000</v>
      </c>
      <c r="M935" s="361">
        <f t="shared" si="171"/>
        <v>0</v>
      </c>
      <c r="N935" s="358">
        <v>750000</v>
      </c>
      <c r="O935" s="358" t="s">
        <v>7</v>
      </c>
      <c r="P935" s="358">
        <v>0</v>
      </c>
      <c r="Q935" s="358">
        <v>0</v>
      </c>
      <c r="R935" s="358">
        <v>0</v>
      </c>
      <c r="S935" s="358">
        <v>0</v>
      </c>
      <c r="T935" s="358">
        <v>0</v>
      </c>
      <c r="U935" s="35">
        <f t="shared" si="172"/>
        <v>1</v>
      </c>
      <c r="W935">
        <f t="shared" si="173"/>
        <v>1</v>
      </c>
      <c r="X935" s="35">
        <f t="shared" si="174"/>
        <v>0</v>
      </c>
      <c r="Y935">
        <f t="shared" si="175"/>
        <v>0</v>
      </c>
      <c r="AB935">
        <f t="shared" si="178"/>
        <v>1</v>
      </c>
      <c r="AC935">
        <f t="shared" ca="1" si="179"/>
        <v>0</v>
      </c>
      <c r="AD935" t="str">
        <f ca="1">IF(AC935=1,COUNTIF($AC$3:AC935,1),"")</f>
        <v/>
      </c>
      <c r="AE935" s="155" t="str">
        <f ca="1">IFERROR(INDEX(Données!$B$3:$B$1479,MATCH(ROWS($AD$3:AD935),$AD$3:$AD$1479,0)),"")</f>
        <v/>
      </c>
    </row>
    <row r="936" spans="1:31" ht="15.75" x14ac:dyDescent="0.25">
      <c r="A936" t="str">
        <f t="shared" si="176"/>
        <v>Gabriel Fontaine - NYR - C</v>
      </c>
      <c r="B936" t="str">
        <f t="shared" si="177"/>
        <v>Gabriel Fontaine - NYR - C</v>
      </c>
      <c r="C936" t="str">
        <f t="shared" si="168"/>
        <v>Gabriel</v>
      </c>
      <c r="D936" t="str">
        <f t="shared" si="169"/>
        <v>Fontaine</v>
      </c>
      <c r="E936" s="39" t="s">
        <v>1780</v>
      </c>
      <c r="F936" s="30" t="s">
        <v>26</v>
      </c>
      <c r="G936" s="35" t="s">
        <v>386</v>
      </c>
      <c r="H936" s="35" t="s">
        <v>73</v>
      </c>
      <c r="I936" s="35" t="s">
        <v>2690</v>
      </c>
      <c r="J936" s="35">
        <v>22</v>
      </c>
      <c r="K936" s="35">
        <f>VALUE(COUNTIF(Validation!$A$2:$H$47,E936))</f>
        <v>0</v>
      </c>
      <c r="L936" s="361">
        <f t="shared" si="170"/>
        <v>736667</v>
      </c>
      <c r="M936" s="361">
        <f t="shared" si="171"/>
        <v>0</v>
      </c>
      <c r="N936" s="358">
        <v>736667</v>
      </c>
      <c r="O936" s="358" t="s">
        <v>8</v>
      </c>
      <c r="P936" s="358">
        <v>0</v>
      </c>
      <c r="Q936" s="358">
        <v>0</v>
      </c>
      <c r="R936" s="358">
        <v>0</v>
      </c>
      <c r="S936" s="358">
        <v>0</v>
      </c>
      <c r="T936" s="358">
        <v>0</v>
      </c>
      <c r="U936" s="35">
        <f t="shared" si="172"/>
        <v>1</v>
      </c>
      <c r="W936">
        <f t="shared" si="173"/>
        <v>1</v>
      </c>
      <c r="X936" s="35">
        <f t="shared" si="174"/>
        <v>1</v>
      </c>
      <c r="Y936">
        <f t="shared" si="175"/>
        <v>0</v>
      </c>
      <c r="AB936">
        <f t="shared" si="178"/>
        <v>1</v>
      </c>
      <c r="AC936">
        <f t="shared" ca="1" si="179"/>
        <v>0</v>
      </c>
      <c r="AD936" t="str">
        <f ca="1">IF(AC936=1,COUNTIF($AC$3:AC936,1),"")</f>
        <v/>
      </c>
      <c r="AE936" s="155" t="str">
        <f ca="1">IFERROR(INDEX(Données!$B$3:$B$1479,MATCH(ROWS($AD$3:AD936),$AD$3:$AD$1479,0)),"")</f>
        <v/>
      </c>
    </row>
    <row r="937" spans="1:31" ht="15.75" x14ac:dyDescent="0.25">
      <c r="A937" t="str">
        <f t="shared" si="176"/>
        <v>Tim Gettinger - NYR - LW, RW</v>
      </c>
      <c r="B937" t="str">
        <f t="shared" si="177"/>
        <v>Tim Gettinger - NYR - LW, RW</v>
      </c>
      <c r="C937" t="str">
        <f t="shared" si="168"/>
        <v>Tim</v>
      </c>
      <c r="D937" t="str">
        <f t="shared" si="169"/>
        <v>Gettinger</v>
      </c>
      <c r="E937" s="39" t="s">
        <v>1781</v>
      </c>
      <c r="F937" s="30" t="s">
        <v>26</v>
      </c>
      <c r="G937" s="35" t="s">
        <v>386</v>
      </c>
      <c r="H937" s="9" t="s">
        <v>2689</v>
      </c>
      <c r="I937" s="9" t="s">
        <v>2690</v>
      </c>
      <c r="J937" s="9">
        <v>21</v>
      </c>
      <c r="K937" s="35">
        <f>VALUE(COUNTIF(Validation!$A$2:$H$47,E937))</f>
        <v>0</v>
      </c>
      <c r="L937" s="361">
        <f t="shared" si="170"/>
        <v>730000</v>
      </c>
      <c r="M937" s="361">
        <f t="shared" si="171"/>
        <v>730000</v>
      </c>
      <c r="N937" s="358">
        <v>730000</v>
      </c>
      <c r="O937" s="358">
        <v>730000</v>
      </c>
      <c r="P937" s="358" t="s">
        <v>8</v>
      </c>
      <c r="Q937" s="358">
        <v>0</v>
      </c>
      <c r="R937" s="358">
        <v>0</v>
      </c>
      <c r="S937" s="358">
        <v>0</v>
      </c>
      <c r="T937" s="358">
        <v>0</v>
      </c>
      <c r="U937" s="35">
        <f t="shared" si="172"/>
        <v>2</v>
      </c>
      <c r="W937">
        <f t="shared" si="173"/>
        <v>1</v>
      </c>
      <c r="X937" s="35">
        <f t="shared" si="174"/>
        <v>1</v>
      </c>
      <c r="Y937">
        <f t="shared" si="175"/>
        <v>1</v>
      </c>
      <c r="AB937">
        <f t="shared" si="178"/>
        <v>1</v>
      </c>
      <c r="AC937">
        <f t="shared" ca="1" si="179"/>
        <v>0</v>
      </c>
      <c r="AD937" t="str">
        <f ca="1">IF(AC937=1,COUNTIF($AC$3:AC937,1),"")</f>
        <v/>
      </c>
      <c r="AE937" s="155" t="str">
        <f ca="1">IFERROR(INDEX(Données!$B$3:$B$1479,MATCH(ROWS($AD$3:AD937),$AD$3:$AD$1479,0)),"")</f>
        <v/>
      </c>
    </row>
    <row r="938" spans="1:31" ht="15.75" x14ac:dyDescent="0.25">
      <c r="A938" t="str">
        <f t="shared" si="176"/>
        <v>Darren Raddysh - NYR - RD</v>
      </c>
      <c r="B938" t="str">
        <f t="shared" si="177"/>
        <v>Darren Raddysh - NYR - RD</v>
      </c>
      <c r="C938" t="str">
        <f t="shared" si="168"/>
        <v>Darren</v>
      </c>
      <c r="D938" t="str">
        <f t="shared" si="169"/>
        <v>Raddysh</v>
      </c>
      <c r="E938" s="39" t="s">
        <v>1912</v>
      </c>
      <c r="F938" s="30" t="s">
        <v>26</v>
      </c>
      <c r="G938" s="35" t="s">
        <v>386</v>
      </c>
      <c r="H938" s="35" t="s">
        <v>379</v>
      </c>
      <c r="I938" s="35" t="s">
        <v>2690</v>
      </c>
      <c r="J938" s="35">
        <v>23</v>
      </c>
      <c r="K938" s="35">
        <f>VALUE(COUNTIF(Validation!$A$2:$H$47,E938))</f>
        <v>0</v>
      </c>
      <c r="L938" s="361">
        <f t="shared" si="170"/>
        <v>730000</v>
      </c>
      <c r="M938" s="361">
        <f t="shared" si="171"/>
        <v>0</v>
      </c>
      <c r="N938" s="358">
        <v>730000</v>
      </c>
      <c r="O938" s="358" t="s">
        <v>8</v>
      </c>
      <c r="P938" s="358">
        <v>0</v>
      </c>
      <c r="Q938" s="358">
        <v>0</v>
      </c>
      <c r="R938" s="358">
        <v>0</v>
      </c>
      <c r="S938" s="358">
        <v>0</v>
      </c>
      <c r="T938" s="358">
        <v>0</v>
      </c>
      <c r="U938" s="35">
        <f t="shared" si="172"/>
        <v>1</v>
      </c>
      <c r="W938">
        <f t="shared" si="173"/>
        <v>1</v>
      </c>
      <c r="X938" s="35">
        <f t="shared" si="174"/>
        <v>1</v>
      </c>
      <c r="Y938">
        <f t="shared" si="175"/>
        <v>0</v>
      </c>
      <c r="AB938">
        <f t="shared" si="178"/>
        <v>1</v>
      </c>
      <c r="AC938">
        <f t="shared" ca="1" si="179"/>
        <v>0</v>
      </c>
      <c r="AD938" t="str">
        <f ca="1">IF(AC938=1,COUNTIF($AC$3:AC938,1),"")</f>
        <v/>
      </c>
      <c r="AE938" s="155" t="str">
        <f ca="1">IFERROR(INDEX(Données!$B$3:$B$1479,MATCH(ROWS($AD$3:AD938),$AD$3:$AD$1479,0)),"")</f>
        <v/>
      </c>
    </row>
    <row r="939" spans="1:31" ht="15.75" x14ac:dyDescent="0.25">
      <c r="A939" t="str">
        <f t="shared" si="176"/>
        <v>Phillip DiGiuseppe - NYR - LW</v>
      </c>
      <c r="B939" t="str">
        <f t="shared" si="177"/>
        <v>Phillip DiGiuseppe - NYR - LW</v>
      </c>
      <c r="C939" t="str">
        <f t="shared" si="168"/>
        <v>Phillip</v>
      </c>
      <c r="D939" t="str">
        <f t="shared" si="169"/>
        <v>DiGiuseppe</v>
      </c>
      <c r="E939" s="39" t="s">
        <v>2930</v>
      </c>
      <c r="F939" s="30" t="s">
        <v>26</v>
      </c>
      <c r="G939" s="35">
        <v>0</v>
      </c>
      <c r="H939" s="35" t="s">
        <v>93</v>
      </c>
      <c r="I939" s="35" t="s">
        <v>2690</v>
      </c>
      <c r="J939" s="35">
        <v>25</v>
      </c>
      <c r="K939" s="35">
        <f>VALUE(COUNTIF(Validation!$A$2:$H$47,E939))</f>
        <v>0</v>
      </c>
      <c r="L939" s="361">
        <f t="shared" si="170"/>
        <v>700000</v>
      </c>
      <c r="M939" s="361">
        <f t="shared" si="171"/>
        <v>0</v>
      </c>
      <c r="N939" s="358">
        <v>700000</v>
      </c>
      <c r="O939" s="358" t="s">
        <v>8</v>
      </c>
      <c r="P939" s="358">
        <v>0</v>
      </c>
      <c r="Q939" s="358">
        <v>0</v>
      </c>
      <c r="R939" s="358">
        <v>0</v>
      </c>
      <c r="S939" s="358">
        <v>0</v>
      </c>
      <c r="T939" s="358">
        <v>0</v>
      </c>
      <c r="U939" s="35">
        <f t="shared" si="172"/>
        <v>1</v>
      </c>
      <c r="W939">
        <f t="shared" si="173"/>
        <v>1</v>
      </c>
      <c r="X939" s="35">
        <f t="shared" si="174"/>
        <v>0</v>
      </c>
      <c r="Y939">
        <f t="shared" si="175"/>
        <v>0</v>
      </c>
      <c r="AB939">
        <f t="shared" si="178"/>
        <v>1</v>
      </c>
      <c r="AC939">
        <f t="shared" ca="1" si="179"/>
        <v>0</v>
      </c>
      <c r="AD939" t="str">
        <f ca="1">IF(AC939=1,COUNTIF($AC$3:AC939,1),"")</f>
        <v/>
      </c>
      <c r="AE939" s="155" t="str">
        <f ca="1">IFERROR(INDEX(Données!$B$3:$B$1479,MATCH(ROWS($AD$3:AD939),$AD$3:$AD$1479,0)),"")</f>
        <v/>
      </c>
    </row>
    <row r="940" spans="1:31" ht="15.75" x14ac:dyDescent="0.25">
      <c r="A940" t="str">
        <f t="shared" si="176"/>
        <v>Steven Fogarty - NYR - C, RW</v>
      </c>
      <c r="B940" t="str">
        <f t="shared" si="177"/>
        <v>Steven Fogarty - NYR - C, RW</v>
      </c>
      <c r="C940" t="str">
        <f t="shared" si="168"/>
        <v>Steven</v>
      </c>
      <c r="D940" t="str">
        <f t="shared" si="169"/>
        <v>Fogarty</v>
      </c>
      <c r="E940" s="39" t="s">
        <v>1782</v>
      </c>
      <c r="F940" s="30" t="s">
        <v>26</v>
      </c>
      <c r="G940" s="35">
        <v>0</v>
      </c>
      <c r="H940" s="35" t="s">
        <v>2684</v>
      </c>
      <c r="I940" s="35" t="s">
        <v>2690</v>
      </c>
      <c r="J940" s="35">
        <v>26</v>
      </c>
      <c r="K940" s="35">
        <f>VALUE(COUNTIF(Validation!$A$2:$H$47,E940))</f>
        <v>0</v>
      </c>
      <c r="L940" s="361">
        <f t="shared" si="170"/>
        <v>700000</v>
      </c>
      <c r="M940" s="361">
        <f t="shared" si="171"/>
        <v>0</v>
      </c>
      <c r="N940" s="358">
        <v>700000</v>
      </c>
      <c r="O940" s="358" t="s">
        <v>7</v>
      </c>
      <c r="P940" s="358">
        <v>0</v>
      </c>
      <c r="Q940" s="358">
        <v>0</v>
      </c>
      <c r="R940" s="358">
        <v>0</v>
      </c>
      <c r="S940" s="358">
        <v>0</v>
      </c>
      <c r="T940" s="358">
        <v>0</v>
      </c>
      <c r="U940" s="35">
        <f t="shared" si="172"/>
        <v>1</v>
      </c>
      <c r="W940">
        <f t="shared" si="173"/>
        <v>1</v>
      </c>
      <c r="X940" s="35">
        <f t="shared" si="174"/>
        <v>0</v>
      </c>
      <c r="Y940">
        <f t="shared" si="175"/>
        <v>0</v>
      </c>
      <c r="AB940">
        <f t="shared" si="178"/>
        <v>1</v>
      </c>
      <c r="AC940">
        <f t="shared" ca="1" si="179"/>
        <v>0</v>
      </c>
      <c r="AD940" t="str">
        <f ca="1">IF(AC940=1,COUNTIF($AC$3:AC940,1),"")</f>
        <v/>
      </c>
      <c r="AE940" s="155" t="str">
        <f ca="1">IFERROR(INDEX(Données!$B$3:$B$1479,MATCH(ROWS($AD$3:AD940),$AD$3:$AD$1479,0)),"")</f>
        <v/>
      </c>
    </row>
    <row r="941" spans="1:31" ht="15.75" x14ac:dyDescent="0.25">
      <c r="A941" t="str">
        <f t="shared" si="176"/>
        <v>Vinni Lettieri - NYR - C, RW</v>
      </c>
      <c r="B941" t="str">
        <f t="shared" si="177"/>
        <v>Vinni Lettieri - NYR - C, RW</v>
      </c>
      <c r="C941" t="str">
        <f t="shared" si="168"/>
        <v>Vinni</v>
      </c>
      <c r="D941" t="str">
        <f t="shared" si="169"/>
        <v>Lettieri</v>
      </c>
      <c r="E941" s="39" t="s">
        <v>1765</v>
      </c>
      <c r="F941" s="30" t="s">
        <v>26</v>
      </c>
      <c r="G941" s="35">
        <v>0</v>
      </c>
      <c r="H941" s="35" t="s">
        <v>2684</v>
      </c>
      <c r="I941" s="35" t="s">
        <v>2690</v>
      </c>
      <c r="J941" s="35">
        <v>24</v>
      </c>
      <c r="K941" s="35">
        <f>VALUE(COUNTIF(Validation!$A$2:$H$47,E941))</f>
        <v>0</v>
      </c>
      <c r="L941" s="361">
        <f t="shared" si="170"/>
        <v>700000</v>
      </c>
      <c r="M941" s="361">
        <f t="shared" si="171"/>
        <v>0</v>
      </c>
      <c r="N941" s="358">
        <v>700000</v>
      </c>
      <c r="O941" s="358" t="s">
        <v>8</v>
      </c>
      <c r="P941" s="358">
        <v>0</v>
      </c>
      <c r="Q941" s="358">
        <v>0</v>
      </c>
      <c r="R941" s="358">
        <v>0</v>
      </c>
      <c r="S941" s="358">
        <v>0</v>
      </c>
      <c r="T941" s="358">
        <v>0</v>
      </c>
      <c r="U941" s="35">
        <f t="shared" si="172"/>
        <v>1</v>
      </c>
      <c r="W941">
        <f t="shared" si="173"/>
        <v>1</v>
      </c>
      <c r="X941" s="35">
        <f t="shared" si="174"/>
        <v>0</v>
      </c>
      <c r="Y941">
        <f t="shared" si="175"/>
        <v>0</v>
      </c>
      <c r="AB941">
        <f t="shared" si="178"/>
        <v>1</v>
      </c>
      <c r="AC941">
        <f t="shared" ca="1" si="179"/>
        <v>0</v>
      </c>
      <c r="AD941" t="str">
        <f ca="1">IF(AC941=1,COUNTIF($AC$3:AC941,1),"")</f>
        <v/>
      </c>
      <c r="AE941" s="155" t="str">
        <f ca="1">IFERROR(INDEX(Données!$B$3:$B$1479,MATCH(ROWS($AD$3:AD941),$AD$3:$AD$1479,0)),"")</f>
        <v/>
      </c>
    </row>
    <row r="942" spans="1:31" ht="15.75" x14ac:dyDescent="0.25">
      <c r="A942" t="str">
        <f t="shared" si="176"/>
        <v>Cristoval Nieves - NYR - C, LW</v>
      </c>
      <c r="B942" t="str">
        <f t="shared" si="177"/>
        <v>Cristoval Nieves - NYR - C, LW</v>
      </c>
      <c r="C942" t="str">
        <f t="shared" si="168"/>
        <v>Cristoval</v>
      </c>
      <c r="D942" t="str">
        <f t="shared" si="169"/>
        <v>Nieves</v>
      </c>
      <c r="E942" s="39" t="s">
        <v>1783</v>
      </c>
      <c r="F942" s="30" t="s">
        <v>26</v>
      </c>
      <c r="G942" s="35">
        <v>0</v>
      </c>
      <c r="H942" s="35" t="s">
        <v>2679</v>
      </c>
      <c r="I942" s="35" t="s">
        <v>2677</v>
      </c>
      <c r="J942" s="35">
        <v>25</v>
      </c>
      <c r="K942" s="35">
        <f>VALUE(COUNTIF(Validation!$A$2:$H$47,E942))</f>
        <v>0</v>
      </c>
      <c r="L942" s="361">
        <f t="shared" si="170"/>
        <v>700000</v>
      </c>
      <c r="M942" s="361">
        <f t="shared" si="171"/>
        <v>0</v>
      </c>
      <c r="N942" s="358">
        <v>700000</v>
      </c>
      <c r="O942" s="358" t="s">
        <v>8</v>
      </c>
      <c r="P942" s="358">
        <v>0</v>
      </c>
      <c r="Q942" s="358">
        <v>0</v>
      </c>
      <c r="R942" s="358">
        <v>0</v>
      </c>
      <c r="S942" s="358">
        <v>0</v>
      </c>
      <c r="T942" s="358">
        <v>0</v>
      </c>
      <c r="U942" s="35">
        <f t="shared" si="172"/>
        <v>1</v>
      </c>
      <c r="W942">
        <f t="shared" si="173"/>
        <v>1</v>
      </c>
      <c r="X942" s="35">
        <f t="shared" si="174"/>
        <v>0</v>
      </c>
      <c r="Y942">
        <f t="shared" si="175"/>
        <v>0</v>
      </c>
      <c r="AB942">
        <f t="shared" si="178"/>
        <v>1</v>
      </c>
      <c r="AC942">
        <f t="shared" ca="1" si="179"/>
        <v>0</v>
      </c>
      <c r="AD942" t="str">
        <f ca="1">IF(AC942=1,COUNTIF($AC$3:AC942,1),"")</f>
        <v/>
      </c>
      <c r="AE942" s="155" t="str">
        <f ca="1">IFERROR(INDEX(Données!$B$3:$B$1479,MATCH(ROWS($AD$3:AD942),$AD$3:$AD$1479,0)),"")</f>
        <v/>
      </c>
    </row>
    <row r="943" spans="1:31" ht="15.75" x14ac:dyDescent="0.25">
      <c r="A943" t="str">
        <f t="shared" si="176"/>
        <v>Danny O'Regan - NYR - C, LW</v>
      </c>
      <c r="B943" t="str">
        <f t="shared" si="177"/>
        <v>Danny O'Regan - NYR - C, LW</v>
      </c>
      <c r="C943" t="str">
        <f t="shared" si="168"/>
        <v>Danny</v>
      </c>
      <c r="D943" t="str">
        <f t="shared" si="169"/>
        <v>O'Regan</v>
      </c>
      <c r="E943" s="39" t="s">
        <v>1405</v>
      </c>
      <c r="F943" s="30" t="s">
        <v>26</v>
      </c>
      <c r="G943" s="35">
        <v>0</v>
      </c>
      <c r="H943" s="35" t="s">
        <v>2679</v>
      </c>
      <c r="I943" s="35" t="s">
        <v>2690</v>
      </c>
      <c r="J943" s="35">
        <v>25</v>
      </c>
      <c r="K943" s="35">
        <f>VALUE(COUNTIF(Validation!$A$2:$H$47,E943))</f>
        <v>0</v>
      </c>
      <c r="L943" s="361">
        <f t="shared" si="170"/>
        <v>700000</v>
      </c>
      <c r="M943" s="361">
        <f t="shared" si="171"/>
        <v>0</v>
      </c>
      <c r="N943" s="358">
        <v>700000</v>
      </c>
      <c r="O943" s="358" t="s">
        <v>8</v>
      </c>
      <c r="P943" s="358">
        <v>0</v>
      </c>
      <c r="Q943" s="358">
        <v>0</v>
      </c>
      <c r="R943" s="358">
        <v>0</v>
      </c>
      <c r="S943" s="358">
        <v>0</v>
      </c>
      <c r="T943" s="358">
        <v>0</v>
      </c>
      <c r="U943" s="35">
        <f t="shared" si="172"/>
        <v>1</v>
      </c>
      <c r="W943">
        <f t="shared" si="173"/>
        <v>1</v>
      </c>
      <c r="X943" s="35">
        <f t="shared" si="174"/>
        <v>0</v>
      </c>
      <c r="Y943">
        <f t="shared" si="175"/>
        <v>0</v>
      </c>
      <c r="AB943">
        <f t="shared" si="178"/>
        <v>1</v>
      </c>
      <c r="AC943">
        <f t="shared" ca="1" si="179"/>
        <v>0</v>
      </c>
      <c r="AD943" t="str">
        <f ca="1">IF(AC943=1,COUNTIF($AC$3:AC943,1),"")</f>
        <v/>
      </c>
      <c r="AE943" s="155" t="str">
        <f ca="1">IFERROR(INDEX(Données!$B$3:$B$1479,MATCH(ROWS($AD$3:AD943),$AD$3:$AD$1479,0)),"")</f>
        <v/>
      </c>
    </row>
    <row r="944" spans="1:31" ht="15.75" x14ac:dyDescent="0.25">
      <c r="A944" t="str">
        <f t="shared" si="176"/>
        <v>Anthony Deangelo - NYR - RD</v>
      </c>
      <c r="B944" t="str">
        <f t="shared" si="177"/>
        <v>Anthony Deangelo - NYR - RD</v>
      </c>
      <c r="C944" t="str">
        <f t="shared" si="168"/>
        <v>Anthony</v>
      </c>
      <c r="D944" t="str">
        <f t="shared" si="169"/>
        <v>Deangelo</v>
      </c>
      <c r="E944" s="39" t="s">
        <v>1763</v>
      </c>
      <c r="F944" s="30" t="s">
        <v>26</v>
      </c>
      <c r="G944" s="35">
        <v>0</v>
      </c>
      <c r="H944" s="35" t="s">
        <v>379</v>
      </c>
      <c r="I944" s="35" t="s">
        <v>2677</v>
      </c>
      <c r="J944" s="35">
        <v>23</v>
      </c>
      <c r="K944" s="35">
        <f>VALUE(COUNTIF(Validation!$A$2:$H$47,E944))</f>
        <v>0</v>
      </c>
      <c r="L944" s="361">
        <f t="shared" si="170"/>
        <v>0</v>
      </c>
      <c r="M944" s="361">
        <f t="shared" si="171"/>
        <v>0</v>
      </c>
      <c r="N944" s="358" t="s">
        <v>8</v>
      </c>
      <c r="O944" s="358">
        <v>0</v>
      </c>
      <c r="P944" s="358">
        <v>0</v>
      </c>
      <c r="Q944" s="358">
        <v>0</v>
      </c>
      <c r="R944" s="358">
        <v>0</v>
      </c>
      <c r="S944" s="358">
        <v>0</v>
      </c>
      <c r="T944" s="358">
        <v>0</v>
      </c>
      <c r="U944" s="35">
        <f t="shared" si="172"/>
        <v>0</v>
      </c>
      <c r="W944">
        <f t="shared" si="173"/>
        <v>1</v>
      </c>
      <c r="X944" s="35">
        <f t="shared" si="174"/>
        <v>0</v>
      </c>
      <c r="Y944">
        <f t="shared" si="175"/>
        <v>1</v>
      </c>
      <c r="AB944">
        <f t="shared" si="178"/>
        <v>1</v>
      </c>
      <c r="AC944">
        <f t="shared" ca="1" si="179"/>
        <v>0</v>
      </c>
      <c r="AD944" t="str">
        <f ca="1">IF(AC944=1,COUNTIF($AC$3:AC944,1),"")</f>
        <v/>
      </c>
      <c r="AE944" s="155" t="str">
        <f ca="1">IFERROR(INDEX(Données!$B$3:$B$1479,MATCH(ROWS($AD$3:AD944),$AD$3:$AD$1479,0)),"")</f>
        <v/>
      </c>
    </row>
    <row r="945" spans="1:31" ht="15.75" x14ac:dyDescent="0.25">
      <c r="A945" t="str">
        <f t="shared" si="176"/>
        <v>Brendan Lemieux - NYR - LW, RW</v>
      </c>
      <c r="B945" t="str">
        <f t="shared" si="177"/>
        <v>Brendan Lemieux - NYR - LW, RW</v>
      </c>
      <c r="C945" t="str">
        <f t="shared" si="168"/>
        <v>Brendan</v>
      </c>
      <c r="D945" t="str">
        <f t="shared" si="169"/>
        <v>Lemieux</v>
      </c>
      <c r="E945" s="39" t="s">
        <v>2100</v>
      </c>
      <c r="F945" s="30" t="s">
        <v>26</v>
      </c>
      <c r="G945" s="35">
        <v>0</v>
      </c>
      <c r="H945" s="35" t="s">
        <v>2689</v>
      </c>
      <c r="I945" s="35" t="s">
        <v>2677</v>
      </c>
      <c r="J945" s="35">
        <v>23</v>
      </c>
      <c r="K945" s="35">
        <f>VALUE(COUNTIF(Validation!$A$2:$H$47,E945))</f>
        <v>0</v>
      </c>
      <c r="L945" s="361">
        <f t="shared" si="170"/>
        <v>0</v>
      </c>
      <c r="M945" s="361">
        <f t="shared" si="171"/>
        <v>0</v>
      </c>
      <c r="N945" s="358" t="s">
        <v>8</v>
      </c>
      <c r="O945" s="358">
        <v>0</v>
      </c>
      <c r="P945" s="358">
        <v>0</v>
      </c>
      <c r="Q945" s="358">
        <v>0</v>
      </c>
      <c r="R945" s="358">
        <v>0</v>
      </c>
      <c r="S945" s="358">
        <v>0</v>
      </c>
      <c r="T945" s="358">
        <v>0</v>
      </c>
      <c r="U945" s="35">
        <f t="shared" si="172"/>
        <v>0</v>
      </c>
      <c r="W945">
        <f t="shared" si="173"/>
        <v>1</v>
      </c>
      <c r="X945" s="35">
        <f t="shared" si="174"/>
        <v>0</v>
      </c>
      <c r="Y945">
        <f t="shared" si="175"/>
        <v>1</v>
      </c>
      <c r="AB945">
        <f t="shared" si="178"/>
        <v>1</v>
      </c>
      <c r="AC945">
        <f t="shared" ca="1" si="179"/>
        <v>0</v>
      </c>
      <c r="AD945" t="str">
        <f ca="1">IF(AC945=1,COUNTIF($AC$3:AC945,1),"")</f>
        <v/>
      </c>
      <c r="AE945" s="155" t="str">
        <f ca="1">IFERROR(INDEX(Données!$B$3:$B$1479,MATCH(ROWS($AD$3:AD945),$AD$3:$AD$1479,0)),"")</f>
        <v/>
      </c>
    </row>
    <row r="946" spans="1:31" ht="15.75" x14ac:dyDescent="0.25">
      <c r="A946" t="str">
        <f t="shared" si="176"/>
        <v>Bobby Ryan - OTT - AD, AG</v>
      </c>
      <c r="B946" t="str">
        <f t="shared" si="177"/>
        <v>Bobby Ryan - OTT - AD, AG</v>
      </c>
      <c r="C946" t="str">
        <f t="shared" si="168"/>
        <v>Bobby</v>
      </c>
      <c r="D946" t="str">
        <f t="shared" si="169"/>
        <v>Ryan</v>
      </c>
      <c r="E946" s="39" t="s">
        <v>1515</v>
      </c>
      <c r="F946" s="30" t="s">
        <v>27</v>
      </c>
      <c r="G946" s="35" t="s">
        <v>370</v>
      </c>
      <c r="H946" s="35" t="s">
        <v>2441</v>
      </c>
      <c r="I946" s="35" t="s">
        <v>2439</v>
      </c>
      <c r="J946" s="35">
        <v>32</v>
      </c>
      <c r="K946" s="35">
        <f>VALUE(COUNTIF(Validation!$A$2:$H$47,E946))</f>
        <v>0</v>
      </c>
      <c r="L946" s="361">
        <f t="shared" si="170"/>
        <v>7250000</v>
      </c>
      <c r="M946" s="361">
        <f t="shared" si="171"/>
        <v>7250000</v>
      </c>
      <c r="N946" s="358">
        <v>7250000</v>
      </c>
      <c r="O946" s="358">
        <v>7250000</v>
      </c>
      <c r="P946" s="358">
        <v>7250000</v>
      </c>
      <c r="Q946" s="358" t="s">
        <v>7</v>
      </c>
      <c r="R946" s="358">
        <v>0</v>
      </c>
      <c r="S946" s="358">
        <v>0</v>
      </c>
      <c r="T946" s="358">
        <v>0</v>
      </c>
      <c r="U946" s="35">
        <f t="shared" si="172"/>
        <v>3</v>
      </c>
      <c r="W946">
        <f t="shared" si="173"/>
        <v>1</v>
      </c>
      <c r="X946" s="35">
        <f t="shared" si="174"/>
        <v>0</v>
      </c>
      <c r="Y946">
        <f t="shared" si="175"/>
        <v>1</v>
      </c>
      <c r="AB946">
        <f t="shared" si="178"/>
        <v>1</v>
      </c>
      <c r="AC946">
        <f t="shared" ca="1" si="179"/>
        <v>0</v>
      </c>
      <c r="AD946" t="str">
        <f ca="1">IF(AC946=1,COUNTIF($AC$3:AC946,1),"")</f>
        <v/>
      </c>
      <c r="AE946" s="155" t="str">
        <f ca="1">IFERROR(INDEX(Données!$B$3:$B$1479,MATCH(ROWS($AD$3:AD946),$AD$3:$AD$1479,0)),"")</f>
        <v/>
      </c>
    </row>
    <row r="947" spans="1:31" ht="15.75" x14ac:dyDescent="0.25">
      <c r="A947" t="str">
        <f t="shared" si="176"/>
        <v>Ryan Callahan - OTT - AD</v>
      </c>
      <c r="B947" t="str">
        <f t="shared" si="177"/>
        <v>Ryan Callahan - OTT - AD</v>
      </c>
      <c r="C947" t="str">
        <f t="shared" si="168"/>
        <v>Ryan</v>
      </c>
      <c r="D947" t="str">
        <f t="shared" si="169"/>
        <v>Callahan</v>
      </c>
      <c r="E947" s="39" t="s">
        <v>2557</v>
      </c>
      <c r="F947" s="30" t="s">
        <v>27</v>
      </c>
      <c r="G947" s="35" t="s">
        <v>370</v>
      </c>
      <c r="H947" s="9" t="s">
        <v>2438</v>
      </c>
      <c r="I947" s="9" t="s">
        <v>374</v>
      </c>
      <c r="J947" s="9">
        <v>34</v>
      </c>
      <c r="K947" s="35">
        <f>VALUE(COUNTIF(Validation!$A$2:$H$47,E947))</f>
        <v>0</v>
      </c>
      <c r="L947" s="361">
        <f t="shared" si="170"/>
        <v>5800000</v>
      </c>
      <c r="M947" s="361">
        <f t="shared" si="171"/>
        <v>0</v>
      </c>
      <c r="N947" s="358">
        <v>5800000</v>
      </c>
      <c r="O947" s="358" t="s">
        <v>7</v>
      </c>
      <c r="P947" s="358">
        <v>0</v>
      </c>
      <c r="Q947" s="358">
        <v>0</v>
      </c>
      <c r="R947" s="358">
        <v>0</v>
      </c>
      <c r="S947" s="358">
        <v>0</v>
      </c>
      <c r="T947" s="358">
        <v>0</v>
      </c>
      <c r="U947" s="35">
        <f t="shared" si="172"/>
        <v>1</v>
      </c>
      <c r="W947">
        <f t="shared" si="173"/>
        <v>1</v>
      </c>
      <c r="X947" s="35">
        <f t="shared" si="174"/>
        <v>0</v>
      </c>
      <c r="Y947">
        <f t="shared" si="175"/>
        <v>0</v>
      </c>
      <c r="AB947">
        <f t="shared" si="178"/>
        <v>1</v>
      </c>
      <c r="AC947">
        <f t="shared" ca="1" si="179"/>
        <v>0</v>
      </c>
      <c r="AD947" t="str">
        <f ca="1">IF(AC947=1,COUNTIF($AC$3:AC947,1),"")</f>
        <v/>
      </c>
      <c r="AE947" s="155" t="str">
        <f ca="1">IFERROR(INDEX(Données!$B$3:$B$1479,MATCH(ROWS($AD$3:AD947),$AD$3:$AD$1479,0)),"")</f>
        <v/>
      </c>
    </row>
    <row r="948" spans="1:31" ht="15.75" x14ac:dyDescent="0.25">
      <c r="A948" t="str">
        <f t="shared" si="176"/>
        <v>Marián Gáborík - OTT - AD</v>
      </c>
      <c r="B948" t="str">
        <f t="shared" si="177"/>
        <v>Marián Gáborík - OTT - AD</v>
      </c>
      <c r="C948" t="str">
        <f t="shared" si="168"/>
        <v>Marián</v>
      </c>
      <c r="D948" t="str">
        <f t="shared" si="169"/>
        <v>Gáborík</v>
      </c>
      <c r="E948" s="39" t="s">
        <v>1517</v>
      </c>
      <c r="F948" s="30" t="s">
        <v>27</v>
      </c>
      <c r="G948" s="35">
        <v>0</v>
      </c>
      <c r="H948" s="35" t="s">
        <v>2438</v>
      </c>
      <c r="I948" s="35" t="s">
        <v>374</v>
      </c>
      <c r="J948" s="35">
        <v>37</v>
      </c>
      <c r="K948" s="35">
        <f>VALUE(COUNTIF(Validation!$A$2:$H$47,E948))</f>
        <v>0</v>
      </c>
      <c r="L948" s="361">
        <f t="shared" si="170"/>
        <v>4875000</v>
      </c>
      <c r="M948" s="361">
        <f t="shared" si="171"/>
        <v>4875000</v>
      </c>
      <c r="N948" s="358">
        <v>4875000</v>
      </c>
      <c r="O948" s="358">
        <v>4875000</v>
      </c>
      <c r="P948" s="358" t="s">
        <v>7</v>
      </c>
      <c r="Q948" s="358">
        <v>0</v>
      </c>
      <c r="R948" s="358">
        <v>0</v>
      </c>
      <c r="S948" s="358">
        <v>0</v>
      </c>
      <c r="T948" s="358">
        <v>0</v>
      </c>
      <c r="U948" s="35">
        <f t="shared" si="172"/>
        <v>2</v>
      </c>
      <c r="W948">
        <f t="shared" si="173"/>
        <v>1</v>
      </c>
      <c r="X948" s="35">
        <f t="shared" si="174"/>
        <v>0</v>
      </c>
      <c r="Y948">
        <f t="shared" si="175"/>
        <v>1</v>
      </c>
      <c r="AB948">
        <f t="shared" si="178"/>
        <v>1</v>
      </c>
      <c r="AC948">
        <f t="shared" ca="1" si="179"/>
        <v>0</v>
      </c>
      <c r="AD948" t="str">
        <f ca="1">IF(AC948=1,COUNTIF($AC$3:AC948,1),"")</f>
        <v/>
      </c>
      <c r="AE948" s="155" t="str">
        <f ca="1">IFERROR(INDEX(Données!$B$3:$B$1479,MATCH(ROWS($AD$3:AD948),$AD$3:$AD$1479,0)),"")</f>
        <v/>
      </c>
    </row>
    <row r="949" spans="1:31" ht="15.75" x14ac:dyDescent="0.25">
      <c r="A949" t="str">
        <f t="shared" si="176"/>
        <v>Craig Anderson - OTT - G</v>
      </c>
      <c r="B949" t="str">
        <f t="shared" si="177"/>
        <v>Craig Anderson - OTT - G</v>
      </c>
      <c r="C949" t="str">
        <f t="shared" si="168"/>
        <v>Craig</v>
      </c>
      <c r="D949" t="str">
        <f t="shared" si="169"/>
        <v>Anderson</v>
      </c>
      <c r="E949" s="39" t="s">
        <v>1529</v>
      </c>
      <c r="F949" s="30" t="s">
        <v>27</v>
      </c>
      <c r="G949" s="35" t="s">
        <v>2578</v>
      </c>
      <c r="H949" s="35" t="s">
        <v>127</v>
      </c>
      <c r="I949" s="35" t="s">
        <v>2439</v>
      </c>
      <c r="J949" s="35">
        <v>38</v>
      </c>
      <c r="K949" s="35">
        <f>VALUE(COUNTIF(Validation!$A$2:$H$47,E949))</f>
        <v>0</v>
      </c>
      <c r="L949" s="361">
        <f t="shared" si="170"/>
        <v>4750000</v>
      </c>
      <c r="M949" s="361">
        <f t="shared" si="171"/>
        <v>0</v>
      </c>
      <c r="N949" s="358">
        <v>4750000</v>
      </c>
      <c r="O949" s="358" t="s">
        <v>7</v>
      </c>
      <c r="P949" s="358">
        <v>0</v>
      </c>
      <c r="Q949" s="358">
        <v>0</v>
      </c>
      <c r="R949" s="358">
        <v>0</v>
      </c>
      <c r="S949" s="358">
        <v>0</v>
      </c>
      <c r="T949" s="358">
        <v>0</v>
      </c>
      <c r="U949" s="35">
        <f t="shared" si="172"/>
        <v>1</v>
      </c>
      <c r="W949">
        <f t="shared" si="173"/>
        <v>1</v>
      </c>
      <c r="X949" s="35">
        <f t="shared" si="174"/>
        <v>0</v>
      </c>
      <c r="Y949">
        <f t="shared" si="175"/>
        <v>0</v>
      </c>
      <c r="AB949">
        <f t="shared" si="178"/>
        <v>1</v>
      </c>
      <c r="AC949">
        <f t="shared" ca="1" si="179"/>
        <v>0</v>
      </c>
      <c r="AD949" t="str">
        <f ca="1">IF(AC949=1,COUNTIF($AC$3:AC949,1),"")</f>
        <v/>
      </c>
      <c r="AE949" s="155" t="str">
        <f ca="1">IFERROR(INDEX(Données!$B$3:$B$1479,MATCH(ROWS($AD$3:AD949),$AD$3:$AD$1479,0)),"")</f>
        <v/>
      </c>
    </row>
    <row r="950" spans="1:31" ht="15.75" x14ac:dyDescent="0.25">
      <c r="A950" t="str">
        <f t="shared" si="176"/>
        <v>Clarke MacArthur - OTT - AG</v>
      </c>
      <c r="B950" t="str">
        <f t="shared" si="177"/>
        <v>Clarke MacArthur - OTT - AG</v>
      </c>
      <c r="C950" t="str">
        <f t="shared" si="168"/>
        <v>Clarke</v>
      </c>
      <c r="D950" t="str">
        <f t="shared" si="169"/>
        <v>MacArthur</v>
      </c>
      <c r="E950" s="39" t="s">
        <v>1518</v>
      </c>
      <c r="F950" s="30" t="s">
        <v>27</v>
      </c>
      <c r="G950" s="35" t="s">
        <v>381</v>
      </c>
      <c r="H950" s="35" t="s">
        <v>2440</v>
      </c>
      <c r="I950" s="35" t="s">
        <v>374</v>
      </c>
      <c r="J950" s="35">
        <v>34</v>
      </c>
      <c r="K950" s="35">
        <f>VALUE(COUNTIF(Validation!$A$2:$H$47,E950))</f>
        <v>0</v>
      </c>
      <c r="L950" s="361">
        <f t="shared" si="170"/>
        <v>4650000</v>
      </c>
      <c r="M950" s="361">
        <f t="shared" si="171"/>
        <v>0</v>
      </c>
      <c r="N950" s="358">
        <v>4650000</v>
      </c>
      <c r="O950" s="358" t="s">
        <v>7</v>
      </c>
      <c r="P950" s="358">
        <v>0</v>
      </c>
      <c r="Q950" s="358">
        <v>0</v>
      </c>
      <c r="R950" s="358">
        <v>0</v>
      </c>
      <c r="S950" s="358">
        <v>0</v>
      </c>
      <c r="T950" s="358">
        <v>0</v>
      </c>
      <c r="U950" s="35">
        <f t="shared" si="172"/>
        <v>1</v>
      </c>
      <c r="W950">
        <f t="shared" si="173"/>
        <v>1</v>
      </c>
      <c r="X950" s="35">
        <f t="shared" si="174"/>
        <v>0</v>
      </c>
      <c r="Y950">
        <f t="shared" si="175"/>
        <v>0</v>
      </c>
      <c r="AB950">
        <f t="shared" si="178"/>
        <v>1</v>
      </c>
      <c r="AC950">
        <f t="shared" ca="1" si="179"/>
        <v>0</v>
      </c>
      <c r="AD950" t="str">
        <f ca="1">IF(AC950=1,COUNTIF($AC$3:AC950,1),"")</f>
        <v/>
      </c>
      <c r="AE950" s="155" t="str">
        <f ca="1">IFERROR(INDEX(Données!$B$3:$B$1479,MATCH(ROWS($AD$3:AD950),$AD$3:$AD$1479,0)),"")</f>
        <v/>
      </c>
    </row>
    <row r="951" spans="1:31" ht="15.75" x14ac:dyDescent="0.25">
      <c r="A951" t="str">
        <f t="shared" si="176"/>
        <v>Artem Anisimov - OTT - C, AG</v>
      </c>
      <c r="B951" t="str">
        <f t="shared" si="177"/>
        <v>Artem Anisimov - OTT - C, AG</v>
      </c>
      <c r="C951" t="str">
        <f t="shared" si="168"/>
        <v>Artem</v>
      </c>
      <c r="D951" t="str">
        <f t="shared" si="169"/>
        <v>Anisimov</v>
      </c>
      <c r="E951" s="39" t="s">
        <v>1889</v>
      </c>
      <c r="F951" s="30" t="s">
        <v>27</v>
      </c>
      <c r="G951" s="35">
        <v>0</v>
      </c>
      <c r="H951" s="35" t="s">
        <v>2452</v>
      </c>
      <c r="I951" s="35" t="s">
        <v>2439</v>
      </c>
      <c r="J951" s="35">
        <v>31</v>
      </c>
      <c r="K951" s="35">
        <f>VALUE(COUNTIF(Validation!$A$2:$H$47,E951))</f>
        <v>0</v>
      </c>
      <c r="L951" s="361">
        <f t="shared" si="170"/>
        <v>4550000</v>
      </c>
      <c r="M951" s="361">
        <f t="shared" si="171"/>
        <v>4550000</v>
      </c>
      <c r="N951" s="358">
        <v>4550000</v>
      </c>
      <c r="O951" s="358">
        <v>4550000</v>
      </c>
      <c r="P951" s="358" t="s">
        <v>7</v>
      </c>
      <c r="Q951" s="358">
        <v>0</v>
      </c>
      <c r="R951" s="358">
        <v>0</v>
      </c>
      <c r="S951" s="358">
        <v>0</v>
      </c>
      <c r="T951" s="358">
        <v>0</v>
      </c>
      <c r="U951" s="35">
        <f t="shared" si="172"/>
        <v>2</v>
      </c>
      <c r="W951">
        <f t="shared" si="173"/>
        <v>1</v>
      </c>
      <c r="X951" s="35">
        <f t="shared" si="174"/>
        <v>0</v>
      </c>
      <c r="Y951">
        <f t="shared" si="175"/>
        <v>1</v>
      </c>
      <c r="AB951">
        <f t="shared" si="178"/>
        <v>1</v>
      </c>
      <c r="AC951">
        <f t="shared" ca="1" si="179"/>
        <v>0</v>
      </c>
      <c r="AD951" t="str">
        <f ca="1">IF(AC951=1,COUNTIF($AC$3:AC951,1),"")</f>
        <v/>
      </c>
      <c r="AE951" s="155" t="str">
        <f ca="1">IFERROR(INDEX(Données!$B$3:$B$1479,MATCH(ROWS($AD$3:AD951),$AD$3:$AD$1479,0)),"")</f>
        <v/>
      </c>
    </row>
    <row r="952" spans="1:31" ht="15.75" x14ac:dyDescent="0.25">
      <c r="A952" t="str">
        <f t="shared" si="176"/>
        <v>Nikita Zaitsev - OTT - DD</v>
      </c>
      <c r="B952" t="str">
        <f t="shared" si="177"/>
        <v>Nikita Zaitsev - OTT - DD</v>
      </c>
      <c r="C952" t="str">
        <f t="shared" si="168"/>
        <v>Nikita</v>
      </c>
      <c r="D952" t="str">
        <f t="shared" si="169"/>
        <v>Zaitsev</v>
      </c>
      <c r="E952" s="39" t="s">
        <v>1596</v>
      </c>
      <c r="F952" s="30" t="s">
        <v>27</v>
      </c>
      <c r="G952" s="35" t="s">
        <v>381</v>
      </c>
      <c r="H952" s="35" t="s">
        <v>2444</v>
      </c>
      <c r="I952" s="35" t="s">
        <v>2439</v>
      </c>
      <c r="J952" s="35">
        <v>27</v>
      </c>
      <c r="K952" s="35">
        <f>VALUE(COUNTIF(Validation!$A$2:$H$47,E952))</f>
        <v>0</v>
      </c>
      <c r="L952" s="361">
        <f t="shared" si="170"/>
        <v>4500000</v>
      </c>
      <c r="M952" s="361">
        <f t="shared" si="171"/>
        <v>4500000</v>
      </c>
      <c r="N952" s="358">
        <v>4500000</v>
      </c>
      <c r="O952" s="358">
        <v>4500000</v>
      </c>
      <c r="P952" s="358">
        <v>4500000</v>
      </c>
      <c r="Q952" s="358">
        <v>4500000</v>
      </c>
      <c r="R952" s="358">
        <v>4500000</v>
      </c>
      <c r="S952" s="358" t="s">
        <v>7</v>
      </c>
      <c r="T952" s="358">
        <v>0</v>
      </c>
      <c r="U952" s="35">
        <f t="shared" si="172"/>
        <v>5</v>
      </c>
      <c r="W952">
        <f t="shared" si="173"/>
        <v>1</v>
      </c>
      <c r="X952" s="35">
        <f t="shared" si="174"/>
        <v>0</v>
      </c>
      <c r="Y952">
        <f t="shared" si="175"/>
        <v>1</v>
      </c>
      <c r="AB952">
        <f t="shared" si="178"/>
        <v>1</v>
      </c>
      <c r="AC952">
        <f t="shared" ca="1" si="179"/>
        <v>0</v>
      </c>
      <c r="AD952" t="str">
        <f ca="1">IF(AC952=1,COUNTIF($AC$3:AC952,1),"")</f>
        <v/>
      </c>
      <c r="AE952" s="155" t="str">
        <f ca="1">IFERROR(INDEX(Données!$B$3:$B$1479,MATCH(ROWS($AD$3:AD952),$AD$3:$AD$1479,0)),"")</f>
        <v/>
      </c>
    </row>
    <row r="953" spans="1:31" ht="15.75" x14ac:dyDescent="0.25">
      <c r="A953" t="str">
        <f t="shared" si="176"/>
        <v>Mikkel Boedker - OTT - AG, AD</v>
      </c>
      <c r="B953" t="str">
        <f t="shared" si="177"/>
        <v>Mikkel Boedker - OTT - AG, AD</v>
      </c>
      <c r="C953" t="str">
        <f t="shared" si="168"/>
        <v>Mikkel</v>
      </c>
      <c r="D953" t="str">
        <f t="shared" si="169"/>
        <v>Boedker</v>
      </c>
      <c r="E953" s="39" t="s">
        <v>1519</v>
      </c>
      <c r="F953" s="30" t="s">
        <v>27</v>
      </c>
      <c r="G953" s="35">
        <v>0</v>
      </c>
      <c r="H953" s="35" t="s">
        <v>2442</v>
      </c>
      <c r="I953" s="35" t="s">
        <v>2439</v>
      </c>
      <c r="J953" s="35">
        <v>29</v>
      </c>
      <c r="K953" s="35">
        <f>VALUE(COUNTIF(Validation!$A$2:$H$47,E953))</f>
        <v>0</v>
      </c>
      <c r="L953" s="361">
        <f t="shared" si="170"/>
        <v>4000000</v>
      </c>
      <c r="M953" s="361">
        <f t="shared" si="171"/>
        <v>0</v>
      </c>
      <c r="N953" s="358">
        <v>4000000</v>
      </c>
      <c r="O953" s="358" t="s">
        <v>7</v>
      </c>
      <c r="P953" s="358">
        <v>0</v>
      </c>
      <c r="Q953" s="358">
        <v>0</v>
      </c>
      <c r="R953" s="358">
        <v>0</v>
      </c>
      <c r="S953" s="358">
        <v>0</v>
      </c>
      <c r="T953" s="358">
        <v>0</v>
      </c>
      <c r="U953" s="35">
        <f t="shared" si="172"/>
        <v>1</v>
      </c>
      <c r="W953">
        <f t="shared" si="173"/>
        <v>1</v>
      </c>
      <c r="X953" s="35">
        <f t="shared" si="174"/>
        <v>0</v>
      </c>
      <c r="Y953">
        <f t="shared" si="175"/>
        <v>0</v>
      </c>
      <c r="AB953">
        <f t="shared" si="178"/>
        <v>1</v>
      </c>
      <c r="AC953">
        <f t="shared" ca="1" si="179"/>
        <v>0</v>
      </c>
      <c r="AD953" t="str">
        <f ca="1">IF(AC953=1,COUNTIF($AC$3:AC953,1),"")</f>
        <v/>
      </c>
      <c r="AE953" s="155" t="str">
        <f ca="1">IFERROR(INDEX(Données!$B$3:$B$1479,MATCH(ROWS($AD$3:AD953),$AD$3:$AD$1479,0)),"")</f>
        <v/>
      </c>
    </row>
    <row r="954" spans="1:31" ht="15.75" x14ac:dyDescent="0.25">
      <c r="A954" t="str">
        <f t="shared" si="176"/>
        <v>Ron Hainsey - OTT - DD</v>
      </c>
      <c r="B954" t="str">
        <f t="shared" si="177"/>
        <v>Ron Hainsey - OTT - DD</v>
      </c>
      <c r="C954" t="str">
        <f t="shared" si="168"/>
        <v>Ron</v>
      </c>
      <c r="D954" t="str">
        <f t="shared" si="169"/>
        <v>Hainsey</v>
      </c>
      <c r="E954" s="39" t="s">
        <v>1597</v>
      </c>
      <c r="F954" s="30" t="s">
        <v>27</v>
      </c>
      <c r="G954" s="35" t="s">
        <v>2578</v>
      </c>
      <c r="H954" s="35" t="s">
        <v>2444</v>
      </c>
      <c r="I954" s="35" t="s">
        <v>2439</v>
      </c>
      <c r="J954" s="35">
        <v>38</v>
      </c>
      <c r="K954" s="35">
        <f>VALUE(COUNTIF(Validation!$A$2:$H$47,E954))</f>
        <v>0</v>
      </c>
      <c r="L954" s="361">
        <f t="shared" si="170"/>
        <v>3500000</v>
      </c>
      <c r="M954" s="361">
        <f t="shared" si="171"/>
        <v>0</v>
      </c>
      <c r="N954" s="358">
        <v>3500000</v>
      </c>
      <c r="O954" s="358" t="s">
        <v>7</v>
      </c>
      <c r="P954" s="358">
        <v>0</v>
      </c>
      <c r="Q954" s="358">
        <v>0</v>
      </c>
      <c r="R954" s="358">
        <v>0</v>
      </c>
      <c r="S954" s="358">
        <v>0</v>
      </c>
      <c r="T954" s="358">
        <v>0</v>
      </c>
      <c r="U954" s="35">
        <f t="shared" si="172"/>
        <v>1</v>
      </c>
      <c r="W954">
        <f t="shared" si="173"/>
        <v>1</v>
      </c>
      <c r="X954" s="35">
        <f t="shared" si="174"/>
        <v>0</v>
      </c>
      <c r="Y954">
        <f t="shared" si="175"/>
        <v>0</v>
      </c>
      <c r="AB954">
        <f t="shared" si="178"/>
        <v>1</v>
      </c>
      <c r="AC954">
        <f t="shared" ca="1" si="179"/>
        <v>0</v>
      </c>
      <c r="AD954" t="str">
        <f ca="1">IF(AC954=1,COUNTIF($AC$3:AC954,1),"")</f>
        <v/>
      </c>
      <c r="AE954" s="155" t="str">
        <f ca="1">IFERROR(INDEX(Données!$B$3:$B$1479,MATCH(ROWS($AD$3:AD954),$AD$3:$AD$1479,0)),"")</f>
        <v/>
      </c>
    </row>
    <row r="955" spans="1:31" ht="15.75" x14ac:dyDescent="0.25">
      <c r="A955" t="str">
        <f t="shared" si="176"/>
        <v>Brady Tkachuk - OTT - AG, C</v>
      </c>
      <c r="B955" t="str">
        <f t="shared" si="177"/>
        <v>Brady Tkachuk - OTT - AG, C</v>
      </c>
      <c r="C955" t="str">
        <f t="shared" si="168"/>
        <v>Brady</v>
      </c>
      <c r="D955" t="str">
        <f t="shared" si="169"/>
        <v>Tkachuk</v>
      </c>
      <c r="E955" s="39" t="s">
        <v>1531</v>
      </c>
      <c r="F955" s="30" t="s">
        <v>27</v>
      </c>
      <c r="G955" s="35" t="s">
        <v>386</v>
      </c>
      <c r="H955" s="35" t="s">
        <v>2450</v>
      </c>
      <c r="I955" s="35" t="s">
        <v>2439</v>
      </c>
      <c r="J955" s="35">
        <v>19</v>
      </c>
      <c r="K955" s="35">
        <f>VALUE(COUNTIF(Validation!$A$2:$H$47,E955))</f>
        <v>0</v>
      </c>
      <c r="L955" s="361">
        <f t="shared" si="170"/>
        <v>3425000</v>
      </c>
      <c r="M955" s="361">
        <f t="shared" si="171"/>
        <v>3425000</v>
      </c>
      <c r="N955" s="358">
        <v>3425000</v>
      </c>
      <c r="O955" s="358">
        <v>3425000</v>
      </c>
      <c r="P955" s="358" t="s">
        <v>8</v>
      </c>
      <c r="Q955" s="358">
        <v>0</v>
      </c>
      <c r="R955" s="358">
        <v>0</v>
      </c>
      <c r="S955" s="358">
        <v>0</v>
      </c>
      <c r="T955" s="358">
        <v>0</v>
      </c>
      <c r="U955" s="35">
        <f t="shared" si="172"/>
        <v>2</v>
      </c>
      <c r="W955">
        <f t="shared" si="173"/>
        <v>1</v>
      </c>
      <c r="X955" s="35">
        <f t="shared" si="174"/>
        <v>1</v>
      </c>
      <c r="Y955">
        <f t="shared" si="175"/>
        <v>1</v>
      </c>
      <c r="AB955">
        <f t="shared" si="178"/>
        <v>1</v>
      </c>
      <c r="AC955">
        <f t="shared" ca="1" si="179"/>
        <v>0</v>
      </c>
      <c r="AD955" t="str">
        <f ca="1">IF(AC955=1,COUNTIF($AC$3:AC955,1),"")</f>
        <v/>
      </c>
      <c r="AE955" s="155" t="str">
        <f ca="1">IFERROR(INDEX(Données!$B$3:$B$1479,MATCH(ROWS($AD$3:AD955),$AD$3:$AD$1479,0)),"")</f>
        <v/>
      </c>
    </row>
    <row r="956" spans="1:31" ht="15.75" x14ac:dyDescent="0.25">
      <c r="A956" t="str">
        <f t="shared" si="176"/>
        <v>Jean-Gabriel Pageau - OTT - C</v>
      </c>
      <c r="B956" t="str">
        <f t="shared" si="177"/>
        <v>Jean-Gabriel Pageau - OTT - C</v>
      </c>
      <c r="C956" t="str">
        <f t="shared" si="168"/>
        <v>Jean-Gabriel</v>
      </c>
      <c r="D956" t="str">
        <f t="shared" si="169"/>
        <v>Pageau</v>
      </c>
      <c r="E956" s="39" t="s">
        <v>2992</v>
      </c>
      <c r="F956" s="30" t="s">
        <v>27</v>
      </c>
      <c r="G956" s="35">
        <v>0</v>
      </c>
      <c r="H956" s="35" t="s">
        <v>73</v>
      </c>
      <c r="I956" s="35" t="s">
        <v>2439</v>
      </c>
      <c r="J956" s="35">
        <v>26</v>
      </c>
      <c r="K956" s="35">
        <f>VALUE(COUNTIF(Validation!$A$2:$H$47,E956))</f>
        <v>0</v>
      </c>
      <c r="L956" s="361">
        <f t="shared" si="170"/>
        <v>3100000</v>
      </c>
      <c r="M956" s="361">
        <f t="shared" si="171"/>
        <v>0</v>
      </c>
      <c r="N956" s="358">
        <v>3100000</v>
      </c>
      <c r="O956" s="358" t="s">
        <v>7</v>
      </c>
      <c r="P956" s="358">
        <v>0</v>
      </c>
      <c r="Q956" s="358">
        <v>0</v>
      </c>
      <c r="R956" s="358">
        <v>0</v>
      </c>
      <c r="S956" s="358">
        <v>0</v>
      </c>
      <c r="T956" s="358">
        <v>0</v>
      </c>
      <c r="U956" s="35">
        <f t="shared" si="172"/>
        <v>1</v>
      </c>
      <c r="W956">
        <f t="shared" si="173"/>
        <v>1</v>
      </c>
      <c r="X956" s="35">
        <f t="shared" si="174"/>
        <v>0</v>
      </c>
      <c r="Y956">
        <f t="shared" si="175"/>
        <v>0</v>
      </c>
      <c r="AB956">
        <f t="shared" si="178"/>
        <v>1</v>
      </c>
      <c r="AC956">
        <f t="shared" ca="1" si="179"/>
        <v>0</v>
      </c>
      <c r="AD956" t="str">
        <f ca="1">IF(AC956=1,COUNTIF($AC$3:AC956,1),"")</f>
        <v/>
      </c>
      <c r="AE956" s="155" t="str">
        <f ca="1">IFERROR(INDEX(Données!$B$3:$B$1479,MATCH(ROWS($AD$3:AD956),$AD$3:$AD$1479,0)),"")</f>
        <v/>
      </c>
    </row>
    <row r="957" spans="1:31" ht="15.75" x14ac:dyDescent="0.25">
      <c r="A957" t="str">
        <f t="shared" si="176"/>
        <v>Chris Tierney - OTT - C</v>
      </c>
      <c r="B957" t="str">
        <f t="shared" si="177"/>
        <v>Chris Tierney - OTT - C</v>
      </c>
      <c r="C957" t="str">
        <f t="shared" si="168"/>
        <v>Chris</v>
      </c>
      <c r="D957" t="str">
        <f t="shared" si="169"/>
        <v>Tierney</v>
      </c>
      <c r="E957" s="39" t="s">
        <v>1521</v>
      </c>
      <c r="F957" s="30" t="s">
        <v>27</v>
      </c>
      <c r="G957" s="35">
        <v>0</v>
      </c>
      <c r="H957" s="35" t="s">
        <v>73</v>
      </c>
      <c r="I957" s="35" t="s">
        <v>2439</v>
      </c>
      <c r="J957" s="35">
        <v>25</v>
      </c>
      <c r="K957" s="35">
        <f>VALUE(COUNTIF(Validation!$A$2:$H$47,E957))</f>
        <v>0</v>
      </c>
      <c r="L957" s="361">
        <f t="shared" si="170"/>
        <v>2937500</v>
      </c>
      <c r="M957" s="361">
        <f t="shared" si="171"/>
        <v>0</v>
      </c>
      <c r="N957" s="358">
        <v>2937500</v>
      </c>
      <c r="O957" s="358" t="s">
        <v>8</v>
      </c>
      <c r="P957" s="358">
        <v>0</v>
      </c>
      <c r="Q957" s="358">
        <v>0</v>
      </c>
      <c r="R957" s="358">
        <v>0</v>
      </c>
      <c r="S957" s="358">
        <v>0</v>
      </c>
      <c r="T957" s="358">
        <v>0</v>
      </c>
      <c r="U957" s="35">
        <f t="shared" si="172"/>
        <v>1</v>
      </c>
      <c r="W957">
        <f t="shared" si="173"/>
        <v>1</v>
      </c>
      <c r="X957" s="35">
        <f t="shared" si="174"/>
        <v>0</v>
      </c>
      <c r="Y957">
        <f t="shared" si="175"/>
        <v>0</v>
      </c>
      <c r="AB957">
        <f t="shared" si="178"/>
        <v>1</v>
      </c>
      <c r="AC957">
        <f t="shared" ca="1" si="179"/>
        <v>0</v>
      </c>
      <c r="AD957" t="str">
        <f ca="1">IF(AC957=1,COUNTIF($AC$3:AC957,1),"")</f>
        <v/>
      </c>
      <c r="AE957" s="155" t="str">
        <f ca="1">IFERROR(INDEX(Données!$B$3:$B$1479,MATCH(ROWS($AD$3:AD957),$AD$3:$AD$1479,0)),"")</f>
        <v/>
      </c>
    </row>
    <row r="958" spans="1:31" ht="15.75" x14ac:dyDescent="0.25">
      <c r="A958" t="str">
        <f t="shared" si="176"/>
        <v>Anders Nilsson - OTT - G</v>
      </c>
      <c r="B958" t="str">
        <f t="shared" si="177"/>
        <v>Anders Nilsson - OTT - G</v>
      </c>
      <c r="C958" t="str">
        <f t="shared" si="168"/>
        <v>Anders</v>
      </c>
      <c r="D958" t="str">
        <f t="shared" si="169"/>
        <v>Nilsson</v>
      </c>
      <c r="E958" s="39" t="s">
        <v>2345</v>
      </c>
      <c r="F958" s="30" t="s">
        <v>27</v>
      </c>
      <c r="G958" s="35">
        <v>0</v>
      </c>
      <c r="H958" s="35" t="s">
        <v>127</v>
      </c>
      <c r="I958" s="35" t="s">
        <v>2439</v>
      </c>
      <c r="J958" s="35">
        <v>29</v>
      </c>
      <c r="K958" s="35">
        <f>VALUE(COUNTIF(Validation!$A$2:$H$47,E958))</f>
        <v>0</v>
      </c>
      <c r="L958" s="361">
        <f t="shared" si="170"/>
        <v>2600000</v>
      </c>
      <c r="M958" s="361">
        <f t="shared" si="171"/>
        <v>2600000</v>
      </c>
      <c r="N958" s="358">
        <v>2600000</v>
      </c>
      <c r="O958" s="358">
        <v>2600000</v>
      </c>
      <c r="P958" s="358" t="s">
        <v>7</v>
      </c>
      <c r="Q958" s="358">
        <v>0</v>
      </c>
      <c r="R958" s="358">
        <v>0</v>
      </c>
      <c r="S958" s="358">
        <v>0</v>
      </c>
      <c r="T958" s="358">
        <v>0</v>
      </c>
      <c r="U958" s="35">
        <f t="shared" si="172"/>
        <v>2</v>
      </c>
      <c r="W958">
        <f t="shared" si="173"/>
        <v>1</v>
      </c>
      <c r="X958" s="35">
        <f t="shared" si="174"/>
        <v>0</v>
      </c>
      <c r="Y958">
        <f t="shared" si="175"/>
        <v>1</v>
      </c>
      <c r="AB958">
        <f t="shared" si="178"/>
        <v>1</v>
      </c>
      <c r="AC958">
        <f t="shared" ca="1" si="179"/>
        <v>0</v>
      </c>
      <c r="AD958" t="str">
        <f ca="1">IF(AC958=1,COUNTIF($AC$3:AC958,1),"")</f>
        <v/>
      </c>
      <c r="AE958" s="155" t="str">
        <f ca="1">IFERROR(INDEX(Données!$B$3:$B$1479,MATCH(ROWS($AD$3:AD958),$AD$3:$AD$1479,0)),"")</f>
        <v/>
      </c>
    </row>
    <row r="959" spans="1:31" ht="15.75" x14ac:dyDescent="0.25">
      <c r="A959" t="str">
        <f t="shared" si="176"/>
        <v>Connor Brown - OTT - AG, AD</v>
      </c>
      <c r="B959" t="str">
        <f t="shared" si="177"/>
        <v>Connor Brown - OTT - AG, AD</v>
      </c>
      <c r="C959" t="str">
        <f t="shared" si="168"/>
        <v>Connor</v>
      </c>
      <c r="D959" t="str">
        <f t="shared" si="169"/>
        <v>Brown</v>
      </c>
      <c r="E959" s="39" t="s">
        <v>1588</v>
      </c>
      <c r="F959" s="30" t="s">
        <v>27</v>
      </c>
      <c r="G959" s="35">
        <v>0</v>
      </c>
      <c r="H959" s="35" t="s">
        <v>2442</v>
      </c>
      <c r="I959" s="35" t="s">
        <v>2439</v>
      </c>
      <c r="J959" s="35">
        <v>25</v>
      </c>
      <c r="K959" s="35">
        <f>VALUE(COUNTIF(Validation!$A$2:$H$47,E959))</f>
        <v>0</v>
      </c>
      <c r="L959" s="361">
        <f t="shared" si="170"/>
        <v>2100000</v>
      </c>
      <c r="M959" s="361">
        <f t="shared" si="171"/>
        <v>0</v>
      </c>
      <c r="N959" s="358">
        <v>2100000</v>
      </c>
      <c r="O959" s="358" t="s">
        <v>8</v>
      </c>
      <c r="P959" s="358">
        <v>0</v>
      </c>
      <c r="Q959" s="358">
        <v>0</v>
      </c>
      <c r="R959" s="358">
        <v>0</v>
      </c>
      <c r="S959" s="358">
        <v>0</v>
      </c>
      <c r="T959" s="358">
        <v>0</v>
      </c>
      <c r="U959" s="35">
        <f t="shared" si="172"/>
        <v>1</v>
      </c>
      <c r="W959">
        <f t="shared" si="173"/>
        <v>1</v>
      </c>
      <c r="X959" s="35">
        <f t="shared" si="174"/>
        <v>0</v>
      </c>
      <c r="Y959">
        <f t="shared" si="175"/>
        <v>0</v>
      </c>
      <c r="AB959">
        <f t="shared" si="178"/>
        <v>1</v>
      </c>
      <c r="AC959">
        <f t="shared" ca="1" si="179"/>
        <v>0</v>
      </c>
      <c r="AD959" t="str">
        <f ca="1">IF(AC959=1,COUNTIF($AC$3:AC959,1),"")</f>
        <v/>
      </c>
      <c r="AE959" s="155" t="str">
        <f ca="1">IFERROR(INDEX(Données!$B$3:$B$1479,MATCH(ROWS($AD$3:AD959),$AD$3:$AD$1479,0)),"")</f>
        <v/>
      </c>
    </row>
    <row r="960" spans="1:31" ht="15.75" x14ac:dyDescent="0.25">
      <c r="A960" t="str">
        <f t="shared" si="176"/>
        <v>Anthony Duclair - OTT - AG, AD</v>
      </c>
      <c r="B960" t="str">
        <f t="shared" si="177"/>
        <v>Anthony Duclair - OTT - AG, AD</v>
      </c>
      <c r="C960" t="str">
        <f t="shared" si="168"/>
        <v>Anthony</v>
      </c>
      <c r="D960" t="str">
        <f t="shared" si="169"/>
        <v>Duclair</v>
      </c>
      <c r="E960" s="39" t="s">
        <v>1662</v>
      </c>
      <c r="F960" s="30" t="s">
        <v>27</v>
      </c>
      <c r="G960" s="35">
        <v>0</v>
      </c>
      <c r="H960" s="35" t="s">
        <v>2442</v>
      </c>
      <c r="I960" s="35" t="s">
        <v>2439</v>
      </c>
      <c r="J960" s="35">
        <v>23</v>
      </c>
      <c r="K960" s="35">
        <f>VALUE(COUNTIF(Validation!$A$2:$H$47,E960))</f>
        <v>0</v>
      </c>
      <c r="L960" s="361">
        <f t="shared" si="170"/>
        <v>1650000</v>
      </c>
      <c r="M960" s="361">
        <f t="shared" si="171"/>
        <v>0</v>
      </c>
      <c r="N960" s="358">
        <v>1650000</v>
      </c>
      <c r="O960" s="358" t="s">
        <v>8</v>
      </c>
      <c r="P960" s="358">
        <v>0</v>
      </c>
      <c r="Q960" s="358">
        <v>0</v>
      </c>
      <c r="R960" s="358">
        <v>0</v>
      </c>
      <c r="S960" s="358">
        <v>0</v>
      </c>
      <c r="T960" s="358">
        <v>0</v>
      </c>
      <c r="U960" s="35">
        <f t="shared" si="172"/>
        <v>1</v>
      </c>
      <c r="W960">
        <f t="shared" si="173"/>
        <v>1</v>
      </c>
      <c r="X960" s="35">
        <f t="shared" si="174"/>
        <v>0</v>
      </c>
      <c r="Y960">
        <f t="shared" si="175"/>
        <v>0</v>
      </c>
      <c r="AB960">
        <f t="shared" si="178"/>
        <v>1</v>
      </c>
      <c r="AC960">
        <f t="shared" ca="1" si="179"/>
        <v>0</v>
      </c>
      <c r="AD960" t="str">
        <f ca="1">IF(AC960=1,COUNTIF($AC$3:AC960,1),"")</f>
        <v/>
      </c>
      <c r="AE960" s="155" t="str">
        <f ca="1">IFERROR(INDEX(Données!$B$3:$B$1479,MATCH(ROWS($AD$3:AD960),$AD$3:$AD$1479,0)),"")</f>
        <v/>
      </c>
    </row>
    <row r="961" spans="1:31" ht="15.75" x14ac:dyDescent="0.25">
      <c r="A961" t="str">
        <f t="shared" si="176"/>
        <v>Joshua Norris - OTT - C</v>
      </c>
      <c r="B961" t="str">
        <f t="shared" si="177"/>
        <v>Joshua Norris - OTT - C</v>
      </c>
      <c r="C961" t="str">
        <f t="shared" si="168"/>
        <v>Joshua</v>
      </c>
      <c r="D961" t="str">
        <f t="shared" si="169"/>
        <v>Norris</v>
      </c>
      <c r="E961" s="39" t="s">
        <v>2653</v>
      </c>
      <c r="F961" s="30" t="s">
        <v>27</v>
      </c>
      <c r="G961" s="35" t="s">
        <v>386</v>
      </c>
      <c r="H961" s="35" t="s">
        <v>73</v>
      </c>
      <c r="I961" s="35" t="s">
        <v>2446</v>
      </c>
      <c r="J961" s="35">
        <v>20</v>
      </c>
      <c r="K961" s="35">
        <f>VALUE(COUNTIF(Validation!$A$2:$H$47,E961))</f>
        <v>0</v>
      </c>
      <c r="L961" s="361">
        <f t="shared" si="170"/>
        <v>1633333</v>
      </c>
      <c r="M961" s="361">
        <f t="shared" si="171"/>
        <v>1633333</v>
      </c>
      <c r="N961" s="358">
        <v>1633333</v>
      </c>
      <c r="O961" s="358">
        <v>1633333</v>
      </c>
      <c r="P961" s="358">
        <v>1633333</v>
      </c>
      <c r="Q961" s="358" t="s">
        <v>8</v>
      </c>
      <c r="R961" s="358">
        <v>0</v>
      </c>
      <c r="S961" s="358">
        <v>0</v>
      </c>
      <c r="T961" s="358">
        <v>0</v>
      </c>
      <c r="U961" s="35">
        <f t="shared" si="172"/>
        <v>3</v>
      </c>
      <c r="W961">
        <f t="shared" si="173"/>
        <v>1</v>
      </c>
      <c r="X961" s="35">
        <f t="shared" si="174"/>
        <v>1</v>
      </c>
      <c r="Y961">
        <f t="shared" si="175"/>
        <v>1</v>
      </c>
      <c r="AB961">
        <f t="shared" si="178"/>
        <v>1</v>
      </c>
      <c r="AC961">
        <f t="shared" ca="1" si="179"/>
        <v>0</v>
      </c>
      <c r="AD961" t="str">
        <f ca="1">IF(AC961=1,COUNTIF($AC$3:AC961,1),"")</f>
        <v/>
      </c>
      <c r="AE961" s="155" t="str">
        <f ca="1">IFERROR(INDEX(Données!$B$3:$B$1479,MATCH(ROWS($AD$3:AD961),$AD$3:$AD$1479,0)),"")</f>
        <v/>
      </c>
    </row>
    <row r="962" spans="1:31" ht="15.75" x14ac:dyDescent="0.25">
      <c r="A962" t="str">
        <f t="shared" si="176"/>
        <v>Logan Brown - OTT - C</v>
      </c>
      <c r="B962" t="str">
        <f t="shared" si="177"/>
        <v>Logan Brown - OTT - C</v>
      </c>
      <c r="C962" t="str">
        <f t="shared" si="168"/>
        <v>Logan</v>
      </c>
      <c r="D962" t="str">
        <f t="shared" si="169"/>
        <v>Brown</v>
      </c>
      <c r="E962" s="39" t="s">
        <v>1532</v>
      </c>
      <c r="F962" s="30" t="s">
        <v>27</v>
      </c>
      <c r="G962" s="35" t="s">
        <v>386</v>
      </c>
      <c r="H962" s="35" t="s">
        <v>73</v>
      </c>
      <c r="I962" s="35" t="s">
        <v>2439</v>
      </c>
      <c r="J962" s="35">
        <v>21</v>
      </c>
      <c r="K962" s="35">
        <f>VALUE(COUNTIF(Validation!$A$2:$H$47,E962))</f>
        <v>0</v>
      </c>
      <c r="L962" s="361">
        <f t="shared" si="170"/>
        <v>1573333</v>
      </c>
      <c r="M962" s="361">
        <f t="shared" si="171"/>
        <v>1573333</v>
      </c>
      <c r="N962" s="358">
        <v>1573333</v>
      </c>
      <c r="O962" s="358">
        <v>1573333</v>
      </c>
      <c r="P962" s="358" t="s">
        <v>8</v>
      </c>
      <c r="Q962" s="358">
        <v>0</v>
      </c>
      <c r="R962" s="358">
        <v>0</v>
      </c>
      <c r="S962" s="358">
        <v>0</v>
      </c>
      <c r="T962" s="358">
        <v>0</v>
      </c>
      <c r="U962" s="35">
        <f t="shared" si="172"/>
        <v>2</v>
      </c>
      <c r="W962">
        <f t="shared" si="173"/>
        <v>1</v>
      </c>
      <c r="X962" s="35">
        <f t="shared" si="174"/>
        <v>1</v>
      </c>
      <c r="Y962">
        <f t="shared" si="175"/>
        <v>1</v>
      </c>
      <c r="AB962">
        <f t="shared" si="178"/>
        <v>1</v>
      </c>
      <c r="AC962">
        <f t="shared" ca="1" si="179"/>
        <v>0</v>
      </c>
      <c r="AD962" t="str">
        <f ca="1">IF(AC962=1,COUNTIF($AC$3:AC962,1),"")</f>
        <v/>
      </c>
      <c r="AE962" s="155" t="str">
        <f ca="1">IFERROR(INDEX(Données!$B$3:$B$1479,MATCH(ROWS($AD$3:AD962),$AD$3:$AD$1479,0)),"")</f>
        <v/>
      </c>
    </row>
    <row r="963" spans="1:31" ht="15.75" x14ac:dyDescent="0.25">
      <c r="A963" t="str">
        <f t="shared" si="176"/>
        <v>Lassi Thomson - OTT - DD</v>
      </c>
      <c r="B963" t="str">
        <f t="shared" si="177"/>
        <v>Lassi Thomson - OTT - DD</v>
      </c>
      <c r="C963" t="str">
        <f t="shared" ref="C963:C1026" si="180">RIGHT(E963,(LEN(E963)-1)-SEARCH(",",E963,1))</f>
        <v>Lassi</v>
      </c>
      <c r="D963" t="str">
        <f t="shared" ref="D963:D1026" si="181">LEFT(E963,SEARCH(",",E963,1)-1)</f>
        <v>Thomson</v>
      </c>
      <c r="E963" s="39" t="s">
        <v>2755</v>
      </c>
      <c r="F963" s="30" t="s">
        <v>27</v>
      </c>
      <c r="G963" s="35" t="s">
        <v>386</v>
      </c>
      <c r="H963" s="35" t="s">
        <v>2444</v>
      </c>
      <c r="I963" s="35" t="s">
        <v>2446</v>
      </c>
      <c r="J963" s="35">
        <v>18</v>
      </c>
      <c r="K963" s="35">
        <f>VALUE(COUNTIF(Validation!$A$2:$H$47,E963))</f>
        <v>0</v>
      </c>
      <c r="L963" s="361">
        <f t="shared" ref="L963:L1026" si="182">IF(OR(N963="RFA",N963="UFA",N963="",N963=0),0,N963)</f>
        <v>1350000</v>
      </c>
      <c r="M963" s="361">
        <f t="shared" ref="M963:M1026" si="183">IF(OR(O963="RFA",O963="UFA",O963="",O963=0),0,O963)</f>
        <v>1350000</v>
      </c>
      <c r="N963" s="358">
        <v>1350000</v>
      </c>
      <c r="O963" s="358">
        <v>1350000</v>
      </c>
      <c r="P963" s="358">
        <v>1350000</v>
      </c>
      <c r="Q963" s="358" t="s">
        <v>8</v>
      </c>
      <c r="R963" s="358">
        <v>0</v>
      </c>
      <c r="S963" s="358">
        <v>0</v>
      </c>
      <c r="T963" s="358">
        <v>0</v>
      </c>
      <c r="U963" s="35">
        <f t="shared" ref="U963:U1023" si="184">COUNTIF(N963:T963,"&gt;0")</f>
        <v>3</v>
      </c>
      <c r="W963">
        <f t="shared" ref="W963:W1026" si="185">COUNTIF($E$3:$E$1479,E963)</f>
        <v>1</v>
      </c>
      <c r="X963" s="35">
        <f t="shared" si="174"/>
        <v>1</v>
      </c>
      <c r="Y963">
        <f t="shared" si="175"/>
        <v>1</v>
      </c>
      <c r="AB963">
        <f t="shared" si="178"/>
        <v>1</v>
      </c>
      <c r="AC963">
        <f t="shared" ca="1" si="179"/>
        <v>0</v>
      </c>
      <c r="AD963" t="str">
        <f ca="1">IF(AC963=1,COUNTIF($AC$3:AC963,1),"")</f>
        <v/>
      </c>
      <c r="AE963" s="155" t="str">
        <f ca="1">IFERROR(INDEX(Données!$B$3:$B$1479,MATCH(ROWS($AD$3:AD963),$AD$3:$AD$1479,0)),"")</f>
        <v/>
      </c>
    </row>
    <row r="964" spans="1:31" ht="15.75" x14ac:dyDescent="0.25">
      <c r="A964" t="str">
        <f t="shared" ref="A964:A1027" si="186">C964&amp;" "&amp;D964&amp;" - "&amp;F964&amp;" - "&amp;H964</f>
        <v>Max Veronneau - OTT - AD</v>
      </c>
      <c r="B964" t="str">
        <f t="shared" ref="B964:B1027" si="187">A964</f>
        <v>Max Veronneau - OTT - AD</v>
      </c>
      <c r="C964" t="str">
        <f t="shared" si="180"/>
        <v>Max</v>
      </c>
      <c r="D964" t="str">
        <f t="shared" si="181"/>
        <v>Veronneau</v>
      </c>
      <c r="E964" s="39" t="s">
        <v>2652</v>
      </c>
      <c r="F964" s="30" t="s">
        <v>27</v>
      </c>
      <c r="G964" s="35" t="s">
        <v>386</v>
      </c>
      <c r="H964" s="35" t="s">
        <v>2438</v>
      </c>
      <c r="I964" s="35" t="s">
        <v>2439</v>
      </c>
      <c r="J964" s="35">
        <v>23</v>
      </c>
      <c r="K964" s="35">
        <f>VALUE(COUNTIF(Validation!$A$2:$H$47,E964))</f>
        <v>0</v>
      </c>
      <c r="L964" s="361">
        <f t="shared" si="182"/>
        <v>1350000</v>
      </c>
      <c r="M964" s="361">
        <f t="shared" si="183"/>
        <v>0</v>
      </c>
      <c r="N964" s="358">
        <v>1350000</v>
      </c>
      <c r="O964" s="358" t="s">
        <v>8</v>
      </c>
      <c r="P964" s="358">
        <v>0</v>
      </c>
      <c r="Q964" s="358">
        <v>0</v>
      </c>
      <c r="R964" s="358">
        <v>0</v>
      </c>
      <c r="S964" s="358">
        <v>0</v>
      </c>
      <c r="T964" s="358">
        <v>0</v>
      </c>
      <c r="U964" s="35">
        <f t="shared" si="184"/>
        <v>1</v>
      </c>
      <c r="W964">
        <f t="shared" si="185"/>
        <v>1</v>
      </c>
      <c r="X964" s="35">
        <f t="shared" ref="X964:X1024" si="188">IF(LEFT(G964,3)="ELC",1,0)</f>
        <v>1</v>
      </c>
      <c r="Y964">
        <f t="shared" ref="Y964:Y1024" si="189">IF(L964=M964,1,0)</f>
        <v>0</v>
      </c>
      <c r="AB964">
        <f t="shared" ref="AB964:AB1027" si="190">SEARCH(AA964,A964)</f>
        <v>1</v>
      </c>
      <c r="AC964">
        <f t="shared" ca="1" si="179"/>
        <v>0</v>
      </c>
      <c r="AD964" t="str">
        <f ca="1">IF(AC964=1,COUNTIF($AC$3:AC964,1),"")</f>
        <v/>
      </c>
      <c r="AE964" s="155" t="str">
        <f ca="1">IFERROR(INDEX(Données!$B$3:$B$1479,MATCH(ROWS($AD$3:AD964),$AD$3:$AD$1479,0)),"")</f>
        <v/>
      </c>
    </row>
    <row r="965" spans="1:31" ht="15.75" x14ac:dyDescent="0.25">
      <c r="A965" t="str">
        <f t="shared" si="186"/>
        <v>Erik Brannstrom - OTT - DG</v>
      </c>
      <c r="B965" t="str">
        <f t="shared" si="187"/>
        <v>Erik Brannstrom - OTT - DG</v>
      </c>
      <c r="C965" t="str">
        <f t="shared" si="180"/>
        <v>Erik</v>
      </c>
      <c r="D965" t="str">
        <f t="shared" si="181"/>
        <v>Brannstrom</v>
      </c>
      <c r="E965" s="39" t="s">
        <v>2871</v>
      </c>
      <c r="F965" s="30" t="s">
        <v>27</v>
      </c>
      <c r="G965" s="35" t="s">
        <v>386</v>
      </c>
      <c r="H965" s="35" t="s">
        <v>2445</v>
      </c>
      <c r="I965" s="35" t="s">
        <v>2446</v>
      </c>
      <c r="J965" s="35">
        <v>19</v>
      </c>
      <c r="K965" s="35">
        <f>VALUE(COUNTIF(Validation!$A$2:$H$47,E965))</f>
        <v>0</v>
      </c>
      <c r="L965" s="361">
        <f t="shared" si="182"/>
        <v>1313333</v>
      </c>
      <c r="M965" s="361">
        <f t="shared" si="183"/>
        <v>1313333</v>
      </c>
      <c r="N965" s="358">
        <v>1313333</v>
      </c>
      <c r="O965" s="358">
        <v>1313333</v>
      </c>
      <c r="P965" s="358">
        <v>1313333</v>
      </c>
      <c r="Q965" s="358" t="s">
        <v>8</v>
      </c>
      <c r="R965" s="358">
        <v>0</v>
      </c>
      <c r="S965" s="358">
        <v>0</v>
      </c>
      <c r="T965" s="358">
        <v>0</v>
      </c>
      <c r="U965" s="35">
        <f t="shared" si="184"/>
        <v>3</v>
      </c>
      <c r="W965">
        <f t="shared" si="185"/>
        <v>1</v>
      </c>
      <c r="X965" s="35">
        <f t="shared" si="188"/>
        <v>1</v>
      </c>
      <c r="Y965">
        <f t="shared" si="189"/>
        <v>1</v>
      </c>
      <c r="AB965">
        <f t="shared" si="190"/>
        <v>1</v>
      </c>
      <c r="AC965">
        <f t="shared" ref="AC965:AC1028" ca="1" si="191">IFERROR(SEARCH(INDIRECT(CELL("adresse")),B965,1),0)</f>
        <v>0</v>
      </c>
      <c r="AD965" t="str">
        <f ca="1">IF(AC965=1,COUNTIF($AC$3:AC965,1),"")</f>
        <v/>
      </c>
      <c r="AE965" s="155" t="str">
        <f ca="1">IFERROR(INDEX(Données!$B$3:$B$1479,MATCH(ROWS($AD$3:AD965),$AD$3:$AD$1479,0)),"")</f>
        <v/>
      </c>
    </row>
    <row r="966" spans="1:31" ht="15.75" x14ac:dyDescent="0.25">
      <c r="A966" t="str">
        <f t="shared" si="186"/>
        <v>Thomas Chabot - OTT - DG</v>
      </c>
      <c r="B966" t="str">
        <f t="shared" si="187"/>
        <v>Thomas Chabot - OTT - DG</v>
      </c>
      <c r="C966" t="str">
        <f t="shared" si="180"/>
        <v>Thomas</v>
      </c>
      <c r="D966" t="str">
        <f t="shared" si="181"/>
        <v>Chabot</v>
      </c>
      <c r="E966" s="39" t="s">
        <v>1527</v>
      </c>
      <c r="F966" s="30" t="s">
        <v>27</v>
      </c>
      <c r="G966" s="35" t="s">
        <v>386</v>
      </c>
      <c r="H966" s="35" t="s">
        <v>2445</v>
      </c>
      <c r="I966" s="35" t="s">
        <v>2439</v>
      </c>
      <c r="J966" s="35">
        <v>22</v>
      </c>
      <c r="K966" s="35">
        <f>VALUE(COUNTIF(Validation!$A$2:$H$47,E966))</f>
        <v>0</v>
      </c>
      <c r="L966" s="361">
        <f t="shared" si="182"/>
        <v>1223333</v>
      </c>
      <c r="M966" s="361">
        <f t="shared" si="183"/>
        <v>0</v>
      </c>
      <c r="N966" s="358">
        <v>1223333</v>
      </c>
      <c r="O966" s="358" t="s">
        <v>8</v>
      </c>
      <c r="P966" s="358">
        <v>0</v>
      </c>
      <c r="Q966" s="358">
        <v>0</v>
      </c>
      <c r="R966" s="358">
        <v>0</v>
      </c>
      <c r="S966" s="358">
        <v>0</v>
      </c>
      <c r="T966" s="358">
        <v>0</v>
      </c>
      <c r="U966" s="35">
        <f t="shared" si="184"/>
        <v>1</v>
      </c>
      <c r="W966">
        <f t="shared" si="185"/>
        <v>1</v>
      </c>
      <c r="X966" s="35">
        <f t="shared" si="188"/>
        <v>1</v>
      </c>
      <c r="Y966">
        <f t="shared" si="189"/>
        <v>0</v>
      </c>
      <c r="AB966">
        <f t="shared" si="190"/>
        <v>1</v>
      </c>
      <c r="AC966">
        <f t="shared" ca="1" si="191"/>
        <v>0</v>
      </c>
      <c r="AD966" t="str">
        <f ca="1">IF(AC966=1,COUNTIF($AC$3:AC966,1),"")</f>
        <v/>
      </c>
      <c r="AE966" s="155" t="str">
        <f ca="1">IFERROR(INDEX(Données!$B$3:$B$1479,MATCH(ROWS($AD$3:AD966),$AD$3:$AD$1479,0)),"")</f>
        <v/>
      </c>
    </row>
    <row r="967" spans="1:31" ht="15.75" x14ac:dyDescent="0.25">
      <c r="A967" t="str">
        <f t="shared" si="186"/>
        <v>Mark Borowiecki - OTT - DG</v>
      </c>
      <c r="B967" t="str">
        <f t="shared" si="187"/>
        <v>Mark Borowiecki - OTT - DG</v>
      </c>
      <c r="C967" t="str">
        <f t="shared" si="180"/>
        <v>Mark</v>
      </c>
      <c r="D967" t="str">
        <f t="shared" si="181"/>
        <v>Borowiecki</v>
      </c>
      <c r="E967" s="39" t="s">
        <v>2945</v>
      </c>
      <c r="F967" s="30" t="s">
        <v>27</v>
      </c>
      <c r="G967" s="35">
        <v>0</v>
      </c>
      <c r="H967" s="35" t="s">
        <v>2445</v>
      </c>
      <c r="I967" s="35" t="s">
        <v>2439</v>
      </c>
      <c r="J967" s="35">
        <v>30</v>
      </c>
      <c r="K967" s="35">
        <f>VALUE(COUNTIF(Validation!$A$2:$H$47,E967))</f>
        <v>0</v>
      </c>
      <c r="L967" s="361">
        <f t="shared" si="182"/>
        <v>1200000</v>
      </c>
      <c r="M967" s="361">
        <f t="shared" si="183"/>
        <v>0</v>
      </c>
      <c r="N967" s="358">
        <v>1200000</v>
      </c>
      <c r="O967" s="358" t="s">
        <v>7</v>
      </c>
      <c r="P967" s="358">
        <v>0</v>
      </c>
      <c r="Q967" s="358">
        <v>0</v>
      </c>
      <c r="R967" s="358">
        <v>0</v>
      </c>
      <c r="S967" s="358">
        <v>0</v>
      </c>
      <c r="T967" s="358">
        <v>0</v>
      </c>
      <c r="U967" s="35">
        <f t="shared" si="184"/>
        <v>1</v>
      </c>
      <c r="W967">
        <f t="shared" si="185"/>
        <v>1</v>
      </c>
      <c r="X967" s="35">
        <f t="shared" si="188"/>
        <v>0</v>
      </c>
      <c r="Y967">
        <f t="shared" si="189"/>
        <v>0</v>
      </c>
      <c r="AB967">
        <f t="shared" si="190"/>
        <v>1</v>
      </c>
      <c r="AC967">
        <f t="shared" ca="1" si="191"/>
        <v>0</v>
      </c>
      <c r="AD967" t="str">
        <f ca="1">IF(AC967=1,COUNTIF($AC$3:AC967,1),"")</f>
        <v/>
      </c>
      <c r="AE967" s="155" t="str">
        <f ca="1">IFERROR(INDEX(Données!$B$3:$B$1479,MATCH(ROWS($AD$3:AD967),$AD$3:$AD$1479,0)),"")</f>
        <v/>
      </c>
    </row>
    <row r="968" spans="1:31" ht="15.75" x14ac:dyDescent="0.25">
      <c r="A968" t="str">
        <f t="shared" si="186"/>
        <v>Olle Alsing - OTT - DG</v>
      </c>
      <c r="B968" t="str">
        <f t="shared" si="187"/>
        <v>Olle Alsing - OTT - DG</v>
      </c>
      <c r="C968" t="str">
        <f t="shared" si="180"/>
        <v>Olle</v>
      </c>
      <c r="D968" t="str">
        <f t="shared" si="181"/>
        <v>Alsing</v>
      </c>
      <c r="E968" s="39" t="s">
        <v>2656</v>
      </c>
      <c r="F968" s="30" t="s">
        <v>27</v>
      </c>
      <c r="G968" s="35" t="s">
        <v>386</v>
      </c>
      <c r="H968" s="35" t="s">
        <v>2445</v>
      </c>
      <c r="I968" s="35" t="s">
        <v>2446</v>
      </c>
      <c r="J968" s="35">
        <v>23</v>
      </c>
      <c r="K968" s="35">
        <f>VALUE(COUNTIF(Validation!$A$2:$H$47,E968))</f>
        <v>0</v>
      </c>
      <c r="L968" s="361">
        <f t="shared" si="182"/>
        <v>925000</v>
      </c>
      <c r="M968" s="361">
        <f t="shared" si="183"/>
        <v>925000</v>
      </c>
      <c r="N968" s="358">
        <v>925000</v>
      </c>
      <c r="O968" s="358">
        <v>925000</v>
      </c>
      <c r="P968" s="358" t="s">
        <v>8</v>
      </c>
      <c r="Q968" s="358">
        <v>0</v>
      </c>
      <c r="R968" s="358">
        <v>0</v>
      </c>
      <c r="S968" s="358">
        <v>0</v>
      </c>
      <c r="T968" s="358">
        <v>0</v>
      </c>
      <c r="U968" s="35">
        <f t="shared" si="184"/>
        <v>2</v>
      </c>
      <c r="W968">
        <f t="shared" si="185"/>
        <v>1</v>
      </c>
      <c r="X968" s="35">
        <f t="shared" si="188"/>
        <v>1</v>
      </c>
      <c r="Y968">
        <f t="shared" si="189"/>
        <v>1</v>
      </c>
      <c r="AB968">
        <f t="shared" si="190"/>
        <v>1</v>
      </c>
      <c r="AC968">
        <f t="shared" ca="1" si="191"/>
        <v>0</v>
      </c>
      <c r="AD968" t="str">
        <f ca="1">IF(AC968=1,COUNTIF($AC$3:AC968,1),"")</f>
        <v/>
      </c>
      <c r="AE968" s="155" t="str">
        <f ca="1">IFERROR(INDEX(Données!$B$3:$B$1479,MATCH(ROWS($AD$3:AD968),$AD$3:$AD$1479,0)),"")</f>
        <v/>
      </c>
    </row>
    <row r="969" spans="1:31" ht="15.75" x14ac:dyDescent="0.25">
      <c r="A969" t="str">
        <f t="shared" si="186"/>
        <v>Rudolfs Balcers - OTT - AD, AG</v>
      </c>
      <c r="B969" t="str">
        <f t="shared" si="187"/>
        <v>Rudolfs Balcers - OTT - AD, AG</v>
      </c>
      <c r="C969" t="str">
        <f t="shared" si="180"/>
        <v>Rudolfs</v>
      </c>
      <c r="D969" t="str">
        <f t="shared" si="181"/>
        <v>Balcers</v>
      </c>
      <c r="E969" s="39" t="s">
        <v>2922</v>
      </c>
      <c r="F969" s="30" t="s">
        <v>27</v>
      </c>
      <c r="G969" s="35" t="s">
        <v>386</v>
      </c>
      <c r="H969" s="35" t="s">
        <v>2441</v>
      </c>
      <c r="I969" s="35" t="s">
        <v>2446</v>
      </c>
      <c r="J969" s="35">
        <v>22</v>
      </c>
      <c r="K969" s="35">
        <f>VALUE(COUNTIF(Validation!$A$2:$H$47,E969))</f>
        <v>0</v>
      </c>
      <c r="L969" s="361">
        <f t="shared" si="182"/>
        <v>925000</v>
      </c>
      <c r="M969" s="361">
        <f t="shared" si="183"/>
        <v>0</v>
      </c>
      <c r="N969" s="358">
        <v>925000</v>
      </c>
      <c r="O969" s="358" t="s">
        <v>8</v>
      </c>
      <c r="P969" s="358">
        <v>0</v>
      </c>
      <c r="Q969" s="358">
        <v>0</v>
      </c>
      <c r="R969" s="358">
        <v>0</v>
      </c>
      <c r="S969" s="358">
        <v>0</v>
      </c>
      <c r="T969" s="358">
        <v>0</v>
      </c>
      <c r="U969" s="35">
        <f t="shared" si="184"/>
        <v>1</v>
      </c>
      <c r="W969">
        <f t="shared" si="185"/>
        <v>1</v>
      </c>
      <c r="X969" s="35">
        <f t="shared" si="188"/>
        <v>1</v>
      </c>
      <c r="Y969">
        <f t="shared" si="189"/>
        <v>0</v>
      </c>
      <c r="AB969">
        <f t="shared" si="190"/>
        <v>1</v>
      </c>
      <c r="AC969">
        <f t="shared" ca="1" si="191"/>
        <v>0</v>
      </c>
      <c r="AD969" t="str">
        <f ca="1">IF(AC969=1,COUNTIF($AC$3:AC969,1),"")</f>
        <v/>
      </c>
      <c r="AE969" s="155" t="str">
        <f ca="1">IFERROR(INDEX(Données!$B$3:$B$1479,MATCH(ROWS($AD$3:AD969),$AD$3:$AD$1479,0)),"")</f>
        <v/>
      </c>
    </row>
    <row r="970" spans="1:31" ht="15.75" x14ac:dyDescent="0.25">
      <c r="A970" t="str">
        <f t="shared" si="186"/>
        <v>Joey Daccord - OTT - G</v>
      </c>
      <c r="B970" t="str">
        <f t="shared" si="187"/>
        <v>Joey Daccord - OTT - G</v>
      </c>
      <c r="C970" t="str">
        <f t="shared" si="180"/>
        <v>Joey</v>
      </c>
      <c r="D970" t="str">
        <f t="shared" si="181"/>
        <v>Daccord</v>
      </c>
      <c r="E970" s="39" t="s">
        <v>2658</v>
      </c>
      <c r="F970" s="30" t="s">
        <v>27</v>
      </c>
      <c r="G970" s="35" t="s">
        <v>386</v>
      </c>
      <c r="H970" s="35" t="s">
        <v>127</v>
      </c>
      <c r="I970" s="35" t="s">
        <v>2446</v>
      </c>
      <c r="J970" s="35">
        <v>22</v>
      </c>
      <c r="K970" s="35">
        <f>VALUE(COUNTIF(Validation!$A$2:$H$47,E970))</f>
        <v>0</v>
      </c>
      <c r="L970" s="361">
        <f t="shared" si="182"/>
        <v>925000</v>
      </c>
      <c r="M970" s="361">
        <f t="shared" si="183"/>
        <v>0</v>
      </c>
      <c r="N970" s="358">
        <v>925000</v>
      </c>
      <c r="O970" s="358" t="s">
        <v>8</v>
      </c>
      <c r="P970" s="358">
        <v>0</v>
      </c>
      <c r="Q970" s="358">
        <v>0</v>
      </c>
      <c r="R970" s="358">
        <v>0</v>
      </c>
      <c r="S970" s="358">
        <v>0</v>
      </c>
      <c r="T970" s="358">
        <v>0</v>
      </c>
      <c r="U970" s="35">
        <f t="shared" si="184"/>
        <v>1</v>
      </c>
      <c r="W970">
        <f t="shared" si="185"/>
        <v>1</v>
      </c>
      <c r="X970" s="35">
        <f t="shared" si="188"/>
        <v>1</v>
      </c>
      <c r="Y970">
        <f t="shared" si="189"/>
        <v>0</v>
      </c>
      <c r="AB970">
        <f t="shared" si="190"/>
        <v>1</v>
      </c>
      <c r="AC970">
        <f t="shared" ca="1" si="191"/>
        <v>0</v>
      </c>
      <c r="AD970" t="str">
        <f ca="1">IF(AC970=1,COUNTIF($AC$3:AC970,1),"")</f>
        <v/>
      </c>
      <c r="AE970" s="155" t="str">
        <f ca="1">IFERROR(INDEX(Données!$B$3:$B$1479,MATCH(ROWS($AD$3:AD970),$AD$3:$AD$1479,0)),"")</f>
        <v/>
      </c>
    </row>
    <row r="971" spans="1:31" ht="15.75" x14ac:dyDescent="0.25">
      <c r="A971" t="str">
        <f t="shared" si="186"/>
        <v>Andrew Sturtz - OTT - AD</v>
      </c>
      <c r="B971" t="str">
        <f t="shared" si="187"/>
        <v>Andrew Sturtz - OTT - AD</v>
      </c>
      <c r="C971" t="str">
        <f t="shared" si="180"/>
        <v>Andrew</v>
      </c>
      <c r="D971" t="str">
        <f t="shared" si="181"/>
        <v>Sturtz</v>
      </c>
      <c r="E971" s="39" t="s">
        <v>1534</v>
      </c>
      <c r="F971" s="30" t="s">
        <v>27</v>
      </c>
      <c r="G971" s="35" t="s">
        <v>386</v>
      </c>
      <c r="H971" s="35" t="s">
        <v>2438</v>
      </c>
      <c r="I971" s="35" t="s">
        <v>2446</v>
      </c>
      <c r="J971" s="35">
        <v>24</v>
      </c>
      <c r="K971" s="35">
        <f>VALUE(COUNTIF(Validation!$A$2:$H$47,E971))</f>
        <v>0</v>
      </c>
      <c r="L971" s="361">
        <f t="shared" si="182"/>
        <v>925000</v>
      </c>
      <c r="M971" s="361">
        <f t="shared" si="183"/>
        <v>0</v>
      </c>
      <c r="N971" s="358">
        <v>925000</v>
      </c>
      <c r="O971" s="358" t="s">
        <v>8</v>
      </c>
      <c r="P971" s="358">
        <v>0</v>
      </c>
      <c r="Q971" s="358">
        <v>0</v>
      </c>
      <c r="R971" s="358">
        <v>0</v>
      </c>
      <c r="S971" s="358">
        <v>0</v>
      </c>
      <c r="T971" s="358">
        <v>0</v>
      </c>
      <c r="U971" s="35">
        <f t="shared" si="184"/>
        <v>1</v>
      </c>
      <c r="W971">
        <f t="shared" si="185"/>
        <v>1</v>
      </c>
      <c r="X971" s="35">
        <f t="shared" si="188"/>
        <v>1</v>
      </c>
      <c r="Y971">
        <f t="shared" si="189"/>
        <v>0</v>
      </c>
      <c r="AB971">
        <f t="shared" si="190"/>
        <v>1</v>
      </c>
      <c r="AC971">
        <f t="shared" ca="1" si="191"/>
        <v>0</v>
      </c>
      <c r="AD971" t="str">
        <f ca="1">IF(AC971=1,COUNTIF($AC$3:AC971,1),"")</f>
        <v/>
      </c>
      <c r="AE971" s="155" t="str">
        <f ca="1">IFERROR(INDEX(Données!$B$3:$B$1479,MATCH(ROWS($AD$3:AD971),$AD$3:$AD$1479,0)),"")</f>
        <v/>
      </c>
    </row>
    <row r="972" spans="1:31" ht="15.75" x14ac:dyDescent="0.25">
      <c r="A972" t="str">
        <f t="shared" si="186"/>
        <v>Filip Gustavsson - OTT - G</v>
      </c>
      <c r="B972" t="str">
        <f t="shared" si="187"/>
        <v>Filip Gustavsson - OTT - G</v>
      </c>
      <c r="C972" t="str">
        <f t="shared" si="180"/>
        <v>Filip</v>
      </c>
      <c r="D972" t="str">
        <f t="shared" si="181"/>
        <v>Gustavsson</v>
      </c>
      <c r="E972" s="39" t="s">
        <v>1535</v>
      </c>
      <c r="F972" s="30" t="s">
        <v>27</v>
      </c>
      <c r="G972" s="35" t="s">
        <v>386</v>
      </c>
      <c r="H972" s="9" t="s">
        <v>127</v>
      </c>
      <c r="I972" s="9" t="s">
        <v>2446</v>
      </c>
      <c r="J972" s="9">
        <v>21</v>
      </c>
      <c r="K972" s="35">
        <f>VALUE(COUNTIF(Validation!$A$2:$H$47,E972))</f>
        <v>0</v>
      </c>
      <c r="L972" s="361">
        <f t="shared" si="182"/>
        <v>910833</v>
      </c>
      <c r="M972" s="361">
        <f t="shared" si="183"/>
        <v>910833</v>
      </c>
      <c r="N972" s="358">
        <v>910833</v>
      </c>
      <c r="O972" s="358">
        <v>910833</v>
      </c>
      <c r="P972" s="358" t="s">
        <v>8</v>
      </c>
      <c r="Q972" s="358">
        <v>0</v>
      </c>
      <c r="R972" s="358">
        <v>0</v>
      </c>
      <c r="S972" s="358">
        <v>0</v>
      </c>
      <c r="T972" s="358">
        <v>0</v>
      </c>
      <c r="U972" s="35">
        <f t="shared" si="184"/>
        <v>2</v>
      </c>
      <c r="W972">
        <f t="shared" si="185"/>
        <v>1</v>
      </c>
      <c r="X972" s="35">
        <f t="shared" si="188"/>
        <v>1</v>
      </c>
      <c r="Y972">
        <f t="shared" si="189"/>
        <v>1</v>
      </c>
      <c r="AB972">
        <f t="shared" si="190"/>
        <v>1</v>
      </c>
      <c r="AC972">
        <f t="shared" ca="1" si="191"/>
        <v>0</v>
      </c>
      <c r="AD972" t="str">
        <f ca="1">IF(AC972=1,COUNTIF($AC$3:AC972,1),"")</f>
        <v/>
      </c>
      <c r="AE972" s="155" t="str">
        <f ca="1">IFERROR(INDEX(Données!$B$3:$B$1479,MATCH(ROWS($AD$3:AD972),$AD$3:$AD$1479,0)),"")</f>
        <v/>
      </c>
    </row>
    <row r="973" spans="1:31" ht="15.75" x14ac:dyDescent="0.25">
      <c r="A973" t="str">
        <f t="shared" si="186"/>
        <v>Dylan DeMelo - OTT - DD</v>
      </c>
      <c r="B973" t="str">
        <f t="shared" si="187"/>
        <v>Dylan DeMelo - OTT - DD</v>
      </c>
      <c r="C973" t="str">
        <f t="shared" si="180"/>
        <v>Dylan</v>
      </c>
      <c r="D973" t="str">
        <f t="shared" si="181"/>
        <v>DeMelo</v>
      </c>
      <c r="E973" s="39" t="s">
        <v>1526</v>
      </c>
      <c r="F973" s="30" t="s">
        <v>27</v>
      </c>
      <c r="G973" s="35">
        <v>0</v>
      </c>
      <c r="H973" s="35" t="s">
        <v>2444</v>
      </c>
      <c r="I973" s="35" t="s">
        <v>2439</v>
      </c>
      <c r="J973" s="35">
        <v>26</v>
      </c>
      <c r="K973" s="35">
        <f>VALUE(COUNTIF(Validation!$A$2:$H$47,E973))</f>
        <v>0</v>
      </c>
      <c r="L973" s="361">
        <f t="shared" si="182"/>
        <v>900000</v>
      </c>
      <c r="M973" s="361">
        <f t="shared" si="183"/>
        <v>0</v>
      </c>
      <c r="N973" s="358">
        <v>900000</v>
      </c>
      <c r="O973" s="358" t="s">
        <v>7</v>
      </c>
      <c r="P973" s="358">
        <v>0</v>
      </c>
      <c r="Q973" s="358">
        <v>0</v>
      </c>
      <c r="R973" s="358">
        <v>0</v>
      </c>
      <c r="S973" s="358">
        <v>0</v>
      </c>
      <c r="T973" s="358">
        <v>0</v>
      </c>
      <c r="U973" s="35">
        <f t="shared" si="184"/>
        <v>1</v>
      </c>
      <c r="W973">
        <f t="shared" si="185"/>
        <v>1</v>
      </c>
      <c r="X973" s="35">
        <f t="shared" si="188"/>
        <v>0</v>
      </c>
      <c r="Y973">
        <f t="shared" si="189"/>
        <v>0</v>
      </c>
      <c r="AB973">
        <f t="shared" si="190"/>
        <v>1</v>
      </c>
      <c r="AC973">
        <f t="shared" ca="1" si="191"/>
        <v>0</v>
      </c>
      <c r="AD973" t="str">
        <f ca="1">IF(AC973=1,COUNTIF($AC$3:AC973,1),"")</f>
        <v/>
      </c>
      <c r="AE973" s="155" t="str">
        <f ca="1">IFERROR(INDEX(Données!$B$3:$B$1479,MATCH(ROWS($AD$3:AD973),$AD$3:$AD$1479,0)),"")</f>
        <v/>
      </c>
    </row>
    <row r="974" spans="1:31" ht="15.75" x14ac:dyDescent="0.25">
      <c r="A974" t="str">
        <f t="shared" si="186"/>
        <v>Christian Wolanin - OTT - DG</v>
      </c>
      <c r="B974" t="str">
        <f t="shared" si="187"/>
        <v>Christian Wolanin - OTT - DG</v>
      </c>
      <c r="C974" t="str">
        <f t="shared" si="180"/>
        <v>Christian</v>
      </c>
      <c r="D974" t="str">
        <f t="shared" si="181"/>
        <v>Wolanin</v>
      </c>
      <c r="E974" s="39" t="s">
        <v>1525</v>
      </c>
      <c r="F974" s="30" t="s">
        <v>27</v>
      </c>
      <c r="G974" s="35">
        <v>0</v>
      </c>
      <c r="H974" s="35" t="s">
        <v>2445</v>
      </c>
      <c r="I974" s="35" t="s">
        <v>2439</v>
      </c>
      <c r="J974" s="35">
        <v>24</v>
      </c>
      <c r="K974" s="35">
        <f>VALUE(COUNTIF(Validation!$A$2:$H$47,E974))</f>
        <v>0</v>
      </c>
      <c r="L974" s="361">
        <f t="shared" si="182"/>
        <v>900000</v>
      </c>
      <c r="M974" s="361">
        <f t="shared" si="183"/>
        <v>900000</v>
      </c>
      <c r="N974" s="358">
        <v>900000</v>
      </c>
      <c r="O974" s="358">
        <v>900000</v>
      </c>
      <c r="P974" s="358" t="s">
        <v>8</v>
      </c>
      <c r="Q974" s="358">
        <v>0</v>
      </c>
      <c r="R974" s="358">
        <v>0</v>
      </c>
      <c r="S974" s="358">
        <v>0</v>
      </c>
      <c r="T974" s="358">
        <v>0</v>
      </c>
      <c r="U974" s="35">
        <f t="shared" si="184"/>
        <v>2</v>
      </c>
      <c r="W974">
        <f t="shared" si="185"/>
        <v>1</v>
      </c>
      <c r="X974" s="35">
        <f t="shared" si="188"/>
        <v>0</v>
      </c>
      <c r="Y974">
        <f t="shared" si="189"/>
        <v>1</v>
      </c>
      <c r="AB974">
        <f t="shared" si="190"/>
        <v>1</v>
      </c>
      <c r="AC974">
        <f t="shared" ca="1" si="191"/>
        <v>0</v>
      </c>
      <c r="AD974" t="str">
        <f ca="1">IF(AC974=1,COUNTIF($AC$3:AC974,1),"")</f>
        <v/>
      </c>
      <c r="AE974" s="155" t="str">
        <f ca="1">IFERROR(INDEX(Données!$B$3:$B$1479,MATCH(ROWS($AD$3:AD974),$AD$3:$AD$1479,0)),"")</f>
        <v/>
      </c>
    </row>
    <row r="975" spans="1:31" ht="15.75" x14ac:dyDescent="0.25">
      <c r="A975" t="str">
        <f t="shared" si="186"/>
        <v>Filip Chlapik - OTT - C</v>
      </c>
      <c r="B975" t="str">
        <f t="shared" si="187"/>
        <v>Filip Chlapik - OTT - C</v>
      </c>
      <c r="C975" t="str">
        <f t="shared" si="180"/>
        <v>Filip</v>
      </c>
      <c r="D975" t="str">
        <f t="shared" si="181"/>
        <v>Chlapik</v>
      </c>
      <c r="E975" s="39" t="s">
        <v>1541</v>
      </c>
      <c r="F975" s="30" t="s">
        <v>27</v>
      </c>
      <c r="G975" s="35" t="s">
        <v>386</v>
      </c>
      <c r="H975" s="35" t="s">
        <v>73</v>
      </c>
      <c r="I975" s="35" t="s">
        <v>2446</v>
      </c>
      <c r="J975" s="35">
        <v>22</v>
      </c>
      <c r="K975" s="35">
        <f>VALUE(COUNTIF(Validation!$A$2:$H$47,E975))</f>
        <v>0</v>
      </c>
      <c r="L975" s="361">
        <f t="shared" si="182"/>
        <v>894166</v>
      </c>
      <c r="M975" s="361">
        <f t="shared" si="183"/>
        <v>0</v>
      </c>
      <c r="N975" s="358">
        <v>894166</v>
      </c>
      <c r="O975" s="358" t="s">
        <v>8</v>
      </c>
      <c r="P975" s="358">
        <v>0</v>
      </c>
      <c r="Q975" s="358">
        <v>0</v>
      </c>
      <c r="R975" s="358">
        <v>0</v>
      </c>
      <c r="S975" s="358">
        <v>0</v>
      </c>
      <c r="T975" s="358">
        <v>0</v>
      </c>
      <c r="U975" s="35">
        <f t="shared" si="184"/>
        <v>1</v>
      </c>
      <c r="W975">
        <f t="shared" si="185"/>
        <v>1</v>
      </c>
      <c r="X975" s="35">
        <f t="shared" si="188"/>
        <v>1</v>
      </c>
      <c r="Y975">
        <f t="shared" si="189"/>
        <v>0</v>
      </c>
      <c r="AB975">
        <f t="shared" si="190"/>
        <v>1</v>
      </c>
      <c r="AC975">
        <f t="shared" ca="1" si="191"/>
        <v>0</v>
      </c>
      <c r="AD975" t="str">
        <f ca="1">IF(AC975=1,COUNTIF($AC$3:AC975,1),"")</f>
        <v/>
      </c>
      <c r="AE975" s="155" t="str">
        <f ca="1">IFERROR(INDEX(Données!$B$3:$B$1479,MATCH(ROWS($AD$3:AD975),$AD$3:$AD$1479,0)),"")</f>
        <v/>
      </c>
    </row>
    <row r="976" spans="1:31" ht="15.75" x14ac:dyDescent="0.25">
      <c r="A976" t="str">
        <f t="shared" si="186"/>
        <v>Alex Formenton - OTT - AG</v>
      </c>
      <c r="B976" t="str">
        <f t="shared" si="187"/>
        <v>Alex Formenton - OTT - AG</v>
      </c>
      <c r="C976" t="str">
        <f t="shared" si="180"/>
        <v>Alex</v>
      </c>
      <c r="D976" t="str">
        <f t="shared" si="181"/>
        <v>Formenton</v>
      </c>
      <c r="E976" s="39" t="s">
        <v>1538</v>
      </c>
      <c r="F976" s="30" t="s">
        <v>27</v>
      </c>
      <c r="G976" s="35" t="s">
        <v>386</v>
      </c>
      <c r="H976" s="35" t="s">
        <v>2440</v>
      </c>
      <c r="I976" s="35" t="s">
        <v>2446</v>
      </c>
      <c r="J976" s="35">
        <v>19</v>
      </c>
      <c r="K976" s="35">
        <f>VALUE(COUNTIF(Validation!$A$2:$H$47,E976))</f>
        <v>0</v>
      </c>
      <c r="L976" s="361">
        <f t="shared" si="182"/>
        <v>888333</v>
      </c>
      <c r="M976" s="361">
        <f t="shared" si="183"/>
        <v>888333</v>
      </c>
      <c r="N976" s="358">
        <v>888333</v>
      </c>
      <c r="O976" s="358">
        <v>888333</v>
      </c>
      <c r="P976" s="358">
        <v>888333</v>
      </c>
      <c r="Q976" s="358" t="s">
        <v>8</v>
      </c>
      <c r="R976" s="358">
        <v>0</v>
      </c>
      <c r="S976" s="358">
        <v>0</v>
      </c>
      <c r="T976" s="358">
        <v>0</v>
      </c>
      <c r="U976" s="35">
        <f t="shared" si="184"/>
        <v>3</v>
      </c>
      <c r="W976">
        <f t="shared" si="185"/>
        <v>1</v>
      </c>
      <c r="X976" s="35">
        <f t="shared" si="188"/>
        <v>1</v>
      </c>
      <c r="Y976">
        <f t="shared" si="189"/>
        <v>1</v>
      </c>
      <c r="AB976">
        <f t="shared" si="190"/>
        <v>1</v>
      </c>
      <c r="AC976">
        <f t="shared" ca="1" si="191"/>
        <v>0</v>
      </c>
      <c r="AD976" t="str">
        <f ca="1">IF(AC976=1,COUNTIF($AC$3:AC976,1),"")</f>
        <v/>
      </c>
      <c r="AE976" s="155" t="str">
        <f ca="1">IFERROR(INDEX(Données!$B$3:$B$1479,MATCH(ROWS($AD$3:AD976),$AD$3:$AD$1479,0)),"")</f>
        <v/>
      </c>
    </row>
    <row r="977" spans="1:31" ht="15.75" x14ac:dyDescent="0.25">
      <c r="A977" t="str">
        <f t="shared" si="186"/>
        <v>Vitaly Abramov - OTT - AG</v>
      </c>
      <c r="B977" t="str">
        <f t="shared" si="187"/>
        <v>Vitaly Abramov - OTT - AG</v>
      </c>
      <c r="C977" t="str">
        <f t="shared" si="180"/>
        <v>Vitaly</v>
      </c>
      <c r="D977" t="str">
        <f t="shared" si="181"/>
        <v>Abramov</v>
      </c>
      <c r="E977" s="39" t="s">
        <v>1683</v>
      </c>
      <c r="F977" s="30" t="s">
        <v>27</v>
      </c>
      <c r="G977" s="35" t="s">
        <v>386</v>
      </c>
      <c r="H977" s="9" t="s">
        <v>2440</v>
      </c>
      <c r="I977" s="9" t="s">
        <v>2446</v>
      </c>
      <c r="J977" s="9">
        <v>21</v>
      </c>
      <c r="K977" s="35">
        <f>VALUE(COUNTIF(Validation!$A$2:$H$47,E977))</f>
        <v>0</v>
      </c>
      <c r="L977" s="361">
        <f t="shared" si="182"/>
        <v>880000</v>
      </c>
      <c r="M977" s="361">
        <f t="shared" si="183"/>
        <v>880000</v>
      </c>
      <c r="N977" s="358">
        <v>880000</v>
      </c>
      <c r="O977" s="358">
        <v>880000</v>
      </c>
      <c r="P977" s="358" t="s">
        <v>8</v>
      </c>
      <c r="Q977" s="358">
        <v>0</v>
      </c>
      <c r="R977" s="358">
        <v>0</v>
      </c>
      <c r="S977" s="358">
        <v>0</v>
      </c>
      <c r="T977" s="358">
        <v>0</v>
      </c>
      <c r="U977" s="35">
        <f t="shared" si="184"/>
        <v>2</v>
      </c>
      <c r="W977">
        <f t="shared" si="185"/>
        <v>1</v>
      </c>
      <c r="X977" s="35">
        <f t="shared" si="188"/>
        <v>1</v>
      </c>
      <c r="Y977">
        <f t="shared" si="189"/>
        <v>1</v>
      </c>
      <c r="AB977">
        <f t="shared" si="190"/>
        <v>1</v>
      </c>
      <c r="AC977">
        <f t="shared" ca="1" si="191"/>
        <v>0</v>
      </c>
      <c r="AD977" t="str">
        <f ca="1">IF(AC977=1,COUNTIF($AC$3:AC977,1),"")</f>
        <v/>
      </c>
      <c r="AE977" s="155" t="str">
        <f ca="1">IFERROR(INDEX(Données!$B$3:$B$1479,MATCH(ROWS($AD$3:AD977),$AD$3:$AD$1479,0)),"")</f>
        <v/>
      </c>
    </row>
    <row r="978" spans="1:31" ht="15.75" x14ac:dyDescent="0.25">
      <c r="A978" t="str">
        <f t="shared" si="186"/>
        <v>Jonathan Davidsson - OTT - AD</v>
      </c>
      <c r="B978" t="str">
        <f t="shared" si="187"/>
        <v>Jonathan Davidsson - OTT - AD</v>
      </c>
      <c r="C978" t="str">
        <f t="shared" si="180"/>
        <v>Jonathan</v>
      </c>
      <c r="D978" t="str">
        <f t="shared" si="181"/>
        <v>Davidsson</v>
      </c>
      <c r="E978" s="39" t="s">
        <v>1679</v>
      </c>
      <c r="F978" s="30" t="s">
        <v>27</v>
      </c>
      <c r="G978" s="35" t="s">
        <v>386</v>
      </c>
      <c r="H978" s="35" t="s">
        <v>2438</v>
      </c>
      <c r="I978" s="35" t="s">
        <v>2446</v>
      </c>
      <c r="J978" s="35">
        <v>22</v>
      </c>
      <c r="K978" s="35">
        <f>VALUE(COUNTIF(Validation!$A$2:$H$47,E978))</f>
        <v>0</v>
      </c>
      <c r="L978" s="361">
        <f t="shared" si="182"/>
        <v>850000</v>
      </c>
      <c r="M978" s="361">
        <f t="shared" si="183"/>
        <v>850000</v>
      </c>
      <c r="N978" s="358">
        <v>850000</v>
      </c>
      <c r="O978" s="358">
        <v>850000</v>
      </c>
      <c r="P978" s="358" t="s">
        <v>8</v>
      </c>
      <c r="Q978" s="358">
        <v>0</v>
      </c>
      <c r="R978" s="358">
        <v>0</v>
      </c>
      <c r="S978" s="358">
        <v>0</v>
      </c>
      <c r="T978" s="358">
        <v>0</v>
      </c>
      <c r="U978" s="35">
        <f t="shared" si="184"/>
        <v>2</v>
      </c>
      <c r="W978">
        <f t="shared" si="185"/>
        <v>1</v>
      </c>
      <c r="X978" s="35">
        <f t="shared" si="188"/>
        <v>1</v>
      </c>
      <c r="Y978">
        <f t="shared" si="189"/>
        <v>1</v>
      </c>
      <c r="AB978">
        <f t="shared" si="190"/>
        <v>1</v>
      </c>
      <c r="AC978">
        <f t="shared" ca="1" si="191"/>
        <v>0</v>
      </c>
      <c r="AD978" t="str">
        <f ca="1">IF(AC978=1,COUNTIF($AC$3:AC978,1),"")</f>
        <v/>
      </c>
      <c r="AE978" s="155" t="str">
        <f ca="1">IFERROR(INDEX(Données!$B$3:$B$1479,MATCH(ROWS($AD$3:AD978),$AD$3:$AD$1479,0)),"")</f>
        <v/>
      </c>
    </row>
    <row r="979" spans="1:31" ht="15.75" x14ac:dyDescent="0.25">
      <c r="A979" t="str">
        <f t="shared" si="186"/>
        <v>Jonathan Gruden - OTT - AG</v>
      </c>
      <c r="B979" t="str">
        <f t="shared" si="187"/>
        <v>Jonathan Gruden - OTT - AG</v>
      </c>
      <c r="C979" t="str">
        <f t="shared" si="180"/>
        <v>Jonathan</v>
      </c>
      <c r="D979" t="str">
        <f t="shared" si="181"/>
        <v>Gruden</v>
      </c>
      <c r="E979" s="39" t="s">
        <v>2654</v>
      </c>
      <c r="F979" s="30" t="s">
        <v>27</v>
      </c>
      <c r="G979" s="35" t="s">
        <v>388</v>
      </c>
      <c r="H979" s="9" t="s">
        <v>2440</v>
      </c>
      <c r="I979" s="9" t="s">
        <v>389</v>
      </c>
      <c r="J979" s="9">
        <v>19</v>
      </c>
      <c r="K979" s="35">
        <f>VALUE(COUNTIF(Validation!$A$2:$H$47,E979))</f>
        <v>0</v>
      </c>
      <c r="L979" s="361">
        <f t="shared" si="182"/>
        <v>830000</v>
      </c>
      <c r="M979" s="361">
        <f t="shared" si="183"/>
        <v>830000</v>
      </c>
      <c r="N979" s="358">
        <v>830000</v>
      </c>
      <c r="O979" s="358">
        <v>830000</v>
      </c>
      <c r="P979" s="358">
        <v>830000</v>
      </c>
      <c r="Q979" s="358" t="s">
        <v>8</v>
      </c>
      <c r="R979" s="358">
        <v>0</v>
      </c>
      <c r="S979" s="358">
        <v>0</v>
      </c>
      <c r="T979" s="358">
        <v>0</v>
      </c>
      <c r="U979" s="35">
        <f t="shared" si="184"/>
        <v>3</v>
      </c>
      <c r="W979">
        <f t="shared" si="185"/>
        <v>1</v>
      </c>
      <c r="X979" s="35">
        <f t="shared" si="188"/>
        <v>1</v>
      </c>
      <c r="Y979">
        <f t="shared" si="189"/>
        <v>1</v>
      </c>
      <c r="AB979">
        <f t="shared" si="190"/>
        <v>1</v>
      </c>
      <c r="AC979">
        <f t="shared" ca="1" si="191"/>
        <v>0</v>
      </c>
      <c r="AD979" t="str">
        <f ca="1">IF(AC979=1,COUNTIF($AC$3:AC979,1),"")</f>
        <v/>
      </c>
      <c r="AE979" s="155" t="str">
        <f ca="1">IFERROR(INDEX(Données!$B$3:$B$1479,MATCH(ROWS($AD$3:AD979),$AD$3:$AD$1479,0)),"")</f>
        <v/>
      </c>
    </row>
    <row r="980" spans="1:31" ht="15.75" x14ac:dyDescent="0.25">
      <c r="A980" t="str">
        <f t="shared" si="186"/>
        <v>J.C. Beaudin - OTT - C, AD</v>
      </c>
      <c r="B980" t="str">
        <f t="shared" si="187"/>
        <v>J.C. Beaudin - OTT - C, AD</v>
      </c>
      <c r="C980" t="str">
        <f t="shared" si="180"/>
        <v>J.C.</v>
      </c>
      <c r="D980" t="str">
        <f t="shared" si="181"/>
        <v>Beaudin</v>
      </c>
      <c r="E980" s="39" t="s">
        <v>1941</v>
      </c>
      <c r="F980" s="30" t="s">
        <v>27</v>
      </c>
      <c r="G980" s="35" t="s">
        <v>386</v>
      </c>
      <c r="H980" s="35" t="s">
        <v>2448</v>
      </c>
      <c r="I980" s="35" t="s">
        <v>2446</v>
      </c>
      <c r="J980" s="35">
        <v>22</v>
      </c>
      <c r="K980" s="35">
        <f>VALUE(COUNTIF(Validation!$A$2:$H$47,E980))</f>
        <v>0</v>
      </c>
      <c r="L980" s="361">
        <f t="shared" si="182"/>
        <v>816667</v>
      </c>
      <c r="M980" s="361">
        <f t="shared" si="183"/>
        <v>0</v>
      </c>
      <c r="N980" s="358">
        <v>816667</v>
      </c>
      <c r="O980" s="358" t="s">
        <v>8</v>
      </c>
      <c r="P980" s="358">
        <v>0</v>
      </c>
      <c r="Q980" s="358">
        <v>0</v>
      </c>
      <c r="R980" s="358">
        <v>0</v>
      </c>
      <c r="S980" s="358">
        <v>0</v>
      </c>
      <c r="T980" s="358">
        <v>0</v>
      </c>
      <c r="U980" s="35">
        <f t="shared" si="184"/>
        <v>1</v>
      </c>
      <c r="W980">
        <f t="shared" si="185"/>
        <v>1</v>
      </c>
      <c r="X980" s="35">
        <f t="shared" si="188"/>
        <v>1</v>
      </c>
      <c r="Y980">
        <f t="shared" si="189"/>
        <v>0</v>
      </c>
      <c r="AB980">
        <f t="shared" si="190"/>
        <v>1</v>
      </c>
      <c r="AC980">
        <f t="shared" ca="1" si="191"/>
        <v>0</v>
      </c>
      <c r="AD980" t="str">
        <f ca="1">IF(AC980=1,COUNTIF($AC$3:AC980,1),"")</f>
        <v/>
      </c>
      <c r="AE980" s="155" t="str">
        <f ca="1">IFERROR(INDEX(Données!$B$3:$B$1479,MATCH(ROWS($AD$3:AD980),$AD$3:$AD$1479,0)),"")</f>
        <v/>
      </c>
    </row>
    <row r="981" spans="1:31" ht="15.75" x14ac:dyDescent="0.25">
      <c r="A981" t="str">
        <f t="shared" si="186"/>
        <v>Christian Jaros - OTT - DD</v>
      </c>
      <c r="B981" t="str">
        <f t="shared" si="187"/>
        <v>Christian Jaros - OTT - DD</v>
      </c>
      <c r="C981" t="str">
        <f t="shared" si="180"/>
        <v>Christian</v>
      </c>
      <c r="D981" t="str">
        <f t="shared" si="181"/>
        <v>Jaros</v>
      </c>
      <c r="E981" s="39" t="s">
        <v>1537</v>
      </c>
      <c r="F981" s="30" t="s">
        <v>27</v>
      </c>
      <c r="G981" s="35" t="s">
        <v>386</v>
      </c>
      <c r="H981" s="35" t="s">
        <v>2444</v>
      </c>
      <c r="I981" s="35" t="s">
        <v>2439</v>
      </c>
      <c r="J981" s="35">
        <v>23</v>
      </c>
      <c r="K981" s="35">
        <f>VALUE(COUNTIF(Validation!$A$2:$H$47,E981))</f>
        <v>0</v>
      </c>
      <c r="L981" s="361">
        <f t="shared" si="182"/>
        <v>801667</v>
      </c>
      <c r="M981" s="361">
        <f t="shared" si="183"/>
        <v>0</v>
      </c>
      <c r="N981" s="358">
        <v>801667</v>
      </c>
      <c r="O981" s="358" t="s">
        <v>8</v>
      </c>
      <c r="P981" s="358">
        <v>0</v>
      </c>
      <c r="Q981" s="358">
        <v>0</v>
      </c>
      <c r="R981" s="358">
        <v>0</v>
      </c>
      <c r="S981" s="358">
        <v>0</v>
      </c>
      <c r="T981" s="358">
        <v>0</v>
      </c>
      <c r="U981" s="35">
        <f t="shared" si="184"/>
        <v>1</v>
      </c>
      <c r="W981">
        <f t="shared" si="185"/>
        <v>1</v>
      </c>
      <c r="X981" s="35">
        <f t="shared" si="188"/>
        <v>1</v>
      </c>
      <c r="Y981">
        <f t="shared" si="189"/>
        <v>0</v>
      </c>
      <c r="AB981">
        <f t="shared" si="190"/>
        <v>1</v>
      </c>
      <c r="AC981">
        <f t="shared" ca="1" si="191"/>
        <v>0</v>
      </c>
      <c r="AD981" t="str">
        <f ca="1">IF(AC981=1,COUNTIF($AC$3:AC981,1),"")</f>
        <v/>
      </c>
      <c r="AE981" s="155" t="str">
        <f ca="1">IFERROR(INDEX(Données!$B$3:$B$1479,MATCH(ROWS($AD$3:AD981),$AD$3:$AD$1479,0)),"")</f>
        <v/>
      </c>
    </row>
    <row r="982" spans="1:31" ht="15.75" x14ac:dyDescent="0.25">
      <c r="A982" t="str">
        <f t="shared" si="186"/>
        <v>Tyler Ennis - OTT - C, AG, AD</v>
      </c>
      <c r="B982" t="str">
        <f t="shared" si="187"/>
        <v>Tyler Ennis - OTT - C, AG, AD</v>
      </c>
      <c r="C982" t="str">
        <f t="shared" si="180"/>
        <v>Tyler</v>
      </c>
      <c r="D982" t="str">
        <f t="shared" si="181"/>
        <v>Ennis</v>
      </c>
      <c r="E982" s="39" t="s">
        <v>1594</v>
      </c>
      <c r="F982" s="30" t="s">
        <v>27</v>
      </c>
      <c r="G982" s="35">
        <v>0</v>
      </c>
      <c r="H982" s="9" t="s">
        <v>2494</v>
      </c>
      <c r="I982" s="9" t="s">
        <v>2439</v>
      </c>
      <c r="J982" s="9">
        <v>29</v>
      </c>
      <c r="K982" s="35">
        <f>VALUE(COUNTIF(Validation!$A$2:$H$47,E982))</f>
        <v>0</v>
      </c>
      <c r="L982" s="361">
        <f t="shared" si="182"/>
        <v>800000</v>
      </c>
      <c r="M982" s="361">
        <f t="shared" si="183"/>
        <v>0</v>
      </c>
      <c r="N982" s="358">
        <v>800000</v>
      </c>
      <c r="O982" s="358" t="s">
        <v>7</v>
      </c>
      <c r="P982" s="358">
        <v>0</v>
      </c>
      <c r="Q982" s="358">
        <v>0</v>
      </c>
      <c r="R982" s="358">
        <v>0</v>
      </c>
      <c r="S982" s="358">
        <v>0</v>
      </c>
      <c r="T982" s="358">
        <v>0</v>
      </c>
      <c r="U982" s="35">
        <f t="shared" si="184"/>
        <v>1</v>
      </c>
      <c r="W982">
        <f t="shared" si="185"/>
        <v>1</v>
      </c>
      <c r="X982" s="35">
        <f t="shared" si="188"/>
        <v>0</v>
      </c>
      <c r="Y982">
        <f t="shared" si="189"/>
        <v>0</v>
      </c>
      <c r="AB982">
        <f t="shared" si="190"/>
        <v>1</v>
      </c>
      <c r="AC982">
        <f t="shared" ca="1" si="191"/>
        <v>0</v>
      </c>
      <c r="AD982" t="str">
        <f ca="1">IF(AC982=1,COUNTIF($AC$3:AC982,1),"")</f>
        <v/>
      </c>
      <c r="AE982" s="155" t="str">
        <f ca="1">IFERROR(INDEX(Données!$B$3:$B$1479,MATCH(ROWS($AD$3:AD982),$AD$3:$AD$1479,0)),"")</f>
        <v/>
      </c>
    </row>
    <row r="983" spans="1:31" ht="15.75" x14ac:dyDescent="0.25">
      <c r="A983" t="str">
        <f t="shared" si="186"/>
        <v>Cody Goloubef - OTT - DD</v>
      </c>
      <c r="B983" t="str">
        <f t="shared" si="187"/>
        <v>Cody Goloubef - OTT - DD</v>
      </c>
      <c r="C983" t="str">
        <f t="shared" si="180"/>
        <v>Cody</v>
      </c>
      <c r="D983" t="str">
        <f t="shared" si="181"/>
        <v>Goloubef</v>
      </c>
      <c r="E983" s="39" t="s">
        <v>1382</v>
      </c>
      <c r="F983" s="30" t="s">
        <v>27</v>
      </c>
      <c r="G983" s="35">
        <v>0</v>
      </c>
      <c r="H983" s="35" t="s">
        <v>2444</v>
      </c>
      <c r="I983" s="35" t="s">
        <v>2446</v>
      </c>
      <c r="J983" s="35">
        <v>29</v>
      </c>
      <c r="K983" s="35">
        <f>VALUE(COUNTIF(Validation!$A$2:$H$47,E983))</f>
        <v>0</v>
      </c>
      <c r="L983" s="361">
        <f t="shared" si="182"/>
        <v>800000</v>
      </c>
      <c r="M983" s="361">
        <f t="shared" si="183"/>
        <v>0</v>
      </c>
      <c r="N983" s="358">
        <v>800000</v>
      </c>
      <c r="O983" s="358" t="s">
        <v>7</v>
      </c>
      <c r="P983" s="358">
        <v>0</v>
      </c>
      <c r="Q983" s="358">
        <v>0</v>
      </c>
      <c r="R983" s="358">
        <v>0</v>
      </c>
      <c r="S983" s="358">
        <v>0</v>
      </c>
      <c r="T983" s="358">
        <v>0</v>
      </c>
      <c r="U983" s="35">
        <f t="shared" si="184"/>
        <v>1</v>
      </c>
      <c r="W983">
        <f t="shared" si="185"/>
        <v>1</v>
      </c>
      <c r="X983" s="35">
        <f t="shared" si="188"/>
        <v>0</v>
      </c>
      <c r="Y983">
        <f t="shared" si="189"/>
        <v>0</v>
      </c>
      <c r="AB983">
        <f t="shared" si="190"/>
        <v>1</v>
      </c>
      <c r="AC983">
        <f t="shared" ca="1" si="191"/>
        <v>0</v>
      </c>
      <c r="AD983" t="str">
        <f ca="1">IF(AC983=1,COUNTIF($AC$3:AC983,1),"")</f>
        <v/>
      </c>
      <c r="AE983" s="155" t="str">
        <f ca="1">IFERROR(INDEX(Données!$B$3:$B$1479,MATCH(ROWS($AD$3:AD983),$AD$3:$AD$1479,0)),"")</f>
        <v/>
      </c>
    </row>
    <row r="984" spans="1:31" ht="15.75" x14ac:dyDescent="0.25">
      <c r="A984" t="str">
        <f t="shared" si="186"/>
        <v>Jordan Szwarz - OTT - AD</v>
      </c>
      <c r="B984" t="str">
        <f t="shared" si="187"/>
        <v>Jordan Szwarz - OTT - AD</v>
      </c>
      <c r="C984" t="str">
        <f t="shared" si="180"/>
        <v>Jordan</v>
      </c>
      <c r="D984" t="str">
        <f t="shared" si="181"/>
        <v>Szwarz</v>
      </c>
      <c r="E984" s="39" t="s">
        <v>1381</v>
      </c>
      <c r="F984" s="35" t="s">
        <v>27</v>
      </c>
      <c r="G984" s="35">
        <v>0</v>
      </c>
      <c r="H984" s="35" t="s">
        <v>2438</v>
      </c>
      <c r="I984" s="35" t="s">
        <v>2446</v>
      </c>
      <c r="J984" s="35">
        <v>28</v>
      </c>
      <c r="K984" s="35">
        <f>VALUE(COUNTIF(Validation!$A$2:$H$47,E984))</f>
        <v>0</v>
      </c>
      <c r="L984" s="361">
        <f t="shared" si="182"/>
        <v>800000</v>
      </c>
      <c r="M984" s="361">
        <f t="shared" si="183"/>
        <v>0</v>
      </c>
      <c r="N984" s="358">
        <v>800000</v>
      </c>
      <c r="O984" s="358" t="s">
        <v>7</v>
      </c>
      <c r="P984" s="358">
        <v>0</v>
      </c>
      <c r="Q984" s="358">
        <v>0</v>
      </c>
      <c r="R984" s="358">
        <v>0</v>
      </c>
      <c r="S984" s="358">
        <v>0</v>
      </c>
      <c r="T984" s="358">
        <v>0</v>
      </c>
      <c r="U984" s="35">
        <f t="shared" si="184"/>
        <v>1</v>
      </c>
      <c r="W984">
        <f t="shared" si="185"/>
        <v>1</v>
      </c>
      <c r="X984" s="35">
        <f t="shared" si="188"/>
        <v>0</v>
      </c>
      <c r="Y984">
        <f t="shared" si="189"/>
        <v>0</v>
      </c>
      <c r="AB984">
        <f t="shared" si="190"/>
        <v>1</v>
      </c>
      <c r="AC984">
        <f t="shared" ca="1" si="191"/>
        <v>0</v>
      </c>
      <c r="AD984" t="str">
        <f ca="1">IF(AC984=1,COUNTIF($AC$3:AC984,1),"")</f>
        <v/>
      </c>
      <c r="AE984" s="155" t="str">
        <f ca="1">IFERROR(INDEX(Données!$B$3:$B$1479,MATCH(ROWS($AD$3:AD984),$AD$3:$AD$1479,0)),"")</f>
        <v/>
      </c>
    </row>
    <row r="985" spans="1:31" ht="15.75" x14ac:dyDescent="0.25">
      <c r="A985" t="str">
        <f t="shared" si="186"/>
        <v>Maxime Lajoie - OTT - DG</v>
      </c>
      <c r="B985" t="str">
        <f t="shared" si="187"/>
        <v>Maxime Lajoie - OTT - DG</v>
      </c>
      <c r="C985" t="str">
        <f t="shared" si="180"/>
        <v>Maxime</v>
      </c>
      <c r="D985" t="str">
        <f t="shared" si="181"/>
        <v>Lajoie</v>
      </c>
      <c r="E985" s="39" t="s">
        <v>1542</v>
      </c>
      <c r="F985" s="30" t="s">
        <v>27</v>
      </c>
      <c r="G985" s="35" t="s">
        <v>386</v>
      </c>
      <c r="H985" s="35" t="s">
        <v>2445</v>
      </c>
      <c r="I985" s="35" t="s">
        <v>2446</v>
      </c>
      <c r="J985" s="35">
        <v>21</v>
      </c>
      <c r="K985" s="35">
        <f>VALUE(COUNTIF(Validation!$A$2:$H$47,E985))</f>
        <v>0</v>
      </c>
      <c r="L985" s="361">
        <f t="shared" si="182"/>
        <v>780000</v>
      </c>
      <c r="M985" s="361">
        <f t="shared" si="183"/>
        <v>780000</v>
      </c>
      <c r="N985" s="358">
        <v>780000</v>
      </c>
      <c r="O985" s="358">
        <v>780000</v>
      </c>
      <c r="P985" s="358" t="s">
        <v>8</v>
      </c>
      <c r="Q985" s="358">
        <v>0</v>
      </c>
      <c r="R985" s="358">
        <v>0</v>
      </c>
      <c r="S985" s="358">
        <v>0</v>
      </c>
      <c r="T985" s="358">
        <v>0</v>
      </c>
      <c r="U985" s="35">
        <f t="shared" si="184"/>
        <v>2</v>
      </c>
      <c r="W985">
        <f t="shared" si="185"/>
        <v>1</v>
      </c>
      <c r="X985" s="35">
        <f t="shared" si="188"/>
        <v>1</v>
      </c>
      <c r="Y985">
        <f t="shared" si="189"/>
        <v>1</v>
      </c>
      <c r="AB985">
        <f t="shared" si="190"/>
        <v>1</v>
      </c>
      <c r="AC985">
        <f t="shared" ca="1" si="191"/>
        <v>0</v>
      </c>
      <c r="AD985" t="str">
        <f ca="1">IF(AC985=1,COUNTIF($AC$3:AC985,1),"")</f>
        <v/>
      </c>
      <c r="AE985" s="155" t="str">
        <f ca="1">IFERROR(INDEX(Données!$B$3:$B$1479,MATCH(ROWS($AD$3:AD985),$AD$3:$AD$1479,0)),"")</f>
        <v/>
      </c>
    </row>
    <row r="986" spans="1:31" ht="15.75" x14ac:dyDescent="0.25">
      <c r="A986" t="str">
        <f t="shared" si="186"/>
        <v>Drake Batherson - OTT - C</v>
      </c>
      <c r="B986" t="str">
        <f t="shared" si="187"/>
        <v>Drake Batherson - OTT - C</v>
      </c>
      <c r="C986" t="str">
        <f t="shared" si="180"/>
        <v>Drake</v>
      </c>
      <c r="D986" t="str">
        <f t="shared" si="181"/>
        <v>Batherson</v>
      </c>
      <c r="E986" s="39" t="s">
        <v>1540</v>
      </c>
      <c r="F986" s="30" t="s">
        <v>27</v>
      </c>
      <c r="G986" s="35" t="s">
        <v>386</v>
      </c>
      <c r="H986" s="35" t="s">
        <v>73</v>
      </c>
      <c r="I986" s="35" t="s">
        <v>2439</v>
      </c>
      <c r="J986" s="35">
        <v>21</v>
      </c>
      <c r="K986" s="35">
        <f>VALUE(COUNTIF(Validation!$A$2:$H$47,E986))</f>
        <v>0</v>
      </c>
      <c r="L986" s="361">
        <f t="shared" si="182"/>
        <v>773333</v>
      </c>
      <c r="M986" s="361">
        <f t="shared" si="183"/>
        <v>773333</v>
      </c>
      <c r="N986" s="358">
        <v>773333</v>
      </c>
      <c r="O986" s="358">
        <v>773333</v>
      </c>
      <c r="P986" s="358" t="s">
        <v>8</v>
      </c>
      <c r="Q986" s="358">
        <v>0</v>
      </c>
      <c r="R986" s="358">
        <v>0</v>
      </c>
      <c r="S986" s="358">
        <v>0</v>
      </c>
      <c r="T986" s="358">
        <v>0</v>
      </c>
      <c r="U986" s="35">
        <f t="shared" si="184"/>
        <v>2</v>
      </c>
      <c r="W986">
        <f t="shared" si="185"/>
        <v>1</v>
      </c>
      <c r="X986" s="35">
        <f t="shared" si="188"/>
        <v>1</v>
      </c>
      <c r="Y986">
        <f t="shared" si="189"/>
        <v>1</v>
      </c>
      <c r="AB986">
        <f t="shared" si="190"/>
        <v>1</v>
      </c>
      <c r="AC986">
        <f t="shared" ca="1" si="191"/>
        <v>0</v>
      </c>
      <c r="AD986" t="str">
        <f ca="1">IF(AC986=1,COUNTIF($AC$3:AC986,1),"")</f>
        <v/>
      </c>
      <c r="AE986" s="155" t="str">
        <f ca="1">IFERROR(INDEX(Données!$B$3:$B$1479,MATCH(ROWS($AD$3:AD986),$AD$3:$AD$1479,0)),"")</f>
        <v/>
      </c>
    </row>
    <row r="987" spans="1:31" ht="15.75" x14ac:dyDescent="0.25">
      <c r="A987" t="str">
        <f t="shared" si="186"/>
        <v>Nicholas Paul - OTT - C, AG</v>
      </c>
      <c r="B987" t="str">
        <f t="shared" si="187"/>
        <v>Nicholas Paul - OTT - C, AG</v>
      </c>
      <c r="C987" t="str">
        <f t="shared" si="180"/>
        <v>Nicholas</v>
      </c>
      <c r="D987" t="str">
        <f t="shared" si="181"/>
        <v>Paul</v>
      </c>
      <c r="E987" s="39" t="s">
        <v>1545</v>
      </c>
      <c r="F987" s="33" t="s">
        <v>27</v>
      </c>
      <c r="G987" s="35">
        <v>0</v>
      </c>
      <c r="H987" s="9" t="s">
        <v>2452</v>
      </c>
      <c r="I987" s="9" t="s">
        <v>2446</v>
      </c>
      <c r="J987" s="9">
        <v>24</v>
      </c>
      <c r="K987" s="35">
        <f>VALUE(COUNTIF(Validation!$A$2:$H$47,E987))</f>
        <v>0</v>
      </c>
      <c r="L987" s="361">
        <f t="shared" si="182"/>
        <v>750000</v>
      </c>
      <c r="M987" s="361">
        <f t="shared" si="183"/>
        <v>0</v>
      </c>
      <c r="N987" s="358">
        <v>750000</v>
      </c>
      <c r="O987" s="358" t="s">
        <v>8</v>
      </c>
      <c r="P987" s="358">
        <v>0</v>
      </c>
      <c r="Q987" s="358">
        <v>0</v>
      </c>
      <c r="R987" s="358">
        <v>0</v>
      </c>
      <c r="S987" s="358">
        <v>0</v>
      </c>
      <c r="T987" s="358">
        <v>0</v>
      </c>
      <c r="U987" s="35">
        <f t="shared" si="184"/>
        <v>1</v>
      </c>
      <c r="W987">
        <f t="shared" si="185"/>
        <v>1</v>
      </c>
      <c r="X987" s="35">
        <f t="shared" si="188"/>
        <v>0</v>
      </c>
      <c r="Y987">
        <f t="shared" si="189"/>
        <v>0</v>
      </c>
      <c r="AB987">
        <f t="shared" si="190"/>
        <v>1</v>
      </c>
      <c r="AC987">
        <f t="shared" ca="1" si="191"/>
        <v>0</v>
      </c>
      <c r="AD987" t="str">
        <f ca="1">IF(AC987=1,COUNTIF($AC$3:AC987,1),"")</f>
        <v/>
      </c>
      <c r="AE987" s="155" t="str">
        <f ca="1">IFERROR(INDEX(Données!$B$3:$B$1479,MATCH(ROWS($AD$3:AD987),$AD$3:$AD$1479,0)),"")</f>
        <v/>
      </c>
    </row>
    <row r="988" spans="1:31" ht="15.75" x14ac:dyDescent="0.25">
      <c r="A988" t="str">
        <f t="shared" si="186"/>
        <v>Parker Kelly - OTT - C, AG</v>
      </c>
      <c r="B988" t="str">
        <f t="shared" si="187"/>
        <v>Parker Kelly - OTT - C, AG</v>
      </c>
      <c r="C988" t="str">
        <f t="shared" si="180"/>
        <v>Parker</v>
      </c>
      <c r="D988" t="str">
        <f t="shared" si="181"/>
        <v>Kelly</v>
      </c>
      <c r="E988" s="39" t="s">
        <v>1539</v>
      </c>
      <c r="F988" s="30" t="s">
        <v>27</v>
      </c>
      <c r="G988" s="35" t="s">
        <v>386</v>
      </c>
      <c r="H988" s="35" t="s">
        <v>2452</v>
      </c>
      <c r="I988" s="35" t="s">
        <v>2446</v>
      </c>
      <c r="J988" s="35">
        <v>20</v>
      </c>
      <c r="K988" s="35">
        <f>VALUE(COUNTIF(Validation!$A$2:$H$47,E988))</f>
        <v>0</v>
      </c>
      <c r="L988" s="361">
        <f t="shared" si="182"/>
        <v>726667</v>
      </c>
      <c r="M988" s="361">
        <f t="shared" si="183"/>
        <v>726667</v>
      </c>
      <c r="N988" s="358">
        <v>726667</v>
      </c>
      <c r="O988" s="358">
        <v>726667</v>
      </c>
      <c r="P988" s="358">
        <v>726667</v>
      </c>
      <c r="Q988" s="358" t="s">
        <v>8</v>
      </c>
      <c r="R988" s="358">
        <v>0</v>
      </c>
      <c r="S988" s="358">
        <v>0</v>
      </c>
      <c r="T988" s="358">
        <v>0</v>
      </c>
      <c r="U988" s="35">
        <f t="shared" si="184"/>
        <v>3</v>
      </c>
      <c r="W988">
        <f t="shared" si="185"/>
        <v>1</v>
      </c>
      <c r="X988" s="35">
        <f t="shared" si="188"/>
        <v>1</v>
      </c>
      <c r="Y988">
        <f t="shared" si="189"/>
        <v>1</v>
      </c>
      <c r="AB988">
        <f t="shared" si="190"/>
        <v>1</v>
      </c>
      <c r="AC988">
        <f t="shared" ca="1" si="191"/>
        <v>0</v>
      </c>
      <c r="AD988" t="str">
        <f ca="1">IF(AC988=1,COUNTIF($AC$3:AC988,1),"")</f>
        <v/>
      </c>
      <c r="AE988" s="155" t="str">
        <f ca="1">IFERROR(INDEX(Données!$B$3:$B$1479,MATCH(ROWS($AD$3:AD988),$AD$3:$AD$1479,0)),"")</f>
        <v/>
      </c>
    </row>
    <row r="989" spans="1:31" ht="15.75" x14ac:dyDescent="0.25">
      <c r="A989" t="str">
        <f t="shared" si="186"/>
        <v>Jack Rodewald - OTT - AD</v>
      </c>
      <c r="B989" t="str">
        <f t="shared" si="187"/>
        <v>Jack Rodewald - OTT - AD</v>
      </c>
      <c r="C989" t="str">
        <f t="shared" si="180"/>
        <v>Jack</v>
      </c>
      <c r="D989" t="str">
        <f t="shared" si="181"/>
        <v>Rodewald</v>
      </c>
      <c r="E989" s="39" t="s">
        <v>1543</v>
      </c>
      <c r="F989" s="30" t="s">
        <v>27</v>
      </c>
      <c r="G989" s="35">
        <v>0</v>
      </c>
      <c r="H989" s="35" t="s">
        <v>2438</v>
      </c>
      <c r="I989" s="35" t="s">
        <v>2446</v>
      </c>
      <c r="J989" s="35">
        <v>25</v>
      </c>
      <c r="K989" s="35">
        <f>VALUE(COUNTIF(Validation!$A$2:$H$47,E989))</f>
        <v>0</v>
      </c>
      <c r="L989" s="361">
        <f t="shared" si="182"/>
        <v>725000</v>
      </c>
      <c r="M989" s="361">
        <f t="shared" si="183"/>
        <v>0</v>
      </c>
      <c r="N989" s="358">
        <v>725000</v>
      </c>
      <c r="O989" s="358" t="s">
        <v>8</v>
      </c>
      <c r="P989" s="358">
        <v>0</v>
      </c>
      <c r="Q989" s="358">
        <v>0</v>
      </c>
      <c r="R989" s="358">
        <v>0</v>
      </c>
      <c r="S989" s="358">
        <v>0</v>
      </c>
      <c r="T989" s="358">
        <v>0</v>
      </c>
      <c r="U989" s="35">
        <f t="shared" si="184"/>
        <v>1</v>
      </c>
      <c r="W989">
        <f t="shared" si="185"/>
        <v>1</v>
      </c>
      <c r="X989" s="35">
        <f t="shared" si="188"/>
        <v>0</v>
      </c>
      <c r="Y989">
        <f t="shared" si="189"/>
        <v>0</v>
      </c>
      <c r="AB989">
        <f t="shared" si="190"/>
        <v>1</v>
      </c>
      <c r="AC989">
        <f t="shared" ca="1" si="191"/>
        <v>0</v>
      </c>
      <c r="AD989" t="str">
        <f ca="1">IF(AC989=1,COUNTIF($AC$3:AC989,1),"")</f>
        <v/>
      </c>
      <c r="AE989" s="155" t="str">
        <f ca="1">IFERROR(INDEX(Données!$B$3:$B$1479,MATCH(ROWS($AD$3:AD989),$AD$3:$AD$1479,0)),"")</f>
        <v/>
      </c>
    </row>
    <row r="990" spans="1:31" ht="15.75" x14ac:dyDescent="0.25">
      <c r="A990" t="str">
        <f t="shared" si="186"/>
        <v>Michael Carcone - OTT - AG, C</v>
      </c>
      <c r="B990" t="str">
        <f t="shared" si="187"/>
        <v>Michael Carcone - OTT - AG, C</v>
      </c>
      <c r="C990" t="str">
        <f t="shared" si="180"/>
        <v>Michael</v>
      </c>
      <c r="D990" t="str">
        <f t="shared" si="181"/>
        <v>Carcone</v>
      </c>
      <c r="E990" s="39" t="s">
        <v>2361</v>
      </c>
      <c r="F990" s="30" t="s">
        <v>27</v>
      </c>
      <c r="G990" s="35">
        <v>0</v>
      </c>
      <c r="H990" s="35" t="s">
        <v>2450</v>
      </c>
      <c r="I990" s="35" t="s">
        <v>2446</v>
      </c>
      <c r="J990" s="35">
        <v>23</v>
      </c>
      <c r="K990" s="35">
        <f>VALUE(COUNTIF(Validation!$A$2:$H$47,E990))</f>
        <v>0</v>
      </c>
      <c r="L990" s="361">
        <f t="shared" si="182"/>
        <v>700000</v>
      </c>
      <c r="M990" s="361">
        <f t="shared" si="183"/>
        <v>700000</v>
      </c>
      <c r="N990" s="358">
        <v>700000</v>
      </c>
      <c r="O990" s="358">
        <v>700000</v>
      </c>
      <c r="P990" s="358" t="s">
        <v>8</v>
      </c>
      <c r="Q990" s="358">
        <v>0</v>
      </c>
      <c r="R990" s="358">
        <v>0</v>
      </c>
      <c r="S990" s="358">
        <v>0</v>
      </c>
      <c r="T990" s="358">
        <v>0</v>
      </c>
      <c r="U990" s="35">
        <f t="shared" si="184"/>
        <v>2</v>
      </c>
      <c r="W990">
        <f t="shared" si="185"/>
        <v>1</v>
      </c>
      <c r="X990" s="35">
        <f t="shared" si="188"/>
        <v>0</v>
      </c>
      <c r="Y990">
        <f t="shared" si="189"/>
        <v>1</v>
      </c>
      <c r="AB990">
        <f t="shared" si="190"/>
        <v>1</v>
      </c>
      <c r="AC990">
        <f t="shared" ca="1" si="191"/>
        <v>0</v>
      </c>
      <c r="AD990" t="str">
        <f ca="1">IF(AC990=1,COUNTIF($AC$3:AC990,1),"")</f>
        <v/>
      </c>
      <c r="AE990" s="155" t="str">
        <f ca="1">IFERROR(INDEX(Données!$B$3:$B$1479,MATCH(ROWS($AD$3:AD990),$AD$3:$AD$1479,0)),"")</f>
        <v/>
      </c>
    </row>
    <row r="991" spans="1:31" ht="15.75" x14ac:dyDescent="0.25">
      <c r="A991" t="str">
        <f t="shared" si="186"/>
        <v>Nick Ebert - OTT - DD</v>
      </c>
      <c r="B991" t="str">
        <f t="shared" si="187"/>
        <v>Nick Ebert - OTT - DD</v>
      </c>
      <c r="C991" t="str">
        <f t="shared" si="180"/>
        <v>Nick</v>
      </c>
      <c r="D991" t="str">
        <f t="shared" si="181"/>
        <v>Ebert</v>
      </c>
      <c r="E991" s="39" t="s">
        <v>2657</v>
      </c>
      <c r="F991" s="30" t="s">
        <v>27</v>
      </c>
      <c r="G991" s="35">
        <v>0</v>
      </c>
      <c r="H991" s="35" t="s">
        <v>2444</v>
      </c>
      <c r="I991" s="35" t="s">
        <v>2446</v>
      </c>
      <c r="J991" s="35">
        <v>25</v>
      </c>
      <c r="K991" s="35">
        <f>VALUE(COUNTIF(Validation!$A$2:$H$47,E991))</f>
        <v>0</v>
      </c>
      <c r="L991" s="361">
        <f t="shared" si="182"/>
        <v>700000</v>
      </c>
      <c r="M991" s="361">
        <f t="shared" si="183"/>
        <v>0</v>
      </c>
      <c r="N991" s="358">
        <v>700000</v>
      </c>
      <c r="O991" s="358" t="s">
        <v>8</v>
      </c>
      <c r="P991" s="358">
        <v>0</v>
      </c>
      <c r="Q991" s="358">
        <v>0</v>
      </c>
      <c r="R991" s="358">
        <v>0</v>
      </c>
      <c r="S991" s="358">
        <v>0</v>
      </c>
      <c r="T991" s="358">
        <v>0</v>
      </c>
      <c r="U991" s="35">
        <f t="shared" si="184"/>
        <v>1</v>
      </c>
      <c r="W991">
        <f t="shared" si="185"/>
        <v>1</v>
      </c>
      <c r="X991" s="35">
        <f t="shared" si="188"/>
        <v>0</v>
      </c>
      <c r="Y991">
        <f t="shared" si="189"/>
        <v>0</v>
      </c>
      <c r="AB991">
        <f t="shared" si="190"/>
        <v>1</v>
      </c>
      <c r="AC991">
        <f t="shared" ca="1" si="191"/>
        <v>0</v>
      </c>
      <c r="AD991" t="str">
        <f ca="1">IF(AC991=1,COUNTIF($AC$3:AC991,1),"")</f>
        <v/>
      </c>
      <c r="AE991" s="155" t="str">
        <f ca="1">IFERROR(INDEX(Données!$B$3:$B$1479,MATCH(ROWS($AD$3:AD991),$AD$3:$AD$1479,0)),"")</f>
        <v/>
      </c>
    </row>
    <row r="992" spans="1:31" ht="15.75" x14ac:dyDescent="0.25">
      <c r="A992" t="str">
        <f t="shared" si="186"/>
        <v>Andreas Englund - OTT - DG</v>
      </c>
      <c r="B992" t="str">
        <f t="shared" si="187"/>
        <v>Andreas Englund - OTT - DG</v>
      </c>
      <c r="C992" t="str">
        <f t="shared" si="180"/>
        <v>Andreas</v>
      </c>
      <c r="D992" t="str">
        <f t="shared" si="181"/>
        <v>Englund</v>
      </c>
      <c r="E992" s="39" t="s">
        <v>1533</v>
      </c>
      <c r="F992" s="30" t="s">
        <v>27</v>
      </c>
      <c r="G992" s="35">
        <v>0</v>
      </c>
      <c r="H992" s="35" t="s">
        <v>2445</v>
      </c>
      <c r="I992" s="35" t="s">
        <v>2446</v>
      </c>
      <c r="J992" s="35">
        <v>23</v>
      </c>
      <c r="K992" s="35">
        <f>VALUE(COUNTIF(Validation!$A$2:$H$47,E992))</f>
        <v>0</v>
      </c>
      <c r="L992" s="361">
        <f t="shared" si="182"/>
        <v>700000</v>
      </c>
      <c r="M992" s="361">
        <f t="shared" si="183"/>
        <v>0</v>
      </c>
      <c r="N992" s="358">
        <v>700000</v>
      </c>
      <c r="O992" s="358" t="s">
        <v>8</v>
      </c>
      <c r="P992" s="358">
        <v>0</v>
      </c>
      <c r="Q992" s="358">
        <v>0</v>
      </c>
      <c r="R992" s="358">
        <v>0</v>
      </c>
      <c r="S992" s="358">
        <v>0</v>
      </c>
      <c r="T992" s="358">
        <v>0</v>
      </c>
      <c r="U992" s="35">
        <f t="shared" si="184"/>
        <v>1</v>
      </c>
      <c r="W992">
        <f t="shared" si="185"/>
        <v>1</v>
      </c>
      <c r="X992" s="35">
        <f t="shared" si="188"/>
        <v>0</v>
      </c>
      <c r="Y992">
        <f t="shared" si="189"/>
        <v>0</v>
      </c>
      <c r="AB992">
        <f t="shared" si="190"/>
        <v>1</v>
      </c>
      <c r="AC992">
        <f t="shared" ca="1" si="191"/>
        <v>0</v>
      </c>
      <c r="AD992" t="str">
        <f ca="1">IF(AC992=1,COUNTIF($AC$3:AC992,1),"")</f>
        <v/>
      </c>
      <c r="AE992" s="155" t="str">
        <f ca="1">IFERROR(INDEX(Données!$B$3:$B$1479,MATCH(ROWS($AD$3:AD992),$AD$3:$AD$1479,0)),"")</f>
        <v/>
      </c>
    </row>
    <row r="993" spans="1:31" ht="15.75" x14ac:dyDescent="0.25">
      <c r="A993" t="str">
        <f t="shared" si="186"/>
        <v>Marcus Hogberg - OTT - G</v>
      </c>
      <c r="B993" t="str">
        <f t="shared" si="187"/>
        <v>Marcus Hogberg - OTT - G</v>
      </c>
      <c r="C993" t="str">
        <f t="shared" si="180"/>
        <v>Marcus</v>
      </c>
      <c r="D993" t="str">
        <f t="shared" si="181"/>
        <v>Hogberg</v>
      </c>
      <c r="E993" s="39" t="s">
        <v>2853</v>
      </c>
      <c r="F993" s="30" t="s">
        <v>27</v>
      </c>
      <c r="G993" s="35">
        <v>0</v>
      </c>
      <c r="H993" s="35" t="s">
        <v>127</v>
      </c>
      <c r="I993" s="35" t="s">
        <v>2446</v>
      </c>
      <c r="J993" s="35">
        <v>24</v>
      </c>
      <c r="K993" s="35">
        <f>VALUE(COUNTIF(Validation!$A$2:$H$47,E993))</f>
        <v>0</v>
      </c>
      <c r="L993" s="361">
        <f t="shared" si="182"/>
        <v>700000</v>
      </c>
      <c r="M993" s="361">
        <f t="shared" si="183"/>
        <v>700000</v>
      </c>
      <c r="N993" s="358">
        <v>700000</v>
      </c>
      <c r="O993" s="358">
        <v>700000</v>
      </c>
      <c r="P993" s="358" t="s">
        <v>8</v>
      </c>
      <c r="Q993" s="358">
        <v>0</v>
      </c>
      <c r="R993" s="358">
        <v>0</v>
      </c>
      <c r="S993" s="358">
        <v>0</v>
      </c>
      <c r="T993" s="358">
        <v>0</v>
      </c>
      <c r="U993" s="35">
        <f t="shared" si="184"/>
        <v>2</v>
      </c>
      <c r="W993">
        <f t="shared" si="185"/>
        <v>1</v>
      </c>
      <c r="X993" s="35">
        <f t="shared" si="188"/>
        <v>0</v>
      </c>
      <c r="Y993">
        <f t="shared" si="189"/>
        <v>1</v>
      </c>
      <c r="AB993">
        <f t="shared" si="190"/>
        <v>1</v>
      </c>
      <c r="AC993">
        <f t="shared" ca="1" si="191"/>
        <v>0</v>
      </c>
      <c r="AD993" t="str">
        <f ca="1">IF(AC993=1,COUNTIF($AC$3:AC993,1),"")</f>
        <v/>
      </c>
      <c r="AE993" s="155" t="str">
        <f ca="1">IFERROR(INDEX(Données!$B$3:$B$1479,MATCH(ROWS($AD$3:AD993),$AD$3:$AD$1479,0)),"")</f>
        <v/>
      </c>
    </row>
    <row r="994" spans="1:31" ht="15.75" x14ac:dyDescent="0.25">
      <c r="A994" t="str">
        <f t="shared" si="186"/>
        <v>Morgan Klimchuk - OTT - AG</v>
      </c>
      <c r="B994" t="str">
        <f t="shared" si="187"/>
        <v>Morgan Klimchuk - OTT - AG</v>
      </c>
      <c r="C994" t="str">
        <f t="shared" si="180"/>
        <v>Morgan</v>
      </c>
      <c r="D994" t="str">
        <f t="shared" si="181"/>
        <v>Klimchuk</v>
      </c>
      <c r="E994" s="39" t="s">
        <v>2214</v>
      </c>
      <c r="F994" s="30" t="s">
        <v>27</v>
      </c>
      <c r="G994" s="35">
        <v>0</v>
      </c>
      <c r="H994" s="9" t="s">
        <v>2440</v>
      </c>
      <c r="I994" s="9" t="s">
        <v>2446</v>
      </c>
      <c r="J994" s="9">
        <v>24</v>
      </c>
      <c r="K994" s="35">
        <f>VALUE(COUNTIF(Validation!$A$2:$H$47,E994))</f>
        <v>0</v>
      </c>
      <c r="L994" s="361">
        <f t="shared" si="182"/>
        <v>700000</v>
      </c>
      <c r="M994" s="361">
        <f t="shared" si="183"/>
        <v>0</v>
      </c>
      <c r="N994" s="358">
        <v>700000</v>
      </c>
      <c r="O994" s="358" t="s">
        <v>8</v>
      </c>
      <c r="P994" s="358">
        <v>0</v>
      </c>
      <c r="Q994" s="358">
        <v>0</v>
      </c>
      <c r="R994" s="358">
        <v>0</v>
      </c>
      <c r="S994" s="358">
        <v>0</v>
      </c>
      <c r="T994" s="358">
        <v>0</v>
      </c>
      <c r="U994" s="35">
        <f t="shared" si="184"/>
        <v>1</v>
      </c>
      <c r="W994">
        <f t="shared" si="185"/>
        <v>1</v>
      </c>
      <c r="X994" s="35">
        <f t="shared" si="188"/>
        <v>0</v>
      </c>
      <c r="Y994">
        <f t="shared" si="189"/>
        <v>0</v>
      </c>
      <c r="AB994">
        <f t="shared" si="190"/>
        <v>1</v>
      </c>
      <c r="AC994">
        <f t="shared" ca="1" si="191"/>
        <v>0</v>
      </c>
      <c r="AD994" t="str">
        <f ca="1">IF(AC994=1,COUNTIF($AC$3:AC994,1),"")</f>
        <v/>
      </c>
      <c r="AE994" s="155" t="str">
        <f ca="1">IFERROR(INDEX(Données!$B$3:$B$1479,MATCH(ROWS($AD$3:AD994),$AD$3:$AD$1479,0)),"")</f>
        <v/>
      </c>
    </row>
    <row r="995" spans="1:31" ht="15.75" x14ac:dyDescent="0.25">
      <c r="A995" t="str">
        <f t="shared" si="186"/>
        <v>Colin White - OTT - AD, C</v>
      </c>
      <c r="B995" t="str">
        <f t="shared" si="187"/>
        <v>Colin White - OTT - AD, C</v>
      </c>
      <c r="C995" t="str">
        <f t="shared" si="180"/>
        <v>Colin</v>
      </c>
      <c r="D995" t="str">
        <f t="shared" si="181"/>
        <v>White</v>
      </c>
      <c r="E995" s="39" t="s">
        <v>1522</v>
      </c>
      <c r="F995" s="30" t="s">
        <v>27</v>
      </c>
      <c r="G995" s="35">
        <v>0</v>
      </c>
      <c r="H995" s="35" t="s">
        <v>2453</v>
      </c>
      <c r="I995" s="9" t="s">
        <v>2439</v>
      </c>
      <c r="J995" s="35">
        <v>22</v>
      </c>
      <c r="K995" s="35">
        <f>VALUE(COUNTIF(Validation!$A$2:$H$47,E995))</f>
        <v>0</v>
      </c>
      <c r="L995" s="361">
        <f t="shared" si="182"/>
        <v>0</v>
      </c>
      <c r="M995" s="361">
        <f t="shared" si="183"/>
        <v>0</v>
      </c>
      <c r="N995" s="358" t="s">
        <v>8</v>
      </c>
      <c r="O995" s="358">
        <v>0</v>
      </c>
      <c r="P995" s="358">
        <v>0</v>
      </c>
      <c r="Q995" s="358">
        <v>0</v>
      </c>
      <c r="R995" s="358">
        <v>0</v>
      </c>
      <c r="S995" s="358">
        <v>0</v>
      </c>
      <c r="T995" s="358">
        <v>0</v>
      </c>
      <c r="U995" s="35">
        <f t="shared" si="184"/>
        <v>0</v>
      </c>
      <c r="W995">
        <f t="shared" si="185"/>
        <v>1</v>
      </c>
      <c r="X995" s="35">
        <f t="shared" si="188"/>
        <v>0</v>
      </c>
      <c r="Y995">
        <f t="shared" si="189"/>
        <v>1</v>
      </c>
      <c r="AB995">
        <f t="shared" si="190"/>
        <v>1</v>
      </c>
      <c r="AC995">
        <f t="shared" ca="1" si="191"/>
        <v>0</v>
      </c>
      <c r="AD995" t="str">
        <f ca="1">IF(AC995=1,COUNTIF($AC$3:AC995,1),"")</f>
        <v/>
      </c>
      <c r="AE995" s="155" t="str">
        <f ca="1">IFERROR(INDEX(Données!$B$3:$B$1479,MATCH(ROWS($AD$3:AD995),$AD$3:$AD$1479,0)),"")</f>
        <v/>
      </c>
    </row>
    <row r="996" spans="1:31" ht="15.75" x14ac:dyDescent="0.25">
      <c r="A996" t="str">
        <f t="shared" si="186"/>
        <v>Claude Giroux - PHI - AG, C, AD</v>
      </c>
      <c r="B996" t="str">
        <f t="shared" si="187"/>
        <v>Claude Giroux - PHI - AG, C, AD</v>
      </c>
      <c r="C996" t="str">
        <f t="shared" si="180"/>
        <v>Claude</v>
      </c>
      <c r="D996" t="str">
        <f t="shared" si="181"/>
        <v>Giroux</v>
      </c>
      <c r="E996" s="39" t="s">
        <v>2965</v>
      </c>
      <c r="F996" s="30" t="s">
        <v>28</v>
      </c>
      <c r="G996" s="35" t="s">
        <v>420</v>
      </c>
      <c r="H996" s="35" t="s">
        <v>2462</v>
      </c>
      <c r="I996" s="35" t="s">
        <v>2439</v>
      </c>
      <c r="J996" s="35">
        <v>31</v>
      </c>
      <c r="K996" s="35">
        <f>VALUE(COUNTIF(Validation!$A$2:$H$47,E996))</f>
        <v>0</v>
      </c>
      <c r="L996" s="361">
        <f t="shared" si="182"/>
        <v>8275000</v>
      </c>
      <c r="M996" s="361">
        <f t="shared" si="183"/>
        <v>8275000</v>
      </c>
      <c r="N996" s="358">
        <v>8275000</v>
      </c>
      <c r="O996" s="358">
        <v>8275000</v>
      </c>
      <c r="P996" s="358">
        <v>8275000</v>
      </c>
      <c r="Q996" s="358" t="s">
        <v>7</v>
      </c>
      <c r="R996" s="358">
        <v>0</v>
      </c>
      <c r="S996" s="358">
        <v>0</v>
      </c>
      <c r="T996" s="358">
        <v>0</v>
      </c>
      <c r="U996" s="35">
        <f t="shared" si="184"/>
        <v>3</v>
      </c>
      <c r="W996">
        <f t="shared" si="185"/>
        <v>1</v>
      </c>
      <c r="X996" s="35">
        <f t="shared" si="188"/>
        <v>0</v>
      </c>
      <c r="Y996">
        <f t="shared" si="189"/>
        <v>1</v>
      </c>
      <c r="AB996">
        <f t="shared" si="190"/>
        <v>1</v>
      </c>
      <c r="AC996">
        <f t="shared" ca="1" si="191"/>
        <v>0</v>
      </c>
      <c r="AD996" t="str">
        <f ca="1">IF(AC996=1,COUNTIF($AC$3:AC996,1),"")</f>
        <v/>
      </c>
      <c r="AE996" s="155" t="str">
        <f ca="1">IFERROR(INDEX(Données!$B$3:$B$1479,MATCH(ROWS($AD$3:AD996),$AD$3:$AD$1479,0)),"")</f>
        <v/>
      </c>
    </row>
    <row r="997" spans="1:31" ht="15.75" x14ac:dyDescent="0.25">
      <c r="A997" t="str">
        <f t="shared" si="186"/>
        <v>Jakub Voracek - PHI - AD</v>
      </c>
      <c r="B997" t="str">
        <f t="shared" si="187"/>
        <v>Jakub Voracek - PHI - AD</v>
      </c>
      <c r="C997" t="str">
        <f t="shared" si="180"/>
        <v>Jakub</v>
      </c>
      <c r="D997" t="str">
        <f t="shared" si="181"/>
        <v>Voracek</v>
      </c>
      <c r="E997" s="39" t="s">
        <v>1785</v>
      </c>
      <c r="F997" s="30" t="s">
        <v>28</v>
      </c>
      <c r="G997" s="35">
        <v>0</v>
      </c>
      <c r="H997" s="35" t="s">
        <v>2438</v>
      </c>
      <c r="I997" s="35" t="s">
        <v>2439</v>
      </c>
      <c r="J997" s="9">
        <v>29</v>
      </c>
      <c r="K997" s="35">
        <f>VALUE(COUNTIF(Validation!$A$2:$H$47,E997))</f>
        <v>0</v>
      </c>
      <c r="L997" s="361">
        <f t="shared" si="182"/>
        <v>8250000</v>
      </c>
      <c r="M997" s="361">
        <f t="shared" si="183"/>
        <v>8250000</v>
      </c>
      <c r="N997" s="358">
        <v>8250000</v>
      </c>
      <c r="O997" s="358">
        <v>8250000</v>
      </c>
      <c r="P997" s="358">
        <v>8250000</v>
      </c>
      <c r="Q997" s="358">
        <v>8250000</v>
      </c>
      <c r="R997" s="358">
        <v>8250000</v>
      </c>
      <c r="S997" s="358" t="s">
        <v>7</v>
      </c>
      <c r="T997" s="358">
        <v>0</v>
      </c>
      <c r="U997" s="35">
        <f t="shared" si="184"/>
        <v>5</v>
      </c>
      <c r="W997">
        <f t="shared" si="185"/>
        <v>1</v>
      </c>
      <c r="X997" s="35">
        <f t="shared" si="188"/>
        <v>0</v>
      </c>
      <c r="Y997">
        <f t="shared" si="189"/>
        <v>1</v>
      </c>
      <c r="AB997">
        <f t="shared" si="190"/>
        <v>1</v>
      </c>
      <c r="AC997">
        <f t="shared" ca="1" si="191"/>
        <v>0</v>
      </c>
      <c r="AD997" t="str">
        <f ca="1">IF(AC997=1,COUNTIF($AC$3:AC997,1),"")</f>
        <v/>
      </c>
      <c r="AE997" s="155" t="str">
        <f ca="1">IFERROR(INDEX(Données!$B$3:$B$1479,MATCH(ROWS($AD$3:AD997),$AD$3:$AD$1479,0)),"")</f>
        <v/>
      </c>
    </row>
    <row r="998" spans="1:31" ht="15.75" x14ac:dyDescent="0.25">
      <c r="A998" t="str">
        <f t="shared" si="186"/>
        <v>Kevin Hayes - PHI - C</v>
      </c>
      <c r="B998" t="str">
        <f t="shared" si="187"/>
        <v>Kevin Hayes - PHI - C</v>
      </c>
      <c r="C998" t="str">
        <f t="shared" si="180"/>
        <v>Kevin</v>
      </c>
      <c r="D998" t="str">
        <f t="shared" si="181"/>
        <v>Hayes</v>
      </c>
      <c r="E998" s="39" t="s">
        <v>1756</v>
      </c>
      <c r="F998" s="30" t="s">
        <v>28</v>
      </c>
      <c r="G998" s="35" t="s">
        <v>420</v>
      </c>
      <c r="H998" s="35" t="s">
        <v>73</v>
      </c>
      <c r="I998" s="35" t="s">
        <v>2439</v>
      </c>
      <c r="J998" s="35">
        <v>27</v>
      </c>
      <c r="K998" s="35">
        <f>VALUE(COUNTIF(Validation!$A$2:$H$47,E998))</f>
        <v>0</v>
      </c>
      <c r="L998" s="361">
        <f t="shared" si="182"/>
        <v>7142857</v>
      </c>
      <c r="M998" s="361">
        <f t="shared" si="183"/>
        <v>7142857</v>
      </c>
      <c r="N998" s="358">
        <v>7142857</v>
      </c>
      <c r="O998" s="358">
        <v>7142857</v>
      </c>
      <c r="P998" s="358">
        <v>7142857</v>
      </c>
      <c r="Q998" s="358">
        <v>7142857</v>
      </c>
      <c r="R998" s="358">
        <v>7142857</v>
      </c>
      <c r="S998" s="358">
        <v>7142857</v>
      </c>
      <c r="T998" s="358">
        <v>7142857</v>
      </c>
      <c r="U998" s="35">
        <f t="shared" si="184"/>
        <v>7</v>
      </c>
      <c r="W998">
        <f t="shared" si="185"/>
        <v>1</v>
      </c>
      <c r="X998" s="35">
        <f t="shared" si="188"/>
        <v>0</v>
      </c>
      <c r="Y998">
        <f t="shared" si="189"/>
        <v>1</v>
      </c>
      <c r="AB998">
        <f t="shared" si="190"/>
        <v>1</v>
      </c>
      <c r="AC998">
        <f t="shared" ca="1" si="191"/>
        <v>0</v>
      </c>
      <c r="AD998" t="str">
        <f ca="1">IF(AC998=1,COUNTIF($AC$3:AC998,1),"")</f>
        <v/>
      </c>
      <c r="AE998" s="155" t="str">
        <f ca="1">IFERROR(INDEX(Données!$B$3:$B$1479,MATCH(ROWS($AD$3:AD998),$AD$3:$AD$1479,0)),"")</f>
        <v/>
      </c>
    </row>
    <row r="999" spans="1:31" ht="15.75" x14ac:dyDescent="0.25">
      <c r="A999" t="str">
        <f t="shared" si="186"/>
        <v>James vanRiemsdyk - PHI - AG</v>
      </c>
      <c r="B999" t="str">
        <f t="shared" si="187"/>
        <v>James vanRiemsdyk - PHI - AG</v>
      </c>
      <c r="C999" t="str">
        <f t="shared" si="180"/>
        <v>James</v>
      </c>
      <c r="D999" t="str">
        <f t="shared" si="181"/>
        <v>vanRiemsdyk</v>
      </c>
      <c r="E999" s="39" t="s">
        <v>2934</v>
      </c>
      <c r="F999" s="30" t="s">
        <v>28</v>
      </c>
      <c r="G999" s="35">
        <v>0</v>
      </c>
      <c r="H999" s="35" t="s">
        <v>2440</v>
      </c>
      <c r="I999" s="35" t="s">
        <v>2439</v>
      </c>
      <c r="J999" s="35">
        <v>30</v>
      </c>
      <c r="K999" s="35">
        <f>VALUE(COUNTIF(Validation!$A$2:$H$47,E999))</f>
        <v>0</v>
      </c>
      <c r="L999" s="361">
        <f t="shared" si="182"/>
        <v>7000000</v>
      </c>
      <c r="M999" s="361">
        <f t="shared" si="183"/>
        <v>7000000</v>
      </c>
      <c r="N999" s="358">
        <v>7000000</v>
      </c>
      <c r="O999" s="358">
        <v>7000000</v>
      </c>
      <c r="P999" s="358">
        <v>7000000</v>
      </c>
      <c r="Q999" s="358">
        <v>7000000</v>
      </c>
      <c r="R999" s="358" t="s">
        <v>7</v>
      </c>
      <c r="S999" s="358">
        <v>0</v>
      </c>
      <c r="T999" s="358">
        <v>0</v>
      </c>
      <c r="U999" s="35">
        <f t="shared" si="184"/>
        <v>4</v>
      </c>
      <c r="W999">
        <f t="shared" si="185"/>
        <v>1</v>
      </c>
      <c r="X999" s="35">
        <f t="shared" si="188"/>
        <v>0</v>
      </c>
      <c r="Y999">
        <f t="shared" si="189"/>
        <v>1</v>
      </c>
      <c r="AB999">
        <f t="shared" si="190"/>
        <v>1</v>
      </c>
      <c r="AC999">
        <f t="shared" ca="1" si="191"/>
        <v>0</v>
      </c>
      <c r="AD999" t="str">
        <f ca="1">IF(AC999=1,COUNTIF($AC$3:AC999,1),"")</f>
        <v/>
      </c>
      <c r="AE999" s="155" t="str">
        <f ca="1">IFERROR(INDEX(Données!$B$3:$B$1479,MATCH(ROWS($AD$3:AD999),$AD$3:$AD$1479,0)),"")</f>
        <v/>
      </c>
    </row>
    <row r="1000" spans="1:31" ht="15.75" x14ac:dyDescent="0.25">
      <c r="A1000" t="str">
        <f t="shared" si="186"/>
        <v>Matt Niskanen - PHI - DD</v>
      </c>
      <c r="B1000" t="str">
        <f t="shared" si="187"/>
        <v>Matt Niskanen - PHI - DD</v>
      </c>
      <c r="C1000" t="str">
        <f t="shared" si="180"/>
        <v>Matt</v>
      </c>
      <c r="D1000" t="str">
        <f t="shared" si="181"/>
        <v>Niskanen</v>
      </c>
      <c r="E1000" s="39" t="s">
        <v>1862</v>
      </c>
      <c r="F1000" s="30" t="s">
        <v>28</v>
      </c>
      <c r="G1000" s="35" t="s">
        <v>381</v>
      </c>
      <c r="H1000" s="35" t="s">
        <v>2444</v>
      </c>
      <c r="I1000" s="35" t="s">
        <v>2439</v>
      </c>
      <c r="J1000" s="35">
        <v>32</v>
      </c>
      <c r="K1000" s="35">
        <f>VALUE(COUNTIF(Validation!$A$2:$H$47,E1000))</f>
        <v>0</v>
      </c>
      <c r="L1000" s="361">
        <f t="shared" si="182"/>
        <v>5750000</v>
      </c>
      <c r="M1000" s="361">
        <f t="shared" si="183"/>
        <v>5750000</v>
      </c>
      <c r="N1000" s="358">
        <v>5750000</v>
      </c>
      <c r="O1000" s="358">
        <v>5750000</v>
      </c>
      <c r="P1000" s="358" t="s">
        <v>7</v>
      </c>
      <c r="Q1000" s="358">
        <v>0</v>
      </c>
      <c r="R1000" s="358">
        <v>0</v>
      </c>
      <c r="S1000" s="358">
        <v>0</v>
      </c>
      <c r="T1000" s="358">
        <v>0</v>
      </c>
      <c r="U1000" s="35">
        <f t="shared" si="184"/>
        <v>2</v>
      </c>
      <c r="W1000">
        <f t="shared" si="185"/>
        <v>1</v>
      </c>
      <c r="X1000" s="35">
        <f t="shared" si="188"/>
        <v>0</v>
      </c>
      <c r="Y1000">
        <f t="shared" si="189"/>
        <v>1</v>
      </c>
      <c r="AB1000">
        <f t="shared" si="190"/>
        <v>1</v>
      </c>
      <c r="AC1000">
        <f t="shared" ca="1" si="191"/>
        <v>0</v>
      </c>
      <c r="AD1000" t="str">
        <f ca="1">IF(AC1000=1,COUNTIF($AC$3:AC1000,1),"")</f>
        <v/>
      </c>
      <c r="AE1000" s="155" t="str">
        <f ca="1">IFERROR(INDEX(Données!$B$3:$B$1479,MATCH(ROWS($AD$3:AD1000),$AD$3:$AD$1479,0)),"")</f>
        <v/>
      </c>
    </row>
    <row r="1001" spans="1:31" ht="15.75" x14ac:dyDescent="0.25">
      <c r="A1001" t="str">
        <f t="shared" si="186"/>
        <v>Shayne Gostisbehere - PHI - DG</v>
      </c>
      <c r="B1001" t="str">
        <f t="shared" si="187"/>
        <v>Shayne Gostisbehere - PHI - DG</v>
      </c>
      <c r="C1001" t="str">
        <f t="shared" si="180"/>
        <v>Shayne</v>
      </c>
      <c r="D1001" t="str">
        <f t="shared" si="181"/>
        <v>Gostisbehere</v>
      </c>
      <c r="E1001" s="39" t="s">
        <v>1793</v>
      </c>
      <c r="F1001" s="30" t="s">
        <v>28</v>
      </c>
      <c r="G1001" s="35">
        <v>0</v>
      </c>
      <c r="H1001" s="35" t="s">
        <v>2445</v>
      </c>
      <c r="I1001" s="35" t="s">
        <v>2439</v>
      </c>
      <c r="J1001" s="35">
        <v>26</v>
      </c>
      <c r="K1001" s="35">
        <f>VALUE(COUNTIF(Validation!$A$2:$H$47,E1001))</f>
        <v>0</v>
      </c>
      <c r="L1001" s="361">
        <f t="shared" si="182"/>
        <v>4500000</v>
      </c>
      <c r="M1001" s="361">
        <f t="shared" si="183"/>
        <v>4500000</v>
      </c>
      <c r="N1001" s="358">
        <v>4500000</v>
      </c>
      <c r="O1001" s="358">
        <v>4500000</v>
      </c>
      <c r="P1001" s="358">
        <v>4500000</v>
      </c>
      <c r="Q1001" s="358">
        <v>4500000</v>
      </c>
      <c r="R1001" s="358" t="s">
        <v>7</v>
      </c>
      <c r="S1001" s="358">
        <v>0</v>
      </c>
      <c r="T1001" s="358">
        <v>0</v>
      </c>
      <c r="U1001" s="35">
        <f t="shared" si="184"/>
        <v>4</v>
      </c>
      <c r="W1001">
        <f t="shared" si="185"/>
        <v>1</v>
      </c>
      <c r="X1001" s="35">
        <f t="shared" si="188"/>
        <v>0</v>
      </c>
      <c r="Y1001">
        <f t="shared" si="189"/>
        <v>1</v>
      </c>
      <c r="AB1001">
        <f t="shared" si="190"/>
        <v>1</v>
      </c>
      <c r="AC1001">
        <f t="shared" ca="1" si="191"/>
        <v>0</v>
      </c>
      <c r="AD1001" t="str">
        <f ca="1">IF(AC1001=1,COUNTIF($AC$3:AC1001,1),"")</f>
        <v/>
      </c>
      <c r="AE1001" s="155" t="str">
        <f ca="1">IFERROR(INDEX(Données!$B$3:$B$1479,MATCH(ROWS($AD$3:AD1001),$AD$3:$AD$1479,0)),"")</f>
        <v/>
      </c>
    </row>
    <row r="1002" spans="1:31" ht="15.75" x14ac:dyDescent="0.25">
      <c r="A1002" t="str">
        <f t="shared" si="186"/>
        <v>Sean Couturier - PHI - C</v>
      </c>
      <c r="B1002" t="str">
        <f t="shared" si="187"/>
        <v>Sean Couturier - PHI - C</v>
      </c>
      <c r="C1002" t="str">
        <f t="shared" si="180"/>
        <v>Sean</v>
      </c>
      <c r="D1002" t="str">
        <f t="shared" si="181"/>
        <v>Couturier</v>
      </c>
      <c r="E1002" s="39" t="s">
        <v>2952</v>
      </c>
      <c r="F1002" s="30" t="s">
        <v>28</v>
      </c>
      <c r="G1002" s="35">
        <v>0</v>
      </c>
      <c r="H1002" s="35" t="s">
        <v>73</v>
      </c>
      <c r="I1002" s="35" t="s">
        <v>2439</v>
      </c>
      <c r="J1002" s="35">
        <v>26</v>
      </c>
      <c r="K1002" s="35">
        <f>VALUE(COUNTIF(Validation!$A$2:$H$47,E1002))</f>
        <v>0</v>
      </c>
      <c r="L1002" s="361">
        <f t="shared" si="182"/>
        <v>4333333</v>
      </c>
      <c r="M1002" s="361">
        <f t="shared" si="183"/>
        <v>4333333</v>
      </c>
      <c r="N1002" s="358">
        <v>4333333</v>
      </c>
      <c r="O1002" s="358">
        <v>4333333</v>
      </c>
      <c r="P1002" s="358">
        <v>4333333</v>
      </c>
      <c r="Q1002" s="358" t="s">
        <v>7</v>
      </c>
      <c r="R1002" s="358">
        <v>0</v>
      </c>
      <c r="S1002" s="358">
        <v>0</v>
      </c>
      <c r="T1002" s="358">
        <v>0</v>
      </c>
      <c r="U1002" s="35">
        <f t="shared" si="184"/>
        <v>3</v>
      </c>
      <c r="W1002">
        <f t="shared" si="185"/>
        <v>1</v>
      </c>
      <c r="X1002" s="35">
        <f t="shared" si="188"/>
        <v>0</v>
      </c>
      <c r="Y1002">
        <f t="shared" si="189"/>
        <v>1</v>
      </c>
      <c r="AB1002">
        <f t="shared" si="190"/>
        <v>1</v>
      </c>
      <c r="AC1002">
        <f t="shared" ca="1" si="191"/>
        <v>0</v>
      </c>
      <c r="AD1002" t="str">
        <f ca="1">IF(AC1002=1,COUNTIF($AC$3:AC1002,1),"")</f>
        <v/>
      </c>
      <c r="AE1002" s="155" t="str">
        <f ca="1">IFERROR(INDEX(Données!$B$3:$B$1479,MATCH(ROWS($AD$3:AD1002),$AD$3:$AD$1479,0)),"")</f>
        <v/>
      </c>
    </row>
    <row r="1003" spans="1:31" ht="15.75" x14ac:dyDescent="0.25">
      <c r="A1003" t="str">
        <f t="shared" si="186"/>
        <v>Justin Braun - PHI - DD</v>
      </c>
      <c r="B1003" t="str">
        <f t="shared" si="187"/>
        <v>Justin Braun - PHI - DD</v>
      </c>
      <c r="C1003" t="str">
        <f t="shared" si="180"/>
        <v>Justin</v>
      </c>
      <c r="D1003" t="str">
        <f t="shared" si="181"/>
        <v>Braun</v>
      </c>
      <c r="E1003" s="39" t="s">
        <v>2305</v>
      </c>
      <c r="F1003" s="30" t="s">
        <v>28</v>
      </c>
      <c r="G1003" s="35">
        <v>0</v>
      </c>
      <c r="H1003" s="35" t="s">
        <v>2444</v>
      </c>
      <c r="I1003" s="35" t="s">
        <v>2439</v>
      </c>
      <c r="J1003" s="35">
        <v>32</v>
      </c>
      <c r="K1003" s="35">
        <f>VALUE(COUNTIF(Validation!$A$2:$H$47,E1003))</f>
        <v>0</v>
      </c>
      <c r="L1003" s="361">
        <f t="shared" si="182"/>
        <v>3800000</v>
      </c>
      <c r="M1003" s="361">
        <f t="shared" si="183"/>
        <v>0</v>
      </c>
      <c r="N1003" s="358">
        <v>3800000</v>
      </c>
      <c r="O1003" s="358" t="s">
        <v>7</v>
      </c>
      <c r="P1003" s="358">
        <v>0</v>
      </c>
      <c r="Q1003" s="358">
        <v>0</v>
      </c>
      <c r="R1003" s="358">
        <v>0</v>
      </c>
      <c r="S1003" s="358">
        <v>0</v>
      </c>
      <c r="T1003" s="358">
        <v>0</v>
      </c>
      <c r="U1003" s="35">
        <f t="shared" si="184"/>
        <v>1</v>
      </c>
      <c r="W1003">
        <f t="shared" si="185"/>
        <v>1</v>
      </c>
      <c r="X1003" s="35">
        <f t="shared" si="188"/>
        <v>0</v>
      </c>
      <c r="Y1003">
        <f t="shared" si="189"/>
        <v>0</v>
      </c>
      <c r="AB1003">
        <f t="shared" si="190"/>
        <v>1</v>
      </c>
      <c r="AC1003">
        <f t="shared" ca="1" si="191"/>
        <v>0</v>
      </c>
      <c r="AD1003" t="str">
        <f ca="1">IF(AC1003=1,COUNTIF($AC$3:AC1003,1),"")</f>
        <v/>
      </c>
      <c r="AE1003" s="155" t="str">
        <f ca="1">IFERROR(INDEX(Données!$B$3:$B$1479,MATCH(ROWS($AD$3:AD1003),$AD$3:$AD$1479,0)),"")</f>
        <v/>
      </c>
    </row>
    <row r="1004" spans="1:31" ht="15.75" x14ac:dyDescent="0.25">
      <c r="A1004" t="str">
        <f t="shared" si="186"/>
        <v>Nolan Patrick - PHI - C, AD</v>
      </c>
      <c r="B1004" t="str">
        <f t="shared" si="187"/>
        <v>Nolan Patrick - PHI - C, AD</v>
      </c>
      <c r="C1004" t="str">
        <f t="shared" si="180"/>
        <v>Nolan</v>
      </c>
      <c r="D1004" t="str">
        <f t="shared" si="181"/>
        <v>Patrick</v>
      </c>
      <c r="E1004" s="39" t="s">
        <v>1790</v>
      </c>
      <c r="F1004" s="30" t="s">
        <v>28</v>
      </c>
      <c r="G1004" s="35" t="s">
        <v>386</v>
      </c>
      <c r="H1004" s="9" t="s">
        <v>2448</v>
      </c>
      <c r="I1004" s="9" t="s">
        <v>2439</v>
      </c>
      <c r="J1004" s="9">
        <v>20</v>
      </c>
      <c r="K1004" s="35">
        <f>VALUE(COUNTIF(Validation!$A$2:$H$47,E1004))</f>
        <v>0</v>
      </c>
      <c r="L1004" s="361">
        <f t="shared" si="182"/>
        <v>3575000</v>
      </c>
      <c r="M1004" s="361">
        <f t="shared" si="183"/>
        <v>0</v>
      </c>
      <c r="N1004" s="358">
        <v>3575000</v>
      </c>
      <c r="O1004" s="358" t="s">
        <v>8</v>
      </c>
      <c r="P1004" s="358">
        <v>0</v>
      </c>
      <c r="Q1004" s="358">
        <v>0</v>
      </c>
      <c r="R1004" s="358">
        <v>0</v>
      </c>
      <c r="S1004" s="358">
        <v>0</v>
      </c>
      <c r="T1004" s="358">
        <v>0</v>
      </c>
      <c r="U1004" s="35">
        <f t="shared" si="184"/>
        <v>1</v>
      </c>
      <c r="W1004">
        <f t="shared" si="185"/>
        <v>1</v>
      </c>
      <c r="X1004" s="35">
        <f t="shared" si="188"/>
        <v>1</v>
      </c>
      <c r="Y1004">
        <f t="shared" si="189"/>
        <v>0</v>
      </c>
      <c r="AB1004">
        <f t="shared" si="190"/>
        <v>1</v>
      </c>
      <c r="AC1004">
        <f t="shared" ca="1" si="191"/>
        <v>0</v>
      </c>
      <c r="AD1004" t="str">
        <f ca="1">IF(AC1004=1,COUNTIF($AC$3:AC1004,1),"")</f>
        <v/>
      </c>
      <c r="AE1004" s="155" t="str">
        <f ca="1">IFERROR(INDEX(Données!$B$3:$B$1479,MATCH(ROWS($AD$3:AD1004),$AD$3:$AD$1479,0)),"")</f>
        <v/>
      </c>
    </row>
    <row r="1005" spans="1:31" ht="15.75" x14ac:dyDescent="0.25">
      <c r="A1005" t="str">
        <f t="shared" si="186"/>
        <v>Travis Sanheim - PHI - DD</v>
      </c>
      <c r="B1005" t="str">
        <f t="shared" si="187"/>
        <v>Travis Sanheim - PHI - DD</v>
      </c>
      <c r="C1005" t="str">
        <f t="shared" si="180"/>
        <v>Travis</v>
      </c>
      <c r="D1005" t="str">
        <f t="shared" si="181"/>
        <v>Sanheim</v>
      </c>
      <c r="E1005" s="39" t="s">
        <v>1796</v>
      </c>
      <c r="F1005" s="30" t="s">
        <v>28</v>
      </c>
      <c r="G1005" s="35">
        <v>0</v>
      </c>
      <c r="H1005" s="35" t="s">
        <v>2444</v>
      </c>
      <c r="I1005" s="35" t="s">
        <v>2439</v>
      </c>
      <c r="J1005" s="35">
        <v>23</v>
      </c>
      <c r="K1005" s="35">
        <f>VALUE(COUNTIF(Validation!$A$2:$H$47,E1005))</f>
        <v>0</v>
      </c>
      <c r="L1005" s="361">
        <f t="shared" si="182"/>
        <v>3250000</v>
      </c>
      <c r="M1005" s="361">
        <f t="shared" si="183"/>
        <v>3250000</v>
      </c>
      <c r="N1005" s="358">
        <v>3250000</v>
      </c>
      <c r="O1005" s="358">
        <v>3250000</v>
      </c>
      <c r="P1005" s="358" t="s">
        <v>8</v>
      </c>
      <c r="Q1005" s="358">
        <v>0</v>
      </c>
      <c r="R1005" s="358">
        <v>0</v>
      </c>
      <c r="S1005" s="358">
        <v>0</v>
      </c>
      <c r="T1005" s="358">
        <v>0</v>
      </c>
      <c r="U1005" s="35">
        <f t="shared" si="184"/>
        <v>2</v>
      </c>
      <c r="W1005">
        <f t="shared" si="185"/>
        <v>1</v>
      </c>
      <c r="X1005" s="35">
        <f t="shared" si="188"/>
        <v>0</v>
      </c>
      <c r="Y1005">
        <f t="shared" si="189"/>
        <v>1</v>
      </c>
      <c r="AB1005">
        <f t="shared" si="190"/>
        <v>1</v>
      </c>
      <c r="AC1005">
        <f t="shared" ca="1" si="191"/>
        <v>0</v>
      </c>
      <c r="AD1005" t="str">
        <f ca="1">IF(AC1005=1,COUNTIF($AC$3:AC1005,1),"")</f>
        <v/>
      </c>
      <c r="AE1005" s="155" t="str">
        <f ca="1">IFERROR(INDEX(Données!$B$3:$B$1479,MATCH(ROWS($AD$3:AD1005),$AD$3:$AD$1479,0)),"")</f>
        <v/>
      </c>
    </row>
    <row r="1006" spans="1:31" ht="15.75" x14ac:dyDescent="0.25">
      <c r="A1006" t="str">
        <f t="shared" si="186"/>
        <v>Scott Laughton - PHI - C</v>
      </c>
      <c r="B1006" t="str">
        <f t="shared" si="187"/>
        <v>Scott Laughton - PHI - C</v>
      </c>
      <c r="C1006" t="str">
        <f t="shared" si="180"/>
        <v>Scott</v>
      </c>
      <c r="D1006" t="str">
        <f t="shared" si="181"/>
        <v>Laughton</v>
      </c>
      <c r="E1006" s="39" t="s">
        <v>1789</v>
      </c>
      <c r="F1006" s="30" t="s">
        <v>28</v>
      </c>
      <c r="G1006" s="35">
        <v>0</v>
      </c>
      <c r="H1006" s="35" t="s">
        <v>73</v>
      </c>
      <c r="I1006" s="35" t="s">
        <v>2439</v>
      </c>
      <c r="J1006" s="35">
        <v>25</v>
      </c>
      <c r="K1006" s="35">
        <f>VALUE(COUNTIF(Validation!$A$2:$H$47,E1006))</f>
        <v>0</v>
      </c>
      <c r="L1006" s="361">
        <f t="shared" si="182"/>
        <v>2300000</v>
      </c>
      <c r="M1006" s="361">
        <f t="shared" si="183"/>
        <v>2300000</v>
      </c>
      <c r="N1006" s="358">
        <v>2300000</v>
      </c>
      <c r="O1006" s="358">
        <v>2300000</v>
      </c>
      <c r="P1006" s="358" t="s">
        <v>7</v>
      </c>
      <c r="Q1006" s="358">
        <v>0</v>
      </c>
      <c r="R1006" s="358">
        <v>0</v>
      </c>
      <c r="S1006" s="358">
        <v>0</v>
      </c>
      <c r="T1006" s="358">
        <v>0</v>
      </c>
      <c r="U1006" s="35">
        <f t="shared" si="184"/>
        <v>2</v>
      </c>
      <c r="W1006">
        <f t="shared" si="185"/>
        <v>1</v>
      </c>
      <c r="X1006" s="35">
        <f t="shared" si="188"/>
        <v>0</v>
      </c>
      <c r="Y1006">
        <f t="shared" si="189"/>
        <v>1</v>
      </c>
      <c r="AB1006">
        <f t="shared" si="190"/>
        <v>1</v>
      </c>
      <c r="AC1006">
        <f t="shared" ca="1" si="191"/>
        <v>0</v>
      </c>
      <c r="AD1006" t="str">
        <f ca="1">IF(AC1006=1,COUNTIF($AC$3:AC1006,1),"")</f>
        <v/>
      </c>
      <c r="AE1006" s="155" t="str">
        <f ca="1">IFERROR(INDEX(Données!$B$3:$B$1479,MATCH(ROWS($AD$3:AD1006),$AD$3:$AD$1479,0)),"")</f>
        <v/>
      </c>
    </row>
    <row r="1007" spans="1:31" ht="15.75" x14ac:dyDescent="0.25">
      <c r="A1007" t="str">
        <f t="shared" si="186"/>
        <v>Brian Elliott - PHI - G</v>
      </c>
      <c r="B1007" t="str">
        <f t="shared" si="187"/>
        <v>Brian Elliott - PHI - G</v>
      </c>
      <c r="C1007" t="str">
        <f t="shared" si="180"/>
        <v>Brian</v>
      </c>
      <c r="D1007" t="str">
        <f t="shared" si="181"/>
        <v>Elliott</v>
      </c>
      <c r="E1007" s="39" t="s">
        <v>1798</v>
      </c>
      <c r="F1007" s="30" t="s">
        <v>28</v>
      </c>
      <c r="G1007" s="35">
        <v>0</v>
      </c>
      <c r="H1007" s="9" t="s">
        <v>127</v>
      </c>
      <c r="I1007" s="9" t="s">
        <v>2439</v>
      </c>
      <c r="J1007" s="9">
        <v>34</v>
      </c>
      <c r="K1007" s="35">
        <f>VALUE(COUNTIF(Validation!$A$2:$H$47,E1007))</f>
        <v>0</v>
      </c>
      <c r="L1007" s="361">
        <f t="shared" si="182"/>
        <v>2000000</v>
      </c>
      <c r="M1007" s="361">
        <f t="shared" si="183"/>
        <v>0</v>
      </c>
      <c r="N1007" s="358">
        <v>2000000</v>
      </c>
      <c r="O1007" s="358" t="s">
        <v>7</v>
      </c>
      <c r="P1007" s="358">
        <v>0</v>
      </c>
      <c r="Q1007" s="358">
        <v>0</v>
      </c>
      <c r="R1007" s="358">
        <v>0</v>
      </c>
      <c r="S1007" s="358">
        <v>0</v>
      </c>
      <c r="T1007" s="358">
        <v>0</v>
      </c>
      <c r="U1007" s="35">
        <f t="shared" si="184"/>
        <v>1</v>
      </c>
      <c r="W1007">
        <f t="shared" si="185"/>
        <v>1</v>
      </c>
      <c r="X1007" s="35">
        <f t="shared" si="188"/>
        <v>0</v>
      </c>
      <c r="Y1007">
        <f t="shared" si="189"/>
        <v>0</v>
      </c>
      <c r="AB1007">
        <f t="shared" si="190"/>
        <v>1</v>
      </c>
      <c r="AC1007">
        <f t="shared" ca="1" si="191"/>
        <v>0</v>
      </c>
      <c r="AD1007" t="str">
        <f ca="1">IF(AC1007=1,COUNTIF($AC$3:AC1007,1),"")</f>
        <v/>
      </c>
      <c r="AE1007" s="155" t="str">
        <f ca="1">IFERROR(INDEX(Données!$B$3:$B$1479,MATCH(ROWS($AD$3:AD1007),$AD$3:$AD$1479,0)),"")</f>
        <v/>
      </c>
    </row>
    <row r="1008" spans="1:31" ht="15.75" x14ac:dyDescent="0.25">
      <c r="A1008" t="str">
        <f t="shared" si="186"/>
        <v>Michael Raffl - PHI - AG, AD</v>
      </c>
      <c r="B1008" t="str">
        <f t="shared" si="187"/>
        <v>Michael Raffl - PHI - AG, AD</v>
      </c>
      <c r="C1008" t="str">
        <f t="shared" si="180"/>
        <v>Michael</v>
      </c>
      <c r="D1008" t="str">
        <f t="shared" si="181"/>
        <v>Raffl</v>
      </c>
      <c r="E1008" s="39" t="s">
        <v>1787</v>
      </c>
      <c r="F1008" s="30" t="s">
        <v>28</v>
      </c>
      <c r="G1008" s="35">
        <v>0</v>
      </c>
      <c r="H1008" s="35" t="s">
        <v>2442</v>
      </c>
      <c r="I1008" s="35" t="s">
        <v>2439</v>
      </c>
      <c r="J1008" s="35">
        <v>30</v>
      </c>
      <c r="K1008" s="35">
        <f>VALUE(COUNTIF(Validation!$A$2:$H$47,E1008))</f>
        <v>0</v>
      </c>
      <c r="L1008" s="361">
        <f t="shared" si="182"/>
        <v>1600000</v>
      </c>
      <c r="M1008" s="361">
        <f t="shared" si="183"/>
        <v>1600000</v>
      </c>
      <c r="N1008" s="358">
        <v>1600000</v>
      </c>
      <c r="O1008" s="358">
        <v>1600000</v>
      </c>
      <c r="P1008" s="358" t="s">
        <v>7</v>
      </c>
      <c r="Q1008" s="358">
        <v>0</v>
      </c>
      <c r="R1008" s="358">
        <v>0</v>
      </c>
      <c r="S1008" s="358">
        <v>0</v>
      </c>
      <c r="T1008" s="358">
        <v>0</v>
      </c>
      <c r="U1008" s="35">
        <f t="shared" si="184"/>
        <v>2</v>
      </c>
      <c r="W1008">
        <f t="shared" si="185"/>
        <v>1</v>
      </c>
      <c r="X1008" s="35">
        <f t="shared" si="188"/>
        <v>0</v>
      </c>
      <c r="Y1008">
        <f t="shared" si="189"/>
        <v>1</v>
      </c>
      <c r="AB1008">
        <f t="shared" si="190"/>
        <v>1</v>
      </c>
      <c r="AC1008">
        <f t="shared" ca="1" si="191"/>
        <v>0</v>
      </c>
      <c r="AD1008" t="str">
        <f ca="1">IF(AC1008=1,COUNTIF($AC$3:AC1008,1),"")</f>
        <v/>
      </c>
      <c r="AE1008" s="155" t="str">
        <f ca="1">IFERROR(INDEX(Données!$B$3:$B$1479,MATCH(ROWS($AD$3:AD1008),$AD$3:$AD$1479,0)),"")</f>
        <v/>
      </c>
    </row>
    <row r="1009" spans="1:31" ht="15.75" x14ac:dyDescent="0.25">
      <c r="A1009" t="str">
        <f t="shared" si="186"/>
        <v>Joel Farabee - PHI - AG</v>
      </c>
      <c r="B1009" t="str">
        <f t="shared" si="187"/>
        <v>Joel Farabee - PHI - AG</v>
      </c>
      <c r="C1009" t="str">
        <f t="shared" si="180"/>
        <v>Joel</v>
      </c>
      <c r="D1009" t="str">
        <f t="shared" si="181"/>
        <v>Farabee</v>
      </c>
      <c r="E1009" s="39" t="s">
        <v>2635</v>
      </c>
      <c r="F1009" s="30" t="s">
        <v>28</v>
      </c>
      <c r="G1009" s="35" t="s">
        <v>386</v>
      </c>
      <c r="H1009" s="9" t="s">
        <v>2440</v>
      </c>
      <c r="I1009" s="9" t="s">
        <v>2446</v>
      </c>
      <c r="J1009" s="9">
        <v>19</v>
      </c>
      <c r="K1009" s="35">
        <f>VALUE(COUNTIF(Validation!$A$2:$H$47,E1009))</f>
        <v>0</v>
      </c>
      <c r="L1009" s="361">
        <f t="shared" si="182"/>
        <v>1425000</v>
      </c>
      <c r="M1009" s="361">
        <f t="shared" si="183"/>
        <v>1425000</v>
      </c>
      <c r="N1009" s="358">
        <v>1425000</v>
      </c>
      <c r="O1009" s="358">
        <v>1425000</v>
      </c>
      <c r="P1009" s="358">
        <v>1425000</v>
      </c>
      <c r="Q1009" s="358" t="s">
        <v>8</v>
      </c>
      <c r="R1009" s="358">
        <v>0</v>
      </c>
      <c r="S1009" s="358">
        <v>0</v>
      </c>
      <c r="T1009" s="358">
        <v>0</v>
      </c>
      <c r="U1009" s="35">
        <f t="shared" si="184"/>
        <v>3</v>
      </c>
      <c r="W1009">
        <f t="shared" si="185"/>
        <v>1</v>
      </c>
      <c r="X1009" s="35">
        <f t="shared" si="188"/>
        <v>1</v>
      </c>
      <c r="Y1009">
        <f t="shared" si="189"/>
        <v>1</v>
      </c>
      <c r="AB1009">
        <f t="shared" si="190"/>
        <v>1</v>
      </c>
      <c r="AC1009">
        <f t="shared" ca="1" si="191"/>
        <v>0</v>
      </c>
      <c r="AD1009" t="str">
        <f ca="1">IF(AC1009=1,COUNTIF($AC$3:AC1009,1),"")</f>
        <v/>
      </c>
      <c r="AE1009" s="155" t="str">
        <f ca="1">IFERROR(INDEX(Données!$B$3:$B$1479,MATCH(ROWS($AD$3:AD1009),$AD$3:$AD$1479,0)),"")</f>
        <v/>
      </c>
    </row>
    <row r="1010" spans="1:31" ht="15.75" x14ac:dyDescent="0.25">
      <c r="A1010" t="str">
        <f t="shared" si="186"/>
        <v>Robert Hagg - PHI - DG</v>
      </c>
      <c r="B1010" t="str">
        <f t="shared" si="187"/>
        <v>Robert Hagg - PHI - DG</v>
      </c>
      <c r="C1010" t="str">
        <f t="shared" si="180"/>
        <v>Robert</v>
      </c>
      <c r="D1010" t="str">
        <f t="shared" si="181"/>
        <v>Hagg</v>
      </c>
      <c r="E1010" s="39" t="s">
        <v>2872</v>
      </c>
      <c r="F1010" s="30" t="s">
        <v>28</v>
      </c>
      <c r="G1010" s="35">
        <v>0</v>
      </c>
      <c r="H1010" s="35" t="s">
        <v>2445</v>
      </c>
      <c r="I1010" s="35" t="s">
        <v>2439</v>
      </c>
      <c r="J1010" s="35">
        <v>24</v>
      </c>
      <c r="K1010" s="35">
        <f>VALUE(COUNTIF(Validation!$A$2:$H$47,E1010))</f>
        <v>0</v>
      </c>
      <c r="L1010" s="361">
        <f t="shared" si="182"/>
        <v>1150000</v>
      </c>
      <c r="M1010" s="361">
        <f t="shared" si="183"/>
        <v>0</v>
      </c>
      <c r="N1010" s="358">
        <v>1150000</v>
      </c>
      <c r="O1010" s="358" t="s">
        <v>8</v>
      </c>
      <c r="P1010" s="358">
        <v>0</v>
      </c>
      <c r="Q1010" s="358">
        <v>0</v>
      </c>
      <c r="R1010" s="358">
        <v>0</v>
      </c>
      <c r="S1010" s="358">
        <v>0</v>
      </c>
      <c r="T1010" s="358">
        <v>0</v>
      </c>
      <c r="U1010" s="35">
        <f t="shared" si="184"/>
        <v>1</v>
      </c>
      <c r="W1010">
        <f t="shared" si="185"/>
        <v>1</v>
      </c>
      <c r="X1010" s="35">
        <f t="shared" si="188"/>
        <v>0</v>
      </c>
      <c r="Y1010">
        <f t="shared" si="189"/>
        <v>0</v>
      </c>
      <c r="AB1010">
        <f t="shared" si="190"/>
        <v>1</v>
      </c>
      <c r="AC1010">
        <f t="shared" ca="1" si="191"/>
        <v>0</v>
      </c>
      <c r="AD1010" t="str">
        <f ca="1">IF(AC1010=1,COUNTIF($AC$3:AC1010,1),"")</f>
        <v/>
      </c>
      <c r="AE1010" s="155" t="str">
        <f ca="1">IFERROR(INDEX(Données!$B$3:$B$1479,MATCH(ROWS($AD$3:AD1010),$AD$3:$AD$1479,0)),"")</f>
        <v/>
      </c>
    </row>
    <row r="1011" spans="1:31" ht="15.75" x14ac:dyDescent="0.25">
      <c r="A1011" t="str">
        <f t="shared" si="186"/>
        <v>Oskar Lindblom - PHI - AG</v>
      </c>
      <c r="B1011" t="str">
        <f t="shared" si="187"/>
        <v>Oskar Lindblom - PHI - AG</v>
      </c>
      <c r="C1011" t="str">
        <f t="shared" si="180"/>
        <v>Oskar</v>
      </c>
      <c r="D1011" t="str">
        <f t="shared" si="181"/>
        <v>Lindblom</v>
      </c>
      <c r="E1011" s="39" t="s">
        <v>1791</v>
      </c>
      <c r="F1011" s="30" t="s">
        <v>28</v>
      </c>
      <c r="G1011" s="35" t="s">
        <v>403</v>
      </c>
      <c r="H1011" s="35" t="s">
        <v>2440</v>
      </c>
      <c r="I1011" s="35" t="s">
        <v>2439</v>
      </c>
      <c r="J1011" s="35">
        <v>22</v>
      </c>
      <c r="K1011" s="35">
        <f>VALUE(COUNTIF(Validation!$A$2:$H$47,E1011))</f>
        <v>0</v>
      </c>
      <c r="L1011" s="361">
        <f t="shared" si="182"/>
        <v>1137500</v>
      </c>
      <c r="M1011" s="361">
        <f t="shared" si="183"/>
        <v>0</v>
      </c>
      <c r="N1011" s="358">
        <v>1137500</v>
      </c>
      <c r="O1011" s="358" t="s">
        <v>8</v>
      </c>
      <c r="P1011" s="358">
        <v>0</v>
      </c>
      <c r="Q1011" s="358">
        <v>0</v>
      </c>
      <c r="R1011" s="358">
        <v>0</v>
      </c>
      <c r="S1011" s="358">
        <v>0</v>
      </c>
      <c r="T1011" s="358">
        <v>0</v>
      </c>
      <c r="U1011" s="35">
        <f t="shared" si="184"/>
        <v>1</v>
      </c>
      <c r="W1011">
        <f t="shared" si="185"/>
        <v>1</v>
      </c>
      <c r="X1011" s="35">
        <f t="shared" si="188"/>
        <v>1</v>
      </c>
      <c r="Y1011">
        <f t="shared" si="189"/>
        <v>0</v>
      </c>
      <c r="AB1011">
        <f t="shared" si="190"/>
        <v>1</v>
      </c>
      <c r="AC1011">
        <f t="shared" ca="1" si="191"/>
        <v>0</v>
      </c>
      <c r="AD1011" t="str">
        <f ca="1">IF(AC1011=1,COUNTIF($AC$3:AC1011,1),"")</f>
        <v/>
      </c>
      <c r="AE1011" s="155" t="str">
        <f ca="1">IFERROR(INDEX(Données!$B$3:$B$1479,MATCH(ROWS($AD$3:AD1011),$AD$3:$AD$1479,0)),"")</f>
        <v/>
      </c>
    </row>
    <row r="1012" spans="1:31" ht="15.75" x14ac:dyDescent="0.25">
      <c r="A1012" t="str">
        <f t="shared" si="186"/>
        <v>German Rubtsov - PHI - C</v>
      </c>
      <c r="B1012" t="str">
        <f t="shared" si="187"/>
        <v>German Rubtsov - PHI - C</v>
      </c>
      <c r="C1012" t="str">
        <f t="shared" si="180"/>
        <v>German</v>
      </c>
      <c r="D1012" t="str">
        <f t="shared" si="181"/>
        <v>Rubtsov</v>
      </c>
      <c r="E1012" s="39" t="s">
        <v>1801</v>
      </c>
      <c r="F1012" s="30" t="s">
        <v>28</v>
      </c>
      <c r="G1012" s="35" t="s">
        <v>386</v>
      </c>
      <c r="H1012" s="9" t="s">
        <v>73</v>
      </c>
      <c r="I1012" s="9" t="s">
        <v>2446</v>
      </c>
      <c r="J1012" s="9">
        <v>21</v>
      </c>
      <c r="K1012" s="35">
        <f>VALUE(COUNTIF(Validation!$A$2:$H$47,E1012))</f>
        <v>0</v>
      </c>
      <c r="L1012" s="361">
        <f t="shared" si="182"/>
        <v>1106666</v>
      </c>
      <c r="M1012" s="361">
        <f t="shared" si="183"/>
        <v>1106666</v>
      </c>
      <c r="N1012" s="358">
        <v>1106666</v>
      </c>
      <c r="O1012" s="358">
        <v>1106666</v>
      </c>
      <c r="P1012" s="358" t="s">
        <v>8</v>
      </c>
      <c r="Q1012" s="358">
        <v>0</v>
      </c>
      <c r="R1012" s="358">
        <v>0</v>
      </c>
      <c r="S1012" s="358">
        <v>0</v>
      </c>
      <c r="T1012" s="358">
        <v>0</v>
      </c>
      <c r="U1012" s="35">
        <f t="shared" si="184"/>
        <v>2</v>
      </c>
      <c r="W1012">
        <f t="shared" si="185"/>
        <v>1</v>
      </c>
      <c r="X1012" s="35">
        <f t="shared" si="188"/>
        <v>1</v>
      </c>
      <c r="Y1012">
        <f t="shared" si="189"/>
        <v>1</v>
      </c>
      <c r="AB1012">
        <f t="shared" si="190"/>
        <v>1</v>
      </c>
      <c r="AC1012">
        <f t="shared" ca="1" si="191"/>
        <v>0</v>
      </c>
      <c r="AD1012" t="str">
        <f ca="1">IF(AC1012=1,COUNTIF($AC$3:AC1012,1),"")</f>
        <v/>
      </c>
      <c r="AE1012" s="155" t="str">
        <f ca="1">IFERROR(INDEX(Données!$B$3:$B$1479,MATCH(ROWS($AD$3:AD1012),$AD$3:$AD$1479,0)),"")</f>
        <v/>
      </c>
    </row>
    <row r="1013" spans="1:31" ht="15.75" x14ac:dyDescent="0.25">
      <c r="A1013" t="str">
        <f t="shared" si="186"/>
        <v>Tyler Pitlick - PHI - AD</v>
      </c>
      <c r="B1013" t="str">
        <f t="shared" si="187"/>
        <v>Tyler Pitlick - PHI - AD</v>
      </c>
      <c r="C1013" t="str">
        <f t="shared" si="180"/>
        <v>Tyler</v>
      </c>
      <c r="D1013" t="str">
        <f t="shared" si="181"/>
        <v>Pitlick</v>
      </c>
      <c r="E1013" s="39" t="s">
        <v>1957</v>
      </c>
      <c r="F1013" s="30" t="s">
        <v>28</v>
      </c>
      <c r="G1013" s="35">
        <v>0</v>
      </c>
      <c r="H1013" s="35" t="s">
        <v>2438</v>
      </c>
      <c r="I1013" s="35" t="s">
        <v>2439</v>
      </c>
      <c r="J1013" s="35">
        <v>27</v>
      </c>
      <c r="K1013" s="35">
        <f>VALUE(COUNTIF(Validation!$A$2:$H$47,E1013))</f>
        <v>0</v>
      </c>
      <c r="L1013" s="361">
        <f t="shared" si="182"/>
        <v>1000000</v>
      </c>
      <c r="M1013" s="361">
        <f t="shared" si="183"/>
        <v>0</v>
      </c>
      <c r="N1013" s="358">
        <v>1000000</v>
      </c>
      <c r="O1013" s="358" t="s">
        <v>7</v>
      </c>
      <c r="P1013" s="358">
        <v>0</v>
      </c>
      <c r="Q1013" s="358">
        <v>0</v>
      </c>
      <c r="R1013" s="358">
        <v>0</v>
      </c>
      <c r="S1013" s="358">
        <v>0</v>
      </c>
      <c r="T1013" s="358">
        <v>0</v>
      </c>
      <c r="U1013" s="35">
        <f t="shared" si="184"/>
        <v>1</v>
      </c>
      <c r="W1013">
        <f t="shared" si="185"/>
        <v>1</v>
      </c>
      <c r="X1013" s="35">
        <f t="shared" si="188"/>
        <v>0</v>
      </c>
      <c r="Y1013">
        <f t="shared" si="189"/>
        <v>0</v>
      </c>
      <c r="AB1013">
        <f t="shared" si="190"/>
        <v>1</v>
      </c>
      <c r="AC1013">
        <f t="shared" ca="1" si="191"/>
        <v>0</v>
      </c>
      <c r="AD1013" t="str">
        <f ca="1">IF(AC1013=1,COUNTIF($AC$3:AC1013,1),"")</f>
        <v/>
      </c>
      <c r="AE1013" s="155" t="str">
        <f ca="1">IFERROR(INDEX(Données!$B$3:$B$1479,MATCH(ROWS($AD$3:AD1013),$AD$3:$AD$1479,0)),"")</f>
        <v/>
      </c>
    </row>
    <row r="1014" spans="1:31" ht="15.75" x14ac:dyDescent="0.25">
      <c r="A1014" t="str">
        <f t="shared" si="186"/>
        <v>Felix Sandstrom - PHI - G</v>
      </c>
      <c r="B1014" t="str">
        <f t="shared" si="187"/>
        <v>Felix Sandstrom - PHI - G</v>
      </c>
      <c r="C1014" t="str">
        <f t="shared" si="180"/>
        <v>Felix</v>
      </c>
      <c r="D1014" t="str">
        <f t="shared" si="181"/>
        <v>Sandstrom</v>
      </c>
      <c r="E1014" s="39" t="s">
        <v>2861</v>
      </c>
      <c r="F1014" s="30" t="s">
        <v>28</v>
      </c>
      <c r="G1014" s="35" t="s">
        <v>386</v>
      </c>
      <c r="H1014" s="35" t="s">
        <v>127</v>
      </c>
      <c r="I1014" s="35" t="s">
        <v>2446</v>
      </c>
      <c r="J1014" s="35">
        <v>22</v>
      </c>
      <c r="K1014" s="35">
        <f>VALUE(COUNTIF(Validation!$A$2:$H$47,E1014))</f>
        <v>0</v>
      </c>
      <c r="L1014" s="361">
        <f t="shared" si="182"/>
        <v>925000</v>
      </c>
      <c r="M1014" s="361">
        <f t="shared" si="183"/>
        <v>925000</v>
      </c>
      <c r="N1014" s="358">
        <v>925000</v>
      </c>
      <c r="O1014" s="358">
        <v>925000</v>
      </c>
      <c r="P1014" s="358" t="s">
        <v>8</v>
      </c>
      <c r="Q1014" s="358">
        <v>0</v>
      </c>
      <c r="R1014" s="358">
        <v>0</v>
      </c>
      <c r="S1014" s="358">
        <v>0</v>
      </c>
      <c r="T1014" s="358">
        <v>0</v>
      </c>
      <c r="U1014" s="35">
        <f t="shared" si="184"/>
        <v>2</v>
      </c>
      <c r="W1014">
        <f t="shared" si="185"/>
        <v>1</v>
      </c>
      <c r="X1014" s="35">
        <f t="shared" si="188"/>
        <v>1</v>
      </c>
      <c r="Y1014">
        <f t="shared" si="189"/>
        <v>1</v>
      </c>
      <c r="AB1014">
        <f t="shared" si="190"/>
        <v>1</v>
      </c>
      <c r="AC1014">
        <f t="shared" ca="1" si="191"/>
        <v>0</v>
      </c>
      <c r="AD1014" t="str">
        <f ca="1">IF(AC1014=1,COUNTIF($AC$3:AC1014,1),"")</f>
        <v/>
      </c>
      <c r="AE1014" s="155" t="str">
        <f ca="1">IFERROR(INDEX(Données!$B$3:$B$1479,MATCH(ROWS($AD$3:AD1014),$AD$3:$AD$1479,0)),"")</f>
        <v/>
      </c>
    </row>
    <row r="1015" spans="1:31" ht="15.75" x14ac:dyDescent="0.25">
      <c r="A1015" t="str">
        <f t="shared" si="186"/>
        <v>Carsen Twarynski - PHI - AG</v>
      </c>
      <c r="B1015" t="str">
        <f t="shared" si="187"/>
        <v>Carsen Twarynski - PHI - AG</v>
      </c>
      <c r="C1015" t="str">
        <f t="shared" si="180"/>
        <v>Carsen</v>
      </c>
      <c r="D1015" t="str">
        <f t="shared" si="181"/>
        <v>Twarynski</v>
      </c>
      <c r="E1015" s="39" t="s">
        <v>1807</v>
      </c>
      <c r="F1015" s="30" t="s">
        <v>28</v>
      </c>
      <c r="G1015" s="35" t="s">
        <v>386</v>
      </c>
      <c r="H1015" s="35" t="s">
        <v>2440</v>
      </c>
      <c r="I1015" s="35" t="s">
        <v>2446</v>
      </c>
      <c r="J1015" s="35">
        <v>21</v>
      </c>
      <c r="K1015" s="35">
        <f>VALUE(COUNTIF(Validation!$A$2:$H$47,E1015))</f>
        <v>0</v>
      </c>
      <c r="L1015" s="361">
        <f t="shared" si="182"/>
        <v>925000</v>
      </c>
      <c r="M1015" s="361">
        <f t="shared" si="183"/>
        <v>925000</v>
      </c>
      <c r="N1015" s="358">
        <v>925000</v>
      </c>
      <c r="O1015" s="358">
        <v>925000</v>
      </c>
      <c r="P1015" s="358" t="s">
        <v>8</v>
      </c>
      <c r="Q1015" s="358">
        <v>0</v>
      </c>
      <c r="R1015" s="358">
        <v>0</v>
      </c>
      <c r="S1015" s="358">
        <v>0</v>
      </c>
      <c r="T1015" s="358">
        <v>0</v>
      </c>
      <c r="U1015" s="35">
        <f t="shared" si="184"/>
        <v>2</v>
      </c>
      <c r="W1015">
        <f t="shared" si="185"/>
        <v>1</v>
      </c>
      <c r="X1015" s="35">
        <f t="shared" si="188"/>
        <v>1</v>
      </c>
      <c r="Y1015">
        <f t="shared" si="189"/>
        <v>1</v>
      </c>
      <c r="AB1015">
        <f t="shared" si="190"/>
        <v>1</v>
      </c>
      <c r="AC1015">
        <f t="shared" ca="1" si="191"/>
        <v>0</v>
      </c>
      <c r="AD1015" t="str">
        <f ca="1">IF(AC1015=1,COUNTIF($AC$3:AC1015,1),"")</f>
        <v/>
      </c>
      <c r="AE1015" s="155" t="str">
        <f ca="1">IFERROR(INDEX(Données!$B$3:$B$1479,MATCH(ROWS($AD$3:AD1015),$AD$3:$AD$1479,0)),"")</f>
        <v/>
      </c>
    </row>
    <row r="1016" spans="1:31" ht="15.75" x14ac:dyDescent="0.25">
      <c r="A1016" t="str">
        <f t="shared" si="186"/>
        <v>Kirill Ustimenko - PHI - G</v>
      </c>
      <c r="B1016" t="str">
        <f t="shared" si="187"/>
        <v>Kirill Ustimenko - PHI - G</v>
      </c>
      <c r="C1016" t="str">
        <f t="shared" si="180"/>
        <v>Kirill</v>
      </c>
      <c r="D1016" t="str">
        <f t="shared" si="181"/>
        <v>Ustimenko</v>
      </c>
      <c r="E1016" s="39" t="s">
        <v>2637</v>
      </c>
      <c r="F1016" s="30" t="s">
        <v>28</v>
      </c>
      <c r="G1016" s="35" t="s">
        <v>386</v>
      </c>
      <c r="H1016" s="35" t="s">
        <v>127</v>
      </c>
      <c r="I1016" s="35" t="s">
        <v>2446</v>
      </c>
      <c r="J1016" s="35">
        <v>20</v>
      </c>
      <c r="K1016" s="35">
        <f>VALUE(COUNTIF(Validation!$A$2:$H$47,E1016))</f>
        <v>0</v>
      </c>
      <c r="L1016" s="361">
        <f t="shared" si="182"/>
        <v>925000</v>
      </c>
      <c r="M1016" s="361">
        <f t="shared" si="183"/>
        <v>925000</v>
      </c>
      <c r="N1016" s="358">
        <v>925000</v>
      </c>
      <c r="O1016" s="358">
        <v>925000</v>
      </c>
      <c r="P1016" s="358">
        <v>925000</v>
      </c>
      <c r="Q1016" s="358" t="s">
        <v>8</v>
      </c>
      <c r="R1016" s="358">
        <v>0</v>
      </c>
      <c r="S1016" s="358">
        <v>0</v>
      </c>
      <c r="T1016" s="358">
        <v>0</v>
      </c>
      <c r="U1016" s="35">
        <f t="shared" si="184"/>
        <v>3</v>
      </c>
      <c r="W1016">
        <f t="shared" si="185"/>
        <v>1</v>
      </c>
      <c r="X1016" s="35">
        <f t="shared" si="188"/>
        <v>1</v>
      </c>
      <c r="Y1016">
        <f t="shared" si="189"/>
        <v>1</v>
      </c>
      <c r="AB1016">
        <f t="shared" si="190"/>
        <v>1</v>
      </c>
      <c r="AC1016">
        <f t="shared" ca="1" si="191"/>
        <v>0</v>
      </c>
      <c r="AD1016" t="str">
        <f ca="1">IF(AC1016=1,COUNTIF($AC$3:AC1016,1),"")</f>
        <v/>
      </c>
      <c r="AE1016" s="155" t="str">
        <f ca="1">IFERROR(INDEX(Données!$B$3:$B$1479,MATCH(ROWS($AD$3:AD1016),$AD$3:$AD$1479,0)),"")</f>
        <v/>
      </c>
    </row>
    <row r="1017" spans="1:31" ht="15.75" x14ac:dyDescent="0.25">
      <c r="A1017" t="str">
        <f t="shared" si="186"/>
        <v>Mikhail Vorobyov - PHI - C</v>
      </c>
      <c r="B1017" t="str">
        <f t="shared" si="187"/>
        <v>Mikhail Vorobyov - PHI - C</v>
      </c>
      <c r="C1017" t="str">
        <f t="shared" si="180"/>
        <v>Mikhail</v>
      </c>
      <c r="D1017" t="str">
        <f t="shared" si="181"/>
        <v>Vorobyov</v>
      </c>
      <c r="E1017" s="39" t="s">
        <v>1805</v>
      </c>
      <c r="F1017" s="30" t="s">
        <v>28</v>
      </c>
      <c r="G1017" s="35" t="s">
        <v>386</v>
      </c>
      <c r="H1017" s="9" t="s">
        <v>73</v>
      </c>
      <c r="I1017" s="9" t="s">
        <v>2446</v>
      </c>
      <c r="J1017" s="9">
        <v>22</v>
      </c>
      <c r="K1017" s="35">
        <f>VALUE(COUNTIF(Validation!$A$2:$H$47,E1017))</f>
        <v>0</v>
      </c>
      <c r="L1017" s="361">
        <f t="shared" si="182"/>
        <v>925000</v>
      </c>
      <c r="M1017" s="361">
        <f t="shared" si="183"/>
        <v>0</v>
      </c>
      <c r="N1017" s="358">
        <v>925000</v>
      </c>
      <c r="O1017" s="358" t="s">
        <v>8</v>
      </c>
      <c r="P1017" s="358">
        <v>0</v>
      </c>
      <c r="Q1017" s="358">
        <v>0</v>
      </c>
      <c r="R1017" s="358">
        <v>0</v>
      </c>
      <c r="S1017" s="358">
        <v>0</v>
      </c>
      <c r="T1017" s="358">
        <v>0</v>
      </c>
      <c r="U1017" s="35">
        <f t="shared" si="184"/>
        <v>1</v>
      </c>
      <c r="W1017">
        <f t="shared" si="185"/>
        <v>1</v>
      </c>
      <c r="X1017" s="35">
        <f t="shared" si="188"/>
        <v>1</v>
      </c>
      <c r="Y1017">
        <f t="shared" si="189"/>
        <v>0</v>
      </c>
      <c r="AB1017">
        <f t="shared" si="190"/>
        <v>1</v>
      </c>
      <c r="AC1017">
        <f t="shared" ca="1" si="191"/>
        <v>0</v>
      </c>
      <c r="AD1017" t="str">
        <f ca="1">IF(AC1017=1,COUNTIF($AC$3:AC1017,1),"")</f>
        <v/>
      </c>
      <c r="AE1017" s="155" t="str">
        <f ca="1">IFERROR(INDEX(Données!$B$3:$B$1479,MATCH(ROWS($AD$3:AD1017),$AD$3:$AD$1479,0)),"")</f>
        <v/>
      </c>
    </row>
    <row r="1018" spans="1:31" ht="15.75" x14ac:dyDescent="0.25">
      <c r="A1018" t="str">
        <f t="shared" si="186"/>
        <v>Matthew Strome - PHI - AG</v>
      </c>
      <c r="B1018" t="str">
        <f t="shared" si="187"/>
        <v>Matthew Strome - PHI - AG</v>
      </c>
      <c r="C1018" t="str">
        <f t="shared" si="180"/>
        <v>Matthew</v>
      </c>
      <c r="D1018" t="str">
        <f t="shared" si="181"/>
        <v>Strome</v>
      </c>
      <c r="E1018" s="39" t="s">
        <v>1804</v>
      </c>
      <c r="F1018" s="30" t="s">
        <v>28</v>
      </c>
      <c r="G1018" s="35" t="s">
        <v>386</v>
      </c>
      <c r="H1018" s="35" t="s">
        <v>2440</v>
      </c>
      <c r="I1018" s="35" t="s">
        <v>2446</v>
      </c>
      <c r="J1018" s="35">
        <v>20</v>
      </c>
      <c r="K1018" s="35">
        <f>VALUE(COUNTIF(Validation!$A$2:$H$47,E1018))</f>
        <v>0</v>
      </c>
      <c r="L1018" s="361">
        <f t="shared" si="182"/>
        <v>879167</v>
      </c>
      <c r="M1018" s="361">
        <f t="shared" si="183"/>
        <v>879167</v>
      </c>
      <c r="N1018" s="358">
        <v>879167</v>
      </c>
      <c r="O1018" s="358">
        <v>879167</v>
      </c>
      <c r="P1018" s="358">
        <v>879167</v>
      </c>
      <c r="Q1018" s="358" t="s">
        <v>8</v>
      </c>
      <c r="R1018" s="358">
        <v>0</v>
      </c>
      <c r="S1018" s="358">
        <v>0</v>
      </c>
      <c r="T1018" s="358">
        <v>0</v>
      </c>
      <c r="U1018" s="35">
        <f t="shared" si="184"/>
        <v>3</v>
      </c>
      <c r="W1018">
        <f t="shared" si="185"/>
        <v>1</v>
      </c>
      <c r="X1018" s="35">
        <f t="shared" si="188"/>
        <v>1</v>
      </c>
      <c r="Y1018">
        <f t="shared" si="189"/>
        <v>1</v>
      </c>
      <c r="AB1018">
        <f t="shared" si="190"/>
        <v>1</v>
      </c>
      <c r="AC1018">
        <f t="shared" ca="1" si="191"/>
        <v>0</v>
      </c>
      <c r="AD1018" t="str">
        <f ca="1">IF(AC1018=1,COUNTIF($AC$3:AC1018,1),"")</f>
        <v/>
      </c>
      <c r="AE1018" s="155" t="str">
        <f ca="1">IFERROR(INDEX(Données!$B$3:$B$1479,MATCH(ROWS($AD$3:AD1018),$AD$3:$AD$1479,0)),"")</f>
        <v/>
      </c>
    </row>
    <row r="1019" spans="1:31" ht="15.75" x14ac:dyDescent="0.25">
      <c r="A1019" t="str">
        <f t="shared" si="186"/>
        <v>Maksim Sushko - PHI - AD</v>
      </c>
      <c r="B1019" t="str">
        <f t="shared" si="187"/>
        <v>Maksim Sushko - PHI - AD</v>
      </c>
      <c r="C1019" t="str">
        <f t="shared" si="180"/>
        <v>Maksim</v>
      </c>
      <c r="D1019" t="str">
        <f t="shared" si="181"/>
        <v>Sushko</v>
      </c>
      <c r="E1019" s="39" t="s">
        <v>1803</v>
      </c>
      <c r="F1019" s="30" t="s">
        <v>28</v>
      </c>
      <c r="G1019" s="35" t="s">
        <v>386</v>
      </c>
      <c r="H1019" s="35" t="s">
        <v>2438</v>
      </c>
      <c r="I1019" s="35" t="s">
        <v>2446</v>
      </c>
      <c r="J1019" s="35">
        <v>20</v>
      </c>
      <c r="K1019" s="35">
        <f>VALUE(COUNTIF(Validation!$A$2:$H$47,E1019))</f>
        <v>0</v>
      </c>
      <c r="L1019" s="361">
        <f t="shared" si="182"/>
        <v>879167</v>
      </c>
      <c r="M1019" s="361">
        <f t="shared" si="183"/>
        <v>879167</v>
      </c>
      <c r="N1019" s="358">
        <v>879167</v>
      </c>
      <c r="O1019" s="358">
        <v>879167</v>
      </c>
      <c r="P1019" s="358">
        <v>879167</v>
      </c>
      <c r="Q1019" s="358" t="s">
        <v>8</v>
      </c>
      <c r="R1019" s="358">
        <v>0</v>
      </c>
      <c r="S1019" s="358">
        <v>0</v>
      </c>
      <c r="T1019" s="358">
        <v>0</v>
      </c>
      <c r="U1019" s="35">
        <f t="shared" si="184"/>
        <v>3</v>
      </c>
      <c r="W1019">
        <f t="shared" si="185"/>
        <v>1</v>
      </c>
      <c r="X1019" s="35">
        <f t="shared" si="188"/>
        <v>1</v>
      </c>
      <c r="Y1019">
        <f t="shared" si="189"/>
        <v>1</v>
      </c>
      <c r="AB1019">
        <f t="shared" si="190"/>
        <v>1</v>
      </c>
      <c r="AC1019">
        <f t="shared" ca="1" si="191"/>
        <v>0</v>
      </c>
      <c r="AD1019" t="str">
        <f ca="1">IF(AC1019=1,COUNTIF($AC$3:AC1019,1),"")</f>
        <v/>
      </c>
      <c r="AE1019" s="155" t="str">
        <f ca="1">IFERROR(INDEX(Données!$B$3:$B$1479,MATCH(ROWS($AD$3:AD1019),$AD$3:$AD$1479,0)),"")</f>
        <v/>
      </c>
    </row>
    <row r="1020" spans="1:31" ht="15.75" x14ac:dyDescent="0.25">
      <c r="A1020" t="str">
        <f t="shared" si="186"/>
        <v>Morgan Frost - PHI - C</v>
      </c>
      <c r="B1020" t="str">
        <f t="shared" si="187"/>
        <v>Morgan Frost - PHI - C</v>
      </c>
      <c r="C1020" t="str">
        <f t="shared" si="180"/>
        <v>Morgan</v>
      </c>
      <c r="D1020" t="str">
        <f t="shared" si="181"/>
        <v>Frost</v>
      </c>
      <c r="E1020" s="39" t="s">
        <v>1800</v>
      </c>
      <c r="F1020" s="30" t="s">
        <v>28</v>
      </c>
      <c r="G1020" s="35" t="s">
        <v>386</v>
      </c>
      <c r="H1020" s="35" t="s">
        <v>73</v>
      </c>
      <c r="I1020" s="35" t="s">
        <v>2446</v>
      </c>
      <c r="J1020" s="35">
        <v>20</v>
      </c>
      <c r="K1020" s="35">
        <f>VALUE(COUNTIF(Validation!$A$2:$H$47,E1020))</f>
        <v>0</v>
      </c>
      <c r="L1020" s="361">
        <f t="shared" si="182"/>
        <v>863333</v>
      </c>
      <c r="M1020" s="361">
        <f t="shared" si="183"/>
        <v>863333</v>
      </c>
      <c r="N1020" s="358">
        <v>863333</v>
      </c>
      <c r="O1020" s="358">
        <v>863333</v>
      </c>
      <c r="P1020" s="358">
        <v>863333</v>
      </c>
      <c r="Q1020" s="358" t="s">
        <v>8</v>
      </c>
      <c r="R1020" s="358">
        <v>0</v>
      </c>
      <c r="S1020" s="358">
        <v>0</v>
      </c>
      <c r="T1020" s="358">
        <v>0</v>
      </c>
      <c r="U1020" s="35">
        <f t="shared" si="184"/>
        <v>3</v>
      </c>
      <c r="W1020">
        <f t="shared" si="185"/>
        <v>1</v>
      </c>
      <c r="X1020" s="35">
        <f t="shared" si="188"/>
        <v>1</v>
      </c>
      <c r="Y1020">
        <f t="shared" si="189"/>
        <v>1</v>
      </c>
      <c r="AB1020">
        <f t="shared" si="190"/>
        <v>1</v>
      </c>
      <c r="AC1020">
        <f t="shared" ca="1" si="191"/>
        <v>0</v>
      </c>
      <c r="AD1020" t="str">
        <f ca="1">IF(AC1020=1,COUNTIF($AC$3:AC1020,1),"")</f>
        <v/>
      </c>
      <c r="AE1020" s="155" t="str">
        <f ca="1">IFERROR(INDEX(Données!$B$3:$B$1479,MATCH(ROWS($AD$3:AD1020),$AD$3:$AD$1479,0)),"")</f>
        <v/>
      </c>
    </row>
    <row r="1021" spans="1:31" ht="15.75" x14ac:dyDescent="0.25">
      <c r="A1021" t="str">
        <f t="shared" si="186"/>
        <v>Carter Hart - PHI - G</v>
      </c>
      <c r="B1021" t="str">
        <f t="shared" si="187"/>
        <v>Carter Hart - PHI - G</v>
      </c>
      <c r="C1021" t="str">
        <f t="shared" si="180"/>
        <v>Carter</v>
      </c>
      <c r="D1021" t="str">
        <f t="shared" si="181"/>
        <v>Hart</v>
      </c>
      <c r="E1021" s="39" t="s">
        <v>1813</v>
      </c>
      <c r="F1021" s="30" t="s">
        <v>28</v>
      </c>
      <c r="G1021" s="35" t="s">
        <v>386</v>
      </c>
      <c r="H1021" s="35" t="s">
        <v>127</v>
      </c>
      <c r="I1021" s="35" t="s">
        <v>2439</v>
      </c>
      <c r="J1021" s="35">
        <v>21</v>
      </c>
      <c r="K1021" s="35">
        <f>VALUE(COUNTIF(Validation!$A$2:$H$47,E1021))</f>
        <v>0</v>
      </c>
      <c r="L1021" s="361">
        <f t="shared" si="182"/>
        <v>863333</v>
      </c>
      <c r="M1021" s="361">
        <f t="shared" si="183"/>
        <v>863333</v>
      </c>
      <c r="N1021" s="358">
        <v>863333</v>
      </c>
      <c r="O1021" s="358">
        <v>863333</v>
      </c>
      <c r="P1021" s="358" t="s">
        <v>8</v>
      </c>
      <c r="Q1021" s="358">
        <v>0</v>
      </c>
      <c r="R1021" s="358">
        <v>0</v>
      </c>
      <c r="S1021" s="358">
        <v>0</v>
      </c>
      <c r="T1021" s="358">
        <v>0</v>
      </c>
      <c r="U1021" s="35">
        <f t="shared" si="184"/>
        <v>2</v>
      </c>
      <c r="W1021">
        <f t="shared" si="185"/>
        <v>1</v>
      </c>
      <c r="X1021" s="35">
        <f t="shared" si="188"/>
        <v>1</v>
      </c>
      <c r="Y1021">
        <f t="shared" si="189"/>
        <v>1</v>
      </c>
      <c r="AB1021">
        <f t="shared" si="190"/>
        <v>1</v>
      </c>
      <c r="AC1021">
        <f t="shared" ca="1" si="191"/>
        <v>0</v>
      </c>
      <c r="AD1021" t="str">
        <f ca="1">IF(AC1021=1,COUNTIF($AC$3:AC1021,1),"")</f>
        <v/>
      </c>
      <c r="AE1021" s="155" t="str">
        <f ca="1">IFERROR(INDEX(Données!$B$3:$B$1479,MATCH(ROWS($AD$3:AD1021),$AD$3:$AD$1479,0)),"")</f>
        <v/>
      </c>
    </row>
    <row r="1022" spans="1:31" ht="15.75" x14ac:dyDescent="0.25">
      <c r="A1022" t="str">
        <f t="shared" si="186"/>
        <v>Pascal Laberge - PHI - C</v>
      </c>
      <c r="B1022" t="str">
        <f t="shared" si="187"/>
        <v>Pascal Laberge - PHI - C</v>
      </c>
      <c r="C1022" t="str">
        <f t="shared" si="180"/>
        <v>Pascal</v>
      </c>
      <c r="D1022" t="str">
        <f t="shared" si="181"/>
        <v>Laberge</v>
      </c>
      <c r="E1022" s="39" t="s">
        <v>1806</v>
      </c>
      <c r="F1022" s="30" t="s">
        <v>28</v>
      </c>
      <c r="G1022" s="35" t="s">
        <v>386</v>
      </c>
      <c r="H1022" s="35" t="s">
        <v>73</v>
      </c>
      <c r="I1022" s="35" t="s">
        <v>2446</v>
      </c>
      <c r="J1022" s="35">
        <v>21</v>
      </c>
      <c r="K1022" s="35">
        <f>VALUE(COUNTIF(Validation!$A$2:$H$47,E1022))</f>
        <v>0</v>
      </c>
      <c r="L1022" s="361">
        <f t="shared" si="182"/>
        <v>863333</v>
      </c>
      <c r="M1022" s="361">
        <f t="shared" si="183"/>
        <v>863333</v>
      </c>
      <c r="N1022" s="358">
        <v>863333</v>
      </c>
      <c r="O1022" s="358">
        <v>863333</v>
      </c>
      <c r="P1022" s="358" t="s">
        <v>8</v>
      </c>
      <c r="Q1022" s="358">
        <v>0</v>
      </c>
      <c r="R1022" s="358">
        <v>0</v>
      </c>
      <c r="S1022" s="358">
        <v>0</v>
      </c>
      <c r="T1022" s="358">
        <v>0</v>
      </c>
      <c r="U1022" s="35">
        <f t="shared" si="184"/>
        <v>2</v>
      </c>
      <c r="W1022">
        <f t="shared" si="185"/>
        <v>1</v>
      </c>
      <c r="X1022" s="35">
        <f t="shared" si="188"/>
        <v>1</v>
      </c>
      <c r="Y1022">
        <f t="shared" si="189"/>
        <v>1</v>
      </c>
      <c r="AB1022">
        <f t="shared" si="190"/>
        <v>1</v>
      </c>
      <c r="AC1022">
        <f t="shared" ca="1" si="191"/>
        <v>0</v>
      </c>
      <c r="AD1022" t="str">
        <f ca="1">IF(AC1022=1,COUNTIF($AC$3:AC1022,1),"")</f>
        <v/>
      </c>
      <c r="AE1022" s="155" t="str">
        <f ca="1">IFERROR(INDEX(Données!$B$3:$B$1479,MATCH(ROWS($AD$3:AD1022),$AD$3:$AD$1479,0)),"")</f>
        <v/>
      </c>
    </row>
    <row r="1023" spans="1:31" ht="15.75" x14ac:dyDescent="0.25">
      <c r="A1023" t="str">
        <f t="shared" si="186"/>
        <v>Isaac Ratcliffe - PHI - AG</v>
      </c>
      <c r="B1023" t="str">
        <f t="shared" si="187"/>
        <v>Isaac Ratcliffe - PHI - AG</v>
      </c>
      <c r="C1023" t="str">
        <f t="shared" si="180"/>
        <v>Isaac</v>
      </c>
      <c r="D1023" t="str">
        <f t="shared" si="181"/>
        <v>Ratcliffe</v>
      </c>
      <c r="E1023" s="39" t="s">
        <v>1802</v>
      </c>
      <c r="F1023" s="30" t="s">
        <v>28</v>
      </c>
      <c r="G1023" s="35" t="s">
        <v>386</v>
      </c>
      <c r="H1023" s="35" t="s">
        <v>2440</v>
      </c>
      <c r="I1023" s="35" t="s">
        <v>2446</v>
      </c>
      <c r="J1023" s="35">
        <v>20</v>
      </c>
      <c r="K1023" s="35">
        <f>VALUE(COUNTIF(Validation!$A$2:$H$47,E1023))</f>
        <v>0</v>
      </c>
      <c r="L1023" s="361">
        <f t="shared" si="182"/>
        <v>863333</v>
      </c>
      <c r="M1023" s="361">
        <f t="shared" si="183"/>
        <v>863333</v>
      </c>
      <c r="N1023" s="358">
        <v>863333</v>
      </c>
      <c r="O1023" s="358">
        <v>863333</v>
      </c>
      <c r="P1023" s="358">
        <v>863333</v>
      </c>
      <c r="Q1023" s="358" t="s">
        <v>8</v>
      </c>
      <c r="R1023" s="358">
        <v>0</v>
      </c>
      <c r="S1023" s="358">
        <v>0</v>
      </c>
      <c r="T1023" s="358">
        <v>0</v>
      </c>
      <c r="U1023" s="35">
        <f t="shared" si="184"/>
        <v>3</v>
      </c>
      <c r="W1023">
        <f t="shared" si="185"/>
        <v>1</v>
      </c>
      <c r="X1023" s="35">
        <f t="shared" si="188"/>
        <v>1</v>
      </c>
      <c r="Y1023">
        <f t="shared" si="189"/>
        <v>1</v>
      </c>
      <c r="AB1023">
        <f t="shared" si="190"/>
        <v>1</v>
      </c>
      <c r="AC1023">
        <f t="shared" ca="1" si="191"/>
        <v>0</v>
      </c>
      <c r="AD1023" t="str">
        <f ca="1">IF(AC1023=1,COUNTIF($AC$3:AC1023,1),"")</f>
        <v/>
      </c>
      <c r="AE1023" s="155" t="str">
        <f ca="1">IFERROR(INDEX(Données!$B$3:$B$1479,MATCH(ROWS($AD$3:AD1023),$AD$3:$AD$1479,0)),"")</f>
        <v/>
      </c>
    </row>
    <row r="1024" spans="1:31" ht="15.75" x14ac:dyDescent="0.25">
      <c r="A1024" t="str">
        <f t="shared" si="186"/>
        <v>David Kase - PHI - AD, AG, C</v>
      </c>
      <c r="B1024" t="str">
        <f t="shared" si="187"/>
        <v>David Kase - PHI - AD, AG, C</v>
      </c>
      <c r="C1024" t="str">
        <f t="shared" si="180"/>
        <v>David</v>
      </c>
      <c r="D1024" t="str">
        <f t="shared" si="181"/>
        <v>Kase</v>
      </c>
      <c r="E1024" s="39" t="s">
        <v>1808</v>
      </c>
      <c r="F1024" s="30" t="s">
        <v>28</v>
      </c>
      <c r="G1024" s="35" t="s">
        <v>386</v>
      </c>
      <c r="H1024" s="35" t="s">
        <v>2496</v>
      </c>
      <c r="I1024" s="35" t="s">
        <v>2446</v>
      </c>
      <c r="J1024" s="35">
        <v>22</v>
      </c>
      <c r="K1024" s="35">
        <f>VALUE(COUNTIF(Validation!$A$2:$H$47,E1024))</f>
        <v>0</v>
      </c>
      <c r="L1024" s="361">
        <f t="shared" si="182"/>
        <v>850000</v>
      </c>
      <c r="M1024" s="361">
        <f t="shared" si="183"/>
        <v>850000</v>
      </c>
      <c r="N1024" s="358">
        <v>850000</v>
      </c>
      <c r="O1024" s="358">
        <v>850000</v>
      </c>
      <c r="P1024" s="358" t="s">
        <v>8</v>
      </c>
      <c r="Q1024" s="358">
        <v>0</v>
      </c>
      <c r="R1024" s="358">
        <v>0</v>
      </c>
      <c r="S1024" s="358">
        <v>0</v>
      </c>
      <c r="T1024" s="358">
        <v>0</v>
      </c>
      <c r="U1024" s="35">
        <f t="shared" ref="U1024:U1086" si="192">COUNTIF(N1024:T1024,"&gt;0")</f>
        <v>2</v>
      </c>
      <c r="W1024">
        <f t="shared" si="185"/>
        <v>1</v>
      </c>
      <c r="X1024" s="35">
        <f t="shared" si="188"/>
        <v>1</v>
      </c>
      <c r="Y1024">
        <f t="shared" si="189"/>
        <v>1</v>
      </c>
      <c r="AB1024">
        <f t="shared" si="190"/>
        <v>1</v>
      </c>
      <c r="AC1024">
        <f t="shared" ca="1" si="191"/>
        <v>0</v>
      </c>
      <c r="AD1024" t="str">
        <f ca="1">IF(AC1024=1,COUNTIF($AC$3:AC1024,1),"")</f>
        <v/>
      </c>
      <c r="AE1024" s="155" t="str">
        <f ca="1">IFERROR(INDEX(Données!$B$3:$B$1479,MATCH(ROWS($AD$3:AD1024),$AD$3:$AD$1479,0)),"")</f>
        <v/>
      </c>
    </row>
    <row r="1025" spans="1:31" ht="15.75" x14ac:dyDescent="0.25">
      <c r="A1025" t="str">
        <f t="shared" si="186"/>
        <v>Mark Friedman - PHI - DD</v>
      </c>
      <c r="B1025" t="str">
        <f t="shared" si="187"/>
        <v>Mark Friedman - PHI - DD</v>
      </c>
      <c r="C1025" t="str">
        <f t="shared" si="180"/>
        <v>Mark</v>
      </c>
      <c r="D1025" t="str">
        <f t="shared" si="181"/>
        <v>Friedman</v>
      </c>
      <c r="E1025" s="39" t="s">
        <v>1811</v>
      </c>
      <c r="F1025" s="30" t="s">
        <v>28</v>
      </c>
      <c r="G1025" s="35" t="s">
        <v>386</v>
      </c>
      <c r="H1025" s="35" t="s">
        <v>2444</v>
      </c>
      <c r="I1025" s="35" t="s">
        <v>2446</v>
      </c>
      <c r="J1025" s="35">
        <v>23</v>
      </c>
      <c r="K1025" s="35">
        <f>VALUE(COUNTIF(Validation!$A$2:$H$47,E1025))</f>
        <v>0</v>
      </c>
      <c r="L1025" s="361">
        <f t="shared" si="182"/>
        <v>825000</v>
      </c>
      <c r="M1025" s="361">
        <f t="shared" si="183"/>
        <v>0</v>
      </c>
      <c r="N1025" s="358">
        <v>825000</v>
      </c>
      <c r="O1025" s="358" t="s">
        <v>8</v>
      </c>
      <c r="P1025" s="358">
        <v>0</v>
      </c>
      <c r="Q1025" s="358">
        <v>0</v>
      </c>
      <c r="R1025" s="358">
        <v>0</v>
      </c>
      <c r="S1025" s="358">
        <v>0</v>
      </c>
      <c r="T1025" s="358">
        <v>0</v>
      </c>
      <c r="U1025" s="35">
        <f t="shared" si="192"/>
        <v>1</v>
      </c>
      <c r="W1025">
        <f t="shared" si="185"/>
        <v>1</v>
      </c>
      <c r="X1025" s="35">
        <f t="shared" ref="X1025:X1087" si="193">IF(LEFT(G1025,3)="ELC",1,0)</f>
        <v>1</v>
      </c>
      <c r="Y1025">
        <f t="shared" ref="Y1025:Y1087" si="194">IF(L1025=M1025,1,0)</f>
        <v>0</v>
      </c>
      <c r="AB1025">
        <f t="shared" si="190"/>
        <v>1</v>
      </c>
      <c r="AC1025">
        <f t="shared" ca="1" si="191"/>
        <v>0</v>
      </c>
      <c r="AD1025" t="str">
        <f ca="1">IF(AC1025=1,COUNTIF($AC$3:AC1025,1),"")</f>
        <v/>
      </c>
      <c r="AE1025" s="155" t="str">
        <f ca="1">IFERROR(INDEX(Données!$B$3:$B$1479,MATCH(ROWS($AD$3:AD1025),$AD$3:$AD$1479,0)),"")</f>
        <v/>
      </c>
    </row>
    <row r="1026" spans="1:31" ht="15.75" x14ac:dyDescent="0.25">
      <c r="A1026" t="str">
        <f t="shared" si="186"/>
        <v>Yegor Zamula - PHI - DG</v>
      </c>
      <c r="B1026" t="str">
        <f t="shared" si="187"/>
        <v>Yegor Zamula - PHI - DG</v>
      </c>
      <c r="C1026" t="str">
        <f t="shared" si="180"/>
        <v>Yegor</v>
      </c>
      <c r="D1026" t="str">
        <f t="shared" si="181"/>
        <v>Zamula</v>
      </c>
      <c r="E1026" s="39" t="s">
        <v>2636</v>
      </c>
      <c r="F1026" s="30" t="s">
        <v>28</v>
      </c>
      <c r="G1026" s="35" t="s">
        <v>388</v>
      </c>
      <c r="H1026" s="35" t="s">
        <v>2445</v>
      </c>
      <c r="I1026" s="35" t="s">
        <v>389</v>
      </c>
      <c r="J1026" s="35">
        <v>19</v>
      </c>
      <c r="K1026" s="35">
        <f>VALUE(COUNTIF(Validation!$A$2:$H$47,E1026))</f>
        <v>0</v>
      </c>
      <c r="L1026" s="361">
        <f t="shared" si="182"/>
        <v>793333</v>
      </c>
      <c r="M1026" s="361">
        <f t="shared" si="183"/>
        <v>793333</v>
      </c>
      <c r="N1026" s="358">
        <v>793333</v>
      </c>
      <c r="O1026" s="358">
        <v>793333</v>
      </c>
      <c r="P1026" s="358">
        <v>793333</v>
      </c>
      <c r="Q1026" s="358" t="s">
        <v>8</v>
      </c>
      <c r="R1026" s="358">
        <v>0</v>
      </c>
      <c r="S1026" s="358">
        <v>0</v>
      </c>
      <c r="T1026" s="358">
        <v>0</v>
      </c>
      <c r="U1026" s="35">
        <f t="shared" si="192"/>
        <v>3</v>
      </c>
      <c r="W1026">
        <f t="shared" si="185"/>
        <v>1</v>
      </c>
      <c r="X1026" s="35">
        <f t="shared" si="193"/>
        <v>1</v>
      </c>
      <c r="Y1026">
        <f t="shared" si="194"/>
        <v>1</v>
      </c>
      <c r="AB1026">
        <f t="shared" si="190"/>
        <v>1</v>
      </c>
      <c r="AC1026">
        <f t="shared" ca="1" si="191"/>
        <v>0</v>
      </c>
      <c r="AD1026" t="str">
        <f ca="1">IF(AC1026=1,COUNTIF($AC$3:AC1026,1),"")</f>
        <v/>
      </c>
      <c r="AE1026" s="155" t="str">
        <f ca="1">IFERROR(INDEX(Données!$B$3:$B$1479,MATCH(ROWS($AD$3:AD1026),$AD$3:$AD$1479,0)),"")</f>
        <v/>
      </c>
    </row>
    <row r="1027" spans="1:31" ht="15.75" x14ac:dyDescent="0.25">
      <c r="A1027" t="str">
        <f t="shared" si="186"/>
        <v>Connor Bunnaman - PHI - C</v>
      </c>
      <c r="B1027" t="str">
        <f t="shared" si="187"/>
        <v>Connor Bunnaman - PHI - C</v>
      </c>
      <c r="C1027" t="str">
        <f t="shared" ref="C1027:C1090" si="195">RIGHT(E1027,(LEN(E1027)-1)-SEARCH(",",E1027,1))</f>
        <v>Connor</v>
      </c>
      <c r="D1027" t="str">
        <f t="shared" ref="D1027:D1090" si="196">LEFT(E1027,SEARCH(",",E1027,1)-1)</f>
        <v>Bunnaman</v>
      </c>
      <c r="E1027" s="39" t="s">
        <v>1812</v>
      </c>
      <c r="F1027" s="30" t="s">
        <v>28</v>
      </c>
      <c r="G1027" s="35" t="s">
        <v>386</v>
      </c>
      <c r="H1027" s="9" t="s">
        <v>73</v>
      </c>
      <c r="I1027" s="9" t="s">
        <v>2446</v>
      </c>
      <c r="J1027" s="9">
        <v>21</v>
      </c>
      <c r="K1027" s="35">
        <f>VALUE(COUNTIF(Validation!$A$2:$H$47,E1027))</f>
        <v>0</v>
      </c>
      <c r="L1027" s="361">
        <f t="shared" ref="L1027:L1090" si="197">IF(OR(N1027="RFA",N1027="UFA",N1027="",N1027=0),0,N1027)</f>
        <v>790000</v>
      </c>
      <c r="M1027" s="361">
        <f t="shared" ref="M1027:M1090" si="198">IF(OR(O1027="RFA",O1027="UFA",O1027="",O1027=0),0,O1027)</f>
        <v>790000</v>
      </c>
      <c r="N1027" s="358">
        <v>790000</v>
      </c>
      <c r="O1027" s="358">
        <v>790000</v>
      </c>
      <c r="P1027" s="358" t="s">
        <v>8</v>
      </c>
      <c r="Q1027" s="358">
        <v>0</v>
      </c>
      <c r="R1027" s="358">
        <v>0</v>
      </c>
      <c r="S1027" s="358">
        <v>0</v>
      </c>
      <c r="T1027" s="358">
        <v>0</v>
      </c>
      <c r="U1027" s="35">
        <f t="shared" si="192"/>
        <v>2</v>
      </c>
      <c r="W1027">
        <f t="shared" ref="W1027:W1090" si="199">COUNTIF($E$3:$E$1479,E1027)</f>
        <v>1</v>
      </c>
      <c r="X1027" s="35">
        <f t="shared" si="193"/>
        <v>1</v>
      </c>
      <c r="Y1027">
        <f t="shared" si="194"/>
        <v>1</v>
      </c>
      <c r="AB1027">
        <f t="shared" si="190"/>
        <v>1</v>
      </c>
      <c r="AC1027">
        <f t="shared" ca="1" si="191"/>
        <v>0</v>
      </c>
      <c r="AD1027" t="str">
        <f ca="1">IF(AC1027=1,COUNTIF($AC$3:AC1027,1),"")</f>
        <v/>
      </c>
      <c r="AE1027" s="155" t="str">
        <f ca="1">IFERROR(INDEX(Données!$B$3:$B$1479,MATCH(ROWS($AD$3:AD1027),$AD$3:$AD$1479,0)),"")</f>
        <v/>
      </c>
    </row>
    <row r="1028" spans="1:31" ht="15.75" x14ac:dyDescent="0.25">
      <c r="A1028" t="str">
        <f t="shared" ref="A1028:A1091" si="200">C1028&amp;" "&amp;D1028&amp;" - "&amp;F1028&amp;" - "&amp;H1028</f>
        <v>Andy Andreoff - PHI - AG, C</v>
      </c>
      <c r="B1028" t="str">
        <f t="shared" ref="B1028:B1091" si="201">A1028</f>
        <v>Andy Andreoff - PHI - AG, C</v>
      </c>
      <c r="C1028" t="str">
        <f t="shared" si="195"/>
        <v>Andy</v>
      </c>
      <c r="D1028" t="str">
        <f t="shared" si="196"/>
        <v>Andreoff</v>
      </c>
      <c r="E1028" s="39" t="s">
        <v>1554</v>
      </c>
      <c r="F1028" s="30" t="s">
        <v>28</v>
      </c>
      <c r="G1028" s="35">
        <v>0</v>
      </c>
      <c r="H1028" s="35" t="s">
        <v>2450</v>
      </c>
      <c r="I1028" s="35" t="s">
        <v>2446</v>
      </c>
      <c r="J1028" s="35">
        <v>28</v>
      </c>
      <c r="K1028" s="35">
        <f>VALUE(COUNTIF(Validation!$A$2:$H$47,E1028))</f>
        <v>0</v>
      </c>
      <c r="L1028" s="361">
        <f t="shared" si="197"/>
        <v>750000</v>
      </c>
      <c r="M1028" s="361">
        <f t="shared" si="198"/>
        <v>750000</v>
      </c>
      <c r="N1028" s="358">
        <v>750000</v>
      </c>
      <c r="O1028" s="358">
        <v>750000</v>
      </c>
      <c r="P1028" s="358" t="s">
        <v>7</v>
      </c>
      <c r="Q1028" s="358">
        <v>0</v>
      </c>
      <c r="R1028" s="358">
        <v>0</v>
      </c>
      <c r="S1028" s="358">
        <v>0</v>
      </c>
      <c r="T1028" s="358">
        <v>0</v>
      </c>
      <c r="U1028" s="35">
        <f t="shared" si="192"/>
        <v>2</v>
      </c>
      <c r="W1028">
        <f t="shared" si="199"/>
        <v>1</v>
      </c>
      <c r="X1028" s="35">
        <f t="shared" si="193"/>
        <v>0</v>
      </c>
      <c r="Y1028">
        <f t="shared" si="194"/>
        <v>1</v>
      </c>
      <c r="AB1028">
        <f t="shared" ref="AB1028:AB1091" si="202">SEARCH(AA1028,A1028)</f>
        <v>1</v>
      </c>
      <c r="AC1028">
        <f t="shared" ca="1" si="191"/>
        <v>0</v>
      </c>
      <c r="AD1028" t="str">
        <f ca="1">IF(AC1028=1,COUNTIF($AC$3:AC1028,1),"")</f>
        <v/>
      </c>
      <c r="AE1028" s="155" t="str">
        <f ca="1">IFERROR(INDEX(Données!$B$3:$B$1479,MATCH(ROWS($AD$3:AD1028),$AD$3:$AD$1479,0)),"")</f>
        <v/>
      </c>
    </row>
    <row r="1029" spans="1:31" ht="15.75" x14ac:dyDescent="0.25">
      <c r="A1029" t="str">
        <f t="shared" si="200"/>
        <v>Alex Lyon - PHI - G</v>
      </c>
      <c r="B1029" t="str">
        <f t="shared" si="201"/>
        <v>Alex Lyon - PHI - G</v>
      </c>
      <c r="C1029" t="str">
        <f t="shared" si="195"/>
        <v>Alex</v>
      </c>
      <c r="D1029" t="str">
        <f t="shared" si="196"/>
        <v>Lyon</v>
      </c>
      <c r="E1029" s="39" t="s">
        <v>1810</v>
      </c>
      <c r="F1029" s="30" t="s">
        <v>28</v>
      </c>
      <c r="G1029" s="35">
        <v>0</v>
      </c>
      <c r="H1029" s="35" t="s">
        <v>127</v>
      </c>
      <c r="I1029" s="35" t="s">
        <v>2446</v>
      </c>
      <c r="J1029" s="35">
        <v>26</v>
      </c>
      <c r="K1029" s="35">
        <f>VALUE(COUNTIF(Validation!$A$2:$H$47,E1029))</f>
        <v>0</v>
      </c>
      <c r="L1029" s="361">
        <f t="shared" si="197"/>
        <v>750000</v>
      </c>
      <c r="M1029" s="361">
        <f t="shared" si="198"/>
        <v>0</v>
      </c>
      <c r="N1029" s="358">
        <v>750000</v>
      </c>
      <c r="O1029" s="358" t="s">
        <v>7</v>
      </c>
      <c r="P1029" s="358">
        <v>0</v>
      </c>
      <c r="Q1029" s="358">
        <v>0</v>
      </c>
      <c r="R1029" s="358">
        <v>0</v>
      </c>
      <c r="S1029" s="358">
        <v>0</v>
      </c>
      <c r="T1029" s="358">
        <v>0</v>
      </c>
      <c r="U1029" s="35">
        <f t="shared" si="192"/>
        <v>1</v>
      </c>
      <c r="W1029">
        <f t="shared" si="199"/>
        <v>1</v>
      </c>
      <c r="X1029" s="35">
        <f t="shared" si="193"/>
        <v>0</v>
      </c>
      <c r="Y1029">
        <f t="shared" si="194"/>
        <v>0</v>
      </c>
      <c r="AB1029">
        <f t="shared" si="202"/>
        <v>1</v>
      </c>
      <c r="AC1029">
        <f t="shared" ref="AC1029:AC1092" ca="1" si="203">IFERROR(SEARCH(INDIRECT(CELL("adresse")),B1029,1),0)</f>
        <v>0</v>
      </c>
      <c r="AD1029" t="str">
        <f ca="1">IF(AC1029=1,COUNTIF($AC$3:AC1029,1),"")</f>
        <v/>
      </c>
      <c r="AE1029" s="155" t="str">
        <f ca="1">IFERROR(INDEX(Données!$B$3:$B$1479,MATCH(ROWS($AD$3:AD1029),$AD$3:$AD$1479,0)),"")</f>
        <v/>
      </c>
    </row>
    <row r="1030" spans="1:31" ht="15.75" x14ac:dyDescent="0.25">
      <c r="A1030" t="str">
        <f t="shared" si="200"/>
        <v>Andy Welinski - PHI - DD</v>
      </c>
      <c r="B1030" t="str">
        <f t="shared" si="201"/>
        <v>Andy Welinski - PHI - DD</v>
      </c>
      <c r="C1030" t="str">
        <f t="shared" si="195"/>
        <v>Andy</v>
      </c>
      <c r="D1030" t="str">
        <f t="shared" si="196"/>
        <v>Welinski</v>
      </c>
      <c r="E1030" s="39" t="s">
        <v>2145</v>
      </c>
      <c r="F1030" s="30" t="s">
        <v>28</v>
      </c>
      <c r="G1030" s="35">
        <v>0</v>
      </c>
      <c r="H1030" s="35" t="s">
        <v>2444</v>
      </c>
      <c r="I1030" s="35" t="s">
        <v>2446</v>
      </c>
      <c r="J1030" s="35">
        <v>26</v>
      </c>
      <c r="K1030" s="35">
        <f>VALUE(COUNTIF(Validation!$A$2:$H$47,E1030))</f>
        <v>0</v>
      </c>
      <c r="L1030" s="361">
        <f t="shared" si="197"/>
        <v>750000</v>
      </c>
      <c r="M1030" s="361">
        <f t="shared" si="198"/>
        <v>0</v>
      </c>
      <c r="N1030" s="358">
        <v>750000</v>
      </c>
      <c r="O1030" s="358" t="s">
        <v>7</v>
      </c>
      <c r="P1030" s="358">
        <v>0</v>
      </c>
      <c r="Q1030" s="358">
        <v>0</v>
      </c>
      <c r="R1030" s="358">
        <v>0</v>
      </c>
      <c r="S1030" s="358">
        <v>0</v>
      </c>
      <c r="T1030" s="358">
        <v>0</v>
      </c>
      <c r="U1030" s="35">
        <f t="shared" si="192"/>
        <v>1</v>
      </c>
      <c r="W1030">
        <f t="shared" si="199"/>
        <v>1</v>
      </c>
      <c r="X1030" s="35">
        <f t="shared" si="193"/>
        <v>0</v>
      </c>
      <c r="Y1030">
        <f t="shared" si="194"/>
        <v>0</v>
      </c>
      <c r="AB1030">
        <f t="shared" si="202"/>
        <v>1</v>
      </c>
      <c r="AC1030">
        <f t="shared" ca="1" si="203"/>
        <v>0</v>
      </c>
      <c r="AD1030" t="str">
        <f ca="1">IF(AC1030=1,COUNTIF($AC$3:AC1030,1),"")</f>
        <v/>
      </c>
      <c r="AE1030" s="155" t="str">
        <f ca="1">IFERROR(INDEX(Données!$B$3:$B$1479,MATCH(ROWS($AD$3:AD1030),$AD$3:$AD$1479,0)),"")</f>
        <v/>
      </c>
    </row>
    <row r="1031" spans="1:31" ht="15.75" x14ac:dyDescent="0.25">
      <c r="A1031" t="str">
        <f t="shared" si="200"/>
        <v>Nicolas Aube-Kubel - PHI - AD</v>
      </c>
      <c r="B1031" t="str">
        <f t="shared" si="201"/>
        <v>Nicolas Aube-Kubel - PHI - AD</v>
      </c>
      <c r="C1031" t="str">
        <f t="shared" si="195"/>
        <v>Nicolas</v>
      </c>
      <c r="D1031" t="str">
        <f t="shared" si="196"/>
        <v>Aube-Kubel</v>
      </c>
      <c r="E1031" s="39" t="s">
        <v>2888</v>
      </c>
      <c r="F1031" s="30" t="s">
        <v>28</v>
      </c>
      <c r="G1031" s="35">
        <v>0</v>
      </c>
      <c r="H1031" s="35" t="s">
        <v>2438</v>
      </c>
      <c r="I1031" s="35" t="s">
        <v>2446</v>
      </c>
      <c r="J1031" s="35">
        <v>23</v>
      </c>
      <c r="K1031" s="35">
        <f>VALUE(COUNTIF(Validation!$A$2:$H$47,E1031))</f>
        <v>0</v>
      </c>
      <c r="L1031" s="361">
        <f t="shared" si="197"/>
        <v>700000</v>
      </c>
      <c r="M1031" s="361">
        <f t="shared" si="198"/>
        <v>0</v>
      </c>
      <c r="N1031" s="358">
        <v>700000</v>
      </c>
      <c r="O1031" s="358" t="s">
        <v>8</v>
      </c>
      <c r="P1031" s="358">
        <v>0</v>
      </c>
      <c r="Q1031" s="358">
        <v>0</v>
      </c>
      <c r="R1031" s="358">
        <v>0</v>
      </c>
      <c r="S1031" s="358">
        <v>0</v>
      </c>
      <c r="T1031" s="358">
        <v>0</v>
      </c>
      <c r="U1031" s="35">
        <f t="shared" si="192"/>
        <v>1</v>
      </c>
      <c r="W1031">
        <f t="shared" si="199"/>
        <v>1</v>
      </c>
      <c r="X1031" s="35">
        <f t="shared" si="193"/>
        <v>0</v>
      </c>
      <c r="Y1031">
        <f t="shared" si="194"/>
        <v>0</v>
      </c>
      <c r="AB1031">
        <f t="shared" si="202"/>
        <v>1</v>
      </c>
      <c r="AC1031">
        <f t="shared" ca="1" si="203"/>
        <v>0</v>
      </c>
      <c r="AD1031" t="str">
        <f ca="1">IF(AC1031=1,COUNTIF($AC$3:AC1031,1),"")</f>
        <v/>
      </c>
      <c r="AE1031" s="155" t="str">
        <f ca="1">IFERROR(INDEX(Données!$B$3:$B$1479,MATCH(ROWS($AD$3:AD1031),$AD$3:$AD$1479,0)),"")</f>
        <v/>
      </c>
    </row>
    <row r="1032" spans="1:31" ht="15.75" x14ac:dyDescent="0.25">
      <c r="A1032" t="str">
        <f t="shared" si="200"/>
        <v>Jean-François Berube - PHI - G</v>
      </c>
      <c r="B1032" t="str">
        <f t="shared" si="201"/>
        <v>Jean-François Berube - PHI - G</v>
      </c>
      <c r="C1032" t="str">
        <f t="shared" si="195"/>
        <v>Jean-François</v>
      </c>
      <c r="D1032" t="str">
        <f t="shared" si="196"/>
        <v>Berube</v>
      </c>
      <c r="E1032" s="39" t="s">
        <v>2892</v>
      </c>
      <c r="F1032" s="30" t="s">
        <v>28</v>
      </c>
      <c r="G1032" s="35">
        <v>0</v>
      </c>
      <c r="H1032" s="35" t="s">
        <v>127</v>
      </c>
      <c r="I1032" s="35" t="s">
        <v>2446</v>
      </c>
      <c r="J1032" s="35">
        <v>28</v>
      </c>
      <c r="K1032" s="35">
        <f>VALUE(COUNTIF(Validation!$A$2:$H$47,E1032))</f>
        <v>0</v>
      </c>
      <c r="L1032" s="361">
        <f t="shared" si="197"/>
        <v>700000</v>
      </c>
      <c r="M1032" s="361">
        <f t="shared" si="198"/>
        <v>0</v>
      </c>
      <c r="N1032" s="358">
        <v>700000</v>
      </c>
      <c r="O1032" s="358" t="s">
        <v>7</v>
      </c>
      <c r="P1032" s="358">
        <v>0</v>
      </c>
      <c r="Q1032" s="358">
        <v>0</v>
      </c>
      <c r="R1032" s="358">
        <v>0</v>
      </c>
      <c r="S1032" s="358">
        <v>0</v>
      </c>
      <c r="T1032" s="358">
        <v>0</v>
      </c>
      <c r="U1032" s="35">
        <f t="shared" si="192"/>
        <v>1</v>
      </c>
      <c r="W1032">
        <f t="shared" si="199"/>
        <v>1</v>
      </c>
      <c r="X1032" s="35">
        <f t="shared" si="193"/>
        <v>0</v>
      </c>
      <c r="Y1032">
        <f t="shared" si="194"/>
        <v>0</v>
      </c>
      <c r="AB1032">
        <f t="shared" si="202"/>
        <v>1</v>
      </c>
      <c r="AC1032">
        <f t="shared" ca="1" si="203"/>
        <v>0</v>
      </c>
      <c r="AD1032" t="str">
        <f ca="1">IF(AC1032=1,COUNTIF($AC$3:AC1032,1),"")</f>
        <v/>
      </c>
      <c r="AE1032" s="155" t="str">
        <f ca="1">IFERROR(INDEX(Données!$B$3:$B$1479,MATCH(ROWS($AD$3:AD1032),$AD$3:$AD$1479,0)),"")</f>
        <v/>
      </c>
    </row>
    <row r="1033" spans="1:31" ht="15.75" x14ac:dyDescent="0.25">
      <c r="A1033" t="str">
        <f t="shared" si="200"/>
        <v>Chris Bigras - PHI - DD</v>
      </c>
      <c r="B1033" t="str">
        <f t="shared" si="201"/>
        <v>Chris Bigras - PHI - DD</v>
      </c>
      <c r="C1033" t="str">
        <f t="shared" si="195"/>
        <v>Chris</v>
      </c>
      <c r="D1033" t="str">
        <f t="shared" si="196"/>
        <v>Bigras</v>
      </c>
      <c r="E1033" s="39" t="s">
        <v>1771</v>
      </c>
      <c r="F1033" s="30" t="s">
        <v>28</v>
      </c>
      <c r="G1033" s="35">
        <v>0</v>
      </c>
      <c r="H1033" s="35" t="s">
        <v>2444</v>
      </c>
      <c r="I1033" s="35" t="s">
        <v>2446</v>
      </c>
      <c r="J1033" s="35">
        <v>24</v>
      </c>
      <c r="K1033" s="35">
        <f>VALUE(COUNTIF(Validation!$A$2:$H$47,E1033))</f>
        <v>0</v>
      </c>
      <c r="L1033" s="361">
        <f t="shared" si="197"/>
        <v>700000</v>
      </c>
      <c r="M1033" s="361">
        <f t="shared" si="198"/>
        <v>700000</v>
      </c>
      <c r="N1033" s="358">
        <v>700000</v>
      </c>
      <c r="O1033" s="358">
        <v>700000</v>
      </c>
      <c r="P1033" s="358" t="s">
        <v>8</v>
      </c>
      <c r="Q1033" s="358">
        <v>0</v>
      </c>
      <c r="R1033" s="358">
        <v>0</v>
      </c>
      <c r="S1033" s="358">
        <v>0</v>
      </c>
      <c r="T1033" s="358">
        <v>0</v>
      </c>
      <c r="U1033" s="35">
        <f t="shared" si="192"/>
        <v>2</v>
      </c>
      <c r="W1033">
        <f t="shared" si="199"/>
        <v>1</v>
      </c>
      <c r="X1033" s="35">
        <f t="shared" si="193"/>
        <v>0</v>
      </c>
      <c r="Y1033">
        <f t="shared" si="194"/>
        <v>1</v>
      </c>
      <c r="AB1033">
        <f t="shared" si="202"/>
        <v>1</v>
      </c>
      <c r="AC1033">
        <f t="shared" ca="1" si="203"/>
        <v>0</v>
      </c>
      <c r="AD1033" t="str">
        <f ca="1">IF(AC1033=1,COUNTIF($AC$3:AC1033,1),"")</f>
        <v/>
      </c>
      <c r="AE1033" s="155" t="str">
        <f ca="1">IFERROR(INDEX(Données!$B$3:$B$1479,MATCH(ROWS($AD$3:AD1033),$AD$3:$AD$1479,0)),"")</f>
        <v/>
      </c>
    </row>
    <row r="1034" spans="1:31" ht="15.75" x14ac:dyDescent="0.25">
      <c r="A1034" t="str">
        <f t="shared" si="200"/>
        <v>Kyle Criscuolo - PHI - C</v>
      </c>
      <c r="B1034" t="str">
        <f t="shared" si="201"/>
        <v>Kyle Criscuolo - PHI - C</v>
      </c>
      <c r="C1034" t="str">
        <f t="shared" si="195"/>
        <v>Kyle</v>
      </c>
      <c r="D1034" t="str">
        <f t="shared" si="196"/>
        <v>Criscuolo</v>
      </c>
      <c r="E1034" s="39" t="s">
        <v>1416</v>
      </c>
      <c r="F1034" s="30" t="s">
        <v>28</v>
      </c>
      <c r="G1034" s="35">
        <v>0</v>
      </c>
      <c r="H1034" s="35" t="s">
        <v>73</v>
      </c>
      <c r="I1034" s="35" t="s">
        <v>2446</v>
      </c>
      <c r="J1034" s="35">
        <v>27</v>
      </c>
      <c r="K1034" s="35">
        <f>VALUE(COUNTIF(Validation!$A$2:$H$47,E1034))</f>
        <v>0</v>
      </c>
      <c r="L1034" s="361">
        <f t="shared" si="197"/>
        <v>700000</v>
      </c>
      <c r="M1034" s="361">
        <f t="shared" si="198"/>
        <v>0</v>
      </c>
      <c r="N1034" s="358">
        <v>700000</v>
      </c>
      <c r="O1034" s="358" t="s">
        <v>7</v>
      </c>
      <c r="P1034" s="358">
        <v>0</v>
      </c>
      <c r="Q1034" s="358">
        <v>0</v>
      </c>
      <c r="R1034" s="358">
        <v>0</v>
      </c>
      <c r="S1034" s="358">
        <v>0</v>
      </c>
      <c r="T1034" s="358">
        <v>0</v>
      </c>
      <c r="U1034" s="35">
        <f t="shared" si="192"/>
        <v>1</v>
      </c>
      <c r="W1034">
        <f t="shared" si="199"/>
        <v>1</v>
      </c>
      <c r="X1034" s="35">
        <f t="shared" si="193"/>
        <v>0</v>
      </c>
      <c r="Y1034">
        <f t="shared" si="194"/>
        <v>0</v>
      </c>
      <c r="AB1034">
        <f t="shared" si="202"/>
        <v>1</v>
      </c>
      <c r="AC1034">
        <f t="shared" ca="1" si="203"/>
        <v>0</v>
      </c>
      <c r="AD1034" t="str">
        <f ca="1">IF(AC1034=1,COUNTIF($AC$3:AC1034,1),"")</f>
        <v/>
      </c>
      <c r="AE1034" s="155" t="str">
        <f ca="1">IFERROR(INDEX(Données!$B$3:$B$1479,MATCH(ROWS($AD$3:AD1034),$AD$3:$AD$1479,0)),"")</f>
        <v/>
      </c>
    </row>
    <row r="1035" spans="1:31" ht="15.75" x14ac:dyDescent="0.25">
      <c r="A1035" t="str">
        <f t="shared" si="200"/>
        <v>Kurtis Gabriel - PHI - AD</v>
      </c>
      <c r="B1035" t="str">
        <f t="shared" si="201"/>
        <v>Kurtis Gabriel - PHI - AD</v>
      </c>
      <c r="C1035" t="str">
        <f t="shared" si="195"/>
        <v>Kurtis</v>
      </c>
      <c r="D1035" t="str">
        <f t="shared" si="196"/>
        <v>Gabriel</v>
      </c>
      <c r="E1035" s="39" t="s">
        <v>1698</v>
      </c>
      <c r="F1035" s="30" t="s">
        <v>28</v>
      </c>
      <c r="G1035" s="35">
        <v>0</v>
      </c>
      <c r="H1035" s="35" t="s">
        <v>2438</v>
      </c>
      <c r="I1035" s="35" t="s">
        <v>2439</v>
      </c>
      <c r="J1035" s="35">
        <v>26</v>
      </c>
      <c r="K1035" s="35">
        <f>VALUE(COUNTIF(Validation!$A$2:$H$47,E1035))</f>
        <v>0</v>
      </c>
      <c r="L1035" s="361">
        <f t="shared" si="197"/>
        <v>700000</v>
      </c>
      <c r="M1035" s="361">
        <f t="shared" si="198"/>
        <v>0</v>
      </c>
      <c r="N1035" s="358">
        <v>700000</v>
      </c>
      <c r="O1035" s="358" t="s">
        <v>7</v>
      </c>
      <c r="P1035" s="358">
        <v>0</v>
      </c>
      <c r="Q1035" s="358">
        <v>0</v>
      </c>
      <c r="R1035" s="358">
        <v>0</v>
      </c>
      <c r="S1035" s="358">
        <v>0</v>
      </c>
      <c r="T1035" s="358">
        <v>0</v>
      </c>
      <c r="U1035" s="35">
        <f t="shared" si="192"/>
        <v>1</v>
      </c>
      <c r="W1035">
        <f t="shared" si="199"/>
        <v>1</v>
      </c>
      <c r="X1035" s="35">
        <f t="shared" si="193"/>
        <v>0</v>
      </c>
      <c r="Y1035">
        <f t="shared" si="194"/>
        <v>0</v>
      </c>
      <c r="AB1035">
        <f t="shared" si="202"/>
        <v>1</v>
      </c>
      <c r="AC1035">
        <f t="shared" ca="1" si="203"/>
        <v>0</v>
      </c>
      <c r="AD1035" t="str">
        <f ca="1">IF(AC1035=1,COUNTIF($AC$3:AC1035,1),"")</f>
        <v/>
      </c>
      <c r="AE1035" s="155" t="str">
        <f ca="1">IFERROR(INDEX(Données!$B$3:$B$1479,MATCH(ROWS($AD$3:AD1035),$AD$3:$AD$1479,0)),"")</f>
        <v/>
      </c>
    </row>
    <row r="1036" spans="1:31" ht="15.75" x14ac:dyDescent="0.25">
      <c r="A1036" t="str">
        <f t="shared" si="200"/>
        <v>Samuel Morin - PHI - DG</v>
      </c>
      <c r="B1036" t="str">
        <f t="shared" si="201"/>
        <v>Samuel Morin - PHI - DG</v>
      </c>
      <c r="C1036" t="str">
        <f t="shared" si="195"/>
        <v>Samuel</v>
      </c>
      <c r="D1036" t="str">
        <f t="shared" si="196"/>
        <v>Morin</v>
      </c>
      <c r="E1036" s="39" t="s">
        <v>1816</v>
      </c>
      <c r="F1036" s="35" t="s">
        <v>28</v>
      </c>
      <c r="G1036" s="35">
        <v>0</v>
      </c>
      <c r="H1036" s="9" t="s">
        <v>2445</v>
      </c>
      <c r="I1036" s="9" t="s">
        <v>2439</v>
      </c>
      <c r="J1036" s="9">
        <v>24</v>
      </c>
      <c r="K1036" s="35">
        <f>VALUE(COUNTIF(Validation!$A$2:$H$47,E1036))</f>
        <v>0</v>
      </c>
      <c r="L1036" s="361">
        <f t="shared" si="197"/>
        <v>700000</v>
      </c>
      <c r="M1036" s="361">
        <f t="shared" si="198"/>
        <v>700000</v>
      </c>
      <c r="N1036" s="358">
        <v>700000</v>
      </c>
      <c r="O1036" s="358">
        <v>700000</v>
      </c>
      <c r="P1036" s="358" t="s">
        <v>8</v>
      </c>
      <c r="Q1036" s="358">
        <v>0</v>
      </c>
      <c r="R1036" s="358">
        <v>0</v>
      </c>
      <c r="S1036" s="358">
        <v>0</v>
      </c>
      <c r="T1036" s="358">
        <v>0</v>
      </c>
      <c r="U1036" s="35">
        <f t="shared" si="192"/>
        <v>2</v>
      </c>
      <c r="W1036">
        <f t="shared" si="199"/>
        <v>1</v>
      </c>
      <c r="X1036" s="35">
        <f t="shared" si="193"/>
        <v>0</v>
      </c>
      <c r="Y1036">
        <f t="shared" si="194"/>
        <v>1</v>
      </c>
      <c r="AB1036">
        <f t="shared" si="202"/>
        <v>1</v>
      </c>
      <c r="AC1036">
        <f t="shared" ca="1" si="203"/>
        <v>0</v>
      </c>
      <c r="AD1036" t="str">
        <f ca="1">IF(AC1036=1,COUNTIF($AC$3:AC1036,1),"")</f>
        <v/>
      </c>
      <c r="AE1036" s="155" t="str">
        <f ca="1">IFERROR(INDEX(Données!$B$3:$B$1479,MATCH(ROWS($AD$3:AD1036),$AD$3:$AD$1479,0)),"")</f>
        <v/>
      </c>
    </row>
    <row r="1037" spans="1:31" ht="15.75" x14ac:dyDescent="0.25">
      <c r="A1037" t="str">
        <f t="shared" si="200"/>
        <v>Nate Prosser - PHI - DD</v>
      </c>
      <c r="B1037" t="str">
        <f t="shared" si="201"/>
        <v>Nate Prosser - PHI - DD</v>
      </c>
      <c r="C1037" t="str">
        <f t="shared" si="195"/>
        <v>Nate</v>
      </c>
      <c r="D1037" t="str">
        <f t="shared" si="196"/>
        <v>Prosser</v>
      </c>
      <c r="E1037" s="39" t="s">
        <v>2000</v>
      </c>
      <c r="F1037" s="30" t="s">
        <v>28</v>
      </c>
      <c r="G1037" s="35">
        <v>0</v>
      </c>
      <c r="H1037" s="35" t="s">
        <v>2444</v>
      </c>
      <c r="I1037" s="35" t="s">
        <v>2446</v>
      </c>
      <c r="J1037" s="35">
        <v>33</v>
      </c>
      <c r="K1037" s="35">
        <f>VALUE(COUNTIF(Validation!$A$2:$H$47,E1037))</f>
        <v>0</v>
      </c>
      <c r="L1037" s="361">
        <f t="shared" si="197"/>
        <v>700000</v>
      </c>
      <c r="M1037" s="361">
        <f t="shared" si="198"/>
        <v>700000</v>
      </c>
      <c r="N1037" s="358">
        <v>700000</v>
      </c>
      <c r="O1037" s="358">
        <v>700000</v>
      </c>
      <c r="P1037" s="358" t="s">
        <v>7</v>
      </c>
      <c r="Q1037" s="358">
        <v>0</v>
      </c>
      <c r="R1037" s="358">
        <v>0</v>
      </c>
      <c r="S1037" s="358">
        <v>0</v>
      </c>
      <c r="T1037" s="358">
        <v>0</v>
      </c>
      <c r="U1037" s="35">
        <f t="shared" si="192"/>
        <v>2</v>
      </c>
      <c r="W1037">
        <f t="shared" si="199"/>
        <v>1</v>
      </c>
      <c r="X1037" s="35">
        <f t="shared" si="193"/>
        <v>0</v>
      </c>
      <c r="Y1037">
        <f t="shared" si="194"/>
        <v>1</v>
      </c>
      <c r="AB1037">
        <f t="shared" si="202"/>
        <v>1</v>
      </c>
      <c r="AC1037">
        <f t="shared" ca="1" si="203"/>
        <v>0</v>
      </c>
      <c r="AD1037" t="str">
        <f ca="1">IF(AC1037=1,COUNTIF($AC$3:AC1037,1),"")</f>
        <v/>
      </c>
      <c r="AE1037" s="155" t="str">
        <f ca="1">IFERROR(INDEX(Données!$B$3:$B$1479,MATCH(ROWS($AD$3:AD1037),$AD$3:$AD$1479,0)),"")</f>
        <v/>
      </c>
    </row>
    <row r="1038" spans="1:31" ht="15.75" x14ac:dyDescent="0.25">
      <c r="A1038" t="str">
        <f t="shared" si="200"/>
        <v>Tyler Wotherspoon - PHI - DG</v>
      </c>
      <c r="B1038" t="str">
        <f t="shared" si="201"/>
        <v>Tyler Wotherspoon - PHI - DG</v>
      </c>
      <c r="C1038" t="str">
        <f t="shared" si="195"/>
        <v>Tyler</v>
      </c>
      <c r="D1038" t="str">
        <f t="shared" si="196"/>
        <v>Wotherspoon</v>
      </c>
      <c r="E1038" s="39" t="s">
        <v>2076</v>
      </c>
      <c r="F1038" s="30" t="s">
        <v>28</v>
      </c>
      <c r="G1038" s="35">
        <v>0</v>
      </c>
      <c r="H1038" s="35" t="s">
        <v>2445</v>
      </c>
      <c r="I1038" s="35" t="s">
        <v>2446</v>
      </c>
      <c r="J1038" s="35">
        <v>26</v>
      </c>
      <c r="K1038" s="35">
        <f>VALUE(COUNTIF(Validation!$A$2:$H$47,E1038))</f>
        <v>0</v>
      </c>
      <c r="L1038" s="361">
        <f t="shared" si="197"/>
        <v>700000</v>
      </c>
      <c r="M1038" s="361">
        <f t="shared" si="198"/>
        <v>700000</v>
      </c>
      <c r="N1038" s="358">
        <v>700000</v>
      </c>
      <c r="O1038" s="358">
        <v>700000</v>
      </c>
      <c r="P1038" s="358" t="s">
        <v>7</v>
      </c>
      <c r="Q1038" s="358">
        <v>0</v>
      </c>
      <c r="R1038" s="358">
        <v>0</v>
      </c>
      <c r="S1038" s="358">
        <v>0</v>
      </c>
      <c r="T1038" s="358">
        <v>0</v>
      </c>
      <c r="U1038" s="35">
        <f t="shared" si="192"/>
        <v>2</v>
      </c>
      <c r="W1038">
        <f t="shared" si="199"/>
        <v>1</v>
      </c>
      <c r="X1038" s="35">
        <f t="shared" si="193"/>
        <v>0</v>
      </c>
      <c r="Y1038">
        <f t="shared" si="194"/>
        <v>1</v>
      </c>
      <c r="AB1038">
        <f t="shared" si="202"/>
        <v>1</v>
      </c>
      <c r="AC1038">
        <f t="shared" ca="1" si="203"/>
        <v>0</v>
      </c>
      <c r="AD1038" t="str">
        <f ca="1">IF(AC1038=1,COUNTIF($AC$3:AC1038,1),"")</f>
        <v/>
      </c>
      <c r="AE1038" s="155" t="str">
        <f ca="1">IFERROR(INDEX(Données!$B$3:$B$1479,MATCH(ROWS($AD$3:AD1038),$AD$3:$AD$1479,0)),"")</f>
        <v/>
      </c>
    </row>
    <row r="1039" spans="1:31" ht="15.75" x14ac:dyDescent="0.25">
      <c r="A1039" t="str">
        <f t="shared" si="200"/>
        <v>Philippe Myers - PHI - DD</v>
      </c>
      <c r="B1039" t="str">
        <f t="shared" si="201"/>
        <v>Philippe Myers - PHI - DD</v>
      </c>
      <c r="C1039" t="str">
        <f t="shared" si="195"/>
        <v>Philippe</v>
      </c>
      <c r="D1039" t="str">
        <f t="shared" si="196"/>
        <v>Myers</v>
      </c>
      <c r="E1039" s="39" t="s">
        <v>1817</v>
      </c>
      <c r="F1039" s="30" t="s">
        <v>28</v>
      </c>
      <c r="G1039" s="35" t="s">
        <v>386</v>
      </c>
      <c r="H1039" s="9" t="s">
        <v>2444</v>
      </c>
      <c r="I1039" s="9" t="s">
        <v>2439</v>
      </c>
      <c r="J1039" s="9">
        <v>22</v>
      </c>
      <c r="K1039" s="35">
        <f>VALUE(COUNTIF(Validation!$A$2:$H$47,E1039))</f>
        <v>0</v>
      </c>
      <c r="L1039" s="361">
        <f t="shared" si="197"/>
        <v>678889</v>
      </c>
      <c r="M1039" s="361">
        <f t="shared" si="198"/>
        <v>0</v>
      </c>
      <c r="N1039" s="358">
        <v>678889</v>
      </c>
      <c r="O1039" s="358" t="s">
        <v>8</v>
      </c>
      <c r="P1039" s="358">
        <v>0</v>
      </c>
      <c r="Q1039" s="358">
        <v>0</v>
      </c>
      <c r="R1039" s="358">
        <v>0</v>
      </c>
      <c r="S1039" s="358">
        <v>0</v>
      </c>
      <c r="T1039" s="358">
        <v>0</v>
      </c>
      <c r="U1039" s="35">
        <f t="shared" si="192"/>
        <v>1</v>
      </c>
      <c r="W1039">
        <f t="shared" si="199"/>
        <v>1</v>
      </c>
      <c r="X1039" s="35">
        <f t="shared" si="193"/>
        <v>1</v>
      </c>
      <c r="Y1039">
        <f t="shared" si="194"/>
        <v>0</v>
      </c>
      <c r="AB1039">
        <f t="shared" si="202"/>
        <v>1</v>
      </c>
      <c r="AC1039">
        <f t="shared" ca="1" si="203"/>
        <v>0</v>
      </c>
      <c r="AD1039" t="str">
        <f ca="1">IF(AC1039=1,COUNTIF($AC$3:AC1039,1),"")</f>
        <v/>
      </c>
      <c r="AE1039" s="155" t="str">
        <f ca="1">IFERROR(INDEX(Données!$B$3:$B$1479,MATCH(ROWS($AD$3:AD1039),$AD$3:$AD$1479,0)),"")</f>
        <v/>
      </c>
    </row>
    <row r="1040" spans="1:31" ht="15.75" x14ac:dyDescent="0.25">
      <c r="A1040" t="str">
        <f t="shared" si="200"/>
        <v>T.J. Brennan - PHI - DG</v>
      </c>
      <c r="B1040" t="str">
        <f t="shared" si="201"/>
        <v>T.J. Brennan - PHI - DG</v>
      </c>
      <c r="C1040" t="str">
        <f t="shared" si="195"/>
        <v>T.J.</v>
      </c>
      <c r="D1040" t="str">
        <f t="shared" si="196"/>
        <v>Brennan</v>
      </c>
      <c r="E1040" s="39" t="s">
        <v>1819</v>
      </c>
      <c r="F1040" s="30" t="s">
        <v>28</v>
      </c>
      <c r="G1040" s="35">
        <v>0</v>
      </c>
      <c r="H1040" s="35" t="s">
        <v>2445</v>
      </c>
      <c r="I1040" s="35" t="s">
        <v>2446</v>
      </c>
      <c r="J1040" s="35">
        <v>30</v>
      </c>
      <c r="K1040" s="35">
        <f>VALUE(COUNTIF(Validation!$A$2:$H$47,E1040))</f>
        <v>0</v>
      </c>
      <c r="L1040" s="361">
        <f t="shared" si="197"/>
        <v>675000</v>
      </c>
      <c r="M1040" s="361">
        <f t="shared" si="198"/>
        <v>0</v>
      </c>
      <c r="N1040" s="358">
        <v>675000</v>
      </c>
      <c r="O1040" s="358" t="s">
        <v>7</v>
      </c>
      <c r="P1040" s="358">
        <v>0</v>
      </c>
      <c r="Q1040" s="358">
        <v>0</v>
      </c>
      <c r="R1040" s="358">
        <v>0</v>
      </c>
      <c r="S1040" s="358">
        <v>0</v>
      </c>
      <c r="T1040" s="358">
        <v>0</v>
      </c>
      <c r="U1040" s="35">
        <f t="shared" si="192"/>
        <v>1</v>
      </c>
      <c r="W1040">
        <f t="shared" si="199"/>
        <v>1</v>
      </c>
      <c r="X1040" s="35">
        <f t="shared" si="193"/>
        <v>0</v>
      </c>
      <c r="Y1040">
        <f t="shared" si="194"/>
        <v>0</v>
      </c>
      <c r="AB1040">
        <f t="shared" si="202"/>
        <v>1</v>
      </c>
      <c r="AC1040">
        <f t="shared" ca="1" si="203"/>
        <v>0</v>
      </c>
      <c r="AD1040" t="str">
        <f ca="1">IF(AC1040=1,COUNTIF($AC$3:AC1040,1),"")</f>
        <v/>
      </c>
      <c r="AE1040" s="155" t="str">
        <f ca="1">IFERROR(INDEX(Données!$B$3:$B$1479,MATCH(ROWS($AD$3:AD1040),$AD$3:$AD$1479,0)),"")</f>
        <v/>
      </c>
    </row>
    <row r="1041" spans="1:31" ht="15.75" x14ac:dyDescent="0.25">
      <c r="A1041" t="str">
        <f t="shared" si="200"/>
        <v>Reece Willcox - PHI - DD</v>
      </c>
      <c r="B1041" t="str">
        <f t="shared" si="201"/>
        <v>Reece Willcox - PHI - DD</v>
      </c>
      <c r="C1041" t="str">
        <f t="shared" si="195"/>
        <v>Reece</v>
      </c>
      <c r="D1041" t="str">
        <f t="shared" si="196"/>
        <v>Willcox</v>
      </c>
      <c r="E1041" s="39" t="s">
        <v>1818</v>
      </c>
      <c r="F1041" s="30" t="s">
        <v>28</v>
      </c>
      <c r="G1041" s="35">
        <v>0</v>
      </c>
      <c r="H1041" s="9" t="s">
        <v>2444</v>
      </c>
      <c r="I1041" s="9" t="s">
        <v>2446</v>
      </c>
      <c r="J1041" s="9">
        <v>25</v>
      </c>
      <c r="K1041" s="35">
        <f>VALUE(COUNTIF(Validation!$A$2:$H$47,E1041))</f>
        <v>0</v>
      </c>
      <c r="L1041" s="361">
        <f t="shared" si="197"/>
        <v>675000</v>
      </c>
      <c r="M1041" s="361">
        <f t="shared" si="198"/>
        <v>0</v>
      </c>
      <c r="N1041" s="358">
        <v>675000</v>
      </c>
      <c r="O1041" s="358" t="s">
        <v>8</v>
      </c>
      <c r="P1041" s="358">
        <v>0</v>
      </c>
      <c r="Q1041" s="358">
        <v>0</v>
      </c>
      <c r="R1041" s="358">
        <v>0</v>
      </c>
      <c r="S1041" s="358">
        <v>0</v>
      </c>
      <c r="T1041" s="358">
        <v>0</v>
      </c>
      <c r="U1041" s="35">
        <f t="shared" si="192"/>
        <v>1</v>
      </c>
      <c r="W1041">
        <f t="shared" si="199"/>
        <v>1</v>
      </c>
      <c r="X1041" s="35">
        <f t="shared" si="193"/>
        <v>0</v>
      </c>
      <c r="Y1041">
        <f t="shared" si="194"/>
        <v>0</v>
      </c>
      <c r="AB1041">
        <f t="shared" si="202"/>
        <v>1</v>
      </c>
      <c r="AC1041">
        <f t="shared" ca="1" si="203"/>
        <v>0</v>
      </c>
      <c r="AD1041" t="str">
        <f ca="1">IF(AC1041=1,COUNTIF($AC$3:AC1041,1),"")</f>
        <v/>
      </c>
      <c r="AE1041" s="155" t="str">
        <f ca="1">IFERROR(INDEX(Données!$B$3:$B$1479,MATCH(ROWS($AD$3:AD1041),$AD$3:$AD$1479,0)),"")</f>
        <v/>
      </c>
    </row>
    <row r="1042" spans="1:31" ht="15.75" x14ac:dyDescent="0.25">
      <c r="A1042" t="str">
        <f t="shared" si="200"/>
        <v>Travis Konecny - PHI - AD, AG</v>
      </c>
      <c r="B1042" t="str">
        <f t="shared" si="201"/>
        <v>Travis Konecny - PHI - AD, AG</v>
      </c>
      <c r="C1042" t="str">
        <f t="shared" si="195"/>
        <v>Travis</v>
      </c>
      <c r="D1042" t="str">
        <f t="shared" si="196"/>
        <v>Konecny</v>
      </c>
      <c r="E1042" s="39" t="s">
        <v>1792</v>
      </c>
      <c r="F1042" s="30" t="s">
        <v>28</v>
      </c>
      <c r="G1042" s="35">
        <v>0</v>
      </c>
      <c r="H1042" s="35" t="s">
        <v>2441</v>
      </c>
      <c r="I1042" s="35" t="s">
        <v>2439</v>
      </c>
      <c r="J1042" s="35">
        <v>22</v>
      </c>
      <c r="K1042" s="35">
        <f>VALUE(COUNTIF(Validation!$A$2:$H$47,E1042))</f>
        <v>0</v>
      </c>
      <c r="L1042" s="361">
        <f t="shared" si="197"/>
        <v>0</v>
      </c>
      <c r="M1042" s="361">
        <f t="shared" si="198"/>
        <v>0</v>
      </c>
      <c r="N1042" s="358" t="s">
        <v>8</v>
      </c>
      <c r="O1042" s="358">
        <v>0</v>
      </c>
      <c r="P1042" s="358">
        <v>0</v>
      </c>
      <c r="Q1042" s="358">
        <v>0</v>
      </c>
      <c r="R1042" s="358">
        <v>0</v>
      </c>
      <c r="S1042" s="358">
        <v>0</v>
      </c>
      <c r="T1042" s="358">
        <v>0</v>
      </c>
      <c r="U1042" s="35">
        <f t="shared" si="192"/>
        <v>0</v>
      </c>
      <c r="W1042">
        <f t="shared" si="199"/>
        <v>1</v>
      </c>
      <c r="X1042" s="35">
        <f t="shared" si="193"/>
        <v>0</v>
      </c>
      <c r="Y1042">
        <f t="shared" si="194"/>
        <v>1</v>
      </c>
      <c r="AB1042">
        <f t="shared" si="202"/>
        <v>1</v>
      </c>
      <c r="AC1042">
        <f t="shared" ca="1" si="203"/>
        <v>0</v>
      </c>
      <c r="AD1042" t="str">
        <f ca="1">IF(AC1042=1,COUNTIF($AC$3:AC1042,1),"")</f>
        <v/>
      </c>
      <c r="AE1042" s="155" t="str">
        <f ca="1">IFERROR(INDEX(Données!$B$3:$B$1479,MATCH(ROWS($AD$3:AD1042),$AD$3:$AD$1479,0)),"")</f>
        <v/>
      </c>
    </row>
    <row r="1043" spans="1:31" ht="15.75" x14ac:dyDescent="0.25">
      <c r="A1043" t="str">
        <f t="shared" si="200"/>
        <v>Ivan Provorov - PHI - DG</v>
      </c>
      <c r="B1043" t="str">
        <f t="shared" si="201"/>
        <v>Ivan Provorov - PHI - DG</v>
      </c>
      <c r="C1043" t="str">
        <f t="shared" si="195"/>
        <v>Ivan</v>
      </c>
      <c r="D1043" t="str">
        <f t="shared" si="196"/>
        <v>Provorov</v>
      </c>
      <c r="E1043" s="39" t="s">
        <v>1795</v>
      </c>
      <c r="F1043" s="30" t="s">
        <v>28</v>
      </c>
      <c r="G1043" s="35">
        <v>0</v>
      </c>
      <c r="H1043" s="35" t="s">
        <v>2445</v>
      </c>
      <c r="I1043" s="35" t="s">
        <v>2439</v>
      </c>
      <c r="J1043" s="35">
        <v>22</v>
      </c>
      <c r="K1043" s="35">
        <f>VALUE(COUNTIF(Validation!$A$2:$H$47,E1043))</f>
        <v>0</v>
      </c>
      <c r="L1043" s="361">
        <f t="shared" si="197"/>
        <v>0</v>
      </c>
      <c r="M1043" s="361">
        <f t="shared" si="198"/>
        <v>0</v>
      </c>
      <c r="N1043" s="358" t="s">
        <v>8</v>
      </c>
      <c r="O1043" s="358">
        <v>0</v>
      </c>
      <c r="P1043" s="358">
        <v>0</v>
      </c>
      <c r="Q1043" s="358">
        <v>0</v>
      </c>
      <c r="R1043" s="358">
        <v>0</v>
      </c>
      <c r="S1043" s="358">
        <v>0</v>
      </c>
      <c r="T1043" s="358">
        <v>0</v>
      </c>
      <c r="U1043" s="35">
        <f t="shared" si="192"/>
        <v>0</v>
      </c>
      <c r="W1043">
        <f t="shared" si="199"/>
        <v>1</v>
      </c>
      <c r="X1043" s="35">
        <f t="shared" si="193"/>
        <v>0</v>
      </c>
      <c r="Y1043">
        <f t="shared" si="194"/>
        <v>1</v>
      </c>
      <c r="AB1043">
        <f t="shared" si="202"/>
        <v>1</v>
      </c>
      <c r="AC1043">
        <f t="shared" ca="1" si="203"/>
        <v>0</v>
      </c>
      <c r="AD1043" t="str">
        <f ca="1">IF(AC1043=1,COUNTIF($AC$3:AC1043,1),"")</f>
        <v/>
      </c>
      <c r="AE1043" s="155" t="str">
        <f ca="1">IFERROR(INDEX(Données!$B$3:$B$1479,MATCH(ROWS($AD$3:AD1043),$AD$3:$AD$1479,0)),"")</f>
        <v/>
      </c>
    </row>
    <row r="1044" spans="1:31" ht="15.75" x14ac:dyDescent="0.25">
      <c r="A1044" t="str">
        <f t="shared" si="200"/>
        <v>Evgeni Malkin - PIT - C</v>
      </c>
      <c r="B1044" t="str">
        <f t="shared" si="201"/>
        <v>Evgeni Malkin - PIT - C</v>
      </c>
      <c r="C1044" t="str">
        <f t="shared" si="195"/>
        <v>Evgeni</v>
      </c>
      <c r="D1044" t="str">
        <f t="shared" si="196"/>
        <v>Malkin</v>
      </c>
      <c r="E1044" s="39" t="s">
        <v>2987</v>
      </c>
      <c r="F1044" s="30" t="s">
        <v>29</v>
      </c>
      <c r="G1044" s="35" t="s">
        <v>420</v>
      </c>
      <c r="H1044" s="35" t="s">
        <v>73</v>
      </c>
      <c r="I1044" s="35" t="s">
        <v>2677</v>
      </c>
      <c r="J1044" s="35">
        <v>33</v>
      </c>
      <c r="K1044" s="35">
        <f>VALUE(COUNTIF(Validation!$A$2:$H$47,E1044))</f>
        <v>0</v>
      </c>
      <c r="L1044" s="361">
        <f t="shared" si="197"/>
        <v>9500000</v>
      </c>
      <c r="M1044" s="361">
        <f t="shared" si="198"/>
        <v>9500000</v>
      </c>
      <c r="N1044" s="358">
        <v>9500000</v>
      </c>
      <c r="O1044" s="358">
        <v>9500000</v>
      </c>
      <c r="P1044" s="358">
        <v>9500000</v>
      </c>
      <c r="Q1044" s="358" t="s">
        <v>7</v>
      </c>
      <c r="R1044" s="358">
        <v>0</v>
      </c>
      <c r="S1044" s="358">
        <v>0</v>
      </c>
      <c r="T1044" s="358">
        <v>0</v>
      </c>
      <c r="U1044" s="35">
        <f t="shared" si="192"/>
        <v>3</v>
      </c>
      <c r="W1044">
        <f t="shared" si="199"/>
        <v>1</v>
      </c>
      <c r="X1044" s="35">
        <f t="shared" si="193"/>
        <v>0</v>
      </c>
      <c r="Y1044">
        <f t="shared" si="194"/>
        <v>1</v>
      </c>
      <c r="AB1044">
        <f t="shared" si="202"/>
        <v>1</v>
      </c>
      <c r="AC1044">
        <f t="shared" ca="1" si="203"/>
        <v>0</v>
      </c>
      <c r="AD1044" t="str">
        <f ca="1">IF(AC1044=1,COUNTIF($AC$3:AC1044,1),"")</f>
        <v/>
      </c>
      <c r="AE1044" s="155" t="str">
        <f ca="1">IFERROR(INDEX(Données!$B$3:$B$1479,MATCH(ROWS($AD$3:AD1044),$AD$3:$AD$1479,0)),"")</f>
        <v/>
      </c>
    </row>
    <row r="1045" spans="1:31" ht="15.75" x14ac:dyDescent="0.25">
      <c r="A1045" t="str">
        <f t="shared" si="200"/>
        <v>Sidney Crosby - PIT - C</v>
      </c>
      <c r="B1045" t="str">
        <f t="shared" si="201"/>
        <v>Sidney Crosby - PIT - C</v>
      </c>
      <c r="C1045" t="str">
        <f t="shared" si="195"/>
        <v>Sidney</v>
      </c>
      <c r="D1045" t="str">
        <f t="shared" si="196"/>
        <v>Crosby</v>
      </c>
      <c r="E1045" s="39" t="s">
        <v>2953</v>
      </c>
      <c r="F1045" s="30" t="s">
        <v>29</v>
      </c>
      <c r="G1045" s="35" t="s">
        <v>420</v>
      </c>
      <c r="H1045" s="35" t="s">
        <v>73</v>
      </c>
      <c r="I1045" s="35" t="s">
        <v>2677</v>
      </c>
      <c r="J1045" s="35">
        <v>32</v>
      </c>
      <c r="K1045" s="35">
        <f>VALUE(COUNTIF(Validation!$A$2:$H$47,E1045))</f>
        <v>0</v>
      </c>
      <c r="L1045" s="361">
        <f t="shared" si="197"/>
        <v>8700000</v>
      </c>
      <c r="M1045" s="361">
        <f t="shared" si="198"/>
        <v>8700000</v>
      </c>
      <c r="N1045" s="358">
        <v>8700000</v>
      </c>
      <c r="O1045" s="358">
        <v>8700000</v>
      </c>
      <c r="P1045" s="358">
        <v>8700000</v>
      </c>
      <c r="Q1045" s="358">
        <v>8700000</v>
      </c>
      <c r="R1045" s="358">
        <v>8700000</v>
      </c>
      <c r="S1045" s="358">
        <v>8700000</v>
      </c>
      <c r="T1045" s="358" t="s">
        <v>7</v>
      </c>
      <c r="U1045" s="35">
        <f t="shared" si="192"/>
        <v>6</v>
      </c>
      <c r="W1045">
        <f t="shared" si="199"/>
        <v>1</v>
      </c>
      <c r="X1045" s="35">
        <f t="shared" si="193"/>
        <v>0</v>
      </c>
      <c r="Y1045">
        <f t="shared" si="194"/>
        <v>1</v>
      </c>
      <c r="AB1045">
        <f t="shared" si="202"/>
        <v>1</v>
      </c>
      <c r="AC1045">
        <f t="shared" ca="1" si="203"/>
        <v>0</v>
      </c>
      <c r="AD1045" t="str">
        <f ca="1">IF(AC1045=1,COUNTIF($AC$3:AC1045,1),"")</f>
        <v/>
      </c>
      <c r="AE1045" s="155" t="str">
        <f ca="1">IFERROR(INDEX(Données!$B$3:$B$1479,MATCH(ROWS($AD$3:AD1045),$AD$3:$AD$1479,0)),"")</f>
        <v/>
      </c>
    </row>
    <row r="1046" spans="1:31" ht="15.75" x14ac:dyDescent="0.25">
      <c r="A1046" t="str">
        <f t="shared" si="200"/>
        <v>Kris Letang - PIT - RD</v>
      </c>
      <c r="B1046" t="str">
        <f t="shared" si="201"/>
        <v>Kris Letang - PIT - RD</v>
      </c>
      <c r="C1046" t="str">
        <f t="shared" si="195"/>
        <v>Kris</v>
      </c>
      <c r="D1046" t="str">
        <f t="shared" si="196"/>
        <v>Letang</v>
      </c>
      <c r="E1046" s="39" t="s">
        <v>2985</v>
      </c>
      <c r="F1046" s="30" t="s">
        <v>29</v>
      </c>
      <c r="G1046" s="35" t="s">
        <v>370</v>
      </c>
      <c r="H1046" s="35" t="s">
        <v>379</v>
      </c>
      <c r="I1046" s="35" t="s">
        <v>2677</v>
      </c>
      <c r="J1046" s="35">
        <v>32</v>
      </c>
      <c r="K1046" s="35">
        <f>VALUE(COUNTIF(Validation!$A$2:$H$47,E1046))</f>
        <v>0</v>
      </c>
      <c r="L1046" s="361">
        <f t="shared" si="197"/>
        <v>7250000</v>
      </c>
      <c r="M1046" s="361">
        <f t="shared" si="198"/>
        <v>7250000</v>
      </c>
      <c r="N1046" s="358">
        <v>7250000</v>
      </c>
      <c r="O1046" s="358">
        <v>7250000</v>
      </c>
      <c r="P1046" s="358">
        <v>7250000</v>
      </c>
      <c r="Q1046" s="358" t="s">
        <v>7</v>
      </c>
      <c r="R1046" s="358">
        <v>0</v>
      </c>
      <c r="S1046" s="358">
        <v>0</v>
      </c>
      <c r="T1046" s="358">
        <v>0</v>
      </c>
      <c r="U1046" s="35">
        <f t="shared" si="192"/>
        <v>3</v>
      </c>
      <c r="W1046">
        <f t="shared" si="199"/>
        <v>1</v>
      </c>
      <c r="X1046" s="35">
        <f t="shared" si="193"/>
        <v>0</v>
      </c>
      <c r="Y1046">
        <f t="shared" si="194"/>
        <v>1</v>
      </c>
      <c r="AB1046">
        <f t="shared" si="202"/>
        <v>1</v>
      </c>
      <c r="AC1046">
        <f t="shared" ca="1" si="203"/>
        <v>0</v>
      </c>
      <c r="AD1046" t="str">
        <f ca="1">IF(AC1046=1,COUNTIF($AC$3:AC1046,1),"")</f>
        <v/>
      </c>
      <c r="AE1046" s="155" t="str">
        <f ca="1">IFERROR(INDEX(Données!$B$3:$B$1479,MATCH(ROWS($AD$3:AD1046),$AD$3:$AD$1479,0)),"")</f>
        <v/>
      </c>
    </row>
    <row r="1047" spans="1:31" ht="15.75" x14ac:dyDescent="0.25">
      <c r="A1047" t="str">
        <f t="shared" si="200"/>
        <v>Jake Guentzel - PIT - LW, RW</v>
      </c>
      <c r="B1047" t="str">
        <f t="shared" si="201"/>
        <v>Jake Guentzel - PIT - LW, RW</v>
      </c>
      <c r="C1047" t="str">
        <f t="shared" si="195"/>
        <v>Jake</v>
      </c>
      <c r="D1047" t="str">
        <f t="shared" si="196"/>
        <v>Guentzel</v>
      </c>
      <c r="E1047" s="39" t="s">
        <v>1826</v>
      </c>
      <c r="F1047" s="30" t="s">
        <v>29</v>
      </c>
      <c r="G1047" s="35">
        <v>0</v>
      </c>
      <c r="H1047" s="35" t="s">
        <v>2689</v>
      </c>
      <c r="I1047" s="35" t="s">
        <v>2677</v>
      </c>
      <c r="J1047" s="35">
        <v>24</v>
      </c>
      <c r="K1047" s="35">
        <f>VALUE(COUNTIF(Validation!$A$2:$H$47,E1047))</f>
        <v>0</v>
      </c>
      <c r="L1047" s="361">
        <f t="shared" si="197"/>
        <v>6000000</v>
      </c>
      <c r="M1047" s="361">
        <f t="shared" si="198"/>
        <v>6000000</v>
      </c>
      <c r="N1047" s="358">
        <v>6000000</v>
      </c>
      <c r="O1047" s="358">
        <v>6000000</v>
      </c>
      <c r="P1047" s="358">
        <v>6000000</v>
      </c>
      <c r="Q1047" s="358">
        <v>6000000</v>
      </c>
      <c r="R1047" s="358">
        <v>6000000</v>
      </c>
      <c r="S1047" s="358" t="s">
        <v>7</v>
      </c>
      <c r="T1047" s="358">
        <v>0</v>
      </c>
      <c r="U1047" s="35">
        <f t="shared" si="192"/>
        <v>5</v>
      </c>
      <c r="W1047">
        <f t="shared" si="199"/>
        <v>1</v>
      </c>
      <c r="X1047" s="35">
        <f t="shared" si="193"/>
        <v>0</v>
      </c>
      <c r="Y1047">
        <f t="shared" si="194"/>
        <v>1</v>
      </c>
      <c r="AB1047">
        <f t="shared" si="202"/>
        <v>1</v>
      </c>
      <c r="AC1047">
        <f t="shared" ca="1" si="203"/>
        <v>0</v>
      </c>
      <c r="AD1047" t="str">
        <f ca="1">IF(AC1047=1,COUNTIF($AC$3:AC1047,1),"")</f>
        <v/>
      </c>
      <c r="AE1047" s="155" t="str">
        <f ca="1">IFERROR(INDEX(Données!$B$3:$B$1479,MATCH(ROWS($AD$3:AD1047),$AD$3:$AD$1479,0)),"")</f>
        <v/>
      </c>
    </row>
    <row r="1048" spans="1:31" ht="15.75" x14ac:dyDescent="0.25">
      <c r="A1048" t="str">
        <f t="shared" si="200"/>
        <v>Justin Schultz - PIT - RD</v>
      </c>
      <c r="B1048" t="str">
        <f t="shared" si="201"/>
        <v>Justin Schultz - PIT - RD</v>
      </c>
      <c r="C1048" t="str">
        <f t="shared" si="195"/>
        <v>Justin</v>
      </c>
      <c r="D1048" t="str">
        <f t="shared" si="196"/>
        <v>Schultz</v>
      </c>
      <c r="E1048" s="39" t="s">
        <v>1828</v>
      </c>
      <c r="F1048" s="30" t="s">
        <v>29</v>
      </c>
      <c r="G1048" s="35" t="s">
        <v>381</v>
      </c>
      <c r="H1048" s="9" t="s">
        <v>379</v>
      </c>
      <c r="I1048" s="9" t="s">
        <v>2677</v>
      </c>
      <c r="J1048" s="9">
        <v>29</v>
      </c>
      <c r="K1048" s="35">
        <f>VALUE(COUNTIF(Validation!$A$2:$H$47,E1048))</f>
        <v>0</v>
      </c>
      <c r="L1048" s="361">
        <f t="shared" si="197"/>
        <v>5500000</v>
      </c>
      <c r="M1048" s="361">
        <f t="shared" si="198"/>
        <v>0</v>
      </c>
      <c r="N1048" s="358">
        <v>5500000</v>
      </c>
      <c r="O1048" s="358" t="s">
        <v>7</v>
      </c>
      <c r="P1048" s="358">
        <v>0</v>
      </c>
      <c r="Q1048" s="358">
        <v>0</v>
      </c>
      <c r="R1048" s="358">
        <v>0</v>
      </c>
      <c r="S1048" s="358">
        <v>0</v>
      </c>
      <c r="T1048" s="358">
        <v>0</v>
      </c>
      <c r="U1048" s="35">
        <f t="shared" si="192"/>
        <v>1</v>
      </c>
      <c r="W1048">
        <f t="shared" si="199"/>
        <v>1</v>
      </c>
      <c r="X1048" s="35">
        <f t="shared" si="193"/>
        <v>0</v>
      </c>
      <c r="Y1048">
        <f t="shared" si="194"/>
        <v>0</v>
      </c>
      <c r="AB1048">
        <f t="shared" si="202"/>
        <v>1</v>
      </c>
      <c r="AC1048">
        <f t="shared" ca="1" si="203"/>
        <v>0</v>
      </c>
      <c r="AD1048" t="str">
        <f ca="1">IF(AC1048=1,COUNTIF($AC$3:AC1048,1),"")</f>
        <v/>
      </c>
      <c r="AE1048" s="155" t="str">
        <f ca="1">IFERROR(INDEX(Données!$B$3:$B$1479,MATCH(ROWS($AD$3:AD1048),$AD$3:$AD$1479,0)),"")</f>
        <v/>
      </c>
    </row>
    <row r="1049" spans="1:31" ht="15.75" x14ac:dyDescent="0.25">
      <c r="A1049" t="str">
        <f t="shared" si="200"/>
        <v>Patric Hornqvist - PIT - RW</v>
      </c>
      <c r="B1049" t="str">
        <f t="shared" si="201"/>
        <v>Patric Hornqvist - PIT - RW</v>
      </c>
      <c r="C1049" t="str">
        <f t="shared" si="195"/>
        <v>Patric</v>
      </c>
      <c r="D1049" t="str">
        <f t="shared" si="196"/>
        <v>Hornqvist</v>
      </c>
      <c r="E1049" s="39" t="s">
        <v>2855</v>
      </c>
      <c r="F1049" s="30" t="s">
        <v>29</v>
      </c>
      <c r="G1049" s="35" t="s">
        <v>372</v>
      </c>
      <c r="H1049" s="35" t="s">
        <v>88</v>
      </c>
      <c r="I1049" s="35" t="s">
        <v>2677</v>
      </c>
      <c r="J1049" s="35">
        <v>32</v>
      </c>
      <c r="K1049" s="35">
        <f>VALUE(COUNTIF(Validation!$A$2:$H$47,E1049))</f>
        <v>0</v>
      </c>
      <c r="L1049" s="361">
        <f t="shared" si="197"/>
        <v>5300000</v>
      </c>
      <c r="M1049" s="361">
        <f t="shared" si="198"/>
        <v>5300000</v>
      </c>
      <c r="N1049" s="358">
        <v>5300000</v>
      </c>
      <c r="O1049" s="358">
        <v>5300000</v>
      </c>
      <c r="P1049" s="358">
        <v>5300000</v>
      </c>
      <c r="Q1049" s="358">
        <v>5300000</v>
      </c>
      <c r="R1049" s="358" t="s">
        <v>7</v>
      </c>
      <c r="S1049" s="358">
        <v>0</v>
      </c>
      <c r="T1049" s="358">
        <v>0</v>
      </c>
      <c r="U1049" s="35">
        <f t="shared" si="192"/>
        <v>4</v>
      </c>
      <c r="W1049">
        <f t="shared" si="199"/>
        <v>1</v>
      </c>
      <c r="X1049" s="35">
        <f t="shared" si="193"/>
        <v>0</v>
      </c>
      <c r="Y1049">
        <f t="shared" si="194"/>
        <v>1</v>
      </c>
      <c r="AB1049">
        <f t="shared" si="202"/>
        <v>1</v>
      </c>
      <c r="AC1049">
        <f t="shared" ca="1" si="203"/>
        <v>0</v>
      </c>
      <c r="AD1049" t="str">
        <f ca="1">IF(AC1049=1,COUNTIF($AC$3:AC1049,1),"")</f>
        <v/>
      </c>
      <c r="AE1049" s="155" t="str">
        <f ca="1">IFERROR(INDEX(Données!$B$3:$B$1479,MATCH(ROWS($AD$3:AD1049),$AD$3:$AD$1479,0)),"")</f>
        <v/>
      </c>
    </row>
    <row r="1050" spans="1:31" ht="15.75" x14ac:dyDescent="0.25">
      <c r="A1050" t="str">
        <f t="shared" si="200"/>
        <v>Alex Galchenyuk - PIT - LW, C, RW</v>
      </c>
      <c r="B1050" t="str">
        <f t="shared" si="201"/>
        <v>Alex Galchenyuk - PIT - LW, C, RW</v>
      </c>
      <c r="C1050" t="str">
        <f t="shared" si="195"/>
        <v>Alex</v>
      </c>
      <c r="D1050" t="str">
        <f t="shared" si="196"/>
        <v>Galchenyuk</v>
      </c>
      <c r="E1050" s="39" t="s">
        <v>2150</v>
      </c>
      <c r="F1050" s="30" t="s">
        <v>29</v>
      </c>
      <c r="G1050" s="35">
        <v>0</v>
      </c>
      <c r="H1050" s="35" t="s">
        <v>2703</v>
      </c>
      <c r="I1050" s="35" t="s">
        <v>2677</v>
      </c>
      <c r="J1050" s="35">
        <v>25</v>
      </c>
      <c r="K1050" s="35">
        <f>VALUE(COUNTIF(Validation!$A$2:$H$47,E1050))</f>
        <v>0</v>
      </c>
      <c r="L1050" s="361">
        <f t="shared" si="197"/>
        <v>4900000</v>
      </c>
      <c r="M1050" s="361">
        <f t="shared" si="198"/>
        <v>0</v>
      </c>
      <c r="N1050" s="358">
        <v>4900000</v>
      </c>
      <c r="O1050" s="358" t="s">
        <v>7</v>
      </c>
      <c r="P1050" s="358">
        <v>0</v>
      </c>
      <c r="Q1050" s="358">
        <v>0</v>
      </c>
      <c r="R1050" s="358">
        <v>0</v>
      </c>
      <c r="S1050" s="358">
        <v>0</v>
      </c>
      <c r="T1050" s="358">
        <v>0</v>
      </c>
      <c r="U1050" s="35">
        <f t="shared" si="192"/>
        <v>1</v>
      </c>
      <c r="W1050">
        <f t="shared" si="199"/>
        <v>1</v>
      </c>
      <c r="X1050" s="35">
        <f t="shared" si="193"/>
        <v>0</v>
      </c>
      <c r="Y1050">
        <f t="shared" si="194"/>
        <v>0</v>
      </c>
      <c r="AB1050">
        <f t="shared" si="202"/>
        <v>1</v>
      </c>
      <c r="AC1050">
        <f t="shared" ca="1" si="203"/>
        <v>0</v>
      </c>
      <c r="AD1050" t="str">
        <f ca="1">IF(AC1050=1,COUNTIF($AC$3:AC1050,1),"")</f>
        <v/>
      </c>
      <c r="AE1050" s="155" t="str">
        <f ca="1">IFERROR(INDEX(Données!$B$3:$B$1479,MATCH(ROWS($AD$3:AD1050),$AD$3:$AD$1479,0)),"")</f>
        <v/>
      </c>
    </row>
    <row r="1051" spans="1:31" ht="15.75" x14ac:dyDescent="0.25">
      <c r="A1051" t="str">
        <f t="shared" si="200"/>
        <v>Nick Bjugstad - PIT - C, RW</v>
      </c>
      <c r="B1051" t="str">
        <f t="shared" si="201"/>
        <v>Nick Bjugstad - PIT - C, RW</v>
      </c>
      <c r="C1051" t="str">
        <f t="shared" si="195"/>
        <v>Nick</v>
      </c>
      <c r="D1051" t="str">
        <f t="shared" si="196"/>
        <v>Bjugstad</v>
      </c>
      <c r="E1051" s="39" t="s">
        <v>1454</v>
      </c>
      <c r="F1051" s="30" t="s">
        <v>29</v>
      </c>
      <c r="G1051" s="35">
        <v>0</v>
      </c>
      <c r="H1051" s="35" t="s">
        <v>2684</v>
      </c>
      <c r="I1051" s="35" t="s">
        <v>2677</v>
      </c>
      <c r="J1051" s="35">
        <v>27</v>
      </c>
      <c r="K1051" s="35">
        <f>VALUE(COUNTIF(Validation!$A$2:$H$47,E1051))</f>
        <v>0</v>
      </c>
      <c r="L1051" s="361">
        <f t="shared" si="197"/>
        <v>4100000</v>
      </c>
      <c r="M1051" s="361">
        <f t="shared" si="198"/>
        <v>4100000</v>
      </c>
      <c r="N1051" s="358">
        <v>4100000</v>
      </c>
      <c r="O1051" s="358">
        <v>4100000</v>
      </c>
      <c r="P1051" s="358" t="s">
        <v>7</v>
      </c>
      <c r="Q1051" s="358">
        <v>0</v>
      </c>
      <c r="R1051" s="358">
        <v>0</v>
      </c>
      <c r="S1051" s="358">
        <v>0</v>
      </c>
      <c r="T1051" s="358">
        <v>0</v>
      </c>
      <c r="U1051" s="35">
        <f t="shared" si="192"/>
        <v>2</v>
      </c>
      <c r="W1051">
        <f t="shared" si="199"/>
        <v>1</v>
      </c>
      <c r="X1051" s="35">
        <f t="shared" si="193"/>
        <v>0</v>
      </c>
      <c r="Y1051">
        <f t="shared" si="194"/>
        <v>1</v>
      </c>
      <c r="AB1051">
        <f t="shared" si="202"/>
        <v>1</v>
      </c>
      <c r="AC1051">
        <f t="shared" ca="1" si="203"/>
        <v>0</v>
      </c>
      <c r="AD1051" t="str">
        <f ca="1">IF(AC1051=1,COUNTIF($AC$3:AC1051,1),"")</f>
        <v/>
      </c>
      <c r="AE1051" s="155" t="str">
        <f ca="1">IFERROR(INDEX(Données!$B$3:$B$1479,MATCH(ROWS($AD$3:AD1051),$AD$3:$AD$1479,0)),"")</f>
        <v/>
      </c>
    </row>
    <row r="1052" spans="1:31" ht="15.75" x14ac:dyDescent="0.25">
      <c r="A1052" t="str">
        <f t="shared" si="200"/>
        <v>Brian Dumoulin - PIT - LD</v>
      </c>
      <c r="B1052" t="str">
        <f t="shared" si="201"/>
        <v>Brian Dumoulin - PIT - LD</v>
      </c>
      <c r="C1052" t="str">
        <f t="shared" si="195"/>
        <v>Brian</v>
      </c>
      <c r="D1052" t="str">
        <f t="shared" si="196"/>
        <v>Dumoulin</v>
      </c>
      <c r="E1052" s="39" t="s">
        <v>1829</v>
      </c>
      <c r="F1052" s="30" t="s">
        <v>29</v>
      </c>
      <c r="G1052" s="35">
        <v>0</v>
      </c>
      <c r="H1052" s="35" t="s">
        <v>380</v>
      </c>
      <c r="I1052" s="35" t="s">
        <v>2677</v>
      </c>
      <c r="J1052" s="35">
        <v>27</v>
      </c>
      <c r="K1052" s="35">
        <f>VALUE(COUNTIF(Validation!$A$2:$H$47,E1052))</f>
        <v>0</v>
      </c>
      <c r="L1052" s="361">
        <f t="shared" si="197"/>
        <v>4100000</v>
      </c>
      <c r="M1052" s="361">
        <f t="shared" si="198"/>
        <v>4100000</v>
      </c>
      <c r="N1052" s="358">
        <v>4100000</v>
      </c>
      <c r="O1052" s="358">
        <v>4100000</v>
      </c>
      <c r="P1052" s="358">
        <v>4100000</v>
      </c>
      <c r="Q1052" s="358">
        <v>4100000</v>
      </c>
      <c r="R1052" s="358" t="s">
        <v>7</v>
      </c>
      <c r="S1052" s="358">
        <v>0</v>
      </c>
      <c r="T1052" s="358">
        <v>0</v>
      </c>
      <c r="U1052" s="35">
        <f t="shared" si="192"/>
        <v>4</v>
      </c>
      <c r="W1052">
        <f t="shared" si="199"/>
        <v>1</v>
      </c>
      <c r="X1052" s="35">
        <f t="shared" si="193"/>
        <v>0</v>
      </c>
      <c r="Y1052">
        <f t="shared" si="194"/>
        <v>1</v>
      </c>
      <c r="AB1052">
        <f t="shared" si="202"/>
        <v>1</v>
      </c>
      <c r="AC1052">
        <f t="shared" ca="1" si="203"/>
        <v>0</v>
      </c>
      <c r="AD1052" t="str">
        <f ca="1">IF(AC1052=1,COUNTIF($AC$3:AC1052,1),"")</f>
        <v/>
      </c>
      <c r="AE1052" s="155" t="str">
        <f ca="1">IFERROR(INDEX(Données!$B$3:$B$1479,MATCH(ROWS($AD$3:AD1052),$AD$3:$AD$1479,0)),"")</f>
        <v/>
      </c>
    </row>
    <row r="1053" spans="1:31" ht="15.75" x14ac:dyDescent="0.25">
      <c r="A1053" t="str">
        <f t="shared" si="200"/>
        <v>Erik Gudbranson - PIT - RD</v>
      </c>
      <c r="B1053" t="str">
        <f t="shared" si="201"/>
        <v>Erik Gudbranson - PIT - RD</v>
      </c>
      <c r="C1053" t="str">
        <f t="shared" si="195"/>
        <v>Erik</v>
      </c>
      <c r="D1053" t="str">
        <f t="shared" si="196"/>
        <v>Gudbranson</v>
      </c>
      <c r="E1053" s="39" t="s">
        <v>2341</v>
      </c>
      <c r="F1053" s="30" t="s">
        <v>29</v>
      </c>
      <c r="G1053" s="35">
        <v>0</v>
      </c>
      <c r="H1053" s="35" t="s">
        <v>379</v>
      </c>
      <c r="I1053" s="35" t="s">
        <v>2677</v>
      </c>
      <c r="J1053" s="35">
        <v>27</v>
      </c>
      <c r="K1053" s="35">
        <f>VALUE(COUNTIF(Validation!$A$2:$H$47,E1053))</f>
        <v>0</v>
      </c>
      <c r="L1053" s="361">
        <f t="shared" si="197"/>
        <v>4000000</v>
      </c>
      <c r="M1053" s="361">
        <f t="shared" si="198"/>
        <v>4000000</v>
      </c>
      <c r="N1053" s="358">
        <v>4000000</v>
      </c>
      <c r="O1053" s="358">
        <v>4000000</v>
      </c>
      <c r="P1053" s="358" t="s">
        <v>7</v>
      </c>
      <c r="Q1053" s="358">
        <v>0</v>
      </c>
      <c r="R1053" s="358">
        <v>0</v>
      </c>
      <c r="S1053" s="358">
        <v>0</v>
      </c>
      <c r="T1053" s="358">
        <v>0</v>
      </c>
      <c r="U1053" s="35">
        <f t="shared" si="192"/>
        <v>2</v>
      </c>
      <c r="W1053">
        <f t="shared" si="199"/>
        <v>1</v>
      </c>
      <c r="X1053" s="35">
        <f t="shared" si="193"/>
        <v>0</v>
      </c>
      <c r="Y1053">
        <f t="shared" si="194"/>
        <v>1</v>
      </c>
      <c r="AB1053">
        <f t="shared" si="202"/>
        <v>1</v>
      </c>
      <c r="AC1053">
        <f t="shared" ca="1" si="203"/>
        <v>0</v>
      </c>
      <c r="AD1053" t="str">
        <f ca="1">IF(AC1053=1,COUNTIF($AC$3:AC1053,1),"")</f>
        <v/>
      </c>
      <c r="AE1053" s="155" t="str">
        <f ca="1">IFERROR(INDEX(Données!$B$3:$B$1479,MATCH(ROWS($AD$3:AD1053),$AD$3:$AD$1479,0)),"")</f>
        <v/>
      </c>
    </row>
    <row r="1054" spans="1:31" ht="15.75" x14ac:dyDescent="0.25">
      <c r="A1054" t="str">
        <f t="shared" si="200"/>
        <v>Dominik Kahun - PIT - LW, RW, C</v>
      </c>
      <c r="B1054" t="str">
        <f t="shared" si="201"/>
        <v>Dominik Kahun - PIT - LW, RW, C</v>
      </c>
      <c r="C1054" t="str">
        <f t="shared" si="195"/>
        <v>Dominik</v>
      </c>
      <c r="D1054" t="str">
        <f t="shared" si="196"/>
        <v>Kahun</v>
      </c>
      <c r="E1054" s="39" t="s">
        <v>1900</v>
      </c>
      <c r="F1054" s="30" t="s">
        <v>29</v>
      </c>
      <c r="G1054" s="35" t="s">
        <v>403</v>
      </c>
      <c r="H1054" s="35" t="s">
        <v>2681</v>
      </c>
      <c r="I1054" s="35" t="s">
        <v>2677</v>
      </c>
      <c r="J1054" s="35">
        <v>24</v>
      </c>
      <c r="K1054" s="35">
        <f>VALUE(COUNTIF(Validation!$A$2:$H$47,E1054))</f>
        <v>0</v>
      </c>
      <c r="L1054" s="361">
        <f t="shared" si="197"/>
        <v>3775000</v>
      </c>
      <c r="M1054" s="361">
        <f t="shared" si="198"/>
        <v>0</v>
      </c>
      <c r="N1054" s="358">
        <v>3775000</v>
      </c>
      <c r="O1054" s="358" t="s">
        <v>8</v>
      </c>
      <c r="P1054" s="358">
        <v>0</v>
      </c>
      <c r="Q1054" s="358">
        <v>0</v>
      </c>
      <c r="R1054" s="358">
        <v>0</v>
      </c>
      <c r="S1054" s="358">
        <v>0</v>
      </c>
      <c r="T1054" s="358">
        <v>0</v>
      </c>
      <c r="U1054" s="35">
        <f t="shared" si="192"/>
        <v>1</v>
      </c>
      <c r="W1054">
        <f t="shared" si="199"/>
        <v>1</v>
      </c>
      <c r="X1054" s="35">
        <f t="shared" si="193"/>
        <v>1</v>
      </c>
      <c r="Y1054">
        <f t="shared" si="194"/>
        <v>0</v>
      </c>
      <c r="AB1054">
        <f t="shared" si="202"/>
        <v>1</v>
      </c>
      <c r="AC1054">
        <f t="shared" ca="1" si="203"/>
        <v>0</v>
      </c>
      <c r="AD1054" t="str">
        <f ca="1">IF(AC1054=1,COUNTIF($AC$3:AC1054,1),"")</f>
        <v/>
      </c>
      <c r="AE1054" s="155" t="str">
        <f ca="1">IFERROR(INDEX(Données!$B$3:$B$1479,MATCH(ROWS($AD$3:AD1054),$AD$3:$AD$1479,0)),"")</f>
        <v/>
      </c>
    </row>
    <row r="1055" spans="1:31" ht="15.75" x14ac:dyDescent="0.25">
      <c r="A1055" t="str">
        <f t="shared" si="200"/>
        <v>Matt Murray - PIT - G</v>
      </c>
      <c r="B1055" t="str">
        <f t="shared" si="201"/>
        <v>Matt Murray - PIT - G</v>
      </c>
      <c r="C1055" t="str">
        <f t="shared" si="195"/>
        <v>Matt</v>
      </c>
      <c r="D1055" t="str">
        <f t="shared" si="196"/>
        <v>Murray</v>
      </c>
      <c r="E1055" s="39" t="s">
        <v>1833</v>
      </c>
      <c r="F1055" s="30" t="s">
        <v>29</v>
      </c>
      <c r="G1055" s="35">
        <v>0</v>
      </c>
      <c r="H1055" s="9" t="s">
        <v>127</v>
      </c>
      <c r="I1055" s="9" t="s">
        <v>2677</v>
      </c>
      <c r="J1055" s="9">
        <v>25</v>
      </c>
      <c r="K1055" s="35">
        <f>VALUE(COUNTIF(Validation!$A$2:$H$47,E1055))</f>
        <v>0</v>
      </c>
      <c r="L1055" s="361">
        <f t="shared" si="197"/>
        <v>3750000</v>
      </c>
      <c r="M1055" s="361">
        <f t="shared" si="198"/>
        <v>0</v>
      </c>
      <c r="N1055" s="358">
        <v>3750000</v>
      </c>
      <c r="O1055" s="358" t="s">
        <v>8</v>
      </c>
      <c r="P1055" s="358">
        <v>0</v>
      </c>
      <c r="Q1055" s="358">
        <v>0</v>
      </c>
      <c r="R1055" s="358">
        <v>0</v>
      </c>
      <c r="S1055" s="358">
        <v>0</v>
      </c>
      <c r="T1055" s="358">
        <v>0</v>
      </c>
      <c r="U1055" s="35">
        <f t="shared" si="192"/>
        <v>1</v>
      </c>
      <c r="W1055">
        <f t="shared" si="199"/>
        <v>1</v>
      </c>
      <c r="X1055" s="35">
        <f t="shared" si="193"/>
        <v>0</v>
      </c>
      <c r="Y1055">
        <f t="shared" si="194"/>
        <v>0</v>
      </c>
      <c r="AB1055">
        <f t="shared" si="202"/>
        <v>1</v>
      </c>
      <c r="AC1055">
        <f t="shared" ca="1" si="203"/>
        <v>0</v>
      </c>
      <c r="AD1055" t="str">
        <f ca="1">IF(AC1055=1,COUNTIF($AC$3:AC1055,1),"")</f>
        <v/>
      </c>
      <c r="AE1055" s="155" t="str">
        <f ca="1">IFERROR(INDEX(Données!$B$3:$B$1479,MATCH(ROWS($AD$3:AD1055),$AD$3:$AD$1479,0)),"")</f>
        <v/>
      </c>
    </row>
    <row r="1056" spans="1:31" ht="15.75" x14ac:dyDescent="0.25">
      <c r="A1056" t="str">
        <f t="shared" si="200"/>
        <v>Bryan Rust - PIT - RW, LW</v>
      </c>
      <c r="B1056" t="str">
        <f t="shared" si="201"/>
        <v>Bryan Rust - PIT - RW, LW</v>
      </c>
      <c r="C1056" t="str">
        <f t="shared" si="195"/>
        <v>Bryan</v>
      </c>
      <c r="D1056" t="str">
        <f t="shared" si="196"/>
        <v>Rust</v>
      </c>
      <c r="E1056" s="39" t="s">
        <v>1823</v>
      </c>
      <c r="F1056" s="30" t="s">
        <v>29</v>
      </c>
      <c r="G1056" s="35">
        <v>0</v>
      </c>
      <c r="H1056" s="35" t="s">
        <v>2680</v>
      </c>
      <c r="I1056" s="35" t="s">
        <v>2677</v>
      </c>
      <c r="J1056" s="35">
        <v>27</v>
      </c>
      <c r="K1056" s="35">
        <f>VALUE(COUNTIF(Validation!$A$2:$H$47,E1056))</f>
        <v>0</v>
      </c>
      <c r="L1056" s="361">
        <f t="shared" si="197"/>
        <v>3500000</v>
      </c>
      <c r="M1056" s="361">
        <f t="shared" si="198"/>
        <v>3500000</v>
      </c>
      <c r="N1056" s="358">
        <v>3500000</v>
      </c>
      <c r="O1056" s="358">
        <v>3500000</v>
      </c>
      <c r="P1056" s="358">
        <v>3500000</v>
      </c>
      <c r="Q1056" s="358" t="s">
        <v>7</v>
      </c>
      <c r="R1056" s="358">
        <v>0</v>
      </c>
      <c r="S1056" s="358">
        <v>0</v>
      </c>
      <c r="T1056" s="358">
        <v>0</v>
      </c>
      <c r="U1056" s="35">
        <f t="shared" si="192"/>
        <v>3</v>
      </c>
      <c r="W1056">
        <f t="shared" si="199"/>
        <v>1</v>
      </c>
      <c r="X1056" s="35">
        <f t="shared" si="193"/>
        <v>0</v>
      </c>
      <c r="Y1056">
        <f t="shared" si="194"/>
        <v>1</v>
      </c>
      <c r="AB1056">
        <f t="shared" si="202"/>
        <v>1</v>
      </c>
      <c r="AC1056">
        <f t="shared" ca="1" si="203"/>
        <v>0</v>
      </c>
      <c r="AD1056" t="str">
        <f ca="1">IF(AC1056=1,COUNTIF($AC$3:AC1056,1),"")</f>
        <v/>
      </c>
      <c r="AE1056" s="155" t="str">
        <f ca="1">IFERROR(INDEX(Données!$B$3:$B$1479,MATCH(ROWS($AD$3:AD1056),$AD$3:$AD$1479,0)),"")</f>
        <v/>
      </c>
    </row>
    <row r="1057" spans="1:31" ht="15.75" x14ac:dyDescent="0.25">
      <c r="A1057" t="str">
        <f t="shared" si="200"/>
        <v>Brandon Tanev - PIT - RW, LW</v>
      </c>
      <c r="B1057" t="str">
        <f t="shared" si="201"/>
        <v>Brandon Tanev - PIT - RW, LW</v>
      </c>
      <c r="C1057" t="str">
        <f t="shared" si="195"/>
        <v>Brandon</v>
      </c>
      <c r="D1057" t="str">
        <f t="shared" si="196"/>
        <v>Tanev</v>
      </c>
      <c r="E1057" s="39" t="s">
        <v>2085</v>
      </c>
      <c r="F1057" s="30" t="s">
        <v>29</v>
      </c>
      <c r="G1057" s="35" t="s">
        <v>381</v>
      </c>
      <c r="H1057" s="35" t="s">
        <v>2680</v>
      </c>
      <c r="I1057" s="35" t="s">
        <v>2677</v>
      </c>
      <c r="J1057" s="35">
        <v>27</v>
      </c>
      <c r="K1057" s="35">
        <f>VALUE(COUNTIF(Validation!$A$2:$H$47,E1057))</f>
        <v>0</v>
      </c>
      <c r="L1057" s="361">
        <f t="shared" si="197"/>
        <v>3500000</v>
      </c>
      <c r="M1057" s="361">
        <f t="shared" si="198"/>
        <v>3500000</v>
      </c>
      <c r="N1057" s="358">
        <v>3500000</v>
      </c>
      <c r="O1057" s="358">
        <v>3500000</v>
      </c>
      <c r="P1057" s="358">
        <v>3500000</v>
      </c>
      <c r="Q1057" s="358">
        <v>3500000</v>
      </c>
      <c r="R1057" s="358">
        <v>3500000</v>
      </c>
      <c r="S1057" s="358">
        <v>3500000</v>
      </c>
      <c r="T1057" s="358" t="s">
        <v>7</v>
      </c>
      <c r="U1057" s="35">
        <f t="shared" si="192"/>
        <v>6</v>
      </c>
      <c r="W1057">
        <f t="shared" si="199"/>
        <v>1</v>
      </c>
      <c r="X1057" s="35">
        <f t="shared" si="193"/>
        <v>0</v>
      </c>
      <c r="Y1057">
        <f t="shared" si="194"/>
        <v>1</v>
      </c>
      <c r="AB1057">
        <f t="shared" si="202"/>
        <v>1</v>
      </c>
      <c r="AC1057">
        <f t="shared" ca="1" si="203"/>
        <v>0</v>
      </c>
      <c r="AD1057" t="str">
        <f ca="1">IF(AC1057=1,COUNTIF($AC$3:AC1057,1),"")</f>
        <v/>
      </c>
      <c r="AE1057" s="155" t="str">
        <f ca="1">IFERROR(INDEX(Données!$B$3:$B$1479,MATCH(ROWS($AD$3:AD1057),$AD$3:$AD$1479,0)),"")</f>
        <v/>
      </c>
    </row>
    <row r="1058" spans="1:31" ht="15.75" x14ac:dyDescent="0.25">
      <c r="A1058" t="str">
        <f t="shared" si="200"/>
        <v>Jack Johnson - PIT - LD</v>
      </c>
      <c r="B1058" t="str">
        <f t="shared" si="201"/>
        <v>Jack Johnson - PIT - LD</v>
      </c>
      <c r="C1058" t="str">
        <f t="shared" si="195"/>
        <v>Jack</v>
      </c>
      <c r="D1058" t="str">
        <f t="shared" si="196"/>
        <v>Johnson</v>
      </c>
      <c r="E1058" s="39" t="s">
        <v>1830</v>
      </c>
      <c r="F1058" s="30" t="s">
        <v>29</v>
      </c>
      <c r="G1058" s="35">
        <v>0</v>
      </c>
      <c r="H1058" s="35" t="s">
        <v>380</v>
      </c>
      <c r="I1058" s="35" t="s">
        <v>2677</v>
      </c>
      <c r="J1058" s="35">
        <v>32</v>
      </c>
      <c r="K1058" s="35">
        <f>VALUE(COUNTIF(Validation!$A$2:$H$47,E1058))</f>
        <v>0</v>
      </c>
      <c r="L1058" s="361">
        <f t="shared" si="197"/>
        <v>3250000</v>
      </c>
      <c r="M1058" s="361">
        <f t="shared" si="198"/>
        <v>3250000</v>
      </c>
      <c r="N1058" s="358">
        <v>3250000</v>
      </c>
      <c r="O1058" s="358">
        <v>3250000</v>
      </c>
      <c r="P1058" s="358">
        <v>3250000</v>
      </c>
      <c r="Q1058" s="358">
        <v>3250000</v>
      </c>
      <c r="R1058" s="358" t="s">
        <v>7</v>
      </c>
      <c r="S1058" s="358">
        <v>0</v>
      </c>
      <c r="T1058" s="358">
        <v>0</v>
      </c>
      <c r="U1058" s="35">
        <f t="shared" si="192"/>
        <v>4</v>
      </c>
      <c r="W1058">
        <f t="shared" si="199"/>
        <v>1</v>
      </c>
      <c r="X1058" s="35">
        <f t="shared" si="193"/>
        <v>0</v>
      </c>
      <c r="Y1058">
        <f t="shared" si="194"/>
        <v>1</v>
      </c>
      <c r="AB1058">
        <f t="shared" si="202"/>
        <v>1</v>
      </c>
      <c r="AC1058">
        <f t="shared" ca="1" si="203"/>
        <v>0</v>
      </c>
      <c r="AD1058" t="str">
        <f ca="1">IF(AC1058=1,COUNTIF($AC$3:AC1058,1),"")</f>
        <v/>
      </c>
      <c r="AE1058" s="155" t="str">
        <f ca="1">IFERROR(INDEX(Données!$B$3:$B$1479,MATCH(ROWS($AD$3:AD1058),$AD$3:$AD$1479,0)),"")</f>
        <v/>
      </c>
    </row>
    <row r="1059" spans="1:31" ht="15.75" x14ac:dyDescent="0.25">
      <c r="A1059" t="str">
        <f t="shared" si="200"/>
        <v>John Marino - PIT - D</v>
      </c>
      <c r="B1059" t="str">
        <f t="shared" si="201"/>
        <v>John Marino - PIT - D</v>
      </c>
      <c r="C1059" t="str">
        <f t="shared" si="195"/>
        <v>John</v>
      </c>
      <c r="D1059" t="str">
        <f t="shared" si="196"/>
        <v>Marino</v>
      </c>
      <c r="E1059" s="39" t="s">
        <v>2704</v>
      </c>
      <c r="F1059" s="30" t="s">
        <v>29</v>
      </c>
      <c r="G1059" s="35" t="s">
        <v>386</v>
      </c>
      <c r="H1059" s="35" t="s">
        <v>82</v>
      </c>
      <c r="I1059" s="35" t="s">
        <v>2690</v>
      </c>
      <c r="J1059" s="35">
        <v>22</v>
      </c>
      <c r="K1059" s="35">
        <f>VALUE(COUNTIF(Validation!$A$2:$H$47,E1059))</f>
        <v>0</v>
      </c>
      <c r="L1059" s="361">
        <f t="shared" si="197"/>
        <v>1775000</v>
      </c>
      <c r="M1059" s="361">
        <f t="shared" si="198"/>
        <v>1775000</v>
      </c>
      <c r="N1059" s="358">
        <v>1775000</v>
      </c>
      <c r="O1059" s="358">
        <v>1775000</v>
      </c>
      <c r="P1059" s="358" t="s">
        <v>8</v>
      </c>
      <c r="Q1059" s="358">
        <v>0</v>
      </c>
      <c r="R1059" s="358">
        <v>0</v>
      </c>
      <c r="S1059" s="358">
        <v>0</v>
      </c>
      <c r="T1059" s="358">
        <v>0</v>
      </c>
      <c r="U1059" s="35">
        <f t="shared" si="192"/>
        <v>2</v>
      </c>
      <c r="W1059">
        <f t="shared" si="199"/>
        <v>1</v>
      </c>
      <c r="X1059" s="35">
        <f t="shared" si="193"/>
        <v>1</v>
      </c>
      <c r="Y1059">
        <f t="shared" si="194"/>
        <v>1</v>
      </c>
      <c r="AB1059">
        <f t="shared" si="202"/>
        <v>1</v>
      </c>
      <c r="AC1059">
        <f t="shared" ca="1" si="203"/>
        <v>0</v>
      </c>
      <c r="AD1059" t="str">
        <f ca="1">IF(AC1059=1,COUNTIF($AC$3:AC1059,1),"")</f>
        <v/>
      </c>
      <c r="AE1059" s="155" t="str">
        <f ca="1">IFERROR(INDEX(Données!$B$3:$B$1479,MATCH(ROWS($AD$3:AD1059),$AD$3:$AD$1479,0)),"")</f>
        <v/>
      </c>
    </row>
    <row r="1060" spans="1:31" ht="15.75" x14ac:dyDescent="0.25">
      <c r="A1060" t="str">
        <f t="shared" si="200"/>
        <v>Casey DeSmith - PIT - G</v>
      </c>
      <c r="B1060" t="str">
        <f t="shared" si="201"/>
        <v>Casey DeSmith - PIT - G</v>
      </c>
      <c r="C1060" t="str">
        <f t="shared" si="195"/>
        <v>Casey</v>
      </c>
      <c r="D1060" t="str">
        <f t="shared" si="196"/>
        <v>DeSmith</v>
      </c>
      <c r="E1060" s="39" t="s">
        <v>1834</v>
      </c>
      <c r="F1060" s="30" t="s">
        <v>29</v>
      </c>
      <c r="G1060" s="35">
        <v>0</v>
      </c>
      <c r="H1060" s="35" t="s">
        <v>127</v>
      </c>
      <c r="I1060" s="35" t="s">
        <v>2677</v>
      </c>
      <c r="J1060" s="35">
        <v>28</v>
      </c>
      <c r="K1060" s="35">
        <f>VALUE(COUNTIF(Validation!$A$2:$H$47,E1060))</f>
        <v>0</v>
      </c>
      <c r="L1060" s="361">
        <f t="shared" si="197"/>
        <v>1250000</v>
      </c>
      <c r="M1060" s="361">
        <f t="shared" si="198"/>
        <v>1250000</v>
      </c>
      <c r="N1060" s="358">
        <v>1250000</v>
      </c>
      <c r="O1060" s="358">
        <v>1250000</v>
      </c>
      <c r="P1060" s="358">
        <v>1250000</v>
      </c>
      <c r="Q1060" s="358" t="s">
        <v>7</v>
      </c>
      <c r="R1060" s="358">
        <v>0</v>
      </c>
      <c r="S1060" s="358">
        <v>0</v>
      </c>
      <c r="T1060" s="358">
        <v>0</v>
      </c>
      <c r="U1060" s="35">
        <f t="shared" si="192"/>
        <v>3</v>
      </c>
      <c r="W1060">
        <f t="shared" si="199"/>
        <v>1</v>
      </c>
      <c r="X1060" s="35">
        <f t="shared" si="193"/>
        <v>0</v>
      </c>
      <c r="Y1060">
        <f t="shared" si="194"/>
        <v>1</v>
      </c>
      <c r="AB1060">
        <f t="shared" si="202"/>
        <v>1</v>
      </c>
      <c r="AC1060">
        <f t="shared" ca="1" si="203"/>
        <v>0</v>
      </c>
      <c r="AD1060" t="str">
        <f ca="1">IF(AC1060=1,COUNTIF($AC$3:AC1060,1),"")</f>
        <v/>
      </c>
      <c r="AE1060" s="155" t="str">
        <f ca="1">IFERROR(INDEX(Données!$B$3:$B$1479,MATCH(ROWS($AD$3:AD1060),$AD$3:$AD$1479,0)),"")</f>
        <v/>
      </c>
    </row>
    <row r="1061" spans="1:31" ht="15.75" x14ac:dyDescent="0.25">
      <c r="A1061" t="str">
        <f t="shared" si="200"/>
        <v>Jared McCann - PIT - LW, C</v>
      </c>
      <c r="B1061" t="str">
        <f t="shared" si="201"/>
        <v>Jared McCann - PIT - LW, C</v>
      </c>
      <c r="C1061" t="str">
        <f t="shared" si="195"/>
        <v>Jared</v>
      </c>
      <c r="D1061" t="str">
        <f t="shared" si="196"/>
        <v>McCann</v>
      </c>
      <c r="E1061" s="39" t="s">
        <v>1456</v>
      </c>
      <c r="F1061" s="30" t="s">
        <v>29</v>
      </c>
      <c r="G1061" s="35">
        <v>0</v>
      </c>
      <c r="H1061" s="35" t="s">
        <v>2696</v>
      </c>
      <c r="I1061" s="35" t="s">
        <v>2677</v>
      </c>
      <c r="J1061" s="35">
        <v>23</v>
      </c>
      <c r="K1061" s="35">
        <f>VALUE(COUNTIF(Validation!$A$2:$H$47,E1061))</f>
        <v>0</v>
      </c>
      <c r="L1061" s="361">
        <f t="shared" si="197"/>
        <v>1250000</v>
      </c>
      <c r="M1061" s="361">
        <f t="shared" si="198"/>
        <v>0</v>
      </c>
      <c r="N1061" s="358">
        <v>1250000</v>
      </c>
      <c r="O1061" s="358" t="s">
        <v>8</v>
      </c>
      <c r="P1061" s="358">
        <v>0</v>
      </c>
      <c r="Q1061" s="358">
        <v>0</v>
      </c>
      <c r="R1061" s="358">
        <v>0</v>
      </c>
      <c r="S1061" s="358">
        <v>0</v>
      </c>
      <c r="T1061" s="358">
        <v>0</v>
      </c>
      <c r="U1061" s="35">
        <f t="shared" si="192"/>
        <v>1</v>
      </c>
      <c r="W1061">
        <f t="shared" si="199"/>
        <v>1</v>
      </c>
      <c r="X1061" s="35">
        <f t="shared" si="193"/>
        <v>0</v>
      </c>
      <c r="Y1061">
        <f t="shared" si="194"/>
        <v>0</v>
      </c>
      <c r="AB1061">
        <f t="shared" si="202"/>
        <v>1</v>
      </c>
      <c r="AC1061">
        <f t="shared" ca="1" si="203"/>
        <v>0</v>
      </c>
      <c r="AD1061" t="str">
        <f ca="1">IF(AC1061=1,COUNTIF($AC$3:AC1061,1),"")</f>
        <v/>
      </c>
      <c r="AE1061" s="155" t="str">
        <f ca="1">IFERROR(INDEX(Données!$B$3:$B$1479,MATCH(ROWS($AD$3:AD1061),$AD$3:$AD$1479,0)),"")</f>
        <v/>
      </c>
    </row>
    <row r="1062" spans="1:31" ht="15.75" x14ac:dyDescent="0.25">
      <c r="A1062" t="str">
        <f t="shared" si="200"/>
        <v>Pierre-Olivier Joseph - PIT - LD</v>
      </c>
      <c r="B1062" t="str">
        <f t="shared" si="201"/>
        <v>Pierre-Olivier Joseph - PIT - LD</v>
      </c>
      <c r="C1062" t="str">
        <f t="shared" si="195"/>
        <v>Pierre-Olivier</v>
      </c>
      <c r="D1062" t="str">
        <f t="shared" si="196"/>
        <v>Joseph</v>
      </c>
      <c r="E1062" s="39" t="s">
        <v>2172</v>
      </c>
      <c r="F1062" s="30" t="s">
        <v>29</v>
      </c>
      <c r="G1062" s="35" t="s">
        <v>386</v>
      </c>
      <c r="H1062" s="35" t="s">
        <v>380</v>
      </c>
      <c r="I1062" s="35" t="s">
        <v>2690</v>
      </c>
      <c r="J1062" s="35">
        <v>20</v>
      </c>
      <c r="K1062" s="35">
        <f>VALUE(COUNTIF(Validation!$A$2:$H$47,E1062))</f>
        <v>0</v>
      </c>
      <c r="L1062" s="361">
        <f t="shared" si="197"/>
        <v>1075833</v>
      </c>
      <c r="M1062" s="361">
        <f t="shared" si="198"/>
        <v>1075833</v>
      </c>
      <c r="N1062" s="358">
        <v>1075833</v>
      </c>
      <c r="O1062" s="358">
        <v>1075833</v>
      </c>
      <c r="P1062" s="358">
        <v>1075833</v>
      </c>
      <c r="Q1062" s="358" t="s">
        <v>8</v>
      </c>
      <c r="R1062" s="358">
        <v>0</v>
      </c>
      <c r="S1062" s="358">
        <v>0</v>
      </c>
      <c r="T1062" s="358">
        <v>0</v>
      </c>
      <c r="U1062" s="35">
        <f t="shared" si="192"/>
        <v>3</v>
      </c>
      <c r="W1062">
        <f t="shared" si="199"/>
        <v>1</v>
      </c>
      <c r="X1062" s="35">
        <f t="shared" si="193"/>
        <v>1</v>
      </c>
      <c r="Y1062">
        <f t="shared" si="194"/>
        <v>1</v>
      </c>
      <c r="AB1062">
        <f t="shared" si="202"/>
        <v>1</v>
      </c>
      <c r="AC1062">
        <f t="shared" ca="1" si="203"/>
        <v>0</v>
      </c>
      <c r="AD1062" t="str">
        <f ca="1">IF(AC1062=1,COUNTIF($AC$3:AC1062,1),"")</f>
        <v/>
      </c>
      <c r="AE1062" s="155" t="str">
        <f ca="1">IFERROR(INDEX(Données!$B$3:$B$1479,MATCH(ROWS($AD$3:AD1062),$AD$3:$AD$1479,0)),"")</f>
        <v/>
      </c>
    </row>
    <row r="1063" spans="1:31" ht="15.75" x14ac:dyDescent="0.25">
      <c r="A1063" t="str">
        <f t="shared" si="200"/>
        <v>Zach Aston-Reese - PIT - C, RW</v>
      </c>
      <c r="B1063" t="str">
        <f t="shared" si="201"/>
        <v>Zach Aston-Reese - PIT - C, RW</v>
      </c>
      <c r="C1063" t="str">
        <f t="shared" si="195"/>
        <v>Zach</v>
      </c>
      <c r="D1063" t="str">
        <f t="shared" si="196"/>
        <v>Aston-Reese</v>
      </c>
      <c r="E1063" s="39" t="s">
        <v>1836</v>
      </c>
      <c r="F1063" s="30" t="s">
        <v>29</v>
      </c>
      <c r="G1063" s="35">
        <v>0</v>
      </c>
      <c r="H1063" s="35" t="s">
        <v>2684</v>
      </c>
      <c r="I1063" s="35" t="s">
        <v>2677</v>
      </c>
      <c r="J1063" s="35">
        <v>25</v>
      </c>
      <c r="K1063" s="35">
        <f>VALUE(COUNTIF(Validation!$A$2:$H$47,E1063))</f>
        <v>0</v>
      </c>
      <c r="L1063" s="361">
        <f t="shared" si="197"/>
        <v>1000000</v>
      </c>
      <c r="M1063" s="361">
        <f t="shared" si="198"/>
        <v>1000000</v>
      </c>
      <c r="N1063" s="358">
        <v>1000000</v>
      </c>
      <c r="O1063" s="358">
        <v>1000000</v>
      </c>
      <c r="P1063" s="358" t="s">
        <v>8</v>
      </c>
      <c r="Q1063" s="358">
        <v>0</v>
      </c>
      <c r="R1063" s="358">
        <v>0</v>
      </c>
      <c r="S1063" s="358">
        <v>0</v>
      </c>
      <c r="T1063" s="358">
        <v>0</v>
      </c>
      <c r="U1063" s="35">
        <f t="shared" si="192"/>
        <v>2</v>
      </c>
      <c r="W1063">
        <f t="shared" si="199"/>
        <v>1</v>
      </c>
      <c r="X1063" s="35">
        <f t="shared" si="193"/>
        <v>0</v>
      </c>
      <c r="Y1063">
        <f t="shared" si="194"/>
        <v>1</v>
      </c>
      <c r="AB1063">
        <f t="shared" si="202"/>
        <v>1</v>
      </c>
      <c r="AC1063">
        <f t="shared" ca="1" si="203"/>
        <v>0</v>
      </c>
      <c r="AD1063" t="str">
        <f ca="1">IF(AC1063=1,COUNTIF($AC$3:AC1063,1),"")</f>
        <v/>
      </c>
      <c r="AE1063" s="155" t="str">
        <f ca="1">IFERROR(INDEX(Données!$B$3:$B$1479,MATCH(ROWS($AD$3:AD1063),$AD$3:$AD$1479,0)),"")</f>
        <v/>
      </c>
    </row>
    <row r="1064" spans="1:31" ht="15.75" x14ac:dyDescent="0.25">
      <c r="A1064" t="str">
        <f t="shared" si="200"/>
        <v>Filip Hallander - PIT - C</v>
      </c>
      <c r="B1064" t="str">
        <f t="shared" si="201"/>
        <v>Filip Hallander - PIT - C</v>
      </c>
      <c r="C1064" t="str">
        <f t="shared" si="195"/>
        <v>Filip</v>
      </c>
      <c r="D1064" t="str">
        <f t="shared" si="196"/>
        <v>Hallander</v>
      </c>
      <c r="E1064" s="39" t="s">
        <v>2910</v>
      </c>
      <c r="F1064" s="30" t="s">
        <v>29</v>
      </c>
      <c r="G1064" s="35" t="s">
        <v>386</v>
      </c>
      <c r="H1064" s="35" t="s">
        <v>73</v>
      </c>
      <c r="I1064" s="35" t="s">
        <v>2690</v>
      </c>
      <c r="J1064" s="35">
        <v>19</v>
      </c>
      <c r="K1064" s="35">
        <f>VALUE(COUNTIF(Validation!$A$2:$H$47,E1064))</f>
        <v>0</v>
      </c>
      <c r="L1064" s="361">
        <f t="shared" si="197"/>
        <v>927500</v>
      </c>
      <c r="M1064" s="361">
        <f t="shared" si="198"/>
        <v>927500</v>
      </c>
      <c r="N1064" s="358">
        <v>927500</v>
      </c>
      <c r="O1064" s="358">
        <v>927500</v>
      </c>
      <c r="P1064" s="358">
        <v>927500</v>
      </c>
      <c r="Q1064" s="358" t="s">
        <v>8</v>
      </c>
      <c r="R1064" s="358">
        <v>0</v>
      </c>
      <c r="S1064" s="358">
        <v>0</v>
      </c>
      <c r="T1064" s="358">
        <v>0</v>
      </c>
      <c r="U1064" s="35">
        <f t="shared" si="192"/>
        <v>3</v>
      </c>
      <c r="W1064">
        <f t="shared" si="199"/>
        <v>1</v>
      </c>
      <c r="X1064" s="35">
        <f t="shared" si="193"/>
        <v>1</v>
      </c>
      <c r="Y1064">
        <f t="shared" si="194"/>
        <v>1</v>
      </c>
      <c r="AB1064">
        <f t="shared" si="202"/>
        <v>1</v>
      </c>
      <c r="AC1064">
        <f t="shared" ca="1" si="203"/>
        <v>0</v>
      </c>
      <c r="AD1064" t="str">
        <f ca="1">IF(AC1064=1,COUNTIF($AC$3:AC1064,1),"")</f>
        <v/>
      </c>
      <c r="AE1064" s="155" t="str">
        <f ca="1">IFERROR(INDEX(Données!$B$3:$B$1479,MATCH(ROWS($AD$3:AD1064),$AD$3:$AD$1479,0)),"")</f>
        <v/>
      </c>
    </row>
    <row r="1065" spans="1:31" ht="15.75" x14ac:dyDescent="0.25">
      <c r="A1065" t="str">
        <f t="shared" si="200"/>
        <v>Calen Addison - PIT - RD</v>
      </c>
      <c r="B1065" t="str">
        <f t="shared" si="201"/>
        <v>Calen Addison - PIT - RD</v>
      </c>
      <c r="C1065" t="str">
        <f t="shared" si="195"/>
        <v>Calen</v>
      </c>
      <c r="D1065" t="str">
        <f t="shared" si="196"/>
        <v>Addison</v>
      </c>
      <c r="E1065" s="39" t="s">
        <v>2480</v>
      </c>
      <c r="F1065" s="30" t="s">
        <v>29</v>
      </c>
      <c r="G1065" s="35" t="s">
        <v>388</v>
      </c>
      <c r="H1065" s="35" t="s">
        <v>379</v>
      </c>
      <c r="I1065" s="35" t="s">
        <v>389</v>
      </c>
      <c r="J1065" s="35">
        <v>19</v>
      </c>
      <c r="K1065" s="35">
        <f>VALUE(COUNTIF(Validation!$A$2:$H$47,E1065))</f>
        <v>0</v>
      </c>
      <c r="L1065" s="361">
        <f t="shared" si="197"/>
        <v>925000</v>
      </c>
      <c r="M1065" s="361">
        <f t="shared" si="198"/>
        <v>925000</v>
      </c>
      <c r="N1065" s="358">
        <v>925000</v>
      </c>
      <c r="O1065" s="358">
        <v>925000</v>
      </c>
      <c r="P1065" s="358">
        <v>925000</v>
      </c>
      <c r="Q1065" s="358" t="s">
        <v>8</v>
      </c>
      <c r="R1065" s="358">
        <v>0</v>
      </c>
      <c r="S1065" s="358">
        <v>0</v>
      </c>
      <c r="T1065" s="358">
        <v>0</v>
      </c>
      <c r="U1065" s="35">
        <f t="shared" si="192"/>
        <v>3</v>
      </c>
      <c r="W1065">
        <f t="shared" si="199"/>
        <v>1</v>
      </c>
      <c r="X1065" s="35">
        <f t="shared" si="193"/>
        <v>1</v>
      </c>
      <c r="Y1065">
        <f t="shared" si="194"/>
        <v>1</v>
      </c>
      <c r="AB1065">
        <f t="shared" si="202"/>
        <v>1</v>
      </c>
      <c r="AC1065">
        <f t="shared" ca="1" si="203"/>
        <v>0</v>
      </c>
      <c r="AD1065" t="str">
        <f ca="1">IF(AC1065=1,COUNTIF($AC$3:AC1065,1),"")</f>
        <v/>
      </c>
      <c r="AE1065" s="155" t="str">
        <f ca="1">IFERROR(INDEX(Données!$B$3:$B$1479,MATCH(ROWS($AD$3:AD1065),$AD$3:$AD$1479,0)),"")</f>
        <v/>
      </c>
    </row>
    <row r="1066" spans="1:31" ht="15.75" x14ac:dyDescent="0.25">
      <c r="A1066" t="str">
        <f t="shared" si="200"/>
        <v>Niclas Almari - PIT - LD</v>
      </c>
      <c r="B1066" t="str">
        <f t="shared" si="201"/>
        <v>Niclas Almari - PIT - LD</v>
      </c>
      <c r="C1066" t="str">
        <f t="shared" si="195"/>
        <v>Niclas</v>
      </c>
      <c r="D1066" t="str">
        <f t="shared" si="196"/>
        <v>Almari</v>
      </c>
      <c r="E1066" s="39" t="s">
        <v>2479</v>
      </c>
      <c r="F1066" s="35" t="s">
        <v>29</v>
      </c>
      <c r="G1066" s="35" t="s">
        <v>386</v>
      </c>
      <c r="H1066" s="9" t="s">
        <v>380</v>
      </c>
      <c r="I1066" s="9" t="s">
        <v>2690</v>
      </c>
      <c r="J1066" s="9">
        <v>21</v>
      </c>
      <c r="K1066" s="35">
        <f>VALUE(COUNTIF(Validation!$A$2:$H$47,E1066))</f>
        <v>0</v>
      </c>
      <c r="L1066" s="361">
        <f t="shared" si="197"/>
        <v>925000</v>
      </c>
      <c r="M1066" s="361">
        <f t="shared" si="198"/>
        <v>925000</v>
      </c>
      <c r="N1066" s="358">
        <v>925000</v>
      </c>
      <c r="O1066" s="358">
        <v>925000</v>
      </c>
      <c r="P1066" s="358">
        <v>925000</v>
      </c>
      <c r="Q1066" s="358" t="s">
        <v>8</v>
      </c>
      <c r="R1066" s="358">
        <v>0</v>
      </c>
      <c r="S1066" s="358">
        <v>0</v>
      </c>
      <c r="T1066" s="358">
        <v>0</v>
      </c>
      <c r="U1066" s="35">
        <f t="shared" si="192"/>
        <v>3</v>
      </c>
      <c r="W1066">
        <f t="shared" si="199"/>
        <v>1</v>
      </c>
      <c r="X1066" s="35">
        <f t="shared" si="193"/>
        <v>1</v>
      </c>
      <c r="Y1066">
        <f t="shared" si="194"/>
        <v>1</v>
      </c>
      <c r="AB1066">
        <f t="shared" si="202"/>
        <v>1</v>
      </c>
      <c r="AC1066">
        <f t="shared" ca="1" si="203"/>
        <v>0</v>
      </c>
      <c r="AD1066" t="str">
        <f ca="1">IF(AC1066=1,COUNTIF($AC$3:AC1066,1),"")</f>
        <v/>
      </c>
      <c r="AE1066" s="155" t="str">
        <f ca="1">IFERROR(INDEX(Données!$B$3:$B$1479,MATCH(ROWS($AD$3:AD1066),$AD$3:$AD$1479,0)),"")</f>
        <v/>
      </c>
    </row>
    <row r="1067" spans="1:31" ht="15.75" x14ac:dyDescent="0.25">
      <c r="A1067" t="str">
        <f t="shared" si="200"/>
        <v>Justin Almeida - PIT - C, LW</v>
      </c>
      <c r="B1067" t="str">
        <f t="shared" si="201"/>
        <v>Justin Almeida - PIT - C, LW</v>
      </c>
      <c r="C1067" t="str">
        <f t="shared" si="195"/>
        <v>Justin</v>
      </c>
      <c r="D1067" t="str">
        <f t="shared" si="196"/>
        <v>Almeida</v>
      </c>
      <c r="E1067" s="39" t="s">
        <v>2474</v>
      </c>
      <c r="F1067" s="30" t="s">
        <v>29</v>
      </c>
      <c r="G1067" s="35" t="s">
        <v>386</v>
      </c>
      <c r="H1067" s="35" t="s">
        <v>2679</v>
      </c>
      <c r="I1067" s="35" t="s">
        <v>2690</v>
      </c>
      <c r="J1067" s="35">
        <v>20</v>
      </c>
      <c r="K1067" s="35">
        <f>VALUE(COUNTIF(Validation!$A$2:$H$47,E1067))</f>
        <v>0</v>
      </c>
      <c r="L1067" s="361">
        <f t="shared" si="197"/>
        <v>925000</v>
      </c>
      <c r="M1067" s="361">
        <f t="shared" si="198"/>
        <v>925000</v>
      </c>
      <c r="N1067" s="358">
        <v>925000</v>
      </c>
      <c r="O1067" s="358">
        <v>925000</v>
      </c>
      <c r="P1067" s="358">
        <v>925000</v>
      </c>
      <c r="Q1067" s="358" t="s">
        <v>8</v>
      </c>
      <c r="R1067" s="358">
        <v>0</v>
      </c>
      <c r="S1067" s="358">
        <v>0</v>
      </c>
      <c r="T1067" s="358">
        <v>0</v>
      </c>
      <c r="U1067" s="35">
        <f t="shared" si="192"/>
        <v>3</v>
      </c>
      <c r="W1067">
        <f t="shared" si="199"/>
        <v>1</v>
      </c>
      <c r="X1067" s="35">
        <f t="shared" si="193"/>
        <v>1</v>
      </c>
      <c r="Y1067">
        <f t="shared" si="194"/>
        <v>1</v>
      </c>
      <c r="AB1067">
        <f t="shared" si="202"/>
        <v>1</v>
      </c>
      <c r="AC1067">
        <f t="shared" ca="1" si="203"/>
        <v>0</v>
      </c>
      <c r="AD1067" t="str">
        <f ca="1">IF(AC1067=1,COUNTIF($AC$3:AC1067,1),"")</f>
        <v/>
      </c>
      <c r="AE1067" s="155" t="str">
        <f ca="1">IFERROR(INDEX(Données!$B$3:$B$1479,MATCH(ROWS($AD$3:AD1067),$AD$3:$AD$1479,0)),"")</f>
        <v/>
      </c>
    </row>
    <row r="1068" spans="1:31" ht="15.75" x14ac:dyDescent="0.25">
      <c r="A1068" t="str">
        <f t="shared" si="200"/>
        <v>Anthony Angello - PIT - C</v>
      </c>
      <c r="B1068" t="str">
        <f t="shared" si="201"/>
        <v>Anthony Angello - PIT - C</v>
      </c>
      <c r="C1068" t="str">
        <f t="shared" si="195"/>
        <v>Anthony</v>
      </c>
      <c r="D1068" t="str">
        <f t="shared" si="196"/>
        <v>Angello</v>
      </c>
      <c r="E1068" s="39" t="s">
        <v>1838</v>
      </c>
      <c r="F1068" s="30" t="s">
        <v>29</v>
      </c>
      <c r="G1068" s="35" t="s">
        <v>386</v>
      </c>
      <c r="H1068" s="35" t="s">
        <v>73</v>
      </c>
      <c r="I1068" s="35" t="s">
        <v>2690</v>
      </c>
      <c r="J1068" s="35">
        <v>23</v>
      </c>
      <c r="K1068" s="35">
        <f>VALUE(COUNTIF(Validation!$A$2:$H$47,E1068))</f>
        <v>0</v>
      </c>
      <c r="L1068" s="361">
        <f t="shared" si="197"/>
        <v>925000</v>
      </c>
      <c r="M1068" s="361">
        <f t="shared" si="198"/>
        <v>0</v>
      </c>
      <c r="N1068" s="358">
        <v>925000</v>
      </c>
      <c r="O1068" s="358" t="s">
        <v>8</v>
      </c>
      <c r="P1068" s="358">
        <v>0</v>
      </c>
      <c r="Q1068" s="358">
        <v>0</v>
      </c>
      <c r="R1068" s="358">
        <v>0</v>
      </c>
      <c r="S1068" s="358">
        <v>0</v>
      </c>
      <c r="T1068" s="358">
        <v>0</v>
      </c>
      <c r="U1068" s="35">
        <f t="shared" si="192"/>
        <v>1</v>
      </c>
      <c r="W1068">
        <f t="shared" si="199"/>
        <v>1</v>
      </c>
      <c r="X1068" s="35">
        <f t="shared" si="193"/>
        <v>1</v>
      </c>
      <c r="Y1068">
        <f t="shared" si="194"/>
        <v>0</v>
      </c>
      <c r="AB1068">
        <f t="shared" si="202"/>
        <v>1</v>
      </c>
      <c r="AC1068">
        <f t="shared" ca="1" si="203"/>
        <v>0</v>
      </c>
      <c r="AD1068" t="str">
        <f ca="1">IF(AC1068=1,COUNTIF($AC$3:AC1068,1),"")</f>
        <v/>
      </c>
      <c r="AE1068" s="155" t="str">
        <f ca="1">IFERROR(INDEX(Données!$B$3:$B$1479,MATCH(ROWS($AD$3:AD1068),$AD$3:$AD$1479,0)),"")</f>
        <v/>
      </c>
    </row>
    <row r="1069" spans="1:31" ht="15.75" x14ac:dyDescent="0.25">
      <c r="A1069" t="str">
        <f t="shared" si="200"/>
        <v>Kasper Bjorkqvist - PIT - LW</v>
      </c>
      <c r="B1069" t="str">
        <f t="shared" si="201"/>
        <v>Kasper Bjorkqvist - PIT - LW</v>
      </c>
      <c r="C1069" t="str">
        <f t="shared" si="195"/>
        <v>Kasper</v>
      </c>
      <c r="D1069" t="str">
        <f t="shared" si="196"/>
        <v>Bjorkqvist</v>
      </c>
      <c r="E1069" s="39" t="s">
        <v>2848</v>
      </c>
      <c r="F1069" s="30" t="s">
        <v>29</v>
      </c>
      <c r="G1069" s="35" t="s">
        <v>386</v>
      </c>
      <c r="H1069" s="35" t="s">
        <v>93</v>
      </c>
      <c r="I1069" s="35" t="s">
        <v>2690</v>
      </c>
      <c r="J1069" s="35">
        <v>22</v>
      </c>
      <c r="K1069" s="35">
        <f>VALUE(COUNTIF(Validation!$A$2:$H$47,E1069))</f>
        <v>0</v>
      </c>
      <c r="L1069" s="361">
        <f t="shared" si="197"/>
        <v>925000</v>
      </c>
      <c r="M1069" s="361">
        <f t="shared" si="198"/>
        <v>925000</v>
      </c>
      <c r="N1069" s="358">
        <v>925000</v>
      </c>
      <c r="O1069" s="358">
        <v>925000</v>
      </c>
      <c r="P1069" s="358" t="s">
        <v>8</v>
      </c>
      <c r="Q1069" s="358">
        <v>0</v>
      </c>
      <c r="R1069" s="358">
        <v>0</v>
      </c>
      <c r="S1069" s="358">
        <v>0</v>
      </c>
      <c r="T1069" s="358">
        <v>0</v>
      </c>
      <c r="U1069" s="35">
        <f t="shared" si="192"/>
        <v>2</v>
      </c>
      <c r="W1069">
        <f t="shared" si="199"/>
        <v>1</v>
      </c>
      <c r="X1069" s="35">
        <f t="shared" si="193"/>
        <v>1</v>
      </c>
      <c r="Y1069">
        <f t="shared" si="194"/>
        <v>1</v>
      </c>
      <c r="AB1069">
        <f t="shared" si="202"/>
        <v>1</v>
      </c>
      <c r="AC1069">
        <f t="shared" ca="1" si="203"/>
        <v>0</v>
      </c>
      <c r="AD1069" t="str">
        <f ca="1">IF(AC1069=1,COUNTIF($AC$3:AC1069,1),"")</f>
        <v/>
      </c>
      <c r="AE1069" s="155" t="str">
        <f ca="1">IFERROR(INDEX(Données!$B$3:$B$1479,MATCH(ROWS($AD$3:AD1069),$AD$3:$AD$1479,0)),"")</f>
        <v/>
      </c>
    </row>
    <row r="1070" spans="1:31" ht="15.75" x14ac:dyDescent="0.25">
      <c r="A1070" t="str">
        <f t="shared" si="200"/>
        <v>Jan Drozg - PIT - LW, RW</v>
      </c>
      <c r="B1070" t="str">
        <f t="shared" si="201"/>
        <v>Jan Drozg - PIT - LW, RW</v>
      </c>
      <c r="C1070" t="str">
        <f t="shared" si="195"/>
        <v>Jan</v>
      </c>
      <c r="D1070" t="str">
        <f t="shared" si="196"/>
        <v>Drozg</v>
      </c>
      <c r="E1070" s="39" t="s">
        <v>2473</v>
      </c>
      <c r="F1070" s="30" t="s">
        <v>29</v>
      </c>
      <c r="G1070" s="35" t="s">
        <v>386</v>
      </c>
      <c r="H1070" s="35" t="s">
        <v>2689</v>
      </c>
      <c r="I1070" s="35" t="s">
        <v>2690</v>
      </c>
      <c r="J1070" s="35">
        <v>20</v>
      </c>
      <c r="K1070" s="35">
        <f>VALUE(COUNTIF(Validation!$A$2:$H$47,E1070))</f>
        <v>0</v>
      </c>
      <c r="L1070" s="361">
        <f t="shared" si="197"/>
        <v>925000</v>
      </c>
      <c r="M1070" s="361">
        <f t="shared" si="198"/>
        <v>925000</v>
      </c>
      <c r="N1070" s="358">
        <v>925000</v>
      </c>
      <c r="O1070" s="358">
        <v>925000</v>
      </c>
      <c r="P1070" s="358">
        <v>925000</v>
      </c>
      <c r="Q1070" s="358" t="s">
        <v>8</v>
      </c>
      <c r="R1070" s="358">
        <v>0</v>
      </c>
      <c r="S1070" s="358">
        <v>0</v>
      </c>
      <c r="T1070" s="358">
        <v>0</v>
      </c>
      <c r="U1070" s="35">
        <f t="shared" si="192"/>
        <v>3</v>
      </c>
      <c r="W1070">
        <f t="shared" si="199"/>
        <v>1</v>
      </c>
      <c r="X1070" s="35">
        <f t="shared" si="193"/>
        <v>1</v>
      </c>
      <c r="Y1070">
        <f t="shared" si="194"/>
        <v>1</v>
      </c>
      <c r="AB1070">
        <f t="shared" si="202"/>
        <v>1</v>
      </c>
      <c r="AC1070">
        <f t="shared" ca="1" si="203"/>
        <v>0</v>
      </c>
      <c r="AD1070" t="str">
        <f ca="1">IF(AC1070=1,COUNTIF($AC$3:AC1070,1),"")</f>
        <v/>
      </c>
      <c r="AE1070" s="155" t="str">
        <f ca="1">IFERROR(INDEX(Données!$B$3:$B$1479,MATCH(ROWS($AD$3:AD1070),$AD$3:$AD$1479,0)),"")</f>
        <v/>
      </c>
    </row>
    <row r="1071" spans="1:31" ht="15.75" x14ac:dyDescent="0.25">
      <c r="A1071" t="str">
        <f t="shared" si="200"/>
        <v>Sam Lafferty - PIT - C, LW</v>
      </c>
      <c r="B1071" t="str">
        <f t="shared" si="201"/>
        <v>Sam Lafferty - PIT - C, LW</v>
      </c>
      <c r="C1071" t="str">
        <f t="shared" si="195"/>
        <v>Sam</v>
      </c>
      <c r="D1071" t="str">
        <f t="shared" si="196"/>
        <v>Lafferty</v>
      </c>
      <c r="E1071" s="39" t="s">
        <v>1840</v>
      </c>
      <c r="F1071" s="30" t="s">
        <v>29</v>
      </c>
      <c r="G1071" s="35" t="s">
        <v>386</v>
      </c>
      <c r="H1071" s="35" t="s">
        <v>2679</v>
      </c>
      <c r="I1071" s="35" t="s">
        <v>2690</v>
      </c>
      <c r="J1071" s="35">
        <v>24</v>
      </c>
      <c r="K1071" s="35">
        <f>VALUE(COUNTIF(Validation!$A$2:$H$47,E1071))</f>
        <v>0</v>
      </c>
      <c r="L1071" s="361">
        <f t="shared" si="197"/>
        <v>925000</v>
      </c>
      <c r="M1071" s="361">
        <f t="shared" si="198"/>
        <v>0</v>
      </c>
      <c r="N1071" s="358">
        <v>925000</v>
      </c>
      <c r="O1071" s="358" t="s">
        <v>8</v>
      </c>
      <c r="P1071" s="358">
        <v>0</v>
      </c>
      <c r="Q1071" s="358">
        <v>0</v>
      </c>
      <c r="R1071" s="358">
        <v>0</v>
      </c>
      <c r="S1071" s="358">
        <v>0</v>
      </c>
      <c r="T1071" s="358">
        <v>0</v>
      </c>
      <c r="U1071" s="35">
        <f t="shared" si="192"/>
        <v>1</v>
      </c>
      <c r="W1071">
        <f t="shared" si="199"/>
        <v>1</v>
      </c>
      <c r="X1071" s="35">
        <f t="shared" si="193"/>
        <v>1</v>
      </c>
      <c r="Y1071">
        <f t="shared" si="194"/>
        <v>0</v>
      </c>
      <c r="AB1071">
        <f t="shared" si="202"/>
        <v>1</v>
      </c>
      <c r="AC1071">
        <f t="shared" ca="1" si="203"/>
        <v>0</v>
      </c>
      <c r="AD1071" t="str">
        <f ca="1">IF(AC1071=1,COUNTIF($AC$3:AC1071,1),"")</f>
        <v/>
      </c>
      <c r="AE1071" s="155" t="str">
        <f ca="1">IFERROR(INDEX(Données!$B$3:$B$1479,MATCH(ROWS($AD$3:AD1071),$AD$3:$AD$1479,0)),"")</f>
        <v/>
      </c>
    </row>
    <row r="1072" spans="1:31" ht="15.75" x14ac:dyDescent="0.25">
      <c r="A1072" t="str">
        <f t="shared" si="200"/>
        <v>Emil Larmi - PIT - G</v>
      </c>
      <c r="B1072" t="str">
        <f t="shared" si="201"/>
        <v>Emil Larmi - PIT - G</v>
      </c>
      <c r="C1072" t="str">
        <f t="shared" si="195"/>
        <v>Emil</v>
      </c>
      <c r="D1072" t="str">
        <f t="shared" si="196"/>
        <v>Larmi</v>
      </c>
      <c r="E1072" s="39" t="s">
        <v>2481</v>
      </c>
      <c r="F1072" s="30" t="s">
        <v>29</v>
      </c>
      <c r="G1072" s="35" t="s">
        <v>386</v>
      </c>
      <c r="H1072" s="35" t="s">
        <v>127</v>
      </c>
      <c r="I1072" s="35" t="s">
        <v>2690</v>
      </c>
      <c r="J1072" s="35">
        <v>22</v>
      </c>
      <c r="K1072" s="35">
        <f>VALUE(COUNTIF(Validation!$A$2:$H$47,E1072))</f>
        <v>0</v>
      </c>
      <c r="L1072" s="361">
        <f t="shared" si="197"/>
        <v>925000</v>
      </c>
      <c r="M1072" s="361">
        <f t="shared" si="198"/>
        <v>925000</v>
      </c>
      <c r="N1072" s="358">
        <v>925000</v>
      </c>
      <c r="O1072" s="358">
        <v>925000</v>
      </c>
      <c r="P1072" s="358" t="s">
        <v>8</v>
      </c>
      <c r="Q1072" s="358">
        <v>0</v>
      </c>
      <c r="R1072" s="358">
        <v>0</v>
      </c>
      <c r="S1072" s="358">
        <v>0</v>
      </c>
      <c r="T1072" s="358">
        <v>0</v>
      </c>
      <c r="U1072" s="35">
        <f t="shared" si="192"/>
        <v>2</v>
      </c>
      <c r="W1072">
        <f t="shared" si="199"/>
        <v>1</v>
      </c>
      <c r="X1072" s="35">
        <f t="shared" si="193"/>
        <v>1</v>
      </c>
      <c r="Y1072">
        <f t="shared" si="194"/>
        <v>1</v>
      </c>
      <c r="AB1072">
        <f t="shared" si="202"/>
        <v>1</v>
      </c>
      <c r="AC1072">
        <f t="shared" ca="1" si="203"/>
        <v>0</v>
      </c>
      <c r="AD1072" t="str">
        <f ca="1">IF(AC1072=1,COUNTIF($AC$3:AC1072,1),"")</f>
        <v/>
      </c>
      <c r="AE1072" s="155" t="str">
        <f ca="1">IFERROR(INDEX(Données!$B$3:$B$1479,MATCH(ROWS($AD$3:AD1072),$AD$3:$AD$1479,0)),"")</f>
        <v/>
      </c>
    </row>
    <row r="1073" spans="1:31" ht="15.75" x14ac:dyDescent="0.25">
      <c r="A1073" t="str">
        <f t="shared" si="200"/>
        <v>Jacob Lucchini - PIT - C, LW</v>
      </c>
      <c r="B1073" t="str">
        <f t="shared" si="201"/>
        <v>Jacob Lucchini - PIT - C, LW</v>
      </c>
      <c r="C1073" t="str">
        <f t="shared" si="195"/>
        <v>Jacob</v>
      </c>
      <c r="D1073" t="str">
        <f t="shared" si="196"/>
        <v>Lucchini</v>
      </c>
      <c r="E1073" s="39" t="s">
        <v>2475</v>
      </c>
      <c r="F1073" s="30" t="s">
        <v>29</v>
      </c>
      <c r="G1073" s="35" t="s">
        <v>386</v>
      </c>
      <c r="H1073" s="35" t="s">
        <v>2679</v>
      </c>
      <c r="I1073" s="35" t="s">
        <v>2690</v>
      </c>
      <c r="J1073" s="35">
        <v>24</v>
      </c>
      <c r="K1073" s="35">
        <f>VALUE(COUNTIF(Validation!$A$2:$H$47,E1073))</f>
        <v>0</v>
      </c>
      <c r="L1073" s="361">
        <f t="shared" si="197"/>
        <v>925000</v>
      </c>
      <c r="M1073" s="361">
        <f t="shared" si="198"/>
        <v>0</v>
      </c>
      <c r="N1073" s="358">
        <v>925000</v>
      </c>
      <c r="O1073" s="358" t="s">
        <v>8</v>
      </c>
      <c r="P1073" s="358">
        <v>0</v>
      </c>
      <c r="Q1073" s="358">
        <v>0</v>
      </c>
      <c r="R1073" s="358">
        <v>0</v>
      </c>
      <c r="S1073" s="358">
        <v>0</v>
      </c>
      <c r="T1073" s="358">
        <v>0</v>
      </c>
      <c r="U1073" s="35">
        <f t="shared" si="192"/>
        <v>1</v>
      </c>
      <c r="W1073">
        <f t="shared" si="199"/>
        <v>1</v>
      </c>
      <c r="X1073" s="35">
        <f t="shared" si="193"/>
        <v>1</v>
      </c>
      <c r="Y1073">
        <f t="shared" si="194"/>
        <v>0</v>
      </c>
      <c r="AB1073">
        <f t="shared" si="202"/>
        <v>1</v>
      </c>
      <c r="AC1073">
        <f t="shared" ca="1" si="203"/>
        <v>0</v>
      </c>
      <c r="AD1073" t="str">
        <f ca="1">IF(AC1073=1,COUNTIF($AC$3:AC1073,1),"")</f>
        <v/>
      </c>
      <c r="AE1073" s="155" t="str">
        <f ca="1">IFERROR(INDEX(Données!$B$3:$B$1479,MATCH(ROWS($AD$3:AD1073),$AD$3:$AD$1479,0)),"")</f>
        <v/>
      </c>
    </row>
    <row r="1074" spans="1:31" ht="15.75" x14ac:dyDescent="0.25">
      <c r="A1074" t="str">
        <f t="shared" si="200"/>
        <v>Linus olund - PIT - C</v>
      </c>
      <c r="B1074" t="str">
        <f t="shared" si="201"/>
        <v>Linus olund - PIT - C</v>
      </c>
      <c r="C1074" t="str">
        <f t="shared" si="195"/>
        <v>Linus</v>
      </c>
      <c r="D1074" t="str">
        <f t="shared" si="196"/>
        <v>olund</v>
      </c>
      <c r="E1074" s="39" t="s">
        <v>2860</v>
      </c>
      <c r="F1074" s="30" t="s">
        <v>29</v>
      </c>
      <c r="G1074" s="35" t="s">
        <v>386</v>
      </c>
      <c r="H1074" s="35" t="s">
        <v>73</v>
      </c>
      <c r="I1074" s="35" t="s">
        <v>2690</v>
      </c>
      <c r="J1074" s="35">
        <v>22</v>
      </c>
      <c r="K1074" s="35">
        <f>VALUE(COUNTIF(Validation!$A$2:$H$47,E1074))</f>
        <v>0</v>
      </c>
      <c r="L1074" s="361">
        <f t="shared" si="197"/>
        <v>925000</v>
      </c>
      <c r="M1074" s="361">
        <f t="shared" si="198"/>
        <v>925000</v>
      </c>
      <c r="N1074" s="358">
        <v>925000</v>
      </c>
      <c r="O1074" s="358">
        <v>925000</v>
      </c>
      <c r="P1074" s="358" t="s">
        <v>8</v>
      </c>
      <c r="Q1074" s="358">
        <v>0</v>
      </c>
      <c r="R1074" s="358">
        <v>0</v>
      </c>
      <c r="S1074" s="358">
        <v>0</v>
      </c>
      <c r="T1074" s="358">
        <v>0</v>
      </c>
      <c r="U1074" s="35">
        <f t="shared" si="192"/>
        <v>2</v>
      </c>
      <c r="W1074">
        <f t="shared" si="199"/>
        <v>1</v>
      </c>
      <c r="X1074" s="35">
        <f t="shared" si="193"/>
        <v>1</v>
      </c>
      <c r="Y1074">
        <f t="shared" si="194"/>
        <v>1</v>
      </c>
      <c r="AB1074">
        <f t="shared" si="202"/>
        <v>1</v>
      </c>
      <c r="AC1074">
        <f t="shared" ca="1" si="203"/>
        <v>0</v>
      </c>
      <c r="AD1074" t="str">
        <f ca="1">IF(AC1074=1,COUNTIF($AC$3:AC1074,1),"")</f>
        <v/>
      </c>
      <c r="AE1074" s="155" t="str">
        <f ca="1">IFERROR(INDEX(Données!$B$3:$B$1479,MATCH(ROWS($AD$3:AD1074),$AD$3:$AD$1479,0)),"")</f>
        <v/>
      </c>
    </row>
    <row r="1075" spans="1:31" ht="15.75" x14ac:dyDescent="0.25">
      <c r="A1075" t="str">
        <f t="shared" si="200"/>
        <v>Oula Palve - PIT - C</v>
      </c>
      <c r="B1075" t="str">
        <f t="shared" si="201"/>
        <v>Oula Palve - PIT - C</v>
      </c>
      <c r="C1075" t="str">
        <f t="shared" si="195"/>
        <v>Oula</v>
      </c>
      <c r="D1075" t="str">
        <f t="shared" si="196"/>
        <v>Palve</v>
      </c>
      <c r="E1075" s="39" t="s">
        <v>2476</v>
      </c>
      <c r="F1075" s="30" t="s">
        <v>29</v>
      </c>
      <c r="G1075" s="35" t="s">
        <v>386</v>
      </c>
      <c r="H1075" s="35" t="s">
        <v>73</v>
      </c>
      <c r="I1075" s="35" t="s">
        <v>2690</v>
      </c>
      <c r="J1075" s="35">
        <v>27</v>
      </c>
      <c r="K1075" s="35">
        <f>VALUE(COUNTIF(Validation!$A$2:$H$47,E1075))</f>
        <v>0</v>
      </c>
      <c r="L1075" s="361">
        <f t="shared" si="197"/>
        <v>925000</v>
      </c>
      <c r="M1075" s="361">
        <f t="shared" si="198"/>
        <v>0</v>
      </c>
      <c r="N1075" s="358">
        <v>925000</v>
      </c>
      <c r="O1075" s="358" t="s">
        <v>7</v>
      </c>
      <c r="P1075" s="358">
        <v>0</v>
      </c>
      <c r="Q1075" s="358">
        <v>0</v>
      </c>
      <c r="R1075" s="358">
        <v>0</v>
      </c>
      <c r="S1075" s="358">
        <v>0</v>
      </c>
      <c r="T1075" s="358">
        <v>0</v>
      </c>
      <c r="U1075" s="35">
        <f t="shared" si="192"/>
        <v>1</v>
      </c>
      <c r="W1075">
        <f t="shared" si="199"/>
        <v>1</v>
      </c>
      <c r="X1075" s="35">
        <f t="shared" si="193"/>
        <v>1</v>
      </c>
      <c r="Y1075">
        <f t="shared" si="194"/>
        <v>0</v>
      </c>
      <c r="AB1075">
        <f t="shared" si="202"/>
        <v>1</v>
      </c>
      <c r="AC1075">
        <f t="shared" ca="1" si="203"/>
        <v>0</v>
      </c>
      <c r="AD1075" t="str">
        <f ca="1">IF(AC1075=1,COUNTIF($AC$3:AC1075,1),"")</f>
        <v/>
      </c>
      <c r="AE1075" s="155" t="str">
        <f ca="1">IFERROR(INDEX(Données!$B$3:$B$1479,MATCH(ROWS($AD$3:AD1075),$AD$3:$AD$1479,0)),"")</f>
        <v/>
      </c>
    </row>
    <row r="1076" spans="1:31" ht="15.75" x14ac:dyDescent="0.25">
      <c r="A1076" t="str">
        <f t="shared" si="200"/>
        <v>Juuso Riikola - PIT - D</v>
      </c>
      <c r="B1076" t="str">
        <f t="shared" si="201"/>
        <v>Juuso Riikola - PIT - D</v>
      </c>
      <c r="C1076" t="str">
        <f t="shared" si="195"/>
        <v>Juuso</v>
      </c>
      <c r="D1076" t="str">
        <f t="shared" si="196"/>
        <v>Riikola</v>
      </c>
      <c r="E1076" s="39" t="s">
        <v>1837</v>
      </c>
      <c r="F1076" s="30" t="s">
        <v>29</v>
      </c>
      <c r="G1076" s="35">
        <v>0</v>
      </c>
      <c r="H1076" s="9" t="s">
        <v>82</v>
      </c>
      <c r="I1076" s="9" t="s">
        <v>2677</v>
      </c>
      <c r="J1076" s="9">
        <v>25</v>
      </c>
      <c r="K1076" s="35">
        <f>VALUE(COUNTIF(Validation!$A$2:$H$47,E1076))</f>
        <v>0</v>
      </c>
      <c r="L1076" s="361">
        <f t="shared" si="197"/>
        <v>850000</v>
      </c>
      <c r="M1076" s="361">
        <f t="shared" si="198"/>
        <v>0</v>
      </c>
      <c r="N1076" s="358">
        <v>850000</v>
      </c>
      <c r="O1076" s="358" t="s">
        <v>8</v>
      </c>
      <c r="P1076" s="358">
        <v>0</v>
      </c>
      <c r="Q1076" s="358">
        <v>0</v>
      </c>
      <c r="R1076" s="358">
        <v>0</v>
      </c>
      <c r="S1076" s="358">
        <v>0</v>
      </c>
      <c r="T1076" s="358">
        <v>0</v>
      </c>
      <c r="U1076" s="35">
        <f t="shared" si="192"/>
        <v>1</v>
      </c>
      <c r="W1076">
        <f t="shared" si="199"/>
        <v>1</v>
      </c>
      <c r="X1076" s="35">
        <f t="shared" si="193"/>
        <v>0</v>
      </c>
      <c r="Y1076">
        <f t="shared" si="194"/>
        <v>0</v>
      </c>
      <c r="AB1076">
        <f t="shared" si="202"/>
        <v>1</v>
      </c>
      <c r="AC1076">
        <f t="shared" ca="1" si="203"/>
        <v>0</v>
      </c>
      <c r="AD1076" t="str">
        <f ca="1">IF(AC1076=1,COUNTIF($AC$3:AC1076,1),"")</f>
        <v/>
      </c>
      <c r="AE1076" s="155" t="str">
        <f ca="1">IFERROR(INDEX(Données!$B$3:$B$1479,MATCH(ROWS($AD$3:AD1076),$AD$3:$AD$1479,0)),"")</f>
        <v/>
      </c>
    </row>
    <row r="1077" spans="1:31" ht="15.75" x14ac:dyDescent="0.25">
      <c r="A1077" t="str">
        <f t="shared" si="200"/>
        <v>Teddy Blueger - PIT - C, LW</v>
      </c>
      <c r="B1077" t="str">
        <f t="shared" si="201"/>
        <v>Teddy Blueger - PIT - C, LW</v>
      </c>
      <c r="C1077" t="str">
        <f t="shared" si="195"/>
        <v>Teddy</v>
      </c>
      <c r="D1077" t="str">
        <f t="shared" si="196"/>
        <v>Blueger</v>
      </c>
      <c r="E1077" s="39" t="s">
        <v>1847</v>
      </c>
      <c r="F1077" s="30" t="s">
        <v>29</v>
      </c>
      <c r="G1077" s="35">
        <v>0</v>
      </c>
      <c r="H1077" s="35" t="s">
        <v>2679</v>
      </c>
      <c r="I1077" s="35" t="s">
        <v>2677</v>
      </c>
      <c r="J1077" s="35">
        <v>24</v>
      </c>
      <c r="K1077" s="35">
        <f>VALUE(COUNTIF(Validation!$A$2:$H$47,E1077))</f>
        <v>0</v>
      </c>
      <c r="L1077" s="361">
        <f t="shared" si="197"/>
        <v>750000</v>
      </c>
      <c r="M1077" s="361">
        <f t="shared" si="198"/>
        <v>750000</v>
      </c>
      <c r="N1077" s="358">
        <v>750000</v>
      </c>
      <c r="O1077" s="358">
        <v>750000</v>
      </c>
      <c r="P1077" s="358" t="s">
        <v>8</v>
      </c>
      <c r="Q1077" s="358">
        <v>0</v>
      </c>
      <c r="R1077" s="358">
        <v>0</v>
      </c>
      <c r="S1077" s="358">
        <v>0</v>
      </c>
      <c r="T1077" s="358">
        <v>0</v>
      </c>
      <c r="U1077" s="35">
        <f t="shared" si="192"/>
        <v>2</v>
      </c>
      <c r="W1077">
        <f t="shared" si="199"/>
        <v>1</v>
      </c>
      <c r="X1077" s="35">
        <f t="shared" si="193"/>
        <v>0</v>
      </c>
      <c r="Y1077">
        <f t="shared" si="194"/>
        <v>1</v>
      </c>
      <c r="AB1077">
        <f t="shared" si="202"/>
        <v>1</v>
      </c>
      <c r="AC1077">
        <f t="shared" ca="1" si="203"/>
        <v>0</v>
      </c>
      <c r="AD1077" t="str">
        <f ca="1">IF(AC1077=1,COUNTIF($AC$3:AC1077,1),"")</f>
        <v/>
      </c>
      <c r="AE1077" s="155" t="str">
        <f ca="1">IFERROR(INDEX(Données!$B$3:$B$1479,MATCH(ROWS($AD$3:AD1077),$AD$3:$AD$1479,0)),"")</f>
        <v/>
      </c>
    </row>
    <row r="1078" spans="1:31" ht="15.75" x14ac:dyDescent="0.25">
      <c r="A1078" t="str">
        <f t="shared" si="200"/>
        <v>Dominik Simon - PIT - RW, LW</v>
      </c>
      <c r="B1078" t="str">
        <f t="shared" si="201"/>
        <v>Dominik Simon - PIT - RW, LW</v>
      </c>
      <c r="C1078" t="str">
        <f t="shared" si="195"/>
        <v>Dominik</v>
      </c>
      <c r="D1078" t="str">
        <f t="shared" si="196"/>
        <v>Simon</v>
      </c>
      <c r="E1078" s="39" t="s">
        <v>1824</v>
      </c>
      <c r="F1078" s="30" t="s">
        <v>29</v>
      </c>
      <c r="G1078" s="35">
        <v>0</v>
      </c>
      <c r="H1078" s="35" t="s">
        <v>2680</v>
      </c>
      <c r="I1078" s="35" t="s">
        <v>2677</v>
      </c>
      <c r="J1078" s="35">
        <v>25</v>
      </c>
      <c r="K1078" s="35">
        <f>VALUE(COUNTIF(Validation!$A$2:$H$47,E1078))</f>
        <v>0</v>
      </c>
      <c r="L1078" s="361">
        <f t="shared" si="197"/>
        <v>750000</v>
      </c>
      <c r="M1078" s="361">
        <f t="shared" si="198"/>
        <v>0</v>
      </c>
      <c r="N1078" s="358">
        <v>750000</v>
      </c>
      <c r="O1078" s="358" t="s">
        <v>8</v>
      </c>
      <c r="P1078" s="358">
        <v>0</v>
      </c>
      <c r="Q1078" s="358">
        <v>0</v>
      </c>
      <c r="R1078" s="358">
        <v>0</v>
      </c>
      <c r="S1078" s="358">
        <v>0</v>
      </c>
      <c r="T1078" s="358">
        <v>0</v>
      </c>
      <c r="U1078" s="35">
        <f t="shared" si="192"/>
        <v>1</v>
      </c>
      <c r="W1078">
        <f t="shared" si="199"/>
        <v>1</v>
      </c>
      <c r="X1078" s="35">
        <f t="shared" si="193"/>
        <v>0</v>
      </c>
      <c r="Y1078">
        <f t="shared" si="194"/>
        <v>0</v>
      </c>
      <c r="AB1078">
        <f t="shared" si="202"/>
        <v>1</v>
      </c>
      <c r="AC1078">
        <f t="shared" ca="1" si="203"/>
        <v>0</v>
      </c>
      <c r="AD1078" t="str">
        <f ca="1">IF(AC1078=1,COUNTIF($AC$3:AC1078,1),"")</f>
        <v/>
      </c>
      <c r="AE1078" s="155" t="str">
        <f ca="1">IFERROR(INDEX(Données!$B$3:$B$1479,MATCH(ROWS($AD$3:AD1078),$AD$3:$AD$1479,0)),"")</f>
        <v/>
      </c>
    </row>
    <row r="1079" spans="1:31" ht="15.75" x14ac:dyDescent="0.25">
      <c r="A1079" t="str">
        <f t="shared" si="200"/>
        <v>Jordy Bellerive - PIT - C</v>
      </c>
      <c r="B1079" t="str">
        <f t="shared" si="201"/>
        <v>Jordy Bellerive - PIT - C</v>
      </c>
      <c r="C1079" t="str">
        <f t="shared" si="195"/>
        <v>Jordy</v>
      </c>
      <c r="D1079" t="str">
        <f t="shared" si="196"/>
        <v>Bellerive</v>
      </c>
      <c r="E1079" s="39" t="s">
        <v>1843</v>
      </c>
      <c r="F1079" s="30" t="s">
        <v>29</v>
      </c>
      <c r="G1079" s="35" t="s">
        <v>386</v>
      </c>
      <c r="H1079" s="35" t="s">
        <v>73</v>
      </c>
      <c r="I1079" s="35" t="s">
        <v>2690</v>
      </c>
      <c r="J1079" s="35">
        <v>20</v>
      </c>
      <c r="K1079" s="35">
        <f>VALUE(COUNTIF(Validation!$A$2:$H$47,E1079))</f>
        <v>0</v>
      </c>
      <c r="L1079" s="361">
        <f t="shared" si="197"/>
        <v>733333</v>
      </c>
      <c r="M1079" s="361">
        <f t="shared" si="198"/>
        <v>733333</v>
      </c>
      <c r="N1079" s="358">
        <v>733333</v>
      </c>
      <c r="O1079" s="358">
        <v>733333</v>
      </c>
      <c r="P1079" s="358">
        <v>733333</v>
      </c>
      <c r="Q1079" s="358" t="s">
        <v>8</v>
      </c>
      <c r="R1079" s="358">
        <v>0</v>
      </c>
      <c r="S1079" s="358">
        <v>0</v>
      </c>
      <c r="T1079" s="358">
        <v>0</v>
      </c>
      <c r="U1079" s="35">
        <f t="shared" si="192"/>
        <v>3</v>
      </c>
      <c r="W1079">
        <f t="shared" si="199"/>
        <v>1</v>
      </c>
      <c r="X1079" s="35">
        <f t="shared" si="193"/>
        <v>1</v>
      </c>
      <c r="Y1079">
        <f t="shared" si="194"/>
        <v>1</v>
      </c>
      <c r="AB1079">
        <f t="shared" si="202"/>
        <v>1</v>
      </c>
      <c r="AC1079">
        <f t="shared" ca="1" si="203"/>
        <v>0</v>
      </c>
      <c r="AD1079" t="str">
        <f ca="1">IF(AC1079=1,COUNTIF($AC$3:AC1079,1),"")</f>
        <v/>
      </c>
      <c r="AE1079" s="155" t="str">
        <f ca="1">IFERROR(INDEX(Données!$B$3:$B$1479,MATCH(ROWS($AD$3:AD1079),$AD$3:$AD$1479,0)),"")</f>
        <v/>
      </c>
    </row>
    <row r="1080" spans="1:31" ht="15.75" x14ac:dyDescent="0.25">
      <c r="A1080" t="str">
        <f t="shared" si="200"/>
        <v>Alex D'Orio - PIT - G</v>
      </c>
      <c r="B1080" t="str">
        <f t="shared" si="201"/>
        <v>Alex D'Orio - PIT - G</v>
      </c>
      <c r="C1080" t="str">
        <f t="shared" si="195"/>
        <v>Alex</v>
      </c>
      <c r="D1080" t="str">
        <f t="shared" si="196"/>
        <v>D'Orio</v>
      </c>
      <c r="E1080" s="39" t="s">
        <v>1842</v>
      </c>
      <c r="F1080" s="30" t="s">
        <v>29</v>
      </c>
      <c r="G1080" s="35" t="s">
        <v>386</v>
      </c>
      <c r="H1080" s="35" t="s">
        <v>127</v>
      </c>
      <c r="I1080" s="35" t="s">
        <v>2690</v>
      </c>
      <c r="J1080" s="35">
        <v>20</v>
      </c>
      <c r="K1080" s="35">
        <f>VALUE(COUNTIF(Validation!$A$2:$H$47,E1080))</f>
        <v>0</v>
      </c>
      <c r="L1080" s="361">
        <f t="shared" si="197"/>
        <v>733333</v>
      </c>
      <c r="M1080" s="361">
        <f t="shared" si="198"/>
        <v>733333</v>
      </c>
      <c r="N1080" s="358">
        <v>733333</v>
      </c>
      <c r="O1080" s="358">
        <v>733333</v>
      </c>
      <c r="P1080" s="358">
        <v>733333</v>
      </c>
      <c r="Q1080" s="358" t="s">
        <v>8</v>
      </c>
      <c r="R1080" s="358">
        <v>0</v>
      </c>
      <c r="S1080" s="358">
        <v>0</v>
      </c>
      <c r="T1080" s="358">
        <v>0</v>
      </c>
      <c r="U1080" s="35">
        <f t="shared" si="192"/>
        <v>3</v>
      </c>
      <c r="W1080">
        <f t="shared" si="199"/>
        <v>1</v>
      </c>
      <c r="X1080" s="35">
        <f t="shared" si="193"/>
        <v>1</v>
      </c>
      <c r="Y1080">
        <f t="shared" si="194"/>
        <v>1</v>
      </c>
      <c r="AB1080">
        <f t="shared" si="202"/>
        <v>1</v>
      </c>
      <c r="AC1080">
        <f t="shared" ca="1" si="203"/>
        <v>0</v>
      </c>
      <c r="AD1080" t="str">
        <f ca="1">IF(AC1080=1,COUNTIF($AC$3:AC1080,1),"")</f>
        <v/>
      </c>
      <c r="AE1080" s="155" t="str">
        <f ca="1">IFERROR(INDEX(Données!$B$3:$B$1479,MATCH(ROWS($AD$3:AD1080),$AD$3:$AD$1479,0)),"")</f>
        <v/>
      </c>
    </row>
    <row r="1081" spans="1:31" ht="15.75" x14ac:dyDescent="0.25">
      <c r="A1081" t="str">
        <f t="shared" si="200"/>
        <v>Sam Miletic - PIT - LW, C</v>
      </c>
      <c r="B1081" t="str">
        <f t="shared" si="201"/>
        <v>Sam Miletic - PIT - LW, C</v>
      </c>
      <c r="C1081" t="str">
        <f t="shared" si="195"/>
        <v>Sam</v>
      </c>
      <c r="D1081" t="str">
        <f t="shared" si="196"/>
        <v>Miletic</v>
      </c>
      <c r="E1081" s="39" t="s">
        <v>1844</v>
      </c>
      <c r="F1081" s="30" t="s">
        <v>29</v>
      </c>
      <c r="G1081" s="35" t="s">
        <v>386</v>
      </c>
      <c r="H1081" s="9" t="s">
        <v>2696</v>
      </c>
      <c r="I1081" s="9" t="s">
        <v>2690</v>
      </c>
      <c r="J1081" s="9">
        <v>22</v>
      </c>
      <c r="K1081" s="35">
        <f>VALUE(COUNTIF(Validation!$A$2:$H$47,E1081))</f>
        <v>0</v>
      </c>
      <c r="L1081" s="361">
        <f t="shared" si="197"/>
        <v>710000</v>
      </c>
      <c r="M1081" s="361">
        <f t="shared" si="198"/>
        <v>0</v>
      </c>
      <c r="N1081" s="358">
        <v>710000</v>
      </c>
      <c r="O1081" s="358" t="s">
        <v>8</v>
      </c>
      <c r="P1081" s="358">
        <v>0</v>
      </c>
      <c r="Q1081" s="358">
        <v>0</v>
      </c>
      <c r="R1081" s="358">
        <v>0</v>
      </c>
      <c r="S1081" s="358">
        <v>0</v>
      </c>
      <c r="T1081" s="358">
        <v>0</v>
      </c>
      <c r="U1081" s="35">
        <f t="shared" si="192"/>
        <v>1</v>
      </c>
      <c r="W1081">
        <f t="shared" si="199"/>
        <v>1</v>
      </c>
      <c r="X1081" s="35">
        <f t="shared" si="193"/>
        <v>1</v>
      </c>
      <c r="Y1081">
        <f t="shared" si="194"/>
        <v>0</v>
      </c>
      <c r="AB1081">
        <f t="shared" si="202"/>
        <v>1</v>
      </c>
      <c r="AC1081">
        <f t="shared" ca="1" si="203"/>
        <v>0</v>
      </c>
      <c r="AD1081" t="str">
        <f ca="1">IF(AC1081=1,COUNTIF($AC$3:AC1081,1),"")</f>
        <v/>
      </c>
      <c r="AE1081" s="155" t="str">
        <f ca="1">IFERROR(INDEX(Données!$B$3:$B$1479,MATCH(ROWS($AD$3:AD1081),$AD$3:$AD$1479,0)),"")</f>
        <v/>
      </c>
    </row>
    <row r="1082" spans="1:31" ht="15.75" x14ac:dyDescent="0.25">
      <c r="A1082" t="str">
        <f t="shared" si="200"/>
        <v>Andrew Agozzino - PIT - C, LW</v>
      </c>
      <c r="B1082" t="str">
        <f t="shared" si="201"/>
        <v>Andrew Agozzino - PIT - C, LW</v>
      </c>
      <c r="C1082" t="str">
        <f t="shared" si="195"/>
        <v>Andrew</v>
      </c>
      <c r="D1082" t="str">
        <f t="shared" si="196"/>
        <v>Agozzino</v>
      </c>
      <c r="E1082" s="39" t="s">
        <v>1950</v>
      </c>
      <c r="F1082" s="30" t="s">
        <v>29</v>
      </c>
      <c r="G1082" s="35">
        <v>0</v>
      </c>
      <c r="H1082" s="35" t="s">
        <v>2679</v>
      </c>
      <c r="I1082" s="35" t="s">
        <v>2690</v>
      </c>
      <c r="J1082" s="35">
        <v>28</v>
      </c>
      <c r="K1082" s="35">
        <f>VALUE(COUNTIF(Validation!$A$2:$H$47,E1082))</f>
        <v>0</v>
      </c>
      <c r="L1082" s="361">
        <f t="shared" si="197"/>
        <v>700000</v>
      </c>
      <c r="M1082" s="361">
        <f t="shared" si="198"/>
        <v>700000</v>
      </c>
      <c r="N1082" s="358">
        <v>700000</v>
      </c>
      <c r="O1082" s="358">
        <v>700000</v>
      </c>
      <c r="P1082" s="358" t="s">
        <v>7</v>
      </c>
      <c r="Q1082" s="358">
        <v>0</v>
      </c>
      <c r="R1082" s="358">
        <v>0</v>
      </c>
      <c r="S1082" s="358">
        <v>0</v>
      </c>
      <c r="T1082" s="358">
        <v>0</v>
      </c>
      <c r="U1082" s="35">
        <f t="shared" si="192"/>
        <v>2</v>
      </c>
      <c r="W1082">
        <f t="shared" si="199"/>
        <v>1</v>
      </c>
      <c r="X1082" s="35">
        <f t="shared" si="193"/>
        <v>0</v>
      </c>
      <c r="Y1082">
        <f t="shared" si="194"/>
        <v>1</v>
      </c>
      <c r="AB1082">
        <f t="shared" si="202"/>
        <v>1</v>
      </c>
      <c r="AC1082">
        <f t="shared" ca="1" si="203"/>
        <v>0</v>
      </c>
      <c r="AD1082" t="str">
        <f ca="1">IF(AC1082=1,COUNTIF($AC$3:AC1082,1),"")</f>
        <v/>
      </c>
      <c r="AE1082" s="155" t="str">
        <f ca="1">IFERROR(INDEX(Données!$B$3:$B$1479,MATCH(ROWS($AD$3:AD1082),$AD$3:$AD$1479,0)),"")</f>
        <v/>
      </c>
    </row>
    <row r="1083" spans="1:31" ht="15.75" x14ac:dyDescent="0.25">
      <c r="A1083" t="str">
        <f t="shared" si="200"/>
        <v>Joseph Blandisi - PIT - C</v>
      </c>
      <c r="B1083" t="str">
        <f t="shared" si="201"/>
        <v>Joseph Blandisi - PIT - C</v>
      </c>
      <c r="C1083" t="str">
        <f t="shared" si="195"/>
        <v>Joseph</v>
      </c>
      <c r="D1083" t="str">
        <f t="shared" si="196"/>
        <v>Blandisi</v>
      </c>
      <c r="E1083" s="39" t="s">
        <v>2146</v>
      </c>
      <c r="F1083" s="30" t="s">
        <v>29</v>
      </c>
      <c r="G1083" s="35">
        <v>0</v>
      </c>
      <c r="H1083" s="35" t="s">
        <v>73</v>
      </c>
      <c r="I1083" s="35" t="s">
        <v>2690</v>
      </c>
      <c r="J1083" s="35">
        <v>25</v>
      </c>
      <c r="K1083" s="35">
        <f>VALUE(COUNTIF(Validation!$A$2:$H$47,E1083))</f>
        <v>0</v>
      </c>
      <c r="L1083" s="361">
        <f t="shared" si="197"/>
        <v>700000</v>
      </c>
      <c r="M1083" s="361">
        <f t="shared" si="198"/>
        <v>0</v>
      </c>
      <c r="N1083" s="358">
        <v>700000</v>
      </c>
      <c r="O1083" s="358" t="s">
        <v>8</v>
      </c>
      <c r="P1083" s="358">
        <v>0</v>
      </c>
      <c r="Q1083" s="358">
        <v>0</v>
      </c>
      <c r="R1083" s="358">
        <v>0</v>
      </c>
      <c r="S1083" s="358">
        <v>0</v>
      </c>
      <c r="T1083" s="358">
        <v>0</v>
      </c>
      <c r="U1083" s="35">
        <f t="shared" si="192"/>
        <v>1</v>
      </c>
      <c r="W1083">
        <f t="shared" si="199"/>
        <v>1</v>
      </c>
      <c r="X1083" s="35">
        <f t="shared" si="193"/>
        <v>0</v>
      </c>
      <c r="Y1083">
        <f t="shared" si="194"/>
        <v>0</v>
      </c>
      <c r="AB1083">
        <f t="shared" si="202"/>
        <v>1</v>
      </c>
      <c r="AC1083">
        <f t="shared" ca="1" si="203"/>
        <v>0</v>
      </c>
      <c r="AD1083" t="str">
        <f ca="1">IF(AC1083=1,COUNTIF($AC$3:AC1083,1),"")</f>
        <v/>
      </c>
      <c r="AE1083" s="155" t="str">
        <f ca="1">IFERROR(INDEX(Données!$B$3:$B$1479,MATCH(ROWS($AD$3:AD1083),$AD$3:$AD$1479,0)),"")</f>
        <v/>
      </c>
    </row>
    <row r="1084" spans="1:31" ht="15.75" x14ac:dyDescent="0.25">
      <c r="A1084" t="str">
        <f t="shared" si="200"/>
        <v>Joseph Cramarossa - PIT - C</v>
      </c>
      <c r="B1084" t="str">
        <f t="shared" si="201"/>
        <v>Joseph Cramarossa - PIT - C</v>
      </c>
      <c r="C1084" t="str">
        <f t="shared" si="195"/>
        <v>Joseph</v>
      </c>
      <c r="D1084" t="str">
        <f t="shared" si="196"/>
        <v>Cramarossa</v>
      </c>
      <c r="E1084" s="39" t="s">
        <v>2477</v>
      </c>
      <c r="F1084" s="30" t="s">
        <v>29</v>
      </c>
      <c r="G1084" s="35">
        <v>0</v>
      </c>
      <c r="H1084" s="35" t="s">
        <v>73</v>
      </c>
      <c r="I1084" s="35" t="s">
        <v>2690</v>
      </c>
      <c r="J1084" s="35">
        <v>26</v>
      </c>
      <c r="K1084" s="35">
        <f>VALUE(COUNTIF(Validation!$A$2:$H$47,E1084))</f>
        <v>0</v>
      </c>
      <c r="L1084" s="361">
        <f t="shared" si="197"/>
        <v>700000</v>
      </c>
      <c r="M1084" s="361">
        <f t="shared" si="198"/>
        <v>0</v>
      </c>
      <c r="N1084" s="358">
        <v>700000</v>
      </c>
      <c r="O1084" s="358" t="s">
        <v>7</v>
      </c>
      <c r="P1084" s="358">
        <v>0</v>
      </c>
      <c r="Q1084" s="358">
        <v>0</v>
      </c>
      <c r="R1084" s="358">
        <v>0</v>
      </c>
      <c r="S1084" s="358">
        <v>0</v>
      </c>
      <c r="T1084" s="358">
        <v>0</v>
      </c>
      <c r="U1084" s="35">
        <f t="shared" si="192"/>
        <v>1</v>
      </c>
      <c r="W1084">
        <f t="shared" si="199"/>
        <v>1</v>
      </c>
      <c r="X1084" s="35">
        <f t="shared" si="193"/>
        <v>0</v>
      </c>
      <c r="Y1084">
        <f t="shared" si="194"/>
        <v>0</v>
      </c>
      <c r="AB1084">
        <f t="shared" si="202"/>
        <v>1</v>
      </c>
      <c r="AC1084">
        <f t="shared" ca="1" si="203"/>
        <v>0</v>
      </c>
      <c r="AD1084" t="str">
        <f ca="1">IF(AC1084=1,COUNTIF($AC$3:AC1084,1),"")</f>
        <v/>
      </c>
      <c r="AE1084" s="155" t="str">
        <f ca="1">IFERROR(INDEX(Données!$B$3:$B$1479,MATCH(ROWS($AD$3:AD1084),$AD$3:$AD$1479,0)),"")</f>
        <v/>
      </c>
    </row>
    <row r="1085" spans="1:31" ht="15.75" x14ac:dyDescent="0.25">
      <c r="A1085" t="str">
        <f t="shared" si="200"/>
        <v>Kevin Czuczman - PIT - LD</v>
      </c>
      <c r="B1085" t="str">
        <f t="shared" si="201"/>
        <v>Kevin Czuczman - PIT - LD</v>
      </c>
      <c r="C1085" t="str">
        <f t="shared" si="195"/>
        <v>Kevin</v>
      </c>
      <c r="D1085" t="str">
        <f t="shared" si="196"/>
        <v>Czuczman</v>
      </c>
      <c r="E1085" s="39" t="s">
        <v>1846</v>
      </c>
      <c r="F1085" s="35" t="s">
        <v>29</v>
      </c>
      <c r="G1085" s="35">
        <v>0</v>
      </c>
      <c r="H1085" s="9" t="s">
        <v>380</v>
      </c>
      <c r="I1085" s="9" t="s">
        <v>2690</v>
      </c>
      <c r="J1085" s="9">
        <v>28</v>
      </c>
      <c r="K1085" s="35">
        <f>VALUE(COUNTIF(Validation!$A$2:$H$47,E1085))</f>
        <v>0</v>
      </c>
      <c r="L1085" s="361">
        <f t="shared" si="197"/>
        <v>700000</v>
      </c>
      <c r="M1085" s="361">
        <f t="shared" si="198"/>
        <v>700000</v>
      </c>
      <c r="N1085" s="358">
        <v>700000</v>
      </c>
      <c r="O1085" s="358">
        <v>700000</v>
      </c>
      <c r="P1085" s="358" t="s">
        <v>7</v>
      </c>
      <c r="Q1085" s="358">
        <v>0</v>
      </c>
      <c r="R1085" s="358">
        <v>0</v>
      </c>
      <c r="S1085" s="358">
        <v>0</v>
      </c>
      <c r="T1085" s="358">
        <v>0</v>
      </c>
      <c r="U1085" s="35">
        <f t="shared" si="192"/>
        <v>2</v>
      </c>
      <c r="W1085">
        <f t="shared" si="199"/>
        <v>1</v>
      </c>
      <c r="X1085" s="35">
        <f t="shared" si="193"/>
        <v>0</v>
      </c>
      <c r="Y1085">
        <f t="shared" si="194"/>
        <v>1</v>
      </c>
      <c r="AB1085">
        <f t="shared" si="202"/>
        <v>1</v>
      </c>
      <c r="AC1085">
        <f t="shared" ca="1" si="203"/>
        <v>0</v>
      </c>
      <c r="AD1085" t="str">
        <f ca="1">IF(AC1085=1,COUNTIF($AC$3:AC1085,1),"")</f>
        <v/>
      </c>
      <c r="AE1085" s="155" t="str">
        <f ca="1">IFERROR(INDEX(Données!$B$3:$B$1479,MATCH(ROWS($AD$3:AD1085),$AD$3:$AD$1479,0)),"")</f>
        <v/>
      </c>
    </row>
    <row r="1086" spans="1:31" ht="15.75" x14ac:dyDescent="0.25">
      <c r="A1086" t="str">
        <f t="shared" si="200"/>
        <v>Thomas DiPauli - PIT - C, LW</v>
      </c>
      <c r="B1086" t="str">
        <f t="shared" si="201"/>
        <v>Thomas DiPauli - PIT - C, LW</v>
      </c>
      <c r="C1086" t="str">
        <f t="shared" si="195"/>
        <v>Thomas</v>
      </c>
      <c r="D1086" t="str">
        <f t="shared" si="196"/>
        <v>DiPauli</v>
      </c>
      <c r="E1086" s="39" t="s">
        <v>1849</v>
      </c>
      <c r="F1086" s="30" t="s">
        <v>29</v>
      </c>
      <c r="G1086" s="35">
        <v>0</v>
      </c>
      <c r="H1086" s="35" t="s">
        <v>2679</v>
      </c>
      <c r="I1086" s="35" t="s">
        <v>2690</v>
      </c>
      <c r="J1086" s="35">
        <v>25</v>
      </c>
      <c r="K1086" s="35">
        <f>VALUE(COUNTIF(Validation!$A$2:$H$47,E1086))</f>
        <v>0</v>
      </c>
      <c r="L1086" s="361">
        <f t="shared" si="197"/>
        <v>700000</v>
      </c>
      <c r="M1086" s="361">
        <f t="shared" si="198"/>
        <v>0</v>
      </c>
      <c r="N1086" s="358">
        <v>700000</v>
      </c>
      <c r="O1086" s="358" t="s">
        <v>8</v>
      </c>
      <c r="P1086" s="358">
        <v>0</v>
      </c>
      <c r="Q1086" s="358">
        <v>0</v>
      </c>
      <c r="R1086" s="358">
        <v>0</v>
      </c>
      <c r="S1086" s="358">
        <v>0</v>
      </c>
      <c r="T1086" s="358">
        <v>0</v>
      </c>
      <c r="U1086" s="35">
        <f t="shared" si="192"/>
        <v>1</v>
      </c>
      <c r="W1086">
        <f t="shared" si="199"/>
        <v>1</v>
      </c>
      <c r="X1086" s="35">
        <f t="shared" si="193"/>
        <v>0</v>
      </c>
      <c r="Y1086">
        <f t="shared" si="194"/>
        <v>0</v>
      </c>
      <c r="AB1086">
        <f t="shared" si="202"/>
        <v>1</v>
      </c>
      <c r="AC1086">
        <f t="shared" ca="1" si="203"/>
        <v>0</v>
      </c>
      <c r="AD1086" t="str">
        <f ca="1">IF(AC1086=1,COUNTIF($AC$3:AC1086,1),"")</f>
        <v/>
      </c>
      <c r="AE1086" s="155" t="str">
        <f ca="1">IFERROR(INDEX(Données!$B$3:$B$1479,MATCH(ROWS($AD$3:AD1086),$AD$3:$AD$1479,0)),"")</f>
        <v/>
      </c>
    </row>
    <row r="1087" spans="1:31" ht="15.75" x14ac:dyDescent="0.25">
      <c r="A1087" t="str">
        <f t="shared" si="200"/>
        <v>Adam Johnson - PIT - C, LW</v>
      </c>
      <c r="B1087" t="str">
        <f t="shared" si="201"/>
        <v>Adam Johnson - PIT - C, LW</v>
      </c>
      <c r="C1087" t="str">
        <f t="shared" si="195"/>
        <v>Adam</v>
      </c>
      <c r="D1087" t="str">
        <f t="shared" si="196"/>
        <v>Johnson</v>
      </c>
      <c r="E1087" s="39" t="s">
        <v>1835</v>
      </c>
      <c r="F1087" s="30" t="s">
        <v>29</v>
      </c>
      <c r="G1087" s="35">
        <v>0</v>
      </c>
      <c r="H1087" s="35" t="s">
        <v>2679</v>
      </c>
      <c r="I1087" s="35" t="s">
        <v>2690</v>
      </c>
      <c r="J1087" s="35">
        <v>25</v>
      </c>
      <c r="K1087" s="35">
        <f>VALUE(COUNTIF(Validation!$A$2:$H$47,E1087))</f>
        <v>0</v>
      </c>
      <c r="L1087" s="361">
        <f t="shared" si="197"/>
        <v>700000</v>
      </c>
      <c r="M1087" s="361">
        <f t="shared" si="198"/>
        <v>0</v>
      </c>
      <c r="N1087" s="358">
        <v>700000</v>
      </c>
      <c r="O1087" s="358" t="s">
        <v>8</v>
      </c>
      <c r="P1087" s="358">
        <v>0</v>
      </c>
      <c r="Q1087" s="358">
        <v>0</v>
      </c>
      <c r="R1087" s="358">
        <v>0</v>
      </c>
      <c r="S1087" s="358">
        <v>0</v>
      </c>
      <c r="T1087" s="358">
        <v>0</v>
      </c>
      <c r="U1087" s="35">
        <f t="shared" ref="U1087:U1149" si="204">COUNTIF(N1087:T1087,"&gt;0")</f>
        <v>1</v>
      </c>
      <c r="W1087">
        <f t="shared" si="199"/>
        <v>1</v>
      </c>
      <c r="X1087" s="35">
        <f t="shared" si="193"/>
        <v>0</v>
      </c>
      <c r="Y1087">
        <f t="shared" si="194"/>
        <v>0</v>
      </c>
      <c r="AB1087">
        <f t="shared" si="202"/>
        <v>1</v>
      </c>
      <c r="AC1087">
        <f t="shared" ca="1" si="203"/>
        <v>0</v>
      </c>
      <c r="AD1087" t="str">
        <f ca="1">IF(AC1087=1,COUNTIF($AC$3:AC1087,1),"")</f>
        <v/>
      </c>
      <c r="AE1087" s="155" t="str">
        <f ca="1">IFERROR(INDEX(Données!$B$3:$B$1479,MATCH(ROWS($AD$3:AD1087),$AD$3:$AD$1479,0)),"")</f>
        <v/>
      </c>
    </row>
    <row r="1088" spans="1:31" ht="15.75" x14ac:dyDescent="0.25">
      <c r="A1088" t="str">
        <f t="shared" si="200"/>
        <v>Chad Ruhwedel - PIT - RD</v>
      </c>
      <c r="B1088" t="str">
        <f t="shared" si="201"/>
        <v>Chad Ruhwedel - PIT - RD</v>
      </c>
      <c r="C1088" t="str">
        <f t="shared" si="195"/>
        <v>Chad</v>
      </c>
      <c r="D1088" t="str">
        <f t="shared" si="196"/>
        <v>Ruhwedel</v>
      </c>
      <c r="E1088" s="39" t="s">
        <v>1832</v>
      </c>
      <c r="F1088" s="30" t="s">
        <v>29</v>
      </c>
      <c r="G1088" s="35">
        <v>0</v>
      </c>
      <c r="H1088" s="35" t="s">
        <v>379</v>
      </c>
      <c r="I1088" s="35" t="s">
        <v>2677</v>
      </c>
      <c r="J1088" s="35">
        <v>29</v>
      </c>
      <c r="K1088" s="35">
        <f>VALUE(COUNTIF(Validation!$A$2:$H$47,E1088))</f>
        <v>0</v>
      </c>
      <c r="L1088" s="361">
        <f t="shared" si="197"/>
        <v>700000</v>
      </c>
      <c r="M1088" s="361">
        <f t="shared" si="198"/>
        <v>700000</v>
      </c>
      <c r="N1088" s="358">
        <v>700000</v>
      </c>
      <c r="O1088" s="358">
        <v>700000</v>
      </c>
      <c r="P1088" s="358" t="s">
        <v>7</v>
      </c>
      <c r="Q1088" s="358">
        <v>0</v>
      </c>
      <c r="R1088" s="358">
        <v>0</v>
      </c>
      <c r="S1088" s="358">
        <v>0</v>
      </c>
      <c r="T1088" s="358">
        <v>0</v>
      </c>
      <c r="U1088" s="35">
        <f t="shared" si="204"/>
        <v>2</v>
      </c>
      <c r="W1088">
        <f t="shared" si="199"/>
        <v>1</v>
      </c>
      <c r="X1088" s="35">
        <f t="shared" ref="X1088:X1150" si="205">IF(LEFT(G1088,3)="ELC",1,0)</f>
        <v>0</v>
      </c>
      <c r="Y1088">
        <f t="shared" ref="Y1088:Y1150" si="206">IF(L1088=M1088,1,0)</f>
        <v>1</v>
      </c>
      <c r="AB1088">
        <f t="shared" si="202"/>
        <v>1</v>
      </c>
      <c r="AC1088">
        <f t="shared" ca="1" si="203"/>
        <v>0</v>
      </c>
      <c r="AD1088" t="str">
        <f ca="1">IF(AC1088=1,COUNTIF($AC$3:AC1088,1),"")</f>
        <v/>
      </c>
      <c r="AE1088" s="155" t="str">
        <f ca="1">IFERROR(INDEX(Données!$B$3:$B$1479,MATCH(ROWS($AD$3:AD1088),$AD$3:$AD$1479,0)),"")</f>
        <v/>
      </c>
    </row>
    <row r="1089" spans="1:31" ht="15.75" x14ac:dyDescent="0.25">
      <c r="A1089" t="str">
        <f t="shared" si="200"/>
        <v>Zach Trotman - PIT - RD</v>
      </c>
      <c r="B1089" t="str">
        <f t="shared" si="201"/>
        <v>Zach Trotman - PIT - RD</v>
      </c>
      <c r="C1089" t="str">
        <f t="shared" si="195"/>
        <v>Zach</v>
      </c>
      <c r="D1089" t="str">
        <f t="shared" si="196"/>
        <v>Trotman</v>
      </c>
      <c r="E1089" s="39" t="s">
        <v>1850</v>
      </c>
      <c r="F1089" s="30" t="s">
        <v>29</v>
      </c>
      <c r="G1089" s="35">
        <v>0</v>
      </c>
      <c r="H1089" s="35" t="s">
        <v>379</v>
      </c>
      <c r="I1089" s="35" t="s">
        <v>2677</v>
      </c>
      <c r="J1089" s="35">
        <v>28</v>
      </c>
      <c r="K1089" s="35">
        <f>VALUE(COUNTIF(Validation!$A$2:$H$47,E1089))</f>
        <v>0</v>
      </c>
      <c r="L1089" s="361">
        <f t="shared" si="197"/>
        <v>700000</v>
      </c>
      <c r="M1089" s="361">
        <f t="shared" si="198"/>
        <v>700000</v>
      </c>
      <c r="N1089" s="358">
        <v>700000</v>
      </c>
      <c r="O1089" s="358">
        <v>700000</v>
      </c>
      <c r="P1089" s="358" t="s">
        <v>7</v>
      </c>
      <c r="Q1089" s="358">
        <v>0</v>
      </c>
      <c r="R1089" s="358">
        <v>0</v>
      </c>
      <c r="S1089" s="358">
        <v>0</v>
      </c>
      <c r="T1089" s="358">
        <v>0</v>
      </c>
      <c r="U1089" s="35">
        <f t="shared" si="204"/>
        <v>2</v>
      </c>
      <c r="W1089">
        <f t="shared" si="199"/>
        <v>1</v>
      </c>
      <c r="X1089" s="35">
        <f t="shared" si="205"/>
        <v>0</v>
      </c>
      <c r="Y1089">
        <f t="shared" si="206"/>
        <v>1</v>
      </c>
      <c r="AB1089">
        <f t="shared" si="202"/>
        <v>1</v>
      </c>
      <c r="AC1089">
        <f t="shared" ca="1" si="203"/>
        <v>0</v>
      </c>
      <c r="AD1089" t="str">
        <f ca="1">IF(AC1089=1,COUNTIF($AC$3:AC1089,1),"")</f>
        <v/>
      </c>
      <c r="AE1089" s="155" t="str">
        <f ca="1">IFERROR(INDEX(Données!$B$3:$B$1479,MATCH(ROWS($AD$3:AD1089),$AD$3:$AD$1479,0)),"")</f>
        <v/>
      </c>
    </row>
    <row r="1090" spans="1:31" ht="15.75" x14ac:dyDescent="0.25">
      <c r="A1090" t="str">
        <f t="shared" si="200"/>
        <v>David Warsofsky - PIT - LD</v>
      </c>
      <c r="B1090" t="str">
        <f t="shared" si="201"/>
        <v>David Warsofsky - PIT - LD</v>
      </c>
      <c r="C1090" t="str">
        <f t="shared" si="195"/>
        <v>David</v>
      </c>
      <c r="D1090" t="str">
        <f t="shared" si="196"/>
        <v>Warsofsky</v>
      </c>
      <c r="E1090" s="39" t="s">
        <v>1947</v>
      </c>
      <c r="F1090" s="30" t="s">
        <v>29</v>
      </c>
      <c r="G1090" s="35">
        <v>0</v>
      </c>
      <c r="H1090" s="35" t="s">
        <v>380</v>
      </c>
      <c r="I1090" s="35" t="s">
        <v>2690</v>
      </c>
      <c r="J1090" s="9">
        <v>29</v>
      </c>
      <c r="K1090" s="35">
        <f>VALUE(COUNTIF(Validation!$A$2:$H$47,E1090))</f>
        <v>0</v>
      </c>
      <c r="L1090" s="361">
        <f t="shared" si="197"/>
        <v>700000</v>
      </c>
      <c r="M1090" s="361">
        <f t="shared" si="198"/>
        <v>700000</v>
      </c>
      <c r="N1090" s="358">
        <v>700000</v>
      </c>
      <c r="O1090" s="358">
        <v>700000</v>
      </c>
      <c r="P1090" s="358" t="s">
        <v>7</v>
      </c>
      <c r="Q1090" s="358">
        <v>0</v>
      </c>
      <c r="R1090" s="358">
        <v>0</v>
      </c>
      <c r="S1090" s="358">
        <v>0</v>
      </c>
      <c r="T1090" s="358">
        <v>0</v>
      </c>
      <c r="U1090" s="35">
        <f t="shared" si="204"/>
        <v>2</v>
      </c>
      <c r="W1090">
        <f t="shared" si="199"/>
        <v>1</v>
      </c>
      <c r="X1090" s="35">
        <f t="shared" si="205"/>
        <v>0</v>
      </c>
      <c r="Y1090">
        <f t="shared" si="206"/>
        <v>1</v>
      </c>
      <c r="AB1090">
        <f t="shared" si="202"/>
        <v>1</v>
      </c>
      <c r="AC1090">
        <f t="shared" ca="1" si="203"/>
        <v>0</v>
      </c>
      <c r="AD1090" t="str">
        <f ca="1">IF(AC1090=1,COUNTIF($AC$3:AC1090,1),"")</f>
        <v/>
      </c>
      <c r="AE1090" s="155" t="str">
        <f ca="1">IFERROR(INDEX(Données!$B$3:$B$1479,MATCH(ROWS($AD$3:AD1090),$AD$3:$AD$1479,0)),"")</f>
        <v/>
      </c>
    </row>
    <row r="1091" spans="1:31" ht="15.75" x14ac:dyDescent="0.25">
      <c r="A1091" t="str">
        <f t="shared" si="200"/>
        <v>Ryan Haggerty - PIT - RW</v>
      </c>
      <c r="B1091" t="str">
        <f t="shared" si="201"/>
        <v>Ryan Haggerty - PIT - RW</v>
      </c>
      <c r="C1091" t="str">
        <f t="shared" ref="C1091:C1154" si="207">RIGHT(E1091,(LEN(E1091)-1)-SEARCH(",",E1091,1))</f>
        <v>Ryan</v>
      </c>
      <c r="D1091" t="str">
        <f t="shared" ref="D1091:D1154" si="208">LEFT(E1091,SEARCH(",",E1091,1)-1)</f>
        <v>Haggerty</v>
      </c>
      <c r="E1091" s="39" t="s">
        <v>2478</v>
      </c>
      <c r="F1091" s="30" t="s">
        <v>29</v>
      </c>
      <c r="G1091" s="35">
        <v>0</v>
      </c>
      <c r="H1091" s="35" t="s">
        <v>88</v>
      </c>
      <c r="I1091" s="35" t="s">
        <v>2690</v>
      </c>
      <c r="J1091" s="35">
        <v>26</v>
      </c>
      <c r="K1091" s="35">
        <f>VALUE(COUNTIF(Validation!$A$2:$H$47,E1091))</f>
        <v>0</v>
      </c>
      <c r="L1091" s="361">
        <f t="shared" ref="L1091:L1154" si="209">IF(OR(N1091="RFA",N1091="UFA",N1091="",N1091=0),0,N1091)</f>
        <v>675000</v>
      </c>
      <c r="M1091" s="361">
        <f t="shared" ref="M1091:M1154" si="210">IF(OR(O1091="RFA",O1091="UFA",O1091="",O1091=0),0,O1091)</f>
        <v>0</v>
      </c>
      <c r="N1091" s="358">
        <v>675000</v>
      </c>
      <c r="O1091" s="358" t="s">
        <v>7</v>
      </c>
      <c r="P1091" s="358">
        <v>0</v>
      </c>
      <c r="Q1091" s="358">
        <v>0</v>
      </c>
      <c r="R1091" s="358">
        <v>0</v>
      </c>
      <c r="S1091" s="358">
        <v>0</v>
      </c>
      <c r="T1091" s="358">
        <v>0</v>
      </c>
      <c r="U1091" s="35">
        <f t="shared" si="204"/>
        <v>1</v>
      </c>
      <c r="W1091">
        <f t="shared" ref="W1091:W1154" si="211">COUNTIF($E$3:$E$1479,E1091)</f>
        <v>1</v>
      </c>
      <c r="X1091" s="35">
        <f t="shared" si="205"/>
        <v>0</v>
      </c>
      <c r="Y1091">
        <f t="shared" si="206"/>
        <v>0</v>
      </c>
      <c r="AB1091">
        <f t="shared" si="202"/>
        <v>1</v>
      </c>
      <c r="AC1091">
        <f t="shared" ca="1" si="203"/>
        <v>0</v>
      </c>
      <c r="AD1091" t="str">
        <f ca="1">IF(AC1091=1,COUNTIF($AC$3:AC1091,1),"")</f>
        <v/>
      </c>
      <c r="AE1091" s="155" t="str">
        <f ca="1">IFERROR(INDEX(Données!$B$3:$B$1479,MATCH(ROWS($AD$3:AD1091),$AD$3:$AD$1479,0)),"")</f>
        <v/>
      </c>
    </row>
    <row r="1092" spans="1:31" ht="15.75" x14ac:dyDescent="0.25">
      <c r="A1092" t="str">
        <f t="shared" ref="A1092:A1155" si="212">C1092&amp;" "&amp;D1092&amp;" - "&amp;F1092&amp;" - "&amp;H1092</f>
        <v>Tristan Jarry - PIT - G</v>
      </c>
      <c r="B1092" t="str">
        <f t="shared" ref="B1092:B1155" si="213">A1092</f>
        <v>Tristan Jarry - PIT - G</v>
      </c>
      <c r="C1092" t="str">
        <f t="shared" si="207"/>
        <v>Tristan</v>
      </c>
      <c r="D1092" t="str">
        <f t="shared" si="208"/>
        <v>Jarry</v>
      </c>
      <c r="E1092" s="39" t="s">
        <v>1845</v>
      </c>
      <c r="F1092" s="30" t="s">
        <v>29</v>
      </c>
      <c r="G1092" s="35">
        <v>0</v>
      </c>
      <c r="H1092" s="35" t="s">
        <v>127</v>
      </c>
      <c r="I1092" s="35" t="s">
        <v>2690</v>
      </c>
      <c r="J1092" s="35">
        <v>24</v>
      </c>
      <c r="K1092" s="35">
        <f>VALUE(COUNTIF(Validation!$A$2:$H$47,E1092))</f>
        <v>0</v>
      </c>
      <c r="L1092" s="361">
        <f t="shared" si="209"/>
        <v>675000</v>
      </c>
      <c r="M1092" s="361">
        <f t="shared" si="210"/>
        <v>0</v>
      </c>
      <c r="N1092" s="358">
        <v>675000</v>
      </c>
      <c r="O1092" s="358" t="s">
        <v>8</v>
      </c>
      <c r="P1092" s="358">
        <v>0</v>
      </c>
      <c r="Q1092" s="358">
        <v>0</v>
      </c>
      <c r="R1092" s="358">
        <v>0</v>
      </c>
      <c r="S1092" s="358">
        <v>0</v>
      </c>
      <c r="T1092" s="358">
        <v>0</v>
      </c>
      <c r="U1092" s="35">
        <f t="shared" si="204"/>
        <v>1</v>
      </c>
      <c r="W1092">
        <f t="shared" si="211"/>
        <v>1</v>
      </c>
      <c r="X1092" s="35">
        <f t="shared" si="205"/>
        <v>0</v>
      </c>
      <c r="Y1092">
        <f t="shared" si="206"/>
        <v>0</v>
      </c>
      <c r="AB1092">
        <f t="shared" ref="AB1092:AB1155" si="214">SEARCH(AA1092,A1092)</f>
        <v>1</v>
      </c>
      <c r="AC1092">
        <f t="shared" ca="1" si="203"/>
        <v>0</v>
      </c>
      <c r="AD1092" t="str">
        <f ca="1">IF(AC1092=1,COUNTIF($AC$3:AC1092,1),"")</f>
        <v/>
      </c>
      <c r="AE1092" s="155" t="str">
        <f ca="1">IFERROR(INDEX(Données!$B$3:$B$1479,MATCH(ROWS($AD$3:AD1092),$AD$3:$AD$1479,0)),"")</f>
        <v/>
      </c>
    </row>
    <row r="1093" spans="1:31" ht="15.75" x14ac:dyDescent="0.25">
      <c r="A1093" t="str">
        <f t="shared" si="212"/>
        <v>Marcus Pettersson - PIT - LD</v>
      </c>
      <c r="B1093" t="str">
        <f t="shared" si="213"/>
        <v>Marcus Pettersson - PIT - LD</v>
      </c>
      <c r="C1093" t="str">
        <f t="shared" si="207"/>
        <v>Marcus</v>
      </c>
      <c r="D1093" t="str">
        <f t="shared" si="208"/>
        <v>Pettersson</v>
      </c>
      <c r="E1093" s="39" t="s">
        <v>2137</v>
      </c>
      <c r="F1093" s="30" t="s">
        <v>29</v>
      </c>
      <c r="G1093" s="35">
        <v>0</v>
      </c>
      <c r="H1093" s="35" t="s">
        <v>380</v>
      </c>
      <c r="I1093" s="35" t="s">
        <v>2677</v>
      </c>
      <c r="J1093" s="35">
        <v>23</v>
      </c>
      <c r="K1093" s="35">
        <f>VALUE(COUNTIF(Validation!$A$2:$H$47,E1093))</f>
        <v>0</v>
      </c>
      <c r="L1093" s="361">
        <f t="shared" si="209"/>
        <v>0</v>
      </c>
      <c r="M1093" s="361">
        <f t="shared" si="210"/>
        <v>0</v>
      </c>
      <c r="N1093" s="358" t="s">
        <v>8</v>
      </c>
      <c r="O1093" s="358">
        <v>0</v>
      </c>
      <c r="P1093" s="358">
        <v>0</v>
      </c>
      <c r="Q1093" s="358">
        <v>0</v>
      </c>
      <c r="R1093" s="358">
        <v>0</v>
      </c>
      <c r="S1093" s="358">
        <v>0</v>
      </c>
      <c r="T1093" s="358">
        <v>0</v>
      </c>
      <c r="U1093" s="35">
        <f t="shared" si="204"/>
        <v>0</v>
      </c>
      <c r="W1093">
        <f t="shared" si="211"/>
        <v>1</v>
      </c>
      <c r="X1093" s="35">
        <f t="shared" si="205"/>
        <v>0</v>
      </c>
      <c r="Y1093">
        <f t="shared" si="206"/>
        <v>1</v>
      </c>
      <c r="AB1093">
        <f t="shared" si="214"/>
        <v>1</v>
      </c>
      <c r="AC1093">
        <f t="shared" ref="AC1093:AC1156" ca="1" si="215">IFERROR(SEARCH(INDIRECT(CELL("adresse")),B1093,1),0)</f>
        <v>0</v>
      </c>
      <c r="AD1093" t="str">
        <f ca="1">IF(AC1093=1,COUNTIF($AC$3:AC1093,1),"")</f>
        <v/>
      </c>
      <c r="AE1093" s="155" t="str">
        <f ca="1">IFERROR(INDEX(Données!$B$3:$B$1479,MATCH(ROWS($AD$3:AD1093),$AD$3:$AD$1479,0)),"")</f>
        <v/>
      </c>
    </row>
    <row r="1094" spans="1:31" ht="15.75" x14ac:dyDescent="0.25">
      <c r="A1094" t="str">
        <f t="shared" si="212"/>
        <v>Erik Karlsson - SJS - DD</v>
      </c>
      <c r="B1094" t="str">
        <f t="shared" si="213"/>
        <v>Erik Karlsson - SJS - DD</v>
      </c>
      <c r="C1094" t="str">
        <f t="shared" si="207"/>
        <v>Erik</v>
      </c>
      <c r="D1094" t="str">
        <f t="shared" si="208"/>
        <v>Karlsson</v>
      </c>
      <c r="E1094" s="39" t="s">
        <v>2304</v>
      </c>
      <c r="F1094" s="30" t="s">
        <v>30</v>
      </c>
      <c r="G1094" s="35" t="s">
        <v>420</v>
      </c>
      <c r="H1094" s="35" t="s">
        <v>2444</v>
      </c>
      <c r="I1094" s="35" t="s">
        <v>2439</v>
      </c>
      <c r="J1094" s="35">
        <v>29</v>
      </c>
      <c r="K1094" s="35">
        <f>VALUE(COUNTIF(Validation!$A$2:$H$47,E1094))</f>
        <v>0</v>
      </c>
      <c r="L1094" s="361">
        <f t="shared" si="209"/>
        <v>11500000</v>
      </c>
      <c r="M1094" s="361">
        <f t="shared" si="210"/>
        <v>11500000</v>
      </c>
      <c r="N1094" s="358">
        <v>11500000</v>
      </c>
      <c r="O1094" s="358">
        <v>11500000</v>
      </c>
      <c r="P1094" s="358">
        <v>11500000</v>
      </c>
      <c r="Q1094" s="358">
        <v>11500000</v>
      </c>
      <c r="R1094" s="358">
        <v>11500000</v>
      </c>
      <c r="S1094" s="358">
        <v>11500000</v>
      </c>
      <c r="T1094" s="358">
        <v>11500000</v>
      </c>
      <c r="U1094" s="35">
        <f t="shared" si="204"/>
        <v>7</v>
      </c>
      <c r="W1094">
        <f t="shared" si="211"/>
        <v>1</v>
      </c>
      <c r="X1094" s="35">
        <f t="shared" si="205"/>
        <v>0</v>
      </c>
      <c r="Y1094">
        <f t="shared" si="206"/>
        <v>1</v>
      </c>
      <c r="AB1094">
        <f t="shared" si="214"/>
        <v>1</v>
      </c>
      <c r="AC1094">
        <f t="shared" ca="1" si="215"/>
        <v>0</v>
      </c>
      <c r="AD1094" t="str">
        <f ca="1">IF(AC1094=1,COUNTIF($AC$3:AC1094,1),"")</f>
        <v/>
      </c>
      <c r="AE1094" s="155" t="str">
        <f ca="1">IFERROR(INDEX(Données!$B$3:$B$1479,MATCH(ROWS($AD$3:AD1094),$AD$3:$AD$1479,0)),"")</f>
        <v/>
      </c>
    </row>
    <row r="1095" spans="1:31" ht="15.75" x14ac:dyDescent="0.25">
      <c r="A1095" t="str">
        <f t="shared" si="212"/>
        <v>Brent Burns - SJS - DD</v>
      </c>
      <c r="B1095" t="str">
        <f t="shared" si="213"/>
        <v>Brent Burns - SJS - DD</v>
      </c>
      <c r="C1095" t="str">
        <f t="shared" si="207"/>
        <v>Brent</v>
      </c>
      <c r="D1095" t="str">
        <f t="shared" si="208"/>
        <v>Burns</v>
      </c>
      <c r="E1095" s="39" t="s">
        <v>2303</v>
      </c>
      <c r="F1095" s="30" t="s">
        <v>30</v>
      </c>
      <c r="G1095" s="35" t="s">
        <v>381</v>
      </c>
      <c r="H1095" s="35" t="s">
        <v>2444</v>
      </c>
      <c r="I1095" s="35" t="s">
        <v>2439</v>
      </c>
      <c r="J1095" s="35">
        <v>34</v>
      </c>
      <c r="K1095" s="35">
        <f>VALUE(COUNTIF(Validation!$A$2:$H$47,E1095))</f>
        <v>0</v>
      </c>
      <c r="L1095" s="361">
        <f t="shared" si="209"/>
        <v>8000000</v>
      </c>
      <c r="M1095" s="361">
        <f t="shared" si="210"/>
        <v>8000000</v>
      </c>
      <c r="N1095" s="358">
        <v>8000000</v>
      </c>
      <c r="O1095" s="358">
        <v>8000000</v>
      </c>
      <c r="P1095" s="358">
        <v>8000000</v>
      </c>
      <c r="Q1095" s="358">
        <v>8000000</v>
      </c>
      <c r="R1095" s="358">
        <v>8000000</v>
      </c>
      <c r="S1095" s="358">
        <v>8000000</v>
      </c>
      <c r="T1095" s="358" t="s">
        <v>7</v>
      </c>
      <c r="U1095" s="35">
        <f t="shared" si="204"/>
        <v>6</v>
      </c>
      <c r="W1095">
        <f t="shared" si="211"/>
        <v>1</v>
      </c>
      <c r="X1095" s="35">
        <f t="shared" si="205"/>
        <v>0</v>
      </c>
      <c r="Y1095">
        <f t="shared" si="206"/>
        <v>1</v>
      </c>
      <c r="AB1095">
        <f t="shared" si="214"/>
        <v>1</v>
      </c>
      <c r="AC1095">
        <f t="shared" ca="1" si="215"/>
        <v>0</v>
      </c>
      <c r="AD1095" t="str">
        <f ca="1">IF(AC1095=1,COUNTIF($AC$3:AC1095,1),"")</f>
        <v/>
      </c>
      <c r="AE1095" s="155" t="str">
        <f ca="1">IFERROR(INDEX(Données!$B$3:$B$1479,MATCH(ROWS($AD$3:AD1095),$AD$3:$AD$1479,0)),"")</f>
        <v/>
      </c>
    </row>
    <row r="1096" spans="1:31" ht="15.75" x14ac:dyDescent="0.25">
      <c r="A1096" t="str">
        <f t="shared" si="212"/>
        <v>Logan Couture - SJS - C, AG</v>
      </c>
      <c r="B1096" t="str">
        <f t="shared" si="213"/>
        <v>Logan Couture - SJS - C, AG</v>
      </c>
      <c r="C1096" t="str">
        <f t="shared" si="207"/>
        <v>Logan</v>
      </c>
      <c r="D1096" t="str">
        <f t="shared" si="208"/>
        <v>Couture</v>
      </c>
      <c r="E1096" s="39" t="s">
        <v>2951</v>
      </c>
      <c r="F1096" s="30" t="s">
        <v>30</v>
      </c>
      <c r="G1096" s="35" t="s">
        <v>381</v>
      </c>
      <c r="H1096" s="35" t="s">
        <v>2452</v>
      </c>
      <c r="I1096" s="35" t="s">
        <v>2439</v>
      </c>
      <c r="J1096" s="35">
        <v>30</v>
      </c>
      <c r="K1096" s="35">
        <f>VALUE(COUNTIF(Validation!$A$2:$H$47,E1096))</f>
        <v>0</v>
      </c>
      <c r="L1096" s="361">
        <f t="shared" si="209"/>
        <v>8000000</v>
      </c>
      <c r="M1096" s="361">
        <f t="shared" si="210"/>
        <v>8000000</v>
      </c>
      <c r="N1096" s="358">
        <v>8000000</v>
      </c>
      <c r="O1096" s="358">
        <v>8000000</v>
      </c>
      <c r="P1096" s="358">
        <v>8000000</v>
      </c>
      <c r="Q1096" s="358">
        <v>8000000</v>
      </c>
      <c r="R1096" s="358">
        <v>8000000</v>
      </c>
      <c r="S1096" s="358">
        <v>8000000</v>
      </c>
      <c r="T1096" s="358">
        <v>8000000</v>
      </c>
      <c r="U1096" s="35">
        <f t="shared" si="204"/>
        <v>7</v>
      </c>
      <c r="W1096">
        <f t="shared" si="211"/>
        <v>1</v>
      </c>
      <c r="X1096" s="35">
        <f t="shared" si="205"/>
        <v>0</v>
      </c>
      <c r="Y1096">
        <f t="shared" si="206"/>
        <v>1</v>
      </c>
      <c r="AB1096">
        <f t="shared" si="214"/>
        <v>1</v>
      </c>
      <c r="AC1096">
        <f t="shared" ca="1" si="215"/>
        <v>0</v>
      </c>
      <c r="AD1096" t="str">
        <f ca="1">IF(AC1096=1,COUNTIF($AC$3:AC1096,1),"")</f>
        <v/>
      </c>
      <c r="AE1096" s="155" t="str">
        <f ca="1">IFERROR(INDEX(Données!$B$3:$B$1479,MATCH(ROWS($AD$3:AD1096),$AD$3:$AD$1479,0)),"")</f>
        <v/>
      </c>
    </row>
    <row r="1097" spans="1:31" ht="15.75" x14ac:dyDescent="0.25">
      <c r="A1097" t="str">
        <f t="shared" si="212"/>
        <v>Evander Kane - SJS - AG</v>
      </c>
      <c r="B1097" t="str">
        <f t="shared" si="213"/>
        <v>Evander Kane - SJS - AG</v>
      </c>
      <c r="C1097" t="str">
        <f t="shared" si="207"/>
        <v>Evander</v>
      </c>
      <c r="D1097" t="str">
        <f t="shared" si="208"/>
        <v>Kane</v>
      </c>
      <c r="E1097" s="39" t="s">
        <v>2294</v>
      </c>
      <c r="F1097" s="30" t="s">
        <v>30</v>
      </c>
      <c r="G1097" s="35" t="s">
        <v>381</v>
      </c>
      <c r="H1097" s="35" t="s">
        <v>2440</v>
      </c>
      <c r="I1097" s="35" t="s">
        <v>2439</v>
      </c>
      <c r="J1097" s="35">
        <v>28</v>
      </c>
      <c r="K1097" s="35">
        <f>VALUE(COUNTIF(Validation!$A$2:$H$47,E1097))</f>
        <v>0</v>
      </c>
      <c r="L1097" s="361">
        <f t="shared" si="209"/>
        <v>7000000</v>
      </c>
      <c r="M1097" s="361">
        <f t="shared" si="210"/>
        <v>7000000</v>
      </c>
      <c r="N1097" s="358">
        <v>7000000</v>
      </c>
      <c r="O1097" s="358">
        <v>7000000</v>
      </c>
      <c r="P1097" s="358">
        <v>7000000</v>
      </c>
      <c r="Q1097" s="358">
        <v>7000000</v>
      </c>
      <c r="R1097" s="358">
        <v>7000000</v>
      </c>
      <c r="S1097" s="358">
        <v>7000000</v>
      </c>
      <c r="T1097" s="358" t="s">
        <v>7</v>
      </c>
      <c r="U1097" s="35">
        <f t="shared" si="204"/>
        <v>6</v>
      </c>
      <c r="W1097">
        <f t="shared" si="211"/>
        <v>1</v>
      </c>
      <c r="X1097" s="35">
        <f t="shared" si="205"/>
        <v>0</v>
      </c>
      <c r="Y1097">
        <f t="shared" si="206"/>
        <v>1</v>
      </c>
      <c r="AB1097">
        <f t="shared" si="214"/>
        <v>1</v>
      </c>
      <c r="AC1097">
        <f t="shared" ca="1" si="215"/>
        <v>0</v>
      </c>
      <c r="AD1097" t="str">
        <f ca="1">IF(AC1097=1,COUNTIF($AC$3:AC1097,1),"")</f>
        <v/>
      </c>
      <c r="AE1097" s="155" t="str">
        <f ca="1">IFERROR(INDEX(Données!$B$3:$B$1479,MATCH(ROWS($AD$3:AD1097),$AD$3:$AD$1479,0)),"")</f>
        <v/>
      </c>
    </row>
    <row r="1098" spans="1:31" ht="15.75" x14ac:dyDescent="0.25">
      <c r="A1098" t="str">
        <f t="shared" si="212"/>
        <v>Marc-edouard Vlasic - SJS - DG</v>
      </c>
      <c r="B1098" t="str">
        <f t="shared" si="213"/>
        <v>Marc-edouard Vlasic - SJS - DG</v>
      </c>
      <c r="C1098" t="str">
        <f t="shared" si="207"/>
        <v>Marc-edouard</v>
      </c>
      <c r="D1098" t="str">
        <f t="shared" si="208"/>
        <v>Vlasic</v>
      </c>
      <c r="E1098" s="39" t="s">
        <v>2908</v>
      </c>
      <c r="F1098" s="30" t="s">
        <v>30</v>
      </c>
      <c r="G1098" s="35" t="s">
        <v>420</v>
      </c>
      <c r="H1098" s="9" t="s">
        <v>2445</v>
      </c>
      <c r="I1098" s="9" t="s">
        <v>2439</v>
      </c>
      <c r="J1098" s="9">
        <v>32</v>
      </c>
      <c r="K1098" s="35">
        <f>VALUE(COUNTIF(Validation!$A$2:$H$47,E1098))</f>
        <v>0</v>
      </c>
      <c r="L1098" s="361">
        <f t="shared" si="209"/>
        <v>7000000</v>
      </c>
      <c r="M1098" s="361">
        <f t="shared" si="210"/>
        <v>7000000</v>
      </c>
      <c r="N1098" s="358">
        <v>7000000</v>
      </c>
      <c r="O1098" s="358">
        <v>7000000</v>
      </c>
      <c r="P1098" s="358">
        <v>7000000</v>
      </c>
      <c r="Q1098" s="358">
        <v>7000000</v>
      </c>
      <c r="R1098" s="358">
        <v>7000000</v>
      </c>
      <c r="S1098" s="358">
        <v>7000000</v>
      </c>
      <c r="T1098" s="358">
        <v>7000000</v>
      </c>
      <c r="U1098" s="35">
        <f t="shared" si="204"/>
        <v>7</v>
      </c>
      <c r="W1098">
        <f t="shared" si="211"/>
        <v>1</v>
      </c>
      <c r="X1098" s="35">
        <f t="shared" si="205"/>
        <v>0</v>
      </c>
      <c r="Y1098">
        <f t="shared" si="206"/>
        <v>1</v>
      </c>
      <c r="AB1098">
        <f t="shared" si="214"/>
        <v>1</v>
      </c>
      <c r="AC1098">
        <f t="shared" ca="1" si="215"/>
        <v>0</v>
      </c>
      <c r="AD1098" t="str">
        <f ca="1">IF(AC1098=1,COUNTIF($AC$3:AC1098,1),"")</f>
        <v/>
      </c>
      <c r="AE1098" s="155" t="str">
        <f ca="1">IFERROR(INDEX(Données!$B$3:$B$1479,MATCH(ROWS($AD$3:AD1098),$AD$3:$AD$1479,0)),"")</f>
        <v/>
      </c>
    </row>
    <row r="1099" spans="1:31" ht="15.75" x14ac:dyDescent="0.25">
      <c r="A1099" t="str">
        <f t="shared" si="212"/>
        <v>Timo Meier - SJS - AG, AD</v>
      </c>
      <c r="B1099" t="str">
        <f t="shared" si="213"/>
        <v>Timo Meier - SJS - AG, AD</v>
      </c>
      <c r="C1099" t="str">
        <f t="shared" si="207"/>
        <v>Timo</v>
      </c>
      <c r="D1099" t="str">
        <f t="shared" si="208"/>
        <v>Meier</v>
      </c>
      <c r="E1099" s="39" t="s">
        <v>2299</v>
      </c>
      <c r="F1099" s="31" t="s">
        <v>30</v>
      </c>
      <c r="G1099" s="35">
        <v>0</v>
      </c>
      <c r="H1099" s="35" t="s">
        <v>2442</v>
      </c>
      <c r="I1099" s="35" t="s">
        <v>2439</v>
      </c>
      <c r="J1099" s="35">
        <v>22</v>
      </c>
      <c r="K1099" s="35">
        <f>VALUE(COUNTIF(Validation!$A$2:$H$47,E1099))</f>
        <v>0</v>
      </c>
      <c r="L1099" s="361">
        <f t="shared" si="209"/>
        <v>6000000</v>
      </c>
      <c r="M1099" s="361">
        <f t="shared" si="210"/>
        <v>6000000</v>
      </c>
      <c r="N1099" s="358">
        <v>6000000</v>
      </c>
      <c r="O1099" s="358">
        <v>6000000</v>
      </c>
      <c r="P1099" s="358">
        <v>6000000</v>
      </c>
      <c r="Q1099" s="358">
        <v>6000000</v>
      </c>
      <c r="R1099" s="358" t="s">
        <v>8</v>
      </c>
      <c r="S1099" s="358">
        <v>0</v>
      </c>
      <c r="T1099" s="358">
        <v>0</v>
      </c>
      <c r="U1099" s="35">
        <f t="shared" si="204"/>
        <v>4</v>
      </c>
      <c r="W1099">
        <f t="shared" si="211"/>
        <v>1</v>
      </c>
      <c r="X1099" s="35">
        <f t="shared" si="205"/>
        <v>0</v>
      </c>
      <c r="Y1099">
        <f t="shared" si="206"/>
        <v>1</v>
      </c>
      <c r="AB1099">
        <f t="shared" si="214"/>
        <v>1</v>
      </c>
      <c r="AC1099">
        <f t="shared" ca="1" si="215"/>
        <v>0</v>
      </c>
      <c r="AD1099" t="str">
        <f ca="1">IF(AC1099=1,COUNTIF($AC$3:AC1099,1),"")</f>
        <v/>
      </c>
      <c r="AE1099" s="155" t="str">
        <f ca="1">IFERROR(INDEX(Données!$B$3:$B$1479,MATCH(ROWS($AD$3:AD1099),$AD$3:$AD$1479,0)),"")</f>
        <v/>
      </c>
    </row>
    <row r="1100" spans="1:31" ht="15.75" x14ac:dyDescent="0.25">
      <c r="A1100" t="str">
        <f t="shared" si="212"/>
        <v>Martin Jones - SJS - G</v>
      </c>
      <c r="B1100" t="str">
        <f t="shared" si="213"/>
        <v>Martin Jones - SJS - G</v>
      </c>
      <c r="C1100" t="str">
        <f t="shared" si="207"/>
        <v>Martin</v>
      </c>
      <c r="D1100" t="str">
        <f t="shared" si="208"/>
        <v>Jones</v>
      </c>
      <c r="E1100" s="39" t="s">
        <v>2309</v>
      </c>
      <c r="F1100" s="30" t="s">
        <v>30</v>
      </c>
      <c r="G1100" s="35" t="s">
        <v>381</v>
      </c>
      <c r="H1100" s="35" t="s">
        <v>127</v>
      </c>
      <c r="I1100" s="35" t="s">
        <v>2439</v>
      </c>
      <c r="J1100" s="35">
        <v>29</v>
      </c>
      <c r="K1100" s="35">
        <f>VALUE(COUNTIF(Validation!$A$2:$H$47,E1100))</f>
        <v>0</v>
      </c>
      <c r="L1100" s="361">
        <f t="shared" si="209"/>
        <v>5750000</v>
      </c>
      <c r="M1100" s="361">
        <f t="shared" si="210"/>
        <v>5750000</v>
      </c>
      <c r="N1100" s="358">
        <v>5750000</v>
      </c>
      <c r="O1100" s="358">
        <v>5750000</v>
      </c>
      <c r="P1100" s="358">
        <v>5750000</v>
      </c>
      <c r="Q1100" s="358">
        <v>5750000</v>
      </c>
      <c r="R1100" s="358">
        <v>5750000</v>
      </c>
      <c r="S1100" s="358" t="s">
        <v>7</v>
      </c>
      <c r="T1100" s="358">
        <v>0</v>
      </c>
      <c r="U1100" s="35">
        <f t="shared" si="204"/>
        <v>5</v>
      </c>
      <c r="W1100">
        <f t="shared" si="211"/>
        <v>1</v>
      </c>
      <c r="X1100" s="35">
        <f t="shared" si="205"/>
        <v>0</v>
      </c>
      <c r="Y1100">
        <f t="shared" si="206"/>
        <v>1</v>
      </c>
      <c r="AB1100">
        <f t="shared" si="214"/>
        <v>1</v>
      </c>
      <c r="AC1100">
        <f t="shared" ca="1" si="215"/>
        <v>0</v>
      </c>
      <c r="AD1100" t="str">
        <f ca="1">IF(AC1100=1,COUNTIF($AC$3:AC1100,1),"")</f>
        <v/>
      </c>
      <c r="AE1100" s="155" t="str">
        <f ca="1">IFERROR(INDEX(Données!$B$3:$B$1479,MATCH(ROWS($AD$3:AD1100),$AD$3:$AD$1479,0)),"")</f>
        <v/>
      </c>
    </row>
    <row r="1101" spans="1:31" ht="15.75" x14ac:dyDescent="0.25">
      <c r="A1101" t="str">
        <f t="shared" si="212"/>
        <v>Tomas Hertl - SJS - C, AD</v>
      </c>
      <c r="B1101" t="str">
        <f t="shared" si="213"/>
        <v>Tomas Hertl - SJS - C, AD</v>
      </c>
      <c r="C1101" t="str">
        <f t="shared" si="207"/>
        <v>Tomas</v>
      </c>
      <c r="D1101" t="str">
        <f t="shared" si="208"/>
        <v>Hertl</v>
      </c>
      <c r="E1101" s="39" t="s">
        <v>2295</v>
      </c>
      <c r="F1101" s="30" t="s">
        <v>30</v>
      </c>
      <c r="G1101" s="35">
        <v>0</v>
      </c>
      <c r="H1101" s="35" t="s">
        <v>2448</v>
      </c>
      <c r="I1101" s="35" t="s">
        <v>2439</v>
      </c>
      <c r="J1101" s="35">
        <v>25</v>
      </c>
      <c r="K1101" s="35">
        <f>VALUE(COUNTIF(Validation!$A$2:$H$47,E1101))</f>
        <v>0</v>
      </c>
      <c r="L1101" s="361">
        <f t="shared" si="209"/>
        <v>5625000</v>
      </c>
      <c r="M1101" s="361">
        <f t="shared" si="210"/>
        <v>5625000</v>
      </c>
      <c r="N1101" s="358">
        <v>5625000</v>
      </c>
      <c r="O1101" s="358">
        <v>5625000</v>
      </c>
      <c r="P1101" s="358">
        <v>5625000</v>
      </c>
      <c r="Q1101" s="358" t="s">
        <v>7</v>
      </c>
      <c r="R1101" s="358">
        <v>0</v>
      </c>
      <c r="S1101" s="358">
        <v>0</v>
      </c>
      <c r="T1101" s="358">
        <v>0</v>
      </c>
      <c r="U1101" s="35">
        <f t="shared" si="204"/>
        <v>3</v>
      </c>
      <c r="W1101">
        <f t="shared" si="211"/>
        <v>1</v>
      </c>
      <c r="X1101" s="35">
        <f t="shared" si="205"/>
        <v>0</v>
      </c>
      <c r="Y1101">
        <f t="shared" si="206"/>
        <v>1</v>
      </c>
      <c r="AB1101">
        <f t="shared" si="214"/>
        <v>1</v>
      </c>
      <c r="AC1101">
        <f t="shared" ca="1" si="215"/>
        <v>0</v>
      </c>
      <c r="AD1101" t="str">
        <f ca="1">IF(AC1101=1,COUNTIF($AC$3:AC1101,1),"")</f>
        <v/>
      </c>
      <c r="AE1101" s="155" t="str">
        <f ca="1">IFERROR(INDEX(Données!$B$3:$B$1479,MATCH(ROWS($AD$3:AD1101),$AD$3:$AD$1479,0)),"")</f>
        <v/>
      </c>
    </row>
    <row r="1102" spans="1:31" ht="15.75" x14ac:dyDescent="0.25">
      <c r="A1102" t="str">
        <f t="shared" si="212"/>
        <v>Brenden Dillon - SJS - DG</v>
      </c>
      <c r="B1102" t="str">
        <f t="shared" si="213"/>
        <v>Brenden Dillon - SJS - DG</v>
      </c>
      <c r="C1102" t="str">
        <f t="shared" si="207"/>
        <v>Brenden</v>
      </c>
      <c r="D1102" t="str">
        <f t="shared" si="208"/>
        <v>Dillon</v>
      </c>
      <c r="E1102" s="39" t="s">
        <v>2306</v>
      </c>
      <c r="F1102" s="30" t="s">
        <v>30</v>
      </c>
      <c r="G1102" s="35">
        <v>0</v>
      </c>
      <c r="H1102" s="35" t="s">
        <v>2445</v>
      </c>
      <c r="I1102" s="35" t="s">
        <v>2439</v>
      </c>
      <c r="J1102" s="35">
        <v>28</v>
      </c>
      <c r="K1102" s="35">
        <f>VALUE(COUNTIF(Validation!$A$2:$H$47,E1102))</f>
        <v>0</v>
      </c>
      <c r="L1102" s="361">
        <f t="shared" si="209"/>
        <v>3270000</v>
      </c>
      <c r="M1102" s="361">
        <f t="shared" si="210"/>
        <v>0</v>
      </c>
      <c r="N1102" s="358">
        <v>3270000</v>
      </c>
      <c r="O1102" s="358" t="s">
        <v>7</v>
      </c>
      <c r="P1102" s="358">
        <v>0</v>
      </c>
      <c r="Q1102" s="358">
        <v>0</v>
      </c>
      <c r="R1102" s="358">
        <v>0</v>
      </c>
      <c r="S1102" s="358">
        <v>0</v>
      </c>
      <c r="T1102" s="358">
        <v>0</v>
      </c>
      <c r="U1102" s="35">
        <f t="shared" si="204"/>
        <v>1</v>
      </c>
      <c r="W1102">
        <f t="shared" si="211"/>
        <v>1</v>
      </c>
      <c r="X1102" s="35">
        <f t="shared" si="205"/>
        <v>0</v>
      </c>
      <c r="Y1102">
        <f t="shared" si="206"/>
        <v>0</v>
      </c>
      <c r="AB1102">
        <f t="shared" si="214"/>
        <v>1</v>
      </c>
      <c r="AC1102">
        <f t="shared" ca="1" si="215"/>
        <v>0</v>
      </c>
      <c r="AD1102" t="str">
        <f ca="1">IF(AC1102=1,COUNTIF($AC$3:AC1102,1),"")</f>
        <v/>
      </c>
      <c r="AE1102" s="155" t="str">
        <f ca="1">IFERROR(INDEX(Données!$B$3:$B$1479,MATCH(ROWS($AD$3:AD1102),$AD$3:$AD$1479,0)),"")</f>
        <v/>
      </c>
    </row>
    <row r="1103" spans="1:31" ht="15.75" x14ac:dyDescent="0.25">
      <c r="A1103" t="str">
        <f t="shared" si="212"/>
        <v>Melker Karlsson - SJS - AD, C</v>
      </c>
      <c r="B1103" t="str">
        <f t="shared" si="213"/>
        <v>Melker Karlsson - SJS - AD, C</v>
      </c>
      <c r="C1103" t="str">
        <f t="shared" si="207"/>
        <v>Melker</v>
      </c>
      <c r="D1103" t="str">
        <f t="shared" si="208"/>
        <v>Karlsson</v>
      </c>
      <c r="E1103" s="39" t="s">
        <v>2296</v>
      </c>
      <c r="F1103" s="30" t="s">
        <v>30</v>
      </c>
      <c r="G1103" s="35">
        <v>0</v>
      </c>
      <c r="H1103" s="35" t="s">
        <v>2453</v>
      </c>
      <c r="I1103" s="35" t="s">
        <v>2439</v>
      </c>
      <c r="J1103" s="35">
        <v>29</v>
      </c>
      <c r="K1103" s="35">
        <f>VALUE(COUNTIF(Validation!$A$2:$H$47,E1103))</f>
        <v>0</v>
      </c>
      <c r="L1103" s="361">
        <f t="shared" si="209"/>
        <v>2000000</v>
      </c>
      <c r="M1103" s="361">
        <f t="shared" si="210"/>
        <v>0</v>
      </c>
      <c r="N1103" s="358">
        <v>2000000</v>
      </c>
      <c r="O1103" s="358" t="s">
        <v>7</v>
      </c>
      <c r="P1103" s="358">
        <v>0</v>
      </c>
      <c r="Q1103" s="358">
        <v>0</v>
      </c>
      <c r="R1103" s="358">
        <v>0</v>
      </c>
      <c r="S1103" s="358">
        <v>0</v>
      </c>
      <c r="T1103" s="358">
        <v>0</v>
      </c>
      <c r="U1103" s="35">
        <f t="shared" si="204"/>
        <v>1</v>
      </c>
      <c r="W1103">
        <f t="shared" si="211"/>
        <v>1</v>
      </c>
      <c r="X1103" s="35">
        <f t="shared" si="205"/>
        <v>0</v>
      </c>
      <c r="Y1103">
        <f t="shared" si="206"/>
        <v>0</v>
      </c>
      <c r="AB1103">
        <f t="shared" si="214"/>
        <v>1</v>
      </c>
      <c r="AC1103">
        <f t="shared" ca="1" si="215"/>
        <v>0</v>
      </c>
      <c r="AD1103" t="str">
        <f ca="1">IF(AC1103=1,COUNTIF($AC$3:AC1103,1),"")</f>
        <v/>
      </c>
      <c r="AE1103" s="155" t="str">
        <f ca="1">IFERROR(INDEX(Données!$B$3:$B$1479,MATCH(ROWS($AD$3:AD1103),$AD$3:$AD$1479,0)),"")</f>
        <v/>
      </c>
    </row>
    <row r="1104" spans="1:31" ht="15.75" x14ac:dyDescent="0.25">
      <c r="A1104" t="str">
        <f t="shared" si="212"/>
        <v>Aaron Dell - SJS - G</v>
      </c>
      <c r="B1104" t="str">
        <f t="shared" si="213"/>
        <v>Aaron Dell - SJS - G</v>
      </c>
      <c r="C1104" t="str">
        <f t="shared" si="207"/>
        <v>Aaron</v>
      </c>
      <c r="D1104" t="str">
        <f t="shared" si="208"/>
        <v>Dell</v>
      </c>
      <c r="E1104" s="39" t="s">
        <v>2310</v>
      </c>
      <c r="F1104" s="30" t="s">
        <v>30</v>
      </c>
      <c r="G1104" s="35">
        <v>0</v>
      </c>
      <c r="H1104" s="35" t="s">
        <v>127</v>
      </c>
      <c r="I1104" s="35" t="s">
        <v>2439</v>
      </c>
      <c r="J1104" s="35">
        <v>30</v>
      </c>
      <c r="K1104" s="35">
        <f>VALUE(COUNTIF(Validation!$A$2:$H$47,E1104))</f>
        <v>0</v>
      </c>
      <c r="L1104" s="361">
        <f t="shared" si="209"/>
        <v>1900000</v>
      </c>
      <c r="M1104" s="361">
        <f t="shared" si="210"/>
        <v>0</v>
      </c>
      <c r="N1104" s="358">
        <v>1900000</v>
      </c>
      <c r="O1104" s="358" t="s">
        <v>7</v>
      </c>
      <c r="P1104" s="358">
        <v>0</v>
      </c>
      <c r="Q1104" s="358">
        <v>0</v>
      </c>
      <c r="R1104" s="358">
        <v>0</v>
      </c>
      <c r="S1104" s="358">
        <v>0</v>
      </c>
      <c r="T1104" s="358">
        <v>0</v>
      </c>
      <c r="U1104" s="35">
        <f t="shared" si="204"/>
        <v>1</v>
      </c>
      <c r="W1104">
        <f t="shared" si="211"/>
        <v>1</v>
      </c>
      <c r="X1104" s="35">
        <f t="shared" si="205"/>
        <v>0</v>
      </c>
      <c r="Y1104">
        <f t="shared" si="206"/>
        <v>0</v>
      </c>
      <c r="AB1104">
        <f t="shared" si="214"/>
        <v>1</v>
      </c>
      <c r="AC1104">
        <f t="shared" ca="1" si="215"/>
        <v>0</v>
      </c>
      <c r="AD1104" t="str">
        <f ca="1">IF(AC1104=1,COUNTIF($AC$3:AC1104,1),"")</f>
        <v/>
      </c>
      <c r="AE1104" s="155" t="str">
        <f ca="1">IFERROR(INDEX(Données!$B$3:$B$1479,MATCH(ROWS($AD$3:AD1104),$AD$3:$AD$1479,0)),"")</f>
        <v/>
      </c>
    </row>
    <row r="1105" spans="1:31" ht="15.75" x14ac:dyDescent="0.25">
      <c r="A1105" t="str">
        <f t="shared" si="212"/>
        <v>Marcus Sorensen - SJS - AG</v>
      </c>
      <c r="B1105" t="str">
        <f t="shared" si="213"/>
        <v>Marcus Sorensen - SJS - AG</v>
      </c>
      <c r="C1105" t="str">
        <f t="shared" si="207"/>
        <v>Marcus</v>
      </c>
      <c r="D1105" t="str">
        <f t="shared" si="208"/>
        <v>Sorensen</v>
      </c>
      <c r="E1105" s="39" t="s">
        <v>2867</v>
      </c>
      <c r="F1105" s="30" t="s">
        <v>30</v>
      </c>
      <c r="G1105" s="35">
        <v>0</v>
      </c>
      <c r="H1105" s="35" t="s">
        <v>2440</v>
      </c>
      <c r="I1105" s="35" t="s">
        <v>2439</v>
      </c>
      <c r="J1105" s="35">
        <v>27</v>
      </c>
      <c r="K1105" s="35">
        <f>VALUE(COUNTIF(Validation!$A$2:$H$47,E1105))</f>
        <v>0</v>
      </c>
      <c r="L1105" s="361">
        <f t="shared" si="209"/>
        <v>1500000</v>
      </c>
      <c r="M1105" s="361">
        <f t="shared" si="210"/>
        <v>1500000</v>
      </c>
      <c r="N1105" s="358">
        <v>1500000</v>
      </c>
      <c r="O1105" s="358">
        <v>1500000</v>
      </c>
      <c r="P1105" s="358" t="s">
        <v>7</v>
      </c>
      <c r="Q1105" s="358">
        <v>0</v>
      </c>
      <c r="R1105" s="358">
        <v>0</v>
      </c>
      <c r="S1105" s="358">
        <v>0</v>
      </c>
      <c r="T1105" s="358">
        <v>0</v>
      </c>
      <c r="U1105" s="35">
        <f t="shared" si="204"/>
        <v>2</v>
      </c>
      <c r="W1105">
        <f t="shared" si="211"/>
        <v>1</v>
      </c>
      <c r="X1105" s="35">
        <f t="shared" si="205"/>
        <v>0</v>
      </c>
      <c r="Y1105">
        <f t="shared" si="206"/>
        <v>1</v>
      </c>
      <c r="AB1105">
        <f t="shared" si="214"/>
        <v>1</v>
      </c>
      <c r="AC1105">
        <f t="shared" ca="1" si="215"/>
        <v>0</v>
      </c>
      <c r="AD1105" t="str">
        <f ca="1">IF(AC1105=1,COUNTIF($AC$3:AC1105,1),"")</f>
        <v/>
      </c>
      <c r="AE1105" s="155" t="str">
        <f ca="1">IFERROR(INDEX(Données!$B$3:$B$1479,MATCH(ROWS($AD$3:AD1105),$AD$3:$AD$1479,0)),"")</f>
        <v/>
      </c>
    </row>
    <row r="1106" spans="1:31" ht="15.75" x14ac:dyDescent="0.25">
      <c r="A1106" t="str">
        <f t="shared" si="212"/>
        <v>Ryan Merkley - SJS - DD</v>
      </c>
      <c r="B1106" t="str">
        <f t="shared" si="213"/>
        <v>Ryan Merkley - SJS - DD</v>
      </c>
      <c r="C1106" t="str">
        <f t="shared" si="207"/>
        <v>Ryan</v>
      </c>
      <c r="D1106" t="str">
        <f t="shared" si="208"/>
        <v>Merkley</v>
      </c>
      <c r="E1106" s="39" t="s">
        <v>2313</v>
      </c>
      <c r="F1106" s="30" t="s">
        <v>30</v>
      </c>
      <c r="G1106" s="35" t="s">
        <v>388</v>
      </c>
      <c r="H1106" s="35" t="s">
        <v>2444</v>
      </c>
      <c r="I1106" s="35" t="s">
        <v>389</v>
      </c>
      <c r="J1106" s="35">
        <v>18</v>
      </c>
      <c r="K1106" s="35">
        <f>VALUE(COUNTIF(Validation!$A$2:$H$47,E1106))</f>
        <v>0</v>
      </c>
      <c r="L1106" s="361">
        <f t="shared" si="209"/>
        <v>1194167</v>
      </c>
      <c r="M1106" s="361">
        <f t="shared" si="210"/>
        <v>1194167</v>
      </c>
      <c r="N1106" s="358">
        <v>1194167</v>
      </c>
      <c r="O1106" s="358">
        <v>1194167</v>
      </c>
      <c r="P1106" s="358">
        <v>1194167</v>
      </c>
      <c r="Q1106" s="358" t="s">
        <v>8</v>
      </c>
      <c r="R1106" s="358">
        <v>0</v>
      </c>
      <c r="S1106" s="358">
        <v>0</v>
      </c>
      <c r="T1106" s="358">
        <v>0</v>
      </c>
      <c r="U1106" s="35">
        <f t="shared" si="204"/>
        <v>3</v>
      </c>
      <c r="W1106">
        <f t="shared" si="211"/>
        <v>1</v>
      </c>
      <c r="X1106" s="35">
        <f t="shared" si="205"/>
        <v>1</v>
      </c>
      <c r="Y1106">
        <f t="shared" si="206"/>
        <v>1</v>
      </c>
      <c r="AB1106">
        <f t="shared" si="214"/>
        <v>1</v>
      </c>
      <c r="AC1106">
        <f t="shared" ca="1" si="215"/>
        <v>0</v>
      </c>
      <c r="AD1106" t="str">
        <f ca="1">IF(AC1106=1,COUNTIF($AC$3:AC1106,1),"")</f>
        <v/>
      </c>
      <c r="AE1106" s="155" t="str">
        <f ca="1">IFERROR(INDEX(Données!$B$3:$B$1479,MATCH(ROWS($AD$3:AD1106),$AD$3:$AD$1479,0)),"")</f>
        <v/>
      </c>
    </row>
    <row r="1107" spans="1:31" ht="15.75" x14ac:dyDescent="0.25">
      <c r="A1107" t="str">
        <f t="shared" si="212"/>
        <v>Mario Ferraro - SJS - DG</v>
      </c>
      <c r="B1107" t="str">
        <f t="shared" si="213"/>
        <v>Mario Ferraro - SJS - DG</v>
      </c>
      <c r="C1107" t="str">
        <f t="shared" si="207"/>
        <v>Mario</v>
      </c>
      <c r="D1107" t="str">
        <f t="shared" si="208"/>
        <v>Ferraro</v>
      </c>
      <c r="E1107" s="39" t="s">
        <v>2545</v>
      </c>
      <c r="F1107" s="30" t="s">
        <v>30</v>
      </c>
      <c r="G1107" s="35" t="s">
        <v>386</v>
      </c>
      <c r="H1107" s="9" t="s">
        <v>2445</v>
      </c>
      <c r="I1107" s="9" t="s">
        <v>2446</v>
      </c>
      <c r="J1107" s="9">
        <v>20</v>
      </c>
      <c r="K1107" s="35">
        <f>VALUE(COUNTIF(Validation!$A$2:$H$47,E1107))</f>
        <v>0</v>
      </c>
      <c r="L1107" s="361">
        <f t="shared" si="209"/>
        <v>1137500</v>
      </c>
      <c r="M1107" s="361">
        <f t="shared" si="210"/>
        <v>1137500</v>
      </c>
      <c r="N1107" s="358">
        <v>1137500</v>
      </c>
      <c r="O1107" s="358">
        <v>1137500</v>
      </c>
      <c r="P1107" s="358">
        <v>1137500</v>
      </c>
      <c r="Q1107" s="358" t="s">
        <v>8</v>
      </c>
      <c r="R1107" s="358">
        <v>0</v>
      </c>
      <c r="S1107" s="358">
        <v>0</v>
      </c>
      <c r="T1107" s="358">
        <v>0</v>
      </c>
      <c r="U1107" s="35">
        <f t="shared" si="204"/>
        <v>3</v>
      </c>
      <c r="W1107">
        <f t="shared" si="211"/>
        <v>1</v>
      </c>
      <c r="X1107" s="35">
        <f t="shared" si="205"/>
        <v>1</v>
      </c>
      <c r="Y1107">
        <f t="shared" si="206"/>
        <v>1</v>
      </c>
      <c r="AB1107">
        <f t="shared" si="214"/>
        <v>1</v>
      </c>
      <c r="AC1107">
        <f t="shared" ca="1" si="215"/>
        <v>0</v>
      </c>
      <c r="AD1107" t="str">
        <f ca="1">IF(AC1107=1,COUNTIF($AC$3:AC1107,1),"")</f>
        <v/>
      </c>
      <c r="AE1107" s="155" t="str">
        <f ca="1">IFERROR(INDEX(Données!$B$3:$B$1479,MATCH(ROWS($AD$3:AD1107),$AD$3:$AD$1479,0)),"")</f>
        <v/>
      </c>
    </row>
    <row r="1108" spans="1:31" ht="15.75" x14ac:dyDescent="0.25">
      <c r="A1108" t="str">
        <f t="shared" si="212"/>
        <v>Kevin Labanc - SJS - AD, AG</v>
      </c>
      <c r="B1108" t="str">
        <f t="shared" si="213"/>
        <v>Kevin Labanc - SJS - AD, AG</v>
      </c>
      <c r="C1108" t="str">
        <f t="shared" si="207"/>
        <v>Kevin</v>
      </c>
      <c r="D1108" t="str">
        <f t="shared" si="208"/>
        <v>Labanc</v>
      </c>
      <c r="E1108" s="39" t="s">
        <v>2301</v>
      </c>
      <c r="F1108" s="30" t="s">
        <v>30</v>
      </c>
      <c r="G1108" s="35">
        <v>0</v>
      </c>
      <c r="H1108" s="35" t="s">
        <v>2441</v>
      </c>
      <c r="I1108" s="35" t="s">
        <v>2439</v>
      </c>
      <c r="J1108" s="35">
        <v>23</v>
      </c>
      <c r="K1108" s="35">
        <f>VALUE(COUNTIF(Validation!$A$2:$H$47,E1108))</f>
        <v>0</v>
      </c>
      <c r="L1108" s="361">
        <f t="shared" si="209"/>
        <v>1000000</v>
      </c>
      <c r="M1108" s="361">
        <f t="shared" si="210"/>
        <v>0</v>
      </c>
      <c r="N1108" s="358">
        <v>1000000</v>
      </c>
      <c r="O1108" s="358" t="s">
        <v>8</v>
      </c>
      <c r="P1108" s="358">
        <v>0</v>
      </c>
      <c r="Q1108" s="358">
        <v>0</v>
      </c>
      <c r="R1108" s="358">
        <v>0</v>
      </c>
      <c r="S1108" s="358">
        <v>0</v>
      </c>
      <c r="T1108" s="358">
        <v>0</v>
      </c>
      <c r="U1108" s="35">
        <f t="shared" si="204"/>
        <v>1</v>
      </c>
      <c r="W1108">
        <f t="shared" si="211"/>
        <v>1</v>
      </c>
      <c r="X1108" s="35">
        <f t="shared" si="205"/>
        <v>0</v>
      </c>
      <c r="Y1108">
        <f t="shared" si="206"/>
        <v>0</v>
      </c>
      <c r="AB1108">
        <f t="shared" si="214"/>
        <v>1</v>
      </c>
      <c r="AC1108">
        <f t="shared" ca="1" si="215"/>
        <v>0</v>
      </c>
      <c r="AD1108" t="str">
        <f ca="1">IF(AC1108=1,COUNTIF($AC$3:AC1108,1),"")</f>
        <v/>
      </c>
      <c r="AE1108" s="155" t="str">
        <f ca="1">IFERROR(INDEX(Données!$B$3:$B$1479,MATCH(ROWS($AD$3:AD1108),$AD$3:$AD$1479,0)),"")</f>
        <v/>
      </c>
    </row>
    <row r="1109" spans="1:31" ht="15.75" x14ac:dyDescent="0.25">
      <c r="A1109" t="str">
        <f t="shared" si="212"/>
        <v>Tim Heed - SJS - DD</v>
      </c>
      <c r="B1109" t="str">
        <f t="shared" si="213"/>
        <v>Tim Heed - SJS - DD</v>
      </c>
      <c r="C1109" t="str">
        <f t="shared" si="207"/>
        <v>Tim</v>
      </c>
      <c r="D1109" t="str">
        <f t="shared" si="208"/>
        <v>Heed</v>
      </c>
      <c r="E1109" s="39" t="s">
        <v>2308</v>
      </c>
      <c r="F1109" s="30" t="s">
        <v>30</v>
      </c>
      <c r="G1109" s="35">
        <v>0</v>
      </c>
      <c r="H1109" s="35" t="s">
        <v>2444</v>
      </c>
      <c r="I1109" s="35" t="s">
        <v>2439</v>
      </c>
      <c r="J1109" s="35">
        <v>28</v>
      </c>
      <c r="K1109" s="35">
        <f>VALUE(COUNTIF(Validation!$A$2:$H$47,E1109))</f>
        <v>0</v>
      </c>
      <c r="L1109" s="361">
        <f t="shared" si="209"/>
        <v>960000</v>
      </c>
      <c r="M1109" s="361">
        <f t="shared" si="210"/>
        <v>0</v>
      </c>
      <c r="N1109" s="358">
        <v>960000</v>
      </c>
      <c r="O1109" s="358" t="s">
        <v>7</v>
      </c>
      <c r="P1109" s="358">
        <v>0</v>
      </c>
      <c r="Q1109" s="358">
        <v>0</v>
      </c>
      <c r="R1109" s="358">
        <v>0</v>
      </c>
      <c r="S1109" s="358">
        <v>0</v>
      </c>
      <c r="T1109" s="358">
        <v>0</v>
      </c>
      <c r="U1109" s="35">
        <f t="shared" si="204"/>
        <v>1</v>
      </c>
      <c r="W1109">
        <f t="shared" si="211"/>
        <v>1</v>
      </c>
      <c r="X1109" s="35">
        <f t="shared" si="205"/>
        <v>0</v>
      </c>
      <c r="Y1109">
        <f t="shared" si="206"/>
        <v>0</v>
      </c>
      <c r="AB1109">
        <f t="shared" si="214"/>
        <v>1</v>
      </c>
      <c r="AC1109">
        <f t="shared" ca="1" si="215"/>
        <v>0</v>
      </c>
      <c r="AD1109" t="str">
        <f ca="1">IF(AC1109=1,COUNTIF($AC$3:AC1109,1),"")</f>
        <v/>
      </c>
      <c r="AE1109" s="155" t="str">
        <f ca="1">IFERROR(INDEX(Données!$B$3:$B$1479,MATCH(ROWS($AD$3:AD1109),$AD$3:$AD$1479,0)),"")</f>
        <v/>
      </c>
    </row>
    <row r="1110" spans="1:31" ht="15.75" x14ac:dyDescent="0.25">
      <c r="A1110" t="str">
        <f t="shared" si="212"/>
        <v>Alexander Chmelevski - SJS - C</v>
      </c>
      <c r="B1110" t="str">
        <f t="shared" si="213"/>
        <v>Alexander Chmelevski - SJS - C</v>
      </c>
      <c r="C1110" t="str">
        <f t="shared" si="207"/>
        <v>Alexander</v>
      </c>
      <c r="D1110" t="str">
        <f t="shared" si="208"/>
        <v>Chmelevski</v>
      </c>
      <c r="E1110" s="39" t="s">
        <v>2314</v>
      </c>
      <c r="F1110" s="30" t="s">
        <v>30</v>
      </c>
      <c r="G1110" s="35" t="s">
        <v>386</v>
      </c>
      <c r="H1110" s="35" t="s">
        <v>73</v>
      </c>
      <c r="I1110" s="35" t="s">
        <v>2446</v>
      </c>
      <c r="J1110" s="35">
        <v>20</v>
      </c>
      <c r="K1110" s="35">
        <f>VALUE(COUNTIF(Validation!$A$2:$H$47,E1110))</f>
        <v>0</v>
      </c>
      <c r="L1110" s="361">
        <f t="shared" si="209"/>
        <v>927500</v>
      </c>
      <c r="M1110" s="361">
        <f t="shared" si="210"/>
        <v>927500</v>
      </c>
      <c r="N1110" s="358">
        <v>927500</v>
      </c>
      <c r="O1110" s="358">
        <v>927500</v>
      </c>
      <c r="P1110" s="358">
        <v>927500</v>
      </c>
      <c r="Q1110" s="358" t="s">
        <v>8</v>
      </c>
      <c r="R1110" s="358">
        <v>0</v>
      </c>
      <c r="S1110" s="358">
        <v>0</v>
      </c>
      <c r="T1110" s="358">
        <v>0</v>
      </c>
      <c r="U1110" s="35">
        <f t="shared" si="204"/>
        <v>3</v>
      </c>
      <c r="W1110">
        <f t="shared" si="211"/>
        <v>1</v>
      </c>
      <c r="X1110" s="35">
        <f t="shared" si="205"/>
        <v>1</v>
      </c>
      <c r="Y1110">
        <f t="shared" si="206"/>
        <v>1</v>
      </c>
      <c r="AB1110">
        <f t="shared" si="214"/>
        <v>1</v>
      </c>
      <c r="AC1110">
        <f t="shared" ca="1" si="215"/>
        <v>0</v>
      </c>
      <c r="AD1110" t="str">
        <f ca="1">IF(AC1110=1,COUNTIF($AC$3:AC1110,1),"")</f>
        <v/>
      </c>
      <c r="AE1110" s="155" t="str">
        <f ca="1">IFERROR(INDEX(Données!$B$3:$B$1479,MATCH(ROWS($AD$3:AD1110),$AD$3:$AD$1479,0)),"")</f>
        <v/>
      </c>
    </row>
    <row r="1111" spans="1:31" ht="15.75" x14ac:dyDescent="0.25">
      <c r="A1111" t="str">
        <f t="shared" si="212"/>
        <v>Lean Bergmann - SJS - AG, AD</v>
      </c>
      <c r="B1111" t="str">
        <f t="shared" si="213"/>
        <v>Lean Bergmann - SJS - AG, AD</v>
      </c>
      <c r="C1111" t="str">
        <f t="shared" si="207"/>
        <v>Lean</v>
      </c>
      <c r="D1111" t="str">
        <f t="shared" si="208"/>
        <v>Bergmann</v>
      </c>
      <c r="E1111" s="39" t="s">
        <v>2541</v>
      </c>
      <c r="F1111" s="30" t="s">
        <v>30</v>
      </c>
      <c r="G1111" s="35" t="s">
        <v>386</v>
      </c>
      <c r="H1111" s="35" t="s">
        <v>2442</v>
      </c>
      <c r="I1111" s="35" t="s">
        <v>2446</v>
      </c>
      <c r="J1111" s="35">
        <v>20</v>
      </c>
      <c r="K1111" s="35">
        <f>VALUE(COUNTIF(Validation!$A$2:$H$47,E1111))</f>
        <v>0</v>
      </c>
      <c r="L1111" s="361">
        <f t="shared" si="209"/>
        <v>925000</v>
      </c>
      <c r="M1111" s="361">
        <f t="shared" si="210"/>
        <v>925000</v>
      </c>
      <c r="N1111" s="358">
        <v>925000</v>
      </c>
      <c r="O1111" s="358">
        <v>925000</v>
      </c>
      <c r="P1111" s="358">
        <v>925000</v>
      </c>
      <c r="Q1111" s="358" t="s">
        <v>8</v>
      </c>
      <c r="R1111" s="358">
        <v>0</v>
      </c>
      <c r="S1111" s="358">
        <v>0</v>
      </c>
      <c r="T1111" s="358">
        <v>0</v>
      </c>
      <c r="U1111" s="35">
        <f t="shared" si="204"/>
        <v>3</v>
      </c>
      <c r="W1111">
        <f t="shared" si="211"/>
        <v>1</v>
      </c>
      <c r="X1111" s="35">
        <f t="shared" si="205"/>
        <v>1</v>
      </c>
      <c r="Y1111">
        <f t="shared" si="206"/>
        <v>1</v>
      </c>
      <c r="AB1111">
        <f t="shared" si="214"/>
        <v>1</v>
      </c>
      <c r="AC1111">
        <f t="shared" ca="1" si="215"/>
        <v>0</v>
      </c>
      <c r="AD1111" t="str">
        <f ca="1">IF(AC1111=1,COUNTIF($AC$3:AC1111,1),"")</f>
        <v/>
      </c>
      <c r="AE1111" s="155" t="str">
        <f ca="1">IFERROR(INDEX(Données!$B$3:$B$1479,MATCH(ROWS($AD$3:AD1111),$AD$3:$AD$1479,0)),"")</f>
        <v/>
      </c>
    </row>
    <row r="1112" spans="1:31" ht="15.75" x14ac:dyDescent="0.25">
      <c r="A1112" t="str">
        <f t="shared" si="212"/>
        <v>Jonathan Dahlen - SJS - AG, C</v>
      </c>
      <c r="B1112" t="str">
        <f t="shared" si="213"/>
        <v>Jonathan Dahlen - SJS - AG, C</v>
      </c>
      <c r="C1112" t="str">
        <f t="shared" si="207"/>
        <v>Jonathan</v>
      </c>
      <c r="D1112" t="str">
        <f t="shared" si="208"/>
        <v>Dahlen</v>
      </c>
      <c r="E1112" s="39" t="s">
        <v>2894</v>
      </c>
      <c r="F1112" s="30" t="s">
        <v>30</v>
      </c>
      <c r="G1112" s="35" t="s">
        <v>386</v>
      </c>
      <c r="H1112" s="35" t="s">
        <v>2450</v>
      </c>
      <c r="I1112" s="35" t="s">
        <v>2446</v>
      </c>
      <c r="J1112" s="35">
        <v>21</v>
      </c>
      <c r="K1112" s="35">
        <f>VALUE(COUNTIF(Validation!$A$2:$H$47,E1112))</f>
        <v>0</v>
      </c>
      <c r="L1112" s="361">
        <f t="shared" si="209"/>
        <v>925000</v>
      </c>
      <c r="M1112" s="361">
        <f t="shared" si="210"/>
        <v>0</v>
      </c>
      <c r="N1112" s="358">
        <v>925000</v>
      </c>
      <c r="O1112" s="358" t="s">
        <v>8</v>
      </c>
      <c r="P1112" s="358">
        <v>0</v>
      </c>
      <c r="Q1112" s="358">
        <v>0</v>
      </c>
      <c r="R1112" s="358">
        <v>0</v>
      </c>
      <c r="S1112" s="358">
        <v>0</v>
      </c>
      <c r="T1112" s="358">
        <v>0</v>
      </c>
      <c r="U1112" s="35">
        <f t="shared" si="204"/>
        <v>1</v>
      </c>
      <c r="W1112">
        <f t="shared" si="211"/>
        <v>1</v>
      </c>
      <c r="X1112" s="35">
        <f t="shared" si="205"/>
        <v>1</v>
      </c>
      <c r="Y1112">
        <f t="shared" si="206"/>
        <v>0</v>
      </c>
      <c r="AB1112">
        <f t="shared" si="214"/>
        <v>1</v>
      </c>
      <c r="AC1112">
        <f t="shared" ca="1" si="215"/>
        <v>0</v>
      </c>
      <c r="AD1112" t="str">
        <f ca="1">IF(AC1112=1,COUNTIF($AC$3:AC1112,1),"")</f>
        <v/>
      </c>
      <c r="AE1112" s="155" t="str">
        <f ca="1">IFERROR(INDEX(Données!$B$3:$B$1479,MATCH(ROWS($AD$3:AD1112),$AD$3:$AD$1479,0)),"")</f>
        <v/>
      </c>
    </row>
    <row r="1113" spans="1:31" ht="15.75" x14ac:dyDescent="0.25">
      <c r="A1113" t="str">
        <f t="shared" si="212"/>
        <v>Barclay Goodrow - SJS - C, AD</v>
      </c>
      <c r="B1113" t="str">
        <f t="shared" si="213"/>
        <v>Barclay Goodrow - SJS - C, AD</v>
      </c>
      <c r="C1113" t="str">
        <f t="shared" si="207"/>
        <v>Barclay</v>
      </c>
      <c r="D1113" t="str">
        <f t="shared" si="208"/>
        <v>Goodrow</v>
      </c>
      <c r="E1113" s="39" t="s">
        <v>2302</v>
      </c>
      <c r="F1113" s="30" t="s">
        <v>30</v>
      </c>
      <c r="G1113" s="35">
        <v>0</v>
      </c>
      <c r="H1113" s="35" t="s">
        <v>2448</v>
      </c>
      <c r="I1113" s="35" t="s">
        <v>2439</v>
      </c>
      <c r="J1113" s="35">
        <v>26</v>
      </c>
      <c r="K1113" s="35">
        <f>VALUE(COUNTIF(Validation!$A$2:$H$47,E1113))</f>
        <v>0</v>
      </c>
      <c r="L1113" s="361">
        <f t="shared" si="209"/>
        <v>925000</v>
      </c>
      <c r="M1113" s="361">
        <f t="shared" si="210"/>
        <v>925000</v>
      </c>
      <c r="N1113" s="358">
        <v>925000</v>
      </c>
      <c r="O1113" s="358">
        <v>925000</v>
      </c>
      <c r="P1113" s="358" t="s">
        <v>7</v>
      </c>
      <c r="Q1113" s="358">
        <v>0</v>
      </c>
      <c r="R1113" s="358">
        <v>0</v>
      </c>
      <c r="S1113" s="358">
        <v>0</v>
      </c>
      <c r="T1113" s="358">
        <v>0</v>
      </c>
      <c r="U1113" s="35">
        <f t="shared" si="204"/>
        <v>2</v>
      </c>
      <c r="W1113">
        <f t="shared" si="211"/>
        <v>1</v>
      </c>
      <c r="X1113" s="35">
        <f t="shared" si="205"/>
        <v>0</v>
      </c>
      <c r="Y1113">
        <f t="shared" si="206"/>
        <v>1</v>
      </c>
      <c r="AB1113">
        <f t="shared" si="214"/>
        <v>1</v>
      </c>
      <c r="AC1113">
        <f t="shared" ca="1" si="215"/>
        <v>0</v>
      </c>
      <c r="AD1113" t="str">
        <f ca="1">IF(AC1113=1,COUNTIF($AC$3:AC1113,1),"")</f>
        <v/>
      </c>
      <c r="AE1113" s="155" t="str">
        <f ca="1">IFERROR(INDEX(Données!$B$3:$B$1479,MATCH(ROWS($AD$3:AD1113),$AD$3:$AD$1479,0)),"")</f>
        <v/>
      </c>
    </row>
    <row r="1114" spans="1:31" ht="15.75" x14ac:dyDescent="0.25">
      <c r="A1114" t="str">
        <f t="shared" si="212"/>
        <v>Jayden Halbgewachs - SJS - AG, C</v>
      </c>
      <c r="B1114" t="str">
        <f t="shared" si="213"/>
        <v>Jayden Halbgewachs - SJS - AG, C</v>
      </c>
      <c r="C1114" t="str">
        <f t="shared" si="207"/>
        <v>Jayden</v>
      </c>
      <c r="D1114" t="str">
        <f t="shared" si="208"/>
        <v>Halbgewachs</v>
      </c>
      <c r="E1114" s="39" t="s">
        <v>2319</v>
      </c>
      <c r="F1114" s="30" t="s">
        <v>30</v>
      </c>
      <c r="G1114" s="35" t="s">
        <v>386</v>
      </c>
      <c r="H1114" s="35" t="s">
        <v>2450</v>
      </c>
      <c r="I1114" s="35" t="s">
        <v>2446</v>
      </c>
      <c r="J1114" s="35">
        <v>22</v>
      </c>
      <c r="K1114" s="35">
        <f>VALUE(COUNTIF(Validation!$A$2:$H$47,E1114))</f>
        <v>0</v>
      </c>
      <c r="L1114" s="361">
        <f t="shared" si="209"/>
        <v>925000</v>
      </c>
      <c r="M1114" s="361">
        <f t="shared" si="210"/>
        <v>0</v>
      </c>
      <c r="N1114" s="358">
        <v>925000</v>
      </c>
      <c r="O1114" s="358" t="s">
        <v>8</v>
      </c>
      <c r="P1114" s="358">
        <v>0</v>
      </c>
      <c r="Q1114" s="358">
        <v>0</v>
      </c>
      <c r="R1114" s="358">
        <v>0</v>
      </c>
      <c r="S1114" s="358">
        <v>0</v>
      </c>
      <c r="T1114" s="358">
        <v>0</v>
      </c>
      <c r="U1114" s="35">
        <f t="shared" si="204"/>
        <v>1</v>
      </c>
      <c r="W1114">
        <f t="shared" si="211"/>
        <v>1</v>
      </c>
      <c r="X1114" s="35">
        <f t="shared" si="205"/>
        <v>1</v>
      </c>
      <c r="Y1114">
        <f t="shared" si="206"/>
        <v>0</v>
      </c>
      <c r="AB1114">
        <f t="shared" si="214"/>
        <v>1</v>
      </c>
      <c r="AC1114">
        <f t="shared" ca="1" si="215"/>
        <v>0</v>
      </c>
      <c r="AD1114" t="str">
        <f ca="1">IF(AC1114=1,COUNTIF($AC$3:AC1114,1),"")</f>
        <v/>
      </c>
      <c r="AE1114" s="155" t="str">
        <f ca="1">IFERROR(INDEX(Données!$B$3:$B$1479,MATCH(ROWS($AD$3:AD1114),$AD$3:$AD$1479,0)),"")</f>
        <v/>
      </c>
    </row>
    <row r="1115" spans="1:31" ht="15.75" x14ac:dyDescent="0.25">
      <c r="A1115" t="str">
        <f t="shared" si="212"/>
        <v>Joel Kellman - SJS - C</v>
      </c>
      <c r="B1115" t="str">
        <f t="shared" si="213"/>
        <v>Joel Kellman - SJS - C</v>
      </c>
      <c r="C1115" t="str">
        <f t="shared" si="207"/>
        <v>Joel</v>
      </c>
      <c r="D1115" t="str">
        <f t="shared" si="208"/>
        <v>Kellman</v>
      </c>
      <c r="E1115" s="39" t="s">
        <v>2540</v>
      </c>
      <c r="F1115" s="30" t="s">
        <v>30</v>
      </c>
      <c r="G1115" s="35" t="s">
        <v>386</v>
      </c>
      <c r="H1115" s="35" t="s">
        <v>73</v>
      </c>
      <c r="I1115" s="35" t="s">
        <v>2446</v>
      </c>
      <c r="J1115" s="35">
        <v>25</v>
      </c>
      <c r="K1115" s="35">
        <f>VALUE(COUNTIF(Validation!$A$2:$H$47,E1115))</f>
        <v>0</v>
      </c>
      <c r="L1115" s="361">
        <f t="shared" si="209"/>
        <v>925000</v>
      </c>
      <c r="M1115" s="361">
        <f t="shared" si="210"/>
        <v>0</v>
      </c>
      <c r="N1115" s="358">
        <v>925000</v>
      </c>
      <c r="O1115" s="358" t="s">
        <v>8</v>
      </c>
      <c r="P1115" s="358">
        <v>0</v>
      </c>
      <c r="Q1115" s="358">
        <v>0</v>
      </c>
      <c r="R1115" s="358">
        <v>0</v>
      </c>
      <c r="S1115" s="358">
        <v>0</v>
      </c>
      <c r="T1115" s="358">
        <v>0</v>
      </c>
      <c r="U1115" s="35">
        <f t="shared" si="204"/>
        <v>1</v>
      </c>
      <c r="W1115">
        <f t="shared" si="211"/>
        <v>1</v>
      </c>
      <c r="X1115" s="35">
        <f t="shared" si="205"/>
        <v>1</v>
      </c>
      <c r="Y1115">
        <f t="shared" si="206"/>
        <v>0</v>
      </c>
      <c r="AB1115">
        <f t="shared" si="214"/>
        <v>1</v>
      </c>
      <c r="AC1115">
        <f t="shared" ca="1" si="215"/>
        <v>0</v>
      </c>
      <c r="AD1115" t="str">
        <f ca="1">IF(AC1115=1,COUNTIF($AC$3:AC1115,1),"")</f>
        <v/>
      </c>
      <c r="AE1115" s="155" t="str">
        <f ca="1">IFERROR(INDEX(Données!$B$3:$B$1479,MATCH(ROWS($AD$3:AD1115),$AD$3:$AD$1479,0)),"")</f>
        <v/>
      </c>
    </row>
    <row r="1116" spans="1:31" ht="15.75" x14ac:dyDescent="0.25">
      <c r="A1116" t="str">
        <f t="shared" si="212"/>
        <v>Artemi Knyazev - SJS - DG</v>
      </c>
      <c r="B1116" t="str">
        <f t="shared" si="213"/>
        <v>Artemi Knyazev - SJS - DG</v>
      </c>
      <c r="C1116" t="str">
        <f t="shared" si="207"/>
        <v>Artemi</v>
      </c>
      <c r="D1116" t="str">
        <f t="shared" si="208"/>
        <v>Knyazev</v>
      </c>
      <c r="E1116" s="39" t="s">
        <v>2547</v>
      </c>
      <c r="F1116" s="30" t="s">
        <v>30</v>
      </c>
      <c r="G1116" s="35" t="s">
        <v>388</v>
      </c>
      <c r="H1116" s="35" t="s">
        <v>2445</v>
      </c>
      <c r="I1116" s="35" t="s">
        <v>389</v>
      </c>
      <c r="J1116" s="35">
        <v>18</v>
      </c>
      <c r="K1116" s="35">
        <f>VALUE(COUNTIF(Validation!$A$2:$H$47,E1116))</f>
        <v>0</v>
      </c>
      <c r="L1116" s="361">
        <f t="shared" si="209"/>
        <v>925000</v>
      </c>
      <c r="M1116" s="361">
        <f t="shared" si="210"/>
        <v>925000</v>
      </c>
      <c r="N1116" s="358">
        <v>925000</v>
      </c>
      <c r="O1116" s="358">
        <v>925000</v>
      </c>
      <c r="P1116" s="358">
        <v>925000</v>
      </c>
      <c r="Q1116" s="358" t="s">
        <v>8</v>
      </c>
      <c r="R1116" s="358">
        <v>0</v>
      </c>
      <c r="S1116" s="358">
        <v>0</v>
      </c>
      <c r="T1116" s="358">
        <v>0</v>
      </c>
      <c r="U1116" s="35">
        <f t="shared" si="204"/>
        <v>3</v>
      </c>
      <c r="W1116">
        <f t="shared" si="211"/>
        <v>1</v>
      </c>
      <c r="X1116" s="35">
        <f t="shared" si="205"/>
        <v>1</v>
      </c>
      <c r="Y1116">
        <f t="shared" si="206"/>
        <v>1</v>
      </c>
      <c r="AB1116">
        <f t="shared" si="214"/>
        <v>1</v>
      </c>
      <c r="AC1116">
        <f t="shared" ca="1" si="215"/>
        <v>0</v>
      </c>
      <c r="AD1116" t="str">
        <f ca="1">IF(AC1116=1,COUNTIF($AC$3:AC1116,1),"")</f>
        <v/>
      </c>
      <c r="AE1116" s="155" t="str">
        <f ca="1">IFERROR(INDEX(Données!$B$3:$B$1479,MATCH(ROWS($AD$3:AD1116),$AD$3:$AD$1479,0)),"")</f>
        <v/>
      </c>
    </row>
    <row r="1117" spans="1:31" ht="15.75" x14ac:dyDescent="0.25">
      <c r="A1117" t="str">
        <f t="shared" si="212"/>
        <v>Andrew Shortridge - SJS - G</v>
      </c>
      <c r="B1117" t="str">
        <f t="shared" si="213"/>
        <v>Andrew Shortridge - SJS - G</v>
      </c>
      <c r="C1117" t="str">
        <f t="shared" si="207"/>
        <v>Andrew</v>
      </c>
      <c r="D1117" t="str">
        <f t="shared" si="208"/>
        <v>Shortridge</v>
      </c>
      <c r="E1117" s="39" t="s">
        <v>2549</v>
      </c>
      <c r="F1117" s="30" t="s">
        <v>30</v>
      </c>
      <c r="G1117" s="35" t="s">
        <v>386</v>
      </c>
      <c r="H1117" s="35" t="s">
        <v>127</v>
      </c>
      <c r="I1117" s="35" t="s">
        <v>2446</v>
      </c>
      <c r="J1117" s="35">
        <v>24</v>
      </c>
      <c r="K1117" s="35">
        <f>VALUE(COUNTIF(Validation!$A$2:$H$47,E1117))</f>
        <v>0</v>
      </c>
      <c r="L1117" s="361">
        <f t="shared" si="209"/>
        <v>925000</v>
      </c>
      <c r="M1117" s="361">
        <f t="shared" si="210"/>
        <v>0</v>
      </c>
      <c r="N1117" s="358">
        <v>925000</v>
      </c>
      <c r="O1117" s="358" t="s">
        <v>8</v>
      </c>
      <c r="P1117" s="358">
        <v>0</v>
      </c>
      <c r="Q1117" s="358">
        <v>0</v>
      </c>
      <c r="R1117" s="358">
        <v>0</v>
      </c>
      <c r="S1117" s="358">
        <v>0</v>
      </c>
      <c r="T1117" s="358">
        <v>0</v>
      </c>
      <c r="U1117" s="35">
        <f t="shared" si="204"/>
        <v>1</v>
      </c>
      <c r="W1117">
        <f t="shared" si="211"/>
        <v>1</v>
      </c>
      <c r="X1117" s="35">
        <f t="shared" si="205"/>
        <v>1</v>
      </c>
      <c r="Y1117">
        <f t="shared" si="206"/>
        <v>0</v>
      </c>
      <c r="AB1117">
        <f t="shared" si="214"/>
        <v>1</v>
      </c>
      <c r="AC1117">
        <f t="shared" ca="1" si="215"/>
        <v>0</v>
      </c>
      <c r="AD1117" t="str">
        <f ca="1">IF(AC1117=1,COUNTIF($AC$3:AC1117,1),"")</f>
        <v/>
      </c>
      <c r="AE1117" s="155" t="str">
        <f ca="1">IFERROR(INDEX(Données!$B$3:$B$1479,MATCH(ROWS($AD$3:AD1117),$AD$3:$AD$1479,0)),"")</f>
        <v/>
      </c>
    </row>
    <row r="1118" spans="1:31" ht="15.75" x14ac:dyDescent="0.25">
      <c r="A1118" t="str">
        <f t="shared" si="212"/>
        <v>Tony Sund - SJS - DG</v>
      </c>
      <c r="B1118" t="str">
        <f t="shared" si="213"/>
        <v>Tony Sund - SJS - DG</v>
      </c>
      <c r="C1118" t="str">
        <f t="shared" si="207"/>
        <v>Tony</v>
      </c>
      <c r="D1118" t="str">
        <f t="shared" si="208"/>
        <v>Sund</v>
      </c>
      <c r="E1118" s="39" t="s">
        <v>2546</v>
      </c>
      <c r="F1118" s="30" t="s">
        <v>30</v>
      </c>
      <c r="G1118" s="35" t="s">
        <v>386</v>
      </c>
      <c r="H1118" s="35" t="s">
        <v>2445</v>
      </c>
      <c r="I1118" s="35" t="s">
        <v>2446</v>
      </c>
      <c r="J1118" s="35">
        <v>24</v>
      </c>
      <c r="K1118" s="35">
        <f>VALUE(COUNTIF(Validation!$A$2:$H$47,E1118))</f>
        <v>0</v>
      </c>
      <c r="L1118" s="361">
        <f t="shared" si="209"/>
        <v>925000</v>
      </c>
      <c r="M1118" s="361">
        <f t="shared" si="210"/>
        <v>0</v>
      </c>
      <c r="N1118" s="358">
        <v>925000</v>
      </c>
      <c r="O1118" s="358" t="s">
        <v>8</v>
      </c>
      <c r="P1118" s="358">
        <v>0</v>
      </c>
      <c r="Q1118" s="358">
        <v>0</v>
      </c>
      <c r="R1118" s="358">
        <v>0</v>
      </c>
      <c r="S1118" s="358">
        <v>0</v>
      </c>
      <c r="T1118" s="358">
        <v>0</v>
      </c>
      <c r="U1118" s="35">
        <f t="shared" si="204"/>
        <v>1</v>
      </c>
      <c r="W1118">
        <f t="shared" si="211"/>
        <v>1</v>
      </c>
      <c r="X1118" s="35">
        <f t="shared" si="205"/>
        <v>1</v>
      </c>
      <c r="Y1118">
        <f t="shared" si="206"/>
        <v>0</v>
      </c>
      <c r="AB1118">
        <f t="shared" si="214"/>
        <v>1</v>
      </c>
      <c r="AC1118">
        <f t="shared" ca="1" si="215"/>
        <v>0</v>
      </c>
      <c r="AD1118" t="str">
        <f ca="1">IF(AC1118=1,COUNTIF($AC$3:AC1118,1),"")</f>
        <v/>
      </c>
      <c r="AE1118" s="155" t="str">
        <f ca="1">IFERROR(INDEX(Données!$B$3:$B$1479,MATCH(ROWS($AD$3:AD1118),$AD$3:$AD$1479,0)),"")</f>
        <v/>
      </c>
    </row>
    <row r="1119" spans="1:31" ht="15.75" x14ac:dyDescent="0.25">
      <c r="A1119" t="str">
        <f t="shared" si="212"/>
        <v>Danil Yurtaykin - SJS - AG</v>
      </c>
      <c r="B1119" t="str">
        <f t="shared" si="213"/>
        <v>Danil Yurtaykin - SJS - AG</v>
      </c>
      <c r="C1119" t="str">
        <f t="shared" si="207"/>
        <v>Danil</v>
      </c>
      <c r="D1119" t="str">
        <f t="shared" si="208"/>
        <v>Yurtaykin</v>
      </c>
      <c r="E1119" s="39" t="s">
        <v>2539</v>
      </c>
      <c r="F1119" s="30" t="s">
        <v>30</v>
      </c>
      <c r="G1119" s="35" t="s">
        <v>386</v>
      </c>
      <c r="H1119" s="35" t="s">
        <v>2440</v>
      </c>
      <c r="I1119" s="35" t="s">
        <v>2446</v>
      </c>
      <c r="J1119" s="35">
        <v>22</v>
      </c>
      <c r="K1119" s="35">
        <f>VALUE(COUNTIF(Validation!$A$2:$H$47,E1119))</f>
        <v>0</v>
      </c>
      <c r="L1119" s="361">
        <f t="shared" si="209"/>
        <v>925000</v>
      </c>
      <c r="M1119" s="361">
        <f t="shared" si="210"/>
        <v>925000</v>
      </c>
      <c r="N1119" s="358">
        <v>925000</v>
      </c>
      <c r="O1119" s="358">
        <v>925000</v>
      </c>
      <c r="P1119" s="358" t="s">
        <v>8</v>
      </c>
      <c r="Q1119" s="358">
        <v>0</v>
      </c>
      <c r="R1119" s="358">
        <v>0</v>
      </c>
      <c r="S1119" s="358">
        <v>0</v>
      </c>
      <c r="T1119" s="358">
        <v>0</v>
      </c>
      <c r="U1119" s="35">
        <f t="shared" si="204"/>
        <v>2</v>
      </c>
      <c r="W1119">
        <f t="shared" si="211"/>
        <v>1</v>
      </c>
      <c r="X1119" s="35">
        <f t="shared" si="205"/>
        <v>1</v>
      </c>
      <c r="Y1119">
        <f t="shared" si="206"/>
        <v>1</v>
      </c>
      <c r="AB1119">
        <f t="shared" si="214"/>
        <v>1</v>
      </c>
      <c r="AC1119">
        <f t="shared" ca="1" si="215"/>
        <v>0</v>
      </c>
      <c r="AD1119" t="str">
        <f ca="1">IF(AC1119=1,COUNTIF($AC$3:AC1119,1),"")</f>
        <v/>
      </c>
      <c r="AE1119" s="155" t="str">
        <f ca="1">IFERROR(INDEX(Données!$B$3:$B$1479,MATCH(ROWS($AD$3:AD1119),$AD$3:$AD$1479,0)),"")</f>
        <v/>
      </c>
    </row>
    <row r="1120" spans="1:31" ht="15.75" x14ac:dyDescent="0.25">
      <c r="A1120" t="str">
        <f t="shared" si="212"/>
        <v>Ivan Chekhovich - SJS - C, AG</v>
      </c>
      <c r="B1120" t="str">
        <f t="shared" si="213"/>
        <v>Ivan Chekhovich - SJS - C, AG</v>
      </c>
      <c r="C1120" t="str">
        <f t="shared" si="207"/>
        <v>Ivan</v>
      </c>
      <c r="D1120" t="str">
        <f t="shared" si="208"/>
        <v>Chekhovich</v>
      </c>
      <c r="E1120" s="39" t="s">
        <v>2315</v>
      </c>
      <c r="F1120" s="30" t="s">
        <v>30</v>
      </c>
      <c r="G1120" s="35" t="s">
        <v>386</v>
      </c>
      <c r="H1120" s="35" t="s">
        <v>2452</v>
      </c>
      <c r="I1120" s="35" t="s">
        <v>2446</v>
      </c>
      <c r="J1120" s="35">
        <v>20</v>
      </c>
      <c r="K1120" s="35">
        <f>VALUE(COUNTIF(Validation!$A$2:$H$47,E1120))</f>
        <v>0</v>
      </c>
      <c r="L1120" s="361">
        <f t="shared" si="209"/>
        <v>903333</v>
      </c>
      <c r="M1120" s="361">
        <f t="shared" si="210"/>
        <v>903333</v>
      </c>
      <c r="N1120" s="358">
        <v>903333</v>
      </c>
      <c r="O1120" s="358">
        <v>903333</v>
      </c>
      <c r="P1120" s="358">
        <v>903333</v>
      </c>
      <c r="Q1120" s="358" t="s">
        <v>8</v>
      </c>
      <c r="R1120" s="358">
        <v>0</v>
      </c>
      <c r="S1120" s="358">
        <v>0</v>
      </c>
      <c r="T1120" s="358">
        <v>0</v>
      </c>
      <c r="U1120" s="35">
        <f t="shared" si="204"/>
        <v>3</v>
      </c>
      <c r="W1120">
        <f t="shared" si="211"/>
        <v>1</v>
      </c>
      <c r="X1120" s="35">
        <f t="shared" si="205"/>
        <v>1</v>
      </c>
      <c r="Y1120">
        <f t="shared" si="206"/>
        <v>1</v>
      </c>
      <c r="AB1120">
        <f t="shared" si="214"/>
        <v>1</v>
      </c>
      <c r="AC1120">
        <f t="shared" ca="1" si="215"/>
        <v>0</v>
      </c>
      <c r="AD1120" t="str">
        <f ca="1">IF(AC1120=1,COUNTIF($AC$3:AC1120,1),"")</f>
        <v/>
      </c>
      <c r="AE1120" s="155" t="str">
        <f ca="1">IFERROR(INDEX(Données!$B$3:$B$1479,MATCH(ROWS($AD$3:AD1120),$AD$3:$AD$1479,0)),"")</f>
        <v/>
      </c>
    </row>
    <row r="1121" spans="1:31" ht="15.75" x14ac:dyDescent="0.25">
      <c r="A1121" t="str">
        <f t="shared" si="212"/>
        <v>Jeremy Roy - SJS - DD</v>
      </c>
      <c r="B1121" t="str">
        <f t="shared" si="213"/>
        <v>Jeremy Roy - SJS - DD</v>
      </c>
      <c r="C1121" t="str">
        <f t="shared" si="207"/>
        <v>Jeremy</v>
      </c>
      <c r="D1121" t="str">
        <f t="shared" si="208"/>
        <v>Roy</v>
      </c>
      <c r="E1121" s="39" t="s">
        <v>2907</v>
      </c>
      <c r="F1121" s="30" t="s">
        <v>30</v>
      </c>
      <c r="G1121" s="35" t="s">
        <v>386</v>
      </c>
      <c r="H1121" s="9" t="s">
        <v>2444</v>
      </c>
      <c r="I1121" s="9" t="s">
        <v>2446</v>
      </c>
      <c r="J1121" s="9">
        <v>22</v>
      </c>
      <c r="K1121" s="35">
        <f>VALUE(COUNTIF(Validation!$A$2:$H$47,E1121))</f>
        <v>0</v>
      </c>
      <c r="L1121" s="361">
        <f t="shared" si="209"/>
        <v>863333</v>
      </c>
      <c r="M1121" s="361">
        <f t="shared" si="210"/>
        <v>0</v>
      </c>
      <c r="N1121" s="358">
        <v>863333</v>
      </c>
      <c r="O1121" s="358" t="s">
        <v>8</v>
      </c>
      <c r="P1121" s="358">
        <v>0</v>
      </c>
      <c r="Q1121" s="358">
        <v>0</v>
      </c>
      <c r="R1121" s="358">
        <v>0</v>
      </c>
      <c r="S1121" s="358">
        <v>0</v>
      </c>
      <c r="T1121" s="358">
        <v>0</v>
      </c>
      <c r="U1121" s="35">
        <f t="shared" si="204"/>
        <v>1</v>
      </c>
      <c r="W1121">
        <f t="shared" si="211"/>
        <v>1</v>
      </c>
      <c r="X1121" s="35">
        <f t="shared" si="205"/>
        <v>1</v>
      </c>
      <c r="Y1121">
        <f t="shared" si="206"/>
        <v>0</v>
      </c>
      <c r="AB1121">
        <f t="shared" si="214"/>
        <v>1</v>
      </c>
      <c r="AC1121">
        <f t="shared" ca="1" si="215"/>
        <v>0</v>
      </c>
      <c r="AD1121" t="str">
        <f ca="1">IF(AC1121=1,COUNTIF($AC$3:AC1121,1),"")</f>
        <v/>
      </c>
      <c r="AE1121" s="155" t="str">
        <f ca="1">IFERROR(INDEX(Données!$B$3:$B$1479,MATCH(ROWS($AD$3:AD1121),$AD$3:$AD$1479,0)),"")</f>
        <v/>
      </c>
    </row>
    <row r="1122" spans="1:31" ht="15.75" x14ac:dyDescent="0.25">
      <c r="A1122" t="str">
        <f t="shared" si="212"/>
        <v>Jacob McGrew - SJS - C</v>
      </c>
      <c r="B1122" t="str">
        <f t="shared" si="213"/>
        <v>Jacob McGrew - SJS - C</v>
      </c>
      <c r="C1122" t="str">
        <f t="shared" si="207"/>
        <v>Jacob</v>
      </c>
      <c r="D1122" t="str">
        <f t="shared" si="208"/>
        <v>McGrew</v>
      </c>
      <c r="E1122" s="39" t="s">
        <v>2544</v>
      </c>
      <c r="F1122" s="30" t="s">
        <v>30</v>
      </c>
      <c r="G1122" s="35" t="s">
        <v>386</v>
      </c>
      <c r="H1122" s="35" t="s">
        <v>73</v>
      </c>
      <c r="I1122" s="35" t="s">
        <v>2446</v>
      </c>
      <c r="J1122" s="35">
        <v>20</v>
      </c>
      <c r="K1122" s="35">
        <f>VALUE(COUNTIF(Validation!$A$2:$H$47,E1122))</f>
        <v>0</v>
      </c>
      <c r="L1122" s="361">
        <f t="shared" si="209"/>
        <v>855000</v>
      </c>
      <c r="M1122" s="361">
        <f t="shared" si="210"/>
        <v>855000</v>
      </c>
      <c r="N1122" s="358">
        <v>855000</v>
      </c>
      <c r="O1122" s="358">
        <v>855000</v>
      </c>
      <c r="P1122" s="358">
        <v>855000</v>
      </c>
      <c r="Q1122" s="358" t="s">
        <v>8</v>
      </c>
      <c r="R1122" s="358">
        <v>0</v>
      </c>
      <c r="S1122" s="358">
        <v>0</v>
      </c>
      <c r="T1122" s="358">
        <v>0</v>
      </c>
      <c r="U1122" s="35">
        <f t="shared" si="204"/>
        <v>3</v>
      </c>
      <c r="W1122">
        <f t="shared" si="211"/>
        <v>1</v>
      </c>
      <c r="X1122" s="35">
        <f t="shared" si="205"/>
        <v>1</v>
      </c>
      <c r="Y1122">
        <f t="shared" si="206"/>
        <v>1</v>
      </c>
      <c r="AB1122">
        <f t="shared" si="214"/>
        <v>1</v>
      </c>
      <c r="AC1122">
        <f t="shared" ca="1" si="215"/>
        <v>0</v>
      </c>
      <c r="AD1122" t="str">
        <f ca="1">IF(AC1122=1,COUNTIF($AC$3:AC1122,1),"")</f>
        <v/>
      </c>
      <c r="AE1122" s="155" t="str">
        <f ca="1">IFERROR(INDEX(Données!$B$3:$B$1479,MATCH(ROWS($AD$3:AD1122),$AD$3:$AD$1479,0)),"")</f>
        <v/>
      </c>
    </row>
    <row r="1123" spans="1:31" ht="15.75" x14ac:dyDescent="0.25">
      <c r="A1123" t="str">
        <f t="shared" si="212"/>
        <v>Noah Gregor - SJS - C</v>
      </c>
      <c r="B1123" t="str">
        <f t="shared" si="213"/>
        <v>Noah Gregor - SJS - C</v>
      </c>
      <c r="C1123" t="str">
        <f t="shared" si="207"/>
        <v>Noah</v>
      </c>
      <c r="D1123" t="str">
        <f t="shared" si="208"/>
        <v>Gregor</v>
      </c>
      <c r="E1123" s="39" t="s">
        <v>2316</v>
      </c>
      <c r="F1123" s="30" t="s">
        <v>30</v>
      </c>
      <c r="G1123" s="35" t="s">
        <v>386</v>
      </c>
      <c r="H1123" s="35" t="s">
        <v>73</v>
      </c>
      <c r="I1123" s="35" t="s">
        <v>2446</v>
      </c>
      <c r="J1123" s="35">
        <v>21</v>
      </c>
      <c r="K1123" s="35">
        <f>VALUE(COUNTIF(Validation!$A$2:$H$47,E1123))</f>
        <v>0</v>
      </c>
      <c r="L1123" s="361">
        <f t="shared" si="209"/>
        <v>850000</v>
      </c>
      <c r="M1123" s="361">
        <f t="shared" si="210"/>
        <v>850000</v>
      </c>
      <c r="N1123" s="358">
        <v>850000</v>
      </c>
      <c r="O1123" s="358">
        <v>850000</v>
      </c>
      <c r="P1123" s="358" t="s">
        <v>8</v>
      </c>
      <c r="Q1123" s="358">
        <v>0</v>
      </c>
      <c r="R1123" s="358">
        <v>0</v>
      </c>
      <c r="S1123" s="358">
        <v>0</v>
      </c>
      <c r="T1123" s="358">
        <v>0</v>
      </c>
      <c r="U1123" s="35">
        <f t="shared" si="204"/>
        <v>2</v>
      </c>
      <c r="W1123">
        <f t="shared" si="211"/>
        <v>1</v>
      </c>
      <c r="X1123" s="35">
        <f t="shared" si="205"/>
        <v>1</v>
      </c>
      <c r="Y1123">
        <f t="shared" si="206"/>
        <v>1</v>
      </c>
      <c r="AB1123">
        <f t="shared" si="214"/>
        <v>1</v>
      </c>
      <c r="AC1123">
        <f t="shared" ca="1" si="215"/>
        <v>0</v>
      </c>
      <c r="AD1123" t="str">
        <f ca="1">IF(AC1123=1,COUNTIF($AC$3:AC1123,1),"")</f>
        <v/>
      </c>
      <c r="AE1123" s="155" t="str">
        <f ca="1">IFERROR(INDEX(Données!$B$3:$B$1479,MATCH(ROWS($AD$3:AD1123),$AD$3:$AD$1479,0)),"")</f>
        <v/>
      </c>
    </row>
    <row r="1124" spans="1:31" ht="15.75" x14ac:dyDescent="0.25">
      <c r="A1124" t="str">
        <f t="shared" si="212"/>
        <v>Zacharie emond - SJS - G</v>
      </c>
      <c r="B1124" t="str">
        <f t="shared" si="213"/>
        <v>Zacharie emond - SJS - G</v>
      </c>
      <c r="C1124" t="str">
        <f t="shared" si="207"/>
        <v>Zacharie</v>
      </c>
      <c r="D1124" t="str">
        <f t="shared" si="208"/>
        <v>emond</v>
      </c>
      <c r="E1124" s="39" t="s">
        <v>2897</v>
      </c>
      <c r="F1124" s="30" t="s">
        <v>30</v>
      </c>
      <c r="G1124" s="35" t="s">
        <v>388</v>
      </c>
      <c r="H1124" s="35" t="s">
        <v>127</v>
      </c>
      <c r="I1124" s="35" t="s">
        <v>389</v>
      </c>
      <c r="J1124" s="35">
        <v>19</v>
      </c>
      <c r="K1124" s="35">
        <f>VALUE(COUNTIF(Validation!$A$2:$H$47,E1124))</f>
        <v>0</v>
      </c>
      <c r="L1124" s="361">
        <f t="shared" si="209"/>
        <v>810000</v>
      </c>
      <c r="M1124" s="361">
        <f t="shared" si="210"/>
        <v>810000</v>
      </c>
      <c r="N1124" s="358">
        <v>810000</v>
      </c>
      <c r="O1124" s="358">
        <v>810000</v>
      </c>
      <c r="P1124" s="358">
        <v>810000</v>
      </c>
      <c r="Q1124" s="358" t="s">
        <v>8</v>
      </c>
      <c r="R1124" s="358">
        <v>0</v>
      </c>
      <c r="S1124" s="358">
        <v>0</v>
      </c>
      <c r="T1124" s="358">
        <v>0</v>
      </c>
      <c r="U1124" s="35">
        <f t="shared" si="204"/>
        <v>3</v>
      </c>
      <c r="W1124">
        <f t="shared" si="211"/>
        <v>1</v>
      </c>
      <c r="X1124" s="35">
        <f t="shared" si="205"/>
        <v>1</v>
      </c>
      <c r="Y1124">
        <f t="shared" si="206"/>
        <v>1</v>
      </c>
      <c r="AB1124">
        <f t="shared" si="214"/>
        <v>1</v>
      </c>
      <c r="AC1124">
        <f t="shared" ca="1" si="215"/>
        <v>0</v>
      </c>
      <c r="AD1124" t="str">
        <f ca="1">IF(AC1124=1,COUNTIF($AC$3:AC1124,1),"")</f>
        <v/>
      </c>
      <c r="AE1124" s="155" t="str">
        <f ca="1">IFERROR(INDEX(Données!$B$3:$B$1479,MATCH(ROWS($AD$3:AD1124),$AD$3:$AD$1479,0)),"")</f>
        <v/>
      </c>
    </row>
    <row r="1125" spans="1:31" ht="15.75" x14ac:dyDescent="0.25">
      <c r="A1125" t="str">
        <f t="shared" si="212"/>
        <v>Nikolai Knyzhov - SJS - DG</v>
      </c>
      <c r="B1125" t="str">
        <f t="shared" si="213"/>
        <v>Nikolai Knyzhov - SJS - DG</v>
      </c>
      <c r="C1125" t="str">
        <f t="shared" si="207"/>
        <v>Nikolai</v>
      </c>
      <c r="D1125" t="str">
        <f t="shared" si="208"/>
        <v>Knyzhov</v>
      </c>
      <c r="E1125" s="39" t="s">
        <v>2548</v>
      </c>
      <c r="F1125" s="30" t="s">
        <v>30</v>
      </c>
      <c r="G1125" s="35" t="s">
        <v>386</v>
      </c>
      <c r="H1125" s="35" t="s">
        <v>2445</v>
      </c>
      <c r="I1125" s="35" t="s">
        <v>2446</v>
      </c>
      <c r="J1125" s="35">
        <v>21</v>
      </c>
      <c r="K1125" s="35">
        <f>VALUE(COUNTIF(Validation!$A$2:$H$47,E1125))</f>
        <v>0</v>
      </c>
      <c r="L1125" s="361">
        <f t="shared" si="209"/>
        <v>810000</v>
      </c>
      <c r="M1125" s="361">
        <f t="shared" si="210"/>
        <v>810000</v>
      </c>
      <c r="N1125" s="358">
        <v>810000</v>
      </c>
      <c r="O1125" s="358">
        <v>810000</v>
      </c>
      <c r="P1125" s="358">
        <v>810000</v>
      </c>
      <c r="Q1125" s="358" t="s">
        <v>8</v>
      </c>
      <c r="R1125" s="358">
        <v>0</v>
      </c>
      <c r="S1125" s="358">
        <v>0</v>
      </c>
      <c r="T1125" s="358">
        <v>0</v>
      </c>
      <c r="U1125" s="35">
        <f t="shared" si="204"/>
        <v>3</v>
      </c>
      <c r="W1125">
        <f t="shared" si="211"/>
        <v>1</v>
      </c>
      <c r="X1125" s="35">
        <f t="shared" si="205"/>
        <v>1</v>
      </c>
      <c r="Y1125">
        <f t="shared" si="206"/>
        <v>1</v>
      </c>
      <c r="AB1125">
        <f t="shared" si="214"/>
        <v>1</v>
      </c>
      <c r="AC1125">
        <f t="shared" ca="1" si="215"/>
        <v>0</v>
      </c>
      <c r="AD1125" t="str">
        <f ca="1">IF(AC1125=1,COUNTIF($AC$3:AC1125,1),"")</f>
        <v/>
      </c>
      <c r="AE1125" s="155" t="str">
        <f ca="1">IFERROR(INDEX(Données!$B$3:$B$1479,MATCH(ROWS($AD$3:AD1125),$AD$3:$AD$1479,0)),"")</f>
        <v/>
      </c>
    </row>
    <row r="1126" spans="1:31" ht="15.75" x14ac:dyDescent="0.25">
      <c r="A1126" t="str">
        <f t="shared" si="212"/>
        <v>Vladislav Kotkov - SJS - AG</v>
      </c>
      <c r="B1126" t="str">
        <f t="shared" si="213"/>
        <v>Vladislav Kotkov - SJS - AG</v>
      </c>
      <c r="C1126" t="str">
        <f t="shared" si="207"/>
        <v>Vladislav</v>
      </c>
      <c r="D1126" t="str">
        <f t="shared" si="208"/>
        <v>Kotkov</v>
      </c>
      <c r="E1126" s="39" t="s">
        <v>2317</v>
      </c>
      <c r="F1126" s="30" t="s">
        <v>30</v>
      </c>
      <c r="G1126" s="35" t="s">
        <v>388</v>
      </c>
      <c r="H1126" s="35" t="s">
        <v>2440</v>
      </c>
      <c r="I1126" s="35" t="s">
        <v>389</v>
      </c>
      <c r="J1126" s="35">
        <v>19</v>
      </c>
      <c r="K1126" s="35">
        <f>VALUE(COUNTIF(Validation!$A$2:$H$47,E1126))</f>
        <v>0</v>
      </c>
      <c r="L1126" s="361">
        <f t="shared" si="209"/>
        <v>806667</v>
      </c>
      <c r="M1126" s="361">
        <f t="shared" si="210"/>
        <v>806667</v>
      </c>
      <c r="N1126" s="358">
        <v>806667</v>
      </c>
      <c r="O1126" s="358">
        <v>806667</v>
      </c>
      <c r="P1126" s="358">
        <v>806667</v>
      </c>
      <c r="Q1126" s="358" t="s">
        <v>8</v>
      </c>
      <c r="R1126" s="358">
        <v>0</v>
      </c>
      <c r="S1126" s="358">
        <v>0</v>
      </c>
      <c r="T1126" s="358">
        <v>0</v>
      </c>
      <c r="U1126" s="35">
        <f t="shared" si="204"/>
        <v>3</v>
      </c>
      <c r="W1126">
        <f t="shared" si="211"/>
        <v>1</v>
      </c>
      <c r="X1126" s="35">
        <f t="shared" si="205"/>
        <v>1</v>
      </c>
      <c r="Y1126">
        <f t="shared" si="206"/>
        <v>1</v>
      </c>
      <c r="AB1126">
        <f t="shared" si="214"/>
        <v>1</v>
      </c>
      <c r="AC1126">
        <f t="shared" ca="1" si="215"/>
        <v>0</v>
      </c>
      <c r="AD1126" t="str">
        <f ca="1">IF(AC1126=1,COUNTIF($AC$3:AC1126,1),"")</f>
        <v/>
      </c>
      <c r="AE1126" s="155" t="str">
        <f ca="1">IFERROR(INDEX(Données!$B$3:$B$1479,MATCH(ROWS($AD$3:AD1126),$AD$3:$AD$1479,0)),"")</f>
        <v/>
      </c>
    </row>
    <row r="1127" spans="1:31" ht="15.75" x14ac:dyDescent="0.25">
      <c r="A1127" t="str">
        <f t="shared" si="212"/>
        <v>Dalton Prout - SJS - DD</v>
      </c>
      <c r="B1127" t="str">
        <f t="shared" si="213"/>
        <v>Dalton Prout - SJS - DD</v>
      </c>
      <c r="C1127" t="str">
        <f t="shared" si="207"/>
        <v>Dalton</v>
      </c>
      <c r="D1127" t="str">
        <f t="shared" si="208"/>
        <v>Prout</v>
      </c>
      <c r="E1127" s="39" t="s">
        <v>2202</v>
      </c>
      <c r="F1127" s="30" t="s">
        <v>30</v>
      </c>
      <c r="G1127" s="35">
        <v>0</v>
      </c>
      <c r="H1127" s="9" t="s">
        <v>2444</v>
      </c>
      <c r="I1127" s="9" t="s">
        <v>2439</v>
      </c>
      <c r="J1127" s="9">
        <v>29</v>
      </c>
      <c r="K1127" s="35">
        <f>VALUE(COUNTIF(Validation!$A$2:$H$47,E1127))</f>
        <v>0</v>
      </c>
      <c r="L1127" s="361">
        <f t="shared" si="209"/>
        <v>800000</v>
      </c>
      <c r="M1127" s="361">
        <f t="shared" si="210"/>
        <v>0</v>
      </c>
      <c r="N1127" s="358">
        <v>800000</v>
      </c>
      <c r="O1127" s="358" t="s">
        <v>7</v>
      </c>
      <c r="P1127" s="358">
        <v>0</v>
      </c>
      <c r="Q1127" s="358">
        <v>0</v>
      </c>
      <c r="R1127" s="358">
        <v>0</v>
      </c>
      <c r="S1127" s="358">
        <v>0</v>
      </c>
      <c r="T1127" s="358">
        <v>0</v>
      </c>
      <c r="U1127" s="35">
        <f t="shared" si="204"/>
        <v>1</v>
      </c>
      <c r="W1127">
        <f t="shared" si="211"/>
        <v>1</v>
      </c>
      <c r="X1127" s="35">
        <f t="shared" si="205"/>
        <v>0</v>
      </c>
      <c r="Y1127">
        <f t="shared" si="206"/>
        <v>0</v>
      </c>
      <c r="AB1127">
        <f t="shared" si="214"/>
        <v>1</v>
      </c>
      <c r="AC1127">
        <f t="shared" ca="1" si="215"/>
        <v>0</v>
      </c>
      <c r="AD1127" t="str">
        <f ca="1">IF(AC1127=1,COUNTIF($AC$3:AC1127,1),"")</f>
        <v/>
      </c>
      <c r="AE1127" s="155" t="str">
        <f ca="1">IFERROR(INDEX(Données!$B$3:$B$1479,MATCH(ROWS($AD$3:AD1127),$AD$3:$AD$1479,0)),"")</f>
        <v/>
      </c>
    </row>
    <row r="1128" spans="1:31" ht="15.75" x14ac:dyDescent="0.25">
      <c r="A1128" t="str">
        <f t="shared" si="212"/>
        <v>Jeffrey Truchon-Viel - SJS - AG</v>
      </c>
      <c r="B1128" t="str">
        <f t="shared" si="213"/>
        <v>Jeffrey Truchon-Viel - SJS - AG</v>
      </c>
      <c r="C1128" t="str">
        <f t="shared" si="207"/>
        <v>Jeffrey</v>
      </c>
      <c r="D1128" t="str">
        <f t="shared" si="208"/>
        <v>Truchon-Viel</v>
      </c>
      <c r="E1128" s="39" t="s">
        <v>2543</v>
      </c>
      <c r="F1128" s="30" t="s">
        <v>30</v>
      </c>
      <c r="G1128" s="35" t="s">
        <v>386</v>
      </c>
      <c r="H1128" s="35" t="s">
        <v>2440</v>
      </c>
      <c r="I1128" s="35" t="s">
        <v>2446</v>
      </c>
      <c r="J1128" s="35">
        <v>22</v>
      </c>
      <c r="K1128" s="35">
        <f>VALUE(COUNTIF(Validation!$A$2:$H$47,E1128))</f>
        <v>0</v>
      </c>
      <c r="L1128" s="361">
        <f t="shared" si="209"/>
        <v>800000</v>
      </c>
      <c r="M1128" s="361">
        <f t="shared" si="210"/>
        <v>800000</v>
      </c>
      <c r="N1128" s="358">
        <v>800000</v>
      </c>
      <c r="O1128" s="358">
        <v>800000</v>
      </c>
      <c r="P1128" s="358" t="s">
        <v>8</v>
      </c>
      <c r="Q1128" s="358">
        <v>0</v>
      </c>
      <c r="R1128" s="358">
        <v>0</v>
      </c>
      <c r="S1128" s="358">
        <v>0</v>
      </c>
      <c r="T1128" s="358">
        <v>0</v>
      </c>
      <c r="U1128" s="35">
        <f t="shared" si="204"/>
        <v>2</v>
      </c>
      <c r="W1128">
        <f t="shared" si="211"/>
        <v>1</v>
      </c>
      <c r="X1128" s="35">
        <f t="shared" si="205"/>
        <v>1</v>
      </c>
      <c r="Y1128">
        <f t="shared" si="206"/>
        <v>1</v>
      </c>
      <c r="AB1128">
        <f t="shared" si="214"/>
        <v>1</v>
      </c>
      <c r="AC1128">
        <f t="shared" ca="1" si="215"/>
        <v>0</v>
      </c>
      <c r="AD1128" t="str">
        <f ca="1">IF(AC1128=1,COUNTIF($AC$3:AC1128,1),"")</f>
        <v/>
      </c>
      <c r="AE1128" s="155" t="str">
        <f ca="1">IFERROR(INDEX(Données!$B$3:$B$1479,MATCH(ROWS($AD$3:AD1128),$AD$3:$AD$1479,0)),"")</f>
        <v/>
      </c>
    </row>
    <row r="1129" spans="1:31" ht="15.75" x14ac:dyDescent="0.25">
      <c r="A1129" t="str">
        <f t="shared" si="212"/>
        <v>Alex True - SJS - C, AD</v>
      </c>
      <c r="B1129" t="str">
        <f t="shared" si="213"/>
        <v>Alex True - SJS - C, AD</v>
      </c>
      <c r="C1129" t="str">
        <f t="shared" si="207"/>
        <v>Alex</v>
      </c>
      <c r="D1129" t="str">
        <f t="shared" si="208"/>
        <v>True</v>
      </c>
      <c r="E1129" s="39" t="s">
        <v>2318</v>
      </c>
      <c r="F1129" s="30" t="s">
        <v>30</v>
      </c>
      <c r="G1129" s="35" t="s">
        <v>386</v>
      </c>
      <c r="H1129" s="35" t="s">
        <v>2448</v>
      </c>
      <c r="I1129" s="35" t="s">
        <v>2446</v>
      </c>
      <c r="J1129" s="35">
        <v>22</v>
      </c>
      <c r="K1129" s="35">
        <f>VALUE(COUNTIF(Validation!$A$2:$H$47,E1129))</f>
        <v>0</v>
      </c>
      <c r="L1129" s="361">
        <f t="shared" si="209"/>
        <v>800000</v>
      </c>
      <c r="M1129" s="361">
        <f t="shared" si="210"/>
        <v>800000</v>
      </c>
      <c r="N1129" s="358">
        <v>800000</v>
      </c>
      <c r="O1129" s="358">
        <v>800000</v>
      </c>
      <c r="P1129" s="358" t="s">
        <v>8</v>
      </c>
      <c r="Q1129" s="358">
        <v>0</v>
      </c>
      <c r="R1129" s="358">
        <v>0</v>
      </c>
      <c r="S1129" s="358">
        <v>0</v>
      </c>
      <c r="T1129" s="358">
        <v>0</v>
      </c>
      <c r="U1129" s="35">
        <f t="shared" si="204"/>
        <v>2</v>
      </c>
      <c r="W1129">
        <f t="shared" si="211"/>
        <v>1</v>
      </c>
      <c r="X1129" s="35">
        <f t="shared" si="205"/>
        <v>1</v>
      </c>
      <c r="Y1129">
        <f t="shared" si="206"/>
        <v>1</v>
      </c>
      <c r="AB1129">
        <f t="shared" si="214"/>
        <v>1</v>
      </c>
      <c r="AC1129">
        <f t="shared" ca="1" si="215"/>
        <v>0</v>
      </c>
      <c r="AD1129" t="str">
        <f ca="1">IF(AC1129=1,COUNTIF($AC$3:AC1129,1),"")</f>
        <v/>
      </c>
      <c r="AE1129" s="155" t="str">
        <f ca="1">IFERROR(INDEX(Données!$B$3:$B$1479,MATCH(ROWS($AD$3:AD1129),$AD$3:$AD$1479,0)),"")</f>
        <v/>
      </c>
    </row>
    <row r="1130" spans="1:31" ht="15.75" x14ac:dyDescent="0.25">
      <c r="A1130" t="str">
        <f t="shared" si="212"/>
        <v>Joachim Blichfeld - SJS - AD, AG</v>
      </c>
      <c r="B1130" t="str">
        <f t="shared" si="213"/>
        <v>Joachim Blichfeld - SJS - AD, AG</v>
      </c>
      <c r="C1130" t="str">
        <f t="shared" si="207"/>
        <v>Joachim</v>
      </c>
      <c r="D1130" t="str">
        <f t="shared" si="208"/>
        <v>Blichfeld</v>
      </c>
      <c r="E1130" s="39" t="s">
        <v>2322</v>
      </c>
      <c r="F1130" s="30" t="s">
        <v>30</v>
      </c>
      <c r="G1130" s="35" t="s">
        <v>386</v>
      </c>
      <c r="H1130" s="35" t="s">
        <v>2441</v>
      </c>
      <c r="I1130" s="35" t="s">
        <v>2446</v>
      </c>
      <c r="J1130" s="35">
        <v>21</v>
      </c>
      <c r="K1130" s="35">
        <f>VALUE(COUNTIF(Validation!$A$2:$H$47,E1130))</f>
        <v>0</v>
      </c>
      <c r="L1130" s="361">
        <f t="shared" si="209"/>
        <v>790000</v>
      </c>
      <c r="M1130" s="361">
        <f t="shared" si="210"/>
        <v>790000</v>
      </c>
      <c r="N1130" s="358">
        <v>790000</v>
      </c>
      <c r="O1130" s="358">
        <v>790000</v>
      </c>
      <c r="P1130" s="358" t="s">
        <v>8</v>
      </c>
      <c r="Q1130" s="358">
        <v>0</v>
      </c>
      <c r="R1130" s="358">
        <v>0</v>
      </c>
      <c r="S1130" s="358">
        <v>0</v>
      </c>
      <c r="T1130" s="358">
        <v>0</v>
      </c>
      <c r="U1130" s="35">
        <f t="shared" si="204"/>
        <v>2</v>
      </c>
      <c r="W1130">
        <f t="shared" si="211"/>
        <v>1</v>
      </c>
      <c r="X1130" s="35">
        <f t="shared" si="205"/>
        <v>1</v>
      </c>
      <c r="Y1130">
        <f t="shared" si="206"/>
        <v>1</v>
      </c>
      <c r="AB1130">
        <f t="shared" si="214"/>
        <v>1</v>
      </c>
      <c r="AC1130">
        <f t="shared" ca="1" si="215"/>
        <v>0</v>
      </c>
      <c r="AD1130" t="str">
        <f ca="1">IF(AC1130=1,COUNTIF($AC$3:AC1130,1),"")</f>
        <v/>
      </c>
      <c r="AE1130" s="155" t="str">
        <f ca="1">IFERROR(INDEX(Données!$B$3:$B$1479,MATCH(ROWS($AD$3:AD1130),$AD$3:$AD$1479,0)),"")</f>
        <v/>
      </c>
    </row>
    <row r="1131" spans="1:31" ht="15.75" x14ac:dyDescent="0.25">
      <c r="A1131" t="str">
        <f t="shared" si="212"/>
        <v>Zachary Gallant - SJS - C</v>
      </c>
      <c r="B1131" t="str">
        <f t="shared" si="213"/>
        <v>Zachary Gallant - SJS - C</v>
      </c>
      <c r="C1131" t="str">
        <f t="shared" si="207"/>
        <v>Zachary</v>
      </c>
      <c r="D1131" t="str">
        <f t="shared" si="208"/>
        <v>Gallant</v>
      </c>
      <c r="E1131" s="39" t="s">
        <v>2542</v>
      </c>
      <c r="F1131" s="30" t="s">
        <v>30</v>
      </c>
      <c r="G1131" s="35" t="s">
        <v>386</v>
      </c>
      <c r="H1131" s="35" t="s">
        <v>73</v>
      </c>
      <c r="I1131" s="35" t="s">
        <v>2446</v>
      </c>
      <c r="J1131" s="35">
        <v>20</v>
      </c>
      <c r="K1131" s="35">
        <f>VALUE(COUNTIF(Validation!$A$2:$H$47,E1131))</f>
        <v>0</v>
      </c>
      <c r="L1131" s="361">
        <f t="shared" si="209"/>
        <v>786667</v>
      </c>
      <c r="M1131" s="361">
        <f t="shared" si="210"/>
        <v>786667</v>
      </c>
      <c r="N1131" s="358">
        <v>786667</v>
      </c>
      <c r="O1131" s="358">
        <v>786667</v>
      </c>
      <c r="P1131" s="358">
        <v>786667</v>
      </c>
      <c r="Q1131" s="358" t="s">
        <v>8</v>
      </c>
      <c r="R1131" s="358">
        <v>0</v>
      </c>
      <c r="S1131" s="358">
        <v>0</v>
      </c>
      <c r="T1131" s="358">
        <v>0</v>
      </c>
      <c r="U1131" s="35">
        <f t="shared" si="204"/>
        <v>3</v>
      </c>
      <c r="W1131">
        <f t="shared" si="211"/>
        <v>1</v>
      </c>
      <c r="X1131" s="35">
        <f t="shared" si="205"/>
        <v>1</v>
      </c>
      <c r="Y1131">
        <f t="shared" si="206"/>
        <v>1</v>
      </c>
      <c r="AB1131">
        <f t="shared" si="214"/>
        <v>1</v>
      </c>
      <c r="AC1131">
        <f t="shared" ca="1" si="215"/>
        <v>0</v>
      </c>
      <c r="AD1131" t="str">
        <f ca="1">IF(AC1131=1,COUNTIF($AC$3:AC1131,1),"")</f>
        <v/>
      </c>
      <c r="AE1131" s="155" t="str">
        <f ca="1">IFERROR(INDEX(Données!$B$3:$B$1479,MATCH(ROWS($AD$3:AD1131),$AD$3:$AD$1479,0)),"")</f>
        <v/>
      </c>
    </row>
    <row r="1132" spans="1:31" ht="15.75" x14ac:dyDescent="0.25">
      <c r="A1132" t="str">
        <f t="shared" si="212"/>
        <v>Manuel Wiederer - SJS - C</v>
      </c>
      <c r="B1132" t="str">
        <f t="shared" si="213"/>
        <v>Manuel Wiederer - SJS - C</v>
      </c>
      <c r="C1132" t="str">
        <f t="shared" si="207"/>
        <v>Manuel</v>
      </c>
      <c r="D1132" t="str">
        <f t="shared" si="208"/>
        <v>Wiederer</v>
      </c>
      <c r="E1132" s="39" t="s">
        <v>2321</v>
      </c>
      <c r="F1132" s="30" t="s">
        <v>30</v>
      </c>
      <c r="G1132" s="35" t="s">
        <v>386</v>
      </c>
      <c r="H1132" s="35" t="s">
        <v>73</v>
      </c>
      <c r="I1132" s="9" t="s">
        <v>2446</v>
      </c>
      <c r="J1132" s="35">
        <v>22</v>
      </c>
      <c r="K1132" s="35">
        <f>VALUE(COUNTIF(Validation!$A$2:$H$47,E1132))</f>
        <v>0</v>
      </c>
      <c r="L1132" s="361">
        <f t="shared" si="209"/>
        <v>736667</v>
      </c>
      <c r="M1132" s="361">
        <f t="shared" si="210"/>
        <v>0</v>
      </c>
      <c r="N1132" s="358">
        <v>736667</v>
      </c>
      <c r="O1132" s="358" t="s">
        <v>8</v>
      </c>
      <c r="P1132" s="358">
        <v>0</v>
      </c>
      <c r="Q1132" s="358">
        <v>0</v>
      </c>
      <c r="R1132" s="358">
        <v>0</v>
      </c>
      <c r="S1132" s="358">
        <v>0</v>
      </c>
      <c r="T1132" s="358">
        <v>0</v>
      </c>
      <c r="U1132" s="35">
        <f t="shared" si="204"/>
        <v>1</v>
      </c>
      <c r="W1132">
        <f t="shared" si="211"/>
        <v>1</v>
      </c>
      <c r="X1132" s="35">
        <f t="shared" si="205"/>
        <v>1</v>
      </c>
      <c r="Y1132">
        <f t="shared" si="206"/>
        <v>0</v>
      </c>
      <c r="AB1132">
        <f t="shared" si="214"/>
        <v>1</v>
      </c>
      <c r="AC1132">
        <f t="shared" ca="1" si="215"/>
        <v>0</v>
      </c>
      <c r="AD1132" t="str">
        <f ca="1">IF(AC1132=1,COUNTIF($AC$3:AC1132,1),"")</f>
        <v/>
      </c>
      <c r="AE1132" s="155" t="str">
        <f ca="1">IFERROR(INDEX(Données!$B$3:$B$1479,MATCH(ROWS($AD$3:AD1132),$AD$3:$AD$1479,0)),"")</f>
        <v/>
      </c>
    </row>
    <row r="1133" spans="1:31" ht="15.75" x14ac:dyDescent="0.25">
      <c r="A1133" t="str">
        <f t="shared" si="212"/>
        <v>Jacob Middleton - SJS - DG</v>
      </c>
      <c r="B1133" t="str">
        <f t="shared" si="213"/>
        <v>Jacob Middleton - SJS - DG</v>
      </c>
      <c r="C1133" t="str">
        <f t="shared" si="207"/>
        <v>Jacob</v>
      </c>
      <c r="D1133" t="str">
        <f t="shared" si="208"/>
        <v>Middleton</v>
      </c>
      <c r="E1133" s="39" t="s">
        <v>2323</v>
      </c>
      <c r="F1133" s="30" t="s">
        <v>30</v>
      </c>
      <c r="G1133" s="35" t="s">
        <v>386</v>
      </c>
      <c r="H1133" s="9" t="s">
        <v>2445</v>
      </c>
      <c r="I1133" s="9" t="s">
        <v>2439</v>
      </c>
      <c r="J1133" s="9">
        <v>23</v>
      </c>
      <c r="K1133" s="35">
        <f>VALUE(COUNTIF(Validation!$A$2:$H$47,E1133))</f>
        <v>0</v>
      </c>
      <c r="L1133" s="361">
        <f t="shared" si="209"/>
        <v>735000</v>
      </c>
      <c r="M1133" s="361">
        <f t="shared" si="210"/>
        <v>0</v>
      </c>
      <c r="N1133" s="358">
        <v>735000</v>
      </c>
      <c r="O1133" s="358" t="s">
        <v>8</v>
      </c>
      <c r="P1133" s="358">
        <v>0</v>
      </c>
      <c r="Q1133" s="358">
        <v>0</v>
      </c>
      <c r="R1133" s="358">
        <v>0</v>
      </c>
      <c r="S1133" s="358">
        <v>0</v>
      </c>
      <c r="T1133" s="358">
        <v>0</v>
      </c>
      <c r="U1133" s="35">
        <f t="shared" si="204"/>
        <v>1</v>
      </c>
      <c r="W1133">
        <f t="shared" si="211"/>
        <v>1</v>
      </c>
      <c r="X1133" s="35">
        <f t="shared" si="205"/>
        <v>1</v>
      </c>
      <c r="Y1133">
        <f t="shared" si="206"/>
        <v>0</v>
      </c>
      <c r="AB1133">
        <f t="shared" si="214"/>
        <v>1</v>
      </c>
      <c r="AC1133">
        <f t="shared" ca="1" si="215"/>
        <v>0</v>
      </c>
      <c r="AD1133" t="str">
        <f ca="1">IF(AC1133=1,COUNTIF($AC$3:AC1133,1),"")</f>
        <v/>
      </c>
      <c r="AE1133" s="155" t="str">
        <f ca="1">IFERROR(INDEX(Données!$B$3:$B$1479,MATCH(ROWS($AD$3:AD1133),$AD$3:$AD$1479,0)),"")</f>
        <v/>
      </c>
    </row>
    <row r="1134" spans="1:31" ht="15.75" x14ac:dyDescent="0.25">
      <c r="A1134" t="str">
        <f t="shared" si="212"/>
        <v>Josef Korenar - SJS - G</v>
      </c>
      <c r="B1134" t="str">
        <f t="shared" si="213"/>
        <v>Josef Korenar - SJS - G</v>
      </c>
      <c r="C1134" t="str">
        <f t="shared" si="207"/>
        <v>Josef</v>
      </c>
      <c r="D1134" t="str">
        <f t="shared" si="208"/>
        <v>Korenar</v>
      </c>
      <c r="E1134" s="39" t="s">
        <v>2324</v>
      </c>
      <c r="F1134" s="30" t="s">
        <v>30</v>
      </c>
      <c r="G1134" s="35" t="s">
        <v>386</v>
      </c>
      <c r="H1134" s="9" t="s">
        <v>127</v>
      </c>
      <c r="I1134" s="9" t="s">
        <v>2446</v>
      </c>
      <c r="J1134" s="9">
        <v>21</v>
      </c>
      <c r="K1134" s="35">
        <f>VALUE(COUNTIF(Validation!$A$2:$H$47,E1134))</f>
        <v>0</v>
      </c>
      <c r="L1134" s="361">
        <f t="shared" si="209"/>
        <v>723333</v>
      </c>
      <c r="M1134" s="361">
        <f t="shared" si="210"/>
        <v>723333</v>
      </c>
      <c r="N1134" s="358">
        <v>723333</v>
      </c>
      <c r="O1134" s="358">
        <v>723333</v>
      </c>
      <c r="P1134" s="358" t="s">
        <v>8</v>
      </c>
      <c r="Q1134" s="358">
        <v>0</v>
      </c>
      <c r="R1134" s="358">
        <v>0</v>
      </c>
      <c r="S1134" s="358">
        <v>0</v>
      </c>
      <c r="T1134" s="358">
        <v>0</v>
      </c>
      <c r="U1134" s="35">
        <f t="shared" si="204"/>
        <v>2</v>
      </c>
      <c r="W1134">
        <f t="shared" si="211"/>
        <v>1</v>
      </c>
      <c r="X1134" s="35">
        <f t="shared" si="205"/>
        <v>1</v>
      </c>
      <c r="Y1134">
        <f t="shared" si="206"/>
        <v>1</v>
      </c>
      <c r="AB1134">
        <f t="shared" si="214"/>
        <v>1</v>
      </c>
      <c r="AC1134">
        <f t="shared" ca="1" si="215"/>
        <v>0</v>
      </c>
      <c r="AD1134" t="str">
        <f ca="1">IF(AC1134=1,COUNTIF($AC$3:AC1134,1),"")</f>
        <v/>
      </c>
      <c r="AE1134" s="155" t="str">
        <f ca="1">IFERROR(INDEX(Données!$B$3:$B$1479,MATCH(ROWS($AD$3:AD1134),$AD$3:$AD$1479,0)),"")</f>
        <v/>
      </c>
    </row>
    <row r="1135" spans="1:31" ht="15.75" x14ac:dyDescent="0.25">
      <c r="A1135" t="str">
        <f t="shared" si="212"/>
        <v>Jonny Brodzinski - SJS - C</v>
      </c>
      <c r="B1135" t="str">
        <f t="shared" si="213"/>
        <v>Jonny Brodzinski - SJS - C</v>
      </c>
      <c r="C1135" t="str">
        <f t="shared" si="207"/>
        <v>Jonny</v>
      </c>
      <c r="D1135" t="str">
        <f t="shared" si="208"/>
        <v>Brodzinski</v>
      </c>
      <c r="E1135" s="39" t="s">
        <v>2292</v>
      </c>
      <c r="F1135" s="30" t="s">
        <v>30</v>
      </c>
      <c r="G1135" s="35">
        <v>0</v>
      </c>
      <c r="H1135" s="35" t="s">
        <v>73</v>
      </c>
      <c r="I1135" s="35" t="s">
        <v>2439</v>
      </c>
      <c r="J1135" s="35">
        <v>26</v>
      </c>
      <c r="K1135" s="35">
        <f>VALUE(COUNTIF(Validation!$A$2:$H$47,E1135))</f>
        <v>0</v>
      </c>
      <c r="L1135" s="361">
        <f t="shared" si="209"/>
        <v>700000</v>
      </c>
      <c r="M1135" s="361">
        <f t="shared" si="210"/>
        <v>0</v>
      </c>
      <c r="N1135" s="358">
        <v>700000</v>
      </c>
      <c r="O1135" s="358" t="s">
        <v>7</v>
      </c>
      <c r="P1135" s="358">
        <v>0</v>
      </c>
      <c r="Q1135" s="358">
        <v>0</v>
      </c>
      <c r="R1135" s="358">
        <v>0</v>
      </c>
      <c r="S1135" s="358">
        <v>0</v>
      </c>
      <c r="T1135" s="358">
        <v>0</v>
      </c>
      <c r="U1135" s="35">
        <f t="shared" si="204"/>
        <v>1</v>
      </c>
      <c r="W1135">
        <f t="shared" si="211"/>
        <v>1</v>
      </c>
      <c r="X1135" s="35">
        <f t="shared" si="205"/>
        <v>0</v>
      </c>
      <c r="Y1135">
        <f t="shared" si="206"/>
        <v>0</v>
      </c>
      <c r="AB1135">
        <f t="shared" si="214"/>
        <v>1</v>
      </c>
      <c r="AC1135">
        <f t="shared" ca="1" si="215"/>
        <v>0</v>
      </c>
      <c r="AD1135" t="str">
        <f ca="1">IF(AC1135=1,COUNTIF($AC$3:AC1135,1),"")</f>
        <v/>
      </c>
      <c r="AE1135" s="155" t="str">
        <f ca="1">IFERROR(INDEX(Données!$B$3:$B$1479,MATCH(ROWS($AD$3:AD1135),$AD$3:$AD$1479,0)),"")</f>
        <v/>
      </c>
    </row>
    <row r="1136" spans="1:31" ht="15.75" x14ac:dyDescent="0.25">
      <c r="A1136" t="str">
        <f t="shared" si="212"/>
        <v>Trevor Carrick - SJS - DG</v>
      </c>
      <c r="B1136" t="str">
        <f t="shared" si="213"/>
        <v>Trevor Carrick - SJS - DG</v>
      </c>
      <c r="C1136" t="str">
        <f t="shared" si="207"/>
        <v>Trevor</v>
      </c>
      <c r="D1136" t="str">
        <f t="shared" si="208"/>
        <v>Carrick</v>
      </c>
      <c r="E1136" s="39" t="s">
        <v>1649</v>
      </c>
      <c r="F1136" s="30" t="s">
        <v>30</v>
      </c>
      <c r="G1136" s="35">
        <v>0</v>
      </c>
      <c r="H1136" s="35" t="s">
        <v>2445</v>
      </c>
      <c r="I1136" s="35" t="s">
        <v>2446</v>
      </c>
      <c r="J1136" s="35">
        <v>25</v>
      </c>
      <c r="K1136" s="35">
        <f>VALUE(COUNTIF(Validation!$A$2:$H$47,E1136))</f>
        <v>0</v>
      </c>
      <c r="L1136" s="361">
        <f t="shared" si="209"/>
        <v>700000</v>
      </c>
      <c r="M1136" s="361">
        <f t="shared" si="210"/>
        <v>700000</v>
      </c>
      <c r="N1136" s="358">
        <v>700000</v>
      </c>
      <c r="O1136" s="358">
        <v>700000</v>
      </c>
      <c r="P1136" s="358" t="s">
        <v>8</v>
      </c>
      <c r="Q1136" s="358">
        <v>0</v>
      </c>
      <c r="R1136" s="358">
        <v>0</v>
      </c>
      <c r="S1136" s="358">
        <v>0</v>
      </c>
      <c r="T1136" s="358">
        <v>0</v>
      </c>
      <c r="U1136" s="35">
        <f t="shared" si="204"/>
        <v>2</v>
      </c>
      <c r="W1136">
        <f t="shared" si="211"/>
        <v>1</v>
      </c>
      <c r="X1136" s="35">
        <f t="shared" si="205"/>
        <v>0</v>
      </c>
      <c r="Y1136">
        <f t="shared" si="206"/>
        <v>1</v>
      </c>
      <c r="AB1136">
        <f t="shared" si="214"/>
        <v>1</v>
      </c>
      <c r="AC1136">
        <f t="shared" ca="1" si="215"/>
        <v>0</v>
      </c>
      <c r="AD1136" t="str">
        <f ca="1">IF(AC1136=1,COUNTIF($AC$3:AC1136,1),"")</f>
        <v/>
      </c>
      <c r="AE1136" s="155" t="str">
        <f ca="1">IFERROR(INDEX(Données!$B$3:$B$1479,MATCH(ROWS($AD$3:AD1136),$AD$3:$AD$1479,0)),"")</f>
        <v/>
      </c>
    </row>
    <row r="1137" spans="1:31" ht="15.75" x14ac:dyDescent="0.25">
      <c r="A1137" t="str">
        <f t="shared" si="212"/>
        <v>Nick DeSimone - SJS - D</v>
      </c>
      <c r="B1137" t="str">
        <f t="shared" si="213"/>
        <v>Nick DeSimone - SJS - D</v>
      </c>
      <c r="C1137" t="str">
        <f t="shared" si="207"/>
        <v>Nick</v>
      </c>
      <c r="D1137" t="str">
        <f t="shared" si="208"/>
        <v>DeSimone</v>
      </c>
      <c r="E1137" s="39" t="s">
        <v>2311</v>
      </c>
      <c r="F1137" s="30" t="s">
        <v>30</v>
      </c>
      <c r="G1137" s="35">
        <v>0</v>
      </c>
      <c r="H1137" s="9" t="s">
        <v>82</v>
      </c>
      <c r="I1137" s="9" t="s">
        <v>2446</v>
      </c>
      <c r="J1137" s="9">
        <v>24</v>
      </c>
      <c r="K1137" s="35">
        <f>VALUE(COUNTIF(Validation!$A$2:$H$47,E1137))</f>
        <v>0</v>
      </c>
      <c r="L1137" s="361">
        <f t="shared" si="209"/>
        <v>700000</v>
      </c>
      <c r="M1137" s="361">
        <f t="shared" si="210"/>
        <v>700000</v>
      </c>
      <c r="N1137" s="358">
        <v>700000</v>
      </c>
      <c r="O1137" s="358">
        <v>700000</v>
      </c>
      <c r="P1137" s="358" t="s">
        <v>8</v>
      </c>
      <c r="Q1137" s="358">
        <v>0</v>
      </c>
      <c r="R1137" s="358">
        <v>0</v>
      </c>
      <c r="S1137" s="358">
        <v>0</v>
      </c>
      <c r="T1137" s="358">
        <v>0</v>
      </c>
      <c r="U1137" s="35">
        <f t="shared" si="204"/>
        <v>2</v>
      </c>
      <c r="W1137">
        <f t="shared" si="211"/>
        <v>1</v>
      </c>
      <c r="X1137" s="35">
        <f t="shared" si="205"/>
        <v>0</v>
      </c>
      <c r="Y1137">
        <f t="shared" si="206"/>
        <v>1</v>
      </c>
      <c r="AB1137">
        <f t="shared" si="214"/>
        <v>1</v>
      </c>
      <c r="AC1137">
        <f t="shared" ca="1" si="215"/>
        <v>0</v>
      </c>
      <c r="AD1137" t="str">
        <f ca="1">IF(AC1137=1,COUNTIF($AC$3:AC1137,1),"")</f>
        <v/>
      </c>
      <c r="AE1137" s="155" t="str">
        <f ca="1">IFERROR(INDEX(Données!$B$3:$B$1479,MATCH(ROWS($AD$3:AD1137),$AD$3:$AD$1479,0)),"")</f>
        <v/>
      </c>
    </row>
    <row r="1138" spans="1:31" ht="15.75" x14ac:dyDescent="0.25">
      <c r="A1138" t="str">
        <f t="shared" si="212"/>
        <v>Dylan Gambrell - SJS - C</v>
      </c>
      <c r="B1138" t="str">
        <f t="shared" si="213"/>
        <v>Dylan Gambrell - SJS - C</v>
      </c>
      <c r="C1138" t="str">
        <f t="shared" si="207"/>
        <v>Dylan</v>
      </c>
      <c r="D1138" t="str">
        <f t="shared" si="208"/>
        <v>Gambrell</v>
      </c>
      <c r="E1138" s="39" t="s">
        <v>2298</v>
      </c>
      <c r="F1138" s="30" t="s">
        <v>30</v>
      </c>
      <c r="G1138" s="35">
        <v>0</v>
      </c>
      <c r="H1138" s="35" t="s">
        <v>73</v>
      </c>
      <c r="I1138" s="35" t="s">
        <v>2439</v>
      </c>
      <c r="J1138" s="35">
        <v>22</v>
      </c>
      <c r="K1138" s="35">
        <f>VALUE(COUNTIF(Validation!$A$2:$H$47,E1138))</f>
        <v>0</v>
      </c>
      <c r="L1138" s="361">
        <f t="shared" si="209"/>
        <v>700000</v>
      </c>
      <c r="M1138" s="361">
        <f t="shared" si="210"/>
        <v>700000</v>
      </c>
      <c r="N1138" s="358">
        <v>700000</v>
      </c>
      <c r="O1138" s="358">
        <v>700000</v>
      </c>
      <c r="P1138" s="358" t="s">
        <v>8</v>
      </c>
      <c r="Q1138" s="358">
        <v>0</v>
      </c>
      <c r="R1138" s="358">
        <v>0</v>
      </c>
      <c r="S1138" s="358">
        <v>0</v>
      </c>
      <c r="T1138" s="358">
        <v>0</v>
      </c>
      <c r="U1138" s="35">
        <f t="shared" si="204"/>
        <v>2</v>
      </c>
      <c r="W1138">
        <f t="shared" si="211"/>
        <v>1</v>
      </c>
      <c r="X1138" s="35">
        <f t="shared" si="205"/>
        <v>0</v>
      </c>
      <c r="Y1138">
        <f t="shared" si="206"/>
        <v>1</v>
      </c>
      <c r="AB1138">
        <f t="shared" si="214"/>
        <v>1</v>
      </c>
      <c r="AC1138">
        <f t="shared" ca="1" si="215"/>
        <v>0</v>
      </c>
      <c r="AD1138" t="str">
        <f ca="1">IF(AC1138=1,COUNTIF($AC$3:AC1138,1),"")</f>
        <v/>
      </c>
      <c r="AE1138" s="155" t="str">
        <f ca="1">IFERROR(INDEX(Données!$B$3:$B$1479,MATCH(ROWS($AD$3:AD1138),$AD$3:$AD$1479,0)),"")</f>
        <v/>
      </c>
    </row>
    <row r="1139" spans="1:31" ht="15.75" x14ac:dyDescent="0.25">
      <c r="A1139" t="str">
        <f t="shared" si="212"/>
        <v>Maxim Letunov - SJS - C</v>
      </c>
      <c r="B1139" t="str">
        <f t="shared" si="213"/>
        <v>Maxim Letunov - SJS - C</v>
      </c>
      <c r="C1139" t="str">
        <f t="shared" si="207"/>
        <v>Maxim</v>
      </c>
      <c r="D1139" t="str">
        <f t="shared" si="208"/>
        <v>Letunov</v>
      </c>
      <c r="E1139" s="39" t="s">
        <v>2300</v>
      </c>
      <c r="F1139" s="30" t="s">
        <v>30</v>
      </c>
      <c r="G1139" s="35">
        <v>0</v>
      </c>
      <c r="H1139" s="35" t="s">
        <v>73</v>
      </c>
      <c r="I1139" s="35" t="s">
        <v>2446</v>
      </c>
      <c r="J1139" s="35">
        <v>23</v>
      </c>
      <c r="K1139" s="35">
        <f>VALUE(COUNTIF(Validation!$A$2:$H$47,E1139))</f>
        <v>0</v>
      </c>
      <c r="L1139" s="361">
        <f t="shared" si="209"/>
        <v>700000</v>
      </c>
      <c r="M1139" s="361">
        <f t="shared" si="210"/>
        <v>0</v>
      </c>
      <c r="N1139" s="358">
        <v>700000</v>
      </c>
      <c r="O1139" s="358" t="s">
        <v>8</v>
      </c>
      <c r="P1139" s="358">
        <v>0</v>
      </c>
      <c r="Q1139" s="358">
        <v>0</v>
      </c>
      <c r="R1139" s="358">
        <v>0</v>
      </c>
      <c r="S1139" s="358">
        <v>0</v>
      </c>
      <c r="T1139" s="358">
        <v>0</v>
      </c>
      <c r="U1139" s="35">
        <f t="shared" si="204"/>
        <v>1</v>
      </c>
      <c r="W1139">
        <f t="shared" si="211"/>
        <v>1</v>
      </c>
      <c r="X1139" s="35">
        <f t="shared" si="205"/>
        <v>0</v>
      </c>
      <c r="Y1139">
        <f t="shared" si="206"/>
        <v>0</v>
      </c>
      <c r="AB1139">
        <f t="shared" si="214"/>
        <v>1</v>
      </c>
      <c r="AC1139">
        <f t="shared" ca="1" si="215"/>
        <v>0</v>
      </c>
      <c r="AD1139" t="str">
        <f ca="1">IF(AC1139=1,COUNTIF($AC$3:AC1139,1),"")</f>
        <v/>
      </c>
      <c r="AE1139" s="155" t="str">
        <f ca="1">IFERROR(INDEX(Données!$B$3:$B$1479,MATCH(ROWS($AD$3:AD1139),$AD$3:$AD$1479,0)),"")</f>
        <v/>
      </c>
    </row>
    <row r="1140" spans="1:31" ht="15.75" x14ac:dyDescent="0.25">
      <c r="A1140" t="str">
        <f t="shared" si="212"/>
        <v>Lukas Radil - SJS - AG</v>
      </c>
      <c r="B1140" t="str">
        <f t="shared" si="213"/>
        <v>Lukas Radil - SJS - AG</v>
      </c>
      <c r="C1140" t="str">
        <f t="shared" si="207"/>
        <v>Lukas</v>
      </c>
      <c r="D1140" t="str">
        <f t="shared" si="208"/>
        <v>Radil</v>
      </c>
      <c r="E1140" s="39" t="s">
        <v>2320</v>
      </c>
      <c r="F1140" s="30" t="s">
        <v>30</v>
      </c>
      <c r="G1140" s="35">
        <v>0</v>
      </c>
      <c r="H1140" s="35" t="s">
        <v>2440</v>
      </c>
      <c r="I1140" s="35" t="s">
        <v>2439</v>
      </c>
      <c r="J1140" s="35">
        <v>29</v>
      </c>
      <c r="K1140" s="35">
        <f>VALUE(COUNTIF(Validation!$A$2:$H$47,E1140))</f>
        <v>0</v>
      </c>
      <c r="L1140" s="361">
        <f t="shared" si="209"/>
        <v>700000</v>
      </c>
      <c r="M1140" s="361">
        <f t="shared" si="210"/>
        <v>0</v>
      </c>
      <c r="N1140" s="358">
        <v>700000</v>
      </c>
      <c r="O1140" s="358" t="s">
        <v>7</v>
      </c>
      <c r="P1140" s="358">
        <v>0</v>
      </c>
      <c r="Q1140" s="358">
        <v>0</v>
      </c>
      <c r="R1140" s="358">
        <v>0</v>
      </c>
      <c r="S1140" s="358">
        <v>0</v>
      </c>
      <c r="T1140" s="358">
        <v>0</v>
      </c>
      <c r="U1140" s="35">
        <f t="shared" si="204"/>
        <v>1</v>
      </c>
      <c r="W1140">
        <f t="shared" si="211"/>
        <v>1</v>
      </c>
      <c r="X1140" s="35">
        <f t="shared" si="205"/>
        <v>0</v>
      </c>
      <c r="Y1140">
        <f t="shared" si="206"/>
        <v>0</v>
      </c>
      <c r="AB1140">
        <f t="shared" si="214"/>
        <v>1</v>
      </c>
      <c r="AC1140">
        <f t="shared" ca="1" si="215"/>
        <v>0</v>
      </c>
      <c r="AD1140" t="str">
        <f ca="1">IF(AC1140=1,COUNTIF($AC$3:AC1140,1),"")</f>
        <v/>
      </c>
      <c r="AE1140" s="155" t="str">
        <f ca="1">IFERROR(INDEX(Données!$B$3:$B$1479,MATCH(ROWS($AD$3:AD1140),$AD$3:$AD$1479,0)),"")</f>
        <v/>
      </c>
    </row>
    <row r="1141" spans="1:31" ht="15.75" x14ac:dyDescent="0.25">
      <c r="A1141" t="str">
        <f t="shared" si="212"/>
        <v>Antti Suomela - SJS - C</v>
      </c>
      <c r="B1141" t="str">
        <f t="shared" si="213"/>
        <v>Antti Suomela - SJS - C</v>
      </c>
      <c r="C1141" t="str">
        <f t="shared" si="207"/>
        <v>Antti</v>
      </c>
      <c r="D1141" t="str">
        <f t="shared" si="208"/>
        <v>Suomela</v>
      </c>
      <c r="E1141" s="39" t="s">
        <v>2312</v>
      </c>
      <c r="F1141" s="30" t="s">
        <v>30</v>
      </c>
      <c r="G1141" s="35">
        <v>0</v>
      </c>
      <c r="H1141" s="35" t="s">
        <v>73</v>
      </c>
      <c r="I1141" s="35" t="s">
        <v>2446</v>
      </c>
      <c r="J1141" s="35">
        <v>25</v>
      </c>
      <c r="K1141" s="35">
        <f>VALUE(COUNTIF(Validation!$A$2:$H$47,E1141))</f>
        <v>0</v>
      </c>
      <c r="L1141" s="361">
        <f t="shared" si="209"/>
        <v>700000</v>
      </c>
      <c r="M1141" s="361">
        <f t="shared" si="210"/>
        <v>0</v>
      </c>
      <c r="N1141" s="358">
        <v>700000</v>
      </c>
      <c r="O1141" s="358" t="s">
        <v>8</v>
      </c>
      <c r="P1141" s="358">
        <v>0</v>
      </c>
      <c r="Q1141" s="358">
        <v>0</v>
      </c>
      <c r="R1141" s="358">
        <v>0</v>
      </c>
      <c r="S1141" s="358">
        <v>0</v>
      </c>
      <c r="T1141" s="358">
        <v>0</v>
      </c>
      <c r="U1141" s="35">
        <f t="shared" si="204"/>
        <v>1</v>
      </c>
      <c r="W1141">
        <f t="shared" si="211"/>
        <v>1</v>
      </c>
      <c r="X1141" s="35">
        <f t="shared" si="205"/>
        <v>0</v>
      </c>
      <c r="Y1141">
        <f t="shared" si="206"/>
        <v>0</v>
      </c>
      <c r="AB1141">
        <f t="shared" si="214"/>
        <v>1</v>
      </c>
      <c r="AC1141">
        <f t="shared" ca="1" si="215"/>
        <v>0</v>
      </c>
      <c r="AD1141" t="str">
        <f ca="1">IF(AC1141=1,COUNTIF($AC$3:AC1141,1),"")</f>
        <v/>
      </c>
      <c r="AE1141" s="155" t="str">
        <f ca="1">IFERROR(INDEX(Données!$B$3:$B$1479,MATCH(ROWS($AD$3:AD1141),$AD$3:$AD$1479,0)),"")</f>
        <v/>
      </c>
    </row>
    <row r="1142" spans="1:31" ht="15.75" x14ac:dyDescent="0.25">
      <c r="A1142" t="str">
        <f t="shared" si="212"/>
        <v>Antoine Bibeau - SJS - G</v>
      </c>
      <c r="B1142" t="str">
        <f t="shared" si="213"/>
        <v>Antoine Bibeau - SJS - G</v>
      </c>
      <c r="C1142" t="str">
        <f t="shared" si="207"/>
        <v>Antoine</v>
      </c>
      <c r="D1142" t="str">
        <f t="shared" si="208"/>
        <v>Bibeau</v>
      </c>
      <c r="E1142" s="39" t="s">
        <v>2327</v>
      </c>
      <c r="F1142" s="30" t="s">
        <v>30</v>
      </c>
      <c r="G1142" s="35">
        <v>0</v>
      </c>
      <c r="H1142" s="35" t="s">
        <v>127</v>
      </c>
      <c r="I1142" s="35" t="s">
        <v>2446</v>
      </c>
      <c r="J1142" s="35">
        <v>25</v>
      </c>
      <c r="K1142" s="35">
        <f>VALUE(COUNTIF(Validation!$A$2:$H$47,E1142))</f>
        <v>0</v>
      </c>
      <c r="L1142" s="361">
        <f t="shared" si="209"/>
        <v>675000</v>
      </c>
      <c r="M1142" s="361">
        <f t="shared" si="210"/>
        <v>0</v>
      </c>
      <c r="N1142" s="358">
        <v>675000</v>
      </c>
      <c r="O1142" s="358" t="s">
        <v>8</v>
      </c>
      <c r="P1142" s="358">
        <v>0</v>
      </c>
      <c r="Q1142" s="358">
        <v>0</v>
      </c>
      <c r="R1142" s="358">
        <v>0</v>
      </c>
      <c r="S1142" s="358">
        <v>0</v>
      </c>
      <c r="T1142" s="358">
        <v>0</v>
      </c>
      <c r="U1142" s="35">
        <f t="shared" si="204"/>
        <v>1</v>
      </c>
      <c r="W1142">
        <f t="shared" si="211"/>
        <v>1</v>
      </c>
      <c r="X1142" s="35">
        <f t="shared" si="205"/>
        <v>0</v>
      </c>
      <c r="Y1142">
        <f t="shared" si="206"/>
        <v>0</v>
      </c>
      <c r="AB1142">
        <f t="shared" si="214"/>
        <v>1</v>
      </c>
      <c r="AC1142">
        <f t="shared" ca="1" si="215"/>
        <v>0</v>
      </c>
      <c r="AD1142" t="str">
        <f ca="1">IF(AC1142=1,COUNTIF($AC$3:AC1142,1),"")</f>
        <v/>
      </c>
      <c r="AE1142" s="155" t="str">
        <f ca="1">IFERROR(INDEX(Données!$B$3:$B$1479,MATCH(ROWS($AD$3:AD1142),$AD$3:$AD$1479,0)),"")</f>
        <v/>
      </c>
    </row>
    <row r="1143" spans="1:31" ht="15.75" x14ac:dyDescent="0.25">
      <c r="A1143" t="str">
        <f t="shared" si="212"/>
        <v>Radim Simek - SJS - DG</v>
      </c>
      <c r="B1143" t="str">
        <f t="shared" si="213"/>
        <v>Radim Simek - SJS - DG</v>
      </c>
      <c r="C1143" t="str">
        <f t="shared" si="207"/>
        <v>Radim</v>
      </c>
      <c r="D1143" t="str">
        <f t="shared" si="208"/>
        <v>Simek</v>
      </c>
      <c r="E1143" s="39" t="s">
        <v>2328</v>
      </c>
      <c r="F1143" s="30" t="s">
        <v>30</v>
      </c>
      <c r="G1143" s="35">
        <v>0</v>
      </c>
      <c r="H1143" s="35" t="s">
        <v>2445</v>
      </c>
      <c r="I1143" s="35" t="s">
        <v>2439</v>
      </c>
      <c r="J1143" s="35">
        <v>26</v>
      </c>
      <c r="K1143" s="35">
        <f>VALUE(COUNTIF(Validation!$A$2:$H$47,E1143))</f>
        <v>0</v>
      </c>
      <c r="L1143" s="361">
        <f t="shared" si="209"/>
        <v>675000</v>
      </c>
      <c r="M1143" s="361">
        <f t="shared" si="210"/>
        <v>0</v>
      </c>
      <c r="N1143" s="358">
        <v>675000</v>
      </c>
      <c r="O1143" s="358" t="s">
        <v>7</v>
      </c>
      <c r="P1143" s="358">
        <v>0</v>
      </c>
      <c r="Q1143" s="358">
        <v>0</v>
      </c>
      <c r="R1143" s="358">
        <v>0</v>
      </c>
      <c r="S1143" s="358">
        <v>0</v>
      </c>
      <c r="T1143" s="358">
        <v>0</v>
      </c>
      <c r="U1143" s="35">
        <f t="shared" si="204"/>
        <v>1</v>
      </c>
      <c r="W1143">
        <f t="shared" si="211"/>
        <v>1</v>
      </c>
      <c r="X1143" s="35">
        <f t="shared" si="205"/>
        <v>0</v>
      </c>
      <c r="Y1143">
        <f t="shared" si="206"/>
        <v>0</v>
      </c>
      <c r="AB1143">
        <f t="shared" si="214"/>
        <v>1</v>
      </c>
      <c r="AC1143">
        <f t="shared" ca="1" si="215"/>
        <v>0</v>
      </c>
      <c r="AD1143" t="str">
        <f ca="1">IF(AC1143=1,COUNTIF($AC$3:AC1143,1),"")</f>
        <v/>
      </c>
      <c r="AE1143" s="155" t="str">
        <f ca="1">IFERROR(INDEX(Données!$B$3:$B$1479,MATCH(ROWS($AD$3:AD1143),$AD$3:$AD$1479,0)),"")</f>
        <v/>
      </c>
    </row>
    <row r="1144" spans="1:31" ht="15.75" x14ac:dyDescent="0.25">
      <c r="A1144" t="str">
        <f t="shared" si="212"/>
        <v>Ryan O'Reilly - STL - C</v>
      </c>
      <c r="B1144" t="str">
        <f t="shared" si="213"/>
        <v>Ryan O'Reilly - STL - C</v>
      </c>
      <c r="C1144" t="str">
        <f t="shared" si="207"/>
        <v>Ryan</v>
      </c>
      <c r="D1144" t="str">
        <f t="shared" si="208"/>
        <v>O'Reilly</v>
      </c>
      <c r="E1144" s="39" t="s">
        <v>2045</v>
      </c>
      <c r="F1144" s="30" t="s">
        <v>31</v>
      </c>
      <c r="G1144" s="35">
        <v>0</v>
      </c>
      <c r="H1144" s="35" t="s">
        <v>73</v>
      </c>
      <c r="I1144" s="35" t="s">
        <v>2677</v>
      </c>
      <c r="J1144" s="35">
        <v>28</v>
      </c>
      <c r="K1144" s="35">
        <f>VALUE(COUNTIF(Validation!$A$2:$H$47,E1144))</f>
        <v>0</v>
      </c>
      <c r="L1144" s="361">
        <f t="shared" si="209"/>
        <v>7500000</v>
      </c>
      <c r="M1144" s="361">
        <f t="shared" si="210"/>
        <v>7500000</v>
      </c>
      <c r="N1144" s="358">
        <v>7500000</v>
      </c>
      <c r="O1144" s="358">
        <v>7500000</v>
      </c>
      <c r="P1144" s="358">
        <v>7500000</v>
      </c>
      <c r="Q1144" s="358">
        <v>7500000</v>
      </c>
      <c r="R1144" s="358" t="s">
        <v>7</v>
      </c>
      <c r="S1144" s="358">
        <v>0</v>
      </c>
      <c r="T1144" s="358">
        <v>0</v>
      </c>
      <c r="U1144" s="35">
        <f t="shared" si="204"/>
        <v>4</v>
      </c>
      <c r="W1144">
        <f t="shared" si="211"/>
        <v>1</v>
      </c>
      <c r="X1144" s="35">
        <f t="shared" si="205"/>
        <v>0</v>
      </c>
      <c r="Y1144">
        <f t="shared" si="206"/>
        <v>1</v>
      </c>
      <c r="AB1144">
        <f t="shared" si="214"/>
        <v>1</v>
      </c>
      <c r="AC1144">
        <f t="shared" ca="1" si="215"/>
        <v>0</v>
      </c>
      <c r="AD1144" t="str">
        <f ca="1">IF(AC1144=1,COUNTIF($AC$3:AC1144,1),"")</f>
        <v/>
      </c>
      <c r="AE1144" s="155" t="str">
        <f ca="1">IFERROR(INDEX(Données!$B$3:$B$1479,MATCH(ROWS($AD$3:AD1144),$AD$3:$AD$1479,0)),"")</f>
        <v/>
      </c>
    </row>
    <row r="1145" spans="1:31" ht="15.75" x14ac:dyDescent="0.25">
      <c r="A1145" t="str">
        <f t="shared" si="212"/>
        <v>Vladimir Tarasenko - STL - RW</v>
      </c>
      <c r="B1145" t="str">
        <f t="shared" si="213"/>
        <v>Vladimir Tarasenko - STL - RW</v>
      </c>
      <c r="C1145" t="str">
        <f t="shared" si="207"/>
        <v>Vladimir</v>
      </c>
      <c r="D1145" t="str">
        <f t="shared" si="208"/>
        <v>Tarasenko</v>
      </c>
      <c r="E1145" s="39" t="s">
        <v>2914</v>
      </c>
      <c r="F1145" s="30" t="s">
        <v>31</v>
      </c>
      <c r="G1145" s="35" t="s">
        <v>372</v>
      </c>
      <c r="H1145" s="35" t="s">
        <v>88</v>
      </c>
      <c r="I1145" s="35" t="s">
        <v>2677</v>
      </c>
      <c r="J1145" s="35">
        <v>27</v>
      </c>
      <c r="K1145" s="35">
        <f>VALUE(COUNTIF(Validation!$A$2:$H$47,E1145))</f>
        <v>0</v>
      </c>
      <c r="L1145" s="361">
        <f t="shared" si="209"/>
        <v>7500000</v>
      </c>
      <c r="M1145" s="361">
        <f t="shared" si="210"/>
        <v>7500000</v>
      </c>
      <c r="N1145" s="358">
        <v>7500000</v>
      </c>
      <c r="O1145" s="358">
        <v>7500000</v>
      </c>
      <c r="P1145" s="358">
        <v>7500000</v>
      </c>
      <c r="Q1145" s="358">
        <v>7500000</v>
      </c>
      <c r="R1145" s="358" t="s">
        <v>7</v>
      </c>
      <c r="S1145" s="358">
        <v>0</v>
      </c>
      <c r="T1145" s="358">
        <v>0</v>
      </c>
      <c r="U1145" s="35">
        <f t="shared" si="204"/>
        <v>4</v>
      </c>
      <c r="W1145">
        <f t="shared" si="211"/>
        <v>1</v>
      </c>
      <c r="X1145" s="35">
        <f t="shared" si="205"/>
        <v>0</v>
      </c>
      <c r="Y1145">
        <f t="shared" si="206"/>
        <v>1</v>
      </c>
      <c r="AB1145">
        <f t="shared" si="214"/>
        <v>1</v>
      </c>
      <c r="AC1145">
        <f t="shared" ca="1" si="215"/>
        <v>0</v>
      </c>
      <c r="AD1145" t="str">
        <f ca="1">IF(AC1145=1,COUNTIF($AC$3:AC1145,1),"")</f>
        <v/>
      </c>
      <c r="AE1145" s="155" t="str">
        <f ca="1">IFERROR(INDEX(Données!$B$3:$B$1479,MATCH(ROWS($AD$3:AD1145),$AD$3:$AD$1479,0)),"")</f>
        <v/>
      </c>
    </row>
    <row r="1146" spans="1:31" ht="15.75" x14ac:dyDescent="0.25">
      <c r="A1146" t="str">
        <f t="shared" si="212"/>
        <v>Alex Pietrangelo - STL - RD</v>
      </c>
      <c r="B1146" t="str">
        <f t="shared" si="213"/>
        <v>Alex Pietrangelo - STL - RD</v>
      </c>
      <c r="C1146" t="str">
        <f t="shared" si="207"/>
        <v>Alex</v>
      </c>
      <c r="D1146" t="str">
        <f t="shared" si="208"/>
        <v>Pietrangelo</v>
      </c>
      <c r="E1146" s="39" t="s">
        <v>2994</v>
      </c>
      <c r="F1146" s="30" t="s">
        <v>31</v>
      </c>
      <c r="G1146" s="35" t="s">
        <v>372</v>
      </c>
      <c r="H1146" s="9" t="s">
        <v>379</v>
      </c>
      <c r="I1146" s="9" t="s">
        <v>2677</v>
      </c>
      <c r="J1146" s="9">
        <v>29</v>
      </c>
      <c r="K1146" s="35">
        <f>VALUE(COUNTIF(Validation!$A$2:$H$47,E1146))</f>
        <v>0</v>
      </c>
      <c r="L1146" s="361">
        <f t="shared" si="209"/>
        <v>6500000</v>
      </c>
      <c r="M1146" s="361">
        <f t="shared" si="210"/>
        <v>0</v>
      </c>
      <c r="N1146" s="358">
        <v>6500000</v>
      </c>
      <c r="O1146" s="358" t="s">
        <v>7</v>
      </c>
      <c r="P1146" s="358">
        <v>0</v>
      </c>
      <c r="Q1146" s="358">
        <v>0</v>
      </c>
      <c r="R1146" s="358">
        <v>0</v>
      </c>
      <c r="S1146" s="358">
        <v>0</v>
      </c>
      <c r="T1146" s="358">
        <v>0</v>
      </c>
      <c r="U1146" s="35">
        <f t="shared" si="204"/>
        <v>1</v>
      </c>
      <c r="W1146">
        <f t="shared" si="211"/>
        <v>1</v>
      </c>
      <c r="X1146" s="35">
        <f t="shared" si="205"/>
        <v>0</v>
      </c>
      <c r="Y1146">
        <f t="shared" si="206"/>
        <v>0</v>
      </c>
      <c r="AB1146">
        <f t="shared" si="214"/>
        <v>1</v>
      </c>
      <c r="AC1146">
        <f t="shared" ca="1" si="215"/>
        <v>0</v>
      </c>
      <c r="AD1146" t="str">
        <f ca="1">IF(AC1146=1,COUNTIF($AC$3:AC1146,1),"")</f>
        <v/>
      </c>
      <c r="AE1146" s="155" t="str">
        <f ca="1">IFERROR(INDEX(Données!$B$3:$B$1479,MATCH(ROWS($AD$3:AD1146),$AD$3:$AD$1479,0)),"")</f>
        <v/>
      </c>
    </row>
    <row r="1147" spans="1:31" ht="15.75" x14ac:dyDescent="0.25">
      <c r="A1147" t="str">
        <f t="shared" si="212"/>
        <v>Alexander Steen - STL - LW, RW, C</v>
      </c>
      <c r="B1147" t="str">
        <f t="shared" si="213"/>
        <v>Alexander Steen - STL - LW, RW, C</v>
      </c>
      <c r="C1147" t="str">
        <f t="shared" si="207"/>
        <v>Alexander</v>
      </c>
      <c r="D1147" t="str">
        <f t="shared" si="208"/>
        <v>Steen</v>
      </c>
      <c r="E1147" s="39" t="s">
        <v>3004</v>
      </c>
      <c r="F1147" s="30" t="s">
        <v>31</v>
      </c>
      <c r="G1147" s="35" t="s">
        <v>372</v>
      </c>
      <c r="H1147" s="35" t="s">
        <v>2681</v>
      </c>
      <c r="I1147" s="35" t="s">
        <v>2677</v>
      </c>
      <c r="J1147" s="35">
        <v>35</v>
      </c>
      <c r="K1147" s="35">
        <f>VALUE(COUNTIF(Validation!$A$2:$H$47,E1147))</f>
        <v>0</v>
      </c>
      <c r="L1147" s="361">
        <f t="shared" si="209"/>
        <v>5750000</v>
      </c>
      <c r="M1147" s="361">
        <f t="shared" si="210"/>
        <v>5750000</v>
      </c>
      <c r="N1147" s="358">
        <v>5750000</v>
      </c>
      <c r="O1147" s="358">
        <v>5750000</v>
      </c>
      <c r="P1147" s="358" t="s">
        <v>7</v>
      </c>
      <c r="Q1147" s="358">
        <v>0</v>
      </c>
      <c r="R1147" s="358">
        <v>0</v>
      </c>
      <c r="S1147" s="358">
        <v>0</v>
      </c>
      <c r="T1147" s="358">
        <v>0</v>
      </c>
      <c r="U1147" s="35">
        <f t="shared" si="204"/>
        <v>2</v>
      </c>
      <c r="W1147">
        <f t="shared" si="211"/>
        <v>1</v>
      </c>
      <c r="X1147" s="35">
        <f t="shared" si="205"/>
        <v>0</v>
      </c>
      <c r="Y1147">
        <f t="shared" si="206"/>
        <v>1</v>
      </c>
      <c r="AB1147">
        <f t="shared" si="214"/>
        <v>1</v>
      </c>
      <c r="AC1147">
        <f t="shared" ca="1" si="215"/>
        <v>0</v>
      </c>
      <c r="AD1147" t="str">
        <f ca="1">IF(AC1147=1,COUNTIF($AC$3:AC1147,1),"")</f>
        <v/>
      </c>
      <c r="AE1147" s="155" t="str">
        <f ca="1">IFERROR(INDEX(Données!$B$3:$B$1479,MATCH(ROWS($AD$3:AD1147),$AD$3:$AD$1479,0)),"")</f>
        <v/>
      </c>
    </row>
    <row r="1148" spans="1:31" ht="15.75" x14ac:dyDescent="0.25">
      <c r="A1148" t="str">
        <f t="shared" si="212"/>
        <v>Colton Parayko - STL - RD</v>
      </c>
      <c r="B1148" t="str">
        <f t="shared" si="213"/>
        <v>Colton Parayko - STL - RD</v>
      </c>
      <c r="C1148" t="str">
        <f t="shared" si="207"/>
        <v>Colton</v>
      </c>
      <c r="D1148" t="str">
        <f t="shared" si="208"/>
        <v>Parayko</v>
      </c>
      <c r="E1148" s="39" t="s">
        <v>2054</v>
      </c>
      <c r="F1148" s="30" t="s">
        <v>31</v>
      </c>
      <c r="G1148" s="35">
        <v>0</v>
      </c>
      <c r="H1148" s="35" t="s">
        <v>379</v>
      </c>
      <c r="I1148" s="35" t="s">
        <v>2677</v>
      </c>
      <c r="J1148" s="35">
        <v>26</v>
      </c>
      <c r="K1148" s="35">
        <f>VALUE(COUNTIF(Validation!$A$2:$H$47,E1148))</f>
        <v>0</v>
      </c>
      <c r="L1148" s="361">
        <f t="shared" si="209"/>
        <v>5500000</v>
      </c>
      <c r="M1148" s="361">
        <f t="shared" si="210"/>
        <v>5500000</v>
      </c>
      <c r="N1148" s="358">
        <v>5500000</v>
      </c>
      <c r="O1148" s="358">
        <v>5500000</v>
      </c>
      <c r="P1148" s="358">
        <v>5500000</v>
      </c>
      <c r="Q1148" s="358" t="s">
        <v>7</v>
      </c>
      <c r="R1148" s="358">
        <v>0</v>
      </c>
      <c r="S1148" s="358">
        <v>0</v>
      </c>
      <c r="T1148" s="358">
        <v>0</v>
      </c>
      <c r="U1148" s="35">
        <f t="shared" si="204"/>
        <v>3</v>
      </c>
      <c r="W1148">
        <f t="shared" si="211"/>
        <v>1</v>
      </c>
      <c r="X1148" s="35">
        <f t="shared" si="205"/>
        <v>0</v>
      </c>
      <c r="Y1148">
        <f t="shared" si="206"/>
        <v>1</v>
      </c>
      <c r="AB1148">
        <f t="shared" si="214"/>
        <v>1</v>
      </c>
      <c r="AC1148">
        <f t="shared" ca="1" si="215"/>
        <v>0</v>
      </c>
      <c r="AD1148" t="str">
        <f ca="1">IF(AC1148=1,COUNTIF($AC$3:AC1148,1),"")</f>
        <v/>
      </c>
      <c r="AE1148" s="155" t="str">
        <f ca="1">IFERROR(INDEX(Données!$B$3:$B$1479,MATCH(ROWS($AD$3:AD1148),$AD$3:$AD$1479,0)),"")</f>
        <v/>
      </c>
    </row>
    <row r="1149" spans="1:31" ht="15.75" x14ac:dyDescent="0.25">
      <c r="A1149" t="str">
        <f t="shared" si="212"/>
        <v>Jaden Schwartz - STL - LW</v>
      </c>
      <c r="B1149" t="str">
        <f t="shared" si="213"/>
        <v>Jaden Schwartz - STL - LW</v>
      </c>
      <c r="C1149" t="str">
        <f t="shared" si="207"/>
        <v>Jaden</v>
      </c>
      <c r="D1149" t="str">
        <f t="shared" si="208"/>
        <v>Schwartz</v>
      </c>
      <c r="E1149" s="39" t="s">
        <v>2046</v>
      </c>
      <c r="F1149" s="30" t="s">
        <v>31</v>
      </c>
      <c r="G1149" s="35" t="s">
        <v>381</v>
      </c>
      <c r="H1149" s="35" t="s">
        <v>93</v>
      </c>
      <c r="I1149" s="35" t="s">
        <v>2677</v>
      </c>
      <c r="J1149" s="35">
        <v>27</v>
      </c>
      <c r="K1149" s="35">
        <f>VALUE(COUNTIF(Validation!$A$2:$H$47,E1149))</f>
        <v>0</v>
      </c>
      <c r="L1149" s="361">
        <f t="shared" si="209"/>
        <v>5350000</v>
      </c>
      <c r="M1149" s="361">
        <f t="shared" si="210"/>
        <v>5350000</v>
      </c>
      <c r="N1149" s="358">
        <v>5350000</v>
      </c>
      <c r="O1149" s="358">
        <v>5350000</v>
      </c>
      <c r="P1149" s="358" t="s">
        <v>7</v>
      </c>
      <c r="Q1149" s="358">
        <v>0</v>
      </c>
      <c r="R1149" s="358">
        <v>0</v>
      </c>
      <c r="S1149" s="358">
        <v>0</v>
      </c>
      <c r="T1149" s="358">
        <v>0</v>
      </c>
      <c r="U1149" s="35">
        <f t="shared" si="204"/>
        <v>2</v>
      </c>
      <c r="W1149">
        <f t="shared" si="211"/>
        <v>1</v>
      </c>
      <c r="X1149" s="35">
        <f t="shared" si="205"/>
        <v>0</v>
      </c>
      <c r="Y1149">
        <f t="shared" si="206"/>
        <v>1</v>
      </c>
      <c r="AB1149">
        <f t="shared" si="214"/>
        <v>1</v>
      </c>
      <c r="AC1149">
        <f t="shared" ca="1" si="215"/>
        <v>0</v>
      </c>
      <c r="AD1149" t="str">
        <f ca="1">IF(AC1149=1,COUNTIF($AC$3:AC1149,1),"")</f>
        <v/>
      </c>
      <c r="AE1149" s="155" t="str">
        <f ca="1">IFERROR(INDEX(Données!$B$3:$B$1479,MATCH(ROWS($AD$3:AD1149),$AD$3:$AD$1479,0)),"")</f>
        <v/>
      </c>
    </row>
    <row r="1150" spans="1:31" ht="15.75" x14ac:dyDescent="0.25">
      <c r="A1150" t="str">
        <f t="shared" si="212"/>
        <v>Brayden Schenn - STL - C, LW</v>
      </c>
      <c r="B1150" t="str">
        <f t="shared" si="213"/>
        <v>Brayden Schenn - STL - C, LW</v>
      </c>
      <c r="C1150" t="str">
        <f t="shared" si="207"/>
        <v>Brayden</v>
      </c>
      <c r="D1150" t="str">
        <f t="shared" si="208"/>
        <v>Schenn</v>
      </c>
      <c r="E1150" s="39" t="s">
        <v>2047</v>
      </c>
      <c r="F1150" s="30" t="s">
        <v>31</v>
      </c>
      <c r="G1150" s="35">
        <v>0</v>
      </c>
      <c r="H1150" s="35" t="s">
        <v>2679</v>
      </c>
      <c r="I1150" s="35" t="s">
        <v>2677</v>
      </c>
      <c r="J1150" s="35">
        <v>27</v>
      </c>
      <c r="K1150" s="35">
        <f>VALUE(COUNTIF(Validation!$A$2:$H$47,E1150))</f>
        <v>0</v>
      </c>
      <c r="L1150" s="361">
        <f t="shared" si="209"/>
        <v>5125000</v>
      </c>
      <c r="M1150" s="361">
        <f t="shared" si="210"/>
        <v>0</v>
      </c>
      <c r="N1150" s="358">
        <v>5125000</v>
      </c>
      <c r="O1150" s="358" t="s">
        <v>7</v>
      </c>
      <c r="P1150" s="358">
        <v>0</v>
      </c>
      <c r="Q1150" s="358">
        <v>0</v>
      </c>
      <c r="R1150" s="358">
        <v>0</v>
      </c>
      <c r="S1150" s="358">
        <v>0</v>
      </c>
      <c r="T1150" s="358">
        <v>0</v>
      </c>
      <c r="U1150" s="35">
        <f t="shared" ref="U1150:U1213" si="216">COUNTIF(N1150:T1150,"&gt;0")</f>
        <v>1</v>
      </c>
      <c r="W1150">
        <f t="shared" si="211"/>
        <v>1</v>
      </c>
      <c r="X1150" s="35">
        <f t="shared" si="205"/>
        <v>0</v>
      </c>
      <c r="Y1150">
        <f t="shared" si="206"/>
        <v>0</v>
      </c>
      <c r="AB1150">
        <f t="shared" si="214"/>
        <v>1</v>
      </c>
      <c r="AC1150">
        <f t="shared" ca="1" si="215"/>
        <v>0</v>
      </c>
      <c r="AD1150" t="str">
        <f ca="1">IF(AC1150=1,COUNTIF($AC$3:AC1150,1),"")</f>
        <v/>
      </c>
      <c r="AE1150" s="155" t="str">
        <f ca="1">IFERROR(INDEX(Données!$B$3:$B$1479,MATCH(ROWS($AD$3:AD1150),$AD$3:$AD$1479,0)),"")</f>
        <v/>
      </c>
    </row>
    <row r="1151" spans="1:31" ht="15.75" x14ac:dyDescent="0.25">
      <c r="A1151" t="str">
        <f t="shared" si="212"/>
        <v>Tyler Bozak - STL - C</v>
      </c>
      <c r="B1151" t="str">
        <f t="shared" si="213"/>
        <v>Tyler Bozak - STL - C</v>
      </c>
      <c r="C1151" t="str">
        <f t="shared" si="207"/>
        <v>Tyler</v>
      </c>
      <c r="D1151" t="str">
        <f t="shared" si="208"/>
        <v>Bozak</v>
      </c>
      <c r="E1151" s="39" t="s">
        <v>2048</v>
      </c>
      <c r="F1151" s="30" t="s">
        <v>31</v>
      </c>
      <c r="G1151" s="35" t="s">
        <v>381</v>
      </c>
      <c r="H1151" s="35" t="s">
        <v>73</v>
      </c>
      <c r="I1151" s="35" t="s">
        <v>2677</v>
      </c>
      <c r="J1151" s="35">
        <v>33</v>
      </c>
      <c r="K1151" s="35">
        <f>VALUE(COUNTIF(Validation!$A$2:$H$47,E1151))</f>
        <v>0</v>
      </c>
      <c r="L1151" s="361">
        <f t="shared" si="209"/>
        <v>5000000</v>
      </c>
      <c r="M1151" s="361">
        <f t="shared" si="210"/>
        <v>5000000</v>
      </c>
      <c r="N1151" s="358">
        <v>5000000</v>
      </c>
      <c r="O1151" s="358">
        <v>5000000</v>
      </c>
      <c r="P1151" s="358" t="s">
        <v>7</v>
      </c>
      <c r="Q1151" s="358">
        <v>0</v>
      </c>
      <c r="R1151" s="358">
        <v>0</v>
      </c>
      <c r="S1151" s="358">
        <v>0</v>
      </c>
      <c r="T1151" s="358">
        <v>0</v>
      </c>
      <c r="U1151" s="35">
        <f t="shared" si="216"/>
        <v>2</v>
      </c>
      <c r="W1151">
        <f t="shared" si="211"/>
        <v>1</v>
      </c>
      <c r="X1151" s="35">
        <f t="shared" ref="X1151:X1214" si="217">IF(LEFT(G1151,3)="ELC",1,0)</f>
        <v>0</v>
      </c>
      <c r="Y1151">
        <f t="shared" ref="Y1151:Y1214" si="218">IF(L1151=M1151,1,0)</f>
        <v>1</v>
      </c>
      <c r="AB1151">
        <f t="shared" si="214"/>
        <v>1</v>
      </c>
      <c r="AC1151">
        <f t="shared" ca="1" si="215"/>
        <v>0</v>
      </c>
      <c r="AD1151" t="str">
        <f ca="1">IF(AC1151=1,COUNTIF($AC$3:AC1151,1),"")</f>
        <v/>
      </c>
      <c r="AE1151" s="155" t="str">
        <f ca="1">IFERROR(INDEX(Données!$B$3:$B$1479,MATCH(ROWS($AD$3:AD1151),$AD$3:$AD$1479,0)),"")</f>
        <v/>
      </c>
    </row>
    <row r="1152" spans="1:31" ht="15.75" x14ac:dyDescent="0.25">
      <c r="A1152" t="str">
        <f t="shared" si="212"/>
        <v>Jordan Binnington - STL - G</v>
      </c>
      <c r="B1152" t="str">
        <f t="shared" si="213"/>
        <v>Jordan Binnington - STL - G</v>
      </c>
      <c r="C1152" t="str">
        <f t="shared" si="207"/>
        <v>Jordan</v>
      </c>
      <c r="D1152" t="str">
        <f t="shared" si="208"/>
        <v>Binnington</v>
      </c>
      <c r="E1152" s="39" t="s">
        <v>2080</v>
      </c>
      <c r="F1152" s="30" t="s">
        <v>31</v>
      </c>
      <c r="G1152" s="35">
        <v>0</v>
      </c>
      <c r="H1152" s="35" t="s">
        <v>127</v>
      </c>
      <c r="I1152" s="35" t="s">
        <v>2677</v>
      </c>
      <c r="J1152" s="35">
        <v>26</v>
      </c>
      <c r="K1152" s="35">
        <f>VALUE(COUNTIF(Validation!$A$2:$H$47,E1152))</f>
        <v>0</v>
      </c>
      <c r="L1152" s="361">
        <f t="shared" si="209"/>
        <v>4400000</v>
      </c>
      <c r="M1152" s="361">
        <f t="shared" si="210"/>
        <v>4400000</v>
      </c>
      <c r="N1152" s="358">
        <v>4400000</v>
      </c>
      <c r="O1152" s="358">
        <v>4400000</v>
      </c>
      <c r="P1152" s="358" t="s">
        <v>7</v>
      </c>
      <c r="Q1152" s="358">
        <v>0</v>
      </c>
      <c r="R1152" s="358">
        <v>0</v>
      </c>
      <c r="S1152" s="358">
        <v>0</v>
      </c>
      <c r="T1152" s="358">
        <v>0</v>
      </c>
      <c r="U1152" s="35">
        <f t="shared" si="216"/>
        <v>2</v>
      </c>
      <c r="W1152">
        <f t="shared" si="211"/>
        <v>1</v>
      </c>
      <c r="X1152" s="35">
        <f t="shared" si="217"/>
        <v>0</v>
      </c>
      <c r="Y1152">
        <f t="shared" si="218"/>
        <v>1</v>
      </c>
      <c r="AB1152">
        <f t="shared" si="214"/>
        <v>1</v>
      </c>
      <c r="AC1152">
        <f t="shared" ca="1" si="215"/>
        <v>0</v>
      </c>
      <c r="AD1152" t="str">
        <f ca="1">IF(AC1152=1,COUNTIF($AC$3:AC1152,1),"")</f>
        <v/>
      </c>
      <c r="AE1152" s="155" t="str">
        <f ca="1">IFERROR(INDEX(Données!$B$3:$B$1479,MATCH(ROWS($AD$3:AD1152),$AD$3:$AD$1479,0)),"")</f>
        <v/>
      </c>
    </row>
    <row r="1153" spans="1:31" ht="15.75" x14ac:dyDescent="0.25">
      <c r="A1153" t="str">
        <f t="shared" si="212"/>
        <v>Jake Allen - STL - G</v>
      </c>
      <c r="B1153" t="str">
        <f t="shared" si="213"/>
        <v>Jake Allen - STL - G</v>
      </c>
      <c r="C1153" t="str">
        <f t="shared" si="207"/>
        <v>Jake</v>
      </c>
      <c r="D1153" t="str">
        <f t="shared" si="208"/>
        <v>Allen</v>
      </c>
      <c r="E1153" s="39" t="s">
        <v>2061</v>
      </c>
      <c r="F1153" s="30" t="s">
        <v>31</v>
      </c>
      <c r="G1153" s="35">
        <v>0</v>
      </c>
      <c r="H1153" s="35" t="s">
        <v>127</v>
      </c>
      <c r="I1153" s="35" t="s">
        <v>2677</v>
      </c>
      <c r="J1153" s="35">
        <v>29</v>
      </c>
      <c r="K1153" s="35">
        <f>VALUE(COUNTIF(Validation!$A$2:$H$47,E1153))</f>
        <v>0</v>
      </c>
      <c r="L1153" s="361">
        <f t="shared" si="209"/>
        <v>4350000</v>
      </c>
      <c r="M1153" s="361">
        <f t="shared" si="210"/>
        <v>4350000</v>
      </c>
      <c r="N1153" s="358">
        <v>4350000</v>
      </c>
      <c r="O1153" s="358">
        <v>4350000</v>
      </c>
      <c r="P1153" s="358" t="s">
        <v>7</v>
      </c>
      <c r="Q1153" s="358">
        <v>0</v>
      </c>
      <c r="R1153" s="358">
        <v>0</v>
      </c>
      <c r="S1153" s="358">
        <v>0</v>
      </c>
      <c r="T1153" s="358">
        <v>0</v>
      </c>
      <c r="U1153" s="35">
        <f t="shared" si="216"/>
        <v>2</v>
      </c>
      <c r="W1153">
        <f t="shared" si="211"/>
        <v>1</v>
      </c>
      <c r="X1153" s="35">
        <f t="shared" si="217"/>
        <v>0</v>
      </c>
      <c r="Y1153">
        <f t="shared" si="218"/>
        <v>1</v>
      </c>
      <c r="AB1153">
        <f t="shared" si="214"/>
        <v>1</v>
      </c>
      <c r="AC1153">
        <f t="shared" ca="1" si="215"/>
        <v>0</v>
      </c>
      <c r="AD1153" t="str">
        <f ca="1">IF(AC1153=1,COUNTIF($AC$3:AC1153,1),"")</f>
        <v/>
      </c>
      <c r="AE1153" s="155" t="str">
        <f ca="1">IFERROR(INDEX(Données!$B$3:$B$1479,MATCH(ROWS($AD$3:AD1153),$AD$3:$AD$1479,0)),"")</f>
        <v/>
      </c>
    </row>
    <row r="1154" spans="1:31" ht="15.75" x14ac:dyDescent="0.25">
      <c r="A1154" t="str">
        <f t="shared" si="212"/>
        <v>David Perron - STL - RW, LW</v>
      </c>
      <c r="B1154" t="str">
        <f t="shared" si="213"/>
        <v>David Perron - STL - RW, LW</v>
      </c>
      <c r="C1154" t="str">
        <f t="shared" si="207"/>
        <v>David</v>
      </c>
      <c r="D1154" t="str">
        <f t="shared" si="208"/>
        <v>Perron</v>
      </c>
      <c r="E1154" s="39" t="s">
        <v>2049</v>
      </c>
      <c r="F1154" s="30" t="s">
        <v>31</v>
      </c>
      <c r="G1154" s="35" t="s">
        <v>381</v>
      </c>
      <c r="H1154" s="9" t="s">
        <v>2680</v>
      </c>
      <c r="I1154" s="9" t="s">
        <v>2677</v>
      </c>
      <c r="J1154" s="9">
        <v>31</v>
      </c>
      <c r="K1154" s="35">
        <f>VALUE(COUNTIF(Validation!$A$2:$H$47,E1154))</f>
        <v>0</v>
      </c>
      <c r="L1154" s="361">
        <f t="shared" si="209"/>
        <v>4000000</v>
      </c>
      <c r="M1154" s="361">
        <f t="shared" si="210"/>
        <v>4000000</v>
      </c>
      <c r="N1154" s="358">
        <v>4000000</v>
      </c>
      <c r="O1154" s="358">
        <v>4000000</v>
      </c>
      <c r="P1154" s="358">
        <v>4000000</v>
      </c>
      <c r="Q1154" s="358" t="s">
        <v>7</v>
      </c>
      <c r="R1154" s="358">
        <v>0</v>
      </c>
      <c r="S1154" s="358">
        <v>0</v>
      </c>
      <c r="T1154" s="358">
        <v>0</v>
      </c>
      <c r="U1154" s="35">
        <f t="shared" si="216"/>
        <v>3</v>
      </c>
      <c r="W1154">
        <f t="shared" si="211"/>
        <v>1</v>
      </c>
      <c r="X1154" s="35">
        <f t="shared" si="217"/>
        <v>0</v>
      </c>
      <c r="Y1154">
        <f t="shared" si="218"/>
        <v>1</v>
      </c>
      <c r="AB1154">
        <f t="shared" si="214"/>
        <v>1</v>
      </c>
      <c r="AC1154">
        <f t="shared" ca="1" si="215"/>
        <v>0</v>
      </c>
      <c r="AD1154" t="str">
        <f ca="1">IF(AC1154=1,COUNTIF($AC$3:AC1154,1),"")</f>
        <v/>
      </c>
      <c r="AE1154" s="155" t="str">
        <f ca="1">IFERROR(INDEX(Données!$B$3:$B$1479,MATCH(ROWS($AD$3:AD1154),$AD$3:$AD$1479,0)),"")</f>
        <v/>
      </c>
    </row>
    <row r="1155" spans="1:31" ht="15.75" x14ac:dyDescent="0.25">
      <c r="A1155" t="str">
        <f t="shared" si="212"/>
        <v>Jay Bouwmeester - STL - LD</v>
      </c>
      <c r="B1155" t="str">
        <f t="shared" si="213"/>
        <v>Jay Bouwmeester - STL - LD</v>
      </c>
      <c r="C1155" t="str">
        <f t="shared" ref="C1155:C1218" si="219">RIGHT(E1155,(LEN(E1155)-1)-SEARCH(",",E1155,1))</f>
        <v>Jay</v>
      </c>
      <c r="D1155" t="str">
        <f t="shared" ref="D1155:D1218" si="220">LEFT(E1155,SEARCH(",",E1155,1)-1)</f>
        <v>Bouwmeester</v>
      </c>
      <c r="E1155" s="39" t="s">
        <v>2055</v>
      </c>
      <c r="F1155" s="30" t="s">
        <v>31</v>
      </c>
      <c r="G1155" s="35" t="s">
        <v>2683</v>
      </c>
      <c r="H1155" s="35" t="s">
        <v>380</v>
      </c>
      <c r="I1155" s="35" t="s">
        <v>2677</v>
      </c>
      <c r="J1155" s="35">
        <v>35</v>
      </c>
      <c r="K1155" s="35">
        <f>VALUE(COUNTIF(Validation!$A$2:$H$47,E1155))</f>
        <v>0</v>
      </c>
      <c r="L1155" s="361">
        <f t="shared" ref="L1155:L1218" si="221">IF(OR(N1155="RFA",N1155="UFA",N1155="",N1155=0),0,N1155)</f>
        <v>3500000</v>
      </c>
      <c r="M1155" s="361">
        <f t="shared" ref="M1155:M1218" si="222">IF(OR(O1155="RFA",O1155="UFA",O1155="",O1155=0),0,O1155)</f>
        <v>0</v>
      </c>
      <c r="N1155" s="358">
        <v>3500000</v>
      </c>
      <c r="O1155" s="358" t="s">
        <v>7</v>
      </c>
      <c r="P1155" s="358">
        <v>0</v>
      </c>
      <c r="Q1155" s="358">
        <v>0</v>
      </c>
      <c r="R1155" s="358">
        <v>0</v>
      </c>
      <c r="S1155" s="358">
        <v>0</v>
      </c>
      <c r="T1155" s="358">
        <v>0</v>
      </c>
      <c r="U1155" s="35">
        <f t="shared" si="216"/>
        <v>1</v>
      </c>
      <c r="W1155">
        <f t="shared" ref="W1155:W1218" si="223">COUNTIF($E$3:$E$1479,E1155)</f>
        <v>1</v>
      </c>
      <c r="X1155" s="35">
        <f t="shared" si="217"/>
        <v>0</v>
      </c>
      <c r="Y1155">
        <f t="shared" si="218"/>
        <v>0</v>
      </c>
      <c r="AB1155">
        <f t="shared" si="214"/>
        <v>1</v>
      </c>
      <c r="AC1155">
        <f t="shared" ca="1" si="215"/>
        <v>0</v>
      </c>
      <c r="AD1155" t="str">
        <f ca="1">IF(AC1155=1,COUNTIF($AC$3:AC1155,1),"")</f>
        <v/>
      </c>
      <c r="AE1155" s="155" t="str">
        <f ca="1">IFERROR(INDEX(Données!$B$3:$B$1479,MATCH(ROWS($AD$3:AD1155),$AD$3:$AD$1479,0)),"")</f>
        <v/>
      </c>
    </row>
    <row r="1156" spans="1:31" ht="15.75" x14ac:dyDescent="0.25">
      <c r="A1156" t="str">
        <f t="shared" ref="A1156:A1219" si="224">C1156&amp;" "&amp;D1156&amp;" - "&amp;F1156&amp;" - "&amp;H1156</f>
        <v>Joel Edmundson - STL - LD</v>
      </c>
      <c r="B1156" t="str">
        <f t="shared" ref="B1156:B1219" si="225">A1156</f>
        <v>Joel Edmundson - STL - LD</v>
      </c>
      <c r="C1156" t="str">
        <f t="shared" si="219"/>
        <v>Joel</v>
      </c>
      <c r="D1156" t="str">
        <f t="shared" si="220"/>
        <v>Edmundson</v>
      </c>
      <c r="E1156" s="39" t="s">
        <v>2056</v>
      </c>
      <c r="F1156" s="35" t="s">
        <v>31</v>
      </c>
      <c r="G1156" s="35">
        <v>0</v>
      </c>
      <c r="H1156" s="35" t="s">
        <v>380</v>
      </c>
      <c r="I1156" s="35" t="s">
        <v>2677</v>
      </c>
      <c r="J1156" s="35">
        <v>26</v>
      </c>
      <c r="K1156" s="35">
        <f>VALUE(COUNTIF(Validation!$A$2:$H$47,E1156))</f>
        <v>0</v>
      </c>
      <c r="L1156" s="361">
        <f t="shared" si="221"/>
        <v>3100000</v>
      </c>
      <c r="M1156" s="361">
        <f t="shared" si="222"/>
        <v>0</v>
      </c>
      <c r="N1156" s="358">
        <v>3100000</v>
      </c>
      <c r="O1156" s="358" t="s">
        <v>7</v>
      </c>
      <c r="P1156" s="358">
        <v>0</v>
      </c>
      <c r="Q1156" s="358">
        <v>0</v>
      </c>
      <c r="R1156" s="358">
        <v>0</v>
      </c>
      <c r="S1156" s="358">
        <v>0</v>
      </c>
      <c r="T1156" s="358">
        <v>0</v>
      </c>
      <c r="U1156" s="35">
        <f t="shared" si="216"/>
        <v>1</v>
      </c>
      <c r="W1156">
        <f t="shared" si="223"/>
        <v>1</v>
      </c>
      <c r="X1156" s="35">
        <f t="shared" si="217"/>
        <v>0</v>
      </c>
      <c r="Y1156">
        <f t="shared" si="218"/>
        <v>0</v>
      </c>
      <c r="AB1156">
        <f t="shared" ref="AB1156:AB1219" si="226">SEARCH(AA1156,A1156)</f>
        <v>1</v>
      </c>
      <c r="AC1156">
        <f t="shared" ca="1" si="215"/>
        <v>0</v>
      </c>
      <c r="AD1156" t="str">
        <f ca="1">IF(AC1156=1,COUNTIF($AC$3:AC1156,1),"")</f>
        <v/>
      </c>
      <c r="AE1156" s="155" t="str">
        <f ca="1">IFERROR(INDEX(Données!$B$3:$B$1479,MATCH(ROWS($AD$3:AD1156),$AD$3:$AD$1479,0)),"")</f>
        <v/>
      </c>
    </row>
    <row r="1157" spans="1:31" ht="15.75" x14ac:dyDescent="0.25">
      <c r="A1157" t="str">
        <f t="shared" si="224"/>
        <v>Oskar Sundqvist - STL - C, RW</v>
      </c>
      <c r="B1157" t="str">
        <f t="shared" si="225"/>
        <v>Oskar Sundqvist - STL - C, RW</v>
      </c>
      <c r="C1157" t="str">
        <f t="shared" si="219"/>
        <v>Oskar</v>
      </c>
      <c r="D1157" t="str">
        <f t="shared" si="220"/>
        <v>Sundqvist</v>
      </c>
      <c r="E1157" s="39" t="s">
        <v>2052</v>
      </c>
      <c r="F1157" s="30" t="s">
        <v>31</v>
      </c>
      <c r="G1157" s="35">
        <v>0</v>
      </c>
      <c r="H1157" s="35" t="s">
        <v>2684</v>
      </c>
      <c r="I1157" s="35" t="s">
        <v>2677</v>
      </c>
      <c r="J1157" s="35">
        <v>25</v>
      </c>
      <c r="K1157" s="35">
        <f>VALUE(COUNTIF(Validation!$A$2:$H$47,E1157))</f>
        <v>0</v>
      </c>
      <c r="L1157" s="361">
        <f t="shared" si="221"/>
        <v>2750000</v>
      </c>
      <c r="M1157" s="361">
        <f t="shared" si="222"/>
        <v>2750000</v>
      </c>
      <c r="N1157" s="358">
        <v>2750000</v>
      </c>
      <c r="O1157" s="358">
        <v>2750000</v>
      </c>
      <c r="P1157" s="358">
        <v>2750000</v>
      </c>
      <c r="Q1157" s="358">
        <v>2750000</v>
      </c>
      <c r="R1157" s="358" t="s">
        <v>7</v>
      </c>
      <c r="S1157" s="358">
        <v>0</v>
      </c>
      <c r="T1157" s="358">
        <v>0</v>
      </c>
      <c r="U1157" s="35">
        <f t="shared" si="216"/>
        <v>4</v>
      </c>
      <c r="W1157">
        <f t="shared" si="223"/>
        <v>1</v>
      </c>
      <c r="X1157" s="35">
        <f t="shared" si="217"/>
        <v>0</v>
      </c>
      <c r="Y1157">
        <f t="shared" si="218"/>
        <v>1</v>
      </c>
      <c r="AB1157">
        <f t="shared" si="226"/>
        <v>1</v>
      </c>
      <c r="AC1157">
        <f t="shared" ref="AC1157:AC1220" ca="1" si="227">IFERROR(SEARCH(INDIRECT(CELL("adresse")),B1157,1),0)</f>
        <v>0</v>
      </c>
      <c r="AD1157" t="str">
        <f ca="1">IF(AC1157=1,COUNTIF($AC$3:AC1157,1),"")</f>
        <v/>
      </c>
      <c r="AE1157" s="155" t="str">
        <f ca="1">IFERROR(INDEX(Données!$B$3:$B$1479,MATCH(ROWS($AD$3:AD1157),$AD$3:$AD$1479,0)),"")</f>
        <v/>
      </c>
    </row>
    <row r="1158" spans="1:31" ht="15.75" x14ac:dyDescent="0.25">
      <c r="A1158" t="str">
        <f t="shared" si="224"/>
        <v>Carl Gunnarsson - STL - LD</v>
      </c>
      <c r="B1158" t="str">
        <f t="shared" si="225"/>
        <v>Carl Gunnarsson - STL - LD</v>
      </c>
      <c r="C1158" t="str">
        <f t="shared" si="219"/>
        <v>Carl</v>
      </c>
      <c r="D1158" t="str">
        <f t="shared" si="220"/>
        <v>Gunnarsson</v>
      </c>
      <c r="E1158" s="39" t="s">
        <v>2057</v>
      </c>
      <c r="F1158" s="30" t="s">
        <v>31</v>
      </c>
      <c r="G1158" s="35" t="s">
        <v>381</v>
      </c>
      <c r="H1158" s="35" t="s">
        <v>380</v>
      </c>
      <c r="I1158" s="35" t="s">
        <v>2677</v>
      </c>
      <c r="J1158" s="35">
        <v>32</v>
      </c>
      <c r="K1158" s="35">
        <f>VALUE(COUNTIF(Validation!$A$2:$H$47,E1158))</f>
        <v>0</v>
      </c>
      <c r="L1158" s="361">
        <f t="shared" si="221"/>
        <v>1750000</v>
      </c>
      <c r="M1158" s="361">
        <f t="shared" si="222"/>
        <v>1750000</v>
      </c>
      <c r="N1158" s="358">
        <v>1750000</v>
      </c>
      <c r="O1158" s="358">
        <v>1750000</v>
      </c>
      <c r="P1158" s="358" t="s">
        <v>7</v>
      </c>
      <c r="Q1158" s="358">
        <v>0</v>
      </c>
      <c r="R1158" s="358">
        <v>0</v>
      </c>
      <c r="S1158" s="358">
        <v>0</v>
      </c>
      <c r="T1158" s="358">
        <v>0</v>
      </c>
      <c r="U1158" s="35">
        <f t="shared" si="216"/>
        <v>2</v>
      </c>
      <c r="W1158">
        <f t="shared" si="223"/>
        <v>1</v>
      </c>
      <c r="X1158" s="35">
        <f t="shared" si="217"/>
        <v>0</v>
      </c>
      <c r="Y1158">
        <f t="shared" si="218"/>
        <v>1</v>
      </c>
      <c r="AB1158">
        <f t="shared" si="226"/>
        <v>1</v>
      </c>
      <c r="AC1158">
        <f t="shared" ca="1" si="227"/>
        <v>0</v>
      </c>
      <c r="AD1158" t="str">
        <f ca="1">IF(AC1158=1,COUNTIF($AC$3:AC1158,1),"")</f>
        <v/>
      </c>
      <c r="AE1158" s="155" t="str">
        <f ca="1">IFERROR(INDEX(Données!$B$3:$B$1479,MATCH(ROWS($AD$3:AD1158),$AD$3:$AD$1479,0)),"")</f>
        <v/>
      </c>
    </row>
    <row r="1159" spans="1:31" ht="15.75" x14ac:dyDescent="0.25">
      <c r="A1159" t="str">
        <f t="shared" si="224"/>
        <v>Zachary Sanford - STL - LW</v>
      </c>
      <c r="B1159" t="str">
        <f t="shared" si="225"/>
        <v>Zachary Sanford - STL - LW</v>
      </c>
      <c r="C1159" t="str">
        <f t="shared" si="219"/>
        <v>Zachary</v>
      </c>
      <c r="D1159" t="str">
        <f t="shared" si="220"/>
        <v>Sanford</v>
      </c>
      <c r="E1159" s="39" t="s">
        <v>2068</v>
      </c>
      <c r="F1159" s="30" t="s">
        <v>31</v>
      </c>
      <c r="G1159" s="35">
        <v>0</v>
      </c>
      <c r="H1159" s="35" t="s">
        <v>93</v>
      </c>
      <c r="I1159" s="35" t="s">
        <v>2677</v>
      </c>
      <c r="J1159" s="35">
        <v>24</v>
      </c>
      <c r="K1159" s="35">
        <f>VALUE(COUNTIF(Validation!$A$2:$H$47,E1159))</f>
        <v>0</v>
      </c>
      <c r="L1159" s="361">
        <f t="shared" si="221"/>
        <v>1500000</v>
      </c>
      <c r="M1159" s="361">
        <f t="shared" si="222"/>
        <v>1500000</v>
      </c>
      <c r="N1159" s="358">
        <v>1500000</v>
      </c>
      <c r="O1159" s="358">
        <v>1500000</v>
      </c>
      <c r="P1159" s="358" t="s">
        <v>8</v>
      </c>
      <c r="Q1159" s="358">
        <v>0</v>
      </c>
      <c r="R1159" s="358">
        <v>0</v>
      </c>
      <c r="S1159" s="358">
        <v>0</v>
      </c>
      <c r="T1159" s="358">
        <v>0</v>
      </c>
      <c r="U1159" s="35">
        <f t="shared" si="216"/>
        <v>2</v>
      </c>
      <c r="W1159">
        <f t="shared" si="223"/>
        <v>1</v>
      </c>
      <c r="X1159" s="35">
        <f t="shared" si="217"/>
        <v>0</v>
      </c>
      <c r="Y1159">
        <f t="shared" si="218"/>
        <v>1</v>
      </c>
      <c r="AB1159">
        <f t="shared" si="226"/>
        <v>1</v>
      </c>
      <c r="AC1159">
        <f t="shared" ca="1" si="227"/>
        <v>0</v>
      </c>
      <c r="AD1159" t="str">
        <f ca="1">IF(AC1159=1,COUNTIF($AC$3:AC1159,1),"")</f>
        <v/>
      </c>
      <c r="AE1159" s="155" t="str">
        <f ca="1">IFERROR(INDEX(Données!$B$3:$B$1479,MATCH(ROWS($AD$3:AD1159),$AD$3:$AD$1479,0)),"")</f>
        <v/>
      </c>
    </row>
    <row r="1160" spans="1:31" ht="15.75" x14ac:dyDescent="0.25">
      <c r="A1160" t="str">
        <f t="shared" si="224"/>
        <v>Robert Bortuzzo - STL - RD</v>
      </c>
      <c r="B1160" t="str">
        <f t="shared" si="225"/>
        <v>Robert Bortuzzo - STL - RD</v>
      </c>
      <c r="C1160" t="str">
        <f t="shared" si="219"/>
        <v>Robert</v>
      </c>
      <c r="D1160" t="str">
        <f t="shared" si="220"/>
        <v>Bortuzzo</v>
      </c>
      <c r="E1160" s="39" t="s">
        <v>2058</v>
      </c>
      <c r="F1160" s="30" t="s">
        <v>31</v>
      </c>
      <c r="G1160" s="35">
        <v>0</v>
      </c>
      <c r="H1160" s="35" t="s">
        <v>379</v>
      </c>
      <c r="I1160" s="35" t="s">
        <v>2677</v>
      </c>
      <c r="J1160" s="35">
        <v>30</v>
      </c>
      <c r="K1160" s="35">
        <f>VALUE(COUNTIF(Validation!$A$2:$H$47,E1160))</f>
        <v>0</v>
      </c>
      <c r="L1160" s="361">
        <f t="shared" si="221"/>
        <v>1375000</v>
      </c>
      <c r="M1160" s="361">
        <f t="shared" si="222"/>
        <v>1375000</v>
      </c>
      <c r="N1160" s="358">
        <v>1375000</v>
      </c>
      <c r="O1160" s="358">
        <v>1375000</v>
      </c>
      <c r="P1160" s="358">
        <v>1375000</v>
      </c>
      <c r="Q1160" s="358" t="s">
        <v>7</v>
      </c>
      <c r="R1160" s="358">
        <v>0</v>
      </c>
      <c r="S1160" s="358">
        <v>0</v>
      </c>
      <c r="T1160" s="358">
        <v>0</v>
      </c>
      <c r="U1160" s="35">
        <f t="shared" si="216"/>
        <v>3</v>
      </c>
      <c r="W1160">
        <f t="shared" si="223"/>
        <v>1</v>
      </c>
      <c r="X1160" s="35">
        <f t="shared" si="217"/>
        <v>0</v>
      </c>
      <c r="Y1160">
        <f t="shared" si="218"/>
        <v>1</v>
      </c>
      <c r="AB1160">
        <f t="shared" si="226"/>
        <v>1</v>
      </c>
      <c r="AC1160">
        <f t="shared" ca="1" si="227"/>
        <v>0</v>
      </c>
      <c r="AD1160" t="str">
        <f ca="1">IF(AC1160=1,COUNTIF($AC$3:AC1160,1),"")</f>
        <v/>
      </c>
      <c r="AE1160" s="155" t="str">
        <f ca="1">IFERROR(INDEX(Données!$B$3:$B$1479,MATCH(ROWS($AD$3:AD1160),$AD$3:$AD$1479,0)),"")</f>
        <v/>
      </c>
    </row>
    <row r="1161" spans="1:31" ht="15.75" x14ac:dyDescent="0.25">
      <c r="A1161" t="str">
        <f t="shared" si="224"/>
        <v>Robert Thomas - STL - RW, C</v>
      </c>
      <c r="B1161" t="str">
        <f t="shared" si="225"/>
        <v>Robert Thomas - STL - RW, C</v>
      </c>
      <c r="C1161" t="str">
        <f t="shared" si="219"/>
        <v>Robert</v>
      </c>
      <c r="D1161" t="str">
        <f t="shared" si="220"/>
        <v>Thomas</v>
      </c>
      <c r="E1161" s="39" t="s">
        <v>2067</v>
      </c>
      <c r="F1161" s="30" t="s">
        <v>31</v>
      </c>
      <c r="G1161" s="35" t="s">
        <v>386</v>
      </c>
      <c r="H1161" s="35" t="s">
        <v>2678</v>
      </c>
      <c r="I1161" s="35" t="s">
        <v>2677</v>
      </c>
      <c r="J1161" s="35">
        <v>20</v>
      </c>
      <c r="K1161" s="35">
        <f>VALUE(COUNTIF(Validation!$A$2:$H$47,E1161))</f>
        <v>0</v>
      </c>
      <c r="L1161" s="361">
        <f t="shared" si="221"/>
        <v>1177500</v>
      </c>
      <c r="M1161" s="361">
        <f t="shared" si="222"/>
        <v>1177500</v>
      </c>
      <c r="N1161" s="358">
        <v>1177500</v>
      </c>
      <c r="O1161" s="358">
        <v>1177500</v>
      </c>
      <c r="P1161" s="358" t="s">
        <v>8</v>
      </c>
      <c r="Q1161" s="358">
        <v>0</v>
      </c>
      <c r="R1161" s="358">
        <v>0</v>
      </c>
      <c r="S1161" s="358">
        <v>0</v>
      </c>
      <c r="T1161" s="358">
        <v>0</v>
      </c>
      <c r="U1161" s="35">
        <f t="shared" si="216"/>
        <v>2</v>
      </c>
      <c r="W1161">
        <f t="shared" si="223"/>
        <v>1</v>
      </c>
      <c r="X1161" s="35">
        <f t="shared" si="217"/>
        <v>1</v>
      </c>
      <c r="Y1161">
        <f t="shared" si="218"/>
        <v>1</v>
      </c>
      <c r="AB1161">
        <f t="shared" si="226"/>
        <v>1</v>
      </c>
      <c r="AC1161">
        <f t="shared" ca="1" si="227"/>
        <v>0</v>
      </c>
      <c r="AD1161" t="str">
        <f ca="1">IF(AC1161=1,COUNTIF($AC$3:AC1161,1),"")</f>
        <v/>
      </c>
      <c r="AE1161" s="155" t="str">
        <f ca="1">IFERROR(INDEX(Données!$B$3:$B$1479,MATCH(ROWS($AD$3:AD1161),$AD$3:$AD$1479,0)),"")</f>
        <v/>
      </c>
    </row>
    <row r="1162" spans="1:31" ht="15.75" x14ac:dyDescent="0.25">
      <c r="A1162" t="str">
        <f t="shared" si="224"/>
        <v>Dominik Bokk - STL - LW, RW</v>
      </c>
      <c r="B1162" t="str">
        <f t="shared" si="225"/>
        <v>Dominik Bokk - STL - LW, RW</v>
      </c>
      <c r="C1162" t="str">
        <f t="shared" si="219"/>
        <v>Dominik</v>
      </c>
      <c r="D1162" t="str">
        <f t="shared" si="220"/>
        <v>Bokk</v>
      </c>
      <c r="E1162" s="39" t="s">
        <v>2064</v>
      </c>
      <c r="F1162" s="30" t="s">
        <v>31</v>
      </c>
      <c r="G1162" s="35" t="s">
        <v>386</v>
      </c>
      <c r="H1162" s="35" t="s">
        <v>2689</v>
      </c>
      <c r="I1162" s="35" t="s">
        <v>2690</v>
      </c>
      <c r="J1162" s="35">
        <v>19</v>
      </c>
      <c r="K1162" s="35">
        <f>VALUE(COUNTIF(Validation!$A$2:$H$47,E1162))</f>
        <v>0</v>
      </c>
      <c r="L1162" s="361">
        <f t="shared" si="221"/>
        <v>1106667</v>
      </c>
      <c r="M1162" s="361">
        <f t="shared" si="222"/>
        <v>1106667</v>
      </c>
      <c r="N1162" s="358">
        <v>1106667</v>
      </c>
      <c r="O1162" s="358">
        <v>1106667</v>
      </c>
      <c r="P1162" s="358">
        <v>1106667</v>
      </c>
      <c r="Q1162" s="358" t="s">
        <v>8</v>
      </c>
      <c r="R1162" s="358">
        <v>0</v>
      </c>
      <c r="S1162" s="358">
        <v>0</v>
      </c>
      <c r="T1162" s="358">
        <v>0</v>
      </c>
      <c r="U1162" s="35">
        <f t="shared" si="216"/>
        <v>3</v>
      </c>
      <c r="W1162">
        <f t="shared" si="223"/>
        <v>1</v>
      </c>
      <c r="X1162" s="35">
        <f t="shared" si="217"/>
        <v>1</v>
      </c>
      <c r="Y1162">
        <f t="shared" si="218"/>
        <v>1</v>
      </c>
      <c r="AB1162">
        <f t="shared" si="226"/>
        <v>1</v>
      </c>
      <c r="AC1162">
        <f t="shared" ca="1" si="227"/>
        <v>0</v>
      </c>
      <c r="AD1162" t="str">
        <f ca="1">IF(AC1162=1,COUNTIF($AC$3:AC1162,1),"")</f>
        <v/>
      </c>
      <c r="AE1162" s="155" t="str">
        <f ca="1">IFERROR(INDEX(Données!$B$3:$B$1479,MATCH(ROWS($AD$3:AD1162),$AD$3:$AD$1479,0)),"")</f>
        <v/>
      </c>
    </row>
    <row r="1163" spans="1:31" ht="15.75" x14ac:dyDescent="0.25">
      <c r="A1163" t="str">
        <f t="shared" si="224"/>
        <v>Klim Kostin - STL - RW</v>
      </c>
      <c r="B1163" t="str">
        <f t="shared" si="225"/>
        <v>Klim Kostin - STL - RW</v>
      </c>
      <c r="C1163" t="str">
        <f t="shared" si="219"/>
        <v>Klim</v>
      </c>
      <c r="D1163" t="str">
        <f t="shared" si="220"/>
        <v>Kostin</v>
      </c>
      <c r="E1163" s="39" t="s">
        <v>2066</v>
      </c>
      <c r="F1163" s="30" t="s">
        <v>31</v>
      </c>
      <c r="G1163" s="35" t="s">
        <v>386</v>
      </c>
      <c r="H1163" s="35" t="s">
        <v>88</v>
      </c>
      <c r="I1163" s="35" t="s">
        <v>2690</v>
      </c>
      <c r="J1163" s="35">
        <v>20</v>
      </c>
      <c r="K1163" s="35">
        <f>VALUE(COUNTIF(Validation!$A$2:$H$47,E1163))</f>
        <v>0</v>
      </c>
      <c r="L1163" s="361">
        <f t="shared" si="221"/>
        <v>1075833</v>
      </c>
      <c r="M1163" s="361">
        <f t="shared" si="222"/>
        <v>1075833</v>
      </c>
      <c r="N1163" s="358">
        <v>1075833</v>
      </c>
      <c r="O1163" s="358">
        <v>1075833</v>
      </c>
      <c r="P1163" s="358">
        <v>1075833</v>
      </c>
      <c r="Q1163" s="358" t="s">
        <v>8</v>
      </c>
      <c r="R1163" s="358">
        <v>0</v>
      </c>
      <c r="S1163" s="358">
        <v>0</v>
      </c>
      <c r="T1163" s="358">
        <v>0</v>
      </c>
      <c r="U1163" s="35">
        <f t="shared" si="216"/>
        <v>3</v>
      </c>
      <c r="W1163">
        <f t="shared" si="223"/>
        <v>1</v>
      </c>
      <c r="X1163" s="35">
        <f t="shared" si="217"/>
        <v>1</v>
      </c>
      <c r="Y1163">
        <f t="shared" si="218"/>
        <v>1</v>
      </c>
      <c r="AB1163">
        <f t="shared" si="226"/>
        <v>1</v>
      </c>
      <c r="AC1163">
        <f t="shared" ca="1" si="227"/>
        <v>0</v>
      </c>
      <c r="AD1163" t="str">
        <f ca="1">IF(AC1163=1,COUNTIF($AC$3:AC1163,1),"")</f>
        <v/>
      </c>
      <c r="AE1163" s="155" t="str">
        <f ca="1">IFERROR(INDEX(Données!$B$3:$B$1479,MATCH(ROWS($AD$3:AD1163),$AD$3:$AD$1479,0)),"")</f>
        <v/>
      </c>
    </row>
    <row r="1164" spans="1:31" ht="15.75" x14ac:dyDescent="0.25">
      <c r="A1164" t="str">
        <f t="shared" si="224"/>
        <v>Nikita Alexandrov - STL - C</v>
      </c>
      <c r="B1164" t="str">
        <f t="shared" si="225"/>
        <v>Nikita Alexandrov - STL - C</v>
      </c>
      <c r="C1164" t="str">
        <f t="shared" si="219"/>
        <v>Nikita</v>
      </c>
      <c r="D1164" t="str">
        <f t="shared" si="220"/>
        <v>Alexandrov</v>
      </c>
      <c r="E1164" s="39" t="s">
        <v>2716</v>
      </c>
      <c r="F1164" s="30" t="s">
        <v>31</v>
      </c>
      <c r="G1164" s="35" t="s">
        <v>386</v>
      </c>
      <c r="H1164" s="35" t="s">
        <v>73</v>
      </c>
      <c r="I1164" s="35" t="s">
        <v>2690</v>
      </c>
      <c r="J1164" s="35">
        <v>18</v>
      </c>
      <c r="K1164" s="35">
        <f>VALUE(COUNTIF(Validation!$A$2:$H$47,E1164))</f>
        <v>0</v>
      </c>
      <c r="L1164" s="361">
        <f t="shared" si="221"/>
        <v>925000</v>
      </c>
      <c r="M1164" s="361">
        <f t="shared" si="222"/>
        <v>925000</v>
      </c>
      <c r="N1164" s="358">
        <v>925000</v>
      </c>
      <c r="O1164" s="358">
        <v>925000</v>
      </c>
      <c r="P1164" s="358">
        <v>925000</v>
      </c>
      <c r="Q1164" s="358" t="s">
        <v>8</v>
      </c>
      <c r="R1164" s="358">
        <v>0</v>
      </c>
      <c r="S1164" s="358">
        <v>0</v>
      </c>
      <c r="T1164" s="358">
        <v>0</v>
      </c>
      <c r="U1164" s="35">
        <f t="shared" si="216"/>
        <v>3</v>
      </c>
      <c r="W1164">
        <f t="shared" si="223"/>
        <v>1</v>
      </c>
      <c r="X1164" s="35">
        <f t="shared" si="217"/>
        <v>1</v>
      </c>
      <c r="Y1164">
        <f t="shared" si="218"/>
        <v>1</v>
      </c>
      <c r="AB1164">
        <f t="shared" si="226"/>
        <v>1</v>
      </c>
      <c r="AC1164">
        <f t="shared" ca="1" si="227"/>
        <v>0</v>
      </c>
      <c r="AD1164" t="str">
        <f ca="1">IF(AC1164=1,COUNTIF($AC$3:AC1164,1),"")</f>
        <v/>
      </c>
      <c r="AE1164" s="155" t="str">
        <f ca="1">IFERROR(INDEX(Données!$B$3:$B$1479,MATCH(ROWS($AD$3:AD1164),$AD$3:$AD$1479,0)),"")</f>
        <v/>
      </c>
    </row>
    <row r="1165" spans="1:31" ht="15.75" x14ac:dyDescent="0.25">
      <c r="A1165" t="str">
        <f t="shared" si="224"/>
        <v>Erik Foley - STL - LW</v>
      </c>
      <c r="B1165" t="str">
        <f t="shared" si="225"/>
        <v>Erik Foley - STL - LW</v>
      </c>
      <c r="C1165" t="str">
        <f t="shared" si="219"/>
        <v>Erik</v>
      </c>
      <c r="D1165" t="str">
        <f t="shared" si="220"/>
        <v>Foley</v>
      </c>
      <c r="E1165" s="39" t="s">
        <v>2065</v>
      </c>
      <c r="F1165" s="30" t="s">
        <v>31</v>
      </c>
      <c r="G1165" s="35" t="s">
        <v>386</v>
      </c>
      <c r="H1165" s="35" t="s">
        <v>93</v>
      </c>
      <c r="I1165" s="35" t="s">
        <v>2690</v>
      </c>
      <c r="J1165" s="35">
        <v>22</v>
      </c>
      <c r="K1165" s="35">
        <f>VALUE(COUNTIF(Validation!$A$2:$H$47,E1165))</f>
        <v>0</v>
      </c>
      <c r="L1165" s="361">
        <f t="shared" si="221"/>
        <v>925000</v>
      </c>
      <c r="M1165" s="361">
        <f t="shared" si="222"/>
        <v>925000</v>
      </c>
      <c r="N1165" s="358">
        <v>925000</v>
      </c>
      <c r="O1165" s="358">
        <v>925000</v>
      </c>
      <c r="P1165" s="358" t="s">
        <v>8</v>
      </c>
      <c r="Q1165" s="358">
        <v>0</v>
      </c>
      <c r="R1165" s="358">
        <v>0</v>
      </c>
      <c r="S1165" s="358">
        <v>0</v>
      </c>
      <c r="T1165" s="358">
        <v>0</v>
      </c>
      <c r="U1165" s="35">
        <f t="shared" si="216"/>
        <v>2</v>
      </c>
      <c r="W1165">
        <f t="shared" si="223"/>
        <v>1</v>
      </c>
      <c r="X1165" s="35">
        <f t="shared" si="217"/>
        <v>1</v>
      </c>
      <c r="Y1165">
        <f t="shared" si="218"/>
        <v>1</v>
      </c>
      <c r="AB1165">
        <f t="shared" si="226"/>
        <v>1</v>
      </c>
      <c r="AC1165">
        <f t="shared" ca="1" si="227"/>
        <v>0</v>
      </c>
      <c r="AD1165" t="str">
        <f ca="1">IF(AC1165=1,COUNTIF($AC$3:AC1165,1),"")</f>
        <v/>
      </c>
      <c r="AE1165" s="155" t="str">
        <f ca="1">IFERROR(INDEX(Données!$B$3:$B$1479,MATCH(ROWS($AD$3:AD1165),$AD$3:$AD$1479,0)),"")</f>
        <v/>
      </c>
    </row>
    <row r="1166" spans="1:31" ht="15.75" x14ac:dyDescent="0.25">
      <c r="A1166" t="str">
        <f t="shared" si="224"/>
        <v>Joel Hofer - STL - G</v>
      </c>
      <c r="B1166" t="str">
        <f t="shared" si="225"/>
        <v>Joel Hofer - STL - G</v>
      </c>
      <c r="C1166" t="str">
        <f t="shared" si="219"/>
        <v>Joel</v>
      </c>
      <c r="D1166" t="str">
        <f t="shared" si="220"/>
        <v>Hofer</v>
      </c>
      <c r="E1166" s="39" t="s">
        <v>2634</v>
      </c>
      <c r="F1166" s="30" t="s">
        <v>31</v>
      </c>
      <c r="G1166" s="35" t="s">
        <v>386</v>
      </c>
      <c r="H1166" s="35" t="s">
        <v>127</v>
      </c>
      <c r="I1166" s="35" t="s">
        <v>2690</v>
      </c>
      <c r="J1166" s="35">
        <v>19</v>
      </c>
      <c r="K1166" s="35">
        <f>VALUE(COUNTIF(Validation!$A$2:$H$47,E1166))</f>
        <v>0</v>
      </c>
      <c r="L1166" s="361">
        <f t="shared" si="221"/>
        <v>925000</v>
      </c>
      <c r="M1166" s="361">
        <f t="shared" si="222"/>
        <v>925000</v>
      </c>
      <c r="N1166" s="358">
        <v>925000</v>
      </c>
      <c r="O1166" s="358">
        <v>925000</v>
      </c>
      <c r="P1166" s="358">
        <v>925000</v>
      </c>
      <c r="Q1166" s="358" t="s">
        <v>8</v>
      </c>
      <c r="R1166" s="358">
        <v>0</v>
      </c>
      <c r="S1166" s="358">
        <v>0</v>
      </c>
      <c r="T1166" s="358">
        <v>0</v>
      </c>
      <c r="U1166" s="35">
        <f t="shared" si="216"/>
        <v>3</v>
      </c>
      <c r="W1166">
        <f t="shared" si="223"/>
        <v>1</v>
      </c>
      <c r="X1166" s="35">
        <f t="shared" si="217"/>
        <v>1</v>
      </c>
      <c r="Y1166">
        <f t="shared" si="218"/>
        <v>1</v>
      </c>
      <c r="AB1166">
        <f t="shared" si="226"/>
        <v>1</v>
      </c>
      <c r="AC1166">
        <f t="shared" ca="1" si="227"/>
        <v>0</v>
      </c>
      <c r="AD1166" t="str">
        <f ca="1">IF(AC1166=1,COUNTIF($AC$3:AC1166,1),"")</f>
        <v/>
      </c>
      <c r="AE1166" s="155" t="str">
        <f ca="1">IFERROR(INDEX(Données!$B$3:$B$1479,MATCH(ROWS($AD$3:AD1166),$AD$3:$AD$1479,0)),"")</f>
        <v/>
      </c>
    </row>
    <row r="1167" spans="1:31" ht="15.75" x14ac:dyDescent="0.25">
      <c r="A1167" t="str">
        <f t="shared" si="224"/>
        <v>Dakota Joshua - STL - C</v>
      </c>
      <c r="B1167" t="str">
        <f t="shared" si="225"/>
        <v>Dakota Joshua - STL - C</v>
      </c>
      <c r="C1167" t="str">
        <f t="shared" si="219"/>
        <v>Dakota</v>
      </c>
      <c r="D1167" t="str">
        <f t="shared" si="220"/>
        <v>Joshua</v>
      </c>
      <c r="E1167" s="39" t="s">
        <v>2717</v>
      </c>
      <c r="F1167" s="30" t="s">
        <v>31</v>
      </c>
      <c r="G1167" s="35" t="s">
        <v>386</v>
      </c>
      <c r="H1167" s="35" t="s">
        <v>73</v>
      </c>
      <c r="I1167" s="35" t="s">
        <v>2690</v>
      </c>
      <c r="J1167" s="35">
        <v>23</v>
      </c>
      <c r="K1167" s="35">
        <f>VALUE(COUNTIF(Validation!$A$2:$H$47,E1167))</f>
        <v>0</v>
      </c>
      <c r="L1167" s="361">
        <f t="shared" si="221"/>
        <v>925000</v>
      </c>
      <c r="M1167" s="361">
        <f t="shared" si="222"/>
        <v>925000</v>
      </c>
      <c r="N1167" s="358">
        <v>925000</v>
      </c>
      <c r="O1167" s="358">
        <v>925000</v>
      </c>
      <c r="P1167" s="358" t="s">
        <v>8</v>
      </c>
      <c r="Q1167" s="358">
        <v>0</v>
      </c>
      <c r="R1167" s="358">
        <v>0</v>
      </c>
      <c r="S1167" s="358">
        <v>0</v>
      </c>
      <c r="T1167" s="358">
        <v>0</v>
      </c>
      <c r="U1167" s="35">
        <f t="shared" si="216"/>
        <v>2</v>
      </c>
      <c r="W1167">
        <f t="shared" si="223"/>
        <v>1</v>
      </c>
      <c r="X1167" s="35">
        <f t="shared" si="217"/>
        <v>1</v>
      </c>
      <c r="Y1167">
        <f t="shared" si="218"/>
        <v>1</v>
      </c>
      <c r="AB1167">
        <f t="shared" si="226"/>
        <v>1</v>
      </c>
      <c r="AC1167">
        <f t="shared" ca="1" si="227"/>
        <v>0</v>
      </c>
      <c r="AD1167" t="str">
        <f ca="1">IF(AC1167=1,COUNTIF($AC$3:AC1167,1),"")</f>
        <v/>
      </c>
      <c r="AE1167" s="155" t="str">
        <f ca="1">IFERROR(INDEX(Données!$B$3:$B$1479,MATCH(ROWS($AD$3:AD1167),$AD$3:$AD$1479,0)),"")</f>
        <v/>
      </c>
    </row>
    <row r="1168" spans="1:31" ht="15.75" x14ac:dyDescent="0.25">
      <c r="A1168" t="str">
        <f t="shared" si="224"/>
        <v>Niko Mikkola - STL - LD</v>
      </c>
      <c r="B1168" t="str">
        <f t="shared" si="225"/>
        <v>Niko Mikkola - STL - LD</v>
      </c>
      <c r="C1168" t="str">
        <f t="shared" si="219"/>
        <v>Niko</v>
      </c>
      <c r="D1168" t="str">
        <f t="shared" si="220"/>
        <v>Mikkola</v>
      </c>
      <c r="E1168" s="39" t="s">
        <v>2070</v>
      </c>
      <c r="F1168" s="30" t="s">
        <v>31</v>
      </c>
      <c r="G1168" s="35" t="s">
        <v>386</v>
      </c>
      <c r="H1168" s="35" t="s">
        <v>380</v>
      </c>
      <c r="I1168" s="35" t="s">
        <v>2690</v>
      </c>
      <c r="J1168" s="35">
        <v>23</v>
      </c>
      <c r="K1168" s="35">
        <f>VALUE(COUNTIF(Validation!$A$2:$H$47,E1168))</f>
        <v>0</v>
      </c>
      <c r="L1168" s="361">
        <f t="shared" si="221"/>
        <v>925000</v>
      </c>
      <c r="M1168" s="361">
        <f t="shared" si="222"/>
        <v>0</v>
      </c>
      <c r="N1168" s="358">
        <v>925000</v>
      </c>
      <c r="O1168" s="358" t="s">
        <v>8</v>
      </c>
      <c r="P1168" s="358">
        <v>0</v>
      </c>
      <c r="Q1168" s="358">
        <v>0</v>
      </c>
      <c r="R1168" s="358">
        <v>0</v>
      </c>
      <c r="S1168" s="358">
        <v>0</v>
      </c>
      <c r="T1168" s="358">
        <v>0</v>
      </c>
      <c r="U1168" s="35">
        <f t="shared" si="216"/>
        <v>1</v>
      </c>
      <c r="W1168">
        <f t="shared" si="223"/>
        <v>1</v>
      </c>
      <c r="X1168" s="35">
        <f t="shared" si="217"/>
        <v>1</v>
      </c>
      <c r="Y1168">
        <f t="shared" si="218"/>
        <v>0</v>
      </c>
      <c r="AB1168">
        <f t="shared" si="226"/>
        <v>1</v>
      </c>
      <c r="AC1168">
        <f t="shared" ca="1" si="227"/>
        <v>0</v>
      </c>
      <c r="AD1168" t="str">
        <f ca="1">IF(AC1168=1,COUNTIF($AC$3:AC1168,1),"")</f>
        <v/>
      </c>
      <c r="AE1168" s="155" t="str">
        <f ca="1">IFERROR(INDEX(Données!$B$3:$B$1479,MATCH(ROWS($AD$3:AD1168),$AD$3:$AD$1479,0)),"")</f>
        <v/>
      </c>
    </row>
    <row r="1169" spans="1:31" ht="15.75" x14ac:dyDescent="0.25">
      <c r="A1169" t="str">
        <f t="shared" si="224"/>
        <v>Jake Walman - STL - LD</v>
      </c>
      <c r="B1169" t="str">
        <f t="shared" si="225"/>
        <v>Jake Walman - STL - LD</v>
      </c>
      <c r="C1169" t="str">
        <f t="shared" si="219"/>
        <v>Jake</v>
      </c>
      <c r="D1169" t="str">
        <f t="shared" si="220"/>
        <v>Walman</v>
      </c>
      <c r="E1169" s="39" t="s">
        <v>2063</v>
      </c>
      <c r="F1169" s="30" t="s">
        <v>31</v>
      </c>
      <c r="G1169" s="35" t="s">
        <v>386</v>
      </c>
      <c r="H1169" s="9" t="s">
        <v>380</v>
      </c>
      <c r="I1169" s="9" t="s">
        <v>2690</v>
      </c>
      <c r="J1169" s="9">
        <v>23</v>
      </c>
      <c r="K1169" s="35">
        <f>VALUE(COUNTIF(Validation!$A$2:$H$47,E1169))</f>
        <v>0</v>
      </c>
      <c r="L1169" s="361">
        <f t="shared" si="221"/>
        <v>925000</v>
      </c>
      <c r="M1169" s="361">
        <f t="shared" si="222"/>
        <v>0</v>
      </c>
      <c r="N1169" s="358">
        <v>925000</v>
      </c>
      <c r="O1169" s="358" t="s">
        <v>8</v>
      </c>
      <c r="P1169" s="358">
        <v>0</v>
      </c>
      <c r="Q1169" s="358">
        <v>0</v>
      </c>
      <c r="R1169" s="358">
        <v>0</v>
      </c>
      <c r="S1169" s="358">
        <v>0</v>
      </c>
      <c r="T1169" s="358">
        <v>0</v>
      </c>
      <c r="U1169" s="35">
        <f t="shared" si="216"/>
        <v>1</v>
      </c>
      <c r="W1169">
        <f t="shared" si="223"/>
        <v>1</v>
      </c>
      <c r="X1169" s="35">
        <f t="shared" si="217"/>
        <v>1</v>
      </c>
      <c r="Y1169">
        <f t="shared" si="218"/>
        <v>0</v>
      </c>
      <c r="AB1169">
        <f t="shared" si="226"/>
        <v>1</v>
      </c>
      <c r="AC1169">
        <f t="shared" ca="1" si="227"/>
        <v>0</v>
      </c>
      <c r="AD1169" t="str">
        <f ca="1">IF(AC1169=1,COUNTIF($AC$3:AC1169,1),"")</f>
        <v/>
      </c>
      <c r="AE1169" s="155" t="str">
        <f ca="1">IFERROR(INDEX(Données!$B$3:$B$1479,MATCH(ROWS($AD$3:AD1169),$AD$3:$AD$1479,0)),"")</f>
        <v/>
      </c>
    </row>
    <row r="1170" spans="1:31" ht="15.75" x14ac:dyDescent="0.25">
      <c r="A1170" t="str">
        <f t="shared" si="224"/>
        <v>Evan Fitzpatrick - STL - G</v>
      </c>
      <c r="B1170" t="str">
        <f t="shared" si="225"/>
        <v>Evan Fitzpatrick - STL - G</v>
      </c>
      <c r="C1170" t="str">
        <f t="shared" si="219"/>
        <v>Evan</v>
      </c>
      <c r="D1170" t="str">
        <f t="shared" si="220"/>
        <v>Fitzpatrick</v>
      </c>
      <c r="E1170" s="39" t="s">
        <v>2072</v>
      </c>
      <c r="F1170" s="30" t="s">
        <v>31</v>
      </c>
      <c r="G1170" s="35" t="s">
        <v>386</v>
      </c>
      <c r="H1170" s="35" t="s">
        <v>127</v>
      </c>
      <c r="I1170" s="35" t="s">
        <v>2690</v>
      </c>
      <c r="J1170" s="35">
        <v>21</v>
      </c>
      <c r="K1170" s="35">
        <f>VALUE(COUNTIF(Validation!$A$2:$H$47,E1170))</f>
        <v>0</v>
      </c>
      <c r="L1170" s="361">
        <f t="shared" si="221"/>
        <v>910833</v>
      </c>
      <c r="M1170" s="361">
        <f t="shared" si="222"/>
        <v>910833</v>
      </c>
      <c r="N1170" s="358">
        <v>910833</v>
      </c>
      <c r="O1170" s="358">
        <v>910833</v>
      </c>
      <c r="P1170" s="358" t="s">
        <v>8</v>
      </c>
      <c r="Q1170" s="358">
        <v>0</v>
      </c>
      <c r="R1170" s="358">
        <v>0</v>
      </c>
      <c r="S1170" s="358">
        <v>0</v>
      </c>
      <c r="T1170" s="358">
        <v>0</v>
      </c>
      <c r="U1170" s="35">
        <f t="shared" si="216"/>
        <v>2</v>
      </c>
      <c r="W1170">
        <f t="shared" si="223"/>
        <v>1</v>
      </c>
      <c r="X1170" s="35">
        <f t="shared" si="217"/>
        <v>1</v>
      </c>
      <c r="Y1170">
        <f t="shared" si="218"/>
        <v>1</v>
      </c>
      <c r="AB1170">
        <f t="shared" si="226"/>
        <v>1</v>
      </c>
      <c r="AC1170">
        <f t="shared" ca="1" si="227"/>
        <v>0</v>
      </c>
      <c r="AD1170" t="str">
        <f ca="1">IF(AC1170=1,COUNTIF($AC$3:AC1170,1),"")</f>
        <v/>
      </c>
      <c r="AE1170" s="155" t="str">
        <f ca="1">IFERROR(INDEX(Données!$B$3:$B$1479,MATCH(ROWS($AD$3:AD1170),$AD$3:$AD$1479,0)),"")</f>
        <v/>
      </c>
    </row>
    <row r="1171" spans="1:31" ht="15.75" x14ac:dyDescent="0.25">
      <c r="A1171" t="str">
        <f t="shared" si="224"/>
        <v>Robby Fabbri - STL - LW, C</v>
      </c>
      <c r="B1171" t="str">
        <f t="shared" si="225"/>
        <v>Robby Fabbri - STL - LW, C</v>
      </c>
      <c r="C1171" t="str">
        <f t="shared" si="219"/>
        <v>Robby</v>
      </c>
      <c r="D1171" t="str">
        <f t="shared" si="220"/>
        <v>Fabbri</v>
      </c>
      <c r="E1171" s="39" t="s">
        <v>2050</v>
      </c>
      <c r="F1171" s="30" t="s">
        <v>31</v>
      </c>
      <c r="G1171" s="35">
        <v>0</v>
      </c>
      <c r="H1171" s="9" t="s">
        <v>2696</v>
      </c>
      <c r="I1171" s="9" t="s">
        <v>2677</v>
      </c>
      <c r="J1171" s="9">
        <v>23</v>
      </c>
      <c r="K1171" s="35">
        <f>VALUE(COUNTIF(Validation!$A$2:$H$47,E1171))</f>
        <v>0</v>
      </c>
      <c r="L1171" s="361">
        <f t="shared" si="221"/>
        <v>900000</v>
      </c>
      <c r="M1171" s="361">
        <f t="shared" si="222"/>
        <v>0</v>
      </c>
      <c r="N1171" s="358">
        <v>900000</v>
      </c>
      <c r="O1171" s="358" t="s">
        <v>8</v>
      </c>
      <c r="P1171" s="358">
        <v>0</v>
      </c>
      <c r="Q1171" s="358">
        <v>0</v>
      </c>
      <c r="R1171" s="358">
        <v>0</v>
      </c>
      <c r="S1171" s="358">
        <v>0</v>
      </c>
      <c r="T1171" s="358">
        <v>0</v>
      </c>
      <c r="U1171" s="35">
        <f t="shared" si="216"/>
        <v>1</v>
      </c>
      <c r="W1171">
        <f t="shared" si="223"/>
        <v>1</v>
      </c>
      <c r="X1171" s="35">
        <f t="shared" si="217"/>
        <v>0</v>
      </c>
      <c r="Y1171">
        <f t="shared" si="218"/>
        <v>0</v>
      </c>
      <c r="AB1171">
        <f t="shared" si="226"/>
        <v>1</v>
      </c>
      <c r="AC1171">
        <f t="shared" ca="1" si="227"/>
        <v>0</v>
      </c>
      <c r="AD1171" t="str">
        <f ca="1">IF(AC1171=1,COUNTIF($AC$3:AC1171,1),"")</f>
        <v/>
      </c>
      <c r="AE1171" s="155" t="str">
        <f ca="1">IFERROR(INDEX(Données!$B$3:$B$1479,MATCH(ROWS($AD$3:AD1171),$AD$3:$AD$1479,0)),"")</f>
        <v/>
      </c>
    </row>
    <row r="1172" spans="1:31" ht="15.75" x14ac:dyDescent="0.25">
      <c r="A1172" t="str">
        <f t="shared" si="224"/>
        <v>Vince Dunn - STL - LD</v>
      </c>
      <c r="B1172" t="str">
        <f t="shared" si="225"/>
        <v>Vince Dunn - STL - LD</v>
      </c>
      <c r="C1172" t="str">
        <f t="shared" si="219"/>
        <v>Vince</v>
      </c>
      <c r="D1172" t="str">
        <f t="shared" si="220"/>
        <v>Dunn</v>
      </c>
      <c r="E1172" s="39" t="s">
        <v>2059</v>
      </c>
      <c r="F1172" s="30" t="s">
        <v>31</v>
      </c>
      <c r="G1172" s="35" t="s">
        <v>403</v>
      </c>
      <c r="H1172" s="35" t="s">
        <v>380</v>
      </c>
      <c r="I1172" s="35" t="s">
        <v>2677</v>
      </c>
      <c r="J1172" s="35">
        <v>22</v>
      </c>
      <c r="K1172" s="35">
        <f>VALUE(COUNTIF(Validation!$A$2:$H$47,E1172))</f>
        <v>0</v>
      </c>
      <c r="L1172" s="361">
        <f t="shared" si="221"/>
        <v>888333</v>
      </c>
      <c r="M1172" s="361">
        <f t="shared" si="222"/>
        <v>0</v>
      </c>
      <c r="N1172" s="358">
        <v>888333</v>
      </c>
      <c r="O1172" s="358" t="s">
        <v>8</v>
      </c>
      <c r="P1172" s="358">
        <v>0</v>
      </c>
      <c r="Q1172" s="358">
        <v>0</v>
      </c>
      <c r="R1172" s="358">
        <v>0</v>
      </c>
      <c r="S1172" s="358">
        <v>0</v>
      </c>
      <c r="T1172" s="358">
        <v>0</v>
      </c>
      <c r="U1172" s="35">
        <f t="shared" si="216"/>
        <v>1</v>
      </c>
      <c r="W1172">
        <f t="shared" si="223"/>
        <v>1</v>
      </c>
      <c r="X1172" s="35">
        <f t="shared" si="217"/>
        <v>1</v>
      </c>
      <c r="Y1172">
        <f t="shared" si="218"/>
        <v>0</v>
      </c>
      <c r="AB1172">
        <f t="shared" si="226"/>
        <v>1</v>
      </c>
      <c r="AC1172">
        <f t="shared" ca="1" si="227"/>
        <v>0</v>
      </c>
      <c r="AD1172" t="str">
        <f ca="1">IF(AC1172=1,COUNTIF($AC$3:AC1172,1),"")</f>
        <v/>
      </c>
      <c r="AE1172" s="155" t="str">
        <f ca="1">IFERROR(INDEX(Données!$B$3:$B$1479,MATCH(ROWS($AD$3:AD1172),$AD$3:$AD$1479,0)),"")</f>
        <v/>
      </c>
    </row>
    <row r="1173" spans="1:31" ht="15.75" x14ac:dyDescent="0.25">
      <c r="A1173" t="str">
        <f t="shared" si="224"/>
        <v>Jordan Kyrou - STL - RW</v>
      </c>
      <c r="B1173" t="str">
        <f t="shared" si="225"/>
        <v>Jordan Kyrou - STL - RW</v>
      </c>
      <c r="C1173" t="str">
        <f t="shared" si="219"/>
        <v>Jordan</v>
      </c>
      <c r="D1173" t="str">
        <f t="shared" si="220"/>
        <v>Kyrou</v>
      </c>
      <c r="E1173" s="39" t="s">
        <v>2073</v>
      </c>
      <c r="F1173" s="30" t="s">
        <v>31</v>
      </c>
      <c r="G1173" s="35" t="s">
        <v>386</v>
      </c>
      <c r="H1173" s="35" t="s">
        <v>88</v>
      </c>
      <c r="I1173" s="35" t="s">
        <v>2690</v>
      </c>
      <c r="J1173" s="35">
        <v>21</v>
      </c>
      <c r="K1173" s="35">
        <f>VALUE(COUNTIF(Validation!$A$2:$H$47,E1173))</f>
        <v>0</v>
      </c>
      <c r="L1173" s="361">
        <f t="shared" si="221"/>
        <v>880000</v>
      </c>
      <c r="M1173" s="361">
        <f t="shared" si="222"/>
        <v>880000</v>
      </c>
      <c r="N1173" s="358">
        <v>880000</v>
      </c>
      <c r="O1173" s="358">
        <v>880000</v>
      </c>
      <c r="P1173" s="358" t="s">
        <v>8</v>
      </c>
      <c r="Q1173" s="358">
        <v>0</v>
      </c>
      <c r="R1173" s="358">
        <v>0</v>
      </c>
      <c r="S1173" s="358">
        <v>0</v>
      </c>
      <c r="T1173" s="358">
        <v>0</v>
      </c>
      <c r="U1173" s="35">
        <f t="shared" si="216"/>
        <v>2</v>
      </c>
      <c r="W1173">
        <f t="shared" si="223"/>
        <v>1</v>
      </c>
      <c r="X1173" s="35">
        <f t="shared" si="217"/>
        <v>1</v>
      </c>
      <c r="Y1173">
        <f t="shared" si="218"/>
        <v>1</v>
      </c>
      <c r="AB1173">
        <f t="shared" si="226"/>
        <v>1</v>
      </c>
      <c r="AC1173">
        <f t="shared" ca="1" si="227"/>
        <v>0</v>
      </c>
      <c r="AD1173" t="str">
        <f ca="1">IF(AC1173=1,COUNTIF($AC$3:AC1173,1),"")</f>
        <v/>
      </c>
      <c r="AE1173" s="155" t="str">
        <f ca="1">IFERROR(INDEX(Données!$B$3:$B$1479,MATCH(ROWS($AD$3:AD1173),$AD$3:$AD$1479,0)),"")</f>
        <v/>
      </c>
    </row>
    <row r="1174" spans="1:31" ht="15.75" x14ac:dyDescent="0.25">
      <c r="A1174" t="str">
        <f t="shared" si="224"/>
        <v>Alexei Toropchenko - STL - C</v>
      </c>
      <c r="B1174" t="str">
        <f t="shared" si="225"/>
        <v>Alexei Toropchenko - STL - C</v>
      </c>
      <c r="C1174" t="str">
        <f t="shared" si="219"/>
        <v>Alexei</v>
      </c>
      <c r="D1174" t="str">
        <f t="shared" si="220"/>
        <v>Toropchenko</v>
      </c>
      <c r="E1174" s="39" t="s">
        <v>2632</v>
      </c>
      <c r="F1174" s="30" t="s">
        <v>31</v>
      </c>
      <c r="G1174" s="35" t="s">
        <v>386</v>
      </c>
      <c r="H1174" s="35" t="s">
        <v>73</v>
      </c>
      <c r="I1174" s="35" t="s">
        <v>2690</v>
      </c>
      <c r="J1174" s="35">
        <v>20</v>
      </c>
      <c r="K1174" s="35">
        <f>VALUE(COUNTIF(Validation!$A$2:$H$47,E1174))</f>
        <v>0</v>
      </c>
      <c r="L1174" s="361">
        <f t="shared" si="221"/>
        <v>879167</v>
      </c>
      <c r="M1174" s="361">
        <f t="shared" si="222"/>
        <v>879167</v>
      </c>
      <c r="N1174" s="358">
        <v>879167</v>
      </c>
      <c r="O1174" s="358">
        <v>879167</v>
      </c>
      <c r="P1174" s="358">
        <v>879167</v>
      </c>
      <c r="Q1174" s="358" t="s">
        <v>8</v>
      </c>
      <c r="R1174" s="358">
        <v>0</v>
      </c>
      <c r="S1174" s="358">
        <v>0</v>
      </c>
      <c r="T1174" s="358">
        <v>0</v>
      </c>
      <c r="U1174" s="35">
        <f t="shared" si="216"/>
        <v>3</v>
      </c>
      <c r="W1174">
        <f t="shared" si="223"/>
        <v>1</v>
      </c>
      <c r="X1174" s="35">
        <f t="shared" si="217"/>
        <v>1</v>
      </c>
      <c r="Y1174">
        <f t="shared" si="218"/>
        <v>1</v>
      </c>
      <c r="AB1174">
        <f t="shared" si="226"/>
        <v>1</v>
      </c>
      <c r="AC1174">
        <f t="shared" ca="1" si="227"/>
        <v>0</v>
      </c>
      <c r="AD1174" t="str">
        <f ca="1">IF(AC1174=1,COUNTIF($AC$3:AC1174,1),"")</f>
        <v/>
      </c>
      <c r="AE1174" s="155" t="str">
        <f ca="1">IFERROR(INDEX(Données!$B$3:$B$1479,MATCH(ROWS($AD$3:AD1174),$AD$3:$AD$1479,0)),"")</f>
        <v/>
      </c>
    </row>
    <row r="1175" spans="1:31" ht="15.75" x14ac:dyDescent="0.25">
      <c r="A1175" t="str">
        <f t="shared" si="224"/>
        <v>Samuel Blais - STL - RW</v>
      </c>
      <c r="B1175" t="str">
        <f t="shared" si="225"/>
        <v>Samuel Blais - STL - RW</v>
      </c>
      <c r="C1175" t="str">
        <f t="shared" si="219"/>
        <v>Samuel</v>
      </c>
      <c r="D1175" t="str">
        <f t="shared" si="220"/>
        <v>Blais</v>
      </c>
      <c r="E1175" s="39" t="s">
        <v>2078</v>
      </c>
      <c r="F1175" s="30" t="s">
        <v>31</v>
      </c>
      <c r="G1175" s="35">
        <v>0</v>
      </c>
      <c r="H1175" s="35" t="s">
        <v>88</v>
      </c>
      <c r="I1175" s="35" t="s">
        <v>2677</v>
      </c>
      <c r="J1175" s="35">
        <v>23</v>
      </c>
      <c r="K1175" s="35">
        <f>VALUE(COUNTIF(Validation!$A$2:$H$47,E1175))</f>
        <v>0</v>
      </c>
      <c r="L1175" s="361">
        <f t="shared" si="221"/>
        <v>850000</v>
      </c>
      <c r="M1175" s="361">
        <f t="shared" si="222"/>
        <v>0</v>
      </c>
      <c r="N1175" s="358">
        <v>850000</v>
      </c>
      <c r="O1175" s="358" t="s">
        <v>8</v>
      </c>
      <c r="P1175" s="358">
        <v>0</v>
      </c>
      <c r="Q1175" s="358">
        <v>0</v>
      </c>
      <c r="R1175" s="358">
        <v>0</v>
      </c>
      <c r="S1175" s="358">
        <v>0</v>
      </c>
      <c r="T1175" s="358">
        <v>0</v>
      </c>
      <c r="U1175" s="35">
        <f t="shared" si="216"/>
        <v>1</v>
      </c>
      <c r="W1175">
        <f t="shared" si="223"/>
        <v>1</v>
      </c>
      <c r="X1175" s="35">
        <f t="shared" si="217"/>
        <v>0</v>
      </c>
      <c r="Y1175">
        <f t="shared" si="218"/>
        <v>0</v>
      </c>
      <c r="AB1175">
        <f t="shared" si="226"/>
        <v>1</v>
      </c>
      <c r="AC1175">
        <f t="shared" ca="1" si="227"/>
        <v>0</v>
      </c>
      <c r="AD1175" t="str">
        <f ca="1">IF(AC1175=1,COUNTIF($AC$3:AC1175,1),"")</f>
        <v/>
      </c>
      <c r="AE1175" s="155" t="str">
        <f ca="1">IFERROR(INDEX(Données!$B$3:$B$1479,MATCH(ROWS($AD$3:AD1175),$AD$3:$AD$1479,0)),"")</f>
        <v/>
      </c>
    </row>
    <row r="1176" spans="1:31" ht="15.75" x14ac:dyDescent="0.25">
      <c r="A1176" t="str">
        <f t="shared" si="224"/>
        <v>Tanner Kaspick - STL - C</v>
      </c>
      <c r="B1176" t="str">
        <f t="shared" si="225"/>
        <v>Tanner Kaspick - STL - C</v>
      </c>
      <c r="C1176" t="str">
        <f t="shared" si="219"/>
        <v>Tanner</v>
      </c>
      <c r="D1176" t="str">
        <f t="shared" si="220"/>
        <v>Kaspick</v>
      </c>
      <c r="E1176" s="39" t="s">
        <v>2075</v>
      </c>
      <c r="F1176" s="30" t="s">
        <v>31</v>
      </c>
      <c r="G1176" s="35" t="s">
        <v>386</v>
      </c>
      <c r="H1176" s="9" t="s">
        <v>73</v>
      </c>
      <c r="I1176" s="9" t="s">
        <v>2690</v>
      </c>
      <c r="J1176" s="9">
        <v>21</v>
      </c>
      <c r="K1176" s="35">
        <f>VALUE(COUNTIF(Validation!$A$2:$H$47,E1176))</f>
        <v>0</v>
      </c>
      <c r="L1176" s="361">
        <f t="shared" si="221"/>
        <v>822222</v>
      </c>
      <c r="M1176" s="361">
        <f t="shared" si="222"/>
        <v>822222</v>
      </c>
      <c r="N1176" s="358">
        <v>822222</v>
      </c>
      <c r="O1176" s="358">
        <v>822222</v>
      </c>
      <c r="P1176" s="358" t="s">
        <v>8</v>
      </c>
      <c r="Q1176" s="358">
        <v>0</v>
      </c>
      <c r="R1176" s="358">
        <v>0</v>
      </c>
      <c r="S1176" s="358">
        <v>0</v>
      </c>
      <c r="T1176" s="358">
        <v>0</v>
      </c>
      <c r="U1176" s="35">
        <f t="shared" si="216"/>
        <v>2</v>
      </c>
      <c r="W1176">
        <f t="shared" si="223"/>
        <v>1</v>
      </c>
      <c r="X1176" s="35">
        <f t="shared" si="217"/>
        <v>1</v>
      </c>
      <c r="Y1176">
        <f t="shared" si="218"/>
        <v>1</v>
      </c>
      <c r="AB1176">
        <f t="shared" si="226"/>
        <v>1</v>
      </c>
      <c r="AC1176">
        <f t="shared" ca="1" si="227"/>
        <v>0</v>
      </c>
      <c r="AD1176" t="str">
        <f ca="1">IF(AC1176=1,COUNTIF($AC$3:AC1176,1),"")</f>
        <v/>
      </c>
      <c r="AE1176" s="155" t="str">
        <f ca="1">IFERROR(INDEX(Données!$B$3:$B$1479,MATCH(ROWS($AD$3:AD1176),$AD$3:$AD$1479,0)),"")</f>
        <v/>
      </c>
    </row>
    <row r="1177" spans="1:31" ht="15.75" x14ac:dyDescent="0.25">
      <c r="A1177" t="str">
        <f t="shared" si="224"/>
        <v>Austin Poganski - STL - RW</v>
      </c>
      <c r="B1177" t="str">
        <f t="shared" si="225"/>
        <v>Austin Poganski - STL - RW</v>
      </c>
      <c r="C1177" t="str">
        <f t="shared" si="219"/>
        <v>Austin</v>
      </c>
      <c r="D1177" t="str">
        <f t="shared" si="220"/>
        <v>Poganski</v>
      </c>
      <c r="E1177" s="39" t="s">
        <v>2074</v>
      </c>
      <c r="F1177" s="30" t="s">
        <v>31</v>
      </c>
      <c r="G1177" s="35" t="s">
        <v>386</v>
      </c>
      <c r="H1177" s="9" t="s">
        <v>88</v>
      </c>
      <c r="I1177" s="9" t="s">
        <v>2690</v>
      </c>
      <c r="J1177" s="9">
        <v>23</v>
      </c>
      <c r="K1177" s="35">
        <f>VALUE(COUNTIF(Validation!$A$2:$H$47,E1177))</f>
        <v>0</v>
      </c>
      <c r="L1177" s="361">
        <f t="shared" si="221"/>
        <v>762500</v>
      </c>
      <c r="M1177" s="361">
        <f t="shared" si="222"/>
        <v>0</v>
      </c>
      <c r="N1177" s="358">
        <v>762500</v>
      </c>
      <c r="O1177" s="358" t="s">
        <v>8</v>
      </c>
      <c r="P1177" s="358">
        <v>0</v>
      </c>
      <c r="Q1177" s="358">
        <v>0</v>
      </c>
      <c r="R1177" s="358">
        <v>0</v>
      </c>
      <c r="S1177" s="358">
        <v>0</v>
      </c>
      <c r="T1177" s="358">
        <v>0</v>
      </c>
      <c r="U1177" s="35">
        <f t="shared" si="216"/>
        <v>1</v>
      </c>
      <c r="W1177">
        <f t="shared" si="223"/>
        <v>1</v>
      </c>
      <c r="X1177" s="35">
        <f t="shared" si="217"/>
        <v>1</v>
      </c>
      <c r="Y1177">
        <f t="shared" si="218"/>
        <v>0</v>
      </c>
      <c r="AB1177">
        <f t="shared" si="226"/>
        <v>1</v>
      </c>
      <c r="AC1177">
        <f t="shared" ca="1" si="227"/>
        <v>0</v>
      </c>
      <c r="AD1177" t="str">
        <f ca="1">IF(AC1177=1,COUNTIF($AC$3:AC1177,1),"")</f>
        <v/>
      </c>
      <c r="AE1177" s="155" t="str">
        <f ca="1">IFERROR(INDEX(Données!$B$3:$B$1479,MATCH(ROWS($AD$3:AD1177),$AD$3:$AD$1479,0)),"")</f>
        <v/>
      </c>
    </row>
    <row r="1178" spans="1:31" ht="15.75" x14ac:dyDescent="0.25">
      <c r="A1178" t="str">
        <f t="shared" si="224"/>
        <v>Mackenzie MacEachern - STL - LW, RW</v>
      </c>
      <c r="B1178" t="str">
        <f t="shared" si="225"/>
        <v>Mackenzie MacEachern - STL - LW, RW</v>
      </c>
      <c r="C1178" t="str">
        <f t="shared" si="219"/>
        <v>Mackenzie</v>
      </c>
      <c r="D1178" t="str">
        <f t="shared" si="220"/>
        <v>MacEachern</v>
      </c>
      <c r="E1178" s="39" t="s">
        <v>2079</v>
      </c>
      <c r="F1178" s="30" t="s">
        <v>31</v>
      </c>
      <c r="G1178" s="35">
        <v>0</v>
      </c>
      <c r="H1178" s="35" t="s">
        <v>2689</v>
      </c>
      <c r="I1178" s="35" t="s">
        <v>2677</v>
      </c>
      <c r="J1178" s="35">
        <v>25</v>
      </c>
      <c r="K1178" s="35">
        <f>VALUE(COUNTIF(Validation!$A$2:$H$47,E1178))</f>
        <v>0</v>
      </c>
      <c r="L1178" s="361">
        <f t="shared" si="221"/>
        <v>750000</v>
      </c>
      <c r="M1178" s="361">
        <f t="shared" si="222"/>
        <v>0</v>
      </c>
      <c r="N1178" s="358">
        <v>750000</v>
      </c>
      <c r="O1178" s="358" t="s">
        <v>8</v>
      </c>
      <c r="P1178" s="358">
        <v>0</v>
      </c>
      <c r="Q1178" s="358">
        <v>0</v>
      </c>
      <c r="R1178" s="358">
        <v>0</v>
      </c>
      <c r="S1178" s="358">
        <v>0</v>
      </c>
      <c r="T1178" s="358">
        <v>0</v>
      </c>
      <c r="U1178" s="35">
        <f t="shared" si="216"/>
        <v>1</v>
      </c>
      <c r="W1178">
        <f t="shared" si="223"/>
        <v>1</v>
      </c>
      <c r="X1178" s="35">
        <f t="shared" si="217"/>
        <v>0</v>
      </c>
      <c r="Y1178">
        <f t="shared" si="218"/>
        <v>0</v>
      </c>
      <c r="AB1178">
        <f t="shared" si="226"/>
        <v>1</v>
      </c>
      <c r="AC1178">
        <f t="shared" ca="1" si="227"/>
        <v>0</v>
      </c>
      <c r="AD1178" t="str">
        <f ca="1">IF(AC1178=1,COUNTIF($AC$3:AC1178,1),"")</f>
        <v/>
      </c>
      <c r="AE1178" s="155" t="str">
        <f ca="1">IFERROR(INDEX(Données!$B$3:$B$1479,MATCH(ROWS($AD$3:AD1178),$AD$3:$AD$1479,0)),"")</f>
        <v/>
      </c>
    </row>
    <row r="1179" spans="1:31" ht="15.75" x14ac:dyDescent="0.25">
      <c r="A1179" t="str">
        <f t="shared" si="224"/>
        <v>Evan Polei - STL - LW</v>
      </c>
      <c r="B1179" t="str">
        <f t="shared" si="225"/>
        <v>Evan Polei - STL - LW</v>
      </c>
      <c r="C1179" t="str">
        <f t="shared" si="219"/>
        <v>Evan</v>
      </c>
      <c r="D1179" t="str">
        <f t="shared" si="220"/>
        <v>Polei</v>
      </c>
      <c r="E1179" s="39" t="s">
        <v>2633</v>
      </c>
      <c r="F1179" s="30" t="s">
        <v>31</v>
      </c>
      <c r="G1179" s="35" t="s">
        <v>386</v>
      </c>
      <c r="H1179" s="35" t="s">
        <v>93</v>
      </c>
      <c r="I1179" s="35" t="s">
        <v>2690</v>
      </c>
      <c r="J1179" s="35">
        <v>23</v>
      </c>
      <c r="K1179" s="35">
        <f>VALUE(COUNTIF(Validation!$A$2:$H$47,E1179))</f>
        <v>0</v>
      </c>
      <c r="L1179" s="361">
        <f t="shared" si="221"/>
        <v>750000</v>
      </c>
      <c r="M1179" s="361">
        <f t="shared" si="222"/>
        <v>750000</v>
      </c>
      <c r="N1179" s="358">
        <v>750000</v>
      </c>
      <c r="O1179" s="358">
        <v>750000</v>
      </c>
      <c r="P1179" s="358" t="s">
        <v>8</v>
      </c>
      <c r="Q1179" s="358">
        <v>0</v>
      </c>
      <c r="R1179" s="358">
        <v>0</v>
      </c>
      <c r="S1179" s="358">
        <v>0</v>
      </c>
      <c r="T1179" s="358">
        <v>0</v>
      </c>
      <c r="U1179" s="35">
        <f t="shared" si="216"/>
        <v>2</v>
      </c>
      <c r="W1179">
        <f t="shared" si="223"/>
        <v>1</v>
      </c>
      <c r="X1179" s="35">
        <f t="shared" si="217"/>
        <v>1</v>
      </c>
      <c r="Y1179">
        <f t="shared" si="218"/>
        <v>1</v>
      </c>
      <c r="AB1179">
        <f t="shared" si="226"/>
        <v>1</v>
      </c>
      <c r="AC1179">
        <f t="shared" ca="1" si="227"/>
        <v>0</v>
      </c>
      <c r="AD1179" t="str">
        <f ca="1">IF(AC1179=1,COUNTIF($AC$3:AC1179,1),"")</f>
        <v/>
      </c>
      <c r="AE1179" s="155" t="str">
        <f ca="1">IFERROR(INDEX(Données!$B$3:$B$1479,MATCH(ROWS($AD$3:AD1179),$AD$3:$AD$1479,0)),"")</f>
        <v/>
      </c>
    </row>
    <row r="1180" spans="1:31" ht="15.75" x14ac:dyDescent="0.25">
      <c r="A1180" t="str">
        <f t="shared" si="224"/>
        <v>Mitch Reinke - STL - RD</v>
      </c>
      <c r="B1180" t="str">
        <f t="shared" si="225"/>
        <v>Mitch Reinke - STL - RD</v>
      </c>
      <c r="C1180" t="str">
        <f t="shared" si="219"/>
        <v>Mitch</v>
      </c>
      <c r="D1180" t="str">
        <f t="shared" si="220"/>
        <v>Reinke</v>
      </c>
      <c r="E1180" s="39" t="s">
        <v>2062</v>
      </c>
      <c r="F1180" s="30" t="s">
        <v>31</v>
      </c>
      <c r="G1180" s="35">
        <v>0</v>
      </c>
      <c r="H1180" s="9" t="s">
        <v>379</v>
      </c>
      <c r="I1180" s="9" t="s">
        <v>2690</v>
      </c>
      <c r="J1180" s="9">
        <v>23</v>
      </c>
      <c r="K1180" s="35">
        <f>VALUE(COUNTIF(Validation!$A$2:$H$47,E1180))</f>
        <v>0</v>
      </c>
      <c r="L1180" s="361">
        <f t="shared" si="221"/>
        <v>750000</v>
      </c>
      <c r="M1180" s="361">
        <f t="shared" si="222"/>
        <v>0</v>
      </c>
      <c r="N1180" s="358">
        <v>750000</v>
      </c>
      <c r="O1180" s="358" t="s">
        <v>8</v>
      </c>
      <c r="P1180" s="358">
        <v>0</v>
      </c>
      <c r="Q1180" s="358">
        <v>0</v>
      </c>
      <c r="R1180" s="358">
        <v>0</v>
      </c>
      <c r="S1180" s="358">
        <v>0</v>
      </c>
      <c r="T1180" s="358">
        <v>0</v>
      </c>
      <c r="U1180" s="35">
        <f t="shared" si="216"/>
        <v>1</v>
      </c>
      <c r="W1180">
        <f t="shared" si="223"/>
        <v>1</v>
      </c>
      <c r="X1180" s="35">
        <f t="shared" si="217"/>
        <v>0</v>
      </c>
      <c r="Y1180">
        <f t="shared" si="218"/>
        <v>0</v>
      </c>
      <c r="AB1180">
        <f t="shared" si="226"/>
        <v>1</v>
      </c>
      <c r="AC1180">
        <f t="shared" ca="1" si="227"/>
        <v>0</v>
      </c>
      <c r="AD1180" t="str">
        <f ca="1">IF(AC1180=1,COUNTIF($AC$3:AC1180,1),"")</f>
        <v/>
      </c>
      <c r="AE1180" s="155" t="str">
        <f ca="1">IFERROR(INDEX(Données!$B$3:$B$1479,MATCH(ROWS($AD$3:AD1180),$AD$3:$AD$1479,0)),"")</f>
        <v/>
      </c>
    </row>
    <row r="1181" spans="1:31" ht="15.75" x14ac:dyDescent="0.25">
      <c r="A1181" t="str">
        <f t="shared" si="224"/>
        <v>Andreas Borgman - STL - LD</v>
      </c>
      <c r="B1181" t="str">
        <f t="shared" si="225"/>
        <v>Andreas Borgman - STL - LD</v>
      </c>
      <c r="C1181" t="str">
        <f t="shared" si="219"/>
        <v>Andreas</v>
      </c>
      <c r="D1181" t="str">
        <f t="shared" si="220"/>
        <v>Borgman</v>
      </c>
      <c r="E1181" s="39" t="s">
        <v>1605</v>
      </c>
      <c r="F1181" s="30" t="s">
        <v>31</v>
      </c>
      <c r="G1181" s="35">
        <v>0</v>
      </c>
      <c r="H1181" s="35" t="s">
        <v>380</v>
      </c>
      <c r="I1181" s="35" t="s">
        <v>2690</v>
      </c>
      <c r="J1181" s="35">
        <v>24</v>
      </c>
      <c r="K1181" s="35">
        <f>VALUE(COUNTIF(Validation!$A$2:$H$47,E1181))</f>
        <v>0</v>
      </c>
      <c r="L1181" s="361">
        <f t="shared" si="221"/>
        <v>700000</v>
      </c>
      <c r="M1181" s="361">
        <f t="shared" si="222"/>
        <v>0</v>
      </c>
      <c r="N1181" s="358">
        <v>700000</v>
      </c>
      <c r="O1181" s="358" t="s">
        <v>8</v>
      </c>
      <c r="P1181" s="358">
        <v>0</v>
      </c>
      <c r="Q1181" s="358">
        <v>0</v>
      </c>
      <c r="R1181" s="358">
        <v>0</v>
      </c>
      <c r="S1181" s="358">
        <v>0</v>
      </c>
      <c r="T1181" s="358">
        <v>0</v>
      </c>
      <c r="U1181" s="35">
        <f t="shared" si="216"/>
        <v>1</v>
      </c>
      <c r="W1181">
        <f t="shared" si="223"/>
        <v>1</v>
      </c>
      <c r="X1181" s="35">
        <f t="shared" si="217"/>
        <v>0</v>
      </c>
      <c r="Y1181">
        <f t="shared" si="218"/>
        <v>0</v>
      </c>
      <c r="AB1181">
        <f t="shared" si="226"/>
        <v>1</v>
      </c>
      <c r="AC1181">
        <f t="shared" ca="1" si="227"/>
        <v>0</v>
      </c>
      <c r="AD1181" t="str">
        <f ca="1">IF(AC1181=1,COUNTIF($AC$3:AC1181,1),"")</f>
        <v/>
      </c>
      <c r="AE1181" s="155" t="str">
        <f ca="1">IFERROR(INDEX(Données!$B$3:$B$1479,MATCH(ROWS($AD$3:AD1181),$AD$3:$AD$1479,0)),"")</f>
        <v/>
      </c>
    </row>
    <row r="1182" spans="1:31" ht="15.75" x14ac:dyDescent="0.25">
      <c r="A1182" t="str">
        <f t="shared" si="224"/>
        <v>Jake Dotchin - STL - RD</v>
      </c>
      <c r="B1182" t="str">
        <f t="shared" si="225"/>
        <v>Jake Dotchin - STL - RD</v>
      </c>
      <c r="C1182" t="str">
        <f t="shared" si="219"/>
        <v>Jake</v>
      </c>
      <c r="D1182" t="str">
        <f t="shared" si="220"/>
        <v>Dotchin</v>
      </c>
      <c r="E1182" s="39" t="s">
        <v>1562</v>
      </c>
      <c r="F1182" s="30" t="s">
        <v>31</v>
      </c>
      <c r="G1182" s="35">
        <v>0</v>
      </c>
      <c r="H1182" s="35" t="s">
        <v>379</v>
      </c>
      <c r="I1182" s="35" t="s">
        <v>2690</v>
      </c>
      <c r="J1182" s="35">
        <v>25</v>
      </c>
      <c r="K1182" s="35">
        <f>VALUE(COUNTIF(Validation!$A$2:$H$47,E1182))</f>
        <v>0</v>
      </c>
      <c r="L1182" s="361">
        <f t="shared" si="221"/>
        <v>700000</v>
      </c>
      <c r="M1182" s="361">
        <f t="shared" si="222"/>
        <v>0</v>
      </c>
      <c r="N1182" s="358">
        <v>700000</v>
      </c>
      <c r="O1182" s="358" t="s">
        <v>8</v>
      </c>
      <c r="P1182" s="358">
        <v>0</v>
      </c>
      <c r="Q1182" s="358">
        <v>0</v>
      </c>
      <c r="R1182" s="358">
        <v>0</v>
      </c>
      <c r="S1182" s="358">
        <v>0</v>
      </c>
      <c r="T1182" s="358">
        <v>0</v>
      </c>
      <c r="U1182" s="35">
        <f t="shared" si="216"/>
        <v>1</v>
      </c>
      <c r="W1182">
        <f t="shared" si="223"/>
        <v>1</v>
      </c>
      <c r="X1182" s="35">
        <f t="shared" si="217"/>
        <v>0</v>
      </c>
      <c r="Y1182">
        <f t="shared" si="218"/>
        <v>0</v>
      </c>
      <c r="AB1182">
        <f t="shared" si="226"/>
        <v>1</v>
      </c>
      <c r="AC1182">
        <f t="shared" ca="1" si="227"/>
        <v>0</v>
      </c>
      <c r="AD1182" t="str">
        <f ca="1">IF(AC1182=1,COUNTIF($AC$3:AC1182,1),"")</f>
        <v/>
      </c>
      <c r="AE1182" s="155" t="str">
        <f ca="1">IFERROR(INDEX(Données!$B$3:$B$1479,MATCH(ROWS($AD$3:AD1182),$AD$3:$AD$1479,0)),"")</f>
        <v/>
      </c>
    </row>
    <row r="1183" spans="1:31" ht="15.75" x14ac:dyDescent="0.25">
      <c r="A1183" t="str">
        <f t="shared" si="224"/>
        <v>Ville Husso - STL - G</v>
      </c>
      <c r="B1183" t="str">
        <f t="shared" si="225"/>
        <v>Ville Husso - STL - G</v>
      </c>
      <c r="C1183" t="str">
        <f t="shared" si="219"/>
        <v>Ville</v>
      </c>
      <c r="D1183" t="str">
        <f t="shared" si="220"/>
        <v>Husso</v>
      </c>
      <c r="E1183" s="39" t="s">
        <v>2069</v>
      </c>
      <c r="F1183" s="30" t="s">
        <v>31</v>
      </c>
      <c r="G1183" s="35">
        <v>0</v>
      </c>
      <c r="H1183" s="35" t="s">
        <v>127</v>
      </c>
      <c r="I1183" s="35" t="s">
        <v>2690</v>
      </c>
      <c r="J1183" s="35">
        <v>24</v>
      </c>
      <c r="K1183" s="35">
        <f>VALUE(COUNTIF(Validation!$A$2:$H$47,E1183))</f>
        <v>0</v>
      </c>
      <c r="L1183" s="361">
        <f t="shared" si="221"/>
        <v>700000</v>
      </c>
      <c r="M1183" s="361">
        <f t="shared" si="222"/>
        <v>0</v>
      </c>
      <c r="N1183" s="358">
        <v>700000</v>
      </c>
      <c r="O1183" s="358" t="s">
        <v>8</v>
      </c>
      <c r="P1183" s="358">
        <v>0</v>
      </c>
      <c r="Q1183" s="358">
        <v>0</v>
      </c>
      <c r="R1183" s="358">
        <v>0</v>
      </c>
      <c r="S1183" s="358">
        <v>0</v>
      </c>
      <c r="T1183" s="358">
        <v>0</v>
      </c>
      <c r="U1183" s="35">
        <f t="shared" si="216"/>
        <v>1</v>
      </c>
      <c r="W1183">
        <f t="shared" si="223"/>
        <v>1</v>
      </c>
      <c r="X1183" s="35">
        <f t="shared" si="217"/>
        <v>0</v>
      </c>
      <c r="Y1183">
        <f t="shared" si="218"/>
        <v>0</v>
      </c>
      <c r="AB1183">
        <f t="shared" si="226"/>
        <v>1</v>
      </c>
      <c r="AC1183">
        <f t="shared" ca="1" si="227"/>
        <v>0</v>
      </c>
      <c r="AD1183" t="str">
        <f ca="1">IF(AC1183=1,COUNTIF($AC$3:AC1183,1),"")</f>
        <v/>
      </c>
      <c r="AE1183" s="155" t="str">
        <f ca="1">IFERROR(INDEX(Données!$B$3:$B$1479,MATCH(ROWS($AD$3:AD1183),$AD$3:$AD$1479,0)),"")</f>
        <v/>
      </c>
    </row>
    <row r="1184" spans="1:31" ht="15.75" x14ac:dyDescent="0.25">
      <c r="A1184" t="str">
        <f t="shared" si="224"/>
        <v>Nick Lappin - STL - RW</v>
      </c>
      <c r="B1184" t="str">
        <f t="shared" si="225"/>
        <v>Nick Lappin - STL - RW</v>
      </c>
      <c r="C1184" t="str">
        <f t="shared" si="219"/>
        <v>Nick</v>
      </c>
      <c r="D1184" t="str">
        <f t="shared" si="220"/>
        <v>Lappin</v>
      </c>
      <c r="E1184" s="39" t="s">
        <v>1718</v>
      </c>
      <c r="F1184" s="31" t="s">
        <v>31</v>
      </c>
      <c r="G1184" s="35">
        <v>0</v>
      </c>
      <c r="H1184" s="35" t="s">
        <v>88</v>
      </c>
      <c r="I1184" s="35" t="s">
        <v>2690</v>
      </c>
      <c r="J1184" s="35">
        <v>26</v>
      </c>
      <c r="K1184" s="35">
        <f>VALUE(COUNTIF(Validation!$A$2:$H$47,E1184))</f>
        <v>0</v>
      </c>
      <c r="L1184" s="361">
        <f t="shared" si="221"/>
        <v>700000</v>
      </c>
      <c r="M1184" s="361">
        <f t="shared" si="222"/>
        <v>0</v>
      </c>
      <c r="N1184" s="358">
        <v>700000</v>
      </c>
      <c r="O1184" s="358" t="s">
        <v>7</v>
      </c>
      <c r="P1184" s="358">
        <v>0</v>
      </c>
      <c r="Q1184" s="358">
        <v>0</v>
      </c>
      <c r="R1184" s="358">
        <v>0</v>
      </c>
      <c r="S1184" s="358">
        <v>0</v>
      </c>
      <c r="T1184" s="358">
        <v>0</v>
      </c>
      <c r="U1184" s="35">
        <f t="shared" si="216"/>
        <v>1</v>
      </c>
      <c r="W1184">
        <f t="shared" si="223"/>
        <v>1</v>
      </c>
      <c r="X1184" s="35">
        <f t="shared" si="217"/>
        <v>0</v>
      </c>
      <c r="Y1184">
        <f t="shared" si="218"/>
        <v>0</v>
      </c>
      <c r="AB1184">
        <f t="shared" si="226"/>
        <v>1</v>
      </c>
      <c r="AC1184">
        <f t="shared" ca="1" si="227"/>
        <v>0</v>
      </c>
      <c r="AD1184" t="str">
        <f ca="1">IF(AC1184=1,COUNTIF($AC$3:AC1184,1),"")</f>
        <v/>
      </c>
      <c r="AE1184" s="155" t="str">
        <f ca="1">IFERROR(INDEX(Données!$B$3:$B$1479,MATCH(ROWS($AD$3:AD1184),$AD$3:$AD$1479,0)),"")</f>
        <v/>
      </c>
    </row>
    <row r="1185" spans="1:31" ht="15.75" x14ac:dyDescent="0.25">
      <c r="A1185" t="str">
        <f t="shared" si="224"/>
        <v>Jordan Nolan - STL - LW</v>
      </c>
      <c r="B1185" t="str">
        <f t="shared" si="225"/>
        <v>Jordan Nolan - STL - LW</v>
      </c>
      <c r="C1185" t="str">
        <f t="shared" si="219"/>
        <v>Jordan</v>
      </c>
      <c r="D1185" t="str">
        <f t="shared" si="220"/>
        <v>Nolan</v>
      </c>
      <c r="E1185" s="39" t="s">
        <v>2053</v>
      </c>
      <c r="F1185" s="30" t="s">
        <v>31</v>
      </c>
      <c r="G1185" s="35">
        <v>0</v>
      </c>
      <c r="H1185" s="35" t="s">
        <v>93</v>
      </c>
      <c r="I1185" s="35" t="s">
        <v>2690</v>
      </c>
      <c r="J1185" s="35">
        <v>30</v>
      </c>
      <c r="K1185" s="35">
        <f>VALUE(COUNTIF(Validation!$A$2:$H$47,E1185))</f>
        <v>0</v>
      </c>
      <c r="L1185" s="361">
        <f t="shared" si="221"/>
        <v>700000</v>
      </c>
      <c r="M1185" s="361">
        <f t="shared" si="222"/>
        <v>0</v>
      </c>
      <c r="N1185" s="358">
        <v>700000</v>
      </c>
      <c r="O1185" s="358" t="s">
        <v>7</v>
      </c>
      <c r="P1185" s="358">
        <v>0</v>
      </c>
      <c r="Q1185" s="358">
        <v>0</v>
      </c>
      <c r="R1185" s="358">
        <v>0</v>
      </c>
      <c r="S1185" s="358">
        <v>0</v>
      </c>
      <c r="T1185" s="358">
        <v>0</v>
      </c>
      <c r="U1185" s="35">
        <f t="shared" si="216"/>
        <v>1</v>
      </c>
      <c r="W1185">
        <f t="shared" si="223"/>
        <v>1</v>
      </c>
      <c r="X1185" s="35">
        <f t="shared" si="217"/>
        <v>0</v>
      </c>
      <c r="Y1185">
        <f t="shared" si="218"/>
        <v>0</v>
      </c>
      <c r="AB1185">
        <f t="shared" si="226"/>
        <v>1</v>
      </c>
      <c r="AC1185">
        <f t="shared" ca="1" si="227"/>
        <v>0</v>
      </c>
      <c r="AD1185" t="str">
        <f ca="1">IF(AC1185=1,COUNTIF($AC$3:AC1185,1),"")</f>
        <v/>
      </c>
      <c r="AE1185" s="155" t="str">
        <f ca="1">IFERROR(INDEX(Données!$B$3:$B$1479,MATCH(ROWS($AD$3:AD1185),$AD$3:$AD$1479,0)),"")</f>
        <v/>
      </c>
    </row>
    <row r="1186" spans="1:31" ht="15.75" x14ac:dyDescent="0.25">
      <c r="A1186" t="str">
        <f t="shared" si="224"/>
        <v>Derrick Pouliot - STL - LD</v>
      </c>
      <c r="B1186" t="str">
        <f t="shared" si="225"/>
        <v>Derrick Pouliot - STL - LD</v>
      </c>
      <c r="C1186" t="str">
        <f t="shared" si="219"/>
        <v>Derrick</v>
      </c>
      <c r="D1186" t="str">
        <f t="shared" si="220"/>
        <v>Pouliot</v>
      </c>
      <c r="E1186" s="39" t="s">
        <v>2343</v>
      </c>
      <c r="F1186" s="30" t="s">
        <v>31</v>
      </c>
      <c r="G1186" s="35">
        <v>0</v>
      </c>
      <c r="H1186" s="35" t="s">
        <v>380</v>
      </c>
      <c r="I1186" s="35" t="s">
        <v>2677</v>
      </c>
      <c r="J1186" s="35">
        <v>25</v>
      </c>
      <c r="K1186" s="35">
        <f>VALUE(COUNTIF(Validation!$A$2:$H$47,E1186))</f>
        <v>0</v>
      </c>
      <c r="L1186" s="361">
        <f t="shared" si="221"/>
        <v>700000</v>
      </c>
      <c r="M1186" s="361">
        <f t="shared" si="222"/>
        <v>0</v>
      </c>
      <c r="N1186" s="358">
        <v>700000</v>
      </c>
      <c r="O1186" s="358" t="s">
        <v>8</v>
      </c>
      <c r="P1186" s="358">
        <v>0</v>
      </c>
      <c r="Q1186" s="358">
        <v>0</v>
      </c>
      <c r="R1186" s="358">
        <v>0</v>
      </c>
      <c r="S1186" s="358">
        <v>0</v>
      </c>
      <c r="T1186" s="358">
        <v>0</v>
      </c>
      <c r="U1186" s="35">
        <f t="shared" si="216"/>
        <v>1</v>
      </c>
      <c r="W1186">
        <f t="shared" si="223"/>
        <v>1</v>
      </c>
      <c r="X1186" s="35">
        <f t="shared" si="217"/>
        <v>0</v>
      </c>
      <c r="Y1186">
        <f t="shared" si="218"/>
        <v>0</v>
      </c>
      <c r="AB1186">
        <f t="shared" si="226"/>
        <v>1</v>
      </c>
      <c r="AC1186">
        <f t="shared" ca="1" si="227"/>
        <v>0</v>
      </c>
      <c r="AD1186" t="str">
        <f ca="1">IF(AC1186=1,COUNTIF($AC$3:AC1186,1),"")</f>
        <v/>
      </c>
      <c r="AE1186" s="155" t="str">
        <f ca="1">IFERROR(INDEX(Données!$B$3:$B$1479,MATCH(ROWS($AD$3:AD1186),$AD$3:$AD$1479,0)),"")</f>
        <v/>
      </c>
    </row>
    <row r="1187" spans="1:31" ht="15.75" x14ac:dyDescent="0.25">
      <c r="A1187" t="str">
        <f t="shared" si="224"/>
        <v>Nolan Stevens - STL - C</v>
      </c>
      <c r="B1187" t="str">
        <f t="shared" si="225"/>
        <v>Nolan Stevens - STL - C</v>
      </c>
      <c r="C1187" t="str">
        <f t="shared" si="219"/>
        <v>Nolan</v>
      </c>
      <c r="D1187" t="str">
        <f t="shared" si="220"/>
        <v>Stevens</v>
      </c>
      <c r="E1187" s="39" t="s">
        <v>2071</v>
      </c>
      <c r="F1187" s="30" t="s">
        <v>31</v>
      </c>
      <c r="G1187" s="35">
        <v>0</v>
      </c>
      <c r="H1187" s="35" t="s">
        <v>73</v>
      </c>
      <c r="I1187" s="35" t="s">
        <v>2690</v>
      </c>
      <c r="J1187" s="35">
        <v>23</v>
      </c>
      <c r="K1187" s="35">
        <f>VALUE(COUNTIF(Validation!$A$2:$H$47,E1187))</f>
        <v>0</v>
      </c>
      <c r="L1187" s="361">
        <f t="shared" si="221"/>
        <v>700000</v>
      </c>
      <c r="M1187" s="361">
        <f t="shared" si="222"/>
        <v>0</v>
      </c>
      <c r="N1187" s="358">
        <v>700000</v>
      </c>
      <c r="O1187" s="358" t="s">
        <v>8</v>
      </c>
      <c r="P1187" s="358">
        <v>0</v>
      </c>
      <c r="Q1187" s="358">
        <v>0</v>
      </c>
      <c r="R1187" s="358">
        <v>0</v>
      </c>
      <c r="S1187" s="358">
        <v>0</v>
      </c>
      <c r="T1187" s="358">
        <v>0</v>
      </c>
      <c r="U1187" s="35">
        <f t="shared" si="216"/>
        <v>1</v>
      </c>
      <c r="W1187">
        <f t="shared" si="223"/>
        <v>1</v>
      </c>
      <c r="X1187" s="35">
        <f t="shared" si="217"/>
        <v>0</v>
      </c>
      <c r="Y1187">
        <f t="shared" si="218"/>
        <v>0</v>
      </c>
      <c r="AB1187">
        <f t="shared" si="226"/>
        <v>1</v>
      </c>
      <c r="AC1187">
        <f t="shared" ca="1" si="227"/>
        <v>0</v>
      </c>
      <c r="AD1187" t="str">
        <f ca="1">IF(AC1187=1,COUNTIF($AC$3:AC1187,1),"")</f>
        <v/>
      </c>
      <c r="AE1187" s="155" t="str">
        <f ca="1">IFERROR(INDEX(Données!$B$3:$B$1479,MATCH(ROWS($AD$3:AD1187),$AD$3:$AD$1479,0)),"")</f>
        <v/>
      </c>
    </row>
    <row r="1188" spans="1:31" ht="15.75" x14ac:dyDescent="0.25">
      <c r="A1188" t="str">
        <f t="shared" si="224"/>
        <v>Michael Vecchione - STL - C</v>
      </c>
      <c r="B1188" t="str">
        <f t="shared" si="225"/>
        <v>Michael Vecchione - STL - C</v>
      </c>
      <c r="C1188" t="str">
        <f t="shared" si="219"/>
        <v>Michael</v>
      </c>
      <c r="D1188" t="str">
        <f t="shared" si="220"/>
        <v>Vecchione</v>
      </c>
      <c r="E1188" s="39" t="s">
        <v>1799</v>
      </c>
      <c r="F1188" s="30" t="s">
        <v>31</v>
      </c>
      <c r="G1188" s="35">
        <v>0</v>
      </c>
      <c r="H1188" s="35" t="s">
        <v>73</v>
      </c>
      <c r="I1188" s="35" t="s">
        <v>2690</v>
      </c>
      <c r="J1188" s="35">
        <v>26</v>
      </c>
      <c r="K1188" s="35">
        <f>VALUE(COUNTIF(Validation!$A$2:$H$47,E1188))</f>
        <v>0</v>
      </c>
      <c r="L1188" s="361">
        <f t="shared" si="221"/>
        <v>700000</v>
      </c>
      <c r="M1188" s="361">
        <f t="shared" si="222"/>
        <v>0</v>
      </c>
      <c r="N1188" s="358">
        <v>700000</v>
      </c>
      <c r="O1188" s="358" t="s">
        <v>7</v>
      </c>
      <c r="P1188" s="358">
        <v>0</v>
      </c>
      <c r="Q1188" s="358">
        <v>0</v>
      </c>
      <c r="R1188" s="358">
        <v>0</v>
      </c>
      <c r="S1188" s="358">
        <v>0</v>
      </c>
      <c r="T1188" s="358">
        <v>0</v>
      </c>
      <c r="U1188" s="35">
        <f t="shared" si="216"/>
        <v>1</v>
      </c>
      <c r="W1188">
        <f t="shared" si="223"/>
        <v>1</v>
      </c>
      <c r="X1188" s="35">
        <f t="shared" si="217"/>
        <v>0</v>
      </c>
      <c r="Y1188">
        <f t="shared" si="218"/>
        <v>0</v>
      </c>
      <c r="AB1188">
        <f t="shared" si="226"/>
        <v>1</v>
      </c>
      <c r="AC1188">
        <f t="shared" ca="1" si="227"/>
        <v>0</v>
      </c>
      <c r="AD1188" t="str">
        <f ca="1">IF(AC1188=1,COUNTIF($AC$3:AC1188,1),"")</f>
        <v/>
      </c>
      <c r="AE1188" s="155" t="str">
        <f ca="1">IFERROR(INDEX(Données!$B$3:$B$1479,MATCH(ROWS($AD$3:AD1188),$AD$3:$AD$1479,0)),"")</f>
        <v/>
      </c>
    </row>
    <row r="1189" spans="1:31" ht="15.75" x14ac:dyDescent="0.25">
      <c r="A1189" t="str">
        <f t="shared" si="224"/>
        <v>Nathan Walker - STL - LW</v>
      </c>
      <c r="B1189" t="str">
        <f t="shared" si="225"/>
        <v>Nathan Walker - STL - LW</v>
      </c>
      <c r="C1189" t="str">
        <f t="shared" si="219"/>
        <v>Nathan</v>
      </c>
      <c r="D1189" t="str">
        <f t="shared" si="220"/>
        <v>Walker</v>
      </c>
      <c r="E1189" s="14" t="s">
        <v>1860</v>
      </c>
      <c r="F1189" s="30" t="s">
        <v>31</v>
      </c>
      <c r="G1189" s="35">
        <v>0</v>
      </c>
      <c r="H1189" s="35" t="s">
        <v>93</v>
      </c>
      <c r="I1189" s="35" t="s">
        <v>2690</v>
      </c>
      <c r="J1189" s="9">
        <v>25</v>
      </c>
      <c r="K1189" s="35">
        <f>VALUE(COUNTIF(Validation!$A$2:$H$47,E1189))</f>
        <v>0</v>
      </c>
      <c r="L1189" s="361">
        <f t="shared" si="221"/>
        <v>700000</v>
      </c>
      <c r="M1189" s="361">
        <f t="shared" si="222"/>
        <v>700000</v>
      </c>
      <c r="N1189" s="358">
        <v>700000</v>
      </c>
      <c r="O1189" s="358">
        <v>700000</v>
      </c>
      <c r="P1189" s="358" t="s">
        <v>7</v>
      </c>
      <c r="Q1189" s="358">
        <v>0</v>
      </c>
      <c r="R1189" s="358">
        <v>0</v>
      </c>
      <c r="S1189" s="358">
        <v>0</v>
      </c>
      <c r="T1189" s="358">
        <v>0</v>
      </c>
      <c r="U1189" s="35">
        <f t="shared" si="216"/>
        <v>2</v>
      </c>
      <c r="W1189">
        <f t="shared" si="223"/>
        <v>1</v>
      </c>
      <c r="X1189" s="35">
        <f t="shared" si="217"/>
        <v>0</v>
      </c>
      <c r="Y1189">
        <f t="shared" si="218"/>
        <v>1</v>
      </c>
      <c r="AB1189">
        <f t="shared" si="226"/>
        <v>1</v>
      </c>
      <c r="AC1189">
        <f t="shared" ca="1" si="227"/>
        <v>0</v>
      </c>
      <c r="AD1189" t="str">
        <f ca="1">IF(AC1189=1,COUNTIF($AC$3:AC1189,1),"")</f>
        <v/>
      </c>
      <c r="AE1189" s="155" t="str">
        <f ca="1">IFERROR(INDEX(Données!$B$3:$B$1479,MATCH(ROWS($AD$3:AD1189),$AD$3:$AD$1479,0)),"")</f>
        <v/>
      </c>
    </row>
    <row r="1190" spans="1:31" ht="15.75" x14ac:dyDescent="0.25">
      <c r="A1190" t="str">
        <f t="shared" si="224"/>
        <v>Joey LaLeggia - STL - LD</v>
      </c>
      <c r="B1190" t="str">
        <f t="shared" si="225"/>
        <v>Joey LaLeggia - STL - LD</v>
      </c>
      <c r="C1190" t="str">
        <f t="shared" si="219"/>
        <v>Joey</v>
      </c>
      <c r="D1190" t="str">
        <f t="shared" si="220"/>
        <v>LaLeggia</v>
      </c>
      <c r="E1190" s="39" t="s">
        <v>2077</v>
      </c>
      <c r="F1190" s="30" t="s">
        <v>31</v>
      </c>
      <c r="G1190" s="35">
        <v>0</v>
      </c>
      <c r="H1190" s="35" t="s">
        <v>380</v>
      </c>
      <c r="I1190" s="35" t="s">
        <v>2690</v>
      </c>
      <c r="J1190" s="35">
        <v>27</v>
      </c>
      <c r="K1190" s="35">
        <f>VALUE(COUNTIF(Validation!$A$2:$H$47,E1190))</f>
        <v>0</v>
      </c>
      <c r="L1190" s="361">
        <f t="shared" si="221"/>
        <v>675000</v>
      </c>
      <c r="M1190" s="361">
        <f t="shared" si="222"/>
        <v>0</v>
      </c>
      <c r="N1190" s="358">
        <v>675000</v>
      </c>
      <c r="O1190" s="358" t="s">
        <v>7</v>
      </c>
      <c r="P1190" s="358">
        <v>0</v>
      </c>
      <c r="Q1190" s="358">
        <v>0</v>
      </c>
      <c r="R1190" s="358">
        <v>0</v>
      </c>
      <c r="S1190" s="358">
        <v>0</v>
      </c>
      <c r="T1190" s="358">
        <v>0</v>
      </c>
      <c r="U1190" s="35">
        <f t="shared" si="216"/>
        <v>1</v>
      </c>
      <c r="W1190">
        <f t="shared" si="223"/>
        <v>1</v>
      </c>
      <c r="X1190" s="35">
        <f t="shared" si="217"/>
        <v>0</v>
      </c>
      <c r="Y1190">
        <f t="shared" si="218"/>
        <v>0</v>
      </c>
      <c r="AB1190">
        <f t="shared" si="226"/>
        <v>1</v>
      </c>
      <c r="AC1190">
        <f t="shared" ca="1" si="227"/>
        <v>0</v>
      </c>
      <c r="AD1190" t="str">
        <f ca="1">IF(AC1190=1,COUNTIF($AC$3:AC1190,1),"")</f>
        <v/>
      </c>
      <c r="AE1190" s="155" t="str">
        <f ca="1">IFERROR(INDEX(Données!$B$3:$B$1479,MATCH(ROWS($AD$3:AD1190),$AD$3:$AD$1479,0)),"")</f>
        <v/>
      </c>
    </row>
    <row r="1191" spans="1:31" ht="15.75" x14ac:dyDescent="0.25">
      <c r="A1191" t="str">
        <f t="shared" si="224"/>
        <v>Ivan Barbashev - STL - C</v>
      </c>
      <c r="B1191" t="str">
        <f t="shared" si="225"/>
        <v>Ivan Barbashev - STL - C</v>
      </c>
      <c r="C1191" t="str">
        <f t="shared" si="219"/>
        <v>Ivan</v>
      </c>
      <c r="D1191" t="str">
        <f t="shared" si="220"/>
        <v>Barbashev</v>
      </c>
      <c r="E1191" s="39" t="s">
        <v>2051</v>
      </c>
      <c r="F1191" s="30" t="s">
        <v>31</v>
      </c>
      <c r="G1191" s="35">
        <v>0</v>
      </c>
      <c r="H1191" s="35" t="s">
        <v>73</v>
      </c>
      <c r="I1191" s="35" t="s">
        <v>2677</v>
      </c>
      <c r="J1191" s="35">
        <v>23</v>
      </c>
      <c r="K1191" s="35">
        <f>VALUE(COUNTIF(Validation!$A$2:$H$47,E1191))</f>
        <v>0</v>
      </c>
      <c r="L1191" s="361">
        <f t="shared" si="221"/>
        <v>0</v>
      </c>
      <c r="M1191" s="361">
        <f t="shared" si="222"/>
        <v>0</v>
      </c>
      <c r="N1191" s="358" t="s">
        <v>8</v>
      </c>
      <c r="O1191" s="358">
        <v>0</v>
      </c>
      <c r="P1191" s="358">
        <v>0</v>
      </c>
      <c r="Q1191" s="358">
        <v>0</v>
      </c>
      <c r="R1191" s="358">
        <v>0</v>
      </c>
      <c r="S1191" s="358">
        <v>0</v>
      </c>
      <c r="T1191" s="358">
        <v>0</v>
      </c>
      <c r="U1191" s="35">
        <f t="shared" si="216"/>
        <v>0</v>
      </c>
      <c r="W1191">
        <f t="shared" si="223"/>
        <v>1</v>
      </c>
      <c r="X1191" s="35">
        <f t="shared" si="217"/>
        <v>0</v>
      </c>
      <c r="Y1191">
        <f t="shared" si="218"/>
        <v>1</v>
      </c>
      <c r="AB1191">
        <f t="shared" si="226"/>
        <v>1</v>
      </c>
      <c r="AC1191">
        <f t="shared" ca="1" si="227"/>
        <v>0</v>
      </c>
      <c r="AD1191" t="str">
        <f ca="1">IF(AC1191=1,COUNTIF($AC$3:AC1191,1),"")</f>
        <v/>
      </c>
      <c r="AE1191" s="155" t="str">
        <f ca="1">IFERROR(INDEX(Données!$B$3:$B$1479,MATCH(ROWS($AD$3:AD1191),$AD$3:$AD$1479,0)),"")</f>
        <v/>
      </c>
    </row>
    <row r="1192" spans="1:31" ht="15.75" x14ac:dyDescent="0.25">
      <c r="A1192" t="str">
        <f t="shared" si="224"/>
        <v>Nikita Kucherov - TBL - AD</v>
      </c>
      <c r="B1192" t="str">
        <f t="shared" si="225"/>
        <v>Nikita Kucherov - TBL - AD</v>
      </c>
      <c r="C1192" t="str">
        <f t="shared" si="219"/>
        <v>Nikita</v>
      </c>
      <c r="D1192" t="str">
        <f t="shared" si="220"/>
        <v>Kucherov</v>
      </c>
      <c r="E1192" s="39" t="s">
        <v>1549</v>
      </c>
      <c r="F1192" s="30" t="s">
        <v>32</v>
      </c>
      <c r="G1192" s="35">
        <v>0</v>
      </c>
      <c r="H1192" s="35" t="s">
        <v>2438</v>
      </c>
      <c r="I1192" s="35" t="s">
        <v>2439</v>
      </c>
      <c r="J1192" s="35">
        <v>26</v>
      </c>
      <c r="K1192" s="35">
        <f>VALUE(COUNTIF(Validation!$A$2:$H$47,E1192))</f>
        <v>0</v>
      </c>
      <c r="L1192" s="361">
        <f t="shared" si="221"/>
        <v>9500000</v>
      </c>
      <c r="M1192" s="361">
        <f t="shared" si="222"/>
        <v>9500000</v>
      </c>
      <c r="N1192" s="358">
        <v>9500000</v>
      </c>
      <c r="O1192" s="358">
        <v>9500000</v>
      </c>
      <c r="P1192" s="358">
        <v>9500000</v>
      </c>
      <c r="Q1192" s="358">
        <v>9500000</v>
      </c>
      <c r="R1192" s="358">
        <v>9500000</v>
      </c>
      <c r="S1192" s="358">
        <v>9500000</v>
      </c>
      <c r="T1192" s="358">
        <v>9500000</v>
      </c>
      <c r="U1192" s="35">
        <f t="shared" si="216"/>
        <v>7</v>
      </c>
      <c r="W1192">
        <f t="shared" si="223"/>
        <v>1</v>
      </c>
      <c r="X1192" s="35">
        <f t="shared" si="217"/>
        <v>0</v>
      </c>
      <c r="Y1192">
        <f t="shared" si="218"/>
        <v>1</v>
      </c>
      <c r="AB1192">
        <f t="shared" si="226"/>
        <v>1</v>
      </c>
      <c r="AC1192">
        <f t="shared" ca="1" si="227"/>
        <v>0</v>
      </c>
      <c r="AD1192" t="str">
        <f ca="1">IF(AC1192=1,COUNTIF($AC$3:AC1192,1),"")</f>
        <v/>
      </c>
      <c r="AE1192" s="155" t="str">
        <f ca="1">IFERROR(INDEX(Données!$B$3:$B$1479,MATCH(ROWS($AD$3:AD1192),$AD$3:$AD$1479,0)),"")</f>
        <v/>
      </c>
    </row>
    <row r="1193" spans="1:31" ht="15.75" x14ac:dyDescent="0.25">
      <c r="A1193" t="str">
        <f t="shared" si="224"/>
        <v>Steven Stamkos - TBL - C</v>
      </c>
      <c r="B1193" t="str">
        <f t="shared" si="225"/>
        <v>Steven Stamkos - TBL - C</v>
      </c>
      <c r="C1193" t="str">
        <f t="shared" si="219"/>
        <v>Steven</v>
      </c>
      <c r="D1193" t="str">
        <f t="shared" si="220"/>
        <v>Stamkos</v>
      </c>
      <c r="E1193" s="39" t="s">
        <v>3003</v>
      </c>
      <c r="F1193" s="30" t="s">
        <v>32</v>
      </c>
      <c r="G1193" s="35" t="s">
        <v>420</v>
      </c>
      <c r="H1193" s="35" t="s">
        <v>73</v>
      </c>
      <c r="I1193" s="35" t="s">
        <v>2439</v>
      </c>
      <c r="J1193" s="35">
        <v>29</v>
      </c>
      <c r="K1193" s="35">
        <f>VALUE(COUNTIF(Validation!$A$2:$H$47,E1193))</f>
        <v>0</v>
      </c>
      <c r="L1193" s="361">
        <f t="shared" si="221"/>
        <v>8500000</v>
      </c>
      <c r="M1193" s="361">
        <f t="shared" si="222"/>
        <v>8500000</v>
      </c>
      <c r="N1193" s="358">
        <v>8500000</v>
      </c>
      <c r="O1193" s="358">
        <v>8500000</v>
      </c>
      <c r="P1193" s="358">
        <v>8500000</v>
      </c>
      <c r="Q1193" s="358">
        <v>8500000</v>
      </c>
      <c r="R1193" s="358">
        <v>8500000</v>
      </c>
      <c r="S1193" s="358" t="s">
        <v>7</v>
      </c>
      <c r="T1193" s="358">
        <v>0</v>
      </c>
      <c r="U1193" s="35">
        <f t="shared" si="216"/>
        <v>5</v>
      </c>
      <c r="W1193">
        <f t="shared" si="223"/>
        <v>1</v>
      </c>
      <c r="X1193" s="35">
        <f t="shared" si="217"/>
        <v>0</v>
      </c>
      <c r="Y1193">
        <f t="shared" si="218"/>
        <v>1</v>
      </c>
      <c r="AB1193">
        <f t="shared" si="226"/>
        <v>1</v>
      </c>
      <c r="AC1193">
        <f t="shared" ca="1" si="227"/>
        <v>0</v>
      </c>
      <c r="AD1193" t="str">
        <f ca="1">IF(AC1193=1,COUNTIF($AC$3:AC1193,1),"")</f>
        <v/>
      </c>
      <c r="AE1193" s="155" t="str">
        <f ca="1">IFERROR(INDEX(Données!$B$3:$B$1479,MATCH(ROWS($AD$3:AD1193),$AD$3:$AD$1479,0)),"")</f>
        <v/>
      </c>
    </row>
    <row r="1194" spans="1:31" ht="15.75" x14ac:dyDescent="0.25">
      <c r="A1194" t="str">
        <f t="shared" si="224"/>
        <v>Victor Hedman - TBL - DG</v>
      </c>
      <c r="B1194" t="str">
        <f t="shared" si="225"/>
        <v>Victor Hedman - TBL - DG</v>
      </c>
      <c r="C1194" t="str">
        <f t="shared" si="219"/>
        <v>Victor</v>
      </c>
      <c r="D1194" t="str">
        <f t="shared" si="220"/>
        <v>Hedman</v>
      </c>
      <c r="E1194" s="39" t="s">
        <v>1556</v>
      </c>
      <c r="F1194" s="30" t="s">
        <v>32</v>
      </c>
      <c r="G1194" s="35" t="s">
        <v>420</v>
      </c>
      <c r="H1194" s="35" t="s">
        <v>2445</v>
      </c>
      <c r="I1194" s="35" t="s">
        <v>2439</v>
      </c>
      <c r="J1194" s="35">
        <v>28</v>
      </c>
      <c r="K1194" s="35">
        <f>VALUE(COUNTIF(Validation!$A$2:$H$47,E1194))</f>
        <v>0</v>
      </c>
      <c r="L1194" s="361">
        <f t="shared" si="221"/>
        <v>7875000</v>
      </c>
      <c r="M1194" s="361">
        <f t="shared" si="222"/>
        <v>7875000</v>
      </c>
      <c r="N1194" s="358">
        <v>7875000</v>
      </c>
      <c r="O1194" s="358">
        <v>7875000</v>
      </c>
      <c r="P1194" s="358">
        <v>7875000</v>
      </c>
      <c r="Q1194" s="358">
        <v>7875000</v>
      </c>
      <c r="R1194" s="358">
        <v>7875000</v>
      </c>
      <c r="S1194" s="358">
        <v>7875000</v>
      </c>
      <c r="T1194" s="358" t="s">
        <v>7</v>
      </c>
      <c r="U1194" s="35">
        <f t="shared" si="216"/>
        <v>6</v>
      </c>
      <c r="W1194">
        <f t="shared" si="223"/>
        <v>1</v>
      </c>
      <c r="X1194" s="35">
        <f t="shared" si="217"/>
        <v>0</v>
      </c>
      <c r="Y1194">
        <f t="shared" si="218"/>
        <v>1</v>
      </c>
      <c r="AB1194">
        <f t="shared" si="226"/>
        <v>1</v>
      </c>
      <c r="AC1194">
        <f t="shared" ca="1" si="227"/>
        <v>0</v>
      </c>
      <c r="AD1194" t="str">
        <f ca="1">IF(AC1194=1,COUNTIF($AC$3:AC1194,1),"")</f>
        <v/>
      </c>
      <c r="AE1194" s="155" t="str">
        <f ca="1">IFERROR(INDEX(Données!$B$3:$B$1479,MATCH(ROWS($AD$3:AD1194),$AD$3:$AD$1479,0)),"")</f>
        <v/>
      </c>
    </row>
    <row r="1195" spans="1:31" ht="15.75" x14ac:dyDescent="0.25">
      <c r="A1195" t="str">
        <f t="shared" si="224"/>
        <v>Ryan McDonagh - TBL - DG</v>
      </c>
      <c r="B1195" t="str">
        <f t="shared" si="225"/>
        <v>Ryan McDonagh - TBL - DG</v>
      </c>
      <c r="C1195" t="str">
        <f t="shared" si="219"/>
        <v>Ryan</v>
      </c>
      <c r="D1195" t="str">
        <f t="shared" si="220"/>
        <v>McDonagh</v>
      </c>
      <c r="E1195" s="39" t="s">
        <v>1557</v>
      </c>
      <c r="F1195" s="30" t="s">
        <v>32</v>
      </c>
      <c r="G1195" s="35" t="s">
        <v>372</v>
      </c>
      <c r="H1195" s="35" t="s">
        <v>2445</v>
      </c>
      <c r="I1195" s="35" t="s">
        <v>2439</v>
      </c>
      <c r="J1195" s="35">
        <v>30</v>
      </c>
      <c r="K1195" s="35">
        <f>VALUE(COUNTIF(Validation!$A$2:$H$47,E1195))</f>
        <v>0</v>
      </c>
      <c r="L1195" s="361">
        <f t="shared" si="221"/>
        <v>6750000</v>
      </c>
      <c r="M1195" s="361">
        <f t="shared" si="222"/>
        <v>6750000</v>
      </c>
      <c r="N1195" s="358">
        <v>6750000</v>
      </c>
      <c r="O1195" s="358">
        <v>6750000</v>
      </c>
      <c r="P1195" s="358">
        <v>6750000</v>
      </c>
      <c r="Q1195" s="358">
        <v>6750000</v>
      </c>
      <c r="R1195" s="358">
        <v>6750000</v>
      </c>
      <c r="S1195" s="358">
        <v>6750000</v>
      </c>
      <c r="T1195" s="358">
        <v>6750000</v>
      </c>
      <c r="U1195" s="35">
        <f t="shared" si="216"/>
        <v>7</v>
      </c>
      <c r="W1195">
        <f t="shared" si="223"/>
        <v>1</v>
      </c>
      <c r="X1195" s="35">
        <f t="shared" si="217"/>
        <v>0</v>
      </c>
      <c r="Y1195">
        <f t="shared" si="218"/>
        <v>1</v>
      </c>
      <c r="AB1195">
        <f t="shared" si="226"/>
        <v>1</v>
      </c>
      <c r="AC1195">
        <f t="shared" ca="1" si="227"/>
        <v>0</v>
      </c>
      <c r="AD1195" t="str">
        <f ca="1">IF(AC1195=1,COUNTIF($AC$3:AC1195,1),"")</f>
        <v/>
      </c>
      <c r="AE1195" s="155" t="str">
        <f ca="1">IFERROR(INDEX(Données!$B$3:$B$1479,MATCH(ROWS($AD$3:AD1195),$AD$3:$AD$1479,0)),"")</f>
        <v/>
      </c>
    </row>
    <row r="1196" spans="1:31" ht="15.75" x14ac:dyDescent="0.25">
      <c r="A1196" t="str">
        <f t="shared" si="224"/>
        <v>Ondrej Palat - TBL - AD, AG</v>
      </c>
      <c r="B1196" t="str">
        <f t="shared" si="225"/>
        <v>Ondrej Palat - TBL - AD, AG</v>
      </c>
      <c r="C1196" t="str">
        <f t="shared" si="219"/>
        <v>Ondrej</v>
      </c>
      <c r="D1196" t="str">
        <f t="shared" si="220"/>
        <v>Palat</v>
      </c>
      <c r="E1196" s="39" t="s">
        <v>1546</v>
      </c>
      <c r="F1196" s="30" t="s">
        <v>32</v>
      </c>
      <c r="G1196" s="35" t="s">
        <v>372</v>
      </c>
      <c r="H1196" s="35" t="s">
        <v>2441</v>
      </c>
      <c r="I1196" s="35" t="s">
        <v>2439</v>
      </c>
      <c r="J1196" s="35">
        <v>28</v>
      </c>
      <c r="K1196" s="35">
        <f>VALUE(COUNTIF(Validation!$A$2:$H$47,E1196))</f>
        <v>0</v>
      </c>
      <c r="L1196" s="361">
        <f t="shared" si="221"/>
        <v>5300000</v>
      </c>
      <c r="M1196" s="361">
        <f t="shared" si="222"/>
        <v>5300000</v>
      </c>
      <c r="N1196" s="358">
        <v>5300000</v>
      </c>
      <c r="O1196" s="358">
        <v>5300000</v>
      </c>
      <c r="P1196" s="358">
        <v>5300000</v>
      </c>
      <c r="Q1196" s="358" t="s">
        <v>7</v>
      </c>
      <c r="R1196" s="358">
        <v>0</v>
      </c>
      <c r="S1196" s="358">
        <v>0</v>
      </c>
      <c r="T1196" s="358">
        <v>0</v>
      </c>
      <c r="U1196" s="35">
        <f t="shared" si="216"/>
        <v>3</v>
      </c>
      <c r="W1196">
        <f t="shared" si="223"/>
        <v>1</v>
      </c>
      <c r="X1196" s="35">
        <f t="shared" si="217"/>
        <v>0</v>
      </c>
      <c r="Y1196">
        <f t="shared" si="218"/>
        <v>1</v>
      </c>
      <c r="AB1196">
        <f t="shared" si="226"/>
        <v>1</v>
      </c>
      <c r="AC1196">
        <f t="shared" ca="1" si="227"/>
        <v>0</v>
      </c>
      <c r="AD1196" t="str">
        <f ca="1">IF(AC1196=1,COUNTIF($AC$3:AC1196,1),"")</f>
        <v/>
      </c>
      <c r="AE1196" s="155" t="str">
        <f ca="1">IFERROR(INDEX(Données!$B$3:$B$1479,MATCH(ROWS($AD$3:AD1196),$AD$3:$AD$1479,0)),"")</f>
        <v/>
      </c>
    </row>
    <row r="1197" spans="1:31" ht="15.75" x14ac:dyDescent="0.25">
      <c r="A1197" t="str">
        <f t="shared" si="224"/>
        <v>Yanni Gourde - TBL - AD, AG, C</v>
      </c>
      <c r="B1197" t="str">
        <f t="shared" si="225"/>
        <v>Yanni Gourde - TBL - AD, AG, C</v>
      </c>
      <c r="C1197" t="str">
        <f t="shared" si="219"/>
        <v>Yanni</v>
      </c>
      <c r="D1197" t="str">
        <f t="shared" si="220"/>
        <v>Gourde</v>
      </c>
      <c r="E1197" s="39" t="s">
        <v>1551</v>
      </c>
      <c r="F1197" s="30" t="s">
        <v>32</v>
      </c>
      <c r="G1197" s="35" t="s">
        <v>372</v>
      </c>
      <c r="H1197" s="35" t="s">
        <v>2496</v>
      </c>
      <c r="I1197" s="35" t="s">
        <v>2439</v>
      </c>
      <c r="J1197" s="35">
        <v>27</v>
      </c>
      <c r="K1197" s="35">
        <f>VALUE(COUNTIF(Validation!$A$2:$H$47,E1197))</f>
        <v>0</v>
      </c>
      <c r="L1197" s="361">
        <f t="shared" si="221"/>
        <v>5166666</v>
      </c>
      <c r="M1197" s="361">
        <f t="shared" si="222"/>
        <v>5166666</v>
      </c>
      <c r="N1197" s="358">
        <v>5166666</v>
      </c>
      <c r="O1197" s="358">
        <v>5166666</v>
      </c>
      <c r="P1197" s="358">
        <v>5166666</v>
      </c>
      <c r="Q1197" s="358">
        <v>5166666</v>
      </c>
      <c r="R1197" s="358">
        <v>5166666</v>
      </c>
      <c r="S1197" s="358">
        <v>5166666</v>
      </c>
      <c r="T1197" s="358" t="s">
        <v>7</v>
      </c>
      <c r="U1197" s="35">
        <f t="shared" si="216"/>
        <v>6</v>
      </c>
      <c r="W1197">
        <f t="shared" si="223"/>
        <v>1</v>
      </c>
      <c r="X1197" s="35">
        <f t="shared" si="217"/>
        <v>0</v>
      </c>
      <c r="Y1197">
        <f t="shared" si="218"/>
        <v>1</v>
      </c>
      <c r="AB1197">
        <f t="shared" si="226"/>
        <v>1</v>
      </c>
      <c r="AC1197">
        <f t="shared" ca="1" si="227"/>
        <v>0</v>
      </c>
      <c r="AD1197" t="str">
        <f ca="1">IF(AC1197=1,COUNTIF($AC$3:AC1197,1),"")</f>
        <v/>
      </c>
      <c r="AE1197" s="155" t="str">
        <f ca="1">IFERROR(INDEX(Données!$B$3:$B$1479,MATCH(ROWS($AD$3:AD1197),$AD$3:$AD$1479,0)),"")</f>
        <v/>
      </c>
    </row>
    <row r="1198" spans="1:31" ht="15.75" x14ac:dyDescent="0.25">
      <c r="A1198" t="str">
        <f t="shared" si="224"/>
        <v>Tyler Johnson - TBL - AG, C, AD</v>
      </c>
      <c r="B1198" t="str">
        <f t="shared" si="225"/>
        <v>Tyler Johnson - TBL - AG, C, AD</v>
      </c>
      <c r="C1198" t="str">
        <f t="shared" si="219"/>
        <v>Tyler</v>
      </c>
      <c r="D1198" t="str">
        <f t="shared" si="220"/>
        <v>Johnson</v>
      </c>
      <c r="E1198" s="39" t="s">
        <v>1548</v>
      </c>
      <c r="F1198" s="30" t="s">
        <v>32</v>
      </c>
      <c r="G1198" s="35" t="s">
        <v>372</v>
      </c>
      <c r="H1198" s="35" t="s">
        <v>2462</v>
      </c>
      <c r="I1198" s="35" t="s">
        <v>2439</v>
      </c>
      <c r="J1198" s="35">
        <v>29</v>
      </c>
      <c r="K1198" s="35">
        <f>VALUE(COUNTIF(Validation!$A$2:$H$47,E1198))</f>
        <v>0</v>
      </c>
      <c r="L1198" s="361">
        <f t="shared" si="221"/>
        <v>5000000</v>
      </c>
      <c r="M1198" s="361">
        <f t="shared" si="222"/>
        <v>5000000</v>
      </c>
      <c r="N1198" s="358">
        <v>5000000</v>
      </c>
      <c r="O1198" s="358">
        <v>5000000</v>
      </c>
      <c r="P1198" s="358">
        <v>5000000</v>
      </c>
      <c r="Q1198" s="358">
        <v>5000000</v>
      </c>
      <c r="R1198" s="358">
        <v>5000000</v>
      </c>
      <c r="S1198" s="358" t="s">
        <v>7</v>
      </c>
      <c r="T1198" s="358">
        <v>0</v>
      </c>
      <c r="U1198" s="35">
        <f t="shared" si="216"/>
        <v>5</v>
      </c>
      <c r="W1198">
        <f t="shared" si="223"/>
        <v>1</v>
      </c>
      <c r="X1198" s="35">
        <f t="shared" si="217"/>
        <v>0</v>
      </c>
      <c r="Y1198">
        <f t="shared" si="218"/>
        <v>1</v>
      </c>
      <c r="AB1198">
        <f t="shared" si="226"/>
        <v>1</v>
      </c>
      <c r="AC1198">
        <f t="shared" ca="1" si="227"/>
        <v>0</v>
      </c>
      <c r="AD1198" t="str">
        <f ca="1">IF(AC1198=1,COUNTIF($AC$3:AC1198,1),"")</f>
        <v/>
      </c>
      <c r="AE1198" s="155" t="str">
        <f ca="1">IFERROR(INDEX(Données!$B$3:$B$1479,MATCH(ROWS($AD$3:AD1198),$AD$3:$AD$1479,0)),"")</f>
        <v/>
      </c>
    </row>
    <row r="1199" spans="1:31" ht="15.75" x14ac:dyDescent="0.25">
      <c r="A1199" t="str">
        <f t="shared" si="224"/>
        <v>Alex Killorn - TBL - AG</v>
      </c>
      <c r="B1199" t="str">
        <f t="shared" si="225"/>
        <v>Alex Killorn - TBL - AG</v>
      </c>
      <c r="C1199" t="str">
        <f t="shared" si="219"/>
        <v>Alex</v>
      </c>
      <c r="D1199" t="str">
        <f t="shared" si="220"/>
        <v>Killorn</v>
      </c>
      <c r="E1199" s="39" t="s">
        <v>1550</v>
      </c>
      <c r="F1199" s="30" t="s">
        <v>32</v>
      </c>
      <c r="G1199" s="35" t="s">
        <v>372</v>
      </c>
      <c r="H1199" s="35" t="s">
        <v>2440</v>
      </c>
      <c r="I1199" s="35" t="s">
        <v>2439</v>
      </c>
      <c r="J1199" s="35">
        <v>29</v>
      </c>
      <c r="K1199" s="35">
        <f>VALUE(COUNTIF(Validation!$A$2:$H$47,E1199))</f>
        <v>0</v>
      </c>
      <c r="L1199" s="361">
        <f t="shared" si="221"/>
        <v>4450000</v>
      </c>
      <c r="M1199" s="361">
        <f t="shared" si="222"/>
        <v>4450000</v>
      </c>
      <c r="N1199" s="358">
        <v>4450000</v>
      </c>
      <c r="O1199" s="358">
        <v>4450000</v>
      </c>
      <c r="P1199" s="358">
        <v>4450000</v>
      </c>
      <c r="Q1199" s="358">
        <v>4450000</v>
      </c>
      <c r="R1199" s="358" t="s">
        <v>7</v>
      </c>
      <c r="S1199" s="358">
        <v>0</v>
      </c>
      <c r="T1199" s="358">
        <v>0</v>
      </c>
      <c r="U1199" s="35">
        <f t="shared" si="216"/>
        <v>4</v>
      </c>
      <c r="W1199">
        <f t="shared" si="223"/>
        <v>1</v>
      </c>
      <c r="X1199" s="35">
        <f t="shared" si="217"/>
        <v>0</v>
      </c>
      <c r="Y1199">
        <f t="shared" si="218"/>
        <v>1</v>
      </c>
      <c r="AB1199">
        <f t="shared" si="226"/>
        <v>1</v>
      </c>
      <c r="AC1199">
        <f t="shared" ca="1" si="227"/>
        <v>0</v>
      </c>
      <c r="AD1199" t="str">
        <f ca="1">IF(AC1199=1,COUNTIF($AC$3:AC1199,1),"")</f>
        <v/>
      </c>
      <c r="AE1199" s="155" t="str">
        <f ca="1">IFERROR(INDEX(Données!$B$3:$B$1479,MATCH(ROWS($AD$3:AD1199),$AD$3:$AD$1479,0)),"")</f>
        <v/>
      </c>
    </row>
    <row r="1200" spans="1:31" ht="15.75" x14ac:dyDescent="0.25">
      <c r="A1200" t="str">
        <f t="shared" si="224"/>
        <v>Andrei Vasilevskiy - TBL - G</v>
      </c>
      <c r="B1200" t="str">
        <f t="shared" si="225"/>
        <v>Andrei Vasilevskiy - TBL - G</v>
      </c>
      <c r="C1200" t="str">
        <f t="shared" si="219"/>
        <v>Andrei</v>
      </c>
      <c r="D1200" t="str">
        <f t="shared" si="220"/>
        <v>Vasilevskiy</v>
      </c>
      <c r="E1200" s="39" t="s">
        <v>1563</v>
      </c>
      <c r="F1200" s="30" t="s">
        <v>32</v>
      </c>
      <c r="G1200" s="35">
        <v>0</v>
      </c>
      <c r="H1200" s="35" t="s">
        <v>127</v>
      </c>
      <c r="I1200" s="35" t="s">
        <v>2439</v>
      </c>
      <c r="J1200" s="35">
        <v>25</v>
      </c>
      <c r="K1200" s="35">
        <f>VALUE(COUNTIF(Validation!$A$2:$H$47,E1200))</f>
        <v>0</v>
      </c>
      <c r="L1200" s="361">
        <f t="shared" si="221"/>
        <v>3500000</v>
      </c>
      <c r="M1200" s="361">
        <f t="shared" si="222"/>
        <v>9500000</v>
      </c>
      <c r="N1200" s="358">
        <v>3500000</v>
      </c>
      <c r="O1200" s="358">
        <v>9500000</v>
      </c>
      <c r="P1200" s="358">
        <v>9500000</v>
      </c>
      <c r="Q1200" s="358">
        <v>9500000</v>
      </c>
      <c r="R1200" s="358">
        <v>9500000</v>
      </c>
      <c r="S1200" s="358">
        <v>9500000</v>
      </c>
      <c r="T1200" s="358">
        <v>9500000</v>
      </c>
      <c r="U1200" s="35">
        <f t="shared" si="216"/>
        <v>7</v>
      </c>
      <c r="W1200">
        <f t="shared" si="223"/>
        <v>1</v>
      </c>
      <c r="X1200" s="35">
        <f t="shared" si="217"/>
        <v>0</v>
      </c>
      <c r="Y1200">
        <f t="shared" si="218"/>
        <v>0</v>
      </c>
      <c r="AB1200">
        <f t="shared" si="226"/>
        <v>1</v>
      </c>
      <c r="AC1200">
        <f t="shared" ca="1" si="227"/>
        <v>0</v>
      </c>
      <c r="AD1200" t="str">
        <f ca="1">IF(AC1200=1,COUNTIF($AC$3:AC1200,1),"")</f>
        <v/>
      </c>
      <c r="AE1200" s="155" t="str">
        <f ca="1">IFERROR(INDEX(Données!$B$3:$B$1479,MATCH(ROWS($AD$3:AD1200),$AD$3:$AD$1479,0)),"")</f>
        <v/>
      </c>
    </row>
    <row r="1201" spans="1:31" ht="15.75" x14ac:dyDescent="0.25">
      <c r="A1201" t="str">
        <f t="shared" si="224"/>
        <v>Mike Condon - TBL - G</v>
      </c>
      <c r="B1201" t="str">
        <f t="shared" si="225"/>
        <v>Mike Condon - TBL - G</v>
      </c>
      <c r="C1201" t="str">
        <f t="shared" si="219"/>
        <v>Mike</v>
      </c>
      <c r="D1201" t="str">
        <f t="shared" si="220"/>
        <v>Condon</v>
      </c>
      <c r="E1201" s="39" t="s">
        <v>1530</v>
      </c>
      <c r="F1201" s="30" t="s">
        <v>32</v>
      </c>
      <c r="G1201" s="35">
        <v>0</v>
      </c>
      <c r="H1201" s="35" t="s">
        <v>127</v>
      </c>
      <c r="I1201" s="35" t="s">
        <v>2446</v>
      </c>
      <c r="J1201" s="35">
        <v>29</v>
      </c>
      <c r="K1201" s="35">
        <f>VALUE(COUNTIF(Validation!$A$2:$H$47,E1201))</f>
        <v>0</v>
      </c>
      <c r="L1201" s="361">
        <f t="shared" si="221"/>
        <v>2400000</v>
      </c>
      <c r="M1201" s="361">
        <f t="shared" si="222"/>
        <v>0</v>
      </c>
      <c r="N1201" s="358">
        <v>2400000</v>
      </c>
      <c r="O1201" s="358" t="s">
        <v>7</v>
      </c>
      <c r="P1201" s="358">
        <v>0</v>
      </c>
      <c r="Q1201" s="358">
        <v>0</v>
      </c>
      <c r="R1201" s="358">
        <v>0</v>
      </c>
      <c r="S1201" s="358">
        <v>0</v>
      </c>
      <c r="T1201" s="358">
        <v>0</v>
      </c>
      <c r="U1201" s="35">
        <f t="shared" si="216"/>
        <v>1</v>
      </c>
      <c r="W1201">
        <f t="shared" si="223"/>
        <v>1</v>
      </c>
      <c r="X1201" s="35">
        <f t="shared" si="217"/>
        <v>0</v>
      </c>
      <c r="Y1201">
        <f t="shared" si="218"/>
        <v>0</v>
      </c>
      <c r="AB1201">
        <f t="shared" si="226"/>
        <v>1</v>
      </c>
      <c r="AC1201">
        <f t="shared" ca="1" si="227"/>
        <v>0</v>
      </c>
      <c r="AD1201" t="str">
        <f ca="1">IF(AC1201=1,COUNTIF($AC$3:AC1201,1),"")</f>
        <v/>
      </c>
      <c r="AE1201" s="155" t="str">
        <f ca="1">IFERROR(INDEX(Données!$B$3:$B$1479,MATCH(ROWS($AD$3:AD1201),$AD$3:$AD$1479,0)),"")</f>
        <v/>
      </c>
    </row>
    <row r="1202" spans="1:31" ht="15.75" x14ac:dyDescent="0.25">
      <c r="A1202" t="str">
        <f t="shared" si="224"/>
        <v>Kevin Shattenkirk - TBL - DD</v>
      </c>
      <c r="B1202" t="str">
        <f t="shared" si="225"/>
        <v>Kevin Shattenkirk - TBL - DD</v>
      </c>
      <c r="C1202" t="str">
        <f t="shared" si="219"/>
        <v>Kevin</v>
      </c>
      <c r="D1202" t="str">
        <f t="shared" si="220"/>
        <v>Shattenkirk</v>
      </c>
      <c r="E1202" s="39" t="s">
        <v>1760</v>
      </c>
      <c r="F1202" s="30" t="s">
        <v>32</v>
      </c>
      <c r="G1202" s="35" t="s">
        <v>372</v>
      </c>
      <c r="H1202" s="35" t="s">
        <v>2444</v>
      </c>
      <c r="I1202" s="35" t="s">
        <v>2439</v>
      </c>
      <c r="J1202" s="35">
        <v>30</v>
      </c>
      <c r="K1202" s="35">
        <f>VALUE(COUNTIF(Validation!$A$2:$H$47,E1202))</f>
        <v>0</v>
      </c>
      <c r="L1202" s="361">
        <f t="shared" si="221"/>
        <v>1750000</v>
      </c>
      <c r="M1202" s="361">
        <f t="shared" si="222"/>
        <v>0</v>
      </c>
      <c r="N1202" s="358">
        <v>1750000</v>
      </c>
      <c r="O1202" s="358" t="s">
        <v>7</v>
      </c>
      <c r="P1202" s="358">
        <v>0</v>
      </c>
      <c r="Q1202" s="358">
        <v>0</v>
      </c>
      <c r="R1202" s="358">
        <v>0</v>
      </c>
      <c r="S1202" s="358">
        <v>0</v>
      </c>
      <c r="T1202" s="358">
        <v>0</v>
      </c>
      <c r="U1202" s="35">
        <f t="shared" si="216"/>
        <v>1</v>
      </c>
      <c r="W1202">
        <f t="shared" si="223"/>
        <v>1</v>
      </c>
      <c r="X1202" s="35">
        <f t="shared" si="217"/>
        <v>0</v>
      </c>
      <c r="Y1202">
        <f t="shared" si="218"/>
        <v>0</v>
      </c>
      <c r="AB1202">
        <f t="shared" si="226"/>
        <v>1</v>
      </c>
      <c r="AC1202">
        <f t="shared" ca="1" si="227"/>
        <v>0</v>
      </c>
      <c r="AD1202" t="str">
        <f ca="1">IF(AC1202=1,COUNTIF($AC$3:AC1202,1),"")</f>
        <v/>
      </c>
      <c r="AE1202" s="155" t="str">
        <f ca="1">IFERROR(INDEX(Données!$B$3:$B$1479,MATCH(ROWS($AD$3:AD1202),$AD$3:$AD$1479,0)),"")</f>
        <v/>
      </c>
    </row>
    <row r="1203" spans="1:31" ht="15.75" x14ac:dyDescent="0.25">
      <c r="A1203" t="str">
        <f t="shared" si="224"/>
        <v>Mikhail Sergachev - TBL - DG</v>
      </c>
      <c r="B1203" t="str">
        <f t="shared" si="225"/>
        <v>Mikhail Sergachev - TBL - DG</v>
      </c>
      <c r="C1203" t="str">
        <f t="shared" si="219"/>
        <v>Mikhail</v>
      </c>
      <c r="D1203" t="str">
        <f t="shared" si="220"/>
        <v>Sergachev</v>
      </c>
      <c r="E1203" s="39" t="s">
        <v>1560</v>
      </c>
      <c r="F1203" s="30" t="s">
        <v>32</v>
      </c>
      <c r="G1203" s="35" t="s">
        <v>403</v>
      </c>
      <c r="H1203" s="35" t="s">
        <v>2445</v>
      </c>
      <c r="I1203" s="35" t="s">
        <v>2439</v>
      </c>
      <c r="J1203" s="35">
        <v>21</v>
      </c>
      <c r="K1203" s="35">
        <f>VALUE(COUNTIF(Validation!$A$2:$H$47,E1203))</f>
        <v>0</v>
      </c>
      <c r="L1203" s="361">
        <f t="shared" si="221"/>
        <v>1744166</v>
      </c>
      <c r="M1203" s="361">
        <f t="shared" si="222"/>
        <v>0</v>
      </c>
      <c r="N1203" s="358">
        <v>1744166</v>
      </c>
      <c r="O1203" s="358" t="s">
        <v>8</v>
      </c>
      <c r="P1203" s="358">
        <v>0</v>
      </c>
      <c r="Q1203" s="358">
        <v>0</v>
      </c>
      <c r="R1203" s="358">
        <v>0</v>
      </c>
      <c r="S1203" s="358">
        <v>0</v>
      </c>
      <c r="T1203" s="358">
        <v>0</v>
      </c>
      <c r="U1203" s="35">
        <f t="shared" si="216"/>
        <v>1</v>
      </c>
      <c r="W1203">
        <f t="shared" si="223"/>
        <v>1</v>
      </c>
      <c r="X1203" s="35">
        <f t="shared" si="217"/>
        <v>1</v>
      </c>
      <c r="Y1203">
        <f t="shared" si="218"/>
        <v>0</v>
      </c>
      <c r="AB1203">
        <f t="shared" si="226"/>
        <v>1</v>
      </c>
      <c r="AC1203">
        <f t="shared" ca="1" si="227"/>
        <v>0</v>
      </c>
      <c r="AD1203" t="str">
        <f ca="1">IF(AC1203=1,COUNTIF($AC$3:AC1203,1),"")</f>
        <v/>
      </c>
      <c r="AE1203" s="155" t="str">
        <f ca="1">IFERROR(INDEX(Données!$B$3:$B$1479,MATCH(ROWS($AD$3:AD1203),$AD$3:$AD$1479,0)),"")</f>
        <v/>
      </c>
    </row>
    <row r="1204" spans="1:31" ht="15.75" x14ac:dyDescent="0.25">
      <c r="A1204" t="str">
        <f t="shared" si="224"/>
        <v>Braydon Coburn - TBL - DG</v>
      </c>
      <c r="B1204" t="str">
        <f t="shared" si="225"/>
        <v>Braydon Coburn - TBL - DG</v>
      </c>
      <c r="C1204" t="str">
        <f t="shared" si="219"/>
        <v>Braydon</v>
      </c>
      <c r="D1204" t="str">
        <f t="shared" si="220"/>
        <v>Coburn</v>
      </c>
      <c r="E1204" s="39" t="s">
        <v>1559</v>
      </c>
      <c r="F1204" s="30" t="s">
        <v>32</v>
      </c>
      <c r="G1204" s="35">
        <v>0</v>
      </c>
      <c r="H1204" s="35" t="s">
        <v>2445</v>
      </c>
      <c r="I1204" s="35" t="s">
        <v>2439</v>
      </c>
      <c r="J1204" s="35">
        <v>34</v>
      </c>
      <c r="K1204" s="35">
        <f>VALUE(COUNTIF(Validation!$A$2:$H$47,E1204))</f>
        <v>0</v>
      </c>
      <c r="L1204" s="361">
        <f t="shared" si="221"/>
        <v>1700000</v>
      </c>
      <c r="M1204" s="361">
        <f t="shared" si="222"/>
        <v>1700000</v>
      </c>
      <c r="N1204" s="358">
        <v>1700000</v>
      </c>
      <c r="O1204" s="358">
        <v>1700000</v>
      </c>
      <c r="P1204" s="358" t="s">
        <v>7</v>
      </c>
      <c r="Q1204" s="358">
        <v>0</v>
      </c>
      <c r="R1204" s="358">
        <v>0</v>
      </c>
      <c r="S1204" s="358">
        <v>0</v>
      </c>
      <c r="T1204" s="358">
        <v>0</v>
      </c>
      <c r="U1204" s="35">
        <f t="shared" si="216"/>
        <v>2</v>
      </c>
      <c r="W1204">
        <f t="shared" si="223"/>
        <v>1</v>
      </c>
      <c r="X1204" s="35">
        <f t="shared" si="217"/>
        <v>0</v>
      </c>
      <c r="Y1204">
        <f t="shared" si="218"/>
        <v>1</v>
      </c>
      <c r="AB1204">
        <f t="shared" si="226"/>
        <v>1</v>
      </c>
      <c r="AC1204">
        <f t="shared" ca="1" si="227"/>
        <v>0</v>
      </c>
      <c r="AD1204" t="str">
        <f ca="1">IF(AC1204=1,COUNTIF($AC$3:AC1204,1),"")</f>
        <v/>
      </c>
      <c r="AE1204" s="155" t="str">
        <f ca="1">IFERROR(INDEX(Données!$B$3:$B$1479,MATCH(ROWS($AD$3:AD1204),$AD$3:$AD$1479,0)),"")</f>
        <v/>
      </c>
    </row>
    <row r="1205" spans="1:31" ht="15.75" x14ac:dyDescent="0.25">
      <c r="A1205" t="str">
        <f t="shared" si="224"/>
        <v>Cedric Paquette - TBL - C, AG</v>
      </c>
      <c r="B1205" t="str">
        <f t="shared" si="225"/>
        <v>Cedric Paquette - TBL - C, AG</v>
      </c>
      <c r="C1205" t="str">
        <f t="shared" si="219"/>
        <v>Cedric</v>
      </c>
      <c r="D1205" t="str">
        <f t="shared" si="220"/>
        <v>Paquette</v>
      </c>
      <c r="E1205" s="39" t="s">
        <v>2905</v>
      </c>
      <c r="F1205" s="30" t="s">
        <v>32</v>
      </c>
      <c r="G1205" s="35">
        <v>0</v>
      </c>
      <c r="H1205" s="35" t="s">
        <v>2452</v>
      </c>
      <c r="I1205" s="35" t="s">
        <v>2439</v>
      </c>
      <c r="J1205" s="35">
        <v>26</v>
      </c>
      <c r="K1205" s="35">
        <f>VALUE(COUNTIF(Validation!$A$2:$H$47,E1205))</f>
        <v>0</v>
      </c>
      <c r="L1205" s="361">
        <f t="shared" si="221"/>
        <v>1650000</v>
      </c>
      <c r="M1205" s="361">
        <f t="shared" si="222"/>
        <v>1650000</v>
      </c>
      <c r="N1205" s="358">
        <v>1650000</v>
      </c>
      <c r="O1205" s="358">
        <v>1650000</v>
      </c>
      <c r="P1205" s="358" t="s">
        <v>7</v>
      </c>
      <c r="Q1205" s="358">
        <v>0</v>
      </c>
      <c r="R1205" s="358">
        <v>0</v>
      </c>
      <c r="S1205" s="358">
        <v>0</v>
      </c>
      <c r="T1205" s="358">
        <v>0</v>
      </c>
      <c r="U1205" s="35">
        <f t="shared" si="216"/>
        <v>2</v>
      </c>
      <c r="W1205">
        <f t="shared" si="223"/>
        <v>1</v>
      </c>
      <c r="X1205" s="35">
        <f t="shared" si="217"/>
        <v>0</v>
      </c>
      <c r="Y1205">
        <f t="shared" si="218"/>
        <v>1</v>
      </c>
      <c r="AB1205">
        <f t="shared" si="226"/>
        <v>1</v>
      </c>
      <c r="AC1205">
        <f t="shared" ca="1" si="227"/>
        <v>0</v>
      </c>
      <c r="AD1205" t="str">
        <f ca="1">IF(AC1205=1,COUNTIF($AC$3:AC1205,1),"")</f>
        <v/>
      </c>
      <c r="AE1205" s="155" t="str">
        <f ca="1">IFERROR(INDEX(Données!$B$3:$B$1479,MATCH(ROWS($AD$3:AD1205),$AD$3:$AD$1479,0)),"")</f>
        <v/>
      </c>
    </row>
    <row r="1206" spans="1:31" ht="15.75" x14ac:dyDescent="0.25">
      <c r="A1206" t="str">
        <f t="shared" si="224"/>
        <v>Cal Foote - TBL - DD</v>
      </c>
      <c r="B1206" t="str">
        <f t="shared" si="225"/>
        <v>Cal Foote - TBL - DD</v>
      </c>
      <c r="C1206" t="str">
        <f t="shared" si="219"/>
        <v>Cal</v>
      </c>
      <c r="D1206" t="str">
        <f t="shared" si="220"/>
        <v>Foote</v>
      </c>
      <c r="E1206" s="39" t="s">
        <v>1565</v>
      </c>
      <c r="F1206" s="30" t="s">
        <v>32</v>
      </c>
      <c r="G1206" s="35" t="s">
        <v>386</v>
      </c>
      <c r="H1206" s="9" t="s">
        <v>2444</v>
      </c>
      <c r="I1206" s="9" t="s">
        <v>2446</v>
      </c>
      <c r="J1206" s="9">
        <v>20</v>
      </c>
      <c r="K1206" s="35">
        <f>VALUE(COUNTIF(Validation!$A$2:$H$47,E1206))</f>
        <v>0</v>
      </c>
      <c r="L1206" s="361">
        <f t="shared" si="221"/>
        <v>1425000</v>
      </c>
      <c r="M1206" s="361">
        <f t="shared" si="222"/>
        <v>1425000</v>
      </c>
      <c r="N1206" s="358">
        <v>1425000</v>
      </c>
      <c r="O1206" s="358">
        <v>1425000</v>
      </c>
      <c r="P1206" s="358" t="s">
        <v>8</v>
      </c>
      <c r="Q1206" s="358">
        <v>0</v>
      </c>
      <c r="R1206" s="358">
        <v>0</v>
      </c>
      <c r="S1206" s="358">
        <v>0</v>
      </c>
      <c r="T1206" s="358">
        <v>0</v>
      </c>
      <c r="U1206" s="35">
        <f t="shared" si="216"/>
        <v>2</v>
      </c>
      <c r="W1206">
        <f t="shared" si="223"/>
        <v>1</v>
      </c>
      <c r="X1206" s="35">
        <f t="shared" si="217"/>
        <v>1</v>
      </c>
      <c r="Y1206">
        <f t="shared" si="218"/>
        <v>1</v>
      </c>
      <c r="AB1206">
        <f t="shared" si="226"/>
        <v>1</v>
      </c>
      <c r="AC1206">
        <f t="shared" ca="1" si="227"/>
        <v>0</v>
      </c>
      <c r="AD1206" t="str">
        <f ca="1">IF(AC1206=1,COUNTIF($AC$3:AC1206,1),"")</f>
        <v/>
      </c>
      <c r="AE1206" s="155" t="str">
        <f ca="1">IFERROR(INDEX(Données!$B$3:$B$1479,MATCH(ROWS($AD$3:AD1206),$AD$3:$AD$1479,0)),"")</f>
        <v/>
      </c>
    </row>
    <row r="1207" spans="1:31" ht="15.75" x14ac:dyDescent="0.25">
      <c r="A1207" t="str">
        <f t="shared" si="224"/>
        <v>Curtis McElhinney - TBL - G</v>
      </c>
      <c r="B1207" t="str">
        <f t="shared" si="225"/>
        <v>Curtis McElhinney - TBL - G</v>
      </c>
      <c r="C1207" t="str">
        <f t="shared" si="219"/>
        <v>Curtis</v>
      </c>
      <c r="D1207" t="str">
        <f t="shared" si="220"/>
        <v>McElhinney</v>
      </c>
      <c r="E1207" s="39" t="s">
        <v>1609</v>
      </c>
      <c r="F1207" s="30" t="s">
        <v>32</v>
      </c>
      <c r="G1207" s="35" t="s">
        <v>2511</v>
      </c>
      <c r="H1207" s="35" t="s">
        <v>127</v>
      </c>
      <c r="I1207" s="35" t="s">
        <v>2439</v>
      </c>
      <c r="J1207" s="35">
        <v>36</v>
      </c>
      <c r="K1207" s="35">
        <f>VALUE(COUNTIF(Validation!$A$2:$H$47,E1207))</f>
        <v>0</v>
      </c>
      <c r="L1207" s="361">
        <f t="shared" si="221"/>
        <v>1300000</v>
      </c>
      <c r="M1207" s="361">
        <f t="shared" si="222"/>
        <v>1300000</v>
      </c>
      <c r="N1207" s="358">
        <v>1300000</v>
      </c>
      <c r="O1207" s="358">
        <v>1300000</v>
      </c>
      <c r="P1207" s="358" t="s">
        <v>7</v>
      </c>
      <c r="Q1207" s="358">
        <v>0</v>
      </c>
      <c r="R1207" s="358">
        <v>0</v>
      </c>
      <c r="S1207" s="358">
        <v>0</v>
      </c>
      <c r="T1207" s="358">
        <v>0</v>
      </c>
      <c r="U1207" s="35">
        <f t="shared" si="216"/>
        <v>2</v>
      </c>
      <c r="W1207">
        <f t="shared" si="223"/>
        <v>1</v>
      </c>
      <c r="X1207" s="35">
        <f t="shared" si="217"/>
        <v>0</v>
      </c>
      <c r="Y1207">
        <f t="shared" si="218"/>
        <v>1</v>
      </c>
      <c r="AB1207">
        <f t="shared" si="226"/>
        <v>1</v>
      </c>
      <c r="AC1207">
        <f t="shared" ca="1" si="227"/>
        <v>0</v>
      </c>
      <c r="AD1207" t="str">
        <f ca="1">IF(AC1207=1,COUNTIF($AC$3:AC1207,1),"")</f>
        <v/>
      </c>
      <c r="AE1207" s="155" t="str">
        <f ca="1">IFERROR(INDEX(Données!$B$3:$B$1479,MATCH(ROWS($AD$3:AD1207),$AD$3:$AD$1479,0)),"")</f>
        <v/>
      </c>
    </row>
    <row r="1208" spans="1:31" ht="15.75" x14ac:dyDescent="0.25">
      <c r="A1208" t="str">
        <f t="shared" si="224"/>
        <v>Jan Rutta - TBL - DD</v>
      </c>
      <c r="B1208" t="str">
        <f t="shared" si="225"/>
        <v>Jan Rutta - TBL - DD</v>
      </c>
      <c r="C1208" t="str">
        <f t="shared" si="219"/>
        <v>Jan</v>
      </c>
      <c r="D1208" t="str">
        <f t="shared" si="220"/>
        <v>Rutta</v>
      </c>
      <c r="E1208" s="39" t="s">
        <v>1895</v>
      </c>
      <c r="F1208" s="30" t="s">
        <v>32</v>
      </c>
      <c r="G1208" s="35">
        <v>0</v>
      </c>
      <c r="H1208" s="35" t="s">
        <v>2444</v>
      </c>
      <c r="I1208" s="35" t="s">
        <v>2439</v>
      </c>
      <c r="J1208" s="35">
        <v>29</v>
      </c>
      <c r="K1208" s="35">
        <f>VALUE(COUNTIF(Validation!$A$2:$H$47,E1208))</f>
        <v>0</v>
      </c>
      <c r="L1208" s="361">
        <f t="shared" si="221"/>
        <v>1300000</v>
      </c>
      <c r="M1208" s="361">
        <f t="shared" si="222"/>
        <v>0</v>
      </c>
      <c r="N1208" s="358">
        <v>1300000</v>
      </c>
      <c r="O1208" s="358" t="s">
        <v>7</v>
      </c>
      <c r="P1208" s="358">
        <v>0</v>
      </c>
      <c r="Q1208" s="358">
        <v>0</v>
      </c>
      <c r="R1208" s="358">
        <v>0</v>
      </c>
      <c r="S1208" s="358">
        <v>0</v>
      </c>
      <c r="T1208" s="358">
        <v>0</v>
      </c>
      <c r="U1208" s="35">
        <f t="shared" si="216"/>
        <v>1</v>
      </c>
      <c r="W1208">
        <f t="shared" si="223"/>
        <v>1</v>
      </c>
      <c r="X1208" s="35">
        <f t="shared" si="217"/>
        <v>0</v>
      </c>
      <c r="Y1208">
        <f t="shared" si="218"/>
        <v>0</v>
      </c>
      <c r="AB1208">
        <f t="shared" si="226"/>
        <v>1</v>
      </c>
      <c r="AC1208">
        <f t="shared" ca="1" si="227"/>
        <v>0</v>
      </c>
      <c r="AD1208" t="str">
        <f ca="1">IF(AC1208=1,COUNTIF($AC$3:AC1208,1),"")</f>
        <v/>
      </c>
      <c r="AE1208" s="155" t="str">
        <f ca="1">IFERROR(INDEX(Données!$B$3:$B$1479,MATCH(ROWS($AD$3:AD1208),$AD$3:$AD$1479,0)),"")</f>
        <v/>
      </c>
    </row>
    <row r="1209" spans="1:31" ht="15.75" x14ac:dyDescent="0.25">
      <c r="A1209" t="str">
        <f t="shared" si="224"/>
        <v>Louis Domingue - TBL - G</v>
      </c>
      <c r="B1209" t="str">
        <f t="shared" si="225"/>
        <v>Louis Domingue - TBL - G</v>
      </c>
      <c r="C1209" t="str">
        <f t="shared" si="219"/>
        <v>Louis</v>
      </c>
      <c r="D1209" t="str">
        <f t="shared" si="220"/>
        <v>Domingue</v>
      </c>
      <c r="E1209" s="39" t="s">
        <v>1564</v>
      </c>
      <c r="F1209" s="30" t="s">
        <v>32</v>
      </c>
      <c r="G1209" s="35">
        <v>0</v>
      </c>
      <c r="H1209" s="9" t="s">
        <v>127</v>
      </c>
      <c r="I1209" s="9" t="s">
        <v>2446</v>
      </c>
      <c r="J1209" s="9">
        <v>27</v>
      </c>
      <c r="K1209" s="35">
        <f>VALUE(COUNTIF(Validation!$A$2:$H$47,E1209))</f>
        <v>0</v>
      </c>
      <c r="L1209" s="361">
        <f t="shared" si="221"/>
        <v>1150000</v>
      </c>
      <c r="M1209" s="361">
        <f t="shared" si="222"/>
        <v>0</v>
      </c>
      <c r="N1209" s="358">
        <v>1150000</v>
      </c>
      <c r="O1209" s="358" t="s">
        <v>7</v>
      </c>
      <c r="P1209" s="358">
        <v>0</v>
      </c>
      <c r="Q1209" s="358">
        <v>0</v>
      </c>
      <c r="R1209" s="358">
        <v>0</v>
      </c>
      <c r="S1209" s="358">
        <v>0</v>
      </c>
      <c r="T1209" s="358">
        <v>0</v>
      </c>
      <c r="U1209" s="35">
        <f t="shared" si="216"/>
        <v>1</v>
      </c>
      <c r="W1209">
        <f t="shared" si="223"/>
        <v>2</v>
      </c>
      <c r="X1209" s="35">
        <f t="shared" si="217"/>
        <v>0</v>
      </c>
      <c r="Y1209">
        <f t="shared" si="218"/>
        <v>0</v>
      </c>
      <c r="AB1209">
        <f t="shared" si="226"/>
        <v>1</v>
      </c>
      <c r="AC1209">
        <f t="shared" ca="1" si="227"/>
        <v>0</v>
      </c>
      <c r="AD1209" t="str">
        <f ca="1">IF(AC1209=1,COUNTIF($AC$3:AC1209,1),"")</f>
        <v/>
      </c>
      <c r="AE1209" s="155" t="str">
        <f ca="1">IFERROR(INDEX(Données!$B$3:$B$1479,MATCH(ROWS($AD$3:AD1209),$AD$3:$AD$1479,0)),"")</f>
        <v/>
      </c>
    </row>
    <row r="1210" spans="1:31" ht="15.75" x14ac:dyDescent="0.25">
      <c r="A1210" t="str">
        <f t="shared" si="224"/>
        <v>Louis Domingue - TBL - G</v>
      </c>
      <c r="B1210" t="str">
        <f t="shared" si="225"/>
        <v>Louis Domingue - TBL - G</v>
      </c>
      <c r="C1210" t="str">
        <f t="shared" si="219"/>
        <v>Louis</v>
      </c>
      <c r="D1210" t="str">
        <f t="shared" si="220"/>
        <v>Domingue</v>
      </c>
      <c r="E1210" s="39" t="s">
        <v>1564</v>
      </c>
      <c r="F1210" s="30" t="s">
        <v>32</v>
      </c>
      <c r="G1210" s="35">
        <v>0</v>
      </c>
      <c r="H1210" s="35" t="s">
        <v>127</v>
      </c>
      <c r="I1210" s="35" t="s">
        <v>2446</v>
      </c>
      <c r="J1210" s="35">
        <v>27</v>
      </c>
      <c r="K1210" s="35">
        <f>VALUE(COUNTIF(Validation!$A$2:$H$47,E1210))</f>
        <v>0</v>
      </c>
      <c r="L1210" s="361">
        <f t="shared" si="221"/>
        <v>1150000</v>
      </c>
      <c r="M1210" s="361">
        <f t="shared" si="222"/>
        <v>0</v>
      </c>
      <c r="N1210" s="358">
        <v>1150000</v>
      </c>
      <c r="O1210" s="358" t="s">
        <v>7</v>
      </c>
      <c r="P1210" s="358">
        <v>0</v>
      </c>
      <c r="Q1210" s="358">
        <v>0</v>
      </c>
      <c r="R1210" s="358">
        <v>0</v>
      </c>
      <c r="S1210" s="358">
        <v>0</v>
      </c>
      <c r="T1210" s="358">
        <v>0</v>
      </c>
      <c r="U1210" s="35">
        <f t="shared" si="216"/>
        <v>1</v>
      </c>
      <c r="W1210">
        <f t="shared" si="223"/>
        <v>2</v>
      </c>
      <c r="X1210" s="35">
        <f t="shared" si="217"/>
        <v>0</v>
      </c>
      <c r="Y1210">
        <f t="shared" si="218"/>
        <v>0</v>
      </c>
      <c r="AB1210">
        <f t="shared" si="226"/>
        <v>1</v>
      </c>
      <c r="AC1210">
        <f t="shared" ca="1" si="227"/>
        <v>0</v>
      </c>
      <c r="AD1210" t="str">
        <f ca="1">IF(AC1210=1,COUNTIF($AC$3:AC1210,1),"")</f>
        <v/>
      </c>
      <c r="AE1210" s="155" t="str">
        <f ca="1">IFERROR(INDEX(Données!$B$3:$B$1479,MATCH(ROWS($AD$3:AD1210),$AD$3:$AD$1479,0)),"")</f>
        <v/>
      </c>
    </row>
    <row r="1211" spans="1:31" ht="15.75" x14ac:dyDescent="0.25">
      <c r="A1211" t="str">
        <f t="shared" si="224"/>
        <v>Anthony Cirelli - TBL - C</v>
      </c>
      <c r="B1211" t="str">
        <f t="shared" si="225"/>
        <v>Anthony Cirelli - TBL - C</v>
      </c>
      <c r="C1211" t="str">
        <f t="shared" si="219"/>
        <v>Anthony</v>
      </c>
      <c r="D1211" t="str">
        <f t="shared" si="220"/>
        <v>Cirelli</v>
      </c>
      <c r="E1211" s="39" t="s">
        <v>1577</v>
      </c>
      <c r="F1211" s="30" t="s">
        <v>32</v>
      </c>
      <c r="G1211" s="35" t="s">
        <v>386</v>
      </c>
      <c r="H1211" s="35" t="s">
        <v>73</v>
      </c>
      <c r="I1211" s="35" t="s">
        <v>2439</v>
      </c>
      <c r="J1211" s="35">
        <v>22</v>
      </c>
      <c r="K1211" s="35">
        <f>VALUE(COUNTIF(Validation!$A$2:$H$47,E1211))</f>
        <v>0</v>
      </c>
      <c r="L1211" s="361">
        <f t="shared" si="221"/>
        <v>935833</v>
      </c>
      <c r="M1211" s="361">
        <f t="shared" si="222"/>
        <v>0</v>
      </c>
      <c r="N1211" s="358">
        <v>935833</v>
      </c>
      <c r="O1211" s="358" t="s">
        <v>8</v>
      </c>
      <c r="P1211" s="358">
        <v>0</v>
      </c>
      <c r="Q1211" s="358">
        <v>0</v>
      </c>
      <c r="R1211" s="358">
        <v>0</v>
      </c>
      <c r="S1211" s="358">
        <v>0</v>
      </c>
      <c r="T1211" s="358">
        <v>0</v>
      </c>
      <c r="U1211" s="35">
        <f t="shared" si="216"/>
        <v>1</v>
      </c>
      <c r="W1211">
        <f t="shared" si="223"/>
        <v>1</v>
      </c>
      <c r="X1211" s="35">
        <f t="shared" si="217"/>
        <v>1</v>
      </c>
      <c r="Y1211">
        <f t="shared" si="218"/>
        <v>0</v>
      </c>
      <c r="AB1211">
        <f t="shared" si="226"/>
        <v>1</v>
      </c>
      <c r="AC1211">
        <f t="shared" ca="1" si="227"/>
        <v>0</v>
      </c>
      <c r="AD1211" t="str">
        <f ca="1">IF(AC1211=1,COUNTIF($AC$3:AC1211,1),"")</f>
        <v/>
      </c>
      <c r="AE1211" s="155" t="str">
        <f ca="1">IFERROR(INDEX(Données!$B$3:$B$1479,MATCH(ROWS($AD$3:AD1211),$AD$3:$AD$1479,0)),"")</f>
        <v/>
      </c>
    </row>
    <row r="1212" spans="1:31" ht="15.75" x14ac:dyDescent="0.25">
      <c r="A1212" t="str">
        <f t="shared" si="224"/>
        <v>Dennis Yan - TBL - AG</v>
      </c>
      <c r="B1212" t="str">
        <f t="shared" si="225"/>
        <v>Dennis Yan - TBL - AG</v>
      </c>
      <c r="C1212" t="str">
        <f t="shared" si="219"/>
        <v>Dennis</v>
      </c>
      <c r="D1212" t="str">
        <f t="shared" si="220"/>
        <v>Yan</v>
      </c>
      <c r="E1212" s="39" t="s">
        <v>1575</v>
      </c>
      <c r="F1212" s="30" t="s">
        <v>32</v>
      </c>
      <c r="G1212" s="35" t="s">
        <v>386</v>
      </c>
      <c r="H1212" s="35" t="s">
        <v>2440</v>
      </c>
      <c r="I1212" s="35" t="s">
        <v>2446</v>
      </c>
      <c r="J1212" s="35">
        <v>22</v>
      </c>
      <c r="K1212" s="35">
        <f>VALUE(COUNTIF(Validation!$A$2:$H$47,E1212))</f>
        <v>0</v>
      </c>
      <c r="L1212" s="361">
        <f t="shared" si="221"/>
        <v>935833</v>
      </c>
      <c r="M1212" s="361">
        <f t="shared" si="222"/>
        <v>0</v>
      </c>
      <c r="N1212" s="358">
        <v>935833</v>
      </c>
      <c r="O1212" s="358" t="s">
        <v>8</v>
      </c>
      <c r="P1212" s="358">
        <v>0</v>
      </c>
      <c r="Q1212" s="358">
        <v>0</v>
      </c>
      <c r="R1212" s="358">
        <v>0</v>
      </c>
      <c r="S1212" s="358">
        <v>0</v>
      </c>
      <c r="T1212" s="358">
        <v>0</v>
      </c>
      <c r="U1212" s="35">
        <f t="shared" si="216"/>
        <v>1</v>
      </c>
      <c r="W1212">
        <f t="shared" si="223"/>
        <v>1</v>
      </c>
      <c r="X1212" s="35">
        <f t="shared" si="217"/>
        <v>1</v>
      </c>
      <c r="Y1212">
        <f t="shared" si="218"/>
        <v>0</v>
      </c>
      <c r="AB1212">
        <f t="shared" si="226"/>
        <v>1</v>
      </c>
      <c r="AC1212">
        <f t="shared" ca="1" si="227"/>
        <v>0</v>
      </c>
      <c r="AD1212" t="str">
        <f ca="1">IF(AC1212=1,COUNTIF($AC$3:AC1212,1),"")</f>
        <v/>
      </c>
      <c r="AE1212" s="155" t="str">
        <f ca="1">IFERROR(INDEX(Données!$B$3:$B$1479,MATCH(ROWS($AD$3:AD1212),$AD$3:$AD$1479,0)),"")</f>
        <v/>
      </c>
    </row>
    <row r="1213" spans="1:31" ht="15.75" x14ac:dyDescent="0.25">
      <c r="A1213" t="str">
        <f t="shared" si="224"/>
        <v>Ross Colton - TBL - C</v>
      </c>
      <c r="B1213" t="str">
        <f t="shared" si="225"/>
        <v>Ross Colton - TBL - C</v>
      </c>
      <c r="C1213" t="str">
        <f t="shared" si="219"/>
        <v>Ross</v>
      </c>
      <c r="D1213" t="str">
        <f t="shared" si="220"/>
        <v>Colton</v>
      </c>
      <c r="E1213" s="39" t="s">
        <v>1572</v>
      </c>
      <c r="F1213" s="30" t="s">
        <v>32</v>
      </c>
      <c r="G1213" s="35" t="s">
        <v>386</v>
      </c>
      <c r="H1213" s="35" t="s">
        <v>73</v>
      </c>
      <c r="I1213" s="35" t="s">
        <v>2446</v>
      </c>
      <c r="J1213" s="35">
        <v>22</v>
      </c>
      <c r="K1213" s="35">
        <f>VALUE(COUNTIF(Validation!$A$2:$H$47,E1213))</f>
        <v>0</v>
      </c>
      <c r="L1213" s="361">
        <f t="shared" si="221"/>
        <v>925000</v>
      </c>
      <c r="M1213" s="361">
        <f t="shared" si="222"/>
        <v>0</v>
      </c>
      <c r="N1213" s="358">
        <v>925000</v>
      </c>
      <c r="O1213" s="358" t="s">
        <v>8</v>
      </c>
      <c r="P1213" s="358">
        <v>0</v>
      </c>
      <c r="Q1213" s="358">
        <v>0</v>
      </c>
      <c r="R1213" s="358">
        <v>0</v>
      </c>
      <c r="S1213" s="358">
        <v>0</v>
      </c>
      <c r="T1213" s="358">
        <v>0</v>
      </c>
      <c r="U1213" s="35">
        <f t="shared" si="216"/>
        <v>1</v>
      </c>
      <c r="W1213">
        <f t="shared" si="223"/>
        <v>1</v>
      </c>
      <c r="X1213" s="35">
        <f t="shared" si="217"/>
        <v>1</v>
      </c>
      <c r="Y1213">
        <f t="shared" si="218"/>
        <v>0</v>
      </c>
      <c r="AB1213">
        <f t="shared" si="226"/>
        <v>1</v>
      </c>
      <c r="AC1213">
        <f t="shared" ca="1" si="227"/>
        <v>0</v>
      </c>
      <c r="AD1213" t="str">
        <f ca="1">IF(AC1213=1,COUNTIF($AC$3:AC1213,1),"")</f>
        <v/>
      </c>
      <c r="AE1213" s="155" t="str">
        <f ca="1">IFERROR(INDEX(Données!$B$3:$B$1479,MATCH(ROWS($AD$3:AD1213),$AD$3:$AD$1479,0)),"")</f>
        <v/>
      </c>
    </row>
    <row r="1214" spans="1:31" ht="15.75" x14ac:dyDescent="0.25">
      <c r="A1214" t="str">
        <f t="shared" si="224"/>
        <v>Nolan Foote - TBL - AG</v>
      </c>
      <c r="B1214" t="str">
        <f t="shared" si="225"/>
        <v>Nolan Foote - TBL - AG</v>
      </c>
      <c r="C1214" t="str">
        <f t="shared" si="219"/>
        <v>Nolan</v>
      </c>
      <c r="D1214" t="str">
        <f t="shared" si="220"/>
        <v>Foote</v>
      </c>
      <c r="E1214" s="39" t="s">
        <v>2558</v>
      </c>
      <c r="F1214" s="30" t="s">
        <v>32</v>
      </c>
      <c r="G1214" s="35" t="s">
        <v>386</v>
      </c>
      <c r="H1214" s="9" t="s">
        <v>2440</v>
      </c>
      <c r="I1214" s="9" t="s">
        <v>2446</v>
      </c>
      <c r="J1214" s="9">
        <v>18</v>
      </c>
      <c r="K1214" s="35">
        <f>VALUE(COUNTIF(Validation!$A$2:$H$47,E1214))</f>
        <v>0</v>
      </c>
      <c r="L1214" s="361">
        <f t="shared" si="221"/>
        <v>925000</v>
      </c>
      <c r="M1214" s="361">
        <f t="shared" si="222"/>
        <v>925000</v>
      </c>
      <c r="N1214" s="358">
        <v>925000</v>
      </c>
      <c r="O1214" s="358">
        <v>925000</v>
      </c>
      <c r="P1214" s="358">
        <v>925000</v>
      </c>
      <c r="Q1214" s="358" t="s">
        <v>8</v>
      </c>
      <c r="R1214" s="358">
        <v>0</v>
      </c>
      <c r="S1214" s="358">
        <v>0</v>
      </c>
      <c r="T1214" s="358">
        <v>0</v>
      </c>
      <c r="U1214" s="35">
        <f t="shared" ref="U1214:U1276" si="228">COUNTIF(N1214:T1214,"&gt;0")</f>
        <v>3</v>
      </c>
      <c r="W1214">
        <f t="shared" si="223"/>
        <v>1</v>
      </c>
      <c r="X1214" s="35">
        <f t="shared" si="217"/>
        <v>1</v>
      </c>
      <c r="Y1214">
        <f t="shared" si="218"/>
        <v>1</v>
      </c>
      <c r="AB1214">
        <f t="shared" si="226"/>
        <v>1</v>
      </c>
      <c r="AC1214">
        <f t="shared" ca="1" si="227"/>
        <v>0</v>
      </c>
      <c r="AD1214" t="str">
        <f ca="1">IF(AC1214=1,COUNTIF($AC$3:AC1214,1),"")</f>
        <v/>
      </c>
      <c r="AE1214" s="155" t="str">
        <f ca="1">IFERROR(INDEX(Données!$B$3:$B$1479,MATCH(ROWS($AD$3:AD1214),$AD$3:$AD$1479,0)),"")</f>
        <v/>
      </c>
    </row>
    <row r="1215" spans="1:31" ht="15.75" x14ac:dyDescent="0.25">
      <c r="A1215" t="str">
        <f t="shared" si="224"/>
        <v>Jimmy Huntington - TBL - C</v>
      </c>
      <c r="B1215" t="str">
        <f t="shared" si="225"/>
        <v>Jimmy Huntington - TBL - C</v>
      </c>
      <c r="C1215" t="str">
        <f t="shared" si="219"/>
        <v>Jimmy</v>
      </c>
      <c r="D1215" t="str">
        <f t="shared" si="220"/>
        <v>Huntington</v>
      </c>
      <c r="E1215" s="39" t="s">
        <v>2559</v>
      </c>
      <c r="F1215" s="30" t="s">
        <v>32</v>
      </c>
      <c r="G1215" s="35" t="s">
        <v>386</v>
      </c>
      <c r="H1215" s="9" t="s">
        <v>73</v>
      </c>
      <c r="I1215" s="9" t="s">
        <v>2446</v>
      </c>
      <c r="J1215" s="9">
        <v>20</v>
      </c>
      <c r="K1215" s="35">
        <f>VALUE(COUNTIF(Validation!$A$2:$H$47,E1215))</f>
        <v>0</v>
      </c>
      <c r="L1215" s="361">
        <f t="shared" si="221"/>
        <v>925000</v>
      </c>
      <c r="M1215" s="361">
        <f t="shared" si="222"/>
        <v>925000</v>
      </c>
      <c r="N1215" s="358">
        <v>925000</v>
      </c>
      <c r="O1215" s="358">
        <v>925000</v>
      </c>
      <c r="P1215" s="358">
        <v>925000</v>
      </c>
      <c r="Q1215" s="358" t="s">
        <v>8</v>
      </c>
      <c r="R1215" s="358">
        <v>0</v>
      </c>
      <c r="S1215" s="358">
        <v>0</v>
      </c>
      <c r="T1215" s="358">
        <v>0</v>
      </c>
      <c r="U1215" s="35">
        <f t="shared" si="228"/>
        <v>3</v>
      </c>
      <c r="W1215">
        <f t="shared" si="223"/>
        <v>1</v>
      </c>
      <c r="X1215" s="35">
        <f t="shared" ref="X1215:X1277" si="229">IF(LEFT(G1215,3)="ELC",1,0)</f>
        <v>1</v>
      </c>
      <c r="Y1215">
        <f t="shared" ref="Y1215:Y1277" si="230">IF(L1215=M1215,1,0)</f>
        <v>1</v>
      </c>
      <c r="AB1215">
        <f t="shared" si="226"/>
        <v>1</v>
      </c>
      <c r="AC1215">
        <f t="shared" ca="1" si="227"/>
        <v>0</v>
      </c>
      <c r="AD1215" t="str">
        <f ca="1">IF(AC1215=1,COUNTIF($AC$3:AC1215,1),"")</f>
        <v/>
      </c>
      <c r="AE1215" s="155" t="str">
        <f ca="1">IFERROR(INDEX(Données!$B$3:$B$1479,MATCH(ROWS($AD$3:AD1215),$AD$3:$AD$1479,0)),"")</f>
        <v/>
      </c>
    </row>
    <row r="1216" spans="1:31" ht="15.75" x14ac:dyDescent="0.25">
      <c r="A1216" t="str">
        <f t="shared" si="224"/>
        <v>Ryan Lohin - TBL - C, AG, AD</v>
      </c>
      <c r="B1216" t="str">
        <f t="shared" si="225"/>
        <v>Ryan Lohin - TBL - C, AG, AD</v>
      </c>
      <c r="C1216" t="str">
        <f t="shared" si="219"/>
        <v>Ryan</v>
      </c>
      <c r="D1216" t="str">
        <f t="shared" si="220"/>
        <v>Lohin</v>
      </c>
      <c r="E1216" s="39" t="s">
        <v>2561</v>
      </c>
      <c r="F1216" s="30" t="s">
        <v>32</v>
      </c>
      <c r="G1216" s="35" t="s">
        <v>386</v>
      </c>
      <c r="H1216" s="35" t="s">
        <v>2494</v>
      </c>
      <c r="I1216" s="35" t="s">
        <v>2446</v>
      </c>
      <c r="J1216" s="35">
        <v>23</v>
      </c>
      <c r="K1216" s="35">
        <f>VALUE(COUNTIF(Validation!$A$2:$H$47,E1216))</f>
        <v>0</v>
      </c>
      <c r="L1216" s="361">
        <f t="shared" si="221"/>
        <v>925000</v>
      </c>
      <c r="M1216" s="361">
        <f t="shared" si="222"/>
        <v>925000</v>
      </c>
      <c r="N1216" s="358">
        <v>925000</v>
      </c>
      <c r="O1216" s="358">
        <v>925000</v>
      </c>
      <c r="P1216" s="358" t="s">
        <v>8</v>
      </c>
      <c r="Q1216" s="358">
        <v>0</v>
      </c>
      <c r="R1216" s="358">
        <v>0</v>
      </c>
      <c r="S1216" s="358">
        <v>0</v>
      </c>
      <c r="T1216" s="358">
        <v>0</v>
      </c>
      <c r="U1216" s="35">
        <f t="shared" si="228"/>
        <v>2</v>
      </c>
      <c r="W1216">
        <f t="shared" si="223"/>
        <v>1</v>
      </c>
      <c r="X1216" s="35">
        <f t="shared" si="229"/>
        <v>1</v>
      </c>
      <c r="Y1216">
        <f t="shared" si="230"/>
        <v>1</v>
      </c>
      <c r="AB1216">
        <f t="shared" si="226"/>
        <v>1</v>
      </c>
      <c r="AC1216">
        <f t="shared" ca="1" si="227"/>
        <v>0</v>
      </c>
      <c r="AD1216" t="str">
        <f ca="1">IF(AC1216=1,COUNTIF($AC$3:AC1216,1),"")</f>
        <v/>
      </c>
      <c r="AE1216" s="155" t="str">
        <f ca="1">IFERROR(INDEX(Données!$B$3:$B$1479,MATCH(ROWS($AD$3:AD1216),$AD$3:$AD$1479,0)),"")</f>
        <v/>
      </c>
    </row>
    <row r="1217" spans="1:31" ht="15.75" x14ac:dyDescent="0.25">
      <c r="A1217" t="str">
        <f t="shared" si="224"/>
        <v>Alexander Volkov - TBL - AG, AD</v>
      </c>
      <c r="B1217" t="str">
        <f t="shared" si="225"/>
        <v>Alexander Volkov - TBL - AG, AD</v>
      </c>
      <c r="C1217" t="str">
        <f t="shared" si="219"/>
        <v>Alexander</v>
      </c>
      <c r="D1217" t="str">
        <f t="shared" si="220"/>
        <v>Volkov</v>
      </c>
      <c r="E1217" s="39" t="s">
        <v>1566</v>
      </c>
      <c r="F1217" s="30" t="s">
        <v>32</v>
      </c>
      <c r="G1217" s="35" t="s">
        <v>386</v>
      </c>
      <c r="H1217" s="9" t="s">
        <v>2442</v>
      </c>
      <c r="I1217" s="9" t="s">
        <v>2446</v>
      </c>
      <c r="J1217" s="9">
        <v>22</v>
      </c>
      <c r="K1217" s="35">
        <f>VALUE(COUNTIF(Validation!$A$2:$H$47,E1217))</f>
        <v>0</v>
      </c>
      <c r="L1217" s="361">
        <f t="shared" si="221"/>
        <v>925000</v>
      </c>
      <c r="M1217" s="361">
        <f t="shared" si="222"/>
        <v>0</v>
      </c>
      <c r="N1217" s="358">
        <v>925000</v>
      </c>
      <c r="O1217" s="358" t="s">
        <v>8</v>
      </c>
      <c r="P1217" s="358">
        <v>0</v>
      </c>
      <c r="Q1217" s="358">
        <v>0</v>
      </c>
      <c r="R1217" s="358">
        <v>0</v>
      </c>
      <c r="S1217" s="358">
        <v>0</v>
      </c>
      <c r="T1217" s="358">
        <v>0</v>
      </c>
      <c r="U1217" s="35">
        <f t="shared" si="228"/>
        <v>1</v>
      </c>
      <c r="W1217">
        <f t="shared" si="223"/>
        <v>1</v>
      </c>
      <c r="X1217" s="35">
        <f t="shared" si="229"/>
        <v>1</v>
      </c>
      <c r="Y1217">
        <f t="shared" si="230"/>
        <v>0</v>
      </c>
      <c r="AB1217">
        <f t="shared" si="226"/>
        <v>1</v>
      </c>
      <c r="AC1217">
        <f t="shared" ca="1" si="227"/>
        <v>0</v>
      </c>
      <c r="AD1217" t="str">
        <f ca="1">IF(AC1217=1,COUNTIF($AC$3:AC1217,1),"")</f>
        <v/>
      </c>
      <c r="AE1217" s="155" t="str">
        <f ca="1">IFERROR(INDEX(Données!$B$3:$B$1479,MATCH(ROWS($AD$3:AD1217),$AD$3:$AD$1479,0)),"")</f>
        <v/>
      </c>
    </row>
    <row r="1218" spans="1:31" ht="15.75" x14ac:dyDescent="0.25">
      <c r="A1218" t="str">
        <f t="shared" si="224"/>
        <v>Mitchell Stephens - TBL - C</v>
      </c>
      <c r="B1218" t="str">
        <f t="shared" si="225"/>
        <v>Mitchell Stephens - TBL - C</v>
      </c>
      <c r="C1218" t="str">
        <f t="shared" si="219"/>
        <v>Mitchell</v>
      </c>
      <c r="D1218" t="str">
        <f t="shared" si="220"/>
        <v>Stephens</v>
      </c>
      <c r="E1218" s="39" t="s">
        <v>1567</v>
      </c>
      <c r="F1218" s="30" t="s">
        <v>32</v>
      </c>
      <c r="G1218" s="35" t="s">
        <v>386</v>
      </c>
      <c r="H1218" s="35" t="s">
        <v>73</v>
      </c>
      <c r="I1218" s="35" t="s">
        <v>2446</v>
      </c>
      <c r="J1218" s="35">
        <v>22</v>
      </c>
      <c r="K1218" s="35">
        <f>VALUE(COUNTIF(Validation!$A$2:$H$47,E1218))</f>
        <v>0</v>
      </c>
      <c r="L1218" s="361">
        <f t="shared" si="221"/>
        <v>919166</v>
      </c>
      <c r="M1218" s="361">
        <f t="shared" si="222"/>
        <v>0</v>
      </c>
      <c r="N1218" s="358">
        <v>919166</v>
      </c>
      <c r="O1218" s="358" t="s">
        <v>8</v>
      </c>
      <c r="P1218" s="358">
        <v>0</v>
      </c>
      <c r="Q1218" s="358">
        <v>0</v>
      </c>
      <c r="R1218" s="358">
        <v>0</v>
      </c>
      <c r="S1218" s="358">
        <v>0</v>
      </c>
      <c r="T1218" s="358">
        <v>0</v>
      </c>
      <c r="U1218" s="35">
        <f t="shared" si="228"/>
        <v>1</v>
      </c>
      <c r="W1218">
        <f t="shared" si="223"/>
        <v>1</v>
      </c>
      <c r="X1218" s="35">
        <f t="shared" si="229"/>
        <v>1</v>
      </c>
      <c r="Y1218">
        <f t="shared" si="230"/>
        <v>0</v>
      </c>
      <c r="AB1218">
        <f t="shared" si="226"/>
        <v>1</v>
      </c>
      <c r="AC1218">
        <f t="shared" ca="1" si="227"/>
        <v>0</v>
      </c>
      <c r="AD1218" t="str">
        <f ca="1">IF(AC1218=1,COUNTIF($AC$3:AC1218,1),"")</f>
        <v/>
      </c>
      <c r="AE1218" s="155" t="str">
        <f ca="1">IFERROR(INDEX(Données!$B$3:$B$1479,MATCH(ROWS($AD$3:AD1218),$AD$3:$AD$1479,0)),"")</f>
        <v/>
      </c>
    </row>
    <row r="1219" spans="1:31" ht="15.75" x14ac:dyDescent="0.25">
      <c r="A1219" t="str">
        <f t="shared" si="224"/>
        <v>Mathieu Joseph - TBL - AG, AD</v>
      </c>
      <c r="B1219" t="str">
        <f t="shared" si="225"/>
        <v>Mathieu Joseph - TBL - AG, AD</v>
      </c>
      <c r="C1219" t="str">
        <f t="shared" ref="C1219:C1282" si="231">RIGHT(E1219,(LEN(E1219)-1)-SEARCH(",",E1219,1))</f>
        <v>Mathieu</v>
      </c>
      <c r="D1219" t="str">
        <f t="shared" ref="D1219:D1282" si="232">LEFT(E1219,SEARCH(",",E1219,1)-1)</f>
        <v>Joseph</v>
      </c>
      <c r="E1219" s="39" t="s">
        <v>1578</v>
      </c>
      <c r="F1219" s="30" t="s">
        <v>32</v>
      </c>
      <c r="G1219" s="35" t="s">
        <v>386</v>
      </c>
      <c r="H1219" s="35" t="s">
        <v>2442</v>
      </c>
      <c r="I1219" s="35" t="s">
        <v>2439</v>
      </c>
      <c r="J1219" s="35">
        <v>22</v>
      </c>
      <c r="K1219" s="35">
        <f>VALUE(COUNTIF(Validation!$A$2:$H$47,E1219))</f>
        <v>0</v>
      </c>
      <c r="L1219" s="361">
        <f t="shared" ref="L1219:L1282" si="233">IF(OR(N1219="RFA",N1219="UFA",N1219="",N1219=0),0,N1219)</f>
        <v>910833</v>
      </c>
      <c r="M1219" s="361">
        <f t="shared" ref="M1219:M1282" si="234">IF(OR(O1219="RFA",O1219="UFA",O1219="",O1219=0),0,O1219)</f>
        <v>0</v>
      </c>
      <c r="N1219" s="358">
        <v>910833</v>
      </c>
      <c r="O1219" s="358" t="s">
        <v>8</v>
      </c>
      <c r="P1219" s="358">
        <v>0</v>
      </c>
      <c r="Q1219" s="358">
        <v>0</v>
      </c>
      <c r="R1219" s="358">
        <v>0</v>
      </c>
      <c r="S1219" s="358">
        <v>0</v>
      </c>
      <c r="T1219" s="358">
        <v>0</v>
      </c>
      <c r="U1219" s="35">
        <f t="shared" si="228"/>
        <v>1</v>
      </c>
      <c r="W1219">
        <f t="shared" ref="W1219:W1282" si="235">COUNTIF($E$3:$E$1479,E1219)</f>
        <v>1</v>
      </c>
      <c r="X1219" s="35">
        <f t="shared" si="229"/>
        <v>1</v>
      </c>
      <c r="Y1219">
        <f t="shared" si="230"/>
        <v>0</v>
      </c>
      <c r="AB1219">
        <f t="shared" si="226"/>
        <v>1</v>
      </c>
      <c r="AC1219">
        <f t="shared" ca="1" si="227"/>
        <v>0</v>
      </c>
      <c r="AD1219" t="str">
        <f ca="1">IF(AC1219=1,COUNTIF($AC$3:AC1219,1),"")</f>
        <v/>
      </c>
      <c r="AE1219" s="155" t="str">
        <f ca="1">IFERROR(INDEX(Données!$B$3:$B$1479,MATCH(ROWS($AD$3:AD1219),$AD$3:$AD$1479,0)),"")</f>
        <v/>
      </c>
    </row>
    <row r="1220" spans="1:31" ht="15.75" x14ac:dyDescent="0.25">
      <c r="A1220" t="str">
        <f t="shared" ref="A1220:A1283" si="236">C1220&amp;" "&amp;D1220&amp;" - "&amp;F1220&amp;" - "&amp;H1220</f>
        <v>Matthew Spencer - TBL - D</v>
      </c>
      <c r="B1220" t="str">
        <f t="shared" ref="B1220:B1283" si="237">A1220</f>
        <v>Matthew Spencer - TBL - D</v>
      </c>
      <c r="C1220" t="str">
        <f t="shared" si="231"/>
        <v>Matthew</v>
      </c>
      <c r="D1220" t="str">
        <f t="shared" si="232"/>
        <v>Spencer</v>
      </c>
      <c r="E1220" s="39" t="s">
        <v>1576</v>
      </c>
      <c r="F1220" s="30" t="s">
        <v>32</v>
      </c>
      <c r="G1220" s="35" t="s">
        <v>386</v>
      </c>
      <c r="H1220" s="35" t="s">
        <v>82</v>
      </c>
      <c r="I1220" s="35" t="s">
        <v>2446</v>
      </c>
      <c r="J1220" s="35">
        <v>22</v>
      </c>
      <c r="K1220" s="35">
        <f>VALUE(COUNTIF(Validation!$A$2:$H$47,E1220))</f>
        <v>0</v>
      </c>
      <c r="L1220" s="361">
        <f t="shared" si="233"/>
        <v>910833</v>
      </c>
      <c r="M1220" s="361">
        <f t="shared" si="234"/>
        <v>0</v>
      </c>
      <c r="N1220" s="358">
        <v>910833</v>
      </c>
      <c r="O1220" s="358" t="s">
        <v>8</v>
      </c>
      <c r="P1220" s="358">
        <v>0</v>
      </c>
      <c r="Q1220" s="358">
        <v>0</v>
      </c>
      <c r="R1220" s="358">
        <v>0</v>
      </c>
      <c r="S1220" s="358">
        <v>0</v>
      </c>
      <c r="T1220" s="358">
        <v>0</v>
      </c>
      <c r="U1220" s="35">
        <f t="shared" si="228"/>
        <v>1</v>
      </c>
      <c r="W1220">
        <f t="shared" si="235"/>
        <v>1</v>
      </c>
      <c r="X1220" s="35">
        <f t="shared" si="229"/>
        <v>1</v>
      </c>
      <c r="Y1220">
        <f t="shared" si="230"/>
        <v>0</v>
      </c>
      <c r="AB1220">
        <f t="shared" ref="AB1220:AB1283" si="238">SEARCH(AA1220,A1220)</f>
        <v>1</v>
      </c>
      <c r="AC1220">
        <f t="shared" ca="1" si="227"/>
        <v>0</v>
      </c>
      <c r="AD1220" t="str">
        <f ca="1">IF(AC1220=1,COUNTIF($AC$3:AC1220,1),"")</f>
        <v/>
      </c>
      <c r="AE1220" s="155" t="str">
        <f ca="1">IFERROR(INDEX(Données!$B$3:$B$1479,MATCH(ROWS($AD$3:AD1220),$AD$3:$AD$1479,0)),"")</f>
        <v/>
      </c>
    </row>
    <row r="1221" spans="1:31" ht="15.75" x14ac:dyDescent="0.25">
      <c r="A1221" t="str">
        <f t="shared" si="236"/>
        <v>Gabriel Fortier - TBL - AG</v>
      </c>
      <c r="B1221" t="str">
        <f t="shared" si="237"/>
        <v>Gabriel Fortier - TBL - AG</v>
      </c>
      <c r="C1221" t="str">
        <f t="shared" si="231"/>
        <v>Gabriel</v>
      </c>
      <c r="D1221" t="str">
        <f t="shared" si="232"/>
        <v>Fortier</v>
      </c>
      <c r="E1221" s="39" t="s">
        <v>2560</v>
      </c>
      <c r="F1221" s="30" t="s">
        <v>32</v>
      </c>
      <c r="G1221" s="35" t="s">
        <v>386</v>
      </c>
      <c r="H1221" s="35" t="s">
        <v>2440</v>
      </c>
      <c r="I1221" s="35" t="s">
        <v>2446</v>
      </c>
      <c r="J1221" s="35">
        <v>19</v>
      </c>
      <c r="K1221" s="35">
        <f>VALUE(COUNTIF(Validation!$A$2:$H$47,E1221))</f>
        <v>0</v>
      </c>
      <c r="L1221" s="361">
        <f t="shared" si="233"/>
        <v>894167</v>
      </c>
      <c r="M1221" s="361">
        <f t="shared" si="234"/>
        <v>894167</v>
      </c>
      <c r="N1221" s="358">
        <v>894167</v>
      </c>
      <c r="O1221" s="358">
        <v>894167</v>
      </c>
      <c r="P1221" s="358">
        <v>894167</v>
      </c>
      <c r="Q1221" s="358" t="s">
        <v>8</v>
      </c>
      <c r="R1221" s="358">
        <v>0</v>
      </c>
      <c r="S1221" s="358">
        <v>0</v>
      </c>
      <c r="T1221" s="358">
        <v>0</v>
      </c>
      <c r="U1221" s="35">
        <f t="shared" si="228"/>
        <v>3</v>
      </c>
      <c r="W1221">
        <f t="shared" si="235"/>
        <v>1</v>
      </c>
      <c r="X1221" s="35">
        <f t="shared" si="229"/>
        <v>1</v>
      </c>
      <c r="Y1221">
        <f t="shared" si="230"/>
        <v>1</v>
      </c>
      <c r="AB1221">
        <f t="shared" si="238"/>
        <v>1</v>
      </c>
      <c r="AC1221">
        <f t="shared" ref="AC1221:AC1284" ca="1" si="239">IFERROR(SEARCH(INDIRECT(CELL("adresse")),B1221,1),0)</f>
        <v>0</v>
      </c>
      <c r="AD1221" t="str">
        <f ca="1">IF(AC1221=1,COUNTIF($AC$3:AC1221,1),"")</f>
        <v/>
      </c>
      <c r="AE1221" s="155" t="str">
        <f ca="1">IFERROR(INDEX(Données!$B$3:$B$1479,MATCH(ROWS($AD$3:AD1221),$AD$3:$AD$1479,0)),"")</f>
        <v/>
      </c>
    </row>
    <row r="1222" spans="1:31" ht="15.75" x14ac:dyDescent="0.25">
      <c r="A1222" t="str">
        <f t="shared" si="236"/>
        <v>Boris Katchouk - TBL - AG</v>
      </c>
      <c r="B1222" t="str">
        <f t="shared" si="237"/>
        <v>Boris Katchouk - TBL - AG</v>
      </c>
      <c r="C1222" t="str">
        <f t="shared" si="231"/>
        <v>Boris</v>
      </c>
      <c r="D1222" t="str">
        <f t="shared" si="232"/>
        <v>Katchouk</v>
      </c>
      <c r="E1222" s="39" t="s">
        <v>1568</v>
      </c>
      <c r="F1222" s="30" t="s">
        <v>32</v>
      </c>
      <c r="G1222" s="35" t="s">
        <v>386</v>
      </c>
      <c r="H1222" s="35" t="s">
        <v>2440</v>
      </c>
      <c r="I1222" s="35" t="s">
        <v>2446</v>
      </c>
      <c r="J1222" s="35">
        <v>21</v>
      </c>
      <c r="K1222" s="35">
        <f>VALUE(COUNTIF(Validation!$A$2:$H$47,E1222))</f>
        <v>0</v>
      </c>
      <c r="L1222" s="361">
        <f t="shared" si="233"/>
        <v>894166</v>
      </c>
      <c r="M1222" s="361">
        <f t="shared" si="234"/>
        <v>894166</v>
      </c>
      <c r="N1222" s="358">
        <v>894166</v>
      </c>
      <c r="O1222" s="358">
        <v>894166</v>
      </c>
      <c r="P1222" s="358" t="s">
        <v>8</v>
      </c>
      <c r="Q1222" s="358">
        <v>0</v>
      </c>
      <c r="R1222" s="358">
        <v>0</v>
      </c>
      <c r="S1222" s="358">
        <v>0</v>
      </c>
      <c r="T1222" s="358">
        <v>0</v>
      </c>
      <c r="U1222" s="35">
        <f t="shared" si="228"/>
        <v>2</v>
      </c>
      <c r="W1222">
        <f t="shared" si="235"/>
        <v>1</v>
      </c>
      <c r="X1222" s="35">
        <f t="shared" si="229"/>
        <v>1</v>
      </c>
      <c r="Y1222">
        <f t="shared" si="230"/>
        <v>1</v>
      </c>
      <c r="AB1222">
        <f t="shared" si="238"/>
        <v>1</v>
      </c>
      <c r="AC1222">
        <f t="shared" ca="1" si="239"/>
        <v>0</v>
      </c>
      <c r="AD1222" t="str">
        <f ca="1">IF(AC1222=1,COUNTIF($AC$3:AC1222,1),"")</f>
        <v/>
      </c>
      <c r="AE1222" s="155" t="str">
        <f ca="1">IFERROR(INDEX(Données!$B$3:$B$1479,MATCH(ROWS($AD$3:AD1222),$AD$3:$AD$1479,0)),"")</f>
        <v/>
      </c>
    </row>
    <row r="1223" spans="1:31" ht="15.75" x14ac:dyDescent="0.25">
      <c r="A1223" t="str">
        <f t="shared" si="236"/>
        <v>Taylor Raddysh - TBL - AD</v>
      </c>
      <c r="B1223" t="str">
        <f t="shared" si="237"/>
        <v>Taylor Raddysh - TBL - AD</v>
      </c>
      <c r="C1223" t="str">
        <f t="shared" si="231"/>
        <v>Taylor</v>
      </c>
      <c r="D1223" t="str">
        <f t="shared" si="232"/>
        <v>Raddysh</v>
      </c>
      <c r="E1223" s="39" t="s">
        <v>1569</v>
      </c>
      <c r="F1223" s="30" t="s">
        <v>32</v>
      </c>
      <c r="G1223" s="35" t="s">
        <v>386</v>
      </c>
      <c r="H1223" s="35" t="s">
        <v>2438</v>
      </c>
      <c r="I1223" s="35" t="s">
        <v>2446</v>
      </c>
      <c r="J1223" s="35">
        <v>21</v>
      </c>
      <c r="K1223" s="35">
        <f>VALUE(COUNTIF(Validation!$A$2:$H$47,E1223))</f>
        <v>0</v>
      </c>
      <c r="L1223" s="361">
        <f t="shared" si="233"/>
        <v>894166</v>
      </c>
      <c r="M1223" s="361">
        <f t="shared" si="234"/>
        <v>894166</v>
      </c>
      <c r="N1223" s="358">
        <v>894166</v>
      </c>
      <c r="O1223" s="358">
        <v>894166</v>
      </c>
      <c r="P1223" s="358" t="s">
        <v>8</v>
      </c>
      <c r="Q1223" s="358">
        <v>0</v>
      </c>
      <c r="R1223" s="358">
        <v>0</v>
      </c>
      <c r="S1223" s="358">
        <v>0</v>
      </c>
      <c r="T1223" s="358">
        <v>0</v>
      </c>
      <c r="U1223" s="35">
        <f t="shared" si="228"/>
        <v>2</v>
      </c>
      <c r="W1223">
        <f t="shared" si="235"/>
        <v>1</v>
      </c>
      <c r="X1223" s="35">
        <f t="shared" si="229"/>
        <v>1</v>
      </c>
      <c r="Y1223">
        <f t="shared" si="230"/>
        <v>1</v>
      </c>
      <c r="AB1223">
        <f t="shared" si="238"/>
        <v>1</v>
      </c>
      <c r="AC1223">
        <f t="shared" ca="1" si="239"/>
        <v>0</v>
      </c>
      <c r="AD1223" t="str">
        <f ca="1">IF(AC1223=1,COUNTIF($AC$3:AC1223,1),"")</f>
        <v/>
      </c>
      <c r="AE1223" s="155" t="str">
        <f ca="1">IFERROR(INDEX(Données!$B$3:$B$1479,MATCH(ROWS($AD$3:AD1223),$AD$3:$AD$1479,0)),"")</f>
        <v/>
      </c>
    </row>
    <row r="1224" spans="1:31" ht="15.75" x14ac:dyDescent="0.25">
      <c r="A1224" t="str">
        <f t="shared" si="236"/>
        <v>Erik Cernak - TBL - DD</v>
      </c>
      <c r="B1224" t="str">
        <f t="shared" si="237"/>
        <v>Erik Cernak - TBL - DD</v>
      </c>
      <c r="C1224" t="str">
        <f t="shared" si="231"/>
        <v>Erik</v>
      </c>
      <c r="D1224" t="str">
        <f t="shared" si="232"/>
        <v>Cernak</v>
      </c>
      <c r="E1224" s="39" t="s">
        <v>1580</v>
      </c>
      <c r="F1224" s="30" t="s">
        <v>32</v>
      </c>
      <c r="G1224" s="35" t="s">
        <v>386</v>
      </c>
      <c r="H1224" s="35" t="s">
        <v>2444</v>
      </c>
      <c r="I1224" s="35" t="s">
        <v>2439</v>
      </c>
      <c r="J1224" s="35">
        <v>22</v>
      </c>
      <c r="K1224" s="35">
        <f>VALUE(COUNTIF(Validation!$A$2:$H$47,E1224))</f>
        <v>0</v>
      </c>
      <c r="L1224" s="361">
        <f t="shared" si="233"/>
        <v>890000</v>
      </c>
      <c r="M1224" s="361">
        <f t="shared" si="234"/>
        <v>0</v>
      </c>
      <c r="N1224" s="358">
        <v>890000</v>
      </c>
      <c r="O1224" s="358" t="s">
        <v>8</v>
      </c>
      <c r="P1224" s="358">
        <v>0</v>
      </c>
      <c r="Q1224" s="358">
        <v>0</v>
      </c>
      <c r="R1224" s="358">
        <v>0</v>
      </c>
      <c r="S1224" s="358">
        <v>0</v>
      </c>
      <c r="T1224" s="358">
        <v>0</v>
      </c>
      <c r="U1224" s="35">
        <f t="shared" si="228"/>
        <v>1</v>
      </c>
      <c r="W1224">
        <f t="shared" si="235"/>
        <v>1</v>
      </c>
      <c r="X1224" s="35">
        <f t="shared" si="229"/>
        <v>1</v>
      </c>
      <c r="Y1224">
        <f t="shared" si="230"/>
        <v>0</v>
      </c>
      <c r="AB1224">
        <f t="shared" si="238"/>
        <v>1</v>
      </c>
      <c r="AC1224">
        <f t="shared" ca="1" si="239"/>
        <v>0</v>
      </c>
      <c r="AD1224" t="str">
        <f ca="1">IF(AC1224=1,COUNTIF($AC$3:AC1224,1),"")</f>
        <v/>
      </c>
      <c r="AE1224" s="155" t="str">
        <f ca="1">IFERROR(INDEX(Données!$B$3:$B$1479,MATCH(ROWS($AD$3:AD1224),$AD$3:$AD$1479,0)),"")</f>
        <v/>
      </c>
    </row>
    <row r="1225" spans="1:31" ht="15.75" x14ac:dyDescent="0.25">
      <c r="A1225" t="str">
        <f t="shared" si="236"/>
        <v>Alexey Lipanov - TBL - C</v>
      </c>
      <c r="B1225" t="str">
        <f t="shared" si="237"/>
        <v>Alexey Lipanov - TBL - C</v>
      </c>
      <c r="C1225" t="str">
        <f t="shared" si="231"/>
        <v>Alexey</v>
      </c>
      <c r="D1225" t="str">
        <f t="shared" si="232"/>
        <v>Lipanov</v>
      </c>
      <c r="E1225" s="39" t="s">
        <v>1571</v>
      </c>
      <c r="F1225" s="30" t="s">
        <v>32</v>
      </c>
      <c r="G1225" s="35" t="s">
        <v>386</v>
      </c>
      <c r="H1225" s="35" t="s">
        <v>73</v>
      </c>
      <c r="I1225" s="35" t="s">
        <v>2446</v>
      </c>
      <c r="J1225" s="35">
        <v>19</v>
      </c>
      <c r="K1225" s="35">
        <f>VALUE(COUNTIF(Validation!$A$2:$H$47,E1225))</f>
        <v>0</v>
      </c>
      <c r="L1225" s="361">
        <f t="shared" si="233"/>
        <v>863333</v>
      </c>
      <c r="M1225" s="361">
        <f t="shared" si="234"/>
        <v>863333</v>
      </c>
      <c r="N1225" s="358">
        <v>863333</v>
      </c>
      <c r="O1225" s="358">
        <v>863333</v>
      </c>
      <c r="P1225" s="358">
        <v>863333</v>
      </c>
      <c r="Q1225" s="358" t="s">
        <v>8</v>
      </c>
      <c r="R1225" s="358">
        <v>0</v>
      </c>
      <c r="S1225" s="358">
        <v>0</v>
      </c>
      <c r="T1225" s="358">
        <v>0</v>
      </c>
      <c r="U1225" s="35">
        <f t="shared" si="228"/>
        <v>3</v>
      </c>
      <c r="W1225">
        <f t="shared" si="235"/>
        <v>1</v>
      </c>
      <c r="X1225" s="35">
        <f t="shared" si="229"/>
        <v>1</v>
      </c>
      <c r="Y1225">
        <f t="shared" si="230"/>
        <v>1</v>
      </c>
      <c r="AB1225">
        <f t="shared" si="238"/>
        <v>1</v>
      </c>
      <c r="AC1225">
        <f t="shared" ca="1" si="239"/>
        <v>0</v>
      </c>
      <c r="AD1225" t="str">
        <f ca="1">IF(AC1225=1,COUNTIF($AC$3:AC1225,1),"")</f>
        <v/>
      </c>
      <c r="AE1225" s="155" t="str">
        <f ca="1">IFERROR(INDEX(Données!$B$3:$B$1479,MATCH(ROWS($AD$3:AD1225),$AD$3:$AD$1479,0)),"")</f>
        <v/>
      </c>
    </row>
    <row r="1226" spans="1:31" ht="15.75" x14ac:dyDescent="0.25">
      <c r="A1226" t="str">
        <f t="shared" si="236"/>
        <v>Otto Somppi - TBL - C</v>
      </c>
      <c r="B1226" t="str">
        <f t="shared" si="237"/>
        <v>Otto Somppi - TBL - C</v>
      </c>
      <c r="C1226" t="str">
        <f t="shared" si="231"/>
        <v>Otto</v>
      </c>
      <c r="D1226" t="str">
        <f t="shared" si="232"/>
        <v>Somppi</v>
      </c>
      <c r="E1226" s="39" t="s">
        <v>1573</v>
      </c>
      <c r="F1226" s="30" t="s">
        <v>32</v>
      </c>
      <c r="G1226" s="35" t="s">
        <v>386</v>
      </c>
      <c r="H1226" s="35" t="s">
        <v>73</v>
      </c>
      <c r="I1226" s="35" t="s">
        <v>2446</v>
      </c>
      <c r="J1226" s="35">
        <v>21</v>
      </c>
      <c r="K1226" s="35">
        <f>VALUE(COUNTIF(Validation!$A$2:$H$47,E1226))</f>
        <v>0</v>
      </c>
      <c r="L1226" s="361">
        <f t="shared" si="233"/>
        <v>800000</v>
      </c>
      <c r="M1226" s="361">
        <f t="shared" si="234"/>
        <v>800000</v>
      </c>
      <c r="N1226" s="358">
        <v>800000</v>
      </c>
      <c r="O1226" s="358">
        <v>800000</v>
      </c>
      <c r="P1226" s="358" t="s">
        <v>8</v>
      </c>
      <c r="Q1226" s="358">
        <v>0</v>
      </c>
      <c r="R1226" s="358">
        <v>0</v>
      </c>
      <c r="S1226" s="358">
        <v>0</v>
      </c>
      <c r="T1226" s="358">
        <v>0</v>
      </c>
      <c r="U1226" s="35">
        <f t="shared" si="228"/>
        <v>2</v>
      </c>
      <c r="W1226">
        <f t="shared" si="235"/>
        <v>1</v>
      </c>
      <c r="X1226" s="35">
        <f t="shared" si="229"/>
        <v>1</v>
      </c>
      <c r="Y1226">
        <f t="shared" si="230"/>
        <v>1</v>
      </c>
      <c r="AB1226">
        <f t="shared" si="238"/>
        <v>1</v>
      </c>
      <c r="AC1226">
        <f t="shared" ca="1" si="239"/>
        <v>0</v>
      </c>
      <c r="AD1226" t="str">
        <f ca="1">IF(AC1226=1,COUNTIF($AC$3:AC1226,1),"")</f>
        <v/>
      </c>
      <c r="AE1226" s="155" t="str">
        <f ca="1">IFERROR(INDEX(Données!$B$3:$B$1479,MATCH(ROWS($AD$3:AD1226),$AD$3:$AD$1479,0)),"")</f>
        <v/>
      </c>
    </row>
    <row r="1227" spans="1:31" ht="15.75" x14ac:dyDescent="0.25">
      <c r="A1227" t="str">
        <f t="shared" si="236"/>
        <v>Alex Barre-Boulet - TBL - C</v>
      </c>
      <c r="B1227" t="str">
        <f t="shared" si="237"/>
        <v>Alex Barre-Boulet - TBL - C</v>
      </c>
      <c r="C1227" t="str">
        <f t="shared" si="231"/>
        <v>Alex</v>
      </c>
      <c r="D1227" t="str">
        <f t="shared" si="232"/>
        <v>Barre-Boulet</v>
      </c>
      <c r="E1227" s="39" t="s">
        <v>2890</v>
      </c>
      <c r="F1227" s="30" t="s">
        <v>32</v>
      </c>
      <c r="G1227" s="35" t="s">
        <v>386</v>
      </c>
      <c r="H1227" s="35" t="s">
        <v>73</v>
      </c>
      <c r="I1227" s="35" t="s">
        <v>2446</v>
      </c>
      <c r="J1227" s="35">
        <v>22</v>
      </c>
      <c r="K1227" s="35">
        <f>VALUE(COUNTIF(Validation!$A$2:$H$47,E1227))</f>
        <v>0</v>
      </c>
      <c r="L1227" s="361">
        <f t="shared" si="233"/>
        <v>759258</v>
      </c>
      <c r="M1227" s="361">
        <f t="shared" si="234"/>
        <v>759258</v>
      </c>
      <c r="N1227" s="358">
        <v>759258</v>
      </c>
      <c r="O1227" s="358">
        <v>759258</v>
      </c>
      <c r="P1227" s="358" t="s">
        <v>8</v>
      </c>
      <c r="Q1227" s="358">
        <v>0</v>
      </c>
      <c r="R1227" s="358">
        <v>0</v>
      </c>
      <c r="S1227" s="358">
        <v>0</v>
      </c>
      <c r="T1227" s="358">
        <v>0</v>
      </c>
      <c r="U1227" s="35">
        <f t="shared" si="228"/>
        <v>2</v>
      </c>
      <c r="W1227">
        <f t="shared" si="235"/>
        <v>1</v>
      </c>
      <c r="X1227" s="35">
        <f t="shared" si="229"/>
        <v>1</v>
      </c>
      <c r="Y1227">
        <f t="shared" si="230"/>
        <v>1</v>
      </c>
      <c r="AB1227">
        <f t="shared" si="238"/>
        <v>1</v>
      </c>
      <c r="AC1227">
        <f t="shared" ca="1" si="239"/>
        <v>0</v>
      </c>
      <c r="AD1227" t="str">
        <f ca="1">IF(AC1227=1,COUNTIF($AC$3:AC1227,1),"")</f>
        <v/>
      </c>
      <c r="AE1227" s="155" t="str">
        <f ca="1">IFERROR(INDEX(Données!$B$3:$B$1479,MATCH(ROWS($AD$3:AD1227),$AD$3:$AD$1479,0)),"")</f>
        <v/>
      </c>
    </row>
    <row r="1228" spans="1:31" ht="15.75" x14ac:dyDescent="0.25">
      <c r="A1228" t="str">
        <f t="shared" si="236"/>
        <v>Oleg Sosunov - TBL - D</v>
      </c>
      <c r="B1228" t="str">
        <f t="shared" si="237"/>
        <v>Oleg Sosunov - TBL - D</v>
      </c>
      <c r="C1228" t="str">
        <f t="shared" si="231"/>
        <v>Oleg</v>
      </c>
      <c r="D1228" t="str">
        <f t="shared" si="232"/>
        <v>Sosunov</v>
      </c>
      <c r="E1228" s="39" t="s">
        <v>1579</v>
      </c>
      <c r="F1228" s="30" t="s">
        <v>32</v>
      </c>
      <c r="G1228" s="35" t="s">
        <v>386</v>
      </c>
      <c r="H1228" s="35" t="s">
        <v>82</v>
      </c>
      <c r="I1228" s="35" t="s">
        <v>2446</v>
      </c>
      <c r="J1228" s="35">
        <v>21</v>
      </c>
      <c r="K1228" s="35">
        <f>VALUE(COUNTIF(Validation!$A$2:$H$47,E1228))</f>
        <v>0</v>
      </c>
      <c r="L1228" s="361">
        <f t="shared" si="233"/>
        <v>721600</v>
      </c>
      <c r="M1228" s="361">
        <f t="shared" si="234"/>
        <v>721600</v>
      </c>
      <c r="N1228" s="358">
        <v>721600</v>
      </c>
      <c r="O1228" s="358">
        <v>721600</v>
      </c>
      <c r="P1228" s="358" t="s">
        <v>8</v>
      </c>
      <c r="Q1228" s="358">
        <v>0</v>
      </c>
      <c r="R1228" s="358">
        <v>0</v>
      </c>
      <c r="S1228" s="358">
        <v>0</v>
      </c>
      <c r="T1228" s="358">
        <v>0</v>
      </c>
      <c r="U1228" s="35">
        <f t="shared" si="228"/>
        <v>2</v>
      </c>
      <c r="W1228">
        <f t="shared" si="235"/>
        <v>1</v>
      </c>
      <c r="X1228" s="35">
        <f t="shared" si="229"/>
        <v>1</v>
      </c>
      <c r="Y1228">
        <f t="shared" si="230"/>
        <v>1</v>
      </c>
      <c r="AB1228">
        <f t="shared" si="238"/>
        <v>1</v>
      </c>
      <c r="AC1228">
        <f t="shared" ca="1" si="239"/>
        <v>0</v>
      </c>
      <c r="AD1228" t="str">
        <f ca="1">IF(AC1228=1,COUNTIF($AC$3:AC1228,1),"")</f>
        <v/>
      </c>
      <c r="AE1228" s="155" t="str">
        <f ca="1">IFERROR(INDEX(Données!$B$3:$B$1479,MATCH(ROWS($AD$3:AD1228),$AD$3:$AD$1479,0)),"")</f>
        <v/>
      </c>
    </row>
    <row r="1229" spans="1:31" ht="15.75" x14ac:dyDescent="0.25">
      <c r="A1229" t="str">
        <f t="shared" si="236"/>
        <v>Cory Conacher - TBL - AG</v>
      </c>
      <c r="B1229" t="str">
        <f t="shared" si="237"/>
        <v>Cory Conacher - TBL - AG</v>
      </c>
      <c r="C1229" t="str">
        <f t="shared" si="231"/>
        <v>Cory</v>
      </c>
      <c r="D1229" t="str">
        <f t="shared" si="232"/>
        <v>Conacher</v>
      </c>
      <c r="E1229" s="39" t="s">
        <v>1555</v>
      </c>
      <c r="F1229" s="30" t="s">
        <v>32</v>
      </c>
      <c r="G1229" s="35">
        <v>0</v>
      </c>
      <c r="H1229" s="9" t="s">
        <v>2440</v>
      </c>
      <c r="I1229" s="9" t="s">
        <v>2446</v>
      </c>
      <c r="J1229" s="9">
        <v>29</v>
      </c>
      <c r="K1229" s="35">
        <f>VALUE(COUNTIF(Validation!$A$2:$H$47,E1229))</f>
        <v>0</v>
      </c>
      <c r="L1229" s="361">
        <f t="shared" si="233"/>
        <v>700000</v>
      </c>
      <c r="M1229" s="361">
        <f t="shared" si="234"/>
        <v>0</v>
      </c>
      <c r="N1229" s="358">
        <v>700000</v>
      </c>
      <c r="O1229" s="358" t="s">
        <v>7</v>
      </c>
      <c r="P1229" s="358">
        <v>0</v>
      </c>
      <c r="Q1229" s="358">
        <v>0</v>
      </c>
      <c r="R1229" s="358">
        <v>0</v>
      </c>
      <c r="S1229" s="358">
        <v>0</v>
      </c>
      <c r="T1229" s="358">
        <v>0</v>
      </c>
      <c r="U1229" s="35">
        <f t="shared" si="228"/>
        <v>1</v>
      </c>
      <c r="W1229">
        <f t="shared" si="235"/>
        <v>1</v>
      </c>
      <c r="X1229" s="35">
        <f t="shared" si="229"/>
        <v>0</v>
      </c>
      <c r="Y1229">
        <f t="shared" si="230"/>
        <v>0</v>
      </c>
      <c r="AB1229">
        <f t="shared" si="238"/>
        <v>1</v>
      </c>
      <c r="AC1229">
        <f t="shared" ca="1" si="239"/>
        <v>0</v>
      </c>
      <c r="AD1229" t="str">
        <f ca="1">IF(AC1229=1,COUNTIF($AC$3:AC1229,1),"")</f>
        <v/>
      </c>
      <c r="AE1229" s="155" t="str">
        <f ca="1">IFERROR(INDEX(Données!$B$3:$B$1479,MATCH(ROWS($AD$3:AD1229),$AD$3:$AD$1479,0)),"")</f>
        <v/>
      </c>
    </row>
    <row r="1230" spans="1:31" ht="15.75" x14ac:dyDescent="0.25">
      <c r="A1230" t="str">
        <f t="shared" si="236"/>
        <v>Cameron Gaunce - TBL - DG</v>
      </c>
      <c r="B1230" t="str">
        <f t="shared" si="237"/>
        <v>Cameron Gaunce - TBL - DG</v>
      </c>
      <c r="C1230" t="str">
        <f t="shared" si="231"/>
        <v>Cameron</v>
      </c>
      <c r="D1230" t="str">
        <f t="shared" si="232"/>
        <v>Gaunce</v>
      </c>
      <c r="E1230" s="39" t="s">
        <v>1582</v>
      </c>
      <c r="F1230" s="30" t="s">
        <v>32</v>
      </c>
      <c r="G1230" s="35">
        <v>0</v>
      </c>
      <c r="H1230" s="35" t="s">
        <v>2445</v>
      </c>
      <c r="I1230" s="35" t="s">
        <v>2446</v>
      </c>
      <c r="J1230" s="35">
        <v>29</v>
      </c>
      <c r="K1230" s="35">
        <f>VALUE(COUNTIF(Validation!$A$2:$H$47,E1230))</f>
        <v>0</v>
      </c>
      <c r="L1230" s="361">
        <f t="shared" si="233"/>
        <v>700000</v>
      </c>
      <c r="M1230" s="361">
        <f t="shared" si="234"/>
        <v>0</v>
      </c>
      <c r="N1230" s="358">
        <v>700000</v>
      </c>
      <c r="O1230" s="358" t="s">
        <v>7</v>
      </c>
      <c r="P1230" s="358">
        <v>0</v>
      </c>
      <c r="Q1230" s="358">
        <v>0</v>
      </c>
      <c r="R1230" s="358">
        <v>0</v>
      </c>
      <c r="S1230" s="358">
        <v>0</v>
      </c>
      <c r="T1230" s="358">
        <v>0</v>
      </c>
      <c r="U1230" s="35">
        <f t="shared" si="228"/>
        <v>1</v>
      </c>
      <c r="W1230">
        <f t="shared" si="235"/>
        <v>1</v>
      </c>
      <c r="X1230" s="35">
        <f t="shared" si="229"/>
        <v>0</v>
      </c>
      <c r="Y1230">
        <f t="shared" si="230"/>
        <v>0</v>
      </c>
      <c r="AB1230">
        <f t="shared" si="238"/>
        <v>1</v>
      </c>
      <c r="AC1230">
        <f t="shared" ca="1" si="239"/>
        <v>0</v>
      </c>
      <c r="AD1230" t="str">
        <f ca="1">IF(AC1230=1,COUNTIF($AC$3:AC1230,1),"")</f>
        <v/>
      </c>
      <c r="AE1230" s="155" t="str">
        <f ca="1">IFERROR(INDEX(Données!$B$3:$B$1479,MATCH(ROWS($AD$3:AD1230),$AD$3:$AD$1479,0)),"")</f>
        <v/>
      </c>
    </row>
    <row r="1231" spans="1:31" ht="15.75" x14ac:dyDescent="0.25">
      <c r="A1231" t="str">
        <f t="shared" si="236"/>
        <v>Danick Martel - TBL - AG</v>
      </c>
      <c r="B1231" t="str">
        <f t="shared" si="237"/>
        <v>Danick Martel - TBL - AG</v>
      </c>
      <c r="C1231" t="str">
        <f t="shared" si="231"/>
        <v>Danick</v>
      </c>
      <c r="D1231" t="str">
        <f t="shared" si="232"/>
        <v>Martel</v>
      </c>
      <c r="E1231" s="39" t="s">
        <v>1815</v>
      </c>
      <c r="F1231" s="30" t="s">
        <v>32</v>
      </c>
      <c r="G1231" s="35">
        <v>0</v>
      </c>
      <c r="H1231" s="35" t="s">
        <v>2440</v>
      </c>
      <c r="I1231" s="35" t="s">
        <v>2439</v>
      </c>
      <c r="J1231" s="35">
        <v>24</v>
      </c>
      <c r="K1231" s="35">
        <f>VALUE(COUNTIF(Validation!$A$2:$H$47,E1231))</f>
        <v>0</v>
      </c>
      <c r="L1231" s="361">
        <f t="shared" si="233"/>
        <v>700000</v>
      </c>
      <c r="M1231" s="361">
        <f t="shared" si="234"/>
        <v>0</v>
      </c>
      <c r="N1231" s="358">
        <v>700000</v>
      </c>
      <c r="O1231" s="358" t="s">
        <v>8</v>
      </c>
      <c r="P1231" s="358">
        <v>0</v>
      </c>
      <c r="Q1231" s="358">
        <v>0</v>
      </c>
      <c r="R1231" s="358">
        <v>0</v>
      </c>
      <c r="S1231" s="358">
        <v>0</v>
      </c>
      <c r="T1231" s="358">
        <v>0</v>
      </c>
      <c r="U1231" s="35">
        <f t="shared" si="228"/>
        <v>1</v>
      </c>
      <c r="W1231">
        <f t="shared" si="235"/>
        <v>1</v>
      </c>
      <c r="X1231" s="35">
        <f t="shared" si="229"/>
        <v>0</v>
      </c>
      <c r="Y1231">
        <f t="shared" si="230"/>
        <v>0</v>
      </c>
      <c r="AB1231">
        <f t="shared" si="238"/>
        <v>1</v>
      </c>
      <c r="AC1231">
        <f t="shared" ca="1" si="239"/>
        <v>0</v>
      </c>
      <c r="AD1231" t="str">
        <f ca="1">IF(AC1231=1,COUNTIF($AC$3:AC1231,1),"")</f>
        <v/>
      </c>
      <c r="AE1231" s="155" t="str">
        <f ca="1">IFERROR(INDEX(Données!$B$3:$B$1479,MATCH(ROWS($AD$3:AD1231),$AD$3:$AD$1479,0)),"")</f>
        <v/>
      </c>
    </row>
    <row r="1232" spans="1:31" ht="15.75" x14ac:dyDescent="0.25">
      <c r="A1232" t="str">
        <f t="shared" si="236"/>
        <v>Spencer Martin - TBL - G</v>
      </c>
      <c r="B1232" t="str">
        <f t="shared" si="237"/>
        <v>Spencer Martin - TBL - G</v>
      </c>
      <c r="C1232" t="str">
        <f t="shared" si="231"/>
        <v>Spencer</v>
      </c>
      <c r="D1232" t="str">
        <f t="shared" si="232"/>
        <v>Martin</v>
      </c>
      <c r="E1232" s="39" t="s">
        <v>1948</v>
      </c>
      <c r="F1232" s="30" t="s">
        <v>32</v>
      </c>
      <c r="G1232" s="35">
        <v>0</v>
      </c>
      <c r="H1232" s="35" t="s">
        <v>127</v>
      </c>
      <c r="I1232" s="35" t="s">
        <v>2446</v>
      </c>
      <c r="J1232" s="35">
        <v>24</v>
      </c>
      <c r="K1232" s="35">
        <f>VALUE(COUNTIF(Validation!$A$2:$H$47,E1232))</f>
        <v>0</v>
      </c>
      <c r="L1232" s="361">
        <f t="shared" si="233"/>
        <v>700000</v>
      </c>
      <c r="M1232" s="361">
        <f t="shared" si="234"/>
        <v>0</v>
      </c>
      <c r="N1232" s="358">
        <v>700000</v>
      </c>
      <c r="O1232" s="358" t="s">
        <v>8</v>
      </c>
      <c r="P1232" s="358">
        <v>0</v>
      </c>
      <c r="Q1232" s="358">
        <v>0</v>
      </c>
      <c r="R1232" s="358">
        <v>0</v>
      </c>
      <c r="S1232" s="358">
        <v>0</v>
      </c>
      <c r="T1232" s="358">
        <v>0</v>
      </c>
      <c r="U1232" s="35">
        <f t="shared" si="228"/>
        <v>1</v>
      </c>
      <c r="W1232">
        <f t="shared" si="235"/>
        <v>1</v>
      </c>
      <c r="X1232" s="35">
        <f t="shared" si="229"/>
        <v>0</v>
      </c>
      <c r="Y1232">
        <f t="shared" si="230"/>
        <v>0</v>
      </c>
      <c r="AB1232">
        <f t="shared" si="238"/>
        <v>1</v>
      </c>
      <c r="AC1232">
        <f t="shared" ca="1" si="239"/>
        <v>0</v>
      </c>
      <c r="AD1232" t="str">
        <f ca="1">IF(AC1232=1,COUNTIF($AC$3:AC1232,1),"")</f>
        <v/>
      </c>
      <c r="AE1232" s="155" t="str">
        <f ca="1">IFERROR(INDEX(Données!$B$3:$B$1479,MATCH(ROWS($AD$3:AD1232),$AD$3:$AD$1479,0)),"")</f>
        <v/>
      </c>
    </row>
    <row r="1233" spans="1:31" ht="15.75" x14ac:dyDescent="0.25">
      <c r="A1233" t="str">
        <f t="shared" si="236"/>
        <v>Dominik Masin - TBL - D</v>
      </c>
      <c r="B1233" t="str">
        <f t="shared" si="237"/>
        <v>Dominik Masin - TBL - D</v>
      </c>
      <c r="C1233" t="str">
        <f t="shared" si="231"/>
        <v>Dominik</v>
      </c>
      <c r="D1233" t="str">
        <f t="shared" si="232"/>
        <v>Masin</v>
      </c>
      <c r="E1233" s="39" t="s">
        <v>1570</v>
      </c>
      <c r="F1233" s="30" t="s">
        <v>32</v>
      </c>
      <c r="G1233" s="35">
        <v>0</v>
      </c>
      <c r="H1233" s="35" t="s">
        <v>82</v>
      </c>
      <c r="I1233" s="35" t="s">
        <v>2446</v>
      </c>
      <c r="J1233" s="35">
        <v>23</v>
      </c>
      <c r="K1233" s="35">
        <f>VALUE(COUNTIF(Validation!$A$2:$H$47,E1233))</f>
        <v>0</v>
      </c>
      <c r="L1233" s="361">
        <f t="shared" si="233"/>
        <v>700000</v>
      </c>
      <c r="M1233" s="361">
        <f t="shared" si="234"/>
        <v>0</v>
      </c>
      <c r="N1233" s="358">
        <v>700000</v>
      </c>
      <c r="O1233" s="358" t="s">
        <v>8</v>
      </c>
      <c r="P1233" s="358">
        <v>0</v>
      </c>
      <c r="Q1233" s="358">
        <v>0</v>
      </c>
      <c r="R1233" s="358">
        <v>0</v>
      </c>
      <c r="S1233" s="358">
        <v>0</v>
      </c>
      <c r="T1233" s="358">
        <v>0</v>
      </c>
      <c r="U1233" s="35">
        <f t="shared" si="228"/>
        <v>1</v>
      </c>
      <c r="W1233">
        <f t="shared" si="235"/>
        <v>1</v>
      </c>
      <c r="X1233" s="35">
        <f t="shared" si="229"/>
        <v>0</v>
      </c>
      <c r="Y1233">
        <f t="shared" si="230"/>
        <v>0</v>
      </c>
      <c r="AB1233">
        <f t="shared" si="238"/>
        <v>1</v>
      </c>
      <c r="AC1233">
        <f t="shared" ca="1" si="239"/>
        <v>0</v>
      </c>
      <c r="AD1233" t="str">
        <f ca="1">IF(AC1233=1,COUNTIF($AC$3:AC1233,1),"")</f>
        <v/>
      </c>
      <c r="AE1233" s="155" t="str">
        <f ca="1">IFERROR(INDEX(Données!$B$3:$B$1479,MATCH(ROWS($AD$3:AD1233),$AD$3:$AD$1479,0)),"")</f>
        <v/>
      </c>
    </row>
    <row r="1234" spans="1:31" ht="15.75" x14ac:dyDescent="0.25">
      <c r="A1234" t="str">
        <f t="shared" si="236"/>
        <v>Chris Mueller - TBL - C</v>
      </c>
      <c r="B1234" t="str">
        <f t="shared" si="237"/>
        <v>Chris Mueller - TBL - C</v>
      </c>
      <c r="C1234" t="str">
        <f t="shared" si="231"/>
        <v>Chris</v>
      </c>
      <c r="D1234" t="str">
        <f t="shared" si="232"/>
        <v>Mueller</v>
      </c>
      <c r="E1234" s="39" t="s">
        <v>1619</v>
      </c>
      <c r="F1234" s="30" t="s">
        <v>32</v>
      </c>
      <c r="G1234" s="35">
        <v>0</v>
      </c>
      <c r="H1234" s="9" t="s">
        <v>73</v>
      </c>
      <c r="I1234" s="9" t="s">
        <v>2446</v>
      </c>
      <c r="J1234" s="9">
        <v>33</v>
      </c>
      <c r="K1234" s="35">
        <f>VALUE(COUNTIF(Validation!$A$2:$H$47,E1234))</f>
        <v>0</v>
      </c>
      <c r="L1234" s="361">
        <f t="shared" si="233"/>
        <v>700000</v>
      </c>
      <c r="M1234" s="361">
        <f t="shared" si="234"/>
        <v>0</v>
      </c>
      <c r="N1234" s="358">
        <v>700000</v>
      </c>
      <c r="O1234" s="358" t="s">
        <v>7</v>
      </c>
      <c r="P1234" s="358">
        <v>0</v>
      </c>
      <c r="Q1234" s="358">
        <v>0</v>
      </c>
      <c r="R1234" s="358">
        <v>0</v>
      </c>
      <c r="S1234" s="358">
        <v>0</v>
      </c>
      <c r="T1234" s="358">
        <v>0</v>
      </c>
      <c r="U1234" s="35">
        <f t="shared" si="228"/>
        <v>1</v>
      </c>
      <c r="W1234">
        <f t="shared" si="235"/>
        <v>1</v>
      </c>
      <c r="X1234" s="35">
        <f t="shared" si="229"/>
        <v>0</v>
      </c>
      <c r="Y1234">
        <f t="shared" si="230"/>
        <v>0</v>
      </c>
      <c r="AB1234">
        <f t="shared" si="238"/>
        <v>1</v>
      </c>
      <c r="AC1234">
        <f t="shared" ca="1" si="239"/>
        <v>0</v>
      </c>
      <c r="AD1234" t="str">
        <f ca="1">IF(AC1234=1,COUNTIF($AC$3:AC1234,1),"")</f>
        <v/>
      </c>
      <c r="AE1234" s="155" t="str">
        <f ca="1">IFERROR(INDEX(Données!$B$3:$B$1479,MATCH(ROWS($AD$3:AD1234),$AD$3:$AD$1479,0)),"")</f>
        <v/>
      </c>
    </row>
    <row r="1235" spans="1:31" ht="15.75" x14ac:dyDescent="0.25">
      <c r="A1235" t="str">
        <f t="shared" si="236"/>
        <v>Luke Schenn - TBL - DD</v>
      </c>
      <c r="B1235" t="str">
        <f t="shared" si="237"/>
        <v>Luke Schenn - TBL - DD</v>
      </c>
      <c r="C1235" t="str">
        <f t="shared" si="231"/>
        <v>Luke</v>
      </c>
      <c r="D1235" t="str">
        <f t="shared" si="232"/>
        <v>Schenn</v>
      </c>
      <c r="E1235" s="39" t="s">
        <v>2127</v>
      </c>
      <c r="F1235" s="30" t="s">
        <v>32</v>
      </c>
      <c r="G1235" s="35">
        <v>0</v>
      </c>
      <c r="H1235" s="35" t="s">
        <v>2444</v>
      </c>
      <c r="I1235" s="35" t="s">
        <v>2439</v>
      </c>
      <c r="J1235" s="35">
        <v>29</v>
      </c>
      <c r="K1235" s="35">
        <f>VALUE(COUNTIF(Validation!$A$2:$H$47,E1235))</f>
        <v>0</v>
      </c>
      <c r="L1235" s="361">
        <f t="shared" si="233"/>
        <v>700000</v>
      </c>
      <c r="M1235" s="361">
        <f t="shared" si="234"/>
        <v>0</v>
      </c>
      <c r="N1235" s="358">
        <v>700000</v>
      </c>
      <c r="O1235" s="358" t="s">
        <v>7</v>
      </c>
      <c r="P1235" s="358">
        <v>0</v>
      </c>
      <c r="Q1235" s="358">
        <v>0</v>
      </c>
      <c r="R1235" s="358">
        <v>0</v>
      </c>
      <c r="S1235" s="358">
        <v>0</v>
      </c>
      <c r="T1235" s="358">
        <v>0</v>
      </c>
      <c r="U1235" s="35">
        <f t="shared" si="228"/>
        <v>1</v>
      </c>
      <c r="W1235">
        <f t="shared" si="235"/>
        <v>1</v>
      </c>
      <c r="X1235" s="35">
        <f t="shared" si="229"/>
        <v>0</v>
      </c>
      <c r="Y1235">
        <f t="shared" si="230"/>
        <v>0</v>
      </c>
      <c r="AB1235">
        <f t="shared" si="238"/>
        <v>1</v>
      </c>
      <c r="AC1235">
        <f t="shared" ca="1" si="239"/>
        <v>0</v>
      </c>
      <c r="AD1235" t="str">
        <f ca="1">IF(AC1235=1,COUNTIF($AC$3:AC1235,1),"")</f>
        <v/>
      </c>
      <c r="AE1235" s="155" t="str">
        <f ca="1">IFERROR(INDEX(Données!$B$3:$B$1479,MATCH(ROWS($AD$3:AD1235),$AD$3:$AD$1479,0)),"")</f>
        <v/>
      </c>
    </row>
    <row r="1236" spans="1:31" ht="15.75" x14ac:dyDescent="0.25">
      <c r="A1236" t="str">
        <f t="shared" si="236"/>
        <v>Gemel Smith - TBL - C</v>
      </c>
      <c r="B1236" t="str">
        <f t="shared" si="237"/>
        <v>Gemel Smith - TBL - C</v>
      </c>
      <c r="C1236" t="str">
        <f t="shared" si="231"/>
        <v>Gemel</v>
      </c>
      <c r="D1236" t="str">
        <f t="shared" si="232"/>
        <v>Smith</v>
      </c>
      <c r="E1236" s="39" t="s">
        <v>2752</v>
      </c>
      <c r="F1236" s="30" t="s">
        <v>32</v>
      </c>
      <c r="G1236" s="35">
        <v>0</v>
      </c>
      <c r="H1236" s="35" t="s">
        <v>73</v>
      </c>
      <c r="I1236" s="35" t="s">
        <v>2446</v>
      </c>
      <c r="J1236" s="35">
        <v>25</v>
      </c>
      <c r="K1236" s="35">
        <f>VALUE(COUNTIF(Validation!$A$2:$H$47,E1236))</f>
        <v>0</v>
      </c>
      <c r="L1236" s="361">
        <f t="shared" si="233"/>
        <v>700000</v>
      </c>
      <c r="M1236" s="361">
        <f t="shared" si="234"/>
        <v>0</v>
      </c>
      <c r="N1236" s="358">
        <v>700000</v>
      </c>
      <c r="O1236" s="358" t="s">
        <v>8</v>
      </c>
      <c r="P1236" s="358">
        <v>0</v>
      </c>
      <c r="Q1236" s="358">
        <v>0</v>
      </c>
      <c r="R1236" s="358">
        <v>0</v>
      </c>
      <c r="S1236" s="358">
        <v>0</v>
      </c>
      <c r="T1236" s="358">
        <v>0</v>
      </c>
      <c r="U1236" s="35">
        <f t="shared" si="228"/>
        <v>1</v>
      </c>
      <c r="W1236">
        <f t="shared" si="235"/>
        <v>1</v>
      </c>
      <c r="X1236" s="35">
        <f t="shared" si="229"/>
        <v>0</v>
      </c>
      <c r="Y1236">
        <f t="shared" si="230"/>
        <v>0</v>
      </c>
      <c r="AB1236">
        <f t="shared" si="238"/>
        <v>1</v>
      </c>
      <c r="AC1236">
        <f t="shared" ca="1" si="239"/>
        <v>0</v>
      </c>
      <c r="AD1236" t="str">
        <f ca="1">IF(AC1236=1,COUNTIF($AC$3:AC1236,1),"")</f>
        <v/>
      </c>
      <c r="AE1236" s="155" t="str">
        <f ca="1">IFERROR(INDEX(Données!$B$3:$B$1479,MATCH(ROWS($AD$3:AD1236),$AD$3:$AD$1479,0)),"")</f>
        <v/>
      </c>
    </row>
    <row r="1237" spans="1:31" ht="15.75" x14ac:dyDescent="0.25">
      <c r="A1237" t="str">
        <f t="shared" si="236"/>
        <v>Ben Thomas - TBL - D</v>
      </c>
      <c r="B1237" t="str">
        <f t="shared" si="237"/>
        <v>Ben Thomas - TBL - D</v>
      </c>
      <c r="C1237" t="str">
        <f t="shared" si="231"/>
        <v>Ben</v>
      </c>
      <c r="D1237" t="str">
        <f t="shared" si="232"/>
        <v>Thomas</v>
      </c>
      <c r="E1237" s="39" t="s">
        <v>1581</v>
      </c>
      <c r="F1237" s="30" t="s">
        <v>32</v>
      </c>
      <c r="G1237" s="35">
        <v>0</v>
      </c>
      <c r="H1237" s="35" t="s">
        <v>82</v>
      </c>
      <c r="I1237" s="35" t="s">
        <v>2446</v>
      </c>
      <c r="J1237" s="35">
        <v>23</v>
      </c>
      <c r="K1237" s="35">
        <f>VALUE(COUNTIF(Validation!$A$2:$H$47,E1237))</f>
        <v>0</v>
      </c>
      <c r="L1237" s="361">
        <f t="shared" si="233"/>
        <v>700000</v>
      </c>
      <c r="M1237" s="361">
        <f t="shared" si="234"/>
        <v>0</v>
      </c>
      <c r="N1237" s="358">
        <v>700000</v>
      </c>
      <c r="O1237" s="358" t="s">
        <v>8</v>
      </c>
      <c r="P1237" s="358">
        <v>0</v>
      </c>
      <c r="Q1237" s="358">
        <v>0</v>
      </c>
      <c r="R1237" s="358">
        <v>0</v>
      </c>
      <c r="S1237" s="358">
        <v>0</v>
      </c>
      <c r="T1237" s="358">
        <v>0</v>
      </c>
      <c r="U1237" s="35">
        <f t="shared" si="228"/>
        <v>1</v>
      </c>
      <c r="W1237">
        <f t="shared" si="235"/>
        <v>1</v>
      </c>
      <c r="X1237" s="35">
        <f t="shared" si="229"/>
        <v>0</v>
      </c>
      <c r="Y1237">
        <f t="shared" si="230"/>
        <v>0</v>
      </c>
      <c r="AB1237">
        <f t="shared" si="238"/>
        <v>1</v>
      </c>
      <c r="AC1237">
        <f t="shared" ca="1" si="239"/>
        <v>0</v>
      </c>
      <c r="AD1237" t="str">
        <f ca="1">IF(AC1237=1,COUNTIF($AC$3:AC1237,1),"")</f>
        <v/>
      </c>
      <c r="AE1237" s="155" t="str">
        <f ca="1">IFERROR(INDEX(Données!$B$3:$B$1479,MATCH(ROWS($AD$3:AD1237),$AD$3:$AD$1479,0)),"")</f>
        <v/>
      </c>
    </row>
    <row r="1238" spans="1:31" ht="15.75" x14ac:dyDescent="0.25">
      <c r="A1238" t="str">
        <f t="shared" si="236"/>
        <v>Carter Verhaeghe - TBL - C</v>
      </c>
      <c r="B1238" t="str">
        <f t="shared" si="237"/>
        <v>Carter Verhaeghe - TBL - C</v>
      </c>
      <c r="C1238" t="str">
        <f t="shared" si="231"/>
        <v>Carter</v>
      </c>
      <c r="D1238" t="str">
        <f t="shared" si="232"/>
        <v>Verhaeghe</v>
      </c>
      <c r="E1238" s="39" t="s">
        <v>1585</v>
      </c>
      <c r="F1238" s="30" t="s">
        <v>32</v>
      </c>
      <c r="G1238" s="35">
        <v>0</v>
      </c>
      <c r="H1238" s="35" t="s">
        <v>73</v>
      </c>
      <c r="I1238" s="35" t="s">
        <v>2446</v>
      </c>
      <c r="J1238" s="35">
        <v>23</v>
      </c>
      <c r="K1238" s="35">
        <f>VALUE(COUNTIF(Validation!$A$2:$H$47,E1238))</f>
        <v>0</v>
      </c>
      <c r="L1238" s="361">
        <f t="shared" si="233"/>
        <v>700000</v>
      </c>
      <c r="M1238" s="361">
        <f t="shared" si="234"/>
        <v>0</v>
      </c>
      <c r="N1238" s="358">
        <v>700000</v>
      </c>
      <c r="O1238" s="358" t="s">
        <v>8</v>
      </c>
      <c r="P1238" s="358">
        <v>0</v>
      </c>
      <c r="Q1238" s="358">
        <v>0</v>
      </c>
      <c r="R1238" s="358">
        <v>0</v>
      </c>
      <c r="S1238" s="358">
        <v>0</v>
      </c>
      <c r="T1238" s="358">
        <v>0</v>
      </c>
      <c r="U1238" s="35">
        <f t="shared" si="228"/>
        <v>1</v>
      </c>
      <c r="W1238">
        <f t="shared" si="235"/>
        <v>1</v>
      </c>
      <c r="X1238" s="35">
        <f t="shared" si="229"/>
        <v>0</v>
      </c>
      <c r="Y1238">
        <f t="shared" si="230"/>
        <v>0</v>
      </c>
      <c r="AB1238">
        <f t="shared" si="238"/>
        <v>1</v>
      </c>
      <c r="AC1238">
        <f t="shared" ca="1" si="239"/>
        <v>0</v>
      </c>
      <c r="AD1238" t="str">
        <f ca="1">IF(AC1238=1,COUNTIF($AC$3:AC1238,1),"")</f>
        <v/>
      </c>
      <c r="AE1238" s="155" t="str">
        <f ca="1">IFERROR(INDEX(Données!$B$3:$B$1479,MATCH(ROWS($AD$3:AD1238),$AD$3:$AD$1479,0)),"")</f>
        <v/>
      </c>
    </row>
    <row r="1239" spans="1:31" ht="15.75" x14ac:dyDescent="0.25">
      <c r="A1239" t="str">
        <f t="shared" si="236"/>
        <v>Daniel Walcott - TBL - DG</v>
      </c>
      <c r="B1239" t="str">
        <f t="shared" si="237"/>
        <v>Daniel Walcott - TBL - DG</v>
      </c>
      <c r="C1239" t="str">
        <f t="shared" si="231"/>
        <v>Daniel</v>
      </c>
      <c r="D1239" t="str">
        <f t="shared" si="232"/>
        <v>Walcott</v>
      </c>
      <c r="E1239" s="39" t="s">
        <v>1584</v>
      </c>
      <c r="F1239" s="30" t="s">
        <v>32</v>
      </c>
      <c r="G1239" s="35">
        <v>0</v>
      </c>
      <c r="H1239" s="9" t="s">
        <v>2445</v>
      </c>
      <c r="I1239" s="9" t="s">
        <v>2446</v>
      </c>
      <c r="J1239" s="9">
        <v>25</v>
      </c>
      <c r="K1239" s="35">
        <f>VALUE(COUNTIF(Validation!$A$2:$H$47,E1239))</f>
        <v>0</v>
      </c>
      <c r="L1239" s="361">
        <f t="shared" si="233"/>
        <v>700000</v>
      </c>
      <c r="M1239" s="361">
        <f t="shared" si="234"/>
        <v>0</v>
      </c>
      <c r="N1239" s="358">
        <v>700000</v>
      </c>
      <c r="O1239" s="358" t="s">
        <v>8</v>
      </c>
      <c r="P1239" s="358">
        <v>0</v>
      </c>
      <c r="Q1239" s="358">
        <v>0</v>
      </c>
      <c r="R1239" s="358">
        <v>0</v>
      </c>
      <c r="S1239" s="358">
        <v>0</v>
      </c>
      <c r="T1239" s="358">
        <v>0</v>
      </c>
      <c r="U1239" s="35">
        <f t="shared" si="228"/>
        <v>1</v>
      </c>
      <c r="W1239">
        <f t="shared" si="235"/>
        <v>1</v>
      </c>
      <c r="X1239" s="35">
        <f t="shared" si="229"/>
        <v>0</v>
      </c>
      <c r="Y1239">
        <f t="shared" si="230"/>
        <v>0</v>
      </c>
      <c r="AB1239">
        <f t="shared" si="238"/>
        <v>1</v>
      </c>
      <c r="AC1239">
        <f t="shared" ca="1" si="239"/>
        <v>0</v>
      </c>
      <c r="AD1239" t="str">
        <f ca="1">IF(AC1239=1,COUNTIF($AC$3:AC1239,1),"")</f>
        <v/>
      </c>
      <c r="AE1239" s="155" t="str">
        <f ca="1">IFERROR(INDEX(Données!$B$3:$B$1479,MATCH(ROWS($AD$3:AD1239),$AD$3:$AD$1479,0)),"")</f>
        <v/>
      </c>
    </row>
    <row r="1240" spans="1:31" ht="15.75" x14ac:dyDescent="0.25">
      <c r="A1240" t="str">
        <f t="shared" si="236"/>
        <v>Scott Wedgewood - TBL - G</v>
      </c>
      <c r="B1240" t="str">
        <f t="shared" si="237"/>
        <v>Scott Wedgewood - TBL - G</v>
      </c>
      <c r="C1240" t="str">
        <f t="shared" si="231"/>
        <v>Scott</v>
      </c>
      <c r="D1240" t="str">
        <f t="shared" si="232"/>
        <v>Wedgewood</v>
      </c>
      <c r="E1240" s="39" t="s">
        <v>1414</v>
      </c>
      <c r="F1240" s="30" t="s">
        <v>32</v>
      </c>
      <c r="G1240" s="35">
        <v>0</v>
      </c>
      <c r="H1240" s="9" t="s">
        <v>127</v>
      </c>
      <c r="I1240" s="9" t="s">
        <v>2446</v>
      </c>
      <c r="J1240" s="9">
        <v>26</v>
      </c>
      <c r="K1240" s="35">
        <f>VALUE(COUNTIF(Validation!$A$2:$H$47,E1240))</f>
        <v>0</v>
      </c>
      <c r="L1240" s="361">
        <f t="shared" si="233"/>
        <v>700000</v>
      </c>
      <c r="M1240" s="361">
        <f t="shared" si="234"/>
        <v>0</v>
      </c>
      <c r="N1240" s="358">
        <v>700000</v>
      </c>
      <c r="O1240" s="358" t="s">
        <v>7</v>
      </c>
      <c r="P1240" s="358">
        <v>0</v>
      </c>
      <c r="Q1240" s="358">
        <v>0</v>
      </c>
      <c r="R1240" s="358">
        <v>0</v>
      </c>
      <c r="S1240" s="358">
        <v>0</v>
      </c>
      <c r="T1240" s="358">
        <v>0</v>
      </c>
      <c r="U1240" s="35">
        <f t="shared" si="228"/>
        <v>1</v>
      </c>
      <c r="W1240">
        <f t="shared" si="235"/>
        <v>1</v>
      </c>
      <c r="X1240" s="35">
        <f t="shared" si="229"/>
        <v>0</v>
      </c>
      <c r="Y1240">
        <f t="shared" si="230"/>
        <v>0</v>
      </c>
      <c r="AB1240">
        <f t="shared" si="238"/>
        <v>1</v>
      </c>
      <c r="AC1240">
        <f t="shared" ca="1" si="239"/>
        <v>0</v>
      </c>
      <c r="AD1240" t="str">
        <f ca="1">IF(AC1240=1,COUNTIF($AC$3:AC1240,1),"")</f>
        <v/>
      </c>
      <c r="AE1240" s="155" t="str">
        <f ca="1">IFERROR(INDEX(Données!$B$3:$B$1479,MATCH(ROWS($AD$3:AD1240),$AD$3:$AD$1479,0)),"")</f>
        <v/>
      </c>
    </row>
    <row r="1241" spans="1:31" ht="15.75" x14ac:dyDescent="0.25">
      <c r="A1241" t="str">
        <f t="shared" si="236"/>
        <v>Luke Witkowski - TBL - DD, AD</v>
      </c>
      <c r="B1241" t="str">
        <f t="shared" si="237"/>
        <v>Luke Witkowski - TBL - DD, AD</v>
      </c>
      <c r="C1241" t="str">
        <f t="shared" si="231"/>
        <v>Luke</v>
      </c>
      <c r="D1241" t="str">
        <f t="shared" si="232"/>
        <v>Witkowski</v>
      </c>
      <c r="E1241" s="39" t="s">
        <v>1429</v>
      </c>
      <c r="F1241" s="30" t="s">
        <v>32</v>
      </c>
      <c r="G1241" s="35">
        <v>0</v>
      </c>
      <c r="H1241" s="35" t="s">
        <v>2556</v>
      </c>
      <c r="I1241" s="35" t="s">
        <v>2439</v>
      </c>
      <c r="J1241" s="35">
        <v>29</v>
      </c>
      <c r="K1241" s="35">
        <f>VALUE(COUNTIF(Validation!$A$2:$H$47,E1241))</f>
        <v>0</v>
      </c>
      <c r="L1241" s="361">
        <f t="shared" si="233"/>
        <v>700000</v>
      </c>
      <c r="M1241" s="361">
        <f t="shared" si="234"/>
        <v>700000</v>
      </c>
      <c r="N1241" s="358">
        <v>700000</v>
      </c>
      <c r="O1241" s="358">
        <v>700000</v>
      </c>
      <c r="P1241" s="358" t="s">
        <v>7</v>
      </c>
      <c r="Q1241" s="358">
        <v>0</v>
      </c>
      <c r="R1241" s="358">
        <v>0</v>
      </c>
      <c r="S1241" s="358">
        <v>0</v>
      </c>
      <c r="T1241" s="358">
        <v>0</v>
      </c>
      <c r="U1241" s="35">
        <f t="shared" si="228"/>
        <v>2</v>
      </c>
      <c r="W1241">
        <f t="shared" si="235"/>
        <v>1</v>
      </c>
      <c r="X1241" s="35">
        <f t="shared" si="229"/>
        <v>0</v>
      </c>
      <c r="Y1241">
        <f t="shared" si="230"/>
        <v>1</v>
      </c>
      <c r="AB1241">
        <f t="shared" si="238"/>
        <v>1</v>
      </c>
      <c r="AC1241">
        <f t="shared" ca="1" si="239"/>
        <v>0</v>
      </c>
      <c r="AD1241" t="str">
        <f ca="1">IF(AC1241=1,COUNTIF($AC$3:AC1241,1),"")</f>
        <v/>
      </c>
      <c r="AE1241" s="155" t="str">
        <f ca="1">IFERROR(INDEX(Données!$B$3:$B$1479,MATCH(ROWS($AD$3:AD1241),$AD$3:$AD$1479,0)),"")</f>
        <v/>
      </c>
    </row>
    <row r="1242" spans="1:31" ht="15.75" x14ac:dyDescent="0.25">
      <c r="A1242" t="str">
        <f t="shared" si="236"/>
        <v>Adam Erne - TBL - AG, AD</v>
      </c>
      <c r="B1242" t="str">
        <f t="shared" si="237"/>
        <v>Adam Erne - TBL - AG, AD</v>
      </c>
      <c r="C1242" t="str">
        <f t="shared" si="231"/>
        <v>Adam</v>
      </c>
      <c r="D1242" t="str">
        <f t="shared" si="232"/>
        <v>Erne</v>
      </c>
      <c r="E1242" s="39" t="s">
        <v>1552</v>
      </c>
      <c r="F1242" s="30" t="s">
        <v>32</v>
      </c>
      <c r="G1242" s="35">
        <v>0</v>
      </c>
      <c r="H1242" s="9" t="s">
        <v>2442</v>
      </c>
      <c r="I1242" s="9" t="s">
        <v>2439</v>
      </c>
      <c r="J1242" s="9">
        <v>24</v>
      </c>
      <c r="K1242" s="35">
        <f>VALUE(COUNTIF(Validation!$A$2:$H$47,E1242))</f>
        <v>0</v>
      </c>
      <c r="L1242" s="361">
        <f t="shared" si="233"/>
        <v>0</v>
      </c>
      <c r="M1242" s="361">
        <f t="shared" si="234"/>
        <v>0</v>
      </c>
      <c r="N1242" s="358" t="s">
        <v>8</v>
      </c>
      <c r="O1242" s="358">
        <v>0</v>
      </c>
      <c r="P1242" s="358">
        <v>0</v>
      </c>
      <c r="Q1242" s="358">
        <v>0</v>
      </c>
      <c r="R1242" s="358">
        <v>0</v>
      </c>
      <c r="S1242" s="358">
        <v>0</v>
      </c>
      <c r="T1242" s="358">
        <v>0</v>
      </c>
      <c r="U1242" s="35">
        <f t="shared" si="228"/>
        <v>0</v>
      </c>
      <c r="W1242">
        <f t="shared" si="235"/>
        <v>1</v>
      </c>
      <c r="X1242" s="35">
        <f t="shared" si="229"/>
        <v>0</v>
      </c>
      <c r="Y1242">
        <f t="shared" si="230"/>
        <v>1</v>
      </c>
      <c r="AB1242">
        <f t="shared" si="238"/>
        <v>1</v>
      </c>
      <c r="AC1242">
        <f t="shared" ca="1" si="239"/>
        <v>0</v>
      </c>
      <c r="AD1242" t="str">
        <f ca="1">IF(AC1242=1,COUNTIF($AC$3:AC1242,1),"")</f>
        <v/>
      </c>
      <c r="AE1242" s="155" t="str">
        <f ca="1">IFERROR(INDEX(Données!$B$3:$B$1479,MATCH(ROWS($AD$3:AD1242),$AD$3:$AD$1479,0)),"")</f>
        <v/>
      </c>
    </row>
    <row r="1243" spans="1:31" ht="15.75" x14ac:dyDescent="0.25">
      <c r="A1243" t="str">
        <f t="shared" si="236"/>
        <v>Brayden Point - TBL - C, AD</v>
      </c>
      <c r="B1243" t="str">
        <f t="shared" si="237"/>
        <v>Brayden Point - TBL - C, AD</v>
      </c>
      <c r="C1243" t="str">
        <f t="shared" si="231"/>
        <v>Brayden</v>
      </c>
      <c r="D1243" t="str">
        <f t="shared" si="232"/>
        <v>Point</v>
      </c>
      <c r="E1243" s="39" t="s">
        <v>1553</v>
      </c>
      <c r="F1243" s="30" t="s">
        <v>32</v>
      </c>
      <c r="G1243" s="35">
        <v>0</v>
      </c>
      <c r="H1243" s="35" t="s">
        <v>2448</v>
      </c>
      <c r="I1243" s="35" t="s">
        <v>2439</v>
      </c>
      <c r="J1243" s="35">
        <v>23</v>
      </c>
      <c r="K1243" s="35">
        <f>VALUE(COUNTIF(Validation!$A$2:$H$47,E1243))</f>
        <v>0</v>
      </c>
      <c r="L1243" s="361">
        <f t="shared" si="233"/>
        <v>0</v>
      </c>
      <c r="M1243" s="361">
        <f t="shared" si="234"/>
        <v>0</v>
      </c>
      <c r="N1243" s="358" t="s">
        <v>8</v>
      </c>
      <c r="O1243" s="358">
        <v>0</v>
      </c>
      <c r="P1243" s="358">
        <v>0</v>
      </c>
      <c r="Q1243" s="358">
        <v>0</v>
      </c>
      <c r="R1243" s="358">
        <v>0</v>
      </c>
      <c r="S1243" s="358">
        <v>0</v>
      </c>
      <c r="T1243" s="358">
        <v>0</v>
      </c>
      <c r="U1243" s="35">
        <f t="shared" si="228"/>
        <v>0</v>
      </c>
      <c r="W1243">
        <f t="shared" si="235"/>
        <v>1</v>
      </c>
      <c r="X1243" s="35">
        <f t="shared" si="229"/>
        <v>0</v>
      </c>
      <c r="Y1243">
        <f t="shared" si="230"/>
        <v>1</v>
      </c>
      <c r="AB1243">
        <f t="shared" si="238"/>
        <v>1</v>
      </c>
      <c r="AC1243">
        <f t="shared" ca="1" si="239"/>
        <v>0</v>
      </c>
      <c r="AD1243" t="str">
        <f ca="1">IF(AC1243=1,COUNTIF($AC$3:AC1243,1),"")</f>
        <v/>
      </c>
      <c r="AE1243" s="155" t="str">
        <f ca="1">IFERROR(INDEX(Données!$B$3:$B$1479,MATCH(ROWS($AD$3:AD1243),$AD$3:$AD$1479,0)),"")</f>
        <v/>
      </c>
    </row>
    <row r="1244" spans="1:31" ht="15.75" x14ac:dyDescent="0.25">
      <c r="A1244" t="str">
        <f t="shared" si="236"/>
        <v>Michal Neuvirth - TOR - G</v>
      </c>
      <c r="B1244" t="str">
        <f t="shared" si="237"/>
        <v>Michal Neuvirth - TOR - G</v>
      </c>
      <c r="C1244" t="str">
        <f t="shared" si="231"/>
        <v>Michal</v>
      </c>
      <c r="D1244" t="str">
        <f t="shared" si="232"/>
        <v>Neuvirth</v>
      </c>
      <c r="E1244" s="39" t="s">
        <v>2693</v>
      </c>
      <c r="F1244" s="30" t="s">
        <v>33</v>
      </c>
      <c r="G1244" s="35">
        <v>0</v>
      </c>
      <c r="H1244" s="9" t="s">
        <v>127</v>
      </c>
      <c r="I1244" s="9">
        <v>0</v>
      </c>
      <c r="J1244" s="9">
        <v>31</v>
      </c>
      <c r="K1244" s="35">
        <f>VALUE(COUNTIF(Validation!$A$2:$H$47,E1244))</f>
        <v>0</v>
      </c>
      <c r="L1244" s="361" t="str">
        <f t="shared" si="233"/>
        <v>PTO</v>
      </c>
      <c r="M1244" s="361">
        <f t="shared" si="234"/>
        <v>0</v>
      </c>
      <c r="N1244" s="358" t="s">
        <v>2694</v>
      </c>
      <c r="O1244" s="358">
        <v>0</v>
      </c>
      <c r="P1244" s="358">
        <v>0</v>
      </c>
      <c r="Q1244" s="358">
        <v>0</v>
      </c>
      <c r="R1244" s="358">
        <v>0</v>
      </c>
      <c r="S1244" s="358">
        <v>0</v>
      </c>
      <c r="T1244" s="358">
        <v>0</v>
      </c>
      <c r="U1244" s="35">
        <f t="shared" si="228"/>
        <v>0</v>
      </c>
      <c r="W1244">
        <f t="shared" si="235"/>
        <v>1</v>
      </c>
      <c r="X1244" s="35">
        <f t="shared" si="229"/>
        <v>0</v>
      </c>
      <c r="Y1244">
        <f t="shared" si="230"/>
        <v>0</v>
      </c>
      <c r="AB1244">
        <f t="shared" si="238"/>
        <v>1</v>
      </c>
      <c r="AC1244">
        <f t="shared" ca="1" si="239"/>
        <v>0</v>
      </c>
      <c r="AD1244" t="str">
        <f ca="1">IF(AC1244=1,COUNTIF($AC$3:AC1244,1),"")</f>
        <v/>
      </c>
      <c r="AE1244" s="155" t="str">
        <f ca="1">IFERROR(INDEX(Données!$B$3:$B$1479,MATCH(ROWS($AD$3:AD1244),$AD$3:$AD$1479,0)),"")</f>
        <v/>
      </c>
    </row>
    <row r="1245" spans="1:31" ht="15.75" x14ac:dyDescent="0.25">
      <c r="A1245" t="str">
        <f t="shared" si="236"/>
        <v>Matt Read - TOR - RW, LW</v>
      </c>
      <c r="B1245" t="str">
        <f t="shared" si="237"/>
        <v>Matt Read - TOR - RW, LW</v>
      </c>
      <c r="C1245" t="str">
        <f t="shared" si="231"/>
        <v>Matt</v>
      </c>
      <c r="D1245" t="str">
        <f t="shared" si="232"/>
        <v>Read</v>
      </c>
      <c r="E1245" s="39" t="s">
        <v>2695</v>
      </c>
      <c r="F1245" s="30" t="s">
        <v>33</v>
      </c>
      <c r="G1245" s="35">
        <v>0</v>
      </c>
      <c r="H1245" s="35" t="s">
        <v>2680</v>
      </c>
      <c r="I1245" s="35">
        <v>0</v>
      </c>
      <c r="J1245" s="35">
        <v>33</v>
      </c>
      <c r="K1245" s="35">
        <f>VALUE(COUNTIF(Validation!$A$2:$H$47,E1245))</f>
        <v>0</v>
      </c>
      <c r="L1245" s="361" t="str">
        <f t="shared" si="233"/>
        <v>PTO</v>
      </c>
      <c r="M1245" s="361">
        <f t="shared" si="234"/>
        <v>0</v>
      </c>
      <c r="N1245" s="358" t="s">
        <v>2694</v>
      </c>
      <c r="O1245" s="358">
        <v>0</v>
      </c>
      <c r="P1245" s="358">
        <v>0</v>
      </c>
      <c r="Q1245" s="358">
        <v>0</v>
      </c>
      <c r="R1245" s="358">
        <v>0</v>
      </c>
      <c r="S1245" s="358">
        <v>0</v>
      </c>
      <c r="T1245" s="358">
        <v>0</v>
      </c>
      <c r="U1245" s="35">
        <f t="shared" si="228"/>
        <v>0</v>
      </c>
      <c r="W1245">
        <f t="shared" si="235"/>
        <v>1</v>
      </c>
      <c r="X1245" s="35">
        <f t="shared" si="229"/>
        <v>0</v>
      </c>
      <c r="Y1245">
        <f t="shared" si="230"/>
        <v>0</v>
      </c>
      <c r="AB1245">
        <f t="shared" si="238"/>
        <v>1</v>
      </c>
      <c r="AC1245">
        <f t="shared" ca="1" si="239"/>
        <v>0</v>
      </c>
      <c r="AD1245" t="str">
        <f ca="1">IF(AC1245=1,COUNTIF($AC$3:AC1245,1),"")</f>
        <v/>
      </c>
      <c r="AE1245" s="155" t="str">
        <f ca="1">IFERROR(INDEX(Données!$B$3:$B$1479,MATCH(ROWS($AD$3:AD1245),$AD$3:$AD$1479,0)),"")</f>
        <v/>
      </c>
    </row>
    <row r="1246" spans="1:31" ht="15.75" x14ac:dyDescent="0.25">
      <c r="A1246" t="str">
        <f t="shared" si="236"/>
        <v>Auston Matthews - TOR - C</v>
      </c>
      <c r="B1246" t="str">
        <f t="shared" si="237"/>
        <v>Auston Matthews - TOR - C</v>
      </c>
      <c r="C1246" t="str">
        <f t="shared" si="231"/>
        <v>Auston</v>
      </c>
      <c r="D1246" t="str">
        <f t="shared" si="232"/>
        <v>Matthews</v>
      </c>
      <c r="E1246" s="39" t="s">
        <v>1590</v>
      </c>
      <c r="F1246" s="30" t="s">
        <v>33</v>
      </c>
      <c r="G1246" s="35">
        <v>0</v>
      </c>
      <c r="H1246" s="35" t="s">
        <v>73</v>
      </c>
      <c r="I1246" s="35" t="s">
        <v>2677</v>
      </c>
      <c r="J1246" s="35">
        <v>21</v>
      </c>
      <c r="K1246" s="35">
        <f>VALUE(COUNTIF(Validation!$A$2:$H$47,E1246))</f>
        <v>0</v>
      </c>
      <c r="L1246" s="361">
        <f t="shared" si="233"/>
        <v>11634000</v>
      </c>
      <c r="M1246" s="361">
        <f t="shared" si="234"/>
        <v>11634000</v>
      </c>
      <c r="N1246" s="358">
        <v>11634000</v>
      </c>
      <c r="O1246" s="358">
        <v>11634000</v>
      </c>
      <c r="P1246" s="358">
        <v>11634000</v>
      </c>
      <c r="Q1246" s="358">
        <v>11634000</v>
      </c>
      <c r="R1246" s="358">
        <v>11634000</v>
      </c>
      <c r="S1246" s="358" t="s">
        <v>7</v>
      </c>
      <c r="T1246" s="358">
        <v>0</v>
      </c>
      <c r="U1246" s="35">
        <f t="shared" si="228"/>
        <v>5</v>
      </c>
      <c r="W1246">
        <f t="shared" si="235"/>
        <v>1</v>
      </c>
      <c r="X1246" s="35">
        <f t="shared" si="229"/>
        <v>0</v>
      </c>
      <c r="Y1246">
        <f t="shared" si="230"/>
        <v>1</v>
      </c>
      <c r="AB1246">
        <f t="shared" si="238"/>
        <v>1</v>
      </c>
      <c r="AC1246">
        <f t="shared" ca="1" si="239"/>
        <v>0</v>
      </c>
      <c r="AD1246" t="str">
        <f ca="1">IF(AC1246=1,COUNTIF($AC$3:AC1246,1),"")</f>
        <v/>
      </c>
      <c r="AE1246" s="155" t="str">
        <f ca="1">IFERROR(INDEX(Données!$B$3:$B$1479,MATCH(ROWS($AD$3:AD1246),$AD$3:$AD$1479,0)),"")</f>
        <v/>
      </c>
    </row>
    <row r="1247" spans="1:31" ht="15.75" x14ac:dyDescent="0.25">
      <c r="A1247" t="str">
        <f t="shared" si="236"/>
        <v>John Tavares - TOR - C</v>
      </c>
      <c r="B1247" t="str">
        <f t="shared" si="237"/>
        <v>John Tavares - TOR - C</v>
      </c>
      <c r="C1247" t="str">
        <f t="shared" si="231"/>
        <v>John</v>
      </c>
      <c r="D1247" t="str">
        <f t="shared" si="232"/>
        <v>Tavares</v>
      </c>
      <c r="E1247" s="39" t="s">
        <v>3009</v>
      </c>
      <c r="F1247" s="30" t="s">
        <v>33</v>
      </c>
      <c r="G1247" s="35" t="s">
        <v>420</v>
      </c>
      <c r="H1247" s="35" t="s">
        <v>73</v>
      </c>
      <c r="I1247" s="35" t="s">
        <v>2677</v>
      </c>
      <c r="J1247" s="35">
        <v>28</v>
      </c>
      <c r="K1247" s="35">
        <f>VALUE(COUNTIF(Validation!$A$2:$H$47,E1247))</f>
        <v>0</v>
      </c>
      <c r="L1247" s="361">
        <f t="shared" si="233"/>
        <v>11000000</v>
      </c>
      <c r="M1247" s="361">
        <f t="shared" si="234"/>
        <v>11000000</v>
      </c>
      <c r="N1247" s="358">
        <v>11000000</v>
      </c>
      <c r="O1247" s="358">
        <v>11000000</v>
      </c>
      <c r="P1247" s="358">
        <v>11000000</v>
      </c>
      <c r="Q1247" s="358">
        <v>11000000</v>
      </c>
      <c r="R1247" s="358">
        <v>11000000</v>
      </c>
      <c r="S1247" s="358">
        <v>11000000</v>
      </c>
      <c r="T1247" s="358" t="s">
        <v>7</v>
      </c>
      <c r="U1247" s="35">
        <f t="shared" si="228"/>
        <v>6</v>
      </c>
      <c r="W1247">
        <f t="shared" si="235"/>
        <v>1</v>
      </c>
      <c r="X1247" s="35">
        <f t="shared" si="229"/>
        <v>0</v>
      </c>
      <c r="Y1247">
        <f t="shared" si="230"/>
        <v>1</v>
      </c>
      <c r="AB1247">
        <f t="shared" si="238"/>
        <v>1</v>
      </c>
      <c r="AC1247">
        <f t="shared" ca="1" si="239"/>
        <v>0</v>
      </c>
      <c r="AD1247" t="str">
        <f ca="1">IF(AC1247=1,COUNTIF($AC$3:AC1247,1),"")</f>
        <v/>
      </c>
      <c r="AE1247" s="155" t="str">
        <f ca="1">IFERROR(INDEX(Données!$B$3:$B$1479,MATCH(ROWS($AD$3:AD1247),$AD$3:$AD$1479,0)),"")</f>
        <v/>
      </c>
    </row>
    <row r="1248" spans="1:31" ht="15.75" x14ac:dyDescent="0.25">
      <c r="A1248" t="str">
        <f t="shared" si="236"/>
        <v>William Nylander - TOR - RW, C</v>
      </c>
      <c r="B1248" t="str">
        <f t="shared" si="237"/>
        <v>William Nylander - TOR - RW, C</v>
      </c>
      <c r="C1248" t="str">
        <f t="shared" si="231"/>
        <v>William</v>
      </c>
      <c r="D1248" t="str">
        <f t="shared" si="232"/>
        <v>Nylander</v>
      </c>
      <c r="E1248" s="39" t="s">
        <v>1595</v>
      </c>
      <c r="F1248" s="30" t="s">
        <v>33</v>
      </c>
      <c r="G1248" s="35">
        <v>0</v>
      </c>
      <c r="H1248" s="35" t="s">
        <v>2678</v>
      </c>
      <c r="I1248" s="35" t="s">
        <v>2677</v>
      </c>
      <c r="J1248" s="35">
        <v>23</v>
      </c>
      <c r="K1248" s="35">
        <f>VALUE(COUNTIF(Validation!$A$2:$H$47,E1248))</f>
        <v>0</v>
      </c>
      <c r="L1248" s="361">
        <f t="shared" si="233"/>
        <v>6962366</v>
      </c>
      <c r="M1248" s="361">
        <f t="shared" si="234"/>
        <v>6962366</v>
      </c>
      <c r="N1248" s="358">
        <v>6962366</v>
      </c>
      <c r="O1248" s="358">
        <v>6962366</v>
      </c>
      <c r="P1248" s="358">
        <v>6962366</v>
      </c>
      <c r="Q1248" s="358">
        <v>6962366</v>
      </c>
      <c r="R1248" s="358">
        <v>6962366</v>
      </c>
      <c r="S1248" s="358" t="s">
        <v>7</v>
      </c>
      <c r="T1248" s="358">
        <v>0</v>
      </c>
      <c r="U1248" s="35">
        <f t="shared" si="228"/>
        <v>5</v>
      </c>
      <c r="W1248">
        <f t="shared" si="235"/>
        <v>1</v>
      </c>
      <c r="X1248" s="35">
        <f t="shared" si="229"/>
        <v>0</v>
      </c>
      <c r="Y1248">
        <f t="shared" si="230"/>
        <v>1</v>
      </c>
      <c r="AB1248">
        <f t="shared" si="238"/>
        <v>1</v>
      </c>
      <c r="AC1248">
        <f t="shared" ca="1" si="239"/>
        <v>0</v>
      </c>
      <c r="AD1248" t="str">
        <f ca="1">IF(AC1248=1,COUNTIF($AC$3:AC1248,1),"")</f>
        <v/>
      </c>
      <c r="AE1248" s="155" t="str">
        <f ca="1">IFERROR(INDEX(Données!$B$3:$B$1479,MATCH(ROWS($AD$3:AD1248),$AD$3:$AD$1479,0)),"")</f>
        <v/>
      </c>
    </row>
    <row r="1249" spans="1:31" ht="15.75" x14ac:dyDescent="0.25">
      <c r="A1249" t="str">
        <f t="shared" si="236"/>
        <v>Nathan Horton - TOR - RW</v>
      </c>
      <c r="B1249" t="str">
        <f t="shared" si="237"/>
        <v>Nathan Horton - TOR - RW</v>
      </c>
      <c r="C1249" t="str">
        <f t="shared" si="231"/>
        <v>Nathan</v>
      </c>
      <c r="D1249" t="str">
        <f t="shared" si="232"/>
        <v>Horton</v>
      </c>
      <c r="E1249" s="39" t="s">
        <v>2687</v>
      </c>
      <c r="F1249" s="30" t="s">
        <v>33</v>
      </c>
      <c r="G1249" s="35" t="s">
        <v>370</v>
      </c>
      <c r="H1249" s="35" t="s">
        <v>88</v>
      </c>
      <c r="I1249" s="35" t="s">
        <v>374</v>
      </c>
      <c r="J1249" s="35">
        <v>34</v>
      </c>
      <c r="K1249" s="35">
        <f>VALUE(COUNTIF(Validation!$A$2:$H$47,E1249))</f>
        <v>0</v>
      </c>
      <c r="L1249" s="361">
        <f t="shared" si="233"/>
        <v>5300000</v>
      </c>
      <c r="M1249" s="361">
        <f t="shared" si="234"/>
        <v>0</v>
      </c>
      <c r="N1249" s="358">
        <v>5300000</v>
      </c>
      <c r="O1249" s="358" t="s">
        <v>7</v>
      </c>
      <c r="P1249" s="358">
        <v>0</v>
      </c>
      <c r="Q1249" s="358">
        <v>0</v>
      </c>
      <c r="R1249" s="358">
        <v>0</v>
      </c>
      <c r="S1249" s="358">
        <v>0</v>
      </c>
      <c r="T1249" s="358">
        <v>0</v>
      </c>
      <c r="U1249" s="35">
        <f t="shared" si="228"/>
        <v>1</v>
      </c>
      <c r="W1249">
        <f t="shared" si="235"/>
        <v>1</v>
      </c>
      <c r="X1249" s="35">
        <f t="shared" si="229"/>
        <v>0</v>
      </c>
      <c r="Y1249">
        <f t="shared" si="230"/>
        <v>0</v>
      </c>
      <c r="AB1249">
        <f t="shared" si="238"/>
        <v>1</v>
      </c>
      <c r="AC1249">
        <f t="shared" ca="1" si="239"/>
        <v>0</v>
      </c>
      <c r="AD1249" t="str">
        <f ca="1">IF(AC1249=1,COUNTIF($AC$3:AC1249,1),"")</f>
        <v/>
      </c>
      <c r="AE1249" s="155" t="str">
        <f ca="1">IFERROR(INDEX(Données!$B$3:$B$1479,MATCH(ROWS($AD$3:AD1249),$AD$3:$AD$1479,0)),"")</f>
        <v/>
      </c>
    </row>
    <row r="1250" spans="1:31" ht="15.75" x14ac:dyDescent="0.25">
      <c r="A1250" t="str">
        <f t="shared" si="236"/>
        <v>David Clarkson - TOR - RW</v>
      </c>
      <c r="B1250" t="str">
        <f t="shared" si="237"/>
        <v>David Clarkson - TOR - RW</v>
      </c>
      <c r="C1250" t="str">
        <f t="shared" si="231"/>
        <v>David</v>
      </c>
      <c r="D1250" t="str">
        <f t="shared" si="232"/>
        <v>Clarkson</v>
      </c>
      <c r="E1250" s="39" t="s">
        <v>2366</v>
      </c>
      <c r="F1250" s="30" t="s">
        <v>33</v>
      </c>
      <c r="G1250" s="35" t="s">
        <v>370</v>
      </c>
      <c r="H1250" s="35" t="s">
        <v>88</v>
      </c>
      <c r="I1250" s="35" t="s">
        <v>374</v>
      </c>
      <c r="J1250" s="35">
        <v>35</v>
      </c>
      <c r="K1250" s="35">
        <f>VALUE(COUNTIF(Validation!$A$2:$H$47,E1250))</f>
        <v>0</v>
      </c>
      <c r="L1250" s="361">
        <f t="shared" si="233"/>
        <v>5250000</v>
      </c>
      <c r="M1250" s="361">
        <f t="shared" si="234"/>
        <v>0</v>
      </c>
      <c r="N1250" s="358">
        <v>5250000</v>
      </c>
      <c r="O1250" s="358" t="s">
        <v>7</v>
      </c>
      <c r="P1250" s="358">
        <v>0</v>
      </c>
      <c r="Q1250" s="358">
        <v>0</v>
      </c>
      <c r="R1250" s="358">
        <v>0</v>
      </c>
      <c r="S1250" s="358">
        <v>0</v>
      </c>
      <c r="T1250" s="358">
        <v>0</v>
      </c>
      <c r="U1250" s="35">
        <f t="shared" si="228"/>
        <v>1</v>
      </c>
      <c r="W1250">
        <f t="shared" si="235"/>
        <v>1</v>
      </c>
      <c r="X1250" s="35">
        <f t="shared" si="229"/>
        <v>0</v>
      </c>
      <c r="Y1250">
        <f t="shared" si="230"/>
        <v>0</v>
      </c>
      <c r="AB1250">
        <f t="shared" si="238"/>
        <v>1</v>
      </c>
      <c r="AC1250">
        <f t="shared" ca="1" si="239"/>
        <v>0</v>
      </c>
      <c r="AD1250" t="str">
        <f ca="1">IF(AC1250=1,COUNTIF($AC$3:AC1250,1),"")</f>
        <v/>
      </c>
      <c r="AE1250" s="155" t="str">
        <f ca="1">IFERROR(INDEX(Données!$B$3:$B$1479,MATCH(ROWS($AD$3:AD1250),$AD$3:$AD$1479,0)),"")</f>
        <v/>
      </c>
    </row>
    <row r="1251" spans="1:31" ht="15.75" x14ac:dyDescent="0.25">
      <c r="A1251" t="str">
        <f t="shared" si="236"/>
        <v>Frederik Andersen - TOR - G</v>
      </c>
      <c r="B1251" t="str">
        <f t="shared" si="237"/>
        <v>Frederik Andersen - TOR - G</v>
      </c>
      <c r="C1251" t="str">
        <f t="shared" si="231"/>
        <v>Frederik</v>
      </c>
      <c r="D1251" t="str">
        <f t="shared" si="232"/>
        <v>Andersen</v>
      </c>
      <c r="E1251" s="39" t="s">
        <v>1601</v>
      </c>
      <c r="F1251" s="30" t="s">
        <v>33</v>
      </c>
      <c r="G1251" s="35" t="s">
        <v>381</v>
      </c>
      <c r="H1251" s="35" t="s">
        <v>127</v>
      </c>
      <c r="I1251" s="35" t="s">
        <v>2677</v>
      </c>
      <c r="J1251" s="35">
        <v>29</v>
      </c>
      <c r="K1251" s="35">
        <f>VALUE(COUNTIF(Validation!$A$2:$H$47,E1251))</f>
        <v>0</v>
      </c>
      <c r="L1251" s="361">
        <f t="shared" si="233"/>
        <v>5000000</v>
      </c>
      <c r="M1251" s="361">
        <f t="shared" si="234"/>
        <v>5000000</v>
      </c>
      <c r="N1251" s="358">
        <v>5000000</v>
      </c>
      <c r="O1251" s="358">
        <v>5000000</v>
      </c>
      <c r="P1251" s="358" t="s">
        <v>7</v>
      </c>
      <c r="Q1251" s="358">
        <v>0</v>
      </c>
      <c r="R1251" s="358">
        <v>0</v>
      </c>
      <c r="S1251" s="358">
        <v>0</v>
      </c>
      <c r="T1251" s="358">
        <v>0</v>
      </c>
      <c r="U1251" s="35">
        <f t="shared" si="228"/>
        <v>2</v>
      </c>
      <c r="W1251">
        <f t="shared" si="235"/>
        <v>1</v>
      </c>
      <c r="X1251" s="35">
        <f t="shared" si="229"/>
        <v>0</v>
      </c>
      <c r="Y1251">
        <f t="shared" si="230"/>
        <v>1</v>
      </c>
      <c r="AB1251">
        <f t="shared" si="238"/>
        <v>1</v>
      </c>
      <c r="AC1251">
        <f t="shared" ca="1" si="239"/>
        <v>0</v>
      </c>
      <c r="AD1251" t="str">
        <f ca="1">IF(AC1251=1,COUNTIF($AC$3:AC1251,1),"")</f>
        <v/>
      </c>
      <c r="AE1251" s="155" t="str">
        <f ca="1">IFERROR(INDEX(Données!$B$3:$B$1479,MATCH(ROWS($AD$3:AD1251),$AD$3:$AD$1479,0)),"")</f>
        <v/>
      </c>
    </row>
    <row r="1252" spans="1:31" ht="15.75" x14ac:dyDescent="0.25">
      <c r="A1252" t="str">
        <f t="shared" si="236"/>
        <v>Morgan Rielly - TOR - LD</v>
      </c>
      <c r="B1252" t="str">
        <f t="shared" si="237"/>
        <v>Morgan Rielly - TOR - LD</v>
      </c>
      <c r="C1252" t="str">
        <f t="shared" si="231"/>
        <v>Morgan</v>
      </c>
      <c r="D1252" t="str">
        <f t="shared" si="232"/>
        <v>Rielly</v>
      </c>
      <c r="E1252" s="39" t="s">
        <v>2996</v>
      </c>
      <c r="F1252" s="30" t="s">
        <v>33</v>
      </c>
      <c r="G1252" s="35">
        <v>0</v>
      </c>
      <c r="H1252" s="35" t="s">
        <v>380</v>
      </c>
      <c r="I1252" s="35" t="s">
        <v>2677</v>
      </c>
      <c r="J1252" s="35">
        <v>25</v>
      </c>
      <c r="K1252" s="35">
        <f>VALUE(COUNTIF(Validation!$A$2:$H$47,E1252))</f>
        <v>0</v>
      </c>
      <c r="L1252" s="361">
        <f t="shared" si="233"/>
        <v>5000000</v>
      </c>
      <c r="M1252" s="361">
        <f t="shared" si="234"/>
        <v>5000000</v>
      </c>
      <c r="N1252" s="358">
        <v>5000000</v>
      </c>
      <c r="O1252" s="358">
        <v>5000000</v>
      </c>
      <c r="P1252" s="358">
        <v>5000000</v>
      </c>
      <c r="Q1252" s="358" t="s">
        <v>7</v>
      </c>
      <c r="R1252" s="358">
        <v>0</v>
      </c>
      <c r="S1252" s="358">
        <v>0</v>
      </c>
      <c r="T1252" s="358">
        <v>0</v>
      </c>
      <c r="U1252" s="35">
        <f t="shared" si="228"/>
        <v>3</v>
      </c>
      <c r="W1252">
        <f t="shared" si="235"/>
        <v>1</v>
      </c>
      <c r="X1252" s="35">
        <f t="shared" si="229"/>
        <v>0</v>
      </c>
      <c r="Y1252">
        <f t="shared" si="230"/>
        <v>1</v>
      </c>
      <c r="AB1252">
        <f t="shared" si="238"/>
        <v>1</v>
      </c>
      <c r="AC1252">
        <f t="shared" ca="1" si="239"/>
        <v>0</v>
      </c>
      <c r="AD1252" t="str">
        <f ca="1">IF(AC1252=1,COUNTIF($AC$3:AC1252,1),"")</f>
        <v/>
      </c>
      <c r="AE1252" s="155" t="str">
        <f ca="1">IFERROR(INDEX(Données!$B$3:$B$1479,MATCH(ROWS($AD$3:AD1252),$AD$3:$AD$1479,0)),"")</f>
        <v/>
      </c>
    </row>
    <row r="1253" spans="1:31" ht="15.75" x14ac:dyDescent="0.25">
      <c r="A1253" t="str">
        <f t="shared" si="236"/>
        <v>Cody Ceci - TOR - RD</v>
      </c>
      <c r="B1253" t="str">
        <f t="shared" si="237"/>
        <v>Cody Ceci - TOR - RD</v>
      </c>
      <c r="C1253" t="str">
        <f t="shared" si="231"/>
        <v>Cody</v>
      </c>
      <c r="D1253" t="str">
        <f t="shared" si="232"/>
        <v>Ceci</v>
      </c>
      <c r="E1253" s="39" t="s">
        <v>1524</v>
      </c>
      <c r="F1253" s="30" t="s">
        <v>33</v>
      </c>
      <c r="G1253" s="35">
        <v>0</v>
      </c>
      <c r="H1253" s="35" t="s">
        <v>379</v>
      </c>
      <c r="I1253" s="35" t="s">
        <v>2677</v>
      </c>
      <c r="J1253" s="35">
        <v>25</v>
      </c>
      <c r="K1253" s="35">
        <f>VALUE(COUNTIF(Validation!$A$2:$H$47,E1253))</f>
        <v>0</v>
      </c>
      <c r="L1253" s="361">
        <f t="shared" si="233"/>
        <v>4500000</v>
      </c>
      <c r="M1253" s="361">
        <f t="shared" si="234"/>
        <v>0</v>
      </c>
      <c r="N1253" s="358">
        <v>4500000</v>
      </c>
      <c r="O1253" s="358" t="s">
        <v>7</v>
      </c>
      <c r="P1253" s="358">
        <v>0</v>
      </c>
      <c r="Q1253" s="358">
        <v>0</v>
      </c>
      <c r="R1253" s="358">
        <v>0</v>
      </c>
      <c r="S1253" s="358">
        <v>0</v>
      </c>
      <c r="T1253" s="358">
        <v>0</v>
      </c>
      <c r="U1253" s="35">
        <f t="shared" si="228"/>
        <v>1</v>
      </c>
      <c r="W1253">
        <f t="shared" si="235"/>
        <v>1</v>
      </c>
      <c r="X1253" s="35">
        <f t="shared" si="229"/>
        <v>0</v>
      </c>
      <c r="Y1253">
        <f t="shared" si="230"/>
        <v>0</v>
      </c>
      <c r="AB1253">
        <f t="shared" si="238"/>
        <v>1</v>
      </c>
      <c r="AC1253">
        <f t="shared" ca="1" si="239"/>
        <v>0</v>
      </c>
      <c r="AD1253" t="str">
        <f ca="1">IF(AC1253=1,COUNTIF($AC$3:AC1253,1),"")</f>
        <v/>
      </c>
      <c r="AE1253" s="155" t="str">
        <f ca="1">IFERROR(INDEX(Données!$B$3:$B$1479,MATCH(ROWS($AD$3:AD1253),$AD$3:$AD$1479,0)),"")</f>
        <v/>
      </c>
    </row>
    <row r="1254" spans="1:31" ht="15.75" x14ac:dyDescent="0.25">
      <c r="A1254" t="str">
        <f t="shared" si="236"/>
        <v>Jake Muzzin - TOR - LD</v>
      </c>
      <c r="B1254" t="str">
        <f t="shared" si="237"/>
        <v>Jake Muzzin - TOR - LD</v>
      </c>
      <c r="C1254" t="str">
        <f t="shared" si="231"/>
        <v>Jake</v>
      </c>
      <c r="D1254" t="str">
        <f t="shared" si="232"/>
        <v>Muzzin</v>
      </c>
      <c r="E1254" s="39" t="s">
        <v>2264</v>
      </c>
      <c r="F1254" s="30" t="s">
        <v>33</v>
      </c>
      <c r="G1254" s="35">
        <v>0</v>
      </c>
      <c r="H1254" s="9" t="s">
        <v>380</v>
      </c>
      <c r="I1254" s="9" t="s">
        <v>2677</v>
      </c>
      <c r="J1254" s="9">
        <v>30</v>
      </c>
      <c r="K1254" s="35">
        <f>VALUE(COUNTIF(Validation!$A$2:$H$47,E1254))</f>
        <v>0</v>
      </c>
      <c r="L1254" s="361">
        <f t="shared" si="233"/>
        <v>4000000</v>
      </c>
      <c r="M1254" s="361">
        <f t="shared" si="234"/>
        <v>0</v>
      </c>
      <c r="N1254" s="358">
        <v>4000000</v>
      </c>
      <c r="O1254" s="358" t="s">
        <v>7</v>
      </c>
      <c r="P1254" s="358">
        <v>0</v>
      </c>
      <c r="Q1254" s="358">
        <v>0</v>
      </c>
      <c r="R1254" s="358">
        <v>0</v>
      </c>
      <c r="S1254" s="358">
        <v>0</v>
      </c>
      <c r="T1254" s="358">
        <v>0</v>
      </c>
      <c r="U1254" s="35">
        <f t="shared" si="228"/>
        <v>1</v>
      </c>
      <c r="W1254">
        <f t="shared" si="235"/>
        <v>1</v>
      </c>
      <c r="X1254" s="35">
        <f t="shared" si="229"/>
        <v>0</v>
      </c>
      <c r="Y1254">
        <f t="shared" si="230"/>
        <v>0</v>
      </c>
      <c r="AB1254">
        <f t="shared" si="238"/>
        <v>1</v>
      </c>
      <c r="AC1254">
        <f t="shared" ca="1" si="239"/>
        <v>0</v>
      </c>
      <c r="AD1254" t="str">
        <f ca="1">IF(AC1254=1,COUNTIF($AC$3:AC1254,1),"")</f>
        <v/>
      </c>
      <c r="AE1254" s="155" t="str">
        <f ca="1">IFERROR(INDEX(Données!$B$3:$B$1479,MATCH(ROWS($AD$3:AD1254),$AD$3:$AD$1479,0)),"")</f>
        <v/>
      </c>
    </row>
    <row r="1255" spans="1:31" ht="15.75" x14ac:dyDescent="0.25">
      <c r="A1255" t="str">
        <f t="shared" si="236"/>
        <v>Alexander Kerfoot - TOR - C, LW</v>
      </c>
      <c r="B1255" t="str">
        <f t="shared" si="237"/>
        <v>Alexander Kerfoot - TOR - C, LW</v>
      </c>
      <c r="C1255" t="str">
        <f t="shared" si="231"/>
        <v>Alexander</v>
      </c>
      <c r="D1255" t="str">
        <f t="shared" si="232"/>
        <v>Kerfoot</v>
      </c>
      <c r="E1255" s="39" t="s">
        <v>1920</v>
      </c>
      <c r="F1255" s="30" t="s">
        <v>33</v>
      </c>
      <c r="G1255" s="35">
        <v>0</v>
      </c>
      <c r="H1255" s="35" t="s">
        <v>2679</v>
      </c>
      <c r="I1255" s="35" t="s">
        <v>2677</v>
      </c>
      <c r="J1255" s="35">
        <v>25</v>
      </c>
      <c r="K1255" s="35">
        <f>VALUE(COUNTIF(Validation!$A$2:$H$47,E1255))</f>
        <v>0</v>
      </c>
      <c r="L1255" s="361">
        <f t="shared" si="233"/>
        <v>3500000</v>
      </c>
      <c r="M1255" s="361">
        <f t="shared" si="234"/>
        <v>3500000</v>
      </c>
      <c r="N1255" s="358">
        <v>3500000</v>
      </c>
      <c r="O1255" s="358">
        <v>3500000</v>
      </c>
      <c r="P1255" s="358">
        <v>3500000</v>
      </c>
      <c r="Q1255" s="358">
        <v>3500000</v>
      </c>
      <c r="R1255" s="358" t="s">
        <v>7</v>
      </c>
      <c r="S1255" s="358">
        <v>0</v>
      </c>
      <c r="T1255" s="358">
        <v>0</v>
      </c>
      <c r="U1255" s="35">
        <f t="shared" si="228"/>
        <v>4</v>
      </c>
      <c r="W1255">
        <f t="shared" si="235"/>
        <v>1</v>
      </c>
      <c r="X1255" s="35">
        <f t="shared" si="229"/>
        <v>0</v>
      </c>
      <c r="Y1255">
        <f t="shared" si="230"/>
        <v>1</v>
      </c>
      <c r="AB1255">
        <f t="shared" si="238"/>
        <v>1</v>
      </c>
      <c r="AC1255">
        <f t="shared" ca="1" si="239"/>
        <v>0</v>
      </c>
      <c r="AD1255" t="str">
        <f ca="1">IF(AC1255=1,COUNTIF($AC$3:AC1255,1),"")</f>
        <v/>
      </c>
      <c r="AE1255" s="155" t="str">
        <f ca="1">IFERROR(INDEX(Données!$B$3:$B$1479,MATCH(ROWS($AD$3:AD1255),$AD$3:$AD$1479,0)),"")</f>
        <v/>
      </c>
    </row>
    <row r="1256" spans="1:31" ht="15.75" x14ac:dyDescent="0.25">
      <c r="A1256" t="str">
        <f t="shared" si="236"/>
        <v>Andreas Johnsson - TOR - LW</v>
      </c>
      <c r="B1256" t="str">
        <f t="shared" si="237"/>
        <v>Andreas Johnsson - TOR - LW</v>
      </c>
      <c r="C1256" t="str">
        <f t="shared" si="231"/>
        <v>Andreas</v>
      </c>
      <c r="D1256" t="str">
        <f t="shared" si="232"/>
        <v>Johnsson</v>
      </c>
      <c r="E1256" s="39" t="s">
        <v>1593</v>
      </c>
      <c r="F1256" s="30" t="s">
        <v>33</v>
      </c>
      <c r="G1256" s="35">
        <v>0</v>
      </c>
      <c r="H1256" s="35" t="s">
        <v>93</v>
      </c>
      <c r="I1256" s="35" t="s">
        <v>2677</v>
      </c>
      <c r="J1256" s="35">
        <v>24</v>
      </c>
      <c r="K1256" s="35">
        <f>VALUE(COUNTIF(Validation!$A$2:$H$47,E1256))</f>
        <v>0</v>
      </c>
      <c r="L1256" s="361">
        <f t="shared" si="233"/>
        <v>3400000</v>
      </c>
      <c r="M1256" s="361">
        <f t="shared" si="234"/>
        <v>3400000</v>
      </c>
      <c r="N1256" s="358">
        <v>3400000</v>
      </c>
      <c r="O1256" s="358">
        <v>3400000</v>
      </c>
      <c r="P1256" s="358">
        <v>3400000</v>
      </c>
      <c r="Q1256" s="358">
        <v>3400000</v>
      </c>
      <c r="R1256" s="358" t="s">
        <v>7</v>
      </c>
      <c r="S1256" s="358">
        <v>0</v>
      </c>
      <c r="T1256" s="358">
        <v>0</v>
      </c>
      <c r="U1256" s="35">
        <f t="shared" si="228"/>
        <v>4</v>
      </c>
      <c r="W1256">
        <f t="shared" si="235"/>
        <v>1</v>
      </c>
      <c r="X1256" s="35">
        <f t="shared" si="229"/>
        <v>0</v>
      </c>
      <c r="Y1256">
        <f t="shared" si="230"/>
        <v>1</v>
      </c>
      <c r="AB1256">
        <f t="shared" si="238"/>
        <v>1</v>
      </c>
      <c r="AC1256">
        <f t="shared" ca="1" si="239"/>
        <v>0</v>
      </c>
      <c r="AD1256" t="str">
        <f ca="1">IF(AC1256=1,COUNTIF($AC$3:AC1256,1),"")</f>
        <v/>
      </c>
      <c r="AE1256" s="155" t="str">
        <f ca="1">IFERROR(INDEX(Données!$B$3:$B$1479,MATCH(ROWS($AD$3:AD1256),$AD$3:$AD$1479,0)),"")</f>
        <v/>
      </c>
    </row>
    <row r="1257" spans="1:31" ht="15.75" x14ac:dyDescent="0.25">
      <c r="A1257" t="str">
        <f t="shared" si="236"/>
        <v>Kasperi Kapanen - TOR - RW</v>
      </c>
      <c r="B1257" t="str">
        <f t="shared" si="237"/>
        <v>Kasperi Kapanen - TOR - RW</v>
      </c>
      <c r="C1257" t="str">
        <f t="shared" si="231"/>
        <v>Kasperi</v>
      </c>
      <c r="D1257" t="str">
        <f t="shared" si="232"/>
        <v>Kapanen</v>
      </c>
      <c r="E1257" s="39" t="s">
        <v>1592</v>
      </c>
      <c r="F1257" s="30" t="s">
        <v>33</v>
      </c>
      <c r="G1257" s="35">
        <v>0</v>
      </c>
      <c r="H1257" s="35" t="s">
        <v>88</v>
      </c>
      <c r="I1257" s="35" t="s">
        <v>2677</v>
      </c>
      <c r="J1257" s="35">
        <v>23</v>
      </c>
      <c r="K1257" s="35">
        <f>VALUE(COUNTIF(Validation!$A$2:$H$47,E1257))</f>
        <v>0</v>
      </c>
      <c r="L1257" s="361">
        <f t="shared" si="233"/>
        <v>3200000</v>
      </c>
      <c r="M1257" s="361">
        <f t="shared" si="234"/>
        <v>3200000</v>
      </c>
      <c r="N1257" s="358">
        <v>3200000</v>
      </c>
      <c r="O1257" s="358">
        <v>3200000</v>
      </c>
      <c r="P1257" s="358">
        <v>3200000</v>
      </c>
      <c r="Q1257" s="358" t="s">
        <v>8</v>
      </c>
      <c r="R1257" s="358">
        <v>0</v>
      </c>
      <c r="S1257" s="358">
        <v>0</v>
      </c>
      <c r="T1257" s="358">
        <v>0</v>
      </c>
      <c r="U1257" s="35">
        <f t="shared" si="228"/>
        <v>3</v>
      </c>
      <c r="W1257">
        <f t="shared" si="235"/>
        <v>1</v>
      </c>
      <c r="X1257" s="35">
        <f t="shared" si="229"/>
        <v>0</v>
      </c>
      <c r="Y1257">
        <f t="shared" si="230"/>
        <v>1</v>
      </c>
      <c r="AB1257">
        <f t="shared" si="238"/>
        <v>1</v>
      </c>
      <c r="AC1257">
        <f t="shared" ca="1" si="239"/>
        <v>0</v>
      </c>
      <c r="AD1257" t="str">
        <f ca="1">IF(AC1257=1,COUNTIF($AC$3:AC1257,1),"")</f>
        <v/>
      </c>
      <c r="AE1257" s="155" t="str">
        <f ca="1">IFERROR(INDEX(Données!$B$3:$B$1479,MATCH(ROWS($AD$3:AD1257),$AD$3:$AD$1479,0)),"")</f>
        <v/>
      </c>
    </row>
    <row r="1258" spans="1:31" ht="15.75" x14ac:dyDescent="0.25">
      <c r="A1258" t="str">
        <f t="shared" si="236"/>
        <v>Tyson Barrie - TOR - RD</v>
      </c>
      <c r="B1258" t="str">
        <f t="shared" si="237"/>
        <v>Tyson Barrie - TOR - RD</v>
      </c>
      <c r="C1258" t="str">
        <f t="shared" si="231"/>
        <v>Tyson</v>
      </c>
      <c r="D1258" t="str">
        <f t="shared" si="232"/>
        <v>Barrie</v>
      </c>
      <c r="E1258" s="39" t="s">
        <v>1924</v>
      </c>
      <c r="F1258" s="30" t="s">
        <v>33</v>
      </c>
      <c r="G1258" s="35" t="s">
        <v>2686</v>
      </c>
      <c r="H1258" s="35" t="s">
        <v>379</v>
      </c>
      <c r="I1258" s="35" t="s">
        <v>2677</v>
      </c>
      <c r="J1258" s="35">
        <v>28</v>
      </c>
      <c r="K1258" s="35">
        <f>VALUE(COUNTIF(Validation!$A$2:$H$47,E1258))</f>
        <v>0</v>
      </c>
      <c r="L1258" s="361">
        <f t="shared" si="233"/>
        <v>2750000</v>
      </c>
      <c r="M1258" s="361">
        <f t="shared" si="234"/>
        <v>0</v>
      </c>
      <c r="N1258" s="358">
        <v>2750000</v>
      </c>
      <c r="O1258" s="358" t="s">
        <v>7</v>
      </c>
      <c r="P1258" s="358">
        <v>0</v>
      </c>
      <c r="Q1258" s="358">
        <v>0</v>
      </c>
      <c r="R1258" s="358">
        <v>0</v>
      </c>
      <c r="S1258" s="358">
        <v>0</v>
      </c>
      <c r="T1258" s="358">
        <v>0</v>
      </c>
      <c r="U1258" s="35">
        <f t="shared" si="228"/>
        <v>1</v>
      </c>
      <c r="W1258">
        <f t="shared" si="235"/>
        <v>1</v>
      </c>
      <c r="X1258" s="35">
        <f t="shared" si="229"/>
        <v>0</v>
      </c>
      <c r="Y1258">
        <f t="shared" si="230"/>
        <v>0</v>
      </c>
      <c r="AB1258">
        <f t="shared" si="238"/>
        <v>1</v>
      </c>
      <c r="AC1258">
        <f t="shared" ca="1" si="239"/>
        <v>0</v>
      </c>
      <c r="AD1258" t="str">
        <f ca="1">IF(AC1258=1,COUNTIF($AC$3:AC1258,1),"")</f>
        <v/>
      </c>
      <c r="AE1258" s="155" t="str">
        <f ca="1">IFERROR(INDEX(Données!$B$3:$B$1479,MATCH(ROWS($AD$3:AD1258),$AD$3:$AD$1479,0)),"")</f>
        <v/>
      </c>
    </row>
    <row r="1259" spans="1:31" ht="15.75" x14ac:dyDescent="0.25">
      <c r="A1259" t="str">
        <f t="shared" si="236"/>
        <v>Zach Hyman - TOR - LW</v>
      </c>
      <c r="B1259" t="str">
        <f t="shared" si="237"/>
        <v>Zach Hyman - TOR - LW</v>
      </c>
      <c r="C1259" t="str">
        <f t="shared" si="231"/>
        <v>Zach</v>
      </c>
      <c r="D1259" t="str">
        <f t="shared" si="232"/>
        <v>Hyman</v>
      </c>
      <c r="E1259" s="39" t="s">
        <v>1587</v>
      </c>
      <c r="F1259" s="30" t="s">
        <v>33</v>
      </c>
      <c r="G1259" s="35" t="s">
        <v>381</v>
      </c>
      <c r="H1259" s="35" t="s">
        <v>93</v>
      </c>
      <c r="I1259" s="35" t="s">
        <v>374</v>
      </c>
      <c r="J1259" s="35">
        <v>27</v>
      </c>
      <c r="K1259" s="35">
        <f>VALUE(COUNTIF(Validation!$A$2:$H$47,E1259))</f>
        <v>0</v>
      </c>
      <c r="L1259" s="361">
        <f t="shared" si="233"/>
        <v>2250000</v>
      </c>
      <c r="M1259" s="361">
        <f t="shared" si="234"/>
        <v>2250000</v>
      </c>
      <c r="N1259" s="358">
        <v>2250000</v>
      </c>
      <c r="O1259" s="358">
        <v>2250000</v>
      </c>
      <c r="P1259" s="358" t="s">
        <v>7</v>
      </c>
      <c r="Q1259" s="358">
        <v>0</v>
      </c>
      <c r="R1259" s="358">
        <v>0</v>
      </c>
      <c r="S1259" s="358">
        <v>0</v>
      </c>
      <c r="T1259" s="358">
        <v>0</v>
      </c>
      <c r="U1259" s="35">
        <f t="shared" si="228"/>
        <v>2</v>
      </c>
      <c r="W1259">
        <f t="shared" si="235"/>
        <v>1</v>
      </c>
      <c r="X1259" s="35">
        <f t="shared" si="229"/>
        <v>0</v>
      </c>
      <c r="Y1259">
        <f t="shared" si="230"/>
        <v>1</v>
      </c>
      <c r="AB1259">
        <f t="shared" si="238"/>
        <v>1</v>
      </c>
      <c r="AC1259">
        <f t="shared" ca="1" si="239"/>
        <v>0</v>
      </c>
      <c r="AD1259" t="str">
        <f ca="1">IF(AC1259=1,COUNTIF($AC$3:AC1259,1),"")</f>
        <v/>
      </c>
      <c r="AE1259" s="155" t="str">
        <f ca="1">IFERROR(INDEX(Données!$B$3:$B$1479,MATCH(ROWS($AD$3:AD1259),$AD$3:$AD$1479,0)),"")</f>
        <v/>
      </c>
    </row>
    <row r="1260" spans="1:31" ht="15.75" x14ac:dyDescent="0.25">
      <c r="A1260" t="str">
        <f t="shared" si="236"/>
        <v>Timothy Liljegren - TOR - RD</v>
      </c>
      <c r="B1260" t="str">
        <f t="shared" si="237"/>
        <v>Timothy Liljegren - TOR - RD</v>
      </c>
      <c r="C1260" t="str">
        <f t="shared" si="231"/>
        <v>Timothy</v>
      </c>
      <c r="D1260" t="str">
        <f t="shared" si="232"/>
        <v>Liljegren</v>
      </c>
      <c r="E1260" s="39" t="s">
        <v>1608</v>
      </c>
      <c r="F1260" s="30" t="s">
        <v>33</v>
      </c>
      <c r="G1260" s="35" t="s">
        <v>386</v>
      </c>
      <c r="H1260" s="35" t="s">
        <v>379</v>
      </c>
      <c r="I1260" s="35" t="s">
        <v>2690</v>
      </c>
      <c r="J1260" s="35">
        <v>20</v>
      </c>
      <c r="K1260" s="35">
        <f>VALUE(COUNTIF(Validation!$A$2:$H$47,E1260))</f>
        <v>0</v>
      </c>
      <c r="L1260" s="361">
        <f t="shared" si="233"/>
        <v>1263333</v>
      </c>
      <c r="M1260" s="361">
        <f t="shared" si="234"/>
        <v>1263333</v>
      </c>
      <c r="N1260" s="358">
        <v>1263333</v>
      </c>
      <c r="O1260" s="358">
        <v>1263333</v>
      </c>
      <c r="P1260" s="358">
        <v>1263333</v>
      </c>
      <c r="Q1260" s="358" t="s">
        <v>8</v>
      </c>
      <c r="R1260" s="358">
        <v>0</v>
      </c>
      <c r="S1260" s="358">
        <v>0</v>
      </c>
      <c r="T1260" s="358">
        <v>0</v>
      </c>
      <c r="U1260" s="35">
        <f t="shared" si="228"/>
        <v>3</v>
      </c>
      <c r="W1260">
        <f t="shared" si="235"/>
        <v>1</v>
      </c>
      <c r="X1260" s="35">
        <f t="shared" si="229"/>
        <v>1</v>
      </c>
      <c r="Y1260">
        <f t="shared" si="230"/>
        <v>1</v>
      </c>
      <c r="AB1260">
        <f t="shared" si="238"/>
        <v>1</v>
      </c>
      <c r="AC1260">
        <f t="shared" ca="1" si="239"/>
        <v>0</v>
      </c>
      <c r="AD1260" t="str">
        <f ca="1">IF(AC1260=1,COUNTIF($AC$3:AC1260,1),"")</f>
        <v/>
      </c>
      <c r="AE1260" s="155" t="str">
        <f ca="1">IFERROR(INDEX(Données!$B$3:$B$1479,MATCH(ROWS($AD$3:AD1260),$AD$3:$AD$1479,0)),"")</f>
        <v/>
      </c>
    </row>
    <row r="1261" spans="1:31" ht="15.75" x14ac:dyDescent="0.25">
      <c r="A1261" t="str">
        <f t="shared" si="236"/>
        <v>Jeremy Bracco - TOR - RW</v>
      </c>
      <c r="B1261" t="str">
        <f t="shared" si="237"/>
        <v>Jeremy Bracco - TOR - RW</v>
      </c>
      <c r="C1261" t="str">
        <f t="shared" si="231"/>
        <v>Jeremy</v>
      </c>
      <c r="D1261" t="str">
        <f t="shared" si="232"/>
        <v>Bracco</v>
      </c>
      <c r="E1261" s="39" t="s">
        <v>1610</v>
      </c>
      <c r="F1261" s="30" t="s">
        <v>33</v>
      </c>
      <c r="G1261" s="35" t="s">
        <v>386</v>
      </c>
      <c r="H1261" s="35" t="s">
        <v>88</v>
      </c>
      <c r="I1261" s="35" t="s">
        <v>2690</v>
      </c>
      <c r="J1261" s="35">
        <v>22</v>
      </c>
      <c r="K1261" s="35">
        <f>VALUE(COUNTIF(Validation!$A$2:$H$47,E1261))</f>
        <v>0</v>
      </c>
      <c r="L1261" s="361">
        <f t="shared" si="233"/>
        <v>925000</v>
      </c>
      <c r="M1261" s="361">
        <f t="shared" si="234"/>
        <v>0</v>
      </c>
      <c r="N1261" s="358">
        <v>925000</v>
      </c>
      <c r="O1261" s="358" t="s">
        <v>8</v>
      </c>
      <c r="P1261" s="358">
        <v>0</v>
      </c>
      <c r="Q1261" s="358">
        <v>0</v>
      </c>
      <c r="R1261" s="358">
        <v>0</v>
      </c>
      <c r="S1261" s="358">
        <v>0</v>
      </c>
      <c r="T1261" s="358">
        <v>0</v>
      </c>
      <c r="U1261" s="35">
        <f t="shared" si="228"/>
        <v>1</v>
      </c>
      <c r="W1261">
        <f t="shared" si="235"/>
        <v>1</v>
      </c>
      <c r="X1261" s="35">
        <f t="shared" si="229"/>
        <v>1</v>
      </c>
      <c r="Y1261">
        <f t="shared" si="230"/>
        <v>0</v>
      </c>
      <c r="AB1261">
        <f t="shared" si="238"/>
        <v>1</v>
      </c>
      <c r="AC1261">
        <f t="shared" ca="1" si="239"/>
        <v>0</v>
      </c>
      <c r="AD1261" t="str">
        <f ca="1">IF(AC1261=1,COUNTIF($AC$3:AC1261,1),"")</f>
        <v/>
      </c>
      <c r="AE1261" s="155" t="str">
        <f ca="1">IFERROR(INDEX(Données!$B$3:$B$1479,MATCH(ROWS($AD$3:AD1261),$AD$3:$AD$1479,0)),"")</f>
        <v/>
      </c>
    </row>
    <row r="1262" spans="1:31" ht="15.75" x14ac:dyDescent="0.25">
      <c r="A1262" t="str">
        <f t="shared" si="236"/>
        <v>Adam Brooks - TOR - C</v>
      </c>
      <c r="B1262" t="str">
        <f t="shared" si="237"/>
        <v>Adam Brooks - TOR - C</v>
      </c>
      <c r="C1262" t="str">
        <f t="shared" si="231"/>
        <v>Adam</v>
      </c>
      <c r="D1262" t="str">
        <f t="shared" si="232"/>
        <v>Brooks</v>
      </c>
      <c r="E1262" s="39" t="s">
        <v>1615</v>
      </c>
      <c r="F1262" s="30" t="s">
        <v>33</v>
      </c>
      <c r="G1262" s="35" t="s">
        <v>386</v>
      </c>
      <c r="H1262" s="35" t="s">
        <v>73</v>
      </c>
      <c r="I1262" s="35" t="s">
        <v>2690</v>
      </c>
      <c r="J1262" s="35">
        <v>23</v>
      </c>
      <c r="K1262" s="35">
        <f>VALUE(COUNTIF(Validation!$A$2:$H$47,E1262))</f>
        <v>0</v>
      </c>
      <c r="L1262" s="361">
        <f t="shared" si="233"/>
        <v>925000</v>
      </c>
      <c r="M1262" s="361">
        <f t="shared" si="234"/>
        <v>0</v>
      </c>
      <c r="N1262" s="358">
        <v>925000</v>
      </c>
      <c r="O1262" s="358" t="s">
        <v>8</v>
      </c>
      <c r="P1262" s="358">
        <v>0</v>
      </c>
      <c r="Q1262" s="358">
        <v>0</v>
      </c>
      <c r="R1262" s="358">
        <v>0</v>
      </c>
      <c r="S1262" s="358">
        <v>0</v>
      </c>
      <c r="T1262" s="358">
        <v>0</v>
      </c>
      <c r="U1262" s="35">
        <f t="shared" si="228"/>
        <v>1</v>
      </c>
      <c r="W1262">
        <f t="shared" si="235"/>
        <v>1</v>
      </c>
      <c r="X1262" s="35">
        <f t="shared" si="229"/>
        <v>1</v>
      </c>
      <c r="Y1262">
        <f t="shared" si="230"/>
        <v>0</v>
      </c>
      <c r="AB1262">
        <f t="shared" si="238"/>
        <v>1</v>
      </c>
      <c r="AC1262">
        <f t="shared" ca="1" si="239"/>
        <v>0</v>
      </c>
      <c r="AD1262" t="str">
        <f ca="1">IF(AC1262=1,COUNTIF($AC$3:AC1262,1),"")</f>
        <v/>
      </c>
      <c r="AE1262" s="155" t="str">
        <f ca="1">IFERROR(INDEX(Données!$B$3:$B$1479,MATCH(ROWS($AD$3:AD1262),$AD$3:$AD$1479,0)),"")</f>
        <v/>
      </c>
    </row>
    <row r="1263" spans="1:31" ht="15.75" x14ac:dyDescent="0.25">
      <c r="A1263" t="str">
        <f t="shared" si="236"/>
        <v>Pierre Engvall - TOR - LW, RW</v>
      </c>
      <c r="B1263" t="str">
        <f t="shared" si="237"/>
        <v>Pierre Engvall - TOR - LW, RW</v>
      </c>
      <c r="C1263" t="str">
        <f t="shared" si="231"/>
        <v>Pierre</v>
      </c>
      <c r="D1263" t="str">
        <f t="shared" si="232"/>
        <v>Engvall</v>
      </c>
      <c r="E1263" s="39" t="s">
        <v>1606</v>
      </c>
      <c r="F1263" s="30" t="s">
        <v>33</v>
      </c>
      <c r="G1263" s="35" t="s">
        <v>386</v>
      </c>
      <c r="H1263" s="9" t="s">
        <v>2689</v>
      </c>
      <c r="I1263" s="9" t="s">
        <v>2690</v>
      </c>
      <c r="J1263" s="9">
        <v>23</v>
      </c>
      <c r="K1263" s="35">
        <f>VALUE(COUNTIF(Validation!$A$2:$H$47,E1263))</f>
        <v>0</v>
      </c>
      <c r="L1263" s="361">
        <f t="shared" si="233"/>
        <v>925000</v>
      </c>
      <c r="M1263" s="361">
        <f t="shared" si="234"/>
        <v>0</v>
      </c>
      <c r="N1263" s="358">
        <v>925000</v>
      </c>
      <c r="O1263" s="358" t="s">
        <v>8</v>
      </c>
      <c r="P1263" s="358">
        <v>0</v>
      </c>
      <c r="Q1263" s="358">
        <v>0</v>
      </c>
      <c r="R1263" s="358">
        <v>0</v>
      </c>
      <c r="S1263" s="358">
        <v>0</v>
      </c>
      <c r="T1263" s="358">
        <v>0</v>
      </c>
      <c r="U1263" s="35">
        <f t="shared" si="228"/>
        <v>1</v>
      </c>
      <c r="W1263">
        <f t="shared" si="235"/>
        <v>1</v>
      </c>
      <c r="X1263" s="35">
        <f t="shared" si="229"/>
        <v>1</v>
      </c>
      <c r="Y1263">
        <f t="shared" si="230"/>
        <v>0</v>
      </c>
      <c r="AB1263">
        <f t="shared" si="238"/>
        <v>1</v>
      </c>
      <c r="AC1263">
        <f t="shared" ca="1" si="239"/>
        <v>0</v>
      </c>
      <c r="AD1263" t="str">
        <f ca="1">IF(AC1263=1,COUNTIF($AC$3:AC1263,1),"")</f>
        <v/>
      </c>
      <c r="AE1263" s="155" t="str">
        <f ca="1">IFERROR(INDEX(Données!$B$3:$B$1479,MATCH(ROWS($AD$3:AD1263),$AD$3:$AD$1479,0)),"")</f>
        <v/>
      </c>
    </row>
    <row r="1264" spans="1:31" ht="15.75" x14ac:dyDescent="0.25">
      <c r="A1264" t="str">
        <f t="shared" si="236"/>
        <v>Teemu Kivihalme - TOR - LD</v>
      </c>
      <c r="B1264" t="str">
        <f t="shared" si="237"/>
        <v>Teemu Kivihalme - TOR - LD</v>
      </c>
      <c r="C1264" t="str">
        <f t="shared" si="231"/>
        <v>Teemu</v>
      </c>
      <c r="D1264" t="str">
        <f t="shared" si="232"/>
        <v>Kivihalme</v>
      </c>
      <c r="E1264" s="39" t="s">
        <v>2600</v>
      </c>
      <c r="F1264" s="30" t="s">
        <v>33</v>
      </c>
      <c r="G1264" s="35" t="s">
        <v>386</v>
      </c>
      <c r="H1264" s="35" t="s">
        <v>380</v>
      </c>
      <c r="I1264" s="35" t="s">
        <v>2690</v>
      </c>
      <c r="J1264" s="35">
        <v>24</v>
      </c>
      <c r="K1264" s="35">
        <f>VALUE(COUNTIF(Validation!$A$2:$H$47,E1264))</f>
        <v>0</v>
      </c>
      <c r="L1264" s="361">
        <f t="shared" si="233"/>
        <v>925000</v>
      </c>
      <c r="M1264" s="361">
        <f t="shared" si="234"/>
        <v>0</v>
      </c>
      <c r="N1264" s="358">
        <v>925000</v>
      </c>
      <c r="O1264" s="358" t="s">
        <v>8</v>
      </c>
      <c r="P1264" s="358">
        <v>0</v>
      </c>
      <c r="Q1264" s="358">
        <v>0</v>
      </c>
      <c r="R1264" s="358">
        <v>0</v>
      </c>
      <c r="S1264" s="358">
        <v>0</v>
      </c>
      <c r="T1264" s="358">
        <v>0</v>
      </c>
      <c r="U1264" s="35">
        <f t="shared" si="228"/>
        <v>1</v>
      </c>
      <c r="W1264">
        <f t="shared" si="235"/>
        <v>1</v>
      </c>
      <c r="X1264" s="35">
        <f t="shared" si="229"/>
        <v>1</v>
      </c>
      <c r="Y1264">
        <f t="shared" si="230"/>
        <v>0</v>
      </c>
      <c r="AB1264">
        <f t="shared" si="238"/>
        <v>1</v>
      </c>
      <c r="AC1264">
        <f t="shared" ca="1" si="239"/>
        <v>0</v>
      </c>
      <c r="AD1264" t="str">
        <f ca="1">IF(AC1264=1,COUNTIF($AC$3:AC1264,1),"")</f>
        <v/>
      </c>
      <c r="AE1264" s="155" t="str">
        <f ca="1">IFERROR(INDEX(Données!$B$3:$B$1479,MATCH(ROWS($AD$3:AD1264),$AD$3:$AD$1479,0)),"")</f>
        <v/>
      </c>
    </row>
    <row r="1265" spans="1:31" ht="15.75" x14ac:dyDescent="0.25">
      <c r="A1265" t="str">
        <f t="shared" si="236"/>
        <v>Yegor Korshkov - TOR - RW</v>
      </c>
      <c r="B1265" t="str">
        <f t="shared" si="237"/>
        <v>Yegor Korshkov - TOR - RW</v>
      </c>
      <c r="C1265" t="str">
        <f t="shared" si="231"/>
        <v>Yegor</v>
      </c>
      <c r="D1265" t="str">
        <f t="shared" si="232"/>
        <v>Korshkov</v>
      </c>
      <c r="E1265" s="39" t="s">
        <v>2596</v>
      </c>
      <c r="F1265" s="30" t="s">
        <v>33</v>
      </c>
      <c r="G1265" s="35" t="s">
        <v>386</v>
      </c>
      <c r="H1265" s="35" t="s">
        <v>88</v>
      </c>
      <c r="I1265" s="35" t="s">
        <v>2690</v>
      </c>
      <c r="J1265" s="35">
        <v>23</v>
      </c>
      <c r="K1265" s="35">
        <f>VALUE(COUNTIF(Validation!$A$2:$H$47,E1265))</f>
        <v>0</v>
      </c>
      <c r="L1265" s="361">
        <f t="shared" si="233"/>
        <v>925000</v>
      </c>
      <c r="M1265" s="361">
        <f t="shared" si="234"/>
        <v>925000</v>
      </c>
      <c r="N1265" s="358">
        <v>925000</v>
      </c>
      <c r="O1265" s="358">
        <v>925000</v>
      </c>
      <c r="P1265" s="358" t="s">
        <v>8</v>
      </c>
      <c r="Q1265" s="358">
        <v>0</v>
      </c>
      <c r="R1265" s="358">
        <v>0</v>
      </c>
      <c r="S1265" s="358">
        <v>0</v>
      </c>
      <c r="T1265" s="358">
        <v>0</v>
      </c>
      <c r="U1265" s="35">
        <f t="shared" si="228"/>
        <v>2</v>
      </c>
      <c r="W1265">
        <f t="shared" si="235"/>
        <v>1</v>
      </c>
      <c r="X1265" s="35">
        <f t="shared" si="229"/>
        <v>1</v>
      </c>
      <c r="Y1265">
        <f t="shared" si="230"/>
        <v>1</v>
      </c>
      <c r="AB1265">
        <f t="shared" si="238"/>
        <v>1</v>
      </c>
      <c r="AC1265">
        <f t="shared" ca="1" si="239"/>
        <v>0</v>
      </c>
      <c r="AD1265" t="str">
        <f ca="1">IF(AC1265=1,COUNTIF($AC$3:AC1265,1),"")</f>
        <v/>
      </c>
      <c r="AE1265" s="155" t="str">
        <f ca="1">IFERROR(INDEX(Données!$B$3:$B$1479,MATCH(ROWS($AD$3:AD1265),$AD$3:$AD$1479,0)),"")</f>
        <v/>
      </c>
    </row>
    <row r="1266" spans="1:31" ht="15.75" x14ac:dyDescent="0.25">
      <c r="A1266" t="str">
        <f t="shared" si="236"/>
        <v>Jesper Lindgren - TOR - D</v>
      </c>
      <c r="B1266" t="str">
        <f t="shared" si="237"/>
        <v>Jesper Lindgren - TOR - D</v>
      </c>
      <c r="C1266" t="str">
        <f t="shared" si="231"/>
        <v>Jesper</v>
      </c>
      <c r="D1266" t="str">
        <f t="shared" si="232"/>
        <v>Lindgren</v>
      </c>
      <c r="E1266" s="39" t="s">
        <v>1613</v>
      </c>
      <c r="F1266" s="30" t="s">
        <v>33</v>
      </c>
      <c r="G1266" s="35" t="s">
        <v>386</v>
      </c>
      <c r="H1266" s="35" t="s">
        <v>82</v>
      </c>
      <c r="I1266" s="35" t="s">
        <v>2690</v>
      </c>
      <c r="J1266" s="35">
        <v>22</v>
      </c>
      <c r="K1266" s="35">
        <f>VALUE(COUNTIF(Validation!$A$2:$H$47,E1266))</f>
        <v>0</v>
      </c>
      <c r="L1266" s="361">
        <f t="shared" si="233"/>
        <v>925000</v>
      </c>
      <c r="M1266" s="361">
        <f t="shared" si="234"/>
        <v>925000</v>
      </c>
      <c r="N1266" s="358">
        <v>925000</v>
      </c>
      <c r="O1266" s="358">
        <v>925000</v>
      </c>
      <c r="P1266" s="358" t="s">
        <v>8</v>
      </c>
      <c r="Q1266" s="358">
        <v>0</v>
      </c>
      <c r="R1266" s="358">
        <v>0</v>
      </c>
      <c r="S1266" s="358">
        <v>0</v>
      </c>
      <c r="T1266" s="358">
        <v>0</v>
      </c>
      <c r="U1266" s="35">
        <f t="shared" si="228"/>
        <v>2</v>
      </c>
      <c r="W1266">
        <f t="shared" si="235"/>
        <v>1</v>
      </c>
      <c r="X1266" s="35">
        <f t="shared" si="229"/>
        <v>1</v>
      </c>
      <c r="Y1266">
        <f t="shared" si="230"/>
        <v>1</v>
      </c>
      <c r="AB1266">
        <f t="shared" si="238"/>
        <v>1</v>
      </c>
      <c r="AC1266">
        <f t="shared" ca="1" si="239"/>
        <v>0</v>
      </c>
      <c r="AD1266" t="str">
        <f ca="1">IF(AC1266=1,COUNTIF($AC$3:AC1266,1),"")</f>
        <v/>
      </c>
      <c r="AE1266" s="155" t="str">
        <f ca="1">IFERROR(INDEX(Données!$B$3:$B$1479,MATCH(ROWS($AD$3:AD1266),$AD$3:$AD$1479,0)),"")</f>
        <v/>
      </c>
    </row>
    <row r="1267" spans="1:31" ht="15.75" x14ac:dyDescent="0.25">
      <c r="A1267" t="str">
        <f t="shared" si="236"/>
        <v>Aaron Luchuk - TOR - C</v>
      </c>
      <c r="B1267" t="str">
        <f t="shared" si="237"/>
        <v>Aaron Luchuk - TOR - C</v>
      </c>
      <c r="C1267" t="str">
        <f t="shared" si="231"/>
        <v>Aaron</v>
      </c>
      <c r="D1267" t="str">
        <f t="shared" si="232"/>
        <v>Luchuk</v>
      </c>
      <c r="E1267" s="39" t="s">
        <v>1536</v>
      </c>
      <c r="F1267" s="30" t="s">
        <v>33</v>
      </c>
      <c r="G1267" s="35" t="s">
        <v>386</v>
      </c>
      <c r="H1267" s="35" t="s">
        <v>73</v>
      </c>
      <c r="I1267" s="35" t="s">
        <v>2690</v>
      </c>
      <c r="J1267" s="35">
        <v>22</v>
      </c>
      <c r="K1267" s="35">
        <f>VALUE(COUNTIF(Validation!$A$2:$H$47,E1267))</f>
        <v>0</v>
      </c>
      <c r="L1267" s="361">
        <f t="shared" si="233"/>
        <v>925000</v>
      </c>
      <c r="M1267" s="361">
        <f t="shared" si="234"/>
        <v>0</v>
      </c>
      <c r="N1267" s="358">
        <v>925000</v>
      </c>
      <c r="O1267" s="358" t="s">
        <v>8</v>
      </c>
      <c r="P1267" s="358">
        <v>0</v>
      </c>
      <c r="Q1267" s="358">
        <v>0</v>
      </c>
      <c r="R1267" s="358">
        <v>0</v>
      </c>
      <c r="S1267" s="358">
        <v>0</v>
      </c>
      <c r="T1267" s="358">
        <v>0</v>
      </c>
      <c r="U1267" s="35">
        <f t="shared" si="228"/>
        <v>1</v>
      </c>
      <c r="W1267">
        <f t="shared" si="235"/>
        <v>1</v>
      </c>
      <c r="X1267" s="35">
        <f t="shared" si="229"/>
        <v>1</v>
      </c>
      <c r="Y1267">
        <f t="shared" si="230"/>
        <v>0</v>
      </c>
      <c r="AB1267">
        <f t="shared" si="238"/>
        <v>1</v>
      </c>
      <c r="AC1267">
        <f t="shared" ca="1" si="239"/>
        <v>0</v>
      </c>
      <c r="AD1267" t="str">
        <f ca="1">IF(AC1267=1,COUNTIF($AC$3:AC1267,1),"")</f>
        <v/>
      </c>
      <c r="AE1267" s="155" t="str">
        <f ca="1">IFERROR(INDEX(Données!$B$3:$B$1479,MATCH(ROWS($AD$3:AD1267),$AD$3:$AD$1479,0)),"")</f>
        <v/>
      </c>
    </row>
    <row r="1268" spans="1:31" ht="15.75" x14ac:dyDescent="0.25">
      <c r="A1268" t="str">
        <f t="shared" si="236"/>
        <v>Mason Marchment - TOR - LW</v>
      </c>
      <c r="B1268" t="str">
        <f t="shared" si="237"/>
        <v>Mason Marchment - TOR - LW</v>
      </c>
      <c r="C1268" t="str">
        <f t="shared" si="231"/>
        <v>Mason</v>
      </c>
      <c r="D1268" t="str">
        <f t="shared" si="232"/>
        <v>Marchment</v>
      </c>
      <c r="E1268" s="39" t="s">
        <v>1614</v>
      </c>
      <c r="F1268" s="30" t="s">
        <v>33</v>
      </c>
      <c r="G1268" s="35" t="s">
        <v>386</v>
      </c>
      <c r="H1268" s="35" t="s">
        <v>93</v>
      </c>
      <c r="I1268" s="35" t="s">
        <v>2690</v>
      </c>
      <c r="J1268" s="35">
        <v>24</v>
      </c>
      <c r="K1268" s="35">
        <f>VALUE(COUNTIF(Validation!$A$2:$H$47,E1268))</f>
        <v>0</v>
      </c>
      <c r="L1268" s="361">
        <f t="shared" si="233"/>
        <v>925000</v>
      </c>
      <c r="M1268" s="361">
        <f t="shared" si="234"/>
        <v>0</v>
      </c>
      <c r="N1268" s="358">
        <v>925000</v>
      </c>
      <c r="O1268" s="358" t="s">
        <v>8</v>
      </c>
      <c r="P1268" s="358">
        <v>0</v>
      </c>
      <c r="Q1268" s="358">
        <v>0</v>
      </c>
      <c r="R1268" s="358">
        <v>0</v>
      </c>
      <c r="S1268" s="358">
        <v>0</v>
      </c>
      <c r="T1268" s="358">
        <v>0</v>
      </c>
      <c r="U1268" s="35">
        <f t="shared" si="228"/>
        <v>1</v>
      </c>
      <c r="W1268">
        <f t="shared" si="235"/>
        <v>1</v>
      </c>
      <c r="X1268" s="35">
        <f t="shared" si="229"/>
        <v>1</v>
      </c>
      <c r="Y1268">
        <f t="shared" si="230"/>
        <v>0</v>
      </c>
      <c r="AB1268">
        <f t="shared" si="238"/>
        <v>1</v>
      </c>
      <c r="AC1268">
        <f t="shared" ca="1" si="239"/>
        <v>0</v>
      </c>
      <c r="AD1268" t="str">
        <f ca="1">IF(AC1268=1,COUNTIF($AC$3:AC1268,1),"")</f>
        <v/>
      </c>
      <c r="AE1268" s="155" t="str">
        <f ca="1">IFERROR(INDEX(Données!$B$3:$B$1479,MATCH(ROWS($AD$3:AD1268),$AD$3:$AD$1479,0)),"")</f>
        <v/>
      </c>
    </row>
    <row r="1269" spans="1:31" ht="15.75" x14ac:dyDescent="0.25">
      <c r="A1269" t="str">
        <f t="shared" si="236"/>
        <v>Ilya Mikheyev - TOR - LW, RW</v>
      </c>
      <c r="B1269" t="str">
        <f t="shared" si="237"/>
        <v>Ilya Mikheyev - TOR - LW, RW</v>
      </c>
      <c r="C1269" t="str">
        <f t="shared" si="231"/>
        <v>Ilya</v>
      </c>
      <c r="D1269" t="str">
        <f t="shared" si="232"/>
        <v>Mikheyev</v>
      </c>
      <c r="E1269" s="39" t="s">
        <v>2595</v>
      </c>
      <c r="F1269" s="30" t="s">
        <v>33</v>
      </c>
      <c r="G1269" s="35" t="s">
        <v>386</v>
      </c>
      <c r="H1269" s="9" t="s">
        <v>2689</v>
      </c>
      <c r="I1269" s="9" t="s">
        <v>2690</v>
      </c>
      <c r="J1269" s="9">
        <v>24</v>
      </c>
      <c r="K1269" s="35">
        <f>VALUE(COUNTIF(Validation!$A$2:$H$47,E1269))</f>
        <v>0</v>
      </c>
      <c r="L1269" s="361">
        <f t="shared" si="233"/>
        <v>925000</v>
      </c>
      <c r="M1269" s="361">
        <f t="shared" si="234"/>
        <v>0</v>
      </c>
      <c r="N1269" s="358">
        <v>925000</v>
      </c>
      <c r="O1269" s="358" t="s">
        <v>8</v>
      </c>
      <c r="P1269" s="358">
        <v>0</v>
      </c>
      <c r="Q1269" s="358">
        <v>0</v>
      </c>
      <c r="R1269" s="358">
        <v>0</v>
      </c>
      <c r="S1269" s="358">
        <v>0</v>
      </c>
      <c r="T1269" s="358">
        <v>0</v>
      </c>
      <c r="U1269" s="35">
        <f t="shared" si="228"/>
        <v>1</v>
      </c>
      <c r="W1269">
        <f t="shared" si="235"/>
        <v>1</v>
      </c>
      <c r="X1269" s="35">
        <f t="shared" si="229"/>
        <v>1</v>
      </c>
      <c r="Y1269">
        <f t="shared" si="230"/>
        <v>0</v>
      </c>
      <c r="AB1269">
        <f t="shared" si="238"/>
        <v>1</v>
      </c>
      <c r="AC1269">
        <f t="shared" ca="1" si="239"/>
        <v>0</v>
      </c>
      <c r="AD1269" t="str">
        <f ca="1">IF(AC1269=1,COUNTIF($AC$3:AC1269,1),"")</f>
        <v/>
      </c>
      <c r="AE1269" s="155" t="str">
        <f ca="1">IFERROR(INDEX(Données!$B$3:$B$1479,MATCH(ROWS($AD$3:AD1269),$AD$3:$AD$1479,0)),"")</f>
        <v/>
      </c>
    </row>
    <row r="1270" spans="1:31" ht="15.75" x14ac:dyDescent="0.25">
      <c r="A1270" t="str">
        <f t="shared" si="236"/>
        <v>Ian Scott - TOR - G</v>
      </c>
      <c r="B1270" t="str">
        <f t="shared" si="237"/>
        <v>Ian Scott - TOR - G</v>
      </c>
      <c r="C1270" t="str">
        <f t="shared" si="231"/>
        <v>Ian</v>
      </c>
      <c r="D1270" t="str">
        <f t="shared" si="232"/>
        <v>Scott</v>
      </c>
      <c r="E1270" s="39" t="s">
        <v>2601</v>
      </c>
      <c r="F1270" s="30" t="s">
        <v>33</v>
      </c>
      <c r="G1270" s="35" t="s">
        <v>386</v>
      </c>
      <c r="H1270" s="35" t="s">
        <v>127</v>
      </c>
      <c r="I1270" s="35" t="s">
        <v>2690</v>
      </c>
      <c r="J1270" s="35">
        <v>20</v>
      </c>
      <c r="K1270" s="35">
        <f>VALUE(COUNTIF(Validation!$A$2:$H$47,E1270))</f>
        <v>0</v>
      </c>
      <c r="L1270" s="361">
        <f t="shared" si="233"/>
        <v>910833</v>
      </c>
      <c r="M1270" s="361">
        <f t="shared" si="234"/>
        <v>910833</v>
      </c>
      <c r="N1270" s="358">
        <v>910833</v>
      </c>
      <c r="O1270" s="358">
        <v>910833</v>
      </c>
      <c r="P1270" s="358">
        <v>910833</v>
      </c>
      <c r="Q1270" s="358" t="s">
        <v>8</v>
      </c>
      <c r="R1270" s="358">
        <v>0</v>
      </c>
      <c r="S1270" s="358">
        <v>0</v>
      </c>
      <c r="T1270" s="358">
        <v>0</v>
      </c>
      <c r="U1270" s="35">
        <f t="shared" si="228"/>
        <v>3</v>
      </c>
      <c r="W1270">
        <f t="shared" si="235"/>
        <v>1</v>
      </c>
      <c r="X1270" s="35">
        <f t="shared" si="229"/>
        <v>1</v>
      </c>
      <c r="Y1270">
        <f t="shared" si="230"/>
        <v>1</v>
      </c>
      <c r="AB1270">
        <f t="shared" si="238"/>
        <v>1</v>
      </c>
      <c r="AC1270">
        <f t="shared" ca="1" si="239"/>
        <v>0</v>
      </c>
      <c r="AD1270" t="str">
        <f ca="1">IF(AC1270=1,COUNTIF($AC$3:AC1270,1),"")</f>
        <v/>
      </c>
      <c r="AE1270" s="155" t="str">
        <f ca="1">IFERROR(INDEX(Données!$B$3:$B$1479,MATCH(ROWS($AD$3:AD1270),$AD$3:$AD$1479,0)),"")</f>
        <v/>
      </c>
    </row>
    <row r="1271" spans="1:31" ht="15.75" x14ac:dyDescent="0.25">
      <c r="A1271" t="str">
        <f t="shared" si="236"/>
        <v>Rasmus Sandin - TOR - LD</v>
      </c>
      <c r="B1271" t="str">
        <f t="shared" si="237"/>
        <v>Rasmus Sandin - TOR - LD</v>
      </c>
      <c r="C1271" t="str">
        <f t="shared" si="231"/>
        <v>Rasmus</v>
      </c>
      <c r="D1271" t="str">
        <f t="shared" si="232"/>
        <v>Sandin</v>
      </c>
      <c r="E1271" s="39" t="s">
        <v>1607</v>
      </c>
      <c r="F1271" s="30" t="s">
        <v>33</v>
      </c>
      <c r="G1271" s="35" t="s">
        <v>386</v>
      </c>
      <c r="H1271" s="35" t="s">
        <v>380</v>
      </c>
      <c r="I1271" s="35" t="s">
        <v>2690</v>
      </c>
      <c r="J1271" s="35">
        <v>19</v>
      </c>
      <c r="K1271" s="35">
        <f>VALUE(COUNTIF(Validation!$A$2:$H$47,E1271))</f>
        <v>0</v>
      </c>
      <c r="L1271" s="361">
        <f t="shared" si="233"/>
        <v>894167</v>
      </c>
      <c r="M1271" s="361">
        <f t="shared" si="234"/>
        <v>894167</v>
      </c>
      <c r="N1271" s="358">
        <v>894167</v>
      </c>
      <c r="O1271" s="358">
        <v>894167</v>
      </c>
      <c r="P1271" s="358">
        <v>894167</v>
      </c>
      <c r="Q1271" s="358" t="s">
        <v>8</v>
      </c>
      <c r="R1271" s="358">
        <v>0</v>
      </c>
      <c r="S1271" s="358">
        <v>0</v>
      </c>
      <c r="T1271" s="358">
        <v>0</v>
      </c>
      <c r="U1271" s="35">
        <f t="shared" si="228"/>
        <v>3</v>
      </c>
      <c r="W1271">
        <f t="shared" si="235"/>
        <v>1</v>
      </c>
      <c r="X1271" s="35">
        <f t="shared" si="229"/>
        <v>1</v>
      </c>
      <c r="Y1271">
        <f t="shared" si="230"/>
        <v>1</v>
      </c>
      <c r="AB1271">
        <f t="shared" si="238"/>
        <v>1</v>
      </c>
      <c r="AC1271">
        <f t="shared" ca="1" si="239"/>
        <v>0</v>
      </c>
      <c r="AD1271" t="str">
        <f ca="1">IF(AC1271=1,COUNTIF($AC$3:AC1271,1),"")</f>
        <v/>
      </c>
      <c r="AE1271" s="155" t="str">
        <f ca="1">IFERROR(INDEX(Données!$B$3:$B$1479,MATCH(ROWS($AD$3:AD1271),$AD$3:$AD$1479,0)),"")</f>
        <v/>
      </c>
    </row>
    <row r="1272" spans="1:31" ht="15.75" x14ac:dyDescent="0.25">
      <c r="A1272" t="str">
        <f t="shared" si="236"/>
        <v>Travis Dermott - TOR - LD</v>
      </c>
      <c r="B1272" t="str">
        <f t="shared" si="237"/>
        <v>Travis Dermott - TOR - LD</v>
      </c>
      <c r="C1272" t="str">
        <f t="shared" si="231"/>
        <v>Travis</v>
      </c>
      <c r="D1272" t="str">
        <f t="shared" si="232"/>
        <v>Dermott</v>
      </c>
      <c r="E1272" s="39" t="s">
        <v>1599</v>
      </c>
      <c r="F1272" s="30" t="s">
        <v>33</v>
      </c>
      <c r="G1272" s="35" t="s">
        <v>403</v>
      </c>
      <c r="H1272" s="35" t="s">
        <v>380</v>
      </c>
      <c r="I1272" s="35" t="s">
        <v>374</v>
      </c>
      <c r="J1272" s="35">
        <v>22</v>
      </c>
      <c r="K1272" s="35">
        <f>VALUE(COUNTIF(Validation!$A$2:$H$47,E1272))</f>
        <v>0</v>
      </c>
      <c r="L1272" s="361">
        <f t="shared" si="233"/>
        <v>863333</v>
      </c>
      <c r="M1272" s="361">
        <f t="shared" si="234"/>
        <v>0</v>
      </c>
      <c r="N1272" s="358">
        <v>863333</v>
      </c>
      <c r="O1272" s="358" t="s">
        <v>8</v>
      </c>
      <c r="P1272" s="358">
        <v>0</v>
      </c>
      <c r="Q1272" s="358">
        <v>0</v>
      </c>
      <c r="R1272" s="358">
        <v>0</v>
      </c>
      <c r="S1272" s="358">
        <v>0</v>
      </c>
      <c r="T1272" s="358">
        <v>0</v>
      </c>
      <c r="U1272" s="35">
        <f t="shared" si="228"/>
        <v>1</v>
      </c>
      <c r="W1272">
        <f t="shared" si="235"/>
        <v>1</v>
      </c>
      <c r="X1272" s="35">
        <f t="shared" si="229"/>
        <v>1</v>
      </c>
      <c r="Y1272">
        <f t="shared" si="230"/>
        <v>0</v>
      </c>
      <c r="AB1272">
        <f t="shared" si="238"/>
        <v>1</v>
      </c>
      <c r="AC1272">
        <f t="shared" ca="1" si="239"/>
        <v>0</v>
      </c>
      <c r="AD1272" t="str">
        <f ca="1">IF(AC1272=1,COUNTIF($AC$3:AC1272,1),"")</f>
        <v/>
      </c>
      <c r="AE1272" s="155" t="str">
        <f ca="1">IFERROR(INDEX(Données!$B$3:$B$1479,MATCH(ROWS($AD$3:AD1272),$AD$3:$AD$1479,0)),"")</f>
        <v/>
      </c>
    </row>
    <row r="1273" spans="1:31" ht="15.75" x14ac:dyDescent="0.25">
      <c r="A1273" t="str">
        <f t="shared" si="236"/>
        <v>Dmytro Timashov - TOR - LW</v>
      </c>
      <c r="B1273" t="str">
        <f t="shared" si="237"/>
        <v>Dmytro Timashov - TOR - LW</v>
      </c>
      <c r="C1273" t="str">
        <f t="shared" si="231"/>
        <v>Dmytro</v>
      </c>
      <c r="D1273" t="str">
        <f t="shared" si="232"/>
        <v>Timashov</v>
      </c>
      <c r="E1273" s="39" t="s">
        <v>1617</v>
      </c>
      <c r="F1273" s="30" t="s">
        <v>33</v>
      </c>
      <c r="G1273" s="35" t="s">
        <v>403</v>
      </c>
      <c r="H1273" s="35" t="s">
        <v>93</v>
      </c>
      <c r="I1273" s="35" t="s">
        <v>2690</v>
      </c>
      <c r="J1273" s="35">
        <v>22</v>
      </c>
      <c r="K1273" s="35">
        <f>VALUE(COUNTIF(Validation!$A$2:$H$47,E1273))</f>
        <v>0</v>
      </c>
      <c r="L1273" s="361">
        <f t="shared" si="233"/>
        <v>836111</v>
      </c>
      <c r="M1273" s="361">
        <f t="shared" si="234"/>
        <v>0</v>
      </c>
      <c r="N1273" s="358">
        <v>836111</v>
      </c>
      <c r="O1273" s="358" t="s">
        <v>8</v>
      </c>
      <c r="P1273" s="358">
        <v>0</v>
      </c>
      <c r="Q1273" s="358">
        <v>0</v>
      </c>
      <c r="R1273" s="358">
        <v>0</v>
      </c>
      <c r="S1273" s="358">
        <v>0</v>
      </c>
      <c r="T1273" s="358">
        <v>0</v>
      </c>
      <c r="U1273" s="35">
        <f t="shared" si="228"/>
        <v>1</v>
      </c>
      <c r="W1273">
        <f t="shared" si="235"/>
        <v>1</v>
      </c>
      <c r="X1273" s="35">
        <f t="shared" si="229"/>
        <v>1</v>
      </c>
      <c r="Y1273">
        <f t="shared" si="230"/>
        <v>0</v>
      </c>
      <c r="AB1273">
        <f t="shared" si="238"/>
        <v>1</v>
      </c>
      <c r="AC1273">
        <f t="shared" ca="1" si="239"/>
        <v>0</v>
      </c>
      <c r="AD1273" t="str">
        <f ca="1">IF(AC1273=1,COUNTIF($AC$3:AC1273,1),"")</f>
        <v/>
      </c>
      <c r="AE1273" s="155" t="str">
        <f ca="1">IFERROR(INDEX(Données!$B$3:$B$1479,MATCH(ROWS($AD$3:AD1273),$AD$3:$AD$1479,0)),"")</f>
        <v/>
      </c>
    </row>
    <row r="1274" spans="1:31" ht="15.75" x14ac:dyDescent="0.25">
      <c r="A1274" t="str">
        <f t="shared" si="236"/>
        <v>Joseph Duszak - TOR - RD</v>
      </c>
      <c r="B1274" t="str">
        <f t="shared" si="237"/>
        <v>Joseph Duszak - TOR - RD</v>
      </c>
      <c r="C1274" t="str">
        <f t="shared" si="231"/>
        <v>Joseph</v>
      </c>
      <c r="D1274" t="str">
        <f t="shared" si="232"/>
        <v>Duszak</v>
      </c>
      <c r="E1274" s="39" t="s">
        <v>2598</v>
      </c>
      <c r="F1274" s="30" t="s">
        <v>33</v>
      </c>
      <c r="G1274" s="35" t="s">
        <v>386</v>
      </c>
      <c r="H1274" s="35" t="s">
        <v>379</v>
      </c>
      <c r="I1274" s="35" t="s">
        <v>2690</v>
      </c>
      <c r="J1274" s="35">
        <v>22</v>
      </c>
      <c r="K1274" s="35">
        <f>VALUE(COUNTIF(Validation!$A$2:$H$47,E1274))</f>
        <v>0</v>
      </c>
      <c r="L1274" s="361">
        <f t="shared" si="233"/>
        <v>800000</v>
      </c>
      <c r="M1274" s="361">
        <f t="shared" si="234"/>
        <v>800000</v>
      </c>
      <c r="N1274" s="358">
        <v>800000</v>
      </c>
      <c r="O1274" s="358">
        <v>800000</v>
      </c>
      <c r="P1274" s="358" t="s">
        <v>8</v>
      </c>
      <c r="Q1274" s="358">
        <v>0</v>
      </c>
      <c r="R1274" s="358">
        <v>0</v>
      </c>
      <c r="S1274" s="358">
        <v>0</v>
      </c>
      <c r="T1274" s="358">
        <v>0</v>
      </c>
      <c r="U1274" s="35">
        <f t="shared" si="228"/>
        <v>2</v>
      </c>
      <c r="W1274">
        <f t="shared" si="235"/>
        <v>1</v>
      </c>
      <c r="X1274" s="35">
        <f t="shared" si="229"/>
        <v>1</v>
      </c>
      <c r="Y1274">
        <f t="shared" si="230"/>
        <v>1</v>
      </c>
      <c r="AB1274">
        <f t="shared" si="238"/>
        <v>1</v>
      </c>
      <c r="AC1274">
        <f t="shared" ca="1" si="239"/>
        <v>0</v>
      </c>
      <c r="AD1274" t="str">
        <f ca="1">IF(AC1274=1,COUNTIF($AC$3:AC1274,1),"")</f>
        <v/>
      </c>
      <c r="AE1274" s="155" t="str">
        <f ca="1">IFERROR(INDEX(Données!$B$3:$B$1479,MATCH(ROWS($AD$3:AD1274),$AD$3:$AD$1479,0)),"")</f>
        <v/>
      </c>
    </row>
    <row r="1275" spans="1:31" ht="15.75" x14ac:dyDescent="0.25">
      <c r="A1275" t="str">
        <f t="shared" si="236"/>
        <v>Joseph Woll - TOR - G</v>
      </c>
      <c r="B1275" t="str">
        <f t="shared" si="237"/>
        <v>Joseph Woll - TOR - G</v>
      </c>
      <c r="C1275" t="str">
        <f t="shared" si="231"/>
        <v>Joseph</v>
      </c>
      <c r="D1275" t="str">
        <f t="shared" si="232"/>
        <v>Woll</v>
      </c>
      <c r="E1275" s="39" t="s">
        <v>2602</v>
      </c>
      <c r="F1275" s="30" t="s">
        <v>33</v>
      </c>
      <c r="G1275" s="35" t="s">
        <v>386</v>
      </c>
      <c r="H1275" s="35" t="s">
        <v>127</v>
      </c>
      <c r="I1275" s="35" t="s">
        <v>2690</v>
      </c>
      <c r="J1275" s="35">
        <v>21</v>
      </c>
      <c r="K1275" s="35">
        <f>VALUE(COUNTIF(Validation!$A$2:$H$47,E1275))</f>
        <v>0</v>
      </c>
      <c r="L1275" s="361">
        <f t="shared" si="233"/>
        <v>800000</v>
      </c>
      <c r="M1275" s="361">
        <f t="shared" si="234"/>
        <v>800000</v>
      </c>
      <c r="N1275" s="358">
        <v>800000</v>
      </c>
      <c r="O1275" s="358">
        <v>800000</v>
      </c>
      <c r="P1275" s="358" t="s">
        <v>8</v>
      </c>
      <c r="Q1275" s="358">
        <v>0</v>
      </c>
      <c r="R1275" s="358">
        <v>0</v>
      </c>
      <c r="S1275" s="358">
        <v>0</v>
      </c>
      <c r="T1275" s="358">
        <v>0</v>
      </c>
      <c r="U1275" s="35">
        <f t="shared" si="228"/>
        <v>2</v>
      </c>
      <c r="W1275">
        <f t="shared" si="235"/>
        <v>1</v>
      </c>
      <c r="X1275" s="35">
        <f t="shared" si="229"/>
        <v>1</v>
      </c>
      <c r="Y1275">
        <f t="shared" si="230"/>
        <v>1</v>
      </c>
      <c r="AB1275">
        <f t="shared" si="238"/>
        <v>1</v>
      </c>
      <c r="AC1275">
        <f t="shared" ca="1" si="239"/>
        <v>0</v>
      </c>
      <c r="AD1275" t="str">
        <f ca="1">IF(AC1275=1,COUNTIF($AC$3:AC1275,1),"")</f>
        <v/>
      </c>
      <c r="AE1275" s="155" t="str">
        <f ca="1">IFERROR(INDEX(Données!$B$3:$B$1479,MATCH(ROWS($AD$3:AD1275),$AD$3:$AD$1479,0)),"")</f>
        <v/>
      </c>
    </row>
    <row r="1276" spans="1:31" ht="15.75" x14ac:dyDescent="0.25">
      <c r="A1276" t="str">
        <f t="shared" si="236"/>
        <v>Mac Hollowell - TOR - D</v>
      </c>
      <c r="B1276" t="str">
        <f t="shared" si="237"/>
        <v>Mac Hollowell - TOR - D</v>
      </c>
      <c r="C1276" t="str">
        <f t="shared" si="231"/>
        <v>Mac</v>
      </c>
      <c r="D1276" t="str">
        <f t="shared" si="232"/>
        <v>Hollowell</v>
      </c>
      <c r="E1276" s="39" t="s">
        <v>2599</v>
      </c>
      <c r="F1276" s="30" t="s">
        <v>33</v>
      </c>
      <c r="G1276" s="35" t="s">
        <v>386</v>
      </c>
      <c r="H1276" s="35" t="s">
        <v>82</v>
      </c>
      <c r="I1276" s="35" t="s">
        <v>2690</v>
      </c>
      <c r="J1276" s="35">
        <v>20</v>
      </c>
      <c r="K1276" s="35">
        <f>VALUE(COUNTIF(Validation!$A$2:$H$47,E1276))</f>
        <v>0</v>
      </c>
      <c r="L1276" s="361">
        <f t="shared" si="233"/>
        <v>799766</v>
      </c>
      <c r="M1276" s="361">
        <f t="shared" si="234"/>
        <v>799766</v>
      </c>
      <c r="N1276" s="358">
        <v>799766</v>
      </c>
      <c r="O1276" s="358">
        <v>799766</v>
      </c>
      <c r="P1276" s="358">
        <v>799766</v>
      </c>
      <c r="Q1276" s="358" t="s">
        <v>8</v>
      </c>
      <c r="R1276" s="358">
        <v>0</v>
      </c>
      <c r="S1276" s="358">
        <v>0</v>
      </c>
      <c r="T1276" s="358">
        <v>0</v>
      </c>
      <c r="U1276" s="35">
        <f t="shared" si="228"/>
        <v>3</v>
      </c>
      <c r="W1276">
        <f t="shared" si="235"/>
        <v>1</v>
      </c>
      <c r="X1276" s="35">
        <f t="shared" si="229"/>
        <v>1</v>
      </c>
      <c r="Y1276">
        <f t="shared" si="230"/>
        <v>1</v>
      </c>
      <c r="AB1276">
        <f t="shared" si="238"/>
        <v>1</v>
      </c>
      <c r="AC1276">
        <f t="shared" ca="1" si="239"/>
        <v>0</v>
      </c>
      <c r="AD1276" t="str">
        <f ca="1">IF(AC1276=1,COUNTIF($AC$3:AC1276,1),"")</f>
        <v/>
      </c>
      <c r="AE1276" s="155" t="str">
        <f ca="1">IFERROR(INDEX(Données!$B$3:$B$1479,MATCH(ROWS($AD$3:AD1276),$AD$3:$AD$1479,0)),"")</f>
        <v/>
      </c>
    </row>
    <row r="1277" spans="1:31" ht="15.75" x14ac:dyDescent="0.25">
      <c r="A1277" t="str">
        <f t="shared" si="236"/>
        <v>Semyon Der-Arguchintsev - TOR - C</v>
      </c>
      <c r="B1277" t="str">
        <f t="shared" si="237"/>
        <v>Semyon Der-Arguchintsev - TOR - C</v>
      </c>
      <c r="C1277" t="str">
        <f t="shared" si="231"/>
        <v>Semyon</v>
      </c>
      <c r="D1277" t="str">
        <f t="shared" si="232"/>
        <v>Der-Arguchintsev</v>
      </c>
      <c r="E1277" s="39" t="s">
        <v>2597</v>
      </c>
      <c r="F1277" s="30" t="s">
        <v>33</v>
      </c>
      <c r="G1277" s="35" t="s">
        <v>388</v>
      </c>
      <c r="H1277" s="35" t="s">
        <v>73</v>
      </c>
      <c r="I1277" s="35" t="s">
        <v>389</v>
      </c>
      <c r="J1277" s="35">
        <v>18</v>
      </c>
      <c r="K1277" s="35">
        <f>VALUE(COUNTIF(Validation!$A$2:$H$47,E1277))</f>
        <v>0</v>
      </c>
      <c r="L1277" s="361">
        <f t="shared" si="233"/>
        <v>783333</v>
      </c>
      <c r="M1277" s="361">
        <f t="shared" si="234"/>
        <v>783333</v>
      </c>
      <c r="N1277" s="358">
        <v>783333</v>
      </c>
      <c r="O1277" s="358">
        <v>783333</v>
      </c>
      <c r="P1277" s="358">
        <v>783333</v>
      </c>
      <c r="Q1277" s="358" t="s">
        <v>8</v>
      </c>
      <c r="R1277" s="358">
        <v>0</v>
      </c>
      <c r="S1277" s="358">
        <v>0</v>
      </c>
      <c r="T1277" s="358">
        <v>0</v>
      </c>
      <c r="U1277" s="35">
        <f t="shared" ref="U1277:U1339" si="240">COUNTIF(N1277:T1277,"&gt;0")</f>
        <v>3</v>
      </c>
      <c r="W1277">
        <f t="shared" si="235"/>
        <v>1</v>
      </c>
      <c r="X1277" s="35">
        <f t="shared" si="229"/>
        <v>1</v>
      </c>
      <c r="Y1277">
        <f t="shared" si="230"/>
        <v>1</v>
      </c>
      <c r="AB1277">
        <f t="shared" si="238"/>
        <v>1</v>
      </c>
      <c r="AC1277">
        <f t="shared" ca="1" si="239"/>
        <v>0</v>
      </c>
      <c r="AD1277" t="str">
        <f ca="1">IF(AC1277=1,COUNTIF($AC$3:AC1277,1),"")</f>
        <v/>
      </c>
      <c r="AE1277" s="155" t="str">
        <f ca="1">IFERROR(INDEX(Données!$B$3:$B$1479,MATCH(ROWS($AD$3:AD1277),$AD$3:$AD$1479,0)),"")</f>
        <v/>
      </c>
    </row>
    <row r="1278" spans="1:31" ht="15.75" x14ac:dyDescent="0.25">
      <c r="A1278" t="str">
        <f t="shared" si="236"/>
        <v>Trevor Moore - TOR - RW, LW</v>
      </c>
      <c r="B1278" t="str">
        <f t="shared" si="237"/>
        <v>Trevor Moore - TOR - RW, LW</v>
      </c>
      <c r="C1278" t="str">
        <f t="shared" si="231"/>
        <v>Trevor</v>
      </c>
      <c r="D1278" t="str">
        <f t="shared" si="232"/>
        <v>Moore</v>
      </c>
      <c r="E1278" s="39" t="s">
        <v>1604</v>
      </c>
      <c r="F1278" s="30" t="s">
        <v>33</v>
      </c>
      <c r="G1278" s="35">
        <v>0</v>
      </c>
      <c r="H1278" s="9" t="s">
        <v>2680</v>
      </c>
      <c r="I1278" s="9" t="s">
        <v>2677</v>
      </c>
      <c r="J1278" s="9">
        <v>24</v>
      </c>
      <c r="K1278" s="35">
        <f>VALUE(COUNTIF(Validation!$A$2:$H$47,E1278))</f>
        <v>0</v>
      </c>
      <c r="L1278" s="361">
        <f t="shared" si="233"/>
        <v>775000</v>
      </c>
      <c r="M1278" s="361">
        <f t="shared" si="234"/>
        <v>775000</v>
      </c>
      <c r="N1278" s="358">
        <v>775000</v>
      </c>
      <c r="O1278" s="358">
        <v>775000</v>
      </c>
      <c r="P1278" s="358" t="s">
        <v>8</v>
      </c>
      <c r="Q1278" s="358">
        <v>0</v>
      </c>
      <c r="R1278" s="358">
        <v>0</v>
      </c>
      <c r="S1278" s="358">
        <v>0</v>
      </c>
      <c r="T1278" s="358">
        <v>0</v>
      </c>
      <c r="U1278" s="35">
        <f t="shared" si="240"/>
        <v>2</v>
      </c>
      <c r="W1278">
        <f t="shared" si="235"/>
        <v>1</v>
      </c>
      <c r="X1278" s="35">
        <f t="shared" ref="X1278:X1340" si="241">IF(LEFT(G1278,3)="ELC",1,0)</f>
        <v>0</v>
      </c>
      <c r="Y1278">
        <f t="shared" ref="Y1278:Y1340" si="242">IF(L1278=M1278,1,0)</f>
        <v>1</v>
      </c>
      <c r="AB1278">
        <f t="shared" si="238"/>
        <v>1</v>
      </c>
      <c r="AC1278">
        <f t="shared" ca="1" si="239"/>
        <v>0</v>
      </c>
      <c r="AD1278" t="str">
        <f ca="1">IF(AC1278=1,COUNTIF($AC$3:AC1278,1),"")</f>
        <v/>
      </c>
      <c r="AE1278" s="155" t="str">
        <f ca="1">IFERROR(INDEX(Données!$B$3:$B$1479,MATCH(ROWS($AD$3:AD1278),$AD$3:$AD$1479,0)),"")</f>
        <v/>
      </c>
    </row>
    <row r="1279" spans="1:31" ht="15.75" x14ac:dyDescent="0.25">
      <c r="A1279" t="str">
        <f t="shared" si="236"/>
        <v>Nicolas Petan - TOR - LW, RW, C</v>
      </c>
      <c r="B1279" t="str">
        <f t="shared" si="237"/>
        <v>Nicolas Petan - TOR - LW, RW, C</v>
      </c>
      <c r="C1279" t="str">
        <f t="shared" si="231"/>
        <v>Nicolas</v>
      </c>
      <c r="D1279" t="str">
        <f t="shared" si="232"/>
        <v>Petan</v>
      </c>
      <c r="E1279" s="39" t="s">
        <v>2098</v>
      </c>
      <c r="F1279" s="30" t="s">
        <v>33</v>
      </c>
      <c r="G1279" s="35">
        <v>0</v>
      </c>
      <c r="H1279" s="9" t="s">
        <v>2681</v>
      </c>
      <c r="I1279" s="9" t="s">
        <v>2677</v>
      </c>
      <c r="J1279" s="9">
        <v>24</v>
      </c>
      <c r="K1279" s="35">
        <f>VALUE(COUNTIF(Validation!$A$2:$H$47,E1279))</f>
        <v>0</v>
      </c>
      <c r="L1279" s="361">
        <f t="shared" si="233"/>
        <v>775000</v>
      </c>
      <c r="M1279" s="361">
        <f t="shared" si="234"/>
        <v>775000</v>
      </c>
      <c r="N1279" s="358">
        <v>775000</v>
      </c>
      <c r="O1279" s="358">
        <v>775000</v>
      </c>
      <c r="P1279" s="358" t="s">
        <v>8</v>
      </c>
      <c r="Q1279" s="358">
        <v>0</v>
      </c>
      <c r="R1279" s="358">
        <v>0</v>
      </c>
      <c r="S1279" s="358">
        <v>0</v>
      </c>
      <c r="T1279" s="358">
        <v>0</v>
      </c>
      <c r="U1279" s="35">
        <f t="shared" si="240"/>
        <v>2</v>
      </c>
      <c r="W1279">
        <f t="shared" si="235"/>
        <v>1</v>
      </c>
      <c r="X1279" s="35">
        <f t="shared" si="241"/>
        <v>0</v>
      </c>
      <c r="Y1279">
        <f t="shared" si="242"/>
        <v>1</v>
      </c>
      <c r="AB1279">
        <f t="shared" si="238"/>
        <v>1</v>
      </c>
      <c r="AC1279">
        <f t="shared" ca="1" si="239"/>
        <v>0</v>
      </c>
      <c r="AD1279" t="str">
        <f ca="1">IF(AC1279=1,COUNTIF($AC$3:AC1279,1),"")</f>
        <v/>
      </c>
      <c r="AE1279" s="155" t="str">
        <f ca="1">IFERROR(INDEX(Données!$B$3:$B$1479,MATCH(ROWS($AD$3:AD1279),$AD$3:$AD$1479,0)),"")</f>
        <v/>
      </c>
    </row>
    <row r="1280" spans="1:31" ht="15.75" x14ac:dyDescent="0.25">
      <c r="A1280" t="str">
        <f t="shared" si="236"/>
        <v>Nick Shore - TOR - C</v>
      </c>
      <c r="B1280" t="str">
        <f t="shared" si="237"/>
        <v>Nick Shore - TOR - C</v>
      </c>
      <c r="C1280" t="str">
        <f t="shared" si="231"/>
        <v>Nick</v>
      </c>
      <c r="D1280" t="str">
        <f t="shared" si="232"/>
        <v>Shore</v>
      </c>
      <c r="E1280" s="39" t="s">
        <v>2593</v>
      </c>
      <c r="F1280" s="30" t="s">
        <v>33</v>
      </c>
      <c r="G1280" s="35">
        <v>0</v>
      </c>
      <c r="H1280" s="35" t="s">
        <v>73</v>
      </c>
      <c r="I1280" s="35" t="s">
        <v>2690</v>
      </c>
      <c r="J1280" s="35">
        <v>26</v>
      </c>
      <c r="K1280" s="35">
        <f>VALUE(COUNTIF(Validation!$A$2:$H$47,E1280))</f>
        <v>0</v>
      </c>
      <c r="L1280" s="361">
        <f t="shared" si="233"/>
        <v>750000</v>
      </c>
      <c r="M1280" s="361">
        <f t="shared" si="234"/>
        <v>0</v>
      </c>
      <c r="N1280" s="358">
        <v>750000</v>
      </c>
      <c r="O1280" s="358" t="s">
        <v>7</v>
      </c>
      <c r="P1280" s="358">
        <v>0</v>
      </c>
      <c r="Q1280" s="358">
        <v>0</v>
      </c>
      <c r="R1280" s="358">
        <v>0</v>
      </c>
      <c r="S1280" s="358">
        <v>0</v>
      </c>
      <c r="T1280" s="358">
        <v>0</v>
      </c>
      <c r="U1280" s="35">
        <f t="shared" si="240"/>
        <v>1</v>
      </c>
      <c r="W1280">
        <f t="shared" si="235"/>
        <v>1</v>
      </c>
      <c r="X1280" s="35">
        <f t="shared" si="241"/>
        <v>0</v>
      </c>
      <c r="Y1280">
        <f t="shared" si="242"/>
        <v>0</v>
      </c>
      <c r="AB1280">
        <f t="shared" si="238"/>
        <v>1</v>
      </c>
      <c r="AC1280">
        <f t="shared" ca="1" si="239"/>
        <v>0</v>
      </c>
      <c r="AD1280" t="str">
        <f ca="1">IF(AC1280=1,COUNTIF($AC$3:AC1280,1),"")</f>
        <v/>
      </c>
      <c r="AE1280" s="155" t="str">
        <f ca="1">IFERROR(INDEX(Données!$B$3:$B$1479,MATCH(ROWS($AD$3:AD1280),$AD$3:$AD$1479,0)),"")</f>
        <v/>
      </c>
    </row>
    <row r="1281" spans="1:31" ht="15.75" x14ac:dyDescent="0.25">
      <c r="A1281" t="str">
        <f t="shared" si="236"/>
        <v>Kenny Agostino - TOR - LW</v>
      </c>
      <c r="B1281" t="str">
        <f t="shared" si="237"/>
        <v>Kenny Agostino - TOR - LW</v>
      </c>
      <c r="C1281" t="str">
        <f t="shared" si="231"/>
        <v>Kenny</v>
      </c>
      <c r="D1281" t="str">
        <f t="shared" si="232"/>
        <v>Agostino</v>
      </c>
      <c r="E1281" s="39" t="s">
        <v>1508</v>
      </c>
      <c r="F1281" s="30" t="s">
        <v>33</v>
      </c>
      <c r="G1281" s="35">
        <v>0</v>
      </c>
      <c r="H1281" s="35" t="s">
        <v>93</v>
      </c>
      <c r="I1281" s="35" t="s">
        <v>2677</v>
      </c>
      <c r="J1281" s="35">
        <v>27</v>
      </c>
      <c r="K1281" s="35">
        <f>VALUE(COUNTIF(Validation!$A$2:$H$47,E1281))</f>
        <v>0</v>
      </c>
      <c r="L1281" s="361">
        <f t="shared" si="233"/>
        <v>737500</v>
      </c>
      <c r="M1281" s="361">
        <f t="shared" si="234"/>
        <v>737500</v>
      </c>
      <c r="N1281" s="358">
        <v>737500</v>
      </c>
      <c r="O1281" s="358">
        <v>737500</v>
      </c>
      <c r="P1281" s="358" t="s">
        <v>7</v>
      </c>
      <c r="Q1281" s="358">
        <v>0</v>
      </c>
      <c r="R1281" s="358">
        <v>0</v>
      </c>
      <c r="S1281" s="358">
        <v>0</v>
      </c>
      <c r="T1281" s="358">
        <v>0</v>
      </c>
      <c r="U1281" s="35">
        <f t="shared" si="240"/>
        <v>2</v>
      </c>
      <c r="W1281">
        <f t="shared" si="235"/>
        <v>1</v>
      </c>
      <c r="X1281" s="35">
        <f t="shared" si="241"/>
        <v>0</v>
      </c>
      <c r="Y1281">
        <f t="shared" si="242"/>
        <v>1</v>
      </c>
      <c r="AB1281">
        <f t="shared" si="238"/>
        <v>1</v>
      </c>
      <c r="AC1281">
        <f t="shared" ca="1" si="239"/>
        <v>0</v>
      </c>
      <c r="AD1281" t="str">
        <f ca="1">IF(AC1281=1,COUNTIF($AC$3:AC1281,1),"")</f>
        <v/>
      </c>
      <c r="AE1281" s="155" t="str">
        <f ca="1">IFERROR(INDEX(Données!$B$3:$B$1479,MATCH(ROWS($AD$3:AD1281),$AD$3:$AD$1479,0)),"")</f>
        <v/>
      </c>
    </row>
    <row r="1282" spans="1:31" ht="15.75" x14ac:dyDescent="0.25">
      <c r="A1282" t="str">
        <f t="shared" si="236"/>
        <v>Ben Harpur - TOR - LD</v>
      </c>
      <c r="B1282" t="str">
        <f t="shared" si="237"/>
        <v>Ben Harpur - TOR - LD</v>
      </c>
      <c r="C1282" t="str">
        <f t="shared" si="231"/>
        <v>Ben</v>
      </c>
      <c r="D1282" t="str">
        <f t="shared" si="232"/>
        <v>Harpur</v>
      </c>
      <c r="E1282" s="39" t="s">
        <v>1528</v>
      </c>
      <c r="F1282" s="30" t="s">
        <v>33</v>
      </c>
      <c r="G1282" s="35">
        <v>0</v>
      </c>
      <c r="H1282" s="35" t="s">
        <v>380</v>
      </c>
      <c r="I1282" s="35" t="s">
        <v>2677</v>
      </c>
      <c r="J1282" s="35">
        <v>24</v>
      </c>
      <c r="K1282" s="35">
        <f>VALUE(COUNTIF(Validation!$A$2:$H$47,E1282))</f>
        <v>0</v>
      </c>
      <c r="L1282" s="361">
        <f t="shared" si="233"/>
        <v>725000</v>
      </c>
      <c r="M1282" s="361">
        <f t="shared" si="234"/>
        <v>0</v>
      </c>
      <c r="N1282" s="358">
        <v>725000</v>
      </c>
      <c r="O1282" s="358" t="s">
        <v>8</v>
      </c>
      <c r="P1282" s="358">
        <v>0</v>
      </c>
      <c r="Q1282" s="358">
        <v>0</v>
      </c>
      <c r="R1282" s="358">
        <v>0</v>
      </c>
      <c r="S1282" s="358">
        <v>0</v>
      </c>
      <c r="T1282" s="358">
        <v>0</v>
      </c>
      <c r="U1282" s="35">
        <f t="shared" si="240"/>
        <v>1</v>
      </c>
      <c r="W1282">
        <f t="shared" si="235"/>
        <v>1</v>
      </c>
      <c r="X1282" s="35">
        <f t="shared" si="241"/>
        <v>0</v>
      </c>
      <c r="Y1282">
        <f t="shared" si="242"/>
        <v>0</v>
      </c>
      <c r="AB1282">
        <f t="shared" si="238"/>
        <v>1</v>
      </c>
      <c r="AC1282">
        <f t="shared" ca="1" si="239"/>
        <v>0</v>
      </c>
      <c r="AD1282" t="str">
        <f ca="1">IF(AC1282=1,COUNTIF($AC$3:AC1282,1),"")</f>
        <v/>
      </c>
      <c r="AE1282" s="155" t="str">
        <f ca="1">IFERROR(INDEX(Données!$B$3:$B$1479,MATCH(ROWS($AD$3:AD1282),$AD$3:$AD$1479,0)),"")</f>
        <v/>
      </c>
    </row>
    <row r="1283" spans="1:31" ht="15.75" x14ac:dyDescent="0.25">
      <c r="A1283" t="str">
        <f t="shared" si="236"/>
        <v>Garrett Wilson - TOR - RW, LW</v>
      </c>
      <c r="B1283" t="str">
        <f t="shared" si="237"/>
        <v>Garrett Wilson - TOR - RW, LW</v>
      </c>
      <c r="C1283" t="str">
        <f t="shared" ref="C1283:C1346" si="243">RIGHT(E1283,(LEN(E1283)-1)-SEARCH(",",E1283,1))</f>
        <v>Garrett</v>
      </c>
      <c r="D1283" t="str">
        <f t="shared" ref="D1283:D1346" si="244">LEFT(E1283,SEARCH(",",E1283,1)-1)</f>
        <v>Wilson</v>
      </c>
      <c r="E1283" s="39" t="s">
        <v>2682</v>
      </c>
      <c r="F1283" s="30" t="s">
        <v>33</v>
      </c>
      <c r="G1283" s="35">
        <v>0</v>
      </c>
      <c r="H1283" s="35" t="s">
        <v>2680</v>
      </c>
      <c r="I1283" s="35" t="s">
        <v>2677</v>
      </c>
      <c r="J1283" s="35">
        <v>28</v>
      </c>
      <c r="K1283" s="35">
        <f>VALUE(COUNTIF(Validation!$A$2:$H$47,E1283))</f>
        <v>0</v>
      </c>
      <c r="L1283" s="361">
        <f t="shared" ref="L1283:L1346" si="245">IF(OR(N1283="RFA",N1283="UFA",N1283="",N1283=0),0,N1283)</f>
        <v>725000</v>
      </c>
      <c r="M1283" s="361">
        <f t="shared" ref="M1283:M1346" si="246">IF(OR(O1283="RFA",O1283="UFA",O1283="",O1283=0),0,O1283)</f>
        <v>0</v>
      </c>
      <c r="N1283" s="358">
        <v>725000</v>
      </c>
      <c r="O1283" s="358" t="s">
        <v>7</v>
      </c>
      <c r="P1283" s="358">
        <v>0</v>
      </c>
      <c r="Q1283" s="358">
        <v>0</v>
      </c>
      <c r="R1283" s="358">
        <v>0</v>
      </c>
      <c r="S1283" s="358">
        <v>0</v>
      </c>
      <c r="T1283" s="358">
        <v>0</v>
      </c>
      <c r="U1283" s="35">
        <f t="shared" si="240"/>
        <v>1</v>
      </c>
      <c r="W1283">
        <f t="shared" ref="W1283:W1346" si="247">COUNTIF($E$3:$E$1479,E1283)</f>
        <v>1</v>
      </c>
      <c r="X1283" s="35">
        <f t="shared" si="241"/>
        <v>0</v>
      </c>
      <c r="Y1283">
        <f t="shared" si="242"/>
        <v>0</v>
      </c>
      <c r="AB1283">
        <f t="shared" si="238"/>
        <v>1</v>
      </c>
      <c r="AC1283">
        <f t="shared" ca="1" si="239"/>
        <v>0</v>
      </c>
      <c r="AD1283" t="str">
        <f ca="1">IF(AC1283=1,COUNTIF($AC$3:AC1283,1),"")</f>
        <v/>
      </c>
      <c r="AE1283" s="155" t="str">
        <f ca="1">IFERROR(INDEX(Données!$B$3:$B$1479,MATCH(ROWS($AD$3:AD1283),$AD$3:$AD$1479,0)),"")</f>
        <v/>
      </c>
    </row>
    <row r="1284" spans="1:31" ht="15.75" x14ac:dyDescent="0.25">
      <c r="A1284" t="str">
        <f t="shared" ref="A1284:A1347" si="248">C1284&amp;" "&amp;D1284&amp;" - "&amp;F1284&amp;" - "&amp;H1284</f>
        <v>Pontus aberg - TOR - RW, LW</v>
      </c>
      <c r="B1284" t="str">
        <f t="shared" ref="B1284:B1347" si="249">A1284</f>
        <v>Pontus aberg - TOR - RW, LW</v>
      </c>
      <c r="C1284" t="str">
        <f t="shared" si="243"/>
        <v>Pontus</v>
      </c>
      <c r="D1284" t="str">
        <f t="shared" si="244"/>
        <v>aberg</v>
      </c>
      <c r="E1284" s="39" t="s">
        <v>2909</v>
      </c>
      <c r="F1284" s="30" t="s">
        <v>33</v>
      </c>
      <c r="G1284" s="35">
        <v>0</v>
      </c>
      <c r="H1284" s="35" t="s">
        <v>2680</v>
      </c>
      <c r="I1284" s="35" t="s">
        <v>2677</v>
      </c>
      <c r="J1284" s="35">
        <v>25</v>
      </c>
      <c r="K1284" s="35">
        <f>VALUE(COUNTIF(Validation!$A$2:$H$47,E1284))</f>
        <v>0</v>
      </c>
      <c r="L1284" s="361">
        <f t="shared" si="245"/>
        <v>700000</v>
      </c>
      <c r="M1284" s="361">
        <f t="shared" si="246"/>
        <v>0</v>
      </c>
      <c r="N1284" s="358">
        <v>700000</v>
      </c>
      <c r="O1284" s="358" t="s">
        <v>8</v>
      </c>
      <c r="P1284" s="358">
        <v>0</v>
      </c>
      <c r="Q1284" s="358">
        <v>0</v>
      </c>
      <c r="R1284" s="358">
        <v>0</v>
      </c>
      <c r="S1284" s="358">
        <v>0</v>
      </c>
      <c r="T1284" s="358">
        <v>0</v>
      </c>
      <c r="U1284" s="35">
        <f t="shared" si="240"/>
        <v>1</v>
      </c>
      <c r="W1284">
        <f t="shared" si="247"/>
        <v>1</v>
      </c>
      <c r="X1284" s="35">
        <f t="shared" si="241"/>
        <v>0</v>
      </c>
      <c r="Y1284">
        <f t="shared" si="242"/>
        <v>0</v>
      </c>
      <c r="AB1284">
        <f t="shared" ref="AB1284:AB1347" si="250">SEARCH(AA1284,A1284)</f>
        <v>1</v>
      </c>
      <c r="AC1284">
        <f t="shared" ca="1" si="239"/>
        <v>0</v>
      </c>
      <c r="AD1284" t="str">
        <f ca="1">IF(AC1284=1,COUNTIF($AC$3:AC1284,1),"")</f>
        <v/>
      </c>
      <c r="AE1284" s="155" t="str">
        <f ca="1">IFERROR(INDEX(Données!$B$3:$B$1479,MATCH(ROWS($AD$3:AD1284),$AD$3:$AD$1479,0)),"")</f>
        <v/>
      </c>
    </row>
    <row r="1285" spans="1:31" ht="15.75" x14ac:dyDescent="0.25">
      <c r="A1285" t="str">
        <f t="shared" si="248"/>
        <v>Tyler Gaudet - TOR - C</v>
      </c>
      <c r="B1285" t="str">
        <f t="shared" si="249"/>
        <v>Tyler Gaudet - TOR - C</v>
      </c>
      <c r="C1285" t="str">
        <f t="shared" si="243"/>
        <v>Tyler</v>
      </c>
      <c r="D1285" t="str">
        <f t="shared" si="244"/>
        <v>Gaudet</v>
      </c>
      <c r="E1285" s="39" t="s">
        <v>2692</v>
      </c>
      <c r="F1285" s="30" t="s">
        <v>33</v>
      </c>
      <c r="G1285" s="35">
        <v>0</v>
      </c>
      <c r="H1285" s="35" t="s">
        <v>73</v>
      </c>
      <c r="I1285" s="35" t="s">
        <v>2690</v>
      </c>
      <c r="J1285" s="35">
        <v>26</v>
      </c>
      <c r="K1285" s="35">
        <f>VALUE(COUNTIF(Validation!$A$2:$H$47,E1285))</f>
        <v>0</v>
      </c>
      <c r="L1285" s="361">
        <f t="shared" si="245"/>
        <v>700000</v>
      </c>
      <c r="M1285" s="361">
        <f t="shared" si="246"/>
        <v>0</v>
      </c>
      <c r="N1285" s="358">
        <v>700000</v>
      </c>
      <c r="O1285" s="358" t="s">
        <v>7</v>
      </c>
      <c r="P1285" s="358">
        <v>0</v>
      </c>
      <c r="Q1285" s="358">
        <v>0</v>
      </c>
      <c r="R1285" s="358">
        <v>0</v>
      </c>
      <c r="S1285" s="358">
        <v>0</v>
      </c>
      <c r="T1285" s="358">
        <v>0</v>
      </c>
      <c r="U1285" s="35">
        <f t="shared" si="240"/>
        <v>1</v>
      </c>
      <c r="W1285">
        <f t="shared" si="247"/>
        <v>1</v>
      </c>
      <c r="X1285" s="35">
        <f t="shared" si="241"/>
        <v>0</v>
      </c>
      <c r="Y1285">
        <f t="shared" si="242"/>
        <v>0</v>
      </c>
      <c r="AB1285">
        <f t="shared" si="250"/>
        <v>1</v>
      </c>
      <c r="AC1285">
        <f t="shared" ref="AC1285:AC1348" ca="1" si="251">IFERROR(SEARCH(INDIRECT(CELL("adresse")),B1285,1),0)</f>
        <v>0</v>
      </c>
      <c r="AD1285" t="str">
        <f ca="1">IF(AC1285=1,COUNTIF($AC$3:AC1285,1),"")</f>
        <v/>
      </c>
      <c r="AE1285" s="155" t="str">
        <f ca="1">IFERROR(INDEX(Données!$B$3:$B$1479,MATCH(ROWS($AD$3:AD1285),$AD$3:$AD$1479,0)),"")</f>
        <v/>
      </c>
    </row>
    <row r="1286" spans="1:31" ht="15.75" x14ac:dyDescent="0.25">
      <c r="A1286" t="str">
        <f t="shared" si="248"/>
        <v>Kevin Gravel - TOR - LD</v>
      </c>
      <c r="B1286" t="str">
        <f t="shared" si="249"/>
        <v>Kevin Gravel - TOR - LD</v>
      </c>
      <c r="C1286" t="str">
        <f t="shared" si="243"/>
        <v>Kevin</v>
      </c>
      <c r="D1286" t="str">
        <f t="shared" si="244"/>
        <v>Gravel</v>
      </c>
      <c r="E1286" s="39" t="s">
        <v>2227</v>
      </c>
      <c r="F1286" s="30" t="s">
        <v>33</v>
      </c>
      <c r="G1286" s="35">
        <v>0</v>
      </c>
      <c r="H1286" s="9" t="s">
        <v>380</v>
      </c>
      <c r="I1286" s="9" t="s">
        <v>2690</v>
      </c>
      <c r="J1286" s="9">
        <v>27</v>
      </c>
      <c r="K1286" s="35">
        <f>VALUE(COUNTIF(Validation!$A$2:$H$47,E1286))</f>
        <v>0</v>
      </c>
      <c r="L1286" s="361">
        <f t="shared" si="245"/>
        <v>700000</v>
      </c>
      <c r="M1286" s="361">
        <f t="shared" si="246"/>
        <v>0</v>
      </c>
      <c r="N1286" s="358">
        <v>700000</v>
      </c>
      <c r="O1286" s="358" t="s">
        <v>7</v>
      </c>
      <c r="P1286" s="358">
        <v>0</v>
      </c>
      <c r="Q1286" s="358">
        <v>0</v>
      </c>
      <c r="R1286" s="358">
        <v>0</v>
      </c>
      <c r="S1286" s="358">
        <v>0</v>
      </c>
      <c r="T1286" s="358">
        <v>0</v>
      </c>
      <c r="U1286" s="35">
        <f t="shared" si="240"/>
        <v>1</v>
      </c>
      <c r="W1286">
        <f t="shared" si="247"/>
        <v>1</v>
      </c>
      <c r="X1286" s="35">
        <f t="shared" si="241"/>
        <v>0</v>
      </c>
      <c r="Y1286">
        <f t="shared" si="242"/>
        <v>0</v>
      </c>
      <c r="AB1286">
        <f t="shared" si="250"/>
        <v>1</v>
      </c>
      <c r="AC1286">
        <f t="shared" ca="1" si="251"/>
        <v>0</v>
      </c>
      <c r="AD1286" t="str">
        <f ca="1">IF(AC1286=1,COUNTIF($AC$3:AC1286,1),"")</f>
        <v/>
      </c>
      <c r="AE1286" s="155" t="str">
        <f ca="1">IFERROR(INDEX(Données!$B$3:$B$1479,MATCH(ROWS($AD$3:AD1286),$AD$3:$AD$1479,0)),"")</f>
        <v/>
      </c>
    </row>
    <row r="1287" spans="1:31" ht="15.75" x14ac:dyDescent="0.25">
      <c r="A1287" t="str">
        <f t="shared" si="248"/>
        <v>Michael Hutchinson - TOR - G</v>
      </c>
      <c r="B1287" t="str">
        <f t="shared" si="249"/>
        <v>Michael Hutchinson - TOR - G</v>
      </c>
      <c r="C1287" t="str">
        <f t="shared" si="243"/>
        <v>Michael</v>
      </c>
      <c r="D1287" t="str">
        <f t="shared" si="244"/>
        <v>Hutchinson</v>
      </c>
      <c r="E1287" s="39" t="s">
        <v>1465</v>
      </c>
      <c r="F1287" s="30" t="s">
        <v>33</v>
      </c>
      <c r="G1287" s="35">
        <v>0</v>
      </c>
      <c r="H1287" s="35" t="s">
        <v>127</v>
      </c>
      <c r="I1287" s="35" t="s">
        <v>2677</v>
      </c>
      <c r="J1287" s="35">
        <v>29</v>
      </c>
      <c r="K1287" s="35">
        <f>VALUE(COUNTIF(Validation!$A$2:$H$47,E1287))</f>
        <v>0</v>
      </c>
      <c r="L1287" s="361">
        <f t="shared" si="245"/>
        <v>700000</v>
      </c>
      <c r="M1287" s="361">
        <f t="shared" si="246"/>
        <v>0</v>
      </c>
      <c r="N1287" s="358">
        <v>700000</v>
      </c>
      <c r="O1287" s="358" t="s">
        <v>7</v>
      </c>
      <c r="P1287" s="358">
        <v>0</v>
      </c>
      <c r="Q1287" s="358">
        <v>0</v>
      </c>
      <c r="R1287" s="358">
        <v>0</v>
      </c>
      <c r="S1287" s="358">
        <v>0</v>
      </c>
      <c r="T1287" s="358">
        <v>0</v>
      </c>
      <c r="U1287" s="35">
        <f t="shared" si="240"/>
        <v>1</v>
      </c>
      <c r="W1287">
        <f t="shared" si="247"/>
        <v>1</v>
      </c>
      <c r="X1287" s="35">
        <f t="shared" si="241"/>
        <v>0</v>
      </c>
      <c r="Y1287">
        <f t="shared" si="242"/>
        <v>0</v>
      </c>
      <c r="AB1287">
        <f t="shared" si="250"/>
        <v>1</v>
      </c>
      <c r="AC1287">
        <f t="shared" ca="1" si="251"/>
        <v>0</v>
      </c>
      <c r="AD1287" t="str">
        <f ca="1">IF(AC1287=1,COUNTIF($AC$3:AC1287,1),"")</f>
        <v/>
      </c>
      <c r="AE1287" s="155" t="str">
        <f ca="1">IFERROR(INDEX(Données!$B$3:$B$1479,MATCH(ROWS($AD$3:AD1287),$AD$3:$AD$1479,0)),"")</f>
        <v/>
      </c>
    </row>
    <row r="1288" spans="1:31" ht="15.75" x14ac:dyDescent="0.25">
      <c r="A1288" t="str">
        <f t="shared" si="248"/>
        <v>Kalle Kossila - TOR - C</v>
      </c>
      <c r="B1288" t="str">
        <f t="shared" si="249"/>
        <v>Kalle Kossila - TOR - C</v>
      </c>
      <c r="C1288" t="str">
        <f t="shared" si="243"/>
        <v>Kalle</v>
      </c>
      <c r="D1288" t="str">
        <f t="shared" si="244"/>
        <v>Kossila</v>
      </c>
      <c r="E1288" s="39" t="s">
        <v>2691</v>
      </c>
      <c r="F1288" s="30" t="s">
        <v>33</v>
      </c>
      <c r="G1288" s="35">
        <v>0</v>
      </c>
      <c r="H1288" s="35" t="s">
        <v>73</v>
      </c>
      <c r="I1288" s="35" t="s">
        <v>2690</v>
      </c>
      <c r="J1288" s="35">
        <v>26</v>
      </c>
      <c r="K1288" s="35">
        <f>VALUE(COUNTIF(Validation!$A$2:$H$47,E1288))</f>
        <v>0</v>
      </c>
      <c r="L1288" s="361">
        <f t="shared" si="245"/>
        <v>700000</v>
      </c>
      <c r="M1288" s="361">
        <f t="shared" si="246"/>
        <v>700000</v>
      </c>
      <c r="N1288" s="358">
        <v>700000</v>
      </c>
      <c r="O1288" s="358">
        <v>700000</v>
      </c>
      <c r="P1288" s="358" t="s">
        <v>7</v>
      </c>
      <c r="Q1288" s="358">
        <v>0</v>
      </c>
      <c r="R1288" s="358">
        <v>0</v>
      </c>
      <c r="S1288" s="358">
        <v>0</v>
      </c>
      <c r="T1288" s="358">
        <v>0</v>
      </c>
      <c r="U1288" s="35">
        <f t="shared" si="240"/>
        <v>2</v>
      </c>
      <c r="W1288">
        <f t="shared" si="247"/>
        <v>1</v>
      </c>
      <c r="X1288" s="35">
        <f t="shared" si="241"/>
        <v>0</v>
      </c>
      <c r="Y1288">
        <f t="shared" si="242"/>
        <v>1</v>
      </c>
      <c r="AB1288">
        <f t="shared" si="250"/>
        <v>1</v>
      </c>
      <c r="AC1288">
        <f t="shared" ca="1" si="251"/>
        <v>0</v>
      </c>
      <c r="AD1288" t="str">
        <f ca="1">IF(AC1288=1,COUNTIF($AC$3:AC1288,1),"")</f>
        <v/>
      </c>
      <c r="AE1288" s="155" t="str">
        <f ca="1">IFERROR(INDEX(Données!$B$3:$B$1479,MATCH(ROWS($AD$3:AD1288),$AD$3:$AD$1479,0)),"")</f>
        <v/>
      </c>
    </row>
    <row r="1289" spans="1:31" ht="15.75" x14ac:dyDescent="0.25">
      <c r="A1289" t="str">
        <f t="shared" si="248"/>
        <v>Martin Marincin - TOR - LD</v>
      </c>
      <c r="B1289" t="str">
        <f t="shared" si="249"/>
        <v>Martin Marincin - TOR - LD</v>
      </c>
      <c r="C1289" t="str">
        <f t="shared" si="243"/>
        <v>Martin</v>
      </c>
      <c r="D1289" t="str">
        <f t="shared" si="244"/>
        <v>Marincin</v>
      </c>
      <c r="E1289" s="39" t="s">
        <v>1611</v>
      </c>
      <c r="F1289" s="30" t="s">
        <v>33</v>
      </c>
      <c r="G1289" s="35">
        <v>0</v>
      </c>
      <c r="H1289" s="35" t="s">
        <v>380</v>
      </c>
      <c r="I1289" s="35" t="s">
        <v>2677</v>
      </c>
      <c r="J1289" s="35">
        <v>27</v>
      </c>
      <c r="K1289" s="35">
        <f>VALUE(COUNTIF(Validation!$A$2:$H$47,E1289))</f>
        <v>0</v>
      </c>
      <c r="L1289" s="361">
        <f t="shared" si="245"/>
        <v>700000</v>
      </c>
      <c r="M1289" s="361">
        <f t="shared" si="246"/>
        <v>0</v>
      </c>
      <c r="N1289" s="358">
        <v>700000</v>
      </c>
      <c r="O1289" s="358" t="s">
        <v>7</v>
      </c>
      <c r="P1289" s="358">
        <v>0</v>
      </c>
      <c r="Q1289" s="358">
        <v>0</v>
      </c>
      <c r="R1289" s="358">
        <v>0</v>
      </c>
      <c r="S1289" s="358">
        <v>0</v>
      </c>
      <c r="T1289" s="358">
        <v>0</v>
      </c>
      <c r="U1289" s="35">
        <f t="shared" si="240"/>
        <v>1</v>
      </c>
      <c r="W1289">
        <f t="shared" si="247"/>
        <v>1</v>
      </c>
      <c r="X1289" s="35">
        <f t="shared" si="241"/>
        <v>0</v>
      </c>
      <c r="Y1289">
        <f t="shared" si="242"/>
        <v>0</v>
      </c>
      <c r="AB1289">
        <f t="shared" si="250"/>
        <v>1</v>
      </c>
      <c r="AC1289">
        <f t="shared" ca="1" si="251"/>
        <v>0</v>
      </c>
      <c r="AD1289" t="str">
        <f ca="1">IF(AC1289=1,COUNTIF($AC$3:AC1289,1),"")</f>
        <v/>
      </c>
      <c r="AE1289" s="155" t="str">
        <f ca="1">IFERROR(INDEX(Données!$B$3:$B$1479,MATCH(ROWS($AD$3:AD1289),$AD$3:$AD$1479,0)),"")</f>
        <v/>
      </c>
    </row>
    <row r="1290" spans="1:31" ht="15.75" x14ac:dyDescent="0.25">
      <c r="A1290" t="str">
        <f t="shared" si="248"/>
        <v>Jordan Schmaltz - TOR - RD</v>
      </c>
      <c r="B1290" t="str">
        <f t="shared" si="249"/>
        <v>Jordan Schmaltz - TOR - RD</v>
      </c>
      <c r="C1290" t="str">
        <f t="shared" si="243"/>
        <v>Jordan</v>
      </c>
      <c r="D1290" t="str">
        <f t="shared" si="244"/>
        <v>Schmaltz</v>
      </c>
      <c r="E1290" s="39" t="s">
        <v>2060</v>
      </c>
      <c r="F1290" s="30" t="s">
        <v>33</v>
      </c>
      <c r="G1290" s="35">
        <v>0</v>
      </c>
      <c r="H1290" s="35" t="s">
        <v>379</v>
      </c>
      <c r="I1290" s="35" t="s">
        <v>2677</v>
      </c>
      <c r="J1290" s="35">
        <v>25</v>
      </c>
      <c r="K1290" s="35">
        <f>VALUE(COUNTIF(Validation!$A$2:$H$47,E1290))</f>
        <v>0</v>
      </c>
      <c r="L1290" s="361">
        <f t="shared" si="245"/>
        <v>700000</v>
      </c>
      <c r="M1290" s="361">
        <f t="shared" si="246"/>
        <v>0</v>
      </c>
      <c r="N1290" s="358">
        <v>700000</v>
      </c>
      <c r="O1290" s="358" t="s">
        <v>8</v>
      </c>
      <c r="P1290" s="358">
        <v>0</v>
      </c>
      <c r="Q1290" s="358">
        <v>0</v>
      </c>
      <c r="R1290" s="358">
        <v>0</v>
      </c>
      <c r="S1290" s="358">
        <v>0</v>
      </c>
      <c r="T1290" s="358">
        <v>0</v>
      </c>
      <c r="U1290" s="35">
        <f t="shared" si="240"/>
        <v>1</v>
      </c>
      <c r="W1290">
        <f t="shared" si="247"/>
        <v>1</v>
      </c>
      <c r="X1290" s="35">
        <f t="shared" si="241"/>
        <v>0</v>
      </c>
      <c r="Y1290">
        <f t="shared" si="242"/>
        <v>0</v>
      </c>
      <c r="AB1290">
        <f t="shared" si="250"/>
        <v>1</v>
      </c>
      <c r="AC1290">
        <f t="shared" ca="1" si="251"/>
        <v>0</v>
      </c>
      <c r="AD1290" t="str">
        <f ca="1">IF(AC1290=1,COUNTIF($AC$3:AC1290,1),"")</f>
        <v/>
      </c>
      <c r="AE1290" s="155" t="str">
        <f ca="1">IFERROR(INDEX(Données!$B$3:$B$1479,MATCH(ROWS($AD$3:AD1290),$AD$3:$AD$1479,0)),"")</f>
        <v/>
      </c>
    </row>
    <row r="1291" spans="1:31" ht="15.75" x14ac:dyDescent="0.25">
      <c r="A1291" t="str">
        <f t="shared" si="248"/>
        <v>Jason Spezza - TOR - C, RW</v>
      </c>
      <c r="B1291" t="str">
        <f t="shared" si="249"/>
        <v>Jason Spezza - TOR - C, RW</v>
      </c>
      <c r="C1291" t="str">
        <f t="shared" si="243"/>
        <v>Jason</v>
      </c>
      <c r="D1291" t="str">
        <f t="shared" si="244"/>
        <v>Spezza</v>
      </c>
      <c r="E1291" s="39" t="s">
        <v>2594</v>
      </c>
      <c r="F1291" s="30" t="s">
        <v>33</v>
      </c>
      <c r="G1291" s="35" t="s">
        <v>2683</v>
      </c>
      <c r="H1291" s="35" t="s">
        <v>2684</v>
      </c>
      <c r="I1291" s="35" t="s">
        <v>2677</v>
      </c>
      <c r="J1291" s="35">
        <v>36</v>
      </c>
      <c r="K1291" s="35">
        <f>VALUE(COUNTIF(Validation!$A$2:$H$47,E1291))</f>
        <v>0</v>
      </c>
      <c r="L1291" s="361">
        <f t="shared" si="245"/>
        <v>700000</v>
      </c>
      <c r="M1291" s="361">
        <f t="shared" si="246"/>
        <v>0</v>
      </c>
      <c r="N1291" s="358">
        <v>700000</v>
      </c>
      <c r="O1291" s="358" t="s">
        <v>7</v>
      </c>
      <c r="P1291" s="358">
        <v>0</v>
      </c>
      <c r="Q1291" s="358">
        <v>0</v>
      </c>
      <c r="R1291" s="358">
        <v>0</v>
      </c>
      <c r="S1291" s="358">
        <v>0</v>
      </c>
      <c r="T1291" s="358">
        <v>0</v>
      </c>
      <c r="U1291" s="35">
        <f t="shared" si="240"/>
        <v>1</v>
      </c>
      <c r="W1291">
        <f t="shared" si="247"/>
        <v>1</v>
      </c>
      <c r="X1291" s="35">
        <f t="shared" si="241"/>
        <v>0</v>
      </c>
      <c r="Y1291">
        <f t="shared" si="242"/>
        <v>0</v>
      </c>
      <c r="AB1291">
        <f t="shared" si="250"/>
        <v>1</v>
      </c>
      <c r="AC1291">
        <f t="shared" ca="1" si="251"/>
        <v>0</v>
      </c>
      <c r="AD1291" t="str">
        <f ca="1">IF(AC1291=1,COUNTIF($AC$3:AC1291,1),"")</f>
        <v/>
      </c>
      <c r="AE1291" s="155" t="str">
        <f ca="1">IFERROR(INDEX(Données!$B$3:$B$1479,MATCH(ROWS($AD$3:AD1291),$AD$3:$AD$1479,0)),"")</f>
        <v/>
      </c>
    </row>
    <row r="1292" spans="1:31" ht="15.75" x14ac:dyDescent="0.25">
      <c r="A1292" t="str">
        <f t="shared" si="248"/>
        <v>Frederik Gauthier - TOR - C</v>
      </c>
      <c r="B1292" t="str">
        <f t="shared" si="249"/>
        <v>Frederik Gauthier - TOR - C</v>
      </c>
      <c r="C1292" t="str">
        <f t="shared" si="243"/>
        <v>Frederik</v>
      </c>
      <c r="D1292" t="str">
        <f t="shared" si="244"/>
        <v>Gauthier</v>
      </c>
      <c r="E1292" s="39" t="s">
        <v>2901</v>
      </c>
      <c r="F1292" s="30" t="s">
        <v>33</v>
      </c>
      <c r="G1292" s="35">
        <v>0</v>
      </c>
      <c r="H1292" s="35" t="s">
        <v>73</v>
      </c>
      <c r="I1292" s="35" t="s">
        <v>2677</v>
      </c>
      <c r="J1292" s="35">
        <v>24</v>
      </c>
      <c r="K1292" s="35">
        <f>VALUE(COUNTIF(Validation!$A$2:$H$47,E1292))</f>
        <v>0</v>
      </c>
      <c r="L1292" s="361">
        <f t="shared" si="245"/>
        <v>675000</v>
      </c>
      <c r="M1292" s="361">
        <f t="shared" si="246"/>
        <v>0</v>
      </c>
      <c r="N1292" s="358">
        <v>675000</v>
      </c>
      <c r="O1292" s="358" t="s">
        <v>8</v>
      </c>
      <c r="P1292" s="358">
        <v>0</v>
      </c>
      <c r="Q1292" s="358">
        <v>0</v>
      </c>
      <c r="R1292" s="358">
        <v>0</v>
      </c>
      <c r="S1292" s="358">
        <v>0</v>
      </c>
      <c r="T1292" s="358">
        <v>0</v>
      </c>
      <c r="U1292" s="35">
        <f t="shared" si="240"/>
        <v>1</v>
      </c>
      <c r="W1292">
        <f t="shared" si="247"/>
        <v>1</v>
      </c>
      <c r="X1292" s="35">
        <f t="shared" si="241"/>
        <v>0</v>
      </c>
      <c r="Y1292">
        <f t="shared" si="242"/>
        <v>0</v>
      </c>
      <c r="AB1292">
        <f t="shared" si="250"/>
        <v>1</v>
      </c>
      <c r="AC1292">
        <f t="shared" ca="1" si="251"/>
        <v>0</v>
      </c>
      <c r="AD1292" t="str">
        <f ca="1">IF(AC1292=1,COUNTIF($AC$3:AC1292,1),"")</f>
        <v/>
      </c>
      <c r="AE1292" s="155" t="str">
        <f ca="1">IFERROR(INDEX(Données!$B$3:$B$1479,MATCH(ROWS($AD$3:AD1292),$AD$3:$AD$1479,0)),"")</f>
        <v/>
      </c>
    </row>
    <row r="1293" spans="1:31" ht="15.75" x14ac:dyDescent="0.25">
      <c r="A1293" t="str">
        <f t="shared" si="248"/>
        <v>Justin Holl - TOR - RD</v>
      </c>
      <c r="B1293" t="str">
        <f t="shared" si="249"/>
        <v>Justin Holl - TOR - RD</v>
      </c>
      <c r="C1293" t="str">
        <f t="shared" si="243"/>
        <v>Justin</v>
      </c>
      <c r="D1293" t="str">
        <f t="shared" si="244"/>
        <v>Holl</v>
      </c>
      <c r="E1293" s="39" t="s">
        <v>1600</v>
      </c>
      <c r="F1293" s="30" t="s">
        <v>33</v>
      </c>
      <c r="G1293" s="35">
        <v>0</v>
      </c>
      <c r="H1293" s="35" t="s">
        <v>379</v>
      </c>
      <c r="I1293" s="35" t="s">
        <v>2677</v>
      </c>
      <c r="J1293" s="35">
        <v>27</v>
      </c>
      <c r="K1293" s="35">
        <f>VALUE(COUNTIF(Validation!$A$2:$H$47,E1293))</f>
        <v>0</v>
      </c>
      <c r="L1293" s="361">
        <f t="shared" si="245"/>
        <v>675000</v>
      </c>
      <c r="M1293" s="361">
        <f t="shared" si="246"/>
        <v>0</v>
      </c>
      <c r="N1293" s="358">
        <v>675000</v>
      </c>
      <c r="O1293" s="358" t="s">
        <v>7</v>
      </c>
      <c r="P1293" s="358">
        <v>0</v>
      </c>
      <c r="Q1293" s="358">
        <v>0</v>
      </c>
      <c r="R1293" s="358">
        <v>0</v>
      </c>
      <c r="S1293" s="358">
        <v>0</v>
      </c>
      <c r="T1293" s="358">
        <v>0</v>
      </c>
      <c r="U1293" s="35">
        <f t="shared" si="240"/>
        <v>1</v>
      </c>
      <c r="W1293">
        <f t="shared" si="247"/>
        <v>1</v>
      </c>
      <c r="X1293" s="35">
        <f t="shared" si="241"/>
        <v>0</v>
      </c>
      <c r="Y1293">
        <f t="shared" si="242"/>
        <v>0</v>
      </c>
      <c r="AB1293">
        <f t="shared" si="250"/>
        <v>1</v>
      </c>
      <c r="AC1293">
        <f t="shared" ca="1" si="251"/>
        <v>0</v>
      </c>
      <c r="AD1293" t="str">
        <f ca="1">IF(AC1293=1,COUNTIF($AC$3:AC1293,1),"")</f>
        <v/>
      </c>
      <c r="AE1293" s="155" t="str">
        <f ca="1">IFERROR(INDEX(Données!$B$3:$B$1479,MATCH(ROWS($AD$3:AD1293),$AD$3:$AD$1479,0)),"")</f>
        <v/>
      </c>
    </row>
    <row r="1294" spans="1:31" ht="15.75" x14ac:dyDescent="0.25">
      <c r="A1294" t="str">
        <f t="shared" si="248"/>
        <v>Kasimir Kaskisuo - TOR - G</v>
      </c>
      <c r="B1294" t="str">
        <f t="shared" si="249"/>
        <v>Kasimir Kaskisuo - TOR - G</v>
      </c>
      <c r="C1294" t="str">
        <f t="shared" si="243"/>
        <v>Kasimir</v>
      </c>
      <c r="D1294" t="str">
        <f t="shared" si="244"/>
        <v>Kaskisuo</v>
      </c>
      <c r="E1294" s="39" t="s">
        <v>1618</v>
      </c>
      <c r="F1294" s="30" t="s">
        <v>33</v>
      </c>
      <c r="G1294" s="35">
        <v>0</v>
      </c>
      <c r="H1294" s="35" t="s">
        <v>127</v>
      </c>
      <c r="I1294" s="35" t="s">
        <v>2690</v>
      </c>
      <c r="J1294" s="35">
        <v>25</v>
      </c>
      <c r="K1294" s="35">
        <f>VALUE(COUNTIF(Validation!$A$2:$H$47,E1294))</f>
        <v>0</v>
      </c>
      <c r="L1294" s="361">
        <f t="shared" si="245"/>
        <v>675000</v>
      </c>
      <c r="M1294" s="361">
        <f t="shared" si="246"/>
        <v>0</v>
      </c>
      <c r="N1294" s="358">
        <v>675000</v>
      </c>
      <c r="O1294" s="358" t="s">
        <v>8</v>
      </c>
      <c r="P1294" s="358">
        <v>0</v>
      </c>
      <c r="Q1294" s="358">
        <v>0</v>
      </c>
      <c r="R1294" s="358">
        <v>0</v>
      </c>
      <c r="S1294" s="358">
        <v>0</v>
      </c>
      <c r="T1294" s="358">
        <v>0</v>
      </c>
      <c r="U1294" s="35">
        <f t="shared" si="240"/>
        <v>1</v>
      </c>
      <c r="W1294">
        <f t="shared" si="247"/>
        <v>1</v>
      </c>
      <c r="X1294" s="35">
        <f t="shared" si="241"/>
        <v>0</v>
      </c>
      <c r="Y1294">
        <f t="shared" si="242"/>
        <v>0</v>
      </c>
      <c r="AB1294">
        <f t="shared" si="250"/>
        <v>1</v>
      </c>
      <c r="AC1294">
        <f t="shared" ca="1" si="251"/>
        <v>0</v>
      </c>
      <c r="AD1294" t="str">
        <f ca="1">IF(AC1294=1,COUNTIF($AC$3:AC1294,1),"")</f>
        <v/>
      </c>
      <c r="AE1294" s="155" t="str">
        <f ca="1">IFERROR(INDEX(Données!$B$3:$B$1479,MATCH(ROWS($AD$3:AD1294),$AD$3:$AD$1479,0)),"")</f>
        <v/>
      </c>
    </row>
    <row r="1295" spans="1:31" ht="15.75" x14ac:dyDescent="0.25">
      <c r="A1295" t="str">
        <f t="shared" si="248"/>
        <v>Mikhail Grabovski - TOR - 0</v>
      </c>
      <c r="B1295" t="str">
        <f t="shared" si="249"/>
        <v>Mikhail Grabovski - TOR - 0</v>
      </c>
      <c r="C1295" t="str">
        <f t="shared" si="243"/>
        <v>Mikhail</v>
      </c>
      <c r="D1295" t="str">
        <f t="shared" si="244"/>
        <v>Grabovski</v>
      </c>
      <c r="E1295" s="39" t="s">
        <v>2688</v>
      </c>
      <c r="F1295" s="30" t="s">
        <v>33</v>
      </c>
      <c r="G1295" s="35">
        <v>0</v>
      </c>
      <c r="H1295" s="35">
        <v>0</v>
      </c>
      <c r="I1295" s="35">
        <v>0</v>
      </c>
      <c r="J1295" s="35">
        <v>0</v>
      </c>
      <c r="K1295" s="35">
        <f>VALUE(COUNTIF(Validation!$A$2:$H$47,E1295))</f>
        <v>0</v>
      </c>
      <c r="L1295" s="361">
        <f t="shared" si="245"/>
        <v>0</v>
      </c>
      <c r="M1295" s="361">
        <f t="shared" si="246"/>
        <v>0</v>
      </c>
      <c r="N1295" s="358">
        <v>0</v>
      </c>
      <c r="O1295" s="358">
        <v>0</v>
      </c>
      <c r="P1295" s="358">
        <v>0</v>
      </c>
      <c r="Q1295" s="358">
        <v>0</v>
      </c>
      <c r="R1295" s="358">
        <v>0</v>
      </c>
      <c r="S1295" s="358">
        <v>0</v>
      </c>
      <c r="T1295" s="358">
        <v>0</v>
      </c>
      <c r="U1295" s="35">
        <f t="shared" si="240"/>
        <v>0</v>
      </c>
      <c r="W1295">
        <f t="shared" si="247"/>
        <v>1</v>
      </c>
      <c r="X1295" s="35">
        <f t="shared" si="241"/>
        <v>0</v>
      </c>
      <c r="Y1295">
        <f t="shared" si="242"/>
        <v>1</v>
      </c>
      <c r="AB1295">
        <f t="shared" si="250"/>
        <v>1</v>
      </c>
      <c r="AC1295">
        <f t="shared" ca="1" si="251"/>
        <v>0</v>
      </c>
      <c r="AD1295" t="str">
        <f ca="1">IF(AC1295=1,COUNTIF($AC$3:AC1295,1),"")</f>
        <v/>
      </c>
      <c r="AE1295" s="155" t="str">
        <f ca="1">IFERROR(INDEX(Données!$B$3:$B$1479,MATCH(ROWS($AD$3:AD1295),$AD$3:$AD$1479,0)),"")</f>
        <v/>
      </c>
    </row>
    <row r="1296" spans="1:31" ht="15.75" x14ac:dyDescent="0.25">
      <c r="A1296" t="str">
        <f t="shared" si="248"/>
        <v>Mitchell Marner - TOR - RW</v>
      </c>
      <c r="B1296" t="str">
        <f t="shared" si="249"/>
        <v>Mitchell Marner - TOR - RW</v>
      </c>
      <c r="C1296" t="str">
        <f t="shared" si="243"/>
        <v>Mitchell</v>
      </c>
      <c r="D1296" t="str">
        <f t="shared" si="244"/>
        <v>Marner</v>
      </c>
      <c r="E1296" s="39" t="s">
        <v>1591</v>
      </c>
      <c r="F1296" s="30" t="s">
        <v>33</v>
      </c>
      <c r="G1296" s="35">
        <v>0</v>
      </c>
      <c r="H1296" s="35" t="s">
        <v>88</v>
      </c>
      <c r="I1296" s="35" t="s">
        <v>2677</v>
      </c>
      <c r="J1296" s="35">
        <v>22</v>
      </c>
      <c r="K1296" s="35">
        <f>VALUE(COUNTIF(Validation!$A$2:$H$47,E1296))</f>
        <v>0</v>
      </c>
      <c r="L1296" s="361">
        <f t="shared" si="245"/>
        <v>0</v>
      </c>
      <c r="M1296" s="361">
        <f t="shared" si="246"/>
        <v>0</v>
      </c>
      <c r="N1296" s="358" t="s">
        <v>8</v>
      </c>
      <c r="O1296" s="358">
        <v>0</v>
      </c>
      <c r="P1296" s="358">
        <v>0</v>
      </c>
      <c r="Q1296" s="358">
        <v>0</v>
      </c>
      <c r="R1296" s="358">
        <v>0</v>
      </c>
      <c r="S1296" s="358">
        <v>0</v>
      </c>
      <c r="T1296" s="358">
        <v>0</v>
      </c>
      <c r="U1296" s="35">
        <f t="shared" si="240"/>
        <v>0</v>
      </c>
      <c r="W1296">
        <f t="shared" si="247"/>
        <v>1</v>
      </c>
      <c r="X1296" s="35">
        <f t="shared" si="241"/>
        <v>0</v>
      </c>
      <c r="Y1296">
        <f t="shared" si="242"/>
        <v>1</v>
      </c>
      <c r="AB1296">
        <f t="shared" si="250"/>
        <v>1</v>
      </c>
      <c r="AC1296">
        <f t="shared" ca="1" si="251"/>
        <v>0</v>
      </c>
      <c r="AD1296" t="str">
        <f ca="1">IF(AC1296=1,COUNTIF($AC$3:AC1296,1),"")</f>
        <v/>
      </c>
      <c r="AE1296" s="155" t="str">
        <f ca="1">IFERROR(INDEX(Données!$B$3:$B$1479,MATCH(ROWS($AD$3:AD1296),$AD$3:$AD$1479,0)),"")</f>
        <v/>
      </c>
    </row>
    <row r="1297" spans="1:31" ht="15.75" x14ac:dyDescent="0.25">
      <c r="A1297" t="str">
        <f t="shared" si="248"/>
        <v>Alexander Edler - VAN - DG</v>
      </c>
      <c r="B1297" t="str">
        <f t="shared" si="249"/>
        <v>Alexander Edler - VAN - DG</v>
      </c>
      <c r="C1297" t="str">
        <f t="shared" si="243"/>
        <v>Alexander</v>
      </c>
      <c r="D1297" t="str">
        <f t="shared" si="244"/>
        <v>Edler</v>
      </c>
      <c r="E1297" s="39" t="s">
        <v>2955</v>
      </c>
      <c r="F1297" s="30" t="s">
        <v>34</v>
      </c>
      <c r="G1297" s="35" t="s">
        <v>420</v>
      </c>
      <c r="H1297" s="35" t="s">
        <v>2445</v>
      </c>
      <c r="I1297" s="35" t="s">
        <v>2439</v>
      </c>
      <c r="J1297" s="35">
        <v>33</v>
      </c>
      <c r="K1297" s="35">
        <f>VALUE(COUNTIF(Validation!$A$2:$H$47,E1297))</f>
        <v>0</v>
      </c>
      <c r="L1297" s="361">
        <f t="shared" si="245"/>
        <v>6000000</v>
      </c>
      <c r="M1297" s="361">
        <f t="shared" si="246"/>
        <v>6000000</v>
      </c>
      <c r="N1297" s="358">
        <v>6000000</v>
      </c>
      <c r="O1297" s="358">
        <v>6000000</v>
      </c>
      <c r="P1297" s="358" t="s">
        <v>7</v>
      </c>
      <c r="Q1297" s="358">
        <v>0</v>
      </c>
      <c r="R1297" s="358">
        <v>0</v>
      </c>
      <c r="S1297" s="358">
        <v>0</v>
      </c>
      <c r="T1297" s="358">
        <v>0</v>
      </c>
      <c r="U1297" s="35">
        <f t="shared" si="240"/>
        <v>2</v>
      </c>
      <c r="W1297">
        <f t="shared" si="247"/>
        <v>1</v>
      </c>
      <c r="X1297" s="35">
        <f t="shared" si="241"/>
        <v>0</v>
      </c>
      <c r="Y1297">
        <f t="shared" si="242"/>
        <v>1</v>
      </c>
      <c r="AB1297">
        <f t="shared" si="250"/>
        <v>1</v>
      </c>
      <c r="AC1297">
        <f t="shared" ca="1" si="251"/>
        <v>0</v>
      </c>
      <c r="AD1297" t="str">
        <f ca="1">IF(AC1297=1,COUNTIF($AC$3:AC1297,1),"")</f>
        <v/>
      </c>
      <c r="AE1297" s="155" t="str">
        <f ca="1">IFERROR(INDEX(Données!$B$3:$B$1479,MATCH(ROWS($AD$3:AD1297),$AD$3:$AD$1479,0)),"")</f>
        <v/>
      </c>
    </row>
    <row r="1298" spans="1:31" ht="15.75" x14ac:dyDescent="0.25">
      <c r="A1298" t="str">
        <f t="shared" si="248"/>
        <v>Loui Eriksson - VAN - AG, AD</v>
      </c>
      <c r="B1298" t="str">
        <f t="shared" si="249"/>
        <v>Loui Eriksson - VAN - AG, AD</v>
      </c>
      <c r="C1298" t="str">
        <f t="shared" si="243"/>
        <v>Loui</v>
      </c>
      <c r="D1298" t="str">
        <f t="shared" si="244"/>
        <v>Eriksson</v>
      </c>
      <c r="E1298" s="39" t="s">
        <v>2329</v>
      </c>
      <c r="F1298" s="30" t="s">
        <v>34</v>
      </c>
      <c r="G1298" s="35" t="s">
        <v>372</v>
      </c>
      <c r="H1298" s="9" t="s">
        <v>2442</v>
      </c>
      <c r="I1298" s="9" t="s">
        <v>2439</v>
      </c>
      <c r="J1298" s="9">
        <v>34</v>
      </c>
      <c r="K1298" s="35">
        <f>VALUE(COUNTIF(Validation!$A$2:$H$47,E1298))</f>
        <v>0</v>
      </c>
      <c r="L1298" s="361">
        <f t="shared" si="245"/>
        <v>6000000</v>
      </c>
      <c r="M1298" s="361">
        <f t="shared" si="246"/>
        <v>6000000</v>
      </c>
      <c r="N1298" s="358">
        <v>6000000</v>
      </c>
      <c r="O1298" s="358">
        <v>6000000</v>
      </c>
      <c r="P1298" s="358">
        <v>6000000</v>
      </c>
      <c r="Q1298" s="358" t="s">
        <v>7</v>
      </c>
      <c r="R1298" s="358">
        <v>0</v>
      </c>
      <c r="S1298" s="358">
        <v>0</v>
      </c>
      <c r="T1298" s="358">
        <v>0</v>
      </c>
      <c r="U1298" s="35">
        <f t="shared" si="240"/>
        <v>3</v>
      </c>
      <c r="W1298">
        <f t="shared" si="247"/>
        <v>1</v>
      </c>
      <c r="X1298" s="35">
        <f t="shared" si="241"/>
        <v>0</v>
      </c>
      <c r="Y1298">
        <f t="shared" si="242"/>
        <v>1</v>
      </c>
      <c r="AB1298">
        <f t="shared" si="250"/>
        <v>1</v>
      </c>
      <c r="AC1298">
        <f t="shared" ca="1" si="251"/>
        <v>0</v>
      </c>
      <c r="AD1298" t="str">
        <f ca="1">IF(AC1298=1,COUNTIF($AC$3:AC1298,1),"")</f>
        <v/>
      </c>
      <c r="AE1298" s="155" t="str">
        <f ca="1">IFERROR(INDEX(Données!$B$3:$B$1479,MATCH(ROWS($AD$3:AD1298),$AD$3:$AD$1479,0)),"")</f>
        <v/>
      </c>
    </row>
    <row r="1299" spans="1:31" ht="15.75" x14ac:dyDescent="0.25">
      <c r="A1299" t="str">
        <f t="shared" si="248"/>
        <v>Tyler Myers - VAN - DD</v>
      </c>
      <c r="B1299" t="str">
        <f t="shared" si="249"/>
        <v>Tyler Myers - VAN - DD</v>
      </c>
      <c r="C1299" t="str">
        <f t="shared" si="243"/>
        <v>Tyler</v>
      </c>
      <c r="D1299" t="str">
        <f t="shared" si="244"/>
        <v>Myers</v>
      </c>
      <c r="E1299" s="39" t="s">
        <v>2091</v>
      </c>
      <c r="F1299" s="30" t="s">
        <v>34</v>
      </c>
      <c r="G1299" s="35" t="s">
        <v>420</v>
      </c>
      <c r="H1299" s="35" t="s">
        <v>2444</v>
      </c>
      <c r="I1299" s="35" t="s">
        <v>2439</v>
      </c>
      <c r="J1299" s="35">
        <v>29</v>
      </c>
      <c r="K1299" s="35">
        <f>VALUE(COUNTIF(Validation!$A$2:$H$47,E1299))</f>
        <v>0</v>
      </c>
      <c r="L1299" s="361">
        <f t="shared" si="245"/>
        <v>6000000</v>
      </c>
      <c r="M1299" s="361">
        <f t="shared" si="246"/>
        <v>6000000</v>
      </c>
      <c r="N1299" s="358">
        <v>6000000</v>
      </c>
      <c r="O1299" s="358">
        <v>6000000</v>
      </c>
      <c r="P1299" s="358">
        <v>6000000</v>
      </c>
      <c r="Q1299" s="358">
        <v>6000000</v>
      </c>
      <c r="R1299" s="358">
        <v>6000000</v>
      </c>
      <c r="S1299" s="358" t="s">
        <v>7</v>
      </c>
      <c r="T1299" s="358">
        <v>0</v>
      </c>
      <c r="U1299" s="35">
        <f t="shared" si="240"/>
        <v>5</v>
      </c>
      <c r="W1299">
        <f t="shared" si="247"/>
        <v>1</v>
      </c>
      <c r="X1299" s="35">
        <f t="shared" si="241"/>
        <v>0</v>
      </c>
      <c r="Y1299">
        <f t="shared" si="242"/>
        <v>1</v>
      </c>
      <c r="AB1299">
        <f t="shared" si="250"/>
        <v>1</v>
      </c>
      <c r="AC1299">
        <f t="shared" ca="1" si="251"/>
        <v>0</v>
      </c>
      <c r="AD1299" t="str">
        <f ca="1">IF(AC1299=1,COUNTIF($AC$3:AC1299,1),"")</f>
        <v/>
      </c>
      <c r="AE1299" s="155" t="str">
        <f ca="1">IFERROR(INDEX(Données!$B$3:$B$1479,MATCH(ROWS($AD$3:AD1299),$AD$3:$AD$1479,0)),"")</f>
        <v/>
      </c>
    </row>
    <row r="1300" spans="1:31" ht="15.75" x14ac:dyDescent="0.25">
      <c r="A1300" t="str">
        <f t="shared" si="248"/>
        <v>Bo Horvat - VAN - C</v>
      </c>
      <c r="B1300" t="str">
        <f t="shared" si="249"/>
        <v>Bo Horvat - VAN - C</v>
      </c>
      <c r="C1300" t="str">
        <f t="shared" si="243"/>
        <v>Bo</v>
      </c>
      <c r="D1300" t="str">
        <f t="shared" si="244"/>
        <v>Horvat</v>
      </c>
      <c r="E1300" s="39" t="s">
        <v>2969</v>
      </c>
      <c r="F1300" s="30" t="s">
        <v>34</v>
      </c>
      <c r="G1300" s="35">
        <v>0</v>
      </c>
      <c r="H1300" s="35" t="s">
        <v>73</v>
      </c>
      <c r="I1300" s="35" t="s">
        <v>2439</v>
      </c>
      <c r="J1300" s="35">
        <v>24</v>
      </c>
      <c r="K1300" s="35">
        <f>VALUE(COUNTIF(Validation!$A$2:$H$47,E1300))</f>
        <v>0</v>
      </c>
      <c r="L1300" s="361">
        <f t="shared" si="245"/>
        <v>5500000</v>
      </c>
      <c r="M1300" s="361">
        <f t="shared" si="246"/>
        <v>5500000</v>
      </c>
      <c r="N1300" s="358">
        <v>5500000</v>
      </c>
      <c r="O1300" s="358">
        <v>5500000</v>
      </c>
      <c r="P1300" s="358">
        <v>5500000</v>
      </c>
      <c r="Q1300" s="358">
        <v>5500000</v>
      </c>
      <c r="R1300" s="358" t="s">
        <v>7</v>
      </c>
      <c r="S1300" s="358">
        <v>0</v>
      </c>
      <c r="T1300" s="358">
        <v>0</v>
      </c>
      <c r="U1300" s="35">
        <f t="shared" si="240"/>
        <v>4</v>
      </c>
      <c r="W1300">
        <f t="shared" si="247"/>
        <v>1</v>
      </c>
      <c r="X1300" s="35">
        <f t="shared" si="241"/>
        <v>0</v>
      </c>
      <c r="Y1300">
        <f t="shared" si="242"/>
        <v>1</v>
      </c>
      <c r="AB1300">
        <f t="shared" si="250"/>
        <v>1</v>
      </c>
      <c r="AC1300">
        <f t="shared" ca="1" si="251"/>
        <v>0</v>
      </c>
      <c r="AD1300" t="str">
        <f ca="1">IF(AC1300=1,COUNTIF($AC$3:AC1300,1),"")</f>
        <v/>
      </c>
      <c r="AE1300" s="155" t="str">
        <f ca="1">IFERROR(INDEX(Données!$B$3:$B$1479,MATCH(ROWS($AD$3:AD1300),$AD$3:$AD$1479,0)),"")</f>
        <v/>
      </c>
    </row>
    <row r="1301" spans="1:31" ht="15.75" x14ac:dyDescent="0.25">
      <c r="A1301" t="str">
        <f t="shared" si="248"/>
        <v>J.T. Miller - VAN - C, AG, AD</v>
      </c>
      <c r="B1301" t="str">
        <f t="shared" si="249"/>
        <v>J.T. Miller - VAN - C, AG, AD</v>
      </c>
      <c r="C1301" t="str">
        <f t="shared" si="243"/>
        <v>J.T.</v>
      </c>
      <c r="D1301" t="str">
        <f t="shared" si="244"/>
        <v>Miller</v>
      </c>
      <c r="E1301" s="39" t="s">
        <v>1547</v>
      </c>
      <c r="F1301" s="30" t="s">
        <v>34</v>
      </c>
      <c r="G1301" s="35">
        <v>0</v>
      </c>
      <c r="H1301" s="35" t="s">
        <v>2494</v>
      </c>
      <c r="I1301" s="35" t="s">
        <v>2439</v>
      </c>
      <c r="J1301" s="35">
        <v>26</v>
      </c>
      <c r="K1301" s="35">
        <f>VALUE(COUNTIF(Validation!$A$2:$H$47,E1301))</f>
        <v>0</v>
      </c>
      <c r="L1301" s="361">
        <f t="shared" si="245"/>
        <v>5250000</v>
      </c>
      <c r="M1301" s="361">
        <f t="shared" si="246"/>
        <v>5250000</v>
      </c>
      <c r="N1301" s="358">
        <v>5250000</v>
      </c>
      <c r="O1301" s="358">
        <v>5250000</v>
      </c>
      <c r="P1301" s="358">
        <v>5250000</v>
      </c>
      <c r="Q1301" s="358">
        <v>5250000</v>
      </c>
      <c r="R1301" s="358" t="s">
        <v>7</v>
      </c>
      <c r="S1301" s="358">
        <v>0</v>
      </c>
      <c r="T1301" s="358">
        <v>0</v>
      </c>
      <c r="U1301" s="35">
        <f t="shared" si="240"/>
        <v>4</v>
      </c>
      <c r="W1301">
        <f t="shared" si="247"/>
        <v>1</v>
      </c>
      <c r="X1301" s="35">
        <f t="shared" si="241"/>
        <v>0</v>
      </c>
      <c r="Y1301">
        <f t="shared" si="242"/>
        <v>1</v>
      </c>
      <c r="AB1301">
        <f t="shared" si="250"/>
        <v>1</v>
      </c>
      <c r="AC1301">
        <f t="shared" ca="1" si="251"/>
        <v>0</v>
      </c>
      <c r="AD1301" t="str">
        <f ca="1">IF(AC1301=1,COUNTIF($AC$3:AC1301,1),"")</f>
        <v/>
      </c>
      <c r="AE1301" s="155" t="str">
        <f ca="1">IFERROR(INDEX(Données!$B$3:$B$1479,MATCH(ROWS($AD$3:AD1301),$AD$3:$AD$1479,0)),"")</f>
        <v/>
      </c>
    </row>
    <row r="1302" spans="1:31" ht="15.75" x14ac:dyDescent="0.25">
      <c r="A1302" t="str">
        <f t="shared" si="248"/>
        <v>Christopher Tanev - VAN - DD</v>
      </c>
      <c r="B1302" t="str">
        <f t="shared" si="249"/>
        <v>Christopher Tanev - VAN - DD</v>
      </c>
      <c r="C1302" t="str">
        <f t="shared" si="243"/>
        <v>Christopher</v>
      </c>
      <c r="D1302" t="str">
        <f t="shared" si="244"/>
        <v>Tanev</v>
      </c>
      <c r="E1302" s="39" t="s">
        <v>3008</v>
      </c>
      <c r="F1302" s="30" t="s">
        <v>34</v>
      </c>
      <c r="G1302" s="35" t="s">
        <v>381</v>
      </c>
      <c r="H1302" s="35" t="s">
        <v>2444</v>
      </c>
      <c r="I1302" s="35" t="s">
        <v>2439</v>
      </c>
      <c r="J1302" s="35">
        <v>29</v>
      </c>
      <c r="K1302" s="35">
        <f>VALUE(COUNTIF(Validation!$A$2:$H$47,E1302))</f>
        <v>0</v>
      </c>
      <c r="L1302" s="361">
        <f t="shared" si="245"/>
        <v>4450000</v>
      </c>
      <c r="M1302" s="361">
        <f t="shared" si="246"/>
        <v>0</v>
      </c>
      <c r="N1302" s="358">
        <v>4450000</v>
      </c>
      <c r="O1302" s="358" t="s">
        <v>7</v>
      </c>
      <c r="P1302" s="358">
        <v>0</v>
      </c>
      <c r="Q1302" s="358">
        <v>0</v>
      </c>
      <c r="R1302" s="358">
        <v>0</v>
      </c>
      <c r="S1302" s="358">
        <v>0</v>
      </c>
      <c r="T1302" s="358">
        <v>0</v>
      </c>
      <c r="U1302" s="35">
        <f t="shared" si="240"/>
        <v>1</v>
      </c>
      <c r="W1302">
        <f t="shared" si="247"/>
        <v>1</v>
      </c>
      <c r="X1302" s="35">
        <f t="shared" si="241"/>
        <v>0</v>
      </c>
      <c r="Y1302">
        <f t="shared" si="242"/>
        <v>0</v>
      </c>
      <c r="AB1302">
        <f t="shared" si="250"/>
        <v>1</v>
      </c>
      <c r="AC1302">
        <f t="shared" ca="1" si="251"/>
        <v>0</v>
      </c>
      <c r="AD1302" t="str">
        <f ca="1">IF(AC1302=1,COUNTIF($AC$3:AC1302,1),"")</f>
        <v/>
      </c>
      <c r="AE1302" s="155" t="str">
        <f ca="1">IFERROR(INDEX(Données!$B$3:$B$1479,MATCH(ROWS($AD$3:AD1302),$AD$3:$AD$1479,0)),"")</f>
        <v/>
      </c>
    </row>
    <row r="1303" spans="1:31" ht="15.75" x14ac:dyDescent="0.25">
      <c r="A1303" t="str">
        <f t="shared" si="248"/>
        <v>Brandon Sutter - VAN - C</v>
      </c>
      <c r="B1303" t="str">
        <f t="shared" si="249"/>
        <v>Brandon Sutter - VAN - C</v>
      </c>
      <c r="C1303" t="str">
        <f t="shared" si="243"/>
        <v>Brandon</v>
      </c>
      <c r="D1303" t="str">
        <f t="shared" si="244"/>
        <v>Sutter</v>
      </c>
      <c r="E1303" s="39" t="s">
        <v>3007</v>
      </c>
      <c r="F1303" s="30" t="s">
        <v>34</v>
      </c>
      <c r="G1303" s="35" t="s">
        <v>381</v>
      </c>
      <c r="H1303" s="35" t="s">
        <v>73</v>
      </c>
      <c r="I1303" s="35" t="s">
        <v>2439</v>
      </c>
      <c r="J1303" s="35">
        <v>30</v>
      </c>
      <c r="K1303" s="35">
        <f>VALUE(COUNTIF(Validation!$A$2:$H$47,E1303))</f>
        <v>0</v>
      </c>
      <c r="L1303" s="361">
        <f t="shared" si="245"/>
        <v>4375000</v>
      </c>
      <c r="M1303" s="361">
        <f t="shared" si="246"/>
        <v>4375000</v>
      </c>
      <c r="N1303" s="358">
        <v>4375000</v>
      </c>
      <c r="O1303" s="358">
        <v>4375000</v>
      </c>
      <c r="P1303" s="358" t="s">
        <v>7</v>
      </c>
      <c r="Q1303" s="358">
        <v>0</v>
      </c>
      <c r="R1303" s="358">
        <v>0</v>
      </c>
      <c r="S1303" s="358">
        <v>0</v>
      </c>
      <c r="T1303" s="358">
        <v>0</v>
      </c>
      <c r="U1303" s="35">
        <f t="shared" si="240"/>
        <v>2</v>
      </c>
      <c r="W1303">
        <f t="shared" si="247"/>
        <v>1</v>
      </c>
      <c r="X1303" s="35">
        <f t="shared" si="241"/>
        <v>0</v>
      </c>
      <c r="Y1303">
        <f t="shared" si="242"/>
        <v>1</v>
      </c>
      <c r="AB1303">
        <f t="shared" si="250"/>
        <v>1</v>
      </c>
      <c r="AC1303">
        <f t="shared" ca="1" si="251"/>
        <v>0</v>
      </c>
      <c r="AD1303" t="str">
        <f ca="1">IF(AC1303=1,COUNTIF($AC$3:AC1303,1),"")</f>
        <v/>
      </c>
      <c r="AE1303" s="155" t="str">
        <f ca="1">IFERROR(INDEX(Données!$B$3:$B$1479,MATCH(ROWS($AD$3:AD1303),$AD$3:$AD$1479,0)),"")</f>
        <v/>
      </c>
    </row>
    <row r="1304" spans="1:31" ht="15.75" x14ac:dyDescent="0.25">
      <c r="A1304" t="str">
        <f t="shared" si="248"/>
        <v>Elias Pettersson - VAN - C, AG</v>
      </c>
      <c r="B1304" t="str">
        <f t="shared" si="249"/>
        <v>Elias Pettersson - VAN - C, AG</v>
      </c>
      <c r="C1304" t="str">
        <f t="shared" si="243"/>
        <v>Elias</v>
      </c>
      <c r="D1304" t="str">
        <f t="shared" si="244"/>
        <v>Pettersson</v>
      </c>
      <c r="E1304" s="39" t="s">
        <v>2348</v>
      </c>
      <c r="F1304" s="30" t="s">
        <v>34</v>
      </c>
      <c r="G1304" s="35" t="s">
        <v>386</v>
      </c>
      <c r="H1304" s="35" t="s">
        <v>2452</v>
      </c>
      <c r="I1304" s="35" t="s">
        <v>2439</v>
      </c>
      <c r="J1304" s="35">
        <v>20</v>
      </c>
      <c r="K1304" s="35">
        <f>VALUE(COUNTIF(Validation!$A$2:$H$47,E1304))</f>
        <v>0</v>
      </c>
      <c r="L1304" s="361">
        <f t="shared" si="245"/>
        <v>3775000</v>
      </c>
      <c r="M1304" s="361">
        <f t="shared" si="246"/>
        <v>3775000</v>
      </c>
      <c r="N1304" s="358">
        <v>3775000</v>
      </c>
      <c r="O1304" s="358">
        <v>3775000</v>
      </c>
      <c r="P1304" s="358" t="s">
        <v>8</v>
      </c>
      <c r="Q1304" s="358">
        <v>0</v>
      </c>
      <c r="R1304" s="358">
        <v>0</v>
      </c>
      <c r="S1304" s="358">
        <v>0</v>
      </c>
      <c r="T1304" s="358">
        <v>0</v>
      </c>
      <c r="U1304" s="35">
        <f t="shared" si="240"/>
        <v>2</v>
      </c>
      <c r="W1304">
        <f t="shared" si="247"/>
        <v>1</v>
      </c>
      <c r="X1304" s="35">
        <f t="shared" si="241"/>
        <v>1</v>
      </c>
      <c r="Y1304">
        <f t="shared" si="242"/>
        <v>1</v>
      </c>
      <c r="AB1304">
        <f t="shared" si="250"/>
        <v>1</v>
      </c>
      <c r="AC1304">
        <f t="shared" ca="1" si="251"/>
        <v>0</v>
      </c>
      <c r="AD1304" t="str">
        <f ca="1">IF(AC1304=1,COUNTIF($AC$3:AC1304,1),"")</f>
        <v/>
      </c>
      <c r="AE1304" s="155" t="str">
        <f ca="1">IFERROR(INDEX(Données!$B$3:$B$1479,MATCH(ROWS($AD$3:AD1304),$AD$3:$AD$1479,0)),"")</f>
        <v/>
      </c>
    </row>
    <row r="1305" spans="1:31" ht="15.75" x14ac:dyDescent="0.25">
      <c r="A1305" t="str">
        <f t="shared" si="248"/>
        <v>Tanner Pearson - VAN - AG</v>
      </c>
      <c r="B1305" t="str">
        <f t="shared" si="249"/>
        <v>Tanner Pearson - VAN - AG</v>
      </c>
      <c r="C1305" t="str">
        <f t="shared" si="243"/>
        <v>Tanner</v>
      </c>
      <c r="D1305" t="str">
        <f t="shared" si="244"/>
        <v>Pearson</v>
      </c>
      <c r="E1305" s="39" t="s">
        <v>2256</v>
      </c>
      <c r="F1305" s="30" t="s">
        <v>34</v>
      </c>
      <c r="G1305" s="35">
        <v>0</v>
      </c>
      <c r="H1305" s="35" t="s">
        <v>2440</v>
      </c>
      <c r="I1305" s="35" t="s">
        <v>2439</v>
      </c>
      <c r="J1305" s="35">
        <v>27</v>
      </c>
      <c r="K1305" s="35">
        <f>VALUE(COUNTIF(Validation!$A$2:$H$47,E1305))</f>
        <v>0</v>
      </c>
      <c r="L1305" s="361">
        <f t="shared" si="245"/>
        <v>3750000</v>
      </c>
      <c r="M1305" s="361">
        <f t="shared" si="246"/>
        <v>3750000</v>
      </c>
      <c r="N1305" s="358">
        <v>3750000</v>
      </c>
      <c r="O1305" s="358">
        <v>3750000</v>
      </c>
      <c r="P1305" s="358" t="s">
        <v>7</v>
      </c>
      <c r="Q1305" s="358">
        <v>0</v>
      </c>
      <c r="R1305" s="358">
        <v>0</v>
      </c>
      <c r="S1305" s="358">
        <v>0</v>
      </c>
      <c r="T1305" s="358">
        <v>0</v>
      </c>
      <c r="U1305" s="35">
        <f t="shared" si="240"/>
        <v>2</v>
      </c>
      <c r="W1305">
        <f t="shared" si="247"/>
        <v>1</v>
      </c>
      <c r="X1305" s="35">
        <f t="shared" si="241"/>
        <v>0</v>
      </c>
      <c r="Y1305">
        <f t="shared" si="242"/>
        <v>1</v>
      </c>
      <c r="AB1305">
        <f t="shared" si="250"/>
        <v>1</v>
      </c>
      <c r="AC1305">
        <f t="shared" ca="1" si="251"/>
        <v>0</v>
      </c>
      <c r="AD1305" t="str">
        <f ca="1">IF(AC1305=1,COUNTIF($AC$3:AC1305,1),"")</f>
        <v/>
      </c>
      <c r="AE1305" s="155" t="str">
        <f ca="1">IFERROR(INDEX(Données!$B$3:$B$1479,MATCH(ROWS($AD$3:AD1305),$AD$3:$AD$1479,0)),"")</f>
        <v/>
      </c>
    </row>
    <row r="1306" spans="1:31" ht="15.75" x14ac:dyDescent="0.25">
      <c r="A1306" t="str">
        <f t="shared" si="248"/>
        <v>Jacob Markstrom - VAN - G</v>
      </c>
      <c r="B1306" t="str">
        <f t="shared" si="249"/>
        <v>Jacob Markstrom - VAN - G</v>
      </c>
      <c r="C1306" t="str">
        <f t="shared" si="243"/>
        <v>Jacob</v>
      </c>
      <c r="D1306" t="str">
        <f t="shared" si="244"/>
        <v>Markstrom</v>
      </c>
      <c r="E1306" s="39" t="s">
        <v>2858</v>
      </c>
      <c r="F1306" s="30" t="s">
        <v>34</v>
      </c>
      <c r="G1306" s="35">
        <v>0</v>
      </c>
      <c r="H1306" s="9" t="s">
        <v>127</v>
      </c>
      <c r="I1306" s="9" t="s">
        <v>2439</v>
      </c>
      <c r="J1306" s="9">
        <v>29</v>
      </c>
      <c r="K1306" s="35"/>
      <c r="L1306" s="361">
        <f t="shared" si="245"/>
        <v>3666667</v>
      </c>
      <c r="M1306" s="361">
        <f t="shared" si="246"/>
        <v>0</v>
      </c>
      <c r="N1306" s="358">
        <v>3666667</v>
      </c>
      <c r="O1306" s="358" t="s">
        <v>7</v>
      </c>
      <c r="P1306" s="358">
        <v>0</v>
      </c>
      <c r="Q1306" s="358">
        <v>0</v>
      </c>
      <c r="R1306" s="358">
        <v>0</v>
      </c>
      <c r="S1306" s="358">
        <v>0</v>
      </c>
      <c r="T1306" s="358">
        <v>0</v>
      </c>
      <c r="U1306" s="35">
        <f t="shared" si="240"/>
        <v>1</v>
      </c>
      <c r="W1306">
        <f t="shared" si="247"/>
        <v>1</v>
      </c>
      <c r="X1306" s="35">
        <f t="shared" si="241"/>
        <v>0</v>
      </c>
      <c r="Y1306">
        <f t="shared" si="242"/>
        <v>0</v>
      </c>
      <c r="AB1306">
        <f t="shared" si="250"/>
        <v>1</v>
      </c>
      <c r="AC1306">
        <f t="shared" ca="1" si="251"/>
        <v>0</v>
      </c>
      <c r="AD1306" t="str">
        <f ca="1">IF(AC1306=1,COUNTIF($AC$3:AC1306,1),"")</f>
        <v/>
      </c>
      <c r="AE1306" s="155" t="str">
        <f ca="1">IFERROR(INDEX(Données!$B$3:$B$1479,MATCH(ROWS($AD$3:AD1306),$AD$3:$AD$1479,0)),"")</f>
        <v/>
      </c>
    </row>
    <row r="1307" spans="1:31" ht="15.75" x14ac:dyDescent="0.25">
      <c r="A1307" t="str">
        <f t="shared" si="248"/>
        <v>Micheal Ferland - VAN - AG, AD</v>
      </c>
      <c r="B1307" t="str">
        <f t="shared" si="249"/>
        <v>Micheal Ferland - VAN - AG, AD</v>
      </c>
      <c r="C1307" t="str">
        <f t="shared" si="243"/>
        <v>Micheal</v>
      </c>
      <c r="D1307" t="str">
        <f t="shared" si="244"/>
        <v>Ferland</v>
      </c>
      <c r="E1307" s="39" t="s">
        <v>2734</v>
      </c>
      <c r="F1307" s="30" t="s">
        <v>34</v>
      </c>
      <c r="G1307" s="35" t="s">
        <v>420</v>
      </c>
      <c r="H1307" s="9" t="s">
        <v>2442</v>
      </c>
      <c r="I1307" s="9" t="s">
        <v>2439</v>
      </c>
      <c r="J1307" s="9">
        <v>27</v>
      </c>
      <c r="K1307" s="35">
        <f>VALUE(COUNTIF(Validation!$A$2:$H$47,E1307))</f>
        <v>0</v>
      </c>
      <c r="L1307" s="361">
        <f t="shared" si="245"/>
        <v>3500000</v>
      </c>
      <c r="M1307" s="361">
        <f t="shared" si="246"/>
        <v>3500000</v>
      </c>
      <c r="N1307" s="358">
        <v>3500000</v>
      </c>
      <c r="O1307" s="358">
        <v>3500000</v>
      </c>
      <c r="P1307" s="358">
        <v>3500000</v>
      </c>
      <c r="Q1307" s="358">
        <v>3500000</v>
      </c>
      <c r="R1307" s="358" t="s">
        <v>7</v>
      </c>
      <c r="S1307" s="358">
        <v>0</v>
      </c>
      <c r="T1307" s="358">
        <v>0</v>
      </c>
      <c r="U1307" s="35">
        <f t="shared" si="240"/>
        <v>4</v>
      </c>
      <c r="W1307">
        <f t="shared" si="247"/>
        <v>1</v>
      </c>
      <c r="X1307" s="35">
        <f t="shared" si="241"/>
        <v>0</v>
      </c>
      <c r="Y1307">
        <f t="shared" si="242"/>
        <v>1</v>
      </c>
      <c r="AB1307">
        <f t="shared" si="250"/>
        <v>1</v>
      </c>
      <c r="AC1307">
        <f t="shared" ca="1" si="251"/>
        <v>0</v>
      </c>
      <c r="AD1307" t="str">
        <f ca="1">IF(AC1307=1,COUNTIF($AC$3:AC1307,1),"")</f>
        <v/>
      </c>
      <c r="AE1307" s="155" t="str">
        <f ca="1">IFERROR(INDEX(Données!$B$3:$B$1479,MATCH(ROWS($AD$3:AD1307),$AD$3:$AD$1479,0)),"")</f>
        <v/>
      </c>
    </row>
    <row r="1308" spans="1:31" ht="15.75" x14ac:dyDescent="0.25">
      <c r="A1308" t="str">
        <f t="shared" si="248"/>
        <v>Sven Baertschi - VAN - AG</v>
      </c>
      <c r="B1308" t="str">
        <f t="shared" si="249"/>
        <v>Sven Baertschi - VAN - AG</v>
      </c>
      <c r="C1308" t="str">
        <f t="shared" si="243"/>
        <v>Sven</v>
      </c>
      <c r="D1308" t="str">
        <f t="shared" si="244"/>
        <v>Baertschi</v>
      </c>
      <c r="E1308" s="39" t="s">
        <v>2330</v>
      </c>
      <c r="F1308" s="30" t="s">
        <v>34</v>
      </c>
      <c r="G1308" s="35">
        <v>0</v>
      </c>
      <c r="H1308" s="35" t="s">
        <v>2440</v>
      </c>
      <c r="I1308" s="35" t="s">
        <v>2439</v>
      </c>
      <c r="J1308" s="35">
        <v>26</v>
      </c>
      <c r="K1308" s="35">
        <f>VALUE(COUNTIF(Validation!$A$2:$H$47,E1308))</f>
        <v>0</v>
      </c>
      <c r="L1308" s="361">
        <f t="shared" si="245"/>
        <v>3366666</v>
      </c>
      <c r="M1308" s="361">
        <f t="shared" si="246"/>
        <v>3366666</v>
      </c>
      <c r="N1308" s="358">
        <v>3366666</v>
      </c>
      <c r="O1308" s="358">
        <v>3366666</v>
      </c>
      <c r="P1308" s="358" t="s">
        <v>7</v>
      </c>
      <c r="Q1308" s="358">
        <v>0</v>
      </c>
      <c r="R1308" s="358">
        <v>0</v>
      </c>
      <c r="S1308" s="358">
        <v>0</v>
      </c>
      <c r="T1308" s="358">
        <v>0</v>
      </c>
      <c r="U1308" s="35">
        <f t="shared" si="240"/>
        <v>2</v>
      </c>
      <c r="W1308">
        <f t="shared" si="247"/>
        <v>1</v>
      </c>
      <c r="X1308" s="35">
        <f t="shared" si="241"/>
        <v>0</v>
      </c>
      <c r="Y1308">
        <f t="shared" si="242"/>
        <v>1</v>
      </c>
      <c r="AB1308">
        <f t="shared" si="250"/>
        <v>1</v>
      </c>
      <c r="AC1308">
        <f t="shared" ca="1" si="251"/>
        <v>0</v>
      </c>
      <c r="AD1308" t="str">
        <f ca="1">IF(AC1308=1,COUNTIF($AC$3:AC1308,1),"")</f>
        <v/>
      </c>
      <c r="AE1308" s="155" t="str">
        <f ca="1">IFERROR(INDEX(Données!$B$3:$B$1479,MATCH(ROWS($AD$3:AD1308),$AD$3:$AD$1479,0)),"")</f>
        <v/>
      </c>
    </row>
    <row r="1309" spans="1:31" ht="15.75" x14ac:dyDescent="0.25">
      <c r="A1309" t="str">
        <f t="shared" si="248"/>
        <v>Jay Beagle - VAN - C</v>
      </c>
      <c r="B1309" t="str">
        <f t="shared" si="249"/>
        <v>Jay Beagle - VAN - C</v>
      </c>
      <c r="C1309" t="str">
        <f t="shared" si="243"/>
        <v>Jay</v>
      </c>
      <c r="D1309" t="str">
        <f t="shared" si="244"/>
        <v>Beagle</v>
      </c>
      <c r="E1309" s="39" t="s">
        <v>2333</v>
      </c>
      <c r="F1309" s="30" t="s">
        <v>34</v>
      </c>
      <c r="G1309" s="35" t="s">
        <v>381</v>
      </c>
      <c r="H1309" s="35" t="s">
        <v>73</v>
      </c>
      <c r="I1309" s="35" t="s">
        <v>2439</v>
      </c>
      <c r="J1309" s="35">
        <v>33</v>
      </c>
      <c r="K1309" s="35">
        <f>VALUE(COUNTIF(Validation!$A$2:$H$47,E1309))</f>
        <v>0</v>
      </c>
      <c r="L1309" s="361">
        <f t="shared" si="245"/>
        <v>3000000</v>
      </c>
      <c r="M1309" s="361">
        <f t="shared" si="246"/>
        <v>3000000</v>
      </c>
      <c r="N1309" s="358">
        <v>3000000</v>
      </c>
      <c r="O1309" s="358">
        <v>3000000</v>
      </c>
      <c r="P1309" s="358">
        <v>3000000</v>
      </c>
      <c r="Q1309" s="358" t="s">
        <v>7</v>
      </c>
      <c r="R1309" s="358">
        <v>0</v>
      </c>
      <c r="S1309" s="358">
        <v>0</v>
      </c>
      <c r="T1309" s="358">
        <v>0</v>
      </c>
      <c r="U1309" s="35">
        <f t="shared" si="240"/>
        <v>3</v>
      </c>
      <c r="W1309">
        <f t="shared" si="247"/>
        <v>1</v>
      </c>
      <c r="X1309" s="35">
        <f t="shared" si="241"/>
        <v>0</v>
      </c>
      <c r="Y1309">
        <f t="shared" si="242"/>
        <v>1</v>
      </c>
      <c r="AB1309">
        <f t="shared" si="250"/>
        <v>1</v>
      </c>
      <c r="AC1309">
        <f t="shared" ca="1" si="251"/>
        <v>0</v>
      </c>
      <c r="AD1309" t="str">
        <f ca="1">IF(AC1309=1,COUNTIF($AC$3:AC1309,1),"")</f>
        <v/>
      </c>
      <c r="AE1309" s="155" t="str">
        <f ca="1">IFERROR(INDEX(Données!$B$3:$B$1479,MATCH(ROWS($AD$3:AD1309),$AD$3:$AD$1479,0)),"")</f>
        <v/>
      </c>
    </row>
    <row r="1310" spans="1:31" ht="15.75" x14ac:dyDescent="0.25">
      <c r="A1310" t="str">
        <f t="shared" si="248"/>
        <v>Antoine Roussel - VAN - AG</v>
      </c>
      <c r="B1310" t="str">
        <f t="shared" si="249"/>
        <v>Antoine Roussel - VAN - AG</v>
      </c>
      <c r="C1310" t="str">
        <f t="shared" si="243"/>
        <v>Antoine</v>
      </c>
      <c r="D1310" t="str">
        <f t="shared" si="244"/>
        <v>Roussel</v>
      </c>
      <c r="E1310" s="39" t="s">
        <v>2332</v>
      </c>
      <c r="F1310" s="30" t="s">
        <v>34</v>
      </c>
      <c r="G1310" s="35" t="s">
        <v>381</v>
      </c>
      <c r="H1310" s="35" t="s">
        <v>2440</v>
      </c>
      <c r="I1310" s="35" t="s">
        <v>2439</v>
      </c>
      <c r="J1310" s="35">
        <v>29</v>
      </c>
      <c r="K1310" s="35">
        <f>VALUE(COUNTIF(Validation!$A$2:$H$47,E1310))</f>
        <v>0</v>
      </c>
      <c r="L1310" s="361">
        <f t="shared" si="245"/>
        <v>3000000</v>
      </c>
      <c r="M1310" s="361">
        <f t="shared" si="246"/>
        <v>3000000</v>
      </c>
      <c r="N1310" s="358">
        <v>3000000</v>
      </c>
      <c r="O1310" s="358">
        <v>3000000</v>
      </c>
      <c r="P1310" s="358">
        <v>3000000</v>
      </c>
      <c r="Q1310" s="358" t="s">
        <v>7</v>
      </c>
      <c r="R1310" s="358">
        <v>0</v>
      </c>
      <c r="S1310" s="358">
        <v>0</v>
      </c>
      <c r="T1310" s="358">
        <v>0</v>
      </c>
      <c r="U1310" s="35">
        <f t="shared" si="240"/>
        <v>3</v>
      </c>
      <c r="W1310">
        <f t="shared" si="247"/>
        <v>1</v>
      </c>
      <c r="X1310" s="35">
        <f t="shared" si="241"/>
        <v>0</v>
      </c>
      <c r="Y1310">
        <f t="shared" si="242"/>
        <v>1</v>
      </c>
      <c r="AB1310">
        <f t="shared" si="250"/>
        <v>1</v>
      </c>
      <c r="AC1310">
        <f t="shared" ca="1" si="251"/>
        <v>0</v>
      </c>
      <c r="AD1310" t="str">
        <f ca="1">IF(AC1310=1,COUNTIF($AC$3:AC1310,1),"")</f>
        <v/>
      </c>
      <c r="AE1310" s="155" t="str">
        <f ca="1">IFERROR(INDEX(Données!$B$3:$B$1479,MATCH(ROWS($AD$3:AD1310),$AD$3:$AD$1479,0)),"")</f>
        <v/>
      </c>
    </row>
    <row r="1311" spans="1:31" ht="15.75" x14ac:dyDescent="0.25">
      <c r="A1311" t="str">
        <f t="shared" si="248"/>
        <v>Troy Stecher - VAN - DD</v>
      </c>
      <c r="B1311" t="str">
        <f t="shared" si="249"/>
        <v>Troy Stecher - VAN - DD</v>
      </c>
      <c r="C1311" t="str">
        <f t="shared" si="243"/>
        <v>Troy</v>
      </c>
      <c r="D1311" t="str">
        <f t="shared" si="244"/>
        <v>Stecher</v>
      </c>
      <c r="E1311" s="39" t="s">
        <v>2342</v>
      </c>
      <c r="F1311" s="30" t="s">
        <v>34</v>
      </c>
      <c r="G1311" s="35">
        <v>0</v>
      </c>
      <c r="H1311" s="35" t="s">
        <v>2444</v>
      </c>
      <c r="I1311" s="35" t="s">
        <v>2439</v>
      </c>
      <c r="J1311" s="35">
        <v>25</v>
      </c>
      <c r="K1311" s="35">
        <f>VALUE(COUNTIF(Validation!$A$2:$H$47,E1311))</f>
        <v>0</v>
      </c>
      <c r="L1311" s="361">
        <f t="shared" si="245"/>
        <v>2325000</v>
      </c>
      <c r="M1311" s="361">
        <f t="shared" si="246"/>
        <v>0</v>
      </c>
      <c r="N1311" s="358">
        <v>2325000</v>
      </c>
      <c r="O1311" s="358" t="s">
        <v>8</v>
      </c>
      <c r="P1311" s="358">
        <v>0</v>
      </c>
      <c r="Q1311" s="358">
        <v>0</v>
      </c>
      <c r="R1311" s="358">
        <v>0</v>
      </c>
      <c r="S1311" s="358">
        <v>0</v>
      </c>
      <c r="T1311" s="358">
        <v>0</v>
      </c>
      <c r="U1311" s="35">
        <f t="shared" si="240"/>
        <v>1</v>
      </c>
      <c r="W1311">
        <f t="shared" si="247"/>
        <v>1</v>
      </c>
      <c r="X1311" s="35">
        <f t="shared" si="241"/>
        <v>0</v>
      </c>
      <c r="Y1311">
        <f t="shared" si="242"/>
        <v>0</v>
      </c>
      <c r="AB1311">
        <f t="shared" si="250"/>
        <v>1</v>
      </c>
      <c r="AC1311">
        <f t="shared" ca="1" si="251"/>
        <v>0</v>
      </c>
      <c r="AD1311" t="str">
        <f ca="1">IF(AC1311=1,COUNTIF($AC$3:AC1311,1),"")</f>
        <v/>
      </c>
      <c r="AE1311" s="155" t="str">
        <f ca="1">IFERROR(INDEX(Données!$B$3:$B$1479,MATCH(ROWS($AD$3:AD1311),$AD$3:$AD$1479,0)),"")</f>
        <v/>
      </c>
    </row>
    <row r="1312" spans="1:31" ht="15.75" x14ac:dyDescent="0.25">
      <c r="A1312" t="str">
        <f t="shared" si="248"/>
        <v>Jordie Benn - VAN - DG</v>
      </c>
      <c r="B1312" t="str">
        <f t="shared" si="249"/>
        <v>Jordie Benn - VAN - DG</v>
      </c>
      <c r="C1312" t="str">
        <f t="shared" si="243"/>
        <v>Jordie</v>
      </c>
      <c r="D1312" t="str">
        <f t="shared" si="244"/>
        <v>Benn</v>
      </c>
      <c r="E1312" s="39" t="s">
        <v>1491</v>
      </c>
      <c r="F1312" s="30" t="s">
        <v>34</v>
      </c>
      <c r="G1312" s="35">
        <v>0</v>
      </c>
      <c r="H1312" s="35" t="s">
        <v>2445</v>
      </c>
      <c r="I1312" s="35" t="s">
        <v>2439</v>
      </c>
      <c r="J1312" s="35">
        <v>32</v>
      </c>
      <c r="K1312" s="35">
        <f>VALUE(COUNTIF(Validation!$A$2:$H$47,E1312))</f>
        <v>0</v>
      </c>
      <c r="L1312" s="361">
        <f t="shared" si="245"/>
        <v>2000000</v>
      </c>
      <c r="M1312" s="361">
        <f t="shared" si="246"/>
        <v>2000000</v>
      </c>
      <c r="N1312" s="358">
        <v>2000000</v>
      </c>
      <c r="O1312" s="358">
        <v>2000000</v>
      </c>
      <c r="P1312" s="358" t="s">
        <v>7</v>
      </c>
      <c r="Q1312" s="358">
        <v>0</v>
      </c>
      <c r="R1312" s="358">
        <v>0</v>
      </c>
      <c r="S1312" s="358">
        <v>0</v>
      </c>
      <c r="T1312" s="358">
        <v>0</v>
      </c>
      <c r="U1312" s="35">
        <f t="shared" si="240"/>
        <v>2</v>
      </c>
      <c r="W1312">
        <f t="shared" si="247"/>
        <v>1</v>
      </c>
      <c r="X1312" s="35">
        <f t="shared" si="241"/>
        <v>0</v>
      </c>
      <c r="Y1312">
        <f t="shared" si="242"/>
        <v>1</v>
      </c>
      <c r="AB1312">
        <f t="shared" si="250"/>
        <v>1</v>
      </c>
      <c r="AC1312">
        <f t="shared" ca="1" si="251"/>
        <v>0</v>
      </c>
      <c r="AD1312" t="str">
        <f ca="1">IF(AC1312=1,COUNTIF($AC$3:AC1312,1),"")</f>
        <v/>
      </c>
      <c r="AE1312" s="155" t="str">
        <f ca="1">IFERROR(INDEX(Données!$B$3:$B$1479,MATCH(ROWS($AD$3:AD1312),$AD$3:$AD$1479,0)),"")</f>
        <v/>
      </c>
    </row>
    <row r="1313" spans="1:31" ht="15.75" x14ac:dyDescent="0.25">
      <c r="A1313" t="str">
        <f t="shared" si="248"/>
        <v>Olli Juolevi - VAN - DG</v>
      </c>
      <c r="B1313" t="str">
        <f t="shared" si="249"/>
        <v>Olli Juolevi - VAN - DG</v>
      </c>
      <c r="C1313" t="str">
        <f t="shared" si="243"/>
        <v>Olli</v>
      </c>
      <c r="D1313" t="str">
        <f t="shared" si="244"/>
        <v>Juolevi</v>
      </c>
      <c r="E1313" s="39" t="s">
        <v>2351</v>
      </c>
      <c r="F1313" s="30" t="s">
        <v>34</v>
      </c>
      <c r="G1313" s="35" t="s">
        <v>386</v>
      </c>
      <c r="H1313" s="35" t="s">
        <v>2445</v>
      </c>
      <c r="I1313" s="35" t="s">
        <v>2446</v>
      </c>
      <c r="J1313" s="35">
        <v>21</v>
      </c>
      <c r="K1313" s="35">
        <f>VALUE(COUNTIF(Validation!$A$2:$H$47,E1313))</f>
        <v>0</v>
      </c>
      <c r="L1313" s="361">
        <f t="shared" si="245"/>
        <v>1913333</v>
      </c>
      <c r="M1313" s="361">
        <f t="shared" si="246"/>
        <v>1913333</v>
      </c>
      <c r="N1313" s="358">
        <v>1913333</v>
      </c>
      <c r="O1313" s="358">
        <v>1913333</v>
      </c>
      <c r="P1313" s="358" t="s">
        <v>8</v>
      </c>
      <c r="Q1313" s="358">
        <v>0</v>
      </c>
      <c r="R1313" s="358">
        <v>0</v>
      </c>
      <c r="S1313" s="358">
        <v>0</v>
      </c>
      <c r="T1313" s="358">
        <v>0</v>
      </c>
      <c r="U1313" s="35">
        <f t="shared" si="240"/>
        <v>2</v>
      </c>
      <c r="W1313">
        <f t="shared" si="247"/>
        <v>1</v>
      </c>
      <c r="X1313" s="35">
        <f t="shared" si="241"/>
        <v>1</v>
      </c>
      <c r="Y1313">
        <f t="shared" si="242"/>
        <v>1</v>
      </c>
      <c r="AB1313">
        <f t="shared" si="250"/>
        <v>1</v>
      </c>
      <c r="AC1313">
        <f t="shared" ca="1" si="251"/>
        <v>0</v>
      </c>
      <c r="AD1313" t="str">
        <f ca="1">IF(AC1313=1,COUNTIF($AC$3:AC1313,1),"")</f>
        <v/>
      </c>
      <c r="AE1313" s="155" t="str">
        <f ca="1">IFERROR(INDEX(Données!$B$3:$B$1479,MATCH(ROWS($AD$3:AD1313),$AD$3:$AD$1479,0)),"")</f>
        <v/>
      </c>
    </row>
    <row r="1314" spans="1:31" ht="15.75" x14ac:dyDescent="0.25">
      <c r="A1314" t="str">
        <f t="shared" si="248"/>
        <v>Tim Schaller - VAN - C, AG</v>
      </c>
      <c r="B1314" t="str">
        <f t="shared" si="249"/>
        <v>Tim Schaller - VAN - C, AG</v>
      </c>
      <c r="C1314" t="str">
        <f t="shared" si="243"/>
        <v>Tim</v>
      </c>
      <c r="D1314" t="str">
        <f t="shared" si="244"/>
        <v>Schaller</v>
      </c>
      <c r="E1314" s="39" t="s">
        <v>2334</v>
      </c>
      <c r="F1314" s="30" t="s">
        <v>34</v>
      </c>
      <c r="G1314" s="35">
        <v>0</v>
      </c>
      <c r="H1314" s="35" t="s">
        <v>2452</v>
      </c>
      <c r="I1314" s="35" t="s">
        <v>2439</v>
      </c>
      <c r="J1314" s="35">
        <v>28</v>
      </c>
      <c r="K1314" s="35">
        <f>VALUE(COUNTIF(Validation!$A$2:$H$47,E1314))</f>
        <v>0</v>
      </c>
      <c r="L1314" s="361">
        <f t="shared" si="245"/>
        <v>1900000</v>
      </c>
      <c r="M1314" s="361">
        <f t="shared" si="246"/>
        <v>0</v>
      </c>
      <c r="N1314" s="358">
        <v>1900000</v>
      </c>
      <c r="O1314" s="358" t="s">
        <v>7</v>
      </c>
      <c r="P1314" s="358">
        <v>0</v>
      </c>
      <c r="Q1314" s="358">
        <v>0</v>
      </c>
      <c r="R1314" s="358">
        <v>0</v>
      </c>
      <c r="S1314" s="358">
        <v>0</v>
      </c>
      <c r="T1314" s="358">
        <v>0</v>
      </c>
      <c r="U1314" s="35">
        <f t="shared" si="240"/>
        <v>1</v>
      </c>
      <c r="W1314">
        <f t="shared" si="247"/>
        <v>1</v>
      </c>
      <c r="X1314" s="35">
        <f t="shared" si="241"/>
        <v>0</v>
      </c>
      <c r="Y1314">
        <f t="shared" si="242"/>
        <v>0</v>
      </c>
      <c r="AB1314">
        <f t="shared" si="250"/>
        <v>1</v>
      </c>
      <c r="AC1314">
        <f t="shared" ca="1" si="251"/>
        <v>0</v>
      </c>
      <c r="AD1314" t="str">
        <f ca="1">IF(AC1314=1,COUNTIF($AC$3:AC1314,1),"")</f>
        <v/>
      </c>
      <c r="AE1314" s="155" t="str">
        <f ca="1">IFERROR(INDEX(Données!$B$3:$B$1479,MATCH(ROWS($AD$3:AD1314),$AD$3:$AD$1479,0)),"")</f>
        <v/>
      </c>
    </row>
    <row r="1315" spans="1:31" ht="15.75" x14ac:dyDescent="0.25">
      <c r="A1315" t="str">
        <f t="shared" si="248"/>
        <v>Quintin Hughes - VAN - DG</v>
      </c>
      <c r="B1315" t="str">
        <f t="shared" si="249"/>
        <v>Quintin Hughes - VAN - DG</v>
      </c>
      <c r="C1315" t="str">
        <f t="shared" si="243"/>
        <v>Quintin</v>
      </c>
      <c r="D1315" t="str">
        <f t="shared" si="244"/>
        <v>Hughes</v>
      </c>
      <c r="E1315" s="39" t="s">
        <v>2550</v>
      </c>
      <c r="F1315" s="30" t="s">
        <v>34</v>
      </c>
      <c r="G1315" s="35" t="s">
        <v>386</v>
      </c>
      <c r="H1315" s="35" t="s">
        <v>2445</v>
      </c>
      <c r="I1315" s="35" t="s">
        <v>2439</v>
      </c>
      <c r="J1315" s="35">
        <v>19</v>
      </c>
      <c r="K1315" s="35">
        <f>VALUE(COUNTIF(Validation!$A$2:$H$47,E1315))</f>
        <v>0</v>
      </c>
      <c r="L1315" s="361">
        <f t="shared" si="245"/>
        <v>1604167</v>
      </c>
      <c r="M1315" s="361">
        <f t="shared" si="246"/>
        <v>1604167</v>
      </c>
      <c r="N1315" s="358">
        <v>1604167</v>
      </c>
      <c r="O1315" s="358">
        <v>1604167</v>
      </c>
      <c r="P1315" s="358" t="s">
        <v>8</v>
      </c>
      <c r="Q1315" s="358">
        <v>0</v>
      </c>
      <c r="R1315" s="358">
        <v>0</v>
      </c>
      <c r="S1315" s="358">
        <v>0</v>
      </c>
      <c r="T1315" s="358">
        <v>0</v>
      </c>
      <c r="U1315" s="35">
        <f t="shared" si="240"/>
        <v>2</v>
      </c>
      <c r="W1315">
        <f t="shared" si="247"/>
        <v>1</v>
      </c>
      <c r="X1315" s="35">
        <f t="shared" si="241"/>
        <v>1</v>
      </c>
      <c r="Y1315">
        <f t="shared" si="242"/>
        <v>1</v>
      </c>
      <c r="AB1315">
        <f t="shared" si="250"/>
        <v>1</v>
      </c>
      <c r="AC1315">
        <f t="shared" ca="1" si="251"/>
        <v>0</v>
      </c>
      <c r="AD1315" t="str">
        <f ca="1">IF(AC1315=1,COUNTIF($AC$3:AC1315,1),"")</f>
        <v/>
      </c>
      <c r="AE1315" s="155" t="str">
        <f ca="1">IFERROR(INDEX(Données!$B$3:$B$1479,MATCH(ROWS($AD$3:AD1315),$AD$3:$AD$1479,0)),"")</f>
        <v/>
      </c>
    </row>
    <row r="1316" spans="1:31" ht="15.75" x14ac:dyDescent="0.25">
      <c r="A1316" t="str">
        <f t="shared" si="248"/>
        <v>Josh Leivo - VAN - AG</v>
      </c>
      <c r="B1316" t="str">
        <f t="shared" si="249"/>
        <v>Josh Leivo - VAN - AG</v>
      </c>
      <c r="C1316" t="str">
        <f t="shared" si="243"/>
        <v>Josh</v>
      </c>
      <c r="D1316" t="str">
        <f t="shared" si="244"/>
        <v>Leivo</v>
      </c>
      <c r="E1316" s="39" t="s">
        <v>1589</v>
      </c>
      <c r="F1316" s="30" t="s">
        <v>34</v>
      </c>
      <c r="G1316" s="35">
        <v>0</v>
      </c>
      <c r="H1316" s="35" t="s">
        <v>2440</v>
      </c>
      <c r="I1316" s="35" t="s">
        <v>2439</v>
      </c>
      <c r="J1316" s="35">
        <v>26</v>
      </c>
      <c r="K1316" s="35">
        <f>VALUE(COUNTIF(Validation!$A$2:$H$47,E1316))</f>
        <v>0</v>
      </c>
      <c r="L1316" s="361">
        <f t="shared" si="245"/>
        <v>1500000</v>
      </c>
      <c r="M1316" s="361">
        <f t="shared" si="246"/>
        <v>0</v>
      </c>
      <c r="N1316" s="358">
        <v>1500000</v>
      </c>
      <c r="O1316" s="358" t="s">
        <v>7</v>
      </c>
      <c r="P1316" s="358">
        <v>0</v>
      </c>
      <c r="Q1316" s="358">
        <v>0</v>
      </c>
      <c r="R1316" s="358">
        <v>0</v>
      </c>
      <c r="S1316" s="358">
        <v>0</v>
      </c>
      <c r="T1316" s="358">
        <v>0</v>
      </c>
      <c r="U1316" s="35">
        <f t="shared" si="240"/>
        <v>1</v>
      </c>
      <c r="W1316">
        <f t="shared" si="247"/>
        <v>1</v>
      </c>
      <c r="X1316" s="35">
        <f t="shared" si="241"/>
        <v>0</v>
      </c>
      <c r="Y1316">
        <f t="shared" si="242"/>
        <v>0</v>
      </c>
      <c r="AB1316">
        <f t="shared" si="250"/>
        <v>1</v>
      </c>
      <c r="AC1316">
        <f t="shared" ca="1" si="251"/>
        <v>0</v>
      </c>
      <c r="AD1316" t="str">
        <f ca="1">IF(AC1316=1,COUNTIF($AC$3:AC1316,1),"")</f>
        <v/>
      </c>
      <c r="AE1316" s="155" t="str">
        <f ca="1">IFERROR(INDEX(Données!$B$3:$B$1479,MATCH(ROWS($AD$3:AD1316),$AD$3:$AD$1479,0)),"")</f>
        <v/>
      </c>
    </row>
    <row r="1317" spans="1:31" ht="15.75" x14ac:dyDescent="0.25">
      <c r="A1317" t="str">
        <f t="shared" si="248"/>
        <v>Adam Gaudette - VAN - C</v>
      </c>
      <c r="B1317" t="str">
        <f t="shared" si="249"/>
        <v>Adam Gaudette - VAN - C</v>
      </c>
      <c r="C1317" t="str">
        <f t="shared" si="243"/>
        <v>Adam</v>
      </c>
      <c r="D1317" t="str">
        <f t="shared" si="244"/>
        <v>Gaudette</v>
      </c>
      <c r="E1317" s="39" t="s">
        <v>2338</v>
      </c>
      <c r="F1317" s="30" t="s">
        <v>34</v>
      </c>
      <c r="G1317" s="35" t="s">
        <v>386</v>
      </c>
      <c r="H1317" s="35" t="s">
        <v>73</v>
      </c>
      <c r="I1317" s="35" t="s">
        <v>2446</v>
      </c>
      <c r="J1317" s="35">
        <v>22</v>
      </c>
      <c r="K1317" s="35">
        <f>VALUE(COUNTIF(Validation!$A$2:$H$47,E1317))</f>
        <v>0</v>
      </c>
      <c r="L1317" s="361">
        <f t="shared" si="245"/>
        <v>1491667</v>
      </c>
      <c r="M1317" s="361">
        <f t="shared" si="246"/>
        <v>0</v>
      </c>
      <c r="N1317" s="358">
        <v>1491667</v>
      </c>
      <c r="O1317" s="358" t="s">
        <v>8</v>
      </c>
      <c r="P1317" s="358">
        <v>0</v>
      </c>
      <c r="Q1317" s="358">
        <v>0</v>
      </c>
      <c r="R1317" s="358">
        <v>0</v>
      </c>
      <c r="S1317" s="358">
        <v>0</v>
      </c>
      <c r="T1317" s="358">
        <v>0</v>
      </c>
      <c r="U1317" s="35">
        <f t="shared" si="240"/>
        <v>1</v>
      </c>
      <c r="W1317">
        <f t="shared" si="247"/>
        <v>1</v>
      </c>
      <c r="X1317" s="35">
        <f t="shared" si="241"/>
        <v>1</v>
      </c>
      <c r="Y1317">
        <f t="shared" si="242"/>
        <v>0</v>
      </c>
      <c r="AB1317">
        <f t="shared" si="250"/>
        <v>1</v>
      </c>
      <c r="AC1317">
        <f t="shared" ca="1" si="251"/>
        <v>0</v>
      </c>
      <c r="AD1317" t="str">
        <f ca="1">IF(AC1317=1,COUNTIF($AC$3:AC1317,1),"")</f>
        <v/>
      </c>
      <c r="AE1317" s="155" t="str">
        <f ca="1">IFERROR(INDEX(Données!$B$3:$B$1479,MATCH(ROWS($AD$3:AD1317),$AD$3:$AD$1479,0)),"")</f>
        <v/>
      </c>
    </row>
    <row r="1318" spans="1:31" ht="15.75" x14ac:dyDescent="0.25">
      <c r="A1318" t="str">
        <f t="shared" si="248"/>
        <v>Jake Virtanen - VAN - AD</v>
      </c>
      <c r="B1318" t="str">
        <f t="shared" si="249"/>
        <v>Jake Virtanen - VAN - AD</v>
      </c>
      <c r="C1318" t="str">
        <f t="shared" si="243"/>
        <v>Jake</v>
      </c>
      <c r="D1318" t="str">
        <f t="shared" si="244"/>
        <v>Virtanen</v>
      </c>
      <c r="E1318" s="39" t="s">
        <v>2336</v>
      </c>
      <c r="F1318" s="30" t="s">
        <v>34</v>
      </c>
      <c r="G1318" s="35">
        <v>0</v>
      </c>
      <c r="H1318" s="35" t="s">
        <v>2438</v>
      </c>
      <c r="I1318" s="35" t="s">
        <v>2439</v>
      </c>
      <c r="J1318" s="9">
        <v>22</v>
      </c>
      <c r="K1318" s="35">
        <f>VALUE(COUNTIF(Validation!$A$2:$H$47,E1318))</f>
        <v>0</v>
      </c>
      <c r="L1318" s="361">
        <f t="shared" si="245"/>
        <v>1250000</v>
      </c>
      <c r="M1318" s="361">
        <f t="shared" si="246"/>
        <v>0</v>
      </c>
      <c r="N1318" s="358">
        <v>1250000</v>
      </c>
      <c r="O1318" s="358" t="s">
        <v>8</v>
      </c>
      <c r="P1318" s="358">
        <v>0</v>
      </c>
      <c r="Q1318" s="358">
        <v>0</v>
      </c>
      <c r="R1318" s="358">
        <v>0</v>
      </c>
      <c r="S1318" s="358">
        <v>0</v>
      </c>
      <c r="T1318" s="358">
        <v>0</v>
      </c>
      <c r="U1318" s="35">
        <f t="shared" si="240"/>
        <v>1</v>
      </c>
      <c r="W1318">
        <f t="shared" si="247"/>
        <v>1</v>
      </c>
      <c r="X1318" s="35">
        <f t="shared" si="241"/>
        <v>0</v>
      </c>
      <c r="Y1318">
        <f t="shared" si="242"/>
        <v>0</v>
      </c>
      <c r="AB1318">
        <f t="shared" si="250"/>
        <v>1</v>
      </c>
      <c r="AC1318">
        <f t="shared" ca="1" si="251"/>
        <v>0</v>
      </c>
      <c r="AD1318" t="str">
        <f ca="1">IF(AC1318=1,COUNTIF($AC$3:AC1318,1),"")</f>
        <v/>
      </c>
      <c r="AE1318" s="155" t="str">
        <f ca="1">IFERROR(INDEX(Données!$B$3:$B$1479,MATCH(ROWS($AD$3:AD1318),$AD$3:$AD$1479,0)),"")</f>
        <v/>
      </c>
    </row>
    <row r="1319" spans="1:31" ht="15.75" x14ac:dyDescent="0.25">
      <c r="A1319" t="str">
        <f t="shared" si="248"/>
        <v>Jake Kielly - VAN - G</v>
      </c>
      <c r="B1319" t="str">
        <f t="shared" si="249"/>
        <v>Jake Kielly - VAN - G</v>
      </c>
      <c r="C1319" t="str">
        <f t="shared" si="243"/>
        <v>Jake</v>
      </c>
      <c r="D1319" t="str">
        <f t="shared" si="244"/>
        <v>Kielly</v>
      </c>
      <c r="E1319" s="39" t="s">
        <v>2555</v>
      </c>
      <c r="F1319" s="30" t="s">
        <v>34</v>
      </c>
      <c r="G1319" s="35" t="s">
        <v>386</v>
      </c>
      <c r="H1319" s="35" t="s">
        <v>127</v>
      </c>
      <c r="I1319" s="35" t="s">
        <v>2446</v>
      </c>
      <c r="J1319" s="35">
        <v>22</v>
      </c>
      <c r="K1319" s="35">
        <f>VALUE(COUNTIF(Validation!$A$2:$H$47,E1319))</f>
        <v>0</v>
      </c>
      <c r="L1319" s="361">
        <f t="shared" si="245"/>
        <v>1137500</v>
      </c>
      <c r="M1319" s="361">
        <f t="shared" si="246"/>
        <v>0</v>
      </c>
      <c r="N1319" s="358">
        <v>1137500</v>
      </c>
      <c r="O1319" s="358" t="s">
        <v>8</v>
      </c>
      <c r="P1319" s="358">
        <v>0</v>
      </c>
      <c r="Q1319" s="358">
        <v>0</v>
      </c>
      <c r="R1319" s="358">
        <v>0</v>
      </c>
      <c r="S1319" s="358">
        <v>0</v>
      </c>
      <c r="T1319" s="358">
        <v>0</v>
      </c>
      <c r="U1319" s="35">
        <f t="shared" si="240"/>
        <v>1</v>
      </c>
      <c r="W1319">
        <f t="shared" si="247"/>
        <v>1</v>
      </c>
      <c r="X1319" s="35">
        <f t="shared" si="241"/>
        <v>1</v>
      </c>
      <c r="Y1319">
        <f t="shared" si="242"/>
        <v>0</v>
      </c>
      <c r="AB1319">
        <f t="shared" si="250"/>
        <v>1</v>
      </c>
      <c r="AC1319">
        <f t="shared" ca="1" si="251"/>
        <v>0</v>
      </c>
      <c r="AD1319" t="str">
        <f ca="1">IF(AC1319=1,COUNTIF($AC$3:AC1319,1),"")</f>
        <v/>
      </c>
      <c r="AE1319" s="155" t="str">
        <f ca="1">IFERROR(INDEX(Données!$B$3:$B$1479,MATCH(ROWS($AD$3:AD1319),$AD$3:$AD$1479,0)),"")</f>
        <v/>
      </c>
    </row>
    <row r="1320" spans="1:31" ht="15.75" x14ac:dyDescent="0.25">
      <c r="A1320" t="str">
        <f t="shared" si="248"/>
        <v>Kole Lind - VAN - AD</v>
      </c>
      <c r="B1320" t="str">
        <f t="shared" si="249"/>
        <v>Kole Lind - VAN - AD</v>
      </c>
      <c r="C1320" t="str">
        <f t="shared" si="243"/>
        <v>Kole</v>
      </c>
      <c r="D1320" t="str">
        <f t="shared" si="244"/>
        <v>Lind</v>
      </c>
      <c r="E1320" s="39" t="s">
        <v>2349</v>
      </c>
      <c r="F1320" s="30" t="s">
        <v>34</v>
      </c>
      <c r="G1320" s="35" t="s">
        <v>386</v>
      </c>
      <c r="H1320" s="35" t="s">
        <v>2438</v>
      </c>
      <c r="I1320" s="35" t="s">
        <v>2446</v>
      </c>
      <c r="J1320" s="35">
        <v>20</v>
      </c>
      <c r="K1320" s="35">
        <f>VALUE(COUNTIF(Validation!$A$2:$H$47,E1320))</f>
        <v>0</v>
      </c>
      <c r="L1320" s="361">
        <f t="shared" si="245"/>
        <v>1125000</v>
      </c>
      <c r="M1320" s="361">
        <f t="shared" si="246"/>
        <v>1125000</v>
      </c>
      <c r="N1320" s="358">
        <v>1125000</v>
      </c>
      <c r="O1320" s="358">
        <v>1125000</v>
      </c>
      <c r="P1320" s="358" t="s">
        <v>8</v>
      </c>
      <c r="Q1320" s="358">
        <v>0</v>
      </c>
      <c r="R1320" s="358">
        <v>0</v>
      </c>
      <c r="S1320" s="358">
        <v>0</v>
      </c>
      <c r="T1320" s="358">
        <v>0</v>
      </c>
      <c r="U1320" s="35">
        <f t="shared" si="240"/>
        <v>2</v>
      </c>
      <c r="W1320">
        <f t="shared" si="247"/>
        <v>1</v>
      </c>
      <c r="X1320" s="35">
        <f t="shared" si="241"/>
        <v>1</v>
      </c>
      <c r="Y1320">
        <f t="shared" si="242"/>
        <v>1</v>
      </c>
      <c r="AB1320">
        <f t="shared" si="250"/>
        <v>1</v>
      </c>
      <c r="AC1320">
        <f t="shared" ca="1" si="251"/>
        <v>0</v>
      </c>
      <c r="AD1320" t="str">
        <f ca="1">IF(AC1320=1,COUNTIF($AC$3:AC1320,1),"")</f>
        <v/>
      </c>
      <c r="AE1320" s="155" t="str">
        <f ca="1">IFERROR(INDEX(Données!$B$3:$B$1479,MATCH(ROWS($AD$3:AD1320),$AD$3:$AD$1479,0)),"")</f>
        <v/>
      </c>
    </row>
    <row r="1321" spans="1:31" ht="15.75" x14ac:dyDescent="0.25">
      <c r="A1321" t="str">
        <f t="shared" si="248"/>
        <v>Jett Woo - VAN - D</v>
      </c>
      <c r="B1321" t="str">
        <f t="shared" si="249"/>
        <v>Jett Woo - VAN - D</v>
      </c>
      <c r="C1321" t="str">
        <f t="shared" si="243"/>
        <v>Jett</v>
      </c>
      <c r="D1321" t="str">
        <f t="shared" si="244"/>
        <v>Woo</v>
      </c>
      <c r="E1321" s="39" t="s">
        <v>2553</v>
      </c>
      <c r="F1321" s="30" t="s">
        <v>34</v>
      </c>
      <c r="G1321" s="35" t="s">
        <v>388</v>
      </c>
      <c r="H1321" s="35" t="s">
        <v>82</v>
      </c>
      <c r="I1321" s="35" t="s">
        <v>389</v>
      </c>
      <c r="J1321" s="35">
        <v>19</v>
      </c>
      <c r="K1321" s="35">
        <f>VALUE(COUNTIF(Validation!$A$2:$H$47,E1321))</f>
        <v>0</v>
      </c>
      <c r="L1321" s="361">
        <f t="shared" si="245"/>
        <v>1075000</v>
      </c>
      <c r="M1321" s="361">
        <f t="shared" si="246"/>
        <v>1075000</v>
      </c>
      <c r="N1321" s="358">
        <v>1075000</v>
      </c>
      <c r="O1321" s="358">
        <v>1075000</v>
      </c>
      <c r="P1321" s="358">
        <v>1075000</v>
      </c>
      <c r="Q1321" s="358" t="s">
        <v>8</v>
      </c>
      <c r="R1321" s="358">
        <v>0</v>
      </c>
      <c r="S1321" s="358">
        <v>0</v>
      </c>
      <c r="T1321" s="358">
        <v>0</v>
      </c>
      <c r="U1321" s="35">
        <f t="shared" si="240"/>
        <v>3</v>
      </c>
      <c r="W1321">
        <f t="shared" si="247"/>
        <v>1</v>
      </c>
      <c r="X1321" s="35">
        <f t="shared" si="241"/>
        <v>1</v>
      </c>
      <c r="Y1321">
        <f t="shared" si="242"/>
        <v>1</v>
      </c>
      <c r="AB1321">
        <f t="shared" si="250"/>
        <v>1</v>
      </c>
      <c r="AC1321">
        <f t="shared" ca="1" si="251"/>
        <v>0</v>
      </c>
      <c r="AD1321" t="str">
        <f ca="1">IF(AC1321=1,COUNTIF($AC$3:AC1321,1),"")</f>
        <v/>
      </c>
      <c r="AE1321" s="155" t="str">
        <f ca="1">IFERROR(INDEX(Données!$B$3:$B$1479,MATCH(ROWS($AD$3:AD1321),$AD$3:$AD$1479,0)),"")</f>
        <v/>
      </c>
    </row>
    <row r="1322" spans="1:31" ht="15.75" x14ac:dyDescent="0.25">
      <c r="A1322" t="str">
        <f t="shared" si="248"/>
        <v>Thatcher Demko - VAN - G</v>
      </c>
      <c r="B1322" t="str">
        <f t="shared" si="249"/>
        <v>Thatcher Demko - VAN - G</v>
      </c>
      <c r="C1322" t="str">
        <f t="shared" si="243"/>
        <v>Thatcher</v>
      </c>
      <c r="D1322" t="str">
        <f t="shared" si="244"/>
        <v>Demko</v>
      </c>
      <c r="E1322" s="39" t="s">
        <v>2347</v>
      </c>
      <c r="F1322" s="30" t="s">
        <v>34</v>
      </c>
      <c r="G1322" s="35">
        <v>0</v>
      </c>
      <c r="H1322" s="35" t="s">
        <v>127</v>
      </c>
      <c r="I1322" s="35" t="s">
        <v>2439</v>
      </c>
      <c r="J1322" s="35">
        <v>23</v>
      </c>
      <c r="K1322" s="35">
        <f>VALUE(COUNTIF(Validation!$A$2:$H$47,E1322))</f>
        <v>0</v>
      </c>
      <c r="L1322" s="361">
        <f t="shared" si="245"/>
        <v>1050000</v>
      </c>
      <c r="M1322" s="361">
        <f t="shared" si="246"/>
        <v>1050000</v>
      </c>
      <c r="N1322" s="358">
        <v>1050000</v>
      </c>
      <c r="O1322" s="358">
        <v>1050000</v>
      </c>
      <c r="P1322" s="358" t="s">
        <v>8</v>
      </c>
      <c r="Q1322" s="358">
        <v>0</v>
      </c>
      <c r="R1322" s="358">
        <v>0</v>
      </c>
      <c r="S1322" s="358">
        <v>0</v>
      </c>
      <c r="T1322" s="358">
        <v>0</v>
      </c>
      <c r="U1322" s="35">
        <f t="shared" si="240"/>
        <v>2</v>
      </c>
      <c r="W1322">
        <f t="shared" si="247"/>
        <v>1</v>
      </c>
      <c r="X1322" s="35">
        <f t="shared" si="241"/>
        <v>0</v>
      </c>
      <c r="Y1322">
        <f t="shared" si="242"/>
        <v>1</v>
      </c>
      <c r="AB1322">
        <f t="shared" si="250"/>
        <v>1</v>
      </c>
      <c r="AC1322">
        <f t="shared" ca="1" si="251"/>
        <v>0</v>
      </c>
      <c r="AD1322" t="str">
        <f ca="1">IF(AC1322=1,COUNTIF($AC$3:AC1322,1),"")</f>
        <v/>
      </c>
      <c r="AE1322" s="155" t="str">
        <f ca="1">IFERROR(INDEX(Données!$B$3:$B$1479,MATCH(ROWS($AD$3:AD1322),$AD$3:$AD$1479,0)),"")</f>
        <v/>
      </c>
    </row>
    <row r="1323" spans="1:31" ht="15.75" x14ac:dyDescent="0.25">
      <c r="A1323" t="str">
        <f t="shared" si="248"/>
        <v>Zack MacEwen - VAN - C, AD</v>
      </c>
      <c r="B1323" t="str">
        <f t="shared" si="249"/>
        <v>Zack MacEwen - VAN - C, AD</v>
      </c>
      <c r="C1323" t="str">
        <f t="shared" si="243"/>
        <v>Zack</v>
      </c>
      <c r="D1323" t="str">
        <f t="shared" si="244"/>
        <v>MacEwen</v>
      </c>
      <c r="E1323" s="39" t="s">
        <v>2353</v>
      </c>
      <c r="F1323" s="30" t="s">
        <v>34</v>
      </c>
      <c r="G1323" s="35" t="s">
        <v>386</v>
      </c>
      <c r="H1323" s="35" t="s">
        <v>2448</v>
      </c>
      <c r="I1323" s="35" t="s">
        <v>2446</v>
      </c>
      <c r="J1323" s="35">
        <v>23</v>
      </c>
      <c r="K1323" s="35">
        <f>VALUE(COUNTIF(Validation!$A$2:$H$47,E1323))</f>
        <v>0</v>
      </c>
      <c r="L1323" s="361">
        <f t="shared" si="245"/>
        <v>995833</v>
      </c>
      <c r="M1323" s="361">
        <f t="shared" si="246"/>
        <v>0</v>
      </c>
      <c r="N1323" s="358">
        <v>995833</v>
      </c>
      <c r="O1323" s="358" t="s">
        <v>8</v>
      </c>
      <c r="P1323" s="358">
        <v>0</v>
      </c>
      <c r="Q1323" s="358">
        <v>0</v>
      </c>
      <c r="R1323" s="358">
        <v>0</v>
      </c>
      <c r="S1323" s="358">
        <v>0</v>
      </c>
      <c r="T1323" s="358">
        <v>0</v>
      </c>
      <c r="U1323" s="35">
        <f t="shared" si="240"/>
        <v>1</v>
      </c>
      <c r="W1323">
        <f t="shared" si="247"/>
        <v>1</v>
      </c>
      <c r="X1323" s="35">
        <f t="shared" si="241"/>
        <v>1</v>
      </c>
      <c r="Y1323">
        <f t="shared" si="242"/>
        <v>0</v>
      </c>
      <c r="AB1323">
        <f t="shared" si="250"/>
        <v>1</v>
      </c>
      <c r="AC1323">
        <f t="shared" ca="1" si="251"/>
        <v>0</v>
      </c>
      <c r="AD1323" t="str">
        <f ca="1">IF(AC1323=1,COUNTIF($AC$3:AC1323,1),"")</f>
        <v/>
      </c>
      <c r="AE1323" s="155" t="str">
        <f ca="1">IFERROR(INDEX(Données!$B$3:$B$1479,MATCH(ROWS($AD$3:AD1323),$AD$3:$AD$1479,0)),"")</f>
        <v/>
      </c>
    </row>
    <row r="1324" spans="1:31" ht="15.75" x14ac:dyDescent="0.25">
      <c r="A1324" t="str">
        <f t="shared" si="248"/>
        <v>Tyler Motte - VAN - AD, AG, C</v>
      </c>
      <c r="B1324" t="str">
        <f t="shared" si="249"/>
        <v>Tyler Motte - VAN - AD, AG, C</v>
      </c>
      <c r="C1324" t="str">
        <f t="shared" si="243"/>
        <v>Tyler</v>
      </c>
      <c r="D1324" t="str">
        <f t="shared" si="244"/>
        <v>Motte</v>
      </c>
      <c r="E1324" s="39" t="s">
        <v>2346</v>
      </c>
      <c r="F1324" s="30" t="s">
        <v>34</v>
      </c>
      <c r="G1324" s="35">
        <v>0</v>
      </c>
      <c r="H1324" s="35" t="s">
        <v>2496</v>
      </c>
      <c r="I1324" s="35" t="s">
        <v>2439</v>
      </c>
      <c r="J1324" s="35">
        <v>24</v>
      </c>
      <c r="K1324" s="35">
        <f>VALUE(COUNTIF(Validation!$A$2:$H$47,E1324))</f>
        <v>0</v>
      </c>
      <c r="L1324" s="361">
        <f t="shared" si="245"/>
        <v>975000</v>
      </c>
      <c r="M1324" s="361">
        <f t="shared" si="246"/>
        <v>0</v>
      </c>
      <c r="N1324" s="358">
        <v>975000</v>
      </c>
      <c r="O1324" s="358" t="s">
        <v>8</v>
      </c>
      <c r="P1324" s="358">
        <v>0</v>
      </c>
      <c r="Q1324" s="358">
        <v>0</v>
      </c>
      <c r="R1324" s="358">
        <v>0</v>
      </c>
      <c r="S1324" s="358">
        <v>0</v>
      </c>
      <c r="T1324" s="358">
        <v>0</v>
      </c>
      <c r="U1324" s="35">
        <f t="shared" si="240"/>
        <v>1</v>
      </c>
      <c r="W1324">
        <f t="shared" si="247"/>
        <v>1</v>
      </c>
      <c r="X1324" s="35">
        <f t="shared" si="241"/>
        <v>0</v>
      </c>
      <c r="Y1324">
        <f t="shared" si="242"/>
        <v>0</v>
      </c>
      <c r="AB1324">
        <f t="shared" si="250"/>
        <v>1</v>
      </c>
      <c r="AC1324">
        <f t="shared" ca="1" si="251"/>
        <v>0</v>
      </c>
      <c r="AD1324" t="str">
        <f ca="1">IF(AC1324=1,COUNTIF($AC$3:AC1324,1),"")</f>
        <v/>
      </c>
      <c r="AE1324" s="155" t="str">
        <f ca="1">IFERROR(INDEX(Données!$B$3:$B$1479,MATCH(ROWS($AD$3:AD1324),$AD$3:$AD$1479,0)),"")</f>
        <v/>
      </c>
    </row>
    <row r="1325" spans="1:31" ht="15.75" x14ac:dyDescent="0.25">
      <c r="A1325" t="str">
        <f t="shared" si="248"/>
        <v>Lukas Jasek - VAN - AD</v>
      </c>
      <c r="B1325" t="str">
        <f t="shared" si="249"/>
        <v>Lukas Jasek - VAN - AD</v>
      </c>
      <c r="C1325" t="str">
        <f t="shared" si="243"/>
        <v>Lukas</v>
      </c>
      <c r="D1325" t="str">
        <f t="shared" si="244"/>
        <v>Jasek</v>
      </c>
      <c r="E1325" s="39" t="s">
        <v>2352</v>
      </c>
      <c r="F1325" s="30" t="s">
        <v>34</v>
      </c>
      <c r="G1325" s="35" t="s">
        <v>386</v>
      </c>
      <c r="H1325" s="35" t="s">
        <v>2438</v>
      </c>
      <c r="I1325" s="35" t="s">
        <v>2446</v>
      </c>
      <c r="J1325" s="35">
        <v>21</v>
      </c>
      <c r="K1325" s="35">
        <f>VALUE(COUNTIF(Validation!$A$2:$H$47,E1325))</f>
        <v>0</v>
      </c>
      <c r="L1325" s="361">
        <f t="shared" si="245"/>
        <v>925000</v>
      </c>
      <c r="M1325" s="361">
        <f t="shared" si="246"/>
        <v>925000</v>
      </c>
      <c r="N1325" s="358">
        <v>925000</v>
      </c>
      <c r="O1325" s="358">
        <v>925000</v>
      </c>
      <c r="P1325" s="358" t="s">
        <v>8</v>
      </c>
      <c r="Q1325" s="358">
        <v>0</v>
      </c>
      <c r="R1325" s="358">
        <v>0</v>
      </c>
      <c r="S1325" s="358">
        <v>0</v>
      </c>
      <c r="T1325" s="358">
        <v>0</v>
      </c>
      <c r="U1325" s="35">
        <f t="shared" si="240"/>
        <v>2</v>
      </c>
      <c r="W1325">
        <f t="shared" si="247"/>
        <v>1</v>
      </c>
      <c r="X1325" s="35">
        <f t="shared" si="241"/>
        <v>1</v>
      </c>
      <c r="Y1325">
        <f t="shared" si="242"/>
        <v>1</v>
      </c>
      <c r="AB1325">
        <f t="shared" si="250"/>
        <v>1</v>
      </c>
      <c r="AC1325">
        <f t="shared" ca="1" si="251"/>
        <v>0</v>
      </c>
      <c r="AD1325" t="str">
        <f ca="1">IF(AC1325=1,COUNTIF($AC$3:AC1325,1),"")</f>
        <v/>
      </c>
      <c r="AE1325" s="155" t="str">
        <f ca="1">IFERROR(INDEX(Données!$B$3:$B$1479,MATCH(ROWS($AD$3:AD1325),$AD$3:$AD$1479,0)),"")</f>
        <v/>
      </c>
    </row>
    <row r="1326" spans="1:31" ht="15.75" x14ac:dyDescent="0.25">
      <c r="A1326" t="str">
        <f t="shared" si="248"/>
        <v>Petrus Palmu - VAN - AG, AD</v>
      </c>
      <c r="B1326" t="str">
        <f t="shared" si="249"/>
        <v>Petrus Palmu - VAN - AG, AD</v>
      </c>
      <c r="C1326" t="str">
        <f t="shared" si="243"/>
        <v>Petrus</v>
      </c>
      <c r="D1326" t="str">
        <f t="shared" si="244"/>
        <v>Palmu</v>
      </c>
      <c r="E1326" s="39" t="s">
        <v>2354</v>
      </c>
      <c r="F1326" s="30" t="s">
        <v>34</v>
      </c>
      <c r="G1326" s="35" t="s">
        <v>386</v>
      </c>
      <c r="H1326" s="9" t="s">
        <v>2442</v>
      </c>
      <c r="I1326" s="9" t="s">
        <v>2446</v>
      </c>
      <c r="J1326" s="9">
        <v>22</v>
      </c>
      <c r="K1326" s="35">
        <f>VALUE(COUNTIF(Validation!$A$2:$H$47,E1326))</f>
        <v>0</v>
      </c>
      <c r="L1326" s="361">
        <f t="shared" si="245"/>
        <v>925000</v>
      </c>
      <c r="M1326" s="361">
        <f t="shared" si="246"/>
        <v>925000</v>
      </c>
      <c r="N1326" s="358">
        <v>925000</v>
      </c>
      <c r="O1326" s="358">
        <v>925000</v>
      </c>
      <c r="P1326" s="358" t="s">
        <v>8</v>
      </c>
      <c r="Q1326" s="358">
        <v>0</v>
      </c>
      <c r="R1326" s="358">
        <v>0</v>
      </c>
      <c r="S1326" s="358">
        <v>0</v>
      </c>
      <c r="T1326" s="358">
        <v>0</v>
      </c>
      <c r="U1326" s="35">
        <f t="shared" si="240"/>
        <v>2</v>
      </c>
      <c r="W1326">
        <f t="shared" si="247"/>
        <v>1</v>
      </c>
      <c r="X1326" s="35">
        <f t="shared" si="241"/>
        <v>1</v>
      </c>
      <c r="Y1326">
        <f t="shared" si="242"/>
        <v>1</v>
      </c>
      <c r="AB1326">
        <f t="shared" si="250"/>
        <v>1</v>
      </c>
      <c r="AC1326">
        <f t="shared" ca="1" si="251"/>
        <v>0</v>
      </c>
      <c r="AD1326" t="str">
        <f ca="1">IF(AC1326=1,COUNTIF($AC$3:AC1326,1),"")</f>
        <v/>
      </c>
      <c r="AE1326" s="155" t="str">
        <f ca="1">IFERROR(INDEX(Données!$B$3:$B$1479,MATCH(ROWS($AD$3:AD1326),$AD$3:$AD$1479,0)),"")</f>
        <v/>
      </c>
    </row>
    <row r="1327" spans="1:31" ht="15.75" x14ac:dyDescent="0.25">
      <c r="A1327" t="str">
        <f t="shared" si="248"/>
        <v>Michael DiPietro - VAN - G</v>
      </c>
      <c r="B1327" t="str">
        <f t="shared" si="249"/>
        <v>Michael DiPietro - VAN - G</v>
      </c>
      <c r="C1327" t="str">
        <f t="shared" si="243"/>
        <v>Michael</v>
      </c>
      <c r="D1327" t="str">
        <f t="shared" si="244"/>
        <v>DiPietro</v>
      </c>
      <c r="E1327" s="39" t="s">
        <v>2355</v>
      </c>
      <c r="F1327" s="30" t="s">
        <v>34</v>
      </c>
      <c r="G1327" s="35" t="s">
        <v>386</v>
      </c>
      <c r="H1327" s="35" t="s">
        <v>127</v>
      </c>
      <c r="I1327" s="35" t="s">
        <v>2446</v>
      </c>
      <c r="J1327" s="35">
        <v>20</v>
      </c>
      <c r="K1327" s="35">
        <f>VALUE(COUNTIF(Validation!$A$2:$H$47,E1327))</f>
        <v>0</v>
      </c>
      <c r="L1327" s="361">
        <f t="shared" si="245"/>
        <v>910833</v>
      </c>
      <c r="M1327" s="361">
        <f t="shared" si="246"/>
        <v>910833</v>
      </c>
      <c r="N1327" s="358">
        <v>910833</v>
      </c>
      <c r="O1327" s="358">
        <v>910833</v>
      </c>
      <c r="P1327" s="358">
        <v>910833</v>
      </c>
      <c r="Q1327" s="358" t="s">
        <v>8</v>
      </c>
      <c r="R1327" s="358">
        <v>0</v>
      </c>
      <c r="S1327" s="358">
        <v>0</v>
      </c>
      <c r="T1327" s="358">
        <v>0</v>
      </c>
      <c r="U1327" s="35">
        <f t="shared" si="240"/>
        <v>3</v>
      </c>
      <c r="W1327">
        <f t="shared" si="247"/>
        <v>1</v>
      </c>
      <c r="X1327" s="35">
        <f t="shared" si="241"/>
        <v>1</v>
      </c>
      <c r="Y1327">
        <f t="shared" si="242"/>
        <v>1</v>
      </c>
      <c r="AB1327">
        <f t="shared" si="250"/>
        <v>1</v>
      </c>
      <c r="AC1327">
        <f t="shared" ca="1" si="251"/>
        <v>0</v>
      </c>
      <c r="AD1327" t="str">
        <f ca="1">IF(AC1327=1,COUNTIF($AC$3:AC1327,1),"")</f>
        <v/>
      </c>
      <c r="AE1327" s="155" t="str">
        <f ca="1">IFERROR(INDEX(Données!$B$3:$B$1479,MATCH(ROWS($AD$3:AD1327),$AD$3:$AD$1479,0)),"")</f>
        <v/>
      </c>
    </row>
    <row r="1328" spans="1:31" ht="15.75" x14ac:dyDescent="0.25">
      <c r="A1328" t="str">
        <f t="shared" si="248"/>
        <v>Guillaume Brisebois - VAN - D</v>
      </c>
      <c r="B1328" t="str">
        <f t="shared" si="249"/>
        <v>Guillaume Brisebois - VAN - D</v>
      </c>
      <c r="C1328" t="str">
        <f t="shared" si="243"/>
        <v>Guillaume</v>
      </c>
      <c r="D1328" t="str">
        <f t="shared" si="244"/>
        <v>Brisebois</v>
      </c>
      <c r="E1328" s="39" t="s">
        <v>2360</v>
      </c>
      <c r="F1328" s="30" t="s">
        <v>34</v>
      </c>
      <c r="G1328" s="35" t="s">
        <v>386</v>
      </c>
      <c r="H1328" s="35" t="s">
        <v>82</v>
      </c>
      <c r="I1328" s="35" t="s">
        <v>2446</v>
      </c>
      <c r="J1328" s="35">
        <v>22</v>
      </c>
      <c r="K1328" s="35">
        <f>VALUE(COUNTIF(Validation!$A$2:$H$47,E1328))</f>
        <v>0</v>
      </c>
      <c r="L1328" s="361">
        <f t="shared" si="245"/>
        <v>888333</v>
      </c>
      <c r="M1328" s="361">
        <f t="shared" si="246"/>
        <v>0</v>
      </c>
      <c r="N1328" s="358">
        <v>888333</v>
      </c>
      <c r="O1328" s="358" t="s">
        <v>8</v>
      </c>
      <c r="P1328" s="358">
        <v>0</v>
      </c>
      <c r="Q1328" s="358">
        <v>0</v>
      </c>
      <c r="R1328" s="358">
        <v>0</v>
      </c>
      <c r="S1328" s="358">
        <v>0</v>
      </c>
      <c r="T1328" s="358">
        <v>0</v>
      </c>
      <c r="U1328" s="35">
        <f t="shared" si="240"/>
        <v>1</v>
      </c>
      <c r="W1328">
        <f t="shared" si="247"/>
        <v>1</v>
      </c>
      <c r="X1328" s="35">
        <f t="shared" si="241"/>
        <v>1</v>
      </c>
      <c r="Y1328">
        <f t="shared" si="242"/>
        <v>0</v>
      </c>
      <c r="AB1328">
        <f t="shared" si="250"/>
        <v>1</v>
      </c>
      <c r="AC1328">
        <f t="shared" ca="1" si="251"/>
        <v>0</v>
      </c>
      <c r="AD1328" t="str">
        <f ca="1">IF(AC1328=1,COUNTIF($AC$3:AC1328,1),"")</f>
        <v/>
      </c>
      <c r="AE1328" s="155" t="str">
        <f ca="1">IFERROR(INDEX(Données!$B$3:$B$1479,MATCH(ROWS($AD$3:AD1328),$AD$3:$AD$1479,0)),"")</f>
        <v/>
      </c>
    </row>
    <row r="1329" spans="1:31" ht="15.75" x14ac:dyDescent="0.25">
      <c r="A1329" t="str">
        <f t="shared" si="248"/>
        <v>Jonah Gadjovich - VAN - AG</v>
      </c>
      <c r="B1329" t="str">
        <f t="shared" si="249"/>
        <v>Jonah Gadjovich - VAN - AG</v>
      </c>
      <c r="C1329" t="str">
        <f t="shared" si="243"/>
        <v>Jonah</v>
      </c>
      <c r="D1329" t="str">
        <f t="shared" si="244"/>
        <v>Gadjovich</v>
      </c>
      <c r="E1329" s="39" t="s">
        <v>2356</v>
      </c>
      <c r="F1329" s="30" t="s">
        <v>34</v>
      </c>
      <c r="G1329" s="35" t="s">
        <v>386</v>
      </c>
      <c r="H1329" s="9" t="s">
        <v>2440</v>
      </c>
      <c r="I1329" s="9" t="s">
        <v>2446</v>
      </c>
      <c r="J1329" s="9">
        <v>20</v>
      </c>
      <c r="K1329" s="35">
        <f>VALUE(COUNTIF(Validation!$A$2:$H$47,E1329))</f>
        <v>0</v>
      </c>
      <c r="L1329" s="361">
        <f t="shared" si="245"/>
        <v>863333</v>
      </c>
      <c r="M1329" s="361">
        <f t="shared" si="246"/>
        <v>863333</v>
      </c>
      <c r="N1329" s="358">
        <v>863333</v>
      </c>
      <c r="O1329" s="358">
        <v>863333</v>
      </c>
      <c r="P1329" s="358">
        <v>863333</v>
      </c>
      <c r="Q1329" s="358" t="s">
        <v>8</v>
      </c>
      <c r="R1329" s="358">
        <v>0</v>
      </c>
      <c r="S1329" s="358">
        <v>0</v>
      </c>
      <c r="T1329" s="358">
        <v>0</v>
      </c>
      <c r="U1329" s="35">
        <f t="shared" si="240"/>
        <v>3</v>
      </c>
      <c r="W1329">
        <f t="shared" si="247"/>
        <v>1</v>
      </c>
      <c r="X1329" s="35">
        <f t="shared" si="241"/>
        <v>1</v>
      </c>
      <c r="Y1329">
        <f t="shared" si="242"/>
        <v>1</v>
      </c>
      <c r="AB1329">
        <f t="shared" si="250"/>
        <v>1</v>
      </c>
      <c r="AC1329">
        <f t="shared" ca="1" si="251"/>
        <v>0</v>
      </c>
      <c r="AD1329" t="str">
        <f ca="1">IF(AC1329=1,COUNTIF($AC$3:AC1329,1),"")</f>
        <v/>
      </c>
      <c r="AE1329" s="155" t="str">
        <f ca="1">IFERROR(INDEX(Données!$B$3:$B$1479,MATCH(ROWS($AD$3:AD1329),$AD$3:$AD$1479,0)),"")</f>
        <v/>
      </c>
    </row>
    <row r="1330" spans="1:31" ht="15.75" x14ac:dyDescent="0.25">
      <c r="A1330" t="str">
        <f t="shared" si="248"/>
        <v>Mitch Eliot - VAN - DD</v>
      </c>
      <c r="B1330" t="str">
        <f t="shared" si="249"/>
        <v>Mitch Eliot - VAN - DD</v>
      </c>
      <c r="C1330" t="str">
        <f t="shared" si="243"/>
        <v>Mitch</v>
      </c>
      <c r="D1330" t="str">
        <f t="shared" si="244"/>
        <v>Eliot</v>
      </c>
      <c r="E1330" s="14" t="s">
        <v>2554</v>
      </c>
      <c r="F1330" s="30" t="s">
        <v>34</v>
      </c>
      <c r="G1330" s="35" t="s">
        <v>386</v>
      </c>
      <c r="H1330" s="35" t="s">
        <v>2444</v>
      </c>
      <c r="I1330" s="35" t="s">
        <v>2446</v>
      </c>
      <c r="J1330" s="35">
        <v>21</v>
      </c>
      <c r="L1330" s="361">
        <f t="shared" si="245"/>
        <v>850000</v>
      </c>
      <c r="M1330" s="361">
        <f t="shared" si="246"/>
        <v>850000</v>
      </c>
      <c r="N1330" s="358">
        <v>850000</v>
      </c>
      <c r="O1330" s="358">
        <v>850000</v>
      </c>
      <c r="P1330" s="358" t="s">
        <v>8</v>
      </c>
      <c r="Q1330" s="358">
        <v>0</v>
      </c>
      <c r="R1330" s="358">
        <v>0</v>
      </c>
      <c r="S1330" s="358">
        <v>0</v>
      </c>
      <c r="T1330" s="358">
        <v>0</v>
      </c>
      <c r="U1330" s="35">
        <f t="shared" si="240"/>
        <v>2</v>
      </c>
      <c r="W1330">
        <f t="shared" si="247"/>
        <v>1</v>
      </c>
      <c r="X1330" s="35">
        <f t="shared" si="241"/>
        <v>1</v>
      </c>
      <c r="Y1330">
        <f t="shared" si="242"/>
        <v>1</v>
      </c>
      <c r="AB1330">
        <f t="shared" si="250"/>
        <v>1</v>
      </c>
      <c r="AC1330">
        <f t="shared" ca="1" si="251"/>
        <v>0</v>
      </c>
      <c r="AD1330" t="str">
        <f ca="1">IF(AC1330=1,COUNTIF($AC$3:AC1330,1),"")</f>
        <v/>
      </c>
      <c r="AE1330" s="155" t="str">
        <f ca="1">IFERROR(INDEX(Données!$B$3:$B$1479,MATCH(ROWS($AD$3:AD1330),$AD$3:$AD$1479,0)),"")</f>
        <v/>
      </c>
    </row>
    <row r="1331" spans="1:31" ht="15.75" x14ac:dyDescent="0.25">
      <c r="A1331" t="str">
        <f t="shared" si="248"/>
        <v>Oscar Fantenberg - VAN - DD</v>
      </c>
      <c r="B1331" t="str">
        <f t="shared" si="249"/>
        <v>Oscar Fantenberg - VAN - DD</v>
      </c>
      <c r="C1331" t="str">
        <f t="shared" si="243"/>
        <v>Oscar</v>
      </c>
      <c r="D1331" t="str">
        <f t="shared" si="244"/>
        <v>Fantenberg</v>
      </c>
      <c r="E1331" s="39" t="s">
        <v>2291</v>
      </c>
      <c r="F1331" s="30" t="s">
        <v>34</v>
      </c>
      <c r="G1331" s="35">
        <v>0</v>
      </c>
      <c r="H1331" s="9" t="s">
        <v>2444</v>
      </c>
      <c r="I1331" s="9" t="s">
        <v>2439</v>
      </c>
      <c r="J1331" s="9">
        <v>27</v>
      </c>
      <c r="K1331" s="35">
        <f>VALUE(COUNTIF(Validation!$A$2:$H$47,E1331))</f>
        <v>0</v>
      </c>
      <c r="L1331" s="361">
        <f t="shared" si="245"/>
        <v>850000</v>
      </c>
      <c r="M1331" s="361">
        <f t="shared" si="246"/>
        <v>0</v>
      </c>
      <c r="N1331" s="358">
        <v>850000</v>
      </c>
      <c r="O1331" s="358" t="s">
        <v>7</v>
      </c>
      <c r="P1331" s="358">
        <v>0</v>
      </c>
      <c r="Q1331" s="358">
        <v>0</v>
      </c>
      <c r="R1331" s="358">
        <v>0</v>
      </c>
      <c r="S1331" s="358">
        <v>0</v>
      </c>
      <c r="T1331" s="358">
        <v>0</v>
      </c>
      <c r="U1331" s="35">
        <f t="shared" si="240"/>
        <v>1</v>
      </c>
      <c r="W1331">
        <f t="shared" si="247"/>
        <v>1</v>
      </c>
      <c r="X1331" s="35">
        <f t="shared" si="241"/>
        <v>0</v>
      </c>
      <c r="Y1331">
        <f t="shared" si="242"/>
        <v>0</v>
      </c>
      <c r="AB1331">
        <f t="shared" si="250"/>
        <v>1</v>
      </c>
      <c r="AC1331">
        <f t="shared" ca="1" si="251"/>
        <v>0</v>
      </c>
      <c r="AD1331" t="str">
        <f ca="1">IF(AC1331=1,COUNTIF($AC$3:AC1331,1),"")</f>
        <v/>
      </c>
      <c r="AE1331" s="155" t="str">
        <f ca="1">IFERROR(INDEX(Données!$B$3:$B$1479,MATCH(ROWS($AD$3:AD1331),$AD$3:$AD$1479,0)),"")</f>
        <v/>
      </c>
    </row>
    <row r="1332" spans="1:31" ht="15.75" x14ac:dyDescent="0.25">
      <c r="A1332" t="str">
        <f t="shared" si="248"/>
        <v>Alex Biega - VAN - DD</v>
      </c>
      <c r="B1332" t="str">
        <f t="shared" si="249"/>
        <v>Alex Biega - VAN - DD</v>
      </c>
      <c r="C1332" t="str">
        <f t="shared" si="243"/>
        <v>Alex</v>
      </c>
      <c r="D1332" t="str">
        <f t="shared" si="244"/>
        <v>Biega</v>
      </c>
      <c r="E1332" s="39" t="s">
        <v>2344</v>
      </c>
      <c r="F1332" s="30" t="s">
        <v>34</v>
      </c>
      <c r="G1332" s="35">
        <v>0</v>
      </c>
      <c r="H1332" s="35" t="s">
        <v>2444</v>
      </c>
      <c r="I1332" s="35" t="s">
        <v>2439</v>
      </c>
      <c r="J1332" s="35">
        <v>31</v>
      </c>
      <c r="K1332" s="35">
        <f>VALUE(COUNTIF(Validation!$A$2:$H$47,E1332))</f>
        <v>0</v>
      </c>
      <c r="L1332" s="361">
        <f t="shared" si="245"/>
        <v>825000</v>
      </c>
      <c r="M1332" s="361">
        <f t="shared" si="246"/>
        <v>0</v>
      </c>
      <c r="N1332" s="358">
        <v>825000</v>
      </c>
      <c r="O1332" s="358" t="s">
        <v>7</v>
      </c>
      <c r="P1332" s="358">
        <v>0</v>
      </c>
      <c r="Q1332" s="358">
        <v>0</v>
      </c>
      <c r="R1332" s="358">
        <v>0</v>
      </c>
      <c r="S1332" s="358">
        <v>0</v>
      </c>
      <c r="T1332" s="358">
        <v>0</v>
      </c>
      <c r="U1332" s="35">
        <f t="shared" si="240"/>
        <v>1</v>
      </c>
      <c r="W1332">
        <f t="shared" si="247"/>
        <v>1</v>
      </c>
      <c r="X1332" s="35">
        <f t="shared" si="241"/>
        <v>0</v>
      </c>
      <c r="Y1332">
        <f t="shared" si="242"/>
        <v>0</v>
      </c>
      <c r="AB1332">
        <f t="shared" si="250"/>
        <v>1</v>
      </c>
      <c r="AC1332">
        <f t="shared" ca="1" si="251"/>
        <v>0</v>
      </c>
      <c r="AD1332" t="str">
        <f ca="1">IF(AC1332=1,COUNTIF($AC$3:AC1332,1),"")</f>
        <v/>
      </c>
      <c r="AE1332" s="155" t="str">
        <f ca="1">IFERROR(INDEX(Données!$B$3:$B$1479,MATCH(ROWS($AD$3:AD1332),$AD$3:$AD$1479,0)),"")</f>
        <v/>
      </c>
    </row>
    <row r="1333" spans="1:31" ht="15.75" x14ac:dyDescent="0.25">
      <c r="A1333" t="str">
        <f t="shared" si="248"/>
        <v>Jalen Chatfield - VAN - D</v>
      </c>
      <c r="B1333" t="str">
        <f t="shared" si="249"/>
        <v>Jalen Chatfield - VAN - D</v>
      </c>
      <c r="C1333" t="str">
        <f t="shared" si="243"/>
        <v>Jalen</v>
      </c>
      <c r="D1333" t="str">
        <f t="shared" si="244"/>
        <v>Chatfield</v>
      </c>
      <c r="E1333" s="39" t="s">
        <v>2357</v>
      </c>
      <c r="F1333" s="30" t="s">
        <v>34</v>
      </c>
      <c r="G1333" s="35" t="s">
        <v>386</v>
      </c>
      <c r="H1333" s="35" t="s">
        <v>82</v>
      </c>
      <c r="I1333" s="35" t="s">
        <v>2446</v>
      </c>
      <c r="J1333" s="35">
        <v>23</v>
      </c>
      <c r="K1333" s="35">
        <f>VALUE(COUNTIF(Validation!$A$2:$H$47,E1333))</f>
        <v>0</v>
      </c>
      <c r="L1333" s="361">
        <f t="shared" si="245"/>
        <v>765000</v>
      </c>
      <c r="M1333" s="361">
        <f t="shared" si="246"/>
        <v>0</v>
      </c>
      <c r="N1333" s="358">
        <v>765000</v>
      </c>
      <c r="O1333" s="358" t="s">
        <v>8</v>
      </c>
      <c r="P1333" s="358">
        <v>0</v>
      </c>
      <c r="Q1333" s="358">
        <v>0</v>
      </c>
      <c r="R1333" s="358">
        <v>0</v>
      </c>
      <c r="S1333" s="358">
        <v>0</v>
      </c>
      <c r="T1333" s="358">
        <v>0</v>
      </c>
      <c r="U1333" s="35">
        <f t="shared" si="240"/>
        <v>1</v>
      </c>
      <c r="W1333">
        <f t="shared" si="247"/>
        <v>1</v>
      </c>
      <c r="X1333" s="35">
        <f t="shared" si="241"/>
        <v>1</v>
      </c>
      <c r="Y1333">
        <f t="shared" si="242"/>
        <v>0</v>
      </c>
      <c r="AB1333">
        <f t="shared" si="250"/>
        <v>1</v>
      </c>
      <c r="AC1333">
        <f t="shared" ca="1" si="251"/>
        <v>0</v>
      </c>
      <c r="AD1333" t="str">
        <f ca="1">IF(AC1333=1,COUNTIF($AC$3:AC1333,1),"")</f>
        <v/>
      </c>
      <c r="AE1333" s="155" t="str">
        <f ca="1">IFERROR(INDEX(Données!$B$3:$B$1479,MATCH(ROWS($AD$3:AD1333),$AD$3:$AD$1479,0)),"")</f>
        <v/>
      </c>
    </row>
    <row r="1334" spans="1:31" ht="15.75" x14ac:dyDescent="0.25">
      <c r="A1334" t="str">
        <f t="shared" si="248"/>
        <v>Reid Boucher - VAN - AG</v>
      </c>
      <c r="B1334" t="str">
        <f t="shared" si="249"/>
        <v>Reid Boucher - VAN - AG</v>
      </c>
      <c r="C1334" t="str">
        <f t="shared" si="243"/>
        <v>Reid</v>
      </c>
      <c r="D1334" t="str">
        <f t="shared" si="244"/>
        <v>Boucher</v>
      </c>
      <c r="E1334" s="39" t="s">
        <v>2359</v>
      </c>
      <c r="F1334" s="30" t="s">
        <v>34</v>
      </c>
      <c r="G1334" s="35">
        <v>0</v>
      </c>
      <c r="H1334" s="35" t="s">
        <v>2440</v>
      </c>
      <c r="I1334" s="35" t="s">
        <v>2446</v>
      </c>
      <c r="J1334" s="35">
        <v>25</v>
      </c>
      <c r="K1334" s="35">
        <f>VALUE(COUNTIF(Validation!$A$2:$H$47,E1334))</f>
        <v>0</v>
      </c>
      <c r="L1334" s="361">
        <f t="shared" si="245"/>
        <v>750000</v>
      </c>
      <c r="M1334" s="361">
        <f t="shared" si="246"/>
        <v>0</v>
      </c>
      <c r="N1334" s="358">
        <v>750000</v>
      </c>
      <c r="O1334" s="358" t="s">
        <v>8</v>
      </c>
      <c r="P1334" s="358">
        <v>0</v>
      </c>
      <c r="Q1334" s="358">
        <v>0</v>
      </c>
      <c r="R1334" s="358">
        <v>0</v>
      </c>
      <c r="S1334" s="358">
        <v>0</v>
      </c>
      <c r="T1334" s="358">
        <v>0</v>
      </c>
      <c r="U1334" s="35">
        <f t="shared" si="240"/>
        <v>1</v>
      </c>
      <c r="W1334">
        <f t="shared" si="247"/>
        <v>1</v>
      </c>
      <c r="X1334" s="35">
        <f t="shared" si="241"/>
        <v>0</v>
      </c>
      <c r="Y1334">
        <f t="shared" si="242"/>
        <v>0</v>
      </c>
      <c r="AB1334">
        <f t="shared" si="250"/>
        <v>1</v>
      </c>
      <c r="AC1334">
        <f t="shared" ca="1" si="251"/>
        <v>0</v>
      </c>
      <c r="AD1334" t="str">
        <f ca="1">IF(AC1334=1,COUNTIF($AC$3:AC1334,1),"")</f>
        <v/>
      </c>
      <c r="AE1334" s="155" t="str">
        <f ca="1">IFERROR(INDEX(Données!$B$3:$B$1479,MATCH(ROWS($AD$3:AD1334),$AD$3:$AD$1479,0)),"")</f>
        <v/>
      </c>
    </row>
    <row r="1335" spans="1:31" ht="15.75" x14ac:dyDescent="0.25">
      <c r="A1335" t="str">
        <f t="shared" si="248"/>
        <v>Francis Perron - VAN - AG</v>
      </c>
      <c r="B1335" t="str">
        <f t="shared" si="249"/>
        <v>Francis Perron - VAN - AG</v>
      </c>
      <c r="C1335" t="str">
        <f t="shared" si="243"/>
        <v>Francis</v>
      </c>
      <c r="D1335" t="str">
        <f t="shared" si="244"/>
        <v>Perron</v>
      </c>
      <c r="E1335" s="39" t="s">
        <v>2326</v>
      </c>
      <c r="F1335" s="30" t="s">
        <v>34</v>
      </c>
      <c r="G1335" s="35">
        <v>0</v>
      </c>
      <c r="H1335" s="9" t="s">
        <v>2440</v>
      </c>
      <c r="I1335" s="9" t="s">
        <v>2446</v>
      </c>
      <c r="J1335" s="9">
        <v>23</v>
      </c>
      <c r="K1335" s="35">
        <f>VALUE(COUNTIF(Validation!$A$2:$H$47,E1335))</f>
        <v>0</v>
      </c>
      <c r="L1335" s="361">
        <f t="shared" si="245"/>
        <v>715000</v>
      </c>
      <c r="M1335" s="361">
        <f t="shared" si="246"/>
        <v>0</v>
      </c>
      <c r="N1335" s="358">
        <v>715000</v>
      </c>
      <c r="O1335" s="358" t="s">
        <v>8</v>
      </c>
      <c r="P1335" s="358">
        <v>0</v>
      </c>
      <c r="Q1335" s="358">
        <v>0</v>
      </c>
      <c r="R1335" s="358">
        <v>0</v>
      </c>
      <c r="S1335" s="358">
        <v>0</v>
      </c>
      <c r="T1335" s="358">
        <v>0</v>
      </c>
      <c r="U1335" s="35">
        <f t="shared" si="240"/>
        <v>1</v>
      </c>
      <c r="W1335">
        <f t="shared" si="247"/>
        <v>1</v>
      </c>
      <c r="X1335" s="35">
        <f t="shared" si="241"/>
        <v>0</v>
      </c>
      <c r="Y1335">
        <f t="shared" si="242"/>
        <v>0</v>
      </c>
      <c r="AB1335">
        <f t="shared" si="250"/>
        <v>1</v>
      </c>
      <c r="AC1335">
        <f t="shared" ca="1" si="251"/>
        <v>0</v>
      </c>
      <c r="AD1335" t="str">
        <f ca="1">IF(AC1335=1,COUNTIF($AC$3:AC1335,1),"")</f>
        <v/>
      </c>
      <c r="AE1335" s="155" t="str">
        <f ca="1">IFERROR(INDEX(Données!$B$3:$B$1479,MATCH(ROWS($AD$3:AD1335),$AD$3:$AD$1479,0)),"")</f>
        <v/>
      </c>
    </row>
    <row r="1336" spans="1:31" ht="15.75" x14ac:dyDescent="0.25">
      <c r="A1336" t="str">
        <f t="shared" si="248"/>
        <v>Justin Bailey - VAN - AD</v>
      </c>
      <c r="B1336" t="str">
        <f t="shared" si="249"/>
        <v>Justin Bailey - VAN - AD</v>
      </c>
      <c r="C1336" t="str">
        <f t="shared" si="243"/>
        <v>Justin</v>
      </c>
      <c r="D1336" t="str">
        <f t="shared" si="244"/>
        <v>Bailey</v>
      </c>
      <c r="E1336" s="39" t="s">
        <v>2735</v>
      </c>
      <c r="F1336" s="30" t="s">
        <v>34</v>
      </c>
      <c r="G1336" s="35">
        <v>0</v>
      </c>
      <c r="H1336" s="35" t="s">
        <v>2438</v>
      </c>
      <c r="I1336" s="35" t="s">
        <v>2446</v>
      </c>
      <c r="J1336" s="35">
        <v>24</v>
      </c>
      <c r="K1336" s="35">
        <f>VALUE(COUNTIF(Validation!$A$2:$H$47,E1336))</f>
        <v>0</v>
      </c>
      <c r="L1336" s="361">
        <f t="shared" si="245"/>
        <v>700000</v>
      </c>
      <c r="M1336" s="361">
        <f t="shared" si="246"/>
        <v>0</v>
      </c>
      <c r="N1336" s="358">
        <v>700000</v>
      </c>
      <c r="O1336" s="358" t="s">
        <v>8</v>
      </c>
      <c r="P1336" s="358">
        <v>0</v>
      </c>
      <c r="Q1336" s="358">
        <v>0</v>
      </c>
      <c r="R1336" s="358">
        <v>0</v>
      </c>
      <c r="S1336" s="358">
        <v>0</v>
      </c>
      <c r="T1336" s="358">
        <v>0</v>
      </c>
      <c r="U1336" s="35">
        <f t="shared" si="240"/>
        <v>1</v>
      </c>
      <c r="W1336">
        <f t="shared" si="247"/>
        <v>1</v>
      </c>
      <c r="X1336" s="35">
        <f t="shared" si="241"/>
        <v>0</v>
      </c>
      <c r="Y1336">
        <f t="shared" si="242"/>
        <v>0</v>
      </c>
      <c r="AB1336">
        <f t="shared" si="250"/>
        <v>1</v>
      </c>
      <c r="AC1336">
        <f t="shared" ca="1" si="251"/>
        <v>0</v>
      </c>
      <c r="AD1336" t="str">
        <f ca="1">IF(AC1336=1,COUNTIF($AC$3:AC1336,1),"")</f>
        <v/>
      </c>
      <c r="AE1336" s="155" t="str">
        <f ca="1">IFERROR(INDEX(Données!$B$3:$B$1479,MATCH(ROWS($AD$3:AD1336),$AD$3:$AD$1479,0)),"")</f>
        <v/>
      </c>
    </row>
    <row r="1337" spans="1:31" ht="15.75" x14ac:dyDescent="0.25">
      <c r="A1337" t="str">
        <f t="shared" si="248"/>
        <v>Tyler Graovac - VAN - C</v>
      </c>
      <c r="B1337" t="str">
        <f t="shared" si="249"/>
        <v>Tyler Graovac - VAN - C</v>
      </c>
      <c r="C1337" t="str">
        <f t="shared" si="243"/>
        <v>Tyler</v>
      </c>
      <c r="D1337" t="str">
        <f t="shared" si="244"/>
        <v>Graovac</v>
      </c>
      <c r="E1337" s="39" t="s">
        <v>2216</v>
      </c>
      <c r="F1337" s="30" t="s">
        <v>34</v>
      </c>
      <c r="G1337" s="35">
        <v>0</v>
      </c>
      <c r="H1337" s="35" t="s">
        <v>73</v>
      </c>
      <c r="I1337" s="35" t="s">
        <v>2446</v>
      </c>
      <c r="J1337" s="35">
        <v>26</v>
      </c>
      <c r="K1337" s="35">
        <f>VALUE(COUNTIF(Validation!$A$2:$H$47,E1337))</f>
        <v>0</v>
      </c>
      <c r="L1337" s="361">
        <f t="shared" si="245"/>
        <v>700000</v>
      </c>
      <c r="M1337" s="361">
        <f t="shared" si="246"/>
        <v>0</v>
      </c>
      <c r="N1337" s="358">
        <v>700000</v>
      </c>
      <c r="O1337" s="358" t="s">
        <v>7</v>
      </c>
      <c r="P1337" s="358">
        <v>0</v>
      </c>
      <c r="Q1337" s="358">
        <v>0</v>
      </c>
      <c r="R1337" s="358">
        <v>0</v>
      </c>
      <c r="S1337" s="358">
        <v>0</v>
      </c>
      <c r="T1337" s="358">
        <v>0</v>
      </c>
      <c r="U1337" s="35">
        <f t="shared" si="240"/>
        <v>1</v>
      </c>
      <c r="W1337">
        <f t="shared" si="247"/>
        <v>1</v>
      </c>
      <c r="X1337" s="35">
        <f t="shared" si="241"/>
        <v>0</v>
      </c>
      <c r="Y1337">
        <f t="shared" si="242"/>
        <v>0</v>
      </c>
      <c r="AB1337">
        <f t="shared" si="250"/>
        <v>1</v>
      </c>
      <c r="AC1337">
        <f t="shared" ca="1" si="251"/>
        <v>0</v>
      </c>
      <c r="AD1337" t="str">
        <f ca="1">IF(AC1337=1,COUNTIF($AC$3:AC1337,1),"")</f>
        <v/>
      </c>
      <c r="AE1337" s="155" t="str">
        <f ca="1">IFERROR(INDEX(Données!$B$3:$B$1479,MATCH(ROWS($AD$3:AD1337),$AD$3:$AD$1479,0)),"")</f>
        <v/>
      </c>
    </row>
    <row r="1338" spans="1:31" ht="15.75" x14ac:dyDescent="0.25">
      <c r="A1338" t="str">
        <f t="shared" si="248"/>
        <v>Zane McIntyre - VAN - G</v>
      </c>
      <c r="B1338" t="str">
        <f t="shared" si="249"/>
        <v>Zane McIntyre - VAN - G</v>
      </c>
      <c r="C1338" t="str">
        <f t="shared" si="243"/>
        <v>Zane</v>
      </c>
      <c r="D1338" t="str">
        <f t="shared" si="244"/>
        <v>McIntyre</v>
      </c>
      <c r="E1338" s="39" t="s">
        <v>1379</v>
      </c>
      <c r="F1338" s="30" t="s">
        <v>34</v>
      </c>
      <c r="G1338" s="35">
        <v>0</v>
      </c>
      <c r="H1338" s="35" t="s">
        <v>127</v>
      </c>
      <c r="I1338" s="35" t="s">
        <v>2446</v>
      </c>
      <c r="J1338" s="35">
        <v>26</v>
      </c>
      <c r="K1338" s="35">
        <f>VALUE(COUNTIF(Validation!$A$2:$H$47,E1338))</f>
        <v>0</v>
      </c>
      <c r="L1338" s="361">
        <f t="shared" si="245"/>
        <v>700000</v>
      </c>
      <c r="M1338" s="361">
        <f t="shared" si="246"/>
        <v>0</v>
      </c>
      <c r="N1338" s="358">
        <v>700000</v>
      </c>
      <c r="O1338" s="358" t="s">
        <v>7</v>
      </c>
      <c r="P1338" s="358">
        <v>0</v>
      </c>
      <c r="Q1338" s="358">
        <v>0</v>
      </c>
      <c r="R1338" s="358">
        <v>0</v>
      </c>
      <c r="S1338" s="358">
        <v>0</v>
      </c>
      <c r="T1338" s="358">
        <v>0</v>
      </c>
      <c r="U1338" s="35">
        <f t="shared" si="240"/>
        <v>1</v>
      </c>
      <c r="W1338">
        <f t="shared" si="247"/>
        <v>1</v>
      </c>
      <c r="X1338" s="35">
        <f t="shared" si="241"/>
        <v>0</v>
      </c>
      <c r="Y1338">
        <f t="shared" si="242"/>
        <v>0</v>
      </c>
      <c r="AB1338">
        <f t="shared" si="250"/>
        <v>1</v>
      </c>
      <c r="AC1338">
        <f t="shared" ca="1" si="251"/>
        <v>0</v>
      </c>
      <c r="AD1338" t="str">
        <f ca="1">IF(AC1338=1,COUNTIF($AC$3:AC1338,1),"")</f>
        <v/>
      </c>
      <c r="AE1338" s="155" t="str">
        <f ca="1">IFERROR(INDEX(Données!$B$3:$B$1479,MATCH(ROWS($AD$3:AD1338),$AD$3:$AD$1479,0)),"")</f>
        <v/>
      </c>
    </row>
    <row r="1339" spans="1:31" ht="15.75" x14ac:dyDescent="0.25">
      <c r="A1339" t="str">
        <f t="shared" si="248"/>
        <v>Brogan Rafferty - VAN - DD</v>
      </c>
      <c r="B1339" t="str">
        <f t="shared" si="249"/>
        <v>Brogan Rafferty - VAN - DD</v>
      </c>
      <c r="C1339" t="str">
        <f t="shared" si="243"/>
        <v>Brogan</v>
      </c>
      <c r="D1339" t="str">
        <f t="shared" si="244"/>
        <v>Rafferty</v>
      </c>
      <c r="E1339" s="39" t="s">
        <v>2552</v>
      </c>
      <c r="F1339" s="30" t="s">
        <v>34</v>
      </c>
      <c r="G1339" s="35">
        <v>0</v>
      </c>
      <c r="H1339" s="9" t="s">
        <v>2444</v>
      </c>
      <c r="I1339" s="9" t="s">
        <v>2446</v>
      </c>
      <c r="J1339" s="9">
        <v>24</v>
      </c>
      <c r="K1339" s="35">
        <f>VALUE(COUNTIF(Validation!$A$2:$H$47,E1339))</f>
        <v>0</v>
      </c>
      <c r="L1339" s="361">
        <f t="shared" si="245"/>
        <v>700000</v>
      </c>
      <c r="M1339" s="361">
        <f t="shared" si="246"/>
        <v>700000</v>
      </c>
      <c r="N1339" s="358">
        <v>700000</v>
      </c>
      <c r="O1339" s="358">
        <v>700000</v>
      </c>
      <c r="P1339" s="358" t="s">
        <v>8</v>
      </c>
      <c r="Q1339" s="358">
        <v>0</v>
      </c>
      <c r="R1339" s="358">
        <v>0</v>
      </c>
      <c r="S1339" s="358">
        <v>0</v>
      </c>
      <c r="T1339" s="358">
        <v>0</v>
      </c>
      <c r="U1339" s="35">
        <f t="shared" si="240"/>
        <v>2</v>
      </c>
      <c r="W1339">
        <f t="shared" si="247"/>
        <v>1</v>
      </c>
      <c r="X1339" s="35">
        <f t="shared" si="241"/>
        <v>0</v>
      </c>
      <c r="Y1339">
        <f t="shared" si="242"/>
        <v>1</v>
      </c>
      <c r="AB1339">
        <f t="shared" si="250"/>
        <v>1</v>
      </c>
      <c r="AC1339">
        <f t="shared" ca="1" si="251"/>
        <v>0</v>
      </c>
      <c r="AD1339" t="str">
        <f ca="1">IF(AC1339=1,COUNTIF($AC$3:AC1339,1),"")</f>
        <v/>
      </c>
      <c r="AE1339" s="155" t="str">
        <f ca="1">IFERROR(INDEX(Données!$B$3:$B$1479,MATCH(ROWS($AD$3:AD1339),$AD$3:$AD$1479,0)),"")</f>
        <v/>
      </c>
    </row>
    <row r="1340" spans="1:31" ht="15.75" x14ac:dyDescent="0.25">
      <c r="A1340" t="str">
        <f t="shared" si="248"/>
        <v>Josh Teves - VAN - DG</v>
      </c>
      <c r="B1340" t="str">
        <f t="shared" si="249"/>
        <v>Josh Teves - VAN - DG</v>
      </c>
      <c r="C1340" t="str">
        <f t="shared" si="243"/>
        <v>Josh</v>
      </c>
      <c r="D1340" t="str">
        <f t="shared" si="244"/>
        <v>Teves</v>
      </c>
      <c r="E1340" s="39" t="s">
        <v>2551</v>
      </c>
      <c r="F1340" s="30" t="s">
        <v>34</v>
      </c>
      <c r="G1340" s="35">
        <v>0</v>
      </c>
      <c r="H1340" s="35" t="s">
        <v>2445</v>
      </c>
      <c r="I1340" s="35" t="s">
        <v>2446</v>
      </c>
      <c r="J1340" s="35">
        <v>24</v>
      </c>
      <c r="K1340" s="35">
        <f>VALUE(COUNTIF(Validation!$A$2:$H$47,E1340))</f>
        <v>0</v>
      </c>
      <c r="L1340" s="361">
        <f t="shared" si="245"/>
        <v>700000</v>
      </c>
      <c r="M1340" s="361">
        <f t="shared" si="246"/>
        <v>700000</v>
      </c>
      <c r="N1340" s="358">
        <v>700000</v>
      </c>
      <c r="O1340" s="358">
        <v>700000</v>
      </c>
      <c r="P1340" s="358" t="s">
        <v>8</v>
      </c>
      <c r="Q1340" s="358">
        <v>0</v>
      </c>
      <c r="R1340" s="358">
        <v>0</v>
      </c>
      <c r="S1340" s="358">
        <v>0</v>
      </c>
      <c r="T1340" s="358">
        <v>0</v>
      </c>
      <c r="U1340" s="35">
        <f t="shared" ref="U1340:U1400" si="252">COUNTIF(N1340:T1340,"&gt;0")</f>
        <v>2</v>
      </c>
      <c r="W1340">
        <f t="shared" si="247"/>
        <v>1</v>
      </c>
      <c r="X1340" s="35">
        <f t="shared" si="241"/>
        <v>0</v>
      </c>
      <c r="Y1340">
        <f t="shared" si="242"/>
        <v>1</v>
      </c>
      <c r="AB1340">
        <f t="shared" si="250"/>
        <v>1</v>
      </c>
      <c r="AC1340">
        <f t="shared" ca="1" si="251"/>
        <v>0</v>
      </c>
      <c r="AD1340" t="str">
        <f ca="1">IF(AC1340=1,COUNTIF($AC$3:AC1340,1),"")</f>
        <v/>
      </c>
      <c r="AE1340" s="155" t="str">
        <f ca="1">IFERROR(INDEX(Données!$B$3:$B$1479,MATCH(ROWS($AD$3:AD1340),$AD$3:$AD$1479,0)),"")</f>
        <v/>
      </c>
    </row>
    <row r="1341" spans="1:31" ht="15.75" x14ac:dyDescent="0.25">
      <c r="A1341" t="str">
        <f t="shared" si="248"/>
        <v>Richard Bachman - VAN - G</v>
      </c>
      <c r="B1341" t="str">
        <f t="shared" si="249"/>
        <v>Richard Bachman - VAN - G</v>
      </c>
      <c r="C1341" t="str">
        <f t="shared" si="243"/>
        <v>Richard</v>
      </c>
      <c r="D1341" t="str">
        <f t="shared" si="244"/>
        <v>Bachman</v>
      </c>
      <c r="E1341" s="39" t="s">
        <v>2363</v>
      </c>
      <c r="F1341" s="30" t="s">
        <v>34</v>
      </c>
      <c r="G1341" s="35">
        <v>0</v>
      </c>
      <c r="H1341" s="9" t="s">
        <v>127</v>
      </c>
      <c r="I1341" s="9" t="s">
        <v>2446</v>
      </c>
      <c r="J1341" s="9">
        <v>32</v>
      </c>
      <c r="K1341" s="35">
        <f>VALUE(COUNTIF(Validation!$A$2:$H$47,E1341))</f>
        <v>0</v>
      </c>
      <c r="L1341" s="361">
        <f t="shared" si="245"/>
        <v>675000</v>
      </c>
      <c r="M1341" s="361">
        <f t="shared" si="246"/>
        <v>0</v>
      </c>
      <c r="N1341" s="358">
        <v>675000</v>
      </c>
      <c r="O1341" s="358" t="s">
        <v>7</v>
      </c>
      <c r="P1341" s="358">
        <v>0</v>
      </c>
      <c r="Q1341" s="358">
        <v>0</v>
      </c>
      <c r="R1341" s="358">
        <v>0</v>
      </c>
      <c r="S1341" s="358">
        <v>0</v>
      </c>
      <c r="T1341" s="358">
        <v>0</v>
      </c>
      <c r="U1341" s="35">
        <f t="shared" si="252"/>
        <v>1</v>
      </c>
      <c r="W1341">
        <f t="shared" si="247"/>
        <v>1</v>
      </c>
      <c r="X1341" s="35">
        <f t="shared" ref="X1341:X1390" si="253">IF(LEFT(G1341,3)="ELC",1,0)</f>
        <v>0</v>
      </c>
      <c r="Y1341">
        <f t="shared" ref="Y1341:Y1390" si="254">IF(L1341=M1341,1,0)</f>
        <v>0</v>
      </c>
      <c r="AB1341">
        <f t="shared" si="250"/>
        <v>1</v>
      </c>
      <c r="AC1341">
        <f t="shared" ca="1" si="251"/>
        <v>0</v>
      </c>
      <c r="AD1341" t="str">
        <f ca="1">IF(AC1341=1,COUNTIF($AC$3:AC1341,1),"")</f>
        <v/>
      </c>
      <c r="AE1341" s="155" t="str">
        <f ca="1">IFERROR(INDEX(Données!$B$3:$B$1479,MATCH(ROWS($AD$3:AD1341),$AD$3:$AD$1479,0)),"")</f>
        <v/>
      </c>
    </row>
    <row r="1342" spans="1:31" ht="15.75" x14ac:dyDescent="0.25">
      <c r="A1342" t="str">
        <f t="shared" si="248"/>
        <v>Ashton Sautner - VAN - DG</v>
      </c>
      <c r="B1342" t="str">
        <f t="shared" si="249"/>
        <v>Ashton Sautner - VAN - DG</v>
      </c>
      <c r="C1342" t="str">
        <f t="shared" si="243"/>
        <v>Ashton</v>
      </c>
      <c r="D1342" t="str">
        <f t="shared" si="244"/>
        <v>Sautner</v>
      </c>
      <c r="E1342" s="39" t="s">
        <v>2362</v>
      </c>
      <c r="F1342" s="30" t="s">
        <v>34</v>
      </c>
      <c r="G1342" s="35">
        <v>0</v>
      </c>
      <c r="H1342" s="35" t="s">
        <v>2445</v>
      </c>
      <c r="I1342" s="35" t="s">
        <v>2446</v>
      </c>
      <c r="J1342" s="35">
        <v>25</v>
      </c>
      <c r="K1342" s="35">
        <f>VALUE(COUNTIF(Validation!$A$2:$H$47,E1342))</f>
        <v>0</v>
      </c>
      <c r="L1342" s="361">
        <f t="shared" si="245"/>
        <v>675000</v>
      </c>
      <c r="M1342" s="361">
        <f t="shared" si="246"/>
        <v>0</v>
      </c>
      <c r="N1342" s="358">
        <v>675000</v>
      </c>
      <c r="O1342" s="358" t="s">
        <v>8</v>
      </c>
      <c r="P1342" s="358">
        <v>0</v>
      </c>
      <c r="Q1342" s="358">
        <v>0</v>
      </c>
      <c r="R1342" s="358">
        <v>0</v>
      </c>
      <c r="S1342" s="358">
        <v>0</v>
      </c>
      <c r="T1342" s="358">
        <v>0</v>
      </c>
      <c r="U1342" s="35">
        <f t="shared" si="252"/>
        <v>1</v>
      </c>
      <c r="W1342">
        <f t="shared" si="247"/>
        <v>1</v>
      </c>
      <c r="X1342" s="35">
        <f t="shared" si="253"/>
        <v>0</v>
      </c>
      <c r="Y1342">
        <f t="shared" si="254"/>
        <v>0</v>
      </c>
      <c r="AB1342">
        <f t="shared" si="250"/>
        <v>1</v>
      </c>
      <c r="AC1342">
        <f t="shared" ca="1" si="251"/>
        <v>0</v>
      </c>
      <c r="AD1342" t="str">
        <f ca="1">IF(AC1342=1,COUNTIF($AC$3:AC1342,1),"")</f>
        <v/>
      </c>
      <c r="AE1342" s="155" t="str">
        <f ca="1">IFERROR(INDEX(Données!$B$3:$B$1479,MATCH(ROWS($AD$3:AD1342),$AD$3:$AD$1479,0)),"")</f>
        <v/>
      </c>
    </row>
    <row r="1343" spans="1:31" ht="15.75" x14ac:dyDescent="0.25">
      <c r="A1343" t="str">
        <f t="shared" si="248"/>
        <v>Brock Boeser - VAN - AD</v>
      </c>
      <c r="B1343" t="str">
        <f t="shared" si="249"/>
        <v>Brock Boeser - VAN - AD</v>
      </c>
      <c r="C1343" t="str">
        <f t="shared" si="243"/>
        <v>Brock</v>
      </c>
      <c r="D1343" t="str">
        <f t="shared" si="244"/>
        <v>Boeser</v>
      </c>
      <c r="E1343" s="39" t="s">
        <v>2337</v>
      </c>
      <c r="F1343" s="30" t="s">
        <v>34</v>
      </c>
      <c r="G1343" s="35">
        <v>0</v>
      </c>
      <c r="H1343" s="35" t="s">
        <v>2438</v>
      </c>
      <c r="I1343" s="35" t="s">
        <v>2439</v>
      </c>
      <c r="J1343" s="35">
        <v>22</v>
      </c>
      <c r="K1343" s="35">
        <f>VALUE(COUNTIF(Validation!$A$2:$H$47,E1343))</f>
        <v>0</v>
      </c>
      <c r="L1343" s="361">
        <f t="shared" si="245"/>
        <v>0</v>
      </c>
      <c r="M1343" s="361">
        <f t="shared" si="246"/>
        <v>0</v>
      </c>
      <c r="N1343" s="358" t="s">
        <v>8</v>
      </c>
      <c r="O1343" s="358">
        <v>0</v>
      </c>
      <c r="P1343" s="358">
        <v>0</v>
      </c>
      <c r="Q1343" s="358">
        <v>0</v>
      </c>
      <c r="R1343" s="358">
        <v>0</v>
      </c>
      <c r="S1343" s="358">
        <v>0</v>
      </c>
      <c r="T1343" s="358">
        <v>0</v>
      </c>
      <c r="U1343" s="35">
        <f t="shared" si="252"/>
        <v>0</v>
      </c>
      <c r="W1343">
        <f t="shared" si="247"/>
        <v>1</v>
      </c>
      <c r="X1343" s="35">
        <f t="shared" si="253"/>
        <v>0</v>
      </c>
      <c r="Y1343">
        <f t="shared" si="254"/>
        <v>1</v>
      </c>
      <c r="AB1343">
        <f t="shared" si="250"/>
        <v>1</v>
      </c>
      <c r="AC1343">
        <f t="shared" ca="1" si="251"/>
        <v>0</v>
      </c>
      <c r="AD1343" t="str">
        <f ca="1">IF(AC1343=1,COUNTIF($AC$3:AC1343,1),"")</f>
        <v/>
      </c>
      <c r="AE1343" s="155" t="str">
        <f ca="1">IFERROR(INDEX(Données!$B$3:$B$1479,MATCH(ROWS($AD$3:AD1343),$AD$3:$AD$1479,0)),"")</f>
        <v/>
      </c>
    </row>
    <row r="1344" spans="1:31" ht="15.75" x14ac:dyDescent="0.25">
      <c r="A1344" t="str">
        <f t="shared" si="248"/>
        <v>Nikolay Goldobin - VAN - AG</v>
      </c>
      <c r="B1344" t="str">
        <f t="shared" si="249"/>
        <v>Nikolay Goldobin - VAN - AG</v>
      </c>
      <c r="C1344" t="str">
        <f t="shared" si="243"/>
        <v>Nikolay</v>
      </c>
      <c r="D1344" t="str">
        <f t="shared" si="244"/>
        <v>Goldobin</v>
      </c>
      <c r="E1344" s="39" t="s">
        <v>2350</v>
      </c>
      <c r="F1344" s="30" t="s">
        <v>34</v>
      </c>
      <c r="G1344" s="35">
        <v>0</v>
      </c>
      <c r="H1344" s="35" t="s">
        <v>2440</v>
      </c>
      <c r="I1344" s="35" t="s">
        <v>2439</v>
      </c>
      <c r="J1344" s="35">
        <v>23</v>
      </c>
      <c r="K1344" s="35">
        <f>VALUE(COUNTIF(Validation!$A$2:$H$47,E1344))</f>
        <v>0</v>
      </c>
      <c r="L1344" s="361">
        <f t="shared" si="245"/>
        <v>0</v>
      </c>
      <c r="M1344" s="361">
        <f t="shared" si="246"/>
        <v>0</v>
      </c>
      <c r="N1344" s="358" t="s">
        <v>8</v>
      </c>
      <c r="O1344" s="358">
        <v>0</v>
      </c>
      <c r="P1344" s="358">
        <v>0</v>
      </c>
      <c r="Q1344" s="358">
        <v>0</v>
      </c>
      <c r="R1344" s="358">
        <v>0</v>
      </c>
      <c r="S1344" s="358">
        <v>0</v>
      </c>
      <c r="T1344" s="358">
        <v>0</v>
      </c>
      <c r="U1344" s="35">
        <f t="shared" si="252"/>
        <v>0</v>
      </c>
      <c r="W1344">
        <f t="shared" si="247"/>
        <v>1</v>
      </c>
      <c r="X1344" s="35">
        <f t="shared" si="253"/>
        <v>0</v>
      </c>
      <c r="Y1344">
        <f t="shared" si="254"/>
        <v>1</v>
      </c>
      <c r="AB1344">
        <f t="shared" si="250"/>
        <v>1</v>
      </c>
      <c r="AC1344">
        <f t="shared" ca="1" si="251"/>
        <v>0</v>
      </c>
      <c r="AD1344" t="str">
        <f ca="1">IF(AC1344=1,COUNTIF($AC$3:AC1344,1),"")</f>
        <v/>
      </c>
      <c r="AE1344" s="155" t="str">
        <f ca="1">IFERROR(INDEX(Données!$B$3:$B$1479,MATCH(ROWS($AD$3:AD1344),$AD$3:$AD$1479,0)),"")</f>
        <v/>
      </c>
    </row>
    <row r="1345" spans="1:31" ht="15.75" x14ac:dyDescent="0.25">
      <c r="A1345" t="str">
        <f t="shared" si="248"/>
        <v>Mark Stone - VGK - RW</v>
      </c>
      <c r="B1345" t="str">
        <f t="shared" si="249"/>
        <v>Mark Stone - VGK - RW</v>
      </c>
      <c r="C1345" t="str">
        <f t="shared" si="243"/>
        <v>Mark</v>
      </c>
      <c r="D1345" t="str">
        <f t="shared" si="244"/>
        <v>Stone</v>
      </c>
      <c r="E1345" s="39" t="s">
        <v>1514</v>
      </c>
      <c r="F1345" s="30" t="s">
        <v>135</v>
      </c>
      <c r="G1345" s="35" t="s">
        <v>420</v>
      </c>
      <c r="H1345" s="9" t="s">
        <v>88</v>
      </c>
      <c r="I1345" s="9" t="s">
        <v>2677</v>
      </c>
      <c r="J1345" s="9">
        <v>27</v>
      </c>
      <c r="K1345" s="35">
        <f>VALUE(COUNTIF(Validation!$A$2:$H$47,E1345))</f>
        <v>0</v>
      </c>
      <c r="L1345" s="361">
        <f t="shared" si="245"/>
        <v>9500000</v>
      </c>
      <c r="M1345" s="361">
        <f t="shared" si="246"/>
        <v>9500000</v>
      </c>
      <c r="N1345" s="358">
        <v>9500000</v>
      </c>
      <c r="O1345" s="358">
        <v>9500000</v>
      </c>
      <c r="P1345" s="358">
        <v>9500000</v>
      </c>
      <c r="Q1345" s="358">
        <v>9500000</v>
      </c>
      <c r="R1345" s="358">
        <v>9500000</v>
      </c>
      <c r="S1345" s="358">
        <v>9500000</v>
      </c>
      <c r="T1345" s="358">
        <v>9500000</v>
      </c>
      <c r="U1345" s="35">
        <f t="shared" si="252"/>
        <v>7</v>
      </c>
      <c r="W1345">
        <f t="shared" si="247"/>
        <v>1</v>
      </c>
      <c r="X1345" s="35">
        <f t="shared" si="253"/>
        <v>0</v>
      </c>
      <c r="Y1345">
        <f t="shared" si="254"/>
        <v>1</v>
      </c>
      <c r="AB1345">
        <f t="shared" si="250"/>
        <v>1</v>
      </c>
      <c r="AC1345">
        <f t="shared" ca="1" si="251"/>
        <v>0</v>
      </c>
      <c r="AD1345" t="str">
        <f ca="1">IF(AC1345=1,COUNTIF($AC$3:AC1345,1),"")</f>
        <v/>
      </c>
      <c r="AE1345" s="155" t="str">
        <f ca="1">IFERROR(INDEX(Données!$B$3:$B$1479,MATCH(ROWS($AD$3:AD1345),$AD$3:$AD$1479,0)),"")</f>
        <v/>
      </c>
    </row>
    <row r="1346" spans="1:31" ht="15.75" x14ac:dyDescent="0.25">
      <c r="A1346" t="str">
        <f t="shared" si="248"/>
        <v>Marc-Andre Fleury - VGK - G</v>
      </c>
      <c r="B1346" t="str">
        <f t="shared" si="249"/>
        <v>Marc-Andre Fleury - VGK - G</v>
      </c>
      <c r="C1346" t="str">
        <f t="shared" si="243"/>
        <v>Marc-Andre</v>
      </c>
      <c r="D1346" t="str">
        <f t="shared" si="244"/>
        <v>Fleury</v>
      </c>
      <c r="E1346" s="39" t="s">
        <v>2899</v>
      </c>
      <c r="F1346" s="30" t="s">
        <v>135</v>
      </c>
      <c r="G1346" s="35" t="s">
        <v>381</v>
      </c>
      <c r="H1346" s="35" t="s">
        <v>127</v>
      </c>
      <c r="I1346" s="35" t="s">
        <v>2677</v>
      </c>
      <c r="J1346" s="35">
        <v>34</v>
      </c>
      <c r="K1346" s="35">
        <f>VALUE(COUNTIF(Validation!$A$2:$H$47,E1346))</f>
        <v>0</v>
      </c>
      <c r="L1346" s="361">
        <f t="shared" si="245"/>
        <v>7000000</v>
      </c>
      <c r="M1346" s="361">
        <f t="shared" si="246"/>
        <v>7000000</v>
      </c>
      <c r="N1346" s="358">
        <v>7000000</v>
      </c>
      <c r="O1346" s="358">
        <v>7000000</v>
      </c>
      <c r="P1346" s="358">
        <v>7000000</v>
      </c>
      <c r="Q1346" s="358" t="s">
        <v>7</v>
      </c>
      <c r="R1346" s="358">
        <v>0</v>
      </c>
      <c r="S1346" s="358">
        <v>0</v>
      </c>
      <c r="T1346" s="358">
        <v>0</v>
      </c>
      <c r="U1346" s="35">
        <f t="shared" si="252"/>
        <v>3</v>
      </c>
      <c r="W1346">
        <f t="shared" si="247"/>
        <v>1</v>
      </c>
      <c r="X1346" s="35">
        <f t="shared" si="253"/>
        <v>0</v>
      </c>
      <c r="Y1346">
        <f t="shared" si="254"/>
        <v>1</v>
      </c>
      <c r="AB1346">
        <f t="shared" si="250"/>
        <v>1</v>
      </c>
      <c r="AC1346">
        <f t="shared" ca="1" si="251"/>
        <v>0</v>
      </c>
      <c r="AD1346" t="str">
        <f ca="1">IF(AC1346=1,COUNTIF($AC$3:AC1346,1),"")</f>
        <v/>
      </c>
      <c r="AE1346" s="155" t="str">
        <f ca="1">IFERROR(INDEX(Données!$B$3:$B$1479,MATCH(ROWS($AD$3:AD1346),$AD$3:$AD$1479,0)),"")</f>
        <v/>
      </c>
    </row>
    <row r="1347" spans="1:31" ht="15.75" x14ac:dyDescent="0.25">
      <c r="A1347" t="str">
        <f t="shared" si="248"/>
        <v>Max Pacioretty - VGK - LW</v>
      </c>
      <c r="B1347" t="str">
        <f t="shared" si="249"/>
        <v>Max Pacioretty - VGK - LW</v>
      </c>
      <c r="C1347" t="str">
        <f t="shared" ref="C1347:C1410" si="255">RIGHT(E1347,(LEN(E1347)-1)-SEARCH(",",E1347,1))</f>
        <v>Max</v>
      </c>
      <c r="D1347" t="str">
        <f t="shared" ref="D1347:D1410" si="256">LEFT(E1347,SEARCH(",",E1347,1)-1)</f>
        <v>Pacioretty</v>
      </c>
      <c r="E1347" s="39" t="s">
        <v>2368</v>
      </c>
      <c r="F1347" s="30" t="s">
        <v>135</v>
      </c>
      <c r="G1347" s="35" t="s">
        <v>381</v>
      </c>
      <c r="H1347" s="35" t="s">
        <v>93</v>
      </c>
      <c r="I1347" s="35" t="s">
        <v>2677</v>
      </c>
      <c r="J1347" s="35">
        <v>30</v>
      </c>
      <c r="K1347" s="35">
        <f>VALUE(COUNTIF(Validation!$A$2:$H$47,E1347))</f>
        <v>0</v>
      </c>
      <c r="L1347" s="361">
        <f t="shared" ref="L1347:L1410" si="257">IF(OR(N1347="RFA",N1347="UFA",N1347="",N1347=0),0,N1347)</f>
        <v>7000000</v>
      </c>
      <c r="M1347" s="361">
        <f t="shared" ref="M1347:M1410" si="258">IF(OR(O1347="RFA",O1347="UFA",O1347="",O1347=0),0,O1347)</f>
        <v>7000000</v>
      </c>
      <c r="N1347" s="358">
        <v>7000000</v>
      </c>
      <c r="O1347" s="358">
        <v>7000000</v>
      </c>
      <c r="P1347" s="358">
        <v>7000000</v>
      </c>
      <c r="Q1347" s="358">
        <v>7000000</v>
      </c>
      <c r="R1347" s="358" t="s">
        <v>7</v>
      </c>
      <c r="S1347" s="358">
        <v>0</v>
      </c>
      <c r="T1347" s="358">
        <v>0</v>
      </c>
      <c r="U1347" s="35">
        <f t="shared" si="252"/>
        <v>4</v>
      </c>
      <c r="W1347">
        <f t="shared" ref="W1347:W1410" si="259">COUNTIF($E$3:$E$1479,E1347)</f>
        <v>1</v>
      </c>
      <c r="X1347" s="35">
        <f t="shared" si="253"/>
        <v>0</v>
      </c>
      <c r="Y1347">
        <f t="shared" si="254"/>
        <v>1</v>
      </c>
      <c r="AB1347">
        <f t="shared" si="250"/>
        <v>1</v>
      </c>
      <c r="AC1347">
        <f t="shared" ca="1" si="251"/>
        <v>0</v>
      </c>
      <c r="AD1347" t="str">
        <f ca="1">IF(AC1347=1,COUNTIF($AC$3:AC1347,1),"")</f>
        <v/>
      </c>
      <c r="AE1347" s="155" t="str">
        <f ca="1">IFERROR(INDEX(Données!$B$3:$B$1479,MATCH(ROWS($AD$3:AD1347),$AD$3:$AD$1479,0)),"")</f>
        <v/>
      </c>
    </row>
    <row r="1348" spans="1:31" ht="15.75" x14ac:dyDescent="0.25">
      <c r="A1348" t="str">
        <f t="shared" ref="A1348:A1411" si="260">C1348&amp;" "&amp;D1348&amp;" - "&amp;F1348&amp;" - "&amp;H1348</f>
        <v>Paul Stastny - VGK - C</v>
      </c>
      <c r="B1348" t="str">
        <f t="shared" ref="B1348:B1411" si="261">A1348</f>
        <v>Paul Stastny - VGK - C</v>
      </c>
      <c r="C1348" t="str">
        <f t="shared" si="255"/>
        <v>Paul</v>
      </c>
      <c r="D1348" t="str">
        <f t="shared" si="256"/>
        <v>Stastny</v>
      </c>
      <c r="E1348" s="39" t="s">
        <v>2364</v>
      </c>
      <c r="F1348" s="30" t="s">
        <v>135</v>
      </c>
      <c r="G1348" s="35" t="s">
        <v>381</v>
      </c>
      <c r="H1348" s="35" t="s">
        <v>73</v>
      </c>
      <c r="I1348" s="35" t="s">
        <v>2677</v>
      </c>
      <c r="J1348" s="35">
        <v>33</v>
      </c>
      <c r="K1348" s="35">
        <f>VALUE(COUNTIF(Validation!$A$2:$H$47,E1348))</f>
        <v>0</v>
      </c>
      <c r="L1348" s="361">
        <f t="shared" si="257"/>
        <v>6500000</v>
      </c>
      <c r="M1348" s="361">
        <f t="shared" si="258"/>
        <v>6500000</v>
      </c>
      <c r="N1348" s="358">
        <v>6500000</v>
      </c>
      <c r="O1348" s="358">
        <v>6500000</v>
      </c>
      <c r="P1348" s="358" t="s">
        <v>7</v>
      </c>
      <c r="Q1348" s="358">
        <v>0</v>
      </c>
      <c r="R1348" s="358">
        <v>0</v>
      </c>
      <c r="S1348" s="358">
        <v>0</v>
      </c>
      <c r="T1348" s="358">
        <v>0</v>
      </c>
      <c r="U1348" s="35">
        <f t="shared" si="252"/>
        <v>2</v>
      </c>
      <c r="W1348">
        <f t="shared" si="259"/>
        <v>1</v>
      </c>
      <c r="X1348" s="35">
        <f t="shared" si="253"/>
        <v>0</v>
      </c>
      <c r="Y1348">
        <f t="shared" si="254"/>
        <v>1</v>
      </c>
      <c r="AB1348">
        <f t="shared" ref="AB1348:AB1411" si="262">SEARCH(AA1348,A1348)</f>
        <v>1</v>
      </c>
      <c r="AC1348">
        <f t="shared" ca="1" si="251"/>
        <v>0</v>
      </c>
      <c r="AD1348" t="str">
        <f ca="1">IF(AC1348=1,COUNTIF($AC$3:AC1348,1),"")</f>
        <v/>
      </c>
      <c r="AE1348" s="155" t="str">
        <f ca="1">IFERROR(INDEX(Données!$B$3:$B$1479,MATCH(ROWS($AD$3:AD1348),$AD$3:$AD$1479,0)),"")</f>
        <v/>
      </c>
    </row>
    <row r="1349" spans="1:31" ht="15.75" x14ac:dyDescent="0.25">
      <c r="A1349" t="str">
        <f t="shared" si="260"/>
        <v>Nate Schmidt - VGK - RD</v>
      </c>
      <c r="B1349" t="str">
        <f t="shared" si="261"/>
        <v>Nate Schmidt - VGK - RD</v>
      </c>
      <c r="C1349" t="str">
        <f t="shared" si="255"/>
        <v>Nate</v>
      </c>
      <c r="D1349" t="str">
        <f t="shared" si="256"/>
        <v>Schmidt</v>
      </c>
      <c r="E1349" s="39" t="s">
        <v>2378</v>
      </c>
      <c r="F1349" s="30" t="s">
        <v>135</v>
      </c>
      <c r="G1349" s="35" t="s">
        <v>381</v>
      </c>
      <c r="H1349" s="35" t="s">
        <v>379</v>
      </c>
      <c r="I1349" s="35" t="s">
        <v>2677</v>
      </c>
      <c r="J1349" s="35">
        <v>28</v>
      </c>
      <c r="K1349" s="35">
        <f>VALUE(COUNTIF(Validation!$A$2:$H$47,E1349))</f>
        <v>0</v>
      </c>
      <c r="L1349" s="361">
        <f t="shared" si="257"/>
        <v>5950000</v>
      </c>
      <c r="M1349" s="361">
        <f t="shared" si="258"/>
        <v>5950000</v>
      </c>
      <c r="N1349" s="358">
        <v>5950000</v>
      </c>
      <c r="O1349" s="358">
        <v>5950000</v>
      </c>
      <c r="P1349" s="358">
        <v>5950000</v>
      </c>
      <c r="Q1349" s="358">
        <v>5950000</v>
      </c>
      <c r="R1349" s="358">
        <v>5950000</v>
      </c>
      <c r="S1349" s="358">
        <v>5950000</v>
      </c>
      <c r="T1349" s="358" t="s">
        <v>7</v>
      </c>
      <c r="U1349" s="35">
        <f t="shared" si="252"/>
        <v>6</v>
      </c>
      <c r="W1349">
        <f t="shared" si="259"/>
        <v>1</v>
      </c>
      <c r="X1349" s="35">
        <f t="shared" si="253"/>
        <v>0</v>
      </c>
      <c r="Y1349">
        <f t="shared" si="254"/>
        <v>1</v>
      </c>
      <c r="AB1349">
        <f t="shared" si="262"/>
        <v>1</v>
      </c>
      <c r="AC1349">
        <f t="shared" ref="AC1349:AC1412" ca="1" si="263">IFERROR(SEARCH(INDIRECT(CELL("adresse")),B1349,1),0)</f>
        <v>0</v>
      </c>
      <c r="AD1349" t="str">
        <f ca="1">IF(AC1349=1,COUNTIF($AC$3:AC1349,1),"")</f>
        <v/>
      </c>
      <c r="AE1349" s="155" t="str">
        <f ca="1">IFERROR(INDEX(Données!$B$3:$B$1479,MATCH(ROWS($AD$3:AD1349),$AD$3:$AD$1479,0)),"")</f>
        <v/>
      </c>
    </row>
    <row r="1350" spans="1:31" ht="15.75" x14ac:dyDescent="0.25">
      <c r="A1350" t="str">
        <f t="shared" si="260"/>
        <v>William Karlsson - VGK - C</v>
      </c>
      <c r="B1350" t="str">
        <f t="shared" si="261"/>
        <v>William Karlsson - VGK - C</v>
      </c>
      <c r="C1350" t="str">
        <f t="shared" si="255"/>
        <v>William</v>
      </c>
      <c r="D1350" t="str">
        <f t="shared" si="256"/>
        <v>Karlsson</v>
      </c>
      <c r="E1350" s="39" t="s">
        <v>2365</v>
      </c>
      <c r="F1350" s="30" t="s">
        <v>135</v>
      </c>
      <c r="G1350" s="35">
        <v>0</v>
      </c>
      <c r="H1350" s="35" t="s">
        <v>73</v>
      </c>
      <c r="I1350" s="35" t="s">
        <v>2677</v>
      </c>
      <c r="J1350" s="35">
        <v>26</v>
      </c>
      <c r="K1350" s="35">
        <f>VALUE(COUNTIF(Validation!$A$2:$H$47,E1350))</f>
        <v>0</v>
      </c>
      <c r="L1350" s="361">
        <f t="shared" si="257"/>
        <v>5900000</v>
      </c>
      <c r="M1350" s="361">
        <f t="shared" si="258"/>
        <v>5900000</v>
      </c>
      <c r="N1350" s="358">
        <v>5900000</v>
      </c>
      <c r="O1350" s="358">
        <v>5900000</v>
      </c>
      <c r="P1350" s="358">
        <v>5900000</v>
      </c>
      <c r="Q1350" s="358">
        <v>5900000</v>
      </c>
      <c r="R1350" s="358">
        <v>5900000</v>
      </c>
      <c r="S1350" s="358">
        <v>5900000</v>
      </c>
      <c r="T1350" s="358">
        <v>5900000</v>
      </c>
      <c r="U1350" s="35">
        <f t="shared" si="252"/>
        <v>7</v>
      </c>
      <c r="W1350">
        <f t="shared" si="259"/>
        <v>1</v>
      </c>
      <c r="X1350" s="35">
        <f t="shared" si="253"/>
        <v>0</v>
      </c>
      <c r="Y1350">
        <f t="shared" si="254"/>
        <v>1</v>
      </c>
      <c r="AB1350">
        <f t="shared" si="262"/>
        <v>1</v>
      </c>
      <c r="AC1350">
        <f t="shared" ca="1" si="263"/>
        <v>0</v>
      </c>
      <c r="AD1350" t="str">
        <f ca="1">IF(AC1350=1,COUNTIF($AC$3:AC1350,1),"")</f>
        <v/>
      </c>
      <c r="AE1350" s="155" t="str">
        <f ca="1">IFERROR(INDEX(Données!$B$3:$B$1479,MATCH(ROWS($AD$3:AD1350),$AD$3:$AD$1479,0)),"")</f>
        <v/>
      </c>
    </row>
    <row r="1351" spans="1:31" ht="15.75" x14ac:dyDescent="0.25">
      <c r="A1351" t="str">
        <f t="shared" si="260"/>
        <v>Shea Theodore - VGK - LD</v>
      </c>
      <c r="B1351" t="str">
        <f t="shared" si="261"/>
        <v>Shea Theodore - VGK - LD</v>
      </c>
      <c r="C1351" t="str">
        <f t="shared" si="255"/>
        <v>Shea</v>
      </c>
      <c r="D1351" t="str">
        <f t="shared" si="256"/>
        <v>Theodore</v>
      </c>
      <c r="E1351" s="39" t="s">
        <v>2382</v>
      </c>
      <c r="F1351" s="30" t="s">
        <v>135</v>
      </c>
      <c r="G1351" s="35">
        <v>0</v>
      </c>
      <c r="H1351" s="35" t="s">
        <v>380</v>
      </c>
      <c r="I1351" s="35" t="s">
        <v>2677</v>
      </c>
      <c r="J1351" s="35">
        <v>24</v>
      </c>
      <c r="K1351" s="35">
        <f>VALUE(COUNTIF(Validation!$A$2:$H$47,E1351))</f>
        <v>0</v>
      </c>
      <c r="L1351" s="361">
        <f t="shared" si="257"/>
        <v>5200000</v>
      </c>
      <c r="M1351" s="361">
        <f t="shared" si="258"/>
        <v>5200000</v>
      </c>
      <c r="N1351" s="358">
        <v>5200000</v>
      </c>
      <c r="O1351" s="358">
        <v>5200000</v>
      </c>
      <c r="P1351" s="358">
        <v>5200000</v>
      </c>
      <c r="Q1351" s="358">
        <v>5200000</v>
      </c>
      <c r="R1351" s="358">
        <v>5200000</v>
      </c>
      <c r="S1351" s="358">
        <v>5200000</v>
      </c>
      <c r="T1351" s="358" t="s">
        <v>7</v>
      </c>
      <c r="U1351" s="35">
        <f t="shared" si="252"/>
        <v>6</v>
      </c>
      <c r="W1351">
        <f t="shared" si="259"/>
        <v>1</v>
      </c>
      <c r="X1351" s="35">
        <f t="shared" si="253"/>
        <v>0</v>
      </c>
      <c r="Y1351">
        <f t="shared" si="254"/>
        <v>1</v>
      </c>
      <c r="AB1351">
        <f t="shared" si="262"/>
        <v>1</v>
      </c>
      <c r="AC1351">
        <f t="shared" ca="1" si="263"/>
        <v>0</v>
      </c>
      <c r="AD1351" t="str">
        <f ca="1">IF(AC1351=1,COUNTIF($AC$3:AC1351,1),"")</f>
        <v/>
      </c>
      <c r="AE1351" s="155" t="str">
        <f ca="1">IFERROR(INDEX(Données!$B$3:$B$1479,MATCH(ROWS($AD$3:AD1351),$AD$3:$AD$1479,0)),"")</f>
        <v/>
      </c>
    </row>
    <row r="1352" spans="1:31" ht="15.75" x14ac:dyDescent="0.25">
      <c r="A1352" t="str">
        <f t="shared" si="260"/>
        <v>Jonathan Marchessault - VGK - LW, RW</v>
      </c>
      <c r="B1352" t="str">
        <f t="shared" si="261"/>
        <v>Jonathan Marchessault - VGK - LW, RW</v>
      </c>
      <c r="C1352" t="str">
        <f t="shared" si="255"/>
        <v>Jonathan</v>
      </c>
      <c r="D1352" t="str">
        <f t="shared" si="256"/>
        <v>Marchessault</v>
      </c>
      <c r="E1352" s="39" t="s">
        <v>2367</v>
      </c>
      <c r="F1352" s="5" t="s">
        <v>135</v>
      </c>
      <c r="G1352" s="35" t="s">
        <v>381</v>
      </c>
      <c r="H1352" s="35" t="s">
        <v>2689</v>
      </c>
      <c r="I1352" s="35" t="s">
        <v>2677</v>
      </c>
      <c r="J1352" s="35">
        <v>28</v>
      </c>
      <c r="K1352" s="35">
        <f>VALUE(COUNTIF(Validation!$A$2:$H$47,E1352))</f>
        <v>0</v>
      </c>
      <c r="L1352" s="361">
        <f t="shared" si="257"/>
        <v>5000000</v>
      </c>
      <c r="M1352" s="361">
        <f t="shared" si="258"/>
        <v>5000000</v>
      </c>
      <c r="N1352" s="358">
        <v>5000000</v>
      </c>
      <c r="O1352" s="358">
        <v>5000000</v>
      </c>
      <c r="P1352" s="358">
        <v>5000000</v>
      </c>
      <c r="Q1352" s="358">
        <v>5000000</v>
      </c>
      <c r="R1352" s="358">
        <v>5000000</v>
      </c>
      <c r="S1352" s="358" t="s">
        <v>7</v>
      </c>
      <c r="T1352" s="358">
        <v>0</v>
      </c>
      <c r="U1352" s="35">
        <f t="shared" si="252"/>
        <v>5</v>
      </c>
      <c r="W1352">
        <f t="shared" si="259"/>
        <v>1</v>
      </c>
      <c r="X1352" s="35">
        <f t="shared" si="253"/>
        <v>0</v>
      </c>
      <c r="Y1352">
        <f t="shared" si="254"/>
        <v>1</v>
      </c>
      <c r="AB1352">
        <f t="shared" si="262"/>
        <v>1</v>
      </c>
      <c r="AC1352">
        <f t="shared" ca="1" si="263"/>
        <v>0</v>
      </c>
      <c r="AD1352" t="str">
        <f ca="1">IF(AC1352=1,COUNTIF($AC$3:AC1352,1),"")</f>
        <v/>
      </c>
      <c r="AE1352" s="155" t="str">
        <f ca="1">IFERROR(INDEX(Données!$B$3:$B$1479,MATCH(ROWS($AD$3:AD1352),$AD$3:$AD$1479,0)),"")</f>
        <v/>
      </c>
    </row>
    <row r="1353" spans="1:31" ht="15.75" x14ac:dyDescent="0.25">
      <c r="A1353" t="str">
        <f t="shared" si="260"/>
        <v>Reilly Smith - VGK - RW, LW</v>
      </c>
      <c r="B1353" t="str">
        <f t="shared" si="261"/>
        <v>Reilly Smith - VGK - RW, LW</v>
      </c>
      <c r="C1353" t="str">
        <f t="shared" si="255"/>
        <v>Reilly</v>
      </c>
      <c r="D1353" t="str">
        <f t="shared" si="256"/>
        <v>Smith</v>
      </c>
      <c r="E1353" s="39" t="s">
        <v>3000</v>
      </c>
      <c r="F1353" s="5" t="s">
        <v>135</v>
      </c>
      <c r="G1353" s="35" t="s">
        <v>381</v>
      </c>
      <c r="H1353" s="9" t="s">
        <v>2680</v>
      </c>
      <c r="I1353" s="9" t="s">
        <v>2677</v>
      </c>
      <c r="J1353" s="9">
        <v>28</v>
      </c>
      <c r="K1353" s="35">
        <f>VALUE(COUNTIF(Validation!$A$2:$H$47,E1353))</f>
        <v>0</v>
      </c>
      <c r="L1353" s="361">
        <f t="shared" si="257"/>
        <v>5000000</v>
      </c>
      <c r="M1353" s="361">
        <f t="shared" si="258"/>
        <v>5000000</v>
      </c>
      <c r="N1353" s="358">
        <v>5000000</v>
      </c>
      <c r="O1353" s="358">
        <v>5000000</v>
      </c>
      <c r="P1353" s="358">
        <v>5000000</v>
      </c>
      <c r="Q1353" s="358" t="s">
        <v>7</v>
      </c>
      <c r="R1353" s="358">
        <v>0</v>
      </c>
      <c r="S1353" s="358">
        <v>0</v>
      </c>
      <c r="T1353" s="358">
        <v>0</v>
      </c>
      <c r="U1353" s="35">
        <f t="shared" si="252"/>
        <v>3</v>
      </c>
      <c r="W1353">
        <f t="shared" si="259"/>
        <v>1</v>
      </c>
      <c r="X1353" s="35">
        <f t="shared" si="253"/>
        <v>0</v>
      </c>
      <c r="Y1353">
        <f t="shared" si="254"/>
        <v>1</v>
      </c>
      <c r="AB1353">
        <f t="shared" si="262"/>
        <v>1</v>
      </c>
      <c r="AC1353">
        <f t="shared" ca="1" si="263"/>
        <v>0</v>
      </c>
      <c r="AD1353" t="str">
        <f ca="1">IF(AC1353=1,COUNTIF($AC$3:AC1353,1),"")</f>
        <v/>
      </c>
      <c r="AE1353" s="155" t="str">
        <f ca="1">IFERROR(INDEX(Données!$B$3:$B$1479,MATCH(ROWS($AD$3:AD1353),$AD$3:$AD$1479,0)),"")</f>
        <v/>
      </c>
    </row>
    <row r="1354" spans="1:31" ht="15.75" x14ac:dyDescent="0.25">
      <c r="A1354" t="str">
        <f t="shared" si="260"/>
        <v>Alex Tuch - VGK - RW</v>
      </c>
      <c r="B1354" t="str">
        <f t="shared" si="261"/>
        <v>Alex Tuch - VGK - RW</v>
      </c>
      <c r="C1354" t="str">
        <f t="shared" si="255"/>
        <v>Alex</v>
      </c>
      <c r="D1354" t="str">
        <f t="shared" si="256"/>
        <v>Tuch</v>
      </c>
      <c r="E1354" s="39" t="s">
        <v>2373</v>
      </c>
      <c r="F1354" s="5" t="s">
        <v>135</v>
      </c>
      <c r="G1354" s="35">
        <v>0</v>
      </c>
      <c r="H1354" s="35" t="s">
        <v>88</v>
      </c>
      <c r="I1354" s="35" t="s">
        <v>2677</v>
      </c>
      <c r="J1354" s="35">
        <v>23</v>
      </c>
      <c r="K1354" s="35">
        <f>VALUE(COUNTIF(Validation!$A$2:$H$47,E1354))</f>
        <v>0</v>
      </c>
      <c r="L1354" s="361">
        <f t="shared" si="257"/>
        <v>4750000</v>
      </c>
      <c r="M1354" s="361">
        <f t="shared" si="258"/>
        <v>4750000</v>
      </c>
      <c r="N1354" s="358">
        <v>4750000</v>
      </c>
      <c r="O1354" s="358">
        <v>4750000</v>
      </c>
      <c r="P1354" s="358">
        <v>4750000</v>
      </c>
      <c r="Q1354" s="358">
        <v>4750000</v>
      </c>
      <c r="R1354" s="358">
        <v>4750000</v>
      </c>
      <c r="S1354" s="358">
        <v>4750000</v>
      </c>
      <c r="T1354" s="358">
        <v>4750000</v>
      </c>
      <c r="U1354" s="35">
        <f t="shared" si="252"/>
        <v>7</v>
      </c>
      <c r="W1354">
        <f t="shared" si="259"/>
        <v>1</v>
      </c>
      <c r="X1354" s="35">
        <f t="shared" si="253"/>
        <v>0</v>
      </c>
      <c r="Y1354">
        <f t="shared" si="254"/>
        <v>1</v>
      </c>
      <c r="AB1354">
        <f t="shared" si="262"/>
        <v>1</v>
      </c>
      <c r="AC1354">
        <f t="shared" ca="1" si="263"/>
        <v>0</v>
      </c>
      <c r="AD1354" t="str">
        <f ca="1">IF(AC1354=1,COUNTIF($AC$3:AC1354,1),"")</f>
        <v/>
      </c>
      <c r="AE1354" s="155" t="str">
        <f ca="1">IFERROR(INDEX(Données!$B$3:$B$1479,MATCH(ROWS($AD$3:AD1354),$AD$3:$AD$1479,0)),"")</f>
        <v/>
      </c>
    </row>
    <row r="1355" spans="1:31" ht="15.75" x14ac:dyDescent="0.25">
      <c r="A1355" t="str">
        <f t="shared" si="260"/>
        <v>Cody Eakin - VGK - C</v>
      </c>
      <c r="B1355" t="str">
        <f t="shared" si="261"/>
        <v>Cody Eakin - VGK - C</v>
      </c>
      <c r="C1355" t="str">
        <f t="shared" si="255"/>
        <v>Cody</v>
      </c>
      <c r="D1355" t="str">
        <f t="shared" si="256"/>
        <v>Eakin</v>
      </c>
      <c r="E1355" s="39" t="s">
        <v>2369</v>
      </c>
      <c r="F1355" s="5" t="s">
        <v>135</v>
      </c>
      <c r="G1355" s="35">
        <v>0</v>
      </c>
      <c r="H1355" s="35" t="s">
        <v>73</v>
      </c>
      <c r="I1355" s="35" t="s">
        <v>2677</v>
      </c>
      <c r="J1355" s="35">
        <v>28</v>
      </c>
      <c r="K1355" s="35">
        <f>VALUE(COUNTIF(Validation!$A$2:$H$47,E1355))</f>
        <v>0</v>
      </c>
      <c r="L1355" s="361">
        <f t="shared" si="257"/>
        <v>3850000</v>
      </c>
      <c r="M1355" s="361">
        <f t="shared" si="258"/>
        <v>0</v>
      </c>
      <c r="N1355" s="358">
        <v>3850000</v>
      </c>
      <c r="O1355" s="358" t="s">
        <v>7</v>
      </c>
      <c r="P1355" s="358">
        <v>0</v>
      </c>
      <c r="Q1355" s="358">
        <v>0</v>
      </c>
      <c r="R1355" s="358">
        <v>0</v>
      </c>
      <c r="S1355" s="358">
        <v>0</v>
      </c>
      <c r="T1355" s="362">
        <v>0</v>
      </c>
      <c r="U1355" s="35">
        <f t="shared" si="252"/>
        <v>1</v>
      </c>
      <c r="W1355">
        <f t="shared" si="259"/>
        <v>1</v>
      </c>
      <c r="X1355" s="35">
        <f t="shared" si="253"/>
        <v>0</v>
      </c>
      <c r="Y1355">
        <f t="shared" si="254"/>
        <v>0</v>
      </c>
      <c r="AB1355">
        <f t="shared" si="262"/>
        <v>1</v>
      </c>
      <c r="AC1355">
        <f t="shared" ca="1" si="263"/>
        <v>0</v>
      </c>
      <c r="AD1355" t="str">
        <f ca="1">IF(AC1355=1,COUNTIF($AC$3:AC1355,1),"")</f>
        <v/>
      </c>
      <c r="AE1355" s="155" t="str">
        <f ca="1">IFERROR(INDEX(Données!$B$3:$B$1479,MATCH(ROWS($AD$3:AD1355),$AD$3:$AD$1479,0)),"")</f>
        <v/>
      </c>
    </row>
    <row r="1356" spans="1:31" ht="15.75" x14ac:dyDescent="0.25">
      <c r="A1356" t="str">
        <f t="shared" si="260"/>
        <v>Ryan Reaves - VGK - RW</v>
      </c>
      <c r="B1356" t="str">
        <f t="shared" si="261"/>
        <v>Ryan Reaves - VGK - RW</v>
      </c>
      <c r="C1356" t="str">
        <f t="shared" si="255"/>
        <v>Ryan</v>
      </c>
      <c r="D1356" t="str">
        <f t="shared" si="256"/>
        <v>Reaves</v>
      </c>
      <c r="E1356" s="39" t="s">
        <v>2370</v>
      </c>
      <c r="F1356" s="5" t="s">
        <v>135</v>
      </c>
      <c r="G1356" s="35">
        <v>0</v>
      </c>
      <c r="H1356" s="35" t="s">
        <v>88</v>
      </c>
      <c r="I1356" s="35" t="s">
        <v>2677</v>
      </c>
      <c r="J1356" s="35">
        <v>32</v>
      </c>
      <c r="K1356" s="35">
        <f>VALUE(COUNTIF(Validation!$A$2:$H$47,E1356))</f>
        <v>0</v>
      </c>
      <c r="L1356" s="361">
        <f t="shared" si="257"/>
        <v>2775000</v>
      </c>
      <c r="M1356" s="361">
        <f t="shared" si="258"/>
        <v>0</v>
      </c>
      <c r="N1356" s="358">
        <v>2775000</v>
      </c>
      <c r="O1356" s="358" t="s">
        <v>7</v>
      </c>
      <c r="P1356" s="358">
        <v>0</v>
      </c>
      <c r="Q1356" s="358">
        <v>0</v>
      </c>
      <c r="R1356" s="358">
        <v>0</v>
      </c>
      <c r="S1356" s="358">
        <v>0</v>
      </c>
      <c r="T1356" s="358">
        <v>0</v>
      </c>
      <c r="U1356" s="35">
        <f t="shared" si="252"/>
        <v>1</v>
      </c>
      <c r="W1356">
        <f t="shared" si="259"/>
        <v>1</v>
      </c>
      <c r="X1356" s="35">
        <f t="shared" si="253"/>
        <v>0</v>
      </c>
      <c r="Y1356">
        <f t="shared" si="254"/>
        <v>0</v>
      </c>
      <c r="AB1356">
        <f t="shared" si="262"/>
        <v>1</v>
      </c>
      <c r="AC1356">
        <f t="shared" ca="1" si="263"/>
        <v>0</v>
      </c>
      <c r="AD1356" t="str">
        <f ca="1">IF(AC1356=1,COUNTIF($AC$3:AC1356,1),"")</f>
        <v/>
      </c>
      <c r="AE1356" s="155" t="str">
        <f ca="1">IFERROR(INDEX(Données!$B$3:$B$1479,MATCH(ROWS($AD$3:AD1356),$AD$3:$AD$1479,0)),"")</f>
        <v/>
      </c>
    </row>
    <row r="1357" spans="1:31" ht="15.75" x14ac:dyDescent="0.25">
      <c r="A1357" t="str">
        <f t="shared" si="260"/>
        <v>Brayden McNabb - VGK - LD</v>
      </c>
      <c r="B1357" t="str">
        <f t="shared" si="261"/>
        <v>Brayden McNabb - VGK - LD</v>
      </c>
      <c r="C1357" t="str">
        <f t="shared" si="255"/>
        <v>Brayden</v>
      </c>
      <c r="D1357" t="str">
        <f t="shared" si="256"/>
        <v>McNabb</v>
      </c>
      <c r="E1357" s="39" t="s">
        <v>2377</v>
      </c>
      <c r="F1357" s="5" t="s">
        <v>135</v>
      </c>
      <c r="G1357" s="35">
        <v>0</v>
      </c>
      <c r="H1357" s="35" t="s">
        <v>380</v>
      </c>
      <c r="I1357" s="35" t="s">
        <v>2677</v>
      </c>
      <c r="J1357" s="35">
        <v>28</v>
      </c>
      <c r="K1357" s="35">
        <f>VALUE(COUNTIF(Validation!$A$2:$H$47,E1357))</f>
        <v>0</v>
      </c>
      <c r="L1357" s="361">
        <f t="shared" si="257"/>
        <v>2500000</v>
      </c>
      <c r="M1357" s="361">
        <f t="shared" si="258"/>
        <v>2500000</v>
      </c>
      <c r="N1357" s="358">
        <v>2500000</v>
      </c>
      <c r="O1357" s="358">
        <v>2500000</v>
      </c>
      <c r="P1357" s="358">
        <v>2500000</v>
      </c>
      <c r="Q1357" s="358" t="s">
        <v>7</v>
      </c>
      <c r="R1357" s="358">
        <v>0</v>
      </c>
      <c r="S1357" s="358">
        <v>0</v>
      </c>
      <c r="T1357" s="358">
        <v>0</v>
      </c>
      <c r="U1357" s="35">
        <f t="shared" si="252"/>
        <v>3</v>
      </c>
      <c r="W1357">
        <f t="shared" si="259"/>
        <v>1</v>
      </c>
      <c r="X1357" s="35">
        <f t="shared" si="253"/>
        <v>0</v>
      </c>
      <c r="Y1357">
        <f t="shared" si="254"/>
        <v>1</v>
      </c>
      <c r="AB1357">
        <f t="shared" si="262"/>
        <v>1</v>
      </c>
      <c r="AC1357">
        <f t="shared" ca="1" si="263"/>
        <v>0</v>
      </c>
      <c r="AD1357" t="str">
        <f ca="1">IF(AC1357=1,COUNTIF($AC$3:AC1357,1),"")</f>
        <v/>
      </c>
      <c r="AE1357" s="155" t="str">
        <f ca="1">IFERROR(INDEX(Données!$B$3:$B$1479,MATCH(ROWS($AD$3:AD1357),$AD$3:$AD$1479,0)),"")</f>
        <v/>
      </c>
    </row>
    <row r="1358" spans="1:31" ht="15.75" x14ac:dyDescent="0.25">
      <c r="A1358" t="str">
        <f t="shared" si="260"/>
        <v>Nick Holden - VGK - RD</v>
      </c>
      <c r="B1358" t="str">
        <f t="shared" si="261"/>
        <v>Nick Holden - VGK - RD</v>
      </c>
      <c r="C1358" t="str">
        <f t="shared" si="255"/>
        <v>Nick</v>
      </c>
      <c r="D1358" t="str">
        <f t="shared" si="256"/>
        <v>Holden</v>
      </c>
      <c r="E1358" s="39" t="s">
        <v>2379</v>
      </c>
      <c r="F1358" s="31" t="s">
        <v>135</v>
      </c>
      <c r="G1358" s="35">
        <v>0</v>
      </c>
      <c r="H1358" s="35" t="s">
        <v>379</v>
      </c>
      <c r="I1358" s="35" t="s">
        <v>2677</v>
      </c>
      <c r="J1358" s="35">
        <v>32</v>
      </c>
      <c r="K1358" s="35">
        <f>VALUE(COUNTIF(Validation!$A$2:$H$47,E1358))</f>
        <v>0</v>
      </c>
      <c r="L1358" s="361">
        <f t="shared" si="257"/>
        <v>2200000</v>
      </c>
      <c r="M1358" s="361">
        <f t="shared" si="258"/>
        <v>0</v>
      </c>
      <c r="N1358" s="358">
        <v>2200000</v>
      </c>
      <c r="O1358" s="358" t="s">
        <v>7</v>
      </c>
      <c r="P1358" s="358">
        <v>0</v>
      </c>
      <c r="Q1358" s="358">
        <v>0</v>
      </c>
      <c r="R1358" s="358">
        <v>0</v>
      </c>
      <c r="S1358" s="358">
        <v>0</v>
      </c>
      <c r="T1358" s="358">
        <v>0</v>
      </c>
      <c r="U1358" s="35">
        <f t="shared" si="252"/>
        <v>1</v>
      </c>
      <c r="W1358">
        <f t="shared" si="259"/>
        <v>1</v>
      </c>
      <c r="X1358" s="35">
        <f t="shared" si="253"/>
        <v>0</v>
      </c>
      <c r="Y1358">
        <f t="shared" si="254"/>
        <v>0</v>
      </c>
      <c r="AB1358">
        <f t="shared" si="262"/>
        <v>1</v>
      </c>
      <c r="AC1358">
        <f t="shared" ca="1" si="263"/>
        <v>0</v>
      </c>
      <c r="AD1358" t="str">
        <f ca="1">IF(AC1358=1,COUNTIF($AC$3:AC1358,1),"")</f>
        <v/>
      </c>
      <c r="AE1358" s="155" t="str">
        <f ca="1">IFERROR(INDEX(Données!$B$3:$B$1479,MATCH(ROWS($AD$3:AD1358),$AD$3:$AD$1479,0)),"")</f>
        <v/>
      </c>
    </row>
    <row r="1359" spans="1:31" ht="15.75" x14ac:dyDescent="0.25">
      <c r="A1359" t="str">
        <f t="shared" si="260"/>
        <v>Cody Glass - VGK - C</v>
      </c>
      <c r="B1359" t="str">
        <f t="shared" si="261"/>
        <v>Cody Glass - VGK - C</v>
      </c>
      <c r="C1359" t="str">
        <f t="shared" si="255"/>
        <v>Cody</v>
      </c>
      <c r="D1359" t="str">
        <f t="shared" si="256"/>
        <v>Glass</v>
      </c>
      <c r="E1359" s="39" t="s">
        <v>2385</v>
      </c>
      <c r="F1359" s="5" t="s">
        <v>135</v>
      </c>
      <c r="G1359" s="35" t="s">
        <v>386</v>
      </c>
      <c r="H1359" s="35" t="s">
        <v>73</v>
      </c>
      <c r="I1359" s="35" t="s">
        <v>2690</v>
      </c>
      <c r="J1359" s="35">
        <v>20</v>
      </c>
      <c r="K1359" s="35">
        <f>VALUE(COUNTIF(Validation!$A$2:$H$47,E1359))</f>
        <v>0</v>
      </c>
      <c r="L1359" s="361">
        <f t="shared" si="257"/>
        <v>1713333</v>
      </c>
      <c r="M1359" s="361">
        <f t="shared" si="258"/>
        <v>1713333</v>
      </c>
      <c r="N1359" s="358">
        <v>1713333</v>
      </c>
      <c r="O1359" s="358">
        <v>1713333</v>
      </c>
      <c r="P1359" s="358">
        <v>1713333</v>
      </c>
      <c r="Q1359" s="358" t="s">
        <v>8</v>
      </c>
      <c r="R1359" s="358">
        <v>0</v>
      </c>
      <c r="S1359" s="358">
        <v>0</v>
      </c>
      <c r="T1359" s="358">
        <v>0</v>
      </c>
      <c r="U1359" s="35">
        <f t="shared" si="252"/>
        <v>3</v>
      </c>
      <c r="W1359">
        <f t="shared" si="259"/>
        <v>1</v>
      </c>
      <c r="X1359" s="35">
        <f t="shared" si="253"/>
        <v>1</v>
      </c>
      <c r="Y1359">
        <f t="shared" si="254"/>
        <v>1</v>
      </c>
      <c r="AB1359">
        <f t="shared" si="262"/>
        <v>1</v>
      </c>
      <c r="AC1359">
        <f t="shared" ca="1" si="263"/>
        <v>0</v>
      </c>
      <c r="AD1359" t="str">
        <f ca="1">IF(AC1359=1,COUNTIF($AC$3:AC1359,1),"")</f>
        <v/>
      </c>
      <c r="AE1359" s="155" t="str">
        <f ca="1">IFERROR(INDEX(Données!$B$3:$B$1479,MATCH(ROWS($AD$3:AD1359),$AD$3:$AD$1479,0)),"")</f>
        <v/>
      </c>
    </row>
    <row r="1360" spans="1:31" ht="15.75" x14ac:dyDescent="0.25">
      <c r="A1360" t="str">
        <f t="shared" si="260"/>
        <v>Deryk Engelland - VGK - RD</v>
      </c>
      <c r="B1360" t="str">
        <f t="shared" si="261"/>
        <v>Deryk Engelland - VGK - RD</v>
      </c>
      <c r="C1360" t="str">
        <f t="shared" si="255"/>
        <v>Deryk</v>
      </c>
      <c r="D1360" t="str">
        <f t="shared" si="256"/>
        <v>Engelland</v>
      </c>
      <c r="E1360" s="39" t="s">
        <v>2712</v>
      </c>
      <c r="F1360" s="5" t="s">
        <v>135</v>
      </c>
      <c r="G1360" s="35" t="s">
        <v>2713</v>
      </c>
      <c r="H1360" s="35" t="s">
        <v>379</v>
      </c>
      <c r="I1360" s="35" t="s">
        <v>2677</v>
      </c>
      <c r="J1360" s="35">
        <v>37</v>
      </c>
      <c r="K1360" s="35">
        <f>VALUE(COUNTIF(Validation!$A$2:$H$47,E1360))</f>
        <v>0</v>
      </c>
      <c r="L1360" s="361">
        <f t="shared" si="257"/>
        <v>1500000</v>
      </c>
      <c r="M1360" s="361">
        <f t="shared" si="258"/>
        <v>0</v>
      </c>
      <c r="N1360" s="358">
        <v>1500000</v>
      </c>
      <c r="O1360" s="358" t="s">
        <v>7</v>
      </c>
      <c r="P1360" s="358">
        <v>0</v>
      </c>
      <c r="Q1360" s="358">
        <v>0</v>
      </c>
      <c r="R1360" s="358">
        <v>0</v>
      </c>
      <c r="S1360" s="358">
        <v>0</v>
      </c>
      <c r="T1360" s="358">
        <v>0</v>
      </c>
      <c r="U1360" s="35">
        <f t="shared" si="252"/>
        <v>1</v>
      </c>
      <c r="W1360">
        <f t="shared" si="259"/>
        <v>1</v>
      </c>
      <c r="X1360" s="35">
        <f t="shared" si="253"/>
        <v>0</v>
      </c>
      <c r="Y1360">
        <f t="shared" si="254"/>
        <v>0</v>
      </c>
      <c r="AB1360">
        <f t="shared" si="262"/>
        <v>1</v>
      </c>
      <c r="AC1360">
        <f t="shared" ca="1" si="263"/>
        <v>0</v>
      </c>
      <c r="AD1360" t="str">
        <f ca="1">IF(AC1360=1,COUNTIF($AC$3:AC1360,1),"")</f>
        <v/>
      </c>
      <c r="AE1360" s="155" t="str">
        <f ca="1">IFERROR(INDEX(Données!$B$3:$B$1479,MATCH(ROWS($AD$3:AD1360),$AD$3:$AD$1479,0)),"")</f>
        <v/>
      </c>
    </row>
    <row r="1361" spans="1:31" ht="15.75" x14ac:dyDescent="0.25">
      <c r="A1361" t="str">
        <f t="shared" si="260"/>
        <v>Zach Whitecloud - VGK - RD</v>
      </c>
      <c r="B1361" t="str">
        <f t="shared" si="261"/>
        <v>Zach Whitecloud - VGK - RD</v>
      </c>
      <c r="C1361" t="str">
        <f t="shared" si="255"/>
        <v>Zach</v>
      </c>
      <c r="D1361" t="str">
        <f t="shared" si="256"/>
        <v>Whitecloud</v>
      </c>
      <c r="E1361" s="39" t="s">
        <v>2384</v>
      </c>
      <c r="F1361" s="5" t="s">
        <v>135</v>
      </c>
      <c r="G1361" s="35" t="s">
        <v>386</v>
      </c>
      <c r="H1361" s="35" t="s">
        <v>379</v>
      </c>
      <c r="I1361" s="9" t="s">
        <v>2690</v>
      </c>
      <c r="J1361" s="35">
        <v>22</v>
      </c>
      <c r="K1361" s="35">
        <f>VALUE(COUNTIF(Validation!$A$2:$H$47,E1361))</f>
        <v>0</v>
      </c>
      <c r="L1361" s="361">
        <f t="shared" si="257"/>
        <v>1491667</v>
      </c>
      <c r="M1361" s="361">
        <f t="shared" si="258"/>
        <v>0</v>
      </c>
      <c r="N1361" s="358">
        <v>1491667</v>
      </c>
      <c r="O1361" s="358" t="s">
        <v>8</v>
      </c>
      <c r="P1361" s="358">
        <v>0</v>
      </c>
      <c r="Q1361" s="358">
        <v>0</v>
      </c>
      <c r="R1361" s="358">
        <v>0</v>
      </c>
      <c r="S1361" s="358">
        <v>0</v>
      </c>
      <c r="T1361" s="358">
        <v>0</v>
      </c>
      <c r="U1361" s="35">
        <f t="shared" si="252"/>
        <v>1</v>
      </c>
      <c r="W1361">
        <f t="shared" si="259"/>
        <v>1</v>
      </c>
      <c r="X1361" s="35">
        <f t="shared" si="253"/>
        <v>1</v>
      </c>
      <c r="Y1361">
        <f t="shared" si="254"/>
        <v>0</v>
      </c>
      <c r="AB1361">
        <f t="shared" si="262"/>
        <v>1</v>
      </c>
      <c r="AC1361">
        <f t="shared" ca="1" si="263"/>
        <v>0</v>
      </c>
      <c r="AD1361" t="str">
        <f ca="1">IF(AC1361=1,COUNTIF($AC$3:AC1361,1),"")</f>
        <v/>
      </c>
      <c r="AE1361" s="155" t="str">
        <f ca="1">IFERROR(INDEX(Données!$B$3:$B$1479,MATCH(ROWS($AD$3:AD1361),$AD$3:$AD$1479,0)),"")</f>
        <v/>
      </c>
    </row>
    <row r="1362" spans="1:31" ht="15.75" x14ac:dyDescent="0.25">
      <c r="A1362" t="str">
        <f t="shared" si="260"/>
        <v>Jon Merrill - VGK - LD</v>
      </c>
      <c r="B1362" t="str">
        <f t="shared" si="261"/>
        <v>Jon Merrill - VGK - LD</v>
      </c>
      <c r="C1362" t="str">
        <f t="shared" si="255"/>
        <v>Jon</v>
      </c>
      <c r="D1362" t="str">
        <f t="shared" si="256"/>
        <v>Merrill</v>
      </c>
      <c r="E1362" s="39" t="s">
        <v>2380</v>
      </c>
      <c r="F1362" s="5" t="s">
        <v>135</v>
      </c>
      <c r="G1362" s="35">
        <v>0</v>
      </c>
      <c r="H1362" s="35" t="s">
        <v>380</v>
      </c>
      <c r="I1362" s="35" t="s">
        <v>2677</v>
      </c>
      <c r="J1362" s="35">
        <v>27</v>
      </c>
      <c r="K1362" s="35">
        <f>VALUE(COUNTIF(Validation!$A$2:$H$47,E1362))</f>
        <v>0</v>
      </c>
      <c r="L1362" s="361">
        <f t="shared" si="257"/>
        <v>1375000</v>
      </c>
      <c r="M1362" s="361">
        <f t="shared" si="258"/>
        <v>0</v>
      </c>
      <c r="N1362" s="358">
        <v>1375000</v>
      </c>
      <c r="O1362" s="358" t="s">
        <v>7</v>
      </c>
      <c r="P1362" s="358">
        <v>0</v>
      </c>
      <c r="Q1362" s="358">
        <v>0</v>
      </c>
      <c r="R1362" s="358">
        <v>0</v>
      </c>
      <c r="S1362" s="358">
        <v>0</v>
      </c>
      <c r="T1362" s="358">
        <v>0</v>
      </c>
      <c r="U1362" s="35">
        <f t="shared" si="252"/>
        <v>1</v>
      </c>
      <c r="W1362">
        <f t="shared" si="259"/>
        <v>1</v>
      </c>
      <c r="X1362" s="35">
        <f t="shared" si="253"/>
        <v>0</v>
      </c>
      <c r="Y1362">
        <f t="shared" si="254"/>
        <v>0</v>
      </c>
      <c r="AB1362">
        <f t="shared" si="262"/>
        <v>1</v>
      </c>
      <c r="AC1362">
        <f t="shared" ca="1" si="263"/>
        <v>0</v>
      </c>
      <c r="AD1362" t="str">
        <f ca="1">IF(AC1362=1,COUNTIF($AC$3:AC1362,1),"")</f>
        <v/>
      </c>
      <c r="AE1362" s="155" t="str">
        <f ca="1">IFERROR(INDEX(Données!$B$3:$B$1479,MATCH(ROWS($AD$3:AD1362),$AD$3:$AD$1479,0)),"")</f>
        <v/>
      </c>
    </row>
    <row r="1363" spans="1:31" ht="15.75" x14ac:dyDescent="0.25">
      <c r="A1363" t="str">
        <f t="shared" si="260"/>
        <v>Tomas Nosek - VGK - LW, RW</v>
      </c>
      <c r="B1363" t="str">
        <f t="shared" si="261"/>
        <v>Tomas Nosek - VGK - LW, RW</v>
      </c>
      <c r="C1363" t="str">
        <f t="shared" si="255"/>
        <v>Tomas</v>
      </c>
      <c r="D1363" t="str">
        <f t="shared" si="256"/>
        <v>Nosek</v>
      </c>
      <c r="E1363" s="39" t="s">
        <v>2372</v>
      </c>
      <c r="F1363" s="5" t="s">
        <v>135</v>
      </c>
      <c r="G1363" s="35">
        <v>0</v>
      </c>
      <c r="H1363" s="9" t="s">
        <v>2689</v>
      </c>
      <c r="I1363" s="9" t="s">
        <v>2677</v>
      </c>
      <c r="J1363" s="9">
        <v>26</v>
      </c>
      <c r="K1363" s="35">
        <f>VALUE(COUNTIF(Validation!$A$2:$H$47,E1363))</f>
        <v>0</v>
      </c>
      <c r="L1363" s="361">
        <f t="shared" si="257"/>
        <v>1000000</v>
      </c>
      <c r="M1363" s="361">
        <f t="shared" si="258"/>
        <v>0</v>
      </c>
      <c r="N1363" s="358">
        <v>1000000</v>
      </c>
      <c r="O1363" s="358" t="s">
        <v>7</v>
      </c>
      <c r="P1363" s="358">
        <v>0</v>
      </c>
      <c r="Q1363" s="358">
        <v>0</v>
      </c>
      <c r="R1363" s="358">
        <v>0</v>
      </c>
      <c r="S1363" s="358">
        <v>0</v>
      </c>
      <c r="T1363" s="358">
        <v>0</v>
      </c>
      <c r="U1363" s="35">
        <f t="shared" si="252"/>
        <v>1</v>
      </c>
      <c r="W1363">
        <f t="shared" si="259"/>
        <v>1</v>
      </c>
      <c r="X1363" s="35">
        <f t="shared" si="253"/>
        <v>0</v>
      </c>
      <c r="Y1363">
        <f t="shared" si="254"/>
        <v>0</v>
      </c>
      <c r="AB1363">
        <f t="shared" si="262"/>
        <v>1</v>
      </c>
      <c r="AC1363">
        <f t="shared" ca="1" si="263"/>
        <v>0</v>
      </c>
      <c r="AD1363" t="str">
        <f ca="1">IF(AC1363=1,COUNTIF($AC$3:AC1363,1),"")</f>
        <v/>
      </c>
      <c r="AE1363" s="155" t="str">
        <f ca="1">IFERROR(INDEX(Données!$B$3:$B$1479,MATCH(ROWS($AD$3:AD1363),$AD$3:$AD$1479,0)),"")</f>
        <v/>
      </c>
    </row>
    <row r="1364" spans="1:31" ht="15.75" x14ac:dyDescent="0.25">
      <c r="A1364" t="str">
        <f t="shared" si="260"/>
        <v>Jake Leschyshyn - VGK - C</v>
      </c>
      <c r="B1364" t="str">
        <f t="shared" si="261"/>
        <v>Jake Leschyshyn - VGK - C</v>
      </c>
      <c r="C1364" t="str">
        <f t="shared" si="255"/>
        <v>Jake</v>
      </c>
      <c r="D1364" t="str">
        <f t="shared" si="256"/>
        <v>Leschyshyn</v>
      </c>
      <c r="E1364" s="39" t="s">
        <v>2388</v>
      </c>
      <c r="F1364" s="5" t="s">
        <v>135</v>
      </c>
      <c r="G1364" s="35" t="s">
        <v>386</v>
      </c>
      <c r="H1364" s="35" t="s">
        <v>73</v>
      </c>
      <c r="I1364" s="35" t="s">
        <v>2690</v>
      </c>
      <c r="J1364" s="35">
        <v>20</v>
      </c>
      <c r="K1364" s="35">
        <f>VALUE(COUNTIF(Validation!$A$2:$H$47,E1364))</f>
        <v>0</v>
      </c>
      <c r="L1364" s="361">
        <f t="shared" si="257"/>
        <v>927500</v>
      </c>
      <c r="M1364" s="361">
        <f t="shared" si="258"/>
        <v>927500</v>
      </c>
      <c r="N1364" s="358">
        <v>927500</v>
      </c>
      <c r="O1364" s="358">
        <v>927500</v>
      </c>
      <c r="P1364" s="358">
        <v>927500</v>
      </c>
      <c r="Q1364" s="358" t="s">
        <v>8</v>
      </c>
      <c r="R1364" s="358">
        <v>0</v>
      </c>
      <c r="S1364" s="358">
        <v>0</v>
      </c>
      <c r="T1364" s="358">
        <v>0</v>
      </c>
      <c r="U1364" s="35">
        <f t="shared" si="252"/>
        <v>3</v>
      </c>
      <c r="W1364">
        <f t="shared" si="259"/>
        <v>1</v>
      </c>
      <c r="X1364" s="35">
        <f t="shared" si="253"/>
        <v>1</v>
      </c>
      <c r="Y1364">
        <f t="shared" si="254"/>
        <v>1</v>
      </c>
      <c r="AB1364">
        <f t="shared" si="262"/>
        <v>1</v>
      </c>
      <c r="AC1364">
        <f t="shared" ca="1" si="263"/>
        <v>0</v>
      </c>
      <c r="AD1364" t="str">
        <f ca="1">IF(AC1364=1,COUNTIF($AC$3:AC1364,1),"")</f>
        <v/>
      </c>
      <c r="AE1364" s="155" t="str">
        <f ca="1">IFERROR(INDEX(Données!$B$3:$B$1479,MATCH(ROWS($AD$3:AD1364),$AD$3:$AD$1479,0)),"")</f>
        <v/>
      </c>
    </row>
    <row r="1365" spans="1:31" ht="15.75" x14ac:dyDescent="0.25">
      <c r="A1365" t="str">
        <f t="shared" si="260"/>
        <v>Reid Duke - VGK - C, RW</v>
      </c>
      <c r="B1365" t="str">
        <f t="shared" si="261"/>
        <v>Reid Duke - VGK - C, RW</v>
      </c>
      <c r="C1365" t="str">
        <f t="shared" si="255"/>
        <v>Reid</v>
      </c>
      <c r="D1365" t="str">
        <f t="shared" si="256"/>
        <v>Duke</v>
      </c>
      <c r="E1365" s="39" t="s">
        <v>2390</v>
      </c>
      <c r="F1365" s="5" t="s">
        <v>135</v>
      </c>
      <c r="G1365" s="35" t="s">
        <v>386</v>
      </c>
      <c r="H1365" s="35" t="s">
        <v>2684</v>
      </c>
      <c r="I1365" s="35" t="s">
        <v>2690</v>
      </c>
      <c r="J1365" s="35">
        <v>23</v>
      </c>
      <c r="K1365" s="35">
        <f>VALUE(COUNTIF(Validation!$A$2:$H$47,E1365))</f>
        <v>0</v>
      </c>
      <c r="L1365" s="361">
        <f t="shared" si="257"/>
        <v>925000</v>
      </c>
      <c r="M1365" s="361">
        <f t="shared" si="258"/>
        <v>0</v>
      </c>
      <c r="N1365" s="358">
        <v>925000</v>
      </c>
      <c r="O1365" s="358" t="s">
        <v>8</v>
      </c>
      <c r="P1365" s="358">
        <v>0</v>
      </c>
      <c r="Q1365" s="358">
        <v>0</v>
      </c>
      <c r="R1365" s="358">
        <v>0</v>
      </c>
      <c r="S1365" s="358">
        <v>0</v>
      </c>
      <c r="T1365" s="358">
        <v>0</v>
      </c>
      <c r="U1365" s="35">
        <f t="shared" si="252"/>
        <v>1</v>
      </c>
      <c r="W1365">
        <f t="shared" si="259"/>
        <v>1</v>
      </c>
      <c r="X1365" s="35">
        <f t="shared" si="253"/>
        <v>1</v>
      </c>
      <c r="Y1365">
        <f t="shared" si="254"/>
        <v>0</v>
      </c>
      <c r="AB1365">
        <f t="shared" si="262"/>
        <v>1</v>
      </c>
      <c r="AC1365">
        <f t="shared" ca="1" si="263"/>
        <v>0</v>
      </c>
      <c r="AD1365" t="str">
        <f ca="1">IF(AC1365=1,COUNTIF($AC$3:AC1365,1),"")</f>
        <v/>
      </c>
      <c r="AE1365" s="155" t="str">
        <f ca="1">IFERROR(INDEX(Données!$B$3:$B$1479,MATCH(ROWS($AD$3:AD1365),$AD$3:$AD$1479,0)),"")</f>
        <v/>
      </c>
    </row>
    <row r="1366" spans="1:31" ht="15.75" x14ac:dyDescent="0.25">
      <c r="A1366" t="str">
        <f t="shared" si="260"/>
        <v>Keegan Kolesar - VGK - RW</v>
      </c>
      <c r="B1366" t="str">
        <f t="shared" si="261"/>
        <v>Keegan Kolesar - VGK - RW</v>
      </c>
      <c r="C1366" t="str">
        <f t="shared" si="255"/>
        <v>Keegan</v>
      </c>
      <c r="D1366" t="str">
        <f t="shared" si="256"/>
        <v>Kolesar</v>
      </c>
      <c r="E1366" s="39" t="s">
        <v>2397</v>
      </c>
      <c r="F1366" s="5" t="s">
        <v>135</v>
      </c>
      <c r="G1366" s="35" t="s">
        <v>386</v>
      </c>
      <c r="H1366" s="35" t="s">
        <v>88</v>
      </c>
      <c r="I1366" s="35" t="s">
        <v>2690</v>
      </c>
      <c r="J1366" s="35">
        <v>22</v>
      </c>
      <c r="K1366" s="35">
        <f>VALUE(COUNTIF(Validation!$A$2:$H$47,E1366))</f>
        <v>0</v>
      </c>
      <c r="L1366" s="361">
        <f t="shared" si="257"/>
        <v>905000</v>
      </c>
      <c r="M1366" s="361">
        <f t="shared" si="258"/>
        <v>0</v>
      </c>
      <c r="N1366" s="358">
        <v>905000</v>
      </c>
      <c r="O1366" s="358" t="s">
        <v>8</v>
      </c>
      <c r="P1366" s="358">
        <v>0</v>
      </c>
      <c r="Q1366" s="358">
        <v>0</v>
      </c>
      <c r="R1366" s="358">
        <v>0</v>
      </c>
      <c r="S1366" s="358">
        <v>0</v>
      </c>
      <c r="T1366" s="358">
        <v>0</v>
      </c>
      <c r="U1366" s="35">
        <f t="shared" si="252"/>
        <v>1</v>
      </c>
      <c r="W1366">
        <f t="shared" si="259"/>
        <v>1</v>
      </c>
      <c r="X1366" s="35">
        <f t="shared" si="253"/>
        <v>1</v>
      </c>
      <c r="Y1366">
        <f t="shared" si="254"/>
        <v>0</v>
      </c>
      <c r="AB1366">
        <f t="shared" si="262"/>
        <v>1</v>
      </c>
      <c r="AC1366">
        <f t="shared" ca="1" si="263"/>
        <v>0</v>
      </c>
      <c r="AD1366" t="str">
        <f ca="1">IF(AC1366=1,COUNTIF($AC$3:AC1366,1),"")</f>
        <v/>
      </c>
      <c r="AE1366" s="155" t="str">
        <f ca="1">IFERROR(INDEX(Données!$B$3:$B$1479,MATCH(ROWS($AD$3:AD1366),$AD$3:$AD$1479,0)),"")</f>
        <v/>
      </c>
    </row>
    <row r="1367" spans="1:31" ht="15.75" x14ac:dyDescent="0.25">
      <c r="A1367" t="str">
        <f t="shared" si="260"/>
        <v>Lucas Elvenes - VGK - RW</v>
      </c>
      <c r="B1367" t="str">
        <f t="shared" si="261"/>
        <v>Lucas Elvenes - VGK - RW</v>
      </c>
      <c r="C1367" t="str">
        <f t="shared" si="255"/>
        <v>Lucas</v>
      </c>
      <c r="D1367" t="str">
        <f t="shared" si="256"/>
        <v>Elvenes</v>
      </c>
      <c r="E1367" s="14" t="s">
        <v>2389</v>
      </c>
      <c r="F1367" s="5" t="s">
        <v>135</v>
      </c>
      <c r="G1367" s="35" t="s">
        <v>386</v>
      </c>
      <c r="H1367" s="35" t="s">
        <v>88</v>
      </c>
      <c r="I1367" s="35" t="s">
        <v>2690</v>
      </c>
      <c r="J1367" s="35">
        <v>19</v>
      </c>
      <c r="L1367" s="361">
        <f t="shared" si="257"/>
        <v>903333</v>
      </c>
      <c r="M1367" s="361">
        <f t="shared" si="258"/>
        <v>903333</v>
      </c>
      <c r="N1367" s="358">
        <v>903333</v>
      </c>
      <c r="O1367" s="358">
        <v>903333</v>
      </c>
      <c r="P1367" s="358">
        <v>903333</v>
      </c>
      <c r="Q1367" s="358" t="s">
        <v>8</v>
      </c>
      <c r="R1367" s="358">
        <v>0</v>
      </c>
      <c r="S1367" s="358">
        <v>0</v>
      </c>
      <c r="T1367" s="358">
        <v>0</v>
      </c>
      <c r="U1367" s="35">
        <f t="shared" si="252"/>
        <v>3</v>
      </c>
      <c r="W1367">
        <f t="shared" si="259"/>
        <v>1</v>
      </c>
      <c r="X1367" s="35">
        <f t="shared" si="253"/>
        <v>1</v>
      </c>
      <c r="Y1367">
        <f t="shared" si="254"/>
        <v>1</v>
      </c>
      <c r="AB1367">
        <f t="shared" si="262"/>
        <v>1</v>
      </c>
      <c r="AC1367">
        <f t="shared" ca="1" si="263"/>
        <v>0</v>
      </c>
      <c r="AD1367" t="str">
        <f ca="1">IF(AC1367=1,COUNTIF($AC$3:AC1367,1),"")</f>
        <v/>
      </c>
      <c r="AE1367" s="155" t="str">
        <f ca="1">IFERROR(INDEX(Données!$B$3:$B$1479,MATCH(ROWS($AD$3:AD1367),$AD$3:$AD$1479,0)),"")</f>
        <v/>
      </c>
    </row>
    <row r="1368" spans="1:31" ht="15.75" x14ac:dyDescent="0.25">
      <c r="A1368" t="str">
        <f t="shared" si="260"/>
        <v>Jonas Røndbjerg - VGK - RW</v>
      </c>
      <c r="B1368" t="str">
        <f t="shared" si="261"/>
        <v>Jonas Røndbjerg - VGK - RW</v>
      </c>
      <c r="C1368" t="str">
        <f t="shared" si="255"/>
        <v>Jonas</v>
      </c>
      <c r="D1368" t="str">
        <f t="shared" si="256"/>
        <v>Røndbjerg</v>
      </c>
      <c r="E1368" s="39" t="s">
        <v>2447</v>
      </c>
      <c r="F1368" s="5" t="s">
        <v>135</v>
      </c>
      <c r="G1368" s="35" t="s">
        <v>386</v>
      </c>
      <c r="H1368" s="35" t="s">
        <v>88</v>
      </c>
      <c r="I1368" s="35" t="s">
        <v>2690</v>
      </c>
      <c r="J1368" s="35">
        <v>20</v>
      </c>
      <c r="K1368" s="35">
        <f>VALUE(COUNTIF(Validation!$A$2:$H$47,E1368))</f>
        <v>0</v>
      </c>
      <c r="L1368" s="361">
        <f t="shared" si="257"/>
        <v>900000</v>
      </c>
      <c r="M1368" s="361">
        <f t="shared" si="258"/>
        <v>900000</v>
      </c>
      <c r="N1368" s="358">
        <v>900000</v>
      </c>
      <c r="O1368" s="358">
        <v>900000</v>
      </c>
      <c r="P1368" s="358">
        <v>900000</v>
      </c>
      <c r="Q1368" s="358" t="s">
        <v>8</v>
      </c>
      <c r="R1368" s="358">
        <v>0</v>
      </c>
      <c r="S1368" s="358">
        <v>0</v>
      </c>
      <c r="T1368" s="358">
        <v>0</v>
      </c>
      <c r="U1368" s="35">
        <f t="shared" si="252"/>
        <v>3</v>
      </c>
      <c r="W1368">
        <f t="shared" si="259"/>
        <v>1</v>
      </c>
      <c r="X1368" s="35">
        <f t="shared" si="253"/>
        <v>1</v>
      </c>
      <c r="Y1368">
        <f t="shared" si="254"/>
        <v>1</v>
      </c>
      <c r="AB1368">
        <f t="shared" si="262"/>
        <v>1</v>
      </c>
      <c r="AC1368">
        <f t="shared" ca="1" si="263"/>
        <v>0</v>
      </c>
      <c r="AD1368" t="str">
        <f ca="1">IF(AC1368=1,COUNTIF($AC$3:AC1368,1),"")</f>
        <v/>
      </c>
      <c r="AE1368" s="155" t="str">
        <f ca="1">IFERROR(INDEX(Données!$B$3:$B$1479,MATCH(ROWS($AD$3:AD1368),$AD$3:$AD$1479,0)),"")</f>
        <v/>
      </c>
    </row>
    <row r="1369" spans="1:31" ht="15.75" x14ac:dyDescent="0.25">
      <c r="A1369" t="str">
        <f t="shared" si="260"/>
        <v>Nicolas Hague - VGK - LD</v>
      </c>
      <c r="B1369" t="str">
        <f t="shared" si="261"/>
        <v>Nicolas Hague - VGK - LD</v>
      </c>
      <c r="C1369" t="str">
        <f t="shared" si="255"/>
        <v>Nicolas</v>
      </c>
      <c r="D1369" t="str">
        <f t="shared" si="256"/>
        <v>Hague</v>
      </c>
      <c r="E1369" s="39" t="s">
        <v>2387</v>
      </c>
      <c r="F1369" s="5" t="s">
        <v>135</v>
      </c>
      <c r="G1369" s="35" t="s">
        <v>386</v>
      </c>
      <c r="H1369" s="35" t="s">
        <v>380</v>
      </c>
      <c r="I1369" s="35" t="s">
        <v>2690</v>
      </c>
      <c r="J1369" s="35">
        <v>20</v>
      </c>
      <c r="K1369" s="35">
        <f>VALUE(COUNTIF(Validation!$A$2:$H$47,E1369))</f>
        <v>0</v>
      </c>
      <c r="L1369" s="361">
        <f t="shared" si="257"/>
        <v>863333</v>
      </c>
      <c r="M1369" s="361">
        <f t="shared" si="258"/>
        <v>863333</v>
      </c>
      <c r="N1369" s="358">
        <v>863333</v>
      </c>
      <c r="O1369" s="358">
        <v>863333</v>
      </c>
      <c r="P1369" s="358">
        <v>863333</v>
      </c>
      <c r="Q1369" s="358" t="s">
        <v>8</v>
      </c>
      <c r="R1369" s="358">
        <v>0</v>
      </c>
      <c r="S1369" s="358">
        <v>0</v>
      </c>
      <c r="T1369" s="358">
        <v>0</v>
      </c>
      <c r="U1369" s="35">
        <f t="shared" si="252"/>
        <v>3</v>
      </c>
      <c r="W1369">
        <f t="shared" si="259"/>
        <v>1</v>
      </c>
      <c r="X1369" s="35">
        <f t="shared" si="253"/>
        <v>1</v>
      </c>
      <c r="Y1369">
        <f t="shared" si="254"/>
        <v>1</v>
      </c>
      <c r="AB1369">
        <f t="shared" si="262"/>
        <v>1</v>
      </c>
      <c r="AC1369">
        <f t="shared" ca="1" si="263"/>
        <v>0</v>
      </c>
      <c r="AD1369" t="str">
        <f ca="1">IF(AC1369=1,COUNTIF($AC$3:AC1369,1),"")</f>
        <v/>
      </c>
      <c r="AE1369" s="155" t="str">
        <f ca="1">IFERROR(INDEX(Données!$B$3:$B$1479,MATCH(ROWS($AD$3:AD1369),$AD$3:$AD$1479,0)),"")</f>
        <v/>
      </c>
    </row>
    <row r="1370" spans="1:31" ht="15.75" x14ac:dyDescent="0.25">
      <c r="A1370" t="str">
        <f t="shared" si="260"/>
        <v>Malcolm Subban - VGK - G</v>
      </c>
      <c r="B1370" t="str">
        <f t="shared" si="261"/>
        <v>Malcolm Subban - VGK - G</v>
      </c>
      <c r="C1370" t="str">
        <f t="shared" si="255"/>
        <v>Malcolm</v>
      </c>
      <c r="D1370" t="str">
        <f t="shared" si="256"/>
        <v>Subban</v>
      </c>
      <c r="E1370" s="39" t="s">
        <v>2383</v>
      </c>
      <c r="F1370" s="5" t="s">
        <v>135</v>
      </c>
      <c r="G1370" s="35">
        <v>0</v>
      </c>
      <c r="H1370" s="35" t="s">
        <v>127</v>
      </c>
      <c r="I1370" s="35" t="s">
        <v>2677</v>
      </c>
      <c r="J1370" s="35">
        <v>25</v>
      </c>
      <c r="K1370" s="35">
        <f>VALUE(COUNTIF(Validation!$A$2:$H$47,E1370))</f>
        <v>0</v>
      </c>
      <c r="L1370" s="361">
        <f t="shared" si="257"/>
        <v>850000</v>
      </c>
      <c r="M1370" s="361">
        <f t="shared" si="258"/>
        <v>0</v>
      </c>
      <c r="N1370" s="358">
        <v>850000</v>
      </c>
      <c r="O1370" s="358" t="s">
        <v>8</v>
      </c>
      <c r="P1370" s="358">
        <v>0</v>
      </c>
      <c r="Q1370" s="358">
        <v>0</v>
      </c>
      <c r="R1370" s="358">
        <v>0</v>
      </c>
      <c r="S1370" s="358">
        <v>0</v>
      </c>
      <c r="T1370" s="358">
        <v>0</v>
      </c>
      <c r="U1370" s="35">
        <f t="shared" si="252"/>
        <v>1</v>
      </c>
      <c r="W1370">
        <f t="shared" si="259"/>
        <v>1</v>
      </c>
      <c r="X1370" s="35">
        <f t="shared" si="253"/>
        <v>0</v>
      </c>
      <c r="Y1370">
        <f t="shared" si="254"/>
        <v>0</v>
      </c>
      <c r="AB1370">
        <f t="shared" si="262"/>
        <v>1</v>
      </c>
      <c r="AC1370">
        <f t="shared" ca="1" si="263"/>
        <v>0</v>
      </c>
      <c r="AD1370" t="str">
        <f ca="1">IF(AC1370=1,COUNTIF($AC$3:AC1370,1),"")</f>
        <v/>
      </c>
      <c r="AE1370" s="155" t="str">
        <f ca="1">IFERROR(INDEX(Données!$B$3:$B$1479,MATCH(ROWS($AD$3:AD1370),$AD$3:$AD$1479,0)),"")</f>
        <v/>
      </c>
    </row>
    <row r="1371" spans="1:31" ht="15.75" x14ac:dyDescent="0.25">
      <c r="A1371" t="str">
        <f t="shared" si="260"/>
        <v>Nicolas Roy - VGK - C</v>
      </c>
      <c r="B1371" t="str">
        <f t="shared" si="261"/>
        <v>Nicolas Roy - VGK - C</v>
      </c>
      <c r="C1371" t="str">
        <f t="shared" si="255"/>
        <v>Nicolas</v>
      </c>
      <c r="D1371" t="str">
        <f t="shared" si="256"/>
        <v>Roy</v>
      </c>
      <c r="E1371" s="39" t="s">
        <v>1646</v>
      </c>
      <c r="F1371" s="5" t="s">
        <v>135</v>
      </c>
      <c r="G1371" s="35" t="s">
        <v>386</v>
      </c>
      <c r="H1371" s="9" t="s">
        <v>73</v>
      </c>
      <c r="I1371" s="9" t="s">
        <v>2690</v>
      </c>
      <c r="J1371" s="9">
        <v>22</v>
      </c>
      <c r="K1371" s="35">
        <f>VALUE(COUNTIF(Validation!$A$2:$H$47,E1371))</f>
        <v>0</v>
      </c>
      <c r="L1371" s="361">
        <f t="shared" si="257"/>
        <v>815000</v>
      </c>
      <c r="M1371" s="361">
        <f t="shared" si="258"/>
        <v>0</v>
      </c>
      <c r="N1371" s="358">
        <v>815000</v>
      </c>
      <c r="O1371" s="358" t="s">
        <v>8</v>
      </c>
      <c r="P1371" s="358">
        <v>0</v>
      </c>
      <c r="Q1371" s="358">
        <v>0</v>
      </c>
      <c r="R1371" s="358">
        <v>0</v>
      </c>
      <c r="S1371" s="358">
        <v>0</v>
      </c>
      <c r="T1371" s="358">
        <v>0</v>
      </c>
      <c r="U1371" s="35">
        <f t="shared" si="252"/>
        <v>1</v>
      </c>
      <c r="W1371">
        <f t="shared" si="259"/>
        <v>1</v>
      </c>
      <c r="X1371" s="35">
        <f t="shared" si="253"/>
        <v>1</v>
      </c>
      <c r="Y1371">
        <f t="shared" si="254"/>
        <v>0</v>
      </c>
      <c r="AB1371">
        <f t="shared" si="262"/>
        <v>1</v>
      </c>
      <c r="AC1371">
        <f t="shared" ca="1" si="263"/>
        <v>0</v>
      </c>
      <c r="AD1371" t="str">
        <f ca="1">IF(AC1371=1,COUNTIF($AC$3:AC1371,1),"")</f>
        <v/>
      </c>
      <c r="AE1371" s="155" t="str">
        <f ca="1">IFERROR(INDEX(Données!$B$3:$B$1479,MATCH(ROWS($AD$3:AD1371),$AD$3:$AD$1479,0)),"")</f>
        <v/>
      </c>
    </row>
    <row r="1372" spans="1:31" ht="15.75" x14ac:dyDescent="0.25">
      <c r="A1372" t="str">
        <f t="shared" si="260"/>
        <v>Paul Cotter - VGK - C</v>
      </c>
      <c r="B1372" t="str">
        <f t="shared" si="261"/>
        <v>Paul Cotter - VGK - C</v>
      </c>
      <c r="C1372" t="str">
        <f t="shared" si="255"/>
        <v>Paul</v>
      </c>
      <c r="D1372" t="str">
        <f t="shared" si="256"/>
        <v>Cotter</v>
      </c>
      <c r="E1372" s="39" t="s">
        <v>2449</v>
      </c>
      <c r="F1372" s="5" t="s">
        <v>135</v>
      </c>
      <c r="G1372" s="35" t="s">
        <v>386</v>
      </c>
      <c r="H1372" s="35" t="s">
        <v>73</v>
      </c>
      <c r="I1372" s="35" t="s">
        <v>2690</v>
      </c>
      <c r="J1372" s="35">
        <v>19</v>
      </c>
      <c r="K1372" s="35">
        <f>VALUE(COUNTIF(Validation!$A$2:$H$47,E1372))</f>
        <v>0</v>
      </c>
      <c r="L1372" s="361">
        <f t="shared" si="257"/>
        <v>806667</v>
      </c>
      <c r="M1372" s="361">
        <f t="shared" si="258"/>
        <v>806667</v>
      </c>
      <c r="N1372" s="358">
        <v>806667</v>
      </c>
      <c r="O1372" s="358">
        <v>806667</v>
      </c>
      <c r="P1372" s="358">
        <v>806667</v>
      </c>
      <c r="Q1372" s="358" t="s">
        <v>8</v>
      </c>
      <c r="R1372" s="358">
        <v>0</v>
      </c>
      <c r="S1372" s="358">
        <v>0</v>
      </c>
      <c r="T1372" s="358">
        <v>0</v>
      </c>
      <c r="U1372" s="35">
        <f t="shared" si="252"/>
        <v>3</v>
      </c>
      <c r="W1372">
        <f t="shared" si="259"/>
        <v>1</v>
      </c>
      <c r="X1372" s="35">
        <f t="shared" si="253"/>
        <v>1</v>
      </c>
      <c r="Y1372">
        <f t="shared" si="254"/>
        <v>1</v>
      </c>
      <c r="AB1372">
        <f t="shared" si="262"/>
        <v>1</v>
      </c>
      <c r="AC1372">
        <f t="shared" ca="1" si="263"/>
        <v>0</v>
      </c>
      <c r="AD1372" t="str">
        <f ca="1">IF(AC1372=1,COUNTIF($AC$3:AC1372,1),"")</f>
        <v/>
      </c>
      <c r="AE1372" s="155" t="str">
        <f ca="1">IFERROR(INDEX(Données!$B$3:$B$1479,MATCH(ROWS($AD$3:AD1372),$AD$3:$AD$1479,0)),"")</f>
        <v/>
      </c>
    </row>
    <row r="1373" spans="1:31" ht="15.75" x14ac:dyDescent="0.25">
      <c r="A1373" t="str">
        <f t="shared" si="260"/>
        <v>Marcus Kallionkieli - VGK - C</v>
      </c>
      <c r="B1373" t="str">
        <f t="shared" si="261"/>
        <v>Marcus Kallionkieli - VGK - C</v>
      </c>
      <c r="C1373" t="str">
        <f t="shared" si="255"/>
        <v>Marcus</v>
      </c>
      <c r="D1373" t="str">
        <f t="shared" si="256"/>
        <v>Kallionkieli</v>
      </c>
      <c r="E1373" s="39" t="s">
        <v>2714</v>
      </c>
      <c r="F1373" s="5" t="s">
        <v>135</v>
      </c>
      <c r="G1373" s="35" t="s">
        <v>386</v>
      </c>
      <c r="H1373" s="35" t="s">
        <v>73</v>
      </c>
      <c r="I1373" s="35" t="s">
        <v>2690</v>
      </c>
      <c r="J1373" s="35">
        <v>18</v>
      </c>
      <c r="K1373" s="35">
        <f>VALUE(COUNTIF(Validation!$A$2:$H$47,E1373))</f>
        <v>0</v>
      </c>
      <c r="L1373" s="361">
        <f t="shared" si="257"/>
        <v>795833</v>
      </c>
      <c r="M1373" s="361">
        <f t="shared" si="258"/>
        <v>795833</v>
      </c>
      <c r="N1373" s="358">
        <v>795833</v>
      </c>
      <c r="O1373" s="358">
        <v>795833</v>
      </c>
      <c r="P1373" s="358">
        <v>795833</v>
      </c>
      <c r="Q1373" s="358" t="s">
        <v>8</v>
      </c>
      <c r="R1373" s="358">
        <v>0</v>
      </c>
      <c r="S1373" s="358">
        <v>0</v>
      </c>
      <c r="T1373" s="358">
        <v>0</v>
      </c>
      <c r="U1373" s="35">
        <f t="shared" si="252"/>
        <v>3</v>
      </c>
      <c r="W1373">
        <f t="shared" si="259"/>
        <v>1</v>
      </c>
      <c r="X1373" s="35">
        <f t="shared" si="253"/>
        <v>1</v>
      </c>
      <c r="Y1373">
        <f t="shared" si="254"/>
        <v>1</v>
      </c>
      <c r="AB1373">
        <f t="shared" si="262"/>
        <v>1</v>
      </c>
      <c r="AC1373">
        <f t="shared" ca="1" si="263"/>
        <v>0</v>
      </c>
      <c r="AD1373" t="str">
        <f ca="1">IF(AC1373=1,COUNTIF($AC$3:AC1373,1),"")</f>
        <v/>
      </c>
      <c r="AE1373" s="155" t="str">
        <f ca="1">IFERROR(INDEX(Données!$B$3:$B$1479,MATCH(ROWS($AD$3:AD1373),$AD$3:$AD$1479,0)),"")</f>
        <v/>
      </c>
    </row>
    <row r="1374" spans="1:31" ht="15.75" x14ac:dyDescent="0.25">
      <c r="A1374" t="str">
        <f t="shared" si="260"/>
        <v>Brandon Pirri - VGK - RW, LW</v>
      </c>
      <c r="B1374" t="str">
        <f t="shared" si="261"/>
        <v>Brandon Pirri - VGK - RW, LW</v>
      </c>
      <c r="C1374" t="str">
        <f t="shared" si="255"/>
        <v>Brandon</v>
      </c>
      <c r="D1374" t="str">
        <f t="shared" si="256"/>
        <v>Pirri</v>
      </c>
      <c r="E1374" s="39" t="s">
        <v>2399</v>
      </c>
      <c r="F1374" s="5" t="s">
        <v>135</v>
      </c>
      <c r="G1374" s="35">
        <v>0</v>
      </c>
      <c r="H1374" s="35" t="s">
        <v>2680</v>
      </c>
      <c r="I1374" s="35" t="s">
        <v>2677</v>
      </c>
      <c r="J1374" s="35">
        <v>28</v>
      </c>
      <c r="K1374" s="35">
        <f>VALUE(COUNTIF(Validation!$A$2:$H$47,E1374))</f>
        <v>0</v>
      </c>
      <c r="L1374" s="361">
        <f t="shared" si="257"/>
        <v>775000</v>
      </c>
      <c r="M1374" s="361">
        <f t="shared" si="258"/>
        <v>775000</v>
      </c>
      <c r="N1374" s="358">
        <v>775000</v>
      </c>
      <c r="O1374" s="358">
        <v>775000</v>
      </c>
      <c r="P1374" s="358" t="s">
        <v>7</v>
      </c>
      <c r="Q1374" s="358">
        <v>0</v>
      </c>
      <c r="R1374" s="358">
        <v>0</v>
      </c>
      <c r="S1374" s="358">
        <v>0</v>
      </c>
      <c r="T1374" s="358">
        <v>0</v>
      </c>
      <c r="U1374" s="35">
        <f t="shared" si="252"/>
        <v>2</v>
      </c>
      <c r="W1374">
        <f t="shared" si="259"/>
        <v>1</v>
      </c>
      <c r="X1374" s="35">
        <f t="shared" si="253"/>
        <v>0</v>
      </c>
      <c r="Y1374">
        <f t="shared" si="254"/>
        <v>1</v>
      </c>
      <c r="AB1374">
        <f t="shared" si="262"/>
        <v>1</v>
      </c>
      <c r="AC1374">
        <f t="shared" ca="1" si="263"/>
        <v>0</v>
      </c>
      <c r="AD1374" t="str">
        <f ca="1">IF(AC1374=1,COUNTIF($AC$3:AC1374,1),"")</f>
        <v/>
      </c>
      <c r="AE1374" s="155" t="str">
        <f ca="1">IFERROR(INDEX(Données!$B$3:$B$1479,MATCH(ROWS($AD$3:AD1374),$AD$3:$AD$1479,0)),"")</f>
        <v/>
      </c>
    </row>
    <row r="1375" spans="1:31" ht="15.75" x14ac:dyDescent="0.25">
      <c r="A1375" t="str">
        <f t="shared" si="260"/>
        <v>Benjamin Jones - VGK - C</v>
      </c>
      <c r="B1375" t="str">
        <f t="shared" si="261"/>
        <v>Benjamin Jones - VGK - C</v>
      </c>
      <c r="C1375" t="str">
        <f t="shared" si="255"/>
        <v>Benjamin</v>
      </c>
      <c r="D1375" t="str">
        <f t="shared" si="256"/>
        <v>Jones</v>
      </c>
      <c r="E1375" s="39" t="s">
        <v>2393</v>
      </c>
      <c r="F1375" s="5" t="s">
        <v>135</v>
      </c>
      <c r="G1375" s="35" t="s">
        <v>386</v>
      </c>
      <c r="H1375" s="35" t="s">
        <v>73</v>
      </c>
      <c r="I1375" s="35" t="s">
        <v>2690</v>
      </c>
      <c r="J1375" s="35">
        <v>20</v>
      </c>
      <c r="K1375" s="35">
        <f>VALUE(COUNTIF(Validation!$A$2:$H$47,E1375))</f>
        <v>0</v>
      </c>
      <c r="L1375" s="361">
        <f t="shared" si="257"/>
        <v>760000</v>
      </c>
      <c r="M1375" s="361">
        <f t="shared" si="258"/>
        <v>760000</v>
      </c>
      <c r="N1375" s="358">
        <v>760000</v>
      </c>
      <c r="O1375" s="358">
        <v>760000</v>
      </c>
      <c r="P1375" s="358">
        <v>760000</v>
      </c>
      <c r="Q1375" s="358" t="s">
        <v>8</v>
      </c>
      <c r="R1375" s="358">
        <v>0</v>
      </c>
      <c r="S1375" s="358">
        <v>0</v>
      </c>
      <c r="T1375" s="358">
        <v>0</v>
      </c>
      <c r="U1375" s="35">
        <f t="shared" si="252"/>
        <v>3</v>
      </c>
      <c r="W1375">
        <f t="shared" si="259"/>
        <v>1</v>
      </c>
      <c r="X1375" s="35">
        <f t="shared" si="253"/>
        <v>1</v>
      </c>
      <c r="Y1375">
        <f t="shared" si="254"/>
        <v>1</v>
      </c>
      <c r="AB1375">
        <f t="shared" si="262"/>
        <v>1</v>
      </c>
      <c r="AC1375">
        <f t="shared" ca="1" si="263"/>
        <v>0</v>
      </c>
      <c r="AD1375" t="str">
        <f ca="1">IF(AC1375=1,COUNTIF($AC$3:AC1375,1),"")</f>
        <v/>
      </c>
      <c r="AE1375" s="155" t="str">
        <f ca="1">IFERROR(INDEX(Données!$B$3:$B$1479,MATCH(ROWS($AD$3:AD1375),$AD$3:$AD$1479,0)),"")</f>
        <v/>
      </c>
    </row>
    <row r="1376" spans="1:31" ht="15.75" x14ac:dyDescent="0.25">
      <c r="A1376" t="str">
        <f t="shared" si="260"/>
        <v>Curtis McKenzie - VGK - LW</v>
      </c>
      <c r="B1376" t="str">
        <f t="shared" si="261"/>
        <v>Curtis McKenzie - VGK - LW</v>
      </c>
      <c r="C1376" t="str">
        <f t="shared" si="255"/>
        <v>Curtis</v>
      </c>
      <c r="D1376" t="str">
        <f t="shared" si="256"/>
        <v>McKenzie</v>
      </c>
      <c r="E1376" s="39" t="s">
        <v>2391</v>
      </c>
      <c r="F1376" s="5" t="s">
        <v>135</v>
      </c>
      <c r="G1376" s="35">
        <v>0</v>
      </c>
      <c r="H1376" s="35" t="s">
        <v>93</v>
      </c>
      <c r="I1376" s="35" t="s">
        <v>2677</v>
      </c>
      <c r="J1376" s="35">
        <v>28</v>
      </c>
      <c r="K1376" s="35">
        <f>VALUE(COUNTIF(Validation!$A$2:$H$47,E1376))</f>
        <v>0</v>
      </c>
      <c r="L1376" s="361">
        <f t="shared" si="257"/>
        <v>750000</v>
      </c>
      <c r="M1376" s="361">
        <f t="shared" si="258"/>
        <v>0</v>
      </c>
      <c r="N1376" s="358">
        <v>750000</v>
      </c>
      <c r="O1376" s="358" t="s">
        <v>7</v>
      </c>
      <c r="P1376" s="358">
        <v>0</v>
      </c>
      <c r="Q1376" s="358">
        <v>0</v>
      </c>
      <c r="R1376" s="358">
        <v>0</v>
      </c>
      <c r="S1376" s="358">
        <v>0</v>
      </c>
      <c r="T1376" s="358">
        <v>0</v>
      </c>
      <c r="U1376" s="35">
        <f t="shared" si="252"/>
        <v>1</v>
      </c>
      <c r="W1376">
        <f t="shared" si="259"/>
        <v>1</v>
      </c>
      <c r="X1376" s="35">
        <f t="shared" si="253"/>
        <v>0</v>
      </c>
      <c r="Y1376">
        <f t="shared" si="254"/>
        <v>0</v>
      </c>
      <c r="AB1376">
        <f t="shared" si="262"/>
        <v>1</v>
      </c>
      <c r="AC1376">
        <f t="shared" ca="1" si="263"/>
        <v>0</v>
      </c>
      <c r="AD1376" t="str">
        <f ca="1">IF(AC1376=1,COUNTIF($AC$3:AC1376,1),"")</f>
        <v/>
      </c>
      <c r="AE1376" s="155" t="str">
        <f ca="1">IFERROR(INDEX(Données!$B$3:$B$1479,MATCH(ROWS($AD$3:AD1376),$AD$3:$AD$1479,0)),"")</f>
        <v/>
      </c>
    </row>
    <row r="1377" spans="1:31" ht="15.75" x14ac:dyDescent="0.25">
      <c r="A1377" t="str">
        <f t="shared" si="260"/>
        <v>Garret Sparks - VGK - G</v>
      </c>
      <c r="B1377" t="str">
        <f t="shared" si="261"/>
        <v>Garret Sparks - VGK - G</v>
      </c>
      <c r="C1377" t="str">
        <f t="shared" si="255"/>
        <v>Garret</v>
      </c>
      <c r="D1377" t="str">
        <f t="shared" si="256"/>
        <v>Sparks</v>
      </c>
      <c r="E1377" s="39" t="s">
        <v>1602</v>
      </c>
      <c r="F1377" s="5" t="s">
        <v>135</v>
      </c>
      <c r="G1377" s="35">
        <v>0</v>
      </c>
      <c r="H1377" s="35" t="s">
        <v>127</v>
      </c>
      <c r="I1377" s="35" t="s">
        <v>2690</v>
      </c>
      <c r="J1377" s="35">
        <v>26</v>
      </c>
      <c r="K1377" s="35">
        <f>VALUE(COUNTIF(Validation!$A$2:$H$47,E1377))</f>
        <v>0</v>
      </c>
      <c r="L1377" s="361">
        <f t="shared" si="257"/>
        <v>750000</v>
      </c>
      <c r="M1377" s="361">
        <f t="shared" si="258"/>
        <v>0</v>
      </c>
      <c r="N1377" s="358">
        <v>750000</v>
      </c>
      <c r="O1377" s="358" t="s">
        <v>7</v>
      </c>
      <c r="P1377" s="358">
        <v>0</v>
      </c>
      <c r="Q1377" s="358">
        <v>0</v>
      </c>
      <c r="R1377" s="358">
        <v>0</v>
      </c>
      <c r="S1377" s="358">
        <v>0</v>
      </c>
      <c r="T1377" s="358">
        <v>0</v>
      </c>
      <c r="U1377" s="35">
        <f t="shared" si="252"/>
        <v>1</v>
      </c>
      <c r="W1377">
        <f t="shared" si="259"/>
        <v>1</v>
      </c>
      <c r="X1377" s="35">
        <f t="shared" si="253"/>
        <v>0</v>
      </c>
      <c r="Y1377">
        <f t="shared" si="254"/>
        <v>0</v>
      </c>
      <c r="AB1377">
        <f t="shared" si="262"/>
        <v>1</v>
      </c>
      <c r="AC1377">
        <f t="shared" ca="1" si="263"/>
        <v>0</v>
      </c>
      <c r="AD1377" t="str">
        <f ca="1">IF(AC1377=1,COUNTIF($AC$3:AC1377,1),"")</f>
        <v/>
      </c>
      <c r="AE1377" s="155" t="str">
        <f ca="1">IFERROR(INDEX(Données!$B$3:$B$1479,MATCH(ROWS($AD$3:AD1377),$AD$3:$AD$1479,0)),"")</f>
        <v/>
      </c>
    </row>
    <row r="1378" spans="1:31" ht="15.75" x14ac:dyDescent="0.25">
      <c r="A1378" t="str">
        <f t="shared" si="260"/>
        <v>Dylan Ferguson - VGK - G</v>
      </c>
      <c r="B1378" t="str">
        <f t="shared" si="261"/>
        <v>Dylan Ferguson - VGK - G</v>
      </c>
      <c r="C1378" t="str">
        <f t="shared" si="255"/>
        <v>Dylan</v>
      </c>
      <c r="D1378" t="str">
        <f t="shared" si="256"/>
        <v>Ferguson</v>
      </c>
      <c r="E1378" s="39" t="s">
        <v>2394</v>
      </c>
      <c r="F1378" s="5" t="s">
        <v>135</v>
      </c>
      <c r="G1378" s="35" t="s">
        <v>386</v>
      </c>
      <c r="H1378" s="35" t="s">
        <v>127</v>
      </c>
      <c r="I1378" s="35" t="s">
        <v>2690</v>
      </c>
      <c r="J1378" s="35">
        <v>20</v>
      </c>
      <c r="K1378" s="35">
        <f>VALUE(COUNTIF(Validation!$A$2:$H$47,E1378))</f>
        <v>0</v>
      </c>
      <c r="L1378" s="361">
        <f t="shared" si="257"/>
        <v>733333</v>
      </c>
      <c r="M1378" s="361">
        <f t="shared" si="258"/>
        <v>733333</v>
      </c>
      <c r="N1378" s="358">
        <v>733333</v>
      </c>
      <c r="O1378" s="358">
        <v>733333</v>
      </c>
      <c r="P1378" s="358">
        <v>733333</v>
      </c>
      <c r="Q1378" s="358" t="s">
        <v>8</v>
      </c>
      <c r="R1378" s="358">
        <v>0</v>
      </c>
      <c r="S1378" s="358">
        <v>0</v>
      </c>
      <c r="T1378" s="358">
        <v>0</v>
      </c>
      <c r="U1378" s="35">
        <f t="shared" si="252"/>
        <v>3</v>
      </c>
      <c r="W1378">
        <f t="shared" si="259"/>
        <v>1</v>
      </c>
      <c r="X1378" s="35">
        <f t="shared" si="253"/>
        <v>1</v>
      </c>
      <c r="Y1378">
        <f t="shared" si="254"/>
        <v>1</v>
      </c>
      <c r="AB1378">
        <f t="shared" si="262"/>
        <v>1</v>
      </c>
      <c r="AC1378">
        <f t="shared" ca="1" si="263"/>
        <v>0</v>
      </c>
      <c r="AD1378" t="str">
        <f ca="1">IF(AC1378=1,COUNTIF($AC$3:AC1378,1),"")</f>
        <v/>
      </c>
      <c r="AE1378" s="155" t="str">
        <f ca="1">IFERROR(INDEX(Données!$B$3:$B$1479,MATCH(ROWS($AD$3:AD1378),$AD$3:$AD$1479,0)),"")</f>
        <v/>
      </c>
    </row>
    <row r="1379" spans="1:31" ht="15.75" x14ac:dyDescent="0.25">
      <c r="A1379" t="str">
        <f t="shared" si="260"/>
        <v>William Carrier - VGK - LW</v>
      </c>
      <c r="B1379" t="str">
        <f t="shared" si="261"/>
        <v>William Carrier - VGK - LW</v>
      </c>
      <c r="C1379" t="str">
        <f t="shared" si="255"/>
        <v>William</v>
      </c>
      <c r="D1379" t="str">
        <f t="shared" si="256"/>
        <v>Carrier</v>
      </c>
      <c r="E1379" s="39" t="s">
        <v>2374</v>
      </c>
      <c r="F1379" s="5" t="s">
        <v>135</v>
      </c>
      <c r="G1379" s="35">
        <v>0</v>
      </c>
      <c r="H1379" s="35" t="s">
        <v>93</v>
      </c>
      <c r="I1379" s="35" t="s">
        <v>2677</v>
      </c>
      <c r="J1379" s="35">
        <v>24</v>
      </c>
      <c r="K1379" s="35">
        <f>VALUE(COUNTIF(Validation!$A$2:$H$47,E1379))</f>
        <v>0</v>
      </c>
      <c r="L1379" s="361">
        <f t="shared" si="257"/>
        <v>725000</v>
      </c>
      <c r="M1379" s="361">
        <f t="shared" si="258"/>
        <v>0</v>
      </c>
      <c r="N1379" s="358">
        <v>725000</v>
      </c>
      <c r="O1379" s="358" t="s">
        <v>8</v>
      </c>
      <c r="P1379" s="358">
        <v>0</v>
      </c>
      <c r="Q1379" s="358">
        <v>0</v>
      </c>
      <c r="R1379" s="358">
        <v>0</v>
      </c>
      <c r="S1379" s="358">
        <v>0</v>
      </c>
      <c r="T1379" s="358">
        <v>0</v>
      </c>
      <c r="U1379" s="35">
        <f t="shared" si="252"/>
        <v>1</v>
      </c>
      <c r="W1379">
        <f t="shared" si="259"/>
        <v>1</v>
      </c>
      <c r="X1379" s="35">
        <f t="shared" si="253"/>
        <v>0</v>
      </c>
      <c r="Y1379">
        <f t="shared" si="254"/>
        <v>0</v>
      </c>
      <c r="AB1379">
        <f t="shared" si="262"/>
        <v>1</v>
      </c>
      <c r="AC1379">
        <f t="shared" ca="1" si="263"/>
        <v>0</v>
      </c>
      <c r="AD1379" t="str">
        <f ca="1">IF(AC1379=1,COUNTIF($AC$3:AC1379,1),"")</f>
        <v/>
      </c>
      <c r="AE1379" s="155" t="str">
        <f ca="1">IFERROR(INDEX(Données!$B$3:$B$1479,MATCH(ROWS($AD$3:AD1379),$AD$3:$AD$1479,0)),"")</f>
        <v/>
      </c>
    </row>
    <row r="1380" spans="1:31" ht="15.75" x14ac:dyDescent="0.25">
      <c r="A1380" t="str">
        <f t="shared" si="260"/>
        <v>Jake Bischoff - VGK - LD</v>
      </c>
      <c r="B1380" t="str">
        <f t="shared" si="261"/>
        <v>Jake Bischoff - VGK - LD</v>
      </c>
      <c r="C1380" t="str">
        <f t="shared" si="255"/>
        <v>Jake</v>
      </c>
      <c r="D1380" t="str">
        <f t="shared" si="256"/>
        <v>Bischoff</v>
      </c>
      <c r="E1380" s="39" t="s">
        <v>2386</v>
      </c>
      <c r="F1380" s="5" t="s">
        <v>135</v>
      </c>
      <c r="G1380" s="35">
        <v>0</v>
      </c>
      <c r="H1380" s="35" t="s">
        <v>380</v>
      </c>
      <c r="I1380" s="35" t="s">
        <v>2690</v>
      </c>
      <c r="J1380" s="35">
        <v>25</v>
      </c>
      <c r="K1380" s="35">
        <f>VALUE(COUNTIF(Validation!$A$2:$H$47,E1380))</f>
        <v>0</v>
      </c>
      <c r="L1380" s="361">
        <f t="shared" si="257"/>
        <v>716667</v>
      </c>
      <c r="M1380" s="361">
        <f t="shared" si="258"/>
        <v>716667</v>
      </c>
      <c r="N1380" s="358">
        <v>716667</v>
      </c>
      <c r="O1380" s="358">
        <v>716667</v>
      </c>
      <c r="P1380" s="358">
        <v>716667</v>
      </c>
      <c r="Q1380" s="358" t="s">
        <v>7</v>
      </c>
      <c r="R1380" s="358">
        <v>0</v>
      </c>
      <c r="S1380" s="358">
        <v>0</v>
      </c>
      <c r="T1380" s="358">
        <v>0</v>
      </c>
      <c r="U1380" s="35">
        <f t="shared" si="252"/>
        <v>3</v>
      </c>
      <c r="W1380">
        <f t="shared" si="259"/>
        <v>1</v>
      </c>
      <c r="X1380" s="35">
        <f t="shared" si="253"/>
        <v>0</v>
      </c>
      <c r="Y1380">
        <f t="shared" si="254"/>
        <v>1</v>
      </c>
      <c r="AB1380">
        <f t="shared" si="262"/>
        <v>1</v>
      </c>
      <c r="AC1380">
        <f t="shared" ca="1" si="263"/>
        <v>0</v>
      </c>
      <c r="AD1380" t="str">
        <f ca="1">IF(AC1380=1,COUNTIF($AC$3:AC1380,1),"")</f>
        <v/>
      </c>
      <c r="AE1380" s="155" t="str">
        <f ca="1">IFERROR(INDEX(Données!$B$3:$B$1479,MATCH(ROWS($AD$3:AD1380),$AD$3:$AD$1479,0)),"")</f>
        <v/>
      </c>
    </row>
    <row r="1381" spans="1:31" ht="15.75" x14ac:dyDescent="0.25">
      <c r="A1381" t="str">
        <f t="shared" si="260"/>
        <v>Dylan Coghlan - VGK - RD</v>
      </c>
      <c r="B1381" t="str">
        <f t="shared" si="261"/>
        <v>Dylan Coghlan - VGK - RD</v>
      </c>
      <c r="C1381" t="str">
        <f t="shared" si="255"/>
        <v>Dylan</v>
      </c>
      <c r="D1381" t="str">
        <f t="shared" si="256"/>
        <v>Coghlan</v>
      </c>
      <c r="E1381" s="39" t="s">
        <v>2395</v>
      </c>
      <c r="F1381" s="5" t="s">
        <v>135</v>
      </c>
      <c r="G1381" s="35" t="s">
        <v>386</v>
      </c>
      <c r="H1381" s="9" t="s">
        <v>379</v>
      </c>
      <c r="I1381" s="9" t="s">
        <v>2690</v>
      </c>
      <c r="J1381" s="9">
        <v>21</v>
      </c>
      <c r="K1381" s="35">
        <f>VALUE(COUNTIF(Validation!$A$2:$H$47,E1381))</f>
        <v>0</v>
      </c>
      <c r="L1381" s="361">
        <f t="shared" si="257"/>
        <v>715556</v>
      </c>
      <c r="M1381" s="361">
        <f t="shared" si="258"/>
        <v>715556</v>
      </c>
      <c r="N1381" s="358">
        <v>715556</v>
      </c>
      <c r="O1381" s="358">
        <v>715556</v>
      </c>
      <c r="P1381" s="358" t="s">
        <v>8</v>
      </c>
      <c r="Q1381" s="358">
        <v>0</v>
      </c>
      <c r="R1381" s="358">
        <v>0</v>
      </c>
      <c r="S1381" s="358">
        <v>0</v>
      </c>
      <c r="T1381" s="358">
        <v>0</v>
      </c>
      <c r="U1381" s="35">
        <f t="shared" si="252"/>
        <v>2</v>
      </c>
      <c r="W1381">
        <f t="shared" si="259"/>
        <v>1</v>
      </c>
      <c r="X1381" s="35">
        <f t="shared" si="253"/>
        <v>1</v>
      </c>
      <c r="Y1381">
        <f t="shared" si="254"/>
        <v>1</v>
      </c>
      <c r="AB1381">
        <f t="shared" si="262"/>
        <v>1</v>
      </c>
      <c r="AC1381">
        <f t="shared" ca="1" si="263"/>
        <v>0</v>
      </c>
      <c r="AD1381" t="str">
        <f ca="1">IF(AC1381=1,COUNTIF($AC$3:AC1381,1),"")</f>
        <v/>
      </c>
      <c r="AE1381" s="155" t="str">
        <f ca="1">IFERROR(INDEX(Données!$B$3:$B$1479,MATCH(ROWS($AD$3:AD1381),$AD$3:$AD$1479,0)),"")</f>
        <v/>
      </c>
    </row>
    <row r="1382" spans="1:31" ht="15.75" x14ac:dyDescent="0.25">
      <c r="A1382" t="str">
        <f t="shared" si="260"/>
        <v>Gage Quinney - VGK - LW, C</v>
      </c>
      <c r="B1382" t="str">
        <f t="shared" si="261"/>
        <v>Gage Quinney - VGK - LW, C</v>
      </c>
      <c r="C1382" t="str">
        <f t="shared" si="255"/>
        <v>Gage</v>
      </c>
      <c r="D1382" t="str">
        <f t="shared" si="256"/>
        <v>Quinney</v>
      </c>
      <c r="E1382" s="39" t="s">
        <v>2396</v>
      </c>
      <c r="F1382" s="5" t="s">
        <v>135</v>
      </c>
      <c r="G1382" s="35" t="s">
        <v>386</v>
      </c>
      <c r="H1382" s="35" t="s">
        <v>2696</v>
      </c>
      <c r="I1382" s="35" t="s">
        <v>2690</v>
      </c>
      <c r="J1382" s="35">
        <v>24</v>
      </c>
      <c r="K1382" s="35">
        <f>VALUE(COUNTIF(Validation!$A$2:$H$47,E1382))</f>
        <v>0</v>
      </c>
      <c r="L1382" s="361">
        <f t="shared" si="257"/>
        <v>715000</v>
      </c>
      <c r="M1382" s="361">
        <f t="shared" si="258"/>
        <v>0</v>
      </c>
      <c r="N1382" s="358">
        <v>715000</v>
      </c>
      <c r="O1382" s="358" t="s">
        <v>8</v>
      </c>
      <c r="P1382" s="358">
        <v>0</v>
      </c>
      <c r="Q1382" s="358">
        <v>0</v>
      </c>
      <c r="R1382" s="358">
        <v>0</v>
      </c>
      <c r="S1382" s="358">
        <v>0</v>
      </c>
      <c r="T1382" s="358">
        <v>0</v>
      </c>
      <c r="U1382" s="35">
        <f t="shared" si="252"/>
        <v>1</v>
      </c>
      <c r="W1382">
        <f t="shared" si="259"/>
        <v>1</v>
      </c>
      <c r="X1382" s="35">
        <f t="shared" si="253"/>
        <v>1</v>
      </c>
      <c r="Y1382">
        <f t="shared" si="254"/>
        <v>0</v>
      </c>
      <c r="AB1382">
        <f t="shared" si="262"/>
        <v>1</v>
      </c>
      <c r="AC1382">
        <f t="shared" ca="1" si="263"/>
        <v>0</v>
      </c>
      <c r="AD1382" t="str">
        <f ca="1">IF(AC1382=1,COUNTIF($AC$3:AC1382,1),"")</f>
        <v/>
      </c>
      <c r="AE1382" s="155" t="str">
        <f ca="1">IFERROR(INDEX(Données!$B$3:$B$1479,MATCH(ROWS($AD$3:AD1382),$AD$3:$AD$1479,0)),"")</f>
        <v/>
      </c>
    </row>
    <row r="1383" spans="1:31" ht="15.75" x14ac:dyDescent="0.25">
      <c r="A1383" t="str">
        <f t="shared" si="260"/>
        <v>Patrick Brown - VGK - C, RW</v>
      </c>
      <c r="B1383" t="str">
        <f t="shared" si="261"/>
        <v>Patrick Brown - VGK - C, RW</v>
      </c>
      <c r="C1383" t="str">
        <f t="shared" si="255"/>
        <v>Patrick</v>
      </c>
      <c r="D1383" t="str">
        <f t="shared" si="256"/>
        <v>Brown</v>
      </c>
      <c r="E1383" s="39" t="s">
        <v>1653</v>
      </c>
      <c r="F1383" s="5" t="s">
        <v>135</v>
      </c>
      <c r="G1383" s="35">
        <v>0</v>
      </c>
      <c r="H1383" s="9" t="s">
        <v>2684</v>
      </c>
      <c r="I1383" s="9" t="s">
        <v>2690</v>
      </c>
      <c r="J1383" s="9">
        <v>27</v>
      </c>
      <c r="K1383" s="35">
        <f>VALUE(COUNTIF(Validation!$A$2:$H$47,E1383))</f>
        <v>0</v>
      </c>
      <c r="L1383" s="361">
        <f t="shared" si="257"/>
        <v>700000</v>
      </c>
      <c r="M1383" s="361">
        <f t="shared" si="258"/>
        <v>700000</v>
      </c>
      <c r="N1383" s="358">
        <v>700000</v>
      </c>
      <c r="O1383" s="358">
        <v>700000</v>
      </c>
      <c r="P1383" s="358" t="s">
        <v>7</v>
      </c>
      <c r="Q1383" s="358">
        <v>0</v>
      </c>
      <c r="R1383" s="358">
        <v>0</v>
      </c>
      <c r="S1383" s="358">
        <v>0</v>
      </c>
      <c r="T1383" s="358">
        <v>0</v>
      </c>
      <c r="U1383" s="35">
        <f t="shared" si="252"/>
        <v>2</v>
      </c>
      <c r="W1383">
        <f t="shared" si="259"/>
        <v>1</v>
      </c>
      <c r="X1383" s="35">
        <f t="shared" si="253"/>
        <v>0</v>
      </c>
      <c r="Y1383">
        <f t="shared" si="254"/>
        <v>1</v>
      </c>
      <c r="AB1383">
        <f t="shared" si="262"/>
        <v>1</v>
      </c>
      <c r="AC1383">
        <f t="shared" ca="1" si="263"/>
        <v>0</v>
      </c>
      <c r="AD1383" t="str">
        <f ca="1">IF(AC1383=1,COUNTIF($AC$3:AC1383,1),"")</f>
        <v/>
      </c>
      <c r="AE1383" s="155" t="str">
        <f ca="1">IFERROR(INDEX(Données!$B$3:$B$1479,MATCH(ROWS($AD$3:AD1383),$AD$3:$AD$1479,0)),"")</f>
        <v/>
      </c>
    </row>
    <row r="1384" spans="1:31" ht="15.75" x14ac:dyDescent="0.25">
      <c r="A1384" t="str">
        <f t="shared" si="260"/>
        <v>Tyrell Goulbourne - VGK - LW</v>
      </c>
      <c r="B1384" t="str">
        <f t="shared" si="261"/>
        <v>Tyrell Goulbourne - VGK - LW</v>
      </c>
      <c r="C1384" t="str">
        <f t="shared" si="255"/>
        <v>Tyrell</v>
      </c>
      <c r="D1384" t="str">
        <f t="shared" si="256"/>
        <v>Goulbourne</v>
      </c>
      <c r="E1384" s="39" t="s">
        <v>1814</v>
      </c>
      <c r="F1384" s="5" t="s">
        <v>135</v>
      </c>
      <c r="G1384" s="35">
        <v>0</v>
      </c>
      <c r="H1384" s="35" t="s">
        <v>93</v>
      </c>
      <c r="I1384" s="35" t="s">
        <v>2690</v>
      </c>
      <c r="J1384" s="35">
        <v>25</v>
      </c>
      <c r="K1384" s="35">
        <f>VALUE(COUNTIF(Validation!$A$2:$H$47,E1384))</f>
        <v>0</v>
      </c>
      <c r="L1384" s="361">
        <f t="shared" si="257"/>
        <v>700000</v>
      </c>
      <c r="M1384" s="361">
        <f t="shared" si="258"/>
        <v>700000</v>
      </c>
      <c r="N1384" s="358">
        <v>700000</v>
      </c>
      <c r="O1384" s="358">
        <v>700000</v>
      </c>
      <c r="P1384" s="358" t="s">
        <v>7</v>
      </c>
      <c r="Q1384" s="358">
        <v>0</v>
      </c>
      <c r="R1384" s="358">
        <v>0</v>
      </c>
      <c r="S1384" s="358">
        <v>0</v>
      </c>
      <c r="T1384" s="358">
        <v>0</v>
      </c>
      <c r="U1384" s="35">
        <f t="shared" si="252"/>
        <v>2</v>
      </c>
      <c r="W1384">
        <f t="shared" si="259"/>
        <v>1</v>
      </c>
      <c r="X1384" s="35">
        <f t="shared" si="253"/>
        <v>0</v>
      </c>
      <c r="Y1384">
        <f t="shared" si="254"/>
        <v>1</v>
      </c>
      <c r="AB1384">
        <f t="shared" si="262"/>
        <v>1</v>
      </c>
      <c r="AC1384">
        <f t="shared" ca="1" si="263"/>
        <v>0</v>
      </c>
      <c r="AD1384" t="str">
        <f ca="1">IF(AC1384=1,COUNTIF($AC$3:AC1384,1),"")</f>
        <v/>
      </c>
      <c r="AE1384" s="155" t="str">
        <f ca="1">IFERROR(INDEX(Données!$B$3:$B$1479,MATCH(ROWS($AD$3:AD1384),$AD$3:$AD$1479,0)),"")</f>
        <v/>
      </c>
    </row>
    <row r="1385" spans="1:31" ht="15.75" x14ac:dyDescent="0.25">
      <c r="A1385" t="str">
        <f t="shared" si="260"/>
        <v>Brett Lernout - VGK - RD</v>
      </c>
      <c r="B1385" t="str">
        <f t="shared" si="261"/>
        <v>Brett Lernout - VGK - RD</v>
      </c>
      <c r="C1385" t="str">
        <f t="shared" si="255"/>
        <v>Brett</v>
      </c>
      <c r="D1385" t="str">
        <f t="shared" si="256"/>
        <v>Lernout</v>
      </c>
      <c r="E1385" s="39" t="s">
        <v>1511</v>
      </c>
      <c r="F1385" s="5" t="s">
        <v>135</v>
      </c>
      <c r="G1385" s="35">
        <v>0</v>
      </c>
      <c r="H1385" s="35" t="s">
        <v>379</v>
      </c>
      <c r="I1385" s="35" t="s">
        <v>2690</v>
      </c>
      <c r="J1385" s="35">
        <v>23</v>
      </c>
      <c r="K1385" s="35">
        <f>VALUE(COUNTIF(Validation!$A$2:$H$47,E1385))</f>
        <v>0</v>
      </c>
      <c r="L1385" s="361">
        <f t="shared" si="257"/>
        <v>700000</v>
      </c>
      <c r="M1385" s="361">
        <f t="shared" si="258"/>
        <v>0</v>
      </c>
      <c r="N1385" s="358">
        <v>700000</v>
      </c>
      <c r="O1385" s="358" t="s">
        <v>8</v>
      </c>
      <c r="P1385" s="358">
        <v>0</v>
      </c>
      <c r="Q1385" s="358">
        <v>0</v>
      </c>
      <c r="R1385" s="358">
        <v>0</v>
      </c>
      <c r="S1385" s="358">
        <v>0</v>
      </c>
      <c r="T1385" s="358">
        <v>0</v>
      </c>
      <c r="U1385" s="35">
        <f t="shared" si="252"/>
        <v>1</v>
      </c>
      <c r="W1385">
        <f t="shared" si="259"/>
        <v>1</v>
      </c>
      <c r="X1385" s="35">
        <f t="shared" si="253"/>
        <v>0</v>
      </c>
      <c r="Y1385">
        <f t="shared" si="254"/>
        <v>0</v>
      </c>
      <c r="AB1385">
        <f t="shared" si="262"/>
        <v>1</v>
      </c>
      <c r="AC1385">
        <f t="shared" ca="1" si="263"/>
        <v>0</v>
      </c>
      <c r="AD1385" t="str">
        <f ca="1">IF(AC1385=1,COUNTIF($AC$3:AC1385,1),"")</f>
        <v/>
      </c>
      <c r="AE1385" s="155" t="str">
        <f ca="1">IFERROR(INDEX(Données!$B$3:$B$1479,MATCH(ROWS($AD$3:AD1385),$AD$3:$AD$1479,0)),"")</f>
        <v/>
      </c>
    </row>
    <row r="1386" spans="1:31" ht="15.75" x14ac:dyDescent="0.25">
      <c r="A1386" t="str">
        <f t="shared" si="260"/>
        <v>Jaycob Megna - VGK - LD</v>
      </c>
      <c r="B1386" t="str">
        <f t="shared" si="261"/>
        <v>Jaycob Megna - VGK - LD</v>
      </c>
      <c r="C1386" t="str">
        <f t="shared" si="255"/>
        <v>Jaycob</v>
      </c>
      <c r="D1386" t="str">
        <f t="shared" si="256"/>
        <v>Megna</v>
      </c>
      <c r="E1386" s="39" t="s">
        <v>2149</v>
      </c>
      <c r="F1386" s="5" t="s">
        <v>135</v>
      </c>
      <c r="G1386" s="35">
        <v>0</v>
      </c>
      <c r="H1386" s="35" t="s">
        <v>380</v>
      </c>
      <c r="I1386" s="35" t="s">
        <v>2690</v>
      </c>
      <c r="J1386" s="35">
        <v>26</v>
      </c>
      <c r="K1386" s="35">
        <f>VALUE(COUNTIF(Validation!$A$2:$H$47,E1386))</f>
        <v>0</v>
      </c>
      <c r="L1386" s="361">
        <f t="shared" si="257"/>
        <v>700000</v>
      </c>
      <c r="M1386" s="361">
        <f t="shared" si="258"/>
        <v>0</v>
      </c>
      <c r="N1386" s="358">
        <v>700000</v>
      </c>
      <c r="O1386" s="358" t="s">
        <v>7</v>
      </c>
      <c r="P1386" s="358">
        <v>0</v>
      </c>
      <c r="Q1386" s="358">
        <v>0</v>
      </c>
      <c r="R1386" s="358">
        <v>0</v>
      </c>
      <c r="S1386" s="358">
        <v>0</v>
      </c>
      <c r="T1386" s="358">
        <v>0</v>
      </c>
      <c r="U1386" s="35">
        <f t="shared" si="252"/>
        <v>1</v>
      </c>
      <c r="W1386">
        <f t="shared" si="259"/>
        <v>1</v>
      </c>
      <c r="X1386" s="35">
        <f t="shared" si="253"/>
        <v>0</v>
      </c>
      <c r="Y1386">
        <f t="shared" si="254"/>
        <v>0</v>
      </c>
      <c r="AB1386">
        <f t="shared" si="262"/>
        <v>1</v>
      </c>
      <c r="AC1386">
        <f t="shared" ca="1" si="263"/>
        <v>0</v>
      </c>
      <c r="AD1386" t="str">
        <f ca="1">IF(AC1386=1,COUNTIF($AC$3:AC1386,1),"")</f>
        <v/>
      </c>
      <c r="AE1386" s="155" t="str">
        <f ca="1">IFERROR(INDEX(Données!$B$3:$B$1479,MATCH(ROWS($AD$3:AD1386),$AD$3:$AD$1479,0)),"")</f>
        <v/>
      </c>
    </row>
    <row r="1387" spans="1:31" ht="15.75" x14ac:dyDescent="0.25">
      <c r="A1387" t="str">
        <f t="shared" si="260"/>
        <v>Oscar Dansk - VGK - G</v>
      </c>
      <c r="B1387" t="str">
        <f t="shared" si="261"/>
        <v>Oscar Dansk - VGK - G</v>
      </c>
      <c r="C1387" t="str">
        <f t="shared" si="255"/>
        <v>Oscar</v>
      </c>
      <c r="D1387" t="str">
        <f t="shared" si="256"/>
        <v>Dansk</v>
      </c>
      <c r="E1387" s="39" t="s">
        <v>2398</v>
      </c>
      <c r="F1387" s="5" t="s">
        <v>135</v>
      </c>
      <c r="G1387" s="35">
        <v>0</v>
      </c>
      <c r="H1387" s="35" t="s">
        <v>127</v>
      </c>
      <c r="I1387" s="35" t="s">
        <v>2690</v>
      </c>
      <c r="J1387" s="35">
        <v>25</v>
      </c>
      <c r="K1387" s="35">
        <f>VALUE(COUNTIF(Validation!$A$2:$H$47,E1387))</f>
        <v>0</v>
      </c>
      <c r="L1387" s="361">
        <f t="shared" si="257"/>
        <v>675000</v>
      </c>
      <c r="M1387" s="361">
        <f t="shared" si="258"/>
        <v>0</v>
      </c>
      <c r="N1387" s="358">
        <v>675000</v>
      </c>
      <c r="O1387" s="358" t="s">
        <v>8</v>
      </c>
      <c r="P1387" s="358">
        <v>0</v>
      </c>
      <c r="Q1387" s="358">
        <v>0</v>
      </c>
      <c r="R1387" s="358">
        <v>0</v>
      </c>
      <c r="S1387" s="358">
        <v>0</v>
      </c>
      <c r="T1387" s="358">
        <v>0</v>
      </c>
      <c r="U1387" s="35">
        <f t="shared" si="252"/>
        <v>1</v>
      </c>
      <c r="W1387">
        <f t="shared" si="259"/>
        <v>1</v>
      </c>
      <c r="X1387" s="35">
        <f t="shared" si="253"/>
        <v>0</v>
      </c>
      <c r="Y1387">
        <f t="shared" si="254"/>
        <v>0</v>
      </c>
      <c r="AB1387">
        <f t="shared" si="262"/>
        <v>1</v>
      </c>
      <c r="AC1387">
        <f t="shared" ca="1" si="263"/>
        <v>0</v>
      </c>
      <c r="AD1387" t="str">
        <f ca="1">IF(AC1387=1,COUNTIF($AC$3:AC1387,1),"")</f>
        <v/>
      </c>
      <c r="AE1387" s="155" t="str">
        <f ca="1">IFERROR(INDEX(Données!$B$3:$B$1479,MATCH(ROWS($AD$3:AD1387),$AD$3:$AD$1479,0)),"")</f>
        <v/>
      </c>
    </row>
    <row r="1388" spans="1:31" ht="15.75" x14ac:dyDescent="0.25">
      <c r="A1388" t="str">
        <f t="shared" si="260"/>
        <v>Valentin Zykov - VGK - LW</v>
      </c>
      <c r="B1388" t="str">
        <f t="shared" si="261"/>
        <v>Valentin Zykov - VGK - LW</v>
      </c>
      <c r="C1388" t="str">
        <f t="shared" si="255"/>
        <v>Valentin</v>
      </c>
      <c r="D1388" t="str">
        <f t="shared" si="256"/>
        <v>Zykov</v>
      </c>
      <c r="E1388" s="39" t="s">
        <v>1625</v>
      </c>
      <c r="F1388" s="5" t="s">
        <v>135</v>
      </c>
      <c r="G1388" s="35">
        <v>0</v>
      </c>
      <c r="H1388" s="35" t="s">
        <v>93</v>
      </c>
      <c r="I1388" s="35" t="s">
        <v>2677</v>
      </c>
      <c r="J1388" s="35">
        <v>24</v>
      </c>
      <c r="K1388" s="35">
        <f>VALUE(COUNTIF(Validation!$A$2:$H$47,E1388))</f>
        <v>0</v>
      </c>
      <c r="L1388" s="361">
        <f t="shared" si="257"/>
        <v>675000</v>
      </c>
      <c r="M1388" s="361">
        <f t="shared" si="258"/>
        <v>0</v>
      </c>
      <c r="N1388" s="358">
        <v>675000</v>
      </c>
      <c r="O1388" s="358" t="s">
        <v>8</v>
      </c>
      <c r="P1388" s="358">
        <v>0</v>
      </c>
      <c r="Q1388" s="358">
        <v>0</v>
      </c>
      <c r="R1388" s="358">
        <v>0</v>
      </c>
      <c r="S1388" s="358">
        <v>0</v>
      </c>
      <c r="T1388" s="358">
        <v>0</v>
      </c>
      <c r="U1388" s="35">
        <f t="shared" si="252"/>
        <v>1</v>
      </c>
      <c r="W1388">
        <f t="shared" si="259"/>
        <v>1</v>
      </c>
      <c r="X1388" s="35">
        <f t="shared" si="253"/>
        <v>0</v>
      </c>
      <c r="Y1388">
        <f t="shared" si="254"/>
        <v>0</v>
      </c>
      <c r="AB1388">
        <f t="shared" si="262"/>
        <v>1</v>
      </c>
      <c r="AC1388">
        <f t="shared" ca="1" si="263"/>
        <v>0</v>
      </c>
      <c r="AD1388" t="str">
        <f ca="1">IF(AC1388=1,COUNTIF($AC$3:AC1388,1),"")</f>
        <v/>
      </c>
      <c r="AE1388" s="155" t="str">
        <f ca="1">IFERROR(INDEX(Données!$B$3:$B$1479,MATCH(ROWS($AD$3:AD1388),$AD$3:$AD$1479,0)),"")</f>
        <v/>
      </c>
    </row>
    <row r="1389" spans="1:31" ht="15.75" x14ac:dyDescent="0.25">
      <c r="A1389" t="str">
        <f t="shared" si="260"/>
        <v>Jimmy Schuldt - VGK - LD</v>
      </c>
      <c r="B1389" t="str">
        <f t="shared" si="261"/>
        <v>Jimmy Schuldt - VGK - LD</v>
      </c>
      <c r="C1389" t="str">
        <f t="shared" si="255"/>
        <v>Jimmy</v>
      </c>
      <c r="D1389" t="str">
        <f t="shared" si="256"/>
        <v>Schuldt</v>
      </c>
      <c r="E1389" s="39" t="s">
        <v>2451</v>
      </c>
      <c r="F1389" s="5" t="s">
        <v>135</v>
      </c>
      <c r="G1389" s="35">
        <v>0</v>
      </c>
      <c r="H1389" s="35" t="s">
        <v>380</v>
      </c>
      <c r="I1389" s="35" t="s">
        <v>2690</v>
      </c>
      <c r="J1389" s="35">
        <v>24</v>
      </c>
      <c r="K1389" s="35">
        <f>VALUE(COUNTIF(Validation!$A$2:$H$47,E1389))</f>
        <v>0</v>
      </c>
      <c r="L1389" s="361">
        <f t="shared" si="257"/>
        <v>0</v>
      </c>
      <c r="M1389" s="361">
        <f t="shared" si="258"/>
        <v>0</v>
      </c>
      <c r="N1389" s="358" t="s">
        <v>8</v>
      </c>
      <c r="O1389" s="358">
        <v>0</v>
      </c>
      <c r="P1389" s="358">
        <v>0</v>
      </c>
      <c r="Q1389" s="358">
        <v>0</v>
      </c>
      <c r="R1389" s="362">
        <v>0</v>
      </c>
      <c r="S1389" s="358">
        <v>0</v>
      </c>
      <c r="T1389" s="358">
        <v>0</v>
      </c>
      <c r="U1389" s="35">
        <f t="shared" si="252"/>
        <v>0</v>
      </c>
      <c r="W1389">
        <f t="shared" si="259"/>
        <v>1</v>
      </c>
      <c r="X1389" s="35">
        <f t="shared" si="253"/>
        <v>0</v>
      </c>
      <c r="Y1389">
        <f t="shared" si="254"/>
        <v>1</v>
      </c>
      <c r="AB1389">
        <f t="shared" si="262"/>
        <v>1</v>
      </c>
      <c r="AC1389">
        <f t="shared" ca="1" si="263"/>
        <v>0</v>
      </c>
      <c r="AD1389" t="str">
        <f ca="1">IF(AC1389=1,COUNTIF($AC$3:AC1389,1),"")</f>
        <v/>
      </c>
      <c r="AE1389" s="155" t="str">
        <f ca="1">IFERROR(INDEX(Données!$B$3:$B$1479,MATCH(ROWS($AD$3:AD1389),$AD$3:$AD$1479,0)),"")</f>
        <v/>
      </c>
    </row>
    <row r="1390" spans="1:31" ht="15.75" x14ac:dyDescent="0.25">
      <c r="A1390" t="str">
        <f t="shared" si="260"/>
        <v>Alex Ovechkin - WAS - LW, RW</v>
      </c>
      <c r="B1390" t="str">
        <f t="shared" si="261"/>
        <v>Alex Ovechkin - WAS - LW, RW</v>
      </c>
      <c r="C1390" t="str">
        <f t="shared" si="255"/>
        <v>Alex</v>
      </c>
      <c r="D1390" t="str">
        <f t="shared" si="256"/>
        <v>Ovechkin</v>
      </c>
      <c r="E1390" s="39" t="s">
        <v>2991</v>
      </c>
      <c r="F1390" s="5" t="s">
        <v>2503</v>
      </c>
      <c r="G1390" s="35" t="s">
        <v>381</v>
      </c>
      <c r="H1390" s="35" t="s">
        <v>2689</v>
      </c>
      <c r="I1390" s="35" t="s">
        <v>2677</v>
      </c>
      <c r="J1390" s="35">
        <v>33</v>
      </c>
      <c r="K1390" s="35">
        <f>VALUE(COUNTIF(Validation!$A$2:$H$47,E1390))</f>
        <v>0</v>
      </c>
      <c r="L1390" s="361">
        <f t="shared" si="257"/>
        <v>9538462</v>
      </c>
      <c r="M1390" s="361">
        <f t="shared" si="258"/>
        <v>9538462</v>
      </c>
      <c r="N1390" s="358">
        <v>9538462</v>
      </c>
      <c r="O1390" s="358">
        <v>9538462</v>
      </c>
      <c r="P1390" s="358" t="s">
        <v>7</v>
      </c>
      <c r="Q1390" s="358">
        <v>0</v>
      </c>
      <c r="R1390" s="358">
        <v>0</v>
      </c>
      <c r="S1390" s="358">
        <v>0</v>
      </c>
      <c r="T1390" s="358">
        <v>0</v>
      </c>
      <c r="U1390" s="35">
        <f t="shared" si="252"/>
        <v>2</v>
      </c>
      <c r="W1390">
        <f t="shared" si="259"/>
        <v>1</v>
      </c>
      <c r="X1390" s="35">
        <f t="shared" si="253"/>
        <v>0</v>
      </c>
      <c r="Y1390">
        <f t="shared" si="254"/>
        <v>1</v>
      </c>
      <c r="AB1390">
        <f t="shared" si="262"/>
        <v>1</v>
      </c>
      <c r="AC1390">
        <f t="shared" ca="1" si="263"/>
        <v>0</v>
      </c>
      <c r="AD1390" t="str">
        <f ca="1">IF(AC1390=1,COUNTIF($AC$3:AC1390,1),"")</f>
        <v/>
      </c>
      <c r="AE1390" s="155" t="str">
        <f ca="1">IFERROR(INDEX(Données!$B$3:$B$1479,MATCH(ROWS($AD$3:AD1390),$AD$3:$AD$1479,0)),"")</f>
        <v/>
      </c>
    </row>
    <row r="1391" spans="1:31" ht="15.75" x14ac:dyDescent="0.25">
      <c r="A1391" t="str">
        <f t="shared" si="260"/>
        <v>John Carlson - WAS - RD</v>
      </c>
      <c r="B1391" t="str">
        <f t="shared" si="261"/>
        <v>John Carlson - WAS - RD</v>
      </c>
      <c r="C1391" t="str">
        <f t="shared" si="255"/>
        <v>John</v>
      </c>
      <c r="D1391" t="str">
        <f t="shared" si="256"/>
        <v>Carlson</v>
      </c>
      <c r="E1391" s="39" t="s">
        <v>1861</v>
      </c>
      <c r="F1391" s="5" t="s">
        <v>2503</v>
      </c>
      <c r="G1391" s="35" t="s">
        <v>381</v>
      </c>
      <c r="H1391" s="9" t="s">
        <v>379</v>
      </c>
      <c r="I1391" s="9" t="s">
        <v>2677</v>
      </c>
      <c r="J1391" s="9">
        <v>29</v>
      </c>
      <c r="K1391" s="35">
        <f>VALUE(COUNTIF(Validation!$A$2:$H$47,E1391))</f>
        <v>0</v>
      </c>
      <c r="L1391" s="361">
        <f t="shared" si="257"/>
        <v>8000000</v>
      </c>
      <c r="M1391" s="361">
        <f t="shared" si="258"/>
        <v>8000000</v>
      </c>
      <c r="N1391" s="358">
        <v>8000000</v>
      </c>
      <c r="O1391" s="358">
        <v>8000000</v>
      </c>
      <c r="P1391" s="358">
        <v>8000000</v>
      </c>
      <c r="Q1391" s="358">
        <v>8000000</v>
      </c>
      <c r="R1391" s="358">
        <v>8000000</v>
      </c>
      <c r="S1391" s="358">
        <v>8000000</v>
      </c>
      <c r="T1391" s="358">
        <v>8000000</v>
      </c>
      <c r="U1391" s="35">
        <f t="shared" si="252"/>
        <v>7</v>
      </c>
      <c r="W1391">
        <f t="shared" si="259"/>
        <v>1</v>
      </c>
      <c r="X1391" s="35">
        <f t="shared" ref="X1391:X1397" si="264">IF(LEFT(G1391,3)="ELC",1,0)</f>
        <v>0</v>
      </c>
      <c r="Y1391">
        <f t="shared" ref="Y1391:Y1397" si="265">IF(L1391=M1391,1,0)</f>
        <v>1</v>
      </c>
      <c r="AB1391">
        <f t="shared" si="262"/>
        <v>1</v>
      </c>
      <c r="AC1391">
        <f t="shared" ca="1" si="263"/>
        <v>0</v>
      </c>
      <c r="AD1391" t="str">
        <f ca="1">IF(AC1391=1,COUNTIF($AC$3:AC1391,1),"")</f>
        <v/>
      </c>
      <c r="AE1391" s="155" t="str">
        <f ca="1">IFERROR(INDEX(Données!$B$3:$B$1479,MATCH(ROWS($AD$3:AD1391),$AD$3:$AD$1479,0)),"")</f>
        <v/>
      </c>
    </row>
    <row r="1392" spans="1:31" ht="15.75" x14ac:dyDescent="0.25">
      <c r="A1392" t="str">
        <f t="shared" si="260"/>
        <v>Evgeny Kuznetsov - WAS - C</v>
      </c>
      <c r="B1392" t="str">
        <f t="shared" si="261"/>
        <v>Evgeny Kuznetsov - WAS - C</v>
      </c>
      <c r="C1392" t="str">
        <f t="shared" si="255"/>
        <v>Evgeny</v>
      </c>
      <c r="D1392" t="str">
        <f t="shared" si="256"/>
        <v>Kuznetsov</v>
      </c>
      <c r="E1392" s="39" t="s">
        <v>1851</v>
      </c>
      <c r="F1392" s="5" t="s">
        <v>2503</v>
      </c>
      <c r="G1392" s="35" t="s">
        <v>381</v>
      </c>
      <c r="H1392" s="35" t="s">
        <v>73</v>
      </c>
      <c r="I1392" s="35" t="s">
        <v>2677</v>
      </c>
      <c r="J1392" s="35">
        <v>27</v>
      </c>
      <c r="K1392" s="35">
        <f>VALUE(COUNTIF(Validation!$A$2:$H$47,E1392))</f>
        <v>0</v>
      </c>
      <c r="L1392" s="361">
        <f t="shared" si="257"/>
        <v>7800000</v>
      </c>
      <c r="M1392" s="361">
        <f t="shared" si="258"/>
        <v>7800000</v>
      </c>
      <c r="N1392" s="358">
        <v>7800000</v>
      </c>
      <c r="O1392" s="358">
        <v>7800000</v>
      </c>
      <c r="P1392" s="358">
        <v>7800000</v>
      </c>
      <c r="Q1392" s="358">
        <v>7800000</v>
      </c>
      <c r="R1392" s="358">
        <v>7800000</v>
      </c>
      <c r="S1392" s="358">
        <v>7800000</v>
      </c>
      <c r="T1392" s="358" t="s">
        <v>7</v>
      </c>
      <c r="U1392" s="35">
        <f t="shared" si="252"/>
        <v>6</v>
      </c>
      <c r="W1392">
        <f t="shared" si="259"/>
        <v>1</v>
      </c>
      <c r="X1392" s="35">
        <f t="shared" si="264"/>
        <v>0</v>
      </c>
      <c r="Y1392">
        <f t="shared" si="265"/>
        <v>1</v>
      </c>
      <c r="AB1392">
        <f t="shared" si="262"/>
        <v>1</v>
      </c>
      <c r="AC1392">
        <f t="shared" ca="1" si="263"/>
        <v>0</v>
      </c>
      <c r="AD1392" t="str">
        <f ca="1">IF(AC1392=1,COUNTIF($AC$3:AC1392,1),"")</f>
        <v/>
      </c>
      <c r="AE1392" s="155" t="str">
        <f ca="1">IFERROR(INDEX(Données!$B$3:$B$1479,MATCH(ROWS($AD$3:AD1392),$AD$3:$AD$1479,0)),"")</f>
        <v/>
      </c>
    </row>
    <row r="1393" spans="1:31" ht="15.75" x14ac:dyDescent="0.25">
      <c r="A1393" t="str">
        <f t="shared" si="260"/>
        <v>Nicklas Backstrom - WAS - C</v>
      </c>
      <c r="B1393" t="str">
        <f t="shared" si="261"/>
        <v>Nicklas Backstrom - WAS - C</v>
      </c>
      <c r="C1393" t="str">
        <f t="shared" si="255"/>
        <v>Nicklas</v>
      </c>
      <c r="D1393" t="str">
        <f t="shared" si="256"/>
        <v>Backstrom</v>
      </c>
      <c r="E1393" s="39" t="s">
        <v>2940</v>
      </c>
      <c r="F1393" s="5" t="s">
        <v>2503</v>
      </c>
      <c r="G1393" s="35" t="s">
        <v>381</v>
      </c>
      <c r="H1393" s="35" t="s">
        <v>73</v>
      </c>
      <c r="I1393" s="35" t="s">
        <v>2677</v>
      </c>
      <c r="J1393" s="35">
        <v>31</v>
      </c>
      <c r="K1393" s="35">
        <f>VALUE(COUNTIF(Validation!$A$2:$H$47,E1393))</f>
        <v>0</v>
      </c>
      <c r="L1393" s="361">
        <f t="shared" si="257"/>
        <v>6700000</v>
      </c>
      <c r="M1393" s="361">
        <f t="shared" si="258"/>
        <v>0</v>
      </c>
      <c r="N1393" s="358">
        <v>6700000</v>
      </c>
      <c r="O1393" s="358" t="s">
        <v>7</v>
      </c>
      <c r="P1393" s="358">
        <v>0</v>
      </c>
      <c r="Q1393" s="358">
        <v>0</v>
      </c>
      <c r="R1393" s="358">
        <v>0</v>
      </c>
      <c r="S1393" s="358">
        <v>0</v>
      </c>
      <c r="T1393" s="358">
        <v>0</v>
      </c>
      <c r="U1393" s="35">
        <f t="shared" si="252"/>
        <v>1</v>
      </c>
      <c r="W1393">
        <f t="shared" si="259"/>
        <v>1</v>
      </c>
      <c r="X1393" s="35">
        <f t="shared" si="264"/>
        <v>0</v>
      </c>
      <c r="Y1393">
        <f t="shared" si="265"/>
        <v>0</v>
      </c>
      <c r="AB1393">
        <f t="shared" si="262"/>
        <v>1</v>
      </c>
      <c r="AC1393">
        <f t="shared" ca="1" si="263"/>
        <v>0</v>
      </c>
      <c r="AD1393" t="str">
        <f ca="1">IF(AC1393=1,COUNTIF($AC$3:AC1393,1),"")</f>
        <v/>
      </c>
      <c r="AE1393" s="155" t="str">
        <f ca="1">IFERROR(INDEX(Données!$B$3:$B$1479,MATCH(ROWS($AD$3:AD1393),$AD$3:$AD$1479,0)),"")</f>
        <v/>
      </c>
    </row>
    <row r="1394" spans="1:31" ht="15.75" x14ac:dyDescent="0.25">
      <c r="A1394" t="str">
        <f t="shared" si="260"/>
        <v>Braden Holtby - WAS - G</v>
      </c>
      <c r="B1394" t="str">
        <f t="shared" si="261"/>
        <v>Braden Holtby - WAS - G</v>
      </c>
      <c r="C1394" t="str">
        <f t="shared" si="255"/>
        <v>Braden</v>
      </c>
      <c r="D1394" t="str">
        <f t="shared" si="256"/>
        <v>Holtby</v>
      </c>
      <c r="E1394" s="39" t="s">
        <v>1867</v>
      </c>
      <c r="F1394" s="5" t="s">
        <v>2503</v>
      </c>
      <c r="G1394" s="35" t="s">
        <v>381</v>
      </c>
      <c r="H1394" s="35" t="s">
        <v>127</v>
      </c>
      <c r="I1394" s="35" t="s">
        <v>2677</v>
      </c>
      <c r="J1394" s="35">
        <v>29</v>
      </c>
      <c r="K1394" s="35">
        <f>VALUE(COUNTIF(Validation!$A$2:$H$47,E1394))</f>
        <v>0</v>
      </c>
      <c r="L1394" s="361">
        <f t="shared" si="257"/>
        <v>6100000</v>
      </c>
      <c r="M1394" s="361">
        <f t="shared" si="258"/>
        <v>0</v>
      </c>
      <c r="N1394" s="358">
        <v>6100000</v>
      </c>
      <c r="O1394" s="358" t="s">
        <v>7</v>
      </c>
      <c r="P1394" s="358">
        <v>0</v>
      </c>
      <c r="Q1394" s="358">
        <v>0</v>
      </c>
      <c r="R1394" s="358">
        <v>0</v>
      </c>
      <c r="S1394" s="358">
        <v>0</v>
      </c>
      <c r="T1394" s="358">
        <v>0</v>
      </c>
      <c r="U1394" s="35">
        <f t="shared" si="252"/>
        <v>1</v>
      </c>
      <c r="W1394">
        <f t="shared" si="259"/>
        <v>1</v>
      </c>
      <c r="X1394" s="35">
        <f t="shared" si="264"/>
        <v>0</v>
      </c>
      <c r="Y1394">
        <f t="shared" si="265"/>
        <v>0</v>
      </c>
      <c r="AB1394">
        <f t="shared" si="262"/>
        <v>1</v>
      </c>
      <c r="AC1394">
        <f t="shared" ca="1" si="263"/>
        <v>0</v>
      </c>
      <c r="AD1394" t="str">
        <f ca="1">IF(AC1394=1,COUNTIF($AC$3:AC1394,1),"")</f>
        <v/>
      </c>
      <c r="AE1394" s="155" t="str">
        <f ca="1">IFERROR(INDEX(Données!$B$3:$B$1479,MATCH(ROWS($AD$3:AD1394),$AD$3:$AD$1479,0)),"")</f>
        <v/>
      </c>
    </row>
    <row r="1395" spans="1:31" ht="15.75" x14ac:dyDescent="0.25">
      <c r="A1395" t="str">
        <f t="shared" si="260"/>
        <v>T.J. Oshie - WAS - RW</v>
      </c>
      <c r="B1395" t="str">
        <f t="shared" si="261"/>
        <v>T.J. Oshie - WAS - RW</v>
      </c>
      <c r="C1395" t="str">
        <f t="shared" si="255"/>
        <v>T.J.</v>
      </c>
      <c r="D1395" t="str">
        <f t="shared" si="256"/>
        <v>Oshie</v>
      </c>
      <c r="E1395" s="39" t="s">
        <v>1852</v>
      </c>
      <c r="F1395" s="5" t="s">
        <v>2503</v>
      </c>
      <c r="G1395" s="35" t="s">
        <v>381</v>
      </c>
      <c r="H1395" s="35" t="s">
        <v>88</v>
      </c>
      <c r="I1395" s="35" t="s">
        <v>2677</v>
      </c>
      <c r="J1395" s="35">
        <v>32</v>
      </c>
      <c r="K1395" s="35">
        <f>VALUE(COUNTIF(Validation!$A$2:$H$47,E1395))</f>
        <v>0</v>
      </c>
      <c r="L1395" s="361">
        <f t="shared" si="257"/>
        <v>5750000</v>
      </c>
      <c r="M1395" s="361">
        <f t="shared" si="258"/>
        <v>5750000</v>
      </c>
      <c r="N1395" s="358">
        <v>5750000</v>
      </c>
      <c r="O1395" s="358">
        <v>5750000</v>
      </c>
      <c r="P1395" s="358">
        <v>5750000</v>
      </c>
      <c r="Q1395" s="358">
        <v>5750000</v>
      </c>
      <c r="R1395" s="358">
        <v>5750000</v>
      </c>
      <c r="S1395" s="358">
        <v>5750000</v>
      </c>
      <c r="T1395" s="358" t="s">
        <v>7</v>
      </c>
      <c r="U1395" s="35">
        <f t="shared" si="252"/>
        <v>6</v>
      </c>
      <c r="W1395">
        <f t="shared" si="259"/>
        <v>1</v>
      </c>
      <c r="X1395" s="35">
        <f t="shared" si="264"/>
        <v>0</v>
      </c>
      <c r="Y1395">
        <f t="shared" si="265"/>
        <v>1</v>
      </c>
      <c r="AB1395">
        <f t="shared" si="262"/>
        <v>1</v>
      </c>
      <c r="AC1395">
        <f t="shared" ca="1" si="263"/>
        <v>0</v>
      </c>
      <c r="AD1395" t="str">
        <f ca="1">IF(AC1395=1,COUNTIF($AC$3:AC1395,1),"")</f>
        <v/>
      </c>
      <c r="AE1395" s="155" t="str">
        <f ca="1">IFERROR(INDEX(Données!$B$3:$B$1479,MATCH(ROWS($AD$3:AD1395),$AD$3:$AD$1479,0)),"")</f>
        <v/>
      </c>
    </row>
    <row r="1396" spans="1:31" ht="15.75" x14ac:dyDescent="0.25">
      <c r="A1396" t="str">
        <f t="shared" si="260"/>
        <v>Tom Wilson - WAS - RW</v>
      </c>
      <c r="B1396" t="str">
        <f t="shared" si="261"/>
        <v>Tom Wilson - WAS - RW</v>
      </c>
      <c r="C1396" t="str">
        <f t="shared" si="255"/>
        <v>Tom</v>
      </c>
      <c r="D1396" t="str">
        <f t="shared" si="256"/>
        <v>Wilson</v>
      </c>
      <c r="E1396" s="39" t="s">
        <v>1853</v>
      </c>
      <c r="F1396" s="5" t="s">
        <v>2503</v>
      </c>
      <c r="G1396" s="35">
        <v>0</v>
      </c>
      <c r="H1396" s="35" t="s">
        <v>88</v>
      </c>
      <c r="I1396" s="9" t="s">
        <v>2677</v>
      </c>
      <c r="J1396" s="35">
        <v>25</v>
      </c>
      <c r="K1396" s="35">
        <f>VALUE(COUNTIF(Validation!$A$2:$H$47,E1396))</f>
        <v>0</v>
      </c>
      <c r="L1396" s="361">
        <f t="shared" si="257"/>
        <v>5166666</v>
      </c>
      <c r="M1396" s="361">
        <f t="shared" si="258"/>
        <v>5166666</v>
      </c>
      <c r="N1396" s="358">
        <v>5166666</v>
      </c>
      <c r="O1396" s="358">
        <v>5166666</v>
      </c>
      <c r="P1396" s="358">
        <v>5166666</v>
      </c>
      <c r="Q1396" s="358">
        <v>5166666</v>
      </c>
      <c r="R1396" s="358">
        <v>5166666</v>
      </c>
      <c r="S1396" s="358" t="s">
        <v>7</v>
      </c>
      <c r="T1396" s="358">
        <v>0</v>
      </c>
      <c r="U1396" s="35">
        <f t="shared" si="252"/>
        <v>5</v>
      </c>
      <c r="W1396">
        <f t="shared" si="259"/>
        <v>1</v>
      </c>
      <c r="X1396" s="35">
        <f t="shared" si="264"/>
        <v>0</v>
      </c>
      <c r="Y1396">
        <f t="shared" si="265"/>
        <v>1</v>
      </c>
      <c r="AB1396">
        <f t="shared" si="262"/>
        <v>1</v>
      </c>
      <c r="AC1396">
        <f t="shared" ca="1" si="263"/>
        <v>0</v>
      </c>
      <c r="AD1396" t="str">
        <f ca="1">IF(AC1396=1,COUNTIF($AC$3:AC1396,1),"")</f>
        <v/>
      </c>
      <c r="AE1396" s="155" t="str">
        <f ca="1">IFERROR(INDEX(Données!$B$3:$B$1479,MATCH(ROWS($AD$3:AD1396),$AD$3:$AD$1479,0)),"")</f>
        <v/>
      </c>
    </row>
    <row r="1397" spans="1:31" ht="15.75" x14ac:dyDescent="0.25">
      <c r="A1397" t="str">
        <f t="shared" si="260"/>
        <v>Dmitry Orlov - WAS - LD</v>
      </c>
      <c r="B1397" t="str">
        <f t="shared" si="261"/>
        <v>Dmitry Orlov - WAS - LD</v>
      </c>
      <c r="C1397" t="str">
        <f t="shared" si="255"/>
        <v>Dmitry</v>
      </c>
      <c r="D1397" t="str">
        <f t="shared" si="256"/>
        <v>Orlov</v>
      </c>
      <c r="E1397" s="39" t="s">
        <v>1863</v>
      </c>
      <c r="F1397" s="5" t="s">
        <v>2503</v>
      </c>
      <c r="G1397" s="35" t="s">
        <v>381</v>
      </c>
      <c r="H1397" s="35" t="s">
        <v>380</v>
      </c>
      <c r="I1397" s="35" t="s">
        <v>2677</v>
      </c>
      <c r="J1397" s="35">
        <v>28</v>
      </c>
      <c r="K1397" s="35">
        <f>VALUE(COUNTIF(Validation!$A$2:$H$47,E1397))</f>
        <v>0</v>
      </c>
      <c r="L1397" s="361">
        <f t="shared" si="257"/>
        <v>5100000</v>
      </c>
      <c r="M1397" s="361">
        <f t="shared" si="258"/>
        <v>5100000</v>
      </c>
      <c r="N1397" s="358">
        <v>5100000</v>
      </c>
      <c r="O1397" s="358">
        <v>5100000</v>
      </c>
      <c r="P1397" s="358">
        <v>5100000</v>
      </c>
      <c r="Q1397" s="358">
        <v>5100000</v>
      </c>
      <c r="R1397" s="358" t="s">
        <v>7</v>
      </c>
      <c r="S1397" s="358">
        <v>0</v>
      </c>
      <c r="T1397" s="358">
        <v>0</v>
      </c>
      <c r="U1397" s="35">
        <f t="shared" si="252"/>
        <v>4</v>
      </c>
      <c r="W1397">
        <f t="shared" si="259"/>
        <v>1</v>
      </c>
      <c r="X1397" s="35">
        <f t="shared" si="264"/>
        <v>0</v>
      </c>
      <c r="Y1397">
        <f t="shared" si="265"/>
        <v>1</v>
      </c>
      <c r="AB1397">
        <f t="shared" si="262"/>
        <v>1</v>
      </c>
      <c r="AC1397">
        <f t="shared" ca="1" si="263"/>
        <v>0</v>
      </c>
      <c r="AD1397" t="str">
        <f ca="1">IF(AC1397=1,COUNTIF($AC$3:AC1397,1),"")</f>
        <v/>
      </c>
      <c r="AE1397" s="155" t="str">
        <f ca="1">IFERROR(INDEX(Données!$B$3:$B$1479,MATCH(ROWS($AD$3:AD1397),$AD$3:$AD$1479,0)),"")</f>
        <v/>
      </c>
    </row>
    <row r="1398" spans="1:31" ht="15.75" x14ac:dyDescent="0.25">
      <c r="A1398" t="str">
        <f t="shared" si="260"/>
        <v>Lars Eller - WAS - C</v>
      </c>
      <c r="B1398" t="str">
        <f t="shared" si="261"/>
        <v>Lars Eller - WAS - C</v>
      </c>
      <c r="C1398" t="str">
        <f t="shared" si="255"/>
        <v>Lars</v>
      </c>
      <c r="D1398" t="str">
        <f t="shared" si="256"/>
        <v>Eller</v>
      </c>
      <c r="E1398" s="39" t="s">
        <v>1854</v>
      </c>
      <c r="F1398" s="5" t="s">
        <v>2503</v>
      </c>
      <c r="G1398" s="35">
        <v>0</v>
      </c>
      <c r="H1398" s="9" t="s">
        <v>73</v>
      </c>
      <c r="I1398" s="9" t="s">
        <v>2677</v>
      </c>
      <c r="J1398" s="9">
        <v>30</v>
      </c>
      <c r="K1398" s="35">
        <f>VALUE(COUNTIF(Validation!$A$2:$H$47,E1398))</f>
        <v>0</v>
      </c>
      <c r="L1398" s="361">
        <f t="shared" si="257"/>
        <v>3500000</v>
      </c>
      <c r="M1398" s="361">
        <f t="shared" si="258"/>
        <v>3500000</v>
      </c>
      <c r="N1398" s="358">
        <v>3500000</v>
      </c>
      <c r="O1398" s="358">
        <v>3500000</v>
      </c>
      <c r="P1398" s="358">
        <v>3500000</v>
      </c>
      <c r="Q1398" s="358">
        <v>3500000</v>
      </c>
      <c r="R1398" s="358" t="s">
        <v>7</v>
      </c>
      <c r="S1398" s="358">
        <v>0</v>
      </c>
      <c r="T1398" s="358">
        <v>0</v>
      </c>
      <c r="U1398" s="35">
        <f t="shared" si="252"/>
        <v>4</v>
      </c>
      <c r="W1398">
        <f t="shared" si="259"/>
        <v>1</v>
      </c>
      <c r="X1398" s="35">
        <f t="shared" ref="X1398:X1428" si="266">IF(LEFT(G1398,3)="ELC",1,0)</f>
        <v>0</v>
      </c>
      <c r="Y1398">
        <f t="shared" ref="Y1398:Y1428" si="267">IF(L1398=M1398,1,0)</f>
        <v>1</v>
      </c>
      <c r="AB1398">
        <f t="shared" si="262"/>
        <v>1</v>
      </c>
      <c r="AC1398">
        <f t="shared" ca="1" si="263"/>
        <v>0</v>
      </c>
      <c r="AD1398" t="str">
        <f ca="1">IF(AC1398=1,COUNTIF($AC$3:AC1398,1),"")</f>
        <v/>
      </c>
      <c r="AE1398" s="155" t="str">
        <f ca="1">IFERROR(INDEX(Données!$B$3:$B$1479,MATCH(ROWS($AD$3:AD1398),$AD$3:$AD$1479,0)),"")</f>
        <v/>
      </c>
    </row>
    <row r="1399" spans="1:31" ht="15.75" x14ac:dyDescent="0.25">
      <c r="A1399" t="str">
        <f t="shared" si="260"/>
        <v>Jakub Vrána - WAS - LW</v>
      </c>
      <c r="B1399" t="str">
        <f t="shared" si="261"/>
        <v>Jakub Vrána - WAS - LW</v>
      </c>
      <c r="C1399" t="str">
        <f t="shared" si="255"/>
        <v>Jakub</v>
      </c>
      <c r="D1399" t="str">
        <f t="shared" si="256"/>
        <v>Vrána</v>
      </c>
      <c r="E1399" s="39" t="s">
        <v>1856</v>
      </c>
      <c r="F1399" s="5" t="s">
        <v>2503</v>
      </c>
      <c r="G1399" s="35">
        <v>0</v>
      </c>
      <c r="H1399" s="35" t="s">
        <v>93</v>
      </c>
      <c r="I1399" s="35" t="s">
        <v>2677</v>
      </c>
      <c r="J1399" s="9">
        <v>23</v>
      </c>
      <c r="K1399" s="35">
        <f>VALUE(COUNTIF(Validation!$A$2:$H$47,E1399))</f>
        <v>0</v>
      </c>
      <c r="L1399" s="361">
        <f t="shared" si="257"/>
        <v>3350000</v>
      </c>
      <c r="M1399" s="361">
        <f t="shared" si="258"/>
        <v>3350000</v>
      </c>
      <c r="N1399" s="358">
        <v>3350000</v>
      </c>
      <c r="O1399" s="358">
        <v>3350000</v>
      </c>
      <c r="P1399" s="358" t="s">
        <v>8</v>
      </c>
      <c r="Q1399" s="358">
        <v>0</v>
      </c>
      <c r="R1399" s="358">
        <v>0</v>
      </c>
      <c r="S1399" s="358">
        <v>0</v>
      </c>
      <c r="T1399" s="358">
        <v>0</v>
      </c>
      <c r="U1399" s="35">
        <f t="shared" si="252"/>
        <v>2</v>
      </c>
      <c r="W1399">
        <f t="shared" si="259"/>
        <v>1</v>
      </c>
      <c r="X1399" s="35">
        <f t="shared" si="266"/>
        <v>0</v>
      </c>
      <c r="Y1399">
        <f t="shared" si="267"/>
        <v>1</v>
      </c>
      <c r="AB1399">
        <f t="shared" si="262"/>
        <v>1</v>
      </c>
      <c r="AC1399">
        <f t="shared" ca="1" si="263"/>
        <v>0</v>
      </c>
      <c r="AD1399" t="str">
        <f ca="1">IF(AC1399=1,COUNTIF($AC$3:AC1399,1),"")</f>
        <v/>
      </c>
      <c r="AE1399" s="155" t="str">
        <f ca="1">IFERROR(INDEX(Données!$B$3:$B$1479,MATCH(ROWS($AD$3:AD1399),$AD$3:$AD$1479,0)),"")</f>
        <v/>
      </c>
    </row>
    <row r="1400" spans="1:31" ht="15.75" x14ac:dyDescent="0.25">
      <c r="A1400" t="str">
        <f t="shared" si="260"/>
        <v>Carl Hagelin - WAS - LW</v>
      </c>
      <c r="B1400" t="str">
        <f t="shared" si="261"/>
        <v>Carl Hagelin - WAS - LW</v>
      </c>
      <c r="C1400" t="str">
        <f t="shared" si="255"/>
        <v>Carl</v>
      </c>
      <c r="D1400" t="str">
        <f t="shared" si="256"/>
        <v>Hagelin</v>
      </c>
      <c r="E1400" s="39" t="s">
        <v>1822</v>
      </c>
      <c r="F1400" s="5" t="s">
        <v>2503</v>
      </c>
      <c r="G1400" s="35">
        <v>0</v>
      </c>
      <c r="H1400" s="35" t="s">
        <v>93</v>
      </c>
      <c r="I1400" s="35" t="s">
        <v>2677</v>
      </c>
      <c r="J1400" s="35">
        <v>30</v>
      </c>
      <c r="K1400" s="35">
        <f>VALUE(COUNTIF(Validation!$A$2:$H$47,E1400))</f>
        <v>0</v>
      </c>
      <c r="L1400" s="361">
        <f t="shared" si="257"/>
        <v>2750000</v>
      </c>
      <c r="M1400" s="361">
        <f t="shared" si="258"/>
        <v>2750000</v>
      </c>
      <c r="N1400" s="358">
        <v>2750000</v>
      </c>
      <c r="O1400" s="358">
        <v>2750000</v>
      </c>
      <c r="P1400" s="358">
        <v>2750000</v>
      </c>
      <c r="Q1400" s="358">
        <v>2750000</v>
      </c>
      <c r="R1400" s="358" t="s">
        <v>7</v>
      </c>
      <c r="S1400" s="358">
        <v>0</v>
      </c>
      <c r="T1400" s="358">
        <v>0</v>
      </c>
      <c r="U1400" s="35">
        <f t="shared" si="252"/>
        <v>4</v>
      </c>
      <c r="W1400">
        <f t="shared" si="259"/>
        <v>1</v>
      </c>
      <c r="X1400" s="35">
        <f t="shared" si="266"/>
        <v>0</v>
      </c>
      <c r="Y1400">
        <f t="shared" si="267"/>
        <v>1</v>
      </c>
      <c r="AB1400">
        <f t="shared" si="262"/>
        <v>1</v>
      </c>
      <c r="AC1400">
        <f t="shared" ca="1" si="263"/>
        <v>0</v>
      </c>
      <c r="AD1400" t="str">
        <f ca="1">IF(AC1400=1,COUNTIF($AC$3:AC1400,1),"")</f>
        <v/>
      </c>
      <c r="AE1400" s="155" t="str">
        <f ca="1">IFERROR(INDEX(Données!$B$3:$B$1479,MATCH(ROWS($AD$3:AD1400),$AD$3:$AD$1479,0)),"")</f>
        <v/>
      </c>
    </row>
    <row r="1401" spans="1:31" ht="15.75" x14ac:dyDescent="0.25">
      <c r="A1401" t="str">
        <f t="shared" si="260"/>
        <v>Richard Pánik - WAS - LW, RW</v>
      </c>
      <c r="B1401" t="str">
        <f t="shared" si="261"/>
        <v>Richard Pánik - WAS - LW, RW</v>
      </c>
      <c r="C1401" t="str">
        <f t="shared" si="255"/>
        <v>Richard</v>
      </c>
      <c r="D1401" t="str">
        <f t="shared" si="256"/>
        <v>Pánik</v>
      </c>
      <c r="E1401" s="39" t="s">
        <v>2152</v>
      </c>
      <c r="F1401" s="5" t="s">
        <v>2503</v>
      </c>
      <c r="G1401" s="35">
        <v>0</v>
      </c>
      <c r="H1401" s="9" t="s">
        <v>2689</v>
      </c>
      <c r="I1401" s="9" t="s">
        <v>2677</v>
      </c>
      <c r="J1401" s="9">
        <v>28</v>
      </c>
      <c r="K1401" s="35">
        <f>VALUE(COUNTIF(Validation!$A$2:$H$47,E1401))</f>
        <v>0</v>
      </c>
      <c r="L1401" s="361">
        <f t="shared" si="257"/>
        <v>2750000</v>
      </c>
      <c r="M1401" s="361">
        <f t="shared" si="258"/>
        <v>2750000</v>
      </c>
      <c r="N1401" s="358">
        <v>2750000</v>
      </c>
      <c r="O1401" s="358">
        <v>2750000</v>
      </c>
      <c r="P1401" s="358">
        <v>2750000</v>
      </c>
      <c r="Q1401" s="358">
        <v>2750000</v>
      </c>
      <c r="R1401" s="358" t="s">
        <v>7</v>
      </c>
      <c r="S1401" s="358">
        <v>0</v>
      </c>
      <c r="T1401" s="358">
        <v>0</v>
      </c>
      <c r="U1401" s="35">
        <f t="shared" ref="U1401:U1464" si="268">COUNTIF(N1401:T1401,"&gt;0")</f>
        <v>4</v>
      </c>
      <c r="W1401">
        <f t="shared" si="259"/>
        <v>1</v>
      </c>
      <c r="X1401" s="35">
        <f t="shared" si="266"/>
        <v>0</v>
      </c>
      <c r="Y1401">
        <f t="shared" si="267"/>
        <v>1</v>
      </c>
      <c r="AB1401">
        <f t="shared" si="262"/>
        <v>1</v>
      </c>
      <c r="AC1401">
        <f t="shared" ca="1" si="263"/>
        <v>0</v>
      </c>
      <c r="AD1401" t="str">
        <f ca="1">IF(AC1401=1,COUNTIF($AC$3:AC1401,1),"")</f>
        <v/>
      </c>
      <c r="AE1401" s="155" t="str">
        <f ca="1">IFERROR(INDEX(Données!$B$3:$B$1479,MATCH(ROWS($AD$3:AD1401),$AD$3:$AD$1479,0)),"")</f>
        <v/>
      </c>
    </row>
    <row r="1402" spans="1:31" ht="15.75" x14ac:dyDescent="0.25">
      <c r="A1402" t="str">
        <f t="shared" si="260"/>
        <v>Nick Jensen - WAS - RD</v>
      </c>
      <c r="B1402" t="str">
        <f t="shared" si="261"/>
        <v>Nick Jensen - WAS - RD</v>
      </c>
      <c r="C1402" t="str">
        <f t="shared" si="255"/>
        <v>Nick</v>
      </c>
      <c r="D1402" t="str">
        <f t="shared" si="256"/>
        <v>Jensen</v>
      </c>
      <c r="E1402" s="39" t="s">
        <v>1434</v>
      </c>
      <c r="F1402" s="5" t="s">
        <v>2503</v>
      </c>
      <c r="G1402" s="35">
        <v>0</v>
      </c>
      <c r="H1402" s="9" t="s">
        <v>379</v>
      </c>
      <c r="I1402" s="9" t="s">
        <v>2677</v>
      </c>
      <c r="J1402" s="9">
        <v>28</v>
      </c>
      <c r="K1402" s="35">
        <f>VALUE(COUNTIF(Validation!$A$2:$H$47,E1402))</f>
        <v>0</v>
      </c>
      <c r="L1402" s="361">
        <f t="shared" si="257"/>
        <v>2500000</v>
      </c>
      <c r="M1402" s="361">
        <f t="shared" si="258"/>
        <v>2500000</v>
      </c>
      <c r="N1402" s="358">
        <v>2500000</v>
      </c>
      <c r="O1402" s="358">
        <v>2500000</v>
      </c>
      <c r="P1402" s="358">
        <v>2500000</v>
      </c>
      <c r="Q1402" s="358">
        <v>2500000</v>
      </c>
      <c r="R1402" s="358" t="s">
        <v>7</v>
      </c>
      <c r="S1402" s="358">
        <v>0</v>
      </c>
      <c r="T1402" s="358">
        <v>0</v>
      </c>
      <c r="U1402" s="35">
        <f t="shared" si="268"/>
        <v>4</v>
      </c>
      <c r="W1402">
        <f t="shared" si="259"/>
        <v>1</v>
      </c>
      <c r="X1402" s="35">
        <f t="shared" si="266"/>
        <v>0</v>
      </c>
      <c r="Y1402">
        <f t="shared" si="267"/>
        <v>1</v>
      </c>
      <c r="AB1402">
        <f t="shared" si="262"/>
        <v>1</v>
      </c>
      <c r="AC1402">
        <f t="shared" ca="1" si="263"/>
        <v>0</v>
      </c>
      <c r="AD1402" t="str">
        <f ca="1">IF(AC1402=1,COUNTIF($AC$3:AC1402,1),"")</f>
        <v/>
      </c>
      <c r="AE1402" s="155" t="str">
        <f ca="1">IFERROR(INDEX(Données!$B$3:$B$1479,MATCH(ROWS($AD$3:AD1402),$AD$3:$AD$1479,0)),"")</f>
        <v/>
      </c>
    </row>
    <row r="1403" spans="1:31" ht="15.75" x14ac:dyDescent="0.25">
      <c r="A1403" t="str">
        <f t="shared" si="260"/>
        <v>Michal Kempný - WAS - LD</v>
      </c>
      <c r="B1403" t="str">
        <f t="shared" si="261"/>
        <v>Michal Kempný - WAS - LD</v>
      </c>
      <c r="C1403" t="str">
        <f t="shared" si="255"/>
        <v>Michal</v>
      </c>
      <c r="D1403" t="str">
        <f t="shared" si="256"/>
        <v>Kempný</v>
      </c>
      <c r="E1403" s="39" t="s">
        <v>1864</v>
      </c>
      <c r="F1403" s="5" t="s">
        <v>2503</v>
      </c>
      <c r="G1403" s="35">
        <v>0</v>
      </c>
      <c r="H1403" s="35" t="s">
        <v>380</v>
      </c>
      <c r="I1403" s="35" t="s">
        <v>2677</v>
      </c>
      <c r="J1403" s="35">
        <v>28</v>
      </c>
      <c r="K1403" s="35">
        <f>VALUE(COUNTIF(Validation!$A$2:$H$47,E1403))</f>
        <v>0</v>
      </c>
      <c r="L1403" s="361">
        <f t="shared" si="257"/>
        <v>2500000</v>
      </c>
      <c r="M1403" s="361">
        <f t="shared" si="258"/>
        <v>2500000</v>
      </c>
      <c r="N1403" s="358">
        <v>2500000</v>
      </c>
      <c r="O1403" s="358">
        <v>2500000</v>
      </c>
      <c r="P1403" s="358">
        <v>2500000</v>
      </c>
      <c r="Q1403" s="358" t="s">
        <v>7</v>
      </c>
      <c r="R1403" s="358">
        <v>0</v>
      </c>
      <c r="S1403" s="358">
        <v>0</v>
      </c>
      <c r="T1403" s="358">
        <v>0</v>
      </c>
      <c r="U1403" s="35">
        <f t="shared" si="268"/>
        <v>3</v>
      </c>
      <c r="W1403">
        <f t="shared" si="259"/>
        <v>1</v>
      </c>
      <c r="X1403" s="35">
        <f t="shared" si="266"/>
        <v>0</v>
      </c>
      <c r="Y1403">
        <f t="shared" si="267"/>
        <v>1</v>
      </c>
      <c r="AB1403">
        <f t="shared" si="262"/>
        <v>1</v>
      </c>
      <c r="AC1403">
        <f t="shared" ca="1" si="263"/>
        <v>0</v>
      </c>
      <c r="AD1403" t="str">
        <f ca="1">IF(AC1403=1,COUNTIF($AC$3:AC1403,1),"")</f>
        <v/>
      </c>
      <c r="AE1403" s="155" t="str">
        <f ca="1">IFERROR(INDEX(Données!$B$3:$B$1479,MATCH(ROWS($AD$3:AD1403),$AD$3:$AD$1479,0)),"")</f>
        <v/>
      </c>
    </row>
    <row r="1404" spans="1:31" ht="15.75" x14ac:dyDescent="0.25">
      <c r="A1404" t="str">
        <f t="shared" si="260"/>
        <v>Radko Gudas - WAS - RD</v>
      </c>
      <c r="B1404" t="str">
        <f t="shared" si="261"/>
        <v>Radko Gudas - WAS - RD</v>
      </c>
      <c r="C1404" t="str">
        <f t="shared" si="255"/>
        <v>Radko</v>
      </c>
      <c r="D1404" t="str">
        <f t="shared" si="256"/>
        <v>Gudas</v>
      </c>
      <c r="E1404" s="39" t="s">
        <v>1794</v>
      </c>
      <c r="F1404" s="5" t="s">
        <v>2503</v>
      </c>
      <c r="G1404" s="35" t="s">
        <v>2686</v>
      </c>
      <c r="H1404" s="35" t="s">
        <v>379</v>
      </c>
      <c r="I1404" s="35" t="s">
        <v>2677</v>
      </c>
      <c r="J1404" s="35">
        <v>29</v>
      </c>
      <c r="K1404" s="35">
        <f>VALUE(COUNTIF(Validation!$A$2:$H$47,E1404))</f>
        <v>0</v>
      </c>
      <c r="L1404" s="361">
        <f t="shared" si="257"/>
        <v>2345000</v>
      </c>
      <c r="M1404" s="361">
        <f t="shared" si="258"/>
        <v>0</v>
      </c>
      <c r="N1404" s="358">
        <v>2345000</v>
      </c>
      <c r="O1404" s="358" t="s">
        <v>7</v>
      </c>
      <c r="P1404" s="358">
        <v>0</v>
      </c>
      <c r="Q1404" s="358">
        <v>0</v>
      </c>
      <c r="R1404" s="358">
        <v>0</v>
      </c>
      <c r="S1404" s="358">
        <v>0</v>
      </c>
      <c r="T1404" s="358">
        <v>0</v>
      </c>
      <c r="U1404" s="35">
        <f t="shared" si="268"/>
        <v>1</v>
      </c>
      <c r="W1404">
        <f t="shared" si="259"/>
        <v>1</v>
      </c>
      <c r="X1404" s="35">
        <f t="shared" si="266"/>
        <v>0</v>
      </c>
      <c r="Y1404">
        <f t="shared" si="267"/>
        <v>0</v>
      </c>
      <c r="AB1404">
        <f t="shared" si="262"/>
        <v>1</v>
      </c>
      <c r="AC1404">
        <f t="shared" ca="1" si="263"/>
        <v>0</v>
      </c>
      <c r="AD1404" t="str">
        <f ca="1">IF(AC1404=1,COUNTIF($AC$3:AC1404,1),"")</f>
        <v/>
      </c>
      <c r="AE1404" s="155" t="str">
        <f ca="1">IFERROR(INDEX(Données!$B$3:$B$1479,MATCH(ROWS($AD$3:AD1404),$AD$3:$AD$1479,0)),"")</f>
        <v/>
      </c>
    </row>
    <row r="1405" spans="1:31" ht="15.75" x14ac:dyDescent="0.25">
      <c r="A1405" t="str">
        <f t="shared" si="260"/>
        <v>Garnet Hathaway - WAS - LW, RW</v>
      </c>
      <c r="B1405" t="str">
        <f t="shared" si="261"/>
        <v>Garnet Hathaway - WAS - LW, RW</v>
      </c>
      <c r="C1405" t="str">
        <f t="shared" si="255"/>
        <v>Garnet</v>
      </c>
      <c r="D1405" t="str">
        <f t="shared" si="256"/>
        <v>Hathaway</v>
      </c>
      <c r="E1405" s="39" t="s">
        <v>2197</v>
      </c>
      <c r="F1405" s="5" t="s">
        <v>2503</v>
      </c>
      <c r="G1405" s="35">
        <v>0</v>
      </c>
      <c r="H1405" s="35" t="s">
        <v>2689</v>
      </c>
      <c r="I1405" s="35" t="s">
        <v>2677</v>
      </c>
      <c r="J1405" s="35">
        <v>27</v>
      </c>
      <c r="K1405" s="35">
        <f>VALUE(COUNTIF(Validation!$A$2:$H$47,E1405))</f>
        <v>0</v>
      </c>
      <c r="L1405" s="361">
        <f t="shared" si="257"/>
        <v>1500000</v>
      </c>
      <c r="M1405" s="361">
        <f t="shared" si="258"/>
        <v>1500000</v>
      </c>
      <c r="N1405" s="358">
        <v>1500000</v>
      </c>
      <c r="O1405" s="358">
        <v>1500000</v>
      </c>
      <c r="P1405" s="358">
        <v>1500000</v>
      </c>
      <c r="Q1405" s="358">
        <v>1500000</v>
      </c>
      <c r="R1405" s="358" t="s">
        <v>7</v>
      </c>
      <c r="S1405" s="358">
        <v>0</v>
      </c>
      <c r="T1405" s="358">
        <v>0</v>
      </c>
      <c r="U1405" s="35">
        <f t="shared" si="268"/>
        <v>4</v>
      </c>
      <c r="W1405">
        <f t="shared" si="259"/>
        <v>1</v>
      </c>
      <c r="X1405" s="35">
        <f t="shared" si="266"/>
        <v>0</v>
      </c>
      <c r="Y1405">
        <f t="shared" si="267"/>
        <v>1</v>
      </c>
      <c r="AB1405">
        <f t="shared" si="262"/>
        <v>1</v>
      </c>
      <c r="AC1405">
        <f t="shared" ca="1" si="263"/>
        <v>0</v>
      </c>
      <c r="AD1405" t="str">
        <f ca="1">IF(AC1405=1,COUNTIF($AC$3:AC1405,1),"")</f>
        <v/>
      </c>
      <c r="AE1405" s="155" t="str">
        <f ca="1">IFERROR(INDEX(Données!$B$3:$B$1479,MATCH(ROWS($AD$3:AD1405),$AD$3:$AD$1479,0)),"")</f>
        <v/>
      </c>
    </row>
    <row r="1406" spans="1:31" ht="15.75" x14ac:dyDescent="0.25">
      <c r="A1406" t="str">
        <f t="shared" si="260"/>
        <v>Ilya Samsonov - WAS - G</v>
      </c>
      <c r="B1406" t="str">
        <f t="shared" si="261"/>
        <v>Ilya Samsonov - WAS - G</v>
      </c>
      <c r="C1406" t="str">
        <f t="shared" si="255"/>
        <v>Ilya</v>
      </c>
      <c r="D1406" t="str">
        <f t="shared" si="256"/>
        <v>Samsonov</v>
      </c>
      <c r="E1406" s="39" t="s">
        <v>1871</v>
      </c>
      <c r="F1406" s="5" t="s">
        <v>2503</v>
      </c>
      <c r="G1406" s="35" t="s">
        <v>386</v>
      </c>
      <c r="H1406" s="35" t="s">
        <v>127</v>
      </c>
      <c r="I1406" s="35" t="s">
        <v>2690</v>
      </c>
      <c r="J1406" s="47">
        <v>22</v>
      </c>
      <c r="K1406" s="35">
        <f>VALUE(COUNTIF(Validation!$A$2:$H$47,E1406))</f>
        <v>0</v>
      </c>
      <c r="L1406" s="361">
        <f t="shared" si="257"/>
        <v>1475000</v>
      </c>
      <c r="M1406" s="361">
        <f t="shared" si="258"/>
        <v>1475000</v>
      </c>
      <c r="N1406" s="358">
        <v>1475000</v>
      </c>
      <c r="O1406" s="358">
        <v>1475000</v>
      </c>
      <c r="P1406" s="358" t="s">
        <v>8</v>
      </c>
      <c r="Q1406" s="358">
        <v>0</v>
      </c>
      <c r="R1406" s="358">
        <v>0</v>
      </c>
      <c r="S1406" s="358">
        <v>0</v>
      </c>
      <c r="T1406" s="358">
        <v>0</v>
      </c>
      <c r="U1406" s="35">
        <f t="shared" si="268"/>
        <v>2</v>
      </c>
      <c r="W1406">
        <f t="shared" si="259"/>
        <v>1</v>
      </c>
      <c r="X1406" s="35">
        <f t="shared" si="266"/>
        <v>1</v>
      </c>
      <c r="Y1406">
        <f t="shared" si="267"/>
        <v>1</v>
      </c>
      <c r="AB1406">
        <f t="shared" si="262"/>
        <v>1</v>
      </c>
      <c r="AC1406">
        <f t="shared" ca="1" si="263"/>
        <v>0</v>
      </c>
      <c r="AD1406" t="str">
        <f ca="1">IF(AC1406=1,COUNTIF($AC$3:AC1406,1),"")</f>
        <v/>
      </c>
      <c r="AE1406" s="155" t="str">
        <f ca="1">IFERROR(INDEX(Données!$B$3:$B$1479,MATCH(ROWS($AD$3:AD1406),$AD$3:$AD$1479,0)),"")</f>
        <v/>
      </c>
    </row>
    <row r="1407" spans="1:31" ht="15.75" x14ac:dyDescent="0.25">
      <c r="A1407" t="str">
        <f t="shared" si="260"/>
        <v>Christian Djoos - WAS - LD</v>
      </c>
      <c r="B1407" t="str">
        <f t="shared" si="261"/>
        <v>Christian Djoos - WAS - LD</v>
      </c>
      <c r="C1407" t="str">
        <f t="shared" si="255"/>
        <v>Christian</v>
      </c>
      <c r="D1407" t="str">
        <f t="shared" si="256"/>
        <v>Djoos</v>
      </c>
      <c r="E1407" s="39" t="s">
        <v>1866</v>
      </c>
      <c r="F1407" s="5" t="s">
        <v>2503</v>
      </c>
      <c r="G1407" s="35">
        <v>0</v>
      </c>
      <c r="H1407" s="35" t="s">
        <v>380</v>
      </c>
      <c r="I1407" s="35" t="s">
        <v>2677</v>
      </c>
      <c r="J1407" s="47">
        <v>25</v>
      </c>
      <c r="K1407" s="35">
        <f>VALUE(COUNTIF(Validation!$A$2:$H$47,E1407))</f>
        <v>0</v>
      </c>
      <c r="L1407" s="361">
        <f t="shared" si="257"/>
        <v>1250000</v>
      </c>
      <c r="M1407" s="361">
        <f t="shared" si="258"/>
        <v>0</v>
      </c>
      <c r="N1407" s="358">
        <v>1250000</v>
      </c>
      <c r="O1407" s="358" t="s">
        <v>8</v>
      </c>
      <c r="P1407" s="358">
        <v>0</v>
      </c>
      <c r="Q1407" s="358">
        <v>0</v>
      </c>
      <c r="R1407" s="358">
        <v>0</v>
      </c>
      <c r="S1407" s="358">
        <v>0</v>
      </c>
      <c r="T1407" s="358">
        <v>0</v>
      </c>
      <c r="U1407" s="35">
        <f t="shared" si="268"/>
        <v>1</v>
      </c>
      <c r="W1407">
        <f t="shared" si="259"/>
        <v>1</v>
      </c>
      <c r="X1407" s="35">
        <f t="shared" si="266"/>
        <v>0</v>
      </c>
      <c r="Y1407">
        <f t="shared" si="267"/>
        <v>0</v>
      </c>
      <c r="AB1407">
        <f t="shared" si="262"/>
        <v>1</v>
      </c>
      <c r="AC1407">
        <f t="shared" ca="1" si="263"/>
        <v>0</v>
      </c>
      <c r="AD1407" t="str">
        <f ca="1">IF(AC1407=1,COUNTIF($AC$3:AC1407,1),"")</f>
        <v/>
      </c>
      <c r="AE1407" s="155" t="str">
        <f ca="1">IFERROR(INDEX(Données!$B$3:$B$1479,MATCH(ROWS($AD$3:AD1407),$AD$3:$AD$1479,0)),"")</f>
        <v/>
      </c>
    </row>
    <row r="1408" spans="1:31" ht="15.75" x14ac:dyDescent="0.25">
      <c r="A1408" t="str">
        <f t="shared" si="260"/>
        <v>Pheonix Copley - WAS - G</v>
      </c>
      <c r="B1408" t="str">
        <f t="shared" si="261"/>
        <v>Pheonix Copley - WAS - G</v>
      </c>
      <c r="C1408" t="str">
        <f t="shared" si="255"/>
        <v>Pheonix</v>
      </c>
      <c r="D1408" t="str">
        <f t="shared" si="256"/>
        <v>Copley</v>
      </c>
      <c r="E1408" s="39" t="s">
        <v>1868</v>
      </c>
      <c r="F1408" s="5" t="s">
        <v>2503</v>
      </c>
      <c r="G1408" s="35">
        <v>0</v>
      </c>
      <c r="H1408" s="9" t="s">
        <v>127</v>
      </c>
      <c r="I1408" s="9" t="s">
        <v>2677</v>
      </c>
      <c r="J1408" s="47">
        <v>27</v>
      </c>
      <c r="K1408" s="35">
        <f>VALUE(COUNTIF(Validation!$A$2:$H$47,E1408))</f>
        <v>0</v>
      </c>
      <c r="L1408" s="361">
        <f t="shared" si="257"/>
        <v>1100000</v>
      </c>
      <c r="M1408" s="361">
        <f t="shared" si="258"/>
        <v>1100000</v>
      </c>
      <c r="N1408" s="358">
        <v>1100000</v>
      </c>
      <c r="O1408" s="358">
        <v>1100000</v>
      </c>
      <c r="P1408" s="358">
        <v>1100000</v>
      </c>
      <c r="Q1408" s="358" t="s">
        <v>7</v>
      </c>
      <c r="R1408" s="358">
        <v>0</v>
      </c>
      <c r="S1408" s="358">
        <v>0</v>
      </c>
      <c r="T1408" s="358">
        <v>0</v>
      </c>
      <c r="U1408" s="35">
        <f t="shared" si="268"/>
        <v>3</v>
      </c>
      <c r="W1408">
        <f t="shared" si="259"/>
        <v>1</v>
      </c>
      <c r="X1408" s="35">
        <f t="shared" si="266"/>
        <v>0</v>
      </c>
      <c r="Y1408">
        <f t="shared" si="267"/>
        <v>1</v>
      </c>
      <c r="AB1408">
        <f t="shared" si="262"/>
        <v>1</v>
      </c>
      <c r="AC1408">
        <f t="shared" ca="1" si="263"/>
        <v>0</v>
      </c>
      <c r="AD1408" t="str">
        <f ca="1">IF(AC1408=1,COUNTIF($AC$3:AC1408,1),"")</f>
        <v/>
      </c>
      <c r="AE1408" s="155" t="str">
        <f ca="1">IFERROR(INDEX(Données!$B$3:$B$1479,MATCH(ROWS($AD$3:AD1408),$AD$3:$AD$1479,0)),"")</f>
        <v/>
      </c>
    </row>
    <row r="1409" spans="1:31" ht="15.75" x14ac:dyDescent="0.25">
      <c r="A1409" t="str">
        <f t="shared" si="260"/>
        <v>Chandler Stephenson - WAS - LW, C</v>
      </c>
      <c r="B1409" t="str">
        <f t="shared" si="261"/>
        <v>Chandler Stephenson - WAS - LW, C</v>
      </c>
      <c r="C1409" t="str">
        <f t="shared" si="255"/>
        <v>Chandler</v>
      </c>
      <c r="D1409" t="str">
        <f t="shared" si="256"/>
        <v>Stephenson</v>
      </c>
      <c r="E1409" s="39" t="s">
        <v>1859</v>
      </c>
      <c r="F1409" s="5" t="s">
        <v>2503</v>
      </c>
      <c r="G1409" s="35">
        <v>0</v>
      </c>
      <c r="H1409" s="9" t="s">
        <v>2696</v>
      </c>
      <c r="I1409" s="9" t="s">
        <v>2677</v>
      </c>
      <c r="J1409" s="47">
        <v>25</v>
      </c>
      <c r="K1409" s="35">
        <f>VALUE(COUNTIF(Validation!$A$2:$H$47,E1409))</f>
        <v>0</v>
      </c>
      <c r="L1409" s="361">
        <f t="shared" si="257"/>
        <v>1050000</v>
      </c>
      <c r="M1409" s="361">
        <f t="shared" si="258"/>
        <v>0</v>
      </c>
      <c r="N1409" s="358">
        <v>1050000</v>
      </c>
      <c r="O1409" s="358" t="s">
        <v>8</v>
      </c>
      <c r="P1409" s="358">
        <v>0</v>
      </c>
      <c r="Q1409" s="358">
        <v>0</v>
      </c>
      <c r="R1409" s="358">
        <v>0</v>
      </c>
      <c r="S1409" s="358">
        <v>0</v>
      </c>
      <c r="T1409" s="358">
        <v>0</v>
      </c>
      <c r="U1409" s="35">
        <f t="shared" si="268"/>
        <v>1</v>
      </c>
      <c r="W1409">
        <f t="shared" si="259"/>
        <v>1</v>
      </c>
      <c r="X1409" s="35">
        <f t="shared" si="266"/>
        <v>0</v>
      </c>
      <c r="Y1409">
        <f t="shared" si="267"/>
        <v>0</v>
      </c>
      <c r="AB1409">
        <f t="shared" si="262"/>
        <v>1</v>
      </c>
      <c r="AC1409">
        <f t="shared" ca="1" si="263"/>
        <v>0</v>
      </c>
      <c r="AD1409" t="str">
        <f ca="1">IF(AC1409=1,COUNTIF($AC$3:AC1409,1),"")</f>
        <v/>
      </c>
      <c r="AE1409" s="155" t="str">
        <f ca="1">IFERROR(INDEX(Données!$B$3:$B$1479,MATCH(ROWS($AD$3:AD1409),$AD$3:$AD$1479,0)),"")</f>
        <v/>
      </c>
    </row>
    <row r="1410" spans="1:31" ht="15.75" x14ac:dyDescent="0.25">
      <c r="A1410" t="str">
        <f t="shared" si="260"/>
        <v>Kris Bindulis - WAS - D</v>
      </c>
      <c r="B1410" t="str">
        <f t="shared" si="261"/>
        <v>Kris Bindulis - WAS - D</v>
      </c>
      <c r="C1410" t="str">
        <f t="shared" si="255"/>
        <v>Kris</v>
      </c>
      <c r="D1410" t="str">
        <f t="shared" si="256"/>
        <v>Bindulis</v>
      </c>
      <c r="E1410" s="39" t="s">
        <v>1874</v>
      </c>
      <c r="F1410" s="5" t="s">
        <v>2503</v>
      </c>
      <c r="G1410" s="35" t="s">
        <v>386</v>
      </c>
      <c r="H1410" s="35" t="s">
        <v>82</v>
      </c>
      <c r="I1410" s="35" t="s">
        <v>2690</v>
      </c>
      <c r="J1410" s="47">
        <v>23</v>
      </c>
      <c r="K1410" s="35">
        <f>VALUE(COUNTIF(Validation!$A$2:$H$47,E1410))</f>
        <v>0</v>
      </c>
      <c r="L1410" s="361">
        <f t="shared" si="257"/>
        <v>925000</v>
      </c>
      <c r="M1410" s="361">
        <f t="shared" si="258"/>
        <v>0</v>
      </c>
      <c r="N1410" s="358">
        <v>925000</v>
      </c>
      <c r="O1410" s="358" t="s">
        <v>8</v>
      </c>
      <c r="P1410" s="358">
        <v>0</v>
      </c>
      <c r="Q1410" s="358">
        <v>0</v>
      </c>
      <c r="R1410" s="358">
        <v>0</v>
      </c>
      <c r="S1410" s="358">
        <v>0</v>
      </c>
      <c r="T1410" s="358">
        <v>0</v>
      </c>
      <c r="U1410" s="35">
        <f t="shared" si="268"/>
        <v>1</v>
      </c>
      <c r="W1410">
        <f t="shared" si="259"/>
        <v>1</v>
      </c>
      <c r="X1410" s="35">
        <f t="shared" si="266"/>
        <v>1</v>
      </c>
      <c r="Y1410">
        <f t="shared" si="267"/>
        <v>0</v>
      </c>
      <c r="AB1410">
        <f t="shared" si="262"/>
        <v>1</v>
      </c>
      <c r="AC1410">
        <f t="shared" ca="1" si="263"/>
        <v>0</v>
      </c>
      <c r="AD1410" t="str">
        <f ca="1">IF(AC1410=1,COUNTIF($AC$3:AC1410,1),"")</f>
        <v/>
      </c>
      <c r="AE1410" s="155" t="str">
        <f ca="1">IFERROR(INDEX(Données!$B$3:$B$1479,MATCH(ROWS($AD$3:AD1410),$AD$3:$AD$1479,0)),"")</f>
        <v/>
      </c>
    </row>
    <row r="1411" spans="1:31" ht="15.75" x14ac:dyDescent="0.25">
      <c r="A1411" t="str">
        <f t="shared" si="260"/>
        <v>Lucas Johansen - WAS - LD</v>
      </c>
      <c r="B1411" t="str">
        <f t="shared" si="261"/>
        <v>Lucas Johansen - WAS - LD</v>
      </c>
      <c r="C1411" t="str">
        <f t="shared" ref="C1411:C1479" si="269">RIGHT(E1411,(LEN(E1411)-1)-SEARCH(",",E1411,1))</f>
        <v>Lucas</v>
      </c>
      <c r="D1411" t="str">
        <f t="shared" ref="D1411:D1474" si="270">LEFT(E1411,SEARCH(",",E1411,1)-1)</f>
        <v>Johansen</v>
      </c>
      <c r="E1411" s="39" t="s">
        <v>1869</v>
      </c>
      <c r="F1411" s="5" t="s">
        <v>2503</v>
      </c>
      <c r="G1411" s="35" t="s">
        <v>386</v>
      </c>
      <c r="H1411" s="35" t="s">
        <v>380</v>
      </c>
      <c r="I1411" s="35" t="s">
        <v>2690</v>
      </c>
      <c r="J1411" s="47">
        <v>21</v>
      </c>
      <c r="K1411" s="35">
        <f>VALUE(COUNTIF(Validation!$A$2:$H$47,E1411))</f>
        <v>0</v>
      </c>
      <c r="L1411" s="361">
        <f t="shared" ref="L1411:L1479" si="271">IF(OR(N1411="RFA",N1411="UFA",N1411="",N1411=0),0,N1411)</f>
        <v>925000</v>
      </c>
      <c r="M1411" s="361">
        <f t="shared" ref="M1411:M1479" si="272">IF(OR(O1411="RFA",O1411="UFA",O1411="",O1411=0),0,O1411)</f>
        <v>0</v>
      </c>
      <c r="N1411" s="358">
        <v>925000</v>
      </c>
      <c r="O1411" s="358" t="s">
        <v>8</v>
      </c>
      <c r="P1411" s="358">
        <v>0</v>
      </c>
      <c r="Q1411" s="358">
        <v>0</v>
      </c>
      <c r="R1411" s="358">
        <v>0</v>
      </c>
      <c r="S1411" s="358">
        <v>0</v>
      </c>
      <c r="T1411" s="358">
        <v>0</v>
      </c>
      <c r="U1411" s="35">
        <f t="shared" si="268"/>
        <v>1</v>
      </c>
      <c r="W1411">
        <f t="shared" ref="W1411:W1479" si="273">COUNTIF($E$3:$E$1479,E1411)</f>
        <v>1</v>
      </c>
      <c r="X1411" s="35">
        <f t="shared" si="266"/>
        <v>1</v>
      </c>
      <c r="Y1411">
        <f t="shared" si="267"/>
        <v>0</v>
      </c>
      <c r="AB1411">
        <f t="shared" si="262"/>
        <v>1</v>
      </c>
      <c r="AC1411">
        <f t="shared" ca="1" si="263"/>
        <v>0</v>
      </c>
      <c r="AD1411" t="str">
        <f ca="1">IF(AC1411=1,COUNTIF($AC$3:AC1411,1),"")</f>
        <v/>
      </c>
      <c r="AE1411" s="155" t="str">
        <f ca="1">IFERROR(INDEX(Données!$B$3:$B$1479,MATCH(ROWS($AD$3:AD1411),$AD$3:$AD$1479,0)),"")</f>
        <v/>
      </c>
    </row>
    <row r="1412" spans="1:31" ht="15.75" x14ac:dyDescent="0.25">
      <c r="A1412" t="str">
        <f t="shared" ref="A1412:A1475" si="274">C1412&amp;" "&amp;D1412&amp;" - "&amp;F1412&amp;" - "&amp;H1412</f>
        <v>Brett Leason - WAS - RW</v>
      </c>
      <c r="B1412" t="str">
        <f t="shared" ref="B1412:B1475" si="275">A1412</f>
        <v>Brett Leason - WAS - RW</v>
      </c>
      <c r="C1412" t="str">
        <f t="shared" si="269"/>
        <v>Brett</v>
      </c>
      <c r="D1412" t="str">
        <f t="shared" si="270"/>
        <v>Leason</v>
      </c>
      <c r="E1412" s="39" t="s">
        <v>2698</v>
      </c>
      <c r="F1412" s="5" t="s">
        <v>2503</v>
      </c>
      <c r="G1412" s="35" t="s">
        <v>386</v>
      </c>
      <c r="H1412" s="35" t="s">
        <v>88</v>
      </c>
      <c r="I1412" s="35" t="s">
        <v>2690</v>
      </c>
      <c r="J1412" s="47">
        <v>20</v>
      </c>
      <c r="K1412" s="35">
        <f>VALUE(COUNTIF(Validation!$A$2:$H$47,E1412))</f>
        <v>0</v>
      </c>
      <c r="L1412" s="361">
        <f t="shared" si="271"/>
        <v>925000</v>
      </c>
      <c r="M1412" s="361">
        <f t="shared" si="272"/>
        <v>925000</v>
      </c>
      <c r="N1412" s="358">
        <v>925000</v>
      </c>
      <c r="O1412" s="358">
        <v>925000</v>
      </c>
      <c r="P1412" s="358">
        <v>925000</v>
      </c>
      <c r="Q1412" s="358" t="s">
        <v>8</v>
      </c>
      <c r="R1412" s="358">
        <v>0</v>
      </c>
      <c r="S1412" s="358">
        <v>0</v>
      </c>
      <c r="T1412" s="358">
        <v>0</v>
      </c>
      <c r="U1412" s="35">
        <f t="shared" si="268"/>
        <v>3</v>
      </c>
      <c r="W1412">
        <f t="shared" si="273"/>
        <v>1</v>
      </c>
      <c r="X1412" s="35">
        <f t="shared" si="266"/>
        <v>1</v>
      </c>
      <c r="Y1412">
        <f t="shared" si="267"/>
        <v>1</v>
      </c>
      <c r="AB1412">
        <f t="shared" ref="AB1412:AB1475" si="276">SEARCH(AA1412,A1412)</f>
        <v>1</v>
      </c>
      <c r="AC1412">
        <f t="shared" ca="1" si="263"/>
        <v>0</v>
      </c>
      <c r="AD1412" t="str">
        <f ca="1">IF(AC1412=1,COUNTIF($AC$3:AC1412,1),"")</f>
        <v/>
      </c>
      <c r="AE1412" s="155" t="str">
        <f ca="1">IFERROR(INDEX(Données!$B$3:$B$1479,MATCH(ROWS($AD$3:AD1412),$AD$3:$AD$1479,0)),"")</f>
        <v/>
      </c>
    </row>
    <row r="1413" spans="1:31" ht="15.75" x14ac:dyDescent="0.25">
      <c r="A1413" t="str">
        <f t="shared" si="274"/>
        <v>Connor McMichael - WAS - C</v>
      </c>
      <c r="B1413" t="str">
        <f t="shared" si="275"/>
        <v>Connor McMichael - WAS - C</v>
      </c>
      <c r="C1413" t="str">
        <f t="shared" si="269"/>
        <v>Connor</v>
      </c>
      <c r="D1413" t="str">
        <f t="shared" si="270"/>
        <v>McMichael</v>
      </c>
      <c r="E1413" s="39" t="s">
        <v>2697</v>
      </c>
      <c r="F1413" s="5" t="s">
        <v>2503</v>
      </c>
      <c r="G1413" s="35" t="s">
        <v>386</v>
      </c>
      <c r="H1413" s="35" t="s">
        <v>73</v>
      </c>
      <c r="I1413" s="35" t="s">
        <v>2690</v>
      </c>
      <c r="J1413" s="47">
        <v>18</v>
      </c>
      <c r="K1413" s="35">
        <f>VALUE(COUNTIF(Validation!$A$2:$H$47,E1413))</f>
        <v>0</v>
      </c>
      <c r="L1413" s="361">
        <f t="shared" si="271"/>
        <v>925000</v>
      </c>
      <c r="M1413" s="361">
        <f t="shared" si="272"/>
        <v>925000</v>
      </c>
      <c r="N1413" s="358">
        <v>925000</v>
      </c>
      <c r="O1413" s="358">
        <v>925000</v>
      </c>
      <c r="P1413" s="358">
        <v>925000</v>
      </c>
      <c r="Q1413" s="358" t="s">
        <v>8</v>
      </c>
      <c r="R1413" s="358">
        <v>0</v>
      </c>
      <c r="S1413" s="358">
        <v>0</v>
      </c>
      <c r="T1413" s="358">
        <v>0</v>
      </c>
      <c r="U1413" s="35">
        <f t="shared" si="268"/>
        <v>3</v>
      </c>
      <c r="W1413">
        <f t="shared" si="273"/>
        <v>1</v>
      </c>
      <c r="X1413" s="35">
        <f t="shared" si="266"/>
        <v>1</v>
      </c>
      <c r="Y1413">
        <f t="shared" si="267"/>
        <v>1</v>
      </c>
      <c r="AB1413">
        <f t="shared" si="276"/>
        <v>1</v>
      </c>
      <c r="AC1413">
        <f t="shared" ref="AC1413:AC1476" ca="1" si="277">IFERROR(SEARCH(INDIRECT(CELL("adresse")),B1413,1),0)</f>
        <v>0</v>
      </c>
      <c r="AD1413" t="str">
        <f ca="1">IF(AC1413=1,COUNTIF($AC$3:AC1413,1),"")</f>
        <v/>
      </c>
      <c r="AE1413" s="155" t="str">
        <f ca="1">IFERROR(INDEX(Données!$B$3:$B$1479,MATCH(ROWS($AD$3:AD1413),$AD$3:$AD$1479,0)),"")</f>
        <v/>
      </c>
    </row>
    <row r="1414" spans="1:31" ht="15.75" x14ac:dyDescent="0.25">
      <c r="A1414" t="str">
        <f t="shared" si="274"/>
        <v>Bobby Nardella - WAS - LD</v>
      </c>
      <c r="B1414" t="str">
        <f t="shared" si="275"/>
        <v>Bobby Nardella - WAS - LD</v>
      </c>
      <c r="C1414" t="str">
        <f t="shared" si="269"/>
        <v>Bobby</v>
      </c>
      <c r="D1414" t="str">
        <f t="shared" si="270"/>
        <v>Nardella</v>
      </c>
      <c r="E1414" s="39" t="s">
        <v>2509</v>
      </c>
      <c r="F1414" s="5" t="s">
        <v>2503</v>
      </c>
      <c r="G1414" s="35" t="s">
        <v>386</v>
      </c>
      <c r="H1414" s="9" t="s">
        <v>380</v>
      </c>
      <c r="I1414" s="9" t="s">
        <v>2690</v>
      </c>
      <c r="J1414" s="47">
        <v>23</v>
      </c>
      <c r="K1414" s="35">
        <f>VALUE(COUNTIF(Validation!$A$2:$H$47,E1414))</f>
        <v>0</v>
      </c>
      <c r="L1414" s="361">
        <f t="shared" si="271"/>
        <v>925000</v>
      </c>
      <c r="M1414" s="361">
        <f t="shared" si="272"/>
        <v>925000</v>
      </c>
      <c r="N1414" s="358">
        <v>925000</v>
      </c>
      <c r="O1414" s="358">
        <v>925000</v>
      </c>
      <c r="P1414" s="358" t="s">
        <v>8</v>
      </c>
      <c r="Q1414" s="358">
        <v>0</v>
      </c>
      <c r="R1414" s="358">
        <v>0</v>
      </c>
      <c r="S1414" s="358">
        <v>0</v>
      </c>
      <c r="T1414" s="358">
        <v>0</v>
      </c>
      <c r="U1414" s="35">
        <f t="shared" si="268"/>
        <v>2</v>
      </c>
      <c r="W1414">
        <f t="shared" si="273"/>
        <v>1</v>
      </c>
      <c r="X1414" s="35">
        <f t="shared" si="266"/>
        <v>1</v>
      </c>
      <c r="Y1414">
        <f t="shared" si="267"/>
        <v>1</v>
      </c>
      <c r="AB1414">
        <f t="shared" si="276"/>
        <v>1</v>
      </c>
      <c r="AC1414">
        <f t="shared" ca="1" si="277"/>
        <v>0</v>
      </c>
      <c r="AD1414" t="str">
        <f ca="1">IF(AC1414=1,COUNTIF($AC$3:AC1414,1),"")</f>
        <v/>
      </c>
      <c r="AE1414" s="155" t="str">
        <f ca="1">IFERROR(INDEX(Données!$B$3:$B$1479,MATCH(ROWS($AD$3:AD1414),$AD$3:$AD$1479,0)),"")</f>
        <v/>
      </c>
    </row>
    <row r="1415" spans="1:31" ht="15.75" x14ac:dyDescent="0.25">
      <c r="A1415" t="str">
        <f t="shared" si="274"/>
        <v>Alexei Protas - WAS - C</v>
      </c>
      <c r="B1415" t="str">
        <f t="shared" si="275"/>
        <v>Alexei Protas - WAS - C</v>
      </c>
      <c r="C1415" t="str">
        <f t="shared" si="269"/>
        <v>Alexei</v>
      </c>
      <c r="D1415" t="str">
        <f t="shared" si="270"/>
        <v>Protas</v>
      </c>
      <c r="E1415" s="39" t="s">
        <v>2699</v>
      </c>
      <c r="F1415" s="5" t="s">
        <v>2503</v>
      </c>
      <c r="G1415" s="35" t="s">
        <v>386</v>
      </c>
      <c r="H1415" s="35" t="s">
        <v>73</v>
      </c>
      <c r="I1415" s="35" t="s">
        <v>2690</v>
      </c>
      <c r="J1415" s="47">
        <v>18</v>
      </c>
      <c r="K1415" s="35">
        <f>VALUE(COUNTIF(Validation!$A$2:$H$47,E1415))</f>
        <v>0</v>
      </c>
      <c r="L1415" s="361">
        <f t="shared" si="271"/>
        <v>925000</v>
      </c>
      <c r="M1415" s="361">
        <f t="shared" si="272"/>
        <v>925000</v>
      </c>
      <c r="N1415" s="358">
        <v>925000</v>
      </c>
      <c r="O1415" s="358">
        <v>925000</v>
      </c>
      <c r="P1415" s="358">
        <v>925000</v>
      </c>
      <c r="Q1415" s="358" t="s">
        <v>8</v>
      </c>
      <c r="R1415" s="358">
        <v>0</v>
      </c>
      <c r="S1415" s="358">
        <v>0</v>
      </c>
      <c r="T1415" s="358">
        <v>0</v>
      </c>
      <c r="U1415" s="35">
        <f t="shared" si="268"/>
        <v>3</v>
      </c>
      <c r="W1415">
        <f t="shared" si="273"/>
        <v>1</v>
      </c>
      <c r="X1415" s="35">
        <f t="shared" si="266"/>
        <v>1</v>
      </c>
      <c r="Y1415">
        <f t="shared" si="267"/>
        <v>1</v>
      </c>
      <c r="AB1415">
        <f t="shared" si="276"/>
        <v>1</v>
      </c>
      <c r="AC1415">
        <f t="shared" ca="1" si="277"/>
        <v>0</v>
      </c>
      <c r="AD1415" t="str">
        <f ca="1">IF(AC1415=1,COUNTIF($AC$3:AC1415,1),"")</f>
        <v/>
      </c>
      <c r="AE1415" s="155" t="str">
        <f ca="1">IFERROR(INDEX(Données!$B$3:$B$1479,MATCH(ROWS($AD$3:AD1415),$AD$3:$AD$1479,0)),"")</f>
        <v/>
      </c>
    </row>
    <row r="1416" spans="1:31" ht="15.75" x14ac:dyDescent="0.25">
      <c r="A1416" t="str">
        <f t="shared" si="274"/>
        <v>Joe Snively - WAS - LW</v>
      </c>
      <c r="B1416" t="str">
        <f t="shared" si="275"/>
        <v>Joe Snively - WAS - LW</v>
      </c>
      <c r="C1416" t="str">
        <f t="shared" si="269"/>
        <v>Joe</v>
      </c>
      <c r="D1416" t="str">
        <f t="shared" si="270"/>
        <v>Snively</v>
      </c>
      <c r="E1416" s="39" t="s">
        <v>2505</v>
      </c>
      <c r="F1416" s="5" t="s">
        <v>2503</v>
      </c>
      <c r="G1416" s="35" t="s">
        <v>386</v>
      </c>
      <c r="H1416" s="35" t="s">
        <v>93</v>
      </c>
      <c r="I1416" s="35" t="s">
        <v>2690</v>
      </c>
      <c r="J1416" s="47">
        <v>23</v>
      </c>
      <c r="K1416" s="35">
        <f>VALUE(COUNTIF(Validation!$A$2:$H$47,E1416))</f>
        <v>0</v>
      </c>
      <c r="L1416" s="361">
        <f t="shared" si="271"/>
        <v>925000</v>
      </c>
      <c r="M1416" s="361">
        <f t="shared" si="272"/>
        <v>925000</v>
      </c>
      <c r="N1416" s="358">
        <v>925000</v>
      </c>
      <c r="O1416" s="358">
        <v>925000</v>
      </c>
      <c r="P1416" s="358" t="s">
        <v>8</v>
      </c>
      <c r="Q1416" s="358">
        <v>0</v>
      </c>
      <c r="R1416" s="358">
        <v>0</v>
      </c>
      <c r="S1416" s="358">
        <v>0</v>
      </c>
      <c r="T1416" s="358">
        <v>0</v>
      </c>
      <c r="U1416" s="35">
        <f t="shared" si="268"/>
        <v>2</v>
      </c>
      <c r="W1416">
        <f t="shared" si="273"/>
        <v>1</v>
      </c>
      <c r="X1416" s="35">
        <f t="shared" si="266"/>
        <v>1</v>
      </c>
      <c r="Y1416">
        <f t="shared" si="267"/>
        <v>1</v>
      </c>
      <c r="AB1416">
        <f t="shared" si="276"/>
        <v>1</v>
      </c>
      <c r="AC1416">
        <f t="shared" ca="1" si="277"/>
        <v>0</v>
      </c>
      <c r="AD1416" t="str">
        <f ca="1">IF(AC1416=1,COUNTIF($AC$3:AC1416,1),"")</f>
        <v/>
      </c>
      <c r="AE1416" s="155" t="str">
        <f ca="1">IFERROR(INDEX(Données!$B$3:$B$1479,MATCH(ROWS($AD$3:AD1416),$AD$3:$AD$1479,0)),"")</f>
        <v/>
      </c>
    </row>
    <row r="1417" spans="1:31" ht="15.75" x14ac:dyDescent="0.25">
      <c r="A1417" t="str">
        <f t="shared" si="274"/>
        <v>Alexander Alexeyev - WAS - LD</v>
      </c>
      <c r="B1417" t="str">
        <f t="shared" si="275"/>
        <v>Alexander Alexeyev - WAS - LD</v>
      </c>
      <c r="C1417" t="str">
        <f t="shared" si="269"/>
        <v>Alexander</v>
      </c>
      <c r="D1417" t="str">
        <f t="shared" si="270"/>
        <v>Alexeyev</v>
      </c>
      <c r="E1417" s="39" t="s">
        <v>2510</v>
      </c>
      <c r="F1417" s="5" t="s">
        <v>2503</v>
      </c>
      <c r="G1417" s="35" t="s">
        <v>386</v>
      </c>
      <c r="H1417" s="35" t="s">
        <v>380</v>
      </c>
      <c r="I1417" s="35" t="s">
        <v>2690</v>
      </c>
      <c r="J1417" s="47">
        <v>19</v>
      </c>
      <c r="K1417" s="35">
        <f>VALUE(COUNTIF(Validation!$A$2:$H$47,E1417))</f>
        <v>0</v>
      </c>
      <c r="L1417" s="361">
        <f t="shared" si="271"/>
        <v>894167</v>
      </c>
      <c r="M1417" s="361">
        <f t="shared" si="272"/>
        <v>894167</v>
      </c>
      <c r="N1417" s="358">
        <v>894167</v>
      </c>
      <c r="O1417" s="358">
        <v>894167</v>
      </c>
      <c r="P1417" s="358">
        <v>894167</v>
      </c>
      <c r="Q1417" s="358" t="s">
        <v>8</v>
      </c>
      <c r="R1417" s="358">
        <v>0</v>
      </c>
      <c r="S1417" s="358">
        <v>0</v>
      </c>
      <c r="T1417" s="358">
        <v>0</v>
      </c>
      <c r="U1417" s="35">
        <f t="shared" si="268"/>
        <v>3</v>
      </c>
      <c r="W1417">
        <f t="shared" si="273"/>
        <v>1</v>
      </c>
      <c r="X1417" s="35">
        <f t="shared" si="266"/>
        <v>1</v>
      </c>
      <c r="Y1417">
        <f t="shared" si="267"/>
        <v>1</v>
      </c>
      <c r="AB1417">
        <f t="shared" si="276"/>
        <v>1</v>
      </c>
      <c r="AC1417">
        <f t="shared" ca="1" si="277"/>
        <v>0</v>
      </c>
      <c r="AD1417" t="str">
        <f ca="1">IF(AC1417=1,COUNTIF($AC$3:AC1417,1),"")</f>
        <v/>
      </c>
      <c r="AE1417" s="155" t="str">
        <f ca="1">IFERROR(INDEX(Données!$B$3:$B$1479,MATCH(ROWS($AD$3:AD1417),$AD$3:$AD$1479,0)),"")</f>
        <v/>
      </c>
    </row>
    <row r="1418" spans="1:31" ht="15.75" x14ac:dyDescent="0.25">
      <c r="A1418" t="str">
        <f t="shared" si="274"/>
        <v>Kody Clark - WAS - RW</v>
      </c>
      <c r="B1418" t="str">
        <f t="shared" si="275"/>
        <v>Kody Clark - WAS - RW</v>
      </c>
      <c r="C1418" t="str">
        <f t="shared" si="269"/>
        <v>Kody</v>
      </c>
      <c r="D1418" t="str">
        <f t="shared" si="270"/>
        <v>Clark</v>
      </c>
      <c r="E1418" s="39" t="s">
        <v>2506</v>
      </c>
      <c r="F1418" s="5" t="s">
        <v>2503</v>
      </c>
      <c r="G1418" s="35" t="s">
        <v>388</v>
      </c>
      <c r="H1418" s="35" t="s">
        <v>88</v>
      </c>
      <c r="I1418" s="35" t="s">
        <v>389</v>
      </c>
      <c r="J1418" s="47">
        <v>19</v>
      </c>
      <c r="K1418" s="35">
        <f>VALUE(COUNTIF(Validation!$A$2:$H$47,E1418))</f>
        <v>0</v>
      </c>
      <c r="L1418" s="361">
        <f t="shared" si="271"/>
        <v>894167</v>
      </c>
      <c r="M1418" s="361">
        <f t="shared" si="272"/>
        <v>894167</v>
      </c>
      <c r="N1418" s="358">
        <v>894167</v>
      </c>
      <c r="O1418" s="358">
        <v>894167</v>
      </c>
      <c r="P1418" s="358">
        <v>894167</v>
      </c>
      <c r="Q1418" s="358" t="s">
        <v>8</v>
      </c>
      <c r="R1418" s="358">
        <v>0</v>
      </c>
      <c r="S1418" s="358">
        <v>0</v>
      </c>
      <c r="T1418" s="358">
        <v>0</v>
      </c>
      <c r="U1418" s="35">
        <f t="shared" si="268"/>
        <v>3</v>
      </c>
      <c r="W1418">
        <f t="shared" si="273"/>
        <v>1</v>
      </c>
      <c r="X1418" s="35">
        <f t="shared" si="266"/>
        <v>1</v>
      </c>
      <c r="Y1418">
        <f t="shared" si="267"/>
        <v>1</v>
      </c>
      <c r="AB1418">
        <f t="shared" si="276"/>
        <v>1</v>
      </c>
      <c r="AC1418">
        <f t="shared" ca="1" si="277"/>
        <v>0</v>
      </c>
      <c r="AD1418" t="str">
        <f ca="1">IF(AC1418=1,COUNTIF($AC$3:AC1418,1),"")</f>
        <v/>
      </c>
      <c r="AE1418" s="155" t="str">
        <f ca="1">IFERROR(INDEX(Données!$B$3:$B$1479,MATCH(ROWS($AD$3:AD1418),$AD$3:$AD$1479,0)),"")</f>
        <v/>
      </c>
    </row>
    <row r="1419" spans="1:31" ht="15.75" x14ac:dyDescent="0.25">
      <c r="A1419" t="str">
        <f t="shared" si="274"/>
        <v>Martin Feherváry - WAS - LD</v>
      </c>
      <c r="B1419" t="str">
        <f t="shared" si="275"/>
        <v>Martin Feherváry - WAS - LD</v>
      </c>
      <c r="C1419" t="str">
        <f t="shared" si="269"/>
        <v>Martin</v>
      </c>
      <c r="D1419" t="str">
        <f t="shared" si="270"/>
        <v>Feherváry</v>
      </c>
      <c r="E1419" s="39" t="s">
        <v>2898</v>
      </c>
      <c r="F1419" s="5" t="s">
        <v>2503</v>
      </c>
      <c r="G1419" s="35" t="s">
        <v>386</v>
      </c>
      <c r="H1419" s="35" t="s">
        <v>380</v>
      </c>
      <c r="I1419" s="35" t="s">
        <v>2690</v>
      </c>
      <c r="J1419" s="47">
        <v>19</v>
      </c>
      <c r="K1419" s="35">
        <f>VALUE(COUNTIF(Validation!$A$2:$H$47,E1419))</f>
        <v>0</v>
      </c>
      <c r="L1419" s="361">
        <f t="shared" si="271"/>
        <v>894167</v>
      </c>
      <c r="M1419" s="361">
        <f t="shared" si="272"/>
        <v>894167</v>
      </c>
      <c r="N1419" s="358">
        <v>894167</v>
      </c>
      <c r="O1419" s="358">
        <v>894167</v>
      </c>
      <c r="P1419" s="358">
        <v>894167</v>
      </c>
      <c r="Q1419" s="358" t="s">
        <v>8</v>
      </c>
      <c r="R1419" s="358">
        <v>0</v>
      </c>
      <c r="S1419" s="358">
        <v>0</v>
      </c>
      <c r="T1419" s="358">
        <v>0</v>
      </c>
      <c r="U1419" s="35">
        <f t="shared" si="268"/>
        <v>3</v>
      </c>
      <c r="W1419">
        <f t="shared" si="273"/>
        <v>1</v>
      </c>
      <c r="X1419" s="35">
        <f t="shared" si="266"/>
        <v>1</v>
      </c>
      <c r="Y1419">
        <f t="shared" si="267"/>
        <v>1</v>
      </c>
      <c r="AB1419">
        <f t="shared" si="276"/>
        <v>1</v>
      </c>
      <c r="AC1419">
        <f t="shared" ca="1" si="277"/>
        <v>0</v>
      </c>
      <c r="AD1419" t="str">
        <f ca="1">IF(AC1419=1,COUNTIF($AC$3:AC1419,1),"")</f>
        <v/>
      </c>
      <c r="AE1419" s="155" t="str">
        <f ca="1">IFERROR(INDEX(Données!$B$3:$B$1479,MATCH(ROWS($AD$3:AD1419),$AD$3:$AD$1479,0)),"")</f>
        <v/>
      </c>
    </row>
    <row r="1420" spans="1:31" ht="15.75" x14ac:dyDescent="0.25">
      <c r="A1420" t="str">
        <f t="shared" si="274"/>
        <v>Riley Sutter - WAS - RW</v>
      </c>
      <c r="B1420" t="str">
        <f t="shared" si="275"/>
        <v>Riley Sutter - WAS - RW</v>
      </c>
      <c r="C1420" t="str">
        <f t="shared" si="269"/>
        <v>Riley</v>
      </c>
      <c r="D1420" t="str">
        <f t="shared" si="270"/>
        <v>Sutter</v>
      </c>
      <c r="E1420" s="39" t="s">
        <v>2507</v>
      </c>
      <c r="F1420" s="5" t="s">
        <v>2503</v>
      </c>
      <c r="G1420" s="35" t="s">
        <v>386</v>
      </c>
      <c r="H1420" s="35" t="s">
        <v>88</v>
      </c>
      <c r="I1420" s="35" t="s">
        <v>2690</v>
      </c>
      <c r="J1420" s="47">
        <v>19</v>
      </c>
      <c r="K1420" s="35">
        <f>VALUE(COUNTIF(Validation!$A$2:$H$47,E1420))</f>
        <v>0</v>
      </c>
      <c r="L1420" s="361">
        <f t="shared" si="271"/>
        <v>894167</v>
      </c>
      <c r="M1420" s="361">
        <f t="shared" si="272"/>
        <v>894167</v>
      </c>
      <c r="N1420" s="358">
        <v>894167</v>
      </c>
      <c r="O1420" s="358">
        <v>894167</v>
      </c>
      <c r="P1420" s="358">
        <v>894167</v>
      </c>
      <c r="Q1420" s="358" t="s">
        <v>8</v>
      </c>
      <c r="R1420" s="358">
        <v>0</v>
      </c>
      <c r="S1420" s="358">
        <v>0</v>
      </c>
      <c r="T1420" s="358">
        <v>0</v>
      </c>
      <c r="U1420" s="35">
        <f t="shared" si="268"/>
        <v>3</v>
      </c>
      <c r="W1420">
        <f t="shared" si="273"/>
        <v>1</v>
      </c>
      <c r="X1420" s="35">
        <f t="shared" si="266"/>
        <v>1</v>
      </c>
      <c r="Y1420">
        <f t="shared" si="267"/>
        <v>1</v>
      </c>
      <c r="AB1420">
        <f t="shared" si="276"/>
        <v>1</v>
      </c>
      <c r="AC1420">
        <f t="shared" ca="1" si="277"/>
        <v>0</v>
      </c>
      <c r="AD1420" t="str">
        <f ca="1">IF(AC1420=1,COUNTIF($AC$3:AC1420,1),"")</f>
        <v/>
      </c>
      <c r="AE1420" s="155" t="str">
        <f ca="1">IFERROR(INDEX(Données!$B$3:$B$1479,MATCH(ROWS($AD$3:AD1420),$AD$3:$AD$1479,0)),"")</f>
        <v/>
      </c>
    </row>
    <row r="1421" spans="1:31" ht="15.75" x14ac:dyDescent="0.25">
      <c r="A1421" t="str">
        <f t="shared" si="274"/>
        <v>Garrett Pilon - WAS - C</v>
      </c>
      <c r="B1421" t="str">
        <f t="shared" si="275"/>
        <v>Garrett Pilon - WAS - C</v>
      </c>
      <c r="C1421" t="str">
        <f t="shared" si="269"/>
        <v>Garrett</v>
      </c>
      <c r="D1421" t="str">
        <f t="shared" si="270"/>
        <v>Pilon</v>
      </c>
      <c r="E1421" s="39" t="s">
        <v>1876</v>
      </c>
      <c r="F1421" s="5" t="s">
        <v>2503</v>
      </c>
      <c r="G1421" s="35" t="s">
        <v>386</v>
      </c>
      <c r="H1421" s="9" t="s">
        <v>73</v>
      </c>
      <c r="I1421" s="9" t="s">
        <v>2690</v>
      </c>
      <c r="J1421" s="47">
        <v>21</v>
      </c>
      <c r="K1421" s="35">
        <f>VALUE(COUNTIF(Validation!$A$2:$H$47,E1421))</f>
        <v>0</v>
      </c>
      <c r="L1421" s="361">
        <f t="shared" si="271"/>
        <v>894166</v>
      </c>
      <c r="M1421" s="361">
        <f t="shared" si="272"/>
        <v>894166</v>
      </c>
      <c r="N1421" s="358">
        <v>894166</v>
      </c>
      <c r="O1421" s="358">
        <v>894166</v>
      </c>
      <c r="P1421" s="358" t="s">
        <v>8</v>
      </c>
      <c r="Q1421" s="358">
        <v>0</v>
      </c>
      <c r="R1421" s="358">
        <v>0</v>
      </c>
      <c r="S1421" s="358">
        <v>0</v>
      </c>
      <c r="T1421" s="358">
        <v>0</v>
      </c>
      <c r="U1421" s="35">
        <f t="shared" si="268"/>
        <v>2</v>
      </c>
      <c r="W1421">
        <f t="shared" si="273"/>
        <v>1</v>
      </c>
      <c r="X1421" s="35">
        <f t="shared" si="266"/>
        <v>1</v>
      </c>
      <c r="Y1421">
        <f t="shared" si="267"/>
        <v>1</v>
      </c>
      <c r="AB1421">
        <f t="shared" si="276"/>
        <v>1</v>
      </c>
      <c r="AC1421">
        <f t="shared" ca="1" si="277"/>
        <v>0</v>
      </c>
      <c r="AD1421" t="str">
        <f ca="1">IF(AC1421=1,COUNTIF($AC$3:AC1421,1),"")</f>
        <v/>
      </c>
      <c r="AE1421" s="155" t="str">
        <f ca="1">IFERROR(INDEX(Données!$B$3:$B$1479,MATCH(ROWS($AD$3:AD1421),$AD$3:$AD$1479,0)),"")</f>
        <v/>
      </c>
    </row>
    <row r="1422" spans="1:31" ht="15.75" x14ac:dyDescent="0.25">
      <c r="A1422" t="str">
        <f t="shared" si="274"/>
        <v>Jonas Siegenthaler - WAS - RD</v>
      </c>
      <c r="B1422" t="str">
        <f t="shared" si="275"/>
        <v>Jonas Siegenthaler - WAS - RD</v>
      </c>
      <c r="C1422" t="str">
        <f t="shared" si="269"/>
        <v>Jonas</v>
      </c>
      <c r="D1422" t="str">
        <f t="shared" si="270"/>
        <v>Siegenthaler</v>
      </c>
      <c r="E1422" s="39" t="s">
        <v>1880</v>
      </c>
      <c r="F1422" s="5" t="s">
        <v>2503</v>
      </c>
      <c r="G1422" s="35" t="s">
        <v>386</v>
      </c>
      <c r="H1422" s="35" t="s">
        <v>379</v>
      </c>
      <c r="I1422" s="35" t="s">
        <v>2677</v>
      </c>
      <c r="J1422" s="47">
        <v>22</v>
      </c>
      <c r="K1422" s="35">
        <f>VALUE(COUNTIF(Validation!$A$2:$H$47,E1422))</f>
        <v>0</v>
      </c>
      <c r="L1422" s="361">
        <f t="shared" si="271"/>
        <v>888333</v>
      </c>
      <c r="M1422" s="361">
        <f t="shared" si="272"/>
        <v>0</v>
      </c>
      <c r="N1422" s="358">
        <v>888333</v>
      </c>
      <c r="O1422" s="358" t="s">
        <v>8</v>
      </c>
      <c r="P1422" s="358">
        <v>0</v>
      </c>
      <c r="Q1422" s="358">
        <v>0</v>
      </c>
      <c r="R1422" s="358">
        <v>0</v>
      </c>
      <c r="S1422" s="358">
        <v>0</v>
      </c>
      <c r="T1422" s="358">
        <v>0</v>
      </c>
      <c r="U1422" s="35">
        <f t="shared" si="268"/>
        <v>1</v>
      </c>
      <c r="W1422">
        <f t="shared" si="273"/>
        <v>1</v>
      </c>
      <c r="X1422" s="35">
        <f t="shared" si="266"/>
        <v>1</v>
      </c>
      <c r="Y1422">
        <f t="shared" si="267"/>
        <v>0</v>
      </c>
      <c r="AB1422">
        <f t="shared" si="276"/>
        <v>1</v>
      </c>
      <c r="AC1422">
        <f t="shared" ca="1" si="277"/>
        <v>0</v>
      </c>
      <c r="AD1422" t="str">
        <f ca="1">IF(AC1422=1,COUNTIF($AC$3:AC1422,1),"")</f>
        <v/>
      </c>
      <c r="AE1422" s="155" t="str">
        <f ca="1">IFERROR(INDEX(Données!$B$3:$B$1479,MATCH(ROWS($AD$3:AD1422),$AD$3:$AD$1479,0)),"")</f>
        <v/>
      </c>
    </row>
    <row r="1423" spans="1:31" ht="15.75" x14ac:dyDescent="0.25">
      <c r="A1423" t="str">
        <f t="shared" si="274"/>
        <v>Axel Jonsson-Fjallby - WAS - LW</v>
      </c>
      <c r="B1423" t="str">
        <f t="shared" si="275"/>
        <v>Axel Jonsson-Fjallby - WAS - LW</v>
      </c>
      <c r="C1423" t="str">
        <f t="shared" si="269"/>
        <v>Axel</v>
      </c>
      <c r="D1423" t="str">
        <f t="shared" si="270"/>
        <v>Jonsson-Fjallby</v>
      </c>
      <c r="E1423" s="39" t="s">
        <v>2876</v>
      </c>
      <c r="F1423" s="5" t="s">
        <v>2503</v>
      </c>
      <c r="G1423" s="35" t="s">
        <v>386</v>
      </c>
      <c r="H1423" s="35" t="s">
        <v>93</v>
      </c>
      <c r="I1423" s="35" t="s">
        <v>2690</v>
      </c>
      <c r="J1423" s="47">
        <v>21</v>
      </c>
      <c r="K1423" s="35">
        <f>VALUE(COUNTIF(Validation!$A$2:$H$47,E1423))</f>
        <v>0</v>
      </c>
      <c r="L1423" s="361">
        <f t="shared" si="271"/>
        <v>860000</v>
      </c>
      <c r="M1423" s="361">
        <f t="shared" si="272"/>
        <v>860000</v>
      </c>
      <c r="N1423" s="358">
        <v>860000</v>
      </c>
      <c r="O1423" s="358">
        <v>860000</v>
      </c>
      <c r="P1423" s="358" t="s">
        <v>8</v>
      </c>
      <c r="Q1423" s="358">
        <v>0</v>
      </c>
      <c r="R1423" s="358">
        <v>0</v>
      </c>
      <c r="S1423" s="358">
        <v>0</v>
      </c>
      <c r="T1423" s="358">
        <v>0</v>
      </c>
      <c r="U1423" s="35">
        <f t="shared" si="268"/>
        <v>2</v>
      </c>
      <c r="W1423">
        <f t="shared" si="273"/>
        <v>1</v>
      </c>
      <c r="X1423" s="35">
        <f t="shared" si="266"/>
        <v>1</v>
      </c>
      <c r="Y1423">
        <f t="shared" si="267"/>
        <v>1</v>
      </c>
      <c r="AB1423">
        <f t="shared" si="276"/>
        <v>1</v>
      </c>
      <c r="AC1423">
        <f t="shared" ca="1" si="277"/>
        <v>0</v>
      </c>
      <c r="AD1423" t="str">
        <f ca="1">IF(AC1423=1,COUNTIF($AC$3:AC1423,1),"")</f>
        <v/>
      </c>
      <c r="AE1423" s="155" t="str">
        <f ca="1">IFERROR(INDEX(Données!$B$3:$B$1479,MATCH(ROWS($AD$3:AD1423),$AD$3:$AD$1479,0)),"")</f>
        <v/>
      </c>
    </row>
    <row r="1424" spans="1:31" ht="15.75" x14ac:dyDescent="0.25">
      <c r="A1424" t="str">
        <f t="shared" si="274"/>
        <v>Tobias Geisser - WAS - LD</v>
      </c>
      <c r="B1424" t="str">
        <f t="shared" si="275"/>
        <v>Tobias Geisser - WAS - LD</v>
      </c>
      <c r="C1424" t="str">
        <f t="shared" si="269"/>
        <v>Tobias</v>
      </c>
      <c r="D1424" t="str">
        <f t="shared" si="270"/>
        <v>Geisser</v>
      </c>
      <c r="E1424" s="39" t="s">
        <v>1873</v>
      </c>
      <c r="F1424" s="5" t="s">
        <v>2503</v>
      </c>
      <c r="G1424" s="35" t="s">
        <v>386</v>
      </c>
      <c r="H1424" s="35" t="s">
        <v>380</v>
      </c>
      <c r="I1424" s="35" t="s">
        <v>2690</v>
      </c>
      <c r="J1424" s="47">
        <v>20</v>
      </c>
      <c r="K1424" s="35">
        <f>VALUE(COUNTIF(Validation!$A$2:$H$47,E1424))</f>
        <v>0</v>
      </c>
      <c r="L1424" s="361">
        <f t="shared" si="271"/>
        <v>837778</v>
      </c>
      <c r="M1424" s="361">
        <f t="shared" si="272"/>
        <v>837778</v>
      </c>
      <c r="N1424" s="358">
        <v>837778</v>
      </c>
      <c r="O1424" s="358">
        <v>837778</v>
      </c>
      <c r="P1424" s="358">
        <v>837778</v>
      </c>
      <c r="Q1424" s="358" t="s">
        <v>8</v>
      </c>
      <c r="R1424" s="358">
        <v>0</v>
      </c>
      <c r="S1424" s="358">
        <v>0</v>
      </c>
      <c r="T1424" s="358">
        <v>0</v>
      </c>
      <c r="U1424" s="35">
        <f t="shared" si="268"/>
        <v>3</v>
      </c>
      <c r="W1424">
        <f t="shared" si="273"/>
        <v>1</v>
      </c>
      <c r="X1424" s="35">
        <f t="shared" si="266"/>
        <v>1</v>
      </c>
      <c r="Y1424">
        <f t="shared" si="267"/>
        <v>1</v>
      </c>
      <c r="AB1424">
        <f t="shared" si="276"/>
        <v>1</v>
      </c>
      <c r="AC1424">
        <f t="shared" ca="1" si="277"/>
        <v>0</v>
      </c>
      <c r="AD1424" t="str">
        <f ca="1">IF(AC1424=1,COUNTIF($AC$3:AC1424,1),"")</f>
        <v/>
      </c>
      <c r="AE1424" s="155" t="str">
        <f ca="1">IFERROR(INDEX(Données!$B$3:$B$1479,MATCH(ROWS($AD$3:AD1424),$AD$3:$AD$1479,0)),"")</f>
        <v/>
      </c>
    </row>
    <row r="1425" spans="1:31" ht="15.75" x14ac:dyDescent="0.25">
      <c r="A1425" t="str">
        <f t="shared" si="274"/>
        <v>Travis Boyd - WAS - C, RW</v>
      </c>
      <c r="B1425" t="str">
        <f t="shared" si="275"/>
        <v>Travis Boyd - WAS - C, RW</v>
      </c>
      <c r="C1425" t="str">
        <f t="shared" si="269"/>
        <v>Travis</v>
      </c>
      <c r="D1425" t="str">
        <f t="shared" si="270"/>
        <v>Boyd</v>
      </c>
      <c r="E1425" s="39" t="s">
        <v>1857</v>
      </c>
      <c r="F1425" s="5" t="s">
        <v>2503</v>
      </c>
      <c r="G1425" s="35">
        <v>0</v>
      </c>
      <c r="H1425" s="35" t="s">
        <v>2684</v>
      </c>
      <c r="I1425" s="35" t="s">
        <v>2677</v>
      </c>
      <c r="J1425" s="47">
        <v>25</v>
      </c>
      <c r="K1425" s="35">
        <f>VALUE(COUNTIF(Validation!$A$2:$H$47,E1425))</f>
        <v>0</v>
      </c>
      <c r="L1425" s="361">
        <f t="shared" si="271"/>
        <v>800000</v>
      </c>
      <c r="M1425" s="361">
        <f t="shared" si="272"/>
        <v>0</v>
      </c>
      <c r="N1425" s="358">
        <v>800000</v>
      </c>
      <c r="O1425" s="358" t="s">
        <v>8</v>
      </c>
      <c r="P1425" s="358">
        <v>0</v>
      </c>
      <c r="Q1425" s="358">
        <v>0</v>
      </c>
      <c r="R1425" s="358">
        <v>0</v>
      </c>
      <c r="S1425" s="358">
        <v>0</v>
      </c>
      <c r="T1425" s="358">
        <v>0</v>
      </c>
      <c r="U1425" s="35">
        <f t="shared" si="268"/>
        <v>1</v>
      </c>
      <c r="W1425">
        <f t="shared" si="273"/>
        <v>1</v>
      </c>
      <c r="X1425" s="35">
        <f t="shared" si="266"/>
        <v>0</v>
      </c>
      <c r="Y1425">
        <f t="shared" si="267"/>
        <v>0</v>
      </c>
      <c r="AB1425">
        <f t="shared" si="276"/>
        <v>1</v>
      </c>
      <c r="AC1425">
        <f t="shared" ca="1" si="277"/>
        <v>0</v>
      </c>
      <c r="AD1425" t="str">
        <f ca="1">IF(AC1425=1,COUNTIF($AC$3:AC1425,1),"")</f>
        <v/>
      </c>
      <c r="AE1425" s="155" t="str">
        <f ca="1">IFERROR(INDEX(Données!$B$3:$B$1479,MATCH(ROWS($AD$3:AD1425),$AD$3:$AD$1479,0)),"")</f>
        <v/>
      </c>
    </row>
    <row r="1426" spans="1:31" ht="15.75" x14ac:dyDescent="0.25">
      <c r="A1426" t="str">
        <f t="shared" si="274"/>
        <v>Connor Hobbs - WAS - D</v>
      </c>
      <c r="B1426" t="str">
        <f t="shared" si="275"/>
        <v>Connor Hobbs - WAS - D</v>
      </c>
      <c r="C1426" t="str">
        <f t="shared" si="269"/>
        <v>Connor</v>
      </c>
      <c r="D1426" t="str">
        <f t="shared" si="270"/>
        <v>Hobbs</v>
      </c>
      <c r="E1426" s="39" t="s">
        <v>1878</v>
      </c>
      <c r="F1426" s="5" t="s">
        <v>2503</v>
      </c>
      <c r="G1426" s="35" t="s">
        <v>386</v>
      </c>
      <c r="H1426" s="35" t="s">
        <v>82</v>
      </c>
      <c r="I1426" s="35" t="s">
        <v>2690</v>
      </c>
      <c r="J1426" s="47">
        <v>22</v>
      </c>
      <c r="K1426" s="35">
        <f>VALUE(COUNTIF(Validation!$A$2:$H$47,E1426))</f>
        <v>0</v>
      </c>
      <c r="L1426" s="361">
        <f t="shared" si="271"/>
        <v>798333</v>
      </c>
      <c r="M1426" s="361">
        <f t="shared" si="272"/>
        <v>0</v>
      </c>
      <c r="N1426" s="358">
        <v>798333</v>
      </c>
      <c r="O1426" s="358" t="s">
        <v>8</v>
      </c>
      <c r="P1426" s="358">
        <v>0</v>
      </c>
      <c r="Q1426" s="358">
        <v>0</v>
      </c>
      <c r="R1426" s="358">
        <v>0</v>
      </c>
      <c r="S1426" s="358">
        <v>0</v>
      </c>
      <c r="T1426" s="358">
        <v>0</v>
      </c>
      <c r="U1426" s="35">
        <f t="shared" si="268"/>
        <v>1</v>
      </c>
      <c r="W1426">
        <f t="shared" si="273"/>
        <v>1</v>
      </c>
      <c r="X1426" s="35">
        <f t="shared" si="266"/>
        <v>1</v>
      </c>
      <c r="Y1426">
        <f t="shared" si="267"/>
        <v>0</v>
      </c>
      <c r="AB1426">
        <f t="shared" si="276"/>
        <v>1</v>
      </c>
      <c r="AC1426">
        <f t="shared" ca="1" si="277"/>
        <v>0</v>
      </c>
      <c r="AD1426" t="str">
        <f ca="1">IF(AC1426=1,COUNTIF($AC$3:AC1426,1),"")</f>
        <v/>
      </c>
      <c r="AE1426" s="155" t="str">
        <f ca="1">IFERROR(INDEX(Données!$B$3:$B$1479,MATCH(ROWS($AD$3:AD1426),$AD$3:$AD$1479,0)),"")</f>
        <v/>
      </c>
    </row>
    <row r="1427" spans="1:31" ht="15.75" x14ac:dyDescent="0.25">
      <c r="A1427" t="str">
        <f t="shared" si="274"/>
        <v>Beck Malenstyn - WAS - C</v>
      </c>
      <c r="B1427" t="str">
        <f t="shared" si="275"/>
        <v>Beck Malenstyn - WAS - C</v>
      </c>
      <c r="C1427" t="str">
        <f t="shared" si="269"/>
        <v>Beck</v>
      </c>
      <c r="D1427" t="str">
        <f t="shared" si="270"/>
        <v>Malenstyn</v>
      </c>
      <c r="E1427" s="39" t="s">
        <v>1877</v>
      </c>
      <c r="F1427" s="5" t="s">
        <v>2503</v>
      </c>
      <c r="G1427" s="35" t="s">
        <v>386</v>
      </c>
      <c r="H1427" s="35" t="s">
        <v>73</v>
      </c>
      <c r="I1427" s="35" t="s">
        <v>2690</v>
      </c>
      <c r="J1427" s="47">
        <v>21</v>
      </c>
      <c r="K1427" s="35">
        <f>VALUE(COUNTIF(Validation!$A$2:$H$47,E1427))</f>
        <v>0</v>
      </c>
      <c r="L1427" s="361">
        <f t="shared" si="271"/>
        <v>773333</v>
      </c>
      <c r="M1427" s="361">
        <f t="shared" si="272"/>
        <v>773333</v>
      </c>
      <c r="N1427" s="358">
        <v>773333</v>
      </c>
      <c r="O1427" s="358">
        <v>773333</v>
      </c>
      <c r="P1427" s="358" t="s">
        <v>8</v>
      </c>
      <c r="Q1427" s="358">
        <v>0</v>
      </c>
      <c r="R1427" s="358">
        <v>0</v>
      </c>
      <c r="S1427" s="358">
        <v>0</v>
      </c>
      <c r="T1427" s="358">
        <v>0</v>
      </c>
      <c r="U1427" s="35">
        <f t="shared" si="268"/>
        <v>2</v>
      </c>
      <c r="W1427">
        <f t="shared" si="273"/>
        <v>1</v>
      </c>
      <c r="X1427" s="35">
        <f t="shared" si="266"/>
        <v>1</v>
      </c>
      <c r="Y1427">
        <f t="shared" si="267"/>
        <v>1</v>
      </c>
      <c r="AB1427">
        <f t="shared" si="276"/>
        <v>1</v>
      </c>
      <c r="AC1427">
        <f t="shared" ca="1" si="277"/>
        <v>0</v>
      </c>
      <c r="AD1427" t="str">
        <f ca="1">IF(AC1427=1,COUNTIF($AC$3:AC1427,1),"")</f>
        <v/>
      </c>
      <c r="AE1427" s="155" t="str">
        <f ca="1">IFERROR(INDEX(Données!$B$3:$B$1479,MATCH(ROWS($AD$3:AD1427),$AD$3:$AD$1479,0)),"")</f>
        <v/>
      </c>
    </row>
    <row r="1428" spans="1:31" ht="15.75" x14ac:dyDescent="0.25">
      <c r="A1428" t="str">
        <f t="shared" si="274"/>
        <v>Nic Dowd - WAS - C</v>
      </c>
      <c r="B1428" t="str">
        <f t="shared" si="275"/>
        <v>Nic Dowd - WAS - C</v>
      </c>
      <c r="C1428" t="str">
        <f t="shared" si="269"/>
        <v>Nic</v>
      </c>
      <c r="D1428" t="str">
        <f t="shared" si="270"/>
        <v>Dowd</v>
      </c>
      <c r="E1428" s="39" t="s">
        <v>1858</v>
      </c>
      <c r="F1428" s="5" t="s">
        <v>2503</v>
      </c>
      <c r="G1428" s="35">
        <v>0</v>
      </c>
      <c r="H1428" s="35" t="s">
        <v>73</v>
      </c>
      <c r="I1428" s="35" t="s">
        <v>2677</v>
      </c>
      <c r="J1428" s="47">
        <v>29</v>
      </c>
      <c r="K1428" s="35">
        <f>VALUE(COUNTIF(Validation!$A$2:$H$47,E1428))</f>
        <v>0</v>
      </c>
      <c r="L1428" s="361">
        <f t="shared" si="271"/>
        <v>750000</v>
      </c>
      <c r="M1428" s="361">
        <f t="shared" si="272"/>
        <v>750000</v>
      </c>
      <c r="N1428" s="358">
        <v>750000</v>
      </c>
      <c r="O1428" s="358">
        <v>750000</v>
      </c>
      <c r="P1428" s="358">
        <v>750000</v>
      </c>
      <c r="Q1428" s="358" t="s">
        <v>7</v>
      </c>
      <c r="R1428" s="358">
        <v>0</v>
      </c>
      <c r="S1428" s="358">
        <v>0</v>
      </c>
      <c r="T1428" s="358">
        <v>0</v>
      </c>
      <c r="U1428" s="35">
        <f t="shared" si="268"/>
        <v>3</v>
      </c>
      <c r="W1428">
        <f t="shared" si="273"/>
        <v>1</v>
      </c>
      <c r="X1428" s="35">
        <f t="shared" si="266"/>
        <v>0</v>
      </c>
      <c r="Y1428">
        <f t="shared" si="267"/>
        <v>1</v>
      </c>
      <c r="AB1428">
        <f t="shared" si="276"/>
        <v>1</v>
      </c>
      <c r="AC1428">
        <f t="shared" ca="1" si="277"/>
        <v>0</v>
      </c>
      <c r="AD1428" t="str">
        <f ca="1">IF(AC1428=1,COUNTIF($AC$3:AC1428,1),"")</f>
        <v/>
      </c>
      <c r="AE1428" s="155" t="str">
        <f ca="1">IFERROR(INDEX(Données!$B$3:$B$1479,MATCH(ROWS($AD$3:AD1428),$AD$3:$AD$1479,0)),"")</f>
        <v/>
      </c>
    </row>
    <row r="1429" spans="1:31" ht="15.75" x14ac:dyDescent="0.25">
      <c r="A1429" t="str">
        <f t="shared" si="274"/>
        <v>Vitek Vanecek - WAS - G</v>
      </c>
      <c r="B1429" t="str">
        <f t="shared" si="275"/>
        <v>Vitek Vanecek - WAS - G</v>
      </c>
      <c r="C1429" t="str">
        <f t="shared" si="269"/>
        <v>Vitek</v>
      </c>
      <c r="D1429" t="str">
        <f t="shared" si="270"/>
        <v>Vanecek</v>
      </c>
      <c r="E1429" s="39" t="s">
        <v>1879</v>
      </c>
      <c r="F1429" s="5" t="s">
        <v>2503</v>
      </c>
      <c r="G1429" s="35">
        <v>0</v>
      </c>
      <c r="H1429" s="35" t="s">
        <v>127</v>
      </c>
      <c r="I1429" s="35" t="s">
        <v>2690</v>
      </c>
      <c r="J1429" s="47">
        <v>23</v>
      </c>
      <c r="K1429" s="35">
        <f>VALUE(COUNTIF(Validation!$A$2:$H$47,E1429))</f>
        <v>0</v>
      </c>
      <c r="L1429" s="361">
        <f t="shared" si="271"/>
        <v>716667</v>
      </c>
      <c r="M1429" s="361">
        <f t="shared" si="272"/>
        <v>716667</v>
      </c>
      <c r="N1429" s="358">
        <v>716667</v>
      </c>
      <c r="O1429" s="358">
        <v>716667</v>
      </c>
      <c r="P1429" s="358">
        <v>716667</v>
      </c>
      <c r="Q1429" s="358" t="s">
        <v>8</v>
      </c>
      <c r="R1429" s="362">
        <v>0</v>
      </c>
      <c r="S1429" s="358">
        <v>0</v>
      </c>
      <c r="T1429" s="358">
        <v>0</v>
      </c>
      <c r="U1429" s="35">
        <f t="shared" si="268"/>
        <v>3</v>
      </c>
      <c r="W1429">
        <f t="shared" si="273"/>
        <v>1</v>
      </c>
      <c r="X1429" s="35">
        <f t="shared" ref="X1429:X1460" si="278">IF(LEFT(G1429,3)="ELC",1,0)</f>
        <v>0</v>
      </c>
      <c r="Y1429">
        <f t="shared" ref="Y1429:Y1460" si="279">IF(L1429=M1429,1,0)</f>
        <v>1</v>
      </c>
      <c r="AB1429">
        <f t="shared" si="276"/>
        <v>1</v>
      </c>
      <c r="AC1429">
        <f t="shared" ca="1" si="277"/>
        <v>0</v>
      </c>
      <c r="AD1429" t="str">
        <f ca="1">IF(AC1429=1,COUNTIF($AC$3:AC1429,1),"")</f>
        <v/>
      </c>
      <c r="AE1429" s="155" t="str">
        <f ca="1">IFERROR(INDEX(Données!$B$3:$B$1479,MATCH(ROWS($AD$3:AD1429),$AD$3:$AD$1479,0)),"")</f>
        <v/>
      </c>
    </row>
    <row r="1430" spans="1:31" ht="15.75" x14ac:dyDescent="0.25">
      <c r="A1430" t="str">
        <f t="shared" si="274"/>
        <v>Shane Gersich - WAS - C, LW</v>
      </c>
      <c r="B1430" t="str">
        <f t="shared" si="275"/>
        <v>Shane Gersich - WAS - C, LW</v>
      </c>
      <c r="C1430" t="str">
        <f t="shared" si="269"/>
        <v>Shane</v>
      </c>
      <c r="D1430" t="str">
        <f t="shared" si="270"/>
        <v>Gersich</v>
      </c>
      <c r="E1430" s="39" t="s">
        <v>1870</v>
      </c>
      <c r="F1430" s="5" t="s">
        <v>2503</v>
      </c>
      <c r="G1430" s="35">
        <v>0</v>
      </c>
      <c r="H1430" s="35" t="s">
        <v>2679</v>
      </c>
      <c r="I1430" s="35" t="s">
        <v>2690</v>
      </c>
      <c r="J1430" s="47">
        <v>23</v>
      </c>
      <c r="K1430" s="35">
        <f>VALUE(COUNTIF(Validation!$A$2:$H$47,E1430))</f>
        <v>0</v>
      </c>
      <c r="L1430" s="361">
        <f t="shared" si="271"/>
        <v>700000</v>
      </c>
      <c r="M1430" s="361">
        <f t="shared" si="272"/>
        <v>0</v>
      </c>
      <c r="N1430" s="358">
        <v>700000</v>
      </c>
      <c r="O1430" s="358" t="s">
        <v>8</v>
      </c>
      <c r="P1430" s="358">
        <v>0</v>
      </c>
      <c r="Q1430" s="358">
        <v>0</v>
      </c>
      <c r="R1430" s="358">
        <v>0</v>
      </c>
      <c r="S1430" s="358">
        <v>0</v>
      </c>
      <c r="T1430" s="358">
        <v>0</v>
      </c>
      <c r="U1430" s="35">
        <f t="shared" si="268"/>
        <v>1</v>
      </c>
      <c r="W1430">
        <f t="shared" si="273"/>
        <v>1</v>
      </c>
      <c r="X1430" s="35">
        <f t="shared" si="278"/>
        <v>0</v>
      </c>
      <c r="Y1430">
        <f t="shared" si="279"/>
        <v>0</v>
      </c>
      <c r="AB1430">
        <f t="shared" si="276"/>
        <v>1</v>
      </c>
      <c r="AC1430">
        <f t="shared" ca="1" si="277"/>
        <v>0</v>
      </c>
      <c r="AD1430" t="str">
        <f ca="1">IF(AC1430=1,COUNTIF($AC$3:AC1430,1),"")</f>
        <v/>
      </c>
      <c r="AE1430" s="155" t="str">
        <f ca="1">IFERROR(INDEX(Données!$B$3:$B$1479,MATCH(ROWS($AD$3:AD1430),$AD$3:$AD$1479,0)),"")</f>
        <v/>
      </c>
    </row>
    <row r="1431" spans="1:31" ht="15.75" x14ac:dyDescent="0.25">
      <c r="A1431" t="str">
        <f t="shared" si="274"/>
        <v>Brendan Leipsic - WAS - LW</v>
      </c>
      <c r="B1431" t="str">
        <f t="shared" si="275"/>
        <v>Brendan Leipsic - WAS - LW</v>
      </c>
      <c r="C1431" t="str">
        <f t="shared" si="269"/>
        <v>Brendan</v>
      </c>
      <c r="D1431" t="str">
        <f t="shared" si="270"/>
        <v>Leipsic</v>
      </c>
      <c r="E1431" s="39" t="s">
        <v>2340</v>
      </c>
      <c r="F1431" s="5" t="s">
        <v>2503</v>
      </c>
      <c r="G1431" s="35">
        <v>0</v>
      </c>
      <c r="H1431" s="35" t="s">
        <v>93</v>
      </c>
      <c r="I1431" s="35" t="s">
        <v>2677</v>
      </c>
      <c r="J1431" s="47">
        <v>25</v>
      </c>
      <c r="K1431" s="35">
        <f>VALUE(COUNTIF(Validation!$A$2:$H$47,E1431))</f>
        <v>0</v>
      </c>
      <c r="L1431" s="361">
        <f t="shared" si="271"/>
        <v>700000</v>
      </c>
      <c r="M1431" s="361">
        <f t="shared" si="272"/>
        <v>0</v>
      </c>
      <c r="N1431" s="358">
        <v>700000</v>
      </c>
      <c r="O1431" s="358" t="s">
        <v>8</v>
      </c>
      <c r="P1431" s="358">
        <v>0</v>
      </c>
      <c r="Q1431" s="358">
        <v>0</v>
      </c>
      <c r="R1431" s="358">
        <v>0</v>
      </c>
      <c r="S1431" s="358">
        <v>0</v>
      </c>
      <c r="T1431" s="358">
        <v>0</v>
      </c>
      <c r="U1431" s="35">
        <f t="shared" si="268"/>
        <v>1</v>
      </c>
      <c r="W1431">
        <f t="shared" si="273"/>
        <v>1</v>
      </c>
      <c r="X1431" s="35">
        <f t="shared" si="278"/>
        <v>0</v>
      </c>
      <c r="Y1431">
        <f t="shared" si="279"/>
        <v>0</v>
      </c>
      <c r="AB1431">
        <f t="shared" si="276"/>
        <v>1</v>
      </c>
      <c r="AC1431">
        <f t="shared" ca="1" si="277"/>
        <v>0</v>
      </c>
      <c r="AD1431" t="str">
        <f ca="1">IF(AC1431=1,COUNTIF($AC$3:AC1431,1),"")</f>
        <v/>
      </c>
      <c r="AE1431" s="155" t="str">
        <f ca="1">IFERROR(INDEX(Données!$B$3:$B$1479,MATCH(ROWS($AD$3:AD1431),$AD$3:$AD$1479,0)),"")</f>
        <v/>
      </c>
    </row>
    <row r="1432" spans="1:31" ht="15.75" x14ac:dyDescent="0.25">
      <c r="A1432" t="str">
        <f t="shared" si="274"/>
        <v>Philippe Maillet - WAS - C</v>
      </c>
      <c r="B1432" t="str">
        <f t="shared" si="275"/>
        <v>Philippe Maillet - WAS - C</v>
      </c>
      <c r="C1432" t="str">
        <f t="shared" si="269"/>
        <v>Philippe</v>
      </c>
      <c r="D1432" t="str">
        <f t="shared" si="270"/>
        <v>Maillet</v>
      </c>
      <c r="E1432" s="39" t="s">
        <v>2508</v>
      </c>
      <c r="F1432" s="5" t="s">
        <v>2503</v>
      </c>
      <c r="G1432" s="35">
        <v>0</v>
      </c>
      <c r="H1432" s="35" t="s">
        <v>73</v>
      </c>
      <c r="I1432" s="35" t="s">
        <v>2690</v>
      </c>
      <c r="J1432" s="35">
        <v>26</v>
      </c>
      <c r="K1432" s="35">
        <f>VALUE(COUNTIF(Validation!$A$2:$H$47,E1432))</f>
        <v>0</v>
      </c>
      <c r="L1432" s="361">
        <f t="shared" si="271"/>
        <v>700000</v>
      </c>
      <c r="M1432" s="361">
        <f t="shared" si="272"/>
        <v>700000</v>
      </c>
      <c r="N1432" s="358">
        <v>700000</v>
      </c>
      <c r="O1432" s="358">
        <v>700000</v>
      </c>
      <c r="P1432" s="358" t="s">
        <v>7</v>
      </c>
      <c r="Q1432" s="358">
        <v>0</v>
      </c>
      <c r="R1432" s="358">
        <v>0</v>
      </c>
      <c r="S1432" s="358">
        <v>0</v>
      </c>
      <c r="T1432" s="358">
        <v>0</v>
      </c>
      <c r="U1432" s="35">
        <f t="shared" si="268"/>
        <v>2</v>
      </c>
      <c r="W1432">
        <f t="shared" si="273"/>
        <v>1</v>
      </c>
      <c r="X1432" s="35">
        <f t="shared" si="278"/>
        <v>0</v>
      </c>
      <c r="Y1432">
        <f t="shared" si="279"/>
        <v>1</v>
      </c>
      <c r="AB1432">
        <f t="shared" si="276"/>
        <v>1</v>
      </c>
      <c r="AC1432">
        <f t="shared" ca="1" si="277"/>
        <v>0</v>
      </c>
      <c r="AD1432" t="str">
        <f ca="1">IF(AC1432=1,COUNTIF($AC$3:AC1432,1),"")</f>
        <v/>
      </c>
      <c r="AE1432" s="155" t="str">
        <f ca="1">IFERROR(INDEX(Données!$B$3:$B$1479,MATCH(ROWS($AD$3:AD1432),$AD$3:$AD$1479,0)),"")</f>
        <v/>
      </c>
    </row>
    <row r="1433" spans="1:31" ht="15.75" x14ac:dyDescent="0.25">
      <c r="A1433" t="str">
        <f t="shared" si="274"/>
        <v>Liam O'Brien - WAS - C</v>
      </c>
      <c r="B1433" t="str">
        <f t="shared" si="275"/>
        <v>Liam O'Brien - WAS - C</v>
      </c>
      <c r="C1433" t="str">
        <f t="shared" si="269"/>
        <v>Liam</v>
      </c>
      <c r="D1433" t="str">
        <f t="shared" si="270"/>
        <v>O'Brien</v>
      </c>
      <c r="E1433" s="39" t="s">
        <v>1885</v>
      </c>
      <c r="F1433" s="5" t="s">
        <v>2503</v>
      </c>
      <c r="G1433" s="35">
        <v>0</v>
      </c>
      <c r="H1433" s="35" t="s">
        <v>73</v>
      </c>
      <c r="I1433" s="35" t="s">
        <v>2690</v>
      </c>
      <c r="J1433" s="35">
        <v>25</v>
      </c>
      <c r="K1433" s="35">
        <f>VALUE(COUNTIF(Validation!$A$2:$H$47,E1433))</f>
        <v>0</v>
      </c>
      <c r="L1433" s="361">
        <f t="shared" si="271"/>
        <v>700000</v>
      </c>
      <c r="M1433" s="361">
        <f t="shared" si="272"/>
        <v>0</v>
      </c>
      <c r="N1433" s="358">
        <v>700000</v>
      </c>
      <c r="O1433" s="358" t="s">
        <v>8</v>
      </c>
      <c r="P1433" s="358">
        <v>0</v>
      </c>
      <c r="Q1433" s="358">
        <v>0</v>
      </c>
      <c r="R1433" s="358">
        <v>0</v>
      </c>
      <c r="S1433" s="358">
        <v>0</v>
      </c>
      <c r="T1433" s="358">
        <v>0</v>
      </c>
      <c r="U1433" s="35">
        <f t="shared" si="268"/>
        <v>1</v>
      </c>
      <c r="W1433">
        <f t="shared" si="273"/>
        <v>1</v>
      </c>
      <c r="X1433" s="35">
        <f t="shared" si="278"/>
        <v>0</v>
      </c>
      <c r="Y1433">
        <f t="shared" si="279"/>
        <v>0</v>
      </c>
      <c r="AB1433">
        <f t="shared" si="276"/>
        <v>1</v>
      </c>
      <c r="AC1433">
        <f t="shared" ca="1" si="277"/>
        <v>0</v>
      </c>
      <c r="AD1433" t="str">
        <f ca="1">IF(AC1433=1,COUNTIF($AC$3:AC1433,1),"")</f>
        <v/>
      </c>
      <c r="AE1433" s="155" t="str">
        <f ca="1">IFERROR(INDEX(Données!$B$3:$B$1479,MATCH(ROWS($AD$3:AD1433),$AD$3:$AD$1479,0)),"")</f>
        <v/>
      </c>
    </row>
    <row r="1434" spans="1:31" ht="15.75" x14ac:dyDescent="0.25">
      <c r="A1434" t="str">
        <f t="shared" si="274"/>
        <v>Brian Pinho - WAS - C, RW</v>
      </c>
      <c r="B1434" t="str">
        <f t="shared" si="275"/>
        <v>Brian Pinho - WAS - C, RW</v>
      </c>
      <c r="C1434" t="str">
        <f t="shared" si="269"/>
        <v>Brian</v>
      </c>
      <c r="D1434" t="str">
        <f t="shared" si="270"/>
        <v>Pinho</v>
      </c>
      <c r="E1434" s="39" t="s">
        <v>1872</v>
      </c>
      <c r="F1434" s="5" t="s">
        <v>2503</v>
      </c>
      <c r="G1434" s="35">
        <v>0</v>
      </c>
      <c r="H1434" s="9" t="s">
        <v>2684</v>
      </c>
      <c r="I1434" s="9" t="s">
        <v>2690</v>
      </c>
      <c r="J1434" s="9">
        <v>24</v>
      </c>
      <c r="K1434" s="35">
        <f>VALUE(COUNTIF(Validation!$A$2:$H$47,E1434))</f>
        <v>0</v>
      </c>
      <c r="L1434" s="361">
        <f t="shared" si="271"/>
        <v>700000</v>
      </c>
      <c r="M1434" s="361">
        <f t="shared" si="272"/>
        <v>0</v>
      </c>
      <c r="N1434" s="358">
        <v>700000</v>
      </c>
      <c r="O1434" s="358" t="s">
        <v>8</v>
      </c>
      <c r="P1434" s="358">
        <v>0</v>
      </c>
      <c r="Q1434" s="358">
        <v>0</v>
      </c>
      <c r="R1434" s="358">
        <v>0</v>
      </c>
      <c r="S1434" s="358">
        <v>0</v>
      </c>
      <c r="T1434" s="358">
        <v>0</v>
      </c>
      <c r="U1434" s="35">
        <f t="shared" si="268"/>
        <v>1</v>
      </c>
      <c r="W1434">
        <f t="shared" si="273"/>
        <v>1</v>
      </c>
      <c r="X1434" s="35">
        <f t="shared" si="278"/>
        <v>0</v>
      </c>
      <c r="Y1434">
        <f t="shared" si="279"/>
        <v>0</v>
      </c>
      <c r="AB1434">
        <f t="shared" si="276"/>
        <v>1</v>
      </c>
      <c r="AC1434">
        <f t="shared" ca="1" si="277"/>
        <v>0</v>
      </c>
      <c r="AD1434" t="str">
        <f ca="1">IF(AC1434=1,COUNTIF($AC$3:AC1434,1),"")</f>
        <v/>
      </c>
      <c r="AE1434" s="155" t="str">
        <f ca="1">IFERROR(INDEX(Données!$B$3:$B$1479,MATCH(ROWS($AD$3:AD1434),$AD$3:$AD$1479,0)),"")</f>
        <v/>
      </c>
    </row>
    <row r="1435" spans="1:31" ht="15.75" x14ac:dyDescent="0.25">
      <c r="A1435" t="str">
        <f t="shared" si="274"/>
        <v>Michael Sgarbossa - WAS - C</v>
      </c>
      <c r="B1435" t="str">
        <f t="shared" si="275"/>
        <v>Michael Sgarbossa - WAS - C</v>
      </c>
      <c r="C1435" t="str">
        <f t="shared" si="269"/>
        <v>Michael</v>
      </c>
      <c r="D1435" t="str">
        <f t="shared" si="270"/>
        <v>Sgarbossa</v>
      </c>
      <c r="E1435" s="39" t="s">
        <v>1884</v>
      </c>
      <c r="F1435" s="5" t="s">
        <v>2503</v>
      </c>
      <c r="G1435" s="35">
        <v>0</v>
      </c>
      <c r="H1435" s="9" t="s">
        <v>73</v>
      </c>
      <c r="I1435" s="9" t="s">
        <v>2690</v>
      </c>
      <c r="J1435" s="9">
        <v>27</v>
      </c>
      <c r="K1435" s="35">
        <f>VALUE(COUNTIF(Validation!$A$2:$H$47,E1435))</f>
        <v>0</v>
      </c>
      <c r="L1435" s="361">
        <f t="shared" si="271"/>
        <v>700000</v>
      </c>
      <c r="M1435" s="361">
        <f t="shared" si="272"/>
        <v>700000</v>
      </c>
      <c r="N1435" s="358">
        <v>700000</v>
      </c>
      <c r="O1435" s="358">
        <v>700000</v>
      </c>
      <c r="P1435" s="358" t="s">
        <v>7</v>
      </c>
      <c r="Q1435" s="358">
        <v>0</v>
      </c>
      <c r="R1435" s="358">
        <v>0</v>
      </c>
      <c r="S1435" s="358">
        <v>0</v>
      </c>
      <c r="T1435" s="358">
        <v>0</v>
      </c>
      <c r="U1435" s="35">
        <f t="shared" si="268"/>
        <v>2</v>
      </c>
      <c r="W1435">
        <f t="shared" si="273"/>
        <v>1</v>
      </c>
      <c r="X1435" s="35">
        <f t="shared" si="278"/>
        <v>0</v>
      </c>
      <c r="Y1435">
        <f t="shared" si="279"/>
        <v>1</v>
      </c>
      <c r="AB1435">
        <f t="shared" si="276"/>
        <v>1</v>
      </c>
      <c r="AC1435">
        <f t="shared" ca="1" si="277"/>
        <v>0</v>
      </c>
      <c r="AD1435" t="str">
        <f ca="1">IF(AC1435=1,COUNTIF($AC$3:AC1435,1),"")</f>
        <v/>
      </c>
      <c r="AE1435" s="155" t="str">
        <f ca="1">IFERROR(INDEX(Données!$B$3:$B$1479,MATCH(ROWS($AD$3:AD1435),$AD$3:$AD$1479,0)),"")</f>
        <v/>
      </c>
    </row>
    <row r="1436" spans="1:31" ht="15.75" x14ac:dyDescent="0.25">
      <c r="A1436" t="str">
        <f t="shared" si="274"/>
        <v>Colby Williams - WAS - RD</v>
      </c>
      <c r="B1436" t="str">
        <f t="shared" si="275"/>
        <v>Colby Williams - WAS - RD</v>
      </c>
      <c r="C1436" t="str">
        <f t="shared" si="269"/>
        <v>Colby</v>
      </c>
      <c r="D1436" t="str">
        <f t="shared" si="270"/>
        <v>Williams</v>
      </c>
      <c r="E1436" s="39" t="s">
        <v>1875</v>
      </c>
      <c r="F1436" s="5" t="s">
        <v>2503</v>
      </c>
      <c r="G1436" s="35">
        <v>0</v>
      </c>
      <c r="H1436" s="5" t="s">
        <v>379</v>
      </c>
      <c r="I1436" s="9" t="s">
        <v>2690</v>
      </c>
      <c r="J1436" s="35">
        <v>24</v>
      </c>
      <c r="K1436" s="35">
        <f>VALUE(COUNTIF(Validation!$A$2:$H$47,E1436))</f>
        <v>0</v>
      </c>
      <c r="L1436" s="361">
        <f t="shared" si="271"/>
        <v>700000</v>
      </c>
      <c r="M1436" s="361">
        <f t="shared" si="272"/>
        <v>0</v>
      </c>
      <c r="N1436" s="358">
        <v>700000</v>
      </c>
      <c r="O1436" s="358" t="s">
        <v>8</v>
      </c>
      <c r="P1436" s="358">
        <v>0</v>
      </c>
      <c r="Q1436" s="358">
        <v>0</v>
      </c>
      <c r="R1436" s="358">
        <v>0</v>
      </c>
      <c r="S1436" s="358">
        <v>0</v>
      </c>
      <c r="T1436" s="358">
        <v>0</v>
      </c>
      <c r="U1436" s="35">
        <f t="shared" si="268"/>
        <v>1</v>
      </c>
      <c r="W1436">
        <f t="shared" si="273"/>
        <v>1</v>
      </c>
      <c r="X1436" s="35">
        <f t="shared" si="278"/>
        <v>0</v>
      </c>
      <c r="Y1436">
        <f t="shared" si="279"/>
        <v>0</v>
      </c>
      <c r="AB1436">
        <f t="shared" si="276"/>
        <v>1</v>
      </c>
      <c r="AC1436">
        <f t="shared" ca="1" si="277"/>
        <v>0</v>
      </c>
      <c r="AD1436" t="str">
        <f ca="1">IF(AC1436=1,COUNTIF($AC$3:AC1436,1),"")</f>
        <v/>
      </c>
      <c r="AE1436" s="155" t="str">
        <f ca="1">IFERROR(INDEX(Données!$B$3:$B$1479,MATCH(ROWS($AD$3:AD1436),$AD$3:$AD$1479,0)),"")</f>
        <v/>
      </c>
    </row>
    <row r="1437" spans="1:31" ht="15.75" x14ac:dyDescent="0.25">
      <c r="A1437" t="str">
        <f t="shared" si="274"/>
        <v>Tyler Lewington - WAS - RD</v>
      </c>
      <c r="B1437" t="str">
        <f t="shared" si="275"/>
        <v>Tyler Lewington - WAS - RD</v>
      </c>
      <c r="C1437" t="str">
        <f t="shared" si="269"/>
        <v>Tyler</v>
      </c>
      <c r="D1437" t="str">
        <f t="shared" si="270"/>
        <v>Lewington</v>
      </c>
      <c r="E1437" s="39" t="s">
        <v>1881</v>
      </c>
      <c r="F1437" s="5" t="s">
        <v>2503</v>
      </c>
      <c r="G1437" s="35">
        <v>0</v>
      </c>
      <c r="H1437" s="5" t="s">
        <v>379</v>
      </c>
      <c r="I1437" s="35" t="s">
        <v>2690</v>
      </c>
      <c r="J1437" s="35">
        <v>24</v>
      </c>
      <c r="K1437" s="35">
        <f>VALUE(COUNTIF(Validation!$A$2:$H$47,E1437))</f>
        <v>0</v>
      </c>
      <c r="L1437" s="361">
        <f t="shared" si="271"/>
        <v>675000</v>
      </c>
      <c r="M1437" s="361">
        <f t="shared" si="272"/>
        <v>0</v>
      </c>
      <c r="N1437" s="358">
        <v>675000</v>
      </c>
      <c r="O1437" s="358" t="s">
        <v>8</v>
      </c>
      <c r="P1437" s="358">
        <v>0</v>
      </c>
      <c r="Q1437" s="358">
        <v>0</v>
      </c>
      <c r="R1437" s="358">
        <v>0</v>
      </c>
      <c r="S1437" s="358">
        <v>0</v>
      </c>
      <c r="T1437" s="358">
        <v>0</v>
      </c>
      <c r="U1437" s="35">
        <f t="shared" si="268"/>
        <v>1</v>
      </c>
      <c r="W1437">
        <f t="shared" si="273"/>
        <v>1</v>
      </c>
      <c r="X1437" s="35">
        <f t="shared" si="278"/>
        <v>0</v>
      </c>
      <c r="Y1437">
        <f t="shared" si="279"/>
        <v>0</v>
      </c>
      <c r="AB1437">
        <f t="shared" si="276"/>
        <v>1</v>
      </c>
      <c r="AC1437">
        <f t="shared" ca="1" si="277"/>
        <v>0</v>
      </c>
      <c r="AD1437" t="str">
        <f ca="1">IF(AC1437=1,COUNTIF($AC$3:AC1437,1),"")</f>
        <v/>
      </c>
      <c r="AE1437" s="155" t="str">
        <f ca="1">IFERROR(INDEX(Données!$B$3:$B$1479,MATCH(ROWS($AD$3:AD1437),$AD$3:$AD$1479,0)),"")</f>
        <v/>
      </c>
    </row>
    <row r="1438" spans="1:31" ht="15.75" x14ac:dyDescent="0.25">
      <c r="A1438" t="str">
        <f t="shared" si="274"/>
        <v>Blake Wheeler - WPG - AD</v>
      </c>
      <c r="B1438" t="str">
        <f t="shared" si="275"/>
        <v>Blake Wheeler - WPG - AD</v>
      </c>
      <c r="C1438" t="str">
        <f t="shared" si="269"/>
        <v>Blake</v>
      </c>
      <c r="D1438" t="str">
        <f t="shared" si="270"/>
        <v>Wheeler</v>
      </c>
      <c r="E1438" s="39" t="s">
        <v>2915</v>
      </c>
      <c r="F1438" s="5" t="s">
        <v>35</v>
      </c>
      <c r="G1438" s="35" t="s">
        <v>420</v>
      </c>
      <c r="H1438" s="5" t="s">
        <v>2438</v>
      </c>
      <c r="I1438" s="9" t="s">
        <v>2439</v>
      </c>
      <c r="J1438" s="35">
        <v>32</v>
      </c>
      <c r="K1438" s="35">
        <f>VALUE(COUNTIF(Validation!$A$2:$H$47,E1438))</f>
        <v>0</v>
      </c>
      <c r="L1438" s="361">
        <f t="shared" si="271"/>
        <v>8250000</v>
      </c>
      <c r="M1438" s="361">
        <f t="shared" si="272"/>
        <v>8250000</v>
      </c>
      <c r="N1438" s="358">
        <v>8250000</v>
      </c>
      <c r="O1438" s="358">
        <v>8250000</v>
      </c>
      <c r="P1438" s="358">
        <v>8250000</v>
      </c>
      <c r="Q1438" s="358">
        <v>8250000</v>
      </c>
      <c r="R1438" s="358">
        <v>8250000</v>
      </c>
      <c r="S1438" s="358" t="s">
        <v>7</v>
      </c>
      <c r="T1438" s="358">
        <v>0</v>
      </c>
      <c r="U1438" s="35">
        <f t="shared" si="268"/>
        <v>5</v>
      </c>
      <c r="W1438">
        <f t="shared" si="273"/>
        <v>1</v>
      </c>
      <c r="X1438" s="35">
        <f t="shared" si="278"/>
        <v>0</v>
      </c>
      <c r="Y1438">
        <f t="shared" si="279"/>
        <v>1</v>
      </c>
      <c r="AB1438">
        <f t="shared" si="276"/>
        <v>1</v>
      </c>
      <c r="AC1438">
        <f t="shared" ca="1" si="277"/>
        <v>0</v>
      </c>
      <c r="AD1438" t="str">
        <f ca="1">IF(AC1438=1,COUNTIF($AC$3:AC1438,1),"")</f>
        <v/>
      </c>
      <c r="AE1438" s="155" t="str">
        <f ca="1">IFERROR(INDEX(Données!$B$3:$B$1479,MATCH(ROWS($AD$3:AD1438),$AD$3:$AD$1479,0)),"")</f>
        <v/>
      </c>
    </row>
    <row r="1439" spans="1:31" ht="15.75" x14ac:dyDescent="0.25">
      <c r="A1439" t="str">
        <f t="shared" si="274"/>
        <v>Dustin Byfuglien - WPG - DD</v>
      </c>
      <c r="B1439" t="str">
        <f t="shared" si="275"/>
        <v>Dustin Byfuglien - WPG - DD</v>
      </c>
      <c r="C1439" t="str">
        <f t="shared" si="269"/>
        <v>Dustin</v>
      </c>
      <c r="D1439" t="str">
        <f t="shared" si="270"/>
        <v>Byfuglien</v>
      </c>
      <c r="E1439" s="39" t="s">
        <v>2946</v>
      </c>
      <c r="F1439" s="5" t="s">
        <v>35</v>
      </c>
      <c r="G1439" s="35" t="s">
        <v>381</v>
      </c>
      <c r="H1439" s="35" t="s">
        <v>2444</v>
      </c>
      <c r="I1439" s="35" t="s">
        <v>2439</v>
      </c>
      <c r="J1439" s="35">
        <v>34</v>
      </c>
      <c r="K1439" s="35">
        <f>VALUE(COUNTIF(Validation!$A$2:$H$47,E1439))</f>
        <v>0</v>
      </c>
      <c r="L1439" s="361">
        <f t="shared" si="271"/>
        <v>7600000</v>
      </c>
      <c r="M1439" s="361">
        <f t="shared" si="272"/>
        <v>7600000</v>
      </c>
      <c r="N1439" s="358">
        <v>7600000</v>
      </c>
      <c r="O1439" s="358">
        <v>7600000</v>
      </c>
      <c r="P1439" s="358" t="s">
        <v>7</v>
      </c>
      <c r="Q1439" s="358">
        <v>0</v>
      </c>
      <c r="R1439" s="358">
        <v>0</v>
      </c>
      <c r="S1439" s="358">
        <v>0</v>
      </c>
      <c r="T1439" s="358">
        <v>0</v>
      </c>
      <c r="U1439" s="35">
        <f t="shared" si="268"/>
        <v>2</v>
      </c>
      <c r="W1439">
        <f t="shared" si="273"/>
        <v>1</v>
      </c>
      <c r="X1439" s="35">
        <f t="shared" si="278"/>
        <v>0</v>
      </c>
      <c r="Y1439">
        <f t="shared" si="279"/>
        <v>1</v>
      </c>
      <c r="AB1439">
        <f t="shared" si="276"/>
        <v>1</v>
      </c>
      <c r="AC1439">
        <f t="shared" ca="1" si="277"/>
        <v>0</v>
      </c>
      <c r="AD1439" t="str">
        <f ca="1">IF(AC1439=1,COUNTIF($AC$3:AC1439,1),"")</f>
        <v/>
      </c>
      <c r="AE1439" s="155" t="str">
        <f ca="1">IFERROR(INDEX(Données!$B$3:$B$1479,MATCH(ROWS($AD$3:AD1439),$AD$3:$AD$1479,0)),"")</f>
        <v/>
      </c>
    </row>
    <row r="1440" spans="1:31" ht="15.75" x14ac:dyDescent="0.25">
      <c r="A1440" t="str">
        <f t="shared" si="274"/>
        <v>Connor Hellebuyck - WPG - G</v>
      </c>
      <c r="B1440" t="str">
        <f t="shared" si="275"/>
        <v>Connor Hellebuyck - WPG - G</v>
      </c>
      <c r="C1440" t="str">
        <f t="shared" si="269"/>
        <v>Connor</v>
      </c>
      <c r="D1440" t="str">
        <f t="shared" si="270"/>
        <v>Hellebuyck</v>
      </c>
      <c r="E1440" s="39" t="s">
        <v>2095</v>
      </c>
      <c r="F1440" s="5" t="s">
        <v>35</v>
      </c>
      <c r="G1440" s="35">
        <v>0</v>
      </c>
      <c r="H1440" s="35" t="s">
        <v>127</v>
      </c>
      <c r="I1440" s="35" t="s">
        <v>2439</v>
      </c>
      <c r="J1440" s="35">
        <v>26</v>
      </c>
      <c r="K1440" s="35">
        <f>VALUE(COUNTIF(Validation!$A$2:$H$47,E1440))</f>
        <v>0</v>
      </c>
      <c r="L1440" s="361">
        <f t="shared" si="271"/>
        <v>6166666</v>
      </c>
      <c r="M1440" s="361">
        <f t="shared" si="272"/>
        <v>6166666</v>
      </c>
      <c r="N1440" s="358">
        <v>6166666</v>
      </c>
      <c r="O1440" s="358">
        <v>6166666</v>
      </c>
      <c r="P1440" s="358">
        <v>6166666</v>
      </c>
      <c r="Q1440" s="358">
        <v>6166666</v>
      </c>
      <c r="R1440" s="358">
        <v>6166666</v>
      </c>
      <c r="S1440" s="358" t="s">
        <v>7</v>
      </c>
      <c r="T1440" s="358">
        <v>0</v>
      </c>
      <c r="U1440" s="35">
        <f t="shared" si="268"/>
        <v>5</v>
      </c>
      <c r="W1440">
        <f t="shared" si="273"/>
        <v>1</v>
      </c>
      <c r="X1440" s="35">
        <f t="shared" si="278"/>
        <v>0</v>
      </c>
      <c r="Y1440">
        <f t="shared" si="279"/>
        <v>1</v>
      </c>
      <c r="AB1440">
        <f t="shared" si="276"/>
        <v>1</v>
      </c>
      <c r="AC1440">
        <f t="shared" ca="1" si="277"/>
        <v>0</v>
      </c>
      <c r="AD1440" t="str">
        <f ca="1">IF(AC1440=1,COUNTIF($AC$3:AC1440,1),"")</f>
        <v/>
      </c>
      <c r="AE1440" s="155" t="str">
        <f ca="1">IFERROR(INDEX(Données!$B$3:$B$1479,MATCH(ROWS($AD$3:AD1440),$AD$3:$AD$1479,0)),"")</f>
        <v/>
      </c>
    </row>
    <row r="1441" spans="1:31" ht="15.75" x14ac:dyDescent="0.25">
      <c r="A1441" t="str">
        <f t="shared" si="274"/>
        <v>Mark Scheifele - WPG - C</v>
      </c>
      <c r="B1441" t="str">
        <f t="shared" si="275"/>
        <v>Mark Scheifele - WPG - C</v>
      </c>
      <c r="C1441" t="str">
        <f t="shared" si="269"/>
        <v>Mark</v>
      </c>
      <c r="D1441" t="str">
        <f t="shared" si="270"/>
        <v>Scheifele</v>
      </c>
      <c r="E1441" s="39" t="s">
        <v>2997</v>
      </c>
      <c r="F1441" s="5" t="s">
        <v>35</v>
      </c>
      <c r="G1441" s="35">
        <v>0</v>
      </c>
      <c r="H1441" s="5" t="s">
        <v>73</v>
      </c>
      <c r="I1441" s="35" t="s">
        <v>2439</v>
      </c>
      <c r="J1441" s="35">
        <v>26</v>
      </c>
      <c r="K1441" s="35">
        <f>VALUE(COUNTIF(Validation!$A$2:$H$47,E1441))</f>
        <v>0</v>
      </c>
      <c r="L1441" s="361">
        <f t="shared" si="271"/>
        <v>6125000</v>
      </c>
      <c r="M1441" s="361">
        <f t="shared" si="272"/>
        <v>6125000</v>
      </c>
      <c r="N1441" s="358">
        <v>6125000</v>
      </c>
      <c r="O1441" s="358">
        <v>6125000</v>
      </c>
      <c r="P1441" s="358">
        <v>6125000</v>
      </c>
      <c r="Q1441" s="358">
        <v>6125000</v>
      </c>
      <c r="R1441" s="358">
        <v>6125000</v>
      </c>
      <c r="S1441" s="358" t="s">
        <v>7</v>
      </c>
      <c r="T1441" s="358">
        <v>0</v>
      </c>
      <c r="U1441" s="35">
        <f t="shared" si="268"/>
        <v>5</v>
      </c>
      <c r="W1441">
        <f t="shared" si="273"/>
        <v>1</v>
      </c>
      <c r="X1441" s="35">
        <f t="shared" si="278"/>
        <v>0</v>
      </c>
      <c r="Y1441">
        <f t="shared" si="279"/>
        <v>1</v>
      </c>
      <c r="AB1441">
        <f t="shared" si="276"/>
        <v>1</v>
      </c>
      <c r="AC1441">
        <f t="shared" ca="1" si="277"/>
        <v>0</v>
      </c>
      <c r="AD1441" t="str">
        <f ca="1">IF(AC1441=1,COUNTIF($AC$3:AC1441,1),"")</f>
        <v/>
      </c>
      <c r="AE1441" s="155" t="str">
        <f ca="1">IFERROR(INDEX(Données!$B$3:$B$1479,MATCH(ROWS($AD$3:AD1441),$AD$3:$AD$1479,0)),"")</f>
        <v/>
      </c>
    </row>
    <row r="1442" spans="1:31" ht="15.75" x14ac:dyDescent="0.25">
      <c r="A1442" t="str">
        <f t="shared" si="274"/>
        <v>Nikolaj Ehlers - WPG - AD, AG</v>
      </c>
      <c r="B1442" t="str">
        <f t="shared" si="275"/>
        <v>Nikolaj Ehlers - WPG - AD, AG</v>
      </c>
      <c r="C1442" t="str">
        <f t="shared" si="269"/>
        <v>Nikolaj</v>
      </c>
      <c r="D1442" t="str">
        <f t="shared" si="270"/>
        <v>Ehlers</v>
      </c>
      <c r="E1442" s="39" t="s">
        <v>2081</v>
      </c>
      <c r="F1442" s="5" t="s">
        <v>35</v>
      </c>
      <c r="G1442" s="35">
        <v>0</v>
      </c>
      <c r="H1442" s="5" t="s">
        <v>2441</v>
      </c>
      <c r="I1442" s="35" t="s">
        <v>2439</v>
      </c>
      <c r="J1442" s="35">
        <v>23</v>
      </c>
      <c r="K1442" s="35">
        <f>VALUE(COUNTIF(Validation!$A$2:$H$47,E1442))</f>
        <v>0</v>
      </c>
      <c r="L1442" s="361">
        <f t="shared" si="271"/>
        <v>6000000</v>
      </c>
      <c r="M1442" s="361">
        <f t="shared" si="272"/>
        <v>6000000</v>
      </c>
      <c r="N1442" s="358">
        <v>6000000</v>
      </c>
      <c r="O1442" s="358">
        <v>6000000</v>
      </c>
      <c r="P1442" s="358">
        <v>6000000</v>
      </c>
      <c r="Q1442" s="358">
        <v>6000000</v>
      </c>
      <c r="R1442" s="358">
        <v>6000000</v>
      </c>
      <c r="S1442" s="358">
        <v>6000000</v>
      </c>
      <c r="T1442" s="358" t="s">
        <v>7</v>
      </c>
      <c r="U1442" s="35">
        <f t="shared" si="268"/>
        <v>6</v>
      </c>
      <c r="W1442">
        <f t="shared" si="273"/>
        <v>1</v>
      </c>
      <c r="X1442" s="35">
        <f t="shared" si="278"/>
        <v>0</v>
      </c>
      <c r="Y1442">
        <f t="shared" si="279"/>
        <v>1</v>
      </c>
      <c r="AB1442">
        <f t="shared" si="276"/>
        <v>1</v>
      </c>
      <c r="AC1442">
        <f t="shared" ca="1" si="277"/>
        <v>0</v>
      </c>
      <c r="AD1442" t="str">
        <f ca="1">IF(AC1442=1,COUNTIF($AC$3:AC1442,1),"")</f>
        <v/>
      </c>
      <c r="AE1442" s="155" t="str">
        <f ca="1">IFERROR(INDEX(Données!$B$3:$B$1479,MATCH(ROWS($AD$3:AD1442),$AD$3:$AD$1479,0)),"")</f>
        <v/>
      </c>
    </row>
    <row r="1443" spans="1:31" ht="15.75" x14ac:dyDescent="0.25">
      <c r="A1443" t="str">
        <f t="shared" si="274"/>
        <v>Bryan Little - WPG - C, AD</v>
      </c>
      <c r="B1443" t="str">
        <f t="shared" si="275"/>
        <v>Bryan Little - WPG - C, AD</v>
      </c>
      <c r="C1443" t="str">
        <f t="shared" si="269"/>
        <v>Bryan</v>
      </c>
      <c r="D1443" t="str">
        <f t="shared" si="270"/>
        <v>Little</v>
      </c>
      <c r="E1443" s="39" t="s">
        <v>2082</v>
      </c>
      <c r="F1443" s="5" t="s">
        <v>35</v>
      </c>
      <c r="G1443" s="35" t="s">
        <v>420</v>
      </c>
      <c r="H1443" s="5" t="s">
        <v>2448</v>
      </c>
      <c r="I1443" s="35" t="s">
        <v>2439</v>
      </c>
      <c r="J1443" s="35">
        <v>31</v>
      </c>
      <c r="K1443" s="35">
        <f>VALUE(COUNTIF(Validation!$A$2:$H$47,E1443))</f>
        <v>0</v>
      </c>
      <c r="L1443" s="361">
        <f t="shared" si="271"/>
        <v>5291666</v>
      </c>
      <c r="M1443" s="361">
        <f t="shared" si="272"/>
        <v>5291666</v>
      </c>
      <c r="N1443" s="358">
        <v>5291666</v>
      </c>
      <c r="O1443" s="358">
        <v>5291666</v>
      </c>
      <c r="P1443" s="358">
        <v>5291666</v>
      </c>
      <c r="Q1443" s="358">
        <v>5291666</v>
      </c>
      <c r="R1443" s="358">
        <v>5291666</v>
      </c>
      <c r="S1443" s="358" t="s">
        <v>7</v>
      </c>
      <c r="T1443" s="358">
        <v>0</v>
      </c>
      <c r="U1443" s="35">
        <f t="shared" si="268"/>
        <v>5</v>
      </c>
      <c r="W1443">
        <f t="shared" si="273"/>
        <v>1</v>
      </c>
      <c r="X1443" s="35">
        <f t="shared" si="278"/>
        <v>0</v>
      </c>
      <c r="Y1443">
        <f t="shared" si="279"/>
        <v>1</v>
      </c>
      <c r="AB1443">
        <f t="shared" si="276"/>
        <v>1</v>
      </c>
      <c r="AC1443">
        <f t="shared" ca="1" si="277"/>
        <v>0</v>
      </c>
      <c r="AD1443" t="str">
        <f ca="1">IF(AC1443=1,COUNTIF($AC$3:AC1443,1),"")</f>
        <v/>
      </c>
      <c r="AE1443" s="155" t="str">
        <f ca="1">IFERROR(INDEX(Données!$B$3:$B$1479,MATCH(ROWS($AD$3:AD1443),$AD$3:$AD$1479,0)),"")</f>
        <v/>
      </c>
    </row>
    <row r="1444" spans="1:31" ht="15.75" x14ac:dyDescent="0.25">
      <c r="A1444" t="str">
        <f t="shared" si="274"/>
        <v>Dmitry Kulikov - WPG - DG</v>
      </c>
      <c r="B1444" t="str">
        <f t="shared" si="275"/>
        <v>Dmitry Kulikov - WPG - DG</v>
      </c>
      <c r="C1444" t="str">
        <f t="shared" si="269"/>
        <v>Dmitry</v>
      </c>
      <c r="D1444" t="str">
        <f t="shared" si="270"/>
        <v>Kulikov</v>
      </c>
      <c r="E1444" s="39" t="s">
        <v>2092</v>
      </c>
      <c r="F1444" s="5" t="s">
        <v>35</v>
      </c>
      <c r="G1444" s="35" t="s">
        <v>381</v>
      </c>
      <c r="H1444" s="5" t="s">
        <v>2445</v>
      </c>
      <c r="I1444" s="35" t="s">
        <v>2439</v>
      </c>
      <c r="J1444" s="35">
        <v>28</v>
      </c>
      <c r="K1444" s="35">
        <f>VALUE(COUNTIF(Validation!$A$2:$H$47,E1444))</f>
        <v>0</v>
      </c>
      <c r="L1444" s="361">
        <f t="shared" si="271"/>
        <v>4333333</v>
      </c>
      <c r="M1444" s="361">
        <f t="shared" si="272"/>
        <v>0</v>
      </c>
      <c r="N1444" s="358">
        <v>4333333</v>
      </c>
      <c r="O1444" s="358" t="s">
        <v>7</v>
      </c>
      <c r="P1444" s="358">
        <v>0</v>
      </c>
      <c r="Q1444" s="358">
        <v>0</v>
      </c>
      <c r="R1444" s="358">
        <v>0</v>
      </c>
      <c r="S1444" s="358">
        <v>0</v>
      </c>
      <c r="T1444" s="358">
        <v>0</v>
      </c>
      <c r="U1444" s="35">
        <f t="shared" si="268"/>
        <v>1</v>
      </c>
      <c r="W1444">
        <f t="shared" si="273"/>
        <v>1</v>
      </c>
      <c r="X1444" s="35">
        <f t="shared" si="278"/>
        <v>0</v>
      </c>
      <c r="Y1444">
        <f t="shared" si="279"/>
        <v>0</v>
      </c>
      <c r="AB1444">
        <f t="shared" si="276"/>
        <v>1</v>
      </c>
      <c r="AC1444">
        <f t="shared" ca="1" si="277"/>
        <v>0</v>
      </c>
      <c r="AD1444" t="str">
        <f ca="1">IF(AC1444=1,COUNTIF($AC$3:AC1444,1),"")</f>
        <v/>
      </c>
      <c r="AE1444" s="155" t="str">
        <f ca="1">IFERROR(INDEX(Données!$B$3:$B$1479,MATCH(ROWS($AD$3:AD1444),$AD$3:$AD$1479,0)),"")</f>
        <v/>
      </c>
    </row>
    <row r="1445" spans="1:31" ht="15.75" x14ac:dyDescent="0.25">
      <c r="A1445" t="str">
        <f t="shared" si="274"/>
        <v>Mathieu Perreault - WPG - AG, C</v>
      </c>
      <c r="B1445" t="str">
        <f t="shared" si="275"/>
        <v>Mathieu Perreault - WPG - AG, C</v>
      </c>
      <c r="C1445" t="str">
        <f t="shared" si="269"/>
        <v>Mathieu</v>
      </c>
      <c r="D1445" t="str">
        <f t="shared" si="270"/>
        <v>Perreault</v>
      </c>
      <c r="E1445" s="39" t="s">
        <v>2083</v>
      </c>
      <c r="F1445" s="5" t="s">
        <v>35</v>
      </c>
      <c r="G1445" s="35" t="s">
        <v>381</v>
      </c>
      <c r="H1445" s="5" t="s">
        <v>2450</v>
      </c>
      <c r="I1445" s="35" t="s">
        <v>2439</v>
      </c>
      <c r="J1445" s="35">
        <v>31</v>
      </c>
      <c r="K1445" s="35">
        <f>VALUE(COUNTIF(Validation!$A$2:$H$47,E1445))</f>
        <v>0</v>
      </c>
      <c r="L1445" s="361">
        <f t="shared" si="271"/>
        <v>4125000</v>
      </c>
      <c r="M1445" s="361">
        <f t="shared" si="272"/>
        <v>4125000</v>
      </c>
      <c r="N1445" s="358">
        <v>4125000</v>
      </c>
      <c r="O1445" s="358">
        <v>4125000</v>
      </c>
      <c r="P1445" s="358" t="s">
        <v>7</v>
      </c>
      <c r="Q1445" s="358">
        <v>0</v>
      </c>
      <c r="R1445" s="358">
        <v>0</v>
      </c>
      <c r="S1445" s="358">
        <v>0</v>
      </c>
      <c r="T1445" s="358">
        <v>0</v>
      </c>
      <c r="U1445" s="35">
        <f t="shared" si="268"/>
        <v>2</v>
      </c>
      <c r="W1445">
        <f t="shared" si="273"/>
        <v>1</v>
      </c>
      <c r="X1445" s="35">
        <f t="shared" si="278"/>
        <v>0</v>
      </c>
      <c r="Y1445">
        <f t="shared" si="279"/>
        <v>1</v>
      </c>
      <c r="AB1445">
        <f t="shared" si="276"/>
        <v>1</v>
      </c>
      <c r="AC1445">
        <f t="shared" ca="1" si="277"/>
        <v>0</v>
      </c>
      <c r="AD1445" t="str">
        <f ca="1">IF(AC1445=1,COUNTIF($AC$3:AC1445,1),"")</f>
        <v/>
      </c>
      <c r="AE1445" s="155" t="str">
        <f ca="1">IFERROR(INDEX(Données!$B$3:$B$1479,MATCH(ROWS($AD$3:AD1445),$AD$3:$AD$1479,0)),"")</f>
        <v/>
      </c>
    </row>
    <row r="1446" spans="1:31" ht="15.75" x14ac:dyDescent="0.25">
      <c r="A1446" t="str">
        <f t="shared" si="274"/>
        <v>Joshua Morrissey - WPG - DG</v>
      </c>
      <c r="B1446" t="str">
        <f t="shared" si="275"/>
        <v>Joshua Morrissey - WPG - DG</v>
      </c>
      <c r="C1446" t="str">
        <f t="shared" si="269"/>
        <v>Joshua</v>
      </c>
      <c r="D1446" t="str">
        <f t="shared" si="270"/>
        <v>Morrissey</v>
      </c>
      <c r="E1446" s="39" t="s">
        <v>2093</v>
      </c>
      <c r="F1446" s="5" t="s">
        <v>35</v>
      </c>
      <c r="G1446" s="35">
        <v>0</v>
      </c>
      <c r="H1446" s="35" t="s">
        <v>2445</v>
      </c>
      <c r="I1446" s="35" t="s">
        <v>2439</v>
      </c>
      <c r="J1446" s="35">
        <v>24</v>
      </c>
      <c r="K1446" s="35">
        <f>VALUE(COUNTIF(Validation!$A$2:$H$47,E1446))</f>
        <v>0</v>
      </c>
      <c r="L1446" s="361">
        <f t="shared" si="271"/>
        <v>3150000</v>
      </c>
      <c r="M1446" s="361">
        <f t="shared" si="272"/>
        <v>0</v>
      </c>
      <c r="N1446" s="358">
        <v>3150000</v>
      </c>
      <c r="O1446" s="358" t="s">
        <v>8</v>
      </c>
      <c r="P1446" s="358">
        <v>0</v>
      </c>
      <c r="Q1446" s="358">
        <v>0</v>
      </c>
      <c r="R1446" s="358">
        <v>0</v>
      </c>
      <c r="S1446" s="358">
        <v>0</v>
      </c>
      <c r="T1446" s="358">
        <v>0</v>
      </c>
      <c r="U1446" s="35">
        <f t="shared" si="268"/>
        <v>1</v>
      </c>
      <c r="W1446">
        <f t="shared" si="273"/>
        <v>1</v>
      </c>
      <c r="X1446" s="35">
        <f t="shared" si="278"/>
        <v>0</v>
      </c>
      <c r="Y1446">
        <f t="shared" si="279"/>
        <v>0</v>
      </c>
      <c r="AB1446">
        <f t="shared" si="276"/>
        <v>1</v>
      </c>
      <c r="AC1446">
        <f t="shared" ca="1" si="277"/>
        <v>0</v>
      </c>
      <c r="AD1446" t="str">
        <f ca="1">IF(AC1446=1,COUNTIF($AC$3:AC1446,1),"")</f>
        <v/>
      </c>
      <c r="AE1446" s="155" t="str">
        <f ca="1">IFERROR(INDEX(Données!$B$3:$B$1479,MATCH(ROWS($AD$3:AD1446),$AD$3:$AD$1479,0)),"")</f>
        <v/>
      </c>
    </row>
    <row r="1447" spans="1:31" ht="15.75" x14ac:dyDescent="0.25">
      <c r="A1447" t="str">
        <f t="shared" si="274"/>
        <v>Neal Pionk - WPG - DD</v>
      </c>
      <c r="B1447" t="str">
        <f t="shared" si="275"/>
        <v>Neal Pionk - WPG - DD</v>
      </c>
      <c r="C1447" t="str">
        <f t="shared" si="269"/>
        <v>Neal</v>
      </c>
      <c r="D1447" t="str">
        <f t="shared" si="270"/>
        <v>Pionk</v>
      </c>
      <c r="E1447" s="39" t="s">
        <v>1768</v>
      </c>
      <c r="F1447" s="5" t="s">
        <v>35</v>
      </c>
      <c r="G1447" s="35">
        <v>0</v>
      </c>
      <c r="H1447" s="9" t="s">
        <v>2444</v>
      </c>
      <c r="I1447" s="9" t="s">
        <v>2439</v>
      </c>
      <c r="J1447" s="9">
        <v>24</v>
      </c>
      <c r="K1447" s="35">
        <f>VALUE(COUNTIF(Validation!$A$2:$H$47,E1447))</f>
        <v>0</v>
      </c>
      <c r="L1447" s="361">
        <f t="shared" si="271"/>
        <v>3000000</v>
      </c>
      <c r="M1447" s="361">
        <f t="shared" si="272"/>
        <v>3000000</v>
      </c>
      <c r="N1447" s="358">
        <v>3000000</v>
      </c>
      <c r="O1447" s="358">
        <v>3000000</v>
      </c>
      <c r="P1447" s="358" t="s">
        <v>8</v>
      </c>
      <c r="Q1447" s="358">
        <v>0</v>
      </c>
      <c r="R1447" s="358">
        <v>0</v>
      </c>
      <c r="S1447" s="358">
        <v>0</v>
      </c>
      <c r="T1447" s="358">
        <v>0</v>
      </c>
      <c r="U1447" s="35">
        <f t="shared" si="268"/>
        <v>2</v>
      </c>
      <c r="W1447">
        <f t="shared" si="273"/>
        <v>1</v>
      </c>
      <c r="X1447" s="35">
        <f t="shared" si="278"/>
        <v>0</v>
      </c>
      <c r="Y1447">
        <f t="shared" si="279"/>
        <v>1</v>
      </c>
      <c r="AB1447">
        <f t="shared" si="276"/>
        <v>1</v>
      </c>
      <c r="AC1447">
        <f t="shared" ca="1" si="277"/>
        <v>0</v>
      </c>
      <c r="AD1447" t="str">
        <f ca="1">IF(AC1447=1,COUNTIF($AC$3:AC1447,1),"")</f>
        <v/>
      </c>
      <c r="AE1447" s="155" t="str">
        <f ca="1">IFERROR(INDEX(Données!$B$3:$B$1479,MATCH(ROWS($AD$3:AD1447),$AD$3:$AD$1479,0)),"")</f>
        <v/>
      </c>
    </row>
    <row r="1448" spans="1:31" ht="15.75" x14ac:dyDescent="0.25">
      <c r="A1448" t="str">
        <f t="shared" si="274"/>
        <v>Adam Lowry - WPG - C</v>
      </c>
      <c r="B1448" t="str">
        <f t="shared" si="275"/>
        <v>Adam Lowry - WPG - C</v>
      </c>
      <c r="C1448" t="str">
        <f t="shared" si="269"/>
        <v>Adam</v>
      </c>
      <c r="D1448" t="str">
        <f t="shared" si="270"/>
        <v>Lowry</v>
      </c>
      <c r="E1448" s="39" t="s">
        <v>2084</v>
      </c>
      <c r="F1448" s="5" t="s">
        <v>35</v>
      </c>
      <c r="G1448" s="35">
        <v>0</v>
      </c>
      <c r="H1448" s="5" t="s">
        <v>73</v>
      </c>
      <c r="I1448" s="35" t="s">
        <v>2439</v>
      </c>
      <c r="J1448" s="35">
        <v>26</v>
      </c>
      <c r="K1448" s="35">
        <f>VALUE(COUNTIF(Validation!$A$2:$H$47,E1448))</f>
        <v>0</v>
      </c>
      <c r="L1448" s="361">
        <f t="shared" si="271"/>
        <v>2916666</v>
      </c>
      <c r="M1448" s="361">
        <f t="shared" si="272"/>
        <v>2916666</v>
      </c>
      <c r="N1448" s="358">
        <v>2916666</v>
      </c>
      <c r="O1448" s="358">
        <v>2916666</v>
      </c>
      <c r="P1448" s="358" t="s">
        <v>7</v>
      </c>
      <c r="Q1448" s="358">
        <v>0</v>
      </c>
      <c r="R1448" s="358">
        <v>0</v>
      </c>
      <c r="S1448" s="358">
        <v>0</v>
      </c>
      <c r="T1448" s="358">
        <v>0</v>
      </c>
      <c r="U1448" s="35">
        <f t="shared" si="268"/>
        <v>2</v>
      </c>
      <c r="W1448">
        <f t="shared" si="273"/>
        <v>1</v>
      </c>
      <c r="X1448" s="35">
        <f t="shared" si="278"/>
        <v>0</v>
      </c>
      <c r="Y1448">
        <f t="shared" si="279"/>
        <v>1</v>
      </c>
      <c r="AB1448">
        <f t="shared" si="276"/>
        <v>1</v>
      </c>
      <c r="AC1448">
        <f t="shared" ca="1" si="277"/>
        <v>0</v>
      </c>
      <c r="AD1448" t="str">
        <f ca="1">IF(AC1448=1,COUNTIF($AC$3:AC1448,1),"")</f>
        <v/>
      </c>
      <c r="AE1448" s="155" t="str">
        <f ca="1">IFERROR(INDEX(Données!$B$3:$B$1479,MATCH(ROWS($AD$3:AD1448),$AD$3:$AD$1479,0)),"")</f>
        <v/>
      </c>
    </row>
    <row r="1449" spans="1:31" ht="15.75" x14ac:dyDescent="0.25">
      <c r="A1449" t="str">
        <f t="shared" si="274"/>
        <v>Andrew Copp - WPG - C, AG</v>
      </c>
      <c r="B1449" t="str">
        <f t="shared" si="275"/>
        <v>Andrew Copp - WPG - C, AG</v>
      </c>
      <c r="C1449" t="str">
        <f t="shared" si="269"/>
        <v>Andrew</v>
      </c>
      <c r="D1449" t="str">
        <f t="shared" si="270"/>
        <v>Copp</v>
      </c>
      <c r="E1449" s="39" t="s">
        <v>2086</v>
      </c>
      <c r="F1449" s="5" t="s">
        <v>35</v>
      </c>
      <c r="G1449" s="35">
        <v>0</v>
      </c>
      <c r="H1449" s="5" t="s">
        <v>2452</v>
      </c>
      <c r="I1449" s="35" t="s">
        <v>2439</v>
      </c>
      <c r="J1449" s="35">
        <v>25</v>
      </c>
      <c r="K1449" s="35">
        <f>VALUE(COUNTIF(Validation!$A$2:$H$47,E1449))</f>
        <v>0</v>
      </c>
      <c r="L1449" s="361">
        <f t="shared" si="271"/>
        <v>2280000</v>
      </c>
      <c r="M1449" s="361">
        <f t="shared" si="272"/>
        <v>2280000</v>
      </c>
      <c r="N1449" s="358">
        <v>2280000</v>
      </c>
      <c r="O1449" s="358">
        <v>2280000</v>
      </c>
      <c r="P1449" s="358" t="s">
        <v>8</v>
      </c>
      <c r="Q1449" s="358">
        <v>0</v>
      </c>
      <c r="R1449" s="358">
        <v>0</v>
      </c>
      <c r="S1449" s="358">
        <v>0</v>
      </c>
      <c r="T1449" s="358">
        <v>0</v>
      </c>
      <c r="U1449" s="35">
        <f t="shared" si="268"/>
        <v>2</v>
      </c>
      <c r="W1449">
        <f t="shared" si="273"/>
        <v>1</v>
      </c>
      <c r="X1449" s="35">
        <f t="shared" si="278"/>
        <v>0</v>
      </c>
      <c r="Y1449">
        <f t="shared" si="279"/>
        <v>1</v>
      </c>
      <c r="AB1449">
        <f t="shared" si="276"/>
        <v>1</v>
      </c>
      <c r="AC1449">
        <f t="shared" ca="1" si="277"/>
        <v>0</v>
      </c>
      <c r="AD1449" t="str">
        <f ca="1">IF(AC1449=1,COUNTIF($AC$3:AC1449,1),"")</f>
        <v/>
      </c>
      <c r="AE1449" s="155" t="str">
        <f ca="1">IFERROR(INDEX(Données!$B$3:$B$1479,MATCH(ROWS($AD$3:AD1449),$AD$3:$AD$1479,0)),"")</f>
        <v/>
      </c>
    </row>
    <row r="1450" spans="1:31" ht="15.75" x14ac:dyDescent="0.25">
      <c r="A1450" t="str">
        <f t="shared" si="274"/>
        <v>Kristian Vesalainen - WPG - AG, AD</v>
      </c>
      <c r="B1450" t="str">
        <f t="shared" si="275"/>
        <v>Kristian Vesalainen - WPG - AG, AD</v>
      </c>
      <c r="C1450" t="str">
        <f t="shared" si="269"/>
        <v>Kristian</v>
      </c>
      <c r="D1450" t="str">
        <f t="shared" si="270"/>
        <v>Vesalainen</v>
      </c>
      <c r="E1450" s="39" t="s">
        <v>2097</v>
      </c>
      <c r="F1450" s="5" t="s">
        <v>35</v>
      </c>
      <c r="G1450" s="35" t="s">
        <v>386</v>
      </c>
      <c r="H1450" s="5" t="s">
        <v>2442</v>
      </c>
      <c r="I1450" s="35" t="s">
        <v>2446</v>
      </c>
      <c r="J1450" s="35">
        <v>20</v>
      </c>
      <c r="K1450" s="35">
        <f>VALUE(COUNTIF(Validation!$A$2:$H$47,E1450))</f>
        <v>0</v>
      </c>
      <c r="L1450" s="361">
        <f t="shared" si="271"/>
        <v>1460833</v>
      </c>
      <c r="M1450" s="361">
        <f t="shared" si="272"/>
        <v>1460833</v>
      </c>
      <c r="N1450" s="358">
        <v>1460833</v>
      </c>
      <c r="O1450" s="358">
        <v>1460833</v>
      </c>
      <c r="P1450" s="358">
        <v>1460833</v>
      </c>
      <c r="Q1450" s="358" t="s">
        <v>8</v>
      </c>
      <c r="R1450" s="358">
        <v>0</v>
      </c>
      <c r="S1450" s="358">
        <v>0</v>
      </c>
      <c r="T1450" s="358">
        <v>0</v>
      </c>
      <c r="U1450" s="35">
        <f t="shared" si="268"/>
        <v>3</v>
      </c>
      <c r="W1450">
        <f t="shared" si="273"/>
        <v>1</v>
      </c>
      <c r="X1450" s="35">
        <f t="shared" si="278"/>
        <v>1</v>
      </c>
      <c r="Y1450">
        <f t="shared" si="279"/>
        <v>1</v>
      </c>
      <c r="AB1450">
        <f t="shared" si="276"/>
        <v>1</v>
      </c>
      <c r="AC1450">
        <f t="shared" ca="1" si="277"/>
        <v>0</v>
      </c>
      <c r="AD1450" t="str">
        <f ca="1">IF(AC1450=1,COUNTIF($AC$3:AC1450,1),"")</f>
        <v/>
      </c>
      <c r="AE1450" s="155" t="str">
        <f ca="1">IFERROR(INDEX(Données!$B$3:$B$1479,MATCH(ROWS($AD$3:AD1450),$AD$3:$AD$1479,0)),"")</f>
        <v/>
      </c>
    </row>
    <row r="1451" spans="1:31" ht="15.75" x14ac:dyDescent="0.25">
      <c r="A1451" t="str">
        <f t="shared" si="274"/>
        <v>Laurent Brossoit - WPG - G</v>
      </c>
      <c r="B1451" t="str">
        <f t="shared" si="275"/>
        <v>Laurent Brossoit - WPG - G</v>
      </c>
      <c r="C1451" t="str">
        <f t="shared" si="269"/>
        <v>Laurent</v>
      </c>
      <c r="D1451" t="str">
        <f t="shared" si="270"/>
        <v>Brossoit</v>
      </c>
      <c r="E1451" s="39" t="s">
        <v>2096</v>
      </c>
      <c r="F1451" s="5" t="s">
        <v>35</v>
      </c>
      <c r="G1451" s="35">
        <v>0</v>
      </c>
      <c r="H1451" s="5" t="s">
        <v>127</v>
      </c>
      <c r="I1451" s="35" t="s">
        <v>2439</v>
      </c>
      <c r="J1451" s="35">
        <v>26</v>
      </c>
      <c r="K1451" s="35">
        <f>VALUE(COUNTIF(Validation!$A$2:$H$47,E1451))</f>
        <v>0</v>
      </c>
      <c r="L1451" s="361">
        <f t="shared" si="271"/>
        <v>1225000</v>
      </c>
      <c r="M1451" s="361">
        <f t="shared" si="272"/>
        <v>0</v>
      </c>
      <c r="N1451" s="358">
        <v>1225000</v>
      </c>
      <c r="O1451" s="358" t="s">
        <v>7</v>
      </c>
      <c r="P1451" s="358">
        <v>0</v>
      </c>
      <c r="Q1451" s="358">
        <v>0</v>
      </c>
      <c r="R1451" s="358">
        <v>0</v>
      </c>
      <c r="S1451" s="358">
        <v>0</v>
      </c>
      <c r="T1451" s="358">
        <v>0</v>
      </c>
      <c r="U1451" s="35">
        <f t="shared" si="268"/>
        <v>1</v>
      </c>
      <c r="W1451">
        <f t="shared" si="273"/>
        <v>1</v>
      </c>
      <c r="X1451" s="35">
        <f t="shared" si="278"/>
        <v>0</v>
      </c>
      <c r="Y1451">
        <f t="shared" si="279"/>
        <v>0</v>
      </c>
      <c r="AB1451">
        <f t="shared" si="276"/>
        <v>1</v>
      </c>
      <c r="AC1451">
        <f t="shared" ca="1" si="277"/>
        <v>0</v>
      </c>
      <c r="AD1451" t="str">
        <f ca="1">IF(AC1451=1,COUNTIF($AC$3:AC1451,1),"")</f>
        <v/>
      </c>
      <c r="AE1451" s="155" t="str">
        <f ca="1">IFERROR(INDEX(Données!$B$3:$B$1479,MATCH(ROWS($AD$3:AD1451),$AD$3:$AD$1479,0)),"")</f>
        <v/>
      </c>
    </row>
    <row r="1452" spans="1:31" ht="15.75" x14ac:dyDescent="0.25">
      <c r="A1452" t="str">
        <f t="shared" si="274"/>
        <v>Ville Heinola - WPG - DG</v>
      </c>
      <c r="B1452" t="str">
        <f t="shared" si="275"/>
        <v>Ville Heinola - WPG - DG</v>
      </c>
      <c r="C1452" t="str">
        <f t="shared" si="269"/>
        <v>Ville</v>
      </c>
      <c r="D1452" t="str">
        <f t="shared" si="270"/>
        <v>Heinola</v>
      </c>
      <c r="E1452" s="39" t="s">
        <v>2758</v>
      </c>
      <c r="F1452" s="5" t="s">
        <v>35</v>
      </c>
      <c r="G1452" s="35" t="s">
        <v>386</v>
      </c>
      <c r="H1452" s="5" t="s">
        <v>2445</v>
      </c>
      <c r="I1452" s="35" t="s">
        <v>2446</v>
      </c>
      <c r="J1452" s="35">
        <v>18</v>
      </c>
      <c r="K1452" s="35">
        <f>VALUE(COUNTIF(Validation!$A$2:$H$47,E1452))</f>
        <v>0</v>
      </c>
      <c r="L1452" s="361">
        <f t="shared" si="271"/>
        <v>1137500</v>
      </c>
      <c r="M1452" s="361">
        <f t="shared" si="272"/>
        <v>1137500</v>
      </c>
      <c r="N1452" s="358">
        <v>1137500</v>
      </c>
      <c r="O1452" s="358">
        <v>1137500</v>
      </c>
      <c r="P1452" s="358">
        <v>1137500</v>
      </c>
      <c r="Q1452" s="358" t="s">
        <v>8</v>
      </c>
      <c r="R1452" s="358">
        <v>0</v>
      </c>
      <c r="S1452" s="358">
        <v>0</v>
      </c>
      <c r="T1452" s="358">
        <v>0</v>
      </c>
      <c r="U1452" s="35">
        <f t="shared" si="268"/>
        <v>3</v>
      </c>
      <c r="W1452">
        <f t="shared" si="273"/>
        <v>1</v>
      </c>
      <c r="X1452" s="35">
        <f t="shared" si="278"/>
        <v>1</v>
      </c>
      <c r="Y1452">
        <f t="shared" si="279"/>
        <v>1</v>
      </c>
      <c r="AB1452">
        <f t="shared" si="276"/>
        <v>1</v>
      </c>
      <c r="AC1452">
        <f t="shared" ca="1" si="277"/>
        <v>0</v>
      </c>
      <c r="AD1452" t="str">
        <f ca="1">IF(AC1452=1,COUNTIF($AC$3:AC1452,1),"")</f>
        <v/>
      </c>
      <c r="AE1452" s="155" t="str">
        <f ca="1">IFERROR(INDEX(Données!$B$3:$B$1479,MATCH(ROWS($AD$3:AD1452),$AD$3:$AD$1479,0)),"")</f>
        <v/>
      </c>
    </row>
    <row r="1453" spans="1:31" ht="15.75" x14ac:dyDescent="0.25">
      <c r="A1453" t="str">
        <f t="shared" si="274"/>
        <v>Jack Roslovic - WPG - AD, C</v>
      </c>
      <c r="B1453" t="str">
        <f t="shared" si="275"/>
        <v>Jack Roslovic - WPG - AD, C</v>
      </c>
      <c r="C1453" t="str">
        <f t="shared" si="269"/>
        <v>Jack</v>
      </c>
      <c r="D1453" t="str">
        <f t="shared" si="270"/>
        <v>Roslovic</v>
      </c>
      <c r="E1453" s="39" t="s">
        <v>2089</v>
      </c>
      <c r="F1453" s="5" t="s">
        <v>35</v>
      </c>
      <c r="G1453" s="35" t="s">
        <v>386</v>
      </c>
      <c r="H1453" s="35" t="s">
        <v>2453</v>
      </c>
      <c r="I1453" s="35" t="s">
        <v>2439</v>
      </c>
      <c r="J1453" s="35">
        <v>22</v>
      </c>
      <c r="K1453" s="35">
        <f>VALUE(COUNTIF(Validation!$A$2:$H$47,E1453))</f>
        <v>0</v>
      </c>
      <c r="L1453" s="361">
        <f t="shared" si="271"/>
        <v>1106666</v>
      </c>
      <c r="M1453" s="361">
        <f t="shared" si="272"/>
        <v>0</v>
      </c>
      <c r="N1453" s="358">
        <v>1106666</v>
      </c>
      <c r="O1453" s="358" t="s">
        <v>8</v>
      </c>
      <c r="P1453" s="358">
        <v>0</v>
      </c>
      <c r="Q1453" s="358">
        <v>0</v>
      </c>
      <c r="R1453" s="358">
        <v>0</v>
      </c>
      <c r="S1453" s="358">
        <v>0</v>
      </c>
      <c r="T1453" s="358">
        <v>0</v>
      </c>
      <c r="U1453" s="35">
        <f t="shared" si="268"/>
        <v>1</v>
      </c>
      <c r="W1453">
        <f t="shared" si="273"/>
        <v>1</v>
      </c>
      <c r="X1453" s="35">
        <f t="shared" si="278"/>
        <v>1</v>
      </c>
      <c r="Y1453">
        <f t="shared" si="279"/>
        <v>0</v>
      </c>
      <c r="AB1453">
        <f t="shared" si="276"/>
        <v>1</v>
      </c>
      <c r="AC1453">
        <f t="shared" ca="1" si="277"/>
        <v>0</v>
      </c>
      <c r="AD1453" t="str">
        <f ca="1">IF(AC1453=1,COUNTIF($AC$3:AC1453,1),"")</f>
        <v/>
      </c>
      <c r="AE1453" s="155" t="str">
        <f ca="1">IFERROR(INDEX(Données!$B$3:$B$1479,MATCH(ROWS($AD$3:AD1453),$AD$3:$AD$1479,0)),"")</f>
        <v/>
      </c>
    </row>
    <row r="1454" spans="1:31" ht="15.75" x14ac:dyDescent="0.25">
      <c r="A1454" t="str">
        <f t="shared" si="274"/>
        <v>Logan Stanley - WPG - DG</v>
      </c>
      <c r="B1454" t="str">
        <f t="shared" si="275"/>
        <v>Logan Stanley - WPG - DG</v>
      </c>
      <c r="C1454" t="str">
        <f t="shared" si="269"/>
        <v>Logan</v>
      </c>
      <c r="D1454" t="str">
        <f t="shared" si="270"/>
        <v>Stanley</v>
      </c>
      <c r="E1454" s="39" t="s">
        <v>2099</v>
      </c>
      <c r="F1454" s="35" t="s">
        <v>35</v>
      </c>
      <c r="G1454" s="35" t="s">
        <v>386</v>
      </c>
      <c r="H1454" s="35" t="s">
        <v>2445</v>
      </c>
      <c r="I1454" s="35" t="s">
        <v>2446</v>
      </c>
      <c r="J1454" s="35">
        <v>21</v>
      </c>
      <c r="K1454" s="35">
        <f>VALUE(COUNTIF(Validation!$A$2:$H$47,E1454))</f>
        <v>0</v>
      </c>
      <c r="L1454" s="361">
        <f t="shared" si="271"/>
        <v>1075833</v>
      </c>
      <c r="M1454" s="361">
        <f t="shared" si="272"/>
        <v>1075833</v>
      </c>
      <c r="N1454" s="358">
        <v>1075833</v>
      </c>
      <c r="O1454" s="358">
        <v>1075833</v>
      </c>
      <c r="P1454" s="358" t="s">
        <v>8</v>
      </c>
      <c r="Q1454" s="358">
        <v>0</v>
      </c>
      <c r="R1454" s="358">
        <v>0</v>
      </c>
      <c r="S1454" s="358">
        <v>0</v>
      </c>
      <c r="T1454" s="358">
        <v>0</v>
      </c>
      <c r="U1454" s="35">
        <f t="shared" si="268"/>
        <v>2</v>
      </c>
      <c r="W1454">
        <f t="shared" si="273"/>
        <v>1</v>
      </c>
      <c r="X1454" s="35">
        <f t="shared" si="278"/>
        <v>1</v>
      </c>
      <c r="Y1454">
        <f t="shared" si="279"/>
        <v>1</v>
      </c>
      <c r="AB1454">
        <f t="shared" si="276"/>
        <v>1</v>
      </c>
      <c r="AC1454">
        <f t="shared" ca="1" si="277"/>
        <v>0</v>
      </c>
      <c r="AD1454" t="str">
        <f ca="1">IF(AC1454=1,COUNTIF($AC$3:AC1454,1),"")</f>
        <v/>
      </c>
      <c r="AE1454" s="155" t="str">
        <f ca="1">IFERROR(INDEX(Données!$B$3:$B$1479,MATCH(ROWS($AD$3:AD1454),$AD$3:$AD$1479,0)),"")</f>
        <v/>
      </c>
    </row>
    <row r="1455" spans="1:31" ht="15.75" x14ac:dyDescent="0.25">
      <c r="A1455" t="str">
        <f t="shared" si="274"/>
        <v>Nathan Beaulieu - WPG - DG</v>
      </c>
      <c r="B1455" t="str">
        <f t="shared" si="275"/>
        <v>Nathan Beaulieu - WPG - DG</v>
      </c>
      <c r="C1455" t="str">
        <f t="shared" si="269"/>
        <v>Nathan</v>
      </c>
      <c r="D1455" t="str">
        <f t="shared" si="270"/>
        <v>Beaulieu</v>
      </c>
      <c r="E1455" s="39" t="s">
        <v>1395</v>
      </c>
      <c r="F1455" s="5" t="s">
        <v>35</v>
      </c>
      <c r="G1455" s="35">
        <v>0</v>
      </c>
      <c r="H1455" s="35" t="s">
        <v>2445</v>
      </c>
      <c r="I1455" s="35" t="s">
        <v>2439</v>
      </c>
      <c r="J1455" s="35">
        <v>26</v>
      </c>
      <c r="K1455" s="35">
        <f>VALUE(COUNTIF(Validation!$A$2:$H$47,E1455))</f>
        <v>0</v>
      </c>
      <c r="L1455" s="361">
        <f t="shared" si="271"/>
        <v>1000000</v>
      </c>
      <c r="M1455" s="361">
        <f t="shared" si="272"/>
        <v>0</v>
      </c>
      <c r="N1455" s="358">
        <v>1000000</v>
      </c>
      <c r="O1455" s="358" t="s">
        <v>7</v>
      </c>
      <c r="P1455" s="358">
        <v>0</v>
      </c>
      <c r="Q1455" s="358">
        <v>0</v>
      </c>
      <c r="R1455" s="358">
        <v>0</v>
      </c>
      <c r="S1455" s="358">
        <v>0</v>
      </c>
      <c r="T1455" s="358">
        <v>0</v>
      </c>
      <c r="U1455" s="35">
        <f t="shared" si="268"/>
        <v>1</v>
      </c>
      <c r="W1455">
        <f t="shared" si="273"/>
        <v>1</v>
      </c>
      <c r="X1455" s="35">
        <f t="shared" si="278"/>
        <v>0</v>
      </c>
      <c r="Y1455">
        <f t="shared" si="279"/>
        <v>0</v>
      </c>
      <c r="AB1455">
        <f t="shared" si="276"/>
        <v>1</v>
      </c>
      <c r="AC1455">
        <f t="shared" ca="1" si="277"/>
        <v>0</v>
      </c>
      <c r="AD1455" t="str">
        <f ca="1">IF(AC1455=1,COUNTIF($AC$3:AC1455,1),"")</f>
        <v/>
      </c>
      <c r="AE1455" s="155" t="str">
        <f ca="1">IFERROR(INDEX(Données!$B$3:$B$1479,MATCH(ROWS($AD$3:AD1455),$AD$3:$AD$1479,0)),"")</f>
        <v/>
      </c>
    </row>
    <row r="1456" spans="1:31" ht="15.75" x14ac:dyDescent="0.25">
      <c r="A1456" t="str">
        <f t="shared" si="274"/>
        <v>Andrei Chibisov - WPG - AD, AG</v>
      </c>
      <c r="B1456" t="str">
        <f t="shared" si="275"/>
        <v>Andrei Chibisov - WPG - AD, AG</v>
      </c>
      <c r="C1456" t="str">
        <f t="shared" si="269"/>
        <v>Andrei</v>
      </c>
      <c r="D1456" t="str">
        <f t="shared" si="270"/>
        <v>Chibisov</v>
      </c>
      <c r="E1456" s="39" t="s">
        <v>2660</v>
      </c>
      <c r="F1456" s="5" t="s">
        <v>35</v>
      </c>
      <c r="G1456" s="35" t="s">
        <v>386</v>
      </c>
      <c r="H1456" s="35" t="s">
        <v>2441</v>
      </c>
      <c r="I1456" s="35" t="s">
        <v>2446</v>
      </c>
      <c r="J1456" s="35">
        <v>26</v>
      </c>
      <c r="K1456" s="35">
        <f>VALUE(COUNTIF(Validation!$A$2:$H$47,E1456))</f>
        <v>0</v>
      </c>
      <c r="L1456" s="361">
        <f t="shared" si="271"/>
        <v>925000</v>
      </c>
      <c r="M1456" s="361">
        <f t="shared" si="272"/>
        <v>0</v>
      </c>
      <c r="N1456" s="358">
        <v>925000</v>
      </c>
      <c r="O1456" s="358" t="s">
        <v>7</v>
      </c>
      <c r="P1456" s="358">
        <v>0</v>
      </c>
      <c r="Q1456" s="358">
        <v>0</v>
      </c>
      <c r="R1456" s="358">
        <v>0</v>
      </c>
      <c r="S1456" s="358">
        <v>0</v>
      </c>
      <c r="T1456" s="358">
        <v>0</v>
      </c>
      <c r="U1456" s="35">
        <f t="shared" si="268"/>
        <v>1</v>
      </c>
      <c r="W1456">
        <f t="shared" si="273"/>
        <v>1</v>
      </c>
      <c r="X1456" s="35">
        <f t="shared" si="278"/>
        <v>1</v>
      </c>
      <c r="Y1456">
        <f t="shared" si="279"/>
        <v>0</v>
      </c>
      <c r="AB1456">
        <f t="shared" si="276"/>
        <v>1</v>
      </c>
      <c r="AC1456">
        <f t="shared" ca="1" si="277"/>
        <v>0</v>
      </c>
      <c r="AD1456" t="str">
        <f ca="1">IF(AC1456=1,COUNTIF($AC$3:AC1456,1),"")</f>
        <v/>
      </c>
      <c r="AE1456" s="155" t="str">
        <f ca="1">IFERROR(INDEX(Données!$B$3:$B$1479,MATCH(ROWS($AD$3:AD1456),$AD$3:$AD$1479,0)),"")</f>
        <v/>
      </c>
    </row>
    <row r="1457" spans="1:31" ht="15.75" x14ac:dyDescent="0.25">
      <c r="A1457" t="str">
        <f t="shared" si="274"/>
        <v>David Gustafsson - WPG - C</v>
      </c>
      <c r="B1457" t="str">
        <f t="shared" si="275"/>
        <v>David Gustafsson - WPG - C</v>
      </c>
      <c r="C1457" t="str">
        <f t="shared" si="269"/>
        <v>David</v>
      </c>
      <c r="D1457" t="str">
        <f t="shared" si="270"/>
        <v>Gustafsson</v>
      </c>
      <c r="E1457" s="39" t="s">
        <v>2659</v>
      </c>
      <c r="F1457" s="5" t="s">
        <v>35</v>
      </c>
      <c r="G1457" s="35" t="s">
        <v>386</v>
      </c>
      <c r="H1457" s="35" t="s">
        <v>73</v>
      </c>
      <c r="I1457" s="35" t="s">
        <v>2446</v>
      </c>
      <c r="J1457" s="35">
        <v>19</v>
      </c>
      <c r="K1457" s="35">
        <f>VALUE(COUNTIF(Validation!$A$2:$H$47,E1457))</f>
        <v>0</v>
      </c>
      <c r="L1457" s="361">
        <f t="shared" si="271"/>
        <v>925000</v>
      </c>
      <c r="M1457" s="361">
        <f t="shared" si="272"/>
        <v>925000</v>
      </c>
      <c r="N1457" s="358">
        <v>925000</v>
      </c>
      <c r="O1457" s="358">
        <v>925000</v>
      </c>
      <c r="P1457" s="358">
        <v>925000</v>
      </c>
      <c r="Q1457" s="358" t="s">
        <v>8</v>
      </c>
      <c r="R1457" s="358">
        <v>0</v>
      </c>
      <c r="S1457" s="358">
        <v>0</v>
      </c>
      <c r="T1457" s="358">
        <v>0</v>
      </c>
      <c r="U1457" s="35">
        <f t="shared" si="268"/>
        <v>3</v>
      </c>
      <c r="W1457">
        <f t="shared" si="273"/>
        <v>1</v>
      </c>
      <c r="X1457" s="35">
        <f t="shared" si="278"/>
        <v>1</v>
      </c>
      <c r="Y1457">
        <f t="shared" si="279"/>
        <v>1</v>
      </c>
      <c r="AB1457">
        <f t="shared" si="276"/>
        <v>1</v>
      </c>
      <c r="AC1457">
        <f t="shared" ca="1" si="277"/>
        <v>0</v>
      </c>
      <c r="AD1457" t="str">
        <f ca="1">IF(AC1457=1,COUNTIF($AC$3:AC1457,1),"")</f>
        <v/>
      </c>
      <c r="AE1457" s="155" t="str">
        <f ca="1">IFERROR(INDEX(Données!$B$3:$B$1479,MATCH(ROWS($AD$3:AD1457),$AD$3:$AD$1479,0)),"")</f>
        <v/>
      </c>
    </row>
    <row r="1458" spans="1:31" ht="15.75" x14ac:dyDescent="0.25">
      <c r="A1458" t="str">
        <f t="shared" si="274"/>
        <v>Jansen Harkins - WPG - C</v>
      </c>
      <c r="B1458" t="str">
        <f t="shared" si="275"/>
        <v>Jansen Harkins - WPG - C</v>
      </c>
      <c r="C1458" t="str">
        <f t="shared" si="269"/>
        <v>Jansen</v>
      </c>
      <c r="D1458" t="str">
        <f t="shared" si="270"/>
        <v>Harkins</v>
      </c>
      <c r="E1458" s="39" t="s">
        <v>2103</v>
      </c>
      <c r="F1458" s="5" t="s">
        <v>35</v>
      </c>
      <c r="G1458" s="35" t="s">
        <v>386</v>
      </c>
      <c r="H1458" s="35" t="s">
        <v>73</v>
      </c>
      <c r="I1458" s="35" t="s">
        <v>2446</v>
      </c>
      <c r="J1458" s="35">
        <v>22</v>
      </c>
      <c r="K1458" s="35">
        <f>VALUE(COUNTIF(Validation!$A$2:$H$47,E1458))</f>
        <v>0</v>
      </c>
      <c r="L1458" s="361">
        <f t="shared" si="271"/>
        <v>925000</v>
      </c>
      <c r="M1458" s="361">
        <f t="shared" si="272"/>
        <v>0</v>
      </c>
      <c r="N1458" s="358">
        <v>925000</v>
      </c>
      <c r="O1458" s="358" t="s">
        <v>8</v>
      </c>
      <c r="P1458" s="358">
        <v>0</v>
      </c>
      <c r="Q1458" s="358">
        <v>0</v>
      </c>
      <c r="R1458" s="358">
        <v>0</v>
      </c>
      <c r="S1458" s="358">
        <v>0</v>
      </c>
      <c r="T1458" s="358">
        <v>0</v>
      </c>
      <c r="U1458" s="35">
        <f t="shared" si="268"/>
        <v>1</v>
      </c>
      <c r="W1458">
        <f t="shared" si="273"/>
        <v>1</v>
      </c>
      <c r="X1458" s="35">
        <f t="shared" si="278"/>
        <v>1</v>
      </c>
      <c r="Y1458">
        <f t="shared" si="279"/>
        <v>0</v>
      </c>
      <c r="AB1458">
        <f t="shared" si="276"/>
        <v>1</v>
      </c>
      <c r="AC1458">
        <f t="shared" ca="1" si="277"/>
        <v>0</v>
      </c>
      <c r="AD1458" t="str">
        <f ca="1">IF(AC1458=1,COUNTIF($AC$3:AC1458,1),"")</f>
        <v/>
      </c>
      <c r="AE1458" s="155" t="str">
        <f ca="1">IFERROR(INDEX(Données!$B$3:$B$1479,MATCH(ROWS($AD$3:AD1458),$AD$3:$AD$1479,0)),"")</f>
        <v/>
      </c>
    </row>
    <row r="1459" spans="1:31" ht="15.75" x14ac:dyDescent="0.25">
      <c r="A1459" t="str">
        <f t="shared" si="274"/>
        <v>Johnny Kovacevic - WPG - DG</v>
      </c>
      <c r="B1459" t="str">
        <f t="shared" si="275"/>
        <v>Johnny Kovacevic - WPG - DG</v>
      </c>
      <c r="C1459" t="str">
        <f t="shared" si="269"/>
        <v>Johnny</v>
      </c>
      <c r="D1459" t="str">
        <f t="shared" si="270"/>
        <v>Kovacevic</v>
      </c>
      <c r="E1459" s="39" t="s">
        <v>2665</v>
      </c>
      <c r="F1459" s="5" t="s">
        <v>35</v>
      </c>
      <c r="G1459" s="35" t="s">
        <v>386</v>
      </c>
      <c r="H1459" s="35" t="s">
        <v>2445</v>
      </c>
      <c r="I1459" s="35" t="s">
        <v>2446</v>
      </c>
      <c r="J1459" s="35">
        <v>22</v>
      </c>
      <c r="K1459" s="35">
        <f>VALUE(COUNTIF(Validation!$A$2:$H$47,E1459))</f>
        <v>0</v>
      </c>
      <c r="L1459" s="361">
        <f t="shared" si="271"/>
        <v>925000</v>
      </c>
      <c r="M1459" s="361">
        <f t="shared" si="272"/>
        <v>925000</v>
      </c>
      <c r="N1459" s="358">
        <v>925000</v>
      </c>
      <c r="O1459" s="358">
        <v>925000</v>
      </c>
      <c r="P1459" s="358" t="s">
        <v>8</v>
      </c>
      <c r="Q1459" s="358">
        <v>0</v>
      </c>
      <c r="R1459" s="358">
        <v>0</v>
      </c>
      <c r="S1459" s="358">
        <v>0</v>
      </c>
      <c r="T1459" s="358">
        <v>0</v>
      </c>
      <c r="U1459" s="35">
        <f t="shared" si="268"/>
        <v>2</v>
      </c>
      <c r="W1459">
        <f t="shared" si="273"/>
        <v>1</v>
      </c>
      <c r="X1459" s="35">
        <f t="shared" si="278"/>
        <v>1</v>
      </c>
      <c r="Y1459">
        <f t="shared" si="279"/>
        <v>1</v>
      </c>
      <c r="AB1459">
        <f t="shared" si="276"/>
        <v>1</v>
      </c>
      <c r="AC1459">
        <f t="shared" ca="1" si="277"/>
        <v>0</v>
      </c>
      <c r="AD1459" t="str">
        <f ca="1">IF(AC1459=1,COUNTIF($AC$3:AC1459,1),"")</f>
        <v/>
      </c>
      <c r="AE1459" s="155" t="str">
        <f ca="1">IFERROR(INDEX(Données!$B$3:$B$1479,MATCH(ROWS($AD$3:AD1459),$AD$3:$AD$1479,0)),"")</f>
        <v/>
      </c>
    </row>
    <row r="1460" spans="1:31" ht="15.75" x14ac:dyDescent="0.25">
      <c r="A1460" t="str">
        <f t="shared" si="274"/>
        <v>Sami Niku - WPG - DD</v>
      </c>
      <c r="B1460" t="str">
        <f t="shared" si="275"/>
        <v>Sami Niku - WPG - DD</v>
      </c>
      <c r="C1460" t="str">
        <f t="shared" si="269"/>
        <v>Sami</v>
      </c>
      <c r="D1460" t="str">
        <f t="shared" si="270"/>
        <v>Niku</v>
      </c>
      <c r="E1460" s="39" t="s">
        <v>2102</v>
      </c>
      <c r="F1460" s="5" t="s">
        <v>35</v>
      </c>
      <c r="G1460" s="35" t="s">
        <v>386</v>
      </c>
      <c r="H1460" s="35" t="s">
        <v>2444</v>
      </c>
      <c r="I1460" s="35" t="s">
        <v>2439</v>
      </c>
      <c r="J1460" s="35">
        <v>22</v>
      </c>
      <c r="K1460" s="35">
        <f>VALUE(COUNTIF(Validation!$A$2:$H$47,E1460))</f>
        <v>0</v>
      </c>
      <c r="L1460" s="361">
        <f t="shared" si="271"/>
        <v>916666</v>
      </c>
      <c r="M1460" s="361">
        <f t="shared" si="272"/>
        <v>0</v>
      </c>
      <c r="N1460" s="358">
        <v>916666</v>
      </c>
      <c r="O1460" s="358" t="s">
        <v>8</v>
      </c>
      <c r="P1460" s="358">
        <v>0</v>
      </c>
      <c r="Q1460" s="358">
        <v>0</v>
      </c>
      <c r="R1460" s="358">
        <v>0</v>
      </c>
      <c r="S1460" s="358">
        <v>0</v>
      </c>
      <c r="T1460" s="358">
        <v>0</v>
      </c>
      <c r="U1460" s="35">
        <f t="shared" si="268"/>
        <v>1</v>
      </c>
      <c r="W1460">
        <f t="shared" si="273"/>
        <v>1</v>
      </c>
      <c r="X1460" s="35">
        <f t="shared" si="278"/>
        <v>1</v>
      </c>
      <c r="Y1460">
        <f t="shared" si="279"/>
        <v>0</v>
      </c>
      <c r="AB1460">
        <f t="shared" si="276"/>
        <v>1</v>
      </c>
      <c r="AC1460">
        <f t="shared" ca="1" si="277"/>
        <v>0</v>
      </c>
      <c r="AD1460" t="str">
        <f ca="1">IF(AC1460=1,COUNTIF($AC$3:AC1460,1),"")</f>
        <v/>
      </c>
      <c r="AE1460" s="155" t="str">
        <f ca="1">IFERROR(INDEX(Données!$B$3:$B$1479,MATCH(ROWS($AD$3:AD1460),$AD$3:$AD$1479,0)),"")</f>
        <v/>
      </c>
    </row>
    <row r="1461" spans="1:31" ht="15.75" x14ac:dyDescent="0.25">
      <c r="A1461" t="str">
        <f t="shared" si="274"/>
        <v>Luke Green - WPG - DD</v>
      </c>
      <c r="B1461" t="str">
        <f t="shared" si="275"/>
        <v>Luke Green - WPG - DD</v>
      </c>
      <c r="C1461" t="str">
        <f t="shared" si="269"/>
        <v>Luke</v>
      </c>
      <c r="D1461" t="str">
        <f t="shared" si="270"/>
        <v>Green</v>
      </c>
      <c r="E1461" s="39" t="s">
        <v>2106</v>
      </c>
      <c r="F1461" s="5" t="s">
        <v>35</v>
      </c>
      <c r="G1461" s="35" t="s">
        <v>386</v>
      </c>
      <c r="H1461" s="35" t="s">
        <v>2444</v>
      </c>
      <c r="I1461" s="35" t="s">
        <v>2446</v>
      </c>
      <c r="J1461" s="35">
        <v>21</v>
      </c>
      <c r="K1461" s="35">
        <f>VALUE(COUNTIF(Validation!$A$2:$H$47,E1461))</f>
        <v>0</v>
      </c>
      <c r="L1461" s="361">
        <f t="shared" si="271"/>
        <v>838333</v>
      </c>
      <c r="M1461" s="361">
        <f t="shared" si="272"/>
        <v>838333</v>
      </c>
      <c r="N1461" s="358">
        <v>838333</v>
      </c>
      <c r="O1461" s="358">
        <v>838333</v>
      </c>
      <c r="P1461" s="358" t="s">
        <v>8</v>
      </c>
      <c r="Q1461" s="358">
        <v>0</v>
      </c>
      <c r="R1461" s="358">
        <v>0</v>
      </c>
      <c r="S1461" s="358">
        <v>0</v>
      </c>
      <c r="T1461" s="358">
        <v>0</v>
      </c>
      <c r="U1461" s="35">
        <f t="shared" si="268"/>
        <v>2</v>
      </c>
      <c r="W1461">
        <f t="shared" si="273"/>
        <v>1</v>
      </c>
      <c r="X1461" s="35">
        <f t="shared" ref="X1461:X1479" si="280">IF(LEFT(G1461,3)="ELC",1,0)</f>
        <v>1</v>
      </c>
      <c r="Y1461">
        <f t="shared" ref="Y1461:Y1479" si="281">IF(L1461=M1461,1,0)</f>
        <v>1</v>
      </c>
      <c r="AB1461">
        <f t="shared" si="276"/>
        <v>1</v>
      </c>
      <c r="AC1461">
        <f t="shared" ca="1" si="277"/>
        <v>0</v>
      </c>
      <c r="AD1461" t="str">
        <f ca="1">IF(AC1461=1,COUNTIF($AC$3:AC1461,1),"")</f>
        <v/>
      </c>
      <c r="AE1461" s="155" t="str">
        <f ca="1">IFERROR(INDEX(Données!$B$3:$B$1479,MATCH(ROWS($AD$3:AD1461),$AD$3:$AD$1479,0)),"")</f>
        <v/>
      </c>
    </row>
    <row r="1462" spans="1:31" ht="15.75" x14ac:dyDescent="0.25">
      <c r="A1462" t="str">
        <f t="shared" si="274"/>
        <v>Michael Spacek - WPG - C</v>
      </c>
      <c r="B1462" t="str">
        <f t="shared" si="275"/>
        <v>Michael Spacek - WPG - C</v>
      </c>
      <c r="C1462" t="str">
        <f t="shared" si="269"/>
        <v>Michael</v>
      </c>
      <c r="D1462" t="str">
        <f t="shared" si="270"/>
        <v>Spacek</v>
      </c>
      <c r="E1462" s="39" t="s">
        <v>2105</v>
      </c>
      <c r="F1462" s="5" t="s">
        <v>35</v>
      </c>
      <c r="G1462" s="35" t="s">
        <v>386</v>
      </c>
      <c r="H1462" s="35" t="s">
        <v>73</v>
      </c>
      <c r="I1462" s="35" t="s">
        <v>2446</v>
      </c>
      <c r="J1462" s="35">
        <v>22</v>
      </c>
      <c r="K1462" s="35">
        <f>VALUE(COUNTIF(Validation!$A$2:$H$47,E1462))</f>
        <v>0</v>
      </c>
      <c r="L1462" s="361">
        <f t="shared" si="271"/>
        <v>833333</v>
      </c>
      <c r="M1462" s="361">
        <f t="shared" si="272"/>
        <v>0</v>
      </c>
      <c r="N1462" s="358">
        <v>833333</v>
      </c>
      <c r="O1462" s="358" t="s">
        <v>8</v>
      </c>
      <c r="P1462" s="358">
        <v>0</v>
      </c>
      <c r="Q1462" s="358">
        <v>0</v>
      </c>
      <c r="R1462" s="358">
        <v>0</v>
      </c>
      <c r="S1462" s="358">
        <v>0</v>
      </c>
      <c r="T1462" s="358">
        <v>0</v>
      </c>
      <c r="U1462" s="35">
        <f t="shared" si="268"/>
        <v>1</v>
      </c>
      <c r="W1462">
        <f t="shared" si="273"/>
        <v>1</v>
      </c>
      <c r="X1462" s="35">
        <f t="shared" si="280"/>
        <v>1</v>
      </c>
      <c r="Y1462">
        <f t="shared" si="281"/>
        <v>0</v>
      </c>
      <c r="AB1462">
        <f t="shared" si="276"/>
        <v>1</v>
      </c>
      <c r="AC1462">
        <f t="shared" ca="1" si="277"/>
        <v>0</v>
      </c>
      <c r="AD1462" t="str">
        <f ca="1">IF(AC1462=1,COUNTIF($AC$3:AC1462,1),"")</f>
        <v/>
      </c>
      <c r="AE1462" s="155" t="str">
        <f ca="1">IFERROR(INDEX(Données!$B$3:$B$1479,MATCH(ROWS($AD$3:AD1462),$AD$3:$AD$1479,0)),"")</f>
        <v/>
      </c>
    </row>
    <row r="1463" spans="1:31" ht="15.75" x14ac:dyDescent="0.25">
      <c r="A1463" t="str">
        <f t="shared" si="274"/>
        <v>Leon Gawanke - WPG - DG</v>
      </c>
      <c r="B1463" t="str">
        <f t="shared" si="275"/>
        <v>Leon Gawanke - WPG - DG</v>
      </c>
      <c r="C1463" t="str">
        <f t="shared" si="269"/>
        <v>Leon</v>
      </c>
      <c r="D1463" t="str">
        <f t="shared" si="270"/>
        <v>Gawanke</v>
      </c>
      <c r="E1463" s="39" t="s">
        <v>2664</v>
      </c>
      <c r="F1463" s="5" t="s">
        <v>35</v>
      </c>
      <c r="G1463" s="35" t="s">
        <v>386</v>
      </c>
      <c r="H1463" s="35" t="s">
        <v>2445</v>
      </c>
      <c r="I1463" s="35" t="s">
        <v>2446</v>
      </c>
      <c r="J1463" s="35">
        <v>20</v>
      </c>
      <c r="K1463" s="35">
        <f>VALUE(COUNTIF(Validation!$A$2:$H$47,E1463))</f>
        <v>0</v>
      </c>
      <c r="L1463" s="361">
        <f t="shared" si="271"/>
        <v>810000</v>
      </c>
      <c r="M1463" s="361">
        <f t="shared" si="272"/>
        <v>810000</v>
      </c>
      <c r="N1463" s="358">
        <v>810000</v>
      </c>
      <c r="O1463" s="358">
        <v>810000</v>
      </c>
      <c r="P1463" s="358">
        <v>810000</v>
      </c>
      <c r="Q1463" s="358" t="s">
        <v>8</v>
      </c>
      <c r="R1463" s="358">
        <v>0</v>
      </c>
      <c r="S1463" s="358">
        <v>0</v>
      </c>
      <c r="T1463" s="358">
        <v>0</v>
      </c>
      <c r="U1463" s="35">
        <f t="shared" si="268"/>
        <v>3</v>
      </c>
      <c r="W1463">
        <f t="shared" si="273"/>
        <v>1</v>
      </c>
      <c r="X1463" s="35">
        <f t="shared" si="280"/>
        <v>1</v>
      </c>
      <c r="Y1463">
        <f t="shared" si="281"/>
        <v>1</v>
      </c>
      <c r="AB1463">
        <f t="shared" si="276"/>
        <v>1</v>
      </c>
      <c r="AC1463">
        <f t="shared" ca="1" si="277"/>
        <v>0</v>
      </c>
      <c r="AD1463" t="str">
        <f ca="1">IF(AC1463=1,COUNTIF($AC$3:AC1463,1),"")</f>
        <v/>
      </c>
      <c r="AE1463" s="155" t="str">
        <f ca="1">IFERROR(INDEX(Données!$B$3:$B$1479,MATCH(ROWS($AD$3:AD1463),$AD$3:$AD$1479,0)),"")</f>
        <v/>
      </c>
    </row>
    <row r="1464" spans="1:31" ht="15.75" x14ac:dyDescent="0.25">
      <c r="A1464" t="str">
        <f t="shared" si="274"/>
        <v>Tucker Poolman - WPG - D</v>
      </c>
      <c r="B1464" t="str">
        <f t="shared" si="275"/>
        <v>Tucker Poolman - WPG - D</v>
      </c>
      <c r="C1464" t="str">
        <f t="shared" si="269"/>
        <v>Tucker</v>
      </c>
      <c r="D1464" t="str">
        <f t="shared" si="270"/>
        <v>Poolman</v>
      </c>
      <c r="E1464" s="39" t="s">
        <v>2094</v>
      </c>
      <c r="F1464" s="5" t="s">
        <v>35</v>
      </c>
      <c r="G1464" s="35">
        <v>0</v>
      </c>
      <c r="H1464" s="35" t="s">
        <v>82</v>
      </c>
      <c r="I1464" s="35" t="s">
        <v>2439</v>
      </c>
      <c r="J1464" s="35">
        <v>26</v>
      </c>
      <c r="K1464" s="35">
        <f>VALUE(COUNTIF(Validation!$A$2:$H$47,E1464))</f>
        <v>0</v>
      </c>
      <c r="L1464" s="361">
        <f t="shared" si="271"/>
        <v>775000</v>
      </c>
      <c r="M1464" s="361">
        <f t="shared" si="272"/>
        <v>775000</v>
      </c>
      <c r="N1464" s="358">
        <v>775000</v>
      </c>
      <c r="O1464" s="358">
        <v>775000</v>
      </c>
      <c r="P1464" s="358" t="s">
        <v>7</v>
      </c>
      <c r="Q1464" s="358">
        <v>0</v>
      </c>
      <c r="R1464" s="358">
        <v>0</v>
      </c>
      <c r="S1464" s="358">
        <v>0</v>
      </c>
      <c r="T1464" s="358">
        <v>0</v>
      </c>
      <c r="U1464" s="35">
        <f t="shared" si="268"/>
        <v>2</v>
      </c>
      <c r="W1464">
        <f t="shared" si="273"/>
        <v>1</v>
      </c>
      <c r="X1464" s="35">
        <f t="shared" si="280"/>
        <v>0</v>
      </c>
      <c r="Y1464">
        <f t="shared" si="281"/>
        <v>1</v>
      </c>
      <c r="AB1464">
        <f t="shared" si="276"/>
        <v>1</v>
      </c>
      <c r="AC1464">
        <f t="shared" ca="1" si="277"/>
        <v>0</v>
      </c>
      <c r="AD1464" t="str">
        <f ca="1">IF(AC1464=1,COUNTIF($AC$3:AC1464,1),"")</f>
        <v/>
      </c>
      <c r="AE1464" s="155" t="str">
        <f ca="1">IFERROR(INDEX(Données!$B$3:$B$1479,MATCH(ROWS($AD$3:AD1464),$AD$3:$AD$1479,0)),"")</f>
        <v/>
      </c>
    </row>
    <row r="1465" spans="1:31" ht="15.75" x14ac:dyDescent="0.25">
      <c r="A1465" t="str">
        <f t="shared" si="274"/>
        <v>Mikhail Berdin - WPG - G</v>
      </c>
      <c r="B1465" t="str">
        <f t="shared" si="275"/>
        <v>Mikhail Berdin - WPG - G</v>
      </c>
      <c r="C1465" t="str">
        <f t="shared" si="269"/>
        <v>Mikhail</v>
      </c>
      <c r="D1465" t="str">
        <f t="shared" si="270"/>
        <v>Berdin</v>
      </c>
      <c r="E1465" s="39" t="s">
        <v>2104</v>
      </c>
      <c r="F1465" s="5" t="s">
        <v>35</v>
      </c>
      <c r="G1465" s="35" t="s">
        <v>386</v>
      </c>
      <c r="H1465" s="9" t="s">
        <v>127</v>
      </c>
      <c r="I1465" s="9" t="s">
        <v>2446</v>
      </c>
      <c r="J1465" s="9">
        <v>21</v>
      </c>
      <c r="K1465" s="35">
        <f>VALUE(COUNTIF(Validation!$A$2:$H$47,E1465))</f>
        <v>0</v>
      </c>
      <c r="L1465" s="361">
        <f t="shared" si="271"/>
        <v>766666</v>
      </c>
      <c r="M1465" s="361">
        <f t="shared" si="272"/>
        <v>766666</v>
      </c>
      <c r="N1465" s="358">
        <v>766666</v>
      </c>
      <c r="O1465" s="358">
        <v>766666</v>
      </c>
      <c r="P1465" s="358" t="s">
        <v>8</v>
      </c>
      <c r="Q1465" s="358">
        <v>0</v>
      </c>
      <c r="R1465" s="358">
        <v>0</v>
      </c>
      <c r="S1465" s="358">
        <v>0</v>
      </c>
      <c r="T1465" s="358">
        <v>0</v>
      </c>
      <c r="U1465" s="35">
        <f t="shared" ref="U1465:U1479" si="282">COUNTIF(N1465:T1465,"&gt;0")</f>
        <v>2</v>
      </c>
      <c r="W1465">
        <f t="shared" si="273"/>
        <v>1</v>
      </c>
      <c r="X1465" s="35">
        <f t="shared" si="280"/>
        <v>1</v>
      </c>
      <c r="Y1465">
        <f t="shared" si="281"/>
        <v>1</v>
      </c>
      <c r="AB1465">
        <f t="shared" si="276"/>
        <v>1</v>
      </c>
      <c r="AC1465">
        <f t="shared" ca="1" si="277"/>
        <v>0</v>
      </c>
      <c r="AD1465" t="str">
        <f ca="1">IF(AC1465=1,COUNTIF($AC$3:AC1465,1),"")</f>
        <v/>
      </c>
      <c r="AE1465" s="155" t="str">
        <f ca="1">IFERROR(INDEX(Données!$B$3:$B$1479,MATCH(ROWS($AD$3:AD1465),$AD$3:$AD$1479,0)),"")</f>
        <v/>
      </c>
    </row>
    <row r="1466" spans="1:31" ht="15.75" x14ac:dyDescent="0.25">
      <c r="A1466" t="str">
        <f t="shared" si="274"/>
        <v>Mason Appleton - WPG - AD, C</v>
      </c>
      <c r="B1466" t="str">
        <f t="shared" si="275"/>
        <v>Mason Appleton - WPG - AD, C</v>
      </c>
      <c r="C1466" t="str">
        <f t="shared" si="269"/>
        <v>Mason</v>
      </c>
      <c r="D1466" t="str">
        <f t="shared" si="270"/>
        <v>Appleton</v>
      </c>
      <c r="E1466" s="39" t="s">
        <v>2107</v>
      </c>
      <c r="F1466" s="5" t="s">
        <v>35</v>
      </c>
      <c r="G1466" s="35" t="s">
        <v>386</v>
      </c>
      <c r="H1466" s="35" t="s">
        <v>2453</v>
      </c>
      <c r="I1466" s="35" t="s">
        <v>2446</v>
      </c>
      <c r="J1466" s="35">
        <v>23</v>
      </c>
      <c r="K1466" s="35">
        <f>VALUE(COUNTIF(Validation!$A$2:$H$47,E1466))</f>
        <v>0</v>
      </c>
      <c r="L1466" s="361">
        <f t="shared" si="271"/>
        <v>758333</v>
      </c>
      <c r="M1466" s="361">
        <f t="shared" si="272"/>
        <v>0</v>
      </c>
      <c r="N1466" s="358">
        <v>758333</v>
      </c>
      <c r="O1466" s="358" t="s">
        <v>8</v>
      </c>
      <c r="P1466" s="358">
        <v>0</v>
      </c>
      <c r="Q1466" s="358">
        <v>0</v>
      </c>
      <c r="R1466" s="358">
        <v>0</v>
      </c>
      <c r="S1466" s="358">
        <v>0</v>
      </c>
      <c r="T1466" s="358">
        <v>0</v>
      </c>
      <c r="U1466" s="35">
        <f t="shared" si="282"/>
        <v>1</v>
      </c>
      <c r="W1466">
        <f t="shared" si="273"/>
        <v>1</v>
      </c>
      <c r="X1466" s="35">
        <f t="shared" si="280"/>
        <v>1</v>
      </c>
      <c r="Y1466">
        <f t="shared" si="281"/>
        <v>0</v>
      </c>
      <c r="AB1466">
        <f t="shared" si="276"/>
        <v>1</v>
      </c>
      <c r="AC1466">
        <f t="shared" ca="1" si="277"/>
        <v>0</v>
      </c>
      <c r="AD1466" t="str">
        <f ca="1">IF(AC1466=1,COUNTIF($AC$3:AC1466,1),"")</f>
        <v/>
      </c>
      <c r="AE1466" s="155" t="str">
        <f ca="1">IFERROR(INDEX(Données!$B$3:$B$1479,MATCH(ROWS($AD$3:AD1466),$AD$3:$AD$1479,0)),"")</f>
        <v/>
      </c>
    </row>
    <row r="1467" spans="1:31" ht="15.75" x14ac:dyDescent="0.25">
      <c r="A1467" t="str">
        <f t="shared" si="274"/>
        <v>Joona Luoto - WPG - AG, AD</v>
      </c>
      <c r="B1467" t="str">
        <f t="shared" si="275"/>
        <v>Joona Luoto - WPG - AG, AD</v>
      </c>
      <c r="C1467" t="str">
        <f t="shared" si="269"/>
        <v>Joona</v>
      </c>
      <c r="D1467" t="str">
        <f t="shared" si="270"/>
        <v>Luoto</v>
      </c>
      <c r="E1467" s="39" t="s">
        <v>2661</v>
      </c>
      <c r="F1467" s="5" t="s">
        <v>35</v>
      </c>
      <c r="G1467" s="35" t="s">
        <v>386</v>
      </c>
      <c r="H1467" s="35" t="s">
        <v>2442</v>
      </c>
      <c r="I1467" s="35" t="s">
        <v>2446</v>
      </c>
      <c r="J1467" s="35">
        <v>21</v>
      </c>
      <c r="K1467" s="35">
        <f>VALUE(COUNTIF(Validation!$A$2:$H$47,E1467))</f>
        <v>0</v>
      </c>
      <c r="L1467" s="361">
        <f t="shared" si="271"/>
        <v>758333</v>
      </c>
      <c r="M1467" s="361">
        <f t="shared" si="272"/>
        <v>758333</v>
      </c>
      <c r="N1467" s="358">
        <v>758333</v>
      </c>
      <c r="O1467" s="358">
        <v>758333</v>
      </c>
      <c r="P1467" s="358">
        <v>758333</v>
      </c>
      <c r="Q1467" s="358" t="s">
        <v>8</v>
      </c>
      <c r="R1467" s="358">
        <v>0</v>
      </c>
      <c r="S1467" s="358">
        <v>0</v>
      </c>
      <c r="T1467" s="358">
        <v>0</v>
      </c>
      <c r="U1467" s="35">
        <f t="shared" si="282"/>
        <v>3</v>
      </c>
      <c r="W1467">
        <f t="shared" si="273"/>
        <v>1</v>
      </c>
      <c r="X1467" s="35">
        <f t="shared" si="280"/>
        <v>1</v>
      </c>
      <c r="Y1467">
        <f t="shared" si="281"/>
        <v>1</v>
      </c>
      <c r="AB1467">
        <f t="shared" si="276"/>
        <v>1</v>
      </c>
      <c r="AC1467">
        <f t="shared" ca="1" si="277"/>
        <v>0</v>
      </c>
      <c r="AD1467" t="str">
        <f ca="1">IF(AC1467=1,COUNTIF($AC$3:AC1467,1),"")</f>
        <v/>
      </c>
      <c r="AE1467" s="155" t="str">
        <f ca="1">IFERROR(INDEX(Données!$B$3:$B$1479,MATCH(ROWS($AD$3:AD1467),$AD$3:$AD$1479,0)),"")</f>
        <v/>
      </c>
    </row>
    <row r="1468" spans="1:31" ht="15.75" x14ac:dyDescent="0.25">
      <c r="A1468" t="str">
        <f t="shared" si="274"/>
        <v>Skyler McKenzie - WPG - C</v>
      </c>
      <c r="B1468" t="str">
        <f t="shared" si="275"/>
        <v>Skyler McKenzie - WPG - C</v>
      </c>
      <c r="C1468" t="str">
        <f t="shared" si="269"/>
        <v>Skyler</v>
      </c>
      <c r="D1468" t="str">
        <f t="shared" si="270"/>
        <v>McKenzie</v>
      </c>
      <c r="E1468" s="39" t="s">
        <v>2108</v>
      </c>
      <c r="F1468" s="5" t="s">
        <v>35</v>
      </c>
      <c r="G1468" s="35" t="s">
        <v>386</v>
      </c>
      <c r="H1468" s="35" t="s">
        <v>73</v>
      </c>
      <c r="I1468" s="35" t="s">
        <v>2446</v>
      </c>
      <c r="J1468" s="35">
        <v>21</v>
      </c>
      <c r="K1468" s="35">
        <f>VALUE(COUNTIF(Validation!$A$2:$H$47,E1468))</f>
        <v>0</v>
      </c>
      <c r="L1468" s="361">
        <f t="shared" si="271"/>
        <v>741666</v>
      </c>
      <c r="M1468" s="361">
        <f t="shared" si="272"/>
        <v>741666</v>
      </c>
      <c r="N1468" s="358">
        <v>741666</v>
      </c>
      <c r="O1468" s="358">
        <v>741666</v>
      </c>
      <c r="P1468" s="358" t="s">
        <v>8</v>
      </c>
      <c r="Q1468" s="358">
        <v>0</v>
      </c>
      <c r="R1468" s="358">
        <v>0</v>
      </c>
      <c r="S1468" s="358">
        <v>0</v>
      </c>
      <c r="T1468" s="358">
        <v>0</v>
      </c>
      <c r="U1468" s="35">
        <f t="shared" si="282"/>
        <v>2</v>
      </c>
      <c r="W1468">
        <f t="shared" si="273"/>
        <v>1</v>
      </c>
      <c r="X1468" s="35">
        <f t="shared" si="280"/>
        <v>1</v>
      </c>
      <c r="Y1468">
        <f t="shared" si="281"/>
        <v>1</v>
      </c>
      <c r="AB1468">
        <f t="shared" si="276"/>
        <v>1</v>
      </c>
      <c r="AC1468">
        <f t="shared" ca="1" si="277"/>
        <v>0</v>
      </c>
      <c r="AD1468" t="str">
        <f ca="1">IF(AC1468=1,COUNTIF($AC$3:AC1468,1),"")</f>
        <v/>
      </c>
      <c r="AE1468" s="155" t="str">
        <f ca="1">IFERROR(INDEX(Données!$B$3:$B$1479,MATCH(ROWS($AD$3:AD1468),$AD$3:$AD$1479,0)),"")</f>
        <v/>
      </c>
    </row>
    <row r="1469" spans="1:31" ht="15.75" x14ac:dyDescent="0.25">
      <c r="A1469" t="str">
        <f t="shared" si="274"/>
        <v>Anthony Bitetto - WPG - DG</v>
      </c>
      <c r="B1469" t="str">
        <f t="shared" si="275"/>
        <v>Anthony Bitetto - WPG - DG</v>
      </c>
      <c r="C1469" t="str">
        <f t="shared" si="269"/>
        <v>Anthony</v>
      </c>
      <c r="D1469" t="str">
        <f t="shared" si="270"/>
        <v>Bitetto</v>
      </c>
      <c r="E1469" s="39" t="s">
        <v>2030</v>
      </c>
      <c r="F1469" s="5" t="s">
        <v>35</v>
      </c>
      <c r="G1469" s="35">
        <v>0</v>
      </c>
      <c r="H1469" s="35" t="s">
        <v>2445</v>
      </c>
      <c r="I1469" s="35" t="s">
        <v>2446</v>
      </c>
      <c r="J1469" s="35">
        <v>29</v>
      </c>
      <c r="K1469" s="35">
        <f>VALUE(COUNTIF(Validation!$A$2:$H$47,E1469))</f>
        <v>0</v>
      </c>
      <c r="L1469" s="361">
        <f t="shared" si="271"/>
        <v>700000</v>
      </c>
      <c r="M1469" s="361">
        <f t="shared" si="272"/>
        <v>0</v>
      </c>
      <c r="N1469" s="358">
        <v>700000</v>
      </c>
      <c r="O1469" s="358" t="s">
        <v>7</v>
      </c>
      <c r="P1469" s="358">
        <v>0</v>
      </c>
      <c r="Q1469" s="358">
        <v>0</v>
      </c>
      <c r="R1469" s="358">
        <v>0</v>
      </c>
      <c r="S1469" s="358">
        <v>0</v>
      </c>
      <c r="T1469" s="358">
        <v>0</v>
      </c>
      <c r="U1469" s="35">
        <f t="shared" si="282"/>
        <v>1</v>
      </c>
      <c r="W1469">
        <f t="shared" si="273"/>
        <v>1</v>
      </c>
      <c r="X1469" s="35">
        <f t="shared" si="280"/>
        <v>0</v>
      </c>
      <c r="Y1469">
        <f t="shared" si="281"/>
        <v>0</v>
      </c>
      <c r="AB1469">
        <f t="shared" si="276"/>
        <v>1</v>
      </c>
      <c r="AC1469">
        <f t="shared" ca="1" si="277"/>
        <v>0</v>
      </c>
      <c r="AD1469" t="str">
        <f ca="1">IF(AC1469=1,COUNTIF($AC$3:AC1469,1),"")</f>
        <v/>
      </c>
      <c r="AE1469" s="155" t="str">
        <f ca="1">IFERROR(INDEX(Données!$B$3:$B$1479,MATCH(ROWS($AD$3:AD1469),$AD$3:$AD$1479,0)),"")</f>
        <v/>
      </c>
    </row>
    <row r="1470" spans="1:31" ht="15.75" x14ac:dyDescent="0.25">
      <c r="A1470" t="str">
        <f t="shared" si="274"/>
        <v>Seth Griffith - WPG - AD, C</v>
      </c>
      <c r="B1470" t="str">
        <f t="shared" si="275"/>
        <v>Seth Griffith - WPG - AD, C</v>
      </c>
      <c r="C1470" t="str">
        <f t="shared" si="269"/>
        <v>Seth</v>
      </c>
      <c r="D1470" t="str">
        <f t="shared" si="270"/>
        <v>Griffith</v>
      </c>
      <c r="E1470" s="39" t="s">
        <v>2110</v>
      </c>
      <c r="F1470" s="5" t="s">
        <v>35</v>
      </c>
      <c r="G1470" s="35">
        <v>0</v>
      </c>
      <c r="H1470" s="9" t="s">
        <v>2453</v>
      </c>
      <c r="I1470" s="9" t="s">
        <v>2446</v>
      </c>
      <c r="J1470" s="9">
        <v>26</v>
      </c>
      <c r="K1470" s="35">
        <f>VALUE(COUNTIF(Validation!$A$2:$H$47,E1470))</f>
        <v>0</v>
      </c>
      <c r="L1470" s="361">
        <f t="shared" si="271"/>
        <v>700000</v>
      </c>
      <c r="M1470" s="361">
        <f t="shared" si="272"/>
        <v>0</v>
      </c>
      <c r="N1470" s="358">
        <v>700000</v>
      </c>
      <c r="O1470" s="358" t="s">
        <v>7</v>
      </c>
      <c r="P1470" s="358">
        <v>0</v>
      </c>
      <c r="Q1470" s="358">
        <v>0</v>
      </c>
      <c r="R1470" s="358">
        <v>0</v>
      </c>
      <c r="S1470" s="358">
        <v>0</v>
      </c>
      <c r="T1470" s="358">
        <v>0</v>
      </c>
      <c r="U1470" s="35">
        <f t="shared" si="282"/>
        <v>1</v>
      </c>
      <c r="W1470">
        <f t="shared" si="273"/>
        <v>1</v>
      </c>
      <c r="X1470" s="35">
        <f t="shared" si="280"/>
        <v>0</v>
      </c>
      <c r="Y1470">
        <f t="shared" si="281"/>
        <v>0</v>
      </c>
      <c r="AB1470">
        <f t="shared" si="276"/>
        <v>1</v>
      </c>
      <c r="AC1470">
        <f t="shared" ca="1" si="277"/>
        <v>0</v>
      </c>
      <c r="AD1470" t="str">
        <f ca="1">IF(AC1470=1,COUNTIF($AC$3:AC1470,1),"")</f>
        <v/>
      </c>
      <c r="AE1470" s="155" t="str">
        <f ca="1">IFERROR(INDEX(Données!$B$3:$B$1479,MATCH(ROWS($AD$3:AD1470),$AD$3:$AD$1479,0)),"")</f>
        <v/>
      </c>
    </row>
    <row r="1471" spans="1:31" ht="15.75" x14ac:dyDescent="0.25">
      <c r="A1471" t="str">
        <f t="shared" si="274"/>
        <v>Mark Letestu - WPG - C, AD</v>
      </c>
      <c r="B1471" t="str">
        <f t="shared" si="275"/>
        <v>Mark Letestu - WPG - C, AD</v>
      </c>
      <c r="C1471" t="str">
        <f t="shared" si="269"/>
        <v>Mark</v>
      </c>
      <c r="D1471" t="str">
        <f t="shared" si="270"/>
        <v>Letestu</v>
      </c>
      <c r="E1471" s="39" t="s">
        <v>2663</v>
      </c>
      <c r="F1471" s="5" t="s">
        <v>35</v>
      </c>
      <c r="G1471" s="35">
        <v>0</v>
      </c>
      <c r="H1471" s="35" t="s">
        <v>2448</v>
      </c>
      <c r="I1471" s="35" t="s">
        <v>2446</v>
      </c>
      <c r="J1471" s="35">
        <v>34</v>
      </c>
      <c r="K1471" s="35">
        <f>VALUE(COUNTIF(Validation!$A$2:$H$47,E1471))</f>
        <v>0</v>
      </c>
      <c r="L1471" s="361">
        <f t="shared" si="271"/>
        <v>700000</v>
      </c>
      <c r="M1471" s="361">
        <f t="shared" si="272"/>
        <v>0</v>
      </c>
      <c r="N1471" s="358">
        <v>700000</v>
      </c>
      <c r="O1471" s="358" t="s">
        <v>7</v>
      </c>
      <c r="P1471" s="358">
        <v>0</v>
      </c>
      <c r="Q1471" s="358">
        <v>0</v>
      </c>
      <c r="R1471" s="358">
        <v>0</v>
      </c>
      <c r="S1471" s="358">
        <v>0</v>
      </c>
      <c r="T1471" s="358">
        <v>0</v>
      </c>
      <c r="U1471" s="35">
        <f t="shared" si="282"/>
        <v>1</v>
      </c>
      <c r="W1471">
        <f t="shared" si="273"/>
        <v>1</v>
      </c>
      <c r="X1471" s="35">
        <f t="shared" si="280"/>
        <v>0</v>
      </c>
      <c r="Y1471">
        <f t="shared" si="281"/>
        <v>0</v>
      </c>
      <c r="AB1471">
        <f t="shared" si="276"/>
        <v>1</v>
      </c>
      <c r="AC1471">
        <f t="shared" ca="1" si="277"/>
        <v>0</v>
      </c>
      <c r="AD1471" t="str">
        <f ca="1">IF(AC1471=1,COUNTIF($AC$3:AC1471,1),"")</f>
        <v/>
      </c>
      <c r="AE1471" s="155" t="str">
        <f ca="1">IFERROR(INDEX(Données!$B$3:$B$1479,MATCH(ROWS($AD$3:AD1471),$AD$3:$AD$1479,0)),"")</f>
        <v/>
      </c>
    </row>
    <row r="1472" spans="1:31" ht="15.75" x14ac:dyDescent="0.25">
      <c r="A1472" t="str">
        <f t="shared" si="274"/>
        <v>JC Lipon - WPG - AD</v>
      </c>
      <c r="B1472" t="str">
        <f t="shared" si="275"/>
        <v>JC Lipon - WPG - AD</v>
      </c>
      <c r="C1472" t="str">
        <f t="shared" si="269"/>
        <v>JC</v>
      </c>
      <c r="D1472" t="str">
        <f t="shared" si="270"/>
        <v>Lipon</v>
      </c>
      <c r="E1472" s="39" t="s">
        <v>2113</v>
      </c>
      <c r="F1472" s="5" t="s">
        <v>35</v>
      </c>
      <c r="G1472" s="35">
        <v>0</v>
      </c>
      <c r="H1472" s="35" t="s">
        <v>2438</v>
      </c>
      <c r="I1472" s="35" t="s">
        <v>2446</v>
      </c>
      <c r="J1472" s="35">
        <v>26</v>
      </c>
      <c r="K1472" s="35">
        <f>VALUE(COUNTIF(Validation!$A$2:$H$47,E1472))</f>
        <v>0</v>
      </c>
      <c r="L1472" s="361">
        <f t="shared" si="271"/>
        <v>700000</v>
      </c>
      <c r="M1472" s="361">
        <f t="shared" si="272"/>
        <v>0</v>
      </c>
      <c r="N1472" s="358">
        <v>700000</v>
      </c>
      <c r="O1472" s="358" t="s">
        <v>8</v>
      </c>
      <c r="P1472" s="358">
        <v>0</v>
      </c>
      <c r="Q1472" s="358">
        <v>0</v>
      </c>
      <c r="R1472" s="358">
        <v>0</v>
      </c>
      <c r="S1472" s="358">
        <v>0</v>
      </c>
      <c r="T1472" s="358">
        <v>0</v>
      </c>
      <c r="U1472" s="35">
        <f t="shared" si="282"/>
        <v>1</v>
      </c>
      <c r="W1472">
        <f t="shared" si="273"/>
        <v>1</v>
      </c>
      <c r="X1472" s="35">
        <f t="shared" si="280"/>
        <v>0</v>
      </c>
      <c r="Y1472">
        <f t="shared" si="281"/>
        <v>0</v>
      </c>
      <c r="AB1472">
        <f t="shared" si="276"/>
        <v>1</v>
      </c>
      <c r="AC1472">
        <f t="shared" ca="1" si="277"/>
        <v>0</v>
      </c>
      <c r="AD1472" t="str">
        <f ca="1">IF(AC1472=1,COUNTIF($AC$3:AC1472,1),"")</f>
        <v/>
      </c>
      <c r="AE1472" s="155" t="str">
        <f ca="1">IFERROR(INDEX(Données!$B$3:$B$1479,MATCH(ROWS($AD$3:AD1472),$AD$3:$AD$1479,0)),"")</f>
        <v/>
      </c>
    </row>
    <row r="1473" spans="1:31" ht="15.75" x14ac:dyDescent="0.25">
      <c r="A1473" t="str">
        <f t="shared" si="274"/>
        <v>Nelson Nogier - WPG - D</v>
      </c>
      <c r="B1473" t="str">
        <f t="shared" si="275"/>
        <v>Nelson Nogier - WPG - D</v>
      </c>
      <c r="C1473" t="str">
        <f t="shared" si="269"/>
        <v>Nelson</v>
      </c>
      <c r="D1473" t="str">
        <f t="shared" si="270"/>
        <v>Nogier</v>
      </c>
      <c r="E1473" s="39" t="s">
        <v>2109</v>
      </c>
      <c r="F1473" s="5" t="s">
        <v>35</v>
      </c>
      <c r="G1473" s="35">
        <v>0</v>
      </c>
      <c r="H1473" s="35" t="s">
        <v>82</v>
      </c>
      <c r="I1473" s="35" t="s">
        <v>2446</v>
      </c>
      <c r="J1473" s="35">
        <v>23</v>
      </c>
      <c r="K1473" s="35">
        <f>VALUE(COUNTIF(Validation!$A$2:$H$47,E1473))</f>
        <v>0</v>
      </c>
      <c r="L1473" s="361">
        <f t="shared" si="271"/>
        <v>700000</v>
      </c>
      <c r="M1473" s="361">
        <f t="shared" si="272"/>
        <v>0</v>
      </c>
      <c r="N1473" s="358">
        <v>700000</v>
      </c>
      <c r="O1473" s="358" t="s">
        <v>8</v>
      </c>
      <c r="P1473" s="358">
        <v>0</v>
      </c>
      <c r="Q1473" s="358">
        <v>0</v>
      </c>
      <c r="R1473" s="358">
        <v>0</v>
      </c>
      <c r="S1473" s="358">
        <v>0</v>
      </c>
      <c r="T1473" s="358">
        <v>0</v>
      </c>
      <c r="U1473" s="35">
        <f t="shared" si="282"/>
        <v>1</v>
      </c>
      <c r="W1473">
        <f t="shared" si="273"/>
        <v>1</v>
      </c>
      <c r="X1473" s="35">
        <f t="shared" si="280"/>
        <v>0</v>
      </c>
      <c r="Y1473">
        <f t="shared" si="281"/>
        <v>0</v>
      </c>
      <c r="AB1473">
        <f t="shared" si="276"/>
        <v>1</v>
      </c>
      <c r="AC1473">
        <f t="shared" ca="1" si="277"/>
        <v>0</v>
      </c>
      <c r="AD1473" t="str">
        <f ca="1">IF(AC1473=1,COUNTIF($AC$3:AC1473,1),"")</f>
        <v/>
      </c>
      <c r="AE1473" s="155" t="str">
        <f ca="1">IFERROR(INDEX(Données!$B$3:$B$1479,MATCH(ROWS($AD$3:AD1473),$AD$3:$AD$1479,0)),"")</f>
        <v/>
      </c>
    </row>
    <row r="1474" spans="1:31" ht="15.75" x14ac:dyDescent="0.25">
      <c r="A1474" t="str">
        <f t="shared" si="274"/>
        <v>Cameron Schilling - WPG - DG</v>
      </c>
      <c r="B1474" t="str">
        <f t="shared" si="275"/>
        <v>Cameron Schilling - WPG - DG</v>
      </c>
      <c r="C1474" t="str">
        <f t="shared" si="269"/>
        <v>Cameron</v>
      </c>
      <c r="D1474" t="str">
        <f t="shared" si="270"/>
        <v>Schilling</v>
      </c>
      <c r="E1474" s="39" t="s">
        <v>2111</v>
      </c>
      <c r="F1474" s="5" t="s">
        <v>35</v>
      </c>
      <c r="G1474" s="35">
        <v>0</v>
      </c>
      <c r="H1474" s="35" t="s">
        <v>2445</v>
      </c>
      <c r="I1474" s="35" t="s">
        <v>2446</v>
      </c>
      <c r="J1474" s="35">
        <v>30</v>
      </c>
      <c r="K1474" s="35">
        <f>VALUE(COUNTIF(Validation!$A$2:$H$47,E1474))</f>
        <v>0</v>
      </c>
      <c r="L1474" s="361">
        <f t="shared" si="271"/>
        <v>700000</v>
      </c>
      <c r="M1474" s="361">
        <f t="shared" si="272"/>
        <v>0</v>
      </c>
      <c r="N1474" s="358">
        <v>700000</v>
      </c>
      <c r="O1474" s="358" t="s">
        <v>7</v>
      </c>
      <c r="P1474" s="358">
        <v>0</v>
      </c>
      <c r="Q1474" s="358">
        <v>0</v>
      </c>
      <c r="R1474" s="358">
        <v>0</v>
      </c>
      <c r="S1474" s="358">
        <v>0</v>
      </c>
      <c r="T1474" s="358">
        <v>0</v>
      </c>
      <c r="U1474" s="35">
        <f t="shared" si="282"/>
        <v>1</v>
      </c>
      <c r="W1474">
        <f t="shared" si="273"/>
        <v>1</v>
      </c>
      <c r="X1474" s="35">
        <f t="shared" si="280"/>
        <v>0</v>
      </c>
      <c r="Y1474">
        <f t="shared" si="281"/>
        <v>0</v>
      </c>
      <c r="AB1474">
        <f t="shared" si="276"/>
        <v>1</v>
      </c>
      <c r="AC1474">
        <f t="shared" ca="1" si="277"/>
        <v>0</v>
      </c>
      <c r="AD1474" t="str">
        <f ca="1">IF(AC1474=1,COUNTIF($AC$3:AC1474,1),"")</f>
        <v/>
      </c>
      <c r="AE1474" s="155" t="str">
        <f ca="1">IFERROR(INDEX(Données!$B$3:$B$1479,MATCH(ROWS($AD$3:AD1474),$AD$3:$AD$1479,0)),"")</f>
        <v/>
      </c>
    </row>
    <row r="1475" spans="1:31" ht="15.75" x14ac:dyDescent="0.25">
      <c r="A1475" t="str">
        <f t="shared" si="274"/>
        <v>Logan Shaw - WPG - C, AD</v>
      </c>
      <c r="B1475" t="str">
        <f t="shared" si="275"/>
        <v>Logan Shaw - WPG - C, AD</v>
      </c>
      <c r="C1475" t="str">
        <f t="shared" si="269"/>
        <v>Logan</v>
      </c>
      <c r="D1475" t="str">
        <f t="shared" ref="D1475:D1479" si="283">LEFT(E1475,SEARCH(",",E1475,1)-1)</f>
        <v>Shaw</v>
      </c>
      <c r="E1475" s="39" t="s">
        <v>2662</v>
      </c>
      <c r="F1475" s="5" t="s">
        <v>35</v>
      </c>
      <c r="G1475" s="35">
        <v>0</v>
      </c>
      <c r="H1475" s="5" t="s">
        <v>2448</v>
      </c>
      <c r="I1475" s="35" t="s">
        <v>2446</v>
      </c>
      <c r="J1475" s="35">
        <v>26</v>
      </c>
      <c r="K1475" s="35">
        <f>VALUE(COUNTIF(Validation!$A$2:$H$47,E1475))</f>
        <v>0</v>
      </c>
      <c r="L1475" s="361">
        <f t="shared" si="271"/>
        <v>700000</v>
      </c>
      <c r="M1475" s="361">
        <f t="shared" si="272"/>
        <v>0</v>
      </c>
      <c r="N1475" s="358">
        <v>700000</v>
      </c>
      <c r="O1475" s="358" t="s">
        <v>7</v>
      </c>
      <c r="P1475" s="358">
        <v>0</v>
      </c>
      <c r="Q1475" s="358">
        <v>0</v>
      </c>
      <c r="R1475" s="358">
        <v>0</v>
      </c>
      <c r="S1475" s="358">
        <v>0</v>
      </c>
      <c r="T1475" s="358">
        <v>0</v>
      </c>
      <c r="U1475" s="35">
        <f t="shared" si="282"/>
        <v>1</v>
      </c>
      <c r="W1475">
        <f t="shared" si="273"/>
        <v>1</v>
      </c>
      <c r="X1475" s="35">
        <f t="shared" si="280"/>
        <v>0</v>
      </c>
      <c r="Y1475">
        <f t="shared" si="281"/>
        <v>0</v>
      </c>
      <c r="AB1475">
        <f t="shared" si="276"/>
        <v>1</v>
      </c>
      <c r="AC1475">
        <f t="shared" ca="1" si="277"/>
        <v>0</v>
      </c>
      <c r="AD1475" t="str">
        <f ca="1">IF(AC1475=1,COUNTIF($AC$3:AC1475,1),"")</f>
        <v/>
      </c>
      <c r="AE1475" s="155" t="str">
        <f ca="1">IFERROR(INDEX(Données!$B$3:$B$1479,MATCH(ROWS($AD$3:AD1475),$AD$3:$AD$1479,0)),"")</f>
        <v/>
      </c>
    </row>
    <row r="1476" spans="1:31" ht="15.75" x14ac:dyDescent="0.25">
      <c r="A1476" t="str">
        <f t="shared" ref="A1476:A1479" si="284">C1476&amp;" "&amp;D1476&amp;" - "&amp;F1476&amp;" - "&amp;H1476</f>
        <v>C.J. Suess - WPG - AG</v>
      </c>
      <c r="B1476" t="str">
        <f t="shared" ref="B1476:B1479" si="285">A1476</f>
        <v>C.J. Suess - WPG - AG</v>
      </c>
      <c r="C1476" t="str">
        <f t="shared" si="269"/>
        <v>C.J.</v>
      </c>
      <c r="D1476" t="str">
        <f t="shared" si="283"/>
        <v>Suess</v>
      </c>
      <c r="E1476" s="39" t="s">
        <v>2101</v>
      </c>
      <c r="F1476" s="5" t="s">
        <v>35</v>
      </c>
      <c r="G1476" s="35">
        <v>0</v>
      </c>
      <c r="H1476" s="5" t="s">
        <v>2440</v>
      </c>
      <c r="I1476" s="35" t="s">
        <v>2446</v>
      </c>
      <c r="J1476" s="35">
        <v>25</v>
      </c>
      <c r="K1476" s="35">
        <f>VALUE(COUNTIF(Validation!$A$2:$H$47,E1476))</f>
        <v>0</v>
      </c>
      <c r="L1476" s="361">
        <f t="shared" si="271"/>
        <v>700000</v>
      </c>
      <c r="M1476" s="361">
        <f t="shared" si="272"/>
        <v>0</v>
      </c>
      <c r="N1476" s="358">
        <v>700000</v>
      </c>
      <c r="O1476" s="358" t="s">
        <v>8</v>
      </c>
      <c r="P1476" s="358">
        <v>0</v>
      </c>
      <c r="Q1476" s="358">
        <v>0</v>
      </c>
      <c r="R1476" s="358">
        <v>0</v>
      </c>
      <c r="S1476" s="358">
        <v>0</v>
      </c>
      <c r="T1476" s="358">
        <v>0</v>
      </c>
      <c r="U1476" s="35">
        <f t="shared" si="282"/>
        <v>1</v>
      </c>
      <c r="W1476">
        <f t="shared" si="273"/>
        <v>1</v>
      </c>
      <c r="X1476" s="35">
        <f t="shared" si="280"/>
        <v>0</v>
      </c>
      <c r="Y1476">
        <f t="shared" si="281"/>
        <v>0</v>
      </c>
      <c r="AB1476">
        <f t="shared" ref="AB1476:AB1479" si="286">SEARCH(AA1476,A1476)</f>
        <v>1</v>
      </c>
      <c r="AC1476">
        <f t="shared" ca="1" si="277"/>
        <v>0</v>
      </c>
      <c r="AD1476" t="str">
        <f ca="1">IF(AC1476=1,COUNTIF($AC$3:AC1476,1),"")</f>
        <v/>
      </c>
      <c r="AE1476" s="155" t="str">
        <f ca="1">IFERROR(INDEX(Données!$B$3:$B$1479,MATCH(ROWS($AD$3:AD1476),$AD$3:$AD$1479,0)),"")</f>
        <v/>
      </c>
    </row>
    <row r="1477" spans="1:31" ht="15.75" x14ac:dyDescent="0.25">
      <c r="A1477" t="str">
        <f t="shared" si="284"/>
        <v>Eric Comrie - WPG - G</v>
      </c>
      <c r="B1477" t="str">
        <f t="shared" si="285"/>
        <v>Eric Comrie - WPG - G</v>
      </c>
      <c r="C1477" t="str">
        <f t="shared" si="269"/>
        <v>Eric</v>
      </c>
      <c r="D1477" t="str">
        <f t="shared" si="283"/>
        <v>Comrie</v>
      </c>
      <c r="E1477" s="39" t="s">
        <v>2112</v>
      </c>
      <c r="F1477" s="5" t="s">
        <v>35</v>
      </c>
      <c r="G1477" s="35">
        <v>0</v>
      </c>
      <c r="H1477" s="5" t="s">
        <v>127</v>
      </c>
      <c r="I1477" s="35" t="s">
        <v>2439</v>
      </c>
      <c r="J1477" s="35">
        <v>24</v>
      </c>
      <c r="K1477" s="35">
        <f>VALUE(COUNTIF(Validation!$A$2:$H$47,E1477))</f>
        <v>0</v>
      </c>
      <c r="L1477" s="361">
        <f t="shared" si="271"/>
        <v>0</v>
      </c>
      <c r="M1477" s="361">
        <f t="shared" si="272"/>
        <v>0</v>
      </c>
      <c r="N1477" s="358" t="s">
        <v>8</v>
      </c>
      <c r="O1477" s="358">
        <v>0</v>
      </c>
      <c r="P1477" s="358">
        <v>0</v>
      </c>
      <c r="Q1477" s="358">
        <v>0</v>
      </c>
      <c r="R1477" s="358">
        <v>0</v>
      </c>
      <c r="S1477" s="358">
        <v>0</v>
      </c>
      <c r="T1477" s="358">
        <v>0</v>
      </c>
      <c r="U1477" s="35">
        <f t="shared" si="282"/>
        <v>0</v>
      </c>
      <c r="W1477">
        <f t="shared" si="273"/>
        <v>1</v>
      </c>
      <c r="X1477" s="35">
        <f t="shared" si="280"/>
        <v>0</v>
      </c>
      <c r="Y1477">
        <f t="shared" si="281"/>
        <v>1</v>
      </c>
      <c r="AB1477">
        <f t="shared" si="286"/>
        <v>1</v>
      </c>
      <c r="AC1477">
        <f t="shared" ref="AC1477:AC1479" ca="1" si="287">IFERROR(SEARCH(INDIRECT(CELL("adresse")),B1477,1),0)</f>
        <v>0</v>
      </c>
      <c r="AD1477" t="str">
        <f ca="1">IF(AC1477=1,COUNTIF($AC$3:AC1477,1),"")</f>
        <v/>
      </c>
      <c r="AE1477" s="155" t="str">
        <f ca="1">IFERROR(INDEX(Données!$B$3:$B$1479,MATCH(ROWS($AD$3:AD1477),$AD$3:$AD$1479,0)),"")</f>
        <v/>
      </c>
    </row>
    <row r="1478" spans="1:31" ht="15.75" x14ac:dyDescent="0.25">
      <c r="A1478" t="str">
        <f t="shared" si="284"/>
        <v>Kyle Connor - WPG - AG</v>
      </c>
      <c r="B1478" t="str">
        <f t="shared" si="285"/>
        <v>Kyle Connor - WPG - AG</v>
      </c>
      <c r="C1478" t="str">
        <f t="shared" si="269"/>
        <v>Kyle</v>
      </c>
      <c r="D1478" t="str">
        <f t="shared" si="283"/>
        <v>Connor</v>
      </c>
      <c r="E1478" s="39" t="s">
        <v>2088</v>
      </c>
      <c r="F1478" s="5" t="s">
        <v>35</v>
      </c>
      <c r="G1478" s="35">
        <v>0</v>
      </c>
      <c r="H1478" s="5" t="s">
        <v>2440</v>
      </c>
      <c r="I1478" s="35" t="s">
        <v>2439</v>
      </c>
      <c r="J1478" s="35">
        <v>22</v>
      </c>
      <c r="K1478" s="35">
        <f>VALUE(COUNTIF(Validation!$A$2:$H$47,E1478))</f>
        <v>0</v>
      </c>
      <c r="L1478" s="361">
        <f t="shared" si="271"/>
        <v>0</v>
      </c>
      <c r="M1478" s="361">
        <f t="shared" si="272"/>
        <v>0</v>
      </c>
      <c r="N1478" s="358" t="s">
        <v>8</v>
      </c>
      <c r="O1478" s="358">
        <v>0</v>
      </c>
      <c r="P1478" s="358">
        <v>0</v>
      </c>
      <c r="Q1478" s="358">
        <v>0</v>
      </c>
      <c r="R1478" s="358">
        <v>0</v>
      </c>
      <c r="S1478" s="358">
        <v>0</v>
      </c>
      <c r="T1478" s="358">
        <v>0</v>
      </c>
      <c r="U1478" s="35">
        <f t="shared" si="282"/>
        <v>0</v>
      </c>
      <c r="W1478">
        <f t="shared" si="273"/>
        <v>1</v>
      </c>
      <c r="X1478" s="35">
        <f t="shared" si="280"/>
        <v>0</v>
      </c>
      <c r="Y1478">
        <f t="shared" si="281"/>
        <v>1</v>
      </c>
      <c r="AB1478">
        <f t="shared" si="286"/>
        <v>1</v>
      </c>
      <c r="AC1478">
        <f t="shared" ca="1" si="287"/>
        <v>0</v>
      </c>
      <c r="AD1478" t="str">
        <f ca="1">IF(AC1478=1,COUNTIF($AC$3:AC1478,1),"")</f>
        <v/>
      </c>
      <c r="AE1478" s="155" t="str">
        <f ca="1">IFERROR(INDEX(Données!$B$3:$B$1479,MATCH(ROWS($AD$3:AD1478),$AD$3:$AD$1479,0)),"")</f>
        <v/>
      </c>
    </row>
    <row r="1479" spans="1:31" ht="15.75" x14ac:dyDescent="0.25">
      <c r="A1479" t="str">
        <f t="shared" si="284"/>
        <v>Patrik Laine - WPG - AG, AD</v>
      </c>
      <c r="B1479" t="str">
        <f t="shared" si="285"/>
        <v>Patrik Laine - WPG - AG, AD</v>
      </c>
      <c r="C1479" t="str">
        <f t="shared" si="269"/>
        <v>Patrik</v>
      </c>
      <c r="D1479" t="str">
        <f t="shared" si="283"/>
        <v>Laine</v>
      </c>
      <c r="E1479" s="39" t="s">
        <v>2087</v>
      </c>
      <c r="F1479" s="5" t="s">
        <v>35</v>
      </c>
      <c r="G1479" s="35">
        <v>0</v>
      </c>
      <c r="H1479" s="5" t="s">
        <v>2442</v>
      </c>
      <c r="I1479" s="35" t="s">
        <v>2439</v>
      </c>
      <c r="J1479" s="35">
        <v>21</v>
      </c>
      <c r="K1479" s="35">
        <f>VALUE(COUNTIF(Validation!$A$2:$H$47,E1479))</f>
        <v>0</v>
      </c>
      <c r="L1479" s="361">
        <f t="shared" si="271"/>
        <v>0</v>
      </c>
      <c r="M1479" s="361">
        <f t="shared" si="272"/>
        <v>0</v>
      </c>
      <c r="N1479" s="358" t="s">
        <v>8</v>
      </c>
      <c r="O1479" s="358">
        <v>0</v>
      </c>
      <c r="P1479" s="358">
        <v>0</v>
      </c>
      <c r="Q1479" s="358">
        <v>0</v>
      </c>
      <c r="R1479" s="358">
        <v>0</v>
      </c>
      <c r="S1479" s="358">
        <v>0</v>
      </c>
      <c r="T1479" s="358">
        <v>0</v>
      </c>
      <c r="U1479" s="35">
        <f t="shared" si="282"/>
        <v>0</v>
      </c>
      <c r="W1479">
        <f t="shared" si="273"/>
        <v>1</v>
      </c>
      <c r="X1479" s="35">
        <f t="shared" si="280"/>
        <v>0</v>
      </c>
      <c r="Y1479">
        <f t="shared" si="281"/>
        <v>1</v>
      </c>
      <c r="AB1479">
        <f t="shared" si="286"/>
        <v>1</v>
      </c>
      <c r="AC1479">
        <f t="shared" ca="1" si="287"/>
        <v>0</v>
      </c>
      <c r="AD1479" t="str">
        <f ca="1">IF(AC1479=1,COUNTIF($AC$3:AC1479,1),"")</f>
        <v/>
      </c>
      <c r="AE1479" s="155" t="str">
        <f ca="1">IFERROR(INDEX(Données!$B$3:$B$1479,MATCH(ROWS($AD$3:AD1479),$AD$3:$AD$1479,0)),"")</f>
        <v/>
      </c>
    </row>
  </sheetData>
  <autoFilter ref="E2:W1479">
    <sortState ref="E3:AA1684">
      <sortCondition ref="F3:F1684"/>
      <sortCondition descending="1" ref="L3:L1684"/>
    </sortState>
  </autoFilter>
  <sortState ref="A3:T1479">
    <sortCondition ref="F3:F1479"/>
    <sortCondition descending="1" ref="L3:L1479"/>
  </sortState>
  <mergeCells count="2">
    <mergeCell ref="L1:M1"/>
    <mergeCell ref="N1:T1"/>
  </mergeCells>
  <phoneticPr fontId="0" type="noConversion"/>
  <conditionalFormatting sqref="N1408:Q1479 N330:Q343 N1362:Q1368 N1302:S1302 N1077:S1077 N1369:T1369 N1265:Q1301 N1264:S1264 N3:Q218 R522 N345:Q929 N344:T344 N220:Q328 N219:T219 N1180:Q1222 N1370:Q1405 R1370:T1479 N1303:T1361 N1223:T1263 N1078:T1179 N930:T1076">
    <cfRule type="cellIs" dxfId="11" priority="48" stopIfTrue="1" operator="equal">
      <formula>"RFA"</formula>
    </cfRule>
    <cfRule type="cellIs" dxfId="10" priority="49" stopIfTrue="1" operator="equal">
      <formula>"UFA"</formula>
    </cfRule>
  </conditionalFormatting>
  <conditionalFormatting sqref="N329:Q329">
    <cfRule type="cellIs" dxfId="9" priority="30" stopIfTrue="1" operator="equal">
      <formula>"RFA"</formula>
    </cfRule>
    <cfRule type="cellIs" dxfId="8" priority="31" stopIfTrue="1" operator="equal">
      <formula>"UFA"</formula>
    </cfRule>
  </conditionalFormatting>
  <conditionalFormatting sqref="L3">
    <cfRule type="expression" dxfId="7" priority="9">
      <formula>"&lt;&gt;H3"</formula>
    </cfRule>
    <cfRule type="cellIs" dxfId="6" priority="13" operator="equal">
      <formula>0</formula>
    </cfRule>
  </conditionalFormatting>
  <conditionalFormatting sqref="L4:L1479 M3:M1479">
    <cfRule type="cellIs" dxfId="5" priority="12" operator="equal">
      <formula>0</formula>
    </cfRule>
  </conditionalFormatting>
  <conditionalFormatting sqref="M4:M16">
    <cfRule type="expression" dxfId="4" priority="8">
      <formula>"&lt;&gt;H3"</formula>
    </cfRule>
  </conditionalFormatting>
  <conditionalFormatting sqref="M3:M1479">
    <cfRule type="cellIs" dxfId="3" priority="7" operator="notEqual">
      <formula>L3</formula>
    </cfRule>
  </conditionalFormatting>
  <conditionalFormatting sqref="M4:M16">
    <cfRule type="cellIs" dxfId="2" priority="6" operator="notEqual">
      <formula>L4</formula>
    </cfRule>
  </conditionalFormatting>
  <conditionalFormatting sqref="R3:T218 R1362:T1368 T1302 T1077 R1265:T1301 T1264 R523:T929 S522:T522 R345:T521 R220:T343 R1180:T1222">
    <cfRule type="cellIs" dxfId="1" priority="4" stopIfTrue="1" operator="equal">
      <formula>"RFA"</formula>
    </cfRule>
    <cfRule type="cellIs" dxfId="0" priority="5" stopIfTrue="1" operator="equal">
      <formula>"UFA"</formula>
    </cfRule>
  </conditionalFormatting>
  <conditionalFormatting sqref="K3:K1479">
    <cfRule type="iconSet" priority="214">
      <iconSet iconSet="3Symbols" showValue="0" reverse="1">
        <cfvo type="percent" val="0"/>
        <cfvo type="percent" val="0" gte="0"/>
        <cfvo type="percent" val="1"/>
      </iconSe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215" id="{1D5021B2-98AC-4588-8192-E601FA967F62}">
            <x14:iconSet iconSet="3Stars" custom="1">
              <x14:cfvo type="percent">
                <xm:f>0</xm:f>
              </x14:cfvo>
              <x14:cfvo type="percent">
                <xm:f>33</xm:f>
              </x14:cfvo>
              <x14:cfvo type="formula">
                <xm:f>ELC</xm:f>
              </x14:cfvo>
              <x14:cfIcon iconSet="NoIcons" iconId="0"/>
              <x14:cfIcon iconSet="NoIcons" iconId="0"/>
              <x14:cfIcon iconSet="3Stars" iconId="2"/>
            </x14:iconSet>
          </x14:cfRule>
          <xm:sqref>G3:G1479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T73"/>
  <sheetViews>
    <sheetView zoomScale="85" zoomScaleNormal="85" workbookViewId="0">
      <selection activeCell="C58" sqref="C58"/>
    </sheetView>
  </sheetViews>
  <sheetFormatPr baseColWidth="10" defaultRowHeight="15" x14ac:dyDescent="0.25"/>
  <cols>
    <col min="1" max="1" width="12.42578125" customWidth="1"/>
    <col min="2" max="2" width="24.7109375" customWidth="1"/>
    <col min="3" max="3" width="7.140625" style="35" bestFit="1" customWidth="1"/>
    <col min="4" max="4" width="4" style="35" bestFit="1" customWidth="1"/>
    <col min="5" max="5" width="13.140625" bestFit="1" customWidth="1"/>
    <col min="6" max="6" width="24.140625" bestFit="1" customWidth="1"/>
    <col min="7" max="7" width="15.42578125" style="16" bestFit="1" customWidth="1"/>
    <col min="8" max="8" width="23.7109375" bestFit="1" customWidth="1"/>
    <col min="9" max="9" width="11.28515625" customWidth="1"/>
    <col min="10" max="10" width="2" customWidth="1"/>
    <col min="11" max="11" width="15.28515625" customWidth="1"/>
    <col min="12" max="12" width="25.140625" customWidth="1"/>
    <col min="13" max="13" width="2" style="54" customWidth="1"/>
    <col min="15" max="15" width="18.85546875" customWidth="1"/>
    <col min="16" max="16" width="24.42578125" bestFit="1" customWidth="1"/>
    <col min="17" max="17" width="10.28515625" customWidth="1"/>
  </cols>
  <sheetData>
    <row r="1" spans="1:20" ht="21.75" thickBot="1" x14ac:dyDescent="0.4">
      <c r="A1" s="510" t="s">
        <v>41</v>
      </c>
      <c r="B1" s="510"/>
      <c r="C1" s="510"/>
      <c r="D1" s="340"/>
      <c r="E1" s="48" t="s">
        <v>187</v>
      </c>
      <c r="F1" s="306">
        <f>SUM(F3:F30)</f>
        <v>0</v>
      </c>
      <c r="G1" s="48" t="s">
        <v>188</v>
      </c>
      <c r="H1" s="306">
        <f>F32</f>
        <v>102000000</v>
      </c>
      <c r="I1" s="50"/>
      <c r="J1" s="54"/>
      <c r="K1" s="34" t="s">
        <v>59</v>
      </c>
      <c r="L1" s="34"/>
      <c r="N1" s="54"/>
      <c r="O1" s="515" t="s">
        <v>45</v>
      </c>
      <c r="P1" s="515"/>
      <c r="Q1" s="515"/>
      <c r="R1" s="515"/>
      <c r="S1" s="398"/>
    </row>
    <row r="2" spans="1:20" ht="30" x14ac:dyDescent="0.25">
      <c r="A2" s="500" t="s">
        <v>38</v>
      </c>
      <c r="B2" s="7" t="s">
        <v>36</v>
      </c>
      <c r="C2" s="7" t="s">
        <v>52</v>
      </c>
      <c r="D2" s="7" t="s">
        <v>403</v>
      </c>
      <c r="E2" s="7" t="s">
        <v>5</v>
      </c>
      <c r="F2" s="24" t="s">
        <v>1155</v>
      </c>
      <c r="G2" s="49" t="s">
        <v>189</v>
      </c>
      <c r="H2" s="19" t="s">
        <v>2676</v>
      </c>
      <c r="I2" s="51" t="s">
        <v>2403</v>
      </c>
      <c r="J2" s="54"/>
      <c r="N2" s="40" t="s">
        <v>112</v>
      </c>
      <c r="O2" s="380" t="s">
        <v>108</v>
      </c>
      <c r="P2" s="388" t="s">
        <v>109</v>
      </c>
      <c r="Q2" s="15" t="s">
        <v>46</v>
      </c>
      <c r="R2" s="15" t="s">
        <v>55</v>
      </c>
    </row>
    <row r="3" spans="1:20" ht="15.75" x14ac:dyDescent="0.25">
      <c r="A3" s="500"/>
      <c r="B3" s="11" t="s">
        <v>220</v>
      </c>
      <c r="C3" s="9" t="str">
        <f>IF(ISERROR(VLOOKUP(B3,Données!$A$3:$L$1479,5,FALSE)),"",VLOOKUP(B3,Données!$A$3:$L$1479,5,FALSE))</f>
        <v/>
      </c>
      <c r="D3" s="347" t="str">
        <f>IF(ISERROR(VLOOKUP(B3,Données!$A$3:$X$1479,23,FALSE)),"",VLOOKUP(B3,Données!$A$3:$X$1479,23,FALSE))</f>
        <v/>
      </c>
      <c r="E3" s="9" t="str">
        <f>IF(ISERROR(VLOOKUP(B3,Données!$A$3:$L$1479,7,FALSE)),"",VLOOKUP(B3,Données!$A$3:$L$1479,7,FALSE))</f>
        <v/>
      </c>
      <c r="F3" s="25">
        <f>IF(ISERROR(VLOOKUP(B3,Données!$A$3:$U$1479,11,FALSE)),0,VLOOKUP(B3,Données!$A$3:$U$1479,11,FALSE))</f>
        <v>0</v>
      </c>
      <c r="G3" s="17">
        <f>VALUE(COUNTIF(Validation!$A$2:$H$64,B3))-1</f>
        <v>0</v>
      </c>
      <c r="H3" s="363">
        <f>IF(ISERROR(VLOOKUP(B3,Données!$A$3:$U$1479,12,FALSE)),0,VLOOKUP(B3,Données!$A$3:$U$1479,12,FALSE))</f>
        <v>0</v>
      </c>
      <c r="I3" s="52">
        <f>IF(ISERROR(VLOOKUP(B3,Données!$A$3:$U$1479,20,FALSE)),0,VLOOKUP(B3,Données!$A$3:$U$1479,20,FALSE))</f>
        <v>0</v>
      </c>
      <c r="J3" s="54"/>
      <c r="R3" s="466" t="str">
        <f>IF(Q3="","",Q3+7)</f>
        <v/>
      </c>
    </row>
    <row r="4" spans="1:20" ht="15.75" x14ac:dyDescent="0.25">
      <c r="A4" s="500"/>
      <c r="B4" s="6" t="s">
        <v>344</v>
      </c>
      <c r="C4" s="9" t="str">
        <f>IF(ISERROR(VLOOKUP(B4,Données!$A$3:$L$1479,5,FALSE)),"",VLOOKUP(B4,Données!$A$3:$L$1479,5,FALSE))</f>
        <v/>
      </c>
      <c r="D4" s="347" t="str">
        <f>IF(ISERROR(VLOOKUP(B4,Données!$A$3:$X$1479,23,FALSE)),"",VLOOKUP(B4,Données!$A$3:$X$1479,23,FALSE))</f>
        <v/>
      </c>
      <c r="E4" s="9" t="str">
        <f>IF(ISERROR(VLOOKUP(B4,Données!$A$3:$L$1479,7,FALSE)),"",VLOOKUP(B4,Données!$A$3:$L$1479,7,FALSE))</f>
        <v/>
      </c>
      <c r="F4" s="25">
        <f>IF(ISERROR(VLOOKUP(B4,Données!$A$3:$U$1479,11,FALSE)),0,VLOOKUP(B4,Données!$A$3:$U$1479,11,FALSE))</f>
        <v>0</v>
      </c>
      <c r="G4" s="17">
        <f>VALUE(COUNTIF(Validation!$A$2:$H$64,B4))-1</f>
        <v>0</v>
      </c>
      <c r="H4" s="363">
        <f>IF(ISERROR(VLOOKUP(B4,Données!$A$3:$U$1479,12,FALSE)),0,VLOOKUP(B4,Données!$A$3:$U$1479,12,FALSE))</f>
        <v>0</v>
      </c>
      <c r="I4" s="52">
        <f>IF(ISERROR(VLOOKUP(B4,Données!$A$3:$U$1479,20,FALSE)),0,VLOOKUP(B4,Données!$A$3:$U$1479,20,FALSE))</f>
        <v>0</v>
      </c>
      <c r="J4" s="54"/>
      <c r="R4" s="466" t="str">
        <f t="shared" ref="R4:R31" si="0">IF(Q4="","",Q4+7)</f>
        <v/>
      </c>
    </row>
    <row r="5" spans="1:20" ht="15.75" x14ac:dyDescent="0.25">
      <c r="A5" s="500"/>
      <c r="B5" s="6" t="s">
        <v>1073</v>
      </c>
      <c r="C5" s="9" t="str">
        <f>IF(ISERROR(VLOOKUP(B5,Données!$A$3:$L$1479,5,FALSE)),"",VLOOKUP(B5,Données!$A$3:$L$1479,5,FALSE))</f>
        <v/>
      </c>
      <c r="D5" s="347" t="str">
        <f>IF(ISERROR(VLOOKUP(B5,Données!$A$3:$X$1479,23,FALSE)),"",VLOOKUP(B5,Données!$A$3:$X$1479,23,FALSE))</f>
        <v/>
      </c>
      <c r="E5" s="9" t="str">
        <f>IF(ISERROR(VLOOKUP(B5,Données!$A$3:$L$1479,7,FALSE)),"",VLOOKUP(B5,Données!$A$3:$L$1479,7,FALSE))</f>
        <v/>
      </c>
      <c r="F5" s="25">
        <f>IF(ISERROR(VLOOKUP(B5,Données!$A$3:$U$1479,11,FALSE)),0,VLOOKUP(B5,Données!$A$3:$U$1479,11,FALSE))</f>
        <v>0</v>
      </c>
      <c r="G5" s="17">
        <f>VALUE(COUNTIF(Validation!$A$2:$H$64,B5))-1</f>
        <v>0</v>
      </c>
      <c r="H5" s="363">
        <f>IF(ISERROR(VLOOKUP(B5,Données!$A$3:$U$1479,12,FALSE)),0,VLOOKUP(B5,Données!$A$3:$U$1479,12,FALSE))</f>
        <v>0</v>
      </c>
      <c r="I5" s="52">
        <f>IF(ISERROR(VLOOKUP(B5,Données!$A$3:$U$1479,20,FALSE)),0,VLOOKUP(B5,Données!$A$3:$U$1479,20,FALSE))</f>
        <v>0</v>
      </c>
      <c r="J5" s="54"/>
      <c r="R5" s="466" t="str">
        <f t="shared" si="0"/>
        <v/>
      </c>
    </row>
    <row r="6" spans="1:20" ht="15.75" x14ac:dyDescent="0.25">
      <c r="A6" s="500"/>
      <c r="B6" s="11" t="s">
        <v>346</v>
      </c>
      <c r="C6" s="9" t="str">
        <f>IF(ISERROR(VLOOKUP(B6,Données!$A$3:$L$1479,5,FALSE)),"",VLOOKUP(B6,Données!$A$3:$L$1479,5,FALSE))</f>
        <v/>
      </c>
      <c r="D6" s="347" t="str">
        <f>IF(ISERROR(VLOOKUP(B6,Données!$A$3:$X$1479,23,FALSE)),"",VLOOKUP(B6,Données!$A$3:$X$1479,23,FALSE))</f>
        <v/>
      </c>
      <c r="E6" s="9" t="str">
        <f>IF(ISERROR(VLOOKUP(B6,Données!$A$3:$L$1479,7,FALSE)),"",VLOOKUP(B6,Données!$A$3:$L$1479,7,FALSE))</f>
        <v/>
      </c>
      <c r="F6" s="25">
        <f>IF(ISERROR(VLOOKUP(B6,Données!$A$3:$U$1479,11,FALSE)),0,VLOOKUP(B6,Données!$A$3:$U$1479,11,FALSE))</f>
        <v>0</v>
      </c>
      <c r="G6" s="17">
        <f>VALUE(COUNTIF(Validation!$A$2:$H$64,B6))-1</f>
        <v>0</v>
      </c>
      <c r="H6" s="363">
        <f>IF(ISERROR(VLOOKUP(B6,Données!$A$3:$U$1479,12,FALSE)),0,VLOOKUP(B6,Données!$A$3:$U$1479,12,FALSE))</f>
        <v>0</v>
      </c>
      <c r="I6" s="52">
        <f>IF(ISERROR(VLOOKUP(B6,Données!$A$3:$U$1479,20,FALSE)),0,VLOOKUP(B6,Données!$A$3:$U$1479,20,FALSE))</f>
        <v>0</v>
      </c>
      <c r="J6" s="54"/>
      <c r="Q6" s="466"/>
      <c r="R6" s="466" t="str">
        <f t="shared" si="0"/>
        <v/>
      </c>
    </row>
    <row r="7" spans="1:20" ht="15.75" x14ac:dyDescent="0.25">
      <c r="A7" s="500"/>
      <c r="B7" s="11" t="s">
        <v>347</v>
      </c>
      <c r="C7" s="9" t="str">
        <f>IF(ISERROR(VLOOKUP(B7,Données!$A$3:$L$1479,5,FALSE)),"",VLOOKUP(B7,Données!$A$3:$L$1479,5,FALSE))</f>
        <v/>
      </c>
      <c r="D7" s="347" t="str">
        <f>IF(ISERROR(VLOOKUP(B7,Données!$A$3:$X$1479,23,FALSE)),"",VLOOKUP(B7,Données!$A$3:$X$1479,23,FALSE))</f>
        <v/>
      </c>
      <c r="E7" s="9" t="str">
        <f>IF(ISERROR(VLOOKUP(B7,Données!$A$3:$L$1479,7,FALSE)),"",VLOOKUP(B7,Données!$A$3:$L$1479,7,FALSE))</f>
        <v/>
      </c>
      <c r="F7" s="25">
        <f>IF(ISERROR(VLOOKUP(B7,Données!$A$3:$U$1479,11,FALSE)),0,VLOOKUP(B7,Données!$A$3:$U$1479,11,FALSE))</f>
        <v>0</v>
      </c>
      <c r="G7" s="17">
        <f>VALUE(COUNTIF(Validation!$A$2:$H$64,B7))-1</f>
        <v>0</v>
      </c>
      <c r="H7" s="363">
        <f>IF(ISERROR(VLOOKUP(B7,Données!$A$3:$U$1479,12,FALSE)),0,VLOOKUP(B7,Données!$A$3:$U$1479,12,FALSE))</f>
        <v>0</v>
      </c>
      <c r="I7" s="52">
        <f>IF(ISERROR(VLOOKUP(B7,Données!$A$3:$U$1479,20,FALSE)),0,VLOOKUP(B7,Données!$A$3:$U$1479,20,FALSE))</f>
        <v>0</v>
      </c>
      <c r="J7" s="54"/>
      <c r="Q7" s="466"/>
      <c r="R7" s="466"/>
      <c r="S7" s="396"/>
      <c r="T7" s="396"/>
    </row>
    <row r="8" spans="1:20" ht="15.75" x14ac:dyDescent="0.25">
      <c r="A8" s="500"/>
      <c r="B8" s="11" t="s">
        <v>348</v>
      </c>
      <c r="C8" s="9" t="str">
        <f>IF(ISERROR(VLOOKUP(B8,Données!$A$3:$L$1479,5,FALSE)),"",VLOOKUP(B8,Données!$A$3:$L$1479,5,FALSE))</f>
        <v/>
      </c>
      <c r="D8" s="347" t="str">
        <f>IF(ISERROR(VLOOKUP(B8,Données!$A$3:$X$1479,23,FALSE)),"",VLOOKUP(B8,Données!$A$3:$X$1479,23,FALSE))</f>
        <v/>
      </c>
      <c r="E8" s="9" t="str">
        <f>IF(ISERROR(VLOOKUP(B8,Données!$A$3:$L$1479,7,FALSE)),"",VLOOKUP(B8,Données!$A$3:$L$1479,7,FALSE))</f>
        <v/>
      </c>
      <c r="F8" s="25">
        <f>IF(ISERROR(VLOOKUP(B8,Données!$A$3:$U$1479,11,FALSE)),0,VLOOKUP(B8,Données!$A$3:$U$1479,11,FALSE))</f>
        <v>0</v>
      </c>
      <c r="G8" s="17">
        <f>VALUE(COUNTIF(Validation!$A$2:$H$64,B8))-1</f>
        <v>0</v>
      </c>
      <c r="H8" s="363">
        <f>IF(ISERROR(VLOOKUP(B8,Données!$A$3:$U$1479,12,FALSE)),0,VLOOKUP(B8,Données!$A$3:$U$1479,12,FALSE))</f>
        <v>0</v>
      </c>
      <c r="I8" s="52">
        <f>IF(ISERROR(VLOOKUP(B8,Données!$A$3:$U$1479,20,FALSE)),0,VLOOKUP(B8,Données!$A$3:$U$1479,20,FALSE))</f>
        <v>0</v>
      </c>
      <c r="J8" s="54"/>
      <c r="Q8" s="396"/>
      <c r="R8" s="466" t="str">
        <f t="shared" si="0"/>
        <v/>
      </c>
    </row>
    <row r="9" spans="1:20" ht="15.75" x14ac:dyDescent="0.25">
      <c r="A9" s="500"/>
      <c r="B9" s="11" t="s">
        <v>349</v>
      </c>
      <c r="C9" s="9" t="str">
        <f>IF(ISERROR(VLOOKUP(B9,Données!$A$3:$L$1479,5,FALSE)),"",VLOOKUP(B9,Données!$A$3:$L$1479,5,FALSE))</f>
        <v/>
      </c>
      <c r="D9" s="347" t="str">
        <f>IF(ISERROR(VLOOKUP(B9,Données!$A$3:$X$1479,23,FALSE)),"",VLOOKUP(B9,Données!$A$3:$X$1479,23,FALSE))</f>
        <v/>
      </c>
      <c r="E9" s="9" t="str">
        <f>IF(ISERROR(VLOOKUP(B9,Données!$A$3:$L$1479,7,FALSE)),"",VLOOKUP(B9,Données!$A$3:$L$1479,7,FALSE))</f>
        <v/>
      </c>
      <c r="F9" s="25">
        <f>IF(ISERROR(VLOOKUP(B9,Données!$A$3:$U$1479,11,FALSE)),0,VLOOKUP(B9,Données!$A$3:$U$1479,11,FALSE))</f>
        <v>0</v>
      </c>
      <c r="G9" s="17">
        <f>VALUE(COUNTIF(Validation!$A$2:$H$64,B9))-1</f>
        <v>0</v>
      </c>
      <c r="H9" s="363">
        <f>IF(ISERROR(VLOOKUP(B9,Données!$A$3:$U$1479,12,FALSE)),0,VLOOKUP(B9,Données!$A$3:$U$1479,12,FALSE))</f>
        <v>0</v>
      </c>
      <c r="I9" s="52">
        <f>IF(ISERROR(VLOOKUP(B9,Données!$A$3:$U$1479,20,FALSE)),0,VLOOKUP(B9,Données!$A$3:$U$1479,20,FALSE))</f>
        <v>0</v>
      </c>
      <c r="J9" s="54"/>
      <c r="K9" s="502" t="s">
        <v>60</v>
      </c>
      <c r="L9" s="502"/>
      <c r="Q9" s="466"/>
      <c r="R9" s="466" t="str">
        <f t="shared" si="0"/>
        <v/>
      </c>
    </row>
    <row r="10" spans="1:20" ht="15.75" x14ac:dyDescent="0.25">
      <c r="A10" s="500"/>
      <c r="B10" s="11" t="s">
        <v>136</v>
      </c>
      <c r="C10" s="9" t="str">
        <f>IF(ISERROR(VLOOKUP(B10,Données!$A$3:$L$1479,5,FALSE)),"",VLOOKUP(B10,Données!$A$3:$L$1479,5,FALSE))</f>
        <v/>
      </c>
      <c r="D10" s="347" t="str">
        <f>IF(ISERROR(VLOOKUP(B10,Données!$A$3:$X$1479,23,FALSE)),"",VLOOKUP(B10,Données!$A$3:$X$1479,23,FALSE))</f>
        <v/>
      </c>
      <c r="E10" s="9" t="str">
        <f>IF(ISERROR(VLOOKUP(B10,Données!$A$3:$L$1479,7,FALSE)),"",VLOOKUP(B10,Données!$A$3:$L$1479,7,FALSE))</f>
        <v/>
      </c>
      <c r="F10" s="25">
        <f>IF(ISERROR(VLOOKUP(B10,Données!$A$3:$U$1479,11,FALSE)),0,VLOOKUP(B10,Données!$A$3:$U$1479,11,FALSE))</f>
        <v>0</v>
      </c>
      <c r="G10" s="17">
        <f>VALUE(COUNTIF(Validation!$A$2:$H$64,B10))-1</f>
        <v>0</v>
      </c>
      <c r="H10" s="363">
        <f>IF(ISERROR(VLOOKUP(B10,Données!$A$3:$U$1479,12,FALSE)),0,VLOOKUP(B10,Données!$A$3:$U$1479,12,FALSE))</f>
        <v>0</v>
      </c>
      <c r="I10" s="52">
        <f>IF(ISERROR(VLOOKUP(B10,Données!$A$3:$U$1479,20,FALSE)),0,VLOOKUP(B10,Données!$A$3:$U$1479,20,FALSE))</f>
        <v>0</v>
      </c>
      <c r="J10" s="54"/>
      <c r="K10" s="32" t="s">
        <v>62</v>
      </c>
      <c r="L10" s="32" t="s">
        <v>61</v>
      </c>
      <c r="Q10" s="466"/>
      <c r="R10" s="466" t="str">
        <f t="shared" si="0"/>
        <v/>
      </c>
    </row>
    <row r="11" spans="1:20" ht="15.75" x14ac:dyDescent="0.25">
      <c r="A11" s="500"/>
      <c r="B11" s="46" t="s">
        <v>362</v>
      </c>
      <c r="C11" s="9" t="str">
        <f>IF(ISERROR(VLOOKUP(B11,Données!$A$3:$L$1479,5,FALSE)),"",VLOOKUP(B11,Données!$A$3:$L$1479,5,FALSE))</f>
        <v/>
      </c>
      <c r="D11" s="347" t="str">
        <f>IF(ISERROR(VLOOKUP(B11,Données!$A$3:$X$1479,23,FALSE)),"",VLOOKUP(B11,Données!$A$3:$X$1479,23,FALSE))</f>
        <v/>
      </c>
      <c r="E11" s="9" t="str">
        <f>IF(ISERROR(VLOOKUP(B11,Données!$A$3:$L$1479,7,FALSE)),"",VLOOKUP(B11,Données!$A$3:$L$1479,7,FALSE))</f>
        <v/>
      </c>
      <c r="F11" s="25">
        <f>IF(ISERROR(VLOOKUP(B11,Données!$A$3:$U$1479,11,FALSE)),0,VLOOKUP(B11,Données!$A$3:$U$1479,11,FALSE))</f>
        <v>0</v>
      </c>
      <c r="G11" s="17">
        <f>VALUE(COUNTIF(Validation!$A$2:$H$64,B11))-1</f>
        <v>0</v>
      </c>
      <c r="H11" s="363">
        <f>IF(ISERROR(VLOOKUP(B11,Données!$A$3:$U$1479,12,FALSE)),0,VLOOKUP(B11,Données!$A$3:$U$1479,12,FALSE))</f>
        <v>0</v>
      </c>
      <c r="I11" s="52">
        <f>IF(ISERROR(VLOOKUP(B11,Données!$A$3:$U$1479,20,FALSE)),0,VLOOKUP(B11,Données!$A$3:$U$1479,20,FALSE))</f>
        <v>0</v>
      </c>
      <c r="J11" s="54"/>
      <c r="K11" t="s">
        <v>191</v>
      </c>
      <c r="L11" t="s">
        <v>1341</v>
      </c>
      <c r="R11" s="466" t="str">
        <f t="shared" si="0"/>
        <v/>
      </c>
    </row>
    <row r="12" spans="1:20" ht="15.75" x14ac:dyDescent="0.25">
      <c r="A12" s="500"/>
      <c r="B12" s="46" t="s">
        <v>248</v>
      </c>
      <c r="C12" s="9" t="str">
        <f>IF(ISERROR(VLOOKUP(B12,Données!$A$3:$L$1479,5,FALSE)),"",VLOOKUP(B12,Données!$A$3:$L$1479,5,FALSE))</f>
        <v/>
      </c>
      <c r="D12" s="347" t="str">
        <f>IF(ISERROR(VLOOKUP(B12,Données!$A$3:$X$1479,23,FALSE)),"",VLOOKUP(B12,Données!$A$3:$X$1479,23,FALSE))</f>
        <v/>
      </c>
      <c r="E12" s="9" t="str">
        <f>IF(ISERROR(VLOOKUP(B12,Données!$A$3:$L$1479,7,FALSE)),"",VLOOKUP(B12,Données!$A$3:$L$1479,7,FALSE))</f>
        <v/>
      </c>
      <c r="F12" s="25">
        <f>IF(ISERROR(VLOOKUP(B12,Données!$A$3:$U$1479,11,FALSE)),0,VLOOKUP(B12,Données!$A$3:$U$1479,11,FALSE))</f>
        <v>0</v>
      </c>
      <c r="G12" s="17">
        <f>VALUE(COUNTIF(Validation!$A$2:$H$64,B12))-1</f>
        <v>0</v>
      </c>
      <c r="H12" s="363">
        <f>IF(ISERROR(VLOOKUP(B12,Données!$A$3:$U$1479,12,FALSE)),0,VLOOKUP(B12,Données!$A$3:$U$1479,12,FALSE))</f>
        <v>0</v>
      </c>
      <c r="I12" s="52">
        <f>IF(ISERROR(VLOOKUP(B12,Données!$A$3:$U$1479,20,FALSE)),0,VLOOKUP(B12,Données!$A$3:$U$1479,20,FALSE))</f>
        <v>0</v>
      </c>
      <c r="J12" s="54"/>
      <c r="K12" t="s">
        <v>194</v>
      </c>
      <c r="L12" t="s">
        <v>1341</v>
      </c>
      <c r="R12" s="466" t="str">
        <f t="shared" si="0"/>
        <v/>
      </c>
    </row>
    <row r="13" spans="1:20" ht="15.75" x14ac:dyDescent="0.25">
      <c r="A13" s="500"/>
      <c r="B13" s="46" t="s">
        <v>933</v>
      </c>
      <c r="C13" s="9" t="str">
        <f>IF(ISERROR(VLOOKUP(B13,Données!$A$3:$L$1479,5,FALSE)),"",VLOOKUP(B13,Données!$A$3:$L$1479,5,FALSE))</f>
        <v/>
      </c>
      <c r="D13" s="347" t="str">
        <f>IF(ISERROR(VLOOKUP(B13,Données!$A$3:$X$1479,23,FALSE)),"",VLOOKUP(B13,Données!$A$3:$X$1479,23,FALSE))</f>
        <v/>
      </c>
      <c r="E13" s="9" t="str">
        <f>IF(ISERROR(VLOOKUP(B13,Données!$A$3:$L$1479,7,FALSE)),"",VLOOKUP(B13,Données!$A$3:$L$1479,7,FALSE))</f>
        <v/>
      </c>
      <c r="F13" s="25">
        <f>IF(ISERROR(VLOOKUP(B13,Données!$A$3:$U$1479,11,FALSE)),0,VLOOKUP(B13,Données!$A$3:$U$1479,11,FALSE))</f>
        <v>0</v>
      </c>
      <c r="G13" s="17">
        <f>VALUE(COUNTIF(Validation!$A$2:$H$64,B13))-1</f>
        <v>0</v>
      </c>
      <c r="H13" s="363">
        <f>IF(ISERROR(VLOOKUP(B13,Données!$A$3:$U$1479,12,FALSE)),0,VLOOKUP(B13,Données!$A$3:$U$1479,12,FALSE))</f>
        <v>0</v>
      </c>
      <c r="I13" s="52">
        <f>IF(ISERROR(VLOOKUP(B13,Données!$A$3:$U$1479,20,FALSE)),0,VLOOKUP(B13,Données!$A$3:$U$1479,20,FALSE))</f>
        <v>0</v>
      </c>
      <c r="J13" s="54"/>
      <c r="R13" s="466" t="str">
        <f t="shared" si="0"/>
        <v/>
      </c>
    </row>
    <row r="14" spans="1:20" ht="15.75" x14ac:dyDescent="0.25">
      <c r="A14" s="501"/>
      <c r="B14" s="45" t="s">
        <v>297</v>
      </c>
      <c r="C14" s="10" t="str">
        <f>IF(ISERROR(VLOOKUP(B14,Données!$A$3:$L$1479,5,FALSE)),"",VLOOKUP(B14,Données!$A$3:$L$1479,5,FALSE))</f>
        <v/>
      </c>
      <c r="D14" s="349" t="str">
        <f>IF(ISERROR(VLOOKUP(B14,Données!$A$3:$X$1479,23,FALSE)),"",VLOOKUP(B14,Données!$A$3:$X$1479,23,FALSE))</f>
        <v/>
      </c>
      <c r="E14" s="10" t="str">
        <f>IF(ISERROR(VLOOKUP(B14,Données!$A$3:$L$1479,7,FALSE)),"",VLOOKUP(B14,Données!$A$3:$L$1479,7,FALSE))</f>
        <v/>
      </c>
      <c r="F14" s="26">
        <f>IF(ISERROR(VLOOKUP(B14,Données!$A$3:$U$1479,11,FALSE)),0,VLOOKUP(B14,Données!$A$3:$U$1479,11,FALSE))</f>
        <v>0</v>
      </c>
      <c r="G14" s="23">
        <f>VALUE(COUNTIF(Validation!$A$2:$H$64,B14))-1</f>
        <v>0</v>
      </c>
      <c r="H14" s="364">
        <f>IF(ISERROR(VLOOKUP(B14,Données!$A$3:$U$1479,12,FALSE)),0,VLOOKUP(B14,Données!$A$3:$U$1479,12,FALSE))</f>
        <v>0</v>
      </c>
      <c r="I14" s="53">
        <f>IF(ISERROR(VLOOKUP(B14,Données!$A$3:$U$1479,20,FALSE)),0,VLOOKUP(B14,Données!$A$3:$U$1479,20,FALSE))</f>
        <v>0</v>
      </c>
      <c r="J14" s="54"/>
      <c r="R14" s="466" t="str">
        <f t="shared" si="0"/>
        <v/>
      </c>
    </row>
    <row r="15" spans="1:20" ht="15.75" x14ac:dyDescent="0.25">
      <c r="A15" s="503" t="s">
        <v>39</v>
      </c>
      <c r="B15" s="8" t="s">
        <v>351</v>
      </c>
      <c r="C15" s="9" t="str">
        <f>IF(ISERROR(VLOOKUP(B15,Données!$A$3:$L$1479,5,FALSE)),"",VLOOKUP(B15,Données!$A$3:$L$1479,5,FALSE))</f>
        <v/>
      </c>
      <c r="D15" s="347" t="str">
        <f>IF(ISERROR(VLOOKUP(B15,Données!$A$3:$X$1479,23,FALSE)),"",VLOOKUP(B15,Données!$A$3:$X$1479,23,FALSE))</f>
        <v/>
      </c>
      <c r="E15" s="9" t="str">
        <f>IF(ISERROR(VLOOKUP(B15,Données!$A$3:$L$1479,7,FALSE)),"",VLOOKUP(B15,Données!$A$3:$L$1479,7,FALSE))</f>
        <v/>
      </c>
      <c r="F15" s="25">
        <f>IF(ISERROR(VLOOKUP(B15,Données!$A$3:$U$1479,11,FALSE)),0,VLOOKUP(B15,Données!$A$3:$U$1479,11,FALSE))</f>
        <v>0</v>
      </c>
      <c r="G15" s="17">
        <f>VALUE(COUNTIF(Validation!$A$2:$H$64,B15))-1</f>
        <v>0</v>
      </c>
      <c r="H15" s="363">
        <f>IF(ISERROR(VLOOKUP(B15,Données!$A$3:$U$1479,12,FALSE)),0,VLOOKUP(B15,Données!$A$3:$U$1479,12,FALSE))</f>
        <v>0</v>
      </c>
      <c r="I15" s="52">
        <f>IF(ISERROR(VLOOKUP(B15,Données!$A$3:$U$1479,20,FALSE)),0,VLOOKUP(B15,Données!$A$3:$U$1479,20,FALSE))</f>
        <v>0</v>
      </c>
      <c r="J15" s="54"/>
      <c r="R15" s="466" t="str">
        <f t="shared" si="0"/>
        <v/>
      </c>
    </row>
    <row r="16" spans="1:20" ht="15.75" x14ac:dyDescent="0.25">
      <c r="A16" s="504"/>
      <c r="B16" s="6" t="s">
        <v>352</v>
      </c>
      <c r="C16" s="9" t="str">
        <f>IF(ISERROR(VLOOKUP(B16,Données!$A$3:$L$1479,5,FALSE)),"",VLOOKUP(B16,Données!$A$3:$L$1479,5,FALSE))</f>
        <v/>
      </c>
      <c r="D16" s="347" t="str">
        <f>IF(ISERROR(VLOOKUP(B16,Données!$A$3:$X$1479,23,FALSE)),"",VLOOKUP(B16,Données!$A$3:$X$1479,23,FALSE))</f>
        <v/>
      </c>
      <c r="E16" s="9" t="str">
        <f>IF(ISERROR(VLOOKUP(B16,Données!$A$3:$L$1479,7,FALSE)),"",VLOOKUP(B16,Données!$A$3:$L$1479,7,FALSE))</f>
        <v/>
      </c>
      <c r="F16" s="25">
        <f>IF(ISERROR(VLOOKUP(B16,Données!$A$3:$U$1479,11,FALSE)),0,VLOOKUP(B16,Données!$A$3:$U$1479,11,FALSE))</f>
        <v>0</v>
      </c>
      <c r="G16" s="17">
        <f>VALUE(COUNTIF(Validation!$A$2:$H$64,B16))-1</f>
        <v>0</v>
      </c>
      <c r="H16" s="363">
        <f>IF(ISERROR(VLOOKUP(B16,Données!$A$3:$U$1479,12,FALSE)),0,VLOOKUP(B16,Données!$A$3:$U$1479,12,FALSE))</f>
        <v>0</v>
      </c>
      <c r="I16" s="52">
        <f>IF(ISERROR(VLOOKUP(B16,Données!$A$3:$U$1479,20,FALSE)),0,VLOOKUP(B16,Données!$A$3:$U$1479,20,FALSE))</f>
        <v>0</v>
      </c>
      <c r="J16" s="54"/>
      <c r="R16" s="466" t="str">
        <f t="shared" si="0"/>
        <v/>
      </c>
    </row>
    <row r="17" spans="1:18" ht="15.75" x14ac:dyDescent="0.25">
      <c r="A17" s="504"/>
      <c r="B17" s="46" t="s">
        <v>695</v>
      </c>
      <c r="C17" s="9" t="str">
        <f>IF(ISERROR(VLOOKUP(B17,Données!$A$3:$L$1479,5,FALSE)),"",VLOOKUP(B17,Données!$A$3:$L$1479,5,FALSE))</f>
        <v/>
      </c>
      <c r="D17" s="347" t="str">
        <f>IF(ISERROR(VLOOKUP(B17,Données!$A$3:$X$1479,23,FALSE)),"",VLOOKUP(B17,Données!$A$3:$X$1479,23,FALSE))</f>
        <v/>
      </c>
      <c r="E17" s="9" t="str">
        <f>IF(ISERROR(VLOOKUP(B17,Données!$A$3:$L$1479,7,FALSE)),"",VLOOKUP(B17,Données!$A$3:$L$1479,7,FALSE))</f>
        <v/>
      </c>
      <c r="F17" s="25">
        <f>IF(ISERROR(VLOOKUP(B17,Données!$A$3:$U$1479,11,FALSE)),0,VLOOKUP(B17,Données!$A$3:$U$1479,11,FALSE))</f>
        <v>0</v>
      </c>
      <c r="G17" s="17">
        <f>VALUE(COUNTIF(Validation!$A$2:$H$64,B17))-1</f>
        <v>0</v>
      </c>
      <c r="H17" s="363">
        <f>IF(ISERROR(VLOOKUP(B17,Données!$A$3:$U$1479,12,FALSE)),0,VLOOKUP(B17,Données!$A$3:$U$1479,12,FALSE))</f>
        <v>0</v>
      </c>
      <c r="I17" s="52">
        <f>IF(ISERROR(VLOOKUP(B17,Données!$A$3:$U$1479,20,FALSE)),0,VLOOKUP(B17,Données!$A$3:$U$1479,20,FALSE))</f>
        <v>0</v>
      </c>
      <c r="J17" s="54"/>
      <c r="R17" s="466" t="str">
        <f t="shared" si="0"/>
        <v/>
      </c>
    </row>
    <row r="18" spans="1:18" ht="15.75" x14ac:dyDescent="0.25">
      <c r="A18" s="504"/>
      <c r="B18" s="11" t="s">
        <v>354</v>
      </c>
      <c r="C18" s="9" t="str">
        <f>IF(ISERROR(VLOOKUP(B18,Données!$A$3:$L$1479,5,FALSE)),"",VLOOKUP(B18,Données!$A$3:$L$1479,5,FALSE))</f>
        <v/>
      </c>
      <c r="D18" s="347" t="str">
        <f>IF(ISERROR(VLOOKUP(B18,Données!$A$3:$X$1479,23,FALSE)),"",VLOOKUP(B18,Données!$A$3:$X$1479,23,FALSE))</f>
        <v/>
      </c>
      <c r="E18" s="9" t="str">
        <f>IF(ISERROR(VLOOKUP(B18,Données!$A$3:$L$1479,7,FALSE)),"",VLOOKUP(B18,Données!$A$3:$L$1479,7,FALSE))</f>
        <v/>
      </c>
      <c r="F18" s="25">
        <f>IF(ISERROR(VLOOKUP(B18,Données!$A$3:$U$1479,11,FALSE)),0,VLOOKUP(B18,Données!$A$3:$U$1479,11,FALSE))</f>
        <v>0</v>
      </c>
      <c r="G18" s="17">
        <f>VALUE(COUNTIF(Validation!$A$2:$H$64,B18))-1</f>
        <v>0</v>
      </c>
      <c r="H18" s="363">
        <f>IF(ISERROR(VLOOKUP(B18,Données!$A$3:$U$1479,12,FALSE)),0,VLOOKUP(B18,Données!$A$3:$U$1479,12,FALSE))</f>
        <v>0</v>
      </c>
      <c r="I18" s="52">
        <f>IF(ISERROR(VLOOKUP(B18,Données!$A$3:$U$1479,20,FALSE)),0,VLOOKUP(B18,Données!$A$3:$U$1479,20,FALSE))</f>
        <v>0</v>
      </c>
      <c r="J18" s="55"/>
      <c r="R18" s="466" t="str">
        <f t="shared" si="0"/>
        <v/>
      </c>
    </row>
    <row r="19" spans="1:18" ht="15.75" x14ac:dyDescent="0.25">
      <c r="A19" s="504"/>
      <c r="B19" s="46" t="s">
        <v>213</v>
      </c>
      <c r="C19" s="9" t="str">
        <f>IF(ISERROR(VLOOKUP(B19,Données!$A$3:$L$1479,5,FALSE)),"",VLOOKUP(B19,Données!$A$3:$L$1479,5,FALSE))</f>
        <v/>
      </c>
      <c r="D19" s="347" t="str">
        <f>IF(ISERROR(VLOOKUP(B19,Données!$A$3:$X$1479,23,FALSE)),"",VLOOKUP(B19,Données!$A$3:$X$1479,23,FALSE))</f>
        <v/>
      </c>
      <c r="E19" s="9" t="str">
        <f>IF(ISERROR(VLOOKUP(B19,Données!$A$3:$L$1479,7,FALSE)),"",VLOOKUP(B19,Données!$A$3:$L$1479,7,FALSE))</f>
        <v/>
      </c>
      <c r="F19" s="25">
        <f>IF(ISERROR(VLOOKUP(B19,Données!$A$3:$U$1479,11,FALSE)),0,VLOOKUP(B19,Données!$A$3:$U$1479,11,FALSE))</f>
        <v>0</v>
      </c>
      <c r="G19" s="17">
        <f>VALUE(COUNTIF(Validation!$A$2:$H$64,B19))-1</f>
        <v>0</v>
      </c>
      <c r="H19" s="363">
        <f>IF(ISERROR(VLOOKUP(B19,Données!$A$3:$U$1479,12,FALSE)),0,VLOOKUP(B19,Données!$A$3:$U$1479,12,FALSE))</f>
        <v>0</v>
      </c>
      <c r="I19" s="52">
        <f>IF(ISERROR(VLOOKUP(B19,Données!$A$3:$U$1479,20,FALSE)),0,VLOOKUP(B19,Données!$A$3:$U$1479,20,FALSE))</f>
        <v>0</v>
      </c>
      <c r="J19" s="55"/>
      <c r="R19" s="466" t="str">
        <f t="shared" si="0"/>
        <v/>
      </c>
    </row>
    <row r="20" spans="1:18" ht="15.75" x14ac:dyDescent="0.25">
      <c r="A20" s="505"/>
      <c r="B20" s="20" t="s">
        <v>458</v>
      </c>
      <c r="C20" s="10" t="str">
        <f>IF(ISERROR(VLOOKUP(B20,Données!$A$3:$L$1479,5,FALSE)),"",VLOOKUP(B20,Données!$A$3:$L$1479,5,FALSE))</f>
        <v/>
      </c>
      <c r="D20" s="349" t="str">
        <f>IF(ISERROR(VLOOKUP(B20,Données!$A$3:$X$1479,23,FALSE)),"",VLOOKUP(B20,Données!$A$3:$X$1479,23,FALSE))</f>
        <v/>
      </c>
      <c r="E20" s="10" t="str">
        <f>IF(ISERROR(VLOOKUP(B20,Données!$A$3:$L$1479,7,FALSE)),"",VLOOKUP(B20,Données!$A$3:$L$1479,7,FALSE))</f>
        <v/>
      </c>
      <c r="F20" s="26">
        <f>IF(ISERROR(VLOOKUP(B20,Données!$A$3:$U$1479,11,FALSE)),0,VLOOKUP(B20,Données!$A$3:$U$1479,11,FALSE))</f>
        <v>0</v>
      </c>
      <c r="G20" s="23">
        <f>VALUE(COUNTIF(Validation!$A$2:$H$64,B20))-1</f>
        <v>0</v>
      </c>
      <c r="H20" s="364">
        <f>IF(ISERROR(VLOOKUP(B20,Données!$A$3:$U$1479,12,FALSE)),0,VLOOKUP(B20,Données!$A$3:$U$1479,12,FALSE))</f>
        <v>0</v>
      </c>
      <c r="I20" s="53">
        <f>IF(ISERROR(VLOOKUP(B20,Données!$A$3:$U$1479,20,FALSE)),0,VLOOKUP(B20,Données!$A$3:$U$1479,20,FALSE))</f>
        <v>0</v>
      </c>
      <c r="J20" s="55"/>
      <c r="R20" s="466" t="str">
        <f t="shared" si="0"/>
        <v/>
      </c>
    </row>
    <row r="21" spans="1:18" ht="15.75" x14ac:dyDescent="0.25">
      <c r="A21" s="498" t="s">
        <v>40</v>
      </c>
      <c r="B21" s="6" t="s">
        <v>275</v>
      </c>
      <c r="C21" s="9" t="str">
        <f>IF(ISERROR(VLOOKUP(B21,Données!$A$3:$L$1479,5,FALSE)),"",VLOOKUP(B21,Données!$A$3:$L$1479,5,FALSE))</f>
        <v/>
      </c>
      <c r="D21" s="347" t="str">
        <f>IF(ISERROR(VLOOKUP(B21,Données!$A$3:$X$1479,23,FALSE)),"",VLOOKUP(B21,Données!$A$3:$X$1479,23,FALSE))</f>
        <v/>
      </c>
      <c r="E21" s="9" t="str">
        <f>IF(ISERROR(VLOOKUP(B21,Données!$A$3:$L$1479,7,FALSE)),"",VLOOKUP(B21,Données!$A$3:$L$1479,7,FALSE))</f>
        <v/>
      </c>
      <c r="F21" s="25">
        <f>IF(ISERROR(VLOOKUP(B21,Données!$A$3:$U$1479,11,FALSE)),0,VLOOKUP(B21,Données!$A$3:$U$1479,11,FALSE))</f>
        <v>0</v>
      </c>
      <c r="G21" s="17">
        <f>VALUE(COUNTIF(Validation!$A$2:$H$64,B21))-1</f>
        <v>0</v>
      </c>
      <c r="H21" s="363">
        <f>IF(ISERROR(VLOOKUP(B21,Données!$A$3:$U$1479,12,FALSE)),0,VLOOKUP(B21,Données!$A$3:$U$1479,12,FALSE))</f>
        <v>0</v>
      </c>
      <c r="I21" s="52">
        <f>IF(ISERROR(VLOOKUP(B21,Données!$A$3:$U$1479,20,FALSE)),0,VLOOKUP(B21,Données!$A$3:$U$1479,20,FALSE))</f>
        <v>0</v>
      </c>
      <c r="J21" s="54"/>
      <c r="R21" s="466" t="str">
        <f t="shared" si="0"/>
        <v/>
      </c>
    </row>
    <row r="22" spans="1:18" ht="15.75" customHeight="1" x14ac:dyDescent="0.25">
      <c r="A22" s="499"/>
      <c r="B22" s="20" t="s">
        <v>544</v>
      </c>
      <c r="C22" s="10" t="str">
        <f>IF(ISERROR(VLOOKUP(B22,Données!$A$3:$L$1479,5,FALSE)),"",VLOOKUP(B22,Données!$A$3:$L$1479,5,FALSE))</f>
        <v/>
      </c>
      <c r="D22" s="349" t="str">
        <f>IF(ISERROR(VLOOKUP(B22,Données!$A$3:$X$1479,23,FALSE)),"",VLOOKUP(B22,Données!$A$3:$X$1479,23,FALSE))</f>
        <v/>
      </c>
      <c r="E22" s="10" t="str">
        <f>IF(ISERROR(VLOOKUP(B22,Données!$A$3:$L$1479,7,FALSE)),"",VLOOKUP(B22,Données!$A$3:$L$1479,7,FALSE))</f>
        <v/>
      </c>
      <c r="F22" s="26">
        <f>IF(ISERROR(VLOOKUP(B22,Données!$A$3:$U$1479,11,FALSE)),0,VLOOKUP(B22,Données!$A$3:$U$1479,11,FALSE))</f>
        <v>0</v>
      </c>
      <c r="G22" s="23">
        <f>VALUE(COUNTIF(Validation!$A$2:$H$64,B22))-1</f>
        <v>0</v>
      </c>
      <c r="H22" s="364">
        <f>IF(ISERROR(VLOOKUP(B22,Données!$A$3:$U$1479,12,FALSE)),0,VLOOKUP(B22,Données!$A$3:$U$1479,12,FALSE))</f>
        <v>0</v>
      </c>
      <c r="I22" s="53">
        <f>IF(ISERROR(VLOOKUP(B22,Données!$A$3:$U$1479,20,FALSE)),0,VLOOKUP(B22,Données!$A$3:$U$1479,20,FALSE))</f>
        <v>0</v>
      </c>
      <c r="J22" s="54"/>
      <c r="R22" s="466" t="str">
        <f t="shared" si="0"/>
        <v/>
      </c>
    </row>
    <row r="23" spans="1:18" ht="15.75" customHeight="1" x14ac:dyDescent="0.25">
      <c r="A23" s="511" t="s">
        <v>42</v>
      </c>
      <c r="B23" s="46" t="s">
        <v>361</v>
      </c>
      <c r="C23" s="9" t="str">
        <f>IF(ISERROR(VLOOKUP(B23,Données!$A$3:$L$1479,5,FALSE)),"",VLOOKUP(B23,Données!$A$3:$L$1479,5,FALSE))</f>
        <v/>
      </c>
      <c r="D23" s="347" t="str">
        <f>IF(ISERROR(VLOOKUP(B23,Données!$A$3:$X$1479,23,FALSE)),"",VLOOKUP(B23,Données!$A$3:$X$1479,23,FALSE))</f>
        <v/>
      </c>
      <c r="E23" s="9" t="str">
        <f>IF(ISERROR(VLOOKUP(B23,Données!$A$3:$L$1479,7,FALSE)),"",VLOOKUP(B23,Données!$A$3:$L$1479,7,FALSE))</f>
        <v/>
      </c>
      <c r="F23" s="25">
        <f>IF(ISERROR(VLOOKUP(B23,Données!$A$3:$U$1479,11,FALSE)),0,VLOOKUP(B23,Données!$A$3:$U$1479,11,FALSE))</f>
        <v>0</v>
      </c>
      <c r="G23" s="17">
        <f>VALUE(COUNTIF(Validation!$A$2:$H$64,B23))-1</f>
        <v>0</v>
      </c>
      <c r="H23" s="363">
        <f>IF(ISERROR(VLOOKUP(B23,Données!$A$3:$U$1479,12,FALSE)),0,VLOOKUP(B23,Données!$A$3:$U$1479,12,FALSE))</f>
        <v>0</v>
      </c>
      <c r="I23" s="52">
        <f>IF(ISERROR(VLOOKUP(B23,Données!$A$3:$U$1479,20,FALSE)),0,VLOOKUP(B23,Données!$A$3:$U$1479,20,FALSE))</f>
        <v>0</v>
      </c>
      <c r="J23" s="54"/>
      <c r="R23" s="466" t="str">
        <f t="shared" si="0"/>
        <v/>
      </c>
    </row>
    <row r="24" spans="1:18" ht="15.75" customHeight="1" x14ac:dyDescent="0.25">
      <c r="A24" s="512"/>
      <c r="B24" s="46" t="s">
        <v>638</v>
      </c>
      <c r="C24" s="9" t="str">
        <f>IF(ISERROR(VLOOKUP(B24,Données!$A$3:$L$1479,5,FALSE)),"",VLOOKUP(B24,Données!$A$3:$L$1479,5,FALSE))</f>
        <v/>
      </c>
      <c r="D24" s="347" t="str">
        <f>IF(ISERROR(VLOOKUP(B24,Données!$A$3:$X$1479,23,FALSE)),"",VLOOKUP(B24,Données!$A$3:$X$1479,23,FALSE))</f>
        <v/>
      </c>
      <c r="E24" s="9" t="str">
        <f>IF(ISERROR(VLOOKUP(B24,Données!$A$3:$L$1479,7,FALSE)),"",VLOOKUP(B24,Données!$A$3:$L$1479,7,FALSE))</f>
        <v/>
      </c>
      <c r="F24" s="25">
        <f>IF(ISERROR(VLOOKUP(B24,Données!$A$3:$U$1479,11,FALSE)),0,VLOOKUP(B24,Données!$A$3:$U$1479,11,FALSE))</f>
        <v>0</v>
      </c>
      <c r="G24" s="17">
        <f>VALUE(COUNTIF(Validation!$A$2:$H$64,B24))-1</f>
        <v>0</v>
      </c>
      <c r="H24" s="363">
        <f>IF(ISERROR(VLOOKUP(B24,Données!$A$3:$U$1479,12,FALSE)),0,VLOOKUP(B24,Données!$A$3:$U$1479,12,FALSE))</f>
        <v>0</v>
      </c>
      <c r="I24" s="52">
        <f>IF(ISERROR(VLOOKUP(B24,Données!$A$3:$U$1479,20,FALSE)),0,VLOOKUP(B24,Données!$A$3:$U$1479,20,FALSE))</f>
        <v>0</v>
      </c>
      <c r="J24" s="54"/>
      <c r="R24" s="466" t="str">
        <f t="shared" si="0"/>
        <v/>
      </c>
    </row>
    <row r="25" spans="1:18" ht="15.75" customHeight="1" x14ac:dyDescent="0.25">
      <c r="A25" s="512"/>
      <c r="B25" s="46" t="s">
        <v>353</v>
      </c>
      <c r="C25" s="9" t="str">
        <f>IF(ISERROR(VLOOKUP(B25,Données!$A$3:$L$1479,5,FALSE)),"",VLOOKUP(B25,Données!$A$3:$L$1479,5,FALSE))</f>
        <v/>
      </c>
      <c r="D25" s="347" t="str">
        <f>IF(ISERROR(VLOOKUP(B25,Données!$A$3:$X$1479,23,FALSE)),"",VLOOKUP(B25,Données!$A$3:$X$1479,23,FALSE))</f>
        <v/>
      </c>
      <c r="E25" s="9" t="str">
        <f>IF(ISERROR(VLOOKUP(B25,Données!$A$3:$L$1479,7,FALSE)),"",VLOOKUP(B25,Données!$A$3:$L$1479,7,FALSE))</f>
        <v/>
      </c>
      <c r="F25" s="25">
        <f>IF(ISERROR(VLOOKUP(B25,Données!$A$3:$U$1479,11,FALSE)),0,VLOOKUP(B25,Données!$A$3:$U$1479,11,FALSE))</f>
        <v>0</v>
      </c>
      <c r="G25" s="17">
        <f>VALUE(COUNTIF(Validation!$A$2:$H$64,B25))-1</f>
        <v>0</v>
      </c>
      <c r="H25" s="363">
        <f>IF(ISERROR(VLOOKUP(B25,Données!$A$3:$U$1479,12,FALSE)),0,VLOOKUP(B25,Données!$A$3:$U$1479,12,FALSE))</f>
        <v>0</v>
      </c>
      <c r="I25" s="52">
        <f>IF(ISERROR(VLOOKUP(B25,Données!$A$3:$U$1479,20,FALSE)),0,VLOOKUP(B25,Données!$A$3:$U$1479,20,FALSE))</f>
        <v>0</v>
      </c>
      <c r="J25" s="54"/>
      <c r="R25" s="466" t="str">
        <f t="shared" si="0"/>
        <v/>
      </c>
    </row>
    <row r="26" spans="1:18" ht="15.75" customHeight="1" x14ac:dyDescent="0.25">
      <c r="A26" s="512"/>
      <c r="B26" s="46" t="s">
        <v>920</v>
      </c>
      <c r="C26" s="9" t="str">
        <f>IF(ISERROR(VLOOKUP(B26,Données!$A$3:$L$1479,5,FALSE)),"",VLOOKUP(B26,Données!$A$3:$L$1479,5,FALSE))</f>
        <v/>
      </c>
      <c r="D26" s="347" t="str">
        <f>IF(ISERROR(VLOOKUP(B26,Données!$A$3:$X$1479,23,FALSE)),"",VLOOKUP(B26,Données!$A$3:$X$1479,23,FALSE))</f>
        <v/>
      </c>
      <c r="E26" s="9" t="str">
        <f>IF(ISERROR(VLOOKUP(B26,Données!$A$3:$L$1479,7,FALSE)),"",VLOOKUP(B26,Données!$A$3:$L$1479,7,FALSE))</f>
        <v/>
      </c>
      <c r="F26" s="25">
        <f>IF(ISERROR(VLOOKUP(B26,Données!$A$3:$U$1479,11,FALSE)),0,VLOOKUP(B26,Données!$A$3:$U$1479,11,FALSE))</f>
        <v>0</v>
      </c>
      <c r="G26" s="17">
        <f>VALUE(COUNTIF(Validation!$A$2:$H$64,B26))-1</f>
        <v>0</v>
      </c>
      <c r="H26" s="363">
        <f>IF(ISERROR(VLOOKUP(B26,Données!$A$3:$U$1479,12,FALSE)),0,VLOOKUP(B26,Données!$A$3:$U$1479,12,FALSE))</f>
        <v>0</v>
      </c>
      <c r="I26" s="52">
        <f>IF(ISERROR(VLOOKUP(B26,Données!$A$3:$U$1479,20,FALSE)),0,VLOOKUP(B26,Données!$A$3:$U$1479,20,FALSE))</f>
        <v>0</v>
      </c>
      <c r="J26" s="54"/>
      <c r="R26" s="466" t="str">
        <f t="shared" si="0"/>
        <v/>
      </c>
    </row>
    <row r="27" spans="1:18" ht="15.75" customHeight="1" x14ac:dyDescent="0.25">
      <c r="A27" s="512"/>
      <c r="B27" s="46" t="s">
        <v>359</v>
      </c>
      <c r="C27" s="9" t="str">
        <f>IF(ISERROR(VLOOKUP(B27,Données!$A$3:$L$1479,5,FALSE)),"",VLOOKUP(B27,Données!$A$3:$L$1479,5,FALSE))</f>
        <v/>
      </c>
      <c r="D27" s="347" t="str">
        <f>IF(ISERROR(VLOOKUP(B27,Données!$A$3:$X$1479,23,FALSE)),"",VLOOKUP(B27,Données!$A$3:$X$1479,23,FALSE))</f>
        <v/>
      </c>
      <c r="E27" s="9" t="str">
        <f>IF(ISERROR(VLOOKUP(B27,Données!$A$3:$L$1479,7,FALSE)),"",VLOOKUP(B27,Données!$A$3:$L$1479,7,FALSE))</f>
        <v/>
      </c>
      <c r="F27" s="25">
        <f>IF(ISERROR(VLOOKUP(B27,Données!$A$3:$U$1479,11,FALSE)),0,VLOOKUP(B27,Données!$A$3:$U$1479,11,FALSE))</f>
        <v>0</v>
      </c>
      <c r="G27" s="17">
        <f>VALUE(COUNTIF(Validation!$A$2:$H$64,B27))-1</f>
        <v>0</v>
      </c>
      <c r="H27" s="363">
        <f>IF(ISERROR(VLOOKUP(B27,Données!$A$3:$U$1479,12,FALSE)),0,VLOOKUP(B27,Données!$A$3:$U$1479,12,FALSE))</f>
        <v>0</v>
      </c>
      <c r="I27" s="52">
        <f>IF(ISERROR(VLOOKUP(B27,Données!$A$3:$U$1479,20,FALSE)),0,VLOOKUP(B27,Données!$A$3:$U$1479,20,FALSE))</f>
        <v>0</v>
      </c>
      <c r="J27" s="54"/>
      <c r="R27" s="466" t="str">
        <f t="shared" si="0"/>
        <v/>
      </c>
    </row>
    <row r="28" spans="1:18" ht="15.75" customHeight="1" x14ac:dyDescent="0.25">
      <c r="A28" s="512"/>
      <c r="B28" s="46"/>
      <c r="C28" s="9" t="str">
        <f>IF(ISERROR(VLOOKUP(B28,Données!$A$3:$L$1479,5,FALSE)),"",VLOOKUP(B28,Données!$A$3:$L$1479,5,FALSE))</f>
        <v/>
      </c>
      <c r="D28" s="347" t="str">
        <f>IF(ISERROR(VLOOKUP(B28,Données!$A$3:$X$1479,23,FALSE)),"",VLOOKUP(B28,Données!$A$3:$X$1479,23,FALSE))</f>
        <v/>
      </c>
      <c r="E28" s="9" t="str">
        <f>IF(ISERROR(VLOOKUP(B28,Données!$A$3:$L$1479,7,FALSE)),"",VLOOKUP(B28,Données!$A$3:$L$1479,7,FALSE))</f>
        <v/>
      </c>
      <c r="F28" s="25">
        <f>IF(ISERROR(VLOOKUP(B28,Données!$A$3:$U$1479,11,FALSE)),0,VLOOKUP(B28,Données!$A$3:$U$1479,11,FALSE))</f>
        <v>0</v>
      </c>
      <c r="G28" s="17">
        <f>VALUE(COUNTIF(Validation!$A$2:$H$64,B28))-1</f>
        <v>229</v>
      </c>
      <c r="H28" s="363">
        <f>IF(ISERROR(VLOOKUP(B28,Données!$A$3:$U$1479,12,FALSE)),0,VLOOKUP(B28,Données!$A$3:$U$1479,12,FALSE))</f>
        <v>0</v>
      </c>
      <c r="I28" s="52">
        <f>IF(ISERROR(VLOOKUP(B28,Données!$A$3:$U$1479,20,FALSE)),0,VLOOKUP(B28,Données!$A$3:$U$1479,20,FALSE))</f>
        <v>0</v>
      </c>
      <c r="J28" s="54"/>
      <c r="R28" s="466" t="str">
        <f t="shared" si="0"/>
        <v/>
      </c>
    </row>
    <row r="29" spans="1:18" ht="15.75" customHeight="1" x14ac:dyDescent="0.25">
      <c r="A29" s="512"/>
      <c r="B29" s="46"/>
      <c r="C29" s="9" t="str">
        <f>IF(ISERROR(VLOOKUP(B29,Données!$A$3:$L$1479,5,FALSE)),"",VLOOKUP(B29,Données!$A$3:$L$1479,5,FALSE))</f>
        <v/>
      </c>
      <c r="D29" s="347" t="str">
        <f>IF(ISERROR(VLOOKUP(B29,Données!$A$3:$X$1479,23,FALSE)),"",VLOOKUP(B29,Données!$A$3:$X$1479,23,FALSE))</f>
        <v/>
      </c>
      <c r="E29" s="9" t="str">
        <f>IF(ISERROR(VLOOKUP(B29,Données!$A$3:$L$1479,7,FALSE)),"",VLOOKUP(B29,Données!$A$3:$L$1479,7,FALSE))</f>
        <v/>
      </c>
      <c r="F29" s="25">
        <f>IF(ISERROR(VLOOKUP(B29,Données!$A$3:$U$1479,11,FALSE)),0,VLOOKUP(B29,Données!$A$3:$U$1479,11,FALSE))</f>
        <v>0</v>
      </c>
      <c r="G29" s="17">
        <f>VALUE(COUNTIF(Validation!$A$2:$H$64,B29))-1</f>
        <v>229</v>
      </c>
      <c r="H29" s="363">
        <f>IF(ISERROR(VLOOKUP(B29,Données!$A$3:$U$1479,12,FALSE)),0,VLOOKUP(B29,Données!$A$3:$U$1479,12,FALSE))</f>
        <v>0</v>
      </c>
      <c r="I29" s="52">
        <f>IF(ISERROR(VLOOKUP(B29,Données!$A$3:$U$1479,20,FALSE)),0,VLOOKUP(B29,Données!$A$3:$U$1479,20,FALSE))</f>
        <v>0</v>
      </c>
      <c r="J29" s="54"/>
      <c r="R29" s="466" t="str">
        <f t="shared" si="0"/>
        <v/>
      </c>
    </row>
    <row r="30" spans="1:18" ht="15.75" customHeight="1" x14ac:dyDescent="0.25">
      <c r="A30" s="512"/>
      <c r="B30" s="29"/>
      <c r="C30" s="9" t="str">
        <f>IF(ISERROR(VLOOKUP(B30,Données!$A$3:$L$1479,5,FALSE)),"",VLOOKUP(B30,Données!$A$3:$L$1479,5,FALSE))</f>
        <v/>
      </c>
      <c r="D30" s="347" t="str">
        <f>IF(ISERROR(VLOOKUP(B30,Données!$A$3:$X$1479,23,FALSE)),"",VLOOKUP(B30,Données!$A$3:$X$1479,23,FALSE))</f>
        <v/>
      </c>
      <c r="E30" s="9" t="str">
        <f>IF(ISERROR(VLOOKUP(B30,Données!$A$3:$L$1479,7,FALSE)),"",VLOOKUP(B30,Données!$A$3:$L$1479,7,FALSE))</f>
        <v/>
      </c>
      <c r="F30" s="25">
        <f>IF(ISERROR(VLOOKUP(B30,Données!$A$3:$U$1479,11,FALSE)),0,VLOOKUP(B30,Données!$A$3:$U$1479,11,FALSE))</f>
        <v>0</v>
      </c>
      <c r="G30" s="17">
        <f>VALUE(COUNTIF(Validation!$A$2:$H$64,B30))-1</f>
        <v>229</v>
      </c>
      <c r="H30" s="363">
        <f>IF(ISERROR(VLOOKUP(B30,Données!$A$3:$U$1479,12,FALSE)),0,VLOOKUP(B30,Données!$A$3:$U$1479,12,FALSE))</f>
        <v>0</v>
      </c>
      <c r="I30" s="52">
        <f>IF(ISERROR(VLOOKUP(B30,Données!$A$3:$U$1479,20,FALSE)),0,VLOOKUP(B30,Données!$A$3:$U$1479,20,FALSE))</f>
        <v>0</v>
      </c>
      <c r="J30" s="54"/>
      <c r="R30" s="466" t="str">
        <f t="shared" si="0"/>
        <v/>
      </c>
    </row>
    <row r="31" spans="1:18" ht="15.75" x14ac:dyDescent="0.25">
      <c r="A31" s="513" t="s">
        <v>37</v>
      </c>
      <c r="B31" s="513"/>
      <c r="C31" s="513"/>
      <c r="D31" s="513"/>
      <c r="E31" s="513"/>
      <c r="F31" s="314">
        <f>ROUNDDOWN(SUM(F3:F30),2)</f>
        <v>0</v>
      </c>
      <c r="G31" s="43"/>
      <c r="H31" s="330">
        <f>SUM(H3:H30)</f>
        <v>0</v>
      </c>
      <c r="J31" s="54"/>
      <c r="R31" s="466" t="str">
        <f t="shared" si="0"/>
        <v/>
      </c>
    </row>
    <row r="32" spans="1:18" ht="19.5" thickBot="1" x14ac:dyDescent="0.35">
      <c r="A32" s="514" t="s">
        <v>44</v>
      </c>
      <c r="B32" s="514"/>
      <c r="C32" s="514"/>
      <c r="D32" s="514"/>
      <c r="E32" s="514"/>
      <c r="F32" s="322">
        <f>'Calcul Masse Salariale'!$B$5-F31</f>
        <v>102000000</v>
      </c>
      <c r="G32" s="44"/>
      <c r="H32" s="338">
        <f>'Calcul Masse Salariale'!$B$6-H31</f>
        <v>102000000</v>
      </c>
      <c r="J32" s="54"/>
      <c r="R32" s="466"/>
    </row>
    <row r="33" spans="1:10" ht="16.5" thickBot="1" x14ac:dyDescent="0.3">
      <c r="F33" s="373"/>
      <c r="J33" s="54"/>
    </row>
    <row r="34" spans="1:10" ht="30.75" thickBot="1" x14ac:dyDescent="0.3">
      <c r="B34" s="451" t="s">
        <v>36</v>
      </c>
      <c r="C34" s="434" t="s">
        <v>52</v>
      </c>
      <c r="D34" s="434" t="s">
        <v>403</v>
      </c>
      <c r="E34" s="434" t="s">
        <v>5</v>
      </c>
      <c r="F34" s="435" t="s">
        <v>134</v>
      </c>
      <c r="G34" s="452" t="s">
        <v>189</v>
      </c>
      <c r="H34" s="437" t="s">
        <v>1155</v>
      </c>
      <c r="I34" s="413" t="s">
        <v>2403</v>
      </c>
      <c r="J34" s="54"/>
    </row>
    <row r="35" spans="1:10" ht="19.5" thickBot="1" x14ac:dyDescent="0.35">
      <c r="A35" s="506" t="s">
        <v>2401</v>
      </c>
      <c r="B35" s="453"/>
      <c r="C35" s="402" t="str">
        <f>IF(ISERROR(VLOOKUP(B35,Données!$A$3:$L$1479,5,FALSE)),"",VLOOKUP(B35,Données!$A$3:$L$1479,5,FALSE))</f>
        <v/>
      </c>
      <c r="D35" s="402" t="str">
        <f>IF(ISERROR(VLOOKUP(B35,Données!$A$3:$X$1479,22,FALSE)),"",VLOOKUP(B35,Données!$A$3:$X$1479,22,FALSE))</f>
        <v/>
      </c>
      <c r="E35" s="402" t="str">
        <f>IF(ISERROR(VLOOKUP(B35,Données!$A$3:$L$1479,7,FALSE)),"",VLOOKUP(B35,Données!$A$3:$L$1479,7,FALSE))</f>
        <v/>
      </c>
      <c r="F35" s="403">
        <f>IF(ISERROR(VLOOKUP(B35,Données!$A$3:$U$1479,11,FALSE)),0,VLOOKUP(B35,Données!$A$3:$U$1479,11,FALSE))</f>
        <v>0</v>
      </c>
      <c r="G35" s="461">
        <f>VALUE(COUNTIF(Validation!$A$2:$H$120,B35))-1</f>
        <v>229</v>
      </c>
      <c r="H35" s="404">
        <f>IF(ISERROR(VLOOKUP(B35,Données!$A$3:$U$1479,12,FALSE)),0,VLOOKUP(B35,Données!$A$3:$U$1479,12,FALSE))</f>
        <v>0</v>
      </c>
      <c r="I35" s="405">
        <f>IF(ISERROR(VLOOKUP(B35,Données!$E$3:$U$1479,17,FALSE)),0,VLOOKUP(B35,Données!$E$3:$U$1479,17,FALSE))</f>
        <v>0</v>
      </c>
      <c r="J35" s="54"/>
    </row>
    <row r="36" spans="1:10" ht="19.5" thickBot="1" x14ac:dyDescent="0.35">
      <c r="A36" s="507"/>
      <c r="B36" s="406" t="s">
        <v>2404</v>
      </c>
      <c r="C36" s="508">
        <v>43464</v>
      </c>
      <c r="D36" s="509"/>
      <c r="E36" s="509"/>
      <c r="F36" s="407" t="s">
        <v>2405</v>
      </c>
      <c r="G36" s="508">
        <f>IF(C36="","",C36+28)</f>
        <v>43492</v>
      </c>
      <c r="H36" s="509"/>
      <c r="I36" s="509"/>
      <c r="J36" s="54"/>
    </row>
    <row r="37" spans="1:10" x14ac:dyDescent="0.25">
      <c r="J37" s="54"/>
    </row>
    <row r="38" spans="1:10" ht="30" customHeight="1" x14ac:dyDescent="0.25">
      <c r="A38" s="60"/>
      <c r="B38" s="62" t="s">
        <v>36</v>
      </c>
      <c r="C38" s="62" t="s">
        <v>52</v>
      </c>
      <c r="D38" s="62" t="s">
        <v>403</v>
      </c>
      <c r="E38" s="7" t="s">
        <v>2402</v>
      </c>
      <c r="F38" s="399" t="s">
        <v>134</v>
      </c>
      <c r="G38" s="68" t="s">
        <v>195</v>
      </c>
      <c r="H38" s="19" t="s">
        <v>2676</v>
      </c>
      <c r="I38" s="67" t="s">
        <v>1</v>
      </c>
      <c r="J38" s="54"/>
    </row>
    <row r="39" spans="1:10" ht="15.75" x14ac:dyDescent="0.25">
      <c r="A39" s="497" t="s">
        <v>43</v>
      </c>
      <c r="B39" s="35" t="s">
        <v>737</v>
      </c>
      <c r="C39" s="74" t="str">
        <f>IF(ISERROR(VLOOKUP(B39,Données!$A$3:$L$1479,5,FALSE)),"",VLOOKUP(B39,Données!$A$3:$L$1479,5,FALSE))</f>
        <v/>
      </c>
      <c r="D39" s="347" t="str">
        <f>IF(ISERROR(VLOOKUP(B39,Données!$A$3:$X$1479,23,FALSE)),"",VLOOKUP(B39,Données!$A$3:$X$1479,23,FALSE))</f>
        <v/>
      </c>
      <c r="E39" s="35">
        <v>2016</v>
      </c>
      <c r="F39" s="358">
        <f>IF(ISERROR(VLOOKUP(B39,Données!$A$3:$U$1479,11,FALSE)),0,VLOOKUP(B39,Données!$A$3:$U$1479,11,FALSE))</f>
        <v>0</v>
      </c>
      <c r="G39" s="74">
        <f t="shared" ref="G39:G73" si="1">I39</f>
        <v>2</v>
      </c>
      <c r="H39" s="363">
        <f>IF(ISERROR(VLOOKUP(B39,Données!$A$3:$U$1479,12,FALSE)),0,VLOOKUP(B39,Données!$A$3:$U$1479,12,FALSE))</f>
        <v>0</v>
      </c>
      <c r="I39" s="74">
        <f>IF(((E39+5)-'Calcul Masse Salariale'!$B$1)&lt;=0,0,(E39+5)-'Calcul Masse Salariale'!$B$1)</f>
        <v>2</v>
      </c>
      <c r="J39" s="54"/>
    </row>
    <row r="40" spans="1:10" ht="15.75" x14ac:dyDescent="0.25">
      <c r="A40" s="497"/>
      <c r="B40" s="35" t="s">
        <v>961</v>
      </c>
      <c r="C40" s="74" t="str">
        <f>IF(ISERROR(VLOOKUP(B40,Données!$A$3:$L$1479,5,FALSE)),"",VLOOKUP(B40,Données!$A$3:$L$1479,5,FALSE))</f>
        <v/>
      </c>
      <c r="D40" s="347" t="str">
        <f>IF(ISERROR(VLOOKUP(B40,Données!$A$3:$X$1479,23,FALSE)),"",VLOOKUP(B40,Données!$A$3:$X$1479,23,FALSE))</f>
        <v/>
      </c>
      <c r="E40" s="35">
        <v>2016</v>
      </c>
      <c r="F40" s="358">
        <f>IF(ISERROR(VLOOKUP(B40,Données!$A$3:$U$1479,11,FALSE)),0,VLOOKUP(B40,Données!$A$3:$U$1479,11,FALSE))</f>
        <v>0</v>
      </c>
      <c r="G40" s="74">
        <f t="shared" si="1"/>
        <v>2</v>
      </c>
      <c r="H40" s="363">
        <f>IF(ISERROR(VLOOKUP(B40,Données!$A$3:$U$1479,12,FALSE)),0,VLOOKUP(B40,Données!$A$3:$U$1479,12,FALSE))</f>
        <v>0</v>
      </c>
      <c r="I40" s="74">
        <f>IF(((E40+5)-'Calcul Masse Salariale'!$B$1)&lt;=0,0,(E40+5)-'Calcul Masse Salariale'!$B$1)</f>
        <v>2</v>
      </c>
      <c r="J40" s="54"/>
    </row>
    <row r="41" spans="1:10" ht="18.75" x14ac:dyDescent="0.3">
      <c r="A41" s="497"/>
      <c r="B41" s="35" t="s">
        <v>917</v>
      </c>
      <c r="C41" s="74" t="str">
        <f>IF(ISERROR(VLOOKUP(B41,Données!$A$3:$L$1479,5,FALSE)),"",VLOOKUP(B41,Données!$A$3:$L$1479,5,FALSE))</f>
        <v/>
      </c>
      <c r="D41" s="347" t="str">
        <f>IF(ISERROR(VLOOKUP(B41,Données!$A$3:$X$1479,23,FALSE)),"",VLOOKUP(B41,Données!$A$3:$X$1479,23,FALSE))</f>
        <v/>
      </c>
      <c r="E41" s="35">
        <v>2016</v>
      </c>
      <c r="F41" s="358">
        <f>IF(ISERROR(VLOOKUP(B41,Données!$A$3:$U$1479,11,FALSE)),0,VLOOKUP(B41,Données!$A$3:$U$1479,11,FALSE))</f>
        <v>0</v>
      </c>
      <c r="G41" s="74">
        <f t="shared" si="1"/>
        <v>2</v>
      </c>
      <c r="H41" s="363">
        <f>IF(ISERROR(VLOOKUP(B41,Données!$A$3:$U$1479,12,FALSE)),0,VLOOKUP(B41,Données!$A$3:$U$1479,12,FALSE))</f>
        <v>0</v>
      </c>
      <c r="I41" s="74">
        <f>IF(((E41+5)-'Calcul Masse Salariale'!$B$1)&lt;=0,0,(E41+5)-'Calcul Masse Salariale'!$B$1)</f>
        <v>2</v>
      </c>
      <c r="J41" s="56"/>
    </row>
    <row r="42" spans="1:10" ht="15.75" x14ac:dyDescent="0.25">
      <c r="A42" s="497"/>
      <c r="B42" s="35" t="s">
        <v>602</v>
      </c>
      <c r="C42" s="74" t="str">
        <f>IF(ISERROR(VLOOKUP(B42,Données!$A$3:$L$1479,5,FALSE)),"",VLOOKUP(B42,Données!$A$3:$L$1479,5,FALSE))</f>
        <v/>
      </c>
      <c r="D42" s="347" t="str">
        <f>IF(ISERROR(VLOOKUP(B42,Données!$A$3:$X$1479,23,FALSE)),"",VLOOKUP(B42,Données!$A$3:$X$1479,23,FALSE))</f>
        <v/>
      </c>
      <c r="E42" s="35">
        <v>2016</v>
      </c>
      <c r="F42" s="358">
        <f>IF(ISERROR(VLOOKUP(B42,Données!$A$3:$U$1479,11,FALSE)),0,VLOOKUP(B42,Données!$A$3:$U$1479,11,FALSE))</f>
        <v>0</v>
      </c>
      <c r="G42" s="74">
        <f t="shared" si="1"/>
        <v>2</v>
      </c>
      <c r="H42" s="363">
        <f>IF(ISERROR(VLOOKUP(B42,Données!$A$3:$U$1479,12,FALSE)),0,VLOOKUP(B42,Données!$A$3:$U$1479,12,FALSE))</f>
        <v>0</v>
      </c>
      <c r="I42" s="74">
        <f>IF(((E42+5)-'Calcul Masse Salariale'!$B$1)&lt;=0,0,(E42+5)-'Calcul Masse Salariale'!$B$1)</f>
        <v>2</v>
      </c>
      <c r="J42" s="54"/>
    </row>
    <row r="43" spans="1:10" ht="15.75" x14ac:dyDescent="0.25">
      <c r="A43" s="497"/>
      <c r="B43" s="35" t="s">
        <v>521</v>
      </c>
      <c r="C43" s="74" t="str">
        <f>IF(ISERROR(VLOOKUP(B43,Données!$A$3:$L$1479,5,FALSE)),"",VLOOKUP(B43,Données!$A$3:$L$1479,5,FALSE))</f>
        <v/>
      </c>
      <c r="D43" s="347" t="str">
        <f>IF(ISERROR(VLOOKUP(B43,Données!$A$3:$X$1479,23,FALSE)),"",VLOOKUP(B43,Données!$A$3:$X$1479,23,FALSE))</f>
        <v/>
      </c>
      <c r="E43" s="35">
        <v>2017</v>
      </c>
      <c r="F43" s="358">
        <f>IF(ISERROR(VLOOKUP(B43,Données!$A$3:$U$1479,11,FALSE)),0,VLOOKUP(B43,Données!$A$3:$U$1479,11,FALSE))</f>
        <v>0</v>
      </c>
      <c r="G43" s="74">
        <f t="shared" si="1"/>
        <v>3</v>
      </c>
      <c r="H43" s="363">
        <f>IF(ISERROR(VLOOKUP(B43,Données!$A$3:$U$1479,12,FALSE)),0,VLOOKUP(B43,Données!$A$3:$U$1479,12,FALSE))</f>
        <v>0</v>
      </c>
      <c r="I43" s="74">
        <f>IF(((E43+5)-'Calcul Masse Salariale'!$B$1)&lt;=0,0,(E43+5)-'Calcul Masse Salariale'!$B$1)</f>
        <v>3</v>
      </c>
      <c r="J43" s="54"/>
    </row>
    <row r="44" spans="1:10" ht="16.5" customHeight="1" x14ac:dyDescent="0.25">
      <c r="A44" s="497"/>
      <c r="B44" s="35" t="s">
        <v>158</v>
      </c>
      <c r="C44" s="74" t="str">
        <f>IF(ISERROR(VLOOKUP(B44,Données!$A$3:$L$1479,5,FALSE)),"",VLOOKUP(B44,Données!$A$3:$L$1479,5,FALSE))</f>
        <v/>
      </c>
      <c r="D44" s="347" t="str">
        <f>IF(ISERROR(VLOOKUP(B44,Données!$A$3:$X$1479,23,FALSE)),"",VLOOKUP(B44,Données!$A$3:$X$1479,23,FALSE))</f>
        <v/>
      </c>
      <c r="E44" s="35">
        <v>2017</v>
      </c>
      <c r="F44" s="358">
        <f>IF(ISERROR(VLOOKUP(B44,Données!$A$3:$U$1479,11,FALSE)),0,VLOOKUP(B44,Données!$A$3:$U$1479,11,FALSE))</f>
        <v>0</v>
      </c>
      <c r="G44" s="74">
        <f t="shared" si="1"/>
        <v>3</v>
      </c>
      <c r="H44" s="363">
        <f>IF(ISERROR(VLOOKUP(B44,Données!$A$3:$U$1479,12,FALSE)),0,VLOOKUP(B44,Données!$A$3:$U$1479,12,FALSE))</f>
        <v>0</v>
      </c>
      <c r="I44" s="74">
        <f>IF(((E44+5)-'Calcul Masse Salariale'!$B$1)&lt;=0,0,(E44+5)-'Calcul Masse Salariale'!$B$1)</f>
        <v>3</v>
      </c>
      <c r="J44" s="54"/>
    </row>
    <row r="45" spans="1:10" ht="15.75" x14ac:dyDescent="0.25">
      <c r="A45" s="497"/>
      <c r="B45" s="35" t="s">
        <v>163</v>
      </c>
      <c r="C45" s="74" t="str">
        <f>IF(ISERROR(VLOOKUP(B45,Données!$A$3:$L$1479,5,FALSE)),"",VLOOKUP(B45,Données!$A$3:$L$1479,5,FALSE))</f>
        <v/>
      </c>
      <c r="D45" s="347" t="str">
        <f>IF(ISERROR(VLOOKUP(B45,Données!$A$3:$X$1479,23,FALSE)),"",VLOOKUP(B45,Données!$A$3:$X$1479,23,FALSE))</f>
        <v/>
      </c>
      <c r="E45" s="35">
        <v>2017</v>
      </c>
      <c r="F45" s="358">
        <f>IF(ISERROR(VLOOKUP(B45,Données!$A$3:$U$1479,11,FALSE)),0,VLOOKUP(B45,Données!$A$3:$U$1479,11,FALSE))</f>
        <v>0</v>
      </c>
      <c r="G45" s="74">
        <f t="shared" si="1"/>
        <v>3</v>
      </c>
      <c r="H45" s="363">
        <f>IF(ISERROR(VLOOKUP(B45,Données!$A$3:$U$1479,12,FALSE)),0,VLOOKUP(B45,Données!$A$3:$U$1479,12,FALSE))</f>
        <v>0</v>
      </c>
      <c r="I45" s="74">
        <f>IF(((E45+5)-'Calcul Masse Salariale'!$B$1)&lt;=0,0,(E45+5)-'Calcul Masse Salariale'!$B$1)</f>
        <v>3</v>
      </c>
      <c r="J45" s="54"/>
    </row>
    <row r="46" spans="1:10" ht="15.75" x14ac:dyDescent="0.25">
      <c r="A46" s="497"/>
      <c r="B46" s="35" t="s">
        <v>976</v>
      </c>
      <c r="C46" s="74" t="str">
        <f>IF(ISERROR(VLOOKUP(B46,Données!$A$3:$L$1479,5,FALSE)),"",VLOOKUP(B46,Données!$A$3:$L$1479,5,FALSE))</f>
        <v/>
      </c>
      <c r="D46" s="347" t="str">
        <f>IF(ISERROR(VLOOKUP(B46,Données!$A$3:$X$1479,23,FALSE)),"",VLOOKUP(B46,Données!$A$3:$X$1479,23,FALSE))</f>
        <v/>
      </c>
      <c r="E46" s="35">
        <v>2018</v>
      </c>
      <c r="F46" s="358">
        <f>IF(ISERROR(VLOOKUP(B46,Données!$A$3:$U$1479,11,FALSE)),0,VLOOKUP(B46,Données!$A$3:$U$1479,11,FALSE))</f>
        <v>0</v>
      </c>
      <c r="G46" s="74">
        <f t="shared" si="1"/>
        <v>4</v>
      </c>
      <c r="H46" s="363">
        <f>IF(ISERROR(VLOOKUP(B46,Données!$A$3:$U$1479,12,FALSE)),0,VLOOKUP(B46,Données!$A$3:$U$1479,12,FALSE))</f>
        <v>0</v>
      </c>
      <c r="I46" s="74">
        <f>IF(((E46+5)-'Calcul Masse Salariale'!$B$1)&lt;=0,0,(E46+5)-'Calcul Masse Salariale'!$B$1)</f>
        <v>4</v>
      </c>
      <c r="J46" s="54"/>
    </row>
    <row r="47" spans="1:10" ht="15.75" x14ac:dyDescent="0.25">
      <c r="A47" s="497"/>
      <c r="B47" s="35" t="s">
        <v>904</v>
      </c>
      <c r="C47" s="74" t="str">
        <f>IF(ISERROR(VLOOKUP(B47,Données!$A$3:$L$1479,5,FALSE)),"",VLOOKUP(B47,Données!$A$3:$L$1479,5,FALSE))</f>
        <v/>
      </c>
      <c r="D47" s="347" t="str">
        <f>IF(ISERROR(VLOOKUP(B47,Données!$A$3:$X$1479,23,FALSE)),"",VLOOKUP(B47,Données!$A$3:$X$1479,23,FALSE))</f>
        <v/>
      </c>
      <c r="E47" s="35">
        <v>2018</v>
      </c>
      <c r="F47" s="358">
        <f>IF(ISERROR(VLOOKUP(B47,Données!$A$3:$U$1479,11,FALSE)),0,VLOOKUP(B47,Données!$A$3:$U$1479,11,FALSE))</f>
        <v>0</v>
      </c>
      <c r="G47" s="74">
        <f t="shared" si="1"/>
        <v>4</v>
      </c>
      <c r="H47" s="363">
        <f>IF(ISERROR(VLOOKUP(B47,Données!$A$3:$U$1479,12,FALSE)),0,VLOOKUP(B47,Données!$A$3:$U$1479,12,FALSE))</f>
        <v>0</v>
      </c>
      <c r="I47" s="74">
        <f>IF(((E47+5)-'Calcul Masse Salariale'!$B$1)&lt;=0,0,(E47+5)-'Calcul Masse Salariale'!$B$1)</f>
        <v>4</v>
      </c>
      <c r="J47" s="54"/>
    </row>
    <row r="48" spans="1:10" ht="15.75" x14ac:dyDescent="0.25">
      <c r="A48" s="497"/>
      <c r="B48" s="35" t="s">
        <v>1205</v>
      </c>
      <c r="C48" s="74" t="str">
        <f>IF(ISERROR(VLOOKUP(B48,Données!$A$3:$L$1479,5,FALSE)),"",VLOOKUP(B48,Données!$A$3:$L$1479,5,FALSE))</f>
        <v/>
      </c>
      <c r="D48" s="347" t="str">
        <f>IF(ISERROR(VLOOKUP(B48,Données!$A$3:$X$1479,23,FALSE)),"",VLOOKUP(B48,Données!$A$3:$X$1479,23,FALSE))</f>
        <v/>
      </c>
      <c r="E48" s="35">
        <v>2018</v>
      </c>
      <c r="F48" s="358">
        <f>IF(ISERROR(VLOOKUP(B48,Données!$A$3:$U$1479,11,FALSE)),0,VLOOKUP(B48,Données!$A$3:$U$1479,11,FALSE))</f>
        <v>0</v>
      </c>
      <c r="G48" s="74">
        <f t="shared" si="1"/>
        <v>4</v>
      </c>
      <c r="H48" s="363">
        <f>IF(ISERROR(VLOOKUP(B48,Données!$A$3:$U$1479,12,FALSE)),0,VLOOKUP(B48,Données!$A$3:$U$1479,12,FALSE))</f>
        <v>0</v>
      </c>
      <c r="I48" s="74">
        <f>IF(((E48+5)-'Calcul Masse Salariale'!$B$1)&lt;=0,0,(E48+5)-'Calcul Masse Salariale'!$B$1)</f>
        <v>4</v>
      </c>
      <c r="J48" s="54"/>
    </row>
    <row r="49" spans="1:10" ht="15.75" x14ac:dyDescent="0.25">
      <c r="A49" s="497"/>
      <c r="B49" s="75"/>
      <c r="C49" s="74" t="str">
        <f>IF(ISERROR(VLOOKUP(B49,Données!$A$3:$L$1479,5,FALSE)),"",VLOOKUP(B49,Données!$A$3:$L$1479,5,FALSE))</f>
        <v/>
      </c>
      <c r="D49" s="347" t="str">
        <f>IF(ISERROR(VLOOKUP(B49,Données!$A$3:$X$1479,23,FALSE)),"",VLOOKUP(B49,Données!$A$3:$X$1479,23,FALSE))</f>
        <v/>
      </c>
      <c r="E49" s="74"/>
      <c r="F49" s="358">
        <f>IF(ISERROR(VLOOKUP(B49,Données!$A$3:$U$1479,11,FALSE)),0,VLOOKUP(B49,Données!$A$3:$U$1479,11,FALSE))</f>
        <v>0</v>
      </c>
      <c r="G49" s="74">
        <f t="shared" si="1"/>
        <v>0</v>
      </c>
      <c r="H49" s="363">
        <f>IF(ISERROR(VLOOKUP(B49,Données!$A$3:$U$1479,12,FALSE)),0,VLOOKUP(B49,Données!$A$3:$U$1479,12,FALSE))</f>
        <v>0</v>
      </c>
      <c r="I49" s="74">
        <f>IF(((E49+5)-'Calcul Masse Salariale'!$B$1)&lt;=0,0,(E49+5)-'Calcul Masse Salariale'!$B$1)</f>
        <v>0</v>
      </c>
      <c r="J49" s="54"/>
    </row>
    <row r="50" spans="1:10" ht="15.75" x14ac:dyDescent="0.25">
      <c r="A50" s="497"/>
      <c r="B50" s="75"/>
      <c r="C50" s="74" t="str">
        <f>IF(ISERROR(VLOOKUP(B50,Données!$A$3:$L$1479,5,FALSE)),"",VLOOKUP(B50,Données!$A$3:$L$1479,5,FALSE))</f>
        <v/>
      </c>
      <c r="D50" s="347" t="str">
        <f>IF(ISERROR(VLOOKUP(B50,Données!$A$3:$X$1479,23,FALSE)),"",VLOOKUP(B50,Données!$A$3:$X$1479,23,FALSE))</f>
        <v/>
      </c>
      <c r="E50" s="74"/>
      <c r="F50" s="358">
        <f>IF(ISERROR(VLOOKUP(B50,Données!$A$3:$U$1479,11,FALSE)),0,VLOOKUP(B50,Données!$A$3:$U$1479,11,FALSE))</f>
        <v>0</v>
      </c>
      <c r="G50" s="74">
        <f t="shared" si="1"/>
        <v>0</v>
      </c>
      <c r="H50" s="363">
        <f>IF(ISERROR(VLOOKUP(B50,Données!$A$3:$U$1479,12,FALSE)),0,VLOOKUP(B50,Données!$A$3:$U$1479,12,FALSE))</f>
        <v>0</v>
      </c>
      <c r="I50" s="74">
        <f>IF(((E50+5)-'Calcul Masse Salariale'!$B$1)&lt;=0,0,(E50+5)-'Calcul Masse Salariale'!$B$1)</f>
        <v>0</v>
      </c>
      <c r="J50" s="54"/>
    </row>
    <row r="51" spans="1:10" ht="15.75" x14ac:dyDescent="0.25">
      <c r="A51" s="497"/>
      <c r="B51" s="70"/>
      <c r="C51" s="74" t="str">
        <f>IF(ISERROR(VLOOKUP(B51,Données!$A$3:$L$1479,5,FALSE)),"",VLOOKUP(B51,Données!$A$3:$L$1479,5,FALSE))</f>
        <v/>
      </c>
      <c r="D51" s="347" t="str">
        <f>IF(ISERROR(VLOOKUP(B51,Données!$A$3:$X$1479,23,FALSE)),"",VLOOKUP(B51,Données!$A$3:$X$1479,23,FALSE))</f>
        <v/>
      </c>
      <c r="E51" s="74"/>
      <c r="F51" s="358">
        <f>IF(ISERROR(VLOOKUP(B51,Données!$A$3:$U$1479,11,FALSE)),0,VLOOKUP(B51,Données!$A$3:$U$1479,11,FALSE))</f>
        <v>0</v>
      </c>
      <c r="G51" s="74">
        <f t="shared" si="1"/>
        <v>0</v>
      </c>
      <c r="H51" s="363">
        <f>IF(ISERROR(VLOOKUP(B51,Données!$A$3:$U$1479,12,FALSE)),0,VLOOKUP(B51,Données!$A$3:$U$1479,12,FALSE))</f>
        <v>0</v>
      </c>
      <c r="I51" s="74">
        <f>IF(((E51+5)-'Calcul Masse Salariale'!$B$1)&lt;=0,0,(E51+5)-'Calcul Masse Salariale'!$B$1)</f>
        <v>0</v>
      </c>
      <c r="J51" s="54"/>
    </row>
    <row r="52" spans="1:10" ht="15.75" x14ac:dyDescent="0.25">
      <c r="A52" s="497"/>
      <c r="B52" s="74"/>
      <c r="C52" s="74" t="str">
        <f>IF(ISERROR(VLOOKUP(B52,Données!$A$3:$L$1479,5,FALSE)),"",VLOOKUP(B52,Données!$A$3:$L$1479,5,FALSE))</f>
        <v/>
      </c>
      <c r="D52" s="347" t="str">
        <f>IF(ISERROR(VLOOKUP(B52,Données!$A$3:$X$1479,23,FALSE)),"",VLOOKUP(B52,Données!$A$3:$X$1479,23,FALSE))</f>
        <v/>
      </c>
      <c r="E52" s="74"/>
      <c r="F52" s="358">
        <f>IF(ISERROR(VLOOKUP(B52,Données!$A$3:$U$1479,11,FALSE)),0,VLOOKUP(B52,Données!$A$3:$U$1479,11,FALSE))</f>
        <v>0</v>
      </c>
      <c r="G52" s="74">
        <f t="shared" si="1"/>
        <v>0</v>
      </c>
      <c r="H52" s="363">
        <f>IF(ISERROR(VLOOKUP(B52,Données!$A$3:$U$1479,12,FALSE)),0,VLOOKUP(B52,Données!$A$3:$U$1479,12,FALSE))</f>
        <v>0</v>
      </c>
      <c r="I52" s="74">
        <f>IF(((E52+5)-'Calcul Masse Salariale'!$B$1)&lt;=0,0,(E52+5)-'Calcul Masse Salariale'!$B$1)</f>
        <v>0</v>
      </c>
      <c r="J52" s="54"/>
    </row>
    <row r="53" spans="1:10" ht="15.75" x14ac:dyDescent="0.25">
      <c r="A53" s="497"/>
      <c r="B53" s="74"/>
      <c r="C53" s="74" t="str">
        <f>IF(ISERROR(VLOOKUP(B53,Données!$A$3:$L$1479,5,FALSE)),"",VLOOKUP(B53,Données!$A$3:$L$1479,5,FALSE))</f>
        <v/>
      </c>
      <c r="D53" s="347" t="str">
        <f>IF(ISERROR(VLOOKUP(B53,Données!$A$3:$X$1479,23,FALSE)),"",VLOOKUP(B53,Données!$A$3:$X$1479,23,FALSE))</f>
        <v/>
      </c>
      <c r="E53" s="74"/>
      <c r="F53" s="358">
        <f>IF(ISERROR(VLOOKUP(B53,Données!$A$3:$U$1479,11,FALSE)),0,VLOOKUP(B53,Données!$A$3:$U$1479,11,FALSE))</f>
        <v>0</v>
      </c>
      <c r="G53" s="74">
        <f t="shared" si="1"/>
        <v>0</v>
      </c>
      <c r="H53" s="363">
        <f>IF(ISERROR(VLOOKUP(B53,Données!$A$3:$U$1479,12,FALSE)),0,VLOOKUP(B53,Données!$A$3:$U$1479,12,FALSE))</f>
        <v>0</v>
      </c>
      <c r="I53" s="74">
        <f>IF(((E53+5)-'Calcul Masse Salariale'!$B$1)&lt;=0,0,(E53+5)-'Calcul Masse Salariale'!$B$1)</f>
        <v>0</v>
      </c>
      <c r="J53" s="54"/>
    </row>
    <row r="54" spans="1:10" ht="15.75" x14ac:dyDescent="0.25">
      <c r="A54" s="497"/>
      <c r="B54" s="74"/>
      <c r="C54" s="74" t="str">
        <f>IF(ISERROR(VLOOKUP(B54,Données!$A$3:$L$1479,5,FALSE)),"",VLOOKUP(B54,Données!$A$3:$L$1479,5,FALSE))</f>
        <v/>
      </c>
      <c r="D54" s="347" t="str">
        <f>IF(ISERROR(VLOOKUP(B54,Données!$A$3:$X$1479,23,FALSE)),"",VLOOKUP(B54,Données!$A$3:$X$1479,23,FALSE))</f>
        <v/>
      </c>
      <c r="E54" s="74"/>
      <c r="F54" s="358">
        <f>IF(ISERROR(VLOOKUP(B54,Données!$A$3:$U$1479,11,FALSE)),0,VLOOKUP(B54,Données!$A$3:$U$1479,11,FALSE))</f>
        <v>0</v>
      </c>
      <c r="G54" s="74">
        <f t="shared" si="1"/>
        <v>0</v>
      </c>
      <c r="H54" s="363">
        <f>IF(ISERROR(VLOOKUP(B54,Données!$A$3:$U$1479,12,FALSE)),0,VLOOKUP(B54,Données!$A$3:$U$1479,12,FALSE))</f>
        <v>0</v>
      </c>
      <c r="I54" s="74">
        <f>IF(((E54+5)-'Calcul Masse Salariale'!$B$1)&lt;=0,0,(E54+5)-'Calcul Masse Salariale'!$B$1)</f>
        <v>0</v>
      </c>
      <c r="J54" s="54"/>
    </row>
    <row r="55" spans="1:10" ht="15.75" x14ac:dyDescent="0.25">
      <c r="A55" s="497"/>
      <c r="B55" s="74"/>
      <c r="C55" s="74" t="str">
        <f>IF(ISERROR(VLOOKUP(B55,Données!$A$3:$L$1479,5,FALSE)),"",VLOOKUP(B55,Données!$A$3:$L$1479,5,FALSE))</f>
        <v/>
      </c>
      <c r="D55" s="347" t="str">
        <f>IF(ISERROR(VLOOKUP(B55,Données!$A$3:$X$1479,23,FALSE)),"",VLOOKUP(B55,Données!$A$3:$X$1479,23,FALSE))</f>
        <v/>
      </c>
      <c r="E55" s="74"/>
      <c r="F55" s="358">
        <f>IF(ISERROR(VLOOKUP(B55,Données!$A$3:$U$1479,11,FALSE)),0,VLOOKUP(B55,Données!$A$3:$U$1479,11,FALSE))</f>
        <v>0</v>
      </c>
      <c r="G55" s="74">
        <f t="shared" si="1"/>
        <v>0</v>
      </c>
      <c r="H55" s="363">
        <f>IF(ISERROR(VLOOKUP(B55,Données!$A$3:$U$1479,12,FALSE)),0,VLOOKUP(B55,Données!$A$3:$U$1479,12,FALSE))</f>
        <v>0</v>
      </c>
      <c r="I55" s="74">
        <f>IF(((E55+5)-'Calcul Masse Salariale'!$B$1)&lt;=0,0,(E55+5)-'Calcul Masse Salariale'!$B$1)</f>
        <v>0</v>
      </c>
      <c r="J55" s="54"/>
    </row>
    <row r="56" spans="1:10" ht="15.75" x14ac:dyDescent="0.25">
      <c r="A56" s="497"/>
      <c r="B56" s="74"/>
      <c r="C56" s="74" t="str">
        <f>IF(ISERROR(VLOOKUP(B56,Données!$A$3:$L$1479,5,FALSE)),"",VLOOKUP(B56,Données!$A$3:$L$1479,5,FALSE))</f>
        <v/>
      </c>
      <c r="D56" s="347" t="str">
        <f>IF(ISERROR(VLOOKUP(B56,Données!$A$3:$X$1479,23,FALSE)),"",VLOOKUP(B56,Données!$A$3:$X$1479,23,FALSE))</f>
        <v/>
      </c>
      <c r="E56" s="74"/>
      <c r="F56" s="358">
        <f>IF(ISERROR(VLOOKUP(B56,Données!$A$3:$U$1479,11,FALSE)),0,VLOOKUP(B56,Données!$A$3:$U$1479,11,FALSE))</f>
        <v>0</v>
      </c>
      <c r="G56" s="74">
        <f t="shared" si="1"/>
        <v>0</v>
      </c>
      <c r="H56" s="363">
        <f>IF(ISERROR(VLOOKUP(B56,Données!$A$3:$U$1479,12,FALSE)),0,VLOOKUP(B56,Données!$A$3:$U$1479,12,FALSE))</f>
        <v>0</v>
      </c>
      <c r="I56" s="74">
        <f>IF(((E56+5)-'Calcul Masse Salariale'!$B$1)&lt;=0,0,(E56+5)-'Calcul Masse Salariale'!$B$1)</f>
        <v>0</v>
      </c>
      <c r="J56" s="54"/>
    </row>
    <row r="57" spans="1:10" ht="15.75" x14ac:dyDescent="0.25">
      <c r="A57" s="497"/>
      <c r="B57" s="74"/>
      <c r="C57" s="74" t="str">
        <f>IF(ISERROR(VLOOKUP(B57,Données!$A$3:$L$1479,5,FALSE)),"",VLOOKUP(B57,Données!$A$3:$L$1479,5,FALSE))</f>
        <v/>
      </c>
      <c r="D57" s="347" t="str">
        <f>IF(ISERROR(VLOOKUP(B57,Données!$A$3:$X$1479,23,FALSE)),"",VLOOKUP(B57,Données!$A$3:$X$1479,23,FALSE))</f>
        <v/>
      </c>
      <c r="E57" s="74"/>
      <c r="F57" s="358">
        <f>IF(ISERROR(VLOOKUP(B57,Données!$A$3:$U$1479,11,FALSE)),0,VLOOKUP(B57,Données!$A$3:$U$1479,11,FALSE))</f>
        <v>0</v>
      </c>
      <c r="G57" s="74">
        <f t="shared" si="1"/>
        <v>0</v>
      </c>
      <c r="H57" s="363">
        <f>IF(ISERROR(VLOOKUP(B57,Données!$A$3:$U$1479,12,FALSE)),0,VLOOKUP(B57,Données!$A$3:$U$1479,12,FALSE))</f>
        <v>0</v>
      </c>
      <c r="I57" s="74">
        <f>IF(((E57+5)-'Calcul Masse Salariale'!$B$1)&lt;=0,0,(E57+5)-'Calcul Masse Salariale'!$B$1)</f>
        <v>0</v>
      </c>
      <c r="J57" s="54"/>
    </row>
    <row r="58" spans="1:10" ht="15.75" x14ac:dyDescent="0.25">
      <c r="A58" s="497"/>
      <c r="B58" s="74"/>
      <c r="C58" s="74" t="str">
        <f>IF(ISERROR(VLOOKUP(B58,Données!$A$3:$L$1479,5,FALSE)),"",VLOOKUP(B58,Données!$A$3:$L$1479,5,FALSE))</f>
        <v/>
      </c>
      <c r="D58" s="347" t="str">
        <f>IF(ISERROR(VLOOKUP(B58,Données!$A$3:$X$1479,23,FALSE)),"",VLOOKUP(B58,Données!$A$3:$X$1479,23,FALSE))</f>
        <v/>
      </c>
      <c r="E58" s="74"/>
      <c r="F58" s="358">
        <f>IF(ISERROR(VLOOKUP(B58,Données!$A$3:$U$1479,11,FALSE)),0,VLOOKUP(B58,Données!$A$3:$U$1479,11,FALSE))</f>
        <v>0</v>
      </c>
      <c r="G58" s="74">
        <f t="shared" si="1"/>
        <v>0</v>
      </c>
      <c r="H58" s="363">
        <f>IF(ISERROR(VLOOKUP(B58,Données!$A$3:$U$1479,12,FALSE)),0,VLOOKUP(B58,Données!$A$3:$U$1479,12,FALSE))</f>
        <v>0</v>
      </c>
      <c r="I58" s="74">
        <f>IF(((E58+5)-'Calcul Masse Salariale'!$B$1)&lt;=0,0,(E58+5)-'Calcul Masse Salariale'!$B$1)</f>
        <v>0</v>
      </c>
      <c r="J58" s="54"/>
    </row>
    <row r="59" spans="1:10" ht="15.75" x14ac:dyDescent="0.25">
      <c r="A59" s="497"/>
      <c r="B59" s="74"/>
      <c r="C59" s="74" t="str">
        <f>IF(ISERROR(VLOOKUP(B59,Données!$A$3:$L$1479,5,FALSE)),"",VLOOKUP(B59,Données!$A$3:$L$1479,5,FALSE))</f>
        <v/>
      </c>
      <c r="D59" s="347" t="str">
        <f>IF(ISERROR(VLOOKUP(B59,Données!$A$3:$X$1479,23,FALSE)),"",VLOOKUP(B59,Données!$A$3:$X$1479,23,FALSE))</f>
        <v/>
      </c>
      <c r="E59" s="74"/>
      <c r="F59" s="358">
        <f>IF(ISERROR(VLOOKUP(B59,Données!$A$3:$U$1479,11,FALSE)),0,VLOOKUP(B59,Données!$A$3:$U$1479,11,FALSE))</f>
        <v>0</v>
      </c>
      <c r="G59" s="74">
        <f t="shared" si="1"/>
        <v>0</v>
      </c>
      <c r="H59" s="363">
        <f>IF(ISERROR(VLOOKUP(B59,Données!$A$3:$U$1479,12,FALSE)),0,VLOOKUP(B59,Données!$A$3:$U$1479,12,FALSE))</f>
        <v>0</v>
      </c>
      <c r="I59" s="74">
        <f>IF(((E59+5)-'Calcul Masse Salariale'!$B$1)&lt;=0,0,(E59+5)-'Calcul Masse Salariale'!$B$1)</f>
        <v>0</v>
      </c>
      <c r="J59" s="54"/>
    </row>
    <row r="60" spans="1:10" ht="15.75" x14ac:dyDescent="0.25">
      <c r="A60" s="497"/>
      <c r="B60" s="74"/>
      <c r="C60" s="74" t="str">
        <f>IF(ISERROR(VLOOKUP(B60,Données!$A$3:$L$1479,5,FALSE)),"",VLOOKUP(B60,Données!$A$3:$L$1479,5,FALSE))</f>
        <v/>
      </c>
      <c r="D60" s="347" t="str">
        <f>IF(ISERROR(VLOOKUP(B60,Données!$A$3:$X$1479,23,FALSE)),"",VLOOKUP(B60,Données!$A$3:$X$1479,23,FALSE))</f>
        <v/>
      </c>
      <c r="E60" s="74"/>
      <c r="F60" s="358">
        <f>IF(ISERROR(VLOOKUP(B60,Données!$A$3:$U$1479,11,FALSE)),0,VLOOKUP(B60,Données!$A$3:$U$1479,11,FALSE))</f>
        <v>0</v>
      </c>
      <c r="G60" s="74">
        <f t="shared" si="1"/>
        <v>0</v>
      </c>
      <c r="H60" s="363">
        <f>IF(ISERROR(VLOOKUP(B60,Données!$A$3:$U$1479,12,FALSE)),0,VLOOKUP(B60,Données!$A$3:$U$1479,12,FALSE))</f>
        <v>0</v>
      </c>
      <c r="I60" s="74">
        <f>IF(((E60+5)-'Calcul Masse Salariale'!$B$1)&lt;=0,0,(E60+5)-'Calcul Masse Salariale'!$B$1)</f>
        <v>0</v>
      </c>
      <c r="J60" s="54"/>
    </row>
    <row r="61" spans="1:10" ht="15.75" x14ac:dyDescent="0.25">
      <c r="A61" s="497"/>
      <c r="B61" s="74"/>
      <c r="C61" s="74" t="str">
        <f>IF(ISERROR(VLOOKUP(B61,Données!$A$3:$L$1479,5,FALSE)),"",VLOOKUP(B61,Données!$A$3:$L$1479,5,FALSE))</f>
        <v/>
      </c>
      <c r="D61" s="347" t="str">
        <f>IF(ISERROR(VLOOKUP(B61,Données!$A$3:$X$1479,23,FALSE)),"",VLOOKUP(B61,Données!$A$3:$X$1479,23,FALSE))</f>
        <v/>
      </c>
      <c r="E61" s="74"/>
      <c r="F61" s="358">
        <f>IF(ISERROR(VLOOKUP(B61,Données!$A$3:$U$1479,11,FALSE)),0,VLOOKUP(B61,Données!$A$3:$U$1479,11,FALSE))</f>
        <v>0</v>
      </c>
      <c r="G61" s="74">
        <f t="shared" si="1"/>
        <v>0</v>
      </c>
      <c r="H61" s="363">
        <f>IF(ISERROR(VLOOKUP(B61,Données!$A$3:$U$1479,12,FALSE)),0,VLOOKUP(B61,Données!$A$3:$U$1479,12,FALSE))</f>
        <v>0</v>
      </c>
      <c r="I61" s="74">
        <f>IF(((E61+5)-'Calcul Masse Salariale'!$B$1)&lt;=0,0,(E61+5)-'Calcul Masse Salariale'!$B$1)</f>
        <v>0</v>
      </c>
      <c r="J61" s="54"/>
    </row>
    <row r="62" spans="1:10" ht="15.75" x14ac:dyDescent="0.25">
      <c r="A62" s="497"/>
      <c r="B62" s="74"/>
      <c r="C62" s="74" t="str">
        <f>IF(ISERROR(VLOOKUP(B62,Données!$A$3:$L$1479,5,FALSE)),"",VLOOKUP(B62,Données!$A$3:$L$1479,5,FALSE))</f>
        <v/>
      </c>
      <c r="D62" s="347" t="str">
        <f>IF(ISERROR(VLOOKUP(B62,Données!$A$3:$X$1479,23,FALSE)),"",VLOOKUP(B62,Données!$A$3:$X$1479,23,FALSE))</f>
        <v/>
      </c>
      <c r="E62" s="74"/>
      <c r="F62" s="358">
        <f>IF(ISERROR(VLOOKUP(B62,Données!$A$3:$U$1479,11,FALSE)),0,VLOOKUP(B62,Données!$A$3:$U$1479,11,FALSE))</f>
        <v>0</v>
      </c>
      <c r="G62" s="74">
        <f t="shared" si="1"/>
        <v>0</v>
      </c>
      <c r="H62" s="363">
        <f>IF(ISERROR(VLOOKUP(B62,Données!$A$3:$U$1479,12,FALSE)),0,VLOOKUP(B62,Données!$A$3:$U$1479,12,FALSE))</f>
        <v>0</v>
      </c>
      <c r="I62" s="74">
        <f>IF(((E62+5)-'Calcul Masse Salariale'!$B$1)&lt;=0,0,(E62+5)-'Calcul Masse Salariale'!$B$1)</f>
        <v>0</v>
      </c>
      <c r="J62" s="54"/>
    </row>
    <row r="63" spans="1:10" ht="15.75" x14ac:dyDescent="0.25">
      <c r="A63" s="497"/>
      <c r="B63" s="74"/>
      <c r="C63" s="74" t="str">
        <f>IF(ISERROR(VLOOKUP(B63,Données!$A$3:$L$1479,5,FALSE)),"",VLOOKUP(B63,Données!$A$3:$L$1479,5,FALSE))</f>
        <v/>
      </c>
      <c r="D63" s="347" t="str">
        <f>IF(ISERROR(VLOOKUP(B63,Données!$A$3:$X$1479,23,FALSE)),"",VLOOKUP(B63,Données!$A$3:$X$1479,23,FALSE))</f>
        <v/>
      </c>
      <c r="E63" s="74"/>
      <c r="F63" s="358">
        <f>IF(ISERROR(VLOOKUP(B63,Données!$A$3:$U$1479,11,FALSE)),0,VLOOKUP(B63,Données!$A$3:$U$1479,11,FALSE))</f>
        <v>0</v>
      </c>
      <c r="G63" s="74">
        <f t="shared" si="1"/>
        <v>0</v>
      </c>
      <c r="H63" s="363">
        <f>IF(ISERROR(VLOOKUP(B63,Données!$A$3:$U$1479,12,FALSE)),0,VLOOKUP(B63,Données!$A$3:$U$1479,12,FALSE))</f>
        <v>0</v>
      </c>
      <c r="I63" s="74">
        <f>IF(((E63+5)-'Calcul Masse Salariale'!$B$1)&lt;=0,0,(E63+5)-'Calcul Masse Salariale'!$B$1)</f>
        <v>0</v>
      </c>
      <c r="J63" s="54"/>
    </row>
    <row r="64" spans="1:10" ht="15.75" x14ac:dyDescent="0.25">
      <c r="A64" s="497"/>
      <c r="B64" s="74"/>
      <c r="C64" s="74" t="str">
        <f>IF(ISERROR(VLOOKUP(B64,Données!$A$3:$L$1479,5,FALSE)),"",VLOOKUP(B64,Données!$A$3:$L$1479,5,FALSE))</f>
        <v/>
      </c>
      <c r="D64" s="347" t="str">
        <f>IF(ISERROR(VLOOKUP(B64,Données!$A$3:$X$1479,23,FALSE)),"",VLOOKUP(B64,Données!$A$3:$X$1479,23,FALSE))</f>
        <v/>
      </c>
      <c r="E64" s="74"/>
      <c r="F64" s="358">
        <f>IF(ISERROR(VLOOKUP(B64,Données!$A$3:$U$1479,11,FALSE)),0,VLOOKUP(B64,Données!$A$3:$U$1479,11,FALSE))</f>
        <v>0</v>
      </c>
      <c r="G64" s="74">
        <f t="shared" si="1"/>
        <v>0</v>
      </c>
      <c r="H64" s="363">
        <f>IF(ISERROR(VLOOKUP(B64,Données!$A$3:$U$1479,12,FALSE)),0,VLOOKUP(B64,Données!$A$3:$U$1479,12,FALSE))</f>
        <v>0</v>
      </c>
      <c r="I64" s="74">
        <f>IF(((E64+5)-'Calcul Masse Salariale'!$B$1)&lt;=0,0,(E64+5)-'Calcul Masse Salariale'!$B$1)</f>
        <v>0</v>
      </c>
      <c r="J64" s="54"/>
    </row>
    <row r="65" spans="1:10" ht="15.75" x14ac:dyDescent="0.25">
      <c r="A65" s="497"/>
      <c r="B65" s="74"/>
      <c r="C65" s="74" t="str">
        <f>IF(ISERROR(VLOOKUP(B65,Données!$A$3:$L$1479,5,FALSE)),"",VLOOKUP(B65,Données!$A$3:$L$1479,5,FALSE))</f>
        <v/>
      </c>
      <c r="D65" s="347" t="str">
        <f>IF(ISERROR(VLOOKUP(B65,Données!$A$3:$X$1479,23,FALSE)),"",VLOOKUP(B65,Données!$A$3:$X$1479,23,FALSE))</f>
        <v/>
      </c>
      <c r="E65" s="74"/>
      <c r="F65" s="358">
        <f>IF(ISERROR(VLOOKUP(B65,Données!$A$3:$U$1479,11,FALSE)),0,VLOOKUP(B65,Données!$A$3:$U$1479,11,FALSE))</f>
        <v>0</v>
      </c>
      <c r="G65" s="74">
        <f t="shared" si="1"/>
        <v>0</v>
      </c>
      <c r="H65" s="363">
        <f>IF(ISERROR(VLOOKUP(B65,Données!$A$3:$U$1479,12,FALSE)),0,VLOOKUP(B65,Données!$A$3:$U$1479,12,FALSE))</f>
        <v>0</v>
      </c>
      <c r="I65" s="74">
        <f>IF(((E65+5)-'Calcul Masse Salariale'!$B$1)&lt;=0,0,(E65+5)-'Calcul Masse Salariale'!$B$1)</f>
        <v>0</v>
      </c>
      <c r="J65" s="54"/>
    </row>
    <row r="66" spans="1:10" ht="15.75" x14ac:dyDescent="0.25">
      <c r="A66" s="497"/>
      <c r="B66" s="74"/>
      <c r="C66" s="74" t="str">
        <f>IF(ISERROR(VLOOKUP(B66,Données!$A$3:$L$1479,5,FALSE)),"",VLOOKUP(B66,Données!$A$3:$L$1479,5,FALSE))</f>
        <v/>
      </c>
      <c r="D66" s="347" t="str">
        <f>IF(ISERROR(VLOOKUP(B66,Données!$A$3:$X$1479,23,FALSE)),"",VLOOKUP(B66,Données!$A$3:$X$1479,23,FALSE))</f>
        <v/>
      </c>
      <c r="E66" s="74"/>
      <c r="F66" s="358">
        <f>IF(ISERROR(VLOOKUP(B66,Données!$A$3:$U$1479,11,FALSE)),0,VLOOKUP(B66,Données!$A$3:$U$1479,11,FALSE))</f>
        <v>0</v>
      </c>
      <c r="G66" s="74">
        <f t="shared" si="1"/>
        <v>0</v>
      </c>
      <c r="H66" s="363">
        <f>IF(ISERROR(VLOOKUP(B66,Données!$A$3:$U$1479,12,FALSE)),0,VLOOKUP(B66,Données!$A$3:$U$1479,12,FALSE))</f>
        <v>0</v>
      </c>
      <c r="I66" s="74">
        <f>IF(((E66+5)-'Calcul Masse Salariale'!$B$1)&lt;=0,0,(E66+5)-'Calcul Masse Salariale'!$B$1)</f>
        <v>0</v>
      </c>
      <c r="J66" s="54"/>
    </row>
    <row r="67" spans="1:10" ht="15.75" x14ac:dyDescent="0.25">
      <c r="A67" s="497"/>
      <c r="B67" s="74"/>
      <c r="C67" s="74" t="str">
        <f>IF(ISERROR(VLOOKUP(B67,Données!$A$3:$L$1479,5,FALSE)),"",VLOOKUP(B67,Données!$A$3:$L$1479,5,FALSE))</f>
        <v/>
      </c>
      <c r="D67" s="347" t="str">
        <f>IF(ISERROR(VLOOKUP(B67,Données!$A$3:$X$1479,23,FALSE)),"",VLOOKUP(B67,Données!$A$3:$X$1479,23,FALSE))</f>
        <v/>
      </c>
      <c r="E67" s="74"/>
      <c r="F67" s="358">
        <f>IF(ISERROR(VLOOKUP(B67,Données!$A$3:$U$1479,11,FALSE)),0,VLOOKUP(B67,Données!$A$3:$U$1479,11,FALSE))</f>
        <v>0</v>
      </c>
      <c r="G67" s="74">
        <f t="shared" si="1"/>
        <v>0</v>
      </c>
      <c r="H67" s="363">
        <f>IF(ISERROR(VLOOKUP(B67,Données!$A$3:$U$1479,12,FALSE)),0,VLOOKUP(B67,Données!$A$3:$U$1479,12,FALSE))</f>
        <v>0</v>
      </c>
      <c r="I67" s="74">
        <f>IF(((E67+5)-'Calcul Masse Salariale'!$B$1)&lt;=0,0,(E67+5)-'Calcul Masse Salariale'!$B$1)</f>
        <v>0</v>
      </c>
      <c r="J67" s="54"/>
    </row>
    <row r="68" spans="1:10" ht="15.75" x14ac:dyDescent="0.25">
      <c r="A68" s="497"/>
      <c r="B68" s="74"/>
      <c r="C68" s="74" t="str">
        <f>IF(ISERROR(VLOOKUP(B68,Données!$A$3:$L$1479,5,FALSE)),"",VLOOKUP(B68,Données!$A$3:$L$1479,5,FALSE))</f>
        <v/>
      </c>
      <c r="D68" s="347" t="str">
        <f>IF(ISERROR(VLOOKUP(B68,Données!$A$3:$X$1479,23,FALSE)),"",VLOOKUP(B68,Données!$A$3:$X$1479,23,FALSE))</f>
        <v/>
      </c>
      <c r="E68" s="74"/>
      <c r="F68" s="358">
        <f>IF(ISERROR(VLOOKUP(B68,Données!$A$3:$U$1479,11,FALSE)),0,VLOOKUP(B68,Données!$A$3:$U$1479,11,FALSE))</f>
        <v>0</v>
      </c>
      <c r="G68" s="74">
        <f t="shared" si="1"/>
        <v>0</v>
      </c>
      <c r="H68" s="363">
        <f>IF(ISERROR(VLOOKUP(B68,Données!$A$3:$U$1479,12,FALSE)),0,VLOOKUP(B68,Données!$A$3:$U$1479,12,FALSE))</f>
        <v>0</v>
      </c>
      <c r="I68" s="74">
        <f>IF(((E68+5)-'Calcul Masse Salariale'!$B$1)&lt;=0,0,(E68+5)-'Calcul Masse Salariale'!$B$1)</f>
        <v>0</v>
      </c>
      <c r="J68" s="54"/>
    </row>
    <row r="69" spans="1:10" ht="15.75" x14ac:dyDescent="0.25">
      <c r="A69" s="497"/>
      <c r="B69" s="74"/>
      <c r="C69" s="74" t="str">
        <f>IF(ISERROR(VLOOKUP(B69,Données!$A$3:$L$1479,5,FALSE)),"",VLOOKUP(B69,Données!$A$3:$L$1479,5,FALSE))</f>
        <v/>
      </c>
      <c r="D69" s="347" t="str">
        <f>IF(ISERROR(VLOOKUP(B69,Données!$A$3:$X$1479,23,FALSE)),"",VLOOKUP(B69,Données!$A$3:$X$1479,23,FALSE))</f>
        <v/>
      </c>
      <c r="E69" s="74"/>
      <c r="F69" s="358">
        <f>IF(ISERROR(VLOOKUP(B69,Données!$A$3:$U$1479,11,FALSE)),0,VLOOKUP(B69,Données!$A$3:$U$1479,11,FALSE))</f>
        <v>0</v>
      </c>
      <c r="G69" s="74">
        <f t="shared" si="1"/>
        <v>0</v>
      </c>
      <c r="H69" s="363">
        <f>IF(ISERROR(VLOOKUP(B69,Données!$A$3:$U$1479,12,FALSE)),0,VLOOKUP(B69,Données!$A$3:$U$1479,12,FALSE))</f>
        <v>0</v>
      </c>
      <c r="I69" s="74">
        <f>IF(((E69+5)-'Calcul Masse Salariale'!$B$1)&lt;=0,0,(E69+5)-'Calcul Masse Salariale'!$B$1)</f>
        <v>0</v>
      </c>
      <c r="J69" s="54"/>
    </row>
    <row r="70" spans="1:10" ht="15.75" x14ac:dyDescent="0.25">
      <c r="A70" s="497"/>
      <c r="B70" s="74"/>
      <c r="C70" s="74" t="str">
        <f>IF(ISERROR(VLOOKUP(B70,Données!$A$3:$L$1479,5,FALSE)),"",VLOOKUP(B70,Données!$A$3:$L$1479,5,FALSE))</f>
        <v/>
      </c>
      <c r="D70" s="347" t="str">
        <f>IF(ISERROR(VLOOKUP(B70,Données!$A$3:$X$1479,23,FALSE)),"",VLOOKUP(B70,Données!$A$3:$X$1479,23,FALSE))</f>
        <v/>
      </c>
      <c r="E70" s="74"/>
      <c r="F70" s="358">
        <f>IF(ISERROR(VLOOKUP(B70,Données!$A$3:$U$1479,11,FALSE)),0,VLOOKUP(B70,Données!$A$3:$U$1479,11,FALSE))</f>
        <v>0</v>
      </c>
      <c r="G70" s="74">
        <f t="shared" si="1"/>
        <v>0</v>
      </c>
      <c r="H70" s="363">
        <f>IF(ISERROR(VLOOKUP(B70,Données!$A$3:$U$1479,12,FALSE)),0,VLOOKUP(B70,Données!$A$3:$U$1479,12,FALSE))</f>
        <v>0</v>
      </c>
      <c r="I70" s="74">
        <f>IF(((E70+5)-'Calcul Masse Salariale'!$B$1)&lt;=0,0,(E70+5)-'Calcul Masse Salariale'!$B$1)</f>
        <v>0</v>
      </c>
      <c r="J70" s="54"/>
    </row>
    <row r="71" spans="1:10" ht="15.75" x14ac:dyDescent="0.25">
      <c r="A71" s="497"/>
      <c r="B71" s="74"/>
      <c r="C71" s="74" t="str">
        <f>IF(ISERROR(VLOOKUP(B71,Données!$A$3:$L$1479,5,FALSE)),"",VLOOKUP(B71,Données!$A$3:$L$1479,5,FALSE))</f>
        <v/>
      </c>
      <c r="D71" s="347" t="str">
        <f>IF(ISERROR(VLOOKUP(B71,Données!$A$3:$X$1479,23,FALSE)),"",VLOOKUP(B71,Données!$A$3:$X$1479,23,FALSE))</f>
        <v/>
      </c>
      <c r="E71" s="74"/>
      <c r="F71" s="358">
        <f>IF(ISERROR(VLOOKUP(B71,Données!$A$3:$U$1479,11,FALSE)),0,VLOOKUP(B71,Données!$A$3:$U$1479,11,FALSE))</f>
        <v>0</v>
      </c>
      <c r="G71" s="74">
        <f t="shared" si="1"/>
        <v>0</v>
      </c>
      <c r="H71" s="363">
        <f>IF(ISERROR(VLOOKUP(B71,Données!$A$3:$U$1479,12,FALSE)),0,VLOOKUP(B71,Données!$A$3:$U$1479,12,FALSE))</f>
        <v>0</v>
      </c>
      <c r="I71" s="74">
        <f>IF(((E71+5)-'Calcul Masse Salariale'!$B$1)&lt;=0,0,(E71+5)-'Calcul Masse Salariale'!$B$1)</f>
        <v>0</v>
      </c>
      <c r="J71" s="54"/>
    </row>
    <row r="72" spans="1:10" ht="15.75" x14ac:dyDescent="0.25">
      <c r="A72" s="497"/>
      <c r="B72" s="74"/>
      <c r="C72" s="74" t="str">
        <f>IF(ISERROR(VLOOKUP(B72,Données!$A$3:$L$1479,5,FALSE)),"",VLOOKUP(B72,Données!$A$3:$L$1479,5,FALSE))</f>
        <v/>
      </c>
      <c r="D72" s="347" t="str">
        <f>IF(ISERROR(VLOOKUP(B72,Données!$A$3:$X$1479,23,FALSE)),"",VLOOKUP(B72,Données!$A$3:$X$1479,23,FALSE))</f>
        <v/>
      </c>
      <c r="E72" s="74"/>
      <c r="F72" s="358">
        <f>IF(ISERROR(VLOOKUP(B72,Données!$A$3:$U$1479,11,FALSE)),0,VLOOKUP(B72,Données!$A$3:$U$1479,11,FALSE))</f>
        <v>0</v>
      </c>
      <c r="G72" s="74">
        <f t="shared" si="1"/>
        <v>0</v>
      </c>
      <c r="H72" s="363">
        <f>IF(ISERROR(VLOOKUP(B72,Données!$A$3:$U$1479,12,FALSE)),0,VLOOKUP(B72,Données!$A$3:$U$1479,12,FALSE))</f>
        <v>0</v>
      </c>
      <c r="I72" s="74">
        <f>IF(((E72+5)-'Calcul Masse Salariale'!$B$1)&lt;=0,0,(E72+5)-'Calcul Masse Salariale'!$B$1)</f>
        <v>0</v>
      </c>
      <c r="J72" s="54"/>
    </row>
    <row r="73" spans="1:10" ht="15.75" x14ac:dyDescent="0.25">
      <c r="A73" s="497"/>
      <c r="C73" s="74" t="str">
        <f>IF(ISERROR(VLOOKUP(B73,Données!$A$3:$L$1479,5,FALSE)),"",VLOOKUP(B73,Données!$A$3:$L$1479,5,FALSE))</f>
        <v/>
      </c>
      <c r="D73" s="347" t="str">
        <f>IF(ISERROR(VLOOKUP(B73,Données!$A$3:$X$1479,23,FALSE)),"",VLOOKUP(B73,Données!$A$3:$X$1479,23,FALSE))</f>
        <v/>
      </c>
      <c r="F73" s="358">
        <f>IF(ISERROR(VLOOKUP(B73,Données!$A$3:$U$1479,11,FALSE)),0,VLOOKUP(B73,Données!$A$3:$U$1479,11,FALSE))</f>
        <v>0</v>
      </c>
      <c r="G73" s="74">
        <f t="shared" si="1"/>
        <v>0</v>
      </c>
      <c r="H73" s="363">
        <f>IF(ISERROR(VLOOKUP(B73,Données!$A$3:$U$1479,12,FALSE)),0,VLOOKUP(B73,Données!$A$3:$U$1479,12,FALSE))</f>
        <v>0</v>
      </c>
      <c r="I73" s="74">
        <f>IF(((E73+5)-'Calcul Masse Salariale'!$B$1)&lt;=0,0,(E73+5)-'Calcul Masse Salariale'!$B$1)</f>
        <v>0</v>
      </c>
    </row>
  </sheetData>
  <mergeCells count="13">
    <mergeCell ref="A1:C1"/>
    <mergeCell ref="A23:A30"/>
    <mergeCell ref="A31:E31"/>
    <mergeCell ref="A32:E32"/>
    <mergeCell ref="O1:R1"/>
    <mergeCell ref="A39:A73"/>
    <mergeCell ref="A21:A22"/>
    <mergeCell ref="A2:A14"/>
    <mergeCell ref="K9:L9"/>
    <mergeCell ref="A15:A20"/>
    <mergeCell ref="A35:A36"/>
    <mergeCell ref="G36:I36"/>
    <mergeCell ref="C36:E36"/>
  </mergeCells>
  <conditionalFormatting sqref="G3:G30">
    <cfRule type="iconSet" priority="11">
      <iconSet iconSet="3Symbols" showValue="0" reverse="1">
        <cfvo type="percent" val="0"/>
        <cfvo type="num" val="0.5" gte="0"/>
        <cfvo type="num" val="1"/>
      </iconSet>
    </cfRule>
  </conditionalFormatting>
  <conditionalFormatting sqref="H3:H30">
    <cfRule type="expression" dxfId="30" priority="7">
      <formula>(F3&lt;&gt;H3)</formula>
    </cfRule>
  </conditionalFormatting>
  <conditionalFormatting sqref="G52:G72">
    <cfRule type="iconSet" priority="5">
      <iconSet iconSet="3Flags" showValue="0">
        <cfvo type="percent" val="0"/>
        <cfvo type="num" val="1"/>
        <cfvo type="num" val="2"/>
      </iconSet>
    </cfRule>
  </conditionalFormatting>
  <conditionalFormatting sqref="G35">
    <cfRule type="iconSet" priority="4">
      <iconSet iconSet="3Symbols" showValue="0" reverse="1">
        <cfvo type="percent" val="0"/>
        <cfvo type="num" val="0.5" gte="0"/>
        <cfvo type="num" val="1"/>
      </iconSet>
    </cfRule>
  </conditionalFormatting>
  <conditionalFormatting sqref="G39:G51">
    <cfRule type="iconSet" priority="59">
      <iconSet iconSet="3Flags" showValue="0">
        <cfvo type="percent" val="0"/>
        <cfvo type="num" val="1"/>
        <cfvo type="num" val="2"/>
      </iconSet>
    </cfRule>
  </conditionalFormatting>
  <conditionalFormatting sqref="H39:H73">
    <cfRule type="expression" dxfId="29" priority="2">
      <formula>(F39&lt;&gt;H39)</formula>
    </cfRule>
  </conditionalFormatting>
  <conditionalFormatting sqref="G73">
    <cfRule type="iconSet" priority="1">
      <iconSet iconSet="3Flags" showValue="0">
        <cfvo type="percent" val="0"/>
        <cfvo type="num" val="1"/>
        <cfvo type="num" val="2"/>
      </iconSe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9" id="{D3397523-A371-47FE-A9B7-563BC4D808D2}">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3" id="{35231314-2CE0-41D6-8FC6-DD08247FE28A}">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T74"/>
  <sheetViews>
    <sheetView topLeftCell="A19" zoomScale="85" zoomScaleNormal="85" workbookViewId="0">
      <selection activeCell="C58" sqref="C58"/>
    </sheetView>
  </sheetViews>
  <sheetFormatPr baseColWidth="10" defaultColWidth="11.42578125" defaultRowHeight="15" x14ac:dyDescent="0.25"/>
  <cols>
    <col min="1" max="1" width="12.42578125" style="124" customWidth="1"/>
    <col min="2" max="2" width="24.7109375" style="124" customWidth="1"/>
    <col min="3" max="3" width="7.140625" style="137" bestFit="1" customWidth="1"/>
    <col min="4" max="4" width="4" style="137" bestFit="1" customWidth="1"/>
    <col min="5" max="5" width="13.140625" style="124" bestFit="1" customWidth="1"/>
    <col min="6" max="6" width="24.140625" style="124" bestFit="1" customWidth="1"/>
    <col min="7" max="7" width="15.42578125" style="148" bestFit="1" customWidth="1"/>
    <col min="8" max="8" width="23.7109375" style="124" bestFit="1" customWidth="1"/>
    <col min="9" max="9" width="11.28515625" style="124" customWidth="1"/>
    <col min="10" max="10" width="2" style="124" customWidth="1"/>
    <col min="11" max="11" width="15.28515625" style="124" customWidth="1"/>
    <col min="12" max="12" width="25.140625" style="124" customWidth="1"/>
    <col min="13" max="13" width="2" style="123" customWidth="1"/>
    <col min="14" max="14" width="12.7109375" style="124" bestFit="1" customWidth="1"/>
    <col min="15" max="15" width="19" style="124" customWidth="1"/>
    <col min="16" max="16" width="24.7109375" style="124" customWidth="1"/>
    <col min="17" max="17" width="18.28515625" style="124" customWidth="1"/>
    <col min="18" max="16384" width="11.42578125" style="124"/>
  </cols>
  <sheetData>
    <row r="1" spans="1:20" ht="21.75" thickBot="1" x14ac:dyDescent="0.4">
      <c r="A1" s="524" t="s">
        <v>41</v>
      </c>
      <c r="B1" s="524"/>
      <c r="C1" s="524"/>
      <c r="D1" s="344"/>
      <c r="E1" s="121" t="s">
        <v>187</v>
      </c>
      <c r="F1" s="302">
        <f>SUM(F3:F30)</f>
        <v>0</v>
      </c>
      <c r="G1" s="121" t="s">
        <v>188</v>
      </c>
      <c r="H1" s="302">
        <f>F32</f>
        <v>102000000</v>
      </c>
      <c r="I1" s="122"/>
      <c r="J1" s="123"/>
      <c r="K1" s="125" t="s">
        <v>59</v>
      </c>
      <c r="L1" s="125"/>
      <c r="N1" s="123"/>
      <c r="O1" s="529" t="s">
        <v>45</v>
      </c>
      <c r="P1" s="529"/>
      <c r="Q1" s="529"/>
      <c r="R1" s="529"/>
      <c r="S1" s="146"/>
    </row>
    <row r="2" spans="1:20" ht="30" x14ac:dyDescent="0.25">
      <c r="A2" s="516" t="s">
        <v>38</v>
      </c>
      <c r="B2" s="126" t="s">
        <v>36</v>
      </c>
      <c r="C2" s="126" t="s">
        <v>52</v>
      </c>
      <c r="D2" s="126" t="s">
        <v>403</v>
      </c>
      <c r="E2" s="126" t="s">
        <v>5</v>
      </c>
      <c r="F2" s="127" t="s">
        <v>1155</v>
      </c>
      <c r="G2" s="128" t="s">
        <v>189</v>
      </c>
      <c r="H2" s="129" t="s">
        <v>2676</v>
      </c>
      <c r="I2" s="130" t="s">
        <v>2403</v>
      </c>
      <c r="J2" s="123"/>
      <c r="K2" s="41" t="s">
        <v>2432</v>
      </c>
      <c r="L2" s="41" t="s">
        <v>1341</v>
      </c>
      <c r="N2" s="151" t="s">
        <v>112</v>
      </c>
      <c r="O2" s="379" t="s">
        <v>108</v>
      </c>
      <c r="P2" s="387" t="s">
        <v>109</v>
      </c>
      <c r="Q2" s="131" t="s">
        <v>46</v>
      </c>
      <c r="R2" s="131" t="s">
        <v>55</v>
      </c>
    </row>
    <row r="3" spans="1:20" ht="15.75" x14ac:dyDescent="0.25">
      <c r="A3" s="516"/>
      <c r="B3" s="209" t="s">
        <v>260</v>
      </c>
      <c r="C3" s="133" t="str">
        <f>IF(ISERROR(VLOOKUP(B3,Données!$A$3:$L$1479,5,FALSE)),"",VLOOKUP(B3,Données!$A$3:$L$1479,5,FALSE))</f>
        <v/>
      </c>
      <c r="D3" s="347" t="str">
        <f>IF(ISERROR(VLOOKUP(B3,Données!$A$3:$X$1479,23,FALSE)),"",VLOOKUP(B3,Données!$A$3:$X$1479,23,FALSE))</f>
        <v/>
      </c>
      <c r="E3" s="133" t="str">
        <f>IF(ISERROR(VLOOKUP(B3,Données!$A$3:$L$1479,7,FALSE)),"",VLOOKUP(B3,Données!$A$3:$L$1479,7,FALSE))</f>
        <v/>
      </c>
      <c r="F3" s="134">
        <f>IF(ISERROR(VLOOKUP(B3,Données!$A$3:$U$1479,11,FALSE)),0,VLOOKUP(B3,Données!$A$3:$U$1479,11,FALSE))</f>
        <v>0</v>
      </c>
      <c r="G3" s="135">
        <f>VALUE(COUNTIF(Validation!$A$2:$H$64,B3))-1</f>
        <v>0</v>
      </c>
      <c r="H3" s="363">
        <f>IF(ISERROR(VLOOKUP(B3,Données!$A$3:$U$1479,12,FALSE)),0,VLOOKUP(B3,Données!$A$3:$U$1479,12,FALSE))</f>
        <v>0</v>
      </c>
      <c r="I3" s="136">
        <f>IF(ISERROR(VLOOKUP(B3,Données!$A$3:$U$1479,20,FALSE)),0,VLOOKUP(B3,Données!$A$3:$U$1479,20,FALSE))</f>
        <v>0</v>
      </c>
      <c r="J3" s="123"/>
      <c r="K3" s="41" t="s">
        <v>2437</v>
      </c>
      <c r="L3" s="41" t="s">
        <v>1341</v>
      </c>
      <c r="O3" s="41"/>
      <c r="P3" s="41"/>
      <c r="Q3" s="465"/>
      <c r="R3" s="465" t="str">
        <f>IF(Q3="","",Q3+7)</f>
        <v/>
      </c>
    </row>
    <row r="4" spans="1:20" ht="15.75" x14ac:dyDescent="0.25">
      <c r="A4" s="516"/>
      <c r="B4" s="274" t="s">
        <v>864</v>
      </c>
      <c r="C4" s="133" t="str">
        <f>IF(ISERROR(VLOOKUP(B4,Données!$A$3:$L$1479,5,FALSE)),"",VLOOKUP(B4,Données!$A$3:$L$1479,5,FALSE))</f>
        <v/>
      </c>
      <c r="D4" s="347" t="str">
        <f>IF(ISERROR(VLOOKUP(B4,Données!$A$3:$X$1479,23,FALSE)),"",VLOOKUP(B4,Données!$A$3:$X$1479,23,FALSE))</f>
        <v/>
      </c>
      <c r="E4" s="133" t="str">
        <f>IF(ISERROR(VLOOKUP(B4,Données!$A$3:$L$1479,7,FALSE)),"",VLOOKUP(B4,Données!$A$3:$L$1479,7,FALSE))</f>
        <v/>
      </c>
      <c r="F4" s="134">
        <f>IF(ISERROR(VLOOKUP(B4,Données!$A$3:$U$1479,11,FALSE)),0,VLOOKUP(B4,Données!$A$3:$U$1479,11,FALSE))</f>
        <v>0</v>
      </c>
      <c r="G4" s="135">
        <f>VALUE(COUNTIF(Validation!$A$2:$H$64,B4))-1</f>
        <v>0</v>
      </c>
      <c r="H4" s="363">
        <f>IF(ISERROR(VLOOKUP(B4,Données!$A$3:$U$1479,12,FALSE)),0,VLOOKUP(B4,Données!$A$3:$U$1479,12,FALSE))</f>
        <v>0</v>
      </c>
      <c r="I4" s="136">
        <f>IF(ISERROR(VLOOKUP(B4,Données!$A$3:$U$1479,20,FALSE)),0,VLOOKUP(B4,Données!$A$3:$U$1479,20,FALSE))</f>
        <v>0</v>
      </c>
      <c r="J4" s="123"/>
      <c r="N4" s="41"/>
      <c r="O4" s="41"/>
      <c r="P4" s="41"/>
      <c r="Q4" s="465"/>
      <c r="R4" s="465" t="str">
        <f t="shared" ref="R4:R30" si="0">IF(Q4="","",Q4+7)</f>
        <v/>
      </c>
    </row>
    <row r="5" spans="1:20" ht="15.75" x14ac:dyDescent="0.25">
      <c r="A5" s="516"/>
      <c r="B5" s="274" t="s">
        <v>277</v>
      </c>
      <c r="C5" s="133" t="str">
        <f>IF(ISERROR(VLOOKUP(B5,Données!$A$3:$L$1479,5,FALSE)),"",VLOOKUP(B5,Données!$A$3:$L$1479,5,FALSE))</f>
        <v/>
      </c>
      <c r="D5" s="347" t="str">
        <f>IF(ISERROR(VLOOKUP(B5,Données!$A$3:$X$1479,23,FALSE)),"",VLOOKUP(B5,Données!$A$3:$X$1479,23,FALSE))</f>
        <v/>
      </c>
      <c r="E5" s="133" t="str">
        <f>IF(ISERROR(VLOOKUP(B5,Données!$A$3:$L$1479,7,FALSE)),"",VLOOKUP(B5,Données!$A$3:$L$1479,7,FALSE))</f>
        <v/>
      </c>
      <c r="F5" s="134">
        <f>IF(ISERROR(VLOOKUP(B5,Données!$A$3:$U$1479,11,FALSE)),0,VLOOKUP(B5,Données!$A$3:$U$1479,11,FALSE))</f>
        <v>0</v>
      </c>
      <c r="G5" s="135">
        <f>VALUE(COUNTIF(Validation!$A$2:$H$64,B5))-1</f>
        <v>0</v>
      </c>
      <c r="H5" s="363">
        <f>IF(ISERROR(VLOOKUP(B5,Données!$A$3:$U$1479,12,FALSE)),0,VLOOKUP(B5,Données!$A$3:$U$1479,12,FALSE))</f>
        <v>0</v>
      </c>
      <c r="I5" s="136">
        <f>IF(ISERROR(VLOOKUP(B5,Données!$A$3:$U$1479,20,FALSE)),0,VLOOKUP(B5,Données!$A$3:$U$1479,20,FALSE))</f>
        <v>0</v>
      </c>
      <c r="J5" s="123"/>
      <c r="K5" s="41"/>
      <c r="L5" s="41"/>
      <c r="O5" s="41"/>
      <c r="P5" s="41"/>
      <c r="Q5" s="465"/>
      <c r="R5" s="465" t="str">
        <f t="shared" si="0"/>
        <v/>
      </c>
    </row>
    <row r="6" spans="1:20" ht="15.75" x14ac:dyDescent="0.25">
      <c r="A6" s="516"/>
      <c r="B6" s="132" t="s">
        <v>261</v>
      </c>
      <c r="C6" s="133" t="str">
        <f>IF(ISERROR(VLOOKUP(B6,Données!$A$3:$L$1479,5,FALSE)),"",VLOOKUP(B6,Données!$A$3:$L$1479,5,FALSE))</f>
        <v/>
      </c>
      <c r="D6" s="347" t="str">
        <f>IF(ISERROR(VLOOKUP(B6,Données!$A$3:$X$1479,23,FALSE)),"",VLOOKUP(B6,Données!$A$3:$X$1479,23,FALSE))</f>
        <v/>
      </c>
      <c r="E6" s="133" t="str">
        <f>IF(ISERROR(VLOOKUP(B6,Données!$A$3:$L$1479,7,FALSE)),"",VLOOKUP(B6,Données!$A$3:$L$1479,7,FALSE))</f>
        <v/>
      </c>
      <c r="F6" s="134">
        <f>IF(ISERROR(VLOOKUP(B6,Données!$A$3:$U$1479,11,FALSE)),0,VLOOKUP(B6,Données!$A$3:$U$1479,11,FALSE))</f>
        <v>0</v>
      </c>
      <c r="G6" s="135">
        <f>VALUE(COUNTIF(Validation!$A$2:$H$64,B6))-1</f>
        <v>0</v>
      </c>
      <c r="H6" s="363">
        <f>IF(ISERROR(VLOOKUP(B6,Données!$A$3:$U$1479,12,FALSE)),0,VLOOKUP(B6,Données!$A$3:$U$1479,12,FALSE))</f>
        <v>0</v>
      </c>
      <c r="I6" s="136">
        <f>IF(ISERROR(VLOOKUP(B6,Données!$A$3:$U$1479,20,FALSE)),0,VLOOKUP(B6,Données!$A$3:$U$1479,20,FALSE))</f>
        <v>0</v>
      </c>
      <c r="J6" s="123"/>
      <c r="N6" s="41"/>
      <c r="O6" s="41"/>
      <c r="P6" s="41"/>
      <c r="Q6" s="465"/>
      <c r="R6" s="465" t="str">
        <f t="shared" si="0"/>
        <v/>
      </c>
    </row>
    <row r="7" spans="1:20" ht="15.75" x14ac:dyDescent="0.25">
      <c r="A7" s="516"/>
      <c r="B7" s="209" t="s">
        <v>655</v>
      </c>
      <c r="C7" s="133" t="str">
        <f>IF(ISERROR(VLOOKUP(B7,Données!$A$3:$L$1479,5,FALSE)),"",VLOOKUP(B7,Données!$A$3:$L$1479,5,FALSE))</f>
        <v/>
      </c>
      <c r="D7" s="347" t="str">
        <f>IF(ISERROR(VLOOKUP(B7,Données!$A$3:$X$1479,23,FALSE)),"",VLOOKUP(B7,Données!$A$3:$X$1479,23,FALSE))</f>
        <v/>
      </c>
      <c r="E7" s="133" t="str">
        <f>IF(ISERROR(VLOOKUP(B7,Données!$A$3:$L$1479,7,FALSE)),"",VLOOKUP(B7,Données!$A$3:$L$1479,7,FALSE))</f>
        <v/>
      </c>
      <c r="F7" s="134">
        <f>IF(ISERROR(VLOOKUP(B7,Données!$A$3:$U$1479,11,FALSE)),0,VLOOKUP(B7,Données!$A$3:$U$1479,11,FALSE))</f>
        <v>0</v>
      </c>
      <c r="G7" s="135">
        <f>VALUE(COUNTIF(Validation!$A$2:$H$64,B7))-1</f>
        <v>0</v>
      </c>
      <c r="H7" s="363">
        <f>IF(ISERROR(VLOOKUP(B7,Données!$A$3:$U$1479,12,FALSE)),0,VLOOKUP(B7,Données!$A$3:$U$1479,12,FALSE))</f>
        <v>0</v>
      </c>
      <c r="I7" s="136">
        <f>IF(ISERROR(VLOOKUP(B7,Données!$A$3:$U$1479,20,FALSE)),0,VLOOKUP(B7,Données!$A$3:$U$1479,20,FALSE))</f>
        <v>0</v>
      </c>
      <c r="J7" s="123"/>
      <c r="N7" s="395"/>
      <c r="O7" s="41"/>
      <c r="P7" s="41"/>
      <c r="Q7" s="465"/>
      <c r="R7" s="465" t="str">
        <f t="shared" si="0"/>
        <v/>
      </c>
      <c r="S7" s="395"/>
      <c r="T7" s="395"/>
    </row>
    <row r="8" spans="1:20" ht="15.75" x14ac:dyDescent="0.25">
      <c r="A8" s="516"/>
      <c r="B8" s="132" t="s">
        <v>263</v>
      </c>
      <c r="C8" s="133" t="str">
        <f>IF(ISERROR(VLOOKUP(B8,Données!$A$3:$L$1479,5,FALSE)),"",VLOOKUP(B8,Données!$A$3:$L$1479,5,FALSE))</f>
        <v/>
      </c>
      <c r="D8" s="347" t="str">
        <f>IF(ISERROR(VLOOKUP(B8,Données!$A$3:$X$1479,23,FALSE)),"",VLOOKUP(B8,Données!$A$3:$X$1479,23,FALSE))</f>
        <v/>
      </c>
      <c r="E8" s="133" t="str">
        <f>IF(ISERROR(VLOOKUP(B8,Données!$A$3:$L$1479,7,FALSE)),"",VLOOKUP(B8,Données!$A$3:$L$1479,7,FALSE))</f>
        <v/>
      </c>
      <c r="F8" s="134">
        <f>IF(ISERROR(VLOOKUP(B8,Données!$A$3:$U$1479,11,FALSE)),0,VLOOKUP(B8,Données!$A$3:$U$1479,11,FALSE))</f>
        <v>0</v>
      </c>
      <c r="G8" s="135">
        <f>VALUE(COUNTIF(Validation!$A$2:$H$64,B8))-1</f>
        <v>0</v>
      </c>
      <c r="H8" s="363">
        <f>IF(ISERROR(VLOOKUP(B8,Données!$A$3:$U$1479,12,FALSE)),0,VLOOKUP(B8,Données!$A$3:$U$1479,12,FALSE))</f>
        <v>0</v>
      </c>
      <c r="I8" s="136">
        <f>IF(ISERROR(VLOOKUP(B8,Données!$A$3:$U$1479,20,FALSE)),0,VLOOKUP(B8,Données!$A$3:$U$1479,20,FALSE))</f>
        <v>0</v>
      </c>
      <c r="J8" s="123"/>
      <c r="O8" s="41"/>
      <c r="P8" s="41"/>
      <c r="Q8" s="465"/>
      <c r="R8" s="465" t="str">
        <f t="shared" si="0"/>
        <v/>
      </c>
    </row>
    <row r="9" spans="1:20" ht="15.75" x14ac:dyDescent="0.25">
      <c r="A9" s="516"/>
      <c r="B9" s="209" t="s">
        <v>2431</v>
      </c>
      <c r="C9" s="133" t="str">
        <f>IF(ISERROR(VLOOKUP(B9,Données!$A$3:$L$1479,5,FALSE)),"",VLOOKUP(B9,Données!$A$3:$L$1479,5,FALSE))</f>
        <v/>
      </c>
      <c r="D9" s="347" t="str">
        <f>IF(ISERROR(VLOOKUP(B9,Données!$A$3:$X$1479,23,FALSE)),"",VLOOKUP(B9,Données!$A$3:$X$1479,23,FALSE))</f>
        <v/>
      </c>
      <c r="E9" s="133" t="str">
        <f>IF(ISERROR(VLOOKUP(B9,Données!$A$3:$L$1479,7,FALSE)),"",VLOOKUP(B9,Données!$A$3:$L$1479,7,FALSE))</f>
        <v/>
      </c>
      <c r="F9" s="134">
        <f>IF(ISERROR(VLOOKUP(B9,Données!$A$3:$U$1479,11,FALSE)),0,VLOOKUP(B9,Données!$A$3:$U$1479,11,FALSE))</f>
        <v>0</v>
      </c>
      <c r="G9" s="135">
        <f>VALUE(COUNTIF(Validation!$A$2:$H$64,B9))-1</f>
        <v>0</v>
      </c>
      <c r="H9" s="363">
        <f>IF(ISERROR(VLOOKUP(B9,Données!$A$3:$U$1479,12,FALSE)),0,VLOOKUP(B9,Données!$A$3:$U$1479,12,FALSE))</f>
        <v>0</v>
      </c>
      <c r="I9" s="136">
        <f>IF(ISERROR(VLOOKUP(B9,Données!$A$3:$U$1479,20,FALSE)),0,VLOOKUP(B9,Données!$A$3:$U$1479,20,FALSE))</f>
        <v>0</v>
      </c>
      <c r="J9" s="123"/>
      <c r="K9" s="518" t="s">
        <v>60</v>
      </c>
      <c r="L9" s="518"/>
      <c r="O9" s="41"/>
      <c r="P9" s="41"/>
      <c r="Q9" s="465"/>
      <c r="R9" s="465" t="str">
        <f t="shared" si="0"/>
        <v/>
      </c>
    </row>
    <row r="10" spans="1:20" ht="15.75" x14ac:dyDescent="0.25">
      <c r="A10" s="516"/>
      <c r="B10" s="132" t="s">
        <v>265</v>
      </c>
      <c r="C10" s="133" t="str">
        <f>IF(ISERROR(VLOOKUP(B10,Données!$A$3:$L$1479,5,FALSE)),"",VLOOKUP(B10,Données!$A$3:$L$1479,5,FALSE))</f>
        <v/>
      </c>
      <c r="D10" s="347" t="str">
        <f>IF(ISERROR(VLOOKUP(B10,Données!$A$3:$X$1479,23,FALSE)),"",VLOOKUP(B10,Données!$A$3:$X$1479,23,FALSE))</f>
        <v/>
      </c>
      <c r="E10" s="133" t="str">
        <f>IF(ISERROR(VLOOKUP(B10,Données!$A$3:$L$1479,7,FALSE)),"",VLOOKUP(B10,Données!$A$3:$L$1479,7,FALSE))</f>
        <v/>
      </c>
      <c r="F10" s="134">
        <f>IF(ISERROR(VLOOKUP(B10,Données!$A$3:$U$1479,11,FALSE)),0,VLOOKUP(B10,Données!$A$3:$U$1479,11,FALSE))</f>
        <v>0</v>
      </c>
      <c r="G10" s="135">
        <f>VALUE(COUNTIF(Validation!$A$2:$H$64,B10))-1</f>
        <v>0</v>
      </c>
      <c r="H10" s="363">
        <f>IF(ISERROR(VLOOKUP(B10,Données!$A$3:$U$1479,12,FALSE)),0,VLOOKUP(B10,Données!$A$3:$U$1479,12,FALSE))</f>
        <v>0</v>
      </c>
      <c r="I10" s="136">
        <f>IF(ISERROR(VLOOKUP(B10,Données!$A$3:$U$1479,20,FALSE)),0,VLOOKUP(B10,Données!$A$3:$U$1479,20,FALSE))</f>
        <v>0</v>
      </c>
      <c r="J10" s="123"/>
      <c r="K10" s="131" t="s">
        <v>62</v>
      </c>
      <c r="L10" s="131" t="s">
        <v>61</v>
      </c>
      <c r="O10" s="41"/>
      <c r="P10" s="41"/>
      <c r="Q10" s="465"/>
      <c r="R10" s="465" t="str">
        <f t="shared" si="0"/>
        <v/>
      </c>
    </row>
    <row r="11" spans="1:20" ht="15.75" x14ac:dyDescent="0.25">
      <c r="A11" s="516"/>
      <c r="B11" s="209" t="s">
        <v>266</v>
      </c>
      <c r="C11" s="133" t="str">
        <f>IF(ISERROR(VLOOKUP(B11,Données!$A$3:$L$1479,5,FALSE)),"",VLOOKUP(B11,Données!$A$3:$L$1479,5,FALSE))</f>
        <v/>
      </c>
      <c r="D11" s="347" t="str">
        <f>IF(ISERROR(VLOOKUP(B11,Données!$A$3:$X$1479,23,FALSE)),"",VLOOKUP(B11,Données!$A$3:$X$1479,23,FALSE))</f>
        <v/>
      </c>
      <c r="E11" s="133" t="str">
        <f>IF(ISERROR(VLOOKUP(B11,Données!$A$3:$L$1479,7,FALSE)),"",VLOOKUP(B11,Données!$A$3:$L$1479,7,FALSE))</f>
        <v/>
      </c>
      <c r="F11" s="134">
        <f>IF(ISERROR(VLOOKUP(B11,Données!$A$3:$U$1479,11,FALSE)),0,VLOOKUP(B11,Données!$A$3:$U$1479,11,FALSE))</f>
        <v>0</v>
      </c>
      <c r="G11" s="135">
        <f>VALUE(COUNTIF(Validation!$A$2:$H$64,B11))-1</f>
        <v>0</v>
      </c>
      <c r="H11" s="363">
        <f>IF(ISERROR(VLOOKUP(B11,Données!$A$3:$U$1479,12,FALSE)),0,VLOOKUP(B11,Données!$A$3:$U$1479,12,FALSE))</f>
        <v>0</v>
      </c>
      <c r="I11" s="136">
        <f>IF(ISERROR(VLOOKUP(B11,Données!$A$3:$U$1479,20,FALSE)),0,VLOOKUP(B11,Données!$A$3:$U$1479,20,FALSE))</f>
        <v>0</v>
      </c>
      <c r="J11" s="123"/>
      <c r="K11" s="124" t="s">
        <v>191</v>
      </c>
      <c r="L11" s="124" t="s">
        <v>1341</v>
      </c>
      <c r="O11" s="41"/>
      <c r="P11" s="41"/>
      <c r="Q11" s="465"/>
      <c r="R11" s="465" t="str">
        <f t="shared" si="0"/>
        <v/>
      </c>
    </row>
    <row r="12" spans="1:20" ht="15.75" x14ac:dyDescent="0.25">
      <c r="A12" s="516"/>
      <c r="B12" s="209" t="s">
        <v>276</v>
      </c>
      <c r="C12" s="133" t="str">
        <f>IF(ISERROR(VLOOKUP(B12,Données!$A$3:$L$1479,5,FALSE)),"",VLOOKUP(B12,Données!$A$3:$L$1479,5,FALSE))</f>
        <v/>
      </c>
      <c r="D12" s="347" t="str">
        <f>IF(ISERROR(VLOOKUP(B12,Données!$A$3:$X$1479,23,FALSE)),"",VLOOKUP(B12,Données!$A$3:$X$1479,23,FALSE))</f>
        <v/>
      </c>
      <c r="E12" s="133" t="str">
        <f>IF(ISERROR(VLOOKUP(B12,Données!$A$3:$L$1479,7,FALSE)),"",VLOOKUP(B12,Données!$A$3:$L$1479,7,FALSE))</f>
        <v/>
      </c>
      <c r="F12" s="134">
        <f>IF(ISERROR(VLOOKUP(B12,Données!$A$3:$U$1479,11,FALSE)),0,VLOOKUP(B12,Données!$A$3:$U$1479,11,FALSE))</f>
        <v>0</v>
      </c>
      <c r="G12" s="135">
        <f>VALUE(COUNTIF(Validation!$A$2:$H$64,B12))-1</f>
        <v>0</v>
      </c>
      <c r="H12" s="363">
        <f>IF(ISERROR(VLOOKUP(B12,Données!$A$3:$U$1479,12,FALSE)),0,VLOOKUP(B12,Données!$A$3:$U$1479,12,FALSE))</f>
        <v>0</v>
      </c>
      <c r="I12" s="136">
        <f>IF(ISERROR(VLOOKUP(B12,Données!$A$3:$U$1479,20,FALSE)),0,VLOOKUP(B12,Données!$A$3:$U$1479,20,FALSE))</f>
        <v>0</v>
      </c>
      <c r="J12" s="123"/>
      <c r="K12" s="41" t="s">
        <v>191</v>
      </c>
      <c r="L12" s="41" t="s">
        <v>1341</v>
      </c>
      <c r="O12" s="41"/>
      <c r="Q12" s="465"/>
      <c r="R12" s="465" t="str">
        <f t="shared" si="0"/>
        <v/>
      </c>
    </row>
    <row r="13" spans="1:20" ht="15.75" x14ac:dyDescent="0.25">
      <c r="A13" s="516"/>
      <c r="B13" s="209" t="s">
        <v>267</v>
      </c>
      <c r="C13" s="133" t="str">
        <f>IF(ISERROR(VLOOKUP(B13,Données!$A$3:$L$1479,5,FALSE)),"",VLOOKUP(B13,Données!$A$3:$L$1479,5,FALSE))</f>
        <v/>
      </c>
      <c r="D13" s="347" t="str">
        <f>IF(ISERROR(VLOOKUP(B13,Données!$A$3:$X$1479,23,FALSE)),"",VLOOKUP(B13,Données!$A$3:$X$1479,23,FALSE))</f>
        <v/>
      </c>
      <c r="E13" s="133" t="str">
        <f>IF(ISERROR(VLOOKUP(B13,Données!$A$3:$L$1479,7,FALSE)),"",VLOOKUP(B13,Données!$A$3:$L$1479,7,FALSE))</f>
        <v/>
      </c>
      <c r="F13" s="134">
        <f>IF(ISERROR(VLOOKUP(B13,Données!$A$3:$U$1479,11,FALSE)),0,VLOOKUP(B13,Données!$A$3:$U$1479,11,FALSE))</f>
        <v>0</v>
      </c>
      <c r="G13" s="135">
        <f>VALUE(COUNTIF(Validation!$A$2:$H$64,B13))-1</f>
        <v>0</v>
      </c>
      <c r="H13" s="363">
        <f>IF(ISERROR(VLOOKUP(B13,Données!$A$3:$U$1479,12,FALSE)),0,VLOOKUP(B13,Données!$A$3:$U$1479,12,FALSE))</f>
        <v>0</v>
      </c>
      <c r="I13" s="136">
        <f>IF(ISERROR(VLOOKUP(B13,Données!$A$3:$U$1479,20,FALSE)),0,VLOOKUP(B13,Données!$A$3:$U$1479,20,FALSE))</f>
        <v>0</v>
      </c>
      <c r="J13" s="123"/>
      <c r="K13" s="41" t="s">
        <v>192</v>
      </c>
      <c r="L13" s="41" t="s">
        <v>1341</v>
      </c>
      <c r="O13" s="41"/>
      <c r="Q13" s="465"/>
      <c r="R13" s="465" t="str">
        <f t="shared" si="0"/>
        <v/>
      </c>
    </row>
    <row r="14" spans="1:20" ht="15.75" x14ac:dyDescent="0.25">
      <c r="A14" s="517"/>
      <c r="B14" s="139" t="s">
        <v>269</v>
      </c>
      <c r="C14" s="140" t="str">
        <f>IF(ISERROR(VLOOKUP(B14,Données!$A$3:$L$1479,5,FALSE)),"",VLOOKUP(B14,Données!$A$3:$L$1479,5,FALSE))</f>
        <v/>
      </c>
      <c r="D14" s="349" t="str">
        <f>IF(ISERROR(VLOOKUP(B14,Données!$A$3:$X$1479,23,FALSE)),"",VLOOKUP(B14,Données!$A$3:$X$1479,23,FALSE))</f>
        <v/>
      </c>
      <c r="E14" s="140" t="str">
        <f>IF(ISERROR(VLOOKUP(B14,Données!$A$3:$L$1479,7,FALSE)),"",VLOOKUP(B14,Données!$A$3:$L$1479,7,FALSE))</f>
        <v/>
      </c>
      <c r="F14" s="141">
        <f>IF(ISERROR(VLOOKUP(B14,Données!$A$3:$U$1479,11,FALSE)),0,VLOOKUP(B14,Données!$A$3:$U$1479,11,FALSE))</f>
        <v>0</v>
      </c>
      <c r="G14" s="142">
        <f>VALUE(COUNTIF(Validation!$A$2:$H$64,B14))-1</f>
        <v>0</v>
      </c>
      <c r="H14" s="364">
        <f>IF(ISERROR(VLOOKUP(B14,Données!$A$3:$U$1479,12,FALSE)),0,VLOOKUP(B14,Données!$A$3:$U$1479,12,FALSE))</f>
        <v>0</v>
      </c>
      <c r="I14" s="143">
        <f>IF(ISERROR(VLOOKUP(B14,Données!$A$3:$U$1479,20,FALSE)),0,VLOOKUP(B14,Données!$A$3:$U$1479,20,FALSE))</f>
        <v>0</v>
      </c>
      <c r="J14" s="123"/>
      <c r="K14" s="124" t="s">
        <v>193</v>
      </c>
      <c r="L14" s="124" t="s">
        <v>1341</v>
      </c>
      <c r="N14" s="41"/>
      <c r="O14" s="41"/>
      <c r="P14" s="41"/>
      <c r="Q14" s="465"/>
      <c r="R14" s="465" t="str">
        <f t="shared" si="0"/>
        <v/>
      </c>
    </row>
    <row r="15" spans="1:20" ht="15.75" x14ac:dyDescent="0.25">
      <c r="A15" s="519" t="s">
        <v>39</v>
      </c>
      <c r="B15" s="276" t="s">
        <v>270</v>
      </c>
      <c r="C15" s="133" t="str">
        <f>IF(ISERROR(VLOOKUP(B15,Données!$A$3:$L$1479,5,FALSE)),"",VLOOKUP(B15,Données!$A$3:$L$1479,5,FALSE))</f>
        <v/>
      </c>
      <c r="D15" s="347" t="str">
        <f>IF(ISERROR(VLOOKUP(B15,Données!$A$3:$X$1479,23,FALSE)),"",VLOOKUP(B15,Données!$A$3:$X$1479,23,FALSE))</f>
        <v/>
      </c>
      <c r="E15" s="133" t="str">
        <f>IF(ISERROR(VLOOKUP(B15,Données!$A$3:$L$1479,7,FALSE)),"",VLOOKUP(B15,Données!$A$3:$L$1479,7,FALSE))</f>
        <v/>
      </c>
      <c r="F15" s="134">
        <f>IF(ISERROR(VLOOKUP(B15,Données!$A$3:$U$1479,11,FALSE)),0,VLOOKUP(B15,Données!$A$3:$U$1479,11,FALSE))</f>
        <v>0</v>
      </c>
      <c r="G15" s="135">
        <f>VALUE(COUNTIF(Validation!$A$2:$H$64,B15))-1</f>
        <v>0</v>
      </c>
      <c r="H15" s="363">
        <f>IF(ISERROR(VLOOKUP(B15,Données!$A$3:$U$1479,12,FALSE)),0,VLOOKUP(B15,Données!$A$3:$U$1479,12,FALSE))</f>
        <v>0</v>
      </c>
      <c r="I15" s="136">
        <f>IF(ISERROR(VLOOKUP(B15,Données!$A$3:$U$1479,20,FALSE)),0,VLOOKUP(B15,Données!$A$3:$U$1479,20,FALSE))</f>
        <v>0</v>
      </c>
      <c r="J15" s="123"/>
      <c r="K15" s="41" t="s">
        <v>193</v>
      </c>
      <c r="L15" s="41" t="s">
        <v>1341</v>
      </c>
      <c r="N15" s="41"/>
      <c r="O15" s="41"/>
      <c r="P15" s="41"/>
      <c r="Q15" s="465"/>
      <c r="R15" s="465" t="str">
        <f t="shared" si="0"/>
        <v/>
      </c>
    </row>
    <row r="16" spans="1:20" ht="15.75" x14ac:dyDescent="0.25">
      <c r="A16" s="520"/>
      <c r="B16" s="274" t="s">
        <v>478</v>
      </c>
      <c r="C16" s="133" t="str">
        <f>IF(ISERROR(VLOOKUP(B16,Données!$A$3:$L$1479,5,FALSE)),"",VLOOKUP(B16,Données!$A$3:$L$1479,5,FALSE))</f>
        <v/>
      </c>
      <c r="D16" s="347" t="str">
        <f>IF(ISERROR(VLOOKUP(B16,Données!$A$3:$X$1479,23,FALSE)),"",VLOOKUP(B16,Données!$A$3:$X$1479,23,FALSE))</f>
        <v/>
      </c>
      <c r="E16" s="133" t="str">
        <f>IF(ISERROR(VLOOKUP(B16,Données!$A$3:$L$1479,7,FALSE)),"",VLOOKUP(B16,Données!$A$3:$L$1479,7,FALSE))</f>
        <v/>
      </c>
      <c r="F16" s="134">
        <f>IF(ISERROR(VLOOKUP(B16,Données!$A$3:$U$1479,11,FALSE)),0,VLOOKUP(B16,Données!$A$3:$U$1479,11,FALSE))</f>
        <v>0</v>
      </c>
      <c r="G16" s="135">
        <f>VALUE(COUNTIF(Validation!$A$2:$H$64,B16))-1</f>
        <v>0</v>
      </c>
      <c r="H16" s="363">
        <f>IF(ISERROR(VLOOKUP(B16,Données!$A$3:$U$1479,12,FALSE)),0,VLOOKUP(B16,Données!$A$3:$U$1479,12,FALSE))</f>
        <v>0</v>
      </c>
      <c r="I16" s="136">
        <f>IF(ISERROR(VLOOKUP(B16,Données!$A$3:$U$1479,20,FALSE)),0,VLOOKUP(B16,Données!$A$3:$U$1479,20,FALSE))</f>
        <v>0</v>
      </c>
      <c r="J16" s="123"/>
      <c r="K16" s="41" t="s">
        <v>194</v>
      </c>
      <c r="L16" s="41" t="s">
        <v>1341</v>
      </c>
      <c r="O16" s="41"/>
      <c r="P16" s="41"/>
      <c r="Q16" s="465"/>
      <c r="R16" s="465" t="str">
        <f t="shared" si="0"/>
        <v/>
      </c>
    </row>
    <row r="17" spans="1:18" ht="15.75" x14ac:dyDescent="0.25">
      <c r="A17" s="520"/>
      <c r="B17" s="209" t="s">
        <v>318</v>
      </c>
      <c r="C17" s="133" t="str">
        <f>IF(ISERROR(VLOOKUP(B17,Données!$A$3:$L$1479,5,FALSE)),"",VLOOKUP(B17,Données!$A$3:$L$1479,5,FALSE))</f>
        <v/>
      </c>
      <c r="D17" s="347" t="str">
        <f>IF(ISERROR(VLOOKUP(B17,Données!$A$3:$X$1479,23,FALSE)),"",VLOOKUP(B17,Données!$A$3:$X$1479,23,FALSE))</f>
        <v/>
      </c>
      <c r="E17" s="133" t="str">
        <f>IF(ISERROR(VLOOKUP(B17,Données!$A$3:$L$1479,7,FALSE)),"",VLOOKUP(B17,Données!$A$3:$L$1479,7,FALSE))</f>
        <v/>
      </c>
      <c r="F17" s="134">
        <f>IF(ISERROR(VLOOKUP(B17,Données!$A$3:$U$1479,11,FALSE)),0,VLOOKUP(B17,Données!$A$3:$U$1479,11,FALSE))</f>
        <v>0</v>
      </c>
      <c r="G17" s="135">
        <f>VALUE(COUNTIF(Validation!$A$2:$H$64,B17))-1</f>
        <v>0</v>
      </c>
      <c r="H17" s="363">
        <f>IF(ISERROR(VLOOKUP(B17,Données!$A$3:$U$1479,12,FALSE)),0,VLOOKUP(B17,Données!$A$3:$U$1479,12,FALSE))</f>
        <v>0</v>
      </c>
      <c r="I17" s="136">
        <f>IF(ISERROR(VLOOKUP(B17,Données!$A$3:$U$1479,20,FALSE)),0,VLOOKUP(B17,Données!$A$3:$U$1479,20,FALSE))</f>
        <v>0</v>
      </c>
      <c r="J17" s="123"/>
      <c r="O17" s="41"/>
      <c r="Q17" s="465"/>
      <c r="R17" s="465" t="str">
        <f t="shared" si="0"/>
        <v/>
      </c>
    </row>
    <row r="18" spans="1:18" ht="15.75" x14ac:dyDescent="0.25">
      <c r="A18" s="520"/>
      <c r="B18" s="209" t="s">
        <v>761</v>
      </c>
      <c r="C18" s="133" t="str">
        <f>IF(ISERROR(VLOOKUP(B18,Données!$A$3:$L$1479,5,FALSE)),"",VLOOKUP(B18,Données!$A$3:$L$1479,5,FALSE))</f>
        <v/>
      </c>
      <c r="D18" s="347" t="str">
        <f>IF(ISERROR(VLOOKUP(B18,Données!$A$3:$X$1479,23,FALSE)),"",VLOOKUP(B18,Données!$A$3:$X$1479,23,FALSE))</f>
        <v/>
      </c>
      <c r="E18" s="133" t="str">
        <f>IF(ISERROR(VLOOKUP(B18,Données!$A$3:$L$1479,7,FALSE)),"",VLOOKUP(B18,Données!$A$3:$L$1479,7,FALSE))</f>
        <v/>
      </c>
      <c r="F18" s="134">
        <f>IF(ISERROR(VLOOKUP(B18,Données!$A$3:$U$1479,11,FALSE)),0,VLOOKUP(B18,Données!$A$3:$U$1479,11,FALSE))</f>
        <v>0</v>
      </c>
      <c r="G18" s="135">
        <f>VALUE(COUNTIF(Validation!$A$2:$H$64,B18))-1</f>
        <v>0</v>
      </c>
      <c r="H18" s="363">
        <f>IF(ISERROR(VLOOKUP(B18,Données!$A$3:$U$1479,12,FALSE)),0,VLOOKUP(B18,Données!$A$3:$U$1479,12,FALSE))</f>
        <v>0</v>
      </c>
      <c r="I18" s="136">
        <f>IF(ISERROR(VLOOKUP(B18,Données!$A$3:$U$1479,20,FALSE)),0,VLOOKUP(B18,Données!$A$3:$U$1479,20,FALSE))</f>
        <v>0</v>
      </c>
      <c r="J18" s="144"/>
      <c r="K18" s="124" t="s">
        <v>191</v>
      </c>
      <c r="L18" s="41" t="s">
        <v>2433</v>
      </c>
      <c r="O18" s="41"/>
      <c r="Q18" s="465"/>
      <c r="R18" s="465" t="str">
        <f t="shared" si="0"/>
        <v/>
      </c>
    </row>
    <row r="19" spans="1:18" ht="15.75" x14ac:dyDescent="0.25">
      <c r="A19" s="520"/>
      <c r="B19" s="209" t="s">
        <v>684</v>
      </c>
      <c r="C19" s="133" t="str">
        <f>IF(ISERROR(VLOOKUP(B19,Données!$A$3:$L$1479,5,FALSE)),"",VLOOKUP(B19,Données!$A$3:$L$1479,5,FALSE))</f>
        <v/>
      </c>
      <c r="D19" s="347" t="str">
        <f>IF(ISERROR(VLOOKUP(B19,Données!$A$3:$X$1479,23,FALSE)),"",VLOOKUP(B19,Données!$A$3:$X$1479,23,FALSE))</f>
        <v/>
      </c>
      <c r="E19" s="133" t="str">
        <f>IF(ISERROR(VLOOKUP(B19,Données!$A$3:$L$1479,7,FALSE)),"",VLOOKUP(B19,Données!$A$3:$L$1479,7,FALSE))</f>
        <v/>
      </c>
      <c r="F19" s="134">
        <f>IF(ISERROR(VLOOKUP(B19,Données!$A$3:$U$1479,11,FALSE)),0,VLOOKUP(B19,Données!$A$3:$U$1479,11,FALSE))</f>
        <v>0</v>
      </c>
      <c r="G19" s="135">
        <f>VALUE(COUNTIF(Validation!$A$2:$H$64,B19))-1</f>
        <v>0</v>
      </c>
      <c r="H19" s="363">
        <f>IF(ISERROR(VLOOKUP(B19,Données!$A$3:$U$1479,12,FALSE)),0,VLOOKUP(B19,Données!$A$3:$U$1479,12,FALSE))</f>
        <v>0</v>
      </c>
      <c r="I19" s="136">
        <f>IF(ISERROR(VLOOKUP(B19,Données!$A$3:$U$1479,20,FALSE)),0,VLOOKUP(B19,Données!$A$3:$U$1479,20,FALSE))</f>
        <v>0</v>
      </c>
      <c r="J19" s="144"/>
      <c r="K19" s="41" t="s">
        <v>192</v>
      </c>
      <c r="L19" s="41" t="s">
        <v>2433</v>
      </c>
      <c r="O19" s="41"/>
      <c r="Q19" s="465"/>
      <c r="R19" s="465" t="str">
        <f t="shared" si="0"/>
        <v/>
      </c>
    </row>
    <row r="20" spans="1:18" ht="15.75" x14ac:dyDescent="0.25">
      <c r="A20" s="521"/>
      <c r="B20" s="277" t="s">
        <v>273</v>
      </c>
      <c r="C20" s="140" t="str">
        <f>IF(ISERROR(VLOOKUP(B20,Données!$A$3:$L$1479,5,FALSE)),"",VLOOKUP(B20,Données!$A$3:$L$1479,5,FALSE))</f>
        <v/>
      </c>
      <c r="D20" s="349" t="str">
        <f>IF(ISERROR(VLOOKUP(B20,Données!$A$3:$X$1479,23,FALSE)),"",VLOOKUP(B20,Données!$A$3:$X$1479,23,FALSE))</f>
        <v/>
      </c>
      <c r="E20" s="140" t="str">
        <f>IF(ISERROR(VLOOKUP(B20,Données!$A$3:$L$1479,7,FALSE)),"",VLOOKUP(B20,Données!$A$3:$L$1479,7,FALSE))</f>
        <v/>
      </c>
      <c r="F20" s="141">
        <f>IF(ISERROR(VLOOKUP(B20,Données!$A$3:$U$1479,11,FALSE)),0,VLOOKUP(B20,Données!$A$3:$U$1479,11,FALSE))</f>
        <v>0</v>
      </c>
      <c r="G20" s="142">
        <f>VALUE(COUNTIF(Validation!$A$2:$H$64,B20))-1</f>
        <v>0</v>
      </c>
      <c r="H20" s="364">
        <f>IF(ISERROR(VLOOKUP(B20,Données!$A$3:$U$1479,12,FALSE)),0,VLOOKUP(B20,Données!$A$3:$U$1479,12,FALSE))</f>
        <v>0</v>
      </c>
      <c r="I20" s="143">
        <f>IF(ISERROR(VLOOKUP(B20,Données!$A$3:$U$1479,20,FALSE)),0,VLOOKUP(B20,Données!$A$3:$U$1479,20,FALSE))</f>
        <v>0</v>
      </c>
      <c r="J20" s="144"/>
      <c r="K20" s="124" t="s">
        <v>193</v>
      </c>
      <c r="L20" s="41" t="s">
        <v>2433</v>
      </c>
      <c r="N20" s="41"/>
      <c r="O20" s="41"/>
      <c r="Q20" s="465"/>
      <c r="R20" s="465" t="str">
        <f t="shared" si="0"/>
        <v/>
      </c>
    </row>
    <row r="21" spans="1:18" ht="20.25" customHeight="1" x14ac:dyDescent="0.25">
      <c r="A21" s="522" t="s">
        <v>40</v>
      </c>
      <c r="B21" s="274" t="s">
        <v>319</v>
      </c>
      <c r="C21" s="133" t="str">
        <f>IF(ISERROR(VLOOKUP(B21,Données!$A$3:$L$1479,5,FALSE)),"",VLOOKUP(B21,Données!$A$3:$L$1479,5,FALSE))</f>
        <v/>
      </c>
      <c r="D21" s="347" t="str">
        <f>IF(ISERROR(VLOOKUP(B21,Données!$A$3:$X$1479,23,FALSE)),"",VLOOKUP(B21,Données!$A$3:$X$1479,23,FALSE))</f>
        <v/>
      </c>
      <c r="E21" s="133" t="str">
        <f>IF(ISERROR(VLOOKUP(B21,Données!$A$3:$L$1479,7,FALSE)),"",VLOOKUP(B21,Données!$A$3:$L$1479,7,FALSE))</f>
        <v/>
      </c>
      <c r="F21" s="134">
        <f>IF(ISERROR(VLOOKUP(B21,Données!$A$3:$U$1479,11,FALSE)),0,VLOOKUP(B21,Données!$A$3:$U$1479,11,FALSE))</f>
        <v>0</v>
      </c>
      <c r="G21" s="135">
        <f>VALUE(COUNTIF(Validation!$A$2:$H$64,B21))-1</f>
        <v>0</v>
      </c>
      <c r="H21" s="363">
        <f>IF(ISERROR(VLOOKUP(B21,Données!$A$3:$U$1479,12,FALSE)),0,VLOOKUP(B21,Données!$A$3:$U$1479,12,FALSE))</f>
        <v>0</v>
      </c>
      <c r="I21" s="136">
        <f>IF(ISERROR(VLOOKUP(B21,Données!$A$3:$U$1479,20,FALSE)),0,VLOOKUP(B21,Données!$A$3:$U$1479,20,FALSE))</f>
        <v>0</v>
      </c>
      <c r="J21" s="123"/>
      <c r="N21" s="41"/>
      <c r="O21" s="41"/>
      <c r="P21" s="41"/>
      <c r="Q21" s="465"/>
      <c r="R21" s="465" t="str">
        <f t="shared" si="0"/>
        <v/>
      </c>
    </row>
    <row r="22" spans="1:18" ht="15.75" customHeight="1" x14ac:dyDescent="0.25">
      <c r="A22" s="523"/>
      <c r="B22" s="277" t="s">
        <v>770</v>
      </c>
      <c r="C22" s="140" t="str">
        <f>IF(ISERROR(VLOOKUP(B22,Données!$A$3:$L$1479,5,FALSE)),"",VLOOKUP(B22,Données!$A$3:$L$1479,5,FALSE))</f>
        <v/>
      </c>
      <c r="D22" s="349" t="str">
        <f>IF(ISERROR(VLOOKUP(B22,Données!$A$3:$X$1479,23,FALSE)),"",VLOOKUP(B22,Données!$A$3:$X$1479,23,FALSE))</f>
        <v/>
      </c>
      <c r="E22" s="140" t="str">
        <f>IF(ISERROR(VLOOKUP(B22,Données!$A$3:$L$1479,7,FALSE)),"",VLOOKUP(B22,Données!$A$3:$L$1479,7,FALSE))</f>
        <v/>
      </c>
      <c r="F22" s="141">
        <f>IF(ISERROR(VLOOKUP(B22,Données!$A$3:$U$1479,11,FALSE)),0,VLOOKUP(B22,Données!$A$3:$U$1479,11,FALSE))</f>
        <v>0</v>
      </c>
      <c r="G22" s="142">
        <f>VALUE(COUNTIF(Validation!$A$2:$H$64,B22))-1</f>
        <v>0</v>
      </c>
      <c r="H22" s="364">
        <f>IF(ISERROR(VLOOKUP(B22,Données!$A$3:$U$1479,12,FALSE)),0,VLOOKUP(B22,Données!$A$3:$U$1479,12,FALSE))</f>
        <v>0</v>
      </c>
      <c r="I22" s="143">
        <f>IF(ISERROR(VLOOKUP(B22,Données!$A$3:$U$1479,20,FALSE)),0,VLOOKUP(B22,Données!$A$3:$U$1479,20,FALSE))</f>
        <v>0</v>
      </c>
      <c r="J22" s="123"/>
      <c r="O22" s="41"/>
      <c r="Q22" s="465"/>
      <c r="R22" s="465" t="str">
        <f t="shared" si="0"/>
        <v/>
      </c>
    </row>
    <row r="23" spans="1:18" ht="15.75" customHeight="1" x14ac:dyDescent="0.25">
      <c r="A23" s="525" t="s">
        <v>42</v>
      </c>
      <c r="B23" s="209" t="s">
        <v>915</v>
      </c>
      <c r="C23" s="133" t="str">
        <f>IF(ISERROR(VLOOKUP(B23,Données!$A$3:$L$1479,5,FALSE)),"",VLOOKUP(B23,Données!$A$3:$L$1479,5,FALSE))</f>
        <v/>
      </c>
      <c r="D23" s="347" t="str">
        <f>IF(ISERROR(VLOOKUP(B23,Données!$A$3:$X$1479,23,FALSE)),"",VLOOKUP(B23,Données!$A$3:$X$1479,23,FALSE))</f>
        <v/>
      </c>
      <c r="E23" s="133" t="str">
        <f>IF(ISERROR(VLOOKUP(B23,Données!$A$3:$L$1479,7,FALSE)),"",VLOOKUP(B23,Données!$A$3:$L$1479,7,FALSE))</f>
        <v/>
      </c>
      <c r="F23" s="134">
        <f>IF(ISERROR(VLOOKUP(B23,Données!$A$3:$U$1479,11,FALSE)),0,VLOOKUP(B23,Données!$A$3:$U$1479,11,FALSE))</f>
        <v>0</v>
      </c>
      <c r="G23" s="135">
        <f>VALUE(COUNTIF(Validation!$A$2:$H$64,B23))-1</f>
        <v>0</v>
      </c>
      <c r="H23" s="363">
        <f>IF(ISERROR(VLOOKUP(B23,Données!$A$3:$U$1479,12,FALSE)),0,VLOOKUP(B23,Données!$A$3:$U$1479,12,FALSE))</f>
        <v>0</v>
      </c>
      <c r="I23" s="136">
        <f>IF(ISERROR(VLOOKUP(B23,Données!$A$3:$U$1479,20,FALSE)),0,VLOOKUP(B23,Données!$A$3:$U$1479,20,FALSE))</f>
        <v>0</v>
      </c>
      <c r="J23" s="123"/>
      <c r="Q23" s="465"/>
      <c r="R23" s="465" t="str">
        <f t="shared" si="0"/>
        <v/>
      </c>
    </row>
    <row r="24" spans="1:18" ht="15.75" customHeight="1" x14ac:dyDescent="0.25">
      <c r="A24" s="526"/>
      <c r="B24" s="209" t="s">
        <v>555</v>
      </c>
      <c r="C24" s="133" t="str">
        <f>IF(ISERROR(VLOOKUP(B24,Données!$A$3:$L$1479,5,FALSE)),"",VLOOKUP(B24,Données!$A$3:$L$1479,5,FALSE))</f>
        <v/>
      </c>
      <c r="D24" s="347" t="str">
        <f>IF(ISERROR(VLOOKUP(B24,Données!$A$3:$X$1479,23,FALSE)),"",VLOOKUP(B24,Données!$A$3:$X$1479,23,FALSE))</f>
        <v/>
      </c>
      <c r="E24" s="133" t="str">
        <f>IF(ISERROR(VLOOKUP(B24,Données!$A$3:$L$1479,7,FALSE)),"",VLOOKUP(B24,Données!$A$3:$L$1479,7,FALSE))</f>
        <v/>
      </c>
      <c r="F24" s="134">
        <f>IF(ISERROR(VLOOKUP(B24,Données!$A$3:$U$1479,11,FALSE)),0,VLOOKUP(B24,Données!$A$3:$U$1479,11,FALSE))</f>
        <v>0</v>
      </c>
      <c r="G24" s="135">
        <f>VALUE(COUNTIF(Validation!$A$2:$H$64,B24))-1</f>
        <v>0</v>
      </c>
      <c r="H24" s="363">
        <f>IF(ISERROR(VLOOKUP(B24,Données!$A$3:$U$1479,12,FALSE)),0,VLOOKUP(B24,Données!$A$3:$U$1479,12,FALSE))</f>
        <v>0</v>
      </c>
      <c r="I24" s="136">
        <f>IF(ISERROR(VLOOKUP(B24,Données!$A$3:$U$1479,20,FALSE)),0,VLOOKUP(B24,Données!$A$3:$U$1479,20,FALSE))</f>
        <v>0</v>
      </c>
      <c r="J24" s="123"/>
      <c r="Q24" s="465"/>
      <c r="R24" s="465" t="str">
        <f t="shared" si="0"/>
        <v/>
      </c>
    </row>
    <row r="25" spans="1:18" ht="15.75" customHeight="1" x14ac:dyDescent="0.25">
      <c r="A25" s="526"/>
      <c r="B25" s="209" t="s">
        <v>264</v>
      </c>
      <c r="C25" s="133" t="str">
        <f>IF(ISERROR(VLOOKUP(B25,Données!$A$3:$L$1479,5,FALSE)),"",VLOOKUP(B25,Données!$A$3:$L$1479,5,FALSE))</f>
        <v/>
      </c>
      <c r="D25" s="347" t="str">
        <f>IF(ISERROR(VLOOKUP(B25,Données!$A$3:$X$1479,23,FALSE)),"",VLOOKUP(B25,Données!$A$3:$X$1479,23,FALSE))</f>
        <v/>
      </c>
      <c r="E25" s="133" t="str">
        <f>IF(ISERROR(VLOOKUP(B25,Données!$A$3:$L$1479,7,FALSE)),"",VLOOKUP(B25,Données!$A$3:$L$1479,7,FALSE))</f>
        <v/>
      </c>
      <c r="F25" s="134">
        <f>IF(ISERROR(VLOOKUP(B25,Données!$A$3:$U$1479,11,FALSE)),0,VLOOKUP(B25,Données!$A$3:$U$1479,11,FALSE))</f>
        <v>0</v>
      </c>
      <c r="G25" s="135">
        <f>VALUE(COUNTIF(Validation!$A$2:$H$64,B25))-1</f>
        <v>0</v>
      </c>
      <c r="H25" s="363">
        <f>IF(ISERROR(VLOOKUP(B25,Données!$A$3:$U$1479,12,FALSE)),0,VLOOKUP(B25,Données!$A$3:$U$1479,12,FALSE))</f>
        <v>0</v>
      </c>
      <c r="I25" s="136">
        <f>IF(ISERROR(VLOOKUP(B25,Données!$A$3:$U$1479,20,FALSE)),0,VLOOKUP(B25,Données!$A$3:$U$1479,20,FALSE))</f>
        <v>0</v>
      </c>
      <c r="J25" s="123"/>
      <c r="Q25" s="465"/>
      <c r="R25" s="465" t="str">
        <f t="shared" si="0"/>
        <v/>
      </c>
    </row>
    <row r="26" spans="1:18" ht="15.75" customHeight="1" x14ac:dyDescent="0.25">
      <c r="A26" s="526"/>
      <c r="B26" s="209"/>
      <c r="C26" s="133" t="str">
        <f>IF(ISERROR(VLOOKUP(B26,Données!$A$3:$L$1479,5,FALSE)),"",VLOOKUP(B26,Données!$A$3:$L$1479,5,FALSE))</f>
        <v/>
      </c>
      <c r="D26" s="347" t="str">
        <f>IF(ISERROR(VLOOKUP(B26,Données!$A$3:$X$1479,23,FALSE)),"",VLOOKUP(B26,Données!$A$3:$X$1479,23,FALSE))</f>
        <v/>
      </c>
      <c r="E26" s="133" t="str">
        <f>IF(ISERROR(VLOOKUP(B26,Données!$A$3:$L$1479,7,FALSE)),"",VLOOKUP(B26,Données!$A$3:$L$1479,7,FALSE))</f>
        <v/>
      </c>
      <c r="F26" s="134">
        <f>IF(ISERROR(VLOOKUP(B26,Données!$A$3:$U$1479,11,FALSE)),0,VLOOKUP(B26,Données!$A$3:$U$1479,11,FALSE))</f>
        <v>0</v>
      </c>
      <c r="G26" s="135">
        <f>VALUE(COUNTIF(Validation!$A$2:$H$64,B26))-1</f>
        <v>229</v>
      </c>
      <c r="H26" s="363">
        <f>IF(ISERROR(VLOOKUP(B26,Données!$A$3:$U$1479,12,FALSE)),0,VLOOKUP(B26,Données!$A$3:$U$1479,12,FALSE))</f>
        <v>0</v>
      </c>
      <c r="I26" s="136">
        <f>IF(ISERROR(VLOOKUP(B26,Données!$A$3:$U$1479,20,FALSE)),0,VLOOKUP(B26,Données!$A$3:$U$1479,20,FALSE))</f>
        <v>0</v>
      </c>
      <c r="J26" s="123"/>
      <c r="Q26" s="465"/>
      <c r="R26" s="465" t="str">
        <f t="shared" si="0"/>
        <v/>
      </c>
    </row>
    <row r="27" spans="1:18" ht="15.75" customHeight="1" x14ac:dyDescent="0.25">
      <c r="A27" s="526"/>
      <c r="B27" s="209"/>
      <c r="C27" s="133" t="str">
        <f>IF(ISERROR(VLOOKUP(B27,Données!$A$3:$L$1479,5,FALSE)),"",VLOOKUP(B27,Données!$A$3:$L$1479,5,FALSE))</f>
        <v/>
      </c>
      <c r="D27" s="347" t="str">
        <f>IF(ISERROR(VLOOKUP(B27,Données!$A$3:$X$1479,23,FALSE)),"",VLOOKUP(B27,Données!$A$3:$X$1479,23,FALSE))</f>
        <v/>
      </c>
      <c r="E27" s="133" t="str">
        <f>IF(ISERROR(VLOOKUP(B27,Données!$A$3:$L$1479,7,FALSE)),"",VLOOKUP(B27,Données!$A$3:$L$1479,7,FALSE))</f>
        <v/>
      </c>
      <c r="F27" s="134">
        <f>IF(ISERROR(VLOOKUP(B27,Données!$A$3:$U$1479,11,FALSE)),0,VLOOKUP(B27,Données!$A$3:$U$1479,11,FALSE))</f>
        <v>0</v>
      </c>
      <c r="G27" s="135">
        <f>VALUE(COUNTIF(Validation!$A$2:$H$64,B27))-1</f>
        <v>229</v>
      </c>
      <c r="H27" s="363">
        <f>IF(ISERROR(VLOOKUP(B27,Données!$A$3:$U$1479,12,FALSE)),0,VLOOKUP(B27,Données!$A$3:$U$1479,12,FALSE))</f>
        <v>0</v>
      </c>
      <c r="I27" s="136">
        <f>IF(ISERROR(VLOOKUP(B27,Données!$A$3:$U$1479,20,FALSE)),0,VLOOKUP(B27,Données!$A$3:$U$1479,20,FALSE))</f>
        <v>0</v>
      </c>
      <c r="J27" s="123"/>
      <c r="Q27" s="465"/>
      <c r="R27" s="465" t="str">
        <f t="shared" si="0"/>
        <v/>
      </c>
    </row>
    <row r="28" spans="1:18" ht="15.75" customHeight="1" x14ac:dyDescent="0.25">
      <c r="A28" s="526"/>
      <c r="B28" s="132"/>
      <c r="C28" s="133" t="str">
        <f>IF(ISERROR(VLOOKUP(B28,Données!$A$3:$L$1479,5,FALSE)),"",VLOOKUP(B28,Données!$A$3:$L$1479,5,FALSE))</f>
        <v/>
      </c>
      <c r="D28" s="347" t="str">
        <f>IF(ISERROR(VLOOKUP(B28,Données!$A$3:$X$1479,23,FALSE)),"",VLOOKUP(B28,Données!$A$3:$X$1479,23,FALSE))</f>
        <v/>
      </c>
      <c r="E28" s="133" t="str">
        <f>IF(ISERROR(VLOOKUP(B28,Données!$A$3:$L$1479,7,FALSE)),"",VLOOKUP(B28,Données!$A$3:$L$1479,7,FALSE))</f>
        <v/>
      </c>
      <c r="F28" s="134">
        <f>IF(ISERROR(VLOOKUP(B28,Données!$A$3:$U$1479,11,FALSE)),0,VLOOKUP(B28,Données!$A$3:$U$1479,11,FALSE))</f>
        <v>0</v>
      </c>
      <c r="G28" s="135">
        <f>VALUE(COUNTIF(Validation!$A$2:$H$64,B28))-1</f>
        <v>229</v>
      </c>
      <c r="H28" s="363">
        <f>IF(ISERROR(VLOOKUP(B28,Données!$A$3:$U$1479,12,FALSE)),0,VLOOKUP(B28,Données!$A$3:$U$1479,12,FALSE))</f>
        <v>0</v>
      </c>
      <c r="I28" s="136">
        <f>IF(ISERROR(VLOOKUP(B28,Données!$A$3:$U$1479,20,FALSE)),0,VLOOKUP(B28,Données!$A$3:$U$1479,20,FALSE))</f>
        <v>0</v>
      </c>
      <c r="J28" s="123"/>
      <c r="Q28" s="465"/>
      <c r="R28" s="465" t="str">
        <f t="shared" si="0"/>
        <v/>
      </c>
    </row>
    <row r="29" spans="1:18" ht="15.75" customHeight="1" x14ac:dyDescent="0.25">
      <c r="A29" s="526"/>
      <c r="B29" s="132"/>
      <c r="C29" s="133" t="str">
        <f>IF(ISERROR(VLOOKUP(B29,Données!$A$3:$L$1479,5,FALSE)),"",VLOOKUP(B29,Données!$A$3:$L$1479,5,FALSE))</f>
        <v/>
      </c>
      <c r="D29" s="347" t="str">
        <f>IF(ISERROR(VLOOKUP(B29,Données!$A$3:$X$1479,23,FALSE)),"",VLOOKUP(B29,Données!$A$3:$X$1479,23,FALSE))</f>
        <v/>
      </c>
      <c r="E29" s="133" t="str">
        <f>IF(ISERROR(VLOOKUP(B29,Données!$A$3:$L$1479,7,FALSE)),"",VLOOKUP(B29,Données!$A$3:$L$1479,7,FALSE))</f>
        <v/>
      </c>
      <c r="F29" s="134">
        <f>IF(ISERROR(VLOOKUP(B29,Données!$A$3:$U$1479,11,FALSE)),0,VLOOKUP(B29,Données!$A$3:$U$1479,11,FALSE))</f>
        <v>0</v>
      </c>
      <c r="G29" s="135">
        <f>VALUE(COUNTIF(Validation!$A$2:$H$64,B29))-1</f>
        <v>229</v>
      </c>
      <c r="H29" s="363">
        <f>IF(ISERROR(VLOOKUP(B29,Données!$A$3:$U$1479,12,FALSE)),0,VLOOKUP(B29,Données!$A$3:$U$1479,12,FALSE))</f>
        <v>0</v>
      </c>
      <c r="I29" s="136">
        <f>IF(ISERROR(VLOOKUP(B29,Données!$A$3:$U$1479,20,FALSE)),0,VLOOKUP(B29,Données!$A$3:$U$1479,20,FALSE))</f>
        <v>0</v>
      </c>
      <c r="J29" s="123"/>
      <c r="Q29" s="465"/>
      <c r="R29" s="465" t="str">
        <f t="shared" si="0"/>
        <v/>
      </c>
    </row>
    <row r="30" spans="1:18" ht="15.75" customHeight="1" x14ac:dyDescent="0.25">
      <c r="A30" s="526"/>
      <c r="B30" s="145"/>
      <c r="C30" s="133" t="str">
        <f>IF(ISERROR(VLOOKUP(B30,Données!$A$3:$L$1479,5,FALSE)),"",VLOOKUP(B30,Données!$A$3:$L$1479,5,FALSE))</f>
        <v/>
      </c>
      <c r="D30" s="347" t="str">
        <f>IF(ISERROR(VLOOKUP(B30,Données!$A$3:$X$1479,23,FALSE)),"",VLOOKUP(B30,Données!$A$3:$X$1479,23,FALSE))</f>
        <v/>
      </c>
      <c r="E30" s="133" t="str">
        <f>IF(ISERROR(VLOOKUP(B30,Données!$A$3:$L$1479,7,FALSE)),"",VLOOKUP(B30,Données!$A$3:$L$1479,7,FALSE))</f>
        <v/>
      </c>
      <c r="F30" s="134">
        <f>IF(ISERROR(VLOOKUP(B30,Données!$A$3:$U$1479,11,FALSE)),0,VLOOKUP(B30,Données!$A$3:$U$1479,11,FALSE))</f>
        <v>0</v>
      </c>
      <c r="G30" s="135">
        <f>VALUE(COUNTIF(Validation!$A$2:$H$64,B30))-1</f>
        <v>229</v>
      </c>
      <c r="H30" s="363">
        <f>IF(ISERROR(VLOOKUP(B30,Données!$A$3:$U$1479,12,FALSE)),0,VLOOKUP(B30,Données!$A$3:$U$1479,12,FALSE))</f>
        <v>0</v>
      </c>
      <c r="I30" s="136">
        <f>IF(ISERROR(VLOOKUP(B30,Données!$A$3:$U$1479,20,FALSE)),0,VLOOKUP(B30,Données!$A$3:$U$1479,20,FALSE))</f>
        <v>0</v>
      </c>
      <c r="J30" s="123"/>
      <c r="Q30" s="465"/>
      <c r="R30" s="465" t="str">
        <f t="shared" si="0"/>
        <v/>
      </c>
    </row>
    <row r="31" spans="1:18" ht="15.75" x14ac:dyDescent="0.25">
      <c r="A31" s="527" t="s">
        <v>37</v>
      </c>
      <c r="B31" s="527"/>
      <c r="C31" s="527"/>
      <c r="D31" s="527"/>
      <c r="E31" s="527"/>
      <c r="F31" s="310">
        <f>ROUNDDOWN(SUM(F3:F30),2)</f>
        <v>0</v>
      </c>
      <c r="G31" s="147"/>
      <c r="H31" s="326">
        <f>SUM(H3:H30)</f>
        <v>0</v>
      </c>
      <c r="J31" s="123"/>
    </row>
    <row r="32" spans="1:18" ht="19.5" thickBot="1" x14ac:dyDescent="0.35">
      <c r="A32" s="528" t="s">
        <v>44</v>
      </c>
      <c r="B32" s="528"/>
      <c r="C32" s="528"/>
      <c r="D32" s="528"/>
      <c r="E32" s="528"/>
      <c r="F32" s="318">
        <f>'Calcul Masse Salariale'!$B$5-F31</f>
        <v>102000000</v>
      </c>
      <c r="G32" s="149"/>
      <c r="H32" s="334">
        <f>'Calcul Masse Salariale'!$B$6-H31</f>
        <v>102000000</v>
      </c>
      <c r="J32" s="123"/>
    </row>
    <row r="33" spans="1:10" ht="16.5" thickBot="1" x14ac:dyDescent="0.3">
      <c r="F33" s="372"/>
      <c r="J33" s="123"/>
    </row>
    <row r="34" spans="1:10" ht="30.75" thickBot="1" x14ac:dyDescent="0.3">
      <c r="B34" s="445" t="s">
        <v>36</v>
      </c>
      <c r="C34" s="446" t="s">
        <v>52</v>
      </c>
      <c r="D34" s="446" t="s">
        <v>403</v>
      </c>
      <c r="E34" s="446" t="s">
        <v>5</v>
      </c>
      <c r="F34" s="447" t="s">
        <v>134</v>
      </c>
      <c r="G34" s="448" t="s">
        <v>189</v>
      </c>
      <c r="H34" s="449" t="s">
        <v>1155</v>
      </c>
      <c r="I34" s="450" t="s">
        <v>2403</v>
      </c>
      <c r="J34" s="123"/>
    </row>
    <row r="35" spans="1:10" ht="19.5" thickBot="1" x14ac:dyDescent="0.35">
      <c r="A35" s="506" t="s">
        <v>2401</v>
      </c>
      <c r="B35" s="453"/>
      <c r="C35" s="402" t="str">
        <f>IF(ISERROR(VLOOKUP(B35,Données!$A$3:$L$1479,5,FALSE)),"",VLOOKUP(B35,Données!$A$3:$L$1479,5,FALSE))</f>
        <v/>
      </c>
      <c r="D35" s="402" t="str">
        <f>IF(ISERROR(VLOOKUP(B35,Données!$A$3:$X$1479,22,FALSE)),"",VLOOKUP(B35,Données!$A$3:$X$1479,22,FALSE))</f>
        <v/>
      </c>
      <c r="E35" s="402" t="str">
        <f>IF(ISERROR(VLOOKUP(B35,Données!$A$3:$L$1479,7,FALSE)),"",VLOOKUP(B35,Données!$A$3:$L$1479,7,FALSE))</f>
        <v/>
      </c>
      <c r="F35" s="403">
        <f>IF(ISERROR(VLOOKUP(B35,Données!$A$3:$U$1479,11,FALSE)),0,VLOOKUP(B35,Données!$A$3:$U$1479,11,FALSE))</f>
        <v>0</v>
      </c>
      <c r="G35" s="460">
        <f>VALUE(COUNTIF(Validation!$A$2:$H$120,B35))-1</f>
        <v>229</v>
      </c>
      <c r="H35" s="404">
        <f>IF(ISERROR(VLOOKUP(B35,Données!$A$3:$U$1479,12,FALSE)),0,VLOOKUP(B35,Données!$A$3:$U$1479,12,FALSE))</f>
        <v>0</v>
      </c>
      <c r="I35" s="405">
        <f>IF(ISERROR(VLOOKUP(B35,Données!$E$3:$U$1479,17,FALSE)),0,VLOOKUP(B35,Données!$E$3:$U$1479,17,FALSE))</f>
        <v>0</v>
      </c>
      <c r="J35" s="123"/>
    </row>
    <row r="36" spans="1:10" ht="19.5" thickBot="1" x14ac:dyDescent="0.35">
      <c r="A36" s="507"/>
      <c r="B36" s="406" t="s">
        <v>2404</v>
      </c>
      <c r="C36" s="508">
        <v>43495</v>
      </c>
      <c r="D36" s="509"/>
      <c r="E36" s="509"/>
      <c r="F36" s="407" t="s">
        <v>2405</v>
      </c>
      <c r="G36" s="508">
        <f>IF(C36="","",C36+28)</f>
        <v>43523</v>
      </c>
      <c r="H36" s="509"/>
      <c r="I36" s="509"/>
      <c r="J36" s="123"/>
    </row>
    <row r="37" spans="1:10" x14ac:dyDescent="0.25">
      <c r="J37" s="123"/>
    </row>
    <row r="38" spans="1:10" ht="31.5" customHeight="1" x14ac:dyDescent="0.25">
      <c r="A38" s="60"/>
      <c r="B38" s="62" t="s">
        <v>36</v>
      </c>
      <c r="C38" s="62" t="s">
        <v>52</v>
      </c>
      <c r="D38" s="62" t="s">
        <v>403</v>
      </c>
      <c r="E38" s="7" t="s">
        <v>2402</v>
      </c>
      <c r="F38" s="399" t="s">
        <v>134</v>
      </c>
      <c r="G38" s="68" t="s">
        <v>195</v>
      </c>
      <c r="H38" s="129" t="s">
        <v>2676</v>
      </c>
      <c r="I38" s="67" t="s">
        <v>1</v>
      </c>
      <c r="J38" s="123"/>
    </row>
    <row r="39" spans="1:10" ht="15.75" x14ac:dyDescent="0.25">
      <c r="A39" s="497" t="s">
        <v>43</v>
      </c>
      <c r="B39" s="354" t="s">
        <v>780</v>
      </c>
      <c r="C39" s="74" t="str">
        <f>IF(ISERROR(VLOOKUP(B39,Données!$A$3:$L$1479,5,FALSE)),"",VLOOKUP(B39,Données!$A$3:$L$1479,5,FALSE))</f>
        <v/>
      </c>
      <c r="D39" s="347" t="str">
        <f>IF(ISERROR(VLOOKUP(B39,Données!$A$3:$X$1479,23,FALSE)),"",VLOOKUP(B39,Données!$A$3:$X$1479,23,FALSE))</f>
        <v/>
      </c>
      <c r="E39" s="137">
        <v>2014</v>
      </c>
      <c r="F39" s="358">
        <f>IF(ISERROR(VLOOKUP(B39,Données!$A$3:$U$1479,11,FALSE)),0,VLOOKUP(B39,Données!$A$3:$U$1479,11,FALSE))</f>
        <v>0</v>
      </c>
      <c r="G39" s="74">
        <f t="shared" ref="G39:G73" si="1">I39</f>
        <v>0</v>
      </c>
      <c r="H39" s="363">
        <f>IF(ISERROR(VLOOKUP(B39,Données!$A$3:$U$1479,12,FALSE)),0,VLOOKUP(B39,Données!$A$3:$U$1479,12,FALSE))</f>
        <v>0</v>
      </c>
      <c r="I39" s="74">
        <f>IF(((E39+5)-'Calcul Masse Salariale'!$B$1)&lt;=0,0,(E39+5)-'Calcul Masse Salariale'!$B$1)</f>
        <v>0</v>
      </c>
      <c r="J39" s="123"/>
    </row>
    <row r="40" spans="1:10" ht="15.75" x14ac:dyDescent="0.25">
      <c r="A40" s="497"/>
      <c r="B40" s="354" t="s">
        <v>390</v>
      </c>
      <c r="C40" s="74" t="str">
        <f>IF(ISERROR(VLOOKUP(B40,Données!$A$3:$L$1479,5,FALSE)),"",VLOOKUP(B40,Données!$A$3:$L$1479,5,FALSE))</f>
        <v/>
      </c>
      <c r="D40" s="347" t="str">
        <f>IF(ISERROR(VLOOKUP(B40,Données!$A$3:$X$1479,23,FALSE)),"",VLOOKUP(B40,Données!$A$3:$X$1479,23,FALSE))</f>
        <v/>
      </c>
      <c r="E40" s="137">
        <v>2016</v>
      </c>
      <c r="F40" s="358">
        <f>IF(ISERROR(VLOOKUP(B40,Données!$A$3:$U$1479,11,FALSE)),0,VLOOKUP(B40,Données!$A$3:$U$1479,11,FALSE))</f>
        <v>0</v>
      </c>
      <c r="G40" s="74">
        <f t="shared" si="1"/>
        <v>2</v>
      </c>
      <c r="H40" s="363">
        <f>IF(ISERROR(VLOOKUP(B40,Données!$A$3:$U$1479,12,FALSE)),0,VLOOKUP(B40,Données!$A$3:$U$1479,12,FALSE))</f>
        <v>0</v>
      </c>
      <c r="I40" s="74">
        <f>IF(((E40+5)-'Calcul Masse Salariale'!$B$1)&lt;=0,0,(E40+5)-'Calcul Masse Salariale'!$B$1)</f>
        <v>2</v>
      </c>
      <c r="J40" s="123"/>
    </row>
    <row r="41" spans="1:10" ht="18.75" x14ac:dyDescent="0.3">
      <c r="A41" s="497"/>
      <c r="B41" s="354" t="s">
        <v>980</v>
      </c>
      <c r="C41" s="74" t="str">
        <f>IF(ISERROR(VLOOKUP(B41,Données!$A$3:$L$1479,5,FALSE)),"",VLOOKUP(B41,Données!$A$3:$L$1479,5,FALSE))</f>
        <v/>
      </c>
      <c r="D41" s="347" t="str">
        <f>IF(ISERROR(VLOOKUP(B41,Données!$A$3:$X$1479,23,FALSE)),"",VLOOKUP(B41,Données!$A$3:$X$1479,23,FALSE))</f>
        <v/>
      </c>
      <c r="E41" s="137">
        <v>2016</v>
      </c>
      <c r="F41" s="358">
        <f>IF(ISERROR(VLOOKUP(B41,Données!$A$3:$U$1479,11,FALSE)),0,VLOOKUP(B41,Données!$A$3:$U$1479,11,FALSE))</f>
        <v>0</v>
      </c>
      <c r="G41" s="74">
        <f t="shared" si="1"/>
        <v>2</v>
      </c>
      <c r="H41" s="363">
        <f>IF(ISERROR(VLOOKUP(B41,Données!$A$3:$U$1479,12,FALSE)),0,VLOOKUP(B41,Données!$A$3:$U$1479,12,FALSE))</f>
        <v>0</v>
      </c>
      <c r="I41" s="74">
        <f>IF(((E41+5)-'Calcul Masse Salariale'!$B$1)&lt;=0,0,(E41+5)-'Calcul Masse Salariale'!$B$1)</f>
        <v>2</v>
      </c>
      <c r="J41" s="150"/>
    </row>
    <row r="42" spans="1:10" ht="15.75" x14ac:dyDescent="0.25">
      <c r="A42" s="497"/>
      <c r="B42" s="354" t="s">
        <v>444</v>
      </c>
      <c r="C42" s="74" t="str">
        <f>IF(ISERROR(VLOOKUP(B42,Données!$A$3:$L$1479,5,FALSE)),"",VLOOKUP(B42,Données!$A$3:$L$1479,5,FALSE))</f>
        <v/>
      </c>
      <c r="D42" s="347" t="str">
        <f>IF(ISERROR(VLOOKUP(B42,Données!$A$3:$X$1479,23,FALSE)),"",VLOOKUP(B42,Données!$A$3:$X$1479,23,FALSE))</f>
        <v/>
      </c>
      <c r="E42" s="137">
        <v>2016</v>
      </c>
      <c r="F42" s="358">
        <f>IF(ISERROR(VLOOKUP(B42,Données!$A$3:$U$1479,11,FALSE)),0,VLOOKUP(B42,Données!$A$3:$U$1479,11,FALSE))</f>
        <v>0</v>
      </c>
      <c r="G42" s="74">
        <f t="shared" si="1"/>
        <v>2</v>
      </c>
      <c r="H42" s="363">
        <f>IF(ISERROR(VLOOKUP(B42,Données!$A$3:$U$1479,12,FALSE)),0,VLOOKUP(B42,Données!$A$3:$U$1479,12,FALSE))</f>
        <v>0</v>
      </c>
      <c r="I42" s="74">
        <f>IF(((E42+5)-'Calcul Masse Salariale'!$B$1)&lt;=0,0,(E42+5)-'Calcul Masse Salariale'!$B$1)</f>
        <v>2</v>
      </c>
      <c r="J42" s="123"/>
    </row>
    <row r="43" spans="1:10" ht="15.75" x14ac:dyDescent="0.25">
      <c r="A43" s="497"/>
      <c r="B43" s="354" t="s">
        <v>139</v>
      </c>
      <c r="C43" s="74" t="str">
        <f>IF(ISERROR(VLOOKUP(B43,Données!$A$3:$L$1479,5,FALSE)),"",VLOOKUP(B43,Données!$A$3:$L$1479,5,FALSE))</f>
        <v/>
      </c>
      <c r="D43" s="347" t="str">
        <f>IF(ISERROR(VLOOKUP(B43,Données!$A$3:$X$1479,23,FALSE)),"",VLOOKUP(B43,Données!$A$3:$X$1479,23,FALSE))</f>
        <v/>
      </c>
      <c r="E43" s="137">
        <v>2017</v>
      </c>
      <c r="F43" s="358">
        <f>IF(ISERROR(VLOOKUP(B43,Données!$A$3:$U$1479,11,FALSE)),0,VLOOKUP(B43,Données!$A$3:$U$1479,11,FALSE))</f>
        <v>0</v>
      </c>
      <c r="G43" s="74">
        <f t="shared" si="1"/>
        <v>3</v>
      </c>
      <c r="H43" s="363">
        <f>IF(ISERROR(VLOOKUP(B43,Données!$A$3:$U$1479,12,FALSE)),0,VLOOKUP(B43,Données!$A$3:$U$1479,12,FALSE))</f>
        <v>0</v>
      </c>
      <c r="I43" s="74">
        <f>IF(((E43+5)-'Calcul Masse Salariale'!$B$1)&lt;=0,0,(E43+5)-'Calcul Masse Salariale'!$B$1)</f>
        <v>3</v>
      </c>
      <c r="J43" s="123"/>
    </row>
    <row r="44" spans="1:10" ht="15.75" x14ac:dyDescent="0.25">
      <c r="A44" s="497"/>
      <c r="B44" s="354" t="s">
        <v>178</v>
      </c>
      <c r="C44" s="74" t="str">
        <f>IF(ISERROR(VLOOKUP(B44,Données!$A$3:$L$1479,5,FALSE)),"",VLOOKUP(B44,Données!$A$3:$L$1479,5,FALSE))</f>
        <v/>
      </c>
      <c r="D44" s="347" t="str">
        <f>IF(ISERROR(VLOOKUP(B44,Données!$A$3:$X$1479,23,FALSE)),"",VLOOKUP(B44,Données!$A$3:$X$1479,23,FALSE))</f>
        <v/>
      </c>
      <c r="E44" s="137">
        <v>2017</v>
      </c>
      <c r="F44" s="358">
        <f>IF(ISERROR(VLOOKUP(B44,Données!$A$3:$U$1479,11,FALSE)),0,VLOOKUP(B44,Données!$A$3:$U$1479,11,FALSE))</f>
        <v>0</v>
      </c>
      <c r="G44" s="74">
        <f t="shared" si="1"/>
        <v>3</v>
      </c>
      <c r="H44" s="363">
        <f>IF(ISERROR(VLOOKUP(B44,Données!$A$3:$U$1479,12,FALSE)),0,VLOOKUP(B44,Données!$A$3:$U$1479,12,FALSE))</f>
        <v>0</v>
      </c>
      <c r="I44" s="74">
        <f>IF(((E44+5)-'Calcul Masse Salariale'!$B$1)&lt;=0,0,(E44+5)-'Calcul Masse Salariale'!$B$1)</f>
        <v>3</v>
      </c>
      <c r="J44" s="123"/>
    </row>
    <row r="45" spans="1:10" ht="15.75" x14ac:dyDescent="0.25">
      <c r="A45" s="497"/>
      <c r="B45" s="354" t="s">
        <v>149</v>
      </c>
      <c r="C45" s="74" t="str">
        <f>IF(ISERROR(VLOOKUP(B45,Données!$A$3:$L$1479,5,FALSE)),"",VLOOKUP(B45,Données!$A$3:$L$1479,5,FALSE))</f>
        <v/>
      </c>
      <c r="D45" s="347" t="str">
        <f>IF(ISERROR(VLOOKUP(B45,Données!$A$3:$X$1479,23,FALSE)),"",VLOOKUP(B45,Données!$A$3:$X$1479,23,FALSE))</f>
        <v/>
      </c>
      <c r="E45" s="137">
        <v>2017</v>
      </c>
      <c r="F45" s="358">
        <f>IF(ISERROR(VLOOKUP(B45,Données!$A$3:$U$1479,11,FALSE)),0,VLOOKUP(B45,Données!$A$3:$U$1479,11,FALSE))</f>
        <v>0</v>
      </c>
      <c r="G45" s="74">
        <f t="shared" si="1"/>
        <v>3</v>
      </c>
      <c r="H45" s="363">
        <f>IF(ISERROR(VLOOKUP(B45,Données!$A$3:$U$1479,12,FALSE)),0,VLOOKUP(B45,Données!$A$3:$U$1479,12,FALSE))</f>
        <v>0</v>
      </c>
      <c r="I45" s="74">
        <f>IF(((E45+5)-'Calcul Masse Salariale'!$B$1)&lt;=0,0,(E45+5)-'Calcul Masse Salariale'!$B$1)</f>
        <v>3</v>
      </c>
      <c r="J45" s="123"/>
    </row>
    <row r="46" spans="1:10" ht="15.75" x14ac:dyDescent="0.25">
      <c r="A46" s="497"/>
      <c r="B46" s="137" t="s">
        <v>1162</v>
      </c>
      <c r="C46" s="74" t="str">
        <f>IF(ISERROR(VLOOKUP(B46,Données!$A$3:$L$1479,5,FALSE)),"",VLOOKUP(B46,Données!$A$3:$L$1479,5,FALSE))</f>
        <v/>
      </c>
      <c r="D46" s="347" t="str">
        <f>IF(ISERROR(VLOOKUP(B46,Données!$A$3:$X$1479,23,FALSE)),"",VLOOKUP(B46,Données!$A$3:$X$1479,23,FALSE))</f>
        <v/>
      </c>
      <c r="E46" s="137">
        <v>2018</v>
      </c>
      <c r="F46" s="358">
        <f>IF(ISERROR(VLOOKUP(B46,Données!$A$3:$U$1479,11,FALSE)),0,VLOOKUP(B46,Données!$A$3:$U$1479,11,FALSE))</f>
        <v>0</v>
      </c>
      <c r="G46" s="74">
        <f t="shared" si="1"/>
        <v>4</v>
      </c>
      <c r="H46" s="363">
        <f>IF(ISERROR(VLOOKUP(B46,Données!$A$3:$U$1479,12,FALSE)),0,VLOOKUP(B46,Données!$A$3:$U$1479,12,FALSE))</f>
        <v>0</v>
      </c>
      <c r="I46" s="74">
        <f>IF(((E46+5)-'Calcul Masse Salariale'!$B$1)&lt;=0,0,(E46+5)-'Calcul Masse Salariale'!$B$1)</f>
        <v>4</v>
      </c>
      <c r="J46" s="123"/>
    </row>
    <row r="47" spans="1:10" ht="15.75" x14ac:dyDescent="0.25">
      <c r="A47" s="497"/>
      <c r="B47" s="137" t="s">
        <v>686</v>
      </c>
      <c r="C47" s="74" t="str">
        <f>IF(ISERROR(VLOOKUP(B47,Données!$A$3:$L$1479,5,FALSE)),"",VLOOKUP(B47,Données!$A$3:$L$1479,5,FALSE))</f>
        <v/>
      </c>
      <c r="D47" s="347" t="str">
        <f>IF(ISERROR(VLOOKUP(B47,Données!$A$3:$X$1479,23,FALSE)),"",VLOOKUP(B47,Données!$A$3:$X$1479,23,FALSE))</f>
        <v/>
      </c>
      <c r="E47" s="137">
        <v>2018</v>
      </c>
      <c r="F47" s="358">
        <f>IF(ISERROR(VLOOKUP(B47,Données!$A$3:$U$1479,11,FALSE)),0,VLOOKUP(B47,Données!$A$3:$U$1479,11,FALSE))</f>
        <v>0</v>
      </c>
      <c r="G47" s="74">
        <f t="shared" si="1"/>
        <v>4</v>
      </c>
      <c r="H47" s="363">
        <f>IF(ISERROR(VLOOKUP(B47,Données!$A$3:$U$1479,12,FALSE)),0,VLOOKUP(B47,Données!$A$3:$U$1479,12,FALSE))</f>
        <v>0</v>
      </c>
      <c r="I47" s="74">
        <f>IF(((E47+5)-'Calcul Masse Salariale'!$B$1)&lt;=0,0,(E47+5)-'Calcul Masse Salariale'!$B$1)</f>
        <v>4</v>
      </c>
      <c r="J47" s="123"/>
    </row>
    <row r="48" spans="1:10" ht="15.75" x14ac:dyDescent="0.25">
      <c r="A48" s="497"/>
      <c r="B48" s="138" t="s">
        <v>1185</v>
      </c>
      <c r="C48" s="74" t="str">
        <f>IF(ISERROR(VLOOKUP(B48,Données!$A$3:$L$1479,5,FALSE)),"",VLOOKUP(B48,Données!$A$3:$L$1479,5,FALSE))</f>
        <v/>
      </c>
      <c r="D48" s="347" t="str">
        <f>IF(ISERROR(VLOOKUP(B48,Données!$A$3:$X$1479,23,FALSE)),"",VLOOKUP(B48,Données!$A$3:$X$1479,23,FALSE))</f>
        <v/>
      </c>
      <c r="E48" s="137">
        <v>2018</v>
      </c>
      <c r="F48" s="358">
        <f>IF(ISERROR(VLOOKUP(B48,Données!$A$3:$U$1479,11,FALSE)),0,VLOOKUP(B48,Données!$A$3:$U$1479,11,FALSE))</f>
        <v>0</v>
      </c>
      <c r="G48" s="74">
        <f t="shared" si="1"/>
        <v>4</v>
      </c>
      <c r="H48" s="363">
        <f>IF(ISERROR(VLOOKUP(B48,Données!$A$3:$U$1479,12,FALSE)),0,VLOOKUP(B48,Données!$A$3:$U$1479,12,FALSE))</f>
        <v>0</v>
      </c>
      <c r="I48" s="74">
        <f>IF(((E48+5)-'Calcul Masse Salariale'!$B$1)&lt;=0,0,(E48+5)-'Calcul Masse Salariale'!$B$1)</f>
        <v>4</v>
      </c>
      <c r="J48" s="123"/>
    </row>
    <row r="49" spans="1:10" ht="15.75" x14ac:dyDescent="0.25">
      <c r="A49" s="497"/>
      <c r="B49" s="356" t="s">
        <v>1227</v>
      </c>
      <c r="C49" s="74" t="str">
        <f>IF(ISERROR(VLOOKUP(B49,Données!$A$3:$L$1479,5,FALSE)),"",VLOOKUP(B49,Données!$A$3:$L$1479,5,FALSE))</f>
        <v/>
      </c>
      <c r="D49" s="347" t="str">
        <f>IF(ISERROR(VLOOKUP(B49,Données!$A$3:$X$1479,23,FALSE)),"",VLOOKUP(B49,Données!$A$3:$X$1479,23,FALSE))</f>
        <v/>
      </c>
      <c r="E49" s="137">
        <v>2018</v>
      </c>
      <c r="F49" s="358">
        <f>IF(ISERROR(VLOOKUP(B49,Données!$A$3:$U$1479,11,FALSE)),0,VLOOKUP(B49,Données!$A$3:$U$1479,11,FALSE))</f>
        <v>0</v>
      </c>
      <c r="G49" s="74">
        <f t="shared" si="1"/>
        <v>4</v>
      </c>
      <c r="H49" s="363">
        <f>IF(ISERROR(VLOOKUP(B49,Données!$A$3:$U$1479,12,FALSE)),0,VLOOKUP(B49,Données!$A$3:$U$1479,12,FALSE))</f>
        <v>0</v>
      </c>
      <c r="I49" s="74">
        <f>IF(((E49+5)-'Calcul Masse Salariale'!$B$1)&lt;=0,0,(E49+5)-'Calcul Masse Salariale'!$B$1)</f>
        <v>4</v>
      </c>
      <c r="J49" s="123"/>
    </row>
    <row r="50" spans="1:10" ht="15.75" x14ac:dyDescent="0.25">
      <c r="A50" s="497"/>
      <c r="B50" s="357" t="s">
        <v>1174</v>
      </c>
      <c r="C50" s="74" t="str">
        <f>IF(ISERROR(VLOOKUP(B50,Données!$A$3:$L$1479,5,FALSE)),"",VLOOKUP(B50,Données!$A$3:$L$1479,5,FALSE))</f>
        <v/>
      </c>
      <c r="D50" s="347" t="str">
        <f>IF(ISERROR(VLOOKUP(B50,Données!$A$3:$X$1479,23,FALSE)),"",VLOOKUP(B50,Données!$A$3:$X$1479,23,FALSE))</f>
        <v/>
      </c>
      <c r="E50" s="137">
        <v>2018</v>
      </c>
      <c r="F50" s="358">
        <f>IF(ISERROR(VLOOKUP(B50,Données!$A$3:$U$1479,11,FALSE)),0,VLOOKUP(B50,Données!$A$3:$U$1479,11,FALSE))</f>
        <v>0</v>
      </c>
      <c r="G50" s="74">
        <f t="shared" si="1"/>
        <v>4</v>
      </c>
      <c r="H50" s="363">
        <f>IF(ISERROR(VLOOKUP(B50,Données!$A$3:$U$1479,12,FALSE)),0,VLOOKUP(B50,Données!$A$3:$U$1479,12,FALSE))</f>
        <v>0</v>
      </c>
      <c r="I50" s="74">
        <f>IF(((E50+5)-'Calcul Masse Salariale'!$B$1)&lt;=0,0,(E50+5)-'Calcul Masse Salariale'!$B$1)</f>
        <v>4</v>
      </c>
      <c r="J50" s="123"/>
    </row>
    <row r="51" spans="1:10" ht="15.75" x14ac:dyDescent="0.25">
      <c r="A51" s="497"/>
      <c r="B51" s="75"/>
      <c r="C51" s="74" t="str">
        <f>IF(ISERROR(VLOOKUP(B51,Données!$A$3:$L$1479,5,FALSE)),"",VLOOKUP(B51,Données!$A$3:$L$1479,5,FALSE))</f>
        <v/>
      </c>
      <c r="D51" s="347" t="str">
        <f>IF(ISERROR(VLOOKUP(B51,Données!$A$3:$X$1479,23,FALSE)),"",VLOOKUP(B51,Données!$A$3:$X$1479,23,FALSE))</f>
        <v/>
      </c>
      <c r="E51" s="74"/>
      <c r="F51" s="358">
        <f>IF(ISERROR(VLOOKUP(B51,Données!$A$3:$U$1479,11,FALSE)),0,VLOOKUP(B51,Données!$A$3:$U$1479,11,FALSE))</f>
        <v>0</v>
      </c>
      <c r="G51" s="74">
        <f t="shared" si="1"/>
        <v>0</v>
      </c>
      <c r="H51" s="363">
        <f>IF(ISERROR(VLOOKUP(B51,Données!$A$3:$U$1479,12,FALSE)),0,VLOOKUP(B51,Données!$A$3:$U$1479,12,FALSE))</f>
        <v>0</v>
      </c>
      <c r="I51" s="74">
        <f>IF(((E51+5)-'Calcul Masse Salariale'!$B$1)&lt;=0,0,(E51+5)-'Calcul Masse Salariale'!$B$1)</f>
        <v>0</v>
      </c>
      <c r="J51" s="123"/>
    </row>
    <row r="52" spans="1:10" ht="15.75" x14ac:dyDescent="0.25">
      <c r="A52" s="497"/>
      <c r="B52" s="75"/>
      <c r="C52" s="74" t="str">
        <f>IF(ISERROR(VLOOKUP(B52,Données!$A$3:$L$1479,5,FALSE)),"",VLOOKUP(B52,Données!$A$3:$L$1479,5,FALSE))</f>
        <v/>
      </c>
      <c r="D52" s="347" t="str">
        <f>IF(ISERROR(VLOOKUP(B52,Données!$A$3:$X$1479,23,FALSE)),"",VLOOKUP(B52,Données!$A$3:$X$1479,23,FALSE))</f>
        <v/>
      </c>
      <c r="E52" s="74"/>
      <c r="F52" s="358">
        <f>IF(ISERROR(VLOOKUP(B52,Données!$A$3:$U$1479,11,FALSE)),0,VLOOKUP(B52,Données!$A$3:$U$1479,11,FALSE))</f>
        <v>0</v>
      </c>
      <c r="G52" s="74">
        <f t="shared" si="1"/>
        <v>0</v>
      </c>
      <c r="H52" s="363">
        <f>IF(ISERROR(VLOOKUP(B52,Données!$A$3:$U$1479,12,FALSE)),0,VLOOKUP(B52,Données!$A$3:$U$1479,12,FALSE))</f>
        <v>0</v>
      </c>
      <c r="I52" s="74">
        <f>IF(((E52+5)-'Calcul Masse Salariale'!$B$1)&lt;=0,0,(E52+5)-'Calcul Masse Salariale'!$B$1)</f>
        <v>0</v>
      </c>
      <c r="J52" s="123"/>
    </row>
    <row r="53" spans="1:10" ht="15.75" x14ac:dyDescent="0.25">
      <c r="A53" s="497"/>
      <c r="B53" s="70"/>
      <c r="C53" s="74" t="str">
        <f>IF(ISERROR(VLOOKUP(B53,Données!$A$3:$L$1479,5,FALSE)),"",VLOOKUP(B53,Données!$A$3:$L$1479,5,FALSE))</f>
        <v/>
      </c>
      <c r="D53" s="347" t="str">
        <f>IF(ISERROR(VLOOKUP(B53,Données!$A$3:$X$1479,23,FALSE)),"",VLOOKUP(B53,Données!$A$3:$X$1479,23,FALSE))</f>
        <v/>
      </c>
      <c r="E53" s="74"/>
      <c r="F53" s="358">
        <f>IF(ISERROR(VLOOKUP(B53,Données!$A$3:$U$1479,11,FALSE)),0,VLOOKUP(B53,Données!$A$3:$U$1479,11,FALSE))</f>
        <v>0</v>
      </c>
      <c r="G53" s="74">
        <f t="shared" si="1"/>
        <v>0</v>
      </c>
      <c r="H53" s="363">
        <f>IF(ISERROR(VLOOKUP(B53,Données!$A$3:$U$1479,12,FALSE)),0,VLOOKUP(B53,Données!$A$3:$U$1479,12,FALSE))</f>
        <v>0</v>
      </c>
      <c r="I53" s="74">
        <f>IF(((E53+5)-'Calcul Masse Salariale'!$B$1)&lt;=0,0,(E53+5)-'Calcul Masse Salariale'!$B$1)</f>
        <v>0</v>
      </c>
      <c r="J53" s="123"/>
    </row>
    <row r="54" spans="1:10" ht="15.75" x14ac:dyDescent="0.25">
      <c r="A54" s="497"/>
      <c r="B54" s="74"/>
      <c r="C54" s="74" t="str">
        <f>IF(ISERROR(VLOOKUP(B54,Données!$A$3:$L$1479,5,FALSE)),"",VLOOKUP(B54,Données!$A$3:$L$1479,5,FALSE))</f>
        <v/>
      </c>
      <c r="D54" s="347" t="str">
        <f>IF(ISERROR(VLOOKUP(B54,Données!$A$3:$X$1479,23,FALSE)),"",VLOOKUP(B54,Données!$A$3:$X$1479,23,FALSE))</f>
        <v/>
      </c>
      <c r="E54" s="74"/>
      <c r="F54" s="358">
        <f>IF(ISERROR(VLOOKUP(B54,Données!$A$3:$U$1479,11,FALSE)),0,VLOOKUP(B54,Données!$A$3:$U$1479,11,FALSE))</f>
        <v>0</v>
      </c>
      <c r="G54" s="74">
        <f t="shared" si="1"/>
        <v>0</v>
      </c>
      <c r="H54" s="363">
        <f>IF(ISERROR(VLOOKUP(B54,Données!$A$3:$U$1479,12,FALSE)),0,VLOOKUP(B54,Données!$A$3:$U$1479,12,FALSE))</f>
        <v>0</v>
      </c>
      <c r="I54" s="74">
        <f>IF(((E54+5)-'Calcul Masse Salariale'!$B$1)&lt;=0,0,(E54+5)-'Calcul Masse Salariale'!$B$1)</f>
        <v>0</v>
      </c>
      <c r="J54" s="123"/>
    </row>
    <row r="55" spans="1:10" ht="15.75" x14ac:dyDescent="0.25">
      <c r="A55" s="497"/>
      <c r="B55" s="74"/>
      <c r="C55" s="74" t="str">
        <f>IF(ISERROR(VLOOKUP(B55,Données!$A$3:$L$1479,5,FALSE)),"",VLOOKUP(B55,Données!$A$3:$L$1479,5,FALSE))</f>
        <v/>
      </c>
      <c r="D55" s="347" t="str">
        <f>IF(ISERROR(VLOOKUP(B55,Données!$A$3:$X$1479,23,FALSE)),"",VLOOKUP(B55,Données!$A$3:$X$1479,23,FALSE))</f>
        <v/>
      </c>
      <c r="E55" s="74"/>
      <c r="F55" s="358">
        <f>IF(ISERROR(VLOOKUP(B55,Données!$A$3:$U$1479,11,FALSE)),0,VLOOKUP(B55,Données!$A$3:$U$1479,11,FALSE))</f>
        <v>0</v>
      </c>
      <c r="G55" s="74">
        <f t="shared" si="1"/>
        <v>0</v>
      </c>
      <c r="H55" s="363">
        <f>IF(ISERROR(VLOOKUP(B55,Données!$A$3:$U$1479,12,FALSE)),0,VLOOKUP(B55,Données!$A$3:$U$1479,12,FALSE))</f>
        <v>0</v>
      </c>
      <c r="I55" s="74">
        <f>IF(((E55+5)-'Calcul Masse Salariale'!$B$1)&lt;=0,0,(E55+5)-'Calcul Masse Salariale'!$B$1)</f>
        <v>0</v>
      </c>
      <c r="J55" s="123"/>
    </row>
    <row r="56" spans="1:10" ht="15.75" x14ac:dyDescent="0.25">
      <c r="A56" s="497"/>
      <c r="B56" s="74"/>
      <c r="C56" s="74" t="str">
        <f>IF(ISERROR(VLOOKUP(B56,Données!$A$3:$L$1479,5,FALSE)),"",VLOOKUP(B56,Données!$A$3:$L$1479,5,FALSE))</f>
        <v/>
      </c>
      <c r="D56" s="347" t="str">
        <f>IF(ISERROR(VLOOKUP(B56,Données!$A$3:$X$1479,23,FALSE)),"",VLOOKUP(B56,Données!$A$3:$X$1479,23,FALSE))</f>
        <v/>
      </c>
      <c r="E56" s="74"/>
      <c r="F56" s="358">
        <f>IF(ISERROR(VLOOKUP(B56,Données!$A$3:$U$1479,11,FALSE)),0,VLOOKUP(B56,Données!$A$3:$U$1479,11,FALSE))</f>
        <v>0</v>
      </c>
      <c r="G56" s="74">
        <f t="shared" si="1"/>
        <v>0</v>
      </c>
      <c r="H56" s="363">
        <f>IF(ISERROR(VLOOKUP(B56,Données!$A$3:$U$1479,12,FALSE)),0,VLOOKUP(B56,Données!$A$3:$U$1479,12,FALSE))</f>
        <v>0</v>
      </c>
      <c r="I56" s="74">
        <f>IF(((E56+5)-'Calcul Masse Salariale'!$B$1)&lt;=0,0,(E56+5)-'Calcul Masse Salariale'!$B$1)</f>
        <v>0</v>
      </c>
      <c r="J56" s="123"/>
    </row>
    <row r="57" spans="1:10" ht="15.75" x14ac:dyDescent="0.25">
      <c r="A57" s="497"/>
      <c r="B57" s="74"/>
      <c r="C57" s="74" t="str">
        <f>IF(ISERROR(VLOOKUP(B57,Données!$A$3:$L$1479,5,FALSE)),"",VLOOKUP(B57,Données!$A$3:$L$1479,5,FALSE))</f>
        <v/>
      </c>
      <c r="D57" s="347" t="str">
        <f>IF(ISERROR(VLOOKUP(B57,Données!$A$3:$X$1479,23,FALSE)),"",VLOOKUP(B57,Données!$A$3:$X$1479,23,FALSE))</f>
        <v/>
      </c>
      <c r="E57" s="74"/>
      <c r="F57" s="358">
        <f>IF(ISERROR(VLOOKUP(B57,Données!$A$3:$U$1479,11,FALSE)),0,VLOOKUP(B57,Données!$A$3:$U$1479,11,FALSE))</f>
        <v>0</v>
      </c>
      <c r="G57" s="74">
        <f t="shared" si="1"/>
        <v>0</v>
      </c>
      <c r="H57" s="363">
        <f>IF(ISERROR(VLOOKUP(B57,Données!$A$3:$U$1479,12,FALSE)),0,VLOOKUP(B57,Données!$A$3:$U$1479,12,FALSE))</f>
        <v>0</v>
      </c>
      <c r="I57" s="74">
        <f>IF(((E57+5)-'Calcul Masse Salariale'!$B$1)&lt;=0,0,(E57+5)-'Calcul Masse Salariale'!$B$1)</f>
        <v>0</v>
      </c>
      <c r="J57" s="123"/>
    </row>
    <row r="58" spans="1:10" ht="15.75" x14ac:dyDescent="0.25">
      <c r="A58" s="497"/>
      <c r="B58" s="74"/>
      <c r="C58" s="74" t="str">
        <f>IF(ISERROR(VLOOKUP(B58,Données!$A$3:$L$1479,5,FALSE)),"",VLOOKUP(B58,Données!$A$3:$L$1479,5,FALSE))</f>
        <v/>
      </c>
      <c r="D58" s="347" t="str">
        <f>IF(ISERROR(VLOOKUP(B58,Données!$A$3:$X$1479,23,FALSE)),"",VLOOKUP(B58,Données!$A$3:$X$1479,23,FALSE))</f>
        <v/>
      </c>
      <c r="E58" s="74"/>
      <c r="F58" s="358">
        <f>IF(ISERROR(VLOOKUP(B58,Données!$A$3:$U$1479,11,FALSE)),0,VLOOKUP(B58,Données!$A$3:$U$1479,11,FALSE))</f>
        <v>0</v>
      </c>
      <c r="G58" s="74">
        <f t="shared" si="1"/>
        <v>0</v>
      </c>
      <c r="H58" s="363">
        <f>IF(ISERROR(VLOOKUP(B58,Données!$A$3:$U$1479,12,FALSE)),0,VLOOKUP(B58,Données!$A$3:$U$1479,12,FALSE))</f>
        <v>0</v>
      </c>
      <c r="I58" s="74">
        <f>IF(((E58+5)-'Calcul Masse Salariale'!$B$1)&lt;=0,0,(E58+5)-'Calcul Masse Salariale'!$B$1)</f>
        <v>0</v>
      </c>
      <c r="J58" s="123"/>
    </row>
    <row r="59" spans="1:10" ht="15.75" x14ac:dyDescent="0.25">
      <c r="A59" s="497"/>
      <c r="B59" s="74"/>
      <c r="C59" s="74" t="str">
        <f>IF(ISERROR(VLOOKUP(B59,Données!$A$3:$L$1479,5,FALSE)),"",VLOOKUP(B59,Données!$A$3:$L$1479,5,FALSE))</f>
        <v/>
      </c>
      <c r="D59" s="347" t="str">
        <f>IF(ISERROR(VLOOKUP(B59,Données!$A$3:$X$1479,23,FALSE)),"",VLOOKUP(B59,Données!$A$3:$X$1479,23,FALSE))</f>
        <v/>
      </c>
      <c r="E59" s="74"/>
      <c r="F59" s="358">
        <f>IF(ISERROR(VLOOKUP(B59,Données!$A$3:$U$1479,11,FALSE)),0,VLOOKUP(B59,Données!$A$3:$U$1479,11,FALSE))</f>
        <v>0</v>
      </c>
      <c r="G59" s="74">
        <f t="shared" si="1"/>
        <v>0</v>
      </c>
      <c r="H59" s="363">
        <f>IF(ISERROR(VLOOKUP(B59,Données!$A$3:$U$1479,12,FALSE)),0,VLOOKUP(B59,Données!$A$3:$U$1479,12,FALSE))</f>
        <v>0</v>
      </c>
      <c r="I59" s="74">
        <f>IF(((E59+5)-'Calcul Masse Salariale'!$B$1)&lt;=0,0,(E59+5)-'Calcul Masse Salariale'!$B$1)</f>
        <v>0</v>
      </c>
      <c r="J59" s="123"/>
    </row>
    <row r="60" spans="1:10" ht="15.75" x14ac:dyDescent="0.25">
      <c r="A60" s="497"/>
      <c r="B60" s="74"/>
      <c r="C60" s="74" t="str">
        <f>IF(ISERROR(VLOOKUP(B60,Données!$A$3:$L$1479,5,FALSE)),"",VLOOKUP(B60,Données!$A$3:$L$1479,5,FALSE))</f>
        <v/>
      </c>
      <c r="D60" s="347" t="str">
        <f>IF(ISERROR(VLOOKUP(B60,Données!$A$3:$X$1479,23,FALSE)),"",VLOOKUP(B60,Données!$A$3:$X$1479,23,FALSE))</f>
        <v/>
      </c>
      <c r="E60" s="74"/>
      <c r="F60" s="358">
        <f>IF(ISERROR(VLOOKUP(B60,Données!$A$3:$U$1479,11,FALSE)),0,VLOOKUP(B60,Données!$A$3:$U$1479,11,FALSE))</f>
        <v>0</v>
      </c>
      <c r="G60" s="74">
        <f t="shared" si="1"/>
        <v>0</v>
      </c>
      <c r="H60" s="363">
        <f>IF(ISERROR(VLOOKUP(B60,Données!$A$3:$U$1479,12,FALSE)),0,VLOOKUP(B60,Données!$A$3:$U$1479,12,FALSE))</f>
        <v>0</v>
      </c>
      <c r="I60" s="74">
        <f>IF(((E60+5)-'Calcul Masse Salariale'!$B$1)&lt;=0,0,(E60+5)-'Calcul Masse Salariale'!$B$1)</f>
        <v>0</v>
      </c>
      <c r="J60" s="123"/>
    </row>
    <row r="61" spans="1:10" ht="15.75" x14ac:dyDescent="0.25">
      <c r="A61" s="497"/>
      <c r="B61" s="74"/>
      <c r="C61" s="74" t="str">
        <f>IF(ISERROR(VLOOKUP(B61,Données!$A$3:$L$1479,5,FALSE)),"",VLOOKUP(B61,Données!$A$3:$L$1479,5,FALSE))</f>
        <v/>
      </c>
      <c r="D61" s="347" t="str">
        <f>IF(ISERROR(VLOOKUP(B61,Données!$A$3:$X$1479,23,FALSE)),"",VLOOKUP(B61,Données!$A$3:$X$1479,23,FALSE))</f>
        <v/>
      </c>
      <c r="E61" s="74"/>
      <c r="F61" s="358">
        <f>IF(ISERROR(VLOOKUP(B61,Données!$A$3:$U$1479,11,FALSE)),0,VLOOKUP(B61,Données!$A$3:$U$1479,11,FALSE))</f>
        <v>0</v>
      </c>
      <c r="G61" s="74">
        <f t="shared" si="1"/>
        <v>0</v>
      </c>
      <c r="H61" s="363">
        <f>IF(ISERROR(VLOOKUP(B61,Données!$A$3:$U$1479,12,FALSE)),0,VLOOKUP(B61,Données!$A$3:$U$1479,12,FALSE))</f>
        <v>0</v>
      </c>
      <c r="I61" s="74">
        <f>IF(((E61+5)-'Calcul Masse Salariale'!$B$1)&lt;=0,0,(E61+5)-'Calcul Masse Salariale'!$B$1)</f>
        <v>0</v>
      </c>
      <c r="J61" s="123"/>
    </row>
    <row r="62" spans="1:10" ht="15.75" x14ac:dyDescent="0.25">
      <c r="A62" s="497"/>
      <c r="B62" s="74"/>
      <c r="C62" s="74" t="str">
        <f>IF(ISERROR(VLOOKUP(B62,Données!$A$3:$L$1479,5,FALSE)),"",VLOOKUP(B62,Données!$A$3:$L$1479,5,FALSE))</f>
        <v/>
      </c>
      <c r="D62" s="347" t="str">
        <f>IF(ISERROR(VLOOKUP(B62,Données!$A$3:$X$1479,23,FALSE)),"",VLOOKUP(B62,Données!$A$3:$X$1479,23,FALSE))</f>
        <v/>
      </c>
      <c r="E62" s="74"/>
      <c r="F62" s="358">
        <f>IF(ISERROR(VLOOKUP(B62,Données!$A$3:$U$1479,11,FALSE)),0,VLOOKUP(B62,Données!$A$3:$U$1479,11,FALSE))</f>
        <v>0</v>
      </c>
      <c r="G62" s="74">
        <f t="shared" si="1"/>
        <v>0</v>
      </c>
      <c r="H62" s="363">
        <f>IF(ISERROR(VLOOKUP(B62,Données!$A$3:$U$1479,12,FALSE)),0,VLOOKUP(B62,Données!$A$3:$U$1479,12,FALSE))</f>
        <v>0</v>
      </c>
      <c r="I62" s="74">
        <f>IF(((E62+5)-'Calcul Masse Salariale'!$B$1)&lt;=0,0,(E62+5)-'Calcul Masse Salariale'!$B$1)</f>
        <v>0</v>
      </c>
      <c r="J62" s="123"/>
    </row>
    <row r="63" spans="1:10" ht="15.75" x14ac:dyDescent="0.25">
      <c r="A63" s="497"/>
      <c r="B63" s="74"/>
      <c r="C63" s="74" t="str">
        <f>IF(ISERROR(VLOOKUP(B63,Données!$A$3:$L$1479,5,FALSE)),"",VLOOKUP(B63,Données!$A$3:$L$1479,5,FALSE))</f>
        <v/>
      </c>
      <c r="D63" s="347" t="str">
        <f>IF(ISERROR(VLOOKUP(B63,Données!$A$3:$X$1479,23,FALSE)),"",VLOOKUP(B63,Données!$A$3:$X$1479,23,FALSE))</f>
        <v/>
      </c>
      <c r="E63" s="74"/>
      <c r="F63" s="358">
        <f>IF(ISERROR(VLOOKUP(B63,Données!$A$3:$U$1479,11,FALSE)),0,VLOOKUP(B63,Données!$A$3:$U$1479,11,FALSE))</f>
        <v>0</v>
      </c>
      <c r="G63" s="74">
        <f t="shared" si="1"/>
        <v>0</v>
      </c>
      <c r="H63" s="363">
        <f>IF(ISERROR(VLOOKUP(B63,Données!$A$3:$U$1479,12,FALSE)),0,VLOOKUP(B63,Données!$A$3:$U$1479,12,FALSE))</f>
        <v>0</v>
      </c>
      <c r="I63" s="74">
        <f>IF(((E63+5)-'Calcul Masse Salariale'!$B$1)&lt;=0,0,(E63+5)-'Calcul Masse Salariale'!$B$1)</f>
        <v>0</v>
      </c>
      <c r="J63" s="123"/>
    </row>
    <row r="64" spans="1:10" ht="15.75" x14ac:dyDescent="0.25">
      <c r="A64" s="497"/>
      <c r="B64" s="74"/>
      <c r="C64" s="74" t="str">
        <f>IF(ISERROR(VLOOKUP(B64,Données!$A$3:$L$1479,5,FALSE)),"",VLOOKUP(B64,Données!$A$3:$L$1479,5,FALSE))</f>
        <v/>
      </c>
      <c r="D64" s="347" t="str">
        <f>IF(ISERROR(VLOOKUP(B64,Données!$A$3:$X$1479,23,FALSE)),"",VLOOKUP(B64,Données!$A$3:$X$1479,23,FALSE))</f>
        <v/>
      </c>
      <c r="E64" s="74"/>
      <c r="F64" s="358">
        <f>IF(ISERROR(VLOOKUP(B64,Données!$A$3:$U$1479,11,FALSE)),0,VLOOKUP(B64,Données!$A$3:$U$1479,11,FALSE))</f>
        <v>0</v>
      </c>
      <c r="G64" s="74">
        <f t="shared" si="1"/>
        <v>0</v>
      </c>
      <c r="H64" s="363">
        <f>IF(ISERROR(VLOOKUP(B64,Données!$A$3:$U$1479,12,FALSE)),0,VLOOKUP(B64,Données!$A$3:$U$1479,12,FALSE))</f>
        <v>0</v>
      </c>
      <c r="I64" s="74">
        <f>IF(((E64+5)-'Calcul Masse Salariale'!$B$1)&lt;=0,0,(E64+5)-'Calcul Masse Salariale'!$B$1)</f>
        <v>0</v>
      </c>
      <c r="J64" s="123"/>
    </row>
    <row r="65" spans="1:10" ht="15.75" x14ac:dyDescent="0.25">
      <c r="A65" s="497"/>
      <c r="B65" s="74"/>
      <c r="C65" s="74" t="str">
        <f>IF(ISERROR(VLOOKUP(B65,Données!$A$3:$L$1479,5,FALSE)),"",VLOOKUP(B65,Données!$A$3:$L$1479,5,FALSE))</f>
        <v/>
      </c>
      <c r="D65" s="347" t="str">
        <f>IF(ISERROR(VLOOKUP(B65,Données!$A$3:$X$1479,23,FALSE)),"",VLOOKUP(B65,Données!$A$3:$X$1479,23,FALSE))</f>
        <v/>
      </c>
      <c r="E65" s="74"/>
      <c r="F65" s="358">
        <f>IF(ISERROR(VLOOKUP(B65,Données!$A$3:$U$1479,11,FALSE)),0,VLOOKUP(B65,Données!$A$3:$U$1479,11,FALSE))</f>
        <v>0</v>
      </c>
      <c r="G65" s="74">
        <f t="shared" si="1"/>
        <v>0</v>
      </c>
      <c r="H65" s="363">
        <f>IF(ISERROR(VLOOKUP(B65,Données!$A$3:$U$1479,12,FALSE)),0,VLOOKUP(B65,Données!$A$3:$U$1479,12,FALSE))</f>
        <v>0</v>
      </c>
      <c r="I65" s="74">
        <f>IF(((E65+5)-'Calcul Masse Salariale'!$B$1)&lt;=0,0,(E65+5)-'Calcul Masse Salariale'!$B$1)</f>
        <v>0</v>
      </c>
      <c r="J65" s="123"/>
    </row>
    <row r="66" spans="1:10" ht="15.75" x14ac:dyDescent="0.25">
      <c r="A66" s="497"/>
      <c r="B66" s="74"/>
      <c r="C66" s="74" t="str">
        <f>IF(ISERROR(VLOOKUP(B66,Données!$A$3:$L$1479,5,FALSE)),"",VLOOKUP(B66,Données!$A$3:$L$1479,5,FALSE))</f>
        <v/>
      </c>
      <c r="D66" s="347" t="str">
        <f>IF(ISERROR(VLOOKUP(B66,Données!$A$3:$X$1479,23,FALSE)),"",VLOOKUP(B66,Données!$A$3:$X$1479,23,FALSE))</f>
        <v/>
      </c>
      <c r="E66" s="74"/>
      <c r="F66" s="358">
        <f>IF(ISERROR(VLOOKUP(B66,Données!$A$3:$U$1479,11,FALSE)),0,VLOOKUP(B66,Données!$A$3:$U$1479,11,FALSE))</f>
        <v>0</v>
      </c>
      <c r="G66" s="74">
        <f t="shared" si="1"/>
        <v>0</v>
      </c>
      <c r="H66" s="363">
        <f>IF(ISERROR(VLOOKUP(B66,Données!$A$3:$U$1479,12,FALSE)),0,VLOOKUP(B66,Données!$A$3:$U$1479,12,FALSE))</f>
        <v>0</v>
      </c>
      <c r="I66" s="74">
        <f>IF(((E66+5)-'Calcul Masse Salariale'!$B$1)&lt;=0,0,(E66+5)-'Calcul Masse Salariale'!$B$1)</f>
        <v>0</v>
      </c>
      <c r="J66" s="123"/>
    </row>
    <row r="67" spans="1:10" ht="15.75" x14ac:dyDescent="0.25">
      <c r="A67" s="497"/>
      <c r="B67" s="74"/>
      <c r="C67" s="74" t="str">
        <f>IF(ISERROR(VLOOKUP(B67,Données!$A$3:$L$1479,5,FALSE)),"",VLOOKUP(B67,Données!$A$3:$L$1479,5,FALSE))</f>
        <v/>
      </c>
      <c r="D67" s="347" t="str">
        <f>IF(ISERROR(VLOOKUP(B67,Données!$A$3:$X$1479,23,FALSE)),"",VLOOKUP(B67,Données!$A$3:$X$1479,23,FALSE))</f>
        <v/>
      </c>
      <c r="E67" s="74"/>
      <c r="F67" s="358">
        <f>IF(ISERROR(VLOOKUP(B67,Données!$A$3:$U$1479,11,FALSE)),0,VLOOKUP(B67,Données!$A$3:$U$1479,11,FALSE))</f>
        <v>0</v>
      </c>
      <c r="G67" s="74">
        <f t="shared" si="1"/>
        <v>0</v>
      </c>
      <c r="H67" s="363">
        <f>IF(ISERROR(VLOOKUP(B67,Données!$A$3:$U$1479,12,FALSE)),0,VLOOKUP(B67,Données!$A$3:$U$1479,12,FALSE))</f>
        <v>0</v>
      </c>
      <c r="I67" s="74">
        <f>IF(((E67+5)-'Calcul Masse Salariale'!$B$1)&lt;=0,0,(E67+5)-'Calcul Masse Salariale'!$B$1)</f>
        <v>0</v>
      </c>
      <c r="J67" s="123"/>
    </row>
    <row r="68" spans="1:10" ht="15.75" x14ac:dyDescent="0.25">
      <c r="A68" s="497"/>
      <c r="B68" s="74"/>
      <c r="C68" s="74" t="str">
        <f>IF(ISERROR(VLOOKUP(B68,Données!$A$3:$L$1479,5,FALSE)),"",VLOOKUP(B68,Données!$A$3:$L$1479,5,FALSE))</f>
        <v/>
      </c>
      <c r="D68" s="347" t="str">
        <f>IF(ISERROR(VLOOKUP(B68,Données!$A$3:$X$1479,23,FALSE)),"",VLOOKUP(B68,Données!$A$3:$X$1479,23,FALSE))</f>
        <v/>
      </c>
      <c r="E68" s="74"/>
      <c r="F68" s="358">
        <f>IF(ISERROR(VLOOKUP(B68,Données!$A$3:$U$1479,11,FALSE)),0,VLOOKUP(B68,Données!$A$3:$U$1479,11,FALSE))</f>
        <v>0</v>
      </c>
      <c r="G68" s="74">
        <f t="shared" si="1"/>
        <v>0</v>
      </c>
      <c r="H68" s="363">
        <f>IF(ISERROR(VLOOKUP(B68,Données!$A$3:$U$1479,12,FALSE)),0,VLOOKUP(B68,Données!$A$3:$U$1479,12,FALSE))</f>
        <v>0</v>
      </c>
      <c r="I68" s="74">
        <f>IF(((E68+5)-'Calcul Masse Salariale'!$B$1)&lt;=0,0,(E68+5)-'Calcul Masse Salariale'!$B$1)</f>
        <v>0</v>
      </c>
      <c r="J68" s="123"/>
    </row>
    <row r="69" spans="1:10" ht="15.75" x14ac:dyDescent="0.25">
      <c r="A69" s="497"/>
      <c r="B69" s="74"/>
      <c r="C69" s="74" t="str">
        <f>IF(ISERROR(VLOOKUP(B69,Données!$A$3:$L$1479,5,FALSE)),"",VLOOKUP(B69,Données!$A$3:$L$1479,5,FALSE))</f>
        <v/>
      </c>
      <c r="D69" s="347" t="str">
        <f>IF(ISERROR(VLOOKUP(B69,Données!$A$3:$X$1479,23,FALSE)),"",VLOOKUP(B69,Données!$A$3:$X$1479,23,FALSE))</f>
        <v/>
      </c>
      <c r="E69" s="74"/>
      <c r="F69" s="358">
        <f>IF(ISERROR(VLOOKUP(B69,Données!$A$3:$U$1479,11,FALSE)),0,VLOOKUP(B69,Données!$A$3:$U$1479,11,FALSE))</f>
        <v>0</v>
      </c>
      <c r="G69" s="74">
        <f t="shared" si="1"/>
        <v>0</v>
      </c>
      <c r="H69" s="363">
        <f>IF(ISERROR(VLOOKUP(B69,Données!$A$3:$U$1479,12,FALSE)),0,VLOOKUP(B69,Données!$A$3:$U$1479,12,FALSE))</f>
        <v>0</v>
      </c>
      <c r="I69" s="74">
        <f>IF(((E69+5)-'Calcul Masse Salariale'!$B$1)&lt;=0,0,(E69+5)-'Calcul Masse Salariale'!$B$1)</f>
        <v>0</v>
      </c>
      <c r="J69" s="123"/>
    </row>
    <row r="70" spans="1:10" ht="15.75" x14ac:dyDescent="0.25">
      <c r="A70" s="497"/>
      <c r="B70" s="74"/>
      <c r="C70" s="74" t="str">
        <f>IF(ISERROR(VLOOKUP(B70,Données!$A$3:$L$1479,5,FALSE)),"",VLOOKUP(B70,Données!$A$3:$L$1479,5,FALSE))</f>
        <v/>
      </c>
      <c r="D70" s="347" t="str">
        <f>IF(ISERROR(VLOOKUP(B70,Données!$A$3:$X$1479,23,FALSE)),"",VLOOKUP(B70,Données!$A$3:$X$1479,23,FALSE))</f>
        <v/>
      </c>
      <c r="E70" s="74"/>
      <c r="F70" s="358">
        <f>IF(ISERROR(VLOOKUP(B70,Données!$A$3:$U$1479,11,FALSE)),0,VLOOKUP(B70,Données!$A$3:$U$1479,11,FALSE))</f>
        <v>0</v>
      </c>
      <c r="G70" s="74">
        <f t="shared" si="1"/>
        <v>0</v>
      </c>
      <c r="H70" s="363">
        <f>IF(ISERROR(VLOOKUP(B70,Données!$A$3:$U$1479,12,FALSE)),0,VLOOKUP(B70,Données!$A$3:$U$1479,12,FALSE))</f>
        <v>0</v>
      </c>
      <c r="I70" s="74">
        <f>IF(((E70+5)-'Calcul Masse Salariale'!$B$1)&lt;=0,0,(E70+5)-'Calcul Masse Salariale'!$B$1)</f>
        <v>0</v>
      </c>
      <c r="J70" s="123"/>
    </row>
    <row r="71" spans="1:10" ht="15.75" x14ac:dyDescent="0.25">
      <c r="A71" s="497"/>
      <c r="B71" s="74"/>
      <c r="C71" s="74" t="str">
        <f>IF(ISERROR(VLOOKUP(B71,Données!$A$3:$L$1479,5,FALSE)),"",VLOOKUP(B71,Données!$A$3:$L$1479,5,FALSE))</f>
        <v/>
      </c>
      <c r="D71" s="347" t="str">
        <f>IF(ISERROR(VLOOKUP(B71,Données!$A$3:$X$1479,23,FALSE)),"",VLOOKUP(B71,Données!$A$3:$X$1479,23,FALSE))</f>
        <v/>
      </c>
      <c r="E71" s="74"/>
      <c r="F71" s="358">
        <f>IF(ISERROR(VLOOKUP(B71,Données!$A$3:$U$1479,11,FALSE)),0,VLOOKUP(B71,Données!$A$3:$U$1479,11,FALSE))</f>
        <v>0</v>
      </c>
      <c r="G71" s="74">
        <f t="shared" si="1"/>
        <v>0</v>
      </c>
      <c r="H71" s="363">
        <f>IF(ISERROR(VLOOKUP(B71,Données!$A$3:$U$1479,12,FALSE)),0,VLOOKUP(B71,Données!$A$3:$U$1479,12,FALSE))</f>
        <v>0</v>
      </c>
      <c r="I71" s="74">
        <f>IF(((E71+5)-'Calcul Masse Salariale'!$B$1)&lt;=0,0,(E71+5)-'Calcul Masse Salariale'!$B$1)</f>
        <v>0</v>
      </c>
      <c r="J71" s="123"/>
    </row>
    <row r="72" spans="1:10" ht="15.75" x14ac:dyDescent="0.25">
      <c r="A72" s="497"/>
      <c r="B72" s="74"/>
      <c r="C72" s="74" t="str">
        <f>IF(ISERROR(VLOOKUP(B72,Données!$A$3:$L$1479,5,FALSE)),"",VLOOKUP(B72,Données!$A$3:$L$1479,5,FALSE))</f>
        <v/>
      </c>
      <c r="D72" s="347" t="str">
        <f>IF(ISERROR(VLOOKUP(B72,Données!$A$3:$X$1479,23,FALSE)),"",VLOOKUP(B72,Données!$A$3:$X$1479,23,FALSE))</f>
        <v/>
      </c>
      <c r="E72" s="74"/>
      <c r="F72" s="358">
        <f>IF(ISERROR(VLOOKUP(B72,Données!$A$3:$U$1479,11,FALSE)),0,VLOOKUP(B72,Données!$A$3:$U$1479,11,FALSE))</f>
        <v>0</v>
      </c>
      <c r="G72" s="74">
        <f t="shared" si="1"/>
        <v>0</v>
      </c>
      <c r="H72" s="363">
        <f>IF(ISERROR(VLOOKUP(B72,Données!$A$3:$U$1479,12,FALSE)),0,VLOOKUP(B72,Données!$A$3:$U$1479,12,FALSE))</f>
        <v>0</v>
      </c>
      <c r="I72" s="74">
        <f>IF(((E72+5)-'Calcul Masse Salariale'!$B$1)&lt;=0,0,(E72+5)-'Calcul Masse Salariale'!$B$1)</f>
        <v>0</v>
      </c>
      <c r="J72" s="123"/>
    </row>
    <row r="73" spans="1:10" ht="15.75" x14ac:dyDescent="0.25">
      <c r="A73" s="497"/>
      <c r="B73" s="74"/>
      <c r="C73" s="74" t="str">
        <f>IF(ISERROR(VLOOKUP(B73,Données!$A$3:$L$1479,5,FALSE)),"",VLOOKUP(B73,Données!$A$3:$L$1479,5,FALSE))</f>
        <v/>
      </c>
      <c r="D73" s="347" t="str">
        <f>IF(ISERROR(VLOOKUP(B73,Données!$A$3:$X$1479,23,FALSE)),"",VLOOKUP(B73,Données!$A$3:$X$1479,23,FALSE))</f>
        <v/>
      </c>
      <c r="E73" s="74"/>
      <c r="F73" s="358">
        <f>IF(ISERROR(VLOOKUP(B73,Données!$A$3:$U$1479,11,FALSE)),0,VLOOKUP(B73,Données!$A$3:$U$1479,11,FALSE))</f>
        <v>0</v>
      </c>
      <c r="G73" s="74">
        <f t="shared" si="1"/>
        <v>0</v>
      </c>
      <c r="H73" s="363">
        <f>IF(ISERROR(VLOOKUP(B73,Données!$A$3:$U$1479,12,FALSE)),0,VLOOKUP(B73,Données!$A$3:$U$1479,12,FALSE))</f>
        <v>0</v>
      </c>
      <c r="I73" s="74">
        <f>IF(((E73+5)-'Calcul Masse Salariale'!$B$1)&lt;=0,0,(E73+5)-'Calcul Masse Salariale'!$B$1)</f>
        <v>0</v>
      </c>
    </row>
    <row r="74" spans="1:10" x14ac:dyDescent="0.25">
      <c r="B74" s="74"/>
      <c r="C74" s="74" t="str">
        <f>IF(ISERROR(VLOOKUP(B74,Données!$E$3:$L$1479,2,FALSE)),"",VLOOKUP(B74,Données!$E$3:$L$1479,2,FALSE))</f>
        <v/>
      </c>
      <c r="D74" s="74" t="str">
        <f>IF(ISERROR(VLOOKUP(B74,Données!$E$3:$X$1479,17,FALSE)),"",VLOOKUP(B74,Données!$E$3:$X$1479,17,FALSE))</f>
        <v/>
      </c>
      <c r="E74" s="74"/>
      <c r="F74" s="358">
        <f>IF(ISERROR(VLOOKUP(B74,Données!$A$3:$U$1479,11,FALSE)),0,VLOOKUP(B74,Données!$A$3:$U$1479,11,FALSE))</f>
        <v>0</v>
      </c>
      <c r="G74" s="401">
        <f>IF(ISERROR(VLOOKUP(#REF!,Données!$A$3:$U$1479,20,FALSE)),0,VLOOKUP(#REF!,Données!$A$3:$U$1479,20,FALSE))</f>
        <v>0</v>
      </c>
      <c r="H74" s="74">
        <f>IF(((E74+5)-'Calcul Masse Salariale'!$B$1)&lt;=0,0,(E74+5)-'Calcul Masse Salariale'!$B$1)</f>
        <v>0</v>
      </c>
      <c r="I74" s="74">
        <f t="shared" ref="I74" si="2">H74</f>
        <v>0</v>
      </c>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10">
      <iconSet iconSet="3Symbols" showValue="0" reverse="1">
        <cfvo type="percent" val="0"/>
        <cfvo type="num" val="0.5" gte="0"/>
        <cfvo type="num" val="1"/>
      </iconSet>
    </cfRule>
  </conditionalFormatting>
  <conditionalFormatting sqref="H3:H30">
    <cfRule type="expression" dxfId="28" priority="6">
      <formula>(F3&lt;&gt;H3)</formula>
    </cfRule>
  </conditionalFormatting>
  <conditionalFormatting sqref="I74 G54:G73">
    <cfRule type="iconSet" priority="4">
      <iconSet iconSet="3Flags" showValue="0">
        <cfvo type="percent" val="0"/>
        <cfvo type="num" val="1"/>
        <cfvo type="num" val="2"/>
      </iconSet>
    </cfRule>
  </conditionalFormatting>
  <conditionalFormatting sqref="G35">
    <cfRule type="iconSet" priority="3">
      <iconSet iconSet="3Symbols" showValue="0" reverse="1">
        <cfvo type="percent" val="0"/>
        <cfvo type="num" val="0.5" gte="0"/>
        <cfvo type="num" val="1"/>
      </iconSet>
    </cfRule>
  </conditionalFormatting>
  <conditionalFormatting sqref="G39:G53">
    <cfRule type="iconSet" priority="61">
      <iconSet iconSet="3Flags" showValue="0">
        <cfvo type="percent" val="0"/>
        <cfvo type="num" val="1"/>
        <cfvo type="num" val="2"/>
      </iconSet>
    </cfRule>
  </conditionalFormatting>
  <conditionalFormatting sqref="H39:H73">
    <cfRule type="expression" dxfId="27" priority="1">
      <formula>(F39&lt;&gt;H39)</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9" id="{2DEA68DA-CB8F-48B6-BDA0-883C6AFFFBEB}">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E067EB1C-07BB-44A1-8C06-893FA2D8781A}">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T74"/>
  <sheetViews>
    <sheetView zoomScale="85" zoomScaleNormal="85" workbookViewId="0">
      <selection activeCell="C58" sqref="C58"/>
    </sheetView>
  </sheetViews>
  <sheetFormatPr baseColWidth="10" defaultColWidth="11.42578125" defaultRowHeight="15" x14ac:dyDescent="0.25"/>
  <cols>
    <col min="1" max="1" width="12.42578125" style="60" customWidth="1"/>
    <col min="2" max="2" width="24.7109375" style="60" customWidth="1"/>
    <col min="3" max="3" width="9.28515625" style="74" bestFit="1" customWidth="1"/>
    <col min="4" max="4" width="6.28515625" style="74" bestFit="1" customWidth="1"/>
    <col min="5" max="5" width="13.140625" style="60" bestFit="1" customWidth="1"/>
    <col min="6" max="6" width="25.28515625" style="60" bestFit="1" customWidth="1"/>
    <col min="7" max="7" width="15.42578125" style="85" bestFit="1" customWidth="1"/>
    <col min="8" max="8" width="23.7109375" style="60" bestFit="1" customWidth="1"/>
    <col min="9" max="9" width="11.28515625" style="60" customWidth="1"/>
    <col min="10" max="10" width="2" style="60" customWidth="1"/>
    <col min="11" max="11" width="12.5703125" style="60" bestFit="1" customWidth="1"/>
    <col min="12" max="12" width="25.140625" style="60" customWidth="1"/>
    <col min="13" max="13" width="2" style="59" customWidth="1"/>
    <col min="14" max="14" width="13.7109375" style="60" customWidth="1"/>
    <col min="15" max="15" width="19.28515625" style="60" bestFit="1" customWidth="1"/>
    <col min="16" max="16" width="24.42578125" style="60" bestFit="1" customWidth="1"/>
    <col min="17" max="18" width="10.5703125" style="60" bestFit="1" customWidth="1"/>
    <col min="19" max="16384" width="11.42578125" style="60"/>
  </cols>
  <sheetData>
    <row r="1" spans="1:20" ht="21.75" thickBot="1" x14ac:dyDescent="0.4">
      <c r="A1" s="538" t="s">
        <v>41</v>
      </c>
      <c r="B1" s="538"/>
      <c r="C1" s="538"/>
      <c r="D1" s="341"/>
      <c r="E1" s="57" t="s">
        <v>187</v>
      </c>
      <c r="F1" s="305">
        <f>SUM(F3:F30)</f>
        <v>0</v>
      </c>
      <c r="G1" s="57" t="s">
        <v>188</v>
      </c>
      <c r="H1" s="305">
        <f>F32</f>
        <v>102000000</v>
      </c>
      <c r="I1" s="58"/>
      <c r="J1" s="59"/>
      <c r="K1" s="61" t="s">
        <v>59</v>
      </c>
      <c r="L1" s="61"/>
      <c r="N1" s="59"/>
      <c r="O1" s="543" t="s">
        <v>45</v>
      </c>
      <c r="P1" s="543"/>
      <c r="Q1" s="543"/>
      <c r="R1" s="543"/>
      <c r="S1" s="86"/>
    </row>
    <row r="2" spans="1:20" ht="30" x14ac:dyDescent="0.25">
      <c r="A2" s="530" t="s">
        <v>38</v>
      </c>
      <c r="B2" s="62" t="s">
        <v>36</v>
      </c>
      <c r="C2" s="62" t="s">
        <v>52</v>
      </c>
      <c r="D2" s="62" t="s">
        <v>403</v>
      </c>
      <c r="E2" s="62" t="s">
        <v>5</v>
      </c>
      <c r="F2" s="63" t="s">
        <v>1155</v>
      </c>
      <c r="G2" s="64" t="s">
        <v>189</v>
      </c>
      <c r="H2" s="65" t="s">
        <v>2676</v>
      </c>
      <c r="I2" s="51" t="s">
        <v>2403</v>
      </c>
      <c r="J2" s="59"/>
      <c r="N2" s="68" t="s">
        <v>112</v>
      </c>
      <c r="O2" s="381" t="s">
        <v>108</v>
      </c>
      <c r="P2" s="389" t="s">
        <v>109</v>
      </c>
      <c r="Q2" s="66" t="s">
        <v>46</v>
      </c>
      <c r="R2" s="66" t="s">
        <v>55</v>
      </c>
    </row>
    <row r="3" spans="1:20" ht="15.75" x14ac:dyDescent="0.25">
      <c r="A3" s="530"/>
      <c r="B3" s="209" t="s">
        <v>322</v>
      </c>
      <c r="C3" s="70" t="str">
        <f>IF(ISERROR(VLOOKUP(B3,Données!$A$3:$L$1479,5,FALSE)),"",VLOOKUP(B3,Données!$A$3:$L$1479,5,FALSE))</f>
        <v/>
      </c>
      <c r="D3" s="347" t="str">
        <f>IF(ISERROR(VLOOKUP(B3,Données!$A$3:$X$1479,23,FALSE)),"",VLOOKUP(B3,Données!$A$3:$X$1479,23,FALSE))</f>
        <v/>
      </c>
      <c r="E3" s="70" t="str">
        <f>IF(ISERROR(VLOOKUP(B3,Données!$A$3:$L$1479,7,FALSE)),"",VLOOKUP(B3,Données!$A$3:$L$1479,7,FALSE))</f>
        <v/>
      </c>
      <c r="F3" s="71">
        <f>IF(ISERROR(VLOOKUP(B3,Données!$A$3:$U$1479,11,FALSE)),0,VLOOKUP(B3,Données!$A$3:$U$1479,11,FALSE))</f>
        <v>0</v>
      </c>
      <c r="G3" s="72">
        <f>VALUE(COUNTIF(Validation!$A$2:$H$64,B3))-1</f>
        <v>0</v>
      </c>
      <c r="H3" s="363">
        <f>IF(ISERROR(VLOOKUP(B3,Données!$A$3:$U$1479,12,FALSE)),0,VLOOKUP(B3,Données!$A$3:$U$1479,12,FALSE))</f>
        <v>0</v>
      </c>
      <c r="I3" s="73">
        <f>IF(ISERROR(VLOOKUP(B3,Données!$A$3:$U$1479,20,FALSE)),0,VLOOKUP(B3,Données!$A$3:$U$1479,20,FALSE))</f>
        <v>0</v>
      </c>
      <c r="J3" s="59"/>
      <c r="O3" s="41"/>
      <c r="P3" s="41"/>
      <c r="Q3" s="484"/>
      <c r="R3" s="484" t="str">
        <f>IF(Q3="","",Q3+7)</f>
        <v/>
      </c>
    </row>
    <row r="4" spans="1:20" ht="15.75" x14ac:dyDescent="0.25">
      <c r="A4" s="530"/>
      <c r="B4" s="274" t="s">
        <v>323</v>
      </c>
      <c r="C4" s="70" t="str">
        <f>IF(ISERROR(VLOOKUP(B4,Données!$A$3:$L$1479,5,FALSE)),"",VLOOKUP(B4,Données!$A$3:$L$1479,5,FALSE))</f>
        <v/>
      </c>
      <c r="D4" s="347" t="str">
        <f>IF(ISERROR(VLOOKUP(B4,Données!$A$3:$X$1479,23,FALSE)),"",VLOOKUP(B4,Données!$A$3:$X$1479,23,FALSE))</f>
        <v/>
      </c>
      <c r="E4" s="70" t="str">
        <f>IF(ISERROR(VLOOKUP(B4,Données!$A$3:$L$1479,7,FALSE)),"",VLOOKUP(B4,Données!$A$3:$L$1479,7,FALSE))</f>
        <v/>
      </c>
      <c r="F4" s="71">
        <f>IF(ISERROR(VLOOKUP(B4,Données!$A$3:$U$1479,11,FALSE)),0,VLOOKUP(B4,Données!$A$3:$U$1479,11,FALSE))</f>
        <v>0</v>
      </c>
      <c r="G4" s="72">
        <f>VALUE(COUNTIF(Validation!$A$2:$H$64,B4))-1</f>
        <v>0</v>
      </c>
      <c r="H4" s="363">
        <f>IF(ISERROR(VLOOKUP(B4,Données!$A$3:$U$1479,12,FALSE)),0,VLOOKUP(B4,Données!$A$3:$U$1479,12,FALSE))</f>
        <v>0</v>
      </c>
      <c r="I4" s="73">
        <f>IF(ISERROR(VLOOKUP(B4,Données!$A$3:$U$1479,20,FALSE)),0,VLOOKUP(B4,Données!$A$3:$U$1479,20,FALSE))</f>
        <v>0</v>
      </c>
      <c r="J4" s="59"/>
      <c r="N4" s="41"/>
      <c r="O4" s="41"/>
      <c r="P4" s="41"/>
      <c r="R4" s="484" t="str">
        <f t="shared" ref="R4:R30" si="0">IF(Q4="","",Q4+7)</f>
        <v/>
      </c>
    </row>
    <row r="5" spans="1:20" ht="15.75" x14ac:dyDescent="0.25">
      <c r="A5" s="530"/>
      <c r="B5" s="274" t="s">
        <v>324</v>
      </c>
      <c r="C5" s="70" t="str">
        <f>IF(ISERROR(VLOOKUP(B5,Données!$A$3:$L$1479,5,FALSE)),"",VLOOKUP(B5,Données!$A$3:$L$1479,5,FALSE))</f>
        <v/>
      </c>
      <c r="D5" s="347" t="str">
        <f>IF(ISERROR(VLOOKUP(B5,Données!$A$3:$X$1479,23,FALSE)),"",VLOOKUP(B5,Données!$A$3:$X$1479,23,FALSE))</f>
        <v/>
      </c>
      <c r="E5" s="70" t="str">
        <f>IF(ISERROR(VLOOKUP(B5,Données!$A$3:$L$1479,7,FALSE)),"",VLOOKUP(B5,Données!$A$3:$L$1479,7,FALSE))</f>
        <v/>
      </c>
      <c r="F5" s="71">
        <f>IF(ISERROR(VLOOKUP(B5,Données!$A$3:$U$1479,11,FALSE)),0,VLOOKUP(B5,Données!$A$3:$U$1479,11,FALSE))</f>
        <v>0</v>
      </c>
      <c r="G5" s="72">
        <f>VALUE(COUNTIF(Validation!$A$2:$H$64,B5))-1</f>
        <v>0</v>
      </c>
      <c r="H5" s="363">
        <f>IF(ISERROR(VLOOKUP(B5,Données!$A$3:$U$1479,12,FALSE)),0,VLOOKUP(B5,Données!$A$3:$U$1479,12,FALSE))</f>
        <v>0</v>
      </c>
      <c r="I5" s="73">
        <f>IF(ISERROR(VLOOKUP(B5,Données!$A$3:$U$1479,20,FALSE)),0,VLOOKUP(B5,Données!$A$3:$U$1479,20,FALSE))</f>
        <v>0</v>
      </c>
      <c r="J5" s="59"/>
      <c r="O5" s="41"/>
      <c r="P5" s="41"/>
      <c r="R5" s="484" t="str">
        <f t="shared" si="0"/>
        <v/>
      </c>
    </row>
    <row r="6" spans="1:20" ht="15.75" x14ac:dyDescent="0.25">
      <c r="A6" s="530"/>
      <c r="B6" s="209" t="s">
        <v>325</v>
      </c>
      <c r="C6" s="75" t="str">
        <f>IF(ISERROR(VLOOKUP(B6,Données!$A$3:$L$1479,5,FALSE)),"",VLOOKUP(B6,Données!$A$3:$L$1479,5,FALSE))</f>
        <v/>
      </c>
      <c r="D6" s="348" t="str">
        <f>IF(ISERROR(VLOOKUP(B6,Données!$A$3:$X$1479,23,FALSE)),"",VLOOKUP(B6,Données!$A$3:$X$1479,23,FALSE))</f>
        <v/>
      </c>
      <c r="E6" s="70" t="str">
        <f>IF(ISERROR(VLOOKUP(B6,Données!$A$3:$L$1479,7,FALSE)),"",VLOOKUP(B6,Données!$A$3:$L$1479,7,FALSE))</f>
        <v/>
      </c>
      <c r="F6" s="71">
        <f>IF(ISERROR(VLOOKUP(B6,Données!$A$3:$U$1479,11,FALSE)),0,VLOOKUP(B6,Données!$A$3:$U$1479,11,FALSE))</f>
        <v>0</v>
      </c>
      <c r="G6" s="72">
        <f>VALUE(COUNTIF(Validation!$A$2:$H$64,B6))-1</f>
        <v>0</v>
      </c>
      <c r="H6" s="363">
        <f>IF(ISERROR(VLOOKUP(B6,Données!$A$3:$U$1479,12,FALSE)),0,VLOOKUP(B6,Données!$A$3:$U$1479,12,FALSE))</f>
        <v>0</v>
      </c>
      <c r="I6" s="73">
        <f>IF(ISERROR(VLOOKUP(B6,Données!$A$3:$U$1479,20,FALSE)),0,VLOOKUP(B6,Données!$A$3:$U$1479,20,FALSE))</f>
        <v>0</v>
      </c>
      <c r="J6" s="59"/>
      <c r="P6" s="41"/>
      <c r="R6" s="484" t="str">
        <f t="shared" si="0"/>
        <v/>
      </c>
    </row>
    <row r="7" spans="1:20" ht="15.75" x14ac:dyDescent="0.25">
      <c r="A7" s="530"/>
      <c r="B7" s="209" t="s">
        <v>326</v>
      </c>
      <c r="C7" s="75" t="str">
        <f>IF(ISERROR(VLOOKUP(B7,Données!$A$3:$L$1479,5,FALSE)),"",VLOOKUP(B7,Données!$A$3:$L$1479,5,FALSE))</f>
        <v/>
      </c>
      <c r="D7" s="348" t="str">
        <f>IF(ISERROR(VLOOKUP(B7,Données!$A$3:$X$1479,23,FALSE)),"",VLOOKUP(B7,Données!$A$3:$X$1479,23,FALSE))</f>
        <v/>
      </c>
      <c r="E7" s="70" t="str">
        <f>IF(ISERROR(VLOOKUP(B7,Données!$A$3:$L$1479,7,FALSE)),"",VLOOKUP(B7,Données!$A$3:$L$1479,7,FALSE))</f>
        <v/>
      </c>
      <c r="F7" s="71">
        <f>IF(ISERROR(VLOOKUP(B7,Données!$A$3:$U$1479,11,FALSE)),0,VLOOKUP(B7,Données!$A$3:$U$1479,11,FALSE))</f>
        <v>0</v>
      </c>
      <c r="G7" s="72">
        <f>VALUE(COUNTIF(Validation!$A$2:$H$64,B7))-1</f>
        <v>0</v>
      </c>
      <c r="H7" s="363">
        <f>IF(ISERROR(VLOOKUP(B7,Données!$A$3:$U$1479,12,FALSE)),0,VLOOKUP(B7,Données!$A$3:$U$1479,12,FALSE))</f>
        <v>0</v>
      </c>
      <c r="I7" s="73">
        <f>IF(ISERROR(VLOOKUP(B7,Données!$A$3:$U$1479,20,FALSE)),0,VLOOKUP(B7,Données!$A$3:$U$1479,20,FALSE))</f>
        <v>0</v>
      </c>
      <c r="J7" s="59"/>
      <c r="N7" s="397"/>
      <c r="Q7" s="397"/>
      <c r="R7" s="484" t="str">
        <f t="shared" si="0"/>
        <v/>
      </c>
      <c r="S7" s="397"/>
      <c r="T7" s="397"/>
    </row>
    <row r="8" spans="1:20" ht="15.75" x14ac:dyDescent="0.25">
      <c r="A8" s="530"/>
      <c r="B8" s="209" t="s">
        <v>327</v>
      </c>
      <c r="C8" s="75" t="str">
        <f>IF(ISERROR(VLOOKUP(B8,Données!$A$3:$L$1479,5,FALSE)),"",VLOOKUP(B8,Données!$A$3:$L$1479,5,FALSE))</f>
        <v/>
      </c>
      <c r="D8" s="348" t="str">
        <f>IF(ISERROR(VLOOKUP(B8,Données!$A$3:$X$1479,23,FALSE)),"",VLOOKUP(B8,Données!$A$3:$X$1479,23,FALSE))</f>
        <v/>
      </c>
      <c r="E8" s="70" t="str">
        <f>IF(ISERROR(VLOOKUP(B8,Données!$A$3:$L$1479,7,FALSE)),"",VLOOKUP(B8,Données!$A$3:$L$1479,7,FALSE))</f>
        <v/>
      </c>
      <c r="F8" s="71">
        <f>IF(ISERROR(VLOOKUP(B8,Données!$A$3:$U$1479,11,FALSE)),0,VLOOKUP(B8,Données!$A$3:$U$1479,11,FALSE))</f>
        <v>0</v>
      </c>
      <c r="G8" s="72">
        <f>VALUE(COUNTIF(Validation!$A$2:$H$64,B8))-1</f>
        <v>0</v>
      </c>
      <c r="H8" s="363">
        <f>IF(ISERROR(VLOOKUP(B8,Données!$A$3:$U$1479,12,FALSE)),0,VLOOKUP(B8,Données!$A$3:$U$1479,12,FALSE))</f>
        <v>0</v>
      </c>
      <c r="I8" s="73">
        <f>IF(ISERROR(VLOOKUP(B8,Données!$A$3:$U$1479,20,FALSE)),0,VLOOKUP(B8,Données!$A$3:$U$1479,20,FALSE))</f>
        <v>0</v>
      </c>
      <c r="J8" s="59"/>
      <c r="R8" s="484" t="str">
        <f t="shared" si="0"/>
        <v/>
      </c>
    </row>
    <row r="9" spans="1:20" ht="15.75" x14ac:dyDescent="0.25">
      <c r="A9" s="530"/>
      <c r="B9" s="209" t="s">
        <v>328</v>
      </c>
      <c r="C9" s="75" t="str">
        <f>IF(ISERROR(VLOOKUP(B9,Données!$A$3:$L$1479,5,FALSE)),"",VLOOKUP(B9,Données!$A$3:$L$1479,5,FALSE))</f>
        <v/>
      </c>
      <c r="D9" s="348" t="str">
        <f>IF(ISERROR(VLOOKUP(B9,Données!$A$3:$X$1479,23,FALSE)),"",VLOOKUP(B9,Données!$A$3:$X$1479,23,FALSE))</f>
        <v/>
      </c>
      <c r="E9" s="70" t="str">
        <f>IF(ISERROR(VLOOKUP(B9,Données!$A$3:$L$1479,7,FALSE)),"",VLOOKUP(B9,Données!$A$3:$L$1479,7,FALSE))</f>
        <v/>
      </c>
      <c r="F9" s="71">
        <f>IF(ISERROR(VLOOKUP(B9,Données!$A$3:$U$1479,11,FALSE)),0,VLOOKUP(B9,Données!$A$3:$U$1479,11,FALSE))</f>
        <v>0</v>
      </c>
      <c r="G9" s="72">
        <f>VALUE(COUNTIF(Validation!$A$2:$H$64,B9))-1</f>
        <v>0</v>
      </c>
      <c r="H9" s="363">
        <f>IF(ISERROR(VLOOKUP(B9,Données!$A$3:$U$1479,12,FALSE)),0,VLOOKUP(B9,Données!$A$3:$U$1479,12,FALSE))</f>
        <v>0</v>
      </c>
      <c r="I9" s="73">
        <f>IF(ISERROR(VLOOKUP(B9,Données!$A$3:$U$1479,20,FALSE)),0,VLOOKUP(B9,Données!$A$3:$U$1479,20,FALSE))</f>
        <v>0</v>
      </c>
      <c r="J9" s="59"/>
      <c r="K9" s="532" t="s">
        <v>60</v>
      </c>
      <c r="L9" s="532"/>
      <c r="R9" s="484" t="str">
        <f t="shared" si="0"/>
        <v/>
      </c>
    </row>
    <row r="10" spans="1:20" ht="15.75" x14ac:dyDescent="0.25">
      <c r="A10" s="530"/>
      <c r="B10" s="209" t="s">
        <v>341</v>
      </c>
      <c r="C10" s="75" t="str">
        <f>IF(ISERROR(VLOOKUP(B10,Données!$A$3:$L$1479,5,FALSE)),"",VLOOKUP(B10,Données!$A$3:$L$1479,5,FALSE))</f>
        <v/>
      </c>
      <c r="D10" s="348" t="str">
        <f>IF(ISERROR(VLOOKUP(B10,Données!$A$3:$X$1479,23,FALSE)),"",VLOOKUP(B10,Données!$A$3:$X$1479,23,FALSE))</f>
        <v/>
      </c>
      <c r="E10" s="70" t="str">
        <f>IF(ISERROR(VLOOKUP(B10,Données!$A$3:$L$1479,7,FALSE)),"",VLOOKUP(B10,Données!$A$3:$L$1479,7,FALSE))</f>
        <v/>
      </c>
      <c r="F10" s="71">
        <f>IF(ISERROR(VLOOKUP(B10,Données!$A$3:$U$1479,11,FALSE)),0,VLOOKUP(B10,Données!$A$3:$U$1479,11,FALSE))</f>
        <v>0</v>
      </c>
      <c r="G10" s="72">
        <f>VALUE(COUNTIF(Validation!$A$2:$H$64,B10))-1</f>
        <v>0</v>
      </c>
      <c r="H10" s="363">
        <f>IF(ISERROR(VLOOKUP(B10,Données!$A$3:$U$1479,12,FALSE)),0,VLOOKUP(B10,Données!$A$3:$U$1479,12,FALSE))</f>
        <v>0</v>
      </c>
      <c r="I10" s="73">
        <f>IF(ISERROR(VLOOKUP(B10,Données!$A$3:$U$1479,20,FALSE)),0,VLOOKUP(B10,Données!$A$3:$U$1479,20,FALSE))</f>
        <v>0</v>
      </c>
      <c r="J10" s="59"/>
      <c r="K10" s="66" t="s">
        <v>62</v>
      </c>
      <c r="L10" s="66" t="s">
        <v>61</v>
      </c>
      <c r="R10" s="484" t="str">
        <f t="shared" si="0"/>
        <v/>
      </c>
    </row>
    <row r="11" spans="1:20" ht="15.75" x14ac:dyDescent="0.25">
      <c r="A11" s="530"/>
      <c r="B11" s="209" t="s">
        <v>2675</v>
      </c>
      <c r="C11" s="75" t="str">
        <f>IF(ISERROR(VLOOKUP(B11,Données!$A$3:$L$1479,5,FALSE)),"",VLOOKUP(B11,Données!$A$3:$L$1479,5,FALSE))</f>
        <v/>
      </c>
      <c r="D11" s="348" t="str">
        <f>IF(ISERROR(VLOOKUP(B11,Données!$A$3:$X$1479,23,FALSE)),"",VLOOKUP(B11,Données!$A$3:$X$1479,23,FALSE))</f>
        <v/>
      </c>
      <c r="E11" s="70" t="str">
        <f>IF(ISERROR(VLOOKUP(B11,Données!$A$3:$L$1479,7,FALSE)),"",VLOOKUP(B11,Données!$A$3:$L$1479,7,FALSE))</f>
        <v/>
      </c>
      <c r="F11" s="71">
        <f>IF(ISERROR(VLOOKUP(B11,Données!$A$3:$U$1479,11,FALSE)),0,VLOOKUP(B11,Données!$A$3:$U$1479,11,FALSE))</f>
        <v>0</v>
      </c>
      <c r="G11" s="72">
        <f>VALUE(COUNTIF(Validation!$A$2:$H$64,B11))-1</f>
        <v>0</v>
      </c>
      <c r="H11" s="363">
        <f>IF(ISERROR(VLOOKUP(B11,Données!$A$3:$U$1479,12,FALSE)),0,VLOOKUP(B11,Données!$A$3:$U$1479,12,FALSE))</f>
        <v>0</v>
      </c>
      <c r="I11" s="73">
        <f>IF(ISERROR(VLOOKUP(B11,Données!$A$3:$U$1479,20,FALSE)),0,VLOOKUP(B11,Données!$A$3:$U$1479,20,FALSE))</f>
        <v>0</v>
      </c>
      <c r="J11" s="59"/>
      <c r="K11" s="41" t="s">
        <v>191</v>
      </c>
      <c r="L11" s="41" t="s">
        <v>1341</v>
      </c>
      <c r="R11" s="484" t="str">
        <f t="shared" si="0"/>
        <v/>
      </c>
    </row>
    <row r="12" spans="1:20" ht="15.75" x14ac:dyDescent="0.25">
      <c r="A12" s="530"/>
      <c r="B12" s="209" t="s">
        <v>330</v>
      </c>
      <c r="C12" s="75" t="str">
        <f>IF(ISERROR(VLOOKUP(B12,Données!$A$3:$L$1479,5,FALSE)),"",VLOOKUP(B12,Données!$A$3:$L$1479,5,FALSE))</f>
        <v/>
      </c>
      <c r="D12" s="348" t="str">
        <f>IF(ISERROR(VLOOKUP(B12,Données!$A$3:$X$1479,23,FALSE)),"",VLOOKUP(B12,Données!$A$3:$X$1479,23,FALSE))</f>
        <v/>
      </c>
      <c r="E12" s="70" t="str">
        <f>IF(ISERROR(VLOOKUP(B12,Données!$A$3:$L$1479,7,FALSE)),"",VLOOKUP(B12,Données!$A$3:$L$1479,7,FALSE))</f>
        <v/>
      </c>
      <c r="F12" s="71">
        <f>IF(ISERROR(VLOOKUP(B12,Données!$A$3:$U$1479,11,FALSE)),0,VLOOKUP(B12,Données!$A$3:$U$1479,11,FALSE))</f>
        <v>0</v>
      </c>
      <c r="G12" s="72">
        <f>VALUE(COUNTIF(Validation!$A$2:$H$64,B12))-1</f>
        <v>0</v>
      </c>
      <c r="H12" s="363">
        <f>IF(ISERROR(VLOOKUP(B12,Données!$A$3:$U$1479,12,FALSE)),0,VLOOKUP(B12,Données!$A$3:$U$1479,12,FALSE))</f>
        <v>0</v>
      </c>
      <c r="I12" s="73">
        <f>IF(ISERROR(VLOOKUP(B12,Données!$A$3:$U$1479,20,FALSE)),0,VLOOKUP(B12,Données!$A$3:$U$1479,20,FALSE))</f>
        <v>0</v>
      </c>
      <c r="J12" s="59"/>
      <c r="K12" s="41" t="s">
        <v>193</v>
      </c>
      <c r="L12" s="60" t="s">
        <v>1341</v>
      </c>
      <c r="R12" s="484" t="str">
        <f t="shared" si="0"/>
        <v/>
      </c>
    </row>
    <row r="13" spans="1:20" ht="15.75" x14ac:dyDescent="0.25">
      <c r="A13" s="530"/>
      <c r="B13" s="209" t="s">
        <v>299</v>
      </c>
      <c r="C13" s="75" t="str">
        <f>IF(ISERROR(VLOOKUP(B13,Données!$A$3:$L$1479,5,FALSE)),"",VLOOKUP(B13,Données!$A$3:$L$1479,5,FALSE))</f>
        <v/>
      </c>
      <c r="D13" s="348" t="str">
        <f>IF(ISERROR(VLOOKUP(B13,Données!$A$3:$X$1479,23,FALSE)),"",VLOOKUP(B13,Données!$A$3:$X$1479,23,FALSE))</f>
        <v/>
      </c>
      <c r="E13" s="70" t="str">
        <f>IF(ISERROR(VLOOKUP(B13,Données!$A$3:$L$1479,7,FALSE)),"",VLOOKUP(B13,Données!$A$3:$L$1479,7,FALSE))</f>
        <v/>
      </c>
      <c r="F13" s="71">
        <f>IF(ISERROR(VLOOKUP(B13,Données!$A$3:$U$1479,11,FALSE)),0,VLOOKUP(B13,Données!$A$3:$U$1479,11,FALSE))</f>
        <v>0</v>
      </c>
      <c r="G13" s="72">
        <f>VALUE(COUNTIF(Validation!$A$2:$H$64,B13))-1</f>
        <v>0</v>
      </c>
      <c r="H13" s="363">
        <f>IF(ISERROR(VLOOKUP(B13,Données!$A$3:$U$1479,12,FALSE)),0,VLOOKUP(B13,Données!$A$3:$U$1479,12,FALSE))</f>
        <v>0</v>
      </c>
      <c r="I13" s="73">
        <f>IF(ISERROR(VLOOKUP(B13,Données!$A$3:$U$1479,20,FALSE)),0,VLOOKUP(B13,Données!$A$3:$U$1479,20,FALSE))</f>
        <v>0</v>
      </c>
      <c r="J13" s="59"/>
      <c r="K13" s="41" t="s">
        <v>194</v>
      </c>
      <c r="L13" s="60" t="s">
        <v>1341</v>
      </c>
      <c r="R13" s="484" t="str">
        <f t="shared" si="0"/>
        <v/>
      </c>
    </row>
    <row r="14" spans="1:20" ht="15.75" x14ac:dyDescent="0.25">
      <c r="A14" s="531"/>
      <c r="B14" s="278" t="s">
        <v>332</v>
      </c>
      <c r="C14" s="76" t="str">
        <f>IF(ISERROR(VLOOKUP(B14,Données!$A$3:$L$1479,5,FALSE)),"",VLOOKUP(B14,Données!$A$3:$L$1479,5,FALSE))</f>
        <v/>
      </c>
      <c r="D14" s="349" t="str">
        <f>IF(ISERROR(VLOOKUP(B14,Données!$A$3:$X$1479,23,FALSE)),"",VLOOKUP(B14,Données!$A$3:$X$1479,23,FALSE))</f>
        <v/>
      </c>
      <c r="E14" s="76" t="str">
        <f>IF(ISERROR(VLOOKUP(B14,Données!$A$3:$L$1479,7,FALSE)),"",VLOOKUP(B14,Données!$A$3:$L$1479,7,FALSE))</f>
        <v/>
      </c>
      <c r="F14" s="77">
        <f>IF(ISERROR(VLOOKUP(B14,Données!$A$3:$U$1479,11,FALSE)),0,VLOOKUP(B14,Données!$A$3:$U$1479,11,FALSE))</f>
        <v>0</v>
      </c>
      <c r="G14" s="78">
        <f>VALUE(COUNTIF(Validation!$A$2:$H$64,B14))-1</f>
        <v>0</v>
      </c>
      <c r="H14" s="364">
        <f>IF(ISERROR(VLOOKUP(B14,Données!$A$3:$U$1479,12,FALSE)),0,VLOOKUP(B14,Données!$A$3:$U$1479,12,FALSE))</f>
        <v>0</v>
      </c>
      <c r="I14" s="79">
        <f>IF(ISERROR(VLOOKUP(B14,Données!$A$3:$U$1479,20,FALSE)),0,VLOOKUP(B14,Données!$A$3:$U$1479,20,FALSE))</f>
        <v>0</v>
      </c>
      <c r="J14" s="59"/>
      <c r="R14" s="484" t="str">
        <f t="shared" si="0"/>
        <v/>
      </c>
    </row>
    <row r="15" spans="1:20" ht="15.75" x14ac:dyDescent="0.25">
      <c r="A15" s="533" t="s">
        <v>39</v>
      </c>
      <c r="B15" s="276" t="s">
        <v>333</v>
      </c>
      <c r="C15" s="80" t="str">
        <f>IF(ISERROR(VLOOKUP(B15,Données!$A$3:$L$1479,5,FALSE)),"",VLOOKUP(B15,Données!$A$3:$L$1479,5,FALSE))</f>
        <v/>
      </c>
      <c r="D15" s="350" t="str">
        <f>IF(ISERROR(VLOOKUP(B15,Données!$A$3:$X$1479,23,FALSE)),"",VLOOKUP(B15,Données!$A$3:$X$1479,23,FALSE))</f>
        <v/>
      </c>
      <c r="E15" s="80" t="str">
        <f>IF(ISERROR(VLOOKUP(B15,Données!$A$3:$L$1479,7,FALSE)),"",VLOOKUP(B15,Données!$A$3:$L$1479,7,FALSE))</f>
        <v/>
      </c>
      <c r="F15" s="81">
        <f>IF(ISERROR(VLOOKUP(B15,Données!$A$3:$U$1479,11,FALSE)),0,VLOOKUP(B15,Données!$A$3:$U$1479,11,FALSE))</f>
        <v>0</v>
      </c>
      <c r="G15" s="72">
        <f>VALUE(COUNTIF(Validation!$A$2:$H$64,B15))-1</f>
        <v>0</v>
      </c>
      <c r="H15" s="363">
        <f>IF(ISERROR(VLOOKUP(B15,Données!$A$3:$U$1479,12,FALSE)),0,VLOOKUP(B15,Données!$A$3:$U$1479,12,FALSE))</f>
        <v>0</v>
      </c>
      <c r="I15" s="73">
        <f>IF(ISERROR(VLOOKUP(B15,Données!$A$3:$U$1479,20,FALSE)),0,VLOOKUP(B15,Données!$A$3:$U$1479,20,FALSE))</f>
        <v>0</v>
      </c>
      <c r="J15" s="59"/>
      <c r="R15" s="484" t="str">
        <f t="shared" si="0"/>
        <v/>
      </c>
    </row>
    <row r="16" spans="1:20" ht="15.75" x14ac:dyDescent="0.25">
      <c r="A16" s="534"/>
      <c r="B16" s="209" t="s">
        <v>339</v>
      </c>
      <c r="C16" s="70" t="str">
        <f>IF(ISERROR(VLOOKUP(B16,Données!$A$3:$L$1479,5,FALSE)),"",VLOOKUP(B16,Données!$A$3:$L$1479,5,FALSE))</f>
        <v/>
      </c>
      <c r="D16" s="347" t="str">
        <f>IF(ISERROR(VLOOKUP(B16,Données!$A$3:$X$1479,23,FALSE)),"",VLOOKUP(B16,Données!$A$3:$X$1479,23,FALSE))</f>
        <v/>
      </c>
      <c r="E16" s="70" t="str">
        <f>IF(ISERROR(VLOOKUP(B16,Données!$A$3:$L$1479,7,FALSE)),"",VLOOKUP(B16,Données!$A$3:$L$1479,7,FALSE))</f>
        <v/>
      </c>
      <c r="F16" s="71">
        <f>IF(ISERROR(VLOOKUP(B16,Données!$A$3:$U$1479,11,FALSE)),0,VLOOKUP(B16,Données!$A$3:$U$1479,11,FALSE))</f>
        <v>0</v>
      </c>
      <c r="G16" s="72">
        <f>VALUE(COUNTIF(Validation!$A$2:$H$64,B16))-1</f>
        <v>0</v>
      </c>
      <c r="H16" s="363">
        <f>IF(ISERROR(VLOOKUP(B16,Données!$A$3:$U$1479,12,FALSE)),0,VLOOKUP(B16,Données!$A$3:$U$1479,12,FALSE))</f>
        <v>0</v>
      </c>
      <c r="I16" s="73">
        <f>IF(ISERROR(VLOOKUP(B16,Données!$A$3:$U$1479,20,FALSE)),0,VLOOKUP(B16,Données!$A$3:$U$1479,20,FALSE))</f>
        <v>0</v>
      </c>
      <c r="J16" s="59"/>
      <c r="R16" s="484" t="str">
        <f t="shared" si="0"/>
        <v/>
      </c>
    </row>
    <row r="17" spans="1:18" ht="15.75" x14ac:dyDescent="0.25">
      <c r="A17" s="534"/>
      <c r="B17" s="209" t="s">
        <v>334</v>
      </c>
      <c r="C17" s="70" t="str">
        <f>IF(ISERROR(VLOOKUP(B17,Données!$A$3:$L$1479,5,FALSE)),"",VLOOKUP(B17,Données!$A$3:$L$1479,5,FALSE))</f>
        <v/>
      </c>
      <c r="D17" s="347" t="str">
        <f>IF(ISERROR(VLOOKUP(B17,Données!$A$3:$X$1479,23,FALSE)),"",VLOOKUP(B17,Données!$A$3:$X$1479,23,FALSE))</f>
        <v/>
      </c>
      <c r="E17" s="70" t="str">
        <f>IF(ISERROR(VLOOKUP(B17,Données!$A$3:$L$1479,7,FALSE)),"",VLOOKUP(B17,Données!$A$3:$L$1479,7,FALSE))</f>
        <v/>
      </c>
      <c r="F17" s="71">
        <f>IF(ISERROR(VLOOKUP(B17,Données!$A$3:$U$1479,11,FALSE)),0,VLOOKUP(B17,Données!$A$3:$U$1479,11,FALSE))</f>
        <v>0</v>
      </c>
      <c r="G17" s="72">
        <f>VALUE(COUNTIF(Validation!$A$2:$H$64,B17))-1</f>
        <v>0</v>
      </c>
      <c r="H17" s="363">
        <f>IF(ISERROR(VLOOKUP(B17,Données!$A$3:$U$1479,12,FALSE)),0,VLOOKUP(B17,Données!$A$3:$U$1479,12,FALSE))</f>
        <v>0</v>
      </c>
      <c r="I17" s="73">
        <f>IF(ISERROR(VLOOKUP(B17,Données!$A$3:$U$1479,20,FALSE)),0,VLOOKUP(B17,Données!$A$3:$U$1479,20,FALSE))</f>
        <v>0</v>
      </c>
      <c r="J17" s="59"/>
      <c r="R17" s="484" t="str">
        <f t="shared" si="0"/>
        <v/>
      </c>
    </row>
    <row r="18" spans="1:18" ht="15.75" x14ac:dyDescent="0.25">
      <c r="A18" s="534"/>
      <c r="B18" s="209" t="s">
        <v>335</v>
      </c>
      <c r="C18" s="75" t="str">
        <f>IF(ISERROR(VLOOKUP(B18,Données!$A$3:$L$1479,5,FALSE)),"",VLOOKUP(B18,Données!$A$3:$L$1479,5,FALSE))</f>
        <v/>
      </c>
      <c r="D18" s="348" t="str">
        <f>IF(ISERROR(VLOOKUP(B18,Données!$A$3:$X$1479,23,FALSE)),"",VLOOKUP(B18,Données!$A$3:$X$1479,23,FALSE))</f>
        <v/>
      </c>
      <c r="E18" s="70" t="str">
        <f>IF(ISERROR(VLOOKUP(B18,Données!$A$3:$L$1479,7,FALSE)),"",VLOOKUP(B18,Données!$A$3:$L$1479,7,FALSE))</f>
        <v/>
      </c>
      <c r="F18" s="71">
        <f>IF(ISERROR(VLOOKUP(B18,Données!$A$3:$U$1479,11,FALSE)),0,VLOOKUP(B18,Données!$A$3:$U$1479,11,FALSE))</f>
        <v>0</v>
      </c>
      <c r="G18" s="72">
        <f>VALUE(COUNTIF(Validation!$A$2:$H$64,B18))-1</f>
        <v>0</v>
      </c>
      <c r="H18" s="363">
        <f>IF(ISERROR(VLOOKUP(B18,Données!$A$3:$U$1479,12,FALSE)),0,VLOOKUP(B18,Données!$A$3:$U$1479,12,FALSE))</f>
        <v>0</v>
      </c>
      <c r="I18" s="73">
        <f>IF(ISERROR(VLOOKUP(B18,Données!$A$3:$U$1479,20,FALSE)),0,VLOOKUP(B18,Données!$A$3:$U$1479,20,FALSE))</f>
        <v>0</v>
      </c>
      <c r="J18" s="82"/>
      <c r="R18" s="484" t="str">
        <f t="shared" si="0"/>
        <v/>
      </c>
    </row>
    <row r="19" spans="1:18" ht="15.75" x14ac:dyDescent="0.25">
      <c r="A19" s="534"/>
      <c r="B19" s="209" t="s">
        <v>734</v>
      </c>
      <c r="C19" s="75" t="str">
        <f>IF(ISERROR(VLOOKUP(B19,Données!$A$3:$L$1479,5,FALSE)),"",VLOOKUP(B19,Données!$A$3:$L$1479,5,FALSE))</f>
        <v/>
      </c>
      <c r="D19" s="348" t="str">
        <f>IF(ISERROR(VLOOKUP(B19,Données!$A$3:$X$1479,23,FALSE)),"",VLOOKUP(B19,Données!$A$3:$X$1479,23,FALSE))</f>
        <v/>
      </c>
      <c r="E19" s="70" t="str">
        <f>IF(ISERROR(VLOOKUP(B19,Données!$A$3:$L$1479,7,FALSE)),"",VLOOKUP(B19,Données!$A$3:$L$1479,7,FALSE))</f>
        <v/>
      </c>
      <c r="F19" s="71">
        <f>IF(ISERROR(VLOOKUP(B19,Données!$A$3:$U$1479,11,FALSE)),0,VLOOKUP(B19,Données!$A$3:$U$1479,11,FALSE))</f>
        <v>0</v>
      </c>
      <c r="G19" s="72">
        <f>VALUE(COUNTIF(Validation!$A$2:$H$64,B19))-1</f>
        <v>0</v>
      </c>
      <c r="H19" s="363">
        <f>IF(ISERROR(VLOOKUP(B19,Données!$A$3:$U$1479,12,FALSE)),0,VLOOKUP(B19,Données!$A$3:$U$1479,12,FALSE))</f>
        <v>0</v>
      </c>
      <c r="I19" s="73">
        <f>IF(ISERROR(VLOOKUP(B19,Données!$A$3:$U$1479,20,FALSE)),0,VLOOKUP(B19,Données!$A$3:$U$1479,20,FALSE))</f>
        <v>0</v>
      </c>
      <c r="J19" s="82"/>
      <c r="R19" s="484" t="str">
        <f t="shared" si="0"/>
        <v/>
      </c>
    </row>
    <row r="20" spans="1:18" ht="15.75" x14ac:dyDescent="0.25">
      <c r="A20" s="535"/>
      <c r="B20" s="277" t="s">
        <v>559</v>
      </c>
      <c r="C20" s="76" t="str">
        <f>IF(ISERROR(VLOOKUP(B20,Données!$A$3:$L$1479,5,FALSE)),"",VLOOKUP(B20,Données!$A$3:$L$1479,5,FALSE))</f>
        <v/>
      </c>
      <c r="D20" s="349" t="str">
        <f>IF(ISERROR(VLOOKUP(B20,Données!$A$3:$X$1479,23,FALSE)),"",VLOOKUP(B20,Données!$A$3:$X$1479,23,FALSE))</f>
        <v/>
      </c>
      <c r="E20" s="76" t="str">
        <f>IF(ISERROR(VLOOKUP(B20,Données!$A$3:$L$1479,7,FALSE)),"",VLOOKUP(B20,Données!$A$3:$L$1479,7,FALSE))</f>
        <v/>
      </c>
      <c r="F20" s="77">
        <f>IF(ISERROR(VLOOKUP(B20,Données!$A$3:$U$1479,11,FALSE)),0,VLOOKUP(B20,Données!$A$3:$U$1479,11,FALSE))</f>
        <v>0</v>
      </c>
      <c r="G20" s="78">
        <f>VALUE(COUNTIF(Validation!$A$2:$H$64,B20))-1</f>
        <v>0</v>
      </c>
      <c r="H20" s="364">
        <f>IF(ISERROR(VLOOKUP(B20,Données!$A$3:$U$1479,12,FALSE)),0,VLOOKUP(B20,Données!$A$3:$U$1479,12,FALSE))</f>
        <v>0</v>
      </c>
      <c r="I20" s="79">
        <f>IF(ISERROR(VLOOKUP(B20,Données!$A$3:$U$1479,20,FALSE)),0,VLOOKUP(B20,Données!$A$3:$U$1479,20,FALSE))</f>
        <v>0</v>
      </c>
      <c r="J20" s="82"/>
      <c r="R20" s="484" t="str">
        <f t="shared" si="0"/>
        <v/>
      </c>
    </row>
    <row r="21" spans="1:18" ht="20.25" customHeight="1" x14ac:dyDescent="0.25">
      <c r="A21" s="536" t="s">
        <v>40</v>
      </c>
      <c r="B21" s="274" t="s">
        <v>1069</v>
      </c>
      <c r="C21" s="70" t="str">
        <f>IF(ISERROR(VLOOKUP(B21,Données!$A$3:$L$1479,5,FALSE)),"",VLOOKUP(B21,Données!$A$3:$L$1479,5,FALSE))</f>
        <v/>
      </c>
      <c r="D21" s="347" t="str">
        <f>IF(ISERROR(VLOOKUP(B21,Données!$A$3:$X$1479,23,FALSE)),"",VLOOKUP(B21,Données!$A$3:$X$1479,23,FALSE))</f>
        <v/>
      </c>
      <c r="E21" s="70" t="str">
        <f>IF(ISERROR(VLOOKUP(B21,Données!$A$3:$L$1479,7,FALSE)),"",VLOOKUP(B21,Données!$A$3:$L$1479,7,FALSE))</f>
        <v/>
      </c>
      <c r="F21" s="71">
        <f>IF(ISERROR(VLOOKUP(B21,Données!$A$3:$U$1479,11,FALSE)),0,VLOOKUP(B21,Données!$A$3:$U$1479,11,FALSE))</f>
        <v>0</v>
      </c>
      <c r="G21" s="72">
        <f>VALUE(COUNTIF(Validation!$A$2:$H$64,B21))-1</f>
        <v>0</v>
      </c>
      <c r="H21" s="363">
        <f>IF(ISERROR(VLOOKUP(B21,Données!$A$3:$U$1479,12,FALSE)),0,VLOOKUP(B21,Données!$A$3:$U$1479,12,FALSE))</f>
        <v>0</v>
      </c>
      <c r="I21" s="73">
        <f>IF(ISERROR(VLOOKUP(B21,Données!$A$3:$U$1479,20,FALSE)),0,VLOOKUP(B21,Données!$A$3:$U$1479,20,FALSE))</f>
        <v>0</v>
      </c>
      <c r="J21" s="59"/>
      <c r="R21" s="484" t="str">
        <f t="shared" si="0"/>
        <v/>
      </c>
    </row>
    <row r="22" spans="1:18" ht="15.75" customHeight="1" x14ac:dyDescent="0.25">
      <c r="A22" s="537"/>
      <c r="B22" s="277" t="s">
        <v>337</v>
      </c>
      <c r="C22" s="76" t="str">
        <f>IF(ISERROR(VLOOKUP(B22,Données!$A$3:$L$1479,5,FALSE)),"",VLOOKUP(B22,Données!$A$3:$L$1479,5,FALSE))</f>
        <v/>
      </c>
      <c r="D22" s="349" t="str">
        <f>IF(ISERROR(VLOOKUP(B22,Données!$A$3:$X$1479,23,FALSE)),"",VLOOKUP(B22,Données!$A$3:$X$1479,23,FALSE))</f>
        <v/>
      </c>
      <c r="E22" s="76" t="str">
        <f>IF(ISERROR(VLOOKUP(B22,Données!$A$3:$L$1479,7,FALSE)),"",VLOOKUP(B22,Données!$A$3:$L$1479,7,FALSE))</f>
        <v/>
      </c>
      <c r="F22" s="77">
        <f>IF(ISERROR(VLOOKUP(B22,Données!$A$3:$U$1479,11,FALSE)),0,VLOOKUP(B22,Données!$A$3:$U$1479,11,FALSE))</f>
        <v>0</v>
      </c>
      <c r="G22" s="78">
        <f>VALUE(COUNTIF(Validation!$A$2:$H$64,B22))-1</f>
        <v>0</v>
      </c>
      <c r="H22" s="364">
        <f>IF(ISERROR(VLOOKUP(B22,Données!$A$3:$U$1479,12,FALSE)),0,VLOOKUP(B22,Données!$A$3:$U$1479,12,FALSE))</f>
        <v>0</v>
      </c>
      <c r="I22" s="79">
        <f>IF(ISERROR(VLOOKUP(B22,Données!$A$3:$U$1479,20,FALSE)),0,VLOOKUP(B22,Données!$A$3:$U$1479,20,FALSE))</f>
        <v>0</v>
      </c>
      <c r="J22" s="59"/>
      <c r="R22" s="484" t="str">
        <f t="shared" si="0"/>
        <v/>
      </c>
    </row>
    <row r="23" spans="1:18" ht="15.75" customHeight="1" x14ac:dyDescent="0.25">
      <c r="A23" s="539" t="s">
        <v>42</v>
      </c>
      <c r="B23" s="209" t="s">
        <v>338</v>
      </c>
      <c r="C23" s="70" t="str">
        <f>IF(ISERROR(VLOOKUP(B23,Données!$A$3:$L$1479,5,FALSE)),"",VLOOKUP(B23,Données!$A$3:$L$1479,5,FALSE))</f>
        <v/>
      </c>
      <c r="D23" s="347" t="str">
        <f>IF(ISERROR(VLOOKUP(B23,Données!$A$3:$X$1479,23,FALSE)),"",VLOOKUP(B23,Données!$A$3:$X$1479,23,FALSE))</f>
        <v/>
      </c>
      <c r="E23" s="70" t="str">
        <f>IF(ISERROR(VLOOKUP(B23,Données!$A$3:$L$1479,7,FALSE)),"",VLOOKUP(B23,Données!$A$3:$L$1479,7,FALSE))</f>
        <v/>
      </c>
      <c r="F23" s="71">
        <f>IF(ISERROR(VLOOKUP(B23,Données!$A$3:$U$1479,11,FALSE)),0,VLOOKUP(B23,Données!$A$3:$U$1479,11,FALSE))</f>
        <v>0</v>
      </c>
      <c r="G23" s="72">
        <f>VALUE(COUNTIF(Validation!$A$2:$H$64,B23))-1</f>
        <v>0</v>
      </c>
      <c r="H23" s="363">
        <f>IF(ISERROR(VLOOKUP(B23,Données!$A$3:$U$1479,12,FALSE)),0,VLOOKUP(B23,Données!$A$3:$U$1479,12,FALSE))</f>
        <v>0</v>
      </c>
      <c r="I23" s="73">
        <f>IF(ISERROR(VLOOKUP(B23,Données!$A$3:$U$1479,20,FALSE)),0,VLOOKUP(B23,Données!$A$3:$U$1479,20,FALSE))</f>
        <v>0</v>
      </c>
      <c r="J23" s="59"/>
      <c r="R23" s="484" t="str">
        <f t="shared" si="0"/>
        <v/>
      </c>
    </row>
    <row r="24" spans="1:18" ht="15.75" customHeight="1" x14ac:dyDescent="0.25">
      <c r="A24" s="540"/>
      <c r="B24" s="209" t="s">
        <v>342</v>
      </c>
      <c r="C24" s="70" t="str">
        <f>IF(ISERROR(VLOOKUP(B24,Données!$A$3:$L$1479,5,FALSE)),"",VLOOKUP(B24,Données!$A$3:$L$1479,5,FALSE))</f>
        <v/>
      </c>
      <c r="D24" s="347" t="str">
        <f>IF(ISERROR(VLOOKUP(B24,Données!$A$3:$X$1479,23,FALSE)),"",VLOOKUP(B24,Données!$A$3:$X$1479,23,FALSE))</f>
        <v/>
      </c>
      <c r="E24" s="70" t="str">
        <f>IF(ISERROR(VLOOKUP(B24,Données!$A$3:$L$1479,7,FALSE)),"",VLOOKUP(B24,Données!$A$3:$L$1479,7,FALSE))</f>
        <v/>
      </c>
      <c r="F24" s="71">
        <f>IF(ISERROR(VLOOKUP(B24,Données!$A$3:$U$1479,11,FALSE)),0,VLOOKUP(B24,Données!$A$3:$U$1479,11,FALSE))</f>
        <v>0</v>
      </c>
      <c r="G24" s="72">
        <f>VALUE(COUNTIF(Validation!$A$2:$H$64,B24))-1</f>
        <v>0</v>
      </c>
      <c r="H24" s="363">
        <f>IF(ISERROR(VLOOKUP(B24,Données!$A$3:$U$1479,12,FALSE)),0,VLOOKUP(B24,Données!$A$3:$U$1479,12,FALSE))</f>
        <v>0</v>
      </c>
      <c r="I24" s="73">
        <f>IF(ISERROR(VLOOKUP(B24,Données!$A$3:$U$1479,20,FALSE)),0,VLOOKUP(B24,Données!$A$3:$U$1479,20,FALSE))</f>
        <v>0</v>
      </c>
      <c r="J24" s="59"/>
      <c r="R24" s="484" t="str">
        <f t="shared" si="0"/>
        <v/>
      </c>
    </row>
    <row r="25" spans="1:18" ht="15.75" customHeight="1" x14ac:dyDescent="0.25">
      <c r="A25" s="540"/>
      <c r="B25" s="209" t="s">
        <v>340</v>
      </c>
      <c r="C25" s="70" t="str">
        <f>IF(ISERROR(VLOOKUP(B25,Données!$A$3:$L$1479,5,FALSE)),"",VLOOKUP(B25,Données!$A$3:$L$1479,5,FALSE))</f>
        <v/>
      </c>
      <c r="D25" s="347" t="str">
        <f>IF(ISERROR(VLOOKUP(B25,Données!$A$3:$X$1479,23,FALSE)),"",VLOOKUP(B25,Données!$A$3:$X$1479,23,FALSE))</f>
        <v/>
      </c>
      <c r="E25" s="70" t="str">
        <f>IF(ISERROR(VLOOKUP(B25,Données!$A$3:$L$1479,7,FALSE)),"",VLOOKUP(B25,Données!$A$3:$L$1479,7,FALSE))</f>
        <v/>
      </c>
      <c r="F25" s="71">
        <f>IF(ISERROR(VLOOKUP(B25,Données!$A$3:$U$1479,11,FALSE)),0,VLOOKUP(B25,Données!$A$3:$U$1479,11,FALSE))</f>
        <v>0</v>
      </c>
      <c r="G25" s="72">
        <f>VALUE(COUNTIF(Validation!$A$2:$H$64,B25))-1</f>
        <v>0</v>
      </c>
      <c r="H25" s="363">
        <f>IF(ISERROR(VLOOKUP(B25,Données!$A$3:$U$1479,12,FALSE)),0,VLOOKUP(B25,Données!$A$3:$U$1479,12,FALSE))</f>
        <v>0</v>
      </c>
      <c r="I25" s="73">
        <f>IF(ISERROR(VLOOKUP(B25,Données!$A$3:$U$1479,20,FALSE)),0,VLOOKUP(B25,Données!$A$3:$U$1479,20,FALSE))</f>
        <v>0</v>
      </c>
      <c r="J25" s="59"/>
      <c r="R25" s="484" t="str">
        <f t="shared" si="0"/>
        <v/>
      </c>
    </row>
    <row r="26" spans="1:18" ht="15.75" customHeight="1" x14ac:dyDescent="0.25">
      <c r="A26" s="540"/>
      <c r="B26" s="209" t="s">
        <v>934</v>
      </c>
      <c r="C26" s="70" t="str">
        <f>IF(ISERROR(VLOOKUP(B26,Données!$A$3:$L$1479,5,FALSE)),"",VLOOKUP(B26,Données!$A$3:$L$1479,5,FALSE))</f>
        <v/>
      </c>
      <c r="D26" s="347" t="str">
        <f>IF(ISERROR(VLOOKUP(B26,Données!$A$3:$X$1479,23,FALSE)),"",VLOOKUP(B26,Données!$A$3:$X$1479,23,FALSE))</f>
        <v/>
      </c>
      <c r="E26" s="70" t="str">
        <f>IF(ISERROR(VLOOKUP(B26,Données!$A$3:$L$1479,7,FALSE)),"",VLOOKUP(B26,Données!$A$3:$L$1479,7,FALSE))</f>
        <v/>
      </c>
      <c r="F26" s="71">
        <f>IF(ISERROR(VLOOKUP(B26,Données!$A$3:$U$1479,11,FALSE)),0,VLOOKUP(B26,Données!$A$3:$U$1479,11,FALSE))</f>
        <v>0</v>
      </c>
      <c r="G26" s="72">
        <f>VALUE(COUNTIF(Validation!$A$2:$H$64,B26))-1</f>
        <v>0</v>
      </c>
      <c r="H26" s="363">
        <f>IF(ISERROR(VLOOKUP(B26,Données!$A$3:$U$1479,12,FALSE)),0,VLOOKUP(B26,Données!$A$3:$U$1479,12,FALSE))</f>
        <v>0</v>
      </c>
      <c r="I26" s="73">
        <f>IF(ISERROR(VLOOKUP(B26,Données!$A$3:$U$1479,20,FALSE)),0,VLOOKUP(B26,Données!$A$3:$U$1479,20,FALSE))</f>
        <v>0</v>
      </c>
      <c r="J26" s="59"/>
      <c r="R26" s="484" t="str">
        <f t="shared" si="0"/>
        <v/>
      </c>
    </row>
    <row r="27" spans="1:18" ht="15.75" customHeight="1" x14ac:dyDescent="0.25">
      <c r="A27" s="540"/>
      <c r="B27" s="209"/>
      <c r="C27" s="70" t="str">
        <f>IF(ISERROR(VLOOKUP(B27,Données!$A$3:$L$1479,5,FALSE)),"",VLOOKUP(B27,Données!$A$3:$L$1479,5,FALSE))</f>
        <v/>
      </c>
      <c r="D27" s="347" t="str">
        <f>IF(ISERROR(VLOOKUP(B27,Données!$A$3:$X$1479,23,FALSE)),"",VLOOKUP(B27,Données!$A$3:$X$1479,23,FALSE))</f>
        <v/>
      </c>
      <c r="E27" s="70" t="str">
        <f>IF(ISERROR(VLOOKUP(B27,Données!$A$3:$L$1479,7,FALSE)),"",VLOOKUP(B27,Données!$A$3:$L$1479,7,FALSE))</f>
        <v/>
      </c>
      <c r="F27" s="71">
        <f>IF(ISERROR(VLOOKUP(B27,Données!$A$3:$U$1479,11,FALSE)),0,VLOOKUP(B27,Données!$A$3:$U$1479,11,FALSE))</f>
        <v>0</v>
      </c>
      <c r="G27" s="72">
        <f>VALUE(COUNTIF(Validation!$A$2:$H$64,B27))-1</f>
        <v>229</v>
      </c>
      <c r="H27" s="363">
        <f>IF(ISERROR(VLOOKUP(B27,Données!$A$3:$U$1479,12,FALSE)),0,VLOOKUP(B27,Données!$A$3:$U$1479,12,FALSE))</f>
        <v>0</v>
      </c>
      <c r="I27" s="73">
        <f>IF(ISERROR(VLOOKUP(B27,Données!$A$3:$U$1479,20,FALSE)),0,VLOOKUP(B27,Données!$A$3:$U$1479,20,FALSE))</f>
        <v>0</v>
      </c>
      <c r="J27" s="59"/>
      <c r="R27" s="60" t="str">
        <f t="shared" si="0"/>
        <v/>
      </c>
    </row>
    <row r="28" spans="1:18" ht="15.75" customHeight="1" x14ac:dyDescent="0.25">
      <c r="A28" s="540"/>
      <c r="B28" s="69"/>
      <c r="C28" s="70" t="str">
        <f>IF(ISERROR(VLOOKUP(B28,Données!$A$3:$L$1479,5,FALSE)),"",VLOOKUP(B28,Données!$A$3:$L$1479,5,FALSE))</f>
        <v/>
      </c>
      <c r="D28" s="347" t="str">
        <f>IF(ISERROR(VLOOKUP(B28,Données!$A$3:$X$1479,23,FALSE)),"",VLOOKUP(B28,Données!$A$3:$X$1479,23,FALSE))</f>
        <v/>
      </c>
      <c r="E28" s="70" t="str">
        <f>IF(ISERROR(VLOOKUP(B28,Données!$A$3:$L$1479,7,FALSE)),"",VLOOKUP(B28,Données!$A$3:$L$1479,7,FALSE))</f>
        <v/>
      </c>
      <c r="F28" s="71">
        <f>IF(ISERROR(VLOOKUP(B28,Données!$A$3:$U$1479,11,FALSE)),0,VLOOKUP(B28,Données!$A$3:$U$1479,11,FALSE))</f>
        <v>0</v>
      </c>
      <c r="G28" s="72">
        <f>VALUE(COUNTIF(Validation!$A$2:$H$64,B28))-1</f>
        <v>229</v>
      </c>
      <c r="H28" s="363">
        <f>IF(ISERROR(VLOOKUP(B28,Données!$A$3:$U$1479,12,FALSE)),0,VLOOKUP(B28,Données!$A$3:$U$1479,12,FALSE))</f>
        <v>0</v>
      </c>
      <c r="I28" s="73">
        <f>IF(ISERROR(VLOOKUP(B28,Données!$A$3:$U$1479,20,FALSE)),0,VLOOKUP(B28,Données!$A$3:$U$1479,20,FALSE))</f>
        <v>0</v>
      </c>
      <c r="J28" s="59"/>
      <c r="R28" s="60" t="str">
        <f t="shared" si="0"/>
        <v/>
      </c>
    </row>
    <row r="29" spans="1:18" ht="15.75" customHeight="1" x14ac:dyDescent="0.25">
      <c r="A29" s="540"/>
      <c r="B29" s="69"/>
      <c r="C29" s="70" t="str">
        <f>IF(ISERROR(VLOOKUP(B29,Données!$A$3:$L$1479,5,FALSE)),"",VLOOKUP(B29,Données!$A$3:$L$1479,5,FALSE))</f>
        <v/>
      </c>
      <c r="D29" s="347" t="str">
        <f>IF(ISERROR(VLOOKUP(B29,Données!$A$3:$X$1479,23,FALSE)),"",VLOOKUP(B29,Données!$A$3:$X$1479,23,FALSE))</f>
        <v/>
      </c>
      <c r="E29" s="70" t="str">
        <f>IF(ISERROR(VLOOKUP(B29,Données!$A$3:$L$1479,7,FALSE)),"",VLOOKUP(B29,Données!$A$3:$L$1479,7,FALSE))</f>
        <v/>
      </c>
      <c r="F29" s="71">
        <f>IF(ISERROR(VLOOKUP(B29,Données!$A$3:$U$1479,11,FALSE)),0,VLOOKUP(B29,Données!$A$3:$U$1479,11,FALSE))</f>
        <v>0</v>
      </c>
      <c r="G29" s="72">
        <f>VALUE(COUNTIF(Validation!$A$2:$H$64,B29))-1</f>
        <v>229</v>
      </c>
      <c r="H29" s="363">
        <f>IF(ISERROR(VLOOKUP(B29,Données!$A$3:$U$1479,12,FALSE)),0,VLOOKUP(B29,Données!$A$3:$U$1479,12,FALSE))</f>
        <v>0</v>
      </c>
      <c r="I29" s="73">
        <f>IF(ISERROR(VLOOKUP(B29,Données!$A$3:$U$1479,20,FALSE)),0,VLOOKUP(B29,Données!$A$3:$U$1479,20,FALSE))</f>
        <v>0</v>
      </c>
      <c r="J29" s="59"/>
      <c r="R29" s="60" t="str">
        <f t="shared" si="0"/>
        <v/>
      </c>
    </row>
    <row r="30" spans="1:18" ht="15.75" customHeight="1" x14ac:dyDescent="0.25">
      <c r="A30" s="540"/>
      <c r="B30" s="83"/>
      <c r="C30" s="76" t="str">
        <f>IF(ISERROR(VLOOKUP(B30,Données!$A$3:$L$1479,5,FALSE)),"",VLOOKUP(B30,Données!$A$3:$L$1479,5,FALSE))</f>
        <v/>
      </c>
      <c r="D30" s="349" t="str">
        <f>IF(ISERROR(VLOOKUP(B30,Données!$A$3:$X$1479,23,FALSE)),"",VLOOKUP(B30,Données!$A$3:$X$1479,23,FALSE))</f>
        <v/>
      </c>
      <c r="E30" s="76" t="str">
        <f>IF(ISERROR(VLOOKUP(B30,Données!$A$3:$L$1479,7,FALSE)),"",VLOOKUP(B30,Données!$A$3:$L$1479,7,FALSE))</f>
        <v/>
      </c>
      <c r="F30" s="77">
        <f>IF(ISERROR(VLOOKUP(B30,Données!$A$3:$U$1479,11,FALSE)),0,VLOOKUP(B30,Données!$A$3:$U$1479,11,FALSE))</f>
        <v>0</v>
      </c>
      <c r="G30" s="78">
        <f>VALUE(COUNTIF(Validation!$A$2:$H$64,B30))-1</f>
        <v>229</v>
      </c>
      <c r="H30" s="364">
        <f>IF(ISERROR(VLOOKUP(B30,Données!$A$3:$U$1479,12,FALSE)),0,VLOOKUP(B30,Données!$A$3:$U$1479,12,FALSE))</f>
        <v>0</v>
      </c>
      <c r="I30" s="79">
        <f>IF(ISERROR(VLOOKUP(B30,Données!$A$3:$U$1479,20,FALSE)),0,VLOOKUP(B30,Données!$A$3:$U$1479,20,FALSE))</f>
        <v>0</v>
      </c>
      <c r="J30" s="59"/>
      <c r="R30" s="60" t="str">
        <f t="shared" si="0"/>
        <v/>
      </c>
    </row>
    <row r="31" spans="1:18" ht="15.75" x14ac:dyDescent="0.25">
      <c r="A31" s="541" t="s">
        <v>37</v>
      </c>
      <c r="B31" s="541"/>
      <c r="C31" s="541"/>
      <c r="D31" s="541"/>
      <c r="E31" s="541"/>
      <c r="F31" s="313">
        <f>ROUNDDOWN(SUM(F3:F30),2)</f>
        <v>0</v>
      </c>
      <c r="G31" s="84"/>
      <c r="H31" s="329">
        <f>SUM(H3:H30)</f>
        <v>0</v>
      </c>
      <c r="J31" s="59"/>
    </row>
    <row r="32" spans="1:18" ht="19.5" thickBot="1" x14ac:dyDescent="0.35">
      <c r="A32" s="542" t="s">
        <v>44</v>
      </c>
      <c r="B32" s="542"/>
      <c r="C32" s="542"/>
      <c r="D32" s="542"/>
      <c r="E32" s="542"/>
      <c r="F32" s="321">
        <f>'Calcul Masse Salariale'!$B$5-F31</f>
        <v>102000000</v>
      </c>
      <c r="G32" s="87"/>
      <c r="H32" s="337">
        <f>'Calcul Masse Salariale'!$B$6-H31</f>
        <v>102000000</v>
      </c>
      <c r="J32" s="59"/>
    </row>
    <row r="33" spans="1:10" ht="16.5" thickBot="1" x14ac:dyDescent="0.3">
      <c r="F33" s="366"/>
      <c r="J33" s="59"/>
    </row>
    <row r="34" spans="1:10" ht="30.75" thickBot="1" x14ac:dyDescent="0.3">
      <c r="B34" s="408" t="s">
        <v>36</v>
      </c>
      <c r="C34" s="409" t="s">
        <v>52</v>
      </c>
      <c r="D34" s="409" t="s">
        <v>403</v>
      </c>
      <c r="E34" s="409" t="s">
        <v>5</v>
      </c>
      <c r="F34" s="410" t="s">
        <v>134</v>
      </c>
      <c r="G34" s="411" t="s">
        <v>189</v>
      </c>
      <c r="H34" s="412" t="s">
        <v>1155</v>
      </c>
      <c r="I34" s="413" t="s">
        <v>2403</v>
      </c>
      <c r="J34" s="59"/>
    </row>
    <row r="35" spans="1:10" ht="19.5" thickBot="1" x14ac:dyDescent="0.35">
      <c r="A35" s="506" t="s">
        <v>2401</v>
      </c>
      <c r="B35" s="453"/>
      <c r="C35" s="402" t="str">
        <f>IF(ISERROR(VLOOKUP(B35,Données!$A$3:$L$1479,5,FALSE)),"",VLOOKUP(B35,Données!$A$3:$L$1479,5,FALSE))</f>
        <v/>
      </c>
      <c r="D35" s="402" t="str">
        <f>IF(ISERROR(VLOOKUP(B35,Données!$A$3:$X$1479,22,FALSE)),"",VLOOKUP(B35,Données!$A$3:$X$1479,22,FALSE))</f>
        <v/>
      </c>
      <c r="E35" s="402" t="str">
        <f>IF(ISERROR(VLOOKUP(B35,Données!$A$3:$L$1479,7,FALSE)),"",VLOOKUP(B35,Données!$A$3:$L$1479,7,FALSE))</f>
        <v/>
      </c>
      <c r="F35" s="403">
        <f>IF(ISERROR(VLOOKUP(B35,Données!$A$3:$U$1479,11,FALSE)),0,VLOOKUP(B35,Données!$A$3:$U$1479,11,FALSE))</f>
        <v>0</v>
      </c>
      <c r="G35" s="454">
        <f>VALUE(COUNTIF(Validation!$A$2:$H$47,B35))-1</f>
        <v>93</v>
      </c>
      <c r="H35" s="404">
        <f>IF(ISERROR(VLOOKUP(B35,Données!$A$3:$U$1479,12,FALSE)),0,VLOOKUP(B35,Données!$A$3:$U$1479,12,FALSE))</f>
        <v>0</v>
      </c>
      <c r="I35" s="405">
        <f>IF(ISERROR(VLOOKUP(B35,Données!$A$3:$U$1479,20,FALSE)),0,VLOOKUP(B35,Données!$A$3:$U$1479,20,FALSE))</f>
        <v>0</v>
      </c>
      <c r="J35" s="59"/>
    </row>
    <row r="36" spans="1:10" ht="19.5" thickBot="1" x14ac:dyDescent="0.35">
      <c r="A36" s="507"/>
      <c r="B36" s="406" t="s">
        <v>2404</v>
      </c>
      <c r="C36" s="509"/>
      <c r="D36" s="509"/>
      <c r="E36" s="509"/>
      <c r="F36" s="407" t="s">
        <v>2405</v>
      </c>
      <c r="G36" s="509" t="str">
        <f>IF(C36="","",C36+28)</f>
        <v/>
      </c>
      <c r="H36" s="509"/>
      <c r="I36" s="509"/>
      <c r="J36" s="59"/>
    </row>
    <row r="37" spans="1:10" x14ac:dyDescent="0.25">
      <c r="J37" s="59"/>
    </row>
    <row r="38" spans="1:10" ht="45" x14ac:dyDescent="0.25">
      <c r="B38" s="62" t="s">
        <v>36</v>
      </c>
      <c r="C38" s="62" t="s">
        <v>52</v>
      </c>
      <c r="D38" s="62" t="s">
        <v>403</v>
      </c>
      <c r="E38" s="7" t="s">
        <v>2402</v>
      </c>
      <c r="F38" s="399" t="s">
        <v>134</v>
      </c>
      <c r="G38" s="68" t="s">
        <v>195</v>
      </c>
      <c r="H38" s="65" t="s">
        <v>2676</v>
      </c>
      <c r="I38" s="67" t="s">
        <v>1</v>
      </c>
      <c r="J38" s="59"/>
    </row>
    <row r="39" spans="1:10" ht="15.75" x14ac:dyDescent="0.25">
      <c r="A39" s="497" t="s">
        <v>43</v>
      </c>
      <c r="B39" s="354" t="s">
        <v>749</v>
      </c>
      <c r="C39" s="74" t="str">
        <f>IF(ISERROR(VLOOKUP(B39,Données!$A$3:$L$1479,5,FALSE)),"",VLOOKUP(B39,Données!$A$3:$L$1479,5,FALSE))</f>
        <v/>
      </c>
      <c r="D39" s="347" t="str">
        <f>IF(ISERROR(VLOOKUP(B39,Données!$A$3:$X$1479,23,FALSE)),"",VLOOKUP(B39,Données!$A$3:$X$1479,23,FALSE))</f>
        <v/>
      </c>
      <c r="E39" s="74">
        <v>2014</v>
      </c>
      <c r="F39" s="358">
        <f>IF(ISERROR(VLOOKUP(B39,Données!$A$3:$U$1479,11,FALSE)),0,VLOOKUP(B39,Données!$A$3:$U$1479,11,FALSE))</f>
        <v>0</v>
      </c>
      <c r="G39" s="74">
        <f t="shared" ref="G39:G73" si="1">I39</f>
        <v>0</v>
      </c>
      <c r="H39" s="363">
        <f>IF(ISERROR(VLOOKUP(B39,Données!$A$3:$U$1479,12,FALSE)),0,VLOOKUP(B39,Données!$A$3:$U$1479,12,FALSE))</f>
        <v>0</v>
      </c>
      <c r="I39" s="74">
        <f>IF(((E39+5)-'Calcul Masse Salariale'!$B$1)&lt;=0,0,(E39+5)-'Calcul Masse Salariale'!$B$1)</f>
        <v>0</v>
      </c>
      <c r="J39" s="59"/>
    </row>
    <row r="40" spans="1:10" ht="15.75" x14ac:dyDescent="0.25">
      <c r="A40" s="497"/>
      <c r="B40" s="354" t="s">
        <v>906</v>
      </c>
      <c r="C40" s="74" t="str">
        <f>IF(ISERROR(VLOOKUP(B40,Données!$A$3:$L$1479,5,FALSE)),"",VLOOKUP(B40,Données!$A$3:$L$1479,5,FALSE))</f>
        <v/>
      </c>
      <c r="D40" s="347" t="str">
        <f>IF(ISERROR(VLOOKUP(B40,Données!$A$3:$X$1479,23,FALSE)),"",VLOOKUP(B40,Données!$A$3:$X$1479,23,FALSE))</f>
        <v/>
      </c>
      <c r="E40" s="74">
        <v>2014</v>
      </c>
      <c r="F40" s="358">
        <f>IF(ISERROR(VLOOKUP(B40,Données!$A$3:$U$1479,11,FALSE)),0,VLOOKUP(B40,Données!$A$3:$U$1479,11,FALSE))</f>
        <v>0</v>
      </c>
      <c r="G40" s="74">
        <f t="shared" si="1"/>
        <v>0</v>
      </c>
      <c r="H40" s="363">
        <f>IF(ISERROR(VLOOKUP(B40,Données!$A$3:$U$1479,12,FALSE)),0,VLOOKUP(B40,Données!$A$3:$U$1479,12,FALSE))</f>
        <v>0</v>
      </c>
      <c r="I40" s="74">
        <f>IF(((E40+5)-'Calcul Masse Salariale'!$B$1)&lt;=0,0,(E40+5)-'Calcul Masse Salariale'!$B$1)</f>
        <v>0</v>
      </c>
      <c r="J40" s="59"/>
    </row>
    <row r="41" spans="1:10" ht="15.75" x14ac:dyDescent="0.25">
      <c r="A41" s="497"/>
      <c r="B41" s="354" t="s">
        <v>997</v>
      </c>
      <c r="C41" s="74" t="str">
        <f>IF(ISERROR(VLOOKUP(B41,Données!$A$3:$L$1479,5,FALSE)),"",VLOOKUP(B41,Données!$A$3:$L$1479,5,FALSE))</f>
        <v/>
      </c>
      <c r="D41" s="347" t="str">
        <f>IF(ISERROR(VLOOKUP(B41,Données!$A$3:$X$1479,23,FALSE)),"",VLOOKUP(B41,Données!$A$3:$X$1479,23,FALSE))</f>
        <v/>
      </c>
      <c r="E41" s="74">
        <v>2015</v>
      </c>
      <c r="F41" s="358">
        <f>IF(ISERROR(VLOOKUP(B41,Données!$A$3:$U$1479,11,FALSE)),0,VLOOKUP(B41,Données!$A$3:$U$1479,11,FALSE))</f>
        <v>0</v>
      </c>
      <c r="G41" s="74">
        <f t="shared" si="1"/>
        <v>1</v>
      </c>
      <c r="H41" s="363">
        <f>IF(ISERROR(VLOOKUP(B41,Données!$A$3:$U$1479,12,FALSE)),0,VLOOKUP(B41,Données!$A$3:$U$1479,12,FALSE))</f>
        <v>0</v>
      </c>
      <c r="I41" s="74">
        <f>IF(((E41+5)-'Calcul Masse Salariale'!$B$1)&lt;=0,0,(E41+5)-'Calcul Masse Salariale'!$B$1)</f>
        <v>1</v>
      </c>
      <c r="J41" s="59"/>
    </row>
    <row r="42" spans="1:10" ht="18.75" x14ac:dyDescent="0.3">
      <c r="A42" s="497"/>
      <c r="B42" s="354" t="s">
        <v>786</v>
      </c>
      <c r="C42" s="74" t="str">
        <f>IF(ISERROR(VLOOKUP(B42,Données!$A$3:$L$1479,5,FALSE)),"",VLOOKUP(B42,Données!$A$3:$L$1479,5,FALSE))</f>
        <v/>
      </c>
      <c r="D42" s="347" t="str">
        <f>IF(ISERROR(VLOOKUP(B42,Données!$A$3:$X$1479,23,FALSE)),"",VLOOKUP(B42,Données!$A$3:$X$1479,23,FALSE))</f>
        <v/>
      </c>
      <c r="E42" s="74">
        <v>2015</v>
      </c>
      <c r="F42" s="358">
        <f>IF(ISERROR(VLOOKUP(B42,Données!$A$3:$U$1479,11,FALSE)),0,VLOOKUP(B42,Données!$A$3:$U$1479,11,FALSE))</f>
        <v>0</v>
      </c>
      <c r="G42" s="74">
        <f t="shared" si="1"/>
        <v>1</v>
      </c>
      <c r="H42" s="363">
        <f>IF(ISERROR(VLOOKUP(B42,Données!$A$3:$U$1479,12,FALSE)),0,VLOOKUP(B42,Données!$A$3:$U$1479,12,FALSE))</f>
        <v>0</v>
      </c>
      <c r="I42" s="74">
        <f>IF(((E42+5)-'Calcul Masse Salariale'!$B$1)&lt;=0,0,(E42+5)-'Calcul Masse Salariale'!$B$1)</f>
        <v>1</v>
      </c>
      <c r="J42" s="88"/>
    </row>
    <row r="43" spans="1:10" ht="15.75" x14ac:dyDescent="0.25">
      <c r="A43" s="497"/>
      <c r="B43" s="354" t="s">
        <v>687</v>
      </c>
      <c r="C43" s="74" t="str">
        <f>IF(ISERROR(VLOOKUP(B43,Données!$A$3:$L$1479,5,FALSE)),"",VLOOKUP(B43,Données!$A$3:$L$1479,5,FALSE))</f>
        <v/>
      </c>
      <c r="D43" s="347" t="str">
        <f>IF(ISERROR(VLOOKUP(B43,Données!$A$3:$X$1479,23,FALSE)),"",VLOOKUP(B43,Données!$A$3:$X$1479,23,FALSE))</f>
        <v/>
      </c>
      <c r="E43" s="74">
        <v>2016</v>
      </c>
      <c r="F43" s="358">
        <f>IF(ISERROR(VLOOKUP(B43,Données!$A$3:$U$1479,11,FALSE)),0,VLOOKUP(B43,Données!$A$3:$U$1479,11,FALSE))</f>
        <v>0</v>
      </c>
      <c r="G43" s="74">
        <f t="shared" si="1"/>
        <v>2</v>
      </c>
      <c r="H43" s="363">
        <f>IF(ISERROR(VLOOKUP(B43,Données!$A$3:$U$1479,12,FALSE)),0,VLOOKUP(B43,Données!$A$3:$U$1479,12,FALSE))</f>
        <v>0</v>
      </c>
      <c r="I43" s="74">
        <f>IF(((E43+5)-'Calcul Masse Salariale'!$B$1)&lt;=0,0,(E43+5)-'Calcul Masse Salariale'!$B$1)</f>
        <v>2</v>
      </c>
      <c r="J43" s="59"/>
    </row>
    <row r="44" spans="1:10" ht="15.75" x14ac:dyDescent="0.25">
      <c r="A44" s="497"/>
      <c r="B44" s="354" t="s">
        <v>998</v>
      </c>
      <c r="C44" s="74" t="str">
        <f>IF(ISERROR(VLOOKUP(B44,Données!$A$3:$L$1479,5,FALSE)),"",VLOOKUP(B44,Données!$A$3:$L$1479,5,FALSE))</f>
        <v/>
      </c>
      <c r="D44" s="347" t="str">
        <f>IF(ISERROR(VLOOKUP(B44,Données!$A$3:$X$1479,23,FALSE)),"",VLOOKUP(B44,Données!$A$3:$X$1479,23,FALSE))</f>
        <v/>
      </c>
      <c r="E44" s="74">
        <v>2016</v>
      </c>
      <c r="F44" s="358">
        <f>IF(ISERROR(VLOOKUP(B44,Données!$A$3:$U$1479,11,FALSE)),0,VLOOKUP(B44,Données!$A$3:$U$1479,11,FALSE))</f>
        <v>0</v>
      </c>
      <c r="G44" s="74">
        <f t="shared" si="1"/>
        <v>2</v>
      </c>
      <c r="H44" s="363">
        <f>IF(ISERROR(VLOOKUP(B44,Données!$A$3:$U$1479,12,FALSE)),0,VLOOKUP(B44,Données!$A$3:$U$1479,12,FALSE))</f>
        <v>0</v>
      </c>
      <c r="I44" s="74">
        <f>IF(((E44+5)-'Calcul Masse Salariale'!$B$1)&lt;=0,0,(E44+5)-'Calcul Masse Salariale'!$B$1)</f>
        <v>2</v>
      </c>
      <c r="J44" s="59"/>
    </row>
    <row r="45" spans="1:10" ht="15.75" x14ac:dyDescent="0.25">
      <c r="A45" s="497"/>
      <c r="B45" s="354" t="s">
        <v>665</v>
      </c>
      <c r="C45" s="74" t="str">
        <f>IF(ISERROR(VLOOKUP(B45,Données!$A$3:$L$1479,5,FALSE)),"",VLOOKUP(B45,Données!$A$3:$L$1479,5,FALSE))</f>
        <v/>
      </c>
      <c r="D45" s="347" t="str">
        <f>IF(ISERROR(VLOOKUP(B45,Données!$A$3:$X$1479,23,FALSE)),"",VLOOKUP(B45,Données!$A$3:$X$1479,23,FALSE))</f>
        <v/>
      </c>
      <c r="E45" s="74">
        <v>2016</v>
      </c>
      <c r="F45" s="358">
        <f>IF(ISERROR(VLOOKUP(B45,Données!$A$3:$U$1479,11,FALSE)),0,VLOOKUP(B45,Données!$A$3:$U$1479,11,FALSE))</f>
        <v>0</v>
      </c>
      <c r="G45" s="74">
        <f t="shared" si="1"/>
        <v>2</v>
      </c>
      <c r="H45" s="363">
        <f>IF(ISERROR(VLOOKUP(B45,Données!$A$3:$U$1479,12,FALSE)),0,VLOOKUP(B45,Données!$A$3:$U$1479,12,FALSE))</f>
        <v>0</v>
      </c>
      <c r="I45" s="74">
        <f>IF(((E45+5)-'Calcul Masse Salariale'!$B$1)&lt;=0,0,(E45+5)-'Calcul Masse Salariale'!$B$1)</f>
        <v>2</v>
      </c>
      <c r="J45" s="59"/>
    </row>
    <row r="46" spans="1:10" ht="15.75" x14ac:dyDescent="0.25">
      <c r="A46" s="497"/>
      <c r="B46" s="357" t="s">
        <v>142</v>
      </c>
      <c r="C46" s="74" t="str">
        <f>IF(ISERROR(VLOOKUP(B46,Données!$A$3:$L$1479,5,FALSE)),"",VLOOKUP(B46,Données!$A$3:$L$1479,5,FALSE))</f>
        <v/>
      </c>
      <c r="D46" s="347" t="str">
        <f>IF(ISERROR(VLOOKUP(B46,Données!$A$3:$X$1479,23,FALSE)),"",VLOOKUP(B46,Données!$A$3:$X$1479,23,FALSE))</f>
        <v/>
      </c>
      <c r="E46" s="74">
        <v>2017</v>
      </c>
      <c r="F46" s="358">
        <f>IF(ISERROR(VLOOKUP(B46,Données!$A$3:$U$1479,11,FALSE)),0,VLOOKUP(B46,Données!$A$3:$U$1479,11,FALSE))</f>
        <v>0</v>
      </c>
      <c r="G46" s="74">
        <f t="shared" si="1"/>
        <v>3</v>
      </c>
      <c r="H46" s="363">
        <f>IF(ISERROR(VLOOKUP(B46,Données!$A$3:$U$1479,12,FALSE)),0,VLOOKUP(B46,Données!$A$3:$U$1479,12,FALSE))</f>
        <v>0</v>
      </c>
      <c r="I46" s="74">
        <f>IF(((E46+5)-'Calcul Masse Salariale'!$B$1)&lt;=0,0,(E46+5)-'Calcul Masse Salariale'!$B$1)</f>
        <v>3</v>
      </c>
      <c r="J46" s="59"/>
    </row>
    <row r="47" spans="1:10" ht="15.75" x14ac:dyDescent="0.25">
      <c r="A47" s="497"/>
      <c r="B47" s="356" t="s">
        <v>152</v>
      </c>
      <c r="C47" s="74" t="str">
        <f>IF(ISERROR(VLOOKUP(B47,Données!$A$3:$L$1479,5,FALSE)),"",VLOOKUP(B47,Données!$A$3:$L$1479,5,FALSE))</f>
        <v/>
      </c>
      <c r="D47" s="347" t="str">
        <f>IF(ISERROR(VLOOKUP(B47,Données!$A$3:$X$1479,23,FALSE)),"",VLOOKUP(B47,Données!$A$3:$X$1479,23,FALSE))</f>
        <v/>
      </c>
      <c r="E47" s="74">
        <v>2017</v>
      </c>
      <c r="F47" s="358">
        <f>IF(ISERROR(VLOOKUP(B47,Données!$A$3:$U$1479,11,FALSE)),0,VLOOKUP(B47,Données!$A$3:$U$1479,11,FALSE))</f>
        <v>0</v>
      </c>
      <c r="G47" s="74">
        <f t="shared" si="1"/>
        <v>3</v>
      </c>
      <c r="H47" s="363">
        <f>IF(ISERROR(VLOOKUP(B47,Données!$A$3:$U$1479,12,FALSE)),0,VLOOKUP(B47,Données!$A$3:$U$1479,12,FALSE))</f>
        <v>0</v>
      </c>
      <c r="I47" s="74">
        <f>IF(((E47+5)-'Calcul Masse Salariale'!$B$1)&lt;=0,0,(E47+5)-'Calcul Masse Salariale'!$B$1)</f>
        <v>3</v>
      </c>
      <c r="J47" s="59"/>
    </row>
    <row r="48" spans="1:10" ht="15.75" x14ac:dyDescent="0.25">
      <c r="A48" s="497"/>
      <c r="B48" s="356" t="s">
        <v>161</v>
      </c>
      <c r="C48" s="74" t="str">
        <f>IF(ISERROR(VLOOKUP(B48,Données!$A$3:$L$1479,5,FALSE)),"",VLOOKUP(B48,Données!$A$3:$L$1479,5,FALSE))</f>
        <v/>
      </c>
      <c r="D48" s="347" t="str">
        <f>IF(ISERROR(VLOOKUP(B48,Données!$A$3:$X$1479,23,FALSE)),"",VLOOKUP(B48,Données!$A$3:$X$1479,23,FALSE))</f>
        <v/>
      </c>
      <c r="E48" s="74">
        <v>2017</v>
      </c>
      <c r="F48" s="358">
        <f>IF(ISERROR(VLOOKUP(B48,Données!$A$3:$U$1479,11,FALSE)),0,VLOOKUP(B48,Données!$A$3:$U$1479,11,FALSE))</f>
        <v>0</v>
      </c>
      <c r="G48" s="74">
        <f t="shared" si="1"/>
        <v>3</v>
      </c>
      <c r="H48" s="363">
        <f>IF(ISERROR(VLOOKUP(B48,Données!$A$3:$U$1479,12,FALSE)),0,VLOOKUP(B48,Données!$A$3:$U$1479,12,FALSE))</f>
        <v>0</v>
      </c>
      <c r="I48" s="74">
        <f>IF(((E48+5)-'Calcul Masse Salariale'!$B$1)&lt;=0,0,(E48+5)-'Calcul Masse Salariale'!$B$1)</f>
        <v>3</v>
      </c>
      <c r="J48" s="59"/>
    </row>
    <row r="49" spans="1:10" ht="15.75" x14ac:dyDescent="0.25">
      <c r="A49" s="497"/>
      <c r="B49" s="357" t="s">
        <v>173</v>
      </c>
      <c r="C49" s="74" t="str">
        <f>IF(ISERROR(VLOOKUP(B49,Données!$A$3:$L$1479,5,FALSE)),"",VLOOKUP(B49,Données!$A$3:$L$1479,5,FALSE))</f>
        <v/>
      </c>
      <c r="D49" s="347" t="str">
        <f>IF(ISERROR(VLOOKUP(B49,Données!$A$3:$X$1479,23,FALSE)),"",VLOOKUP(B49,Données!$A$3:$X$1479,23,FALSE))</f>
        <v/>
      </c>
      <c r="E49" s="74">
        <v>2017</v>
      </c>
      <c r="F49" s="358">
        <f>IF(ISERROR(VLOOKUP(B49,Données!$A$3:$U$1479,11,FALSE)),0,VLOOKUP(B49,Données!$A$3:$U$1479,11,FALSE))</f>
        <v>0</v>
      </c>
      <c r="G49" s="74">
        <f t="shared" si="1"/>
        <v>3</v>
      </c>
      <c r="H49" s="363">
        <f>IF(ISERROR(VLOOKUP(B49,Données!$A$3:$U$1479,12,FALSE)),0,VLOOKUP(B49,Données!$A$3:$U$1479,12,FALSE))</f>
        <v>0</v>
      </c>
      <c r="I49" s="74">
        <f>IF(((E49+5)-'Calcul Masse Salariale'!$B$1)&lt;=0,0,(E49+5)-'Calcul Masse Salariale'!$B$1)</f>
        <v>3</v>
      </c>
      <c r="J49" s="59"/>
    </row>
    <row r="50" spans="1:10" ht="15.75" x14ac:dyDescent="0.25">
      <c r="A50" s="497"/>
      <c r="B50" s="75" t="s">
        <v>847</v>
      </c>
      <c r="C50" s="74" t="str">
        <f>IF(ISERROR(VLOOKUP(B50,Données!$A$3:$L$1479,5,FALSE)),"",VLOOKUP(B50,Données!$A$3:$L$1479,5,FALSE))</f>
        <v/>
      </c>
      <c r="D50" s="347" t="str">
        <f>IF(ISERROR(VLOOKUP(B50,Données!$A$3:$X$1479,23,FALSE)),"",VLOOKUP(B50,Données!$A$3:$X$1479,23,FALSE))</f>
        <v/>
      </c>
      <c r="E50" s="74">
        <v>2018</v>
      </c>
      <c r="F50" s="358">
        <f>IF(ISERROR(VLOOKUP(B50,Données!$A$3:$U$1479,11,FALSE)),0,VLOOKUP(B50,Données!$A$3:$U$1479,11,FALSE))</f>
        <v>0</v>
      </c>
      <c r="G50" s="74">
        <f t="shared" si="1"/>
        <v>4</v>
      </c>
      <c r="H50" s="363">
        <f>IF(ISERROR(VLOOKUP(B50,Données!$A$3:$U$1479,12,FALSE)),0,VLOOKUP(B50,Données!$A$3:$U$1479,12,FALSE))</f>
        <v>0</v>
      </c>
      <c r="I50" s="74">
        <f>IF(((E50+5)-'Calcul Masse Salariale'!$B$1)&lt;=0,0,(E50+5)-'Calcul Masse Salariale'!$B$1)</f>
        <v>4</v>
      </c>
      <c r="J50" s="59"/>
    </row>
    <row r="51" spans="1:10" ht="15.75" x14ac:dyDescent="0.25">
      <c r="A51" s="497"/>
      <c r="B51" s="70" t="s">
        <v>1223</v>
      </c>
      <c r="C51" s="74" t="str">
        <f>IF(ISERROR(VLOOKUP(B51,Données!$A$3:$L$1479,5,FALSE)),"",VLOOKUP(B51,Données!$A$3:$L$1479,5,FALSE))</f>
        <v/>
      </c>
      <c r="D51" s="347" t="str">
        <f>IF(ISERROR(VLOOKUP(B51,Données!$A$3:$X$1479,23,FALSE)),"",VLOOKUP(B51,Données!$A$3:$X$1479,23,FALSE))</f>
        <v/>
      </c>
      <c r="E51" s="74">
        <v>2018</v>
      </c>
      <c r="F51" s="358">
        <f>IF(ISERROR(VLOOKUP(B51,Données!$A$3:$U$1479,11,FALSE)),0,VLOOKUP(B51,Données!$A$3:$U$1479,11,FALSE))</f>
        <v>0</v>
      </c>
      <c r="G51" s="74">
        <f t="shared" si="1"/>
        <v>4</v>
      </c>
      <c r="H51" s="363">
        <f>IF(ISERROR(VLOOKUP(B51,Données!$A$3:$U$1479,12,FALSE)),0,VLOOKUP(B51,Données!$A$3:$U$1479,12,FALSE))</f>
        <v>0</v>
      </c>
      <c r="I51" s="74">
        <f>IF(((E51+5)-'Calcul Masse Salariale'!$B$1)&lt;=0,0,(E51+5)-'Calcul Masse Salariale'!$B$1)</f>
        <v>4</v>
      </c>
      <c r="J51" s="59"/>
    </row>
    <row r="52" spans="1:10" ht="15.75" x14ac:dyDescent="0.25">
      <c r="A52" s="497"/>
      <c r="B52" s="74"/>
      <c r="C52" s="74" t="str">
        <f>IF(ISERROR(VLOOKUP(B52,Données!$A$3:$L$1479,5,FALSE)),"",VLOOKUP(B52,Données!$A$3:$L$1479,5,FALSE))</f>
        <v/>
      </c>
      <c r="D52" s="347" t="str">
        <f>IF(ISERROR(VLOOKUP(B52,Données!$A$3:$X$1479,23,FALSE)),"",VLOOKUP(B52,Données!$A$3:$X$1479,23,FALSE))</f>
        <v/>
      </c>
      <c r="E52" s="74"/>
      <c r="F52" s="358">
        <f>IF(ISERROR(VLOOKUP(B52,Données!$A$3:$U$1479,11,FALSE)),0,VLOOKUP(B52,Données!$A$3:$U$1479,11,FALSE))</f>
        <v>0</v>
      </c>
      <c r="G52" s="74">
        <f t="shared" si="1"/>
        <v>0</v>
      </c>
      <c r="H52" s="363">
        <f>IF(ISERROR(VLOOKUP(B52,Données!$A$3:$U$1479,12,FALSE)),0,VLOOKUP(B52,Données!$A$3:$U$1479,12,FALSE))</f>
        <v>0</v>
      </c>
      <c r="I52" s="74">
        <f>IF(((E52+5)-'Calcul Masse Salariale'!$B$1)&lt;=0,0,(E52+5)-'Calcul Masse Salariale'!$B$1)</f>
        <v>0</v>
      </c>
      <c r="J52" s="59"/>
    </row>
    <row r="53" spans="1:10" ht="15.75" x14ac:dyDescent="0.25">
      <c r="A53" s="497"/>
      <c r="B53" s="74"/>
      <c r="C53" s="74" t="str">
        <f>IF(ISERROR(VLOOKUP(B53,Données!$A$3:$L$1479,5,FALSE)),"",VLOOKUP(B53,Données!$A$3:$L$1479,5,FALSE))</f>
        <v/>
      </c>
      <c r="D53" s="347" t="str">
        <f>IF(ISERROR(VLOOKUP(B53,Données!$A$3:$X$1479,23,FALSE)),"",VLOOKUP(B53,Données!$A$3:$X$1479,23,FALSE))</f>
        <v/>
      </c>
      <c r="E53" s="74"/>
      <c r="F53" s="358">
        <f>IF(ISERROR(VLOOKUP(B53,Données!$A$3:$U$1479,11,FALSE)),0,VLOOKUP(B53,Données!$A$3:$U$1479,11,FALSE))</f>
        <v>0</v>
      </c>
      <c r="G53" s="74">
        <f t="shared" si="1"/>
        <v>0</v>
      </c>
      <c r="H53" s="363">
        <f>IF(ISERROR(VLOOKUP(B53,Données!$A$3:$U$1479,12,FALSE)),0,VLOOKUP(B53,Données!$A$3:$U$1479,12,FALSE))</f>
        <v>0</v>
      </c>
      <c r="I53" s="74">
        <f>IF(((E53+5)-'Calcul Masse Salariale'!$B$1)&lt;=0,0,(E53+5)-'Calcul Masse Salariale'!$B$1)</f>
        <v>0</v>
      </c>
      <c r="J53" s="59"/>
    </row>
    <row r="54" spans="1:10" ht="15.75" x14ac:dyDescent="0.25">
      <c r="A54" s="497"/>
      <c r="B54" s="74"/>
      <c r="C54" s="74" t="str">
        <f>IF(ISERROR(VLOOKUP(B54,Données!$A$3:$L$1479,5,FALSE)),"",VLOOKUP(B54,Données!$A$3:$L$1479,5,FALSE))</f>
        <v/>
      </c>
      <c r="D54" s="347" t="str">
        <f>IF(ISERROR(VLOOKUP(B54,Données!$A$3:$X$1479,23,FALSE)),"",VLOOKUP(B54,Données!$A$3:$X$1479,23,FALSE))</f>
        <v/>
      </c>
      <c r="E54" s="74"/>
      <c r="F54" s="358">
        <f>IF(ISERROR(VLOOKUP(B54,Données!$A$3:$U$1479,11,FALSE)),0,VLOOKUP(B54,Données!$A$3:$U$1479,11,FALSE))</f>
        <v>0</v>
      </c>
      <c r="G54" s="74">
        <f t="shared" si="1"/>
        <v>0</v>
      </c>
      <c r="H54" s="363">
        <f>IF(ISERROR(VLOOKUP(B54,Données!$A$3:$U$1479,12,FALSE)),0,VLOOKUP(B54,Données!$A$3:$U$1479,12,FALSE))</f>
        <v>0</v>
      </c>
      <c r="I54" s="74">
        <f>IF(((E54+5)-'Calcul Masse Salariale'!$B$1)&lt;=0,0,(E54+5)-'Calcul Masse Salariale'!$B$1)</f>
        <v>0</v>
      </c>
      <c r="J54" s="59"/>
    </row>
    <row r="55" spans="1:10" ht="15.75" x14ac:dyDescent="0.25">
      <c r="A55" s="497"/>
      <c r="B55" s="74"/>
      <c r="C55" s="74" t="str">
        <f>IF(ISERROR(VLOOKUP(B55,Données!$A$3:$L$1479,5,FALSE)),"",VLOOKUP(B55,Données!$A$3:$L$1479,5,FALSE))</f>
        <v/>
      </c>
      <c r="D55" s="347" t="str">
        <f>IF(ISERROR(VLOOKUP(B55,Données!$A$3:$X$1479,23,FALSE)),"",VLOOKUP(B55,Données!$A$3:$X$1479,23,FALSE))</f>
        <v/>
      </c>
      <c r="E55" s="74"/>
      <c r="F55" s="358">
        <f>IF(ISERROR(VLOOKUP(B55,Données!$A$3:$U$1479,11,FALSE)),0,VLOOKUP(B55,Données!$A$3:$U$1479,11,FALSE))</f>
        <v>0</v>
      </c>
      <c r="G55" s="74">
        <f t="shared" si="1"/>
        <v>0</v>
      </c>
      <c r="H55" s="363">
        <f>IF(ISERROR(VLOOKUP(B55,Données!$A$3:$U$1479,12,FALSE)),0,VLOOKUP(B55,Données!$A$3:$U$1479,12,FALSE))</f>
        <v>0</v>
      </c>
      <c r="I55" s="74">
        <f>IF(((E55+5)-'Calcul Masse Salariale'!$B$1)&lt;=0,0,(E55+5)-'Calcul Masse Salariale'!$B$1)</f>
        <v>0</v>
      </c>
      <c r="J55" s="59"/>
    </row>
    <row r="56" spans="1:10" ht="15.75" x14ac:dyDescent="0.25">
      <c r="A56" s="497"/>
      <c r="B56" s="74"/>
      <c r="C56" s="74" t="str">
        <f>IF(ISERROR(VLOOKUP(B56,Données!$A$3:$L$1479,5,FALSE)),"",VLOOKUP(B56,Données!$A$3:$L$1479,5,FALSE))</f>
        <v/>
      </c>
      <c r="D56" s="347" t="str">
        <f>IF(ISERROR(VLOOKUP(B56,Données!$A$3:$X$1479,23,FALSE)),"",VLOOKUP(B56,Données!$A$3:$X$1479,23,FALSE))</f>
        <v/>
      </c>
      <c r="E56" s="74"/>
      <c r="F56" s="358">
        <f>IF(ISERROR(VLOOKUP(B56,Données!$A$3:$U$1479,11,FALSE)),0,VLOOKUP(B56,Données!$A$3:$U$1479,11,FALSE))</f>
        <v>0</v>
      </c>
      <c r="G56" s="74">
        <f t="shared" si="1"/>
        <v>0</v>
      </c>
      <c r="H56" s="363">
        <f>IF(ISERROR(VLOOKUP(B56,Données!$A$3:$U$1479,12,FALSE)),0,VLOOKUP(B56,Données!$A$3:$U$1479,12,FALSE))</f>
        <v>0</v>
      </c>
      <c r="I56" s="74">
        <f>IF(((E56+5)-'Calcul Masse Salariale'!$B$1)&lt;=0,0,(E56+5)-'Calcul Masse Salariale'!$B$1)</f>
        <v>0</v>
      </c>
      <c r="J56" s="59"/>
    </row>
    <row r="57" spans="1:10" ht="15.75" x14ac:dyDescent="0.25">
      <c r="A57" s="497"/>
      <c r="B57" s="74"/>
      <c r="C57" s="74" t="str">
        <f>IF(ISERROR(VLOOKUP(B57,Données!$A$3:$L$1479,5,FALSE)),"",VLOOKUP(B57,Données!$A$3:$L$1479,5,FALSE))</f>
        <v/>
      </c>
      <c r="D57" s="347" t="str">
        <f>IF(ISERROR(VLOOKUP(B57,Données!$A$3:$X$1479,23,FALSE)),"",VLOOKUP(B57,Données!$A$3:$X$1479,23,FALSE))</f>
        <v/>
      </c>
      <c r="E57" s="74"/>
      <c r="F57" s="358">
        <f>IF(ISERROR(VLOOKUP(B57,Données!$A$3:$U$1479,11,FALSE)),0,VLOOKUP(B57,Données!$A$3:$U$1479,11,FALSE))</f>
        <v>0</v>
      </c>
      <c r="G57" s="74">
        <f t="shared" si="1"/>
        <v>0</v>
      </c>
      <c r="H57" s="363">
        <f>IF(ISERROR(VLOOKUP(B57,Données!$A$3:$U$1479,12,FALSE)),0,VLOOKUP(B57,Données!$A$3:$U$1479,12,FALSE))</f>
        <v>0</v>
      </c>
      <c r="I57" s="74">
        <f>IF(((E57+5)-'Calcul Masse Salariale'!$B$1)&lt;=0,0,(E57+5)-'Calcul Masse Salariale'!$B$1)</f>
        <v>0</v>
      </c>
      <c r="J57" s="59"/>
    </row>
    <row r="58" spans="1:10" ht="15.75" x14ac:dyDescent="0.25">
      <c r="A58" s="497"/>
      <c r="B58" s="74"/>
      <c r="C58" s="74" t="str">
        <f>IF(ISERROR(VLOOKUP(B58,Données!$A$3:$L$1479,5,FALSE)),"",VLOOKUP(B58,Données!$A$3:$L$1479,5,FALSE))</f>
        <v/>
      </c>
      <c r="D58" s="347" t="str">
        <f>IF(ISERROR(VLOOKUP(B58,Données!$A$3:$X$1479,23,FALSE)),"",VLOOKUP(B58,Données!$A$3:$X$1479,23,FALSE))</f>
        <v/>
      </c>
      <c r="E58" s="74"/>
      <c r="F58" s="358">
        <f>IF(ISERROR(VLOOKUP(B58,Données!$A$3:$U$1479,11,FALSE)),0,VLOOKUP(B58,Données!$A$3:$U$1479,11,FALSE))</f>
        <v>0</v>
      </c>
      <c r="G58" s="74">
        <f t="shared" si="1"/>
        <v>0</v>
      </c>
      <c r="H58" s="363">
        <f>IF(ISERROR(VLOOKUP(B58,Données!$A$3:$U$1479,12,FALSE)),0,VLOOKUP(B58,Données!$A$3:$U$1479,12,FALSE))</f>
        <v>0</v>
      </c>
      <c r="I58" s="74">
        <f>IF(((E58+5)-'Calcul Masse Salariale'!$B$1)&lt;=0,0,(E58+5)-'Calcul Masse Salariale'!$B$1)</f>
        <v>0</v>
      </c>
      <c r="J58" s="59"/>
    </row>
    <row r="59" spans="1:10" ht="15.75" x14ac:dyDescent="0.25">
      <c r="A59" s="497"/>
      <c r="B59" s="74"/>
      <c r="C59" s="74" t="str">
        <f>IF(ISERROR(VLOOKUP(B59,Données!$A$3:$L$1479,5,FALSE)),"",VLOOKUP(B59,Données!$A$3:$L$1479,5,FALSE))</f>
        <v/>
      </c>
      <c r="D59" s="347" t="str">
        <f>IF(ISERROR(VLOOKUP(B59,Données!$A$3:$X$1479,23,FALSE)),"",VLOOKUP(B59,Données!$A$3:$X$1479,23,FALSE))</f>
        <v/>
      </c>
      <c r="E59" s="74"/>
      <c r="F59" s="358">
        <f>IF(ISERROR(VLOOKUP(B59,Données!$A$3:$U$1479,11,FALSE)),0,VLOOKUP(B59,Données!$A$3:$U$1479,11,FALSE))</f>
        <v>0</v>
      </c>
      <c r="G59" s="74">
        <f t="shared" si="1"/>
        <v>0</v>
      </c>
      <c r="H59" s="363">
        <f>IF(ISERROR(VLOOKUP(B59,Données!$A$3:$U$1479,12,FALSE)),0,VLOOKUP(B59,Données!$A$3:$U$1479,12,FALSE))</f>
        <v>0</v>
      </c>
      <c r="I59" s="74">
        <f>IF(((E59+5)-'Calcul Masse Salariale'!$B$1)&lt;=0,0,(E59+5)-'Calcul Masse Salariale'!$B$1)</f>
        <v>0</v>
      </c>
      <c r="J59" s="59"/>
    </row>
    <row r="60" spans="1:10" ht="15.75" x14ac:dyDescent="0.25">
      <c r="A60" s="497"/>
      <c r="B60" s="74"/>
      <c r="C60" s="74" t="str">
        <f>IF(ISERROR(VLOOKUP(B60,Données!$A$3:$L$1479,5,FALSE)),"",VLOOKUP(B60,Données!$A$3:$L$1479,5,FALSE))</f>
        <v/>
      </c>
      <c r="D60" s="347" t="str">
        <f>IF(ISERROR(VLOOKUP(B60,Données!$A$3:$X$1479,23,FALSE)),"",VLOOKUP(B60,Données!$A$3:$X$1479,23,FALSE))</f>
        <v/>
      </c>
      <c r="E60" s="74"/>
      <c r="F60" s="358">
        <f>IF(ISERROR(VLOOKUP(B60,Données!$A$3:$U$1479,11,FALSE)),0,VLOOKUP(B60,Données!$A$3:$U$1479,11,FALSE))</f>
        <v>0</v>
      </c>
      <c r="G60" s="74">
        <f t="shared" si="1"/>
        <v>0</v>
      </c>
      <c r="H60" s="363">
        <f>IF(ISERROR(VLOOKUP(B60,Données!$A$3:$U$1479,12,FALSE)),0,VLOOKUP(B60,Données!$A$3:$U$1479,12,FALSE))</f>
        <v>0</v>
      </c>
      <c r="I60" s="74">
        <f>IF(((E60+5)-'Calcul Masse Salariale'!$B$1)&lt;=0,0,(E60+5)-'Calcul Masse Salariale'!$B$1)</f>
        <v>0</v>
      </c>
      <c r="J60" s="59"/>
    </row>
    <row r="61" spans="1:10" ht="15.75" x14ac:dyDescent="0.25">
      <c r="A61" s="497"/>
      <c r="B61" s="74"/>
      <c r="C61" s="74" t="str">
        <f>IF(ISERROR(VLOOKUP(B61,Données!$A$3:$L$1479,5,FALSE)),"",VLOOKUP(B61,Données!$A$3:$L$1479,5,FALSE))</f>
        <v/>
      </c>
      <c r="D61" s="347" t="str">
        <f>IF(ISERROR(VLOOKUP(B61,Données!$A$3:$X$1479,23,FALSE)),"",VLOOKUP(B61,Données!$A$3:$X$1479,23,FALSE))</f>
        <v/>
      </c>
      <c r="E61" s="74"/>
      <c r="F61" s="358">
        <f>IF(ISERROR(VLOOKUP(B61,Données!$A$3:$U$1479,11,FALSE)),0,VLOOKUP(B61,Données!$A$3:$U$1479,11,FALSE))</f>
        <v>0</v>
      </c>
      <c r="G61" s="74">
        <f t="shared" si="1"/>
        <v>0</v>
      </c>
      <c r="H61" s="363">
        <f>IF(ISERROR(VLOOKUP(B61,Données!$A$3:$U$1479,12,FALSE)),0,VLOOKUP(B61,Données!$A$3:$U$1479,12,FALSE))</f>
        <v>0</v>
      </c>
      <c r="I61" s="74">
        <f>IF(((E61+5)-'Calcul Masse Salariale'!$B$1)&lt;=0,0,(E61+5)-'Calcul Masse Salariale'!$B$1)</f>
        <v>0</v>
      </c>
      <c r="J61" s="59"/>
    </row>
    <row r="62" spans="1:10" ht="15.75" x14ac:dyDescent="0.25">
      <c r="A62" s="497"/>
      <c r="B62" s="74"/>
      <c r="C62" s="74" t="str">
        <f>IF(ISERROR(VLOOKUP(B62,Données!$A$3:$L$1479,5,FALSE)),"",VLOOKUP(B62,Données!$A$3:$L$1479,5,FALSE))</f>
        <v/>
      </c>
      <c r="D62" s="347" t="str">
        <f>IF(ISERROR(VLOOKUP(B62,Données!$A$3:$X$1479,23,FALSE)),"",VLOOKUP(B62,Données!$A$3:$X$1479,23,FALSE))</f>
        <v/>
      </c>
      <c r="E62" s="74"/>
      <c r="F62" s="358">
        <f>IF(ISERROR(VLOOKUP(B62,Données!$A$3:$U$1479,11,FALSE)),0,VLOOKUP(B62,Données!$A$3:$U$1479,11,FALSE))</f>
        <v>0</v>
      </c>
      <c r="G62" s="74">
        <f t="shared" si="1"/>
        <v>0</v>
      </c>
      <c r="H62" s="363">
        <f>IF(ISERROR(VLOOKUP(B62,Données!$A$3:$U$1479,12,FALSE)),0,VLOOKUP(B62,Données!$A$3:$U$1479,12,FALSE))</f>
        <v>0</v>
      </c>
      <c r="I62" s="74">
        <f>IF(((E62+5)-'Calcul Masse Salariale'!$B$1)&lt;=0,0,(E62+5)-'Calcul Masse Salariale'!$B$1)</f>
        <v>0</v>
      </c>
      <c r="J62" s="59"/>
    </row>
    <row r="63" spans="1:10" ht="15.75" x14ac:dyDescent="0.25">
      <c r="A63" s="497"/>
      <c r="B63" s="74"/>
      <c r="C63" s="74" t="str">
        <f>IF(ISERROR(VLOOKUP(B63,Données!$A$3:$L$1479,5,FALSE)),"",VLOOKUP(B63,Données!$A$3:$L$1479,5,FALSE))</f>
        <v/>
      </c>
      <c r="D63" s="347" t="str">
        <f>IF(ISERROR(VLOOKUP(B63,Données!$A$3:$X$1479,23,FALSE)),"",VLOOKUP(B63,Données!$A$3:$X$1479,23,FALSE))</f>
        <v/>
      </c>
      <c r="E63" s="74"/>
      <c r="F63" s="358">
        <f>IF(ISERROR(VLOOKUP(B63,Données!$A$3:$U$1479,11,FALSE)),0,VLOOKUP(B63,Données!$A$3:$U$1479,11,FALSE))</f>
        <v>0</v>
      </c>
      <c r="G63" s="74">
        <f t="shared" si="1"/>
        <v>0</v>
      </c>
      <c r="H63" s="363">
        <f>IF(ISERROR(VLOOKUP(B63,Données!$A$3:$U$1479,12,FALSE)),0,VLOOKUP(B63,Données!$A$3:$U$1479,12,FALSE))</f>
        <v>0</v>
      </c>
      <c r="I63" s="74">
        <f>IF(((E63+5)-'Calcul Masse Salariale'!$B$1)&lt;=0,0,(E63+5)-'Calcul Masse Salariale'!$B$1)</f>
        <v>0</v>
      </c>
      <c r="J63" s="59"/>
    </row>
    <row r="64" spans="1:10" ht="15.75" x14ac:dyDescent="0.25">
      <c r="A64" s="497"/>
      <c r="B64" s="74"/>
      <c r="C64" s="74" t="str">
        <f>IF(ISERROR(VLOOKUP(B64,Données!$A$3:$L$1479,5,FALSE)),"",VLOOKUP(B64,Données!$A$3:$L$1479,5,FALSE))</f>
        <v/>
      </c>
      <c r="D64" s="347" t="str">
        <f>IF(ISERROR(VLOOKUP(B64,Données!$A$3:$X$1479,23,FALSE)),"",VLOOKUP(B64,Données!$A$3:$X$1479,23,FALSE))</f>
        <v/>
      </c>
      <c r="E64" s="74"/>
      <c r="F64" s="358">
        <f>IF(ISERROR(VLOOKUP(B64,Données!$A$3:$U$1479,11,FALSE)),0,VLOOKUP(B64,Données!$A$3:$U$1479,11,FALSE))</f>
        <v>0</v>
      </c>
      <c r="G64" s="74">
        <f t="shared" si="1"/>
        <v>0</v>
      </c>
      <c r="H64" s="363">
        <f>IF(ISERROR(VLOOKUP(B64,Données!$A$3:$U$1479,12,FALSE)),0,VLOOKUP(B64,Données!$A$3:$U$1479,12,FALSE))</f>
        <v>0</v>
      </c>
      <c r="I64" s="74">
        <f>IF(((E64+5)-'Calcul Masse Salariale'!$B$1)&lt;=0,0,(E64+5)-'Calcul Masse Salariale'!$B$1)</f>
        <v>0</v>
      </c>
      <c r="J64" s="59"/>
    </row>
    <row r="65" spans="1:10" ht="15.75" x14ac:dyDescent="0.25">
      <c r="A65" s="497"/>
      <c r="B65" s="74"/>
      <c r="C65" s="74" t="str">
        <f>IF(ISERROR(VLOOKUP(B65,Données!$A$3:$L$1479,5,FALSE)),"",VLOOKUP(B65,Données!$A$3:$L$1479,5,FALSE))</f>
        <v/>
      </c>
      <c r="D65" s="347" t="str">
        <f>IF(ISERROR(VLOOKUP(B65,Données!$A$3:$X$1479,23,FALSE)),"",VLOOKUP(B65,Données!$A$3:$X$1479,23,FALSE))</f>
        <v/>
      </c>
      <c r="E65" s="74"/>
      <c r="F65" s="358">
        <f>IF(ISERROR(VLOOKUP(B65,Données!$A$3:$U$1479,11,FALSE)),0,VLOOKUP(B65,Données!$A$3:$U$1479,11,FALSE))</f>
        <v>0</v>
      </c>
      <c r="G65" s="74">
        <f t="shared" si="1"/>
        <v>0</v>
      </c>
      <c r="H65" s="363">
        <f>IF(ISERROR(VLOOKUP(B65,Données!$A$3:$U$1479,12,FALSE)),0,VLOOKUP(B65,Données!$A$3:$U$1479,12,FALSE))</f>
        <v>0</v>
      </c>
      <c r="I65" s="74">
        <f>IF(((E65+5)-'Calcul Masse Salariale'!$B$1)&lt;=0,0,(E65+5)-'Calcul Masse Salariale'!$B$1)</f>
        <v>0</v>
      </c>
      <c r="J65" s="59"/>
    </row>
    <row r="66" spans="1:10" ht="15.75" x14ac:dyDescent="0.25">
      <c r="A66" s="497"/>
      <c r="B66" s="74"/>
      <c r="C66" s="74" t="str">
        <f>IF(ISERROR(VLOOKUP(B66,Données!$A$3:$L$1479,5,FALSE)),"",VLOOKUP(B66,Données!$A$3:$L$1479,5,FALSE))</f>
        <v/>
      </c>
      <c r="D66" s="347" t="str">
        <f>IF(ISERROR(VLOOKUP(B66,Données!$A$3:$X$1479,23,FALSE)),"",VLOOKUP(B66,Données!$A$3:$X$1479,23,FALSE))</f>
        <v/>
      </c>
      <c r="E66" s="74"/>
      <c r="F66" s="358">
        <f>IF(ISERROR(VLOOKUP(B66,Données!$A$3:$U$1479,11,FALSE)),0,VLOOKUP(B66,Données!$A$3:$U$1479,11,FALSE))</f>
        <v>0</v>
      </c>
      <c r="G66" s="74">
        <f t="shared" si="1"/>
        <v>0</v>
      </c>
      <c r="H66" s="363">
        <f>IF(ISERROR(VLOOKUP(B66,Données!$A$3:$U$1479,12,FALSE)),0,VLOOKUP(B66,Données!$A$3:$U$1479,12,FALSE))</f>
        <v>0</v>
      </c>
      <c r="I66" s="74">
        <f>IF(((E66+5)-'Calcul Masse Salariale'!$B$1)&lt;=0,0,(E66+5)-'Calcul Masse Salariale'!$B$1)</f>
        <v>0</v>
      </c>
      <c r="J66" s="59"/>
    </row>
    <row r="67" spans="1:10" ht="15.75" x14ac:dyDescent="0.25">
      <c r="A67" s="497"/>
      <c r="B67" s="74"/>
      <c r="C67" s="74" t="str">
        <f>IF(ISERROR(VLOOKUP(B67,Données!$A$3:$L$1479,5,FALSE)),"",VLOOKUP(B67,Données!$A$3:$L$1479,5,FALSE))</f>
        <v/>
      </c>
      <c r="D67" s="347" t="str">
        <f>IF(ISERROR(VLOOKUP(B67,Données!$A$3:$X$1479,23,FALSE)),"",VLOOKUP(B67,Données!$A$3:$X$1479,23,FALSE))</f>
        <v/>
      </c>
      <c r="E67" s="74"/>
      <c r="F67" s="358">
        <f>IF(ISERROR(VLOOKUP(B67,Données!$A$3:$U$1479,11,FALSE)),0,VLOOKUP(B67,Données!$A$3:$U$1479,11,FALSE))</f>
        <v>0</v>
      </c>
      <c r="G67" s="74">
        <f t="shared" si="1"/>
        <v>0</v>
      </c>
      <c r="H67" s="363">
        <f>IF(ISERROR(VLOOKUP(B67,Données!$A$3:$U$1479,12,FALSE)),0,VLOOKUP(B67,Données!$A$3:$U$1479,12,FALSE))</f>
        <v>0</v>
      </c>
      <c r="I67" s="74">
        <f>IF(((E67+5)-'Calcul Masse Salariale'!$B$1)&lt;=0,0,(E67+5)-'Calcul Masse Salariale'!$B$1)</f>
        <v>0</v>
      </c>
      <c r="J67" s="59"/>
    </row>
    <row r="68" spans="1:10" ht="15.75" x14ac:dyDescent="0.25">
      <c r="A68" s="497"/>
      <c r="B68" s="74"/>
      <c r="C68" s="74" t="str">
        <f>IF(ISERROR(VLOOKUP(B68,Données!$A$3:$L$1479,5,FALSE)),"",VLOOKUP(B68,Données!$A$3:$L$1479,5,FALSE))</f>
        <v/>
      </c>
      <c r="D68" s="347" t="str">
        <f>IF(ISERROR(VLOOKUP(B68,Données!$A$3:$X$1479,23,FALSE)),"",VLOOKUP(B68,Données!$A$3:$X$1479,23,FALSE))</f>
        <v/>
      </c>
      <c r="E68" s="74"/>
      <c r="F68" s="358">
        <f>IF(ISERROR(VLOOKUP(B68,Données!$A$3:$U$1479,11,FALSE)),0,VLOOKUP(B68,Données!$A$3:$U$1479,11,FALSE))</f>
        <v>0</v>
      </c>
      <c r="G68" s="74">
        <f t="shared" si="1"/>
        <v>0</v>
      </c>
      <c r="H68" s="363">
        <f>IF(ISERROR(VLOOKUP(B68,Données!$A$3:$U$1479,12,FALSE)),0,VLOOKUP(B68,Données!$A$3:$U$1479,12,FALSE))</f>
        <v>0</v>
      </c>
      <c r="I68" s="74">
        <f>IF(((E68+5)-'Calcul Masse Salariale'!$B$1)&lt;=0,0,(E68+5)-'Calcul Masse Salariale'!$B$1)</f>
        <v>0</v>
      </c>
      <c r="J68" s="59"/>
    </row>
    <row r="69" spans="1:10" ht="15.75" x14ac:dyDescent="0.25">
      <c r="A69" s="497"/>
      <c r="B69" s="74"/>
      <c r="C69" s="74" t="str">
        <f>IF(ISERROR(VLOOKUP(B69,Données!$A$3:$L$1479,5,FALSE)),"",VLOOKUP(B69,Données!$A$3:$L$1479,5,FALSE))</f>
        <v/>
      </c>
      <c r="D69" s="347" t="str">
        <f>IF(ISERROR(VLOOKUP(B69,Données!$A$3:$X$1479,23,FALSE)),"",VLOOKUP(B69,Données!$A$3:$X$1479,23,FALSE))</f>
        <v/>
      </c>
      <c r="E69" s="74"/>
      <c r="F69" s="358">
        <f>IF(ISERROR(VLOOKUP(B69,Données!$A$3:$U$1479,11,FALSE)),0,VLOOKUP(B69,Données!$A$3:$U$1479,11,FALSE))</f>
        <v>0</v>
      </c>
      <c r="G69" s="74">
        <f t="shared" si="1"/>
        <v>0</v>
      </c>
      <c r="H69" s="363">
        <f>IF(ISERROR(VLOOKUP(B69,Données!$A$3:$U$1479,12,FALSE)),0,VLOOKUP(B69,Données!$A$3:$U$1479,12,FALSE))</f>
        <v>0</v>
      </c>
      <c r="I69" s="74">
        <f>IF(((E69+5)-'Calcul Masse Salariale'!$B$1)&lt;=0,0,(E69+5)-'Calcul Masse Salariale'!$B$1)</f>
        <v>0</v>
      </c>
      <c r="J69" s="59"/>
    </row>
    <row r="70" spans="1:10" ht="15.75" x14ac:dyDescent="0.25">
      <c r="A70" s="497"/>
      <c r="B70" s="74"/>
      <c r="C70" s="74" t="str">
        <f>IF(ISERROR(VLOOKUP(B70,Données!$A$3:$L$1479,5,FALSE)),"",VLOOKUP(B70,Données!$A$3:$L$1479,5,FALSE))</f>
        <v/>
      </c>
      <c r="D70" s="347" t="str">
        <f>IF(ISERROR(VLOOKUP(B70,Données!$A$3:$X$1479,23,FALSE)),"",VLOOKUP(B70,Données!$A$3:$X$1479,23,FALSE))</f>
        <v/>
      </c>
      <c r="E70" s="74"/>
      <c r="F70" s="358">
        <f>IF(ISERROR(VLOOKUP(B70,Données!$A$3:$U$1479,11,FALSE)),0,VLOOKUP(B70,Données!$A$3:$U$1479,11,FALSE))</f>
        <v>0</v>
      </c>
      <c r="G70" s="74">
        <f t="shared" si="1"/>
        <v>0</v>
      </c>
      <c r="H70" s="363">
        <f>IF(ISERROR(VLOOKUP(B70,Données!$A$3:$U$1479,12,FALSE)),0,VLOOKUP(B70,Données!$A$3:$U$1479,12,FALSE))</f>
        <v>0</v>
      </c>
      <c r="I70" s="74">
        <f>IF(((E70+5)-'Calcul Masse Salariale'!$B$1)&lt;=0,0,(E70+5)-'Calcul Masse Salariale'!$B$1)</f>
        <v>0</v>
      </c>
      <c r="J70" s="59"/>
    </row>
    <row r="71" spans="1:10" ht="15.75" x14ac:dyDescent="0.25">
      <c r="A71" s="497"/>
      <c r="B71" s="74"/>
      <c r="C71" s="74" t="str">
        <f>IF(ISERROR(VLOOKUP(B71,Données!$A$3:$L$1479,5,FALSE)),"",VLOOKUP(B71,Données!$A$3:$L$1479,5,FALSE))</f>
        <v/>
      </c>
      <c r="D71" s="347" t="str">
        <f>IF(ISERROR(VLOOKUP(B71,Données!$A$3:$X$1479,23,FALSE)),"",VLOOKUP(B71,Données!$A$3:$X$1479,23,FALSE))</f>
        <v/>
      </c>
      <c r="E71" s="74"/>
      <c r="F71" s="358">
        <f>IF(ISERROR(VLOOKUP(B71,Données!$A$3:$U$1479,11,FALSE)),0,VLOOKUP(B71,Données!$A$3:$U$1479,11,FALSE))</f>
        <v>0</v>
      </c>
      <c r="G71" s="74">
        <f t="shared" si="1"/>
        <v>0</v>
      </c>
      <c r="H71" s="363">
        <f>IF(ISERROR(VLOOKUP(B71,Données!$A$3:$U$1479,12,FALSE)),0,VLOOKUP(B71,Données!$A$3:$U$1479,12,FALSE))</f>
        <v>0</v>
      </c>
      <c r="I71" s="74">
        <f>IF(((E71+5)-'Calcul Masse Salariale'!$B$1)&lt;=0,0,(E71+5)-'Calcul Masse Salariale'!$B$1)</f>
        <v>0</v>
      </c>
      <c r="J71" s="59"/>
    </row>
    <row r="72" spans="1:10" ht="15.75" x14ac:dyDescent="0.25">
      <c r="A72" s="497"/>
      <c r="B72" s="74"/>
      <c r="C72" s="74" t="str">
        <f>IF(ISERROR(VLOOKUP(B72,Données!$A$3:$L$1479,5,FALSE)),"",VLOOKUP(B72,Données!$A$3:$L$1479,5,FALSE))</f>
        <v/>
      </c>
      <c r="D72" s="347" t="str">
        <f>IF(ISERROR(VLOOKUP(B72,Données!$A$3:$X$1479,23,FALSE)),"",VLOOKUP(B72,Données!$A$3:$X$1479,23,FALSE))</f>
        <v/>
      </c>
      <c r="E72" s="74"/>
      <c r="F72" s="358">
        <f>IF(ISERROR(VLOOKUP(B72,Données!$A$3:$U$1479,11,FALSE)),0,VLOOKUP(B72,Données!$A$3:$U$1479,11,FALSE))</f>
        <v>0</v>
      </c>
      <c r="G72" s="74">
        <f t="shared" si="1"/>
        <v>0</v>
      </c>
      <c r="H72" s="363">
        <f>IF(ISERROR(VLOOKUP(B72,Données!$A$3:$U$1479,12,FALSE)),0,VLOOKUP(B72,Données!$A$3:$U$1479,12,FALSE))</f>
        <v>0</v>
      </c>
      <c r="I72" s="74">
        <f>IF(((E72+5)-'Calcul Masse Salariale'!$B$1)&lt;=0,0,(E72+5)-'Calcul Masse Salariale'!$B$1)</f>
        <v>0</v>
      </c>
      <c r="J72" s="59"/>
    </row>
    <row r="73" spans="1:10" ht="15.75" x14ac:dyDescent="0.25">
      <c r="A73" s="497"/>
      <c r="B73" s="74"/>
      <c r="C73" s="74" t="str">
        <f>IF(ISERROR(VLOOKUP(B73,Données!$A$3:$L$1479,5,FALSE)),"",VLOOKUP(B73,Données!$A$3:$L$1479,5,FALSE))</f>
        <v/>
      </c>
      <c r="D73" s="347" t="str">
        <f>IF(ISERROR(VLOOKUP(B73,Données!$A$3:$X$1479,23,FALSE)),"",VLOOKUP(B73,Données!$A$3:$X$1479,23,FALSE))</f>
        <v/>
      </c>
      <c r="E73" s="74"/>
      <c r="F73" s="358">
        <f>IF(ISERROR(VLOOKUP(B73,Données!$A$3:$U$1479,11,FALSE)),0,VLOOKUP(B73,Données!$A$3:$U$1479,11,FALSE))</f>
        <v>0</v>
      </c>
      <c r="G73" s="74">
        <f t="shared" si="1"/>
        <v>0</v>
      </c>
      <c r="H73" s="363">
        <f>IF(ISERROR(VLOOKUP(B73,Données!$A$3:$U$1479,12,FALSE)),0,VLOOKUP(B73,Données!$A$3:$U$1479,12,FALSE))</f>
        <v>0</v>
      </c>
      <c r="I73" s="74">
        <f>IF(((E73+5)-'Calcul Masse Salariale'!$B$1)&lt;=0,0,(E73+5)-'Calcul Masse Salariale'!$B$1)</f>
        <v>0</v>
      </c>
      <c r="J73" s="59"/>
    </row>
    <row r="74" spans="1:10" x14ac:dyDescent="0.25">
      <c r="B74" s="74"/>
      <c r="E74" s="74"/>
      <c r="F74" s="74"/>
      <c r="G74" s="400"/>
      <c r="H74" s="74"/>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11">
      <iconSet iconSet="3Symbols" showValue="0" reverse="1">
        <cfvo type="percent" val="0"/>
        <cfvo type="num" val="0.5" gte="0"/>
        <cfvo type="num" val="1"/>
      </iconSet>
    </cfRule>
  </conditionalFormatting>
  <conditionalFormatting sqref="H3">
    <cfRule type="expression" dxfId="26" priority="7">
      <formula>(F3&lt;&gt;H3)</formula>
    </cfRule>
  </conditionalFormatting>
  <conditionalFormatting sqref="H4:H30">
    <cfRule type="expression" dxfId="25" priority="6">
      <formula>(F4&lt;&gt;H4)</formula>
    </cfRule>
  </conditionalFormatting>
  <conditionalFormatting sqref="G52:G73">
    <cfRule type="iconSet" priority="4">
      <iconSet iconSet="3Flags" showValue="0">
        <cfvo type="percent" val="0"/>
        <cfvo type="num" val="1"/>
        <cfvo type="num" val="2"/>
      </iconSet>
    </cfRule>
  </conditionalFormatting>
  <conditionalFormatting sqref="G35">
    <cfRule type="iconSet" priority="3">
      <iconSet iconSet="3Symbols" showValue="0" reverse="1">
        <cfvo type="percent" val="0"/>
        <cfvo type="num" val="0.5" gte="0"/>
        <cfvo type="num" val="1"/>
      </iconSet>
    </cfRule>
  </conditionalFormatting>
  <conditionalFormatting sqref="G39:G51">
    <cfRule type="iconSet" priority="67">
      <iconSet iconSet="3Flags" showValue="0">
        <cfvo type="percent" val="0"/>
        <cfvo type="num" val="1"/>
        <cfvo type="num" val="2"/>
      </iconSet>
    </cfRule>
  </conditionalFormatting>
  <conditionalFormatting sqref="H39:H73">
    <cfRule type="expression" dxfId="24" priority="1">
      <formula>(F39&lt;&gt;H39)</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10" id="{8A129E53-7AB6-4EDB-B105-3A5519D533A6}">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B7DF6CA8-FE94-42EC-B892-7BE445DFECE9}">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T74"/>
  <sheetViews>
    <sheetView zoomScale="85" zoomScaleNormal="85" workbookViewId="0">
      <selection activeCell="B55" sqref="B55"/>
    </sheetView>
  </sheetViews>
  <sheetFormatPr baseColWidth="10" defaultColWidth="11.42578125" defaultRowHeight="15" x14ac:dyDescent="0.25"/>
  <cols>
    <col min="1" max="1" width="12.42578125" style="245" customWidth="1"/>
    <col min="2" max="2" width="24.7109375" style="245" customWidth="1"/>
    <col min="3" max="3" width="7.140625" style="259" bestFit="1" customWidth="1"/>
    <col min="4" max="4" width="4" style="259" bestFit="1" customWidth="1"/>
    <col min="5" max="5" width="13.140625" style="245" bestFit="1" customWidth="1"/>
    <col min="6" max="6" width="24.140625" style="245" bestFit="1" customWidth="1"/>
    <col min="7" max="7" width="15.42578125" style="270" bestFit="1" customWidth="1"/>
    <col min="8" max="8" width="23.7109375" style="245" bestFit="1" customWidth="1"/>
    <col min="9" max="9" width="11.28515625" style="245" customWidth="1"/>
    <col min="10" max="10" width="2" style="245" customWidth="1"/>
    <col min="11" max="11" width="15.28515625" style="245" customWidth="1"/>
    <col min="12" max="12" width="25.140625" style="245" customWidth="1"/>
    <col min="13" max="13" width="2" style="244" customWidth="1"/>
    <col min="14" max="14" width="11.42578125" style="245"/>
    <col min="15" max="15" width="18.5703125" style="245" customWidth="1"/>
    <col min="16" max="16" width="14.28515625" style="245" customWidth="1"/>
    <col min="17" max="18" width="10.5703125" style="245" bestFit="1" customWidth="1"/>
    <col min="19" max="16384" width="11.42578125" style="245"/>
  </cols>
  <sheetData>
    <row r="1" spans="1:20" ht="21.75" thickBot="1" x14ac:dyDescent="0.4">
      <c r="A1" s="552" t="s">
        <v>41</v>
      </c>
      <c r="B1" s="552"/>
      <c r="C1" s="552"/>
      <c r="D1" s="345"/>
      <c r="E1" s="242" t="s">
        <v>187</v>
      </c>
      <c r="F1" s="301">
        <f>SUM(F3:F30)</f>
        <v>0</v>
      </c>
      <c r="G1" s="242" t="s">
        <v>188</v>
      </c>
      <c r="H1" s="301">
        <f>F32</f>
        <v>102000000</v>
      </c>
      <c r="I1" s="243"/>
      <c r="J1" s="244"/>
      <c r="K1" s="246" t="s">
        <v>59</v>
      </c>
      <c r="L1" s="246"/>
      <c r="N1" s="244"/>
      <c r="O1" s="557" t="s">
        <v>45</v>
      </c>
      <c r="P1" s="557"/>
      <c r="Q1" s="557"/>
      <c r="R1" s="557"/>
      <c r="S1" s="269"/>
    </row>
    <row r="2" spans="1:20" ht="30" x14ac:dyDescent="0.25">
      <c r="A2" s="544" t="s">
        <v>38</v>
      </c>
      <c r="B2" s="247" t="s">
        <v>36</v>
      </c>
      <c r="C2" s="247" t="s">
        <v>52</v>
      </c>
      <c r="D2" s="247" t="s">
        <v>403</v>
      </c>
      <c r="E2" s="247" t="s">
        <v>5</v>
      </c>
      <c r="F2" s="248" t="s">
        <v>1155</v>
      </c>
      <c r="G2" s="249" t="s">
        <v>189</v>
      </c>
      <c r="H2" s="250" t="s">
        <v>2676</v>
      </c>
      <c r="I2" s="251" t="s">
        <v>2403</v>
      </c>
      <c r="J2" s="244"/>
      <c r="N2" s="253" t="s">
        <v>112</v>
      </c>
      <c r="O2" s="378" t="s">
        <v>108</v>
      </c>
      <c r="P2" s="386" t="s">
        <v>109</v>
      </c>
      <c r="Q2" s="252" t="s">
        <v>46</v>
      </c>
      <c r="R2" s="252" t="s">
        <v>55</v>
      </c>
    </row>
    <row r="3" spans="1:20" ht="15.75" x14ac:dyDescent="0.25">
      <c r="A3" s="544"/>
      <c r="B3" s="254" t="s">
        <v>240</v>
      </c>
      <c r="C3" s="255" t="str">
        <f>IF(ISERROR(VLOOKUP(B3,Données!$A$3:$L$1479,5,FALSE)),"",VLOOKUP(B3,Données!$A$3:$L$1479,5,FALSE))</f>
        <v/>
      </c>
      <c r="D3" s="347" t="str">
        <f>IF(ISERROR(VLOOKUP(B3,Données!$A$3:$X$1479,23,FALSE)),"",VLOOKUP(B3,Données!$A$3:$X$1479,23,FALSE))</f>
        <v/>
      </c>
      <c r="E3" s="255" t="str">
        <f>IF(ISERROR(VLOOKUP(B3,Données!$A$3:$L$1479,7,FALSE)),"",VLOOKUP(B3,Données!$A$3:$L$1479,7,FALSE))</f>
        <v/>
      </c>
      <c r="F3" s="256">
        <f>IF(ISERROR(VLOOKUP(B3,Données!$A$3:$U$1479,11,FALSE)),0,VLOOKUP(B3,Données!$A$3:$U$1479,11,FALSE))</f>
        <v>0</v>
      </c>
      <c r="G3" s="257">
        <f>VALUE(COUNTIF(Validation!$A$2:$H$64,B3))-1</f>
        <v>0</v>
      </c>
      <c r="H3" s="363">
        <f>IF(ISERROR(VLOOKUP(B3,Données!$A$3:$U$1479,12,FALSE)),0,VLOOKUP(B3,Données!$A$3:$U$1479,12,FALSE))</f>
        <v>0</v>
      </c>
      <c r="I3" s="258">
        <f>IF(ISERROR(VLOOKUP(B3,Données!$A$3:$U$1479,20,FALSE)),0,VLOOKUP(B3,Données!$A$3:$U$1479,20,FALSE))</f>
        <v>0</v>
      </c>
      <c r="J3" s="244"/>
      <c r="P3" s="41"/>
      <c r="Q3" s="463"/>
      <c r="R3" s="463" t="str">
        <f>IF(Q3="","",Q3+7)</f>
        <v/>
      </c>
    </row>
    <row r="4" spans="1:20" ht="15.75" x14ac:dyDescent="0.25">
      <c r="A4" s="544"/>
      <c r="B4" s="274" t="s">
        <v>241</v>
      </c>
      <c r="C4" s="255" t="str">
        <f>IF(ISERROR(VLOOKUP(B4,Données!$A$3:$L$1479,5,FALSE)),"",VLOOKUP(B4,Données!$A$3:$L$1479,5,FALSE))</f>
        <v/>
      </c>
      <c r="D4" s="347" t="str">
        <f>IF(ISERROR(VLOOKUP(B4,Données!$A$3:$X$1479,23,FALSE)),"",VLOOKUP(B4,Données!$A$3:$X$1479,23,FALSE))</f>
        <v/>
      </c>
      <c r="E4" s="255" t="str">
        <f>IF(ISERROR(VLOOKUP(B4,Données!$A$3:$L$1479,7,FALSE)),"",VLOOKUP(B4,Données!$A$3:$L$1479,7,FALSE))</f>
        <v/>
      </c>
      <c r="F4" s="256">
        <f>IF(ISERROR(VLOOKUP(B4,Données!$A$3:$U$1479,11,FALSE)),0,VLOOKUP(B4,Données!$A$3:$U$1479,11,FALSE))</f>
        <v>0</v>
      </c>
      <c r="G4" s="257">
        <f>VALUE(COUNTIF(Validation!$A$2:$H$64,B4))-1</f>
        <v>0</v>
      </c>
      <c r="H4" s="363">
        <f>IF(ISERROR(VLOOKUP(B4,Données!$A$3:$U$1479,12,FALSE)),0,VLOOKUP(B4,Données!$A$3:$U$1479,12,FALSE))</f>
        <v>0</v>
      </c>
      <c r="I4" s="258">
        <f>IF(ISERROR(VLOOKUP(B4,Données!$A$3:$U$1479,20,FALSE)),0,VLOOKUP(B4,Données!$A$3:$U$1479,20,FALSE))</f>
        <v>0</v>
      </c>
      <c r="J4" s="244"/>
      <c r="O4" s="41"/>
      <c r="P4" s="41"/>
      <c r="Q4" s="463"/>
      <c r="R4" s="463" t="str">
        <f t="shared" ref="R4:R30" si="0">IF(Q4="","",Q4+7)</f>
        <v/>
      </c>
    </row>
    <row r="5" spans="1:20" ht="15.75" x14ac:dyDescent="0.25">
      <c r="A5" s="544"/>
      <c r="B5" s="274" t="s">
        <v>931</v>
      </c>
      <c r="C5" s="255" t="str">
        <f>IF(ISERROR(VLOOKUP(B5,Données!$A$3:$L$1479,5,FALSE)),"",VLOOKUP(B5,Données!$A$3:$L$1479,5,FALSE))</f>
        <v/>
      </c>
      <c r="D5" s="347" t="str">
        <f>IF(ISERROR(VLOOKUP(B5,Données!$A$3:$X$1479,23,FALSE)),"",VLOOKUP(B5,Données!$A$3:$X$1479,23,FALSE))</f>
        <v/>
      </c>
      <c r="E5" s="255" t="str">
        <f>IF(ISERROR(VLOOKUP(B5,Données!$A$3:$L$1479,7,FALSE)),"",VLOOKUP(B5,Données!$A$3:$L$1479,7,FALSE))</f>
        <v/>
      </c>
      <c r="F5" s="256">
        <f>IF(ISERROR(VLOOKUP(B5,Données!$A$3:$U$1479,11,FALSE)),0,VLOOKUP(B5,Données!$A$3:$U$1479,11,FALSE))</f>
        <v>0</v>
      </c>
      <c r="G5" s="257">
        <f>VALUE(COUNTIF(Validation!$A$2:$H$64,B5))-1</f>
        <v>0</v>
      </c>
      <c r="H5" s="363">
        <f>IF(ISERROR(VLOOKUP(B5,Données!$A$3:$U$1479,12,FALSE)),0,VLOOKUP(B5,Données!$A$3:$U$1479,12,FALSE))</f>
        <v>0</v>
      </c>
      <c r="I5" s="258">
        <f>IF(ISERROR(VLOOKUP(B5,Données!$A$3:$U$1479,20,FALSE)),0,VLOOKUP(B5,Données!$A$3:$U$1479,20,FALSE))</f>
        <v>0</v>
      </c>
      <c r="J5" s="244"/>
      <c r="O5" s="41"/>
      <c r="P5" s="41"/>
      <c r="Q5" s="463"/>
      <c r="R5" s="463" t="str">
        <f t="shared" si="0"/>
        <v/>
      </c>
    </row>
    <row r="6" spans="1:20" ht="15.75" x14ac:dyDescent="0.25">
      <c r="A6" s="544"/>
      <c r="B6" s="209" t="s">
        <v>242</v>
      </c>
      <c r="C6" s="255" t="str">
        <f>IF(ISERROR(VLOOKUP(B6,Données!$A$3:$L$1479,5,FALSE)),"",VLOOKUP(B6,Données!$A$3:$L$1479,5,FALSE))</f>
        <v/>
      </c>
      <c r="D6" s="347" t="str">
        <f>IF(ISERROR(VLOOKUP(B6,Données!$A$3:$X$1479,23,FALSE)),"",VLOOKUP(B6,Données!$A$3:$X$1479,23,FALSE))</f>
        <v/>
      </c>
      <c r="E6" s="255" t="str">
        <f>IF(ISERROR(VLOOKUP(B6,Données!$A$3:$L$1479,7,FALSE)),"",VLOOKUP(B6,Données!$A$3:$L$1479,7,FALSE))</f>
        <v/>
      </c>
      <c r="F6" s="256">
        <f>IF(ISERROR(VLOOKUP(B6,Données!$A$3:$U$1479,11,FALSE)),0,VLOOKUP(B6,Données!$A$3:$U$1479,11,FALSE))</f>
        <v>0</v>
      </c>
      <c r="G6" s="257">
        <f>VALUE(COUNTIF(Validation!$A$2:$H$64,B6))-1</f>
        <v>0</v>
      </c>
      <c r="H6" s="363">
        <f>IF(ISERROR(VLOOKUP(B6,Données!$A$3:$U$1479,12,FALSE)),0,VLOOKUP(B6,Données!$A$3:$U$1479,12,FALSE))</f>
        <v>0</v>
      </c>
      <c r="I6" s="258">
        <f>IF(ISERROR(VLOOKUP(B6,Données!$A$3:$U$1479,20,FALSE)),0,VLOOKUP(B6,Données!$A$3:$U$1479,20,FALSE))</f>
        <v>0</v>
      </c>
      <c r="J6" s="244"/>
      <c r="O6" s="41"/>
      <c r="P6" s="41"/>
      <c r="Q6" s="463"/>
      <c r="R6" s="463" t="str">
        <f t="shared" si="0"/>
        <v/>
      </c>
    </row>
    <row r="7" spans="1:20" ht="15.75" x14ac:dyDescent="0.25">
      <c r="A7" s="544"/>
      <c r="B7" s="209" t="s">
        <v>243</v>
      </c>
      <c r="C7" s="255" t="str">
        <f>IF(ISERROR(VLOOKUP(B7,Données!$A$3:$L$1479,5,FALSE)),"",VLOOKUP(B7,Données!$A$3:$L$1479,5,FALSE))</f>
        <v/>
      </c>
      <c r="D7" s="347" t="str">
        <f>IF(ISERROR(VLOOKUP(B7,Données!$A$3:$X$1479,23,FALSE)),"",VLOOKUP(B7,Données!$A$3:$X$1479,23,FALSE))</f>
        <v/>
      </c>
      <c r="E7" s="255" t="str">
        <f>IF(ISERROR(VLOOKUP(B7,Données!$A$3:$L$1479,7,FALSE)),"",VLOOKUP(B7,Données!$A$3:$L$1479,7,FALSE))</f>
        <v/>
      </c>
      <c r="F7" s="256">
        <f>IF(ISERROR(VLOOKUP(B7,Données!$A$3:$U$1479,11,FALSE)),0,VLOOKUP(B7,Données!$A$3:$U$1479,11,FALSE))</f>
        <v>0</v>
      </c>
      <c r="G7" s="257">
        <f>VALUE(COUNTIF(Validation!$A$2:$H$64,B7))-1</f>
        <v>0</v>
      </c>
      <c r="H7" s="363">
        <f>IF(ISERROR(VLOOKUP(B7,Données!$A$3:$U$1479,12,FALSE)),0,VLOOKUP(B7,Données!$A$3:$U$1479,12,FALSE))</f>
        <v>0</v>
      </c>
      <c r="I7" s="258">
        <f>IF(ISERROR(VLOOKUP(B7,Données!$A$3:$U$1479,20,FALSE)),0,VLOOKUP(B7,Données!$A$3:$U$1479,20,FALSE))</f>
        <v>0</v>
      </c>
      <c r="J7" s="244"/>
      <c r="N7" s="394"/>
      <c r="O7" s="41"/>
      <c r="P7" s="41"/>
      <c r="Q7" s="463"/>
      <c r="R7" s="463" t="str">
        <f t="shared" si="0"/>
        <v/>
      </c>
      <c r="S7" s="394"/>
      <c r="T7" s="394"/>
    </row>
    <row r="8" spans="1:20" ht="15.75" x14ac:dyDescent="0.25">
      <c r="A8" s="544"/>
      <c r="B8" s="209" t="s">
        <v>1056</v>
      </c>
      <c r="C8" s="255" t="str">
        <f>IF(ISERROR(VLOOKUP(B8,Données!$A$3:$L$1479,5,FALSE)),"",VLOOKUP(B8,Données!$A$3:$L$1479,5,FALSE))</f>
        <v/>
      </c>
      <c r="D8" s="347" t="str">
        <f>IF(ISERROR(VLOOKUP(B8,Données!$A$3:$X$1479,23,FALSE)),"",VLOOKUP(B8,Données!$A$3:$X$1479,23,FALSE))</f>
        <v/>
      </c>
      <c r="E8" s="255" t="str">
        <f>IF(ISERROR(VLOOKUP(B8,Données!$A$3:$L$1479,7,FALSE)),"",VLOOKUP(B8,Données!$A$3:$L$1479,7,FALSE))</f>
        <v/>
      </c>
      <c r="F8" s="256">
        <f>IF(ISERROR(VLOOKUP(B8,Données!$A$3:$U$1479,11,FALSE)),0,VLOOKUP(B8,Données!$A$3:$U$1479,11,FALSE))</f>
        <v>0</v>
      </c>
      <c r="G8" s="257">
        <f>VALUE(COUNTIF(Validation!$A$2:$H$64,B8))-1</f>
        <v>0</v>
      </c>
      <c r="H8" s="363">
        <f>IF(ISERROR(VLOOKUP(B8,Données!$A$3:$U$1479,12,FALSE)),0,VLOOKUP(B8,Données!$A$3:$U$1479,12,FALSE))</f>
        <v>0</v>
      </c>
      <c r="I8" s="258">
        <f>IF(ISERROR(VLOOKUP(B8,Données!$A$3:$U$1479,20,FALSE)),0,VLOOKUP(B8,Données!$A$3:$U$1479,20,FALSE))</f>
        <v>0</v>
      </c>
      <c r="J8" s="244"/>
      <c r="N8" s="41"/>
      <c r="O8" s="41"/>
      <c r="P8" s="41"/>
      <c r="Q8" s="463"/>
      <c r="R8" s="463" t="str">
        <f t="shared" si="0"/>
        <v/>
      </c>
    </row>
    <row r="9" spans="1:20" ht="15.75" x14ac:dyDescent="0.25">
      <c r="A9" s="544"/>
      <c r="B9" s="209" t="s">
        <v>704</v>
      </c>
      <c r="C9" s="255" t="str">
        <f>IF(ISERROR(VLOOKUP(B9,Données!$A$3:$L$1479,5,FALSE)),"",VLOOKUP(B9,Données!$A$3:$L$1479,5,FALSE))</f>
        <v/>
      </c>
      <c r="D9" s="347" t="str">
        <f>IF(ISERROR(VLOOKUP(B9,Données!$A$3:$X$1479,23,FALSE)),"",VLOOKUP(B9,Données!$A$3:$X$1479,23,FALSE))</f>
        <v/>
      </c>
      <c r="E9" s="255" t="str">
        <f>IF(ISERROR(VLOOKUP(B9,Données!$A$3:$L$1479,7,FALSE)),"",VLOOKUP(B9,Données!$A$3:$L$1479,7,FALSE))</f>
        <v/>
      </c>
      <c r="F9" s="256">
        <f>IF(ISERROR(VLOOKUP(B9,Données!$A$3:$U$1479,11,FALSE)),0,VLOOKUP(B9,Données!$A$3:$U$1479,11,FALSE))</f>
        <v>0</v>
      </c>
      <c r="G9" s="257">
        <f>VALUE(COUNTIF(Validation!$A$2:$H$64,B9))-1</f>
        <v>0</v>
      </c>
      <c r="H9" s="363">
        <f>IF(ISERROR(VLOOKUP(B9,Données!$A$3:$U$1479,12,FALSE)),0,VLOOKUP(B9,Données!$A$3:$U$1479,12,FALSE))</f>
        <v>0</v>
      </c>
      <c r="I9" s="258">
        <f>IF(ISERROR(VLOOKUP(B9,Données!$A$3:$U$1479,20,FALSE)),0,VLOOKUP(B9,Données!$A$3:$U$1479,20,FALSE))</f>
        <v>0</v>
      </c>
      <c r="J9" s="244"/>
      <c r="K9" s="546" t="s">
        <v>60</v>
      </c>
      <c r="L9" s="546"/>
      <c r="Q9" s="463"/>
      <c r="R9" s="463" t="str">
        <f t="shared" si="0"/>
        <v/>
      </c>
    </row>
    <row r="10" spans="1:20" ht="15.75" x14ac:dyDescent="0.25">
      <c r="A10" s="544"/>
      <c r="B10" s="209" t="s">
        <v>914</v>
      </c>
      <c r="C10" s="255" t="str">
        <f>IF(ISERROR(VLOOKUP(B10,Données!$A$3:$L$1479,5,FALSE)),"",VLOOKUP(B10,Données!$A$3:$L$1479,5,FALSE))</f>
        <v/>
      </c>
      <c r="D10" s="347" t="str">
        <f>IF(ISERROR(VLOOKUP(B10,Données!$A$3:$X$1479,23,FALSE)),"",VLOOKUP(B10,Données!$A$3:$X$1479,23,FALSE))</f>
        <v/>
      </c>
      <c r="E10" s="255" t="str">
        <f>IF(ISERROR(VLOOKUP(B10,Données!$A$3:$L$1479,7,FALSE)),"",VLOOKUP(B10,Données!$A$3:$L$1479,7,FALSE))</f>
        <v/>
      </c>
      <c r="F10" s="256">
        <f>IF(ISERROR(VLOOKUP(B10,Données!$A$3:$U$1479,11,FALSE)),0,VLOOKUP(B10,Données!$A$3:$U$1479,11,FALSE))</f>
        <v>0</v>
      </c>
      <c r="G10" s="257">
        <f>VALUE(COUNTIF(Validation!$A$2:$H$64,B10))-1</f>
        <v>0</v>
      </c>
      <c r="H10" s="363">
        <f>IF(ISERROR(VLOOKUP(B10,Données!$A$3:$U$1479,12,FALSE)),0,VLOOKUP(B10,Données!$A$3:$U$1479,12,FALSE))</f>
        <v>0</v>
      </c>
      <c r="I10" s="258">
        <f>IF(ISERROR(VLOOKUP(B10,Données!$A$3:$U$1479,20,FALSE)),0,VLOOKUP(B10,Données!$A$3:$U$1479,20,FALSE))</f>
        <v>0</v>
      </c>
      <c r="J10" s="244"/>
      <c r="K10" s="252" t="s">
        <v>62</v>
      </c>
      <c r="L10" s="252" t="s">
        <v>61</v>
      </c>
      <c r="Q10" s="463"/>
      <c r="R10" s="463" t="str">
        <f t="shared" si="0"/>
        <v/>
      </c>
    </row>
    <row r="11" spans="1:20" ht="15.75" x14ac:dyDescent="0.25">
      <c r="A11" s="544"/>
      <c r="B11" s="209" t="s">
        <v>841</v>
      </c>
      <c r="C11" s="255" t="str">
        <f>IF(ISERROR(VLOOKUP(B11,Données!$A$3:$L$1479,5,FALSE)),"",VLOOKUP(B11,Données!$A$3:$L$1479,5,FALSE))</f>
        <v/>
      </c>
      <c r="D11" s="347" t="str">
        <f>IF(ISERROR(VLOOKUP(B11,Données!$A$3:$X$1479,23,FALSE)),"",VLOOKUP(B11,Données!$A$3:$X$1479,23,FALSE))</f>
        <v/>
      </c>
      <c r="E11" s="255" t="str">
        <f>IF(ISERROR(VLOOKUP(B11,Données!$A$3:$L$1479,7,FALSE)),"",VLOOKUP(B11,Données!$A$3:$L$1479,7,FALSE))</f>
        <v/>
      </c>
      <c r="F11" s="256">
        <f>IF(ISERROR(VLOOKUP(B11,Données!$A$3:$U$1479,11,FALSE)),0,VLOOKUP(B11,Données!$A$3:$U$1479,11,FALSE))</f>
        <v>0</v>
      </c>
      <c r="G11" s="257">
        <f>VALUE(COUNTIF(Validation!$A$2:$H$64,B11))-1</f>
        <v>0</v>
      </c>
      <c r="H11" s="363">
        <f>IF(ISERROR(VLOOKUP(B11,Données!$A$3:$U$1479,12,FALSE)),0,VLOOKUP(B11,Données!$A$3:$U$1479,12,FALSE))</f>
        <v>0</v>
      </c>
      <c r="I11" s="258">
        <f>IF(ISERROR(VLOOKUP(B11,Données!$A$3:$U$1479,20,FALSE)),0,VLOOKUP(B11,Données!$A$3:$U$1479,20,FALSE))</f>
        <v>0</v>
      </c>
      <c r="J11" s="244"/>
      <c r="K11" s="245" t="s">
        <v>191</v>
      </c>
      <c r="L11" s="245" t="s">
        <v>1341</v>
      </c>
      <c r="Q11" s="463"/>
      <c r="R11" s="463" t="str">
        <f t="shared" si="0"/>
        <v/>
      </c>
    </row>
    <row r="12" spans="1:20" ht="15.75" x14ac:dyDescent="0.25">
      <c r="A12" s="544"/>
      <c r="B12" s="209" t="s">
        <v>246</v>
      </c>
      <c r="C12" s="255" t="str">
        <f>IF(ISERROR(VLOOKUP(B12,Données!$A$3:$L$1479,5,FALSE)),"",VLOOKUP(B12,Données!$A$3:$L$1479,5,FALSE))</f>
        <v/>
      </c>
      <c r="D12" s="347" t="str">
        <f>IF(ISERROR(VLOOKUP(B12,Données!$A$3:$X$1479,23,FALSE)),"",VLOOKUP(B12,Données!$A$3:$X$1479,23,FALSE))</f>
        <v/>
      </c>
      <c r="E12" s="255" t="str">
        <f>IF(ISERROR(VLOOKUP(B12,Données!$A$3:$L$1479,7,FALSE)),"",VLOOKUP(B12,Données!$A$3:$L$1479,7,FALSE))</f>
        <v/>
      </c>
      <c r="F12" s="256">
        <f>IF(ISERROR(VLOOKUP(B12,Données!$A$3:$U$1479,11,FALSE)),0,VLOOKUP(B12,Données!$A$3:$U$1479,11,FALSE))</f>
        <v>0</v>
      </c>
      <c r="G12" s="257">
        <f>VALUE(COUNTIF(Validation!$A$2:$H$64,B12))-1</f>
        <v>0</v>
      </c>
      <c r="H12" s="363">
        <f>IF(ISERROR(VLOOKUP(B12,Données!$A$3:$U$1479,12,FALSE)),0,VLOOKUP(B12,Données!$A$3:$U$1479,12,FALSE))</f>
        <v>0</v>
      </c>
      <c r="I12" s="258">
        <f>IF(ISERROR(VLOOKUP(B12,Données!$A$3:$U$1479,20,FALSE)),0,VLOOKUP(B12,Données!$A$3:$U$1479,20,FALSE))</f>
        <v>0</v>
      </c>
      <c r="J12" s="244"/>
      <c r="K12" s="245" t="s">
        <v>192</v>
      </c>
      <c r="L12" s="245" t="s">
        <v>1341</v>
      </c>
      <c r="Q12" s="463"/>
      <c r="R12" s="463" t="str">
        <f t="shared" si="0"/>
        <v/>
      </c>
    </row>
    <row r="13" spans="1:20" ht="15.75" x14ac:dyDescent="0.25">
      <c r="A13" s="544"/>
      <c r="B13" s="254" t="s">
        <v>247</v>
      </c>
      <c r="C13" s="255" t="str">
        <f>IF(ISERROR(VLOOKUP(B13,Données!$A$3:$L$1479,5,FALSE)),"",VLOOKUP(B13,Données!$A$3:$L$1479,5,FALSE))</f>
        <v/>
      </c>
      <c r="D13" s="347" t="str">
        <f>IF(ISERROR(VLOOKUP(B13,Données!$A$3:$X$1479,23,FALSE)),"",VLOOKUP(B13,Données!$A$3:$X$1479,23,FALSE))</f>
        <v/>
      </c>
      <c r="E13" s="255" t="str">
        <f>IF(ISERROR(VLOOKUP(B13,Données!$A$3:$L$1479,7,FALSE)),"",VLOOKUP(B13,Données!$A$3:$L$1479,7,FALSE))</f>
        <v/>
      </c>
      <c r="F13" s="256">
        <f>IF(ISERROR(VLOOKUP(B13,Données!$A$3:$U$1479,11,FALSE)),0,VLOOKUP(B13,Données!$A$3:$U$1479,11,FALSE))</f>
        <v>0</v>
      </c>
      <c r="G13" s="257">
        <f>VALUE(COUNTIF(Validation!$A$2:$H$64,B13))-1</f>
        <v>0</v>
      </c>
      <c r="H13" s="363">
        <f>IF(ISERROR(VLOOKUP(B13,Données!$A$3:$U$1479,12,FALSE)),0,VLOOKUP(B13,Données!$A$3:$U$1479,12,FALSE))</f>
        <v>0</v>
      </c>
      <c r="I13" s="258">
        <f>IF(ISERROR(VLOOKUP(B13,Données!$A$3:$U$1479,20,FALSE)),0,VLOOKUP(B13,Données!$A$3:$U$1479,20,FALSE))</f>
        <v>0</v>
      </c>
      <c r="J13" s="244"/>
      <c r="K13" s="245" t="s">
        <v>193</v>
      </c>
      <c r="L13" s="245" t="s">
        <v>1341</v>
      </c>
      <c r="Q13" s="463"/>
      <c r="R13" s="463" t="str">
        <f t="shared" si="0"/>
        <v/>
      </c>
    </row>
    <row r="14" spans="1:20" ht="15.75" x14ac:dyDescent="0.25">
      <c r="A14" s="545"/>
      <c r="B14" s="278" t="s">
        <v>1045</v>
      </c>
      <c r="C14" s="261" t="str">
        <f>IF(ISERROR(VLOOKUP(B14,Données!$A$3:$L$1479,5,FALSE)),"",VLOOKUP(B14,Données!$A$3:$L$1479,5,FALSE))</f>
        <v/>
      </c>
      <c r="D14" s="349" t="str">
        <f>IF(ISERROR(VLOOKUP(B14,Données!$A$3:$X$1479,23,FALSE)),"",VLOOKUP(B14,Données!$A$3:$X$1479,23,FALSE))</f>
        <v/>
      </c>
      <c r="E14" s="261" t="str">
        <f>IF(ISERROR(VLOOKUP(B14,Données!$A$3:$L$1479,7,FALSE)),"",VLOOKUP(B14,Données!$A$3:$L$1479,7,FALSE))</f>
        <v/>
      </c>
      <c r="F14" s="262">
        <f>IF(ISERROR(VLOOKUP(B14,Données!$A$3:$U$1479,11,FALSE)),0,VLOOKUP(B14,Données!$A$3:$U$1479,11,FALSE))</f>
        <v>0</v>
      </c>
      <c r="G14" s="263">
        <f>VALUE(COUNTIF(Validation!$A$2:$H$64,B14))-1</f>
        <v>0</v>
      </c>
      <c r="H14" s="364">
        <f>IF(ISERROR(VLOOKUP(B14,Données!$A$3:$U$1479,12,FALSE)),0,VLOOKUP(B14,Données!$A$3:$U$1479,12,FALSE))</f>
        <v>0</v>
      </c>
      <c r="I14" s="264">
        <f>IF(ISERROR(VLOOKUP(B14,Données!$A$3:$U$1479,20,FALSE)),0,VLOOKUP(B14,Données!$A$3:$U$1479,20,FALSE))</f>
        <v>0</v>
      </c>
      <c r="J14" s="244"/>
      <c r="K14" s="245" t="s">
        <v>194</v>
      </c>
      <c r="L14" s="245" t="s">
        <v>1341</v>
      </c>
      <c r="Q14" s="463"/>
      <c r="R14" s="463" t="str">
        <f t="shared" si="0"/>
        <v/>
      </c>
    </row>
    <row r="15" spans="1:20" ht="15.75" x14ac:dyDescent="0.25">
      <c r="A15" s="547" t="s">
        <v>39</v>
      </c>
      <c r="B15" s="276" t="s">
        <v>249</v>
      </c>
      <c r="C15" s="255" t="str">
        <f>IF(ISERROR(VLOOKUP(B15,Données!$A$3:$L$1479,5,FALSE)),"",VLOOKUP(B15,Données!$A$3:$L$1479,5,FALSE))</f>
        <v/>
      </c>
      <c r="D15" s="347" t="str">
        <f>IF(ISERROR(VLOOKUP(B15,Données!$A$3:$X$1479,23,FALSE)),"",VLOOKUP(B15,Données!$A$3:$X$1479,23,FALSE))</f>
        <v/>
      </c>
      <c r="E15" s="255" t="str">
        <f>IF(ISERROR(VLOOKUP(B15,Données!$A$3:$L$1479,7,FALSE)),"",VLOOKUP(B15,Données!$A$3:$L$1479,7,FALSE))</f>
        <v/>
      </c>
      <c r="F15" s="256">
        <f>IF(ISERROR(VLOOKUP(B15,Données!$A$3:$U$1479,11,FALSE)),0,VLOOKUP(B15,Données!$A$3:$U$1479,11,FALSE))</f>
        <v>0</v>
      </c>
      <c r="G15" s="257">
        <f>VALUE(COUNTIF(Validation!$A$2:$H$64,B15))-1</f>
        <v>0</v>
      </c>
      <c r="H15" s="363">
        <f>IF(ISERROR(VLOOKUP(B15,Données!$A$3:$U$1479,12,FALSE)),0,VLOOKUP(B15,Données!$A$3:$U$1479,12,FALSE))</f>
        <v>0</v>
      </c>
      <c r="I15" s="258">
        <f>IF(ISERROR(VLOOKUP(B15,Données!$A$3:$U$1479,20,FALSE)),0,VLOOKUP(B15,Données!$A$3:$U$1479,20,FALSE))</f>
        <v>0</v>
      </c>
      <c r="J15" s="244"/>
      <c r="Q15" s="463"/>
      <c r="R15" s="463" t="str">
        <f t="shared" si="0"/>
        <v/>
      </c>
    </row>
    <row r="16" spans="1:20" ht="15.75" x14ac:dyDescent="0.25">
      <c r="A16" s="548"/>
      <c r="B16" s="260" t="s">
        <v>250</v>
      </c>
      <c r="C16" s="255" t="str">
        <f>IF(ISERROR(VLOOKUP(B16,Données!$A$3:$L$1479,5,FALSE)),"",VLOOKUP(B16,Données!$A$3:$L$1479,5,FALSE))</f>
        <v/>
      </c>
      <c r="D16" s="347" t="str">
        <f>IF(ISERROR(VLOOKUP(B16,Données!$A$3:$X$1479,23,FALSE)),"",VLOOKUP(B16,Données!$A$3:$X$1479,23,FALSE))</f>
        <v/>
      </c>
      <c r="E16" s="255" t="str">
        <f>IF(ISERROR(VLOOKUP(B16,Données!$A$3:$L$1479,7,FALSE)),"",VLOOKUP(B16,Données!$A$3:$L$1479,7,FALSE))</f>
        <v/>
      </c>
      <c r="F16" s="256">
        <f>IF(ISERROR(VLOOKUP(B16,Données!$A$3:$U$1479,11,FALSE)),0,VLOOKUP(B16,Données!$A$3:$U$1479,11,FALSE))</f>
        <v>0</v>
      </c>
      <c r="G16" s="257">
        <f>VALUE(COUNTIF(Validation!$A$2:$H$64,B16))-1</f>
        <v>0</v>
      </c>
      <c r="H16" s="363">
        <f>IF(ISERROR(VLOOKUP(B16,Données!$A$3:$U$1479,12,FALSE)),0,VLOOKUP(B16,Données!$A$3:$U$1479,12,FALSE))</f>
        <v>0</v>
      </c>
      <c r="I16" s="258">
        <f>IF(ISERROR(VLOOKUP(B16,Données!$A$3:$U$1479,20,FALSE)),0,VLOOKUP(B16,Données!$A$3:$U$1479,20,FALSE))</f>
        <v>0</v>
      </c>
      <c r="J16" s="244"/>
      <c r="Q16" s="463"/>
      <c r="R16" s="463" t="str">
        <f t="shared" si="0"/>
        <v/>
      </c>
    </row>
    <row r="17" spans="1:18" ht="15.75" x14ac:dyDescent="0.25">
      <c r="A17" s="548"/>
      <c r="B17" s="209" t="s">
        <v>251</v>
      </c>
      <c r="C17" s="255" t="str">
        <f>IF(ISERROR(VLOOKUP(B17,Données!$A$3:$L$1479,5,FALSE)),"",VLOOKUP(B17,Données!$A$3:$L$1479,5,FALSE))</f>
        <v/>
      </c>
      <c r="D17" s="347" t="str">
        <f>IF(ISERROR(VLOOKUP(B17,Données!$A$3:$X$1479,23,FALSE)),"",VLOOKUP(B17,Données!$A$3:$X$1479,23,FALSE))</f>
        <v/>
      </c>
      <c r="E17" s="255" t="str">
        <f>IF(ISERROR(VLOOKUP(B17,Données!$A$3:$L$1479,7,FALSE)),"",VLOOKUP(B17,Données!$A$3:$L$1479,7,FALSE))</f>
        <v/>
      </c>
      <c r="F17" s="256">
        <f>IF(ISERROR(VLOOKUP(B17,Données!$A$3:$U$1479,11,FALSE)),0,VLOOKUP(B17,Données!$A$3:$U$1479,11,FALSE))</f>
        <v>0</v>
      </c>
      <c r="G17" s="257">
        <f>VALUE(COUNTIF(Validation!$A$2:$H$64,B17))-1</f>
        <v>0</v>
      </c>
      <c r="H17" s="363">
        <f>IF(ISERROR(VLOOKUP(B17,Données!$A$3:$U$1479,12,FALSE)),0,VLOOKUP(B17,Données!$A$3:$U$1479,12,FALSE))</f>
        <v>0</v>
      </c>
      <c r="I17" s="258">
        <f>IF(ISERROR(VLOOKUP(B17,Données!$A$3:$U$1479,20,FALSE)),0,VLOOKUP(B17,Données!$A$3:$U$1479,20,FALSE))</f>
        <v>0</v>
      </c>
      <c r="J17" s="244"/>
      <c r="Q17" s="463"/>
      <c r="R17" s="463" t="str">
        <f t="shared" si="0"/>
        <v/>
      </c>
    </row>
    <row r="18" spans="1:18" ht="15.75" x14ac:dyDescent="0.25">
      <c r="A18" s="548"/>
      <c r="B18" s="254" t="s">
        <v>252</v>
      </c>
      <c r="C18" s="255" t="str">
        <f>IF(ISERROR(VLOOKUP(B18,Données!$A$3:$L$1479,5,FALSE)),"",VLOOKUP(B18,Données!$A$3:$L$1479,5,FALSE))</f>
        <v/>
      </c>
      <c r="D18" s="347" t="str">
        <f>IF(ISERROR(VLOOKUP(B18,Données!$A$3:$X$1479,23,FALSE)),"",VLOOKUP(B18,Données!$A$3:$X$1479,23,FALSE))</f>
        <v/>
      </c>
      <c r="E18" s="255" t="str">
        <f>IF(ISERROR(VLOOKUP(B18,Données!$A$3:$L$1479,7,FALSE)),"",VLOOKUP(B18,Données!$A$3:$L$1479,7,FALSE))</f>
        <v/>
      </c>
      <c r="F18" s="256">
        <f>IF(ISERROR(VLOOKUP(B18,Données!$A$3:$U$1479,11,FALSE)),0,VLOOKUP(B18,Données!$A$3:$U$1479,11,FALSE))</f>
        <v>0</v>
      </c>
      <c r="G18" s="257">
        <f>VALUE(COUNTIF(Validation!$A$2:$H$64,B18))-1</f>
        <v>0</v>
      </c>
      <c r="H18" s="363">
        <f>IF(ISERROR(VLOOKUP(B18,Données!$A$3:$U$1479,12,FALSE)),0,VLOOKUP(B18,Données!$A$3:$U$1479,12,FALSE))</f>
        <v>0</v>
      </c>
      <c r="I18" s="258">
        <f>IF(ISERROR(VLOOKUP(B18,Données!$A$3:$U$1479,20,FALSE)),0,VLOOKUP(B18,Données!$A$3:$U$1479,20,FALSE))</f>
        <v>0</v>
      </c>
      <c r="J18" s="265"/>
      <c r="Q18" s="463"/>
      <c r="R18" s="463" t="str">
        <f t="shared" si="0"/>
        <v/>
      </c>
    </row>
    <row r="19" spans="1:18" ht="15.75" x14ac:dyDescent="0.25">
      <c r="A19" s="548"/>
      <c r="B19" s="209" t="s">
        <v>407</v>
      </c>
      <c r="C19" s="255" t="str">
        <f>IF(ISERROR(VLOOKUP(B19,Données!$A$3:$L$1479,5,FALSE)),"",VLOOKUP(B19,Données!$A$3:$L$1479,5,FALSE))</f>
        <v/>
      </c>
      <c r="D19" s="347" t="str">
        <f>IF(ISERROR(VLOOKUP(B19,Données!$A$3:$X$1479,23,FALSE)),"",VLOOKUP(B19,Données!$A$3:$X$1479,23,FALSE))</f>
        <v/>
      </c>
      <c r="E19" s="255" t="str">
        <f>IF(ISERROR(VLOOKUP(B19,Données!$A$3:$L$1479,7,FALSE)),"",VLOOKUP(B19,Données!$A$3:$L$1479,7,FALSE))</f>
        <v/>
      </c>
      <c r="F19" s="256">
        <f>IF(ISERROR(VLOOKUP(B19,Données!$A$3:$U$1479,11,FALSE)),0,VLOOKUP(B19,Données!$A$3:$U$1479,11,FALSE))</f>
        <v>0</v>
      </c>
      <c r="G19" s="257">
        <f>VALUE(COUNTIF(Validation!$A$2:$H$64,B19))-1</f>
        <v>0</v>
      </c>
      <c r="H19" s="363">
        <f>IF(ISERROR(VLOOKUP(B19,Données!$A$3:$U$1479,12,FALSE)),0,VLOOKUP(B19,Données!$A$3:$U$1479,12,FALSE))</f>
        <v>0</v>
      </c>
      <c r="I19" s="258">
        <f>IF(ISERROR(VLOOKUP(B19,Données!$A$3:$U$1479,20,FALSE)),0,VLOOKUP(B19,Données!$A$3:$U$1479,20,FALSE))</f>
        <v>0</v>
      </c>
      <c r="J19" s="265"/>
      <c r="Q19" s="463"/>
      <c r="R19" s="463" t="str">
        <f t="shared" si="0"/>
        <v/>
      </c>
    </row>
    <row r="20" spans="1:18" ht="15.75" x14ac:dyDescent="0.25">
      <c r="A20" s="549"/>
      <c r="B20" s="266" t="s">
        <v>254</v>
      </c>
      <c r="C20" s="261" t="str">
        <f>IF(ISERROR(VLOOKUP(B20,Données!$A$3:$L$1479,5,FALSE)),"",VLOOKUP(B20,Données!$A$3:$L$1479,5,FALSE))</f>
        <v/>
      </c>
      <c r="D20" s="349" t="str">
        <f>IF(ISERROR(VLOOKUP(B20,Données!$A$3:$X$1479,23,FALSE)),"",VLOOKUP(B20,Données!$A$3:$X$1479,23,FALSE))</f>
        <v/>
      </c>
      <c r="E20" s="261" t="str">
        <f>IF(ISERROR(VLOOKUP(B20,Données!$A$3:$L$1479,7,FALSE)),"",VLOOKUP(B20,Données!$A$3:$L$1479,7,FALSE))</f>
        <v/>
      </c>
      <c r="F20" s="262">
        <f>IF(ISERROR(VLOOKUP(B20,Données!$A$3:$U$1479,11,FALSE)),0,VLOOKUP(B20,Données!$A$3:$U$1479,11,FALSE))</f>
        <v>0</v>
      </c>
      <c r="G20" s="263">
        <f>VALUE(COUNTIF(Validation!$A$2:$H$64,B20))-1</f>
        <v>0</v>
      </c>
      <c r="H20" s="364">
        <f>IF(ISERROR(VLOOKUP(B20,Données!$A$3:$U$1479,12,FALSE)),0,VLOOKUP(B20,Données!$A$3:$U$1479,12,FALSE))</f>
        <v>0</v>
      </c>
      <c r="I20" s="264">
        <f>IF(ISERROR(VLOOKUP(B20,Données!$A$3:$U$1479,20,FALSE)),0,VLOOKUP(B20,Données!$A$3:$U$1479,20,FALSE))</f>
        <v>0</v>
      </c>
      <c r="J20" s="265"/>
      <c r="Q20" s="463"/>
      <c r="R20" s="463" t="str">
        <f t="shared" si="0"/>
        <v/>
      </c>
    </row>
    <row r="21" spans="1:18" ht="15.75" x14ac:dyDescent="0.25">
      <c r="A21" s="550" t="s">
        <v>40</v>
      </c>
      <c r="B21" s="274" t="s">
        <v>255</v>
      </c>
      <c r="C21" s="255" t="str">
        <f>IF(ISERROR(VLOOKUP(B21,Données!$A$3:$L$1479,5,FALSE)),"",VLOOKUP(B21,Données!$A$3:$L$1479,5,FALSE))</f>
        <v/>
      </c>
      <c r="D21" s="347" t="str">
        <f>IF(ISERROR(VLOOKUP(B21,Données!$A$3:$X$1479,23,FALSE)),"",VLOOKUP(B21,Données!$A$3:$X$1479,23,FALSE))</f>
        <v/>
      </c>
      <c r="E21" s="255" t="str">
        <f>IF(ISERROR(VLOOKUP(B21,Données!$A$3:$L$1479,7,FALSE)),"",VLOOKUP(B21,Données!$A$3:$L$1479,7,FALSE))</f>
        <v/>
      </c>
      <c r="F21" s="256">
        <f>IF(ISERROR(VLOOKUP(B21,Données!$A$3:$U$1479,11,FALSE)),0,VLOOKUP(B21,Données!$A$3:$U$1479,11,FALSE))</f>
        <v>0</v>
      </c>
      <c r="G21" s="257">
        <f>VALUE(COUNTIF(Validation!$A$2:$H$64,B21))-1</f>
        <v>0</v>
      </c>
      <c r="H21" s="363">
        <f>IF(ISERROR(VLOOKUP(B21,Données!$A$3:$U$1479,12,FALSE)),0,VLOOKUP(B21,Données!$A$3:$U$1479,12,FALSE))</f>
        <v>0</v>
      </c>
      <c r="I21" s="258">
        <f>IF(ISERROR(VLOOKUP(B21,Données!$A$3:$U$1479,20,FALSE)),0,VLOOKUP(B21,Données!$A$3:$U$1479,20,FALSE))</f>
        <v>0</v>
      </c>
      <c r="J21" s="244"/>
      <c r="Q21" s="463"/>
      <c r="R21" s="463" t="str">
        <f t="shared" si="0"/>
        <v/>
      </c>
    </row>
    <row r="22" spans="1:18" ht="15.75" customHeight="1" x14ac:dyDescent="0.25">
      <c r="A22" s="551"/>
      <c r="B22" s="266" t="s">
        <v>256</v>
      </c>
      <c r="C22" s="261" t="str">
        <f>IF(ISERROR(VLOOKUP(B22,Données!$A$3:$L$1479,5,FALSE)),"",VLOOKUP(B22,Données!$A$3:$L$1479,5,FALSE))</f>
        <v/>
      </c>
      <c r="D22" s="349" t="str">
        <f>IF(ISERROR(VLOOKUP(B22,Données!$A$3:$X$1479,23,FALSE)),"",VLOOKUP(B22,Données!$A$3:$X$1479,23,FALSE))</f>
        <v/>
      </c>
      <c r="E22" s="261" t="str">
        <f>IF(ISERROR(VLOOKUP(B22,Données!$A$3:$L$1479,7,FALSE)),"",VLOOKUP(B22,Données!$A$3:$L$1479,7,FALSE))</f>
        <v/>
      </c>
      <c r="F22" s="262">
        <f>IF(ISERROR(VLOOKUP(B22,Données!$A$3:$U$1479,11,FALSE)),0,VLOOKUP(B22,Données!$A$3:$U$1479,11,FALSE))</f>
        <v>0</v>
      </c>
      <c r="G22" s="263">
        <f>VALUE(COUNTIF(Validation!$A$2:$H$64,B22))-1</f>
        <v>0</v>
      </c>
      <c r="H22" s="364">
        <f>IF(ISERROR(VLOOKUP(B22,Données!$A$3:$U$1479,12,FALSE)),0,VLOOKUP(B22,Données!$A$3:$U$1479,12,FALSE))</f>
        <v>0</v>
      </c>
      <c r="I22" s="264">
        <f>IF(ISERROR(VLOOKUP(B22,Données!$A$3:$U$1479,20,FALSE)),0,VLOOKUP(B22,Données!$A$3:$U$1479,20,FALSE))</f>
        <v>0</v>
      </c>
      <c r="J22" s="244"/>
      <c r="Q22" s="463"/>
      <c r="R22" s="463" t="str">
        <f t="shared" si="0"/>
        <v/>
      </c>
    </row>
    <row r="23" spans="1:18" ht="15.75" customHeight="1" x14ac:dyDescent="0.25">
      <c r="A23" s="553" t="s">
        <v>42</v>
      </c>
      <c r="B23" s="209" t="s">
        <v>257</v>
      </c>
      <c r="C23" s="255" t="str">
        <f>IF(ISERROR(VLOOKUP(B23,Données!$A$3:$L$1479,5,FALSE)),"",VLOOKUP(B23,Données!$A$3:$L$1479,5,FALSE))</f>
        <v/>
      </c>
      <c r="D23" s="347" t="str">
        <f>IF(ISERROR(VLOOKUP(B23,Données!$A$3:$X$1479,23,FALSE)),"",VLOOKUP(B23,Données!$A$3:$X$1479,23,FALSE))</f>
        <v/>
      </c>
      <c r="E23" s="255" t="str">
        <f>IF(ISERROR(VLOOKUP(B23,Données!$A$3:$L$1479,7,FALSE)),"",VLOOKUP(B23,Données!$A$3:$L$1479,7,FALSE))</f>
        <v/>
      </c>
      <c r="F23" s="256">
        <f>IF(ISERROR(VLOOKUP(B23,Données!$A$3:$U$1479,11,FALSE)),0,VLOOKUP(B23,Données!$A$3:$U$1479,11,FALSE))</f>
        <v>0</v>
      </c>
      <c r="G23" s="257">
        <f>VALUE(COUNTIF(Validation!$A$2:$H$64,B23))-1</f>
        <v>0</v>
      </c>
      <c r="H23" s="363">
        <f>IF(ISERROR(VLOOKUP(B23,Données!$A$3:$U$1479,12,FALSE)),0,VLOOKUP(B23,Données!$A$3:$U$1479,12,FALSE))</f>
        <v>0</v>
      </c>
      <c r="I23" s="258">
        <f>IF(ISERROR(VLOOKUP(B23,Données!$A$3:$U$1479,20,FALSE)),0,VLOOKUP(B23,Données!$A$3:$U$1479,20,FALSE))</f>
        <v>0</v>
      </c>
      <c r="J23" s="244"/>
      <c r="Q23" s="463"/>
      <c r="R23" s="463" t="str">
        <f t="shared" si="0"/>
        <v/>
      </c>
    </row>
    <row r="24" spans="1:18" ht="15.75" customHeight="1" x14ac:dyDescent="0.25">
      <c r="A24" s="554"/>
      <c r="B24" s="209" t="s">
        <v>239</v>
      </c>
      <c r="C24" s="255" t="str">
        <f>IF(ISERROR(VLOOKUP(B24,Données!$A$3:$L$1479,5,FALSE)),"",VLOOKUP(B24,Données!$A$3:$L$1479,5,FALSE))</f>
        <v/>
      </c>
      <c r="D24" s="347" t="str">
        <f>IF(ISERROR(VLOOKUP(B24,Données!$A$3:$X$1479,23,FALSE)),"",VLOOKUP(B24,Données!$A$3:$X$1479,23,FALSE))</f>
        <v/>
      </c>
      <c r="E24" s="255" t="str">
        <f>IF(ISERROR(VLOOKUP(B24,Données!$A$3:$L$1479,7,FALSE)),"",VLOOKUP(B24,Données!$A$3:$L$1479,7,FALSE))</f>
        <v/>
      </c>
      <c r="F24" s="256">
        <f>IF(ISERROR(VLOOKUP(B24,Données!$A$3:$U$1479,11,FALSE)),0,VLOOKUP(B24,Données!$A$3:$U$1479,11,FALSE))</f>
        <v>0</v>
      </c>
      <c r="G24" s="257">
        <f>VALUE(COUNTIF(Validation!$A$2:$H$64,B24))-1</f>
        <v>0</v>
      </c>
      <c r="H24" s="363">
        <f>IF(ISERROR(VLOOKUP(B24,Données!$A$3:$U$1479,12,FALSE)),0,VLOOKUP(B24,Données!$A$3:$U$1479,12,FALSE))</f>
        <v>0</v>
      </c>
      <c r="I24" s="258">
        <f>IF(ISERROR(VLOOKUP(B24,Données!$A$3:$U$1479,20,FALSE)),0,VLOOKUP(B24,Données!$A$3:$U$1479,20,FALSE))</f>
        <v>0</v>
      </c>
      <c r="J24" s="244"/>
      <c r="Q24" s="463"/>
      <c r="R24" s="463" t="str">
        <f t="shared" si="0"/>
        <v/>
      </c>
    </row>
    <row r="25" spans="1:18" ht="15.75" customHeight="1" x14ac:dyDescent="0.25">
      <c r="A25" s="554"/>
      <c r="B25" s="209" t="s">
        <v>495</v>
      </c>
      <c r="C25" s="255" t="str">
        <f>IF(ISERROR(VLOOKUP(B25,Données!$A$3:$L$1479,5,FALSE)),"",VLOOKUP(B25,Données!$A$3:$L$1479,5,FALSE))</f>
        <v/>
      </c>
      <c r="D25" s="347" t="str">
        <f>IF(ISERROR(VLOOKUP(B25,Données!$A$3:$X$1479,23,FALSE)),"",VLOOKUP(B25,Données!$A$3:$X$1479,23,FALSE))</f>
        <v/>
      </c>
      <c r="E25" s="255" t="str">
        <f>IF(ISERROR(VLOOKUP(B25,Données!$A$3:$L$1479,7,FALSE)),"",VLOOKUP(B25,Données!$A$3:$L$1479,7,FALSE))</f>
        <v/>
      </c>
      <c r="F25" s="256">
        <f>IF(ISERROR(VLOOKUP(B25,Données!$A$3:$U$1479,11,FALSE)),0,VLOOKUP(B25,Données!$A$3:$U$1479,11,FALSE))</f>
        <v>0</v>
      </c>
      <c r="G25" s="257">
        <f>VALUE(COUNTIF(Validation!$A$2:$H$64,B25))-1</f>
        <v>0</v>
      </c>
      <c r="H25" s="363">
        <f>IF(ISERROR(VLOOKUP(B25,Données!$A$3:$U$1479,12,FALSE)),0,VLOOKUP(B25,Données!$A$3:$U$1479,12,FALSE))</f>
        <v>0</v>
      </c>
      <c r="I25" s="258">
        <f>IF(ISERROR(VLOOKUP(B25,Données!$A$3:$U$1479,20,FALSE)),0,VLOOKUP(B25,Données!$A$3:$U$1479,20,FALSE))</f>
        <v>0</v>
      </c>
      <c r="J25" s="244"/>
      <c r="Q25" s="463"/>
      <c r="R25" s="463" t="str">
        <f t="shared" si="0"/>
        <v/>
      </c>
    </row>
    <row r="26" spans="1:18" ht="15.75" customHeight="1" x14ac:dyDescent="0.25">
      <c r="A26" s="554"/>
      <c r="B26" s="209" t="s">
        <v>426</v>
      </c>
      <c r="C26" s="255" t="str">
        <f>IF(ISERROR(VLOOKUP(B26,Données!$A$3:$L$1479,5,FALSE)),"",VLOOKUP(B26,Données!$A$3:$L$1479,5,FALSE))</f>
        <v/>
      </c>
      <c r="D26" s="347" t="str">
        <f>IF(ISERROR(VLOOKUP(B26,Données!$A$3:$X$1479,23,FALSE)),"",VLOOKUP(B26,Données!$A$3:$X$1479,23,FALSE))</f>
        <v/>
      </c>
      <c r="E26" s="255" t="str">
        <f>IF(ISERROR(VLOOKUP(B26,Données!$A$3:$L$1479,7,FALSE)),"",VLOOKUP(B26,Données!$A$3:$L$1479,7,FALSE))</f>
        <v/>
      </c>
      <c r="F26" s="256">
        <f>IF(ISERROR(VLOOKUP(B26,Données!$A$3:$U$1479,11,FALSE)),0,VLOOKUP(B26,Données!$A$3:$U$1479,11,FALSE))</f>
        <v>0</v>
      </c>
      <c r="G26" s="257">
        <f>VALUE(COUNTIF(Validation!$A$2:$H$64,B26))-1</f>
        <v>0</v>
      </c>
      <c r="H26" s="363">
        <f>IF(ISERROR(VLOOKUP(B26,Données!$A$3:$U$1479,12,FALSE)),0,VLOOKUP(B26,Données!$A$3:$U$1479,12,FALSE))</f>
        <v>0</v>
      </c>
      <c r="I26" s="258">
        <f>IF(ISERROR(VLOOKUP(B26,Données!$A$3:$U$1479,20,FALSE)),0,VLOOKUP(B26,Données!$A$3:$U$1479,20,FALSE))</f>
        <v>0</v>
      </c>
      <c r="J26" s="244"/>
      <c r="Q26" s="463"/>
      <c r="R26" s="463" t="str">
        <f t="shared" si="0"/>
        <v/>
      </c>
    </row>
    <row r="27" spans="1:18" ht="15.75" customHeight="1" x14ac:dyDescent="0.25">
      <c r="A27" s="554"/>
      <c r="B27" s="209"/>
      <c r="C27" s="255" t="str">
        <f>IF(ISERROR(VLOOKUP(B27,Données!$A$3:$L$1479,5,FALSE)),"",VLOOKUP(B27,Données!$A$3:$L$1479,5,FALSE))</f>
        <v/>
      </c>
      <c r="D27" s="347" t="str">
        <f>IF(ISERROR(VLOOKUP(B27,Données!$A$3:$X$1479,23,FALSE)),"",VLOOKUP(B27,Données!$A$3:$X$1479,23,FALSE))</f>
        <v/>
      </c>
      <c r="E27" s="255" t="str">
        <f>IF(ISERROR(VLOOKUP(B27,Données!$A$3:$L$1479,7,FALSE)),"",VLOOKUP(B27,Données!$A$3:$L$1479,7,FALSE))</f>
        <v/>
      </c>
      <c r="F27" s="256">
        <f>IF(ISERROR(VLOOKUP(B27,Données!$A$3:$U$1479,11,FALSE)),0,VLOOKUP(B27,Données!$A$3:$U$1479,11,FALSE))</f>
        <v>0</v>
      </c>
      <c r="G27" s="257">
        <f>VALUE(COUNTIF(Validation!$A$2:$H$64,B27))-1</f>
        <v>229</v>
      </c>
      <c r="H27" s="363">
        <f>IF(ISERROR(VLOOKUP(B27,Données!$A$3:$U$1479,12,FALSE)),0,VLOOKUP(B27,Données!$A$3:$U$1479,12,FALSE))</f>
        <v>0</v>
      </c>
      <c r="I27" s="258">
        <f>IF(ISERROR(VLOOKUP(B27,Données!$A$3:$U$1479,20,FALSE)),0,VLOOKUP(B27,Données!$A$3:$U$1479,20,FALSE))</f>
        <v>0</v>
      </c>
      <c r="J27" s="244"/>
      <c r="R27" s="463" t="str">
        <f t="shared" si="0"/>
        <v/>
      </c>
    </row>
    <row r="28" spans="1:18" ht="15.75" customHeight="1" x14ac:dyDescent="0.25">
      <c r="A28" s="554"/>
      <c r="B28" s="209"/>
      <c r="C28" s="255" t="str">
        <f>IF(ISERROR(VLOOKUP(B28,Données!$A$3:$L$1479,5,FALSE)),"",VLOOKUP(B28,Données!$A$3:$L$1479,5,FALSE))</f>
        <v/>
      </c>
      <c r="D28" s="347" t="str">
        <f>IF(ISERROR(VLOOKUP(B28,Données!$A$3:$X$1479,23,FALSE)),"",VLOOKUP(B28,Données!$A$3:$X$1479,23,FALSE))</f>
        <v/>
      </c>
      <c r="E28" s="255" t="str">
        <f>IF(ISERROR(VLOOKUP(B28,Données!$A$3:$L$1479,7,FALSE)),"",VLOOKUP(B28,Données!$A$3:$L$1479,7,FALSE))</f>
        <v/>
      </c>
      <c r="F28" s="256">
        <f>IF(ISERROR(VLOOKUP(B28,Données!$A$3:$U$1479,11,FALSE)),0,VLOOKUP(B28,Données!$A$3:$U$1479,11,FALSE))</f>
        <v>0</v>
      </c>
      <c r="G28" s="257">
        <f>VALUE(COUNTIF(Validation!$A$2:$H$64,B28))-1</f>
        <v>229</v>
      </c>
      <c r="H28" s="363">
        <f>IF(ISERROR(VLOOKUP(B28,Données!$A$3:$U$1479,12,FALSE)),0,VLOOKUP(B28,Données!$A$3:$U$1479,12,FALSE))</f>
        <v>0</v>
      </c>
      <c r="I28" s="258">
        <f>IF(ISERROR(VLOOKUP(B28,Données!$A$3:$U$1479,20,FALSE)),0,VLOOKUP(B28,Données!$A$3:$U$1479,20,FALSE))</f>
        <v>0</v>
      </c>
      <c r="J28" s="244"/>
      <c r="R28" s="463" t="str">
        <f t="shared" si="0"/>
        <v/>
      </c>
    </row>
    <row r="29" spans="1:18" ht="15.75" customHeight="1" x14ac:dyDescent="0.25">
      <c r="A29" s="554"/>
      <c r="B29" s="254"/>
      <c r="C29" s="255" t="str">
        <f>IF(ISERROR(VLOOKUP(B29,Données!$A$3:$L$1479,5,FALSE)),"",VLOOKUP(B29,Données!$A$3:$L$1479,5,FALSE))</f>
        <v/>
      </c>
      <c r="D29" s="347" t="str">
        <f>IF(ISERROR(VLOOKUP(B29,Données!$A$3:$X$1479,23,FALSE)),"",VLOOKUP(B29,Données!$A$3:$X$1479,23,FALSE))</f>
        <v/>
      </c>
      <c r="E29" s="255" t="str">
        <f>IF(ISERROR(VLOOKUP(B29,Données!$A$3:$L$1479,7,FALSE)),"",VLOOKUP(B29,Données!$A$3:$L$1479,7,FALSE))</f>
        <v/>
      </c>
      <c r="F29" s="256">
        <f>IF(ISERROR(VLOOKUP(B29,Données!$A$3:$U$1479,11,FALSE)),0,VLOOKUP(B29,Données!$A$3:$U$1479,11,FALSE))</f>
        <v>0</v>
      </c>
      <c r="G29" s="257">
        <f>VALUE(COUNTIF(Validation!$A$2:$H$64,B29))-1</f>
        <v>229</v>
      </c>
      <c r="H29" s="363">
        <f>IF(ISERROR(VLOOKUP(B29,Données!$A$3:$U$1479,12,FALSE)),0,VLOOKUP(B29,Données!$A$3:$U$1479,12,FALSE))</f>
        <v>0</v>
      </c>
      <c r="I29" s="258">
        <f>IF(ISERROR(VLOOKUP(B29,Données!$A$3:$U$1479,20,FALSE)),0,VLOOKUP(B29,Données!$A$3:$U$1479,20,FALSE))</f>
        <v>0</v>
      </c>
      <c r="J29" s="244"/>
      <c r="R29" s="463" t="str">
        <f t="shared" si="0"/>
        <v/>
      </c>
    </row>
    <row r="30" spans="1:18" ht="15.75" customHeight="1" x14ac:dyDescent="0.25">
      <c r="A30" s="554"/>
      <c r="B30" s="267"/>
      <c r="C30" s="255" t="str">
        <f>IF(ISERROR(VLOOKUP(B30,Données!$A$3:$L$1479,5,FALSE)),"",VLOOKUP(B30,Données!$A$3:$L$1479,5,FALSE))</f>
        <v/>
      </c>
      <c r="D30" s="347" t="str">
        <f>IF(ISERROR(VLOOKUP(B30,Données!$A$3:$X$1479,23,FALSE)),"",VLOOKUP(B30,Données!$A$3:$X$1479,23,FALSE))</f>
        <v/>
      </c>
      <c r="E30" s="255" t="str">
        <f>IF(ISERROR(VLOOKUP(B30,Données!$A$3:$L$1479,7,FALSE)),"",VLOOKUP(B30,Données!$A$3:$L$1479,7,FALSE))</f>
        <v/>
      </c>
      <c r="F30" s="256">
        <f>IF(ISERROR(VLOOKUP(B30,Données!$A$3:$U$1479,11,FALSE)),0,VLOOKUP(B30,Données!$A$3:$U$1479,11,FALSE))</f>
        <v>0</v>
      </c>
      <c r="G30" s="257">
        <f>VALUE(COUNTIF(Validation!$A$2:$H$64,B30))-1</f>
        <v>229</v>
      </c>
      <c r="H30" s="363">
        <f>IF(ISERROR(VLOOKUP(B30,Données!$A$3:$U$1479,12,FALSE)),0,VLOOKUP(B30,Données!$A$3:$U$1479,12,FALSE))</f>
        <v>0</v>
      </c>
      <c r="I30" s="258">
        <f>IF(ISERROR(VLOOKUP(B30,Données!$A$3:$U$1479,20,FALSE)),0,VLOOKUP(B30,Données!$A$3:$U$1479,20,FALSE))</f>
        <v>0</v>
      </c>
      <c r="J30" s="244"/>
      <c r="R30" s="463" t="str">
        <f t="shared" si="0"/>
        <v/>
      </c>
    </row>
    <row r="31" spans="1:18" ht="15.75" x14ac:dyDescent="0.25">
      <c r="A31" s="555" t="s">
        <v>37</v>
      </c>
      <c r="B31" s="555"/>
      <c r="C31" s="555"/>
      <c r="D31" s="555"/>
      <c r="E31" s="555"/>
      <c r="F31" s="309">
        <f>ROUNDDOWN(SUM(F3:F30),2)</f>
        <v>0</v>
      </c>
      <c r="G31" s="268"/>
      <c r="H31" s="325">
        <f>SUM(H3:H30)</f>
        <v>0</v>
      </c>
      <c r="J31" s="244"/>
    </row>
    <row r="32" spans="1:18" ht="19.5" thickBot="1" x14ac:dyDescent="0.35">
      <c r="A32" s="556" t="s">
        <v>44</v>
      </c>
      <c r="B32" s="556"/>
      <c r="C32" s="556"/>
      <c r="D32" s="556"/>
      <c r="E32" s="556"/>
      <c r="F32" s="317">
        <f>'Calcul Masse Salariale'!$B$5-F31</f>
        <v>102000000</v>
      </c>
      <c r="G32" s="271"/>
      <c r="H32" s="333">
        <f>'Calcul Masse Salariale'!$B$6-H31</f>
        <v>102000000</v>
      </c>
      <c r="J32" s="244"/>
    </row>
    <row r="33" spans="1:10" ht="16.5" thickBot="1" x14ac:dyDescent="0.3">
      <c r="F33" s="371"/>
      <c r="J33" s="244"/>
    </row>
    <row r="34" spans="1:10" ht="30.75" thickBot="1" x14ac:dyDescent="0.3">
      <c r="B34" s="439" t="s">
        <v>36</v>
      </c>
      <c r="C34" s="440" t="s">
        <v>52</v>
      </c>
      <c r="D34" s="440" t="s">
        <v>403</v>
      </c>
      <c r="E34" s="440" t="s">
        <v>5</v>
      </c>
      <c r="F34" s="441" t="s">
        <v>134</v>
      </c>
      <c r="G34" s="442" t="s">
        <v>189</v>
      </c>
      <c r="H34" s="443" t="s">
        <v>1155</v>
      </c>
      <c r="I34" s="444" t="s">
        <v>2403</v>
      </c>
      <c r="J34" s="244"/>
    </row>
    <row r="35" spans="1:10" ht="19.5" thickBot="1" x14ac:dyDescent="0.35">
      <c r="A35" s="506" t="s">
        <v>2401</v>
      </c>
      <c r="B35" s="453"/>
      <c r="C35" s="402" t="str">
        <f>IF(ISERROR(VLOOKUP(B35,Données!$A$3:$L$1479,5,FALSE)),"",VLOOKUP(B35,Données!$A$3:$L$1479,5,FALSE))</f>
        <v/>
      </c>
      <c r="D35" s="402" t="str">
        <f>IF(ISERROR(VLOOKUP(B35,Données!$A$3:$X$1479,22,FALSE)),"",VLOOKUP(B35,Données!$A$3:$X$1479,22,FALSE))</f>
        <v/>
      </c>
      <c r="E35" s="402" t="str">
        <f>IF(ISERROR(VLOOKUP(B35,Données!$A$3:$L$1479,7,FALSE)),"",VLOOKUP(B35,Données!$A$3:$L$1479,7,FALSE))</f>
        <v/>
      </c>
      <c r="F35" s="403">
        <f>IF(ISERROR(VLOOKUP(B35,Données!$A$3:$U$1479,11,FALSE)),0,VLOOKUP(B35,Données!$A$3:$U$1479,11,FALSE))</f>
        <v>0</v>
      </c>
      <c r="G35" s="459">
        <f>VALUE(COUNTIF(Validation!$A$2:$H$120,B35))-1</f>
        <v>229</v>
      </c>
      <c r="H35" s="404">
        <f>IF(ISERROR(VLOOKUP(B35,Données!$A$3:$U$1479,12,FALSE)),0,VLOOKUP(B35,Données!$A$3:$U$1479,12,FALSE))</f>
        <v>0</v>
      </c>
      <c r="I35" s="405">
        <f>IF(ISERROR(VLOOKUP(B35,Données!$E$3:$U$1479,17,FALSE)),0,VLOOKUP(B35,Données!$E$3:$U$1479,17,FALSE))</f>
        <v>0</v>
      </c>
      <c r="J35" s="244"/>
    </row>
    <row r="36" spans="1:10" ht="19.5" thickBot="1" x14ac:dyDescent="0.35">
      <c r="A36" s="507"/>
      <c r="B36" s="406" t="s">
        <v>2404</v>
      </c>
      <c r="C36" s="509"/>
      <c r="D36" s="509"/>
      <c r="E36" s="509"/>
      <c r="F36" s="407" t="s">
        <v>2405</v>
      </c>
      <c r="G36" s="509" t="str">
        <f>IF(C36="","",C36+28)</f>
        <v/>
      </c>
      <c r="H36" s="509"/>
      <c r="I36" s="509"/>
      <c r="J36" s="244"/>
    </row>
    <row r="37" spans="1:10" x14ac:dyDescent="0.25">
      <c r="J37" s="244"/>
    </row>
    <row r="38" spans="1:10" ht="33" customHeight="1" x14ac:dyDescent="0.25">
      <c r="A38" s="60"/>
      <c r="B38" s="62" t="s">
        <v>36</v>
      </c>
      <c r="C38" s="62" t="s">
        <v>52</v>
      </c>
      <c r="D38" s="62" t="s">
        <v>403</v>
      </c>
      <c r="E38" s="7" t="s">
        <v>2402</v>
      </c>
      <c r="F38" s="399" t="s">
        <v>134</v>
      </c>
      <c r="G38" s="68" t="s">
        <v>195</v>
      </c>
      <c r="H38" s="250" t="s">
        <v>2676</v>
      </c>
      <c r="I38" s="67" t="s">
        <v>1</v>
      </c>
      <c r="J38" s="244"/>
    </row>
    <row r="39" spans="1:10" ht="15.75" x14ac:dyDescent="0.25">
      <c r="A39" s="497" t="s">
        <v>43</v>
      </c>
      <c r="B39" s="354" t="s">
        <v>817</v>
      </c>
      <c r="C39" s="74" t="str">
        <f>IF(ISERROR(VLOOKUP(B39,Données!$A$3:$L$1479,5,FALSE)),"",VLOOKUP(B39,Données!$A$3:$L$1479,5,FALSE))</f>
        <v/>
      </c>
      <c r="D39" s="347" t="str">
        <f>IF(ISERROR(VLOOKUP(B39,Données!$A$3:$X$1479,23,FALSE)),"",VLOOKUP(B39,Données!$A$3:$X$1479,23,FALSE))</f>
        <v/>
      </c>
      <c r="E39" s="259">
        <v>2014</v>
      </c>
      <c r="F39" s="358">
        <f>IF(ISERROR(VLOOKUP(B39,Données!$A$3:$U$1479,11,FALSE)),0,VLOOKUP(B39,Données!$A$3:$U$1479,11,FALSE))</f>
        <v>0</v>
      </c>
      <c r="G39" s="74">
        <f t="shared" ref="G39:G73" si="1">I39</f>
        <v>0</v>
      </c>
      <c r="H39" s="363">
        <f>IF(ISERROR(VLOOKUP(B39,Données!$A$3:$U$1479,12,FALSE)),0,VLOOKUP(B39,Données!$A$3:$U$1479,12,FALSE))</f>
        <v>0</v>
      </c>
      <c r="I39" s="74">
        <f>IF(((E39+5)-'Calcul Masse Salariale'!$B$1)&lt;=0,0,(E39+5)-'Calcul Masse Salariale'!$B$1)</f>
        <v>0</v>
      </c>
      <c r="J39" s="244"/>
    </row>
    <row r="40" spans="1:10" ht="15.75" x14ac:dyDescent="0.25">
      <c r="A40" s="497"/>
      <c r="B40" s="354" t="s">
        <v>840</v>
      </c>
      <c r="C40" s="74" t="str">
        <f>IF(ISERROR(VLOOKUP(B40,Données!$A$3:$L$1479,5,FALSE)),"",VLOOKUP(B40,Données!$A$3:$L$1479,5,FALSE))</f>
        <v/>
      </c>
      <c r="D40" s="347" t="str">
        <f>IF(ISERROR(VLOOKUP(B40,Données!$A$3:$X$1479,23,FALSE)),"",VLOOKUP(B40,Données!$A$3:$X$1479,23,FALSE))</f>
        <v/>
      </c>
      <c r="E40" s="259">
        <v>2015</v>
      </c>
      <c r="F40" s="358">
        <f>IF(ISERROR(VLOOKUP(B40,Données!$A$3:$U$1479,11,FALSE)),0,VLOOKUP(B40,Données!$A$3:$U$1479,11,FALSE))</f>
        <v>0</v>
      </c>
      <c r="G40" s="74">
        <f t="shared" si="1"/>
        <v>1</v>
      </c>
      <c r="H40" s="363">
        <f>IF(ISERROR(VLOOKUP(B40,Données!$A$3:$U$1479,12,FALSE)),0,VLOOKUP(B40,Données!$A$3:$U$1479,12,FALSE))</f>
        <v>0</v>
      </c>
      <c r="I40" s="74">
        <f>IF(((E40+5)-'Calcul Masse Salariale'!$B$1)&lt;=0,0,(E40+5)-'Calcul Masse Salariale'!$B$1)</f>
        <v>1</v>
      </c>
      <c r="J40" s="244"/>
    </row>
    <row r="41" spans="1:10" ht="18.75" x14ac:dyDescent="0.3">
      <c r="A41" s="497"/>
      <c r="B41" s="354" t="s">
        <v>574</v>
      </c>
      <c r="C41" s="74" t="str">
        <f>IF(ISERROR(VLOOKUP(B41,Données!$A$3:$L$1479,5,FALSE)),"",VLOOKUP(B41,Données!$A$3:$L$1479,5,FALSE))</f>
        <v/>
      </c>
      <c r="D41" s="347" t="str">
        <f>IF(ISERROR(VLOOKUP(B41,Données!$A$3:$X$1479,23,FALSE)),"",VLOOKUP(B41,Données!$A$3:$X$1479,23,FALSE))</f>
        <v/>
      </c>
      <c r="E41" s="259">
        <v>2015</v>
      </c>
      <c r="F41" s="358">
        <f>IF(ISERROR(VLOOKUP(B41,Données!$A$3:$U$1479,11,FALSE)),0,VLOOKUP(B41,Données!$A$3:$U$1479,11,FALSE))</f>
        <v>0</v>
      </c>
      <c r="G41" s="74">
        <f t="shared" si="1"/>
        <v>1</v>
      </c>
      <c r="H41" s="363">
        <f>IF(ISERROR(VLOOKUP(B41,Données!$A$3:$U$1479,12,FALSE)),0,VLOOKUP(B41,Données!$A$3:$U$1479,12,FALSE))</f>
        <v>0</v>
      </c>
      <c r="I41" s="74">
        <f>IF(((E41+5)-'Calcul Masse Salariale'!$B$1)&lt;=0,0,(E41+5)-'Calcul Masse Salariale'!$B$1)</f>
        <v>1</v>
      </c>
      <c r="J41" s="272"/>
    </row>
    <row r="42" spans="1:10" ht="15.75" x14ac:dyDescent="0.25">
      <c r="A42" s="497"/>
      <c r="B42" s="354" t="s">
        <v>900</v>
      </c>
      <c r="C42" s="74" t="str">
        <f>IF(ISERROR(VLOOKUP(B42,Données!$A$3:$L$1479,5,FALSE)),"",VLOOKUP(B42,Données!$A$3:$L$1479,5,FALSE))</f>
        <v/>
      </c>
      <c r="D42" s="347" t="str">
        <f>IF(ISERROR(VLOOKUP(B42,Données!$A$3:$X$1479,23,FALSE)),"",VLOOKUP(B42,Données!$A$3:$X$1479,23,FALSE))</f>
        <v/>
      </c>
      <c r="E42" s="259">
        <v>2015</v>
      </c>
      <c r="F42" s="358">
        <f>IF(ISERROR(VLOOKUP(B42,Données!$A$3:$U$1479,11,FALSE)),0,VLOOKUP(B42,Données!$A$3:$U$1479,11,FALSE))</f>
        <v>0</v>
      </c>
      <c r="G42" s="74">
        <f t="shared" si="1"/>
        <v>1</v>
      </c>
      <c r="H42" s="363">
        <f>IF(ISERROR(VLOOKUP(B42,Données!$A$3:$U$1479,12,FALSE)),0,VLOOKUP(B42,Données!$A$3:$U$1479,12,FALSE))</f>
        <v>0</v>
      </c>
      <c r="I42" s="74">
        <f>IF(((E42+5)-'Calcul Masse Salariale'!$B$1)&lt;=0,0,(E42+5)-'Calcul Masse Salariale'!$B$1)</f>
        <v>1</v>
      </c>
      <c r="J42" s="244"/>
    </row>
    <row r="43" spans="1:10" ht="15.75" x14ac:dyDescent="0.25">
      <c r="A43" s="497"/>
      <c r="B43" s="354" t="s">
        <v>829</v>
      </c>
      <c r="C43" s="74" t="str">
        <f>IF(ISERROR(VLOOKUP(B43,Données!$A$3:$L$1479,5,FALSE)),"",VLOOKUP(B43,Données!$A$3:$L$1479,5,FALSE))</f>
        <v/>
      </c>
      <c r="D43" s="347" t="str">
        <f>IF(ISERROR(VLOOKUP(B43,Données!$A$3:$X$1479,23,FALSE)),"",VLOOKUP(B43,Données!$A$3:$X$1479,23,FALSE))</f>
        <v/>
      </c>
      <c r="E43" s="259">
        <v>2016</v>
      </c>
      <c r="F43" s="358">
        <f>IF(ISERROR(VLOOKUP(B43,Données!$A$3:$U$1479,11,FALSE)),0,VLOOKUP(B43,Données!$A$3:$U$1479,11,FALSE))</f>
        <v>0</v>
      </c>
      <c r="G43" s="74">
        <f t="shared" si="1"/>
        <v>2</v>
      </c>
      <c r="H43" s="363">
        <f>IF(ISERROR(VLOOKUP(B43,Données!$A$3:$U$1479,12,FALSE)),0,VLOOKUP(B43,Données!$A$3:$U$1479,12,FALSE))</f>
        <v>0</v>
      </c>
      <c r="I43" s="74">
        <f>IF(((E43+5)-'Calcul Masse Salariale'!$B$1)&lt;=0,0,(E43+5)-'Calcul Masse Salariale'!$B$1)</f>
        <v>2</v>
      </c>
      <c r="J43" s="244"/>
    </row>
    <row r="44" spans="1:10" ht="16.5" customHeight="1" x14ac:dyDescent="0.25">
      <c r="A44" s="497"/>
      <c r="B44" s="354" t="s">
        <v>981</v>
      </c>
      <c r="C44" s="74" t="str">
        <f>IF(ISERROR(VLOOKUP(B44,Données!$A$3:$L$1479,5,FALSE)),"",VLOOKUP(B44,Données!$A$3:$L$1479,5,FALSE))</f>
        <v/>
      </c>
      <c r="D44" s="347" t="str">
        <f>IF(ISERROR(VLOOKUP(B44,Données!$A$3:$X$1479,23,FALSE)),"",VLOOKUP(B44,Données!$A$3:$X$1479,23,FALSE))</f>
        <v/>
      </c>
      <c r="E44" s="259">
        <v>2016</v>
      </c>
      <c r="F44" s="358">
        <f>IF(ISERROR(VLOOKUP(B44,Données!$A$3:$U$1479,11,FALSE)),0,VLOOKUP(B44,Données!$A$3:$U$1479,11,FALSE))</f>
        <v>0</v>
      </c>
      <c r="G44" s="74">
        <f t="shared" si="1"/>
        <v>2</v>
      </c>
      <c r="H44" s="363">
        <f>IF(ISERROR(VLOOKUP(B44,Données!$A$3:$U$1479,12,FALSE)),0,VLOOKUP(B44,Données!$A$3:$U$1479,12,FALSE))</f>
        <v>0</v>
      </c>
      <c r="I44" s="74">
        <f>IF(((E44+5)-'Calcul Masse Salariale'!$B$1)&lt;=0,0,(E44+5)-'Calcul Masse Salariale'!$B$1)</f>
        <v>2</v>
      </c>
      <c r="J44" s="244"/>
    </row>
    <row r="45" spans="1:10" ht="15.75" x14ac:dyDescent="0.25">
      <c r="A45" s="497"/>
      <c r="B45" s="354" t="s">
        <v>1000</v>
      </c>
      <c r="C45" s="74" t="str">
        <f>IF(ISERROR(VLOOKUP(B45,Données!$A$3:$L$1479,5,FALSE)),"",VLOOKUP(B45,Données!$A$3:$L$1479,5,FALSE))</f>
        <v/>
      </c>
      <c r="D45" s="347" t="str">
        <f>IF(ISERROR(VLOOKUP(B45,Données!$A$3:$X$1479,23,FALSE)),"",VLOOKUP(B45,Données!$A$3:$X$1479,23,FALSE))</f>
        <v/>
      </c>
      <c r="E45" s="259">
        <v>2016</v>
      </c>
      <c r="F45" s="358">
        <f>IF(ISERROR(VLOOKUP(B45,Données!$A$3:$U$1479,11,FALSE)),0,VLOOKUP(B45,Données!$A$3:$U$1479,11,FALSE))</f>
        <v>0</v>
      </c>
      <c r="G45" s="74">
        <f t="shared" si="1"/>
        <v>2</v>
      </c>
      <c r="H45" s="363">
        <f>IF(ISERROR(VLOOKUP(B45,Données!$A$3:$U$1479,12,FALSE)),0,VLOOKUP(B45,Données!$A$3:$U$1479,12,FALSE))</f>
        <v>0</v>
      </c>
      <c r="I45" s="74">
        <f>IF(((E45+5)-'Calcul Masse Salariale'!$B$1)&lt;=0,0,(E45+5)-'Calcul Masse Salariale'!$B$1)</f>
        <v>2</v>
      </c>
      <c r="J45" s="244"/>
    </row>
    <row r="46" spans="1:10" ht="15.75" x14ac:dyDescent="0.25">
      <c r="A46" s="497"/>
      <c r="B46" s="354" t="s">
        <v>464</v>
      </c>
      <c r="C46" s="74" t="str">
        <f>IF(ISERROR(VLOOKUP(B46,Données!$A$3:$L$1479,5,FALSE)),"",VLOOKUP(B46,Données!$A$3:$L$1479,5,FALSE))</f>
        <v/>
      </c>
      <c r="D46" s="347" t="str">
        <f>IF(ISERROR(VLOOKUP(B46,Données!$A$3:$X$1479,23,FALSE)),"",VLOOKUP(B46,Données!$A$3:$X$1479,23,FALSE))</f>
        <v/>
      </c>
      <c r="E46" s="259">
        <v>2016</v>
      </c>
      <c r="F46" s="358">
        <f>IF(ISERROR(VLOOKUP(B46,Données!$A$3:$U$1479,11,FALSE)),0,VLOOKUP(B46,Données!$A$3:$U$1479,11,FALSE))</f>
        <v>0</v>
      </c>
      <c r="G46" s="74">
        <f t="shared" si="1"/>
        <v>2</v>
      </c>
      <c r="H46" s="363">
        <f>IF(ISERROR(VLOOKUP(B46,Données!$A$3:$U$1479,12,FALSE)),0,VLOOKUP(B46,Données!$A$3:$U$1479,12,FALSE))</f>
        <v>0</v>
      </c>
      <c r="I46" s="74">
        <f>IF(((E46+5)-'Calcul Masse Salariale'!$B$1)&lt;=0,0,(E46+5)-'Calcul Masse Salariale'!$B$1)</f>
        <v>2</v>
      </c>
      <c r="J46" s="244"/>
    </row>
    <row r="47" spans="1:10" ht="15.75" x14ac:dyDescent="0.25">
      <c r="A47" s="497"/>
      <c r="B47" s="354" t="s">
        <v>1001</v>
      </c>
      <c r="C47" s="74" t="str">
        <f>IF(ISERROR(VLOOKUP(B47,Données!$A$3:$L$1479,5,FALSE)),"",VLOOKUP(B47,Données!$A$3:$L$1479,5,FALSE))</f>
        <v/>
      </c>
      <c r="D47" s="347" t="str">
        <f>IF(ISERROR(VLOOKUP(B47,Données!$A$3:$X$1479,23,FALSE)),"",VLOOKUP(B47,Données!$A$3:$X$1479,23,FALSE))</f>
        <v/>
      </c>
      <c r="E47" s="259">
        <v>2014</v>
      </c>
      <c r="F47" s="358">
        <f>IF(ISERROR(VLOOKUP(B47,Données!$A$3:$U$1479,11,FALSE)),0,VLOOKUP(B47,Données!$A$3:$U$1479,11,FALSE))</f>
        <v>0</v>
      </c>
      <c r="G47" s="74">
        <f t="shared" si="1"/>
        <v>0</v>
      </c>
      <c r="H47" s="363">
        <f>IF(ISERROR(VLOOKUP(B47,Données!$A$3:$U$1479,12,FALSE)),0,VLOOKUP(B47,Données!$A$3:$U$1479,12,FALSE))</f>
        <v>0</v>
      </c>
      <c r="I47" s="74">
        <f>IF(((E47+5)-'Calcul Masse Salariale'!$B$1)&lt;=0,0,(E47+5)-'Calcul Masse Salariale'!$B$1)</f>
        <v>0</v>
      </c>
      <c r="J47" s="244"/>
    </row>
    <row r="48" spans="1:10" ht="15.75" x14ac:dyDescent="0.25">
      <c r="A48" s="497"/>
      <c r="B48" s="354" t="s">
        <v>147</v>
      </c>
      <c r="C48" s="74" t="str">
        <f>IF(ISERROR(VLOOKUP(B48,Données!$A$3:$L$1479,5,FALSE)),"",VLOOKUP(B48,Données!$A$3:$L$1479,5,FALSE))</f>
        <v/>
      </c>
      <c r="D48" s="347" t="str">
        <f>IF(ISERROR(VLOOKUP(B48,Données!$A$3:$X$1479,23,FALSE)),"",VLOOKUP(B48,Données!$A$3:$X$1479,23,FALSE))</f>
        <v/>
      </c>
      <c r="E48" s="259">
        <v>2017</v>
      </c>
      <c r="F48" s="358">
        <f>IF(ISERROR(VLOOKUP(B48,Données!$A$3:$U$1479,11,FALSE)),0,VLOOKUP(B48,Données!$A$3:$U$1479,11,FALSE))</f>
        <v>0</v>
      </c>
      <c r="G48" s="74">
        <f t="shared" si="1"/>
        <v>3</v>
      </c>
      <c r="H48" s="363">
        <f>IF(ISERROR(VLOOKUP(B48,Données!$A$3:$U$1479,12,FALSE)),0,VLOOKUP(B48,Données!$A$3:$U$1479,12,FALSE))</f>
        <v>0</v>
      </c>
      <c r="I48" s="74">
        <f>IF(((E48+5)-'Calcul Masse Salariale'!$B$1)&lt;=0,0,(E48+5)-'Calcul Masse Salariale'!$B$1)</f>
        <v>3</v>
      </c>
      <c r="J48" s="244"/>
    </row>
    <row r="49" spans="1:10" ht="15.75" x14ac:dyDescent="0.25">
      <c r="A49" s="497"/>
      <c r="B49" s="357" t="s">
        <v>150</v>
      </c>
      <c r="C49" s="74" t="str">
        <f>IF(ISERROR(VLOOKUP(B49,Données!$A$3:$L$1479,5,FALSE)),"",VLOOKUP(B49,Données!$A$3:$L$1479,5,FALSE))</f>
        <v/>
      </c>
      <c r="D49" s="347" t="str">
        <f>IF(ISERROR(VLOOKUP(B49,Données!$A$3:$X$1479,23,FALSE)),"",VLOOKUP(B49,Données!$A$3:$X$1479,23,FALSE))</f>
        <v/>
      </c>
      <c r="E49" s="259">
        <v>2017</v>
      </c>
      <c r="F49" s="358">
        <f>IF(ISERROR(VLOOKUP(B49,Données!$A$3:$U$1479,11,FALSE)),0,VLOOKUP(B49,Données!$A$3:$U$1479,11,FALSE))</f>
        <v>0</v>
      </c>
      <c r="G49" s="74">
        <f t="shared" si="1"/>
        <v>3</v>
      </c>
      <c r="H49" s="363">
        <f>IF(ISERROR(VLOOKUP(B49,Données!$A$3:$U$1479,12,FALSE)),0,VLOOKUP(B49,Données!$A$3:$U$1479,12,FALSE))</f>
        <v>0</v>
      </c>
      <c r="I49" s="74">
        <f>IF(((E49+5)-'Calcul Masse Salariale'!$B$1)&lt;=0,0,(E49+5)-'Calcul Masse Salariale'!$B$1)</f>
        <v>3</v>
      </c>
      <c r="J49" s="244"/>
    </row>
    <row r="50" spans="1:10" ht="15.75" x14ac:dyDescent="0.25">
      <c r="A50" s="497"/>
      <c r="B50" s="357" t="s">
        <v>146</v>
      </c>
      <c r="C50" s="74" t="str">
        <f>IF(ISERROR(VLOOKUP(B50,Données!$A$3:$L$1479,5,FALSE)),"",VLOOKUP(B50,Données!$A$3:$L$1479,5,FALSE))</f>
        <v/>
      </c>
      <c r="D50" s="347" t="str">
        <f>IF(ISERROR(VLOOKUP(B50,Données!$A$3:$X$1479,23,FALSE)),"",VLOOKUP(B50,Données!$A$3:$X$1479,23,FALSE))</f>
        <v/>
      </c>
      <c r="E50" s="259">
        <v>2017</v>
      </c>
      <c r="F50" s="358">
        <f>IF(ISERROR(VLOOKUP(B50,Données!$A$3:$U$1479,11,FALSE)),0,VLOOKUP(B50,Données!$A$3:$U$1479,11,FALSE))</f>
        <v>0</v>
      </c>
      <c r="G50" s="74">
        <f t="shared" si="1"/>
        <v>3</v>
      </c>
      <c r="H50" s="363">
        <f>IF(ISERROR(VLOOKUP(B50,Données!$A$3:$U$1479,12,FALSE)),0,VLOOKUP(B50,Données!$A$3:$U$1479,12,FALSE))</f>
        <v>0</v>
      </c>
      <c r="I50" s="74">
        <f>IF(((E50+5)-'Calcul Masse Salariale'!$B$1)&lt;=0,0,(E50+5)-'Calcul Masse Salariale'!$B$1)</f>
        <v>3</v>
      </c>
      <c r="J50" s="244"/>
    </row>
    <row r="51" spans="1:10" ht="15.75" x14ac:dyDescent="0.25">
      <c r="A51" s="497"/>
      <c r="B51" s="356" t="s">
        <v>162</v>
      </c>
      <c r="C51" s="74" t="str">
        <f>IF(ISERROR(VLOOKUP(B51,Données!$A$3:$L$1479,5,FALSE)),"",VLOOKUP(B51,Données!$A$3:$L$1479,5,FALSE))</f>
        <v/>
      </c>
      <c r="D51" s="347" t="str">
        <f>IF(ISERROR(VLOOKUP(B51,Données!$A$3:$X$1479,23,FALSE)),"",VLOOKUP(B51,Données!$A$3:$X$1479,23,FALSE))</f>
        <v/>
      </c>
      <c r="E51" s="259">
        <v>2017</v>
      </c>
      <c r="F51" s="358">
        <f>IF(ISERROR(VLOOKUP(B51,Données!$A$3:$U$1479,11,FALSE)),0,VLOOKUP(B51,Données!$A$3:$U$1479,11,FALSE))</f>
        <v>0</v>
      </c>
      <c r="G51" s="74">
        <f t="shared" si="1"/>
        <v>3</v>
      </c>
      <c r="H51" s="363">
        <f>IF(ISERROR(VLOOKUP(B51,Données!$A$3:$U$1479,12,FALSE)),0,VLOOKUP(B51,Données!$A$3:$U$1479,12,FALSE))</f>
        <v>0</v>
      </c>
      <c r="I51" s="74">
        <f>IF(((E51+5)-'Calcul Masse Salariale'!$B$1)&lt;=0,0,(E51+5)-'Calcul Masse Salariale'!$B$1)</f>
        <v>3</v>
      </c>
      <c r="J51" s="244"/>
    </row>
    <row r="52" spans="1:10" ht="15.75" x14ac:dyDescent="0.25">
      <c r="A52" s="497"/>
      <c r="B52" s="357" t="s">
        <v>177</v>
      </c>
      <c r="C52" s="74" t="str">
        <f>IF(ISERROR(VLOOKUP(B52,Données!$A$3:$L$1479,5,FALSE)),"",VLOOKUP(B52,Données!$A$3:$L$1479,5,FALSE))</f>
        <v/>
      </c>
      <c r="D52" s="347" t="str">
        <f>IF(ISERROR(VLOOKUP(B52,Données!$A$3:$X$1479,23,FALSE)),"",VLOOKUP(B52,Données!$A$3:$X$1479,23,FALSE))</f>
        <v/>
      </c>
      <c r="E52" s="259">
        <v>2017</v>
      </c>
      <c r="F52" s="358">
        <f>IF(ISERROR(VLOOKUP(B52,Données!$A$3:$U$1479,11,FALSE)),0,VLOOKUP(B52,Données!$A$3:$U$1479,11,FALSE))</f>
        <v>0</v>
      </c>
      <c r="G52" s="74">
        <f t="shared" si="1"/>
        <v>3</v>
      </c>
      <c r="H52" s="363">
        <f>IF(ISERROR(VLOOKUP(B52,Données!$A$3:$U$1479,12,FALSE)),0,VLOOKUP(B52,Données!$A$3:$U$1479,12,FALSE))</f>
        <v>0</v>
      </c>
      <c r="I52" s="74">
        <f>IF(((E52+5)-'Calcul Masse Salariale'!$B$1)&lt;=0,0,(E52+5)-'Calcul Masse Salariale'!$B$1)</f>
        <v>3</v>
      </c>
      <c r="J52" s="244"/>
    </row>
    <row r="53" spans="1:10" ht="15.75" x14ac:dyDescent="0.25">
      <c r="A53" s="497"/>
      <c r="B53" s="35" t="s">
        <v>387</v>
      </c>
      <c r="C53" s="74" t="str">
        <f>IF(ISERROR(VLOOKUP(B53,Données!$A$3:$L$1479,5,FALSE)),"",VLOOKUP(B53,Données!$A$3:$L$1479,5,FALSE))</f>
        <v/>
      </c>
      <c r="D53" s="347" t="str">
        <f>IF(ISERROR(VLOOKUP(B53,Données!$A$3:$X$1479,23,FALSE)),"",VLOOKUP(B53,Données!$A$3:$X$1479,23,FALSE))</f>
        <v/>
      </c>
      <c r="E53" s="259">
        <v>2018</v>
      </c>
      <c r="F53" s="358">
        <f>IF(ISERROR(VLOOKUP(B53,Données!$A$3:$U$1479,11,FALSE)),0,VLOOKUP(B53,Données!$A$3:$U$1479,11,FALSE))</f>
        <v>0</v>
      </c>
      <c r="G53" s="74">
        <f t="shared" si="1"/>
        <v>4</v>
      </c>
      <c r="H53" s="363">
        <f>IF(ISERROR(VLOOKUP(B53,Données!$A$3:$U$1479,12,FALSE)),0,VLOOKUP(B53,Données!$A$3:$U$1479,12,FALSE))</f>
        <v>0</v>
      </c>
      <c r="I53" s="74">
        <f>IF(((E53+5)-'Calcul Masse Salariale'!$B$1)&lt;=0,0,(E53+5)-'Calcul Masse Salariale'!$B$1)</f>
        <v>4</v>
      </c>
      <c r="J53" s="244"/>
    </row>
    <row r="54" spans="1:10" ht="15.75" x14ac:dyDescent="0.25">
      <c r="A54" s="497"/>
      <c r="B54" s="35" t="s">
        <v>581</v>
      </c>
      <c r="C54" s="74" t="str">
        <f>IF(ISERROR(VLOOKUP(B54,Données!$A$3:$L$1479,5,FALSE)),"",VLOOKUP(B54,Données!$A$3:$L$1479,5,FALSE))</f>
        <v/>
      </c>
      <c r="D54" s="347" t="str">
        <f>IF(ISERROR(VLOOKUP(B54,Données!$A$3:$X$1479,23,FALSE)),"",VLOOKUP(B54,Données!$A$3:$X$1479,23,FALSE))</f>
        <v/>
      </c>
      <c r="E54" s="259">
        <v>2018</v>
      </c>
      <c r="F54" s="358">
        <f>IF(ISERROR(VLOOKUP(B54,Données!$A$3:$U$1479,11,FALSE)),0,VLOOKUP(B54,Données!$A$3:$U$1479,11,FALSE))</f>
        <v>0</v>
      </c>
      <c r="G54" s="74">
        <f t="shared" si="1"/>
        <v>4</v>
      </c>
      <c r="H54" s="363">
        <f>IF(ISERROR(VLOOKUP(B54,Données!$A$3:$U$1479,12,FALSE)),0,VLOOKUP(B54,Données!$A$3:$U$1479,12,FALSE))</f>
        <v>0</v>
      </c>
      <c r="I54" s="74">
        <f>IF(((E54+5)-'Calcul Masse Salariale'!$B$1)&lt;=0,0,(E54+5)-'Calcul Masse Salariale'!$B$1)</f>
        <v>4</v>
      </c>
      <c r="J54" s="244"/>
    </row>
    <row r="55" spans="1:10" ht="15.75" x14ac:dyDescent="0.25">
      <c r="A55" s="497"/>
      <c r="B55" s="35" t="s">
        <v>1203</v>
      </c>
      <c r="C55" s="74" t="str">
        <f>IF(ISERROR(VLOOKUP(B55,Données!$A$3:$L$1479,5,FALSE)),"",VLOOKUP(B55,Données!$A$3:$L$1479,5,FALSE))</f>
        <v/>
      </c>
      <c r="D55" s="347" t="str">
        <f>IF(ISERROR(VLOOKUP(B55,Données!$A$3:$X$1479,23,FALSE)),"",VLOOKUP(B55,Données!$A$3:$X$1479,23,FALSE))</f>
        <v/>
      </c>
      <c r="E55" s="259">
        <v>2018</v>
      </c>
      <c r="F55" s="358">
        <f>IF(ISERROR(VLOOKUP(B55,Données!$A$3:$U$1479,11,FALSE)),0,VLOOKUP(B55,Données!$A$3:$U$1479,11,FALSE))</f>
        <v>0</v>
      </c>
      <c r="G55" s="74">
        <f t="shared" si="1"/>
        <v>4</v>
      </c>
      <c r="H55" s="363">
        <f>IF(ISERROR(VLOOKUP(B55,Données!$A$3:$U$1479,12,FALSE)),0,VLOOKUP(B55,Données!$A$3:$U$1479,12,FALSE))</f>
        <v>0</v>
      </c>
      <c r="I55" s="74">
        <f>IF(((E55+5)-'Calcul Masse Salariale'!$B$1)&lt;=0,0,(E55+5)-'Calcul Masse Salariale'!$B$1)</f>
        <v>4</v>
      </c>
      <c r="J55" s="244"/>
    </row>
    <row r="56" spans="1:10" ht="15.75" x14ac:dyDescent="0.25">
      <c r="A56" s="497"/>
      <c r="B56" s="35" t="s">
        <v>1179</v>
      </c>
      <c r="C56" s="74" t="str">
        <f>IF(ISERROR(VLOOKUP(B56,Données!$A$3:$L$1479,5,FALSE)),"",VLOOKUP(B56,Données!$A$3:$L$1479,5,FALSE))</f>
        <v/>
      </c>
      <c r="D56" s="347" t="str">
        <f>IF(ISERROR(VLOOKUP(B56,Données!$A$3:$X$1479,23,FALSE)),"",VLOOKUP(B56,Données!$A$3:$X$1479,23,FALSE))</f>
        <v/>
      </c>
      <c r="E56" s="259">
        <v>2018</v>
      </c>
      <c r="F56" s="358">
        <f>IF(ISERROR(VLOOKUP(B56,Données!$A$3:$U$1479,11,FALSE)),0,VLOOKUP(B56,Données!$A$3:$U$1479,11,FALSE))</f>
        <v>0</v>
      </c>
      <c r="G56" s="74">
        <f t="shared" si="1"/>
        <v>4</v>
      </c>
      <c r="H56" s="363">
        <f>IF(ISERROR(VLOOKUP(B56,Données!$A$3:$U$1479,12,FALSE)),0,VLOOKUP(B56,Données!$A$3:$U$1479,12,FALSE))</f>
        <v>0</v>
      </c>
      <c r="I56" s="74">
        <f>IF(((E56+5)-'Calcul Masse Salariale'!$B$1)&lt;=0,0,(E56+5)-'Calcul Masse Salariale'!$B$1)</f>
        <v>4</v>
      </c>
      <c r="J56" s="244"/>
    </row>
    <row r="57" spans="1:10" ht="15.75" x14ac:dyDescent="0.25">
      <c r="A57" s="497"/>
      <c r="B57" s="74"/>
      <c r="C57" s="74" t="str">
        <f>IF(ISERROR(VLOOKUP(B57,Données!$A$3:$L$1479,5,FALSE)),"",VLOOKUP(B57,Données!$A$3:$L$1479,5,FALSE))</f>
        <v/>
      </c>
      <c r="D57" s="347" t="str">
        <f>IF(ISERROR(VLOOKUP(B57,Données!$A$3:$X$1479,23,FALSE)),"",VLOOKUP(B57,Données!$A$3:$X$1479,23,FALSE))</f>
        <v/>
      </c>
      <c r="E57" s="74"/>
      <c r="F57" s="358">
        <f>IF(ISERROR(VLOOKUP(B57,Données!$A$3:$U$1479,11,FALSE)),0,VLOOKUP(B57,Données!$A$3:$U$1479,11,FALSE))</f>
        <v>0</v>
      </c>
      <c r="G57" s="74">
        <f t="shared" si="1"/>
        <v>0</v>
      </c>
      <c r="H57" s="363">
        <f>IF(ISERROR(VLOOKUP(B57,Données!$A$3:$U$1479,12,FALSE)),0,VLOOKUP(B57,Données!$A$3:$U$1479,12,FALSE))</f>
        <v>0</v>
      </c>
      <c r="I57" s="74">
        <f>IF(((E57+5)-'Calcul Masse Salariale'!$B$1)&lt;=0,0,(E57+5)-'Calcul Masse Salariale'!$B$1)</f>
        <v>0</v>
      </c>
      <c r="J57" s="244"/>
    </row>
    <row r="58" spans="1:10" ht="15.75" x14ac:dyDescent="0.25">
      <c r="A58" s="497"/>
      <c r="B58" s="74"/>
      <c r="C58" s="74" t="str">
        <f>IF(ISERROR(VLOOKUP(B58,Données!$A$3:$L$1479,5,FALSE)),"",VLOOKUP(B58,Données!$A$3:$L$1479,5,FALSE))</f>
        <v/>
      </c>
      <c r="D58" s="347" t="str">
        <f>IF(ISERROR(VLOOKUP(B58,Données!$A$3:$X$1479,23,FALSE)),"",VLOOKUP(B58,Données!$A$3:$X$1479,23,FALSE))</f>
        <v/>
      </c>
      <c r="E58" s="74"/>
      <c r="F58" s="358">
        <f>IF(ISERROR(VLOOKUP(B58,Données!$A$3:$U$1479,11,FALSE)),0,VLOOKUP(B58,Données!$A$3:$U$1479,11,FALSE))</f>
        <v>0</v>
      </c>
      <c r="G58" s="74">
        <f t="shared" si="1"/>
        <v>0</v>
      </c>
      <c r="H58" s="363">
        <f>IF(ISERROR(VLOOKUP(B58,Données!$A$3:$U$1479,12,FALSE)),0,VLOOKUP(B58,Données!$A$3:$U$1479,12,FALSE))</f>
        <v>0</v>
      </c>
      <c r="I58" s="74">
        <f>IF(((E58+5)-'Calcul Masse Salariale'!$B$1)&lt;=0,0,(E58+5)-'Calcul Masse Salariale'!$B$1)</f>
        <v>0</v>
      </c>
      <c r="J58" s="244"/>
    </row>
    <row r="59" spans="1:10" ht="15.75" x14ac:dyDescent="0.25">
      <c r="A59" s="497"/>
      <c r="B59" s="74"/>
      <c r="C59" s="74" t="str">
        <f>IF(ISERROR(VLOOKUP(B59,Données!$A$3:$L$1479,5,FALSE)),"",VLOOKUP(B59,Données!$A$3:$L$1479,5,FALSE))</f>
        <v/>
      </c>
      <c r="D59" s="347" t="str">
        <f>IF(ISERROR(VLOOKUP(B59,Données!$A$3:$X$1479,23,FALSE)),"",VLOOKUP(B59,Données!$A$3:$X$1479,23,FALSE))</f>
        <v/>
      </c>
      <c r="E59" s="74"/>
      <c r="F59" s="358">
        <f>IF(ISERROR(VLOOKUP(B59,Données!$A$3:$U$1479,11,FALSE)),0,VLOOKUP(B59,Données!$A$3:$U$1479,11,FALSE))</f>
        <v>0</v>
      </c>
      <c r="G59" s="74">
        <f t="shared" si="1"/>
        <v>0</v>
      </c>
      <c r="H59" s="363">
        <f>IF(ISERROR(VLOOKUP(B59,Données!$A$3:$U$1479,12,FALSE)),0,VLOOKUP(B59,Données!$A$3:$U$1479,12,FALSE))</f>
        <v>0</v>
      </c>
      <c r="I59" s="74">
        <f>IF(((E59+5)-'Calcul Masse Salariale'!$B$1)&lt;=0,0,(E59+5)-'Calcul Masse Salariale'!$B$1)</f>
        <v>0</v>
      </c>
      <c r="J59" s="244"/>
    </row>
    <row r="60" spans="1:10" ht="15.75" x14ac:dyDescent="0.25">
      <c r="A60" s="497"/>
      <c r="B60" s="74"/>
      <c r="C60" s="74" t="str">
        <f>IF(ISERROR(VLOOKUP(B60,Données!$A$3:$L$1479,5,FALSE)),"",VLOOKUP(B60,Données!$A$3:$L$1479,5,FALSE))</f>
        <v/>
      </c>
      <c r="D60" s="347" t="str">
        <f>IF(ISERROR(VLOOKUP(B60,Données!$A$3:$X$1479,23,FALSE)),"",VLOOKUP(B60,Données!$A$3:$X$1479,23,FALSE))</f>
        <v/>
      </c>
      <c r="E60" s="74"/>
      <c r="F60" s="358">
        <f>IF(ISERROR(VLOOKUP(B60,Données!$A$3:$U$1479,11,FALSE)),0,VLOOKUP(B60,Données!$A$3:$U$1479,11,FALSE))</f>
        <v>0</v>
      </c>
      <c r="G60" s="74">
        <f t="shared" si="1"/>
        <v>0</v>
      </c>
      <c r="H60" s="363">
        <f>IF(ISERROR(VLOOKUP(B60,Données!$A$3:$U$1479,12,FALSE)),0,VLOOKUP(B60,Données!$A$3:$U$1479,12,FALSE))</f>
        <v>0</v>
      </c>
      <c r="I60" s="74">
        <f>IF(((E60+5)-'Calcul Masse Salariale'!$B$1)&lt;=0,0,(E60+5)-'Calcul Masse Salariale'!$B$1)</f>
        <v>0</v>
      </c>
      <c r="J60" s="244"/>
    </row>
    <row r="61" spans="1:10" ht="15.75" x14ac:dyDescent="0.25">
      <c r="A61" s="497"/>
      <c r="B61" s="74"/>
      <c r="C61" s="74" t="str">
        <f>IF(ISERROR(VLOOKUP(B61,Données!$A$3:$L$1479,5,FALSE)),"",VLOOKUP(B61,Données!$A$3:$L$1479,5,FALSE))</f>
        <v/>
      </c>
      <c r="D61" s="347" t="str">
        <f>IF(ISERROR(VLOOKUP(B61,Données!$A$3:$X$1479,23,FALSE)),"",VLOOKUP(B61,Données!$A$3:$X$1479,23,FALSE))</f>
        <v/>
      </c>
      <c r="E61" s="74"/>
      <c r="F61" s="358">
        <f>IF(ISERROR(VLOOKUP(B61,Données!$A$3:$U$1479,11,FALSE)),0,VLOOKUP(B61,Données!$A$3:$U$1479,11,FALSE))</f>
        <v>0</v>
      </c>
      <c r="G61" s="74">
        <f t="shared" si="1"/>
        <v>0</v>
      </c>
      <c r="H61" s="363">
        <f>IF(ISERROR(VLOOKUP(B61,Données!$A$3:$U$1479,12,FALSE)),0,VLOOKUP(B61,Données!$A$3:$U$1479,12,FALSE))</f>
        <v>0</v>
      </c>
      <c r="I61" s="74">
        <f>IF(((E61+5)-'Calcul Masse Salariale'!$B$1)&lt;=0,0,(E61+5)-'Calcul Masse Salariale'!$B$1)</f>
        <v>0</v>
      </c>
      <c r="J61" s="244"/>
    </row>
    <row r="62" spans="1:10" ht="15.75" x14ac:dyDescent="0.25">
      <c r="A62" s="497"/>
      <c r="B62" s="74"/>
      <c r="C62" s="74" t="str">
        <f>IF(ISERROR(VLOOKUP(B62,Données!$A$3:$L$1479,5,FALSE)),"",VLOOKUP(B62,Données!$A$3:$L$1479,5,FALSE))</f>
        <v/>
      </c>
      <c r="D62" s="347" t="str">
        <f>IF(ISERROR(VLOOKUP(B62,Données!$A$3:$X$1479,23,FALSE)),"",VLOOKUP(B62,Données!$A$3:$X$1479,23,FALSE))</f>
        <v/>
      </c>
      <c r="E62" s="74"/>
      <c r="F62" s="358">
        <f>IF(ISERROR(VLOOKUP(B62,Données!$A$3:$U$1479,11,FALSE)),0,VLOOKUP(B62,Données!$A$3:$U$1479,11,FALSE))</f>
        <v>0</v>
      </c>
      <c r="G62" s="74">
        <f t="shared" si="1"/>
        <v>0</v>
      </c>
      <c r="H62" s="363">
        <f>IF(ISERROR(VLOOKUP(B62,Données!$A$3:$U$1479,12,FALSE)),0,VLOOKUP(B62,Données!$A$3:$U$1479,12,FALSE))</f>
        <v>0</v>
      </c>
      <c r="I62" s="74">
        <f>IF(((E62+5)-'Calcul Masse Salariale'!$B$1)&lt;=0,0,(E62+5)-'Calcul Masse Salariale'!$B$1)</f>
        <v>0</v>
      </c>
      <c r="J62" s="244"/>
    </row>
    <row r="63" spans="1:10" ht="15.75" x14ac:dyDescent="0.25">
      <c r="A63" s="497"/>
      <c r="B63" s="74"/>
      <c r="C63" s="74" t="str">
        <f>IF(ISERROR(VLOOKUP(B63,Données!$A$3:$L$1479,5,FALSE)),"",VLOOKUP(B63,Données!$A$3:$L$1479,5,FALSE))</f>
        <v/>
      </c>
      <c r="D63" s="347" t="str">
        <f>IF(ISERROR(VLOOKUP(B63,Données!$A$3:$X$1479,23,FALSE)),"",VLOOKUP(B63,Données!$A$3:$X$1479,23,FALSE))</f>
        <v/>
      </c>
      <c r="E63" s="74"/>
      <c r="F63" s="358">
        <f>IF(ISERROR(VLOOKUP(B63,Données!$A$3:$U$1479,11,FALSE)),0,VLOOKUP(B63,Données!$A$3:$U$1479,11,FALSE))</f>
        <v>0</v>
      </c>
      <c r="G63" s="74">
        <f t="shared" si="1"/>
        <v>0</v>
      </c>
      <c r="H63" s="363">
        <f>IF(ISERROR(VLOOKUP(B63,Données!$A$3:$U$1479,12,FALSE)),0,VLOOKUP(B63,Données!$A$3:$U$1479,12,FALSE))</f>
        <v>0</v>
      </c>
      <c r="I63" s="74">
        <f>IF(((E63+5)-'Calcul Masse Salariale'!$B$1)&lt;=0,0,(E63+5)-'Calcul Masse Salariale'!$B$1)</f>
        <v>0</v>
      </c>
      <c r="J63" s="244"/>
    </row>
    <row r="64" spans="1:10" ht="15.75" x14ac:dyDescent="0.25">
      <c r="A64" s="497"/>
      <c r="B64" s="74"/>
      <c r="C64" s="74" t="str">
        <f>IF(ISERROR(VLOOKUP(B64,Données!$A$3:$L$1479,5,FALSE)),"",VLOOKUP(B64,Données!$A$3:$L$1479,5,FALSE))</f>
        <v/>
      </c>
      <c r="D64" s="347" t="str">
        <f>IF(ISERROR(VLOOKUP(B64,Données!$A$3:$X$1479,23,FALSE)),"",VLOOKUP(B64,Données!$A$3:$X$1479,23,FALSE))</f>
        <v/>
      </c>
      <c r="E64" s="74"/>
      <c r="F64" s="358">
        <f>IF(ISERROR(VLOOKUP(B64,Données!$A$3:$U$1479,11,FALSE)),0,VLOOKUP(B64,Données!$A$3:$U$1479,11,FALSE))</f>
        <v>0</v>
      </c>
      <c r="G64" s="74">
        <f t="shared" si="1"/>
        <v>0</v>
      </c>
      <c r="H64" s="363">
        <f>IF(ISERROR(VLOOKUP(B64,Données!$A$3:$U$1479,12,FALSE)),0,VLOOKUP(B64,Données!$A$3:$U$1479,12,FALSE))</f>
        <v>0</v>
      </c>
      <c r="I64" s="74">
        <f>IF(((E64+5)-'Calcul Masse Salariale'!$B$1)&lt;=0,0,(E64+5)-'Calcul Masse Salariale'!$B$1)</f>
        <v>0</v>
      </c>
      <c r="J64" s="244"/>
    </row>
    <row r="65" spans="1:10" ht="15.75" x14ac:dyDescent="0.25">
      <c r="A65" s="497"/>
      <c r="B65" s="74"/>
      <c r="C65" s="74" t="str">
        <f>IF(ISERROR(VLOOKUP(B65,Données!$A$3:$L$1479,5,FALSE)),"",VLOOKUP(B65,Données!$A$3:$L$1479,5,FALSE))</f>
        <v/>
      </c>
      <c r="D65" s="347" t="str">
        <f>IF(ISERROR(VLOOKUP(B65,Données!$A$3:$X$1479,23,FALSE)),"",VLOOKUP(B65,Données!$A$3:$X$1479,23,FALSE))</f>
        <v/>
      </c>
      <c r="E65" s="74"/>
      <c r="F65" s="358">
        <f>IF(ISERROR(VLOOKUP(B65,Données!$A$3:$U$1479,11,FALSE)),0,VLOOKUP(B65,Données!$A$3:$U$1479,11,FALSE))</f>
        <v>0</v>
      </c>
      <c r="G65" s="74">
        <f t="shared" si="1"/>
        <v>0</v>
      </c>
      <c r="H65" s="363">
        <f>IF(ISERROR(VLOOKUP(B65,Données!$A$3:$U$1479,12,FALSE)),0,VLOOKUP(B65,Données!$A$3:$U$1479,12,FALSE))</f>
        <v>0</v>
      </c>
      <c r="I65" s="74">
        <f>IF(((E65+5)-'Calcul Masse Salariale'!$B$1)&lt;=0,0,(E65+5)-'Calcul Masse Salariale'!$B$1)</f>
        <v>0</v>
      </c>
      <c r="J65" s="244"/>
    </row>
    <row r="66" spans="1:10" ht="15.75" x14ac:dyDescent="0.25">
      <c r="A66" s="497"/>
      <c r="B66" s="74"/>
      <c r="C66" s="74" t="str">
        <f>IF(ISERROR(VLOOKUP(B66,Données!$A$3:$L$1479,5,FALSE)),"",VLOOKUP(B66,Données!$A$3:$L$1479,5,FALSE))</f>
        <v/>
      </c>
      <c r="D66" s="347" t="str">
        <f>IF(ISERROR(VLOOKUP(B66,Données!$A$3:$X$1479,23,FALSE)),"",VLOOKUP(B66,Données!$A$3:$X$1479,23,FALSE))</f>
        <v/>
      </c>
      <c r="E66" s="74"/>
      <c r="F66" s="358">
        <f>IF(ISERROR(VLOOKUP(B66,Données!$A$3:$U$1479,11,FALSE)),0,VLOOKUP(B66,Données!$A$3:$U$1479,11,FALSE))</f>
        <v>0</v>
      </c>
      <c r="G66" s="74">
        <f t="shared" si="1"/>
        <v>0</v>
      </c>
      <c r="H66" s="363">
        <f>IF(ISERROR(VLOOKUP(B66,Données!$A$3:$U$1479,12,FALSE)),0,VLOOKUP(B66,Données!$A$3:$U$1479,12,FALSE))</f>
        <v>0</v>
      </c>
      <c r="I66" s="74">
        <f>IF(((E66+5)-'Calcul Masse Salariale'!$B$1)&lt;=0,0,(E66+5)-'Calcul Masse Salariale'!$B$1)</f>
        <v>0</v>
      </c>
      <c r="J66" s="244"/>
    </row>
    <row r="67" spans="1:10" ht="15.75" x14ac:dyDescent="0.25">
      <c r="A67" s="497"/>
      <c r="B67" s="74"/>
      <c r="C67" s="74" t="str">
        <f>IF(ISERROR(VLOOKUP(B67,Données!$A$3:$L$1479,5,FALSE)),"",VLOOKUP(B67,Données!$A$3:$L$1479,5,FALSE))</f>
        <v/>
      </c>
      <c r="D67" s="347" t="str">
        <f>IF(ISERROR(VLOOKUP(B67,Données!$A$3:$X$1479,23,FALSE)),"",VLOOKUP(B67,Données!$A$3:$X$1479,23,FALSE))</f>
        <v/>
      </c>
      <c r="E67" s="74"/>
      <c r="F67" s="358">
        <f>IF(ISERROR(VLOOKUP(B67,Données!$A$3:$U$1479,11,FALSE)),0,VLOOKUP(B67,Données!$A$3:$U$1479,11,FALSE))</f>
        <v>0</v>
      </c>
      <c r="G67" s="74">
        <f t="shared" si="1"/>
        <v>0</v>
      </c>
      <c r="H67" s="363">
        <f>IF(ISERROR(VLOOKUP(B67,Données!$A$3:$U$1479,12,FALSE)),0,VLOOKUP(B67,Données!$A$3:$U$1479,12,FALSE))</f>
        <v>0</v>
      </c>
      <c r="I67" s="74">
        <f>IF(((E67+5)-'Calcul Masse Salariale'!$B$1)&lt;=0,0,(E67+5)-'Calcul Masse Salariale'!$B$1)</f>
        <v>0</v>
      </c>
      <c r="J67" s="244"/>
    </row>
    <row r="68" spans="1:10" ht="15.75" x14ac:dyDescent="0.25">
      <c r="A68" s="497"/>
      <c r="B68" s="74"/>
      <c r="C68" s="74" t="str">
        <f>IF(ISERROR(VLOOKUP(B68,Données!$A$3:$L$1479,5,FALSE)),"",VLOOKUP(B68,Données!$A$3:$L$1479,5,FALSE))</f>
        <v/>
      </c>
      <c r="D68" s="347" t="str">
        <f>IF(ISERROR(VLOOKUP(B68,Données!$A$3:$X$1479,23,FALSE)),"",VLOOKUP(B68,Données!$A$3:$X$1479,23,FALSE))</f>
        <v/>
      </c>
      <c r="E68" s="74"/>
      <c r="F68" s="358">
        <f>IF(ISERROR(VLOOKUP(B68,Données!$A$3:$U$1479,11,FALSE)),0,VLOOKUP(B68,Données!$A$3:$U$1479,11,FALSE))</f>
        <v>0</v>
      </c>
      <c r="G68" s="74">
        <f t="shared" si="1"/>
        <v>0</v>
      </c>
      <c r="H68" s="363">
        <f>IF(ISERROR(VLOOKUP(B68,Données!$A$3:$U$1479,12,FALSE)),0,VLOOKUP(B68,Données!$A$3:$U$1479,12,FALSE))</f>
        <v>0</v>
      </c>
      <c r="I68" s="74">
        <f>IF(((E68+5)-'Calcul Masse Salariale'!$B$1)&lt;=0,0,(E68+5)-'Calcul Masse Salariale'!$B$1)</f>
        <v>0</v>
      </c>
      <c r="J68" s="244"/>
    </row>
    <row r="69" spans="1:10" ht="15.75" x14ac:dyDescent="0.25">
      <c r="A69" s="497"/>
      <c r="B69" s="74"/>
      <c r="C69" s="74" t="str">
        <f>IF(ISERROR(VLOOKUP(B69,Données!$A$3:$L$1479,5,FALSE)),"",VLOOKUP(B69,Données!$A$3:$L$1479,5,FALSE))</f>
        <v/>
      </c>
      <c r="D69" s="347" t="str">
        <f>IF(ISERROR(VLOOKUP(B69,Données!$A$3:$X$1479,23,FALSE)),"",VLOOKUP(B69,Données!$A$3:$X$1479,23,FALSE))</f>
        <v/>
      </c>
      <c r="E69" s="74"/>
      <c r="F69" s="358">
        <f>IF(ISERROR(VLOOKUP(B69,Données!$A$3:$U$1479,11,FALSE)),0,VLOOKUP(B69,Données!$A$3:$U$1479,11,FALSE))</f>
        <v>0</v>
      </c>
      <c r="G69" s="74">
        <f t="shared" si="1"/>
        <v>0</v>
      </c>
      <c r="H69" s="363">
        <f>IF(ISERROR(VLOOKUP(B69,Données!$A$3:$U$1479,12,FALSE)),0,VLOOKUP(B69,Données!$A$3:$U$1479,12,FALSE))</f>
        <v>0</v>
      </c>
      <c r="I69" s="74">
        <f>IF(((E69+5)-'Calcul Masse Salariale'!$B$1)&lt;=0,0,(E69+5)-'Calcul Masse Salariale'!$B$1)</f>
        <v>0</v>
      </c>
      <c r="J69" s="244"/>
    </row>
    <row r="70" spans="1:10" ht="15.75" x14ac:dyDescent="0.25">
      <c r="A70" s="497"/>
      <c r="B70" s="74"/>
      <c r="C70" s="74" t="str">
        <f>IF(ISERROR(VLOOKUP(B70,Données!$A$3:$L$1479,5,FALSE)),"",VLOOKUP(B70,Données!$A$3:$L$1479,5,FALSE))</f>
        <v/>
      </c>
      <c r="D70" s="347" t="str">
        <f>IF(ISERROR(VLOOKUP(B70,Données!$A$3:$X$1479,23,FALSE)),"",VLOOKUP(B70,Données!$A$3:$X$1479,23,FALSE))</f>
        <v/>
      </c>
      <c r="E70" s="74"/>
      <c r="F70" s="358">
        <f>IF(ISERROR(VLOOKUP(B70,Données!$A$3:$U$1479,11,FALSE)),0,VLOOKUP(B70,Données!$A$3:$U$1479,11,FALSE))</f>
        <v>0</v>
      </c>
      <c r="G70" s="74">
        <f t="shared" si="1"/>
        <v>0</v>
      </c>
      <c r="H70" s="363">
        <f>IF(ISERROR(VLOOKUP(B70,Données!$A$3:$U$1479,12,FALSE)),0,VLOOKUP(B70,Données!$A$3:$U$1479,12,FALSE))</f>
        <v>0</v>
      </c>
      <c r="I70" s="74">
        <f>IF(((E70+5)-'Calcul Masse Salariale'!$B$1)&lt;=0,0,(E70+5)-'Calcul Masse Salariale'!$B$1)</f>
        <v>0</v>
      </c>
      <c r="J70" s="244"/>
    </row>
    <row r="71" spans="1:10" ht="15.75" x14ac:dyDescent="0.25">
      <c r="A71" s="497"/>
      <c r="B71" s="74"/>
      <c r="C71" s="74" t="str">
        <f>IF(ISERROR(VLOOKUP(B71,Données!$A$3:$L$1479,5,FALSE)),"",VLOOKUP(B71,Données!$A$3:$L$1479,5,FALSE))</f>
        <v/>
      </c>
      <c r="D71" s="347" t="str">
        <f>IF(ISERROR(VLOOKUP(B71,Données!$A$3:$X$1479,23,FALSE)),"",VLOOKUP(B71,Données!$A$3:$X$1479,23,FALSE))</f>
        <v/>
      </c>
      <c r="E71" s="74"/>
      <c r="F71" s="358">
        <f>IF(ISERROR(VLOOKUP(B71,Données!$A$3:$U$1479,11,FALSE)),0,VLOOKUP(B71,Données!$A$3:$U$1479,11,FALSE))</f>
        <v>0</v>
      </c>
      <c r="G71" s="74">
        <f t="shared" si="1"/>
        <v>0</v>
      </c>
      <c r="H71" s="363">
        <f>IF(ISERROR(VLOOKUP(B71,Données!$A$3:$U$1479,12,FALSE)),0,VLOOKUP(B71,Données!$A$3:$U$1479,12,FALSE))</f>
        <v>0</v>
      </c>
      <c r="I71" s="74">
        <f>IF(((E71+5)-'Calcul Masse Salariale'!$B$1)&lt;=0,0,(E71+5)-'Calcul Masse Salariale'!$B$1)</f>
        <v>0</v>
      </c>
      <c r="J71" s="244"/>
    </row>
    <row r="72" spans="1:10" ht="15.75" x14ac:dyDescent="0.25">
      <c r="A72" s="497"/>
      <c r="B72" s="74"/>
      <c r="C72" s="74" t="str">
        <f>IF(ISERROR(VLOOKUP(B72,Données!$A$3:$L$1479,5,FALSE)),"",VLOOKUP(B72,Données!$A$3:$L$1479,5,FALSE))</f>
        <v/>
      </c>
      <c r="D72" s="347" t="str">
        <f>IF(ISERROR(VLOOKUP(B72,Données!$A$3:$X$1479,23,FALSE)),"",VLOOKUP(B72,Données!$A$3:$X$1479,23,FALSE))</f>
        <v/>
      </c>
      <c r="E72" s="74"/>
      <c r="F72" s="358">
        <f>IF(ISERROR(VLOOKUP(B72,Données!$A$3:$U$1479,11,FALSE)),0,VLOOKUP(B72,Données!$A$3:$U$1479,11,FALSE))</f>
        <v>0</v>
      </c>
      <c r="G72" s="74">
        <f t="shared" si="1"/>
        <v>0</v>
      </c>
      <c r="H72" s="363">
        <f>IF(ISERROR(VLOOKUP(B72,Données!$A$3:$U$1479,12,FALSE)),0,VLOOKUP(B72,Données!$A$3:$U$1479,12,FALSE))</f>
        <v>0</v>
      </c>
      <c r="I72" s="74">
        <f>IF(((E72+5)-'Calcul Masse Salariale'!$B$1)&lt;=0,0,(E72+5)-'Calcul Masse Salariale'!$B$1)</f>
        <v>0</v>
      </c>
      <c r="J72" s="244"/>
    </row>
    <row r="73" spans="1:10" ht="15.75" x14ac:dyDescent="0.25">
      <c r="A73" s="497"/>
      <c r="B73" s="74"/>
      <c r="C73" s="74" t="str">
        <f>IF(ISERROR(VLOOKUP(B73,Données!$A$3:$L$1479,5,FALSE)),"",VLOOKUP(B73,Données!$A$3:$L$1479,5,FALSE))</f>
        <v/>
      </c>
      <c r="D73" s="347" t="str">
        <f>IF(ISERROR(VLOOKUP(B73,Données!$A$3:$X$1479,23,FALSE)),"",VLOOKUP(B73,Données!$A$3:$X$1479,23,FALSE))</f>
        <v/>
      </c>
      <c r="E73" s="74"/>
      <c r="F73" s="358">
        <f>IF(ISERROR(VLOOKUP(B73,Données!$A$3:$U$1479,11,FALSE)),0,VLOOKUP(B73,Données!$A$3:$U$1479,11,FALSE))</f>
        <v>0</v>
      </c>
      <c r="G73" s="74">
        <f t="shared" si="1"/>
        <v>0</v>
      </c>
      <c r="H73" s="363">
        <f>IF(ISERROR(VLOOKUP(B73,Données!$A$3:$U$1479,12,FALSE)),0,VLOOKUP(B73,Données!$A$3:$U$1479,12,FALSE))</f>
        <v>0</v>
      </c>
      <c r="I73" s="74">
        <f>IF(((E73+5)-'Calcul Masse Salariale'!$B$1)&lt;=0,0,(E73+5)-'Calcul Masse Salariale'!$B$1)</f>
        <v>0</v>
      </c>
    </row>
    <row r="74" spans="1:10" x14ac:dyDescent="0.25">
      <c r="F74" s="358">
        <f>IF(ISERROR(VLOOKUP(B74,Données!$A$3:$U$1479,11,FALSE)),0,VLOOKUP(B74,Données!$A$3:$U$1479,11,FALSE))</f>
        <v>0</v>
      </c>
      <c r="G74" s="401">
        <f>IF(ISERROR(VLOOKUP(#REF!,Données!$A$3:$U$1479,20,FALSE)),0,VLOOKUP(#REF!,Données!$A$3:$U$1479,20,FALSE))</f>
        <v>0</v>
      </c>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9">
      <iconSet iconSet="3Symbols" showValue="0" reverse="1">
        <cfvo type="percent" val="0"/>
        <cfvo type="num" val="0.5" gte="0"/>
        <cfvo type="num" val="1"/>
      </iconSet>
    </cfRule>
  </conditionalFormatting>
  <conditionalFormatting sqref="H3:H30">
    <cfRule type="expression" dxfId="23" priority="6">
      <formula>(F3&lt;&gt;H3)</formula>
    </cfRule>
  </conditionalFormatting>
  <conditionalFormatting sqref="G39:G52">
    <cfRule type="iconSet" priority="5">
      <iconSet iconSet="3Flags" showValue="0">
        <cfvo type="percent" val="0"/>
        <cfvo type="num" val="1"/>
        <cfvo type="num" val="2"/>
      </iconSet>
    </cfRule>
  </conditionalFormatting>
  <conditionalFormatting sqref="G53:G73">
    <cfRule type="iconSet" priority="4">
      <iconSet iconSet="3Flags" showValue="0">
        <cfvo type="percent" val="0"/>
        <cfvo type="num" val="1"/>
        <cfvo type="num" val="2"/>
      </iconSet>
    </cfRule>
  </conditionalFormatting>
  <conditionalFormatting sqref="G35">
    <cfRule type="iconSet" priority="3">
      <iconSet iconSet="3Symbols" showValue="0" reverse="1">
        <cfvo type="percent" val="0"/>
        <cfvo type="num" val="0.5" gte="0"/>
        <cfvo type="num" val="1"/>
      </iconSet>
    </cfRule>
  </conditionalFormatting>
  <conditionalFormatting sqref="H39:H73">
    <cfRule type="expression" dxfId="22" priority="1">
      <formula>(F39&lt;&gt;H39)</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8" id="{D9FC9422-C682-46D6-ACE3-0EB7E7EFCA4A}">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566E9BBF-6AB9-42DB-B1FE-7B074B8582AB}">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T74"/>
  <sheetViews>
    <sheetView zoomScale="85" zoomScaleNormal="85" workbookViewId="0">
      <selection activeCell="C58" sqref="C58"/>
    </sheetView>
  </sheetViews>
  <sheetFormatPr baseColWidth="10" defaultColWidth="11.42578125" defaultRowHeight="15" x14ac:dyDescent="0.25"/>
  <cols>
    <col min="1" max="1" width="12.42578125" style="185" customWidth="1"/>
    <col min="2" max="2" width="24.7109375" style="185" customWidth="1"/>
    <col min="3" max="3" width="7.140625" style="196" bestFit="1" customWidth="1"/>
    <col min="4" max="4" width="4" style="196" bestFit="1" customWidth="1"/>
    <col min="5" max="5" width="13.140625" style="185" bestFit="1" customWidth="1"/>
    <col min="6" max="6" width="25.28515625" style="185" bestFit="1" customWidth="1"/>
    <col min="7" max="7" width="15.42578125" style="204" bestFit="1" customWidth="1"/>
    <col min="8" max="8" width="24.5703125" style="185" bestFit="1" customWidth="1"/>
    <col min="9" max="9" width="11.28515625" style="185" customWidth="1"/>
    <col min="10" max="10" width="2" style="185" customWidth="1"/>
    <col min="11" max="11" width="15.28515625" style="185" customWidth="1"/>
    <col min="12" max="12" width="25.140625" style="185" customWidth="1"/>
    <col min="13" max="13" width="2" style="184" customWidth="1"/>
    <col min="14" max="14" width="12.7109375" style="185" bestFit="1" customWidth="1"/>
    <col min="15" max="15" width="21" style="185" bestFit="1" customWidth="1"/>
    <col min="16" max="16" width="23" style="185" customWidth="1"/>
    <col min="17" max="17" width="16" style="185" customWidth="1"/>
    <col min="18" max="18" width="13.5703125" style="185" customWidth="1"/>
    <col min="19" max="16384" width="11.42578125" style="185"/>
  </cols>
  <sheetData>
    <row r="1" spans="1:20" ht="21.75" thickBot="1" x14ac:dyDescent="0.4">
      <c r="A1" s="566" t="s">
        <v>41</v>
      </c>
      <c r="B1" s="566"/>
      <c r="C1" s="566"/>
      <c r="D1" s="339"/>
      <c r="E1" s="182" t="s">
        <v>187</v>
      </c>
      <c r="F1" s="299">
        <f>SUM(F3:F30)</f>
        <v>0</v>
      </c>
      <c r="G1" s="182" t="s">
        <v>188</v>
      </c>
      <c r="H1" s="299">
        <f>F32</f>
        <v>102000000</v>
      </c>
      <c r="I1" s="183"/>
      <c r="J1" s="184"/>
      <c r="K1" s="186" t="s">
        <v>59</v>
      </c>
      <c r="L1" s="186"/>
      <c r="N1" s="184"/>
      <c r="O1" s="571" t="s">
        <v>45</v>
      </c>
      <c r="P1" s="571"/>
      <c r="Q1" s="571"/>
      <c r="R1" s="571"/>
      <c r="S1" s="206"/>
    </row>
    <row r="2" spans="1:20" ht="30" x14ac:dyDescent="0.25">
      <c r="A2" s="558" t="s">
        <v>38</v>
      </c>
      <c r="B2" s="187" t="s">
        <v>36</v>
      </c>
      <c r="C2" s="187" t="s">
        <v>52</v>
      </c>
      <c r="D2" s="7" t="s">
        <v>403</v>
      </c>
      <c r="E2" s="187" t="s">
        <v>5</v>
      </c>
      <c r="F2" s="24" t="s">
        <v>1155</v>
      </c>
      <c r="G2" s="188" t="s">
        <v>189</v>
      </c>
      <c r="H2" s="19" t="s">
        <v>2676</v>
      </c>
      <c r="I2" s="189" t="s">
        <v>2403</v>
      </c>
      <c r="J2" s="184"/>
      <c r="K2" s="41" t="s">
        <v>2435</v>
      </c>
      <c r="L2" s="41" t="s">
        <v>47</v>
      </c>
      <c r="N2" s="208" t="s">
        <v>112</v>
      </c>
      <c r="O2" s="377" t="s">
        <v>108</v>
      </c>
      <c r="P2" s="385" t="s">
        <v>109</v>
      </c>
      <c r="Q2" s="190" t="s">
        <v>46</v>
      </c>
      <c r="R2" s="190" t="s">
        <v>55</v>
      </c>
    </row>
    <row r="3" spans="1:20" ht="15.75" x14ac:dyDescent="0.25">
      <c r="A3" s="558"/>
      <c r="B3" s="209" t="s">
        <v>575</v>
      </c>
      <c r="C3" s="192" t="str">
        <f>IF(ISERROR(VLOOKUP(B3,Données!$A$3:$L$1479,5,FALSE)),"",VLOOKUP(B3,Données!$A$3:$L$1479,5,FALSE))</f>
        <v/>
      </c>
      <c r="D3" s="347" t="str">
        <f>IF(ISERROR(VLOOKUP(B3,Données!$A$3:$X$1479,23,FALSE)),"",VLOOKUP(B3,Données!$A$3:$X$1479,23,FALSE))</f>
        <v/>
      </c>
      <c r="E3" s="192" t="str">
        <f>IF(ISERROR(VLOOKUP(B3,Données!$A$3:$L$1479,7,FALSE)),"",VLOOKUP(B3,Données!$A$3:$L$1479,7,FALSE))</f>
        <v/>
      </c>
      <c r="F3" s="297">
        <f>IF(ISERROR(VLOOKUP(B3,Données!$A$3:$U$1479,11,FALSE)),0,VLOOKUP(B3,Données!$A$3:$U$1479,11,FALSE))</f>
        <v>0</v>
      </c>
      <c r="G3" s="193">
        <f>VALUE(COUNTIF(Validation!$A$2:$H$64,B3))-1</f>
        <v>0</v>
      </c>
      <c r="H3" s="363">
        <f>IF(ISERROR(VLOOKUP(B3,Données!$A$3:$U$1479,12,FALSE)),0,VLOOKUP(B3,Données!$A$3:$U$1479,12,FALSE))</f>
        <v>0</v>
      </c>
      <c r="I3" s="194">
        <f>IF(ISERROR(VLOOKUP(B3,Données!$A$3:$U$1479,20,FALSE)),0,VLOOKUP(B3,Données!$A$3:$U$1479,20,FALSE))</f>
        <v>0</v>
      </c>
      <c r="J3" s="184"/>
      <c r="O3" s="274"/>
      <c r="P3" s="209"/>
      <c r="Q3" s="462"/>
      <c r="R3" s="462" t="str">
        <f>IF(Q3="","",Q3+7)</f>
        <v/>
      </c>
    </row>
    <row r="4" spans="1:20" ht="15.75" x14ac:dyDescent="0.25">
      <c r="A4" s="558"/>
      <c r="B4" s="274" t="s">
        <v>201</v>
      </c>
      <c r="C4" s="192" t="str">
        <f>IF(ISERROR(VLOOKUP(B4,Données!$A$3:$L$1479,5,FALSE)),"",VLOOKUP(B4,Données!$A$3:$L$1479,5,FALSE))</f>
        <v/>
      </c>
      <c r="D4" s="347" t="str">
        <f>IF(ISERROR(VLOOKUP(B4,Données!$A$3:$X$1479,23,FALSE)),"",VLOOKUP(B4,Données!$A$3:$X$1479,23,FALSE))</f>
        <v/>
      </c>
      <c r="E4" s="192" t="str">
        <f>IF(ISERROR(VLOOKUP(B4,Données!$A$3:$L$1479,7,FALSE)),"",VLOOKUP(B4,Données!$A$3:$L$1479,7,FALSE))</f>
        <v/>
      </c>
      <c r="F4" s="297">
        <f>IF(ISERROR(VLOOKUP(B4,Données!$A$3:$U$1479,11,FALSE)),0,VLOOKUP(B4,Données!$A$3:$U$1479,11,FALSE))</f>
        <v>0</v>
      </c>
      <c r="G4" s="193">
        <f>VALUE(COUNTIF(Validation!$A$2:$H$64,B4))-1</f>
        <v>0</v>
      </c>
      <c r="H4" s="363">
        <f>IF(ISERROR(VLOOKUP(B4,Données!$A$3:$U$1479,12,FALSE)),0,VLOOKUP(B4,Données!$A$3:$U$1479,12,FALSE))</f>
        <v>0</v>
      </c>
      <c r="I4" s="194">
        <f>IF(ISERROR(VLOOKUP(B4,Données!$A$3:$U$1479,20,FALSE)),0,VLOOKUP(B4,Données!$A$3:$U$1479,20,FALSE))</f>
        <v>0</v>
      </c>
      <c r="J4" s="184"/>
      <c r="K4" s="195"/>
      <c r="O4" s="41"/>
      <c r="P4" s="209"/>
      <c r="Q4" s="462"/>
      <c r="R4" s="462" t="str">
        <f t="shared" ref="R4:R31" si="0">IF(Q4="","",Q4+7)</f>
        <v/>
      </c>
    </row>
    <row r="5" spans="1:20" ht="15.75" x14ac:dyDescent="0.25">
      <c r="A5" s="558"/>
      <c r="B5" s="274" t="s">
        <v>203</v>
      </c>
      <c r="C5" s="192" t="str">
        <f>IF(ISERROR(VLOOKUP(B5,Données!$A$3:$L$1479,5,FALSE)),"",VLOOKUP(B5,Données!$A$3:$L$1479,5,FALSE))</f>
        <v/>
      </c>
      <c r="D5" s="347" t="str">
        <f>IF(ISERROR(VLOOKUP(B5,Données!$A$3:$X$1479,23,FALSE)),"",VLOOKUP(B5,Données!$A$3:$X$1479,23,FALSE))</f>
        <v/>
      </c>
      <c r="E5" s="192" t="str">
        <f>IF(ISERROR(VLOOKUP(B5,Données!$A$3:$L$1479,7,FALSE)),"",VLOOKUP(B5,Données!$A$3:$L$1479,7,FALSE))</f>
        <v/>
      </c>
      <c r="F5" s="297">
        <f>IF(ISERROR(VLOOKUP(B5,Données!$A$3:$U$1479,11,FALSE)),0,VLOOKUP(B5,Données!$A$3:$U$1479,11,FALSE))</f>
        <v>0</v>
      </c>
      <c r="G5" s="193">
        <f>VALUE(COUNTIF(Validation!$A$2:$H$64,B5))-1</f>
        <v>0</v>
      </c>
      <c r="H5" s="363">
        <f>IF(ISERROR(VLOOKUP(B5,Données!$A$3:$U$1479,12,FALSE)),0,VLOOKUP(B5,Données!$A$3:$U$1479,12,FALSE))</f>
        <v>0</v>
      </c>
      <c r="I5" s="194">
        <f>IF(ISERROR(VLOOKUP(B5,Données!$A$3:$U$1479,20,FALSE)),0,VLOOKUP(B5,Données!$A$3:$U$1479,20,FALSE))</f>
        <v>0</v>
      </c>
      <c r="J5" s="184"/>
      <c r="K5" s="195"/>
      <c r="N5" s="41"/>
      <c r="O5" s="41"/>
      <c r="P5" s="41"/>
      <c r="R5" s="462" t="str">
        <f t="shared" si="0"/>
        <v/>
      </c>
    </row>
    <row r="6" spans="1:20" ht="15.75" x14ac:dyDescent="0.25">
      <c r="A6" s="558"/>
      <c r="B6" s="209" t="s">
        <v>205</v>
      </c>
      <c r="C6" s="192" t="str">
        <f>IF(ISERROR(VLOOKUP(B6,Données!$A$3:$L$1479,5,FALSE)),"",VLOOKUP(B6,Données!$A$3:$L$1479,5,FALSE))</f>
        <v/>
      </c>
      <c r="D6" s="347" t="str">
        <f>IF(ISERROR(VLOOKUP(B6,Données!$A$3:$X$1479,23,FALSE)),"",VLOOKUP(B6,Données!$A$3:$X$1479,23,FALSE))</f>
        <v/>
      </c>
      <c r="E6" s="192" t="str">
        <f>IF(ISERROR(VLOOKUP(B6,Données!$A$3:$L$1479,7,FALSE)),"",VLOOKUP(B6,Données!$A$3:$L$1479,7,FALSE))</f>
        <v/>
      </c>
      <c r="F6" s="297">
        <f>IF(ISERROR(VLOOKUP(B6,Données!$A$3:$U$1479,11,FALSE)),0,VLOOKUP(B6,Données!$A$3:$U$1479,11,FALSE))</f>
        <v>0</v>
      </c>
      <c r="G6" s="193">
        <f>VALUE(COUNTIF(Validation!$A$2:$H$64,B6))-1</f>
        <v>0</v>
      </c>
      <c r="H6" s="363">
        <f>IF(ISERROR(VLOOKUP(B6,Données!$A$3:$U$1479,12,FALSE)),0,VLOOKUP(B6,Données!$A$3:$U$1479,12,FALSE))</f>
        <v>0</v>
      </c>
      <c r="I6" s="194">
        <f>IF(ISERROR(VLOOKUP(B6,Données!$A$3:$U$1479,20,FALSE)),0,VLOOKUP(B6,Données!$A$3:$U$1479,20,FALSE))</f>
        <v>0</v>
      </c>
      <c r="J6" s="184"/>
      <c r="O6" s="41"/>
      <c r="P6" s="41"/>
      <c r="Q6" s="462"/>
      <c r="R6" s="462" t="str">
        <f t="shared" si="0"/>
        <v/>
      </c>
    </row>
    <row r="7" spans="1:20" ht="15.75" x14ac:dyDescent="0.25">
      <c r="A7" s="558"/>
      <c r="B7" s="209" t="s">
        <v>210</v>
      </c>
      <c r="C7" s="192" t="str">
        <f>IF(ISERROR(VLOOKUP(B7,Données!$A$3:$L$1479,5,FALSE)),"",VLOOKUP(B7,Données!$A$3:$L$1479,5,FALSE))</f>
        <v/>
      </c>
      <c r="D7" s="347" t="str">
        <f>IF(ISERROR(VLOOKUP(B7,Données!$A$3:$X$1479,23,FALSE)),"",VLOOKUP(B7,Données!$A$3:$X$1479,23,FALSE))</f>
        <v/>
      </c>
      <c r="E7" s="192" t="str">
        <f>IF(ISERROR(VLOOKUP(B7,Données!$A$3:$L$1479,7,FALSE)),"",VLOOKUP(B7,Données!$A$3:$L$1479,7,FALSE))</f>
        <v/>
      </c>
      <c r="F7" s="297">
        <f>IF(ISERROR(VLOOKUP(B7,Données!$A$3:$U$1479,11,FALSE)),0,VLOOKUP(B7,Données!$A$3:$U$1479,11,FALSE))</f>
        <v>0</v>
      </c>
      <c r="G7" s="193">
        <f>VALUE(COUNTIF(Validation!$A$2:$H$64,B7))-1</f>
        <v>0</v>
      </c>
      <c r="H7" s="363">
        <f>IF(ISERROR(VLOOKUP(B7,Données!$A$3:$U$1479,12,FALSE)),0,VLOOKUP(B7,Données!$A$3:$U$1479,12,FALSE))</f>
        <v>0</v>
      </c>
      <c r="I7" s="194">
        <f>IF(ISERROR(VLOOKUP(B7,Données!$A$3:$U$1479,20,FALSE)),0,VLOOKUP(B7,Données!$A$3:$U$1479,20,FALSE))</f>
        <v>0</v>
      </c>
      <c r="J7" s="184"/>
      <c r="O7" s="41"/>
      <c r="P7" s="41"/>
      <c r="Q7" s="462"/>
      <c r="R7" s="462" t="str">
        <f t="shared" si="0"/>
        <v/>
      </c>
      <c r="S7" s="393"/>
      <c r="T7" s="393"/>
    </row>
    <row r="8" spans="1:20" ht="15.75" x14ac:dyDescent="0.25">
      <c r="A8" s="558"/>
      <c r="B8" s="209" t="s">
        <v>724</v>
      </c>
      <c r="C8" s="192" t="str">
        <f>IF(ISERROR(VLOOKUP(B8,Données!$A$3:$L$1479,5,FALSE)),"",VLOOKUP(B8,Données!$A$3:$L$1479,5,FALSE))</f>
        <v/>
      </c>
      <c r="D8" s="347" t="str">
        <f>IF(ISERROR(VLOOKUP(B8,Données!$A$3:$X$1479,23,FALSE)),"",VLOOKUP(B8,Données!$A$3:$X$1479,23,FALSE))</f>
        <v/>
      </c>
      <c r="E8" s="192" t="str">
        <f>IF(ISERROR(VLOOKUP(B8,Données!$A$3:$L$1479,7,FALSE)),"",VLOOKUP(B8,Données!$A$3:$L$1479,7,FALSE))</f>
        <v/>
      </c>
      <c r="F8" s="297">
        <f>IF(ISERROR(VLOOKUP(B8,Données!$A$3:$U$1479,11,FALSE)),0,VLOOKUP(B8,Données!$A$3:$U$1479,11,FALSE))</f>
        <v>0</v>
      </c>
      <c r="G8" s="193">
        <f>VALUE(COUNTIF(Validation!$A$2:$H$64,B8))-1</f>
        <v>0</v>
      </c>
      <c r="H8" s="363">
        <f>IF(ISERROR(VLOOKUP(B8,Données!$A$3:$U$1479,12,FALSE)),0,VLOOKUP(B8,Données!$A$3:$U$1479,12,FALSE))</f>
        <v>0</v>
      </c>
      <c r="I8" s="194">
        <f>IF(ISERROR(VLOOKUP(B8,Données!$A$3:$U$1479,20,FALSE)),0,VLOOKUP(B8,Données!$A$3:$U$1479,20,FALSE))</f>
        <v>0</v>
      </c>
      <c r="J8" s="184"/>
      <c r="N8" s="41"/>
      <c r="O8" s="41"/>
      <c r="P8" s="41"/>
      <c r="Q8" s="393"/>
      <c r="R8" s="462" t="str">
        <f t="shared" si="0"/>
        <v/>
      </c>
    </row>
    <row r="9" spans="1:20" ht="15.75" x14ac:dyDescent="0.25">
      <c r="A9" s="558"/>
      <c r="B9" s="209" t="s">
        <v>634</v>
      </c>
      <c r="C9" s="192" t="str">
        <f>IF(ISERROR(VLOOKUP(B9,Données!$A$3:$L$1479,5,FALSE)),"",VLOOKUP(B9,Données!$A$3:$L$1479,5,FALSE))</f>
        <v/>
      </c>
      <c r="D9" s="347" t="str">
        <f>IF(ISERROR(VLOOKUP(B9,Données!$A$3:$X$1479,23,FALSE)),"",VLOOKUP(B9,Données!$A$3:$X$1479,23,FALSE))</f>
        <v/>
      </c>
      <c r="E9" s="192" t="str">
        <f>IF(ISERROR(VLOOKUP(B9,Données!$A$3:$L$1479,7,FALSE)),"",VLOOKUP(B9,Données!$A$3:$L$1479,7,FALSE))</f>
        <v/>
      </c>
      <c r="F9" s="297">
        <f>IF(ISERROR(VLOOKUP(B9,Données!$A$3:$U$1479,11,FALSE)),0,VLOOKUP(B9,Données!$A$3:$U$1479,11,FALSE))</f>
        <v>0</v>
      </c>
      <c r="G9" s="193">
        <f>VALUE(COUNTIF(Validation!$A$2:$H$64,B9))-1</f>
        <v>0</v>
      </c>
      <c r="H9" s="363">
        <f>IF(ISERROR(VLOOKUP(B9,Données!$A$3:$U$1479,12,FALSE)),0,VLOOKUP(B9,Données!$A$3:$U$1479,12,FALSE))</f>
        <v>0</v>
      </c>
      <c r="I9" s="194">
        <f>IF(ISERROR(VLOOKUP(B9,Données!$A$3:$U$1479,20,FALSE)),0,VLOOKUP(B9,Données!$A$3:$U$1479,20,FALSE))</f>
        <v>0</v>
      </c>
      <c r="J9" s="184"/>
      <c r="K9" s="560" t="s">
        <v>60</v>
      </c>
      <c r="L9" s="560"/>
      <c r="N9" s="41"/>
      <c r="O9" s="41"/>
      <c r="P9" s="41"/>
      <c r="R9" s="462" t="str">
        <f t="shared" si="0"/>
        <v/>
      </c>
    </row>
    <row r="10" spans="1:20" ht="15.75" x14ac:dyDescent="0.25">
      <c r="A10" s="558"/>
      <c r="B10" s="209" t="s">
        <v>207</v>
      </c>
      <c r="C10" s="192" t="str">
        <f>IF(ISERROR(VLOOKUP(B10,Données!$A$3:$L$1479,5,FALSE)),"",VLOOKUP(B10,Données!$A$3:$L$1479,5,FALSE))</f>
        <v/>
      </c>
      <c r="D10" s="347" t="str">
        <f>IF(ISERROR(VLOOKUP(B10,Données!$A$3:$X$1479,23,FALSE)),"",VLOOKUP(B10,Données!$A$3:$X$1479,23,FALSE))</f>
        <v/>
      </c>
      <c r="E10" s="192" t="str">
        <f>IF(ISERROR(VLOOKUP(B10,Données!$A$3:$L$1479,7,FALSE)),"",VLOOKUP(B10,Données!$A$3:$L$1479,7,FALSE))</f>
        <v/>
      </c>
      <c r="F10" s="297">
        <f>IF(ISERROR(VLOOKUP(B10,Données!$A$3:$U$1479,11,FALSE)),0,VLOOKUP(B10,Données!$A$3:$U$1479,11,FALSE))</f>
        <v>0</v>
      </c>
      <c r="G10" s="193">
        <f>VALUE(COUNTIF(Validation!$A$2:$H$64,B10))-1</f>
        <v>0</v>
      </c>
      <c r="H10" s="363">
        <f>IF(ISERROR(VLOOKUP(B10,Données!$A$3:$U$1479,12,FALSE)),0,VLOOKUP(B10,Données!$A$3:$U$1479,12,FALSE))</f>
        <v>0</v>
      </c>
      <c r="I10" s="194">
        <f>IF(ISERROR(VLOOKUP(B10,Données!$A$3:$U$1479,20,FALSE)),0,VLOOKUP(B10,Données!$A$3:$U$1479,20,FALSE))</f>
        <v>0</v>
      </c>
      <c r="J10" s="184"/>
      <c r="K10" s="190" t="s">
        <v>62</v>
      </c>
      <c r="L10" s="190" t="s">
        <v>61</v>
      </c>
      <c r="N10" s="41"/>
      <c r="P10" s="41"/>
      <c r="R10" s="462" t="str">
        <f t="shared" si="0"/>
        <v/>
      </c>
    </row>
    <row r="11" spans="1:20" ht="15.75" x14ac:dyDescent="0.25">
      <c r="A11" s="558"/>
      <c r="B11" s="209" t="s">
        <v>1064</v>
      </c>
      <c r="C11" s="192" t="str">
        <f>IF(ISERROR(VLOOKUP(B11,Données!$A$3:$L$1479,5,FALSE)),"",VLOOKUP(B11,Données!$A$3:$L$1479,5,FALSE))</f>
        <v/>
      </c>
      <c r="D11" s="347" t="str">
        <f>IF(ISERROR(VLOOKUP(B11,Données!$A$3:$X$1479,23,FALSE)),"",VLOOKUP(B11,Données!$A$3:$X$1479,23,FALSE))</f>
        <v/>
      </c>
      <c r="E11" s="192" t="str">
        <f>IF(ISERROR(VLOOKUP(B11,Données!$A$3:$L$1479,7,FALSE)),"",VLOOKUP(B11,Données!$A$3:$L$1479,7,FALSE))</f>
        <v/>
      </c>
      <c r="F11" s="297">
        <f>IF(ISERROR(VLOOKUP(B11,Données!$A$3:$U$1479,11,FALSE)),0,VLOOKUP(B11,Données!$A$3:$U$1479,11,FALSE))</f>
        <v>0</v>
      </c>
      <c r="G11" s="193">
        <f>VALUE(COUNTIF(Validation!$A$2:$H$64,B11))-1</f>
        <v>0</v>
      </c>
      <c r="H11" s="363">
        <f>IF(ISERROR(VLOOKUP(B11,Données!$A$3:$U$1479,12,FALSE)),0,VLOOKUP(B11,Données!$A$3:$U$1479,12,FALSE))</f>
        <v>0</v>
      </c>
      <c r="I11" s="194">
        <f>IF(ISERROR(VLOOKUP(B11,Données!$A$3:$U$1479,20,FALSE)),0,VLOOKUP(B11,Données!$A$3:$U$1479,20,FALSE))</f>
        <v>0</v>
      </c>
      <c r="J11" s="184"/>
      <c r="K11" s="185" t="s">
        <v>191</v>
      </c>
      <c r="L11" s="185" t="s">
        <v>1341</v>
      </c>
      <c r="N11" s="41"/>
      <c r="O11" s="41"/>
      <c r="P11" s="41"/>
      <c r="Q11" s="462"/>
      <c r="R11" s="462" t="str">
        <f t="shared" si="0"/>
        <v/>
      </c>
    </row>
    <row r="12" spans="1:20" ht="15.75" x14ac:dyDescent="0.25">
      <c r="A12" s="558"/>
      <c r="B12" s="352" t="s">
        <v>421</v>
      </c>
      <c r="C12" s="192" t="str">
        <f>IF(ISERROR(VLOOKUP(B12,Données!$A$3:$L$1479,5,FALSE)),"",VLOOKUP(B12,Données!$A$3:$L$1479,5,FALSE))</f>
        <v/>
      </c>
      <c r="D12" s="347" t="str">
        <f>IF(ISERROR(VLOOKUP(B12,Données!$A$3:$X$1479,23,FALSE)),"",VLOOKUP(B12,Données!$A$3:$X$1479,23,FALSE))</f>
        <v/>
      </c>
      <c r="E12" s="192" t="str">
        <f>IF(ISERROR(VLOOKUP(B12,Données!$A$3:$L$1479,7,FALSE)),"",VLOOKUP(B12,Données!$A$3:$L$1479,7,FALSE))</f>
        <v/>
      </c>
      <c r="F12" s="297">
        <f>IF(ISERROR(VLOOKUP(B12,Données!$A$3:$U$1479,11,FALSE)),0,VLOOKUP(B12,Données!$A$3:$U$1479,11,FALSE))</f>
        <v>0</v>
      </c>
      <c r="G12" s="193">
        <f>VALUE(COUNTIF(Validation!$A$2:$H$64,B12))-1</f>
        <v>0</v>
      </c>
      <c r="H12" s="363">
        <f>IF(ISERROR(VLOOKUP(B12,Données!$A$3:$U$1479,12,FALSE)),0,VLOOKUP(B12,Données!$A$3:$U$1479,12,FALSE))</f>
        <v>0</v>
      </c>
      <c r="I12" s="194">
        <f>IF(ISERROR(VLOOKUP(B12,Données!$A$3:$U$1479,20,FALSE)),0,VLOOKUP(B12,Données!$A$3:$U$1479,20,FALSE))</f>
        <v>0</v>
      </c>
      <c r="J12" s="184"/>
      <c r="K12" s="185" t="s">
        <v>192</v>
      </c>
      <c r="L12" s="185" t="s">
        <v>1341</v>
      </c>
      <c r="N12" s="41"/>
      <c r="O12" s="41"/>
      <c r="P12" s="41"/>
      <c r="R12" s="462" t="str">
        <f t="shared" si="0"/>
        <v/>
      </c>
    </row>
    <row r="13" spans="1:20" ht="15.75" x14ac:dyDescent="0.25">
      <c r="A13" s="558"/>
      <c r="B13" s="209" t="s">
        <v>769</v>
      </c>
      <c r="C13" s="192" t="str">
        <f>IF(ISERROR(VLOOKUP(B13,Données!$A$3:$L$1479,5,FALSE)),"",VLOOKUP(B13,Données!$A$3:$L$1479,5,FALSE))</f>
        <v/>
      </c>
      <c r="D13" s="347" t="str">
        <f>IF(ISERROR(VLOOKUP(B13,Données!$A$3:$X$1479,23,FALSE)),"",VLOOKUP(B13,Données!$A$3:$X$1479,23,FALSE))</f>
        <v/>
      </c>
      <c r="E13" s="192" t="str">
        <f>IF(ISERROR(VLOOKUP(B13,Données!$A$3:$L$1479,7,FALSE)),"",VLOOKUP(B13,Données!$A$3:$L$1479,7,FALSE))</f>
        <v/>
      </c>
      <c r="F13" s="297">
        <f>IF(ISERROR(VLOOKUP(B13,Données!$A$3:$U$1479,11,FALSE)),0,VLOOKUP(B13,Données!$A$3:$U$1479,11,FALSE))</f>
        <v>0</v>
      </c>
      <c r="G13" s="193">
        <f>VALUE(COUNTIF(Validation!$A$2:$H$64,B13))-1</f>
        <v>0</v>
      </c>
      <c r="H13" s="363">
        <f>IF(ISERROR(VLOOKUP(B13,Données!$A$3:$U$1479,12,FALSE)),0,VLOOKUP(B13,Données!$A$3:$U$1479,12,FALSE))</f>
        <v>0</v>
      </c>
      <c r="I13" s="194">
        <f>IF(ISERROR(VLOOKUP(B13,Données!$A$3:$U$1479,20,FALSE)),0,VLOOKUP(B13,Données!$A$3:$U$1479,20,FALSE))</f>
        <v>0</v>
      </c>
      <c r="J13" s="184"/>
      <c r="K13" s="41" t="s">
        <v>193</v>
      </c>
      <c r="L13" s="41" t="s">
        <v>1341</v>
      </c>
      <c r="N13" s="41"/>
      <c r="P13" s="41"/>
      <c r="R13" s="462" t="str">
        <f t="shared" si="0"/>
        <v/>
      </c>
    </row>
    <row r="14" spans="1:20" ht="15.75" x14ac:dyDescent="0.25">
      <c r="A14" s="559"/>
      <c r="B14" s="278" t="s">
        <v>632</v>
      </c>
      <c r="C14" s="192" t="str">
        <f>IF(ISERROR(VLOOKUP(B14,Données!$A$3:$L$1479,5,FALSE)),"",VLOOKUP(B14,Données!$A$3:$L$1479,5,FALSE))</f>
        <v/>
      </c>
      <c r="D14" s="347" t="str">
        <f>IF(ISERROR(VLOOKUP(B14,Données!$A$3:$X$1479,23,FALSE)),"",VLOOKUP(B14,Données!$A$3:$X$1479,23,FALSE))</f>
        <v/>
      </c>
      <c r="E14" s="192" t="str">
        <f>IF(ISERROR(VLOOKUP(B14,Données!$A$3:$L$1479,7,FALSE)),"",VLOOKUP(B14,Données!$A$3:$L$1479,7,FALSE))</f>
        <v/>
      </c>
      <c r="F14" s="297">
        <f>IF(ISERROR(VLOOKUP(B14,Données!$A$3:$U$1479,11,FALSE)),0,VLOOKUP(B14,Données!$A$3:$U$1479,11,FALSE))</f>
        <v>0</v>
      </c>
      <c r="G14" s="193">
        <f>VALUE(COUNTIF(Validation!$A$2:$H$64,B14))-1</f>
        <v>0</v>
      </c>
      <c r="H14" s="363">
        <f>IF(ISERROR(VLOOKUP(B14,Données!$A$3:$U$1479,12,FALSE)),0,VLOOKUP(B14,Données!$A$3:$U$1479,12,FALSE))</f>
        <v>0</v>
      </c>
      <c r="I14" s="194">
        <f>IF(ISERROR(VLOOKUP(B14,Données!$A$3:$U$1479,20,FALSE)),0,VLOOKUP(B14,Données!$A$3:$U$1479,20,FALSE))</f>
        <v>0</v>
      </c>
      <c r="J14" s="184"/>
      <c r="K14" s="185" t="s">
        <v>194</v>
      </c>
      <c r="L14" s="185" t="s">
        <v>1341</v>
      </c>
      <c r="N14" s="41"/>
      <c r="O14" s="41"/>
      <c r="P14" s="41"/>
      <c r="Q14" s="462"/>
      <c r="R14" s="462" t="str">
        <f t="shared" si="0"/>
        <v/>
      </c>
    </row>
    <row r="15" spans="1:20" ht="15.75" x14ac:dyDescent="0.25">
      <c r="A15" s="561" t="s">
        <v>39</v>
      </c>
      <c r="B15" s="276" t="s">
        <v>211</v>
      </c>
      <c r="C15" s="192" t="str">
        <f>IF(ISERROR(VLOOKUP(B15,Données!$A$3:$L$1479,5,FALSE)),"",VLOOKUP(B15,Données!$A$3:$L$1479,5,FALSE))</f>
        <v/>
      </c>
      <c r="D15" s="347" t="str">
        <f>IF(ISERROR(VLOOKUP(B15,Données!$A$3:$X$1479,23,FALSE)),"",VLOOKUP(B15,Données!$A$3:$X$1479,23,FALSE))</f>
        <v/>
      </c>
      <c r="E15" s="192" t="str">
        <f>IF(ISERROR(VLOOKUP(B15,Données!$A$3:$L$1479,7,FALSE)),"",VLOOKUP(B15,Données!$A$3:$L$1479,7,FALSE))</f>
        <v/>
      </c>
      <c r="F15" s="297">
        <f>IF(ISERROR(VLOOKUP(B15,Données!$A$3:$U$1479,11,FALSE)),0,VLOOKUP(B15,Données!$A$3:$U$1479,11,FALSE))</f>
        <v>0</v>
      </c>
      <c r="G15" s="193">
        <f>VALUE(COUNTIF(Validation!$A$2:$H$64,B15))-1</f>
        <v>0</v>
      </c>
      <c r="H15" s="363">
        <f>IF(ISERROR(VLOOKUP(B15,Données!$A$3:$U$1479,12,FALSE)),0,VLOOKUP(B15,Données!$A$3:$U$1479,12,FALSE))</f>
        <v>0</v>
      </c>
      <c r="I15" s="194">
        <f>IF(ISERROR(VLOOKUP(B15,Données!$A$3:$U$1479,20,FALSE)),0,VLOOKUP(B15,Données!$A$3:$U$1479,20,FALSE))</f>
        <v>0</v>
      </c>
      <c r="J15" s="184"/>
      <c r="N15" s="41"/>
      <c r="O15" s="41"/>
      <c r="P15" s="41"/>
      <c r="Q15" s="462"/>
      <c r="R15" s="462" t="str">
        <f t="shared" si="0"/>
        <v/>
      </c>
    </row>
    <row r="16" spans="1:20" ht="15.75" x14ac:dyDescent="0.25">
      <c r="A16" s="562"/>
      <c r="B16" s="209" t="s">
        <v>231</v>
      </c>
      <c r="C16" s="192" t="str">
        <f>IF(ISERROR(VLOOKUP(B16,Données!$A$3:$L$1479,5,FALSE)),"",VLOOKUP(B16,Données!$A$3:$L$1479,5,FALSE))</f>
        <v/>
      </c>
      <c r="D16" s="347" t="str">
        <f>IF(ISERROR(VLOOKUP(B16,Données!$A$3:$X$1479,23,FALSE)),"",VLOOKUP(B16,Données!$A$3:$X$1479,23,FALSE))</f>
        <v/>
      </c>
      <c r="E16" s="192" t="str">
        <f>IF(ISERROR(VLOOKUP(B16,Données!$A$3:$L$1479,7,FALSE)),"",VLOOKUP(B16,Données!$A$3:$L$1479,7,FALSE))</f>
        <v/>
      </c>
      <c r="F16" s="297">
        <f>IF(ISERROR(VLOOKUP(B16,Données!$A$3:$U$1479,11,FALSE)),0,VLOOKUP(B16,Données!$A$3:$U$1479,11,FALSE))</f>
        <v>0</v>
      </c>
      <c r="G16" s="193">
        <f>VALUE(COUNTIF(Validation!$A$2:$H$64,B16))-1</f>
        <v>0</v>
      </c>
      <c r="H16" s="363">
        <f>IF(ISERROR(VLOOKUP(B16,Données!$A$3:$U$1479,12,FALSE)),0,VLOOKUP(B16,Données!$A$3:$U$1479,12,FALSE))</f>
        <v>0</v>
      </c>
      <c r="I16" s="194">
        <f>IF(ISERROR(VLOOKUP(B16,Données!$A$3:$U$1479,20,FALSE)),0,VLOOKUP(B16,Données!$A$3:$U$1479,20,FALSE))</f>
        <v>0</v>
      </c>
      <c r="J16" s="184"/>
      <c r="K16" s="195"/>
      <c r="N16" s="41"/>
      <c r="O16" s="41"/>
      <c r="P16" s="41"/>
      <c r="Q16" s="462"/>
      <c r="R16" s="462" t="str">
        <f t="shared" si="0"/>
        <v/>
      </c>
    </row>
    <row r="17" spans="1:18" ht="15.75" x14ac:dyDescent="0.25">
      <c r="A17" s="562"/>
      <c r="B17" s="209" t="s">
        <v>214</v>
      </c>
      <c r="C17" s="192" t="str">
        <f>IF(ISERROR(VLOOKUP(B17,Données!$A$3:$L$1479,5,FALSE)),"",VLOOKUP(B17,Données!$A$3:$L$1479,5,FALSE))</f>
        <v/>
      </c>
      <c r="D17" s="347" t="str">
        <f>IF(ISERROR(VLOOKUP(B17,Données!$A$3:$X$1479,23,FALSE)),"",VLOOKUP(B17,Données!$A$3:$X$1479,23,FALSE))</f>
        <v/>
      </c>
      <c r="E17" s="192" t="str">
        <f>IF(ISERROR(VLOOKUP(B17,Données!$A$3:$L$1479,7,FALSE)),"",VLOOKUP(B17,Données!$A$3:$L$1479,7,FALSE))</f>
        <v/>
      </c>
      <c r="F17" s="297">
        <f>IF(ISERROR(VLOOKUP(B17,Données!$A$3:$U$1479,11,FALSE)),0,VLOOKUP(B17,Données!$A$3:$U$1479,11,FALSE))</f>
        <v>0</v>
      </c>
      <c r="G17" s="193">
        <f>VALUE(COUNTIF(Validation!$A$2:$H$64,B17))-1</f>
        <v>0</v>
      </c>
      <c r="H17" s="363">
        <f>IF(ISERROR(VLOOKUP(B17,Données!$A$3:$U$1479,12,FALSE)),0,VLOOKUP(B17,Données!$A$3:$U$1479,12,FALSE))</f>
        <v>0</v>
      </c>
      <c r="I17" s="194">
        <f>IF(ISERROR(VLOOKUP(B17,Données!$A$3:$U$1479,20,FALSE)),0,VLOOKUP(B17,Données!$A$3:$U$1479,20,FALSE))</f>
        <v>0</v>
      </c>
      <c r="J17" s="184"/>
      <c r="N17" s="41"/>
      <c r="O17" s="41"/>
      <c r="P17" s="41"/>
      <c r="Q17" s="462"/>
      <c r="R17" s="462" t="str">
        <f t="shared" si="0"/>
        <v/>
      </c>
    </row>
    <row r="18" spans="1:18" ht="15.75" x14ac:dyDescent="0.25">
      <c r="A18" s="562"/>
      <c r="B18" s="209" t="s">
        <v>215</v>
      </c>
      <c r="C18" s="192" t="str">
        <f>IF(ISERROR(VLOOKUP(B18,Données!$A$3:$L$1479,5,FALSE)),"",VLOOKUP(B18,Données!$A$3:$L$1479,5,FALSE))</f>
        <v/>
      </c>
      <c r="D18" s="347" t="str">
        <f>IF(ISERROR(VLOOKUP(B18,Données!$A$3:$X$1479,23,FALSE)),"",VLOOKUP(B18,Données!$A$3:$X$1479,23,FALSE))</f>
        <v/>
      </c>
      <c r="E18" s="192" t="str">
        <f>IF(ISERROR(VLOOKUP(B18,Données!$A$3:$L$1479,7,FALSE)),"",VLOOKUP(B18,Données!$A$3:$L$1479,7,FALSE))</f>
        <v/>
      </c>
      <c r="F18" s="297">
        <f>IF(ISERROR(VLOOKUP(B18,Données!$A$3:$U$1479,11,FALSE)),0,VLOOKUP(B18,Données!$A$3:$U$1479,11,FALSE))</f>
        <v>0</v>
      </c>
      <c r="G18" s="193">
        <f>VALUE(COUNTIF(Validation!$A$2:$H$64,B18))-1</f>
        <v>0</v>
      </c>
      <c r="H18" s="363">
        <f>IF(ISERROR(VLOOKUP(B18,Données!$A$3:$U$1479,12,FALSE)),0,VLOOKUP(B18,Données!$A$3:$U$1479,12,FALSE))</f>
        <v>0</v>
      </c>
      <c r="I18" s="194">
        <f>IF(ISERROR(VLOOKUP(B18,Données!$A$3:$U$1479,20,FALSE)),0,VLOOKUP(B18,Données!$A$3:$U$1479,20,FALSE))</f>
        <v>0</v>
      </c>
      <c r="J18" s="200"/>
      <c r="N18" s="41"/>
      <c r="O18" s="41"/>
      <c r="P18" s="41"/>
      <c r="Q18" s="462"/>
      <c r="R18" s="462" t="str">
        <f t="shared" si="0"/>
        <v/>
      </c>
    </row>
    <row r="19" spans="1:18" ht="15.75" x14ac:dyDescent="0.25">
      <c r="A19" s="562"/>
      <c r="B19" s="209" t="s">
        <v>218</v>
      </c>
      <c r="C19" s="192" t="str">
        <f>IF(ISERROR(VLOOKUP(B19,Données!$A$3:$L$1479,5,FALSE)),"",VLOOKUP(B19,Données!$A$3:$L$1479,5,FALSE))</f>
        <v/>
      </c>
      <c r="D19" s="347" t="str">
        <f>IF(ISERROR(VLOOKUP(B19,Données!$A$3:$X$1479,23,FALSE)),"",VLOOKUP(B19,Données!$A$3:$X$1479,23,FALSE))</f>
        <v/>
      </c>
      <c r="E19" s="192" t="str">
        <f>IF(ISERROR(VLOOKUP(B19,Données!$A$3:$L$1479,7,FALSE)),"",VLOOKUP(B19,Données!$A$3:$L$1479,7,FALSE))</f>
        <v/>
      </c>
      <c r="F19" s="297">
        <f>IF(ISERROR(VLOOKUP(B19,Données!$A$3:$U$1479,11,FALSE)),0,VLOOKUP(B19,Données!$A$3:$U$1479,11,FALSE))</f>
        <v>0</v>
      </c>
      <c r="G19" s="193">
        <f>VALUE(COUNTIF(Validation!$A$2:$H$64,B19))-1</f>
        <v>0</v>
      </c>
      <c r="H19" s="363">
        <f>IF(ISERROR(VLOOKUP(B19,Données!$A$3:$U$1479,12,FALSE)),0,VLOOKUP(B19,Données!$A$3:$U$1479,12,FALSE))</f>
        <v>0</v>
      </c>
      <c r="I19" s="194">
        <f>IF(ISERROR(VLOOKUP(B19,Données!$A$3:$U$1479,20,FALSE)),0,VLOOKUP(B19,Données!$A$3:$U$1479,20,FALSE))</f>
        <v>0</v>
      </c>
      <c r="J19" s="200"/>
      <c r="N19" s="41"/>
      <c r="O19" s="41"/>
      <c r="P19" s="41"/>
      <c r="Q19" s="462"/>
      <c r="R19" s="462" t="str">
        <f t="shared" si="0"/>
        <v/>
      </c>
    </row>
    <row r="20" spans="1:18" ht="15.75" x14ac:dyDescent="0.25">
      <c r="A20" s="563"/>
      <c r="B20" s="277" t="s">
        <v>615</v>
      </c>
      <c r="C20" s="197" t="str">
        <f>IF(ISERROR(VLOOKUP(B20,Données!$A$3:$L$1479,5,FALSE)),"",VLOOKUP(B20,Données!$A$3:$L$1479,5,FALSE))</f>
        <v/>
      </c>
      <c r="D20" s="349" t="str">
        <f>IF(ISERROR(VLOOKUP(B20,Données!$A$3:$X$1479,23,FALSE)),"",VLOOKUP(B20,Données!$A$3:$X$1479,23,FALSE))</f>
        <v/>
      </c>
      <c r="E20" s="197" t="str">
        <f>IF(ISERROR(VLOOKUP(B20,Données!$A$3:$L$1479,7,FALSE)),"",VLOOKUP(B20,Données!$A$3:$L$1479,7,FALSE))</f>
        <v/>
      </c>
      <c r="F20" s="298">
        <f>IF(ISERROR(VLOOKUP(B20,Données!$A$3:$U$1479,11,FALSE)),0,VLOOKUP(B20,Données!$A$3:$U$1479,11,FALSE))</f>
        <v>0</v>
      </c>
      <c r="G20" s="198">
        <f>VALUE(COUNTIF(Validation!$A$2:$H$64,B20))-1</f>
        <v>0</v>
      </c>
      <c r="H20" s="364">
        <f>IF(ISERROR(VLOOKUP(B20,Données!$A$3:$U$1479,12,FALSE)),0,VLOOKUP(B20,Données!$A$3:$U$1479,12,FALSE))</f>
        <v>0</v>
      </c>
      <c r="I20" s="199">
        <f>IF(ISERROR(VLOOKUP(B20,Données!$A$3:$U$1479,20,FALSE)),0,VLOOKUP(B20,Données!$A$3:$U$1479,20,FALSE))</f>
        <v>0</v>
      </c>
      <c r="J20" s="200"/>
      <c r="N20" s="41"/>
      <c r="O20" s="41"/>
      <c r="P20" s="41"/>
      <c r="R20" s="462" t="str">
        <f t="shared" si="0"/>
        <v/>
      </c>
    </row>
    <row r="21" spans="1:18" ht="20.25" customHeight="1" x14ac:dyDescent="0.25">
      <c r="A21" s="564" t="s">
        <v>40</v>
      </c>
      <c r="B21" s="486" t="s">
        <v>216</v>
      </c>
      <c r="C21" s="192" t="str">
        <f>IF(ISERROR(VLOOKUP(B21,Données!$A$3:$L$1479,5,FALSE)),"",VLOOKUP(B21,Données!$A$3:$L$1479,5,FALSE))</f>
        <v/>
      </c>
      <c r="D21" s="347" t="str">
        <f>IF(ISERROR(VLOOKUP(B21,Données!$A$3:$X$1479,23,FALSE)),"",VLOOKUP(B21,Données!$A$3:$X$1479,23,FALSE))</f>
        <v/>
      </c>
      <c r="E21" s="192" t="str">
        <f>IF(ISERROR(VLOOKUP(B21,Données!$A$3:$L$1479,7,FALSE)),"",VLOOKUP(B21,Données!$A$3:$L$1479,7,FALSE))</f>
        <v/>
      </c>
      <c r="F21" s="297">
        <f>IF(ISERROR(VLOOKUP(B21,Données!$A$3:$U$1479,11,FALSE)),0,VLOOKUP(B21,Données!$A$3:$U$1479,11,FALSE))</f>
        <v>0</v>
      </c>
      <c r="G21" s="193">
        <f>VALUE(COUNTIF(Validation!$A$2:$H$64,B21))-1</f>
        <v>0</v>
      </c>
      <c r="H21" s="363">
        <f>IF(ISERROR(VLOOKUP(B21,Données!$A$3:$U$1479,12,FALSE)),0,VLOOKUP(B21,Données!$A$3:$U$1479,12,FALSE))</f>
        <v>0</v>
      </c>
      <c r="I21" s="194">
        <f>IF(ISERROR(VLOOKUP(B21,Données!$A$3:$U$1479,20,FALSE)),0,VLOOKUP(B21,Données!$A$3:$U$1479,20,FALSE))</f>
        <v>0</v>
      </c>
      <c r="J21" s="184"/>
      <c r="O21" s="41"/>
      <c r="P21" s="41"/>
      <c r="R21" s="462" t="str">
        <f t="shared" si="0"/>
        <v/>
      </c>
    </row>
    <row r="22" spans="1:18" ht="15.75" customHeight="1" x14ac:dyDescent="0.25">
      <c r="A22" s="565"/>
      <c r="B22" s="201" t="s">
        <v>217</v>
      </c>
      <c r="C22" s="197" t="str">
        <f>IF(ISERROR(VLOOKUP(B22,Données!$A$3:$L$1479,5,FALSE)),"",VLOOKUP(B22,Données!$A$3:$L$1479,5,FALSE))</f>
        <v/>
      </c>
      <c r="D22" s="349" t="str">
        <f>IF(ISERROR(VLOOKUP(B22,Données!$A$3:$X$1479,23,FALSE)),"",VLOOKUP(B22,Données!$A$3:$X$1479,23,FALSE))</f>
        <v/>
      </c>
      <c r="E22" s="197" t="str">
        <f>IF(ISERROR(VLOOKUP(B22,Données!$A$3:$L$1479,7,FALSE)),"",VLOOKUP(B22,Données!$A$3:$L$1479,7,FALSE))</f>
        <v/>
      </c>
      <c r="F22" s="298">
        <f>IF(ISERROR(VLOOKUP(B22,Données!$A$3:$U$1479,11,FALSE)),0,VLOOKUP(B22,Données!$A$3:$U$1479,11,FALSE))</f>
        <v>0</v>
      </c>
      <c r="G22" s="198">
        <f>VALUE(COUNTIF(Validation!$A$2:$H$64,B22))-1</f>
        <v>0</v>
      </c>
      <c r="H22" s="364">
        <f>IF(ISERROR(VLOOKUP(B22,Données!$A$3:$U$1479,12,FALSE)),0,VLOOKUP(B22,Données!$A$3:$U$1479,12,FALSE))</f>
        <v>0</v>
      </c>
      <c r="I22" s="199">
        <f>IF(ISERROR(VLOOKUP(B22,Données!$A$3:$U$1479,20,FALSE)),0,VLOOKUP(B22,Données!$A$3:$U$1479,20,FALSE))</f>
        <v>0</v>
      </c>
      <c r="J22" s="184"/>
      <c r="O22" s="41"/>
      <c r="R22" s="462" t="str">
        <f t="shared" si="0"/>
        <v/>
      </c>
    </row>
    <row r="23" spans="1:18" ht="15.75" customHeight="1" x14ac:dyDescent="0.25">
      <c r="A23" s="567" t="s">
        <v>42</v>
      </c>
      <c r="B23" s="209" t="s">
        <v>893</v>
      </c>
      <c r="C23" s="192" t="str">
        <f>IF(ISERROR(VLOOKUP(B23,Données!$A$3:$L$1479,5,FALSE)),"",VLOOKUP(B23,Données!$A$3:$L$1479,5,FALSE))</f>
        <v/>
      </c>
      <c r="D23" s="347" t="str">
        <f>IF(ISERROR(VLOOKUP(B23,Données!$A$3:$X$1479,23,FALSE)),"",VLOOKUP(B23,Données!$A$3:$X$1479,23,FALSE))</f>
        <v/>
      </c>
      <c r="E23" s="192" t="str">
        <f>IF(ISERROR(VLOOKUP(B23,Données!$A$3:$L$1479,7,FALSE)),"",VLOOKUP(B23,Données!$A$3:$L$1479,7,FALSE))</f>
        <v/>
      </c>
      <c r="F23" s="297">
        <f>IF(ISERROR(VLOOKUP(B23,Données!$A$3:$U$1479,11,FALSE)),0,VLOOKUP(B23,Données!$A$3:$U$1479,11,FALSE))</f>
        <v>0</v>
      </c>
      <c r="G23" s="193">
        <f>VALUE(COUNTIF(Validation!$A$2:$H$64,B23))-1</f>
        <v>0</v>
      </c>
      <c r="H23" s="363">
        <f>IF(ISERROR(VLOOKUP(B23,Données!$A$3:$U$1479,12,FALSE)),0,VLOOKUP(B23,Données!$A$3:$U$1479,12,FALSE))</f>
        <v>0</v>
      </c>
      <c r="I23" s="194">
        <f>IF(ISERROR(VLOOKUP(B23,Données!$A$3:$U$1479,20,FALSE)),0,VLOOKUP(B23,Données!$A$3:$U$1479,20,FALSE))</f>
        <v>0</v>
      </c>
      <c r="J23" s="184"/>
      <c r="O23" s="41"/>
      <c r="P23" s="41"/>
      <c r="Q23" s="462"/>
      <c r="R23" s="462" t="str">
        <f t="shared" si="0"/>
        <v/>
      </c>
    </row>
    <row r="24" spans="1:18" ht="15.75" customHeight="1" x14ac:dyDescent="0.25">
      <c r="A24" s="568"/>
      <c r="B24" s="209" t="s">
        <v>204</v>
      </c>
      <c r="C24" s="192" t="str">
        <f>IF(ISERROR(VLOOKUP(B24,Données!$A$3:$L$1479,5,FALSE)),"",VLOOKUP(B24,Données!$A$3:$L$1479,5,FALSE))</f>
        <v/>
      </c>
      <c r="D24" s="347" t="str">
        <f>IF(ISERROR(VLOOKUP(B24,Données!$A$3:$X$1479,23,FALSE)),"",VLOOKUP(B24,Données!$A$3:$X$1479,23,FALSE))</f>
        <v/>
      </c>
      <c r="E24" s="192" t="str">
        <f>IF(ISERROR(VLOOKUP(B24,Données!$A$3:$L$1479,7,FALSE)),"",VLOOKUP(B24,Données!$A$3:$L$1479,7,FALSE))</f>
        <v/>
      </c>
      <c r="F24" s="297">
        <f>IF(ISERROR(VLOOKUP(B24,Données!$A$3:$U$1479,11,FALSE)),0,VLOOKUP(B24,Données!$A$3:$U$1479,11,FALSE))</f>
        <v>0</v>
      </c>
      <c r="G24" s="193">
        <f>VALUE(COUNTIF(Validation!$A$2:$H$64,B24))-1</f>
        <v>0</v>
      </c>
      <c r="H24" s="363">
        <f>IF(ISERROR(VLOOKUP(B24,Données!$A$3:$U$1479,12,FALSE)),0,VLOOKUP(B24,Données!$A$3:$U$1479,12,FALSE))</f>
        <v>0</v>
      </c>
      <c r="I24" s="194">
        <f>IF(ISERROR(VLOOKUP(B24,Données!$A$3:$U$1479,20,FALSE)),0,VLOOKUP(B24,Données!$A$3:$U$1479,20,FALSE))</f>
        <v>0</v>
      </c>
      <c r="J24" s="184"/>
      <c r="R24" s="462" t="str">
        <f t="shared" si="0"/>
        <v/>
      </c>
    </row>
    <row r="25" spans="1:18" ht="15.75" customHeight="1" x14ac:dyDescent="0.25">
      <c r="A25" s="568"/>
      <c r="B25" s="209" t="s">
        <v>457</v>
      </c>
      <c r="C25" s="192" t="str">
        <f>IF(ISERROR(VLOOKUP(B25,Données!$A$3:$L$1479,5,FALSE)),"",VLOOKUP(B25,Données!$A$3:$L$1479,5,FALSE))</f>
        <v/>
      </c>
      <c r="D25" s="347" t="str">
        <f>IF(ISERROR(VLOOKUP(B25,Données!$A$3:$X$1479,23,FALSE)),"",VLOOKUP(B25,Données!$A$3:$X$1479,23,FALSE))</f>
        <v/>
      </c>
      <c r="E25" s="192" t="str">
        <f>IF(ISERROR(VLOOKUP(B25,Données!$A$3:$L$1479,7,FALSE)),"",VLOOKUP(B25,Données!$A$3:$L$1479,7,FALSE))</f>
        <v/>
      </c>
      <c r="F25" s="297">
        <f>IF(ISERROR(VLOOKUP(B25,Données!$A$3:$U$1479,11,FALSE)),0,VLOOKUP(B25,Données!$A$3:$U$1479,11,FALSE))</f>
        <v>0</v>
      </c>
      <c r="G25" s="193">
        <f>VALUE(COUNTIF(Validation!$A$2:$H$64,B25))-1</f>
        <v>0</v>
      </c>
      <c r="H25" s="363">
        <f>IF(ISERROR(VLOOKUP(B25,Données!$A$3:$U$1479,12,FALSE)),0,VLOOKUP(B25,Données!$A$3:$U$1479,12,FALSE))</f>
        <v>0</v>
      </c>
      <c r="I25" s="194">
        <f>IF(ISERROR(VLOOKUP(B25,Données!$A$3:$U$1479,20,FALSE)),0,VLOOKUP(B25,Données!$A$3:$U$1479,20,FALSE))</f>
        <v>0</v>
      </c>
      <c r="J25" s="184"/>
      <c r="R25" s="462" t="str">
        <f t="shared" si="0"/>
        <v/>
      </c>
    </row>
    <row r="26" spans="1:18" ht="15.75" customHeight="1" x14ac:dyDescent="0.25">
      <c r="A26" s="568"/>
      <c r="B26" s="209"/>
      <c r="C26" s="192" t="str">
        <f>IF(ISERROR(VLOOKUP(B26,Données!$A$3:$L$1479,5,FALSE)),"",VLOOKUP(B26,Données!$A$3:$L$1479,5,FALSE))</f>
        <v/>
      </c>
      <c r="D26" s="347" t="str">
        <f>IF(ISERROR(VLOOKUP(B26,Données!$A$3:$X$1479,23,FALSE)),"",VLOOKUP(B26,Données!$A$3:$X$1479,23,FALSE))</f>
        <v/>
      </c>
      <c r="E26" s="192" t="str">
        <f>IF(ISERROR(VLOOKUP(B26,Données!$A$3:$L$1479,7,FALSE)),"",VLOOKUP(B26,Données!$A$3:$L$1479,7,FALSE))</f>
        <v/>
      </c>
      <c r="F26" s="297">
        <f>IF(ISERROR(VLOOKUP(B26,Données!$A$3:$U$1479,11,FALSE)),0,VLOOKUP(B26,Données!$A$3:$U$1479,11,FALSE))</f>
        <v>0</v>
      </c>
      <c r="G26" s="193">
        <f>VALUE(COUNTIF(Validation!$A$2:$H$64,B26))-1</f>
        <v>229</v>
      </c>
      <c r="H26" s="363">
        <f>IF(ISERROR(VLOOKUP(B26,Données!$A$3:$U$1479,12,FALSE)),0,VLOOKUP(B26,Données!$A$3:$U$1479,12,FALSE))</f>
        <v>0</v>
      </c>
      <c r="I26" s="194">
        <f>IF(ISERROR(VLOOKUP(B26,Données!$A$3:$U$1479,20,FALSE)),0,VLOOKUP(B26,Données!$A$3:$U$1479,20,FALSE))</f>
        <v>0</v>
      </c>
      <c r="J26" s="184"/>
      <c r="R26" s="462" t="str">
        <f t="shared" si="0"/>
        <v/>
      </c>
    </row>
    <row r="27" spans="1:18" ht="15.75" customHeight="1" x14ac:dyDescent="0.25">
      <c r="A27" s="568"/>
      <c r="B27" s="209"/>
      <c r="C27" s="192" t="str">
        <f>IF(ISERROR(VLOOKUP(B27,Données!$A$3:$L$1479,5,FALSE)),"",VLOOKUP(B27,Données!$A$3:$L$1479,5,FALSE))</f>
        <v/>
      </c>
      <c r="D27" s="347" t="str">
        <f>IF(ISERROR(VLOOKUP(B27,Données!$A$3:$X$1479,23,FALSE)),"",VLOOKUP(B27,Données!$A$3:$X$1479,23,FALSE))</f>
        <v/>
      </c>
      <c r="E27" s="192" t="str">
        <f>IF(ISERROR(VLOOKUP(B27,Données!$A$3:$L$1479,7,FALSE)),"",VLOOKUP(B27,Données!$A$3:$L$1479,7,FALSE))</f>
        <v/>
      </c>
      <c r="F27" s="297">
        <f>IF(ISERROR(VLOOKUP(B27,Données!$A$3:$U$1479,11,FALSE)),0,VLOOKUP(B27,Données!$A$3:$U$1479,11,FALSE))</f>
        <v>0</v>
      </c>
      <c r="G27" s="193">
        <f>VALUE(COUNTIF(Validation!$A$2:$H$64,B27))-1</f>
        <v>229</v>
      </c>
      <c r="H27" s="363">
        <f>IF(ISERROR(VLOOKUP(B27,Données!$A$3:$U$1479,12,FALSE)),0,VLOOKUP(B27,Données!$A$3:$U$1479,12,FALSE))</f>
        <v>0</v>
      </c>
      <c r="I27" s="194">
        <f>IF(ISERROR(VLOOKUP(B27,Données!$A$3:$U$1479,20,FALSE)),0,VLOOKUP(B27,Données!$A$3:$U$1479,20,FALSE))</f>
        <v>0</v>
      </c>
      <c r="J27" s="184"/>
      <c r="R27" s="462" t="str">
        <f t="shared" si="0"/>
        <v/>
      </c>
    </row>
    <row r="28" spans="1:18" ht="15.75" customHeight="1" x14ac:dyDescent="0.25">
      <c r="A28" s="568"/>
      <c r="B28" s="191"/>
      <c r="C28" s="192" t="str">
        <f>IF(ISERROR(VLOOKUP(B28,Données!$A$3:$L$1479,5,FALSE)),"",VLOOKUP(B28,Données!$A$3:$L$1479,5,FALSE))</f>
        <v/>
      </c>
      <c r="D28" s="347" t="str">
        <f>IF(ISERROR(VLOOKUP(B28,Données!$A$3:$X$1479,23,FALSE)),"",VLOOKUP(B28,Données!$A$3:$X$1479,23,FALSE))</f>
        <v/>
      </c>
      <c r="E28" s="192" t="str">
        <f>IF(ISERROR(VLOOKUP(B28,Données!$A$3:$L$1479,7,FALSE)),"",VLOOKUP(B28,Données!$A$3:$L$1479,7,FALSE))</f>
        <v/>
      </c>
      <c r="F28" s="297">
        <f>IF(ISERROR(VLOOKUP(B28,Données!$A$3:$U$1479,11,FALSE)),0,VLOOKUP(B28,Données!$A$3:$U$1479,11,FALSE))</f>
        <v>0</v>
      </c>
      <c r="G28" s="193">
        <f>VALUE(COUNTIF(Validation!$A$2:$H$64,B28))-1</f>
        <v>229</v>
      </c>
      <c r="H28" s="363">
        <f>IF(ISERROR(VLOOKUP(B28,Données!$A$3:$U$1479,12,FALSE)),0,VLOOKUP(B28,Données!$A$3:$U$1479,12,FALSE))</f>
        <v>0</v>
      </c>
      <c r="I28" s="194">
        <f>IF(ISERROR(VLOOKUP(B28,Données!$A$3:$U$1479,20,FALSE)),0,VLOOKUP(B28,Données!$A$3:$U$1479,20,FALSE))</f>
        <v>0</v>
      </c>
      <c r="J28" s="184"/>
      <c r="R28" s="462" t="str">
        <f t="shared" si="0"/>
        <v/>
      </c>
    </row>
    <row r="29" spans="1:18" ht="15.75" customHeight="1" x14ac:dyDescent="0.25">
      <c r="A29" s="568"/>
      <c r="B29" s="191"/>
      <c r="C29" s="192" t="str">
        <f>IF(ISERROR(VLOOKUP(B29,Données!$A$3:$L$1479,5,FALSE)),"",VLOOKUP(B29,Données!$A$3:$L$1479,5,FALSE))</f>
        <v/>
      </c>
      <c r="D29" s="347" t="str">
        <f>IF(ISERROR(VLOOKUP(B29,Données!$A$3:$X$1479,23,FALSE)),"",VLOOKUP(B29,Données!$A$3:$X$1479,23,FALSE))</f>
        <v/>
      </c>
      <c r="E29" s="192" t="str">
        <f>IF(ISERROR(VLOOKUP(B29,Données!$A$3:$L$1479,7,FALSE)),"",VLOOKUP(B29,Données!$A$3:$L$1479,7,FALSE))</f>
        <v/>
      </c>
      <c r="F29" s="297">
        <f>IF(ISERROR(VLOOKUP(B29,Données!$A$3:$U$1479,11,FALSE)),0,VLOOKUP(B29,Données!$A$3:$U$1479,11,FALSE))</f>
        <v>0</v>
      </c>
      <c r="G29" s="193">
        <f>VALUE(COUNTIF(Validation!$A$2:$H$64,B29))-1</f>
        <v>229</v>
      </c>
      <c r="H29" s="363">
        <f>IF(ISERROR(VLOOKUP(B29,Données!$A$3:$U$1479,12,FALSE)),0,VLOOKUP(B29,Données!$A$3:$U$1479,12,FALSE))</f>
        <v>0</v>
      </c>
      <c r="I29" s="194">
        <f>IF(ISERROR(VLOOKUP(B29,Données!$A$3:$U$1479,20,FALSE)),0,VLOOKUP(B29,Données!$A$3:$U$1479,20,FALSE))</f>
        <v>0</v>
      </c>
      <c r="J29" s="184"/>
      <c r="R29" s="462" t="str">
        <f t="shared" si="0"/>
        <v/>
      </c>
    </row>
    <row r="30" spans="1:18" ht="15.75" customHeight="1" x14ac:dyDescent="0.25">
      <c r="A30" s="568"/>
      <c r="B30" s="202"/>
      <c r="C30" s="192" t="str">
        <f>IF(ISERROR(VLOOKUP(B30,Données!$A$3:$L$1479,5,FALSE)),"",VLOOKUP(B30,Données!$A$3:$L$1479,5,FALSE))</f>
        <v/>
      </c>
      <c r="D30" s="347" t="str">
        <f>IF(ISERROR(VLOOKUP(B30,Données!$A$3:$X$1479,23,FALSE)),"",VLOOKUP(B30,Données!$A$3:$X$1479,23,FALSE))</f>
        <v/>
      </c>
      <c r="E30" s="192" t="str">
        <f>IF(ISERROR(VLOOKUP(B30,Données!$A$3:$L$1479,7,FALSE)),"",VLOOKUP(B30,Données!$A$3:$L$1479,7,FALSE))</f>
        <v/>
      </c>
      <c r="F30" s="297">
        <f>IF(ISERROR(VLOOKUP(B30,Données!$A$3:$U$1479,11,FALSE)),0,VLOOKUP(B30,Données!$A$3:$U$1479,11,FALSE))</f>
        <v>0</v>
      </c>
      <c r="G30" s="193">
        <f>VALUE(COUNTIF(Validation!$A$2:$H$64,B30))-1</f>
        <v>229</v>
      </c>
      <c r="H30" s="363">
        <f>IF(ISERROR(VLOOKUP(B30,Données!$A$3:$U$1479,12,FALSE)),0,VLOOKUP(B30,Données!$A$3:$U$1479,12,FALSE))</f>
        <v>0</v>
      </c>
      <c r="I30" s="194">
        <f>IF(ISERROR(VLOOKUP(B30,Données!$A$3:$U$1479,20,FALSE)),0,VLOOKUP(B30,Données!$A$3:$U$1479,20,FALSE))</f>
        <v>0</v>
      </c>
      <c r="J30" s="184"/>
      <c r="R30" s="462" t="str">
        <f t="shared" si="0"/>
        <v/>
      </c>
    </row>
    <row r="31" spans="1:18" ht="15.75" x14ac:dyDescent="0.25">
      <c r="A31" s="569" t="s">
        <v>37</v>
      </c>
      <c r="B31" s="569"/>
      <c r="C31" s="569"/>
      <c r="D31" s="569"/>
      <c r="E31" s="569"/>
      <c r="F31" s="307">
        <f>ROUNDDOWN(SUM(F3:F30),2)</f>
        <v>0</v>
      </c>
      <c r="G31" s="203"/>
      <c r="H31" s="323">
        <f>SUM(H3:H30)</f>
        <v>0</v>
      </c>
      <c r="J31" s="184"/>
      <c r="R31" s="462" t="str">
        <f t="shared" si="0"/>
        <v/>
      </c>
    </row>
    <row r="32" spans="1:18" ht="19.5" thickBot="1" x14ac:dyDescent="0.35">
      <c r="A32" s="570" t="s">
        <v>44</v>
      </c>
      <c r="B32" s="570"/>
      <c r="C32" s="570"/>
      <c r="D32" s="570"/>
      <c r="E32" s="570"/>
      <c r="F32" s="315">
        <f>'Calcul Masse Salariale'!$B$5-F31</f>
        <v>102000000</v>
      </c>
      <c r="G32" s="205"/>
      <c r="H32" s="331">
        <f>'Calcul Masse Salariale'!$B$6-H31</f>
        <v>102000000</v>
      </c>
      <c r="J32" s="184"/>
    </row>
    <row r="33" spans="1:10" ht="16.5" thickBot="1" x14ac:dyDescent="0.3">
      <c r="F33" s="370"/>
      <c r="J33" s="184"/>
    </row>
    <row r="34" spans="1:10" ht="30.75" thickBot="1" x14ac:dyDescent="0.3">
      <c r="B34" s="432" t="s">
        <v>36</v>
      </c>
      <c r="C34" s="433" t="s">
        <v>52</v>
      </c>
      <c r="D34" s="434" t="s">
        <v>403</v>
      </c>
      <c r="E34" s="433" t="s">
        <v>5</v>
      </c>
      <c r="F34" s="435" t="s">
        <v>134</v>
      </c>
      <c r="G34" s="436" t="s">
        <v>189</v>
      </c>
      <c r="H34" s="437" t="s">
        <v>1155</v>
      </c>
      <c r="I34" s="438" t="s">
        <v>2403</v>
      </c>
      <c r="J34" s="184"/>
    </row>
    <row r="35" spans="1:10" ht="19.5" thickBot="1" x14ac:dyDescent="0.35">
      <c r="A35" s="506" t="s">
        <v>2401</v>
      </c>
      <c r="B35" s="453"/>
      <c r="C35" s="402" t="str">
        <f>IF(ISERROR(VLOOKUP(B35,Données!$A$3:$L$1479,5,FALSE)),"",VLOOKUP(B35,Données!$A$3:$L$1479,5,FALSE))</f>
        <v/>
      </c>
      <c r="D35" s="402" t="str">
        <f>IF(ISERROR(VLOOKUP(B35,Données!$A$3:$X$1479,22,FALSE)),"",VLOOKUP(B35,Données!$A$3:$X$1479,22,FALSE))</f>
        <v/>
      </c>
      <c r="E35" s="402" t="str">
        <f>IF(ISERROR(VLOOKUP(B35,Données!$A$3:$L$1479,7,FALSE)),"",VLOOKUP(B35,Données!$A$3:$L$1479,7,FALSE))</f>
        <v/>
      </c>
      <c r="F35" s="403">
        <f>IF(ISERROR(VLOOKUP(B35,Données!$A$3:$U$1479,11,FALSE)),0,VLOOKUP(B35,Données!$A$3:$U$1479,11,FALSE))</f>
        <v>0</v>
      </c>
      <c r="G35" s="458">
        <f>VALUE(COUNTIF(Validation!$A$2:$H$120,B35))-1</f>
        <v>229</v>
      </c>
      <c r="H35" s="404">
        <f>IF(ISERROR(VLOOKUP(B35,Données!$A$3:$U$1479,12,FALSE)),0,VLOOKUP(B35,Données!$A$3:$U$1479,12,FALSE))</f>
        <v>0</v>
      </c>
      <c r="I35" s="405">
        <f>IF(ISERROR(VLOOKUP(B35,Données!$E$3:$U$1479,17,FALSE)),0,VLOOKUP(B35,Données!$E$3:$U$1479,17,FALSE))</f>
        <v>0</v>
      </c>
      <c r="J35" s="184"/>
    </row>
    <row r="36" spans="1:10" ht="19.5" thickBot="1" x14ac:dyDescent="0.35">
      <c r="A36" s="507"/>
      <c r="B36" s="406" t="s">
        <v>2404</v>
      </c>
      <c r="C36" s="508">
        <v>43403</v>
      </c>
      <c r="D36" s="509"/>
      <c r="E36" s="509"/>
      <c r="F36" s="407" t="s">
        <v>2405</v>
      </c>
      <c r="G36" s="508">
        <f>IF(C36="","",C36+28)</f>
        <v>43431</v>
      </c>
      <c r="H36" s="509"/>
      <c r="I36" s="509"/>
      <c r="J36" s="184"/>
    </row>
    <row r="37" spans="1:10" x14ac:dyDescent="0.25">
      <c r="J37" s="184"/>
    </row>
    <row r="38" spans="1:10" ht="33" customHeight="1" x14ac:dyDescent="0.25">
      <c r="A38" s="60"/>
      <c r="B38" s="62" t="s">
        <v>36</v>
      </c>
      <c r="C38" s="62" t="s">
        <v>52</v>
      </c>
      <c r="D38" s="62" t="s">
        <v>403</v>
      </c>
      <c r="E38" s="7" t="s">
        <v>2402</v>
      </c>
      <c r="F38" s="399" t="s">
        <v>134</v>
      </c>
      <c r="G38" s="68" t="s">
        <v>195</v>
      </c>
      <c r="H38" s="19" t="s">
        <v>2676</v>
      </c>
      <c r="I38" s="67" t="s">
        <v>1</v>
      </c>
      <c r="J38" s="184"/>
    </row>
    <row r="39" spans="1:10" ht="15.75" x14ac:dyDescent="0.25">
      <c r="A39" s="497" t="s">
        <v>43</v>
      </c>
      <c r="B39" s="353" t="s">
        <v>952</v>
      </c>
      <c r="C39" s="74" t="str">
        <f>IF(ISERROR(VLOOKUP(B39,Données!$A$3:$L$1479,5,FALSE)),"",VLOOKUP(B39,Données!$A$3:$L$1479,5,FALSE))</f>
        <v/>
      </c>
      <c r="D39" s="347" t="str">
        <f>IF(ISERROR(VLOOKUP(B39,Données!$A$3:$X$1479,23,FALSE)),"",VLOOKUP(B39,Données!$A$3:$X$1479,23,FALSE))</f>
        <v/>
      </c>
      <c r="E39" s="196">
        <v>2015</v>
      </c>
      <c r="F39" s="358">
        <f>IF(ISERROR(VLOOKUP(B39,Données!$A$3:$U$1479,11,FALSE)),0,VLOOKUP(B39,Données!$A$3:$U$1479,11,FALSE))</f>
        <v>0</v>
      </c>
      <c r="G39" s="74">
        <f t="shared" ref="G39:G73" si="1">I39</f>
        <v>1</v>
      </c>
      <c r="H39" s="363">
        <f>IF(ISERROR(VLOOKUP(B39,Données!$A$3:$U$1479,12,FALSE)),0,VLOOKUP(B39,Données!$A$3:$U$1479,12,FALSE))</f>
        <v>0</v>
      </c>
      <c r="I39" s="74">
        <f>IF(((E39+5)-'Calcul Masse Salariale'!$B$1)&lt;=0,0,(E39+5)-'Calcul Masse Salariale'!$B$1)</f>
        <v>1</v>
      </c>
      <c r="J39" s="184"/>
    </row>
    <row r="40" spans="1:10" ht="15.75" x14ac:dyDescent="0.25">
      <c r="A40" s="497"/>
      <c r="B40" s="353" t="s">
        <v>978</v>
      </c>
      <c r="C40" s="74" t="str">
        <f>IF(ISERROR(VLOOKUP(B40,Données!$A$3:$L$1479,5,FALSE)),"",VLOOKUP(B40,Données!$A$3:$L$1479,5,FALSE))</f>
        <v/>
      </c>
      <c r="D40" s="347" t="str">
        <f>IF(ISERROR(VLOOKUP(B40,Données!$A$3:$X$1479,23,FALSE)),"",VLOOKUP(B40,Données!$A$3:$X$1479,23,FALSE))</f>
        <v/>
      </c>
      <c r="E40" s="196">
        <v>2015</v>
      </c>
      <c r="F40" s="358">
        <f>IF(ISERROR(VLOOKUP(B40,Données!$A$3:$U$1479,11,FALSE)),0,VLOOKUP(B40,Données!$A$3:$U$1479,11,FALSE))</f>
        <v>0</v>
      </c>
      <c r="G40" s="74">
        <f t="shared" si="1"/>
        <v>1</v>
      </c>
      <c r="H40" s="363">
        <f>IF(ISERROR(VLOOKUP(B40,Données!$A$3:$U$1479,12,FALSE)),0,VLOOKUP(B40,Données!$A$3:$U$1479,12,FALSE))</f>
        <v>0</v>
      </c>
      <c r="I40" s="74">
        <f>IF(((E40+5)-'Calcul Masse Salariale'!$B$1)&lt;=0,0,(E40+5)-'Calcul Masse Salariale'!$B$1)</f>
        <v>1</v>
      </c>
      <c r="J40" s="184"/>
    </row>
    <row r="41" spans="1:10" ht="18.75" x14ac:dyDescent="0.3">
      <c r="A41" s="497"/>
      <c r="B41" s="353" t="s">
        <v>996</v>
      </c>
      <c r="C41" s="74" t="str">
        <f>IF(ISERROR(VLOOKUP(B41,Données!$A$3:$L$1479,5,FALSE)),"",VLOOKUP(B41,Données!$A$3:$L$1479,5,FALSE))</f>
        <v/>
      </c>
      <c r="D41" s="347" t="str">
        <f>IF(ISERROR(VLOOKUP(B41,Données!$A$3:$X$1479,23,FALSE)),"",VLOOKUP(B41,Données!$A$3:$X$1479,23,FALSE))</f>
        <v/>
      </c>
      <c r="E41" s="196">
        <v>2015</v>
      </c>
      <c r="F41" s="358">
        <f>IF(ISERROR(VLOOKUP(B41,Données!$A$3:$U$1479,11,FALSE)),0,VLOOKUP(B41,Données!$A$3:$U$1479,11,FALSE))</f>
        <v>0</v>
      </c>
      <c r="G41" s="74">
        <f t="shared" si="1"/>
        <v>1</v>
      </c>
      <c r="H41" s="363">
        <f>IF(ISERROR(VLOOKUP(B41,Données!$A$3:$U$1479,12,FALSE)),0,VLOOKUP(B41,Données!$A$3:$U$1479,12,FALSE))</f>
        <v>0</v>
      </c>
      <c r="I41" s="74">
        <f>IF(((E41+5)-'Calcul Masse Salariale'!$B$1)&lt;=0,0,(E41+5)-'Calcul Masse Salariale'!$B$1)</f>
        <v>1</v>
      </c>
      <c r="J41" s="207"/>
    </row>
    <row r="42" spans="1:10" ht="15.75" x14ac:dyDescent="0.25">
      <c r="A42" s="497"/>
      <c r="B42" s="353" t="s">
        <v>905</v>
      </c>
      <c r="C42" s="74" t="str">
        <f>IF(ISERROR(VLOOKUP(B42,Données!$A$3:$L$1479,5,FALSE)),"",VLOOKUP(B42,Données!$A$3:$L$1479,5,FALSE))</f>
        <v/>
      </c>
      <c r="D42" s="347" t="str">
        <f>IF(ISERROR(VLOOKUP(B42,Données!$A$3:$X$1479,23,FALSE)),"",VLOOKUP(B42,Données!$A$3:$X$1479,23,FALSE))</f>
        <v/>
      </c>
      <c r="E42" s="196">
        <v>2016</v>
      </c>
      <c r="F42" s="358">
        <f>IF(ISERROR(VLOOKUP(B42,Données!$A$3:$U$1479,11,FALSE)),0,VLOOKUP(B42,Données!$A$3:$U$1479,11,FALSE))</f>
        <v>0</v>
      </c>
      <c r="G42" s="74">
        <f t="shared" si="1"/>
        <v>2</v>
      </c>
      <c r="H42" s="363">
        <f>IF(ISERROR(VLOOKUP(B42,Données!$A$3:$U$1479,12,FALSE)),0,VLOOKUP(B42,Données!$A$3:$U$1479,12,FALSE))</f>
        <v>0</v>
      </c>
      <c r="I42" s="74">
        <f>IF(((E42+5)-'Calcul Masse Salariale'!$B$1)&lt;=0,0,(E42+5)-'Calcul Masse Salariale'!$B$1)</f>
        <v>2</v>
      </c>
      <c r="J42" s="184"/>
    </row>
    <row r="43" spans="1:10" ht="15.75" x14ac:dyDescent="0.25">
      <c r="A43" s="497"/>
      <c r="B43" s="353" t="s">
        <v>137</v>
      </c>
      <c r="C43" s="74" t="str">
        <f>IF(ISERROR(VLOOKUP(B43,Données!$A$3:$L$1479,5,FALSE)),"",VLOOKUP(B43,Données!$A$3:$L$1479,5,FALSE))</f>
        <v/>
      </c>
      <c r="D43" s="347" t="str">
        <f>IF(ISERROR(VLOOKUP(B43,Données!$A$3:$X$1479,23,FALSE)),"",VLOOKUP(B43,Données!$A$3:$X$1479,23,FALSE))</f>
        <v/>
      </c>
      <c r="E43" s="196">
        <v>2017</v>
      </c>
      <c r="F43" s="358">
        <f>IF(ISERROR(VLOOKUP(B43,Données!$A$3:$U$1479,11,FALSE)),0,VLOOKUP(B43,Données!$A$3:$U$1479,11,FALSE))</f>
        <v>0</v>
      </c>
      <c r="G43" s="74">
        <f t="shared" si="1"/>
        <v>3</v>
      </c>
      <c r="H43" s="363">
        <f>IF(ISERROR(VLOOKUP(B43,Données!$A$3:$U$1479,12,FALSE)),0,VLOOKUP(B43,Données!$A$3:$U$1479,12,FALSE))</f>
        <v>0</v>
      </c>
      <c r="I43" s="74">
        <f>IF(((E43+5)-'Calcul Masse Salariale'!$B$1)&lt;=0,0,(E43+5)-'Calcul Masse Salariale'!$B$1)</f>
        <v>3</v>
      </c>
      <c r="J43" s="184"/>
    </row>
    <row r="44" spans="1:10" ht="15.75" x14ac:dyDescent="0.25">
      <c r="A44" s="497"/>
      <c r="B44" s="354" t="s">
        <v>181</v>
      </c>
      <c r="C44" s="74" t="str">
        <f>IF(ISERROR(VLOOKUP(B44,Données!$A$3:$L$1479,5,FALSE)),"",VLOOKUP(B44,Données!$A$3:$L$1479,5,FALSE))</f>
        <v/>
      </c>
      <c r="D44" s="347" t="str">
        <f>IF(ISERROR(VLOOKUP(B44,Données!$A$3:$X$1479,23,FALSE)),"",VLOOKUP(B44,Données!$A$3:$X$1479,23,FALSE))</f>
        <v/>
      </c>
      <c r="E44" s="196">
        <v>2017</v>
      </c>
      <c r="F44" s="358">
        <f>IF(ISERROR(VLOOKUP(B44,Données!$A$3:$U$1479,11,FALSE)),0,VLOOKUP(B44,Données!$A$3:$U$1479,11,FALSE))</f>
        <v>0</v>
      </c>
      <c r="G44" s="74">
        <f t="shared" si="1"/>
        <v>3</v>
      </c>
      <c r="H44" s="363">
        <f>IF(ISERROR(VLOOKUP(B44,Données!$A$3:$U$1479,12,FALSE)),0,VLOOKUP(B44,Données!$A$3:$U$1479,12,FALSE))</f>
        <v>0</v>
      </c>
      <c r="I44" s="74">
        <f>IF(((E44+5)-'Calcul Masse Salariale'!$B$1)&lt;=0,0,(E44+5)-'Calcul Masse Salariale'!$B$1)</f>
        <v>3</v>
      </c>
      <c r="J44" s="184"/>
    </row>
    <row r="45" spans="1:10" ht="15.75" x14ac:dyDescent="0.25">
      <c r="A45" s="497"/>
      <c r="B45" s="354" t="s">
        <v>172</v>
      </c>
      <c r="C45" s="74" t="str">
        <f>IF(ISERROR(VLOOKUP(B45,Données!$A$3:$L$1479,5,FALSE)),"",VLOOKUP(B45,Données!$A$3:$L$1479,5,FALSE))</f>
        <v/>
      </c>
      <c r="D45" s="347" t="str">
        <f>IF(ISERROR(VLOOKUP(B45,Données!$A$3:$X$1479,23,FALSE)),"",VLOOKUP(B45,Données!$A$3:$X$1479,23,FALSE))</f>
        <v/>
      </c>
      <c r="E45" s="196">
        <v>2017</v>
      </c>
      <c r="F45" s="358">
        <f>IF(ISERROR(VLOOKUP(B45,Données!$A$3:$U$1479,11,FALSE)),0,VLOOKUP(B45,Données!$A$3:$U$1479,11,FALSE))</f>
        <v>0</v>
      </c>
      <c r="G45" s="74">
        <f t="shared" si="1"/>
        <v>3</v>
      </c>
      <c r="H45" s="363">
        <f>IF(ISERROR(VLOOKUP(B45,Données!$A$3:$U$1479,12,FALSE)),0,VLOOKUP(B45,Données!$A$3:$U$1479,12,FALSE))</f>
        <v>0</v>
      </c>
      <c r="I45" s="74">
        <f>IF(((E45+5)-'Calcul Masse Salariale'!$B$1)&lt;=0,0,(E45+5)-'Calcul Masse Salariale'!$B$1)</f>
        <v>3</v>
      </c>
      <c r="J45" s="184"/>
    </row>
    <row r="46" spans="1:10" ht="15.75" x14ac:dyDescent="0.25">
      <c r="A46" s="497"/>
      <c r="B46" s="196" t="s">
        <v>1168</v>
      </c>
      <c r="C46" s="74" t="str">
        <f>IF(ISERROR(VLOOKUP(B46,Données!$A$3:$L$1479,5,FALSE)),"",VLOOKUP(B46,Données!$A$3:$L$1479,5,FALSE))</f>
        <v/>
      </c>
      <c r="D46" s="347" t="str">
        <f>IF(ISERROR(VLOOKUP(B46,Données!$A$3:$X$1479,23,FALSE)),"",VLOOKUP(B46,Données!$A$3:$X$1479,23,FALSE))</f>
        <v/>
      </c>
      <c r="E46" s="196">
        <v>2018</v>
      </c>
      <c r="F46" s="358">
        <f>IF(ISERROR(VLOOKUP(B46,Données!$A$3:$U$1479,11,FALSE)),0,VLOOKUP(B46,Données!$A$3:$U$1479,11,FALSE))</f>
        <v>0</v>
      </c>
      <c r="G46" s="74">
        <f t="shared" si="1"/>
        <v>4</v>
      </c>
      <c r="H46" s="363">
        <f>IF(ISERROR(VLOOKUP(B46,Données!$A$3:$U$1479,12,FALSE)),0,VLOOKUP(B46,Données!$A$3:$U$1479,12,FALSE))</f>
        <v>0</v>
      </c>
      <c r="I46" s="74">
        <f>IF(((E46+5)-'Calcul Masse Salariale'!$B$1)&lt;=0,0,(E46+5)-'Calcul Masse Salariale'!$B$1)</f>
        <v>4</v>
      </c>
      <c r="J46" s="184"/>
    </row>
    <row r="47" spans="1:10" ht="15.75" x14ac:dyDescent="0.25">
      <c r="A47" s="497"/>
      <c r="B47" s="196" t="s">
        <v>1249</v>
      </c>
      <c r="C47" s="74" t="str">
        <f>IF(ISERROR(VLOOKUP(B47,Données!$A$3:$L$1479,5,FALSE)),"",VLOOKUP(B47,Données!$A$3:$L$1479,5,FALSE))</f>
        <v/>
      </c>
      <c r="D47" s="347" t="str">
        <f>IF(ISERROR(VLOOKUP(B47,Données!$A$3:$X$1479,23,FALSE)),"",VLOOKUP(B47,Données!$A$3:$X$1479,23,FALSE))</f>
        <v/>
      </c>
      <c r="E47" s="196">
        <v>2018</v>
      </c>
      <c r="F47" s="358">
        <f>IF(ISERROR(VLOOKUP(B47,Données!$A$3:$U$1479,11,FALSE)),0,VLOOKUP(B47,Données!$A$3:$U$1479,11,FALSE))</f>
        <v>0</v>
      </c>
      <c r="G47" s="74">
        <f t="shared" si="1"/>
        <v>4</v>
      </c>
      <c r="H47" s="363">
        <f>IF(ISERROR(VLOOKUP(B47,Données!$A$3:$U$1479,12,FALSE)),0,VLOOKUP(B47,Données!$A$3:$U$1479,12,FALSE))</f>
        <v>0</v>
      </c>
      <c r="I47" s="74">
        <f>IF(((E47+5)-'Calcul Masse Salariale'!$B$1)&lt;=0,0,(E47+5)-'Calcul Masse Salariale'!$B$1)</f>
        <v>4</v>
      </c>
      <c r="J47" s="184"/>
    </row>
    <row r="48" spans="1:10" ht="15.75" x14ac:dyDescent="0.25">
      <c r="A48" s="497"/>
      <c r="B48" s="196" t="s">
        <v>1340</v>
      </c>
      <c r="C48" s="74" t="str">
        <f>IF(ISERROR(VLOOKUP(B48,Données!$A$3:$L$1479,5,FALSE)),"",VLOOKUP(B48,Données!$A$3:$L$1479,5,FALSE))</f>
        <v/>
      </c>
      <c r="D48" s="347" t="str">
        <f>IF(ISERROR(VLOOKUP(B48,Données!$A$3:$X$1479,23,FALSE)),"",VLOOKUP(B48,Données!$A$3:$X$1479,23,FALSE))</f>
        <v/>
      </c>
      <c r="E48" s="196">
        <v>2018</v>
      </c>
      <c r="F48" s="358">
        <f>IF(ISERROR(VLOOKUP(B48,Données!$A$3:$U$1479,11,FALSE)),0,VLOOKUP(B48,Données!$A$3:$U$1479,11,FALSE))</f>
        <v>0</v>
      </c>
      <c r="G48" s="74">
        <f t="shared" si="1"/>
        <v>4</v>
      </c>
      <c r="H48" s="363">
        <f>IF(ISERROR(VLOOKUP(B48,Données!$A$3:$U$1479,12,FALSE)),0,VLOOKUP(B48,Données!$A$3:$U$1479,12,FALSE))</f>
        <v>0</v>
      </c>
      <c r="I48" s="74">
        <f>IF(((E48+5)-'Calcul Masse Salariale'!$B$1)&lt;=0,0,(E48+5)-'Calcul Masse Salariale'!$B$1)</f>
        <v>4</v>
      </c>
      <c r="J48" s="184"/>
    </row>
    <row r="49" spans="1:10" ht="15.75" x14ac:dyDescent="0.25">
      <c r="A49" s="497"/>
      <c r="B49" s="357"/>
      <c r="C49" s="74" t="str">
        <f>IF(ISERROR(VLOOKUP(B49,Données!$A$3:$L$1479,5,FALSE)),"",VLOOKUP(B49,Données!$A$3:$L$1479,5,FALSE))</f>
        <v/>
      </c>
      <c r="D49" s="347" t="str">
        <f>IF(ISERROR(VLOOKUP(B49,Données!$A$3:$X$1479,23,FALSE)),"",VLOOKUP(B49,Données!$A$3:$X$1479,23,FALSE))</f>
        <v/>
      </c>
      <c r="E49" s="74"/>
      <c r="F49" s="358">
        <f>IF(ISERROR(VLOOKUP(B49,Données!$A$3:$U$1479,11,FALSE)),0,VLOOKUP(B49,Données!$A$3:$U$1479,11,FALSE))</f>
        <v>0</v>
      </c>
      <c r="G49" s="74">
        <f t="shared" si="1"/>
        <v>0</v>
      </c>
      <c r="H49" s="363">
        <f>IF(ISERROR(VLOOKUP(B49,Données!$A$3:$U$1479,12,FALSE)),0,VLOOKUP(B49,Données!$A$3:$U$1479,12,FALSE))</f>
        <v>0</v>
      </c>
      <c r="I49" s="74">
        <f>IF(((E49+5)-'Calcul Masse Salariale'!$B$1)&lt;=0,0,(E49+5)-'Calcul Masse Salariale'!$B$1)</f>
        <v>0</v>
      </c>
      <c r="J49" s="184"/>
    </row>
    <row r="50" spans="1:10" ht="15.75" x14ac:dyDescent="0.25">
      <c r="A50" s="497"/>
      <c r="B50" s="75"/>
      <c r="C50" s="74" t="str">
        <f>IF(ISERROR(VLOOKUP(B50,Données!$A$3:$L$1479,5,FALSE)),"",VLOOKUP(B50,Données!$A$3:$L$1479,5,FALSE))</f>
        <v/>
      </c>
      <c r="D50" s="347" t="str">
        <f>IF(ISERROR(VLOOKUP(B50,Données!$A$3:$X$1479,23,FALSE)),"",VLOOKUP(B50,Données!$A$3:$X$1479,23,FALSE))</f>
        <v/>
      </c>
      <c r="E50" s="74"/>
      <c r="F50" s="358">
        <f>IF(ISERROR(VLOOKUP(B50,Données!$A$3:$U$1479,11,FALSE)),0,VLOOKUP(B50,Données!$A$3:$U$1479,11,FALSE))</f>
        <v>0</v>
      </c>
      <c r="G50" s="74">
        <f t="shared" si="1"/>
        <v>0</v>
      </c>
      <c r="H50" s="363">
        <f>IF(ISERROR(VLOOKUP(B50,Données!$A$3:$U$1479,12,FALSE)),0,VLOOKUP(B50,Données!$A$3:$U$1479,12,FALSE))</f>
        <v>0</v>
      </c>
      <c r="I50" s="74">
        <f>IF(((E50+5)-'Calcul Masse Salariale'!$B$1)&lt;=0,0,(E50+5)-'Calcul Masse Salariale'!$B$1)</f>
        <v>0</v>
      </c>
      <c r="J50" s="184"/>
    </row>
    <row r="51" spans="1:10" ht="15.75" x14ac:dyDescent="0.25">
      <c r="A51" s="497"/>
      <c r="B51" s="75"/>
      <c r="C51" s="74" t="str">
        <f>IF(ISERROR(VLOOKUP(B51,Données!$A$3:$L$1479,5,FALSE)),"",VLOOKUP(B51,Données!$A$3:$L$1479,5,FALSE))</f>
        <v/>
      </c>
      <c r="D51" s="347" t="str">
        <f>IF(ISERROR(VLOOKUP(B51,Données!$A$3:$X$1479,23,FALSE)),"",VLOOKUP(B51,Données!$A$3:$X$1479,23,FALSE))</f>
        <v/>
      </c>
      <c r="E51" s="74"/>
      <c r="F51" s="358">
        <f>IF(ISERROR(VLOOKUP(B51,Données!$A$3:$U$1479,11,FALSE)),0,VLOOKUP(B51,Données!$A$3:$U$1479,11,FALSE))</f>
        <v>0</v>
      </c>
      <c r="G51" s="74">
        <f t="shared" si="1"/>
        <v>0</v>
      </c>
      <c r="H51" s="363">
        <f>IF(ISERROR(VLOOKUP(B51,Données!$A$3:$U$1479,12,FALSE)),0,VLOOKUP(B51,Données!$A$3:$U$1479,12,FALSE))</f>
        <v>0</v>
      </c>
      <c r="I51" s="74">
        <f>IF(((E51+5)-'Calcul Masse Salariale'!$B$1)&lt;=0,0,(E51+5)-'Calcul Masse Salariale'!$B$1)</f>
        <v>0</v>
      </c>
      <c r="J51" s="184"/>
    </row>
    <row r="52" spans="1:10" ht="15.75" x14ac:dyDescent="0.25">
      <c r="A52" s="497"/>
      <c r="B52" s="70"/>
      <c r="C52" s="74" t="str">
        <f>IF(ISERROR(VLOOKUP(B52,Données!$A$3:$L$1479,5,FALSE)),"",VLOOKUP(B52,Données!$A$3:$L$1479,5,FALSE))</f>
        <v/>
      </c>
      <c r="D52" s="347" t="str">
        <f>IF(ISERROR(VLOOKUP(B52,Données!$A$3:$X$1479,23,FALSE)),"",VLOOKUP(B52,Données!$A$3:$X$1479,23,FALSE))</f>
        <v/>
      </c>
      <c r="E52" s="74"/>
      <c r="F52" s="358">
        <f>IF(ISERROR(VLOOKUP(B52,Données!$A$3:$U$1479,11,FALSE)),0,VLOOKUP(B52,Données!$A$3:$U$1479,11,FALSE))</f>
        <v>0</v>
      </c>
      <c r="G52" s="74">
        <f t="shared" si="1"/>
        <v>0</v>
      </c>
      <c r="H52" s="363">
        <f>IF(ISERROR(VLOOKUP(B52,Données!$A$3:$U$1479,12,FALSE)),0,VLOOKUP(B52,Données!$A$3:$U$1479,12,FALSE))</f>
        <v>0</v>
      </c>
      <c r="I52" s="74">
        <f>IF(((E52+5)-'Calcul Masse Salariale'!$B$1)&lt;=0,0,(E52+5)-'Calcul Masse Salariale'!$B$1)</f>
        <v>0</v>
      </c>
      <c r="J52" s="184"/>
    </row>
    <row r="53" spans="1:10" ht="15.75" x14ac:dyDescent="0.25">
      <c r="A53" s="497"/>
      <c r="B53" s="74"/>
      <c r="C53" s="74" t="str">
        <f>IF(ISERROR(VLOOKUP(B53,Données!$A$3:$L$1479,5,FALSE)),"",VLOOKUP(B53,Données!$A$3:$L$1479,5,FALSE))</f>
        <v/>
      </c>
      <c r="D53" s="347" t="str">
        <f>IF(ISERROR(VLOOKUP(B53,Données!$A$3:$X$1479,23,FALSE)),"",VLOOKUP(B53,Données!$A$3:$X$1479,23,FALSE))</f>
        <v/>
      </c>
      <c r="E53" s="74"/>
      <c r="F53" s="358">
        <f>IF(ISERROR(VLOOKUP(B53,Données!$A$3:$U$1479,11,FALSE)),0,VLOOKUP(B53,Données!$A$3:$U$1479,11,FALSE))</f>
        <v>0</v>
      </c>
      <c r="G53" s="74">
        <f t="shared" si="1"/>
        <v>0</v>
      </c>
      <c r="H53" s="363">
        <f>IF(ISERROR(VLOOKUP(B53,Données!$A$3:$U$1479,12,FALSE)),0,VLOOKUP(B53,Données!$A$3:$U$1479,12,FALSE))</f>
        <v>0</v>
      </c>
      <c r="I53" s="74">
        <f>IF(((E53+5)-'Calcul Masse Salariale'!$B$1)&lt;=0,0,(E53+5)-'Calcul Masse Salariale'!$B$1)</f>
        <v>0</v>
      </c>
      <c r="J53" s="184"/>
    </row>
    <row r="54" spans="1:10" ht="15.75" x14ac:dyDescent="0.25">
      <c r="A54" s="497"/>
      <c r="B54" s="74"/>
      <c r="C54" s="74" t="str">
        <f>IF(ISERROR(VLOOKUP(B54,Données!$A$3:$L$1479,5,FALSE)),"",VLOOKUP(B54,Données!$A$3:$L$1479,5,FALSE))</f>
        <v/>
      </c>
      <c r="D54" s="347" t="str">
        <f>IF(ISERROR(VLOOKUP(B54,Données!$A$3:$X$1479,23,FALSE)),"",VLOOKUP(B54,Données!$A$3:$X$1479,23,FALSE))</f>
        <v/>
      </c>
      <c r="E54" s="74"/>
      <c r="F54" s="358">
        <f>IF(ISERROR(VLOOKUP(B54,Données!$A$3:$U$1479,11,FALSE)),0,VLOOKUP(B54,Données!$A$3:$U$1479,11,FALSE))</f>
        <v>0</v>
      </c>
      <c r="G54" s="74">
        <f t="shared" si="1"/>
        <v>0</v>
      </c>
      <c r="H54" s="363">
        <f>IF(ISERROR(VLOOKUP(B54,Données!$A$3:$U$1479,12,FALSE)),0,VLOOKUP(B54,Données!$A$3:$U$1479,12,FALSE))</f>
        <v>0</v>
      </c>
      <c r="I54" s="74">
        <f>IF(((E54+5)-'Calcul Masse Salariale'!$B$1)&lt;=0,0,(E54+5)-'Calcul Masse Salariale'!$B$1)</f>
        <v>0</v>
      </c>
      <c r="J54" s="184"/>
    </row>
    <row r="55" spans="1:10" ht="15.75" x14ac:dyDescent="0.25">
      <c r="A55" s="497"/>
      <c r="B55" s="74"/>
      <c r="C55" s="74" t="str">
        <f>IF(ISERROR(VLOOKUP(B55,Données!$A$3:$L$1479,5,FALSE)),"",VLOOKUP(B55,Données!$A$3:$L$1479,5,FALSE))</f>
        <v/>
      </c>
      <c r="D55" s="347" t="str">
        <f>IF(ISERROR(VLOOKUP(B55,Données!$A$3:$X$1479,23,FALSE)),"",VLOOKUP(B55,Données!$A$3:$X$1479,23,FALSE))</f>
        <v/>
      </c>
      <c r="E55" s="74"/>
      <c r="F55" s="358">
        <f>IF(ISERROR(VLOOKUP(B55,Données!$A$3:$U$1479,11,FALSE)),0,VLOOKUP(B55,Données!$A$3:$U$1479,11,FALSE))</f>
        <v>0</v>
      </c>
      <c r="G55" s="74">
        <f t="shared" si="1"/>
        <v>0</v>
      </c>
      <c r="H55" s="363">
        <f>IF(ISERROR(VLOOKUP(B55,Données!$A$3:$U$1479,12,FALSE)),0,VLOOKUP(B55,Données!$A$3:$U$1479,12,FALSE))</f>
        <v>0</v>
      </c>
      <c r="I55" s="74">
        <f>IF(((E55+5)-'Calcul Masse Salariale'!$B$1)&lt;=0,0,(E55+5)-'Calcul Masse Salariale'!$B$1)</f>
        <v>0</v>
      </c>
      <c r="J55" s="184"/>
    </row>
    <row r="56" spans="1:10" ht="15.75" x14ac:dyDescent="0.25">
      <c r="A56" s="497"/>
      <c r="B56" s="74"/>
      <c r="C56" s="74" t="str">
        <f>IF(ISERROR(VLOOKUP(B56,Données!$A$3:$L$1479,5,FALSE)),"",VLOOKUP(B56,Données!$A$3:$L$1479,5,FALSE))</f>
        <v/>
      </c>
      <c r="D56" s="347" t="str">
        <f>IF(ISERROR(VLOOKUP(B56,Données!$A$3:$X$1479,23,FALSE)),"",VLOOKUP(B56,Données!$A$3:$X$1479,23,FALSE))</f>
        <v/>
      </c>
      <c r="E56" s="74"/>
      <c r="F56" s="358">
        <f>IF(ISERROR(VLOOKUP(B56,Données!$A$3:$U$1479,11,FALSE)),0,VLOOKUP(B56,Données!$A$3:$U$1479,11,FALSE))</f>
        <v>0</v>
      </c>
      <c r="G56" s="74">
        <f t="shared" si="1"/>
        <v>0</v>
      </c>
      <c r="H56" s="363">
        <f>IF(ISERROR(VLOOKUP(B56,Données!$A$3:$U$1479,12,FALSE)),0,VLOOKUP(B56,Données!$A$3:$U$1479,12,FALSE))</f>
        <v>0</v>
      </c>
      <c r="I56" s="74">
        <f>IF(((E56+5)-'Calcul Masse Salariale'!$B$1)&lt;=0,0,(E56+5)-'Calcul Masse Salariale'!$B$1)</f>
        <v>0</v>
      </c>
      <c r="J56" s="184"/>
    </row>
    <row r="57" spans="1:10" ht="15.75" x14ac:dyDescent="0.25">
      <c r="A57" s="497"/>
      <c r="B57" s="74"/>
      <c r="C57" s="74" t="str">
        <f>IF(ISERROR(VLOOKUP(B57,Données!$A$3:$L$1479,5,FALSE)),"",VLOOKUP(B57,Données!$A$3:$L$1479,5,FALSE))</f>
        <v/>
      </c>
      <c r="D57" s="347" t="str">
        <f>IF(ISERROR(VLOOKUP(B57,Données!$A$3:$X$1479,23,FALSE)),"",VLOOKUP(B57,Données!$A$3:$X$1479,23,FALSE))</f>
        <v/>
      </c>
      <c r="E57" s="74"/>
      <c r="F57" s="358">
        <f>IF(ISERROR(VLOOKUP(B57,Données!$A$3:$U$1479,11,FALSE)),0,VLOOKUP(B57,Données!$A$3:$U$1479,11,FALSE))</f>
        <v>0</v>
      </c>
      <c r="G57" s="74">
        <f t="shared" si="1"/>
        <v>0</v>
      </c>
      <c r="H57" s="363">
        <f>IF(ISERROR(VLOOKUP(B57,Données!$A$3:$U$1479,12,FALSE)),0,VLOOKUP(B57,Données!$A$3:$U$1479,12,FALSE))</f>
        <v>0</v>
      </c>
      <c r="I57" s="74">
        <f>IF(((E57+5)-'Calcul Masse Salariale'!$B$1)&lt;=0,0,(E57+5)-'Calcul Masse Salariale'!$B$1)</f>
        <v>0</v>
      </c>
      <c r="J57" s="184"/>
    </row>
    <row r="58" spans="1:10" ht="15.75" x14ac:dyDescent="0.25">
      <c r="A58" s="497"/>
      <c r="B58" s="74"/>
      <c r="C58" s="74" t="str">
        <f>IF(ISERROR(VLOOKUP(B58,Données!$A$3:$L$1479,5,FALSE)),"",VLOOKUP(B58,Données!$A$3:$L$1479,5,FALSE))</f>
        <v/>
      </c>
      <c r="D58" s="347" t="str">
        <f>IF(ISERROR(VLOOKUP(B58,Données!$A$3:$X$1479,23,FALSE)),"",VLOOKUP(B58,Données!$A$3:$X$1479,23,FALSE))</f>
        <v/>
      </c>
      <c r="E58" s="74"/>
      <c r="F58" s="358">
        <f>IF(ISERROR(VLOOKUP(B58,Données!$A$3:$U$1479,11,FALSE)),0,VLOOKUP(B58,Données!$A$3:$U$1479,11,FALSE))</f>
        <v>0</v>
      </c>
      <c r="G58" s="74">
        <f t="shared" si="1"/>
        <v>0</v>
      </c>
      <c r="H58" s="363">
        <f>IF(ISERROR(VLOOKUP(B58,Données!$A$3:$U$1479,12,FALSE)),0,VLOOKUP(B58,Données!$A$3:$U$1479,12,FALSE))</f>
        <v>0</v>
      </c>
      <c r="I58" s="74">
        <f>IF(((E58+5)-'Calcul Masse Salariale'!$B$1)&lt;=0,0,(E58+5)-'Calcul Masse Salariale'!$B$1)</f>
        <v>0</v>
      </c>
      <c r="J58" s="184"/>
    </row>
    <row r="59" spans="1:10" ht="15.75" x14ac:dyDescent="0.25">
      <c r="A59" s="497"/>
      <c r="B59" s="74"/>
      <c r="C59" s="74" t="str">
        <f>IF(ISERROR(VLOOKUP(B59,Données!$A$3:$L$1479,5,FALSE)),"",VLOOKUP(B59,Données!$A$3:$L$1479,5,FALSE))</f>
        <v/>
      </c>
      <c r="D59" s="347" t="str">
        <f>IF(ISERROR(VLOOKUP(B59,Données!$A$3:$X$1479,23,FALSE)),"",VLOOKUP(B59,Données!$A$3:$X$1479,23,FALSE))</f>
        <v/>
      </c>
      <c r="E59" s="74"/>
      <c r="F59" s="358">
        <f>IF(ISERROR(VLOOKUP(B59,Données!$A$3:$U$1479,11,FALSE)),0,VLOOKUP(B59,Données!$A$3:$U$1479,11,FALSE))</f>
        <v>0</v>
      </c>
      <c r="G59" s="74">
        <f t="shared" si="1"/>
        <v>0</v>
      </c>
      <c r="H59" s="363">
        <f>IF(ISERROR(VLOOKUP(B59,Données!$A$3:$U$1479,12,FALSE)),0,VLOOKUP(B59,Données!$A$3:$U$1479,12,FALSE))</f>
        <v>0</v>
      </c>
      <c r="I59" s="74">
        <f>IF(((E59+5)-'Calcul Masse Salariale'!$B$1)&lt;=0,0,(E59+5)-'Calcul Masse Salariale'!$B$1)</f>
        <v>0</v>
      </c>
      <c r="J59" s="184"/>
    </row>
    <row r="60" spans="1:10" ht="15.75" x14ac:dyDescent="0.25">
      <c r="A60" s="497"/>
      <c r="B60" s="74"/>
      <c r="C60" s="74" t="str">
        <f>IF(ISERROR(VLOOKUP(B60,Données!$A$3:$L$1479,5,FALSE)),"",VLOOKUP(B60,Données!$A$3:$L$1479,5,FALSE))</f>
        <v/>
      </c>
      <c r="D60" s="347" t="str">
        <f>IF(ISERROR(VLOOKUP(B60,Données!$A$3:$X$1479,23,FALSE)),"",VLOOKUP(B60,Données!$A$3:$X$1479,23,FALSE))</f>
        <v/>
      </c>
      <c r="E60" s="74"/>
      <c r="F60" s="358">
        <f>IF(ISERROR(VLOOKUP(B60,Données!$A$3:$U$1479,11,FALSE)),0,VLOOKUP(B60,Données!$A$3:$U$1479,11,FALSE))</f>
        <v>0</v>
      </c>
      <c r="G60" s="74">
        <f t="shared" si="1"/>
        <v>0</v>
      </c>
      <c r="H60" s="363">
        <f>IF(ISERROR(VLOOKUP(B60,Données!$A$3:$U$1479,12,FALSE)),0,VLOOKUP(B60,Données!$A$3:$U$1479,12,FALSE))</f>
        <v>0</v>
      </c>
      <c r="I60" s="74">
        <f>IF(((E60+5)-'Calcul Masse Salariale'!$B$1)&lt;=0,0,(E60+5)-'Calcul Masse Salariale'!$B$1)</f>
        <v>0</v>
      </c>
      <c r="J60" s="184"/>
    </row>
    <row r="61" spans="1:10" ht="15.75" x14ac:dyDescent="0.25">
      <c r="A61" s="497"/>
      <c r="B61" s="74"/>
      <c r="C61" s="74" t="str">
        <f>IF(ISERROR(VLOOKUP(B61,Données!$A$3:$L$1479,5,FALSE)),"",VLOOKUP(B61,Données!$A$3:$L$1479,5,FALSE))</f>
        <v/>
      </c>
      <c r="D61" s="347" t="str">
        <f>IF(ISERROR(VLOOKUP(B61,Données!$A$3:$X$1479,23,FALSE)),"",VLOOKUP(B61,Données!$A$3:$X$1479,23,FALSE))</f>
        <v/>
      </c>
      <c r="E61" s="74"/>
      <c r="F61" s="358">
        <f>IF(ISERROR(VLOOKUP(B61,Données!$A$3:$U$1479,11,FALSE)),0,VLOOKUP(B61,Données!$A$3:$U$1479,11,FALSE))</f>
        <v>0</v>
      </c>
      <c r="G61" s="74">
        <f t="shared" si="1"/>
        <v>0</v>
      </c>
      <c r="H61" s="363">
        <f>IF(ISERROR(VLOOKUP(B61,Données!$A$3:$U$1479,12,FALSE)),0,VLOOKUP(B61,Données!$A$3:$U$1479,12,FALSE))</f>
        <v>0</v>
      </c>
      <c r="I61" s="74">
        <f>IF(((E61+5)-'Calcul Masse Salariale'!$B$1)&lt;=0,0,(E61+5)-'Calcul Masse Salariale'!$B$1)</f>
        <v>0</v>
      </c>
      <c r="J61" s="184"/>
    </row>
    <row r="62" spans="1:10" ht="15.75" x14ac:dyDescent="0.25">
      <c r="A62" s="497"/>
      <c r="B62" s="74"/>
      <c r="C62" s="74" t="str">
        <f>IF(ISERROR(VLOOKUP(B62,Données!$A$3:$L$1479,5,FALSE)),"",VLOOKUP(B62,Données!$A$3:$L$1479,5,FALSE))</f>
        <v/>
      </c>
      <c r="D62" s="347" t="str">
        <f>IF(ISERROR(VLOOKUP(B62,Données!$A$3:$X$1479,23,FALSE)),"",VLOOKUP(B62,Données!$A$3:$X$1479,23,FALSE))</f>
        <v/>
      </c>
      <c r="E62" s="74"/>
      <c r="F62" s="358">
        <f>IF(ISERROR(VLOOKUP(B62,Données!$A$3:$U$1479,11,FALSE)),0,VLOOKUP(B62,Données!$A$3:$U$1479,11,FALSE))</f>
        <v>0</v>
      </c>
      <c r="G62" s="74">
        <f t="shared" si="1"/>
        <v>0</v>
      </c>
      <c r="H62" s="363">
        <f>IF(ISERROR(VLOOKUP(B62,Données!$A$3:$U$1479,12,FALSE)),0,VLOOKUP(B62,Données!$A$3:$U$1479,12,FALSE))</f>
        <v>0</v>
      </c>
      <c r="I62" s="74">
        <f>IF(((E62+5)-'Calcul Masse Salariale'!$B$1)&lt;=0,0,(E62+5)-'Calcul Masse Salariale'!$B$1)</f>
        <v>0</v>
      </c>
      <c r="J62" s="184"/>
    </row>
    <row r="63" spans="1:10" ht="15.75" x14ac:dyDescent="0.25">
      <c r="A63" s="497"/>
      <c r="B63" s="74"/>
      <c r="C63" s="74" t="str">
        <f>IF(ISERROR(VLOOKUP(B63,Données!$A$3:$L$1479,5,FALSE)),"",VLOOKUP(B63,Données!$A$3:$L$1479,5,FALSE))</f>
        <v/>
      </c>
      <c r="D63" s="347" t="str">
        <f>IF(ISERROR(VLOOKUP(B63,Données!$A$3:$X$1479,23,FALSE)),"",VLOOKUP(B63,Données!$A$3:$X$1479,23,FALSE))</f>
        <v/>
      </c>
      <c r="E63" s="74"/>
      <c r="F63" s="358">
        <f>IF(ISERROR(VLOOKUP(B63,Données!$A$3:$U$1479,11,FALSE)),0,VLOOKUP(B63,Données!$A$3:$U$1479,11,FALSE))</f>
        <v>0</v>
      </c>
      <c r="G63" s="74">
        <f t="shared" si="1"/>
        <v>0</v>
      </c>
      <c r="H63" s="363">
        <f>IF(ISERROR(VLOOKUP(B63,Données!$A$3:$U$1479,12,FALSE)),0,VLOOKUP(B63,Données!$A$3:$U$1479,12,FALSE))</f>
        <v>0</v>
      </c>
      <c r="I63" s="74">
        <f>IF(((E63+5)-'Calcul Masse Salariale'!$B$1)&lt;=0,0,(E63+5)-'Calcul Masse Salariale'!$B$1)</f>
        <v>0</v>
      </c>
      <c r="J63" s="184"/>
    </row>
    <row r="64" spans="1:10" ht="15.75" x14ac:dyDescent="0.25">
      <c r="A64" s="497"/>
      <c r="B64" s="74"/>
      <c r="C64" s="74" t="str">
        <f>IF(ISERROR(VLOOKUP(B64,Données!$A$3:$L$1479,5,FALSE)),"",VLOOKUP(B64,Données!$A$3:$L$1479,5,FALSE))</f>
        <v/>
      </c>
      <c r="D64" s="347" t="str">
        <f>IF(ISERROR(VLOOKUP(B64,Données!$A$3:$X$1479,23,FALSE)),"",VLOOKUP(B64,Données!$A$3:$X$1479,23,FALSE))</f>
        <v/>
      </c>
      <c r="E64" s="74"/>
      <c r="F64" s="358">
        <f>IF(ISERROR(VLOOKUP(B64,Données!$A$3:$U$1479,11,FALSE)),0,VLOOKUP(B64,Données!$A$3:$U$1479,11,FALSE))</f>
        <v>0</v>
      </c>
      <c r="G64" s="74">
        <f t="shared" si="1"/>
        <v>0</v>
      </c>
      <c r="H64" s="363">
        <f>IF(ISERROR(VLOOKUP(B64,Données!$A$3:$U$1479,12,FALSE)),0,VLOOKUP(B64,Données!$A$3:$U$1479,12,FALSE))</f>
        <v>0</v>
      </c>
      <c r="I64" s="74">
        <f>IF(((E64+5)-'Calcul Masse Salariale'!$B$1)&lt;=0,0,(E64+5)-'Calcul Masse Salariale'!$B$1)</f>
        <v>0</v>
      </c>
      <c r="J64" s="184"/>
    </row>
    <row r="65" spans="1:10" ht="15.75" x14ac:dyDescent="0.25">
      <c r="A65" s="497"/>
      <c r="B65" s="74"/>
      <c r="C65" s="74" t="str">
        <f>IF(ISERROR(VLOOKUP(B65,Données!$A$3:$L$1479,5,FALSE)),"",VLOOKUP(B65,Données!$A$3:$L$1479,5,FALSE))</f>
        <v/>
      </c>
      <c r="D65" s="347" t="str">
        <f>IF(ISERROR(VLOOKUP(B65,Données!$A$3:$X$1479,23,FALSE)),"",VLOOKUP(B65,Données!$A$3:$X$1479,23,FALSE))</f>
        <v/>
      </c>
      <c r="E65" s="74"/>
      <c r="F65" s="358">
        <f>IF(ISERROR(VLOOKUP(B65,Données!$A$3:$U$1479,11,FALSE)),0,VLOOKUP(B65,Données!$A$3:$U$1479,11,FALSE))</f>
        <v>0</v>
      </c>
      <c r="G65" s="74">
        <f t="shared" si="1"/>
        <v>0</v>
      </c>
      <c r="H65" s="363">
        <f>IF(ISERROR(VLOOKUP(B65,Données!$A$3:$U$1479,12,FALSE)),0,VLOOKUP(B65,Données!$A$3:$U$1479,12,FALSE))</f>
        <v>0</v>
      </c>
      <c r="I65" s="74">
        <f>IF(((E65+5)-'Calcul Masse Salariale'!$B$1)&lt;=0,0,(E65+5)-'Calcul Masse Salariale'!$B$1)</f>
        <v>0</v>
      </c>
      <c r="J65" s="184"/>
    </row>
    <row r="66" spans="1:10" ht="15.75" x14ac:dyDescent="0.25">
      <c r="A66" s="497"/>
      <c r="B66" s="74"/>
      <c r="C66" s="74" t="str">
        <f>IF(ISERROR(VLOOKUP(B66,Données!$A$3:$L$1479,5,FALSE)),"",VLOOKUP(B66,Données!$A$3:$L$1479,5,FALSE))</f>
        <v/>
      </c>
      <c r="D66" s="347" t="str">
        <f>IF(ISERROR(VLOOKUP(B66,Données!$A$3:$X$1479,23,FALSE)),"",VLOOKUP(B66,Données!$A$3:$X$1479,23,FALSE))</f>
        <v/>
      </c>
      <c r="E66" s="74"/>
      <c r="F66" s="358">
        <f>IF(ISERROR(VLOOKUP(B66,Données!$A$3:$U$1479,11,FALSE)),0,VLOOKUP(B66,Données!$A$3:$U$1479,11,FALSE))</f>
        <v>0</v>
      </c>
      <c r="G66" s="74">
        <f t="shared" si="1"/>
        <v>0</v>
      </c>
      <c r="H66" s="363">
        <f>IF(ISERROR(VLOOKUP(B66,Données!$A$3:$U$1479,12,FALSE)),0,VLOOKUP(B66,Données!$A$3:$U$1479,12,FALSE))</f>
        <v>0</v>
      </c>
      <c r="I66" s="74">
        <f>IF(((E66+5)-'Calcul Masse Salariale'!$B$1)&lt;=0,0,(E66+5)-'Calcul Masse Salariale'!$B$1)</f>
        <v>0</v>
      </c>
      <c r="J66" s="184"/>
    </row>
    <row r="67" spans="1:10" ht="15.75" x14ac:dyDescent="0.25">
      <c r="A67" s="497"/>
      <c r="B67" s="74"/>
      <c r="C67" s="74" t="str">
        <f>IF(ISERROR(VLOOKUP(B67,Données!$A$3:$L$1479,5,FALSE)),"",VLOOKUP(B67,Données!$A$3:$L$1479,5,FALSE))</f>
        <v/>
      </c>
      <c r="D67" s="347" t="str">
        <f>IF(ISERROR(VLOOKUP(B67,Données!$A$3:$X$1479,23,FALSE)),"",VLOOKUP(B67,Données!$A$3:$X$1479,23,FALSE))</f>
        <v/>
      </c>
      <c r="E67" s="74"/>
      <c r="F67" s="358">
        <f>IF(ISERROR(VLOOKUP(B67,Données!$A$3:$U$1479,11,FALSE)),0,VLOOKUP(B67,Données!$A$3:$U$1479,11,FALSE))</f>
        <v>0</v>
      </c>
      <c r="G67" s="74">
        <f t="shared" si="1"/>
        <v>0</v>
      </c>
      <c r="H67" s="363">
        <f>IF(ISERROR(VLOOKUP(B67,Données!$A$3:$U$1479,12,FALSE)),0,VLOOKUP(B67,Données!$A$3:$U$1479,12,FALSE))</f>
        <v>0</v>
      </c>
      <c r="I67" s="74">
        <f>IF(((E67+5)-'Calcul Masse Salariale'!$B$1)&lt;=0,0,(E67+5)-'Calcul Masse Salariale'!$B$1)</f>
        <v>0</v>
      </c>
      <c r="J67" s="184"/>
    </row>
    <row r="68" spans="1:10" ht="15.75" x14ac:dyDescent="0.25">
      <c r="A68" s="497"/>
      <c r="B68" s="74"/>
      <c r="C68" s="74" t="str">
        <f>IF(ISERROR(VLOOKUP(B68,Données!$A$3:$L$1479,5,FALSE)),"",VLOOKUP(B68,Données!$A$3:$L$1479,5,FALSE))</f>
        <v/>
      </c>
      <c r="D68" s="347" t="str">
        <f>IF(ISERROR(VLOOKUP(B68,Données!$A$3:$X$1479,23,FALSE)),"",VLOOKUP(B68,Données!$A$3:$X$1479,23,FALSE))</f>
        <v/>
      </c>
      <c r="E68" s="74"/>
      <c r="F68" s="358">
        <f>IF(ISERROR(VLOOKUP(B68,Données!$A$3:$U$1479,11,FALSE)),0,VLOOKUP(B68,Données!$A$3:$U$1479,11,FALSE))</f>
        <v>0</v>
      </c>
      <c r="G68" s="74">
        <f t="shared" si="1"/>
        <v>0</v>
      </c>
      <c r="H68" s="363">
        <f>IF(ISERROR(VLOOKUP(B68,Données!$A$3:$U$1479,12,FALSE)),0,VLOOKUP(B68,Données!$A$3:$U$1479,12,FALSE))</f>
        <v>0</v>
      </c>
      <c r="I68" s="74">
        <f>IF(((E68+5)-'Calcul Masse Salariale'!$B$1)&lt;=0,0,(E68+5)-'Calcul Masse Salariale'!$B$1)</f>
        <v>0</v>
      </c>
      <c r="J68" s="184"/>
    </row>
    <row r="69" spans="1:10" ht="15.75" x14ac:dyDescent="0.25">
      <c r="A69" s="497"/>
      <c r="B69" s="74"/>
      <c r="C69" s="74" t="str">
        <f>IF(ISERROR(VLOOKUP(B69,Données!$A$3:$L$1479,5,FALSE)),"",VLOOKUP(B69,Données!$A$3:$L$1479,5,FALSE))</f>
        <v/>
      </c>
      <c r="D69" s="347" t="str">
        <f>IF(ISERROR(VLOOKUP(B69,Données!$A$3:$X$1479,23,FALSE)),"",VLOOKUP(B69,Données!$A$3:$X$1479,23,FALSE))</f>
        <v/>
      </c>
      <c r="E69" s="74"/>
      <c r="F69" s="358">
        <f>IF(ISERROR(VLOOKUP(B69,Données!$A$3:$U$1479,11,FALSE)),0,VLOOKUP(B69,Données!$A$3:$U$1479,11,FALSE))</f>
        <v>0</v>
      </c>
      <c r="G69" s="74">
        <f t="shared" si="1"/>
        <v>0</v>
      </c>
      <c r="H69" s="363">
        <f>IF(ISERROR(VLOOKUP(B69,Données!$A$3:$U$1479,12,FALSE)),0,VLOOKUP(B69,Données!$A$3:$U$1479,12,FALSE))</f>
        <v>0</v>
      </c>
      <c r="I69" s="74">
        <f>IF(((E69+5)-'Calcul Masse Salariale'!$B$1)&lt;=0,0,(E69+5)-'Calcul Masse Salariale'!$B$1)</f>
        <v>0</v>
      </c>
      <c r="J69" s="184"/>
    </row>
    <row r="70" spans="1:10" ht="15.75" x14ac:dyDescent="0.25">
      <c r="A70" s="497"/>
      <c r="B70" s="74"/>
      <c r="C70" s="74" t="str">
        <f>IF(ISERROR(VLOOKUP(B70,Données!$A$3:$L$1479,5,FALSE)),"",VLOOKUP(B70,Données!$A$3:$L$1479,5,FALSE))</f>
        <v/>
      </c>
      <c r="D70" s="347" t="str">
        <f>IF(ISERROR(VLOOKUP(B70,Données!$A$3:$X$1479,23,FALSE)),"",VLOOKUP(B70,Données!$A$3:$X$1479,23,FALSE))</f>
        <v/>
      </c>
      <c r="E70" s="74"/>
      <c r="F70" s="358">
        <f>IF(ISERROR(VLOOKUP(B70,Données!$A$3:$U$1479,11,FALSE)),0,VLOOKUP(B70,Données!$A$3:$U$1479,11,FALSE))</f>
        <v>0</v>
      </c>
      <c r="G70" s="74">
        <f t="shared" si="1"/>
        <v>0</v>
      </c>
      <c r="H70" s="363">
        <f>IF(ISERROR(VLOOKUP(B70,Données!$A$3:$U$1479,12,FALSE)),0,VLOOKUP(B70,Données!$A$3:$U$1479,12,FALSE))</f>
        <v>0</v>
      </c>
      <c r="I70" s="74">
        <f>IF(((E70+5)-'Calcul Masse Salariale'!$B$1)&lt;=0,0,(E70+5)-'Calcul Masse Salariale'!$B$1)</f>
        <v>0</v>
      </c>
      <c r="J70" s="184"/>
    </row>
    <row r="71" spans="1:10" ht="15.75" x14ac:dyDescent="0.25">
      <c r="A71" s="497"/>
      <c r="B71" s="74"/>
      <c r="C71" s="74" t="str">
        <f>IF(ISERROR(VLOOKUP(B71,Données!$A$3:$L$1479,5,FALSE)),"",VLOOKUP(B71,Données!$A$3:$L$1479,5,FALSE))</f>
        <v/>
      </c>
      <c r="D71" s="347" t="str">
        <f>IF(ISERROR(VLOOKUP(B71,Données!$A$3:$X$1479,23,FALSE)),"",VLOOKUP(B71,Données!$A$3:$X$1479,23,FALSE))</f>
        <v/>
      </c>
      <c r="E71" s="74"/>
      <c r="F71" s="358">
        <f>IF(ISERROR(VLOOKUP(B71,Données!$A$3:$U$1479,11,FALSE)),0,VLOOKUP(B71,Données!$A$3:$U$1479,11,FALSE))</f>
        <v>0</v>
      </c>
      <c r="G71" s="74">
        <f t="shared" si="1"/>
        <v>0</v>
      </c>
      <c r="H71" s="363">
        <f>IF(ISERROR(VLOOKUP(B71,Données!$A$3:$U$1479,12,FALSE)),0,VLOOKUP(B71,Données!$A$3:$U$1479,12,FALSE))</f>
        <v>0</v>
      </c>
      <c r="I71" s="74">
        <f>IF(((E71+5)-'Calcul Masse Salariale'!$B$1)&lt;=0,0,(E71+5)-'Calcul Masse Salariale'!$B$1)</f>
        <v>0</v>
      </c>
      <c r="J71" s="184"/>
    </row>
    <row r="72" spans="1:10" ht="15.75" x14ac:dyDescent="0.25">
      <c r="A72" s="497"/>
      <c r="B72" s="74"/>
      <c r="C72" s="74" t="str">
        <f>IF(ISERROR(VLOOKUP(B72,Données!$A$3:$L$1479,5,FALSE)),"",VLOOKUP(B72,Données!$A$3:$L$1479,5,FALSE))</f>
        <v/>
      </c>
      <c r="D72" s="347" t="str">
        <f>IF(ISERROR(VLOOKUP(B72,Données!$A$3:$X$1479,23,FALSE)),"",VLOOKUP(B72,Données!$A$3:$X$1479,23,FALSE))</f>
        <v/>
      </c>
      <c r="E72" s="74"/>
      <c r="F72" s="358">
        <f>IF(ISERROR(VLOOKUP(B72,Données!$A$3:$U$1479,11,FALSE)),0,VLOOKUP(B72,Données!$A$3:$U$1479,11,FALSE))</f>
        <v>0</v>
      </c>
      <c r="G72" s="74">
        <f t="shared" si="1"/>
        <v>0</v>
      </c>
      <c r="H72" s="363">
        <f>IF(ISERROR(VLOOKUP(B72,Données!$A$3:$U$1479,12,FALSE)),0,VLOOKUP(B72,Données!$A$3:$U$1479,12,FALSE))</f>
        <v>0</v>
      </c>
      <c r="I72" s="74">
        <f>IF(((E72+5)-'Calcul Masse Salariale'!$B$1)&lt;=0,0,(E72+5)-'Calcul Masse Salariale'!$B$1)</f>
        <v>0</v>
      </c>
      <c r="J72" s="184"/>
    </row>
    <row r="73" spans="1:10" ht="15.75" x14ac:dyDescent="0.25">
      <c r="A73" s="497"/>
      <c r="B73" s="74"/>
      <c r="C73" s="74" t="str">
        <f>IF(ISERROR(VLOOKUP(B73,Données!$A$3:$L$1479,5,FALSE)),"",VLOOKUP(B73,Données!$A$3:$L$1479,5,FALSE))</f>
        <v/>
      </c>
      <c r="D73" s="347" t="str">
        <f>IF(ISERROR(VLOOKUP(B73,Données!$A$3:$X$1479,23,FALSE)),"",VLOOKUP(B73,Données!$A$3:$X$1479,23,FALSE))</f>
        <v/>
      </c>
      <c r="E73" s="74"/>
      <c r="F73" s="358">
        <f>IF(ISERROR(VLOOKUP(B73,Données!$A$3:$U$1479,11,FALSE)),0,VLOOKUP(B73,Données!$A$3:$U$1479,11,FALSE))</f>
        <v>0</v>
      </c>
      <c r="G73" s="74">
        <f t="shared" si="1"/>
        <v>0</v>
      </c>
      <c r="H73" s="363">
        <f>IF(ISERROR(VLOOKUP(B73,Données!$A$3:$U$1479,12,FALSE)),0,VLOOKUP(B73,Données!$A$3:$U$1479,12,FALSE))</f>
        <v>0</v>
      </c>
      <c r="I73" s="74">
        <f>IF(((E73+5)-'Calcul Masse Salariale'!$B$1)&lt;=0,0,(E73+5)-'Calcul Masse Salariale'!$B$1)</f>
        <v>0</v>
      </c>
    </row>
    <row r="74" spans="1:10" x14ac:dyDescent="0.25">
      <c r="F74" s="358">
        <f>IF(ISERROR(VLOOKUP(B74,Données!$A$3:$U$1479,11,FALSE)),0,VLOOKUP(B74,Données!$A$3:$U$1479,11,FALSE))</f>
        <v>0</v>
      </c>
      <c r="G74" s="401">
        <f>IF(ISERROR(VLOOKUP(#REF!,Données!$A$3:$U$1479,20,FALSE)),0,VLOOKUP(#REF!,Données!$A$3:$U$1479,20,FALSE))</f>
        <v>0</v>
      </c>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10">
      <iconSet iconSet="3Symbols" showValue="0" reverse="1">
        <cfvo type="percent" val="0"/>
        <cfvo type="num" val="0.5" gte="0"/>
        <cfvo type="num" val="1"/>
      </iconSet>
    </cfRule>
  </conditionalFormatting>
  <conditionalFormatting sqref="H3:H30">
    <cfRule type="expression" dxfId="21" priority="7">
      <formula>(F3&lt;&gt;H3)</formula>
    </cfRule>
  </conditionalFormatting>
  <conditionalFormatting sqref="G39:G52">
    <cfRule type="iconSet" priority="5">
      <iconSet iconSet="3Flags" showValue="0">
        <cfvo type="percent" val="0"/>
        <cfvo type="num" val="1"/>
        <cfvo type="num" val="2"/>
      </iconSet>
    </cfRule>
  </conditionalFormatting>
  <conditionalFormatting sqref="G53:G73">
    <cfRule type="iconSet" priority="4">
      <iconSet iconSet="3Flags" showValue="0">
        <cfvo type="percent" val="0"/>
        <cfvo type="num" val="1"/>
        <cfvo type="num" val="2"/>
      </iconSet>
    </cfRule>
  </conditionalFormatting>
  <conditionalFormatting sqref="G35">
    <cfRule type="iconSet" priority="3">
      <iconSet iconSet="3Symbols" showValue="0" reverse="1">
        <cfvo type="percent" val="0"/>
        <cfvo type="num" val="0.5" gte="0"/>
        <cfvo type="num" val="1"/>
      </iconSet>
    </cfRule>
  </conditionalFormatting>
  <conditionalFormatting sqref="H39:H73">
    <cfRule type="expression" dxfId="20" priority="1">
      <formula>(F39&lt;&gt;H39)</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9" id="{62C9E1A6-865D-477D-96B8-63D91E6CFA00}">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B1791CB9-0BE6-407B-B9BE-8AC1AC447943}">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T74"/>
  <sheetViews>
    <sheetView zoomScale="85" zoomScaleNormal="85" workbookViewId="0">
      <selection activeCell="C58" sqref="C58"/>
    </sheetView>
  </sheetViews>
  <sheetFormatPr baseColWidth="10" defaultColWidth="11.42578125" defaultRowHeight="15" x14ac:dyDescent="0.25"/>
  <cols>
    <col min="1" max="1" width="12.42578125" style="92" customWidth="1"/>
    <col min="2" max="2" width="24.7109375" style="92" customWidth="1"/>
    <col min="3" max="3" width="7.140625" style="107" bestFit="1" customWidth="1"/>
    <col min="4" max="4" width="4" style="107" bestFit="1" customWidth="1"/>
    <col min="5" max="5" width="13.140625" style="92" bestFit="1" customWidth="1"/>
    <col min="6" max="6" width="24.140625" style="92" bestFit="1" customWidth="1"/>
    <col min="7" max="7" width="15.42578125" style="118" bestFit="1" customWidth="1"/>
    <col min="8" max="8" width="23.7109375" style="92" bestFit="1" customWidth="1"/>
    <col min="9" max="9" width="11.28515625" style="92" customWidth="1"/>
    <col min="10" max="10" width="2" style="92" customWidth="1"/>
    <col min="11" max="11" width="15.28515625" style="92" customWidth="1"/>
    <col min="12" max="12" width="25.140625" style="92" customWidth="1"/>
    <col min="13" max="13" width="2" style="91" customWidth="1"/>
    <col min="14" max="14" width="11.42578125" style="92"/>
    <col min="15" max="15" width="20.5703125" style="92" customWidth="1"/>
    <col min="16" max="16" width="23.5703125" style="92" customWidth="1"/>
    <col min="17" max="17" width="14.85546875" style="92" customWidth="1"/>
    <col min="18" max="16384" width="11.42578125" style="92"/>
  </cols>
  <sheetData>
    <row r="1" spans="1:20" ht="21.75" thickBot="1" x14ac:dyDescent="0.4">
      <c r="A1" s="580" t="s">
        <v>41</v>
      </c>
      <c r="B1" s="580"/>
      <c r="C1" s="580"/>
      <c r="D1" s="343"/>
      <c r="E1" s="89" t="s">
        <v>187</v>
      </c>
      <c r="F1" s="303">
        <f>SUM(F3:F30)</f>
        <v>0</v>
      </c>
      <c r="G1" s="89" t="s">
        <v>188</v>
      </c>
      <c r="H1" s="303">
        <f>F32</f>
        <v>102000000</v>
      </c>
      <c r="I1" s="90"/>
      <c r="J1" s="91"/>
      <c r="K1" s="93" t="s">
        <v>59</v>
      </c>
      <c r="L1" s="93"/>
      <c r="N1" s="91"/>
      <c r="O1" s="585" t="s">
        <v>45</v>
      </c>
      <c r="P1" s="585"/>
      <c r="Q1" s="585"/>
      <c r="R1" s="585"/>
      <c r="S1" s="117"/>
    </row>
    <row r="2" spans="1:20" ht="30" x14ac:dyDescent="0.25">
      <c r="A2" s="572" t="s">
        <v>38</v>
      </c>
      <c r="B2" s="94" t="s">
        <v>36</v>
      </c>
      <c r="C2" s="94" t="s">
        <v>52</v>
      </c>
      <c r="D2" s="94" t="s">
        <v>403</v>
      </c>
      <c r="E2" s="94" t="s">
        <v>5</v>
      </c>
      <c r="F2" s="95" t="s">
        <v>1155</v>
      </c>
      <c r="G2" s="96" t="s">
        <v>189</v>
      </c>
      <c r="H2" s="97" t="s">
        <v>2676</v>
      </c>
      <c r="I2" s="98" t="s">
        <v>2403</v>
      </c>
      <c r="J2" s="91"/>
      <c r="K2" s="100"/>
      <c r="L2" s="100"/>
      <c r="N2" s="101" t="s">
        <v>112</v>
      </c>
      <c r="O2" s="376" t="s">
        <v>108</v>
      </c>
      <c r="P2" s="384" t="s">
        <v>109</v>
      </c>
      <c r="Q2" s="99" t="s">
        <v>46</v>
      </c>
      <c r="R2" s="99" t="s">
        <v>55</v>
      </c>
    </row>
    <row r="3" spans="1:20" ht="15.75" x14ac:dyDescent="0.25">
      <c r="A3" s="572"/>
      <c r="B3" s="102" t="s">
        <v>278</v>
      </c>
      <c r="C3" s="103" t="str">
        <f>IF(ISERROR(VLOOKUP(B3,Données!$A$3:$L$1479,5,FALSE)),"",VLOOKUP(B3,Données!$A$3:$L$1479,5,FALSE))</f>
        <v/>
      </c>
      <c r="D3" s="347" t="str">
        <f>IF(ISERROR(VLOOKUP(B3,Données!$A$3:$X$1479,23,FALSE)),"",VLOOKUP(B3,Données!$A$3:$X$1479,23,FALSE))</f>
        <v/>
      </c>
      <c r="E3" s="103" t="str">
        <f>IF(ISERROR(VLOOKUP(B3,Données!$A$3:$L$1479,7,FALSE)),"",VLOOKUP(B3,Données!$A$3:$L$1479,7,FALSE))</f>
        <v/>
      </c>
      <c r="F3" s="104">
        <f>IF(ISERROR(VLOOKUP(B3,Données!$A$3:$U$1479,11,FALSE)),0,VLOOKUP(B3,Données!$A$3:$U$1479,11,FALSE))</f>
        <v>0</v>
      </c>
      <c r="G3" s="105">
        <f>VALUE(COUNTIF(Validation!$A$2:$H$64,B3))-1</f>
        <v>0</v>
      </c>
      <c r="H3" s="363">
        <f>IF(ISERROR(VLOOKUP(B3,Données!$A$3:$U$1479,12,FALSE)),0,VLOOKUP(B3,Données!$A$3:$U$1479,12,FALSE))</f>
        <v>0</v>
      </c>
      <c r="I3" s="106">
        <f>IF(ISERROR(VLOOKUP(B3,Données!$A$3:$U$1479,20,FALSE)),0,VLOOKUP(B3,Données!$A$3:$U$1479,20,FALSE))</f>
        <v>0</v>
      </c>
      <c r="J3" s="91"/>
      <c r="K3" s="41"/>
      <c r="L3" s="41"/>
      <c r="Q3" s="464"/>
      <c r="R3" s="464" t="str">
        <f>IF(Q3="","",Q3+7)</f>
        <v/>
      </c>
    </row>
    <row r="4" spans="1:20" ht="15.75" x14ac:dyDescent="0.25">
      <c r="A4" s="572"/>
      <c r="B4" s="108" t="s">
        <v>279</v>
      </c>
      <c r="C4" s="103" t="str">
        <f>IF(ISERROR(VLOOKUP(B4,Données!$A$3:$L$1479,5,FALSE)),"",VLOOKUP(B4,Données!$A$3:$L$1479,5,FALSE))</f>
        <v/>
      </c>
      <c r="D4" s="347" t="str">
        <f>IF(ISERROR(VLOOKUP(B4,Données!$A$3:$X$1479,23,FALSE)),"",VLOOKUP(B4,Données!$A$3:$X$1479,23,FALSE))</f>
        <v/>
      </c>
      <c r="E4" s="103" t="str">
        <f>IF(ISERROR(VLOOKUP(B4,Données!$A$3:$L$1479,7,FALSE)),"",VLOOKUP(B4,Données!$A$3:$L$1479,7,FALSE))</f>
        <v/>
      </c>
      <c r="F4" s="104">
        <f>IF(ISERROR(VLOOKUP(B4,Données!$A$3:$U$1479,11,FALSE)),0,VLOOKUP(B4,Données!$A$3:$U$1479,11,FALSE))</f>
        <v>0</v>
      </c>
      <c r="G4" s="105">
        <f>VALUE(COUNTIF(Validation!$A$2:$H$64,B4))-1</f>
        <v>0</v>
      </c>
      <c r="H4" s="363">
        <f>IF(ISERROR(VLOOKUP(B4,Données!$A$3:$U$1479,12,FALSE)),0,VLOOKUP(B4,Données!$A$3:$U$1479,12,FALSE))</f>
        <v>0</v>
      </c>
      <c r="I4" s="106">
        <f>IF(ISERROR(VLOOKUP(B4,Données!$A$3:$U$1479,20,FALSE)),0,VLOOKUP(B4,Données!$A$3:$U$1479,20,FALSE))</f>
        <v>0</v>
      </c>
      <c r="J4" s="91"/>
      <c r="O4" s="41"/>
      <c r="P4" s="41"/>
      <c r="Q4" s="464"/>
      <c r="R4" s="464" t="str">
        <f t="shared" ref="R4:R30" si="0">IF(Q4="","",Q4+7)</f>
        <v/>
      </c>
    </row>
    <row r="5" spans="1:20" ht="15.75" x14ac:dyDescent="0.25">
      <c r="A5" s="572"/>
      <c r="B5" s="108" t="s">
        <v>280</v>
      </c>
      <c r="C5" s="103" t="str">
        <f>IF(ISERROR(VLOOKUP(B5,Données!$A$3:$L$1479,5,FALSE)),"",VLOOKUP(B5,Données!$A$3:$L$1479,5,FALSE))</f>
        <v/>
      </c>
      <c r="D5" s="347" t="str">
        <f>IF(ISERROR(VLOOKUP(B5,Données!$A$3:$X$1479,23,FALSE)),"",VLOOKUP(B5,Données!$A$3:$X$1479,23,FALSE))</f>
        <v/>
      </c>
      <c r="E5" s="103" t="str">
        <f>IF(ISERROR(VLOOKUP(B5,Données!$A$3:$L$1479,7,FALSE)),"",VLOOKUP(B5,Données!$A$3:$L$1479,7,FALSE))</f>
        <v/>
      </c>
      <c r="F5" s="104">
        <f>IF(ISERROR(VLOOKUP(B5,Données!$A$3:$U$1479,11,FALSE)),0,VLOOKUP(B5,Données!$A$3:$U$1479,11,FALSE))</f>
        <v>0</v>
      </c>
      <c r="G5" s="105">
        <f>VALUE(COUNTIF(Validation!$A$2:$H$64,B5))-1</f>
        <v>0</v>
      </c>
      <c r="H5" s="363">
        <f>IF(ISERROR(VLOOKUP(B5,Données!$A$3:$U$1479,12,FALSE)),0,VLOOKUP(B5,Données!$A$3:$U$1479,12,FALSE))</f>
        <v>0</v>
      </c>
      <c r="I5" s="106">
        <f>IF(ISERROR(VLOOKUP(B5,Données!$A$3:$U$1479,20,FALSE)),0,VLOOKUP(B5,Données!$A$3:$U$1479,20,FALSE))</f>
        <v>0</v>
      </c>
      <c r="J5" s="91"/>
      <c r="N5" s="41"/>
      <c r="O5" s="41"/>
      <c r="P5" s="41"/>
      <c r="R5" s="464" t="str">
        <f t="shared" si="0"/>
        <v/>
      </c>
    </row>
    <row r="6" spans="1:20" ht="15.75" x14ac:dyDescent="0.25">
      <c r="A6" s="572"/>
      <c r="B6" s="209" t="s">
        <v>228</v>
      </c>
      <c r="C6" s="103" t="str">
        <f>IF(ISERROR(VLOOKUP(B6,Données!$A$3:$L$1479,5,FALSE)),"",VLOOKUP(B6,Données!$A$3:$L$1479,5,FALSE))</f>
        <v/>
      </c>
      <c r="D6" s="347" t="str">
        <f>IF(ISERROR(VLOOKUP(B6,Données!$A$3:$X$1479,23,FALSE)),"",VLOOKUP(B6,Données!$A$3:$X$1479,23,FALSE))</f>
        <v/>
      </c>
      <c r="E6" s="103" t="str">
        <f>IF(ISERROR(VLOOKUP(B6,Données!$A$3:$L$1479,7,FALSE)),"",VLOOKUP(B6,Données!$A$3:$L$1479,7,FALSE))</f>
        <v/>
      </c>
      <c r="F6" s="104">
        <f>IF(ISERROR(VLOOKUP(B6,Données!$A$3:$U$1479,11,FALSE)),0,VLOOKUP(B6,Données!$A$3:$U$1479,11,FALSE))</f>
        <v>0</v>
      </c>
      <c r="G6" s="105">
        <f>VALUE(COUNTIF(Validation!$A$2:$H$64,B6))-1</f>
        <v>0</v>
      </c>
      <c r="H6" s="363">
        <f>IF(ISERROR(VLOOKUP(B6,Données!$A$3:$U$1479,12,FALSE)),0,VLOOKUP(B6,Données!$A$3:$U$1479,12,FALSE))</f>
        <v>0</v>
      </c>
      <c r="I6" s="106">
        <f>IF(ISERROR(VLOOKUP(B6,Données!$A$3:$U$1479,20,FALSE)),0,VLOOKUP(B6,Données!$A$3:$U$1479,20,FALSE))</f>
        <v>0</v>
      </c>
      <c r="J6" s="91"/>
      <c r="P6" s="41"/>
      <c r="Q6" s="464"/>
      <c r="R6" s="464" t="str">
        <f t="shared" si="0"/>
        <v/>
      </c>
    </row>
    <row r="7" spans="1:20" ht="15.75" x14ac:dyDescent="0.25">
      <c r="A7" s="572"/>
      <c r="B7" s="209" t="s">
        <v>748</v>
      </c>
      <c r="C7" s="103" t="str">
        <f>IF(ISERROR(VLOOKUP(B7,Données!$A$3:$L$1479,5,FALSE)),"",VLOOKUP(B7,Données!$A$3:$L$1479,5,FALSE))</f>
        <v/>
      </c>
      <c r="D7" s="347" t="str">
        <f>IF(ISERROR(VLOOKUP(B7,Données!$A$3:$X$1479,23,FALSE)),"",VLOOKUP(B7,Données!$A$3:$X$1479,23,FALSE))</f>
        <v/>
      </c>
      <c r="E7" s="103" t="str">
        <f>IF(ISERROR(VLOOKUP(B7,Données!$A$3:$L$1479,7,FALSE)),"",VLOOKUP(B7,Données!$A$3:$L$1479,7,FALSE))</f>
        <v/>
      </c>
      <c r="F7" s="104">
        <f>IF(ISERROR(VLOOKUP(B7,Données!$A$3:$U$1479,11,FALSE)),0,VLOOKUP(B7,Données!$A$3:$U$1479,11,FALSE))</f>
        <v>0</v>
      </c>
      <c r="G7" s="105">
        <f>VALUE(COUNTIF(Validation!$A$2:$H$64,B7))-1</f>
        <v>0</v>
      </c>
      <c r="H7" s="363">
        <f>IF(ISERROR(VLOOKUP(B7,Données!$A$3:$U$1479,12,FALSE)),0,VLOOKUP(B7,Données!$A$3:$U$1479,12,FALSE))</f>
        <v>0</v>
      </c>
      <c r="I7" s="106">
        <f>IF(ISERROR(VLOOKUP(B7,Données!$A$3:$U$1479,20,FALSE)),0,VLOOKUP(B7,Données!$A$3:$U$1479,20,FALSE))</f>
        <v>0</v>
      </c>
      <c r="J7" s="91"/>
      <c r="N7" s="392"/>
      <c r="P7" s="41"/>
      <c r="Q7" s="392"/>
      <c r="R7" s="464" t="str">
        <f t="shared" si="0"/>
        <v/>
      </c>
      <c r="S7" s="392"/>
      <c r="T7" s="392"/>
    </row>
    <row r="8" spans="1:20" ht="15.75" x14ac:dyDescent="0.25">
      <c r="A8" s="572"/>
      <c r="B8" s="209" t="s">
        <v>376</v>
      </c>
      <c r="C8" s="103" t="str">
        <f>IF(ISERROR(VLOOKUP(B8,Données!$A$3:$L$1479,5,FALSE)),"",VLOOKUP(B8,Données!$A$3:$L$1479,5,FALSE))</f>
        <v/>
      </c>
      <c r="D8" s="347" t="str">
        <f>IF(ISERROR(VLOOKUP(B8,Données!$A$3:$X$1479,23,FALSE)),"",VLOOKUP(B8,Données!$A$3:$X$1479,23,FALSE))</f>
        <v/>
      </c>
      <c r="E8" s="103" t="str">
        <f>IF(ISERROR(VLOOKUP(B8,Données!$A$3:$L$1479,7,FALSE)),"",VLOOKUP(B8,Données!$A$3:$L$1479,7,FALSE))</f>
        <v/>
      </c>
      <c r="F8" s="104">
        <f>IF(ISERROR(VLOOKUP(B8,Données!$A$3:$U$1479,11,FALSE)),0,VLOOKUP(B8,Données!$A$3:$U$1479,11,FALSE))</f>
        <v>0</v>
      </c>
      <c r="G8" s="105">
        <f>VALUE(COUNTIF(Validation!$A$2:$H$64,B8))-1</f>
        <v>0</v>
      </c>
      <c r="H8" s="363">
        <f>IF(ISERROR(VLOOKUP(B8,Données!$A$3:$U$1479,12,FALSE)),0,VLOOKUP(B8,Données!$A$3:$U$1479,12,FALSE))</f>
        <v>0</v>
      </c>
      <c r="I8" s="106">
        <f>IF(ISERROR(VLOOKUP(B8,Données!$A$3:$U$1479,20,FALSE)),0,VLOOKUP(B8,Données!$A$3:$U$1479,20,FALSE))</f>
        <v>0</v>
      </c>
      <c r="J8" s="91"/>
      <c r="O8" s="41"/>
      <c r="P8" s="41"/>
      <c r="Q8" s="464"/>
      <c r="R8" s="464" t="str">
        <f t="shared" si="0"/>
        <v/>
      </c>
    </row>
    <row r="9" spans="1:20" ht="15.75" x14ac:dyDescent="0.25">
      <c r="A9" s="572"/>
      <c r="B9" s="102" t="s">
        <v>284</v>
      </c>
      <c r="C9" s="103" t="str">
        <f>IF(ISERROR(VLOOKUP(B9,Données!$A$3:$L$1479,5,FALSE)),"",VLOOKUP(B9,Données!$A$3:$L$1479,5,FALSE))</f>
        <v/>
      </c>
      <c r="D9" s="347" t="str">
        <f>IF(ISERROR(VLOOKUP(B9,Données!$A$3:$X$1479,23,FALSE)),"",VLOOKUP(B9,Données!$A$3:$X$1479,23,FALSE))</f>
        <v/>
      </c>
      <c r="E9" s="103" t="str">
        <f>IF(ISERROR(VLOOKUP(B9,Données!$A$3:$L$1479,7,FALSE)),"",VLOOKUP(B9,Données!$A$3:$L$1479,7,FALSE))</f>
        <v/>
      </c>
      <c r="F9" s="104">
        <f>IF(ISERROR(VLOOKUP(B9,Données!$A$3:$U$1479,11,FALSE)),0,VLOOKUP(B9,Données!$A$3:$U$1479,11,FALSE))</f>
        <v>0</v>
      </c>
      <c r="G9" s="105">
        <f>VALUE(COUNTIF(Validation!$A$2:$H$64,B9))-1</f>
        <v>0</v>
      </c>
      <c r="H9" s="363">
        <f>IF(ISERROR(VLOOKUP(B9,Données!$A$3:$U$1479,12,FALSE)),0,VLOOKUP(B9,Données!$A$3:$U$1479,12,FALSE))</f>
        <v>0</v>
      </c>
      <c r="I9" s="106">
        <f>IF(ISERROR(VLOOKUP(B9,Données!$A$3:$U$1479,20,FALSE)),0,VLOOKUP(B9,Données!$A$3:$U$1479,20,FALSE))</f>
        <v>0</v>
      </c>
      <c r="J9" s="91"/>
      <c r="K9" s="574" t="s">
        <v>60</v>
      </c>
      <c r="L9" s="574"/>
      <c r="O9" s="41"/>
      <c r="P9" s="41"/>
      <c r="Q9" s="464"/>
      <c r="R9" s="464" t="str">
        <f t="shared" si="0"/>
        <v/>
      </c>
    </row>
    <row r="10" spans="1:20" ht="15.75" x14ac:dyDescent="0.25">
      <c r="A10" s="572"/>
      <c r="B10" s="209" t="s">
        <v>285</v>
      </c>
      <c r="C10" s="103" t="str">
        <f>IF(ISERROR(VLOOKUP(B10,Données!$A$3:$L$1479,5,FALSE)),"",VLOOKUP(B10,Données!$A$3:$L$1479,5,FALSE))</f>
        <v/>
      </c>
      <c r="D10" s="347" t="str">
        <f>IF(ISERROR(VLOOKUP(B10,Données!$A$3:$X$1479,23,FALSE)),"",VLOOKUP(B10,Données!$A$3:$X$1479,23,FALSE))</f>
        <v/>
      </c>
      <c r="E10" s="103" t="str">
        <f>IF(ISERROR(VLOOKUP(B10,Données!$A$3:$L$1479,7,FALSE)),"",VLOOKUP(B10,Données!$A$3:$L$1479,7,FALSE))</f>
        <v/>
      </c>
      <c r="F10" s="104">
        <f>IF(ISERROR(VLOOKUP(B10,Données!$A$3:$U$1479,11,FALSE)),0,VLOOKUP(B10,Données!$A$3:$U$1479,11,FALSE))</f>
        <v>0</v>
      </c>
      <c r="G10" s="105">
        <f>VALUE(COUNTIF(Validation!$A$2:$H$64,B10))-1</f>
        <v>0</v>
      </c>
      <c r="H10" s="363">
        <f>IF(ISERROR(VLOOKUP(B10,Données!$A$3:$U$1479,12,FALSE)),0,VLOOKUP(B10,Données!$A$3:$U$1479,12,FALSE))</f>
        <v>0</v>
      </c>
      <c r="I10" s="106">
        <f>IF(ISERROR(VLOOKUP(B10,Données!$A$3:$U$1479,20,FALSE)),0,VLOOKUP(B10,Données!$A$3:$U$1479,20,FALSE))</f>
        <v>0</v>
      </c>
      <c r="J10" s="91"/>
      <c r="K10" s="99" t="s">
        <v>62</v>
      </c>
      <c r="L10" s="99" t="s">
        <v>61</v>
      </c>
      <c r="N10" s="41"/>
      <c r="O10" s="41"/>
      <c r="P10" s="41"/>
      <c r="R10" s="464" t="str">
        <f t="shared" si="0"/>
        <v/>
      </c>
    </row>
    <row r="11" spans="1:20" ht="15.75" x14ac:dyDescent="0.25">
      <c r="A11" s="572"/>
      <c r="B11" s="209" t="s">
        <v>307</v>
      </c>
      <c r="C11" s="103" t="str">
        <f>IF(ISERROR(VLOOKUP(B11,Données!$A$3:$L$1479,5,FALSE)),"",VLOOKUP(B11,Données!$A$3:$L$1479,5,FALSE))</f>
        <v/>
      </c>
      <c r="D11" s="347" t="str">
        <f>IF(ISERROR(VLOOKUP(B11,Données!$A$3:$X$1479,23,FALSE)),"",VLOOKUP(B11,Données!$A$3:$X$1479,23,FALSE))</f>
        <v/>
      </c>
      <c r="E11" s="103" t="str">
        <f>IF(ISERROR(VLOOKUP(B11,Données!$A$3:$L$1479,7,FALSE)),"",VLOOKUP(B11,Données!$A$3:$L$1479,7,FALSE))</f>
        <v/>
      </c>
      <c r="F11" s="104">
        <f>IF(ISERROR(VLOOKUP(B11,Données!$A$3:$U$1479,11,FALSE)),0,VLOOKUP(B11,Données!$A$3:$U$1479,11,FALSE))</f>
        <v>0</v>
      </c>
      <c r="G11" s="105">
        <f>VALUE(COUNTIF(Validation!$A$2:$H$64,B11))-1</f>
        <v>0</v>
      </c>
      <c r="H11" s="363">
        <f>IF(ISERROR(VLOOKUP(B11,Données!$A$3:$U$1479,12,FALSE)),0,VLOOKUP(B11,Données!$A$3:$U$1479,12,FALSE))</f>
        <v>0</v>
      </c>
      <c r="I11" s="106">
        <f>IF(ISERROR(VLOOKUP(B11,Données!$A$3:$U$1479,20,FALSE)),0,VLOOKUP(B11,Données!$A$3:$U$1479,20,FALSE))</f>
        <v>0</v>
      </c>
      <c r="J11" s="91"/>
      <c r="K11" s="92" t="s">
        <v>191</v>
      </c>
      <c r="L11" s="92" t="s">
        <v>1341</v>
      </c>
      <c r="P11" s="41"/>
      <c r="Q11" s="464"/>
      <c r="R11" s="464" t="str">
        <f t="shared" si="0"/>
        <v/>
      </c>
    </row>
    <row r="12" spans="1:20" ht="15.75" x14ac:dyDescent="0.25">
      <c r="A12" s="572"/>
      <c r="B12" s="102" t="s">
        <v>287</v>
      </c>
      <c r="C12" s="103" t="str">
        <f>IF(ISERROR(VLOOKUP(B12,Données!$A$3:$L$1479,5,FALSE)),"",VLOOKUP(B12,Données!$A$3:$L$1479,5,FALSE))</f>
        <v/>
      </c>
      <c r="D12" s="347" t="str">
        <f>IF(ISERROR(VLOOKUP(B12,Données!$A$3:$X$1479,23,FALSE)),"",VLOOKUP(B12,Données!$A$3:$X$1479,23,FALSE))</f>
        <v/>
      </c>
      <c r="E12" s="103" t="str">
        <f>IF(ISERROR(VLOOKUP(B12,Données!$A$3:$L$1479,7,FALSE)),"",VLOOKUP(B12,Données!$A$3:$L$1479,7,FALSE))</f>
        <v/>
      </c>
      <c r="F12" s="104">
        <f>IF(ISERROR(VLOOKUP(B12,Données!$A$3:$U$1479,11,FALSE)),0,VLOOKUP(B12,Données!$A$3:$U$1479,11,FALSE))</f>
        <v>0</v>
      </c>
      <c r="G12" s="105">
        <f>VALUE(COUNTIF(Validation!$A$2:$H$64,B12))-1</f>
        <v>0</v>
      </c>
      <c r="H12" s="363">
        <f>IF(ISERROR(VLOOKUP(B12,Données!$A$3:$U$1479,12,FALSE)),0,VLOOKUP(B12,Données!$A$3:$U$1479,12,FALSE))</f>
        <v>0</v>
      </c>
      <c r="I12" s="106">
        <f>IF(ISERROR(VLOOKUP(B12,Données!$A$3:$U$1479,20,FALSE)),0,VLOOKUP(B12,Données!$A$3:$U$1479,20,FALSE))</f>
        <v>0</v>
      </c>
      <c r="J12" s="91"/>
      <c r="K12" s="41" t="s">
        <v>192</v>
      </c>
      <c r="L12" s="92" t="s">
        <v>1341</v>
      </c>
      <c r="N12" s="41"/>
      <c r="O12" s="41"/>
      <c r="P12" s="41"/>
      <c r="R12" s="464" t="str">
        <f t="shared" si="0"/>
        <v/>
      </c>
    </row>
    <row r="13" spans="1:20" ht="15.75" x14ac:dyDescent="0.25">
      <c r="A13" s="572"/>
      <c r="B13" s="209" t="s">
        <v>298</v>
      </c>
      <c r="C13" s="103" t="str">
        <f>IF(ISERROR(VLOOKUP(B13,Données!$A$3:$L$1479,5,FALSE)),"",VLOOKUP(B13,Données!$A$3:$L$1479,5,FALSE))</f>
        <v/>
      </c>
      <c r="D13" s="347" t="str">
        <f>IF(ISERROR(VLOOKUP(B13,Données!$A$3:$X$1479,23,FALSE)),"",VLOOKUP(B13,Données!$A$3:$X$1479,23,FALSE))</f>
        <v/>
      </c>
      <c r="E13" s="103" t="str">
        <f>IF(ISERROR(VLOOKUP(B13,Données!$A$3:$L$1479,7,FALSE)),"",VLOOKUP(B13,Données!$A$3:$L$1479,7,FALSE))</f>
        <v/>
      </c>
      <c r="F13" s="104">
        <f>IF(ISERROR(VLOOKUP(B13,Données!$A$3:$U$1479,11,FALSE)),0,VLOOKUP(B13,Données!$A$3:$U$1479,11,FALSE))</f>
        <v>0</v>
      </c>
      <c r="G13" s="105">
        <f>VALUE(COUNTIF(Validation!$A$2:$H$64,B13))-1</f>
        <v>0</v>
      </c>
      <c r="H13" s="363">
        <f>IF(ISERROR(VLOOKUP(B13,Données!$A$3:$U$1479,12,FALSE)),0,VLOOKUP(B13,Données!$A$3:$U$1479,12,FALSE))</f>
        <v>0</v>
      </c>
      <c r="I13" s="106">
        <f>IF(ISERROR(VLOOKUP(B13,Données!$A$3:$U$1479,20,FALSE)),0,VLOOKUP(B13,Données!$A$3:$U$1479,20,FALSE))</f>
        <v>0</v>
      </c>
      <c r="J13" s="91"/>
      <c r="O13" s="41"/>
      <c r="P13" s="41"/>
      <c r="R13" s="464" t="str">
        <f t="shared" si="0"/>
        <v/>
      </c>
    </row>
    <row r="14" spans="1:20" ht="15.75" x14ac:dyDescent="0.25">
      <c r="A14" s="573"/>
      <c r="B14" s="278" t="s">
        <v>680</v>
      </c>
      <c r="C14" s="110" t="str">
        <f>IF(ISERROR(VLOOKUP(B14,Données!$A$3:$L$1479,5,FALSE)),"",VLOOKUP(B14,Données!$A$3:$L$1479,5,FALSE))</f>
        <v/>
      </c>
      <c r="D14" s="349" t="str">
        <f>IF(ISERROR(VLOOKUP(B14,Données!$A$3:$X$1479,23,FALSE)),"",VLOOKUP(B14,Données!$A$3:$X$1479,23,FALSE))</f>
        <v/>
      </c>
      <c r="E14" s="110" t="str">
        <f>IF(ISERROR(VLOOKUP(B14,Données!$A$3:$L$1479,7,FALSE)),"",VLOOKUP(B14,Données!$A$3:$L$1479,7,FALSE))</f>
        <v/>
      </c>
      <c r="F14" s="111">
        <f>IF(ISERROR(VLOOKUP(B14,Données!$A$3:$U$1479,11,FALSE)),0,VLOOKUP(B14,Données!$A$3:$U$1479,11,FALSE))</f>
        <v>0</v>
      </c>
      <c r="G14" s="112">
        <f>VALUE(COUNTIF(Validation!$A$2:$H$64,B14))-1</f>
        <v>0</v>
      </c>
      <c r="H14" s="364">
        <f>IF(ISERROR(VLOOKUP(B14,Données!$A$3:$U$1479,12,FALSE)),0,VLOOKUP(B14,Données!$A$3:$U$1479,12,FALSE))</f>
        <v>0</v>
      </c>
      <c r="I14" s="113">
        <f>IF(ISERROR(VLOOKUP(B14,Données!$A$3:$U$1479,20,FALSE)),0,VLOOKUP(B14,Données!$A$3:$U$1479,20,FALSE))</f>
        <v>0</v>
      </c>
      <c r="J14" s="91"/>
      <c r="O14" s="41"/>
      <c r="P14" s="41"/>
      <c r="Q14" s="464"/>
      <c r="R14" s="464" t="str">
        <f t="shared" si="0"/>
        <v/>
      </c>
    </row>
    <row r="15" spans="1:20" ht="15.75" x14ac:dyDescent="0.25">
      <c r="A15" s="575" t="s">
        <v>39</v>
      </c>
      <c r="B15" s="276" t="s">
        <v>290</v>
      </c>
      <c r="C15" s="103" t="str">
        <f>IF(ISERROR(VLOOKUP(B15,Données!$A$3:$L$1479,5,FALSE)),"",VLOOKUP(B15,Données!$A$3:$L$1479,5,FALSE))</f>
        <v/>
      </c>
      <c r="D15" s="347" t="str">
        <f>IF(ISERROR(VLOOKUP(B15,Données!$A$3:$X$1479,23,FALSE)),"",VLOOKUP(B15,Données!$A$3:$X$1479,23,FALSE))</f>
        <v/>
      </c>
      <c r="E15" s="103" t="str">
        <f>IF(ISERROR(VLOOKUP(B15,Données!$A$3:$L$1479,7,FALSE)),"",VLOOKUP(B15,Données!$A$3:$L$1479,7,FALSE))</f>
        <v/>
      </c>
      <c r="F15" s="104">
        <f>IF(ISERROR(VLOOKUP(B15,Données!$A$3:$U$1479,11,FALSE)),0,VLOOKUP(B15,Données!$A$3:$U$1479,11,FALSE))</f>
        <v>0</v>
      </c>
      <c r="G15" s="105">
        <f>VALUE(COUNTIF(Validation!$A$2:$H$64,B15))-1</f>
        <v>0</v>
      </c>
      <c r="H15" s="363">
        <f>IF(ISERROR(VLOOKUP(B15,Données!$A$3:$U$1479,12,FALSE)),0,VLOOKUP(B15,Données!$A$3:$U$1479,12,FALSE))</f>
        <v>0</v>
      </c>
      <c r="I15" s="106">
        <f>IF(ISERROR(VLOOKUP(B15,Données!$A$3:$U$1479,20,FALSE)),0,VLOOKUP(B15,Données!$A$3:$U$1479,20,FALSE))</f>
        <v>0</v>
      </c>
      <c r="J15" s="91"/>
      <c r="N15" s="41"/>
      <c r="O15" s="41"/>
      <c r="P15" s="41"/>
      <c r="R15" s="464" t="str">
        <f t="shared" si="0"/>
        <v/>
      </c>
    </row>
    <row r="16" spans="1:20" ht="15.75" x14ac:dyDescent="0.25">
      <c r="A16" s="576"/>
      <c r="B16" s="209" t="s">
        <v>498</v>
      </c>
      <c r="C16" s="103" t="str">
        <f>IF(ISERROR(VLOOKUP(B16,Données!$A$3:$L$1479,5,FALSE)),"",VLOOKUP(B16,Données!$A$3:$L$1479,5,FALSE))</f>
        <v/>
      </c>
      <c r="D16" s="347" t="str">
        <f>IF(ISERROR(VLOOKUP(B16,Données!$A$3:$X$1479,23,FALSE)),"",VLOOKUP(B16,Données!$A$3:$X$1479,23,FALSE))</f>
        <v/>
      </c>
      <c r="E16" s="103" t="str">
        <f>IF(ISERROR(VLOOKUP(B16,Données!$A$3:$L$1479,7,FALSE)),"",VLOOKUP(B16,Données!$A$3:$L$1479,7,FALSE))</f>
        <v/>
      </c>
      <c r="F16" s="104">
        <f>IF(ISERROR(VLOOKUP(B16,Données!$A$3:$U$1479,11,FALSE)),0,VLOOKUP(B16,Données!$A$3:$U$1479,11,FALSE))</f>
        <v>0</v>
      </c>
      <c r="G16" s="105">
        <f>VALUE(COUNTIF(Validation!$A$2:$H$64,B16))-1</f>
        <v>0</v>
      </c>
      <c r="H16" s="363">
        <f>IF(ISERROR(VLOOKUP(B16,Données!$A$3:$U$1479,12,FALSE)),0,VLOOKUP(B16,Données!$A$3:$U$1479,12,FALSE))</f>
        <v>0</v>
      </c>
      <c r="I16" s="106">
        <f>IF(ISERROR(VLOOKUP(B16,Données!$A$3:$U$1479,20,FALSE)),0,VLOOKUP(B16,Données!$A$3:$U$1479,20,FALSE))</f>
        <v>0</v>
      </c>
      <c r="J16" s="91"/>
      <c r="O16" s="41"/>
      <c r="P16" s="41"/>
      <c r="R16" s="464" t="str">
        <f t="shared" si="0"/>
        <v/>
      </c>
    </row>
    <row r="17" spans="1:18" ht="15.75" x14ac:dyDescent="0.25">
      <c r="A17" s="576"/>
      <c r="B17" s="209" t="s">
        <v>441</v>
      </c>
      <c r="C17" s="103" t="str">
        <f>IF(ISERROR(VLOOKUP(B17,Données!$A$3:$L$1479,5,FALSE)),"",VLOOKUP(B17,Données!$A$3:$L$1479,5,FALSE))</f>
        <v/>
      </c>
      <c r="D17" s="347" t="str">
        <f>IF(ISERROR(VLOOKUP(B17,Données!$A$3:$X$1479,23,FALSE)),"",VLOOKUP(B17,Données!$A$3:$X$1479,23,FALSE))</f>
        <v/>
      </c>
      <c r="E17" s="103" t="str">
        <f>IF(ISERROR(VLOOKUP(B17,Données!$A$3:$L$1479,7,FALSE)),"",VLOOKUP(B17,Données!$A$3:$L$1479,7,FALSE))</f>
        <v/>
      </c>
      <c r="F17" s="104">
        <f>IF(ISERROR(VLOOKUP(B17,Données!$A$3:$U$1479,11,FALSE)),0,VLOOKUP(B17,Données!$A$3:$U$1479,11,FALSE))</f>
        <v>0</v>
      </c>
      <c r="G17" s="105">
        <f>VALUE(COUNTIF(Validation!$A$2:$H$64,B17))-1</f>
        <v>0</v>
      </c>
      <c r="H17" s="363">
        <f>IF(ISERROR(VLOOKUP(B17,Données!$A$3:$U$1479,12,FALSE)),0,VLOOKUP(B17,Données!$A$3:$U$1479,12,FALSE))</f>
        <v>0</v>
      </c>
      <c r="I17" s="106">
        <f>IF(ISERROR(VLOOKUP(B17,Données!$A$3:$U$1479,20,FALSE)),0,VLOOKUP(B17,Données!$A$3:$U$1479,20,FALSE))</f>
        <v>0</v>
      </c>
      <c r="J17" s="91"/>
      <c r="O17" s="41"/>
      <c r="P17" s="41"/>
      <c r="R17" s="464" t="str">
        <f t="shared" si="0"/>
        <v/>
      </c>
    </row>
    <row r="18" spans="1:18" ht="15.75" x14ac:dyDescent="0.25">
      <c r="A18" s="576"/>
      <c r="B18" s="209" t="s">
        <v>751</v>
      </c>
      <c r="C18" s="103" t="str">
        <f>IF(ISERROR(VLOOKUP(B18,Données!$A$3:$L$1479,5,FALSE)),"",VLOOKUP(B18,Données!$A$3:$L$1479,5,FALSE))</f>
        <v/>
      </c>
      <c r="D18" s="347" t="str">
        <f>IF(ISERROR(VLOOKUP(B18,Données!$A$3:$X$1479,23,FALSE)),"",VLOOKUP(B18,Données!$A$3:$X$1479,23,FALSE))</f>
        <v/>
      </c>
      <c r="E18" s="103" t="str">
        <f>IF(ISERROR(VLOOKUP(B18,Données!$A$3:$L$1479,7,FALSE)),"",VLOOKUP(B18,Données!$A$3:$L$1479,7,FALSE))</f>
        <v/>
      </c>
      <c r="F18" s="104">
        <f>IF(ISERROR(VLOOKUP(B18,Données!$A$3:$U$1479,11,FALSE)),0,VLOOKUP(B18,Données!$A$3:$U$1479,11,FALSE))</f>
        <v>0</v>
      </c>
      <c r="G18" s="105">
        <f>VALUE(COUNTIF(Validation!$A$2:$H$64,B18))-1</f>
        <v>0</v>
      </c>
      <c r="H18" s="363">
        <f>IF(ISERROR(VLOOKUP(B18,Données!$A$3:$U$1479,12,FALSE)),0,VLOOKUP(B18,Données!$A$3:$U$1479,12,FALSE))</f>
        <v>0</v>
      </c>
      <c r="I18" s="106">
        <f>IF(ISERROR(VLOOKUP(B18,Données!$A$3:$U$1479,20,FALSE)),0,VLOOKUP(B18,Données!$A$3:$U$1479,20,FALSE))</f>
        <v>0</v>
      </c>
      <c r="J18" s="114"/>
      <c r="O18" s="41"/>
      <c r="P18" s="41"/>
      <c r="R18" s="464" t="str">
        <f t="shared" si="0"/>
        <v/>
      </c>
    </row>
    <row r="19" spans="1:18" ht="15.75" x14ac:dyDescent="0.25">
      <c r="A19" s="576"/>
      <c r="B19" s="209" t="s">
        <v>937</v>
      </c>
      <c r="C19" s="103" t="str">
        <f>IF(ISERROR(VLOOKUP(B19,Données!$A$3:$L$1479,5,FALSE)),"",VLOOKUP(B19,Données!$A$3:$L$1479,5,FALSE))</f>
        <v/>
      </c>
      <c r="D19" s="347" t="str">
        <f>IF(ISERROR(VLOOKUP(B19,Données!$A$3:$X$1479,23,FALSE)),"",VLOOKUP(B19,Données!$A$3:$X$1479,23,FALSE))</f>
        <v/>
      </c>
      <c r="E19" s="103" t="str">
        <f>IF(ISERROR(VLOOKUP(B19,Données!$A$3:$L$1479,7,FALSE)),"",VLOOKUP(B19,Données!$A$3:$L$1479,7,FALSE))</f>
        <v/>
      </c>
      <c r="F19" s="104">
        <f>IF(ISERROR(VLOOKUP(B19,Données!$A$3:$U$1479,11,FALSE)),0,VLOOKUP(B19,Données!$A$3:$U$1479,11,FALSE))</f>
        <v>0</v>
      </c>
      <c r="G19" s="105">
        <f>VALUE(COUNTIF(Validation!$A$2:$H$64,B19))-1</f>
        <v>0</v>
      </c>
      <c r="H19" s="363">
        <f>IF(ISERROR(VLOOKUP(B19,Données!$A$3:$U$1479,12,FALSE)),0,VLOOKUP(B19,Données!$A$3:$U$1479,12,FALSE))</f>
        <v>0</v>
      </c>
      <c r="I19" s="106">
        <f>IF(ISERROR(VLOOKUP(B19,Données!$A$3:$U$1479,20,FALSE)),0,VLOOKUP(B19,Données!$A$3:$U$1479,20,FALSE))</f>
        <v>0</v>
      </c>
      <c r="J19" s="114"/>
      <c r="O19" s="41"/>
      <c r="P19" s="41"/>
      <c r="Q19" s="464"/>
      <c r="R19" s="464" t="str">
        <f t="shared" si="0"/>
        <v/>
      </c>
    </row>
    <row r="20" spans="1:18" ht="15.75" x14ac:dyDescent="0.25">
      <c r="A20" s="577"/>
      <c r="B20" s="277" t="s">
        <v>664</v>
      </c>
      <c r="C20" s="110" t="str">
        <f>IF(ISERROR(VLOOKUP(B20,Données!$A$3:$L$1479,5,FALSE)),"",VLOOKUP(B20,Données!$A$3:$L$1479,5,FALSE))</f>
        <v/>
      </c>
      <c r="D20" s="349" t="str">
        <f>IF(ISERROR(VLOOKUP(B20,Données!$A$3:$X$1479,23,FALSE)),"",VLOOKUP(B20,Données!$A$3:$X$1479,23,FALSE))</f>
        <v/>
      </c>
      <c r="E20" s="110" t="str">
        <f>IF(ISERROR(VLOOKUP(B20,Données!$A$3:$L$1479,7,FALSE)),"",VLOOKUP(B20,Données!$A$3:$L$1479,7,FALSE))</f>
        <v/>
      </c>
      <c r="F20" s="111">
        <f>IF(ISERROR(VLOOKUP(B20,Données!$A$3:$U$1479,11,FALSE)),0,VLOOKUP(B20,Données!$A$3:$U$1479,11,FALSE))</f>
        <v>0</v>
      </c>
      <c r="G20" s="112">
        <f>VALUE(COUNTIF(Validation!$A$2:$H$64,B20))-1</f>
        <v>0</v>
      </c>
      <c r="H20" s="364">
        <f>IF(ISERROR(VLOOKUP(B20,Données!$A$3:$U$1479,12,FALSE)),0,VLOOKUP(B20,Données!$A$3:$U$1479,12,FALSE))</f>
        <v>0</v>
      </c>
      <c r="I20" s="113">
        <f>IF(ISERROR(VLOOKUP(B20,Données!$A$3:$U$1479,20,FALSE)),0,VLOOKUP(B20,Données!$A$3:$U$1479,20,FALSE))</f>
        <v>0</v>
      </c>
      <c r="J20" s="114"/>
      <c r="N20" s="41"/>
      <c r="O20" s="41"/>
      <c r="P20" s="41"/>
      <c r="R20" s="464" t="str">
        <f t="shared" si="0"/>
        <v/>
      </c>
    </row>
    <row r="21" spans="1:18" ht="20.25" customHeight="1" x14ac:dyDescent="0.25">
      <c r="A21" s="578" t="s">
        <v>40</v>
      </c>
      <c r="B21" s="108" t="s">
        <v>294</v>
      </c>
      <c r="C21" s="103" t="str">
        <f>IF(ISERROR(VLOOKUP(B21,Données!$A$3:$L$1479,5,FALSE)),"",VLOOKUP(B21,Données!$A$3:$L$1479,5,FALSE))</f>
        <v/>
      </c>
      <c r="D21" s="347" t="str">
        <f>IF(ISERROR(VLOOKUP(B21,Données!$A$3:$X$1479,23,FALSE)),"",VLOOKUP(B21,Données!$A$3:$X$1479,23,FALSE))</f>
        <v/>
      </c>
      <c r="E21" s="103" t="str">
        <f>IF(ISERROR(VLOOKUP(B21,Données!$A$3:$L$1479,7,FALSE)),"",VLOOKUP(B21,Données!$A$3:$L$1479,7,FALSE))</f>
        <v/>
      </c>
      <c r="F21" s="104">
        <f>IF(ISERROR(VLOOKUP(B21,Données!$A$3:$U$1479,11,FALSE)),0,VLOOKUP(B21,Données!$A$3:$U$1479,11,FALSE))</f>
        <v>0</v>
      </c>
      <c r="G21" s="105">
        <f>VALUE(COUNTIF(Validation!$A$2:$H$64,B21))-1</f>
        <v>0</v>
      </c>
      <c r="H21" s="363">
        <f>IF(ISERROR(VLOOKUP(B21,Données!$A$3:$U$1479,12,FALSE)),0,VLOOKUP(B21,Données!$A$3:$U$1479,12,FALSE))</f>
        <v>0</v>
      </c>
      <c r="I21" s="106">
        <f>IF(ISERROR(VLOOKUP(B21,Données!$A$3:$U$1479,20,FALSE)),0,VLOOKUP(B21,Données!$A$3:$U$1479,20,FALSE))</f>
        <v>0</v>
      </c>
      <c r="J21" s="91"/>
      <c r="N21" s="41"/>
      <c r="O21" s="41"/>
      <c r="R21" s="464" t="str">
        <f t="shared" si="0"/>
        <v/>
      </c>
    </row>
    <row r="22" spans="1:18" ht="15.75" customHeight="1" x14ac:dyDescent="0.25">
      <c r="A22" s="579"/>
      <c r="B22" s="277" t="s">
        <v>295</v>
      </c>
      <c r="C22" s="110" t="str">
        <f>IF(ISERROR(VLOOKUP(B22,Données!$A$3:$L$1479,5,FALSE)),"",VLOOKUP(B22,Données!$A$3:$L$1479,5,FALSE))</f>
        <v/>
      </c>
      <c r="D22" s="349" t="str">
        <f>IF(ISERROR(VLOOKUP(B22,Données!$A$3:$X$1479,23,FALSE)),"",VLOOKUP(B22,Données!$A$3:$X$1479,23,FALSE))</f>
        <v/>
      </c>
      <c r="E22" s="110" t="str">
        <f>IF(ISERROR(VLOOKUP(B22,Données!$A$3:$L$1479,7,FALSE)),"",VLOOKUP(B22,Données!$A$3:$L$1479,7,FALSE))</f>
        <v/>
      </c>
      <c r="F22" s="111">
        <f>IF(ISERROR(VLOOKUP(B22,Données!$A$3:$U$1479,11,FALSE)),0,VLOOKUP(B22,Données!$A$3:$U$1479,11,FALSE))</f>
        <v>0</v>
      </c>
      <c r="G22" s="112">
        <f>VALUE(COUNTIF(Validation!$A$2:$H$64,B22))-1</f>
        <v>0</v>
      </c>
      <c r="H22" s="364">
        <f>IF(ISERROR(VLOOKUP(B22,Données!$A$3:$U$1479,12,FALSE)),0,VLOOKUP(B22,Données!$A$3:$U$1479,12,FALSE))</f>
        <v>0</v>
      </c>
      <c r="I22" s="113">
        <f>IF(ISERROR(VLOOKUP(B22,Données!$A$3:$U$1479,20,FALSE)),0,VLOOKUP(B22,Données!$A$3:$U$1479,20,FALSE))</f>
        <v>0</v>
      </c>
      <c r="J22" s="91"/>
      <c r="R22" s="464" t="str">
        <f t="shared" si="0"/>
        <v/>
      </c>
    </row>
    <row r="23" spans="1:18" ht="15.75" customHeight="1" x14ac:dyDescent="0.25">
      <c r="A23" s="581" t="s">
        <v>42</v>
      </c>
      <c r="B23" s="209" t="s">
        <v>528</v>
      </c>
      <c r="C23" s="103" t="str">
        <f>IF(ISERROR(VLOOKUP(B23,Données!$A$3:$L$1479,5,FALSE)),"",VLOOKUP(B23,Données!$A$3:$L$1479,5,FALSE))</f>
        <v/>
      </c>
      <c r="D23" s="347" t="str">
        <f>IF(ISERROR(VLOOKUP(B23,Données!$A$3:$X$1479,23,FALSE)),"",VLOOKUP(B23,Données!$A$3:$X$1479,23,FALSE))</f>
        <v/>
      </c>
      <c r="E23" s="103" t="str">
        <f>IF(ISERROR(VLOOKUP(B23,Données!$A$3:$L$1479,7,FALSE)),"",VLOOKUP(B23,Données!$A$3:$L$1479,7,FALSE))</f>
        <v/>
      </c>
      <c r="F23" s="104">
        <f>IF(ISERROR(VLOOKUP(B23,Données!$A$3:$U$1479,11,FALSE)),0,VLOOKUP(B23,Données!$A$3:$U$1479,11,FALSE))</f>
        <v>0</v>
      </c>
      <c r="G23" s="105">
        <f>VALUE(COUNTIF(Validation!$A$2:$H$64,B23))-1</f>
        <v>0</v>
      </c>
      <c r="H23" s="363">
        <f>IF(ISERROR(VLOOKUP(B23,Données!$A$3:$U$1479,12,FALSE)),0,VLOOKUP(B23,Données!$A$3:$U$1479,12,FALSE))</f>
        <v>0</v>
      </c>
      <c r="I23" s="106">
        <f>IF(ISERROR(VLOOKUP(B23,Données!$A$3:$U$1479,20,FALSE)),0,VLOOKUP(B23,Données!$A$3:$U$1479,20,FALSE))</f>
        <v>0</v>
      </c>
      <c r="J23" s="91"/>
      <c r="R23" s="464" t="str">
        <f t="shared" si="0"/>
        <v/>
      </c>
    </row>
    <row r="24" spans="1:18" ht="15.75" customHeight="1" x14ac:dyDescent="0.25">
      <c r="A24" s="582"/>
      <c r="B24" s="209" t="s">
        <v>286</v>
      </c>
      <c r="C24" s="103" t="str">
        <f>IF(ISERROR(VLOOKUP(B24,Données!$A$3:$L$1479,5,FALSE)),"",VLOOKUP(B24,Données!$A$3:$L$1479,5,FALSE))</f>
        <v/>
      </c>
      <c r="D24" s="347" t="str">
        <f>IF(ISERROR(VLOOKUP(B24,Données!$A$3:$X$1479,23,FALSE)),"",VLOOKUP(B24,Données!$A$3:$X$1479,23,FALSE))</f>
        <v/>
      </c>
      <c r="E24" s="103" t="str">
        <f>IF(ISERROR(VLOOKUP(B24,Données!$A$3:$L$1479,7,FALSE)),"",VLOOKUP(B24,Données!$A$3:$L$1479,7,FALSE))</f>
        <v/>
      </c>
      <c r="F24" s="104">
        <f>IF(ISERROR(VLOOKUP(B24,Données!$A$3:$U$1479,11,FALSE)),0,VLOOKUP(B24,Données!$A$3:$U$1479,11,FALSE))</f>
        <v>0</v>
      </c>
      <c r="G24" s="105">
        <f>VALUE(COUNTIF(Validation!$A$2:$H$64,B24))-1</f>
        <v>0</v>
      </c>
      <c r="H24" s="363">
        <f>IF(ISERROR(VLOOKUP(B24,Données!$A$3:$U$1479,12,FALSE)),0,VLOOKUP(B24,Données!$A$3:$U$1479,12,FALSE))</f>
        <v>0</v>
      </c>
      <c r="I24" s="106">
        <f>IF(ISERROR(VLOOKUP(B24,Données!$A$3:$U$1479,20,FALSE)),0,VLOOKUP(B24,Données!$A$3:$U$1479,20,FALSE))</f>
        <v>0</v>
      </c>
      <c r="J24" s="91"/>
      <c r="R24" s="464" t="str">
        <f t="shared" si="0"/>
        <v/>
      </c>
    </row>
    <row r="25" spans="1:18" ht="15.75" customHeight="1" x14ac:dyDescent="0.25">
      <c r="A25" s="582"/>
      <c r="B25" s="209" t="s">
        <v>289</v>
      </c>
      <c r="C25" s="103" t="str">
        <f>IF(ISERROR(VLOOKUP(B25,Données!$A$3:$L$1479,5,FALSE)),"",VLOOKUP(B25,Données!$A$3:$L$1479,5,FALSE))</f>
        <v/>
      </c>
      <c r="D25" s="347" t="str">
        <f>IF(ISERROR(VLOOKUP(B25,Données!$A$3:$X$1479,23,FALSE)),"",VLOOKUP(B25,Données!$A$3:$X$1479,23,FALSE))</f>
        <v/>
      </c>
      <c r="E25" s="103" t="str">
        <f>IF(ISERROR(VLOOKUP(B25,Données!$A$3:$L$1479,7,FALSE)),"",VLOOKUP(B25,Données!$A$3:$L$1479,7,FALSE))</f>
        <v/>
      </c>
      <c r="F25" s="104">
        <f>IF(ISERROR(VLOOKUP(B25,Données!$A$3:$U$1479,11,FALSE)),0,VLOOKUP(B25,Données!$A$3:$U$1479,11,FALSE))</f>
        <v>0</v>
      </c>
      <c r="G25" s="105">
        <f>VALUE(COUNTIF(Validation!$A$2:$H$64,B25))-1</f>
        <v>0</v>
      </c>
      <c r="H25" s="363">
        <f>IF(ISERROR(VLOOKUP(B25,Données!$A$3:$U$1479,12,FALSE)),0,VLOOKUP(B25,Données!$A$3:$U$1479,12,FALSE))</f>
        <v>0</v>
      </c>
      <c r="I25" s="106">
        <f>IF(ISERROR(VLOOKUP(B25,Données!$A$3:$U$1479,20,FALSE)),0,VLOOKUP(B25,Données!$A$3:$U$1479,20,FALSE))</f>
        <v>0</v>
      </c>
      <c r="J25" s="91"/>
      <c r="R25" s="464" t="str">
        <f t="shared" si="0"/>
        <v/>
      </c>
    </row>
    <row r="26" spans="1:18" ht="15.75" customHeight="1" x14ac:dyDescent="0.25">
      <c r="A26" s="582"/>
      <c r="B26" s="209" t="s">
        <v>828</v>
      </c>
      <c r="C26" s="103" t="str">
        <f>IF(ISERROR(VLOOKUP(B26,Données!$A$3:$L$1479,5,FALSE)),"",VLOOKUP(B26,Données!$A$3:$L$1479,5,FALSE))</f>
        <v/>
      </c>
      <c r="D26" s="347" t="str">
        <f>IF(ISERROR(VLOOKUP(B26,Données!$A$3:$X$1479,23,FALSE)),"",VLOOKUP(B26,Données!$A$3:$X$1479,23,FALSE))</f>
        <v/>
      </c>
      <c r="E26" s="103" t="str">
        <f>IF(ISERROR(VLOOKUP(B26,Données!$A$3:$L$1479,7,FALSE)),"",VLOOKUP(B26,Données!$A$3:$L$1479,7,FALSE))</f>
        <v/>
      </c>
      <c r="F26" s="104">
        <f>IF(ISERROR(VLOOKUP(B26,Données!$A$3:$U$1479,11,FALSE)),0,VLOOKUP(B26,Données!$A$3:$U$1479,11,FALSE))</f>
        <v>0</v>
      </c>
      <c r="G26" s="105">
        <f>VALUE(COUNTIF(Validation!$A$2:$H$64,B26))-1</f>
        <v>0</v>
      </c>
      <c r="H26" s="363">
        <f>IF(ISERROR(VLOOKUP(B26,Données!$A$3:$U$1479,12,FALSE)),0,VLOOKUP(B26,Données!$A$3:$U$1479,12,FALSE))</f>
        <v>0</v>
      </c>
      <c r="I26" s="106">
        <f>IF(ISERROR(VLOOKUP(B26,Données!$A$3:$U$1479,20,FALSE)),0,VLOOKUP(B26,Données!$A$3:$U$1479,20,FALSE))</f>
        <v>0</v>
      </c>
      <c r="J26" s="91"/>
      <c r="R26" s="464" t="str">
        <f t="shared" si="0"/>
        <v/>
      </c>
    </row>
    <row r="27" spans="1:18" ht="15.75" customHeight="1" x14ac:dyDescent="0.25">
      <c r="A27" s="582"/>
      <c r="B27" s="209" t="s">
        <v>417</v>
      </c>
      <c r="C27" s="103" t="str">
        <f>IF(ISERROR(VLOOKUP(B27,Données!$A$3:$L$1479,5,FALSE)),"",VLOOKUP(B27,Données!$A$3:$L$1479,5,FALSE))</f>
        <v/>
      </c>
      <c r="D27" s="347" t="str">
        <f>IF(ISERROR(VLOOKUP(B27,Données!$A$3:$X$1479,23,FALSE)),"",VLOOKUP(B27,Données!$A$3:$X$1479,23,FALSE))</f>
        <v/>
      </c>
      <c r="E27" s="103" t="str">
        <f>IF(ISERROR(VLOOKUP(B27,Données!$A$3:$L$1479,7,FALSE)),"",VLOOKUP(B27,Données!$A$3:$L$1479,7,FALSE))</f>
        <v/>
      </c>
      <c r="F27" s="104">
        <f>IF(ISERROR(VLOOKUP(B27,Données!$A$3:$U$1479,11,FALSE)),0,VLOOKUP(B27,Données!$A$3:$U$1479,11,FALSE))</f>
        <v>0</v>
      </c>
      <c r="G27" s="105">
        <f>VALUE(COUNTIF(Validation!$A$2:$H$64,B27))-1</f>
        <v>0</v>
      </c>
      <c r="H27" s="363">
        <f>IF(ISERROR(VLOOKUP(B27,Données!$A$3:$U$1479,12,FALSE)),0,VLOOKUP(B27,Données!$A$3:$U$1479,12,FALSE))</f>
        <v>0</v>
      </c>
      <c r="I27" s="106">
        <f>IF(ISERROR(VLOOKUP(B27,Données!$A$3:$U$1479,20,FALSE)),0,VLOOKUP(B27,Données!$A$3:$U$1479,20,FALSE))</f>
        <v>0</v>
      </c>
      <c r="J27" s="91"/>
      <c r="R27" s="464" t="str">
        <f t="shared" si="0"/>
        <v/>
      </c>
    </row>
    <row r="28" spans="1:18" ht="15.75" customHeight="1" x14ac:dyDescent="0.25">
      <c r="A28" s="582"/>
      <c r="B28" s="102"/>
      <c r="C28" s="103" t="str">
        <f>IF(ISERROR(VLOOKUP(B28,Données!$A$3:$L$1479,5,FALSE)),"",VLOOKUP(B28,Données!$A$3:$L$1479,5,FALSE))</f>
        <v/>
      </c>
      <c r="D28" s="347" t="str">
        <f>IF(ISERROR(VLOOKUP(B28,Données!$A$3:$X$1479,23,FALSE)),"",VLOOKUP(B28,Données!$A$3:$X$1479,23,FALSE))</f>
        <v/>
      </c>
      <c r="E28" s="103" t="str">
        <f>IF(ISERROR(VLOOKUP(B28,Données!$A$3:$L$1479,7,FALSE)),"",VLOOKUP(B28,Données!$A$3:$L$1479,7,FALSE))</f>
        <v/>
      </c>
      <c r="F28" s="104">
        <f>IF(ISERROR(VLOOKUP(B28,Données!$A$3:$U$1479,11,FALSE)),0,VLOOKUP(B28,Données!$A$3:$U$1479,11,FALSE))</f>
        <v>0</v>
      </c>
      <c r="G28" s="105">
        <f>VALUE(COUNTIF(Validation!$A$2:$H$64,B28))-1</f>
        <v>229</v>
      </c>
      <c r="H28" s="363">
        <f>IF(ISERROR(VLOOKUP(B28,Données!$A$3:$U$1479,12,FALSE)),0,VLOOKUP(B28,Données!$A$3:$U$1479,12,FALSE))</f>
        <v>0</v>
      </c>
      <c r="I28" s="106">
        <f>IF(ISERROR(VLOOKUP(B28,Données!$A$3:$U$1479,20,FALSE)),0,VLOOKUP(B28,Données!$A$3:$U$1479,20,FALSE))</f>
        <v>0</v>
      </c>
      <c r="J28" s="91"/>
      <c r="R28" s="464" t="str">
        <f t="shared" si="0"/>
        <v/>
      </c>
    </row>
    <row r="29" spans="1:18" ht="15.75" customHeight="1" x14ac:dyDescent="0.25">
      <c r="A29" s="582"/>
      <c r="B29" s="102"/>
      <c r="C29" s="103" t="str">
        <f>IF(ISERROR(VLOOKUP(B29,Données!$A$3:$L$1479,5,FALSE)),"",VLOOKUP(B29,Données!$A$3:$L$1479,5,FALSE))</f>
        <v/>
      </c>
      <c r="D29" s="347" t="str">
        <f>IF(ISERROR(VLOOKUP(B29,Données!$A$3:$X$1479,23,FALSE)),"",VLOOKUP(B29,Données!$A$3:$X$1479,23,FALSE))</f>
        <v/>
      </c>
      <c r="E29" s="103" t="str">
        <f>IF(ISERROR(VLOOKUP(B29,Données!$A$3:$L$1479,7,FALSE)),"",VLOOKUP(B29,Données!$A$3:$L$1479,7,FALSE))</f>
        <v/>
      </c>
      <c r="F29" s="104">
        <f>IF(ISERROR(VLOOKUP(B29,Données!$A$3:$U$1479,11,FALSE)),0,VLOOKUP(B29,Données!$A$3:$U$1479,11,FALSE))</f>
        <v>0</v>
      </c>
      <c r="G29" s="105">
        <f>VALUE(COUNTIF(Validation!$A$2:$H$64,B29))-1</f>
        <v>229</v>
      </c>
      <c r="H29" s="363">
        <f>IF(ISERROR(VLOOKUP(B29,Données!$A$3:$U$1479,12,FALSE)),0,VLOOKUP(B29,Données!$A$3:$U$1479,12,FALSE))</f>
        <v>0</v>
      </c>
      <c r="I29" s="106">
        <f>IF(ISERROR(VLOOKUP(B29,Données!$A$3:$U$1479,20,FALSE)),0,VLOOKUP(B29,Données!$A$3:$U$1479,20,FALSE))</f>
        <v>0</v>
      </c>
      <c r="J29" s="91"/>
      <c r="R29" s="464" t="str">
        <f t="shared" si="0"/>
        <v/>
      </c>
    </row>
    <row r="30" spans="1:18" ht="15.75" customHeight="1" x14ac:dyDescent="0.25">
      <c r="A30" s="582"/>
      <c r="B30" s="115"/>
      <c r="C30" s="103" t="str">
        <f>IF(ISERROR(VLOOKUP(B30,Données!$A$3:$L$1479,5,FALSE)),"",VLOOKUP(B30,Données!$A$3:$L$1479,5,FALSE))</f>
        <v/>
      </c>
      <c r="D30" s="347" t="str">
        <f>IF(ISERROR(VLOOKUP(B30,Données!$A$3:$X$1479,23,FALSE)),"",VLOOKUP(B30,Données!$A$3:$X$1479,23,FALSE))</f>
        <v/>
      </c>
      <c r="E30" s="103" t="str">
        <f>IF(ISERROR(VLOOKUP(B30,Données!$A$3:$L$1479,7,FALSE)),"",VLOOKUP(B30,Données!$A$3:$L$1479,7,FALSE))</f>
        <v/>
      </c>
      <c r="F30" s="104">
        <f>IF(ISERROR(VLOOKUP(B30,Données!$A$3:$U$1479,11,FALSE)),0,VLOOKUP(B30,Données!$A$3:$U$1479,11,FALSE))</f>
        <v>0</v>
      </c>
      <c r="G30" s="105">
        <f>VALUE(COUNTIF(Validation!$A$2:$H$64,B30))-1</f>
        <v>229</v>
      </c>
      <c r="H30" s="363">
        <f>IF(ISERROR(VLOOKUP(B30,Données!$A$3:$U$1479,12,FALSE)),0,VLOOKUP(B30,Données!$A$3:$U$1479,12,FALSE))</f>
        <v>0</v>
      </c>
      <c r="I30" s="106">
        <f>IF(ISERROR(VLOOKUP(B30,Données!$A$3:$U$1479,20,FALSE)),0,VLOOKUP(B30,Données!$A$3:$U$1479,20,FALSE))</f>
        <v>0</v>
      </c>
      <c r="J30" s="91"/>
      <c r="R30" s="464" t="str">
        <f t="shared" si="0"/>
        <v/>
      </c>
    </row>
    <row r="31" spans="1:18" ht="15.75" x14ac:dyDescent="0.25">
      <c r="A31" s="583" t="s">
        <v>37</v>
      </c>
      <c r="B31" s="583"/>
      <c r="C31" s="583"/>
      <c r="D31" s="583"/>
      <c r="E31" s="583"/>
      <c r="F31" s="311">
        <f>ROUNDDOWN(SUM(F3:F30),2)</f>
        <v>0</v>
      </c>
      <c r="G31" s="116"/>
      <c r="H31" s="327">
        <f>SUM(H3:H30)</f>
        <v>0</v>
      </c>
      <c r="J31" s="91"/>
    </row>
    <row r="32" spans="1:18" ht="19.5" thickBot="1" x14ac:dyDescent="0.35">
      <c r="A32" s="584" t="s">
        <v>44</v>
      </c>
      <c r="B32" s="584"/>
      <c r="C32" s="584"/>
      <c r="D32" s="584"/>
      <c r="E32" s="584"/>
      <c r="F32" s="319">
        <f>'Calcul Masse Salariale'!$B$5-F31</f>
        <v>102000000</v>
      </c>
      <c r="G32" s="119"/>
      <c r="H32" s="335">
        <f>'Calcul Masse Salariale'!$B$6-H31</f>
        <v>102000000</v>
      </c>
      <c r="J32" s="91"/>
    </row>
    <row r="33" spans="1:10" ht="16.5" thickBot="1" x14ac:dyDescent="0.3">
      <c r="F33" s="369"/>
      <c r="J33" s="91"/>
    </row>
    <row r="34" spans="1:10" ht="30.75" thickBot="1" x14ac:dyDescent="0.3">
      <c r="B34" s="426" t="s">
        <v>36</v>
      </c>
      <c r="C34" s="427" t="s">
        <v>52</v>
      </c>
      <c r="D34" s="427" t="s">
        <v>403</v>
      </c>
      <c r="E34" s="427" t="s">
        <v>5</v>
      </c>
      <c r="F34" s="428" t="s">
        <v>134</v>
      </c>
      <c r="G34" s="429" t="s">
        <v>189</v>
      </c>
      <c r="H34" s="430" t="s">
        <v>1155</v>
      </c>
      <c r="I34" s="431" t="s">
        <v>2403</v>
      </c>
      <c r="J34" s="91"/>
    </row>
    <row r="35" spans="1:10" ht="19.5" thickBot="1" x14ac:dyDescent="0.35">
      <c r="A35" s="506" t="s">
        <v>2401</v>
      </c>
      <c r="B35" s="453" t="s">
        <v>288</v>
      </c>
      <c r="C35" s="402" t="str">
        <f>IF(ISERROR(VLOOKUP(B35,Données!$A$3:$L$1479,5,FALSE)),"",VLOOKUP(B35,Données!$A$3:$L$1479,5,FALSE))</f>
        <v/>
      </c>
      <c r="D35" s="402" t="str">
        <f>IF(ISERROR(VLOOKUP(B35,Données!$A$3:$X$1479,22,FALSE)),"",VLOOKUP(B35,Données!$A$3:$X$1479,22,FALSE))</f>
        <v/>
      </c>
      <c r="E35" s="402" t="str">
        <f>IF(ISERROR(VLOOKUP(B35,Données!$A$3:$L$1479,7,FALSE)),"",VLOOKUP(B35,Données!$A$3:$L$1479,7,FALSE))</f>
        <v/>
      </c>
      <c r="F35" s="403">
        <f>IF(ISERROR(VLOOKUP(B35,Données!$A$3:$U$1479,11,FALSE)),0,VLOOKUP(B35,Données!$A$3:$U$1479,11,FALSE))</f>
        <v>0</v>
      </c>
      <c r="G35" s="457">
        <f>VALUE(COUNTIF(Validation!$A$2:$H$120,B35))-1</f>
        <v>-1</v>
      </c>
      <c r="H35" s="404">
        <f>IF(ISERROR(VLOOKUP(B35,Données!$A$3:$U$1479,12,FALSE)),0,VLOOKUP(B35,Données!$A$3:$U$1479,12,FALSE))</f>
        <v>0</v>
      </c>
      <c r="I35" s="405">
        <f>IF(ISERROR(VLOOKUP(B35,Données!$E$3:$U$1479,17,FALSE)),0,VLOOKUP(B35,Données!$E$3:$U$1479,17,FALSE))</f>
        <v>0</v>
      </c>
      <c r="J35" s="91"/>
    </row>
    <row r="36" spans="1:10" ht="19.5" thickBot="1" x14ac:dyDescent="0.35">
      <c r="A36" s="507"/>
      <c r="B36" s="406" t="s">
        <v>2404</v>
      </c>
      <c r="C36" s="508">
        <v>43521</v>
      </c>
      <c r="D36" s="509"/>
      <c r="E36" s="509"/>
      <c r="F36" s="407" t="s">
        <v>2405</v>
      </c>
      <c r="G36" s="508">
        <f>IF(C36="","",C36+28)</f>
        <v>43549</v>
      </c>
      <c r="H36" s="509"/>
      <c r="I36" s="509"/>
      <c r="J36" s="91"/>
    </row>
    <row r="37" spans="1:10" x14ac:dyDescent="0.25">
      <c r="J37" s="91"/>
    </row>
    <row r="38" spans="1:10" ht="36" customHeight="1" x14ac:dyDescent="0.25">
      <c r="A38" s="60"/>
      <c r="B38" s="62" t="s">
        <v>36</v>
      </c>
      <c r="C38" s="62" t="s">
        <v>52</v>
      </c>
      <c r="D38" s="62" t="s">
        <v>403</v>
      </c>
      <c r="E38" s="7" t="s">
        <v>2402</v>
      </c>
      <c r="F38" s="399" t="s">
        <v>134</v>
      </c>
      <c r="G38" s="68" t="s">
        <v>195</v>
      </c>
      <c r="H38" s="97" t="s">
        <v>2676</v>
      </c>
      <c r="I38" s="67" t="s">
        <v>1</v>
      </c>
      <c r="J38" s="91"/>
    </row>
    <row r="39" spans="1:10" ht="15.75" x14ac:dyDescent="0.25">
      <c r="A39" s="497" t="s">
        <v>43</v>
      </c>
      <c r="B39" s="354" t="s">
        <v>423</v>
      </c>
      <c r="C39" s="74" t="str">
        <f>IF(ISERROR(VLOOKUP(B39,Données!$A$3:$L$1479,5,FALSE)),"",VLOOKUP(B39,Données!$A$3:$L$1479,5,FALSE))</f>
        <v/>
      </c>
      <c r="D39" s="347" t="str">
        <f>IF(ISERROR(VLOOKUP(B39,Données!$A$3:$X$1479,23,FALSE)),"",VLOOKUP(B39,Données!$A$3:$X$1479,23,FALSE))</f>
        <v/>
      </c>
      <c r="E39" s="107">
        <v>2015</v>
      </c>
      <c r="F39" s="358">
        <f>IF(ISERROR(VLOOKUP(B39,Données!$A$3:$U$1479,11,FALSE)),0,VLOOKUP(B39,Données!$A$3:$U$1479,11,FALSE))</f>
        <v>0</v>
      </c>
      <c r="G39" s="74">
        <f t="shared" ref="G39:G73" si="1">I39</f>
        <v>1</v>
      </c>
      <c r="H39" s="363">
        <f>IF(ISERROR(VLOOKUP(B39,Données!$A$3:$U$1479,12,FALSE)),0,VLOOKUP(B39,Données!$A$3:$U$1479,12,FALSE))</f>
        <v>0</v>
      </c>
      <c r="I39" s="74">
        <f>IF(((E39+5)-'Calcul Masse Salariale'!$B$1)&lt;=0,0,(E39+5)-'Calcul Masse Salariale'!$B$1)</f>
        <v>1</v>
      </c>
      <c r="J39" s="91"/>
    </row>
    <row r="40" spans="1:10" ht="15.75" x14ac:dyDescent="0.25">
      <c r="A40" s="497"/>
      <c r="B40" s="354" t="s">
        <v>456</v>
      </c>
      <c r="C40" s="74" t="str">
        <f>IF(ISERROR(VLOOKUP(B40,Données!$A$3:$L$1479,5,FALSE)),"",VLOOKUP(B40,Données!$A$3:$L$1479,5,FALSE))</f>
        <v/>
      </c>
      <c r="D40" s="347" t="str">
        <f>IF(ISERROR(VLOOKUP(B40,Données!$A$3:$X$1479,23,FALSE)),"",VLOOKUP(B40,Données!$A$3:$X$1479,23,FALSE))</f>
        <v/>
      </c>
      <c r="E40" s="107">
        <v>2015</v>
      </c>
      <c r="F40" s="358">
        <f>IF(ISERROR(VLOOKUP(B40,Données!$A$3:$U$1479,11,FALSE)),0,VLOOKUP(B40,Données!$A$3:$U$1479,11,FALSE))</f>
        <v>0</v>
      </c>
      <c r="G40" s="74">
        <f t="shared" si="1"/>
        <v>1</v>
      </c>
      <c r="H40" s="363">
        <f>IF(ISERROR(VLOOKUP(B40,Données!$A$3:$U$1479,12,FALSE)),0,VLOOKUP(B40,Données!$A$3:$U$1479,12,FALSE))</f>
        <v>0</v>
      </c>
      <c r="I40" s="74">
        <f>IF(((E40+5)-'Calcul Masse Salariale'!$B$1)&lt;=0,0,(E40+5)-'Calcul Masse Salariale'!$B$1)</f>
        <v>1</v>
      </c>
      <c r="J40" s="91"/>
    </row>
    <row r="41" spans="1:10" ht="18.75" x14ac:dyDescent="0.3">
      <c r="A41" s="497"/>
      <c r="B41" s="354" t="s">
        <v>1003</v>
      </c>
      <c r="C41" s="74" t="str">
        <f>IF(ISERROR(VLOOKUP(B41,Données!$A$3:$L$1479,5,FALSE)),"",VLOOKUP(B41,Données!$A$3:$L$1479,5,FALSE))</f>
        <v/>
      </c>
      <c r="D41" s="347" t="str">
        <f>IF(ISERROR(VLOOKUP(B41,Données!$A$3:$X$1479,23,FALSE)),"",VLOOKUP(B41,Données!$A$3:$X$1479,23,FALSE))</f>
        <v/>
      </c>
      <c r="E41" s="107">
        <v>2016</v>
      </c>
      <c r="F41" s="358">
        <f>IF(ISERROR(VLOOKUP(B41,Données!$A$3:$U$1479,11,FALSE)),0,VLOOKUP(B41,Données!$A$3:$U$1479,11,FALSE))</f>
        <v>0</v>
      </c>
      <c r="G41" s="74">
        <f t="shared" si="1"/>
        <v>2</v>
      </c>
      <c r="H41" s="363">
        <f>IF(ISERROR(VLOOKUP(B41,Données!$A$3:$U$1479,12,FALSE)),0,VLOOKUP(B41,Données!$A$3:$U$1479,12,FALSE))</f>
        <v>0</v>
      </c>
      <c r="I41" s="74">
        <f>IF(((E41+5)-'Calcul Masse Salariale'!$B$1)&lt;=0,0,(E41+5)-'Calcul Masse Salariale'!$B$1)</f>
        <v>2</v>
      </c>
      <c r="J41" s="120"/>
    </row>
    <row r="42" spans="1:10" ht="15.75" x14ac:dyDescent="0.25">
      <c r="A42" s="497"/>
      <c r="B42" s="354" t="s">
        <v>966</v>
      </c>
      <c r="C42" s="74" t="str">
        <f>IF(ISERROR(VLOOKUP(B42,Données!$A$3:$L$1479,5,FALSE)),"",VLOOKUP(B42,Données!$A$3:$L$1479,5,FALSE))</f>
        <v/>
      </c>
      <c r="D42" s="347" t="str">
        <f>IF(ISERROR(VLOOKUP(B42,Données!$A$3:$X$1479,23,FALSE)),"",VLOOKUP(B42,Données!$A$3:$X$1479,23,FALSE))</f>
        <v/>
      </c>
      <c r="E42" s="107">
        <v>2016</v>
      </c>
      <c r="F42" s="358">
        <f>IF(ISERROR(VLOOKUP(B42,Données!$A$3:$U$1479,11,FALSE)),0,VLOOKUP(B42,Données!$A$3:$U$1479,11,FALSE))</f>
        <v>0</v>
      </c>
      <c r="G42" s="74">
        <f t="shared" si="1"/>
        <v>2</v>
      </c>
      <c r="H42" s="363">
        <f>IF(ISERROR(VLOOKUP(B42,Données!$A$3:$U$1479,12,FALSE)),0,VLOOKUP(B42,Données!$A$3:$U$1479,12,FALSE))</f>
        <v>0</v>
      </c>
      <c r="I42" s="74">
        <f>IF(((E42+5)-'Calcul Masse Salariale'!$B$1)&lt;=0,0,(E42+5)-'Calcul Masse Salariale'!$B$1)</f>
        <v>2</v>
      </c>
      <c r="J42" s="91"/>
    </row>
    <row r="43" spans="1:10" ht="15.75" x14ac:dyDescent="0.25">
      <c r="A43" s="497"/>
      <c r="B43" s="354" t="s">
        <v>503</v>
      </c>
      <c r="C43" s="74" t="str">
        <f>IF(ISERROR(VLOOKUP(B43,Données!$A$3:$L$1479,5,FALSE)),"",VLOOKUP(B43,Données!$A$3:$L$1479,5,FALSE))</f>
        <v/>
      </c>
      <c r="D43" s="347" t="str">
        <f>IF(ISERROR(VLOOKUP(B43,Données!$A$3:$X$1479,23,FALSE)),"",VLOOKUP(B43,Données!$A$3:$X$1479,23,FALSE))</f>
        <v/>
      </c>
      <c r="E43" s="107">
        <v>2017</v>
      </c>
      <c r="F43" s="358">
        <f>IF(ISERROR(VLOOKUP(B43,Données!$A$3:$U$1479,11,FALSE)),0,VLOOKUP(B43,Données!$A$3:$U$1479,11,FALSE))</f>
        <v>0</v>
      </c>
      <c r="G43" s="74">
        <f t="shared" si="1"/>
        <v>3</v>
      </c>
      <c r="H43" s="363">
        <f>IF(ISERROR(VLOOKUP(B43,Données!$A$3:$U$1479,12,FALSE)),0,VLOOKUP(B43,Données!$A$3:$U$1479,12,FALSE))</f>
        <v>0</v>
      </c>
      <c r="I43" s="74">
        <f>IF(((E43+5)-'Calcul Masse Salariale'!$B$1)&lt;=0,0,(E43+5)-'Calcul Masse Salariale'!$B$1)</f>
        <v>3</v>
      </c>
      <c r="J43" s="91"/>
    </row>
    <row r="44" spans="1:10" ht="15.75" x14ac:dyDescent="0.25">
      <c r="A44" s="497"/>
      <c r="B44" s="354" t="s">
        <v>148</v>
      </c>
      <c r="C44" s="74" t="str">
        <f>IF(ISERROR(VLOOKUP(B44,Données!$A$3:$L$1479,5,FALSE)),"",VLOOKUP(B44,Données!$A$3:$L$1479,5,FALSE))</f>
        <v/>
      </c>
      <c r="D44" s="347" t="str">
        <f>IF(ISERROR(VLOOKUP(B44,Données!$A$3:$X$1479,23,FALSE)),"",VLOOKUP(B44,Données!$A$3:$X$1479,23,FALSE))</f>
        <v/>
      </c>
      <c r="E44" s="107">
        <v>2017</v>
      </c>
      <c r="F44" s="358">
        <f>IF(ISERROR(VLOOKUP(B44,Données!$A$3:$U$1479,11,FALSE)),0,VLOOKUP(B44,Données!$A$3:$U$1479,11,FALSE))</f>
        <v>0</v>
      </c>
      <c r="G44" s="74">
        <f t="shared" si="1"/>
        <v>3</v>
      </c>
      <c r="H44" s="363">
        <f>IF(ISERROR(VLOOKUP(B44,Données!$A$3:$U$1479,12,FALSE)),0,VLOOKUP(B44,Données!$A$3:$U$1479,12,FALSE))</f>
        <v>0</v>
      </c>
      <c r="I44" s="74">
        <f>IF(((E44+5)-'Calcul Masse Salariale'!$B$1)&lt;=0,0,(E44+5)-'Calcul Masse Salariale'!$B$1)</f>
        <v>3</v>
      </c>
      <c r="J44" s="91"/>
    </row>
    <row r="45" spans="1:10" ht="15.75" x14ac:dyDescent="0.25">
      <c r="A45" s="497"/>
      <c r="B45" s="354" t="s">
        <v>168</v>
      </c>
      <c r="C45" s="74" t="str">
        <f>IF(ISERROR(VLOOKUP(B45,Données!$A$3:$L$1479,5,FALSE)),"",VLOOKUP(B45,Données!$A$3:$L$1479,5,FALSE))</f>
        <v/>
      </c>
      <c r="D45" s="347" t="str">
        <f>IF(ISERROR(VLOOKUP(B45,Données!$A$3:$X$1479,23,FALSE)),"",VLOOKUP(B45,Données!$A$3:$X$1479,23,FALSE))</f>
        <v/>
      </c>
      <c r="E45" s="107">
        <v>2017</v>
      </c>
      <c r="F45" s="358">
        <f>IF(ISERROR(VLOOKUP(B45,Données!$A$3:$U$1479,11,FALSE)),0,VLOOKUP(B45,Données!$A$3:$U$1479,11,FALSE))</f>
        <v>0</v>
      </c>
      <c r="G45" s="74">
        <f t="shared" si="1"/>
        <v>3</v>
      </c>
      <c r="H45" s="363">
        <f>IF(ISERROR(VLOOKUP(B45,Données!$A$3:$U$1479,12,FALSE)),0,VLOOKUP(B45,Données!$A$3:$U$1479,12,FALSE))</f>
        <v>0</v>
      </c>
      <c r="I45" s="74">
        <f>IF(((E45+5)-'Calcul Masse Salariale'!$B$1)&lt;=0,0,(E45+5)-'Calcul Masse Salariale'!$B$1)</f>
        <v>3</v>
      </c>
      <c r="J45" s="91"/>
    </row>
    <row r="46" spans="1:10" ht="15.75" x14ac:dyDescent="0.25">
      <c r="A46" s="497"/>
      <c r="B46" s="356" t="s">
        <v>169</v>
      </c>
      <c r="C46" s="74" t="str">
        <f>IF(ISERROR(VLOOKUP(B46,Données!$A$3:$L$1479,5,FALSE)),"",VLOOKUP(B46,Données!$A$3:$L$1479,5,FALSE))</f>
        <v/>
      </c>
      <c r="D46" s="347" t="str">
        <f>IF(ISERROR(VLOOKUP(B46,Données!$A$3:$X$1479,23,FALSE)),"",VLOOKUP(B46,Données!$A$3:$X$1479,23,FALSE))</f>
        <v/>
      </c>
      <c r="E46" s="107">
        <v>2017</v>
      </c>
      <c r="F46" s="358">
        <f>IF(ISERROR(VLOOKUP(B46,Données!$A$3:$U$1479,11,FALSE)),0,VLOOKUP(B46,Données!$A$3:$U$1479,11,FALSE))</f>
        <v>0</v>
      </c>
      <c r="G46" s="74">
        <f t="shared" si="1"/>
        <v>3</v>
      </c>
      <c r="H46" s="363">
        <f>IF(ISERROR(VLOOKUP(B46,Données!$A$3:$U$1479,12,FALSE)),0,VLOOKUP(B46,Données!$A$3:$U$1479,12,FALSE))</f>
        <v>0</v>
      </c>
      <c r="I46" s="74">
        <f>IF(((E46+5)-'Calcul Masse Salariale'!$B$1)&lt;=0,0,(E46+5)-'Calcul Masse Salariale'!$B$1)</f>
        <v>3</v>
      </c>
      <c r="J46" s="91"/>
    </row>
    <row r="47" spans="1:10" ht="15.75" x14ac:dyDescent="0.25">
      <c r="A47" s="497"/>
      <c r="B47" s="356" t="s">
        <v>160</v>
      </c>
      <c r="C47" s="74" t="str">
        <f>IF(ISERROR(VLOOKUP(B47,Données!$A$3:$L$1479,5,FALSE)),"",VLOOKUP(B47,Données!$A$3:$L$1479,5,FALSE))</f>
        <v/>
      </c>
      <c r="D47" s="347" t="str">
        <f>IF(ISERROR(VLOOKUP(B47,Données!$A$3:$X$1479,23,FALSE)),"",VLOOKUP(B47,Données!$A$3:$X$1479,23,FALSE))</f>
        <v/>
      </c>
      <c r="E47" s="354">
        <v>2017</v>
      </c>
      <c r="F47" s="358">
        <f>IF(ISERROR(VLOOKUP(B47,Données!$A$3:$U$1479,11,FALSE)),0,VLOOKUP(B47,Données!$A$3:$U$1479,11,FALSE))</f>
        <v>0</v>
      </c>
      <c r="G47" s="74">
        <f t="shared" si="1"/>
        <v>3</v>
      </c>
      <c r="H47" s="363">
        <f>IF(ISERROR(VLOOKUP(B47,Données!$A$3:$U$1479,12,FALSE)),0,VLOOKUP(B47,Données!$A$3:$U$1479,12,FALSE))</f>
        <v>0</v>
      </c>
      <c r="I47" s="74">
        <f>IF(((E47+5)-'Calcul Masse Salariale'!$B$1)&lt;=0,0,(E47+5)-'Calcul Masse Salariale'!$B$1)</f>
        <v>3</v>
      </c>
      <c r="J47" s="91"/>
    </row>
    <row r="48" spans="1:10" ht="15.75" x14ac:dyDescent="0.25">
      <c r="A48" s="497"/>
      <c r="B48" s="109" t="s">
        <v>616</v>
      </c>
      <c r="C48" s="74" t="str">
        <f>IF(ISERROR(VLOOKUP(B48,Données!$A$3:$L$1479,5,FALSE)),"",VLOOKUP(B48,Données!$A$3:$L$1479,5,FALSE))</f>
        <v/>
      </c>
      <c r="D48" s="347" t="str">
        <f>IF(ISERROR(VLOOKUP(B48,Données!$A$3:$X$1479,23,FALSE)),"",VLOOKUP(B48,Données!$A$3:$X$1479,23,FALSE))</f>
        <v/>
      </c>
      <c r="E48" s="354">
        <v>2018</v>
      </c>
      <c r="F48" s="358">
        <f>IF(ISERROR(VLOOKUP(B48,Données!$A$3:$U$1479,11,FALSE)),0,VLOOKUP(B48,Données!$A$3:$U$1479,11,FALSE))</f>
        <v>0</v>
      </c>
      <c r="G48" s="74">
        <f t="shared" si="1"/>
        <v>4</v>
      </c>
      <c r="H48" s="363">
        <f>IF(ISERROR(VLOOKUP(B48,Données!$A$3:$U$1479,12,FALSE)),0,VLOOKUP(B48,Données!$A$3:$U$1479,12,FALSE))</f>
        <v>0</v>
      </c>
      <c r="I48" s="74">
        <f>IF(((E48+5)-'Calcul Masse Salariale'!$B$1)&lt;=0,0,(E48+5)-'Calcul Masse Salariale'!$B$1)</f>
        <v>4</v>
      </c>
      <c r="J48" s="91"/>
    </row>
    <row r="49" spans="1:10" ht="15.75" x14ac:dyDescent="0.25">
      <c r="A49" s="497"/>
      <c r="B49" s="109" t="s">
        <v>1171</v>
      </c>
      <c r="C49" s="74" t="str">
        <f>IF(ISERROR(VLOOKUP(B49,Données!$A$3:$L$1479,5,FALSE)),"",VLOOKUP(B49,Données!$A$3:$L$1479,5,FALSE))</f>
        <v/>
      </c>
      <c r="D49" s="347" t="str">
        <f>IF(ISERROR(VLOOKUP(B49,Données!$A$3:$X$1479,23,FALSE)),"",VLOOKUP(B49,Données!$A$3:$X$1479,23,FALSE))</f>
        <v/>
      </c>
      <c r="E49" s="354">
        <v>2018</v>
      </c>
      <c r="F49" s="358">
        <f>IF(ISERROR(VLOOKUP(B49,Données!$A$3:$U$1479,11,FALSE)),0,VLOOKUP(B49,Données!$A$3:$U$1479,11,FALSE))</f>
        <v>0</v>
      </c>
      <c r="G49" s="74">
        <f t="shared" si="1"/>
        <v>4</v>
      </c>
      <c r="H49" s="363">
        <f>IF(ISERROR(VLOOKUP(B49,Données!$A$3:$U$1479,12,FALSE)),0,VLOOKUP(B49,Données!$A$3:$U$1479,12,FALSE))</f>
        <v>0</v>
      </c>
      <c r="I49" s="74">
        <f>IF(((E49+5)-'Calcul Masse Salariale'!$B$1)&lt;=0,0,(E49+5)-'Calcul Masse Salariale'!$B$1)</f>
        <v>4</v>
      </c>
      <c r="J49" s="91"/>
    </row>
    <row r="50" spans="1:10" ht="15.75" x14ac:dyDescent="0.25">
      <c r="A50" s="497"/>
      <c r="B50" s="109" t="s">
        <v>642</v>
      </c>
      <c r="C50" s="74" t="str">
        <f>IF(ISERROR(VLOOKUP(B50,Données!$A$3:$L$1479,5,FALSE)),"",VLOOKUP(B50,Données!$A$3:$L$1479,5,FALSE))</f>
        <v/>
      </c>
      <c r="D50" s="347" t="str">
        <f>IF(ISERROR(VLOOKUP(B50,Données!$A$3:$X$1479,23,FALSE)),"",VLOOKUP(B50,Données!$A$3:$X$1479,23,FALSE))</f>
        <v/>
      </c>
      <c r="E50" s="354">
        <v>2018</v>
      </c>
      <c r="F50" s="358">
        <f>IF(ISERROR(VLOOKUP(B50,Données!$A$3:$U$1479,11,FALSE)),0,VLOOKUP(B50,Données!$A$3:$U$1479,11,FALSE))</f>
        <v>0</v>
      </c>
      <c r="G50" s="74">
        <f t="shared" si="1"/>
        <v>4</v>
      </c>
      <c r="H50" s="363">
        <f>IF(ISERROR(VLOOKUP(B50,Données!$A$3:$U$1479,12,FALSE)),0,VLOOKUP(B50,Données!$A$3:$U$1479,12,FALSE))</f>
        <v>0</v>
      </c>
      <c r="I50" s="74">
        <f>IF(((E50+5)-'Calcul Masse Salariale'!$B$1)&lt;=0,0,(E50+5)-'Calcul Masse Salariale'!$B$1)</f>
        <v>4</v>
      </c>
      <c r="J50" s="91"/>
    </row>
    <row r="51" spans="1:10" ht="15.75" x14ac:dyDescent="0.25">
      <c r="A51" s="497"/>
      <c r="B51" s="103"/>
      <c r="C51" s="74" t="str">
        <f>IF(ISERROR(VLOOKUP(B51,Données!$A$3:$L$1479,5,FALSE)),"",VLOOKUP(B51,Données!$A$3:$L$1479,5,FALSE))</f>
        <v/>
      </c>
      <c r="D51" s="347" t="str">
        <f>IF(ISERROR(VLOOKUP(B51,Données!$A$3:$X$1479,23,FALSE)),"",VLOOKUP(B51,Données!$A$3:$X$1479,23,FALSE))</f>
        <v/>
      </c>
      <c r="E51" s="107"/>
      <c r="F51" s="358">
        <f>IF(ISERROR(VLOOKUP(B51,Données!$A$3:$U$1479,11,FALSE)),0,VLOOKUP(B51,Données!$A$3:$U$1479,11,FALSE))</f>
        <v>0</v>
      </c>
      <c r="G51" s="74">
        <f t="shared" si="1"/>
        <v>0</v>
      </c>
      <c r="H51" s="363">
        <f>IF(ISERROR(VLOOKUP(B51,Données!$A$3:$U$1479,12,FALSE)),0,VLOOKUP(B51,Données!$A$3:$U$1479,12,FALSE))</f>
        <v>0</v>
      </c>
      <c r="I51" s="74">
        <f>IF(((E51+5)-'Calcul Masse Salariale'!$B$1)&lt;=0,0,(E51+5)-'Calcul Masse Salariale'!$B$1)</f>
        <v>0</v>
      </c>
      <c r="J51" s="91"/>
    </row>
    <row r="52" spans="1:10" ht="15.75" x14ac:dyDescent="0.25">
      <c r="A52" s="497"/>
      <c r="B52" s="70"/>
      <c r="C52" s="74" t="str">
        <f>IF(ISERROR(VLOOKUP(B52,Données!$A$3:$L$1479,5,FALSE)),"",VLOOKUP(B52,Données!$A$3:$L$1479,5,FALSE))</f>
        <v/>
      </c>
      <c r="D52" s="347" t="str">
        <f>IF(ISERROR(VLOOKUP(B52,Données!$A$3:$X$1479,23,FALSE)),"",VLOOKUP(B52,Données!$A$3:$X$1479,23,FALSE))</f>
        <v/>
      </c>
      <c r="E52" s="74"/>
      <c r="F52" s="358">
        <f>IF(ISERROR(VLOOKUP(B52,Données!$A$3:$U$1479,11,FALSE)),0,VLOOKUP(B52,Données!$A$3:$U$1479,11,FALSE))</f>
        <v>0</v>
      </c>
      <c r="G52" s="74">
        <f t="shared" si="1"/>
        <v>0</v>
      </c>
      <c r="H52" s="363">
        <f>IF(ISERROR(VLOOKUP(B52,Données!$A$3:$U$1479,12,FALSE)),0,VLOOKUP(B52,Données!$A$3:$U$1479,12,FALSE))</f>
        <v>0</v>
      </c>
      <c r="I52" s="74">
        <f>IF(((E52+5)-'Calcul Masse Salariale'!$B$1)&lt;=0,0,(E52+5)-'Calcul Masse Salariale'!$B$1)</f>
        <v>0</v>
      </c>
      <c r="J52" s="91"/>
    </row>
    <row r="53" spans="1:10" ht="15.75" x14ac:dyDescent="0.25">
      <c r="A53" s="497"/>
      <c r="B53" s="74"/>
      <c r="C53" s="74" t="str">
        <f>IF(ISERROR(VLOOKUP(B53,Données!$A$3:$L$1479,5,FALSE)),"",VLOOKUP(B53,Données!$A$3:$L$1479,5,FALSE))</f>
        <v/>
      </c>
      <c r="D53" s="347" t="str">
        <f>IF(ISERROR(VLOOKUP(B53,Données!$A$3:$X$1479,23,FALSE)),"",VLOOKUP(B53,Données!$A$3:$X$1479,23,FALSE))</f>
        <v/>
      </c>
      <c r="E53" s="74"/>
      <c r="F53" s="358">
        <f>IF(ISERROR(VLOOKUP(B53,Données!$A$3:$U$1479,11,FALSE)),0,VLOOKUP(B53,Données!$A$3:$U$1479,11,FALSE))</f>
        <v>0</v>
      </c>
      <c r="G53" s="74">
        <f t="shared" si="1"/>
        <v>0</v>
      </c>
      <c r="H53" s="363">
        <f>IF(ISERROR(VLOOKUP(B53,Données!$A$3:$U$1479,12,FALSE)),0,VLOOKUP(B53,Données!$A$3:$U$1479,12,FALSE))</f>
        <v>0</v>
      </c>
      <c r="I53" s="74">
        <f>IF(((E53+5)-'Calcul Masse Salariale'!$B$1)&lt;=0,0,(E53+5)-'Calcul Masse Salariale'!$B$1)</f>
        <v>0</v>
      </c>
      <c r="J53" s="91"/>
    </row>
    <row r="54" spans="1:10" ht="15.75" x14ac:dyDescent="0.25">
      <c r="A54" s="497"/>
      <c r="B54" s="74"/>
      <c r="C54" s="74" t="str">
        <f>IF(ISERROR(VLOOKUP(B54,Données!$A$3:$L$1479,5,FALSE)),"",VLOOKUP(B54,Données!$A$3:$L$1479,5,FALSE))</f>
        <v/>
      </c>
      <c r="D54" s="347" t="str">
        <f>IF(ISERROR(VLOOKUP(B54,Données!$A$3:$X$1479,23,FALSE)),"",VLOOKUP(B54,Données!$A$3:$X$1479,23,FALSE))</f>
        <v/>
      </c>
      <c r="E54" s="74"/>
      <c r="F54" s="358">
        <f>IF(ISERROR(VLOOKUP(B54,Données!$A$3:$U$1479,11,FALSE)),0,VLOOKUP(B54,Données!$A$3:$U$1479,11,FALSE))</f>
        <v>0</v>
      </c>
      <c r="G54" s="74">
        <f t="shared" si="1"/>
        <v>0</v>
      </c>
      <c r="H54" s="363">
        <f>IF(ISERROR(VLOOKUP(B54,Données!$A$3:$U$1479,12,FALSE)),0,VLOOKUP(B54,Données!$A$3:$U$1479,12,FALSE))</f>
        <v>0</v>
      </c>
      <c r="I54" s="74">
        <f>IF(((E54+5)-'Calcul Masse Salariale'!$B$1)&lt;=0,0,(E54+5)-'Calcul Masse Salariale'!$B$1)</f>
        <v>0</v>
      </c>
      <c r="J54" s="91"/>
    </row>
    <row r="55" spans="1:10" ht="15.75" x14ac:dyDescent="0.25">
      <c r="A55" s="497"/>
      <c r="B55" s="74"/>
      <c r="C55" s="74" t="str">
        <f>IF(ISERROR(VLOOKUP(B55,Données!$A$3:$L$1479,5,FALSE)),"",VLOOKUP(B55,Données!$A$3:$L$1479,5,FALSE))</f>
        <v/>
      </c>
      <c r="D55" s="347" t="str">
        <f>IF(ISERROR(VLOOKUP(B55,Données!$A$3:$X$1479,23,FALSE)),"",VLOOKUP(B55,Données!$A$3:$X$1479,23,FALSE))</f>
        <v/>
      </c>
      <c r="E55" s="74"/>
      <c r="F55" s="358">
        <f>IF(ISERROR(VLOOKUP(B55,Données!$A$3:$U$1479,11,FALSE)),0,VLOOKUP(B55,Données!$A$3:$U$1479,11,FALSE))</f>
        <v>0</v>
      </c>
      <c r="G55" s="74">
        <f t="shared" si="1"/>
        <v>0</v>
      </c>
      <c r="H55" s="363">
        <f>IF(ISERROR(VLOOKUP(B55,Données!$A$3:$U$1479,12,FALSE)),0,VLOOKUP(B55,Données!$A$3:$U$1479,12,FALSE))</f>
        <v>0</v>
      </c>
      <c r="I55" s="74">
        <f>IF(((E55+5)-'Calcul Masse Salariale'!$B$1)&lt;=0,0,(E55+5)-'Calcul Masse Salariale'!$B$1)</f>
        <v>0</v>
      </c>
      <c r="J55" s="91"/>
    </row>
    <row r="56" spans="1:10" ht="15.75" x14ac:dyDescent="0.25">
      <c r="A56" s="497"/>
      <c r="B56" s="74"/>
      <c r="C56" s="74" t="str">
        <f>IF(ISERROR(VLOOKUP(B56,Données!$A$3:$L$1479,5,FALSE)),"",VLOOKUP(B56,Données!$A$3:$L$1479,5,FALSE))</f>
        <v/>
      </c>
      <c r="D56" s="347" t="str">
        <f>IF(ISERROR(VLOOKUP(B56,Données!$A$3:$X$1479,23,FALSE)),"",VLOOKUP(B56,Données!$A$3:$X$1479,23,FALSE))</f>
        <v/>
      </c>
      <c r="E56" s="74"/>
      <c r="F56" s="358">
        <f>IF(ISERROR(VLOOKUP(B56,Données!$A$3:$U$1479,11,FALSE)),0,VLOOKUP(B56,Données!$A$3:$U$1479,11,FALSE))</f>
        <v>0</v>
      </c>
      <c r="G56" s="74">
        <f t="shared" si="1"/>
        <v>0</v>
      </c>
      <c r="H56" s="363">
        <f>IF(ISERROR(VLOOKUP(B56,Données!$A$3:$U$1479,12,FALSE)),0,VLOOKUP(B56,Données!$A$3:$U$1479,12,FALSE))</f>
        <v>0</v>
      </c>
      <c r="I56" s="74">
        <f>IF(((E56+5)-'Calcul Masse Salariale'!$B$1)&lt;=0,0,(E56+5)-'Calcul Masse Salariale'!$B$1)</f>
        <v>0</v>
      </c>
      <c r="J56" s="91"/>
    </row>
    <row r="57" spans="1:10" ht="15.75" x14ac:dyDescent="0.25">
      <c r="A57" s="497"/>
      <c r="B57" s="74"/>
      <c r="C57" s="74" t="str">
        <f>IF(ISERROR(VLOOKUP(B57,Données!$A$3:$L$1479,5,FALSE)),"",VLOOKUP(B57,Données!$A$3:$L$1479,5,FALSE))</f>
        <v/>
      </c>
      <c r="D57" s="347" t="str">
        <f>IF(ISERROR(VLOOKUP(B57,Données!$A$3:$X$1479,23,FALSE)),"",VLOOKUP(B57,Données!$A$3:$X$1479,23,FALSE))</f>
        <v/>
      </c>
      <c r="E57" s="74"/>
      <c r="F57" s="358">
        <f>IF(ISERROR(VLOOKUP(B57,Données!$A$3:$U$1479,11,FALSE)),0,VLOOKUP(B57,Données!$A$3:$U$1479,11,FALSE))</f>
        <v>0</v>
      </c>
      <c r="G57" s="74">
        <f t="shared" si="1"/>
        <v>0</v>
      </c>
      <c r="H57" s="363">
        <f>IF(ISERROR(VLOOKUP(B57,Données!$A$3:$U$1479,12,FALSE)),0,VLOOKUP(B57,Données!$A$3:$U$1479,12,FALSE))</f>
        <v>0</v>
      </c>
      <c r="I57" s="74">
        <f>IF(((E57+5)-'Calcul Masse Salariale'!$B$1)&lt;=0,0,(E57+5)-'Calcul Masse Salariale'!$B$1)</f>
        <v>0</v>
      </c>
      <c r="J57" s="91"/>
    </row>
    <row r="58" spans="1:10" ht="15.75" x14ac:dyDescent="0.25">
      <c r="A58" s="497"/>
      <c r="B58" s="74"/>
      <c r="C58" s="74" t="str">
        <f>IF(ISERROR(VLOOKUP(B58,Données!$A$3:$L$1479,5,FALSE)),"",VLOOKUP(B58,Données!$A$3:$L$1479,5,FALSE))</f>
        <v/>
      </c>
      <c r="D58" s="347" t="str">
        <f>IF(ISERROR(VLOOKUP(B58,Données!$A$3:$X$1479,23,FALSE)),"",VLOOKUP(B58,Données!$A$3:$X$1479,23,FALSE))</f>
        <v/>
      </c>
      <c r="E58" s="74"/>
      <c r="F58" s="358">
        <f>IF(ISERROR(VLOOKUP(B58,Données!$A$3:$U$1479,11,FALSE)),0,VLOOKUP(B58,Données!$A$3:$U$1479,11,FALSE))</f>
        <v>0</v>
      </c>
      <c r="G58" s="74">
        <f t="shared" si="1"/>
        <v>0</v>
      </c>
      <c r="H58" s="363">
        <f>IF(ISERROR(VLOOKUP(B58,Données!$A$3:$U$1479,12,FALSE)),0,VLOOKUP(B58,Données!$A$3:$U$1479,12,FALSE))</f>
        <v>0</v>
      </c>
      <c r="I58" s="74">
        <f>IF(((E58+5)-'Calcul Masse Salariale'!$B$1)&lt;=0,0,(E58+5)-'Calcul Masse Salariale'!$B$1)</f>
        <v>0</v>
      </c>
      <c r="J58" s="91"/>
    </row>
    <row r="59" spans="1:10" ht="15.75" x14ac:dyDescent="0.25">
      <c r="A59" s="497"/>
      <c r="B59" s="74"/>
      <c r="C59" s="74" t="str">
        <f>IF(ISERROR(VLOOKUP(B59,Données!$A$3:$L$1479,5,FALSE)),"",VLOOKUP(B59,Données!$A$3:$L$1479,5,FALSE))</f>
        <v/>
      </c>
      <c r="D59" s="347" t="str">
        <f>IF(ISERROR(VLOOKUP(B59,Données!$A$3:$X$1479,23,FALSE)),"",VLOOKUP(B59,Données!$A$3:$X$1479,23,FALSE))</f>
        <v/>
      </c>
      <c r="E59" s="74"/>
      <c r="F59" s="358">
        <f>IF(ISERROR(VLOOKUP(B59,Données!$A$3:$U$1479,11,FALSE)),0,VLOOKUP(B59,Données!$A$3:$U$1479,11,FALSE))</f>
        <v>0</v>
      </c>
      <c r="G59" s="74">
        <f t="shared" si="1"/>
        <v>0</v>
      </c>
      <c r="H59" s="363">
        <f>IF(ISERROR(VLOOKUP(B59,Données!$A$3:$U$1479,12,FALSE)),0,VLOOKUP(B59,Données!$A$3:$U$1479,12,FALSE))</f>
        <v>0</v>
      </c>
      <c r="I59" s="74">
        <f>IF(((E59+5)-'Calcul Masse Salariale'!$B$1)&lt;=0,0,(E59+5)-'Calcul Masse Salariale'!$B$1)</f>
        <v>0</v>
      </c>
      <c r="J59" s="91"/>
    </row>
    <row r="60" spans="1:10" ht="15.75" x14ac:dyDescent="0.25">
      <c r="A60" s="497"/>
      <c r="B60" s="74"/>
      <c r="C60" s="74" t="str">
        <f>IF(ISERROR(VLOOKUP(B60,Données!$A$3:$L$1479,5,FALSE)),"",VLOOKUP(B60,Données!$A$3:$L$1479,5,FALSE))</f>
        <v/>
      </c>
      <c r="D60" s="347" t="str">
        <f>IF(ISERROR(VLOOKUP(B60,Données!$A$3:$X$1479,23,FALSE)),"",VLOOKUP(B60,Données!$A$3:$X$1479,23,FALSE))</f>
        <v/>
      </c>
      <c r="E60" s="74"/>
      <c r="F60" s="358">
        <f>IF(ISERROR(VLOOKUP(B60,Données!$A$3:$U$1479,11,FALSE)),0,VLOOKUP(B60,Données!$A$3:$U$1479,11,FALSE))</f>
        <v>0</v>
      </c>
      <c r="G60" s="74">
        <f t="shared" si="1"/>
        <v>0</v>
      </c>
      <c r="H60" s="363">
        <f>IF(ISERROR(VLOOKUP(B60,Données!$A$3:$U$1479,12,FALSE)),0,VLOOKUP(B60,Données!$A$3:$U$1479,12,FALSE))</f>
        <v>0</v>
      </c>
      <c r="I60" s="74">
        <f>IF(((E60+5)-'Calcul Masse Salariale'!$B$1)&lt;=0,0,(E60+5)-'Calcul Masse Salariale'!$B$1)</f>
        <v>0</v>
      </c>
      <c r="J60" s="91"/>
    </row>
    <row r="61" spans="1:10" ht="15.75" x14ac:dyDescent="0.25">
      <c r="A61" s="497"/>
      <c r="B61" s="74"/>
      <c r="C61" s="74" t="str">
        <f>IF(ISERROR(VLOOKUP(B61,Données!$A$3:$L$1479,5,FALSE)),"",VLOOKUP(B61,Données!$A$3:$L$1479,5,FALSE))</f>
        <v/>
      </c>
      <c r="D61" s="347" t="str">
        <f>IF(ISERROR(VLOOKUP(B61,Données!$A$3:$X$1479,23,FALSE)),"",VLOOKUP(B61,Données!$A$3:$X$1479,23,FALSE))</f>
        <v/>
      </c>
      <c r="E61" s="74"/>
      <c r="F61" s="358">
        <f>IF(ISERROR(VLOOKUP(B61,Données!$A$3:$U$1479,11,FALSE)),0,VLOOKUP(B61,Données!$A$3:$U$1479,11,FALSE))</f>
        <v>0</v>
      </c>
      <c r="G61" s="74">
        <f t="shared" si="1"/>
        <v>0</v>
      </c>
      <c r="H61" s="363">
        <f>IF(ISERROR(VLOOKUP(B61,Données!$A$3:$U$1479,12,FALSE)),0,VLOOKUP(B61,Données!$A$3:$U$1479,12,FALSE))</f>
        <v>0</v>
      </c>
      <c r="I61" s="74">
        <f>IF(((E61+5)-'Calcul Masse Salariale'!$B$1)&lt;=0,0,(E61+5)-'Calcul Masse Salariale'!$B$1)</f>
        <v>0</v>
      </c>
      <c r="J61" s="91"/>
    </row>
    <row r="62" spans="1:10" ht="15.75" x14ac:dyDescent="0.25">
      <c r="A62" s="497"/>
      <c r="B62" s="74"/>
      <c r="C62" s="74" t="str">
        <f>IF(ISERROR(VLOOKUP(B62,Données!$A$3:$L$1479,5,FALSE)),"",VLOOKUP(B62,Données!$A$3:$L$1479,5,FALSE))</f>
        <v/>
      </c>
      <c r="D62" s="347" t="str">
        <f>IF(ISERROR(VLOOKUP(B62,Données!$A$3:$X$1479,23,FALSE)),"",VLOOKUP(B62,Données!$A$3:$X$1479,23,FALSE))</f>
        <v/>
      </c>
      <c r="E62" s="74"/>
      <c r="F62" s="358">
        <f>IF(ISERROR(VLOOKUP(B62,Données!$A$3:$U$1479,11,FALSE)),0,VLOOKUP(B62,Données!$A$3:$U$1479,11,FALSE))</f>
        <v>0</v>
      </c>
      <c r="G62" s="74">
        <f t="shared" si="1"/>
        <v>0</v>
      </c>
      <c r="H62" s="363">
        <f>IF(ISERROR(VLOOKUP(B62,Données!$A$3:$U$1479,12,FALSE)),0,VLOOKUP(B62,Données!$A$3:$U$1479,12,FALSE))</f>
        <v>0</v>
      </c>
      <c r="I62" s="74">
        <f>IF(((E62+5)-'Calcul Masse Salariale'!$B$1)&lt;=0,0,(E62+5)-'Calcul Masse Salariale'!$B$1)</f>
        <v>0</v>
      </c>
      <c r="J62" s="91"/>
    </row>
    <row r="63" spans="1:10" ht="15.75" x14ac:dyDescent="0.25">
      <c r="A63" s="497"/>
      <c r="B63" s="74"/>
      <c r="C63" s="74" t="str">
        <f>IF(ISERROR(VLOOKUP(B63,Données!$A$3:$L$1479,5,FALSE)),"",VLOOKUP(B63,Données!$A$3:$L$1479,5,FALSE))</f>
        <v/>
      </c>
      <c r="D63" s="347" t="str">
        <f>IF(ISERROR(VLOOKUP(B63,Données!$A$3:$X$1479,23,FALSE)),"",VLOOKUP(B63,Données!$A$3:$X$1479,23,FALSE))</f>
        <v/>
      </c>
      <c r="E63" s="74"/>
      <c r="F63" s="358">
        <f>IF(ISERROR(VLOOKUP(B63,Données!$A$3:$U$1479,11,FALSE)),0,VLOOKUP(B63,Données!$A$3:$U$1479,11,FALSE))</f>
        <v>0</v>
      </c>
      <c r="G63" s="74">
        <f t="shared" si="1"/>
        <v>0</v>
      </c>
      <c r="H63" s="363">
        <f>IF(ISERROR(VLOOKUP(B63,Données!$A$3:$U$1479,12,FALSE)),0,VLOOKUP(B63,Données!$A$3:$U$1479,12,FALSE))</f>
        <v>0</v>
      </c>
      <c r="I63" s="74">
        <f>IF(((E63+5)-'Calcul Masse Salariale'!$B$1)&lt;=0,0,(E63+5)-'Calcul Masse Salariale'!$B$1)</f>
        <v>0</v>
      </c>
      <c r="J63" s="91"/>
    </row>
    <row r="64" spans="1:10" ht="15.75" x14ac:dyDescent="0.25">
      <c r="A64" s="497"/>
      <c r="B64" s="74"/>
      <c r="C64" s="74" t="str">
        <f>IF(ISERROR(VLOOKUP(B64,Données!$A$3:$L$1479,5,FALSE)),"",VLOOKUP(B64,Données!$A$3:$L$1479,5,FALSE))</f>
        <v/>
      </c>
      <c r="D64" s="347" t="str">
        <f>IF(ISERROR(VLOOKUP(B64,Données!$A$3:$X$1479,23,FALSE)),"",VLOOKUP(B64,Données!$A$3:$X$1479,23,FALSE))</f>
        <v/>
      </c>
      <c r="E64" s="74"/>
      <c r="F64" s="358">
        <f>IF(ISERROR(VLOOKUP(B64,Données!$A$3:$U$1479,11,FALSE)),0,VLOOKUP(B64,Données!$A$3:$U$1479,11,FALSE))</f>
        <v>0</v>
      </c>
      <c r="G64" s="74">
        <f t="shared" si="1"/>
        <v>0</v>
      </c>
      <c r="H64" s="363">
        <f>IF(ISERROR(VLOOKUP(B64,Données!$A$3:$U$1479,12,FALSE)),0,VLOOKUP(B64,Données!$A$3:$U$1479,12,FALSE))</f>
        <v>0</v>
      </c>
      <c r="I64" s="74">
        <f>IF(((E64+5)-'Calcul Masse Salariale'!$B$1)&lt;=0,0,(E64+5)-'Calcul Masse Salariale'!$B$1)</f>
        <v>0</v>
      </c>
      <c r="J64" s="91"/>
    </row>
    <row r="65" spans="1:10" ht="15.75" x14ac:dyDescent="0.25">
      <c r="A65" s="497"/>
      <c r="B65" s="74"/>
      <c r="C65" s="74" t="str">
        <f>IF(ISERROR(VLOOKUP(B65,Données!$A$3:$L$1479,5,FALSE)),"",VLOOKUP(B65,Données!$A$3:$L$1479,5,FALSE))</f>
        <v/>
      </c>
      <c r="D65" s="347" t="str">
        <f>IF(ISERROR(VLOOKUP(B65,Données!$A$3:$X$1479,23,FALSE)),"",VLOOKUP(B65,Données!$A$3:$X$1479,23,FALSE))</f>
        <v/>
      </c>
      <c r="E65" s="74"/>
      <c r="F65" s="358">
        <f>IF(ISERROR(VLOOKUP(B65,Données!$A$3:$U$1479,11,FALSE)),0,VLOOKUP(B65,Données!$A$3:$U$1479,11,FALSE))</f>
        <v>0</v>
      </c>
      <c r="G65" s="74">
        <f t="shared" si="1"/>
        <v>0</v>
      </c>
      <c r="H65" s="363">
        <f>IF(ISERROR(VLOOKUP(B65,Données!$A$3:$U$1479,12,FALSE)),0,VLOOKUP(B65,Données!$A$3:$U$1479,12,FALSE))</f>
        <v>0</v>
      </c>
      <c r="I65" s="74">
        <f>IF(((E65+5)-'Calcul Masse Salariale'!$B$1)&lt;=0,0,(E65+5)-'Calcul Masse Salariale'!$B$1)</f>
        <v>0</v>
      </c>
      <c r="J65" s="91"/>
    </row>
    <row r="66" spans="1:10" ht="15.75" x14ac:dyDescent="0.25">
      <c r="A66" s="497"/>
      <c r="B66" s="74"/>
      <c r="C66" s="74" t="str">
        <f>IF(ISERROR(VLOOKUP(B66,Données!$A$3:$L$1479,5,FALSE)),"",VLOOKUP(B66,Données!$A$3:$L$1479,5,FALSE))</f>
        <v/>
      </c>
      <c r="D66" s="347" t="str">
        <f>IF(ISERROR(VLOOKUP(B66,Données!$A$3:$X$1479,23,FALSE)),"",VLOOKUP(B66,Données!$A$3:$X$1479,23,FALSE))</f>
        <v/>
      </c>
      <c r="E66" s="74"/>
      <c r="F66" s="358">
        <f>IF(ISERROR(VLOOKUP(B66,Données!$A$3:$U$1479,11,FALSE)),0,VLOOKUP(B66,Données!$A$3:$U$1479,11,FALSE))</f>
        <v>0</v>
      </c>
      <c r="G66" s="74">
        <f t="shared" si="1"/>
        <v>0</v>
      </c>
      <c r="H66" s="363">
        <f>IF(ISERROR(VLOOKUP(B66,Données!$A$3:$U$1479,12,FALSE)),0,VLOOKUP(B66,Données!$A$3:$U$1479,12,FALSE))</f>
        <v>0</v>
      </c>
      <c r="I66" s="74">
        <f>IF(((E66+5)-'Calcul Masse Salariale'!$B$1)&lt;=0,0,(E66+5)-'Calcul Masse Salariale'!$B$1)</f>
        <v>0</v>
      </c>
      <c r="J66" s="91"/>
    </row>
    <row r="67" spans="1:10" ht="15.75" x14ac:dyDescent="0.25">
      <c r="A67" s="497"/>
      <c r="B67" s="74"/>
      <c r="C67" s="74" t="str">
        <f>IF(ISERROR(VLOOKUP(B67,Données!$A$3:$L$1479,5,FALSE)),"",VLOOKUP(B67,Données!$A$3:$L$1479,5,FALSE))</f>
        <v/>
      </c>
      <c r="D67" s="347" t="str">
        <f>IF(ISERROR(VLOOKUP(B67,Données!$A$3:$X$1479,23,FALSE)),"",VLOOKUP(B67,Données!$A$3:$X$1479,23,FALSE))</f>
        <v/>
      </c>
      <c r="E67" s="74"/>
      <c r="F67" s="358">
        <f>IF(ISERROR(VLOOKUP(B67,Données!$A$3:$U$1479,11,FALSE)),0,VLOOKUP(B67,Données!$A$3:$U$1479,11,FALSE))</f>
        <v>0</v>
      </c>
      <c r="G67" s="74">
        <f t="shared" si="1"/>
        <v>0</v>
      </c>
      <c r="H67" s="363">
        <f>IF(ISERROR(VLOOKUP(B67,Données!$A$3:$U$1479,12,FALSE)),0,VLOOKUP(B67,Données!$A$3:$U$1479,12,FALSE))</f>
        <v>0</v>
      </c>
      <c r="I67" s="74">
        <f>IF(((E67+5)-'Calcul Masse Salariale'!$B$1)&lt;=0,0,(E67+5)-'Calcul Masse Salariale'!$B$1)</f>
        <v>0</v>
      </c>
      <c r="J67" s="91"/>
    </row>
    <row r="68" spans="1:10" ht="15.75" x14ac:dyDescent="0.25">
      <c r="A68" s="497"/>
      <c r="B68" s="74"/>
      <c r="C68" s="74" t="str">
        <f>IF(ISERROR(VLOOKUP(B68,Données!$A$3:$L$1479,5,FALSE)),"",VLOOKUP(B68,Données!$A$3:$L$1479,5,FALSE))</f>
        <v/>
      </c>
      <c r="D68" s="347" t="str">
        <f>IF(ISERROR(VLOOKUP(B68,Données!$A$3:$X$1479,23,FALSE)),"",VLOOKUP(B68,Données!$A$3:$X$1479,23,FALSE))</f>
        <v/>
      </c>
      <c r="E68" s="74"/>
      <c r="F68" s="358">
        <f>IF(ISERROR(VLOOKUP(B68,Données!$A$3:$U$1479,11,FALSE)),0,VLOOKUP(B68,Données!$A$3:$U$1479,11,FALSE))</f>
        <v>0</v>
      </c>
      <c r="G68" s="74">
        <f t="shared" si="1"/>
        <v>0</v>
      </c>
      <c r="H68" s="363">
        <f>IF(ISERROR(VLOOKUP(B68,Données!$A$3:$U$1479,12,FALSE)),0,VLOOKUP(B68,Données!$A$3:$U$1479,12,FALSE))</f>
        <v>0</v>
      </c>
      <c r="I68" s="74">
        <f>IF(((E68+5)-'Calcul Masse Salariale'!$B$1)&lt;=0,0,(E68+5)-'Calcul Masse Salariale'!$B$1)</f>
        <v>0</v>
      </c>
      <c r="J68" s="91"/>
    </row>
    <row r="69" spans="1:10" ht="15.75" x14ac:dyDescent="0.25">
      <c r="A69" s="497"/>
      <c r="B69" s="74"/>
      <c r="C69" s="74" t="str">
        <f>IF(ISERROR(VLOOKUP(B69,Données!$A$3:$L$1479,5,FALSE)),"",VLOOKUP(B69,Données!$A$3:$L$1479,5,FALSE))</f>
        <v/>
      </c>
      <c r="D69" s="347" t="str">
        <f>IF(ISERROR(VLOOKUP(B69,Données!$A$3:$X$1479,23,FALSE)),"",VLOOKUP(B69,Données!$A$3:$X$1479,23,FALSE))</f>
        <v/>
      </c>
      <c r="E69" s="74"/>
      <c r="F69" s="358">
        <f>IF(ISERROR(VLOOKUP(B69,Données!$A$3:$U$1479,11,FALSE)),0,VLOOKUP(B69,Données!$A$3:$U$1479,11,FALSE))</f>
        <v>0</v>
      </c>
      <c r="G69" s="74">
        <f t="shared" si="1"/>
        <v>0</v>
      </c>
      <c r="H69" s="363">
        <f>IF(ISERROR(VLOOKUP(B69,Données!$A$3:$U$1479,12,FALSE)),0,VLOOKUP(B69,Données!$A$3:$U$1479,12,FALSE))</f>
        <v>0</v>
      </c>
      <c r="I69" s="74">
        <f>IF(((E69+5)-'Calcul Masse Salariale'!$B$1)&lt;=0,0,(E69+5)-'Calcul Masse Salariale'!$B$1)</f>
        <v>0</v>
      </c>
      <c r="J69" s="91"/>
    </row>
    <row r="70" spans="1:10" ht="15.75" x14ac:dyDescent="0.25">
      <c r="A70" s="497"/>
      <c r="B70" s="74"/>
      <c r="C70" s="74" t="str">
        <f>IF(ISERROR(VLOOKUP(B70,Données!$A$3:$L$1479,5,FALSE)),"",VLOOKUP(B70,Données!$A$3:$L$1479,5,FALSE))</f>
        <v/>
      </c>
      <c r="D70" s="347" t="str">
        <f>IF(ISERROR(VLOOKUP(B70,Données!$A$3:$X$1479,23,FALSE)),"",VLOOKUP(B70,Données!$A$3:$X$1479,23,FALSE))</f>
        <v/>
      </c>
      <c r="E70" s="74"/>
      <c r="F70" s="358">
        <f>IF(ISERROR(VLOOKUP(B70,Données!$A$3:$U$1479,11,FALSE)),0,VLOOKUP(B70,Données!$A$3:$U$1479,11,FALSE))</f>
        <v>0</v>
      </c>
      <c r="G70" s="74">
        <f t="shared" si="1"/>
        <v>0</v>
      </c>
      <c r="H70" s="363">
        <f>IF(ISERROR(VLOOKUP(B70,Données!$A$3:$U$1479,12,FALSE)),0,VLOOKUP(B70,Données!$A$3:$U$1479,12,FALSE))</f>
        <v>0</v>
      </c>
      <c r="I70" s="74">
        <f>IF(((E70+5)-'Calcul Masse Salariale'!$B$1)&lt;=0,0,(E70+5)-'Calcul Masse Salariale'!$B$1)</f>
        <v>0</v>
      </c>
      <c r="J70" s="91"/>
    </row>
    <row r="71" spans="1:10" ht="15.75" x14ac:dyDescent="0.25">
      <c r="A71" s="497"/>
      <c r="B71" s="74"/>
      <c r="C71" s="74" t="str">
        <f>IF(ISERROR(VLOOKUP(B71,Données!$A$3:$L$1479,5,FALSE)),"",VLOOKUP(B71,Données!$A$3:$L$1479,5,FALSE))</f>
        <v/>
      </c>
      <c r="D71" s="347" t="str">
        <f>IF(ISERROR(VLOOKUP(B71,Données!$A$3:$X$1479,23,FALSE)),"",VLOOKUP(B71,Données!$A$3:$X$1479,23,FALSE))</f>
        <v/>
      </c>
      <c r="E71" s="74"/>
      <c r="F71" s="358">
        <f>IF(ISERROR(VLOOKUP(B71,Données!$A$3:$U$1479,11,FALSE)),0,VLOOKUP(B71,Données!$A$3:$U$1479,11,FALSE))</f>
        <v>0</v>
      </c>
      <c r="G71" s="74">
        <f t="shared" si="1"/>
        <v>0</v>
      </c>
      <c r="H71" s="363">
        <f>IF(ISERROR(VLOOKUP(B71,Données!$A$3:$U$1479,12,FALSE)),0,VLOOKUP(B71,Données!$A$3:$U$1479,12,FALSE))</f>
        <v>0</v>
      </c>
      <c r="I71" s="74">
        <f>IF(((E71+5)-'Calcul Masse Salariale'!$B$1)&lt;=0,0,(E71+5)-'Calcul Masse Salariale'!$B$1)</f>
        <v>0</v>
      </c>
      <c r="J71" s="91"/>
    </row>
    <row r="72" spans="1:10" ht="15.75" x14ac:dyDescent="0.25">
      <c r="A72" s="497"/>
      <c r="B72" s="74"/>
      <c r="C72" s="74" t="str">
        <f>IF(ISERROR(VLOOKUP(B72,Données!$A$3:$L$1479,5,FALSE)),"",VLOOKUP(B72,Données!$A$3:$L$1479,5,FALSE))</f>
        <v/>
      </c>
      <c r="D72" s="347" t="str">
        <f>IF(ISERROR(VLOOKUP(B72,Données!$A$3:$X$1479,23,FALSE)),"",VLOOKUP(B72,Données!$A$3:$X$1479,23,FALSE))</f>
        <v/>
      </c>
      <c r="E72" s="74"/>
      <c r="F72" s="358">
        <f>IF(ISERROR(VLOOKUP(B72,Données!$A$3:$U$1479,11,FALSE)),0,VLOOKUP(B72,Données!$A$3:$U$1479,11,FALSE))</f>
        <v>0</v>
      </c>
      <c r="G72" s="74">
        <f t="shared" si="1"/>
        <v>0</v>
      </c>
      <c r="H72" s="363">
        <f>IF(ISERROR(VLOOKUP(B72,Données!$A$3:$U$1479,12,FALSE)),0,VLOOKUP(B72,Données!$A$3:$U$1479,12,FALSE))</f>
        <v>0</v>
      </c>
      <c r="I72" s="74">
        <f>IF(((E72+5)-'Calcul Masse Salariale'!$B$1)&lt;=0,0,(E72+5)-'Calcul Masse Salariale'!$B$1)</f>
        <v>0</v>
      </c>
      <c r="J72" s="91"/>
    </row>
    <row r="73" spans="1:10" ht="15.75" x14ac:dyDescent="0.25">
      <c r="A73" s="497"/>
      <c r="B73" s="74"/>
      <c r="C73" s="74" t="str">
        <f>IF(ISERROR(VLOOKUP(B73,Données!$A$3:$L$1479,5,FALSE)),"",VLOOKUP(B73,Données!$A$3:$L$1479,5,FALSE))</f>
        <v/>
      </c>
      <c r="D73" s="347" t="str">
        <f>IF(ISERROR(VLOOKUP(B73,Données!$A$3:$X$1479,23,FALSE)),"",VLOOKUP(B73,Données!$A$3:$X$1479,23,FALSE))</f>
        <v/>
      </c>
      <c r="E73" s="74"/>
      <c r="F73" s="358">
        <f>IF(ISERROR(VLOOKUP(B73,Données!$A$3:$U$1479,11,FALSE)),0,VLOOKUP(B73,Données!$A$3:$U$1479,11,FALSE))</f>
        <v>0</v>
      </c>
      <c r="G73" s="74">
        <f t="shared" si="1"/>
        <v>0</v>
      </c>
      <c r="H73" s="363">
        <f>IF(ISERROR(VLOOKUP(B73,Données!$A$3:$U$1479,12,FALSE)),0,VLOOKUP(B73,Données!$A$3:$U$1479,12,FALSE))</f>
        <v>0</v>
      </c>
      <c r="I73" s="74">
        <f>IF(((E73+5)-'Calcul Masse Salariale'!$B$1)&lt;=0,0,(E73+5)-'Calcul Masse Salariale'!$B$1)</f>
        <v>0</v>
      </c>
    </row>
    <row r="74" spans="1:10" x14ac:dyDescent="0.25">
      <c r="B74" s="74"/>
      <c r="C74" s="74" t="str">
        <f>IF(ISERROR(VLOOKUP(B74,Données!$E$3:$L$1479,2,FALSE)),"",VLOOKUP(B74,Données!$E$3:$L$1479,2,FALSE))</f>
        <v/>
      </c>
      <c r="D74" s="74" t="str">
        <f>IF(ISERROR(VLOOKUP(B74,Données!$E$3:$X$1479,17,FALSE)),"",VLOOKUP(B74,Données!$E$3:$X$1479,17,FALSE))</f>
        <v/>
      </c>
      <c r="E74" s="74"/>
      <c r="F74" s="358">
        <f>IF(ISERROR(VLOOKUP(B74,Données!$A$3:$U$1479,11,FALSE)),0,VLOOKUP(B74,Données!$A$3:$U$1479,11,FALSE))</f>
        <v>0</v>
      </c>
      <c r="G74" s="401">
        <f>IF(ISERROR(VLOOKUP(#REF!,Données!$A$3:$U$1479,20,FALSE)),0,VLOOKUP(#REF!,Données!$A$3:$U$1479,20,FALSE))</f>
        <v>0</v>
      </c>
      <c r="H74" s="74"/>
      <c r="I74" s="74"/>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9">
      <iconSet iconSet="3Symbols" showValue="0" reverse="1">
        <cfvo type="percent" val="0"/>
        <cfvo type="num" val="0.5" gte="0"/>
        <cfvo type="num" val="1"/>
      </iconSet>
    </cfRule>
  </conditionalFormatting>
  <conditionalFormatting sqref="H3:H30">
    <cfRule type="expression" dxfId="19" priority="6">
      <formula>(F3&lt;&gt;H3)</formula>
    </cfRule>
  </conditionalFormatting>
  <conditionalFormatting sqref="I74 G53:G73">
    <cfRule type="iconSet" priority="4">
      <iconSet iconSet="3Flags" showValue="0">
        <cfvo type="percent" val="0"/>
        <cfvo type="num" val="1"/>
        <cfvo type="num" val="2"/>
      </iconSet>
    </cfRule>
  </conditionalFormatting>
  <conditionalFormatting sqref="G35">
    <cfRule type="iconSet" priority="3">
      <iconSet iconSet="3Symbols" showValue="0" reverse="1">
        <cfvo type="percent" val="0"/>
        <cfvo type="num" val="0.5" gte="0"/>
        <cfvo type="num" val="1"/>
      </iconSet>
    </cfRule>
  </conditionalFormatting>
  <conditionalFormatting sqref="G39:G52">
    <cfRule type="iconSet" priority="66">
      <iconSet iconSet="3Flags" showValue="0">
        <cfvo type="percent" val="0"/>
        <cfvo type="num" val="1"/>
        <cfvo type="num" val="2"/>
      </iconSet>
    </cfRule>
  </conditionalFormatting>
  <conditionalFormatting sqref="H39:H73">
    <cfRule type="expression" dxfId="18" priority="1">
      <formula>(F39&lt;&gt;H39)</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8" id="{368A1CA6-1EF4-495F-AFF4-235467C04810}">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0C9CE785-4204-4979-A14F-B65D38CB83DD}">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T80"/>
  <sheetViews>
    <sheetView zoomScale="85" zoomScaleNormal="85" workbookViewId="0">
      <selection activeCell="B4" sqref="B4"/>
    </sheetView>
  </sheetViews>
  <sheetFormatPr baseColWidth="10" defaultColWidth="11.42578125" defaultRowHeight="15" x14ac:dyDescent="0.25"/>
  <cols>
    <col min="1" max="1" width="12.42578125" style="213" customWidth="1"/>
    <col min="2" max="2" width="24.7109375" style="213" customWidth="1"/>
    <col min="3" max="3" width="7.140625" style="228" bestFit="1" customWidth="1"/>
    <col min="4" max="4" width="4" style="228" bestFit="1" customWidth="1"/>
    <col min="5" max="5" width="13.140625" style="213" bestFit="1" customWidth="1"/>
    <col min="6" max="6" width="25.7109375" style="213" bestFit="1" customWidth="1"/>
    <col min="7" max="7" width="15.42578125" style="239" bestFit="1" customWidth="1"/>
    <col min="8" max="8" width="24.5703125" style="213" bestFit="1" customWidth="1"/>
    <col min="9" max="9" width="11.28515625" style="213" customWidth="1"/>
    <col min="10" max="10" width="2" style="213" customWidth="1"/>
    <col min="11" max="11" width="15.28515625" style="213" customWidth="1"/>
    <col min="12" max="12" width="25.140625" style="213" customWidth="1"/>
    <col min="13" max="13" width="2" style="212" customWidth="1"/>
    <col min="14" max="14" width="13.5703125" style="213" customWidth="1"/>
    <col min="15" max="15" width="20.5703125" style="213" customWidth="1"/>
    <col min="16" max="16" width="24.42578125" style="213" customWidth="1"/>
    <col min="17" max="17" width="13" style="213" customWidth="1"/>
    <col min="18" max="16384" width="11.42578125" style="213"/>
  </cols>
  <sheetData>
    <row r="1" spans="1:20" ht="21.75" thickBot="1" x14ac:dyDescent="0.4">
      <c r="A1" s="593" t="s">
        <v>41</v>
      </c>
      <c r="B1" s="593"/>
      <c r="C1" s="593"/>
      <c r="D1" s="346"/>
      <c r="E1" s="210" t="s">
        <v>187</v>
      </c>
      <c r="F1" s="300">
        <f>SUM(F3:F30)</f>
        <v>0</v>
      </c>
      <c r="G1" s="210" t="s">
        <v>188</v>
      </c>
      <c r="H1" s="300">
        <f>F32</f>
        <v>102000000</v>
      </c>
      <c r="I1" s="211"/>
      <c r="J1" s="212"/>
      <c r="K1" s="214" t="s">
        <v>59</v>
      </c>
      <c r="L1" s="214"/>
      <c r="N1" s="212"/>
      <c r="O1" s="600" t="s">
        <v>45</v>
      </c>
      <c r="P1" s="600"/>
      <c r="Q1" s="600"/>
      <c r="R1" s="600"/>
      <c r="S1" s="238"/>
    </row>
    <row r="2" spans="1:20" ht="30" x14ac:dyDescent="0.25">
      <c r="A2" s="586" t="s">
        <v>38</v>
      </c>
      <c r="B2" s="215" t="s">
        <v>36</v>
      </c>
      <c r="C2" s="215" t="s">
        <v>52</v>
      </c>
      <c r="D2" s="215" t="s">
        <v>403</v>
      </c>
      <c r="E2" s="215" t="s">
        <v>5</v>
      </c>
      <c r="F2" s="216" t="s">
        <v>1155</v>
      </c>
      <c r="G2" s="217" t="s">
        <v>189</v>
      </c>
      <c r="H2" s="218" t="s">
        <v>2676</v>
      </c>
      <c r="I2" s="219" t="s">
        <v>2403</v>
      </c>
      <c r="J2" s="212"/>
      <c r="K2" s="41" t="s">
        <v>2427</v>
      </c>
      <c r="L2" s="41" t="s">
        <v>2428</v>
      </c>
      <c r="N2" s="221" t="s">
        <v>112</v>
      </c>
      <c r="O2" s="375" t="s">
        <v>108</v>
      </c>
      <c r="P2" s="383" t="s">
        <v>109</v>
      </c>
      <c r="Q2" s="220" t="s">
        <v>46</v>
      </c>
      <c r="R2" s="220" t="s">
        <v>55</v>
      </c>
    </row>
    <row r="3" spans="1:20" ht="15.75" x14ac:dyDescent="0.25">
      <c r="A3" s="586"/>
      <c r="B3" s="209" t="s">
        <v>3020</v>
      </c>
      <c r="C3" s="223" t="str">
        <f>IF(ISERROR(VLOOKUP(B3,Données!$A$3:$L$1479,5,FALSE)),"",VLOOKUP(B3,Données!$A$3:$L$1479,5,FALSE))</f>
        <v>Kesler, Ryan</v>
      </c>
      <c r="D3" s="347">
        <f>IF(ISERROR(VLOOKUP(B3,Données!$A$3:$X$1479,23,FALSE)),"",VLOOKUP(B3,Données!$A$3:$X$1479,23,FALSE))</f>
        <v>1</v>
      </c>
      <c r="E3" s="223" t="str">
        <f>IF(ISERROR(VLOOKUP(B3,Données!$A$3:$L$1479,7,FALSE)),"",VLOOKUP(B3,Données!$A$3:$L$1479,7,FALSE))</f>
        <v>NMC</v>
      </c>
      <c r="F3" s="224">
        <f>IF(ISERROR(VLOOKUP(B3,Données!$A$3:$U$1479,11,FALSE)),0,VLOOKUP(B3,Données!$A$3:$U$1479,11,FALSE))</f>
        <v>0</v>
      </c>
      <c r="G3" s="225">
        <f>VALUE(COUNTIF(Validation!$A$2:$H$64,B3))-1</f>
        <v>0</v>
      </c>
      <c r="H3" s="363">
        <f>IF(ISERROR(VLOOKUP(B3,Données!$A$3:$U$1479,12,FALSE)),0,VLOOKUP(B3,Données!$A$3:$U$1479,12,FALSE))</f>
        <v>6875000</v>
      </c>
      <c r="I3" s="226">
        <f>IF(ISERROR(VLOOKUP(B3,Données!$A$3:$U$1479,20,FALSE)),0,VLOOKUP(B3,Données!$A$3:$U$1479,20,FALSE))</f>
        <v>0</v>
      </c>
      <c r="J3" s="212"/>
      <c r="K3" s="41" t="s">
        <v>2434</v>
      </c>
      <c r="L3" s="41" t="s">
        <v>49</v>
      </c>
      <c r="N3" s="41"/>
      <c r="O3" s="41"/>
      <c r="P3" s="41"/>
      <c r="Q3" s="291"/>
      <c r="R3" s="291" t="str">
        <f>IF(Q3="","",Q3+7)</f>
        <v/>
      </c>
    </row>
    <row r="4" spans="1:20" ht="15.75" x14ac:dyDescent="0.25">
      <c r="A4" s="586"/>
      <c r="B4" s="274" t="s">
        <v>3021</v>
      </c>
      <c r="C4" s="223" t="str">
        <f>IF(ISERROR(VLOOKUP(B4,Données!$A$3:$L$1479,5,FALSE)),"",VLOOKUP(B4,Données!$A$3:$L$1479,5,FALSE))</f>
        <v/>
      </c>
      <c r="D4" s="347" t="str">
        <f>IF(ISERROR(VLOOKUP(B4,Données!$A$3:$X$1479,23,FALSE)),"",VLOOKUP(B4,Données!$A$3:$X$1479,23,FALSE))</f>
        <v/>
      </c>
      <c r="E4" s="223" t="str">
        <f>IF(ISERROR(VLOOKUP(B4,Données!$A$3:$L$1479,7,FALSE)),"",VLOOKUP(B4,Données!$A$3:$L$1479,7,FALSE))</f>
        <v/>
      </c>
      <c r="F4" s="224">
        <f>IF(ISERROR(VLOOKUP(B4,Données!$A$3:$U$1479,11,FALSE)),0,VLOOKUP(B4,Données!$A$3:$U$1479,11,FALSE))</f>
        <v>0</v>
      </c>
      <c r="G4" s="225">
        <f>VALUE(COUNTIF(Validation!$A$2:$H$64,B4))-1</f>
        <v>0</v>
      </c>
      <c r="H4" s="363">
        <f>IF(ISERROR(VLOOKUP(B4,Données!$A$3:$U$1479,12,FALSE)),0,VLOOKUP(B4,Données!$A$3:$U$1479,12,FALSE))</f>
        <v>0</v>
      </c>
      <c r="I4" s="226">
        <f>IF(ISERROR(VLOOKUP(B4,Données!$A$3:$U$1479,20,FALSE)),0,VLOOKUP(B4,Données!$A$3:$U$1479,20,FALSE))</f>
        <v>0</v>
      </c>
      <c r="J4" s="212"/>
      <c r="K4" s="41"/>
      <c r="L4" s="41"/>
      <c r="O4" s="41"/>
      <c r="P4" s="41"/>
      <c r="Q4" s="291"/>
      <c r="R4" s="291" t="str">
        <f t="shared" ref="R4:R38" si="0">IF(Q4="","",Q4+7)</f>
        <v/>
      </c>
    </row>
    <row r="5" spans="1:20" ht="15.75" x14ac:dyDescent="0.25">
      <c r="A5" s="586"/>
      <c r="B5" s="274"/>
      <c r="C5" s="223" t="str">
        <f>IF(ISERROR(VLOOKUP(B5,Données!$A$3:$L$1479,5,FALSE)),"",VLOOKUP(B5,Données!$A$3:$L$1479,5,FALSE))</f>
        <v/>
      </c>
      <c r="D5" s="347" t="str">
        <f>IF(ISERROR(VLOOKUP(B5,Données!$A$3:$X$1479,23,FALSE)),"",VLOOKUP(B5,Données!$A$3:$X$1479,23,FALSE))</f>
        <v/>
      </c>
      <c r="E5" s="223" t="str">
        <f>IF(ISERROR(VLOOKUP(B5,Données!$A$3:$L$1479,7,FALSE)),"",VLOOKUP(B5,Données!$A$3:$L$1479,7,FALSE))</f>
        <v/>
      </c>
      <c r="F5" s="224">
        <f>IF(ISERROR(VLOOKUP(B5,Données!$A$3:$U$1479,11,FALSE)),0,VLOOKUP(B5,Données!$A$3:$U$1479,11,FALSE))</f>
        <v>0</v>
      </c>
      <c r="G5" s="225">
        <f>VALUE(COUNTIF(Validation!$A$2:$H$64,B5))-1</f>
        <v>229</v>
      </c>
      <c r="H5" s="363">
        <f>IF(ISERROR(VLOOKUP(B5,Données!$A$3:$U$1479,12,FALSE)),0,VLOOKUP(B5,Données!$A$3:$U$1479,12,FALSE))</f>
        <v>0</v>
      </c>
      <c r="I5" s="226">
        <f>IF(ISERROR(VLOOKUP(B5,Données!$A$3:$U$1479,20,FALSE)),0,VLOOKUP(B5,Données!$A$3:$U$1479,20,FALSE))</f>
        <v>0</v>
      </c>
      <c r="J5" s="212"/>
      <c r="K5" s="227"/>
      <c r="O5" s="41"/>
      <c r="P5" s="41"/>
      <c r="Q5" s="291"/>
      <c r="R5" s="291" t="str">
        <f t="shared" si="0"/>
        <v/>
      </c>
    </row>
    <row r="6" spans="1:20" ht="15.75" x14ac:dyDescent="0.25">
      <c r="A6" s="586"/>
      <c r="B6" s="209"/>
      <c r="C6" s="223" t="str">
        <f>IF(ISERROR(VLOOKUP(B6,Données!$A$3:$L$1479,5,FALSE)),"",VLOOKUP(B6,Données!$A$3:$L$1479,5,FALSE))</f>
        <v/>
      </c>
      <c r="D6" s="347" t="str">
        <f>IF(ISERROR(VLOOKUP(B6,Données!$A$3:$X$1479,23,FALSE)),"",VLOOKUP(B6,Données!$A$3:$X$1479,23,FALSE))</f>
        <v/>
      </c>
      <c r="E6" s="223" t="str">
        <f>IF(ISERROR(VLOOKUP(B6,Données!$A$3:$L$1479,7,FALSE)),"",VLOOKUP(B6,Données!$A$3:$L$1479,7,FALSE))</f>
        <v/>
      </c>
      <c r="F6" s="224">
        <f>IF(ISERROR(VLOOKUP(B6,Données!$A$3:$U$1479,11,FALSE)),0,VLOOKUP(B6,Données!$A$3:$U$1479,11,FALSE))</f>
        <v>0</v>
      </c>
      <c r="G6" s="225">
        <f>VALUE(COUNTIF(Validation!$A$2:$H$64,B6))-1</f>
        <v>229</v>
      </c>
      <c r="H6" s="363">
        <f>IF(ISERROR(VLOOKUP(B6,Données!$A$3:$U$1479,12,FALSE)),0,VLOOKUP(B6,Données!$A$3:$U$1479,12,FALSE))</f>
        <v>0</v>
      </c>
      <c r="I6" s="226">
        <f>IF(ISERROR(VLOOKUP(B6,Données!$A$3:$U$1479,20,FALSE)),0,VLOOKUP(B6,Données!$A$3:$U$1479,20,FALSE))</f>
        <v>0</v>
      </c>
      <c r="J6" s="212"/>
      <c r="O6" s="41"/>
      <c r="P6" s="41"/>
      <c r="Q6" s="291"/>
      <c r="R6" s="291" t="str">
        <f t="shared" si="0"/>
        <v/>
      </c>
    </row>
    <row r="7" spans="1:20" ht="15.75" x14ac:dyDescent="0.25">
      <c r="A7" s="586"/>
      <c r="B7" s="209"/>
      <c r="C7" s="223" t="str">
        <f>IF(ISERROR(VLOOKUP(B7,Données!$A$3:$L$1479,5,FALSE)),"",VLOOKUP(B7,Données!$A$3:$L$1479,5,FALSE))</f>
        <v/>
      </c>
      <c r="D7" s="347" t="str">
        <f>IF(ISERROR(VLOOKUP(B7,Données!$A$3:$X$1479,23,FALSE)),"",VLOOKUP(B7,Données!$A$3:$X$1479,23,FALSE))</f>
        <v/>
      </c>
      <c r="E7" s="223" t="str">
        <f>IF(ISERROR(VLOOKUP(B7,Données!$A$3:$L$1479,7,FALSE)),"",VLOOKUP(B7,Données!$A$3:$L$1479,7,FALSE))</f>
        <v/>
      </c>
      <c r="F7" s="224">
        <f>IF(ISERROR(VLOOKUP(B7,Données!$A$3:$U$1479,11,FALSE)),0,VLOOKUP(B7,Données!$A$3:$U$1479,11,FALSE))</f>
        <v>0</v>
      </c>
      <c r="G7" s="225">
        <f>VALUE(COUNTIF(Validation!$A$2:$H$64,B7))-1</f>
        <v>229</v>
      </c>
      <c r="H7" s="363">
        <f>IF(ISERROR(VLOOKUP(B7,Données!$A$3:$U$1479,12,FALSE)),0,VLOOKUP(B7,Données!$A$3:$U$1479,12,FALSE))</f>
        <v>0</v>
      </c>
      <c r="I7" s="226">
        <f>IF(ISERROR(VLOOKUP(B7,Données!$A$3:$U$1479,20,FALSE)),0,VLOOKUP(B7,Données!$A$3:$U$1479,20,FALSE))</f>
        <v>0</v>
      </c>
      <c r="J7" s="212"/>
      <c r="N7" s="391"/>
      <c r="O7" s="41"/>
      <c r="P7" s="41"/>
      <c r="Q7" s="291"/>
      <c r="R7" s="291" t="str">
        <f t="shared" si="0"/>
        <v/>
      </c>
      <c r="S7" s="391"/>
      <c r="T7" s="391"/>
    </row>
    <row r="8" spans="1:20" ht="15.75" x14ac:dyDescent="0.25">
      <c r="A8" s="586"/>
      <c r="B8" s="222"/>
      <c r="C8" s="223" t="str">
        <f>IF(ISERROR(VLOOKUP(B8,Données!$A$3:$L$1479,5,FALSE)),"",VLOOKUP(B8,Données!$A$3:$L$1479,5,FALSE))</f>
        <v/>
      </c>
      <c r="D8" s="347" t="str">
        <f>IF(ISERROR(VLOOKUP(B8,Données!$A$3:$X$1479,23,FALSE)),"",VLOOKUP(B8,Données!$A$3:$X$1479,23,FALSE))</f>
        <v/>
      </c>
      <c r="E8" s="223" t="str">
        <f>IF(ISERROR(VLOOKUP(B8,Données!$A$3:$L$1479,7,FALSE)),"",VLOOKUP(B8,Données!$A$3:$L$1479,7,FALSE))</f>
        <v/>
      </c>
      <c r="F8" s="224">
        <f>IF(ISERROR(VLOOKUP(B8,Données!$A$3:$U$1479,11,FALSE)),0,VLOOKUP(B8,Données!$A$3:$U$1479,11,FALSE))</f>
        <v>0</v>
      </c>
      <c r="G8" s="225">
        <f>VALUE(COUNTIF(Validation!$A$2:$H$64,B8))-1</f>
        <v>229</v>
      </c>
      <c r="H8" s="363">
        <f>IF(ISERROR(VLOOKUP(B8,Données!$A$3:$U$1479,12,FALSE)),0,VLOOKUP(B8,Données!$A$3:$U$1479,12,FALSE))</f>
        <v>0</v>
      </c>
      <c r="I8" s="226">
        <f>IF(ISERROR(VLOOKUP(B8,Données!$A$3:$U$1479,20,FALSE)),0,VLOOKUP(B8,Données!$A$3:$U$1479,20,FALSE))</f>
        <v>0</v>
      </c>
      <c r="J8" s="212"/>
      <c r="N8" s="41"/>
      <c r="O8" s="41"/>
      <c r="Q8" s="291"/>
      <c r="R8" s="291" t="str">
        <f t="shared" si="0"/>
        <v/>
      </c>
    </row>
    <row r="9" spans="1:20" ht="15.75" x14ac:dyDescent="0.25">
      <c r="A9" s="586"/>
      <c r="B9" s="209"/>
      <c r="C9" s="223" t="str">
        <f>IF(ISERROR(VLOOKUP(B9,Données!$A$3:$L$1479,5,FALSE)),"",VLOOKUP(B9,Données!$A$3:$L$1479,5,FALSE))</f>
        <v/>
      </c>
      <c r="D9" s="347" t="str">
        <f>IF(ISERROR(VLOOKUP(B9,Données!$A$3:$X$1479,23,FALSE)),"",VLOOKUP(B9,Données!$A$3:$X$1479,23,FALSE))</f>
        <v/>
      </c>
      <c r="E9" s="223" t="str">
        <f>IF(ISERROR(VLOOKUP(B9,Données!$A$3:$L$1479,7,FALSE)),"",VLOOKUP(B9,Données!$A$3:$L$1479,7,FALSE))</f>
        <v/>
      </c>
      <c r="F9" s="224">
        <f>IF(ISERROR(VLOOKUP(B9,Données!$A$3:$U$1479,11,FALSE)),0,VLOOKUP(B9,Données!$A$3:$U$1479,11,FALSE))</f>
        <v>0</v>
      </c>
      <c r="G9" s="225">
        <f>VALUE(COUNTIF(Validation!$A$2:$H$64,B9))-1</f>
        <v>229</v>
      </c>
      <c r="H9" s="363">
        <f>IF(ISERROR(VLOOKUP(B9,Données!$A$3:$U$1479,12,FALSE)),0,VLOOKUP(B9,Données!$A$3:$U$1479,12,FALSE))</f>
        <v>0</v>
      </c>
      <c r="I9" s="226">
        <f>IF(ISERROR(VLOOKUP(B9,Données!$A$3:$U$1479,20,FALSE)),0,VLOOKUP(B9,Données!$A$3:$U$1479,20,FALSE))</f>
        <v>0</v>
      </c>
      <c r="J9" s="212"/>
      <c r="K9" s="587" t="s">
        <v>60</v>
      </c>
      <c r="L9" s="587"/>
      <c r="O9" s="41"/>
      <c r="P9" s="41"/>
      <c r="Q9" s="291"/>
      <c r="R9" s="291" t="str">
        <f t="shared" si="0"/>
        <v/>
      </c>
    </row>
    <row r="10" spans="1:20" ht="15.75" x14ac:dyDescent="0.25">
      <c r="A10" s="586"/>
      <c r="B10" s="209"/>
      <c r="C10" s="223" t="str">
        <f>IF(ISERROR(VLOOKUP(B10,Données!$A$3:$L$1479,5,FALSE)),"",VLOOKUP(B10,Données!$A$3:$L$1479,5,FALSE))</f>
        <v/>
      </c>
      <c r="D10" s="347" t="str">
        <f>IF(ISERROR(VLOOKUP(B10,Données!$A$3:$X$1479,23,FALSE)),"",VLOOKUP(B10,Données!$A$3:$X$1479,23,FALSE))</f>
        <v/>
      </c>
      <c r="E10" s="223" t="str">
        <f>IF(ISERROR(VLOOKUP(B10,Données!$A$3:$L$1479,7,FALSE)),"",VLOOKUP(B10,Données!$A$3:$L$1479,7,FALSE))</f>
        <v/>
      </c>
      <c r="F10" s="224">
        <f>IF(ISERROR(VLOOKUP(B10,Données!$A$3:$U$1479,11,FALSE)),0,VLOOKUP(B10,Données!$A$3:$U$1479,11,FALSE))</f>
        <v>0</v>
      </c>
      <c r="G10" s="225">
        <f>VALUE(COUNTIF(Validation!$A$2:$H$64,B10))-1</f>
        <v>229</v>
      </c>
      <c r="H10" s="363">
        <f>IF(ISERROR(VLOOKUP(B10,Données!$A$3:$U$1479,12,FALSE)),0,VLOOKUP(B10,Données!$A$3:$U$1479,12,FALSE))</f>
        <v>0</v>
      </c>
      <c r="I10" s="226">
        <f>IF(ISERROR(VLOOKUP(B10,Données!$A$3:$U$1479,20,FALSE)),0,VLOOKUP(B10,Données!$A$3:$U$1479,20,FALSE))</f>
        <v>0</v>
      </c>
      <c r="J10" s="212"/>
      <c r="K10" s="220" t="s">
        <v>62</v>
      </c>
      <c r="L10" s="220" t="s">
        <v>61</v>
      </c>
      <c r="N10" s="41"/>
      <c r="O10" s="41"/>
      <c r="P10" s="41"/>
      <c r="Q10" s="291"/>
      <c r="R10" s="291" t="str">
        <f t="shared" si="0"/>
        <v/>
      </c>
    </row>
    <row r="11" spans="1:20" ht="15.75" x14ac:dyDescent="0.25">
      <c r="A11" s="586"/>
      <c r="B11" s="209"/>
      <c r="C11" s="223" t="str">
        <f>IF(ISERROR(VLOOKUP(B11,Données!$A$3:$L$1479,5,FALSE)),"",VLOOKUP(B11,Données!$A$3:$L$1479,5,FALSE))</f>
        <v/>
      </c>
      <c r="D11" s="347" t="str">
        <f>IF(ISERROR(VLOOKUP(B11,Données!$A$3:$X$1479,23,FALSE)),"",VLOOKUP(B11,Données!$A$3:$X$1479,23,FALSE))</f>
        <v/>
      </c>
      <c r="E11" s="223" t="str">
        <f>IF(ISERROR(VLOOKUP(B11,Données!$A$3:$L$1479,7,FALSE)),"",VLOOKUP(B11,Données!$A$3:$L$1479,7,FALSE))</f>
        <v/>
      </c>
      <c r="F11" s="224">
        <f>IF(ISERROR(VLOOKUP(B11,Données!$A$3:$U$1479,11,FALSE)),0,VLOOKUP(B11,Données!$A$3:$U$1479,11,FALSE))</f>
        <v>0</v>
      </c>
      <c r="G11" s="225">
        <f>VALUE(COUNTIF(Validation!$A$2:$H$64,B11))-1</f>
        <v>229</v>
      </c>
      <c r="H11" s="363">
        <f>IF(ISERROR(VLOOKUP(B11,Données!$A$3:$U$1479,12,FALSE)),0,VLOOKUP(B11,Données!$A$3:$U$1479,12,FALSE))</f>
        <v>0</v>
      </c>
      <c r="I11" s="226">
        <f>IF(ISERROR(VLOOKUP(B11,Données!$A$3:$U$1479,20,FALSE)),0,VLOOKUP(B11,Données!$A$3:$U$1479,20,FALSE))</f>
        <v>0</v>
      </c>
      <c r="J11" s="212"/>
      <c r="K11" s="213" t="s">
        <v>191</v>
      </c>
      <c r="L11" s="213" t="s">
        <v>1341</v>
      </c>
      <c r="N11" s="41"/>
      <c r="O11" s="209"/>
      <c r="P11" s="209"/>
      <c r="Q11" s="291"/>
      <c r="R11" s="291" t="str">
        <f t="shared" si="0"/>
        <v/>
      </c>
    </row>
    <row r="12" spans="1:20" ht="15.75" x14ac:dyDescent="0.25">
      <c r="A12" s="586"/>
      <c r="B12" s="209"/>
      <c r="C12" s="223" t="str">
        <f>IF(ISERROR(VLOOKUP(B12,Données!$A$3:$L$1479,5,FALSE)),"",VLOOKUP(B12,Données!$A$3:$L$1479,5,FALSE))</f>
        <v/>
      </c>
      <c r="D12" s="347" t="str">
        <f>IF(ISERROR(VLOOKUP(B12,Données!$A$3:$X$1479,23,FALSE)),"",VLOOKUP(B12,Données!$A$3:$X$1479,23,FALSE))</f>
        <v/>
      </c>
      <c r="E12" s="223" t="str">
        <f>IF(ISERROR(VLOOKUP(B12,Données!$A$3:$L$1479,7,FALSE)),"",VLOOKUP(B12,Données!$A$3:$L$1479,7,FALSE))</f>
        <v/>
      </c>
      <c r="F12" s="224">
        <f>IF(ISERROR(VLOOKUP(B12,Données!$A$3:$U$1479,11,FALSE)),0,VLOOKUP(B12,Données!$A$3:$U$1479,11,FALSE))</f>
        <v>0</v>
      </c>
      <c r="G12" s="225">
        <f>VALUE(COUNTIF(Validation!$A$2:$H$64,B12))-1</f>
        <v>229</v>
      </c>
      <c r="H12" s="363">
        <f>IF(ISERROR(VLOOKUP(B12,Données!$A$3:$U$1479,12,FALSE)),0,VLOOKUP(B12,Données!$A$3:$U$1479,12,FALSE))</f>
        <v>0</v>
      </c>
      <c r="I12" s="226">
        <f>IF(ISERROR(VLOOKUP(B12,Données!$A$3:$U$1479,20,FALSE)),0,VLOOKUP(B12,Données!$A$3:$U$1479,20,FALSE))</f>
        <v>0</v>
      </c>
      <c r="J12" s="212"/>
      <c r="K12" s="213" t="s">
        <v>192</v>
      </c>
      <c r="L12" s="213" t="s">
        <v>1341</v>
      </c>
      <c r="O12" s="209"/>
      <c r="P12" s="209"/>
      <c r="Q12" s="291"/>
      <c r="R12" s="291" t="str">
        <f t="shared" si="0"/>
        <v/>
      </c>
    </row>
    <row r="13" spans="1:20" ht="15.75" x14ac:dyDescent="0.25">
      <c r="A13" s="586"/>
      <c r="B13" s="209"/>
      <c r="C13" s="223" t="str">
        <f>IF(ISERROR(VLOOKUP(B13,Données!$A$3:$L$1479,5,FALSE)),"",VLOOKUP(B13,Données!$A$3:$L$1479,5,FALSE))</f>
        <v/>
      </c>
      <c r="D13" s="347" t="str">
        <f>IF(ISERROR(VLOOKUP(B13,Données!$A$3:$X$1479,23,FALSE)),"",VLOOKUP(B13,Données!$A$3:$X$1479,23,FALSE))</f>
        <v/>
      </c>
      <c r="E13" s="223" t="str">
        <f>IF(ISERROR(VLOOKUP(B13,Données!$A$3:$L$1479,7,FALSE)),"",VLOOKUP(B13,Données!$A$3:$L$1479,7,FALSE))</f>
        <v/>
      </c>
      <c r="F13" s="224">
        <f>IF(ISERROR(VLOOKUP(B13,Données!$A$3:$U$1479,11,FALSE)),0,VLOOKUP(B13,Données!$A$3:$U$1479,11,FALSE))</f>
        <v>0</v>
      </c>
      <c r="G13" s="225">
        <f>VALUE(COUNTIF(Validation!$A$2:$H$64,B13))-1</f>
        <v>229</v>
      </c>
      <c r="H13" s="363">
        <f>IF(ISERROR(VLOOKUP(B13,Données!$A$3:$U$1479,12,FALSE)),0,VLOOKUP(B13,Données!$A$3:$U$1479,12,FALSE))</f>
        <v>0</v>
      </c>
      <c r="I13" s="226">
        <f>IF(ISERROR(VLOOKUP(B13,Données!$A$3:$U$1479,20,FALSE)),0,VLOOKUP(B13,Données!$A$3:$U$1479,20,FALSE))</f>
        <v>0</v>
      </c>
      <c r="J13" s="212"/>
      <c r="K13" s="41" t="s">
        <v>192</v>
      </c>
      <c r="L13" s="41" t="s">
        <v>1341</v>
      </c>
      <c r="O13" s="209"/>
      <c r="P13" s="209"/>
      <c r="Q13" s="291"/>
      <c r="R13" s="291" t="str">
        <f t="shared" si="0"/>
        <v/>
      </c>
    </row>
    <row r="14" spans="1:20" ht="15.75" x14ac:dyDescent="0.25">
      <c r="A14" s="586"/>
      <c r="B14" s="209"/>
      <c r="C14" s="234" t="str">
        <f>IF(ISERROR(VLOOKUP(B14,Données!$A$3:$L$1479,5,FALSE)),"",VLOOKUP(B14,Données!$A$3:$L$1479,5,FALSE))</f>
        <v/>
      </c>
      <c r="D14" s="349" t="str">
        <f>IF(ISERROR(VLOOKUP(B14,Données!$A$3:$X$1479,23,FALSE)),"",VLOOKUP(B14,Données!$A$3:$X$1479,23,FALSE))</f>
        <v/>
      </c>
      <c r="E14" s="234" t="str">
        <f>IF(ISERROR(VLOOKUP(B14,Données!$A$3:$L$1479,7,FALSE)),"",VLOOKUP(B14,Données!$A$3:$L$1479,7,FALSE))</f>
        <v/>
      </c>
      <c r="F14" s="235">
        <f>IF(ISERROR(VLOOKUP(B14,Données!$A$3:$U$1479,11,FALSE)),0,VLOOKUP(B14,Données!$A$3:$U$1479,11,FALSE))</f>
        <v>0</v>
      </c>
      <c r="G14" s="230">
        <f>VALUE(COUNTIF(Validation!$A$2:$H$64,B14))-1</f>
        <v>229</v>
      </c>
      <c r="H14" s="364">
        <f>IF(ISERROR(VLOOKUP(B14,Données!$A$3:$U$1479,12,FALSE)),0,VLOOKUP(B14,Données!$A$3:$U$1479,12,FALSE))</f>
        <v>0</v>
      </c>
      <c r="I14" s="231">
        <f>IF(ISERROR(VLOOKUP(B14,Données!$A$3:$U$1479,20,FALSE)),0,VLOOKUP(B14,Données!$A$3:$U$1479,20,FALSE))</f>
        <v>0</v>
      </c>
      <c r="J14" s="212"/>
      <c r="K14" s="213" t="s">
        <v>194</v>
      </c>
      <c r="L14" s="213" t="s">
        <v>1341</v>
      </c>
      <c r="O14" s="209"/>
      <c r="P14" s="209"/>
      <c r="Q14" s="291"/>
      <c r="R14" s="291" t="str">
        <f t="shared" si="0"/>
        <v/>
      </c>
    </row>
    <row r="15" spans="1:20" ht="15.75" x14ac:dyDescent="0.25">
      <c r="A15" s="588" t="s">
        <v>39</v>
      </c>
      <c r="B15" s="276"/>
      <c r="C15" s="223" t="str">
        <f>IF(ISERROR(VLOOKUP(B15,Données!$A$3:$L$1479,5,FALSE)),"",VLOOKUP(B15,Données!$A$3:$L$1479,5,FALSE))</f>
        <v/>
      </c>
      <c r="D15" s="347" t="str">
        <f>IF(ISERROR(VLOOKUP(B15,Données!$A$3:$X$1479,23,FALSE)),"",VLOOKUP(B15,Données!$A$3:$X$1479,23,FALSE))</f>
        <v/>
      </c>
      <c r="E15" s="223" t="str">
        <f>IF(ISERROR(VLOOKUP(B15,Données!$A$3:$L$1479,7,FALSE)),"",VLOOKUP(B15,Données!$A$3:$L$1479,7,FALSE))</f>
        <v/>
      </c>
      <c r="F15" s="224">
        <f>IF(ISERROR(VLOOKUP(B15,Données!$A$3:$U$1479,11,FALSE)),0,VLOOKUP(B15,Données!$A$3:$U$1479,11,FALSE))</f>
        <v>0</v>
      </c>
      <c r="G15" s="225">
        <f>VALUE(COUNTIF(Validation!$A$2:$H$64,B15))-1</f>
        <v>229</v>
      </c>
      <c r="H15" s="363">
        <f>IF(ISERROR(VLOOKUP(B15,Données!$A$3:$U$1479,12,FALSE)),0,VLOOKUP(B15,Données!$A$3:$U$1479,12,FALSE))</f>
        <v>0</v>
      </c>
      <c r="I15" s="226">
        <f>IF(ISERROR(VLOOKUP(B15,Données!$A$3:$U$1479,20,FALSE)),0,VLOOKUP(B15,Données!$A$3:$U$1479,20,FALSE))</f>
        <v>0</v>
      </c>
      <c r="J15" s="212"/>
      <c r="K15" s="41" t="s">
        <v>194</v>
      </c>
      <c r="L15" s="41" t="s">
        <v>1341</v>
      </c>
      <c r="O15" s="209"/>
      <c r="P15" s="209"/>
      <c r="Q15" s="291"/>
      <c r="R15" s="291" t="str">
        <f t="shared" si="0"/>
        <v/>
      </c>
    </row>
    <row r="16" spans="1:20" ht="15.75" x14ac:dyDescent="0.25">
      <c r="A16" s="589"/>
      <c r="B16" s="209"/>
      <c r="C16" s="223" t="str">
        <f>IF(ISERROR(VLOOKUP(B16,Données!$A$3:$L$1479,5,FALSE)),"",VLOOKUP(B16,Données!$A$3:$L$1479,5,FALSE))</f>
        <v/>
      </c>
      <c r="D16" s="347" t="str">
        <f>IF(ISERROR(VLOOKUP(B16,Données!$A$3:$X$1479,23,FALSE)),"",VLOOKUP(B16,Données!$A$3:$X$1479,23,FALSE))</f>
        <v/>
      </c>
      <c r="E16" s="223" t="str">
        <f>IF(ISERROR(VLOOKUP(B16,Données!$A$3:$L$1479,7,FALSE)),"",VLOOKUP(B16,Données!$A$3:$L$1479,7,FALSE))</f>
        <v/>
      </c>
      <c r="F16" s="224">
        <f>IF(ISERROR(VLOOKUP(B16,Données!$A$3:$U$1479,11,FALSE)),0,VLOOKUP(B16,Données!$A$3:$U$1479,11,FALSE))</f>
        <v>0</v>
      </c>
      <c r="G16" s="225">
        <f>VALUE(COUNTIF(Validation!$A$2:$H$64,B16))-1</f>
        <v>229</v>
      </c>
      <c r="H16" s="363">
        <f>IF(ISERROR(VLOOKUP(B16,Données!$A$3:$U$1479,12,FALSE)),0,VLOOKUP(B16,Données!$A$3:$U$1479,12,FALSE))</f>
        <v>0</v>
      </c>
      <c r="I16" s="226">
        <f>IF(ISERROR(VLOOKUP(B16,Données!$A$3:$U$1479,20,FALSE)),0,VLOOKUP(B16,Données!$A$3:$U$1479,20,FALSE))</f>
        <v>0</v>
      </c>
      <c r="J16" s="212"/>
      <c r="O16" s="209"/>
      <c r="P16" s="209"/>
      <c r="Q16" s="291"/>
      <c r="R16" s="291" t="str">
        <f t="shared" si="0"/>
        <v/>
      </c>
    </row>
    <row r="17" spans="1:18" ht="15.75" x14ac:dyDescent="0.25">
      <c r="A17" s="589"/>
      <c r="B17" s="209"/>
      <c r="C17" s="223" t="str">
        <f>IF(ISERROR(VLOOKUP(B17,Données!$A$3:$L$1479,5,FALSE)),"",VLOOKUP(B17,Données!$A$3:$L$1479,5,FALSE))</f>
        <v/>
      </c>
      <c r="D17" s="347" t="str">
        <f>IF(ISERROR(VLOOKUP(B17,Données!$A$3:$X$1479,23,FALSE)),"",VLOOKUP(B17,Données!$A$3:$X$1479,23,FALSE))</f>
        <v/>
      </c>
      <c r="E17" s="223" t="str">
        <f>IF(ISERROR(VLOOKUP(B17,Données!$A$3:$L$1479,7,FALSE)),"",VLOOKUP(B17,Données!$A$3:$L$1479,7,FALSE))</f>
        <v/>
      </c>
      <c r="F17" s="224">
        <f>IF(ISERROR(VLOOKUP(B17,Données!$A$3:$U$1479,11,FALSE)),0,VLOOKUP(B17,Données!$A$3:$U$1479,11,FALSE))</f>
        <v>0</v>
      </c>
      <c r="G17" s="225">
        <f>VALUE(COUNTIF(Validation!$A$2:$H$64,B17))-1</f>
        <v>229</v>
      </c>
      <c r="H17" s="363">
        <f>IF(ISERROR(VLOOKUP(B17,Données!$A$3:$U$1479,12,FALSE)),0,VLOOKUP(B17,Données!$A$3:$U$1479,12,FALSE))</f>
        <v>0</v>
      </c>
      <c r="I17" s="226">
        <f>IF(ISERROR(VLOOKUP(B17,Données!$A$3:$U$1479,20,FALSE)),0,VLOOKUP(B17,Données!$A$3:$U$1479,20,FALSE))</f>
        <v>0</v>
      </c>
      <c r="J17" s="212"/>
      <c r="O17" s="209"/>
      <c r="P17" s="209"/>
      <c r="Q17" s="291"/>
      <c r="R17" s="291" t="str">
        <f t="shared" si="0"/>
        <v/>
      </c>
    </row>
    <row r="18" spans="1:18" ht="15.75" x14ac:dyDescent="0.25">
      <c r="A18" s="589"/>
      <c r="B18" s="209"/>
      <c r="C18" s="223" t="str">
        <f>IF(ISERROR(VLOOKUP(B18,Données!$A$3:$L$1479,5,FALSE)),"",VLOOKUP(B18,Données!$A$3:$L$1479,5,FALSE))</f>
        <v/>
      </c>
      <c r="D18" s="347" t="str">
        <f>IF(ISERROR(VLOOKUP(B18,Données!$A$3:$X$1479,23,FALSE)),"",VLOOKUP(B18,Données!$A$3:$X$1479,23,FALSE))</f>
        <v/>
      </c>
      <c r="E18" s="223" t="str">
        <f>IF(ISERROR(VLOOKUP(B18,Données!$A$3:$L$1479,7,FALSE)),"",VLOOKUP(B18,Données!$A$3:$L$1479,7,FALSE))</f>
        <v/>
      </c>
      <c r="F18" s="224">
        <f>IF(ISERROR(VLOOKUP(B18,Données!$A$3:$U$1479,11,FALSE)),0,VLOOKUP(B18,Données!$A$3:$U$1479,11,FALSE))</f>
        <v>0</v>
      </c>
      <c r="G18" s="225">
        <f>VALUE(COUNTIF(Validation!$A$2:$H$64,B18))-1</f>
        <v>229</v>
      </c>
      <c r="H18" s="363">
        <f>IF(ISERROR(VLOOKUP(B18,Données!$A$3:$U$1479,12,FALSE)),0,VLOOKUP(B18,Données!$A$3:$U$1479,12,FALSE))</f>
        <v>0</v>
      </c>
      <c r="I18" s="226">
        <f>IF(ISERROR(VLOOKUP(B18,Données!$A$3:$U$1479,20,FALSE)),0,VLOOKUP(B18,Données!$A$3:$U$1479,20,FALSE))</f>
        <v>0</v>
      </c>
      <c r="J18" s="232"/>
      <c r="K18" s="227"/>
      <c r="O18" s="209"/>
      <c r="P18" s="209"/>
      <c r="Q18" s="291"/>
      <c r="R18" s="291" t="str">
        <f t="shared" si="0"/>
        <v/>
      </c>
    </row>
    <row r="19" spans="1:18" ht="15.75" x14ac:dyDescent="0.25">
      <c r="A19" s="589"/>
      <c r="B19" s="222"/>
      <c r="C19" s="223" t="str">
        <f>IF(ISERROR(VLOOKUP(B19,Données!$A$3:$L$1479,5,FALSE)),"",VLOOKUP(B19,Données!$A$3:$L$1479,5,FALSE))</f>
        <v/>
      </c>
      <c r="D19" s="347" t="str">
        <f>IF(ISERROR(VLOOKUP(B19,Données!$A$3:$X$1479,23,FALSE)),"",VLOOKUP(B19,Données!$A$3:$X$1479,23,FALSE))</f>
        <v/>
      </c>
      <c r="E19" s="223" t="str">
        <f>IF(ISERROR(VLOOKUP(B19,Données!$A$3:$L$1479,7,FALSE)),"",VLOOKUP(B19,Données!$A$3:$L$1479,7,FALSE))</f>
        <v/>
      </c>
      <c r="F19" s="224">
        <f>IF(ISERROR(VLOOKUP(B19,Données!$A$3:$U$1479,11,FALSE)),0,VLOOKUP(B19,Données!$A$3:$U$1479,11,FALSE))</f>
        <v>0</v>
      </c>
      <c r="G19" s="225">
        <f>VALUE(COUNTIF(Validation!$A$2:$H$64,B19))-1</f>
        <v>229</v>
      </c>
      <c r="H19" s="363">
        <f>IF(ISERROR(VLOOKUP(B19,Données!$A$3:$U$1479,12,FALSE)),0,VLOOKUP(B19,Données!$A$3:$U$1479,12,FALSE))</f>
        <v>0</v>
      </c>
      <c r="I19" s="226">
        <f>IF(ISERROR(VLOOKUP(B19,Données!$A$3:$U$1479,20,FALSE)),0,VLOOKUP(B19,Données!$A$3:$U$1479,20,FALSE))</f>
        <v>0</v>
      </c>
      <c r="J19" s="232"/>
      <c r="O19" s="209"/>
      <c r="P19" s="209"/>
      <c r="Q19" s="291"/>
      <c r="R19" s="291" t="str">
        <f t="shared" si="0"/>
        <v/>
      </c>
    </row>
    <row r="20" spans="1:18" ht="15.75" x14ac:dyDescent="0.25">
      <c r="A20" s="590"/>
      <c r="B20" s="233"/>
      <c r="C20" s="234" t="str">
        <f>IF(ISERROR(VLOOKUP(B20,Données!$A$3:$L$1479,5,FALSE)),"",VLOOKUP(B20,Données!$A$3:$L$1479,5,FALSE))</f>
        <v/>
      </c>
      <c r="D20" s="349" t="str">
        <f>IF(ISERROR(VLOOKUP(B20,Données!$A$3:$X$1479,23,FALSE)),"",VLOOKUP(B20,Données!$A$3:$X$1479,23,FALSE))</f>
        <v/>
      </c>
      <c r="E20" s="234" t="str">
        <f>IF(ISERROR(VLOOKUP(B20,Données!$A$3:$L$1479,7,FALSE)),"",VLOOKUP(B20,Données!$A$3:$L$1479,7,FALSE))</f>
        <v/>
      </c>
      <c r="F20" s="235">
        <f>IF(ISERROR(VLOOKUP(B20,Données!$A$3:$U$1479,11,FALSE)),0,VLOOKUP(B20,Données!$A$3:$U$1479,11,FALSE))</f>
        <v>0</v>
      </c>
      <c r="G20" s="230">
        <f>VALUE(COUNTIF(Validation!$A$2:$H$64,B20))-1</f>
        <v>229</v>
      </c>
      <c r="H20" s="364">
        <f>IF(ISERROR(VLOOKUP(B20,Données!$A$3:$U$1479,12,FALSE)),0,VLOOKUP(B20,Données!$A$3:$U$1479,12,FALSE))</f>
        <v>0</v>
      </c>
      <c r="I20" s="231">
        <f>IF(ISERROR(VLOOKUP(B20,Données!$A$3:$U$1479,20,FALSE)),0,VLOOKUP(B20,Données!$A$3:$U$1479,20,FALSE))</f>
        <v>0</v>
      </c>
      <c r="J20" s="232"/>
      <c r="N20" s="41"/>
      <c r="O20" s="209"/>
      <c r="P20" s="209"/>
      <c r="Q20" s="291"/>
      <c r="R20" s="291" t="str">
        <f t="shared" si="0"/>
        <v/>
      </c>
    </row>
    <row r="21" spans="1:18" ht="20.25" customHeight="1" x14ac:dyDescent="0.25">
      <c r="A21" s="591" t="s">
        <v>40</v>
      </c>
      <c r="B21" s="274"/>
      <c r="C21" s="223" t="str">
        <f>IF(ISERROR(VLOOKUP(B21,Données!$A$3:$L$1479,5,FALSE)),"",VLOOKUP(B21,Données!$A$3:$L$1479,5,FALSE))</f>
        <v/>
      </c>
      <c r="D21" s="347" t="str">
        <f>IF(ISERROR(VLOOKUP(B21,Données!$A$3:$X$1479,23,FALSE)),"",VLOOKUP(B21,Données!$A$3:$X$1479,23,FALSE))</f>
        <v/>
      </c>
      <c r="E21" s="223" t="str">
        <f>IF(ISERROR(VLOOKUP(B21,Données!$A$3:$L$1479,7,FALSE)),"",VLOOKUP(B21,Données!$A$3:$L$1479,7,FALSE))</f>
        <v/>
      </c>
      <c r="F21" s="224">
        <f>IF(ISERROR(VLOOKUP(B21,Données!$A$3:$U$1479,11,FALSE)),0,VLOOKUP(B21,Données!$A$3:$U$1479,11,FALSE))</f>
        <v>0</v>
      </c>
      <c r="G21" s="225">
        <f>VALUE(COUNTIF(Validation!$A$2:$H$64,B21))-1</f>
        <v>229</v>
      </c>
      <c r="H21" s="363">
        <f>IF(ISERROR(VLOOKUP(B21,Données!$A$3:$U$1479,12,FALSE)),0,VLOOKUP(B21,Données!$A$3:$U$1479,12,FALSE))</f>
        <v>0</v>
      </c>
      <c r="I21" s="226">
        <f>IF(ISERROR(VLOOKUP(B21,Données!$A$3:$U$1479,20,FALSE)),0,VLOOKUP(B21,Données!$A$3:$U$1479,20,FALSE))</f>
        <v>0</v>
      </c>
      <c r="J21" s="212"/>
      <c r="O21" s="209"/>
      <c r="P21" s="209"/>
      <c r="Q21" s="291"/>
      <c r="R21" s="291" t="str">
        <f t="shared" si="0"/>
        <v/>
      </c>
    </row>
    <row r="22" spans="1:18" ht="15.75" customHeight="1" x14ac:dyDescent="0.25">
      <c r="A22" s="592"/>
      <c r="B22" s="277"/>
      <c r="C22" s="234" t="str">
        <f>IF(ISERROR(VLOOKUP(B22,Données!$A$3:$L$1479,5,FALSE)),"",VLOOKUP(B22,Données!$A$3:$L$1479,5,FALSE))</f>
        <v/>
      </c>
      <c r="D22" s="349" t="str">
        <f>IF(ISERROR(VLOOKUP(B22,Données!$A$3:$X$1479,23,FALSE)),"",VLOOKUP(B22,Données!$A$3:$X$1479,23,FALSE))</f>
        <v/>
      </c>
      <c r="E22" s="234" t="str">
        <f>IF(ISERROR(VLOOKUP(B22,Données!$A$3:$L$1479,7,FALSE)),"",VLOOKUP(B22,Données!$A$3:$L$1479,7,FALSE))</f>
        <v/>
      </c>
      <c r="F22" s="235">
        <f>IF(ISERROR(VLOOKUP(B22,Données!$A$3:$U$1479,11,FALSE)),0,VLOOKUP(B22,Données!$A$3:$U$1479,11,FALSE))</f>
        <v>0</v>
      </c>
      <c r="G22" s="230">
        <f>VALUE(COUNTIF(Validation!$A$2:$H$64,B22))-1</f>
        <v>229</v>
      </c>
      <c r="H22" s="364">
        <f>IF(ISERROR(VLOOKUP(B22,Données!$A$3:$U$1479,12,FALSE)),0,VLOOKUP(B22,Données!$A$3:$U$1479,12,FALSE))</f>
        <v>0</v>
      </c>
      <c r="I22" s="231">
        <f>IF(ISERROR(VLOOKUP(B22,Données!$A$3:$U$1479,20,FALSE)),0,VLOOKUP(B22,Données!$A$3:$U$1479,20,FALSE))</f>
        <v>0</v>
      </c>
      <c r="J22" s="212"/>
      <c r="Q22" s="291"/>
      <c r="R22" s="291" t="str">
        <f t="shared" si="0"/>
        <v/>
      </c>
    </row>
    <row r="23" spans="1:18" ht="15.75" customHeight="1" x14ac:dyDescent="0.25">
      <c r="A23" s="594" t="s">
        <v>42</v>
      </c>
      <c r="B23" s="209"/>
      <c r="C23" s="223" t="str">
        <f>IF(ISERROR(VLOOKUP(B23,Données!$A$3:$L$1479,5,FALSE)),"",VLOOKUP(B23,Données!$A$3:$L$1479,5,FALSE))</f>
        <v/>
      </c>
      <c r="D23" s="347" t="str">
        <f>IF(ISERROR(VLOOKUP(B23,Données!$A$3:$X$1479,23,FALSE)),"",VLOOKUP(B23,Données!$A$3:$X$1479,23,FALSE))</f>
        <v/>
      </c>
      <c r="E23" s="223" t="str">
        <f>IF(ISERROR(VLOOKUP(B23,Données!$A$3:$L$1479,7,FALSE)),"",VLOOKUP(B23,Données!$A$3:$L$1479,7,FALSE))</f>
        <v/>
      </c>
      <c r="F23" s="224">
        <f>IF(ISERROR(VLOOKUP(B23,Données!$A$3:$U$1479,11,FALSE)),0,VLOOKUP(B23,Données!$A$3:$U$1479,11,FALSE))</f>
        <v>0</v>
      </c>
      <c r="G23" s="225">
        <f>VALUE(COUNTIF(Validation!$A$2:$H$64,B23))-1</f>
        <v>229</v>
      </c>
      <c r="H23" s="363">
        <f>IF(ISERROR(VLOOKUP(B23,Données!$A$3:$U$1479,12,FALSE)),0,VLOOKUP(B23,Données!$A$3:$U$1479,12,FALSE))</f>
        <v>0</v>
      </c>
      <c r="I23" s="226">
        <f>IF(ISERROR(VLOOKUP(B23,Données!$A$3:$U$1479,20,FALSE)),0,VLOOKUP(B23,Données!$A$3:$U$1479,20,FALSE))</f>
        <v>0</v>
      </c>
      <c r="J23" s="212"/>
      <c r="O23" s="41"/>
      <c r="P23" s="209"/>
      <c r="Q23" s="291"/>
      <c r="R23" s="291" t="str">
        <f t="shared" si="0"/>
        <v/>
      </c>
    </row>
    <row r="24" spans="1:18" ht="15.75" customHeight="1" x14ac:dyDescent="0.25">
      <c r="A24" s="595"/>
      <c r="B24" s="209"/>
      <c r="C24" s="223" t="str">
        <f>IF(ISERROR(VLOOKUP(B24,Données!$A$3:$L$1479,5,FALSE)),"",VLOOKUP(B24,Données!$A$3:$L$1479,5,FALSE))</f>
        <v/>
      </c>
      <c r="D24" s="347" t="str">
        <f>IF(ISERROR(VLOOKUP(B24,Données!$A$3:$X$1479,23,FALSE)),"",VLOOKUP(B24,Données!$A$3:$X$1479,23,FALSE))</f>
        <v/>
      </c>
      <c r="E24" s="223" t="str">
        <f>IF(ISERROR(VLOOKUP(B24,Données!$A$3:$L$1479,7,FALSE)),"",VLOOKUP(B24,Données!$A$3:$L$1479,7,FALSE))</f>
        <v/>
      </c>
      <c r="F24" s="224">
        <f>IF(ISERROR(VLOOKUP(B24,Données!$A$3:$U$1479,11,FALSE)),0,VLOOKUP(B24,Données!$A$3:$U$1479,11,FALSE))</f>
        <v>0</v>
      </c>
      <c r="G24" s="225">
        <f>VALUE(COUNTIF(Validation!$A$2:$H$64,B24))-1</f>
        <v>229</v>
      </c>
      <c r="H24" s="363">
        <f>IF(ISERROR(VLOOKUP(B24,Données!$A$3:$U$1479,12,FALSE)),0,VLOOKUP(B24,Données!$A$3:$U$1479,12,FALSE))</f>
        <v>0</v>
      </c>
      <c r="I24" s="226">
        <f>IF(ISERROR(VLOOKUP(B24,Données!$A$3:$U$1479,20,FALSE)),0,VLOOKUP(B24,Données!$A$3:$U$1479,20,FALSE))</f>
        <v>0</v>
      </c>
      <c r="J24" s="212"/>
      <c r="O24" s="41"/>
      <c r="P24" s="209"/>
      <c r="Q24" s="291"/>
      <c r="R24" s="291" t="str">
        <f t="shared" si="0"/>
        <v/>
      </c>
    </row>
    <row r="25" spans="1:18" ht="15.75" customHeight="1" x14ac:dyDescent="0.25">
      <c r="A25" s="595"/>
      <c r="B25" s="209"/>
      <c r="C25" s="223" t="str">
        <f>IF(ISERROR(VLOOKUP(B25,Données!$A$3:$L$1479,5,FALSE)),"",VLOOKUP(B25,Données!$A$3:$L$1479,5,FALSE))</f>
        <v/>
      </c>
      <c r="D25" s="347" t="str">
        <f>IF(ISERROR(VLOOKUP(B25,Données!$A$3:$X$1479,23,FALSE)),"",VLOOKUP(B25,Données!$A$3:$X$1479,23,FALSE))</f>
        <v/>
      </c>
      <c r="E25" s="223" t="str">
        <f>IF(ISERROR(VLOOKUP(B25,Données!$A$3:$L$1479,7,FALSE)),"",VLOOKUP(B25,Données!$A$3:$L$1479,7,FALSE))</f>
        <v/>
      </c>
      <c r="F25" s="224">
        <f>IF(ISERROR(VLOOKUP(B25,Données!$A$3:$U$1479,11,FALSE)),0,VLOOKUP(B25,Données!$A$3:$U$1479,11,FALSE))</f>
        <v>0</v>
      </c>
      <c r="G25" s="225">
        <f>VALUE(COUNTIF(Validation!$A$2:$H$64,B25))-1</f>
        <v>229</v>
      </c>
      <c r="H25" s="363">
        <f>IF(ISERROR(VLOOKUP(B25,Données!$A$3:$U$1479,12,FALSE)),0,VLOOKUP(B25,Données!$A$3:$U$1479,12,FALSE))</f>
        <v>0</v>
      </c>
      <c r="I25" s="226">
        <f>IF(ISERROR(VLOOKUP(B25,Données!$A$3:$U$1479,20,FALSE)),0,VLOOKUP(B25,Données!$A$3:$U$1479,20,FALSE))</f>
        <v>0</v>
      </c>
      <c r="J25" s="212"/>
      <c r="N25" s="41"/>
      <c r="O25" s="41"/>
      <c r="P25" s="209"/>
      <c r="Q25" s="291"/>
      <c r="R25" s="291" t="str">
        <f t="shared" si="0"/>
        <v/>
      </c>
    </row>
    <row r="26" spans="1:18" ht="15.75" customHeight="1" x14ac:dyDescent="0.25">
      <c r="A26" s="595"/>
      <c r="B26" s="209"/>
      <c r="C26" s="223" t="str">
        <f>IF(ISERROR(VLOOKUP(B26,Données!$A$3:$L$1479,5,FALSE)),"",VLOOKUP(B26,Données!$A$3:$L$1479,5,FALSE))</f>
        <v/>
      </c>
      <c r="D26" s="347" t="str">
        <f>IF(ISERROR(VLOOKUP(B26,Données!$A$3:$X$1479,23,FALSE)),"",VLOOKUP(B26,Données!$A$3:$X$1479,23,FALSE))</f>
        <v/>
      </c>
      <c r="E26" s="223" t="str">
        <f>IF(ISERROR(VLOOKUP(B26,Données!$A$3:$L$1479,7,FALSE)),"",VLOOKUP(B26,Données!$A$3:$L$1479,7,FALSE))</f>
        <v/>
      </c>
      <c r="F26" s="224">
        <f>IF(ISERROR(VLOOKUP(B26,Données!$A$3:$U$1479,11,FALSE)),0,VLOOKUP(B26,Données!$A$3:$U$1479,11,FALSE))</f>
        <v>0</v>
      </c>
      <c r="G26" s="225">
        <f>VALUE(COUNTIF(Validation!$A$2:$H$64,B26))-1</f>
        <v>229</v>
      </c>
      <c r="H26" s="363">
        <f>IF(ISERROR(VLOOKUP(B26,Données!$A$3:$U$1479,12,FALSE)),0,VLOOKUP(B26,Données!$A$3:$U$1479,12,FALSE))</f>
        <v>0</v>
      </c>
      <c r="I26" s="226">
        <f>IF(ISERROR(VLOOKUP(B26,Données!$A$3:$U$1479,20,FALSE)),0,VLOOKUP(B26,Données!$A$3:$U$1479,20,FALSE))</f>
        <v>0</v>
      </c>
      <c r="J26" s="212"/>
      <c r="P26" s="209"/>
      <c r="Q26" s="291"/>
      <c r="R26" s="291" t="str">
        <f t="shared" si="0"/>
        <v/>
      </c>
    </row>
    <row r="27" spans="1:18" ht="15.75" customHeight="1" x14ac:dyDescent="0.25">
      <c r="A27" s="595"/>
      <c r="B27" s="209"/>
      <c r="C27" s="223" t="str">
        <f>IF(ISERROR(VLOOKUP(B27,Données!$A$3:$L$1479,5,FALSE)),"",VLOOKUP(B27,Données!$A$3:$L$1479,5,FALSE))</f>
        <v/>
      </c>
      <c r="D27" s="347" t="str">
        <f>IF(ISERROR(VLOOKUP(B27,Données!$A$3:$X$1479,23,FALSE)),"",VLOOKUP(B27,Données!$A$3:$X$1479,23,FALSE))</f>
        <v/>
      </c>
      <c r="E27" s="223" t="str">
        <f>IF(ISERROR(VLOOKUP(B27,Données!$A$3:$L$1479,7,FALSE)),"",VLOOKUP(B27,Données!$A$3:$L$1479,7,FALSE))</f>
        <v/>
      </c>
      <c r="F27" s="224">
        <f>IF(ISERROR(VLOOKUP(B27,Données!$A$3:$U$1479,11,FALSE)),0,VLOOKUP(B27,Données!$A$3:$U$1479,11,FALSE))</f>
        <v>0</v>
      </c>
      <c r="G27" s="225">
        <f>VALUE(COUNTIF(Validation!$A$2:$H$64,B27))-1</f>
        <v>229</v>
      </c>
      <c r="H27" s="363">
        <f>IF(ISERROR(VLOOKUP(B27,Données!$A$3:$U$1479,12,FALSE)),0,VLOOKUP(B27,Données!$A$3:$U$1479,12,FALSE))</f>
        <v>0</v>
      </c>
      <c r="I27" s="226">
        <f>IF(ISERROR(VLOOKUP(B27,Données!$A$3:$U$1479,20,FALSE)),0,VLOOKUP(B27,Données!$A$3:$U$1479,20,FALSE))</f>
        <v>0</v>
      </c>
      <c r="J27" s="212"/>
      <c r="P27" s="209"/>
      <c r="R27" s="291" t="str">
        <f t="shared" si="0"/>
        <v/>
      </c>
    </row>
    <row r="28" spans="1:18" ht="15.75" customHeight="1" x14ac:dyDescent="0.25">
      <c r="A28" s="595"/>
      <c r="B28" s="209"/>
      <c r="C28" s="223" t="str">
        <f>IF(ISERROR(VLOOKUP(B28,Données!$A$3:$L$1479,5,FALSE)),"",VLOOKUP(B28,Données!$A$3:$L$1479,5,FALSE))</f>
        <v/>
      </c>
      <c r="D28" s="347" t="str">
        <f>IF(ISERROR(VLOOKUP(B28,Données!$A$3:$X$1479,23,FALSE)),"",VLOOKUP(B28,Données!$A$3:$X$1479,23,FALSE))</f>
        <v/>
      </c>
      <c r="E28" s="223" t="str">
        <f>IF(ISERROR(VLOOKUP(B28,Données!$A$3:$L$1479,7,FALSE)),"",VLOOKUP(B28,Données!$A$3:$L$1479,7,FALSE))</f>
        <v/>
      </c>
      <c r="F28" s="224">
        <f>IF(ISERROR(VLOOKUP(B28,Données!$A$3:$U$1479,11,FALSE)),0,VLOOKUP(B28,Données!$A$3:$U$1479,11,FALSE))</f>
        <v>0</v>
      </c>
      <c r="G28" s="225">
        <f>VALUE(COUNTIF(Validation!$A$2:$H$64,B28))-1</f>
        <v>229</v>
      </c>
      <c r="H28" s="363">
        <f>IF(ISERROR(VLOOKUP(B28,Données!$A$3:$U$1479,12,FALSE)),0,VLOOKUP(B28,Données!$A$3:$U$1479,12,FALSE))</f>
        <v>0</v>
      </c>
      <c r="I28" s="226">
        <f>IF(ISERROR(VLOOKUP(B28,Données!$A$3:$U$1479,20,FALSE)),0,VLOOKUP(B28,Données!$A$3:$U$1479,20,FALSE))</f>
        <v>0</v>
      </c>
      <c r="J28" s="212"/>
      <c r="N28" s="41"/>
      <c r="O28" s="41"/>
      <c r="R28" s="291" t="str">
        <f t="shared" si="0"/>
        <v/>
      </c>
    </row>
    <row r="29" spans="1:18" ht="15.75" customHeight="1" x14ac:dyDescent="0.25">
      <c r="A29" s="595"/>
      <c r="B29" s="209"/>
      <c r="C29" s="223" t="str">
        <f>IF(ISERROR(VLOOKUP(B29,Données!$A$3:$L$1479,5,FALSE)),"",VLOOKUP(B29,Données!$A$3:$L$1479,5,FALSE))</f>
        <v/>
      </c>
      <c r="D29" s="347" t="str">
        <f>IF(ISERROR(VLOOKUP(B29,Données!$A$3:$X$1479,23,FALSE)),"",VLOOKUP(B29,Données!$A$3:$X$1479,23,FALSE))</f>
        <v/>
      </c>
      <c r="E29" s="223" t="str">
        <f>IF(ISERROR(VLOOKUP(B29,Données!$A$3:$L$1479,7,FALSE)),"",VLOOKUP(B29,Données!$A$3:$L$1479,7,FALSE))</f>
        <v/>
      </c>
      <c r="F29" s="224">
        <f>IF(ISERROR(VLOOKUP(B29,Données!$A$3:$U$1479,11,FALSE)),0,VLOOKUP(B29,Données!$A$3:$U$1479,11,FALSE))</f>
        <v>0</v>
      </c>
      <c r="G29" s="225">
        <f>VALUE(COUNTIF(Validation!$A$2:$H$64,B29))-1</f>
        <v>229</v>
      </c>
      <c r="H29" s="363">
        <f>IF(ISERROR(VLOOKUP(B29,Données!$A$3:$U$1479,12,FALSE)),0,VLOOKUP(B29,Données!$A$3:$U$1479,12,FALSE))</f>
        <v>0</v>
      </c>
      <c r="I29" s="226">
        <f>IF(ISERROR(VLOOKUP(B29,Données!$A$3:$U$1479,20,FALSE)),0,VLOOKUP(B29,Données!$A$3:$U$1479,20,FALSE))</f>
        <v>0</v>
      </c>
      <c r="J29" s="212"/>
      <c r="O29" s="41"/>
      <c r="P29" s="209"/>
      <c r="R29" s="291" t="str">
        <f t="shared" si="0"/>
        <v/>
      </c>
    </row>
    <row r="30" spans="1:18" ht="15.75" customHeight="1" x14ac:dyDescent="0.25">
      <c r="A30" s="595"/>
      <c r="B30" s="236"/>
      <c r="C30" s="223" t="str">
        <f>IF(ISERROR(VLOOKUP(B30,Données!$A$3:$L$1479,5,FALSE)),"",VLOOKUP(B30,Données!$A$3:$L$1479,5,FALSE))</f>
        <v/>
      </c>
      <c r="D30" s="347" t="str">
        <f>IF(ISERROR(VLOOKUP(B30,Données!$A$3:$X$1479,23,FALSE)),"",VLOOKUP(B30,Données!$A$3:$X$1479,23,FALSE))</f>
        <v/>
      </c>
      <c r="E30" s="223" t="str">
        <f>IF(ISERROR(VLOOKUP(B30,Données!$A$3:$L$1479,7,FALSE)),"",VLOOKUP(B30,Données!$A$3:$L$1479,7,FALSE))</f>
        <v/>
      </c>
      <c r="F30" s="224">
        <f>IF(ISERROR(VLOOKUP(B30,Données!$A$3:$U$1479,11,FALSE)),0,VLOOKUP(B30,Données!$A$3:$U$1479,11,FALSE))</f>
        <v>0</v>
      </c>
      <c r="G30" s="225">
        <f>VALUE(COUNTIF(Validation!$A$2:$H$64,B30))-1</f>
        <v>229</v>
      </c>
      <c r="H30" s="363">
        <f>IF(ISERROR(VLOOKUP(B30,Données!$A$3:$U$1479,12,FALSE)),0,VLOOKUP(B30,Données!$A$3:$U$1479,12,FALSE))</f>
        <v>0</v>
      </c>
      <c r="I30" s="226">
        <f>IF(ISERROR(VLOOKUP(B30,Données!$A$3:$U$1479,20,FALSE)),0,VLOOKUP(B30,Données!$A$3:$U$1479,20,FALSE))</f>
        <v>0</v>
      </c>
      <c r="J30" s="212"/>
      <c r="N30" s="41"/>
      <c r="O30" s="41"/>
      <c r="P30" s="209"/>
      <c r="R30" s="291" t="str">
        <f t="shared" si="0"/>
        <v/>
      </c>
    </row>
    <row r="31" spans="1:18" ht="15.75" x14ac:dyDescent="0.25">
      <c r="A31" s="596" t="s">
        <v>37</v>
      </c>
      <c r="B31" s="596"/>
      <c r="C31" s="596"/>
      <c r="D31" s="596"/>
      <c r="E31" s="597"/>
      <c r="F31" s="308">
        <f>ROUNDDOWN(SUM(F3:F30),2)</f>
        <v>0</v>
      </c>
      <c r="G31" s="237"/>
      <c r="H31" s="324">
        <f>SUM(H3:H30)</f>
        <v>6875000</v>
      </c>
      <c r="J31" s="212"/>
      <c r="O31" s="41"/>
      <c r="P31" s="209"/>
      <c r="R31" s="291" t="str">
        <f t="shared" si="0"/>
        <v/>
      </c>
    </row>
    <row r="32" spans="1:18" ht="19.5" thickBot="1" x14ac:dyDescent="0.35">
      <c r="A32" s="598" t="s">
        <v>44</v>
      </c>
      <c r="B32" s="598"/>
      <c r="C32" s="598"/>
      <c r="D32" s="598"/>
      <c r="E32" s="599"/>
      <c r="F32" s="316">
        <f>'Calcul Masse Salariale'!$B$5-F31</f>
        <v>102000000</v>
      </c>
      <c r="G32" s="240"/>
      <c r="H32" s="332">
        <f>'Calcul Masse Salariale'!$B$6-H31</f>
        <v>95125000</v>
      </c>
      <c r="J32" s="212"/>
      <c r="O32" s="41"/>
      <c r="P32" s="209"/>
      <c r="R32" s="291" t="str">
        <f t="shared" si="0"/>
        <v/>
      </c>
    </row>
    <row r="33" spans="1:18" ht="16.5" thickBot="1" x14ac:dyDescent="0.3">
      <c r="F33" s="367"/>
      <c r="J33" s="212"/>
      <c r="O33" s="41"/>
      <c r="P33" s="209"/>
      <c r="R33" s="291" t="str">
        <f t="shared" si="0"/>
        <v/>
      </c>
    </row>
    <row r="34" spans="1:18" ht="30.75" thickBot="1" x14ac:dyDescent="0.3">
      <c r="B34" s="414" t="s">
        <v>36</v>
      </c>
      <c r="C34" s="415" t="s">
        <v>52</v>
      </c>
      <c r="D34" s="415" t="s">
        <v>403</v>
      </c>
      <c r="E34" s="415" t="s">
        <v>5</v>
      </c>
      <c r="F34" s="416" t="s">
        <v>134</v>
      </c>
      <c r="G34" s="417" t="s">
        <v>189</v>
      </c>
      <c r="H34" s="418" t="s">
        <v>1155</v>
      </c>
      <c r="I34" s="419" t="s">
        <v>2403</v>
      </c>
      <c r="J34" s="212"/>
      <c r="N34" s="41"/>
      <c r="O34" s="41"/>
      <c r="P34" s="209"/>
      <c r="R34" s="291" t="str">
        <f t="shared" si="0"/>
        <v/>
      </c>
    </row>
    <row r="35" spans="1:18" ht="19.5" thickBot="1" x14ac:dyDescent="0.35">
      <c r="A35" s="506" t="s">
        <v>2401</v>
      </c>
      <c r="B35" s="453"/>
      <c r="C35" s="402" t="str">
        <f>IF(ISERROR(VLOOKUP(B35,Données!$A$3:$L$1479,5,FALSE)),"",VLOOKUP(B35,Données!$A$3:$L$1479,5,FALSE))</f>
        <v/>
      </c>
      <c r="D35" s="402" t="str">
        <f>IF(ISERROR(VLOOKUP(B35,Données!$A$3:$X$1479,22,FALSE)),"",VLOOKUP(B35,Données!$A$3:$X$1479,22,FALSE))</f>
        <v/>
      </c>
      <c r="E35" s="402" t="str">
        <f>IF(ISERROR(VLOOKUP(B35,Données!$A$3:$L$1479,7,FALSE)),"",VLOOKUP(B35,Données!$A$3:$L$1479,7,FALSE))</f>
        <v/>
      </c>
      <c r="F35" s="403">
        <f>IF(ISERROR(VLOOKUP(B35,Données!$A$3:$U$1479,11,FALSE)),0,VLOOKUP(B35,Données!$A$3:$U$1479,11,FALSE))</f>
        <v>0</v>
      </c>
      <c r="G35" s="455">
        <f>VALUE(COUNTIF(Validation!$A$2:$H$120,B35))-1</f>
        <v>229</v>
      </c>
      <c r="H35" s="404">
        <f>IF(ISERROR(VLOOKUP(B35,Données!$A$3:$U$1479,12,FALSE)),0,VLOOKUP(B35,Données!$A$3:$U$1479,12,FALSE))</f>
        <v>0</v>
      </c>
      <c r="I35" s="405">
        <f>IF(ISERROR(VLOOKUP(B35,Données!$E$3:$U$1479,17,FALSE)),0,VLOOKUP(B35,Données!$E$3:$U$1479,17,FALSE))</f>
        <v>0</v>
      </c>
      <c r="J35" s="212"/>
      <c r="O35" s="41"/>
      <c r="P35" s="209"/>
      <c r="R35" s="291" t="str">
        <f t="shared" si="0"/>
        <v/>
      </c>
    </row>
    <row r="36" spans="1:18" ht="19.5" thickBot="1" x14ac:dyDescent="0.35">
      <c r="A36" s="507"/>
      <c r="B36" s="406" t="s">
        <v>2404</v>
      </c>
      <c r="C36" s="508">
        <v>43439</v>
      </c>
      <c r="D36" s="509"/>
      <c r="E36" s="509"/>
      <c r="F36" s="407" t="s">
        <v>2405</v>
      </c>
      <c r="G36" s="508">
        <f>IF(C36="","",C36+28)</f>
        <v>43467</v>
      </c>
      <c r="H36" s="509"/>
      <c r="I36" s="509"/>
      <c r="J36" s="212"/>
      <c r="N36" s="41"/>
      <c r="O36" s="41"/>
      <c r="P36" s="209"/>
      <c r="R36" s="291" t="str">
        <f t="shared" si="0"/>
        <v/>
      </c>
    </row>
    <row r="37" spans="1:18" x14ac:dyDescent="0.25">
      <c r="J37" s="212"/>
      <c r="P37" s="209"/>
      <c r="R37" s="291" t="str">
        <f t="shared" si="0"/>
        <v/>
      </c>
    </row>
    <row r="38" spans="1:18" ht="34.5" customHeight="1" x14ac:dyDescent="0.25">
      <c r="A38" s="60"/>
      <c r="B38" s="62" t="s">
        <v>36</v>
      </c>
      <c r="C38" s="62" t="s">
        <v>52</v>
      </c>
      <c r="D38" s="62" t="s">
        <v>403</v>
      </c>
      <c r="E38" s="7" t="s">
        <v>2402</v>
      </c>
      <c r="F38" s="399" t="s">
        <v>134</v>
      </c>
      <c r="G38" s="68" t="s">
        <v>195</v>
      </c>
      <c r="H38" s="218" t="s">
        <v>2676</v>
      </c>
      <c r="I38" s="67" t="s">
        <v>1</v>
      </c>
      <c r="J38" s="212"/>
      <c r="O38" s="41"/>
      <c r="P38" s="209"/>
      <c r="Q38" s="291"/>
      <c r="R38" s="291" t="str">
        <f t="shared" si="0"/>
        <v/>
      </c>
    </row>
    <row r="39" spans="1:18" ht="15.75" x14ac:dyDescent="0.25">
      <c r="A39" s="497" t="s">
        <v>43</v>
      </c>
      <c r="B39" s="353" t="s">
        <v>546</v>
      </c>
      <c r="C39" s="74" t="str">
        <f>IF(ISERROR(VLOOKUP(B39,Données!$A$3:$L$1479,5,FALSE)),"",VLOOKUP(B39,Données!$A$3:$L$1479,5,FALSE))</f>
        <v/>
      </c>
      <c r="D39" s="347" t="str">
        <f>IF(ISERROR(VLOOKUP(B39,Données!$A$3:$X$1479,23,FALSE)),"",VLOOKUP(B39,Données!$A$3:$X$1479,23,FALSE))</f>
        <v/>
      </c>
      <c r="E39" s="228">
        <v>2015</v>
      </c>
      <c r="F39" s="358">
        <f>IF(ISERROR(VLOOKUP(B39,Données!$A$3:$U$1479,11,FALSE)),0,VLOOKUP(B39,Données!$A$3:$U$1479,11,FALSE))</f>
        <v>0</v>
      </c>
      <c r="G39" s="74">
        <f t="shared" ref="G39:G73" si="1">I39</f>
        <v>1</v>
      </c>
      <c r="H39" s="363">
        <f>IF(ISERROR(VLOOKUP(B39,Données!$A$3:$U$1479,12,FALSE)),0,VLOOKUP(B39,Données!$A$3:$U$1479,12,FALSE))</f>
        <v>0</v>
      </c>
      <c r="I39" s="74">
        <f>IF(((E39+5)-'Calcul Masse Salariale'!$B$1)&lt;=0,0,(E39+5)-'Calcul Masse Salariale'!$B$1)</f>
        <v>1</v>
      </c>
      <c r="J39" s="212"/>
    </row>
    <row r="40" spans="1:18" ht="15.75" x14ac:dyDescent="0.25">
      <c r="A40" s="497"/>
      <c r="B40" s="353" t="s">
        <v>845</v>
      </c>
      <c r="C40" s="74" t="str">
        <f>IF(ISERROR(VLOOKUP(B40,Données!$A$3:$L$1479,5,FALSE)),"",VLOOKUP(B40,Données!$A$3:$L$1479,5,FALSE))</f>
        <v/>
      </c>
      <c r="D40" s="347" t="str">
        <f>IF(ISERROR(VLOOKUP(B40,Données!$A$3:$X$1479,23,FALSE)),"",VLOOKUP(B40,Données!$A$3:$X$1479,23,FALSE))</f>
        <v/>
      </c>
      <c r="E40" s="228">
        <v>2016</v>
      </c>
      <c r="F40" s="358">
        <f>IF(ISERROR(VLOOKUP(B40,Données!$A$3:$U$1479,11,FALSE)),0,VLOOKUP(B40,Données!$A$3:$U$1479,11,FALSE))</f>
        <v>0</v>
      </c>
      <c r="G40" s="74">
        <f t="shared" si="1"/>
        <v>2</v>
      </c>
      <c r="H40" s="363">
        <f>IF(ISERROR(VLOOKUP(B40,Données!$A$3:$U$1479,12,FALSE)),0,VLOOKUP(B40,Données!$A$3:$U$1479,12,FALSE))</f>
        <v>0</v>
      </c>
      <c r="I40" s="74">
        <f>IF(((E40+5)-'Calcul Masse Salariale'!$B$1)&lt;=0,0,(E40+5)-'Calcul Masse Salariale'!$B$1)</f>
        <v>2</v>
      </c>
      <c r="J40" s="212"/>
    </row>
    <row r="41" spans="1:18" ht="18.75" x14ac:dyDescent="0.3">
      <c r="A41" s="497"/>
      <c r="B41" s="353" t="s">
        <v>1002</v>
      </c>
      <c r="C41" s="74" t="str">
        <f>IF(ISERROR(VLOOKUP(B41,Données!$A$3:$L$1479,5,FALSE)),"",VLOOKUP(B41,Données!$A$3:$L$1479,5,FALSE))</f>
        <v/>
      </c>
      <c r="D41" s="347" t="str">
        <f>IF(ISERROR(VLOOKUP(B41,Données!$A$3:$X$1479,23,FALSE)),"",VLOOKUP(B41,Données!$A$3:$X$1479,23,FALSE))</f>
        <v/>
      </c>
      <c r="E41" s="228">
        <v>2016</v>
      </c>
      <c r="F41" s="358">
        <f>IF(ISERROR(VLOOKUP(B41,Données!$A$3:$U$1479,11,FALSE)),0,VLOOKUP(B41,Données!$A$3:$U$1479,11,FALSE))</f>
        <v>0</v>
      </c>
      <c r="G41" s="74">
        <f t="shared" si="1"/>
        <v>2</v>
      </c>
      <c r="H41" s="363">
        <f>IF(ISERROR(VLOOKUP(B41,Données!$A$3:$U$1479,12,FALSE)),0,VLOOKUP(B41,Données!$A$3:$U$1479,12,FALSE))</f>
        <v>0</v>
      </c>
      <c r="I41" s="74">
        <f>IF(((E41+5)-'Calcul Masse Salariale'!$B$1)&lt;=0,0,(E41+5)-'Calcul Masse Salariale'!$B$1)</f>
        <v>2</v>
      </c>
      <c r="J41" s="241"/>
    </row>
    <row r="42" spans="1:18" ht="15.75" x14ac:dyDescent="0.25">
      <c r="A42" s="497"/>
      <c r="B42" s="353" t="s">
        <v>710</v>
      </c>
      <c r="C42" s="74" t="str">
        <f>IF(ISERROR(VLOOKUP(B42,Données!$A$3:$L$1479,5,FALSE)),"",VLOOKUP(B42,Données!$A$3:$L$1479,5,FALSE))</f>
        <v/>
      </c>
      <c r="D42" s="347" t="str">
        <f>IF(ISERROR(VLOOKUP(B42,Données!$A$3:$X$1479,23,FALSE)),"",VLOOKUP(B42,Données!$A$3:$X$1479,23,FALSE))</f>
        <v/>
      </c>
      <c r="E42" s="228">
        <v>2016</v>
      </c>
      <c r="F42" s="358">
        <f>IF(ISERROR(VLOOKUP(B42,Données!$A$3:$U$1479,11,FALSE)),0,VLOOKUP(B42,Données!$A$3:$U$1479,11,FALSE))</f>
        <v>0</v>
      </c>
      <c r="G42" s="74">
        <f t="shared" si="1"/>
        <v>2</v>
      </c>
      <c r="H42" s="363">
        <f>IF(ISERROR(VLOOKUP(B42,Données!$A$3:$U$1479,12,FALSE)),0,VLOOKUP(B42,Données!$A$3:$U$1479,12,FALSE))</f>
        <v>0</v>
      </c>
      <c r="I42" s="74">
        <f>IF(((E42+5)-'Calcul Masse Salariale'!$B$1)&lt;=0,0,(E42+5)-'Calcul Masse Salariale'!$B$1)</f>
        <v>2</v>
      </c>
      <c r="J42" s="212"/>
    </row>
    <row r="43" spans="1:18" ht="15.75" x14ac:dyDescent="0.25">
      <c r="A43" s="497"/>
      <c r="B43" s="354" t="s">
        <v>143</v>
      </c>
      <c r="C43" s="74" t="str">
        <f>IF(ISERROR(VLOOKUP(B43,Données!$A$3:$L$1479,5,FALSE)),"",VLOOKUP(B43,Données!$A$3:$L$1479,5,FALSE))</f>
        <v/>
      </c>
      <c r="D43" s="347" t="str">
        <f>IF(ISERROR(VLOOKUP(B43,Données!$A$3:$X$1479,23,FALSE)),"",VLOOKUP(B43,Données!$A$3:$X$1479,23,FALSE))</f>
        <v/>
      </c>
      <c r="E43" s="228">
        <v>2017</v>
      </c>
      <c r="F43" s="358">
        <f>IF(ISERROR(VLOOKUP(B43,Données!$A$3:$U$1479,11,FALSE)),0,VLOOKUP(B43,Données!$A$3:$U$1479,11,FALSE))</f>
        <v>0</v>
      </c>
      <c r="G43" s="74">
        <f t="shared" si="1"/>
        <v>3</v>
      </c>
      <c r="H43" s="363">
        <f>IF(ISERROR(VLOOKUP(B43,Données!$A$3:$U$1479,12,FALSE)),0,VLOOKUP(B43,Données!$A$3:$U$1479,12,FALSE))</f>
        <v>0</v>
      </c>
      <c r="I43" s="74">
        <f>IF(((E43+5)-'Calcul Masse Salariale'!$B$1)&lt;=0,0,(E43+5)-'Calcul Masse Salariale'!$B$1)</f>
        <v>3</v>
      </c>
      <c r="J43" s="212"/>
    </row>
    <row r="44" spans="1:18" ht="15.75" x14ac:dyDescent="0.25">
      <c r="A44" s="497"/>
      <c r="B44" s="354" t="s">
        <v>145</v>
      </c>
      <c r="C44" s="74" t="str">
        <f>IF(ISERROR(VLOOKUP(B44,Données!$A$3:$L$1479,5,FALSE)),"",VLOOKUP(B44,Données!$A$3:$L$1479,5,FALSE))</f>
        <v/>
      </c>
      <c r="D44" s="347" t="str">
        <f>IF(ISERROR(VLOOKUP(B44,Données!$A$3:$X$1479,23,FALSE)),"",VLOOKUP(B44,Données!$A$3:$X$1479,23,FALSE))</f>
        <v/>
      </c>
      <c r="E44" s="228">
        <v>2017</v>
      </c>
      <c r="F44" s="358">
        <f>IF(ISERROR(VLOOKUP(B44,Données!$A$3:$U$1479,11,FALSE)),0,VLOOKUP(B44,Données!$A$3:$U$1479,11,FALSE))</f>
        <v>0</v>
      </c>
      <c r="G44" s="74">
        <f t="shared" si="1"/>
        <v>3</v>
      </c>
      <c r="H44" s="363">
        <f>IF(ISERROR(VLOOKUP(B44,Données!$A$3:$U$1479,12,FALSE)),0,VLOOKUP(B44,Données!$A$3:$U$1479,12,FALSE))</f>
        <v>0</v>
      </c>
      <c r="I44" s="74">
        <f>IF(((E44+5)-'Calcul Masse Salariale'!$B$1)&lt;=0,0,(E44+5)-'Calcul Masse Salariale'!$B$1)</f>
        <v>3</v>
      </c>
      <c r="J44" s="212"/>
    </row>
    <row r="45" spans="1:18" ht="15.75" x14ac:dyDescent="0.25">
      <c r="A45" s="497"/>
      <c r="B45" s="355" t="s">
        <v>164</v>
      </c>
      <c r="C45" s="74" t="str">
        <f>IF(ISERROR(VLOOKUP(B45,Données!$A$3:$L$1479,5,FALSE)),"",VLOOKUP(B45,Données!$A$3:$L$1479,5,FALSE))</f>
        <v/>
      </c>
      <c r="D45" s="347" t="str">
        <f>IF(ISERROR(VLOOKUP(B45,Données!$A$3:$X$1479,23,FALSE)),"",VLOOKUP(B45,Données!$A$3:$X$1479,23,FALSE))</f>
        <v/>
      </c>
      <c r="E45" s="228">
        <v>2017</v>
      </c>
      <c r="F45" s="358">
        <f>IF(ISERROR(VLOOKUP(B45,Données!$A$3:$U$1479,11,FALSE)),0,VLOOKUP(B45,Données!$A$3:$U$1479,11,FALSE))</f>
        <v>0</v>
      </c>
      <c r="G45" s="74">
        <f t="shared" si="1"/>
        <v>3</v>
      </c>
      <c r="H45" s="363">
        <f>IF(ISERROR(VLOOKUP(B45,Données!$A$3:$U$1479,12,FALSE)),0,VLOOKUP(B45,Données!$A$3:$U$1479,12,FALSE))</f>
        <v>0</v>
      </c>
      <c r="I45" s="74">
        <f>IF(((E45+5)-'Calcul Masse Salariale'!$B$1)&lt;=0,0,(E45+5)-'Calcul Masse Salariale'!$B$1)</f>
        <v>3</v>
      </c>
      <c r="J45" s="212"/>
    </row>
    <row r="46" spans="1:18" ht="15.75" x14ac:dyDescent="0.25">
      <c r="A46" s="497"/>
      <c r="B46" s="357" t="s">
        <v>183</v>
      </c>
      <c r="C46" s="74" t="str">
        <f>IF(ISERROR(VLOOKUP(B46,Données!$A$3:$L$1479,5,FALSE)),"",VLOOKUP(B46,Données!$A$3:$L$1479,5,FALSE))</f>
        <v/>
      </c>
      <c r="D46" s="347" t="str">
        <f>IF(ISERROR(VLOOKUP(B46,Données!$A$3:$X$1479,23,FALSE)),"",VLOOKUP(B46,Données!$A$3:$X$1479,23,FALSE))</f>
        <v/>
      </c>
      <c r="E46" s="228">
        <v>2017</v>
      </c>
      <c r="F46" s="358">
        <f>IF(ISERROR(VLOOKUP(B46,Données!$A$3:$U$1479,11,FALSE)),0,VLOOKUP(B46,Données!$A$3:$U$1479,11,FALSE))</f>
        <v>0</v>
      </c>
      <c r="G46" s="74">
        <f t="shared" si="1"/>
        <v>3</v>
      </c>
      <c r="H46" s="363">
        <f>IF(ISERROR(VLOOKUP(B46,Données!$A$3:$U$1479,12,FALSE)),0,VLOOKUP(B46,Données!$A$3:$U$1479,12,FALSE))</f>
        <v>0</v>
      </c>
      <c r="I46" s="74">
        <f>IF(((E46+5)-'Calcul Masse Salariale'!$B$1)&lt;=0,0,(E46+5)-'Calcul Masse Salariale'!$B$1)</f>
        <v>3</v>
      </c>
      <c r="J46" s="212"/>
    </row>
    <row r="47" spans="1:18" ht="15.75" x14ac:dyDescent="0.25">
      <c r="A47" s="497"/>
      <c r="B47" s="229" t="s">
        <v>561</v>
      </c>
      <c r="C47" s="74" t="str">
        <f>IF(ISERROR(VLOOKUP(B47,Données!$A$3:$L$1479,5,FALSE)),"",VLOOKUP(B47,Données!$A$3:$L$1479,5,FALSE))</f>
        <v/>
      </c>
      <c r="D47" s="347" t="str">
        <f>IF(ISERROR(VLOOKUP(B47,Données!$A$3:$X$1479,23,FALSE)),"",VLOOKUP(B47,Données!$A$3:$X$1479,23,FALSE))</f>
        <v/>
      </c>
      <c r="E47" s="228">
        <v>2018</v>
      </c>
      <c r="F47" s="358">
        <f>IF(ISERROR(VLOOKUP(B47,Données!$A$3:$U$1479,11,FALSE)),0,VLOOKUP(B47,Données!$A$3:$U$1479,11,FALSE))</f>
        <v>0</v>
      </c>
      <c r="G47" s="74">
        <f t="shared" si="1"/>
        <v>4</v>
      </c>
      <c r="H47" s="363">
        <f>IF(ISERROR(VLOOKUP(B47,Données!$A$3:$U$1479,12,FALSE)),0,VLOOKUP(B47,Données!$A$3:$U$1479,12,FALSE))</f>
        <v>0</v>
      </c>
      <c r="I47" s="74">
        <f>IF(((E47+5)-'Calcul Masse Salariale'!$B$1)&lt;=0,0,(E47+5)-'Calcul Masse Salariale'!$B$1)</f>
        <v>4</v>
      </c>
      <c r="J47" s="212"/>
    </row>
    <row r="48" spans="1:18" ht="15.75" x14ac:dyDescent="0.25">
      <c r="A48" s="497"/>
      <c r="B48" s="223" t="s">
        <v>959</v>
      </c>
      <c r="C48" s="74" t="str">
        <f>IF(ISERROR(VLOOKUP(B48,Données!$A$3:$L$1479,5,FALSE)),"",VLOOKUP(B48,Données!$A$3:$L$1479,5,FALSE))</f>
        <v/>
      </c>
      <c r="D48" s="347" t="str">
        <f>IF(ISERROR(VLOOKUP(B48,Données!$A$3:$X$1479,23,FALSE)),"",VLOOKUP(B48,Données!$A$3:$X$1479,23,FALSE))</f>
        <v/>
      </c>
      <c r="E48" s="228">
        <v>2018</v>
      </c>
      <c r="F48" s="358">
        <f>IF(ISERROR(VLOOKUP(B48,Données!$A$3:$U$1479,11,FALSE)),0,VLOOKUP(B48,Données!$A$3:$U$1479,11,FALSE))</f>
        <v>0</v>
      </c>
      <c r="G48" s="74">
        <f t="shared" si="1"/>
        <v>4</v>
      </c>
      <c r="H48" s="363">
        <f>IF(ISERROR(VLOOKUP(B48,Données!$A$3:$U$1479,12,FALSE)),0,VLOOKUP(B48,Données!$A$3:$U$1479,12,FALSE))</f>
        <v>0</v>
      </c>
      <c r="I48" s="74">
        <f>IF(((E48+5)-'Calcul Masse Salariale'!$B$1)&lt;=0,0,(E48+5)-'Calcul Masse Salariale'!$B$1)</f>
        <v>4</v>
      </c>
      <c r="J48" s="212"/>
    </row>
    <row r="49" spans="1:10" ht="15.75" x14ac:dyDescent="0.25">
      <c r="A49" s="497"/>
      <c r="B49" s="228" t="s">
        <v>1210</v>
      </c>
      <c r="C49" s="74" t="str">
        <f>IF(ISERROR(VLOOKUP(B49,Données!$A$3:$L$1479,5,FALSE)),"",VLOOKUP(B49,Données!$A$3:$L$1479,5,FALSE))</f>
        <v/>
      </c>
      <c r="D49" s="347" t="str">
        <f>IF(ISERROR(VLOOKUP(B49,Données!$A$3:$X$1479,23,FALSE)),"",VLOOKUP(B49,Données!$A$3:$X$1479,23,FALSE))</f>
        <v/>
      </c>
      <c r="E49" s="228">
        <v>2018</v>
      </c>
      <c r="F49" s="358">
        <f>IF(ISERROR(VLOOKUP(B49,Données!$A$3:$U$1479,11,FALSE)),0,VLOOKUP(B49,Données!$A$3:$U$1479,11,FALSE))</f>
        <v>0</v>
      </c>
      <c r="G49" s="74">
        <f t="shared" si="1"/>
        <v>4</v>
      </c>
      <c r="H49" s="363">
        <f>IF(ISERROR(VLOOKUP(B49,Données!$A$3:$U$1479,12,FALSE)),0,VLOOKUP(B49,Données!$A$3:$U$1479,12,FALSE))</f>
        <v>0</v>
      </c>
      <c r="I49" s="74">
        <f>IF(((E49+5)-'Calcul Masse Salariale'!$B$1)&lt;=0,0,(E49+5)-'Calcul Masse Salariale'!$B$1)</f>
        <v>4</v>
      </c>
      <c r="J49" s="212"/>
    </row>
    <row r="50" spans="1:10" ht="15.75" x14ac:dyDescent="0.25">
      <c r="A50" s="497"/>
      <c r="B50" s="228" t="s">
        <v>921</v>
      </c>
      <c r="C50" s="74" t="str">
        <f>IF(ISERROR(VLOOKUP(B50,Données!$A$3:$L$1479,5,FALSE)),"",VLOOKUP(B50,Données!$A$3:$L$1479,5,FALSE))</f>
        <v/>
      </c>
      <c r="D50" s="347" t="str">
        <f>IF(ISERROR(VLOOKUP(B50,Données!$A$3:$X$1479,23,FALSE)),"",VLOOKUP(B50,Données!$A$3:$X$1479,23,FALSE))</f>
        <v/>
      </c>
      <c r="E50" s="228">
        <v>2018</v>
      </c>
      <c r="F50" s="358">
        <f>IF(ISERROR(VLOOKUP(B50,Données!$A$3:$U$1479,11,FALSE)),0,VLOOKUP(B50,Données!$A$3:$U$1479,11,FALSE))</f>
        <v>0</v>
      </c>
      <c r="G50" s="74">
        <f t="shared" si="1"/>
        <v>4</v>
      </c>
      <c r="H50" s="363">
        <f>IF(ISERROR(VLOOKUP(B50,Données!$A$3:$U$1479,12,FALSE)),0,VLOOKUP(B50,Données!$A$3:$U$1479,12,FALSE))</f>
        <v>0</v>
      </c>
      <c r="I50" s="74">
        <f>IF(((E50+5)-'Calcul Masse Salariale'!$B$1)&lt;=0,0,(E50+5)-'Calcul Masse Salariale'!$B$1)</f>
        <v>4</v>
      </c>
      <c r="J50" s="212"/>
    </row>
    <row r="51" spans="1:10" ht="15.75" x14ac:dyDescent="0.25">
      <c r="A51" s="497"/>
      <c r="B51" s="228" t="s">
        <v>501</v>
      </c>
      <c r="C51" s="74" t="str">
        <f>IF(ISERROR(VLOOKUP(B51,Données!$A$3:$L$1479,5,FALSE)),"",VLOOKUP(B51,Données!$A$3:$L$1479,5,FALSE))</f>
        <v/>
      </c>
      <c r="D51" s="347" t="str">
        <f>IF(ISERROR(VLOOKUP(B51,Données!$A$3:$X$1479,23,FALSE)),"",VLOOKUP(B51,Données!$A$3:$X$1479,23,FALSE))</f>
        <v/>
      </c>
      <c r="E51" s="228">
        <v>2018</v>
      </c>
      <c r="F51" s="358">
        <f>IF(ISERROR(VLOOKUP(B51,Données!$A$3:$U$1479,11,FALSE)),0,VLOOKUP(B51,Données!$A$3:$U$1479,11,FALSE))</f>
        <v>0</v>
      </c>
      <c r="G51" s="74">
        <f t="shared" si="1"/>
        <v>4</v>
      </c>
      <c r="H51" s="363">
        <f>IF(ISERROR(VLOOKUP(B51,Données!$A$3:$U$1479,12,FALSE)),0,VLOOKUP(B51,Données!$A$3:$U$1479,12,FALSE))</f>
        <v>0</v>
      </c>
      <c r="I51" s="74">
        <f>IF(((E51+5)-'Calcul Masse Salariale'!$B$1)&lt;=0,0,(E51+5)-'Calcul Masse Salariale'!$B$1)</f>
        <v>4</v>
      </c>
      <c r="J51" s="212"/>
    </row>
    <row r="52" spans="1:10" ht="15.75" x14ac:dyDescent="0.25">
      <c r="A52" s="497"/>
      <c r="B52" s="228"/>
      <c r="C52" s="74" t="str">
        <f>IF(ISERROR(VLOOKUP(B52,Données!$A$3:$L$1479,5,FALSE)),"",VLOOKUP(B52,Données!$A$3:$L$1479,5,FALSE))</f>
        <v/>
      </c>
      <c r="D52" s="347" t="str">
        <f>IF(ISERROR(VLOOKUP(B52,Données!$A$3:$X$1479,23,FALSE)),"",VLOOKUP(B52,Données!$A$3:$X$1479,23,FALSE))</f>
        <v/>
      </c>
      <c r="E52" s="228">
        <v>2018</v>
      </c>
      <c r="F52" s="358">
        <f>IF(ISERROR(VLOOKUP(B52,Données!$A$3:$U$1479,11,FALSE)),0,VLOOKUP(B52,Données!$A$3:$U$1479,11,FALSE))</f>
        <v>0</v>
      </c>
      <c r="G52" s="74">
        <f t="shared" si="1"/>
        <v>4</v>
      </c>
      <c r="H52" s="363">
        <f>IF(ISERROR(VLOOKUP(B52,Données!$A$3:$U$1479,12,FALSE)),0,VLOOKUP(B52,Données!$A$3:$U$1479,12,FALSE))</f>
        <v>0</v>
      </c>
      <c r="I52" s="74">
        <f>IF(((E52+5)-'Calcul Masse Salariale'!$B$1)&lt;=0,0,(E52+5)-'Calcul Masse Salariale'!$B$1)</f>
        <v>4</v>
      </c>
      <c r="J52" s="212"/>
    </row>
    <row r="53" spans="1:10" ht="15.75" x14ac:dyDescent="0.25">
      <c r="A53" s="497"/>
      <c r="B53" s="74"/>
      <c r="C53" s="74" t="str">
        <f>IF(ISERROR(VLOOKUP(B53,Données!$A$3:$L$1479,5,FALSE)),"",VLOOKUP(B53,Données!$A$3:$L$1479,5,FALSE))</f>
        <v/>
      </c>
      <c r="D53" s="347" t="str">
        <f>IF(ISERROR(VLOOKUP(B53,Données!$A$3:$X$1479,23,FALSE)),"",VLOOKUP(B53,Données!$A$3:$X$1479,23,FALSE))</f>
        <v/>
      </c>
      <c r="E53" s="74">
        <v>2018</v>
      </c>
      <c r="F53" s="358">
        <f>IF(ISERROR(VLOOKUP(B53,Données!$A$3:$U$1479,11,FALSE)),0,VLOOKUP(B53,Données!$A$3:$U$1479,11,FALSE))</f>
        <v>0</v>
      </c>
      <c r="G53" s="74">
        <f t="shared" si="1"/>
        <v>4</v>
      </c>
      <c r="H53" s="363">
        <f>IF(ISERROR(VLOOKUP(B53,Données!$A$3:$U$1479,12,FALSE)),0,VLOOKUP(B53,Données!$A$3:$U$1479,12,FALSE))</f>
        <v>0</v>
      </c>
      <c r="I53" s="74">
        <f>IF(((E53+5)-'Calcul Masse Salariale'!$B$1)&lt;=0,0,(E53+5)-'Calcul Masse Salariale'!$B$1)</f>
        <v>4</v>
      </c>
      <c r="J53" s="212"/>
    </row>
    <row r="54" spans="1:10" ht="15.75" x14ac:dyDescent="0.25">
      <c r="A54" s="497"/>
      <c r="B54" s="74"/>
      <c r="C54" s="74" t="str">
        <f>IF(ISERROR(VLOOKUP(B54,Données!$A$3:$L$1479,5,FALSE)),"",VLOOKUP(B54,Données!$A$3:$L$1479,5,FALSE))</f>
        <v/>
      </c>
      <c r="D54" s="347" t="str">
        <f>IF(ISERROR(VLOOKUP(B54,Données!$A$3:$X$1479,23,FALSE)),"",VLOOKUP(B54,Données!$A$3:$X$1479,23,FALSE))</f>
        <v/>
      </c>
      <c r="E54" s="74">
        <v>2018</v>
      </c>
      <c r="F54" s="358">
        <f>IF(ISERROR(VLOOKUP(B54,Données!$A$3:$U$1479,11,FALSE)),0,VLOOKUP(B54,Données!$A$3:$U$1479,11,FALSE))</f>
        <v>0</v>
      </c>
      <c r="G54" s="74">
        <f t="shared" si="1"/>
        <v>4</v>
      </c>
      <c r="H54" s="363">
        <f>IF(ISERROR(VLOOKUP(B54,Données!$A$3:$U$1479,12,FALSE)),0,VLOOKUP(B54,Données!$A$3:$U$1479,12,FALSE))</f>
        <v>0</v>
      </c>
      <c r="I54" s="74">
        <f>IF(((E54+5)-'Calcul Masse Salariale'!$B$1)&lt;=0,0,(E54+5)-'Calcul Masse Salariale'!$B$1)</f>
        <v>4</v>
      </c>
      <c r="J54" s="212"/>
    </row>
    <row r="55" spans="1:10" ht="15.75" x14ac:dyDescent="0.25">
      <c r="A55" s="497"/>
      <c r="B55" s="74"/>
      <c r="C55" s="74" t="str">
        <f>IF(ISERROR(VLOOKUP(B55,Données!$A$3:$L$1479,5,FALSE)),"",VLOOKUP(B55,Données!$A$3:$L$1479,5,FALSE))</f>
        <v/>
      </c>
      <c r="D55" s="347" t="str">
        <f>IF(ISERROR(VLOOKUP(B55,Données!$A$3:$X$1479,23,FALSE)),"",VLOOKUP(B55,Données!$A$3:$X$1479,23,FALSE))</f>
        <v/>
      </c>
      <c r="E55" s="74">
        <v>2018</v>
      </c>
      <c r="F55" s="358">
        <f>IF(ISERROR(VLOOKUP(B55,Données!$A$3:$U$1479,11,FALSE)),0,VLOOKUP(B55,Données!$A$3:$U$1479,11,FALSE))</f>
        <v>0</v>
      </c>
      <c r="G55" s="74">
        <f t="shared" si="1"/>
        <v>4</v>
      </c>
      <c r="H55" s="363">
        <f>IF(ISERROR(VLOOKUP(B55,Données!$A$3:$U$1479,12,FALSE)),0,VLOOKUP(B55,Données!$A$3:$U$1479,12,FALSE))</f>
        <v>0</v>
      </c>
      <c r="I55" s="74">
        <f>IF(((E55+5)-'Calcul Masse Salariale'!$B$1)&lt;=0,0,(E55+5)-'Calcul Masse Salariale'!$B$1)</f>
        <v>4</v>
      </c>
      <c r="J55" s="212"/>
    </row>
    <row r="56" spans="1:10" ht="15.75" x14ac:dyDescent="0.25">
      <c r="A56" s="497"/>
      <c r="B56" s="74"/>
      <c r="C56" s="74" t="str">
        <f>IF(ISERROR(VLOOKUP(B56,Données!$A$3:$L$1479,5,FALSE)),"",VLOOKUP(B56,Données!$A$3:$L$1479,5,FALSE))</f>
        <v/>
      </c>
      <c r="D56" s="347" t="str">
        <f>IF(ISERROR(VLOOKUP(B56,Données!$A$3:$X$1479,23,FALSE)),"",VLOOKUP(B56,Données!$A$3:$X$1479,23,FALSE))</f>
        <v/>
      </c>
      <c r="E56" s="74">
        <v>2018</v>
      </c>
      <c r="F56" s="358">
        <f>IF(ISERROR(VLOOKUP(B56,Données!$A$3:$U$1479,11,FALSE)),0,VLOOKUP(B56,Données!$A$3:$U$1479,11,FALSE))</f>
        <v>0</v>
      </c>
      <c r="G56" s="74">
        <f t="shared" si="1"/>
        <v>4</v>
      </c>
      <c r="H56" s="363">
        <f>IF(ISERROR(VLOOKUP(B56,Données!$A$3:$U$1479,12,FALSE)),0,VLOOKUP(B56,Données!$A$3:$U$1479,12,FALSE))</f>
        <v>0</v>
      </c>
      <c r="I56" s="74">
        <f>IF(((E56+5)-'Calcul Masse Salariale'!$B$1)&lt;=0,0,(E56+5)-'Calcul Masse Salariale'!$B$1)</f>
        <v>4</v>
      </c>
      <c r="J56" s="212"/>
    </row>
    <row r="57" spans="1:10" ht="15.75" x14ac:dyDescent="0.25">
      <c r="A57" s="497"/>
      <c r="B57" s="74"/>
      <c r="C57" s="74" t="str">
        <f>IF(ISERROR(VLOOKUP(B57,Données!$A$3:$L$1479,5,FALSE)),"",VLOOKUP(B57,Données!$A$3:$L$1479,5,FALSE))</f>
        <v/>
      </c>
      <c r="D57" s="347" t="str">
        <f>IF(ISERROR(VLOOKUP(B57,Données!$A$3:$X$1479,23,FALSE)),"",VLOOKUP(B57,Données!$A$3:$X$1479,23,FALSE))</f>
        <v/>
      </c>
      <c r="E57" s="74">
        <v>2018</v>
      </c>
      <c r="F57" s="358">
        <f>IF(ISERROR(VLOOKUP(B57,Données!$A$3:$U$1479,11,FALSE)),0,VLOOKUP(B57,Données!$A$3:$U$1479,11,FALSE))</f>
        <v>0</v>
      </c>
      <c r="G57" s="74">
        <f t="shared" si="1"/>
        <v>4</v>
      </c>
      <c r="H57" s="363">
        <f>IF(ISERROR(VLOOKUP(B57,Données!$A$3:$U$1479,12,FALSE)),0,VLOOKUP(B57,Données!$A$3:$U$1479,12,FALSE))</f>
        <v>0</v>
      </c>
      <c r="I57" s="74">
        <f>IF(((E57+5)-'Calcul Masse Salariale'!$B$1)&lt;=0,0,(E57+5)-'Calcul Masse Salariale'!$B$1)</f>
        <v>4</v>
      </c>
      <c r="J57" s="212"/>
    </row>
    <row r="58" spans="1:10" ht="15.75" x14ac:dyDescent="0.25">
      <c r="A58" s="497"/>
      <c r="B58" s="74"/>
      <c r="C58" s="74" t="str">
        <f>IF(ISERROR(VLOOKUP(B58,Données!$A$3:$L$1479,5,FALSE)),"",VLOOKUP(B58,Données!$A$3:$L$1479,5,FALSE))</f>
        <v/>
      </c>
      <c r="D58" s="347" t="str">
        <f>IF(ISERROR(VLOOKUP(B58,Données!$A$3:$X$1479,23,FALSE)),"",VLOOKUP(B58,Données!$A$3:$X$1479,23,FALSE))</f>
        <v/>
      </c>
      <c r="E58" s="74">
        <v>2018</v>
      </c>
      <c r="F58" s="358">
        <f>IF(ISERROR(VLOOKUP(B58,Données!$A$3:$U$1479,11,FALSE)),0,VLOOKUP(B58,Données!$A$3:$U$1479,11,FALSE))</f>
        <v>0</v>
      </c>
      <c r="G58" s="74">
        <f t="shared" si="1"/>
        <v>4</v>
      </c>
      <c r="H58" s="363">
        <f>IF(ISERROR(VLOOKUP(B58,Données!$A$3:$U$1479,12,FALSE)),0,VLOOKUP(B58,Données!$A$3:$U$1479,12,FALSE))</f>
        <v>0</v>
      </c>
      <c r="I58" s="74">
        <f>IF(((E58+5)-'Calcul Masse Salariale'!$B$1)&lt;=0,0,(E58+5)-'Calcul Masse Salariale'!$B$1)</f>
        <v>4</v>
      </c>
      <c r="J58" s="212"/>
    </row>
    <row r="59" spans="1:10" ht="15.75" x14ac:dyDescent="0.25">
      <c r="A59" s="497"/>
      <c r="B59" s="74"/>
      <c r="C59" s="74" t="str">
        <f>IF(ISERROR(VLOOKUP(B59,Données!$A$3:$L$1479,5,FALSE)),"",VLOOKUP(B59,Données!$A$3:$L$1479,5,FALSE))</f>
        <v/>
      </c>
      <c r="D59" s="347" t="str">
        <f>IF(ISERROR(VLOOKUP(B59,Données!$A$3:$X$1479,23,FALSE)),"",VLOOKUP(B59,Données!$A$3:$X$1479,23,FALSE))</f>
        <v/>
      </c>
      <c r="E59" s="74">
        <v>2018</v>
      </c>
      <c r="F59" s="358">
        <f>IF(ISERROR(VLOOKUP(B59,Données!$A$3:$U$1479,11,FALSE)),0,VLOOKUP(B59,Données!$A$3:$U$1479,11,FALSE))</f>
        <v>0</v>
      </c>
      <c r="G59" s="74">
        <f t="shared" si="1"/>
        <v>4</v>
      </c>
      <c r="H59" s="363">
        <f>IF(ISERROR(VLOOKUP(B59,Données!$A$3:$U$1479,12,FALSE)),0,VLOOKUP(B59,Données!$A$3:$U$1479,12,FALSE))</f>
        <v>0</v>
      </c>
      <c r="I59" s="74">
        <f>IF(((E59+5)-'Calcul Masse Salariale'!$B$1)&lt;=0,0,(E59+5)-'Calcul Masse Salariale'!$B$1)</f>
        <v>4</v>
      </c>
      <c r="J59" s="212"/>
    </row>
    <row r="60" spans="1:10" ht="15.75" x14ac:dyDescent="0.25">
      <c r="A60" s="497"/>
      <c r="B60" s="74"/>
      <c r="C60" s="74" t="str">
        <f>IF(ISERROR(VLOOKUP(B60,Données!$A$3:$L$1479,5,FALSE)),"",VLOOKUP(B60,Données!$A$3:$L$1479,5,FALSE))</f>
        <v/>
      </c>
      <c r="D60" s="347" t="str">
        <f>IF(ISERROR(VLOOKUP(B60,Données!$A$3:$X$1479,23,FALSE)),"",VLOOKUP(B60,Données!$A$3:$X$1479,23,FALSE))</f>
        <v/>
      </c>
      <c r="E60" s="74">
        <v>2018</v>
      </c>
      <c r="F60" s="358">
        <f>IF(ISERROR(VLOOKUP(B60,Données!$A$3:$U$1479,11,FALSE)),0,VLOOKUP(B60,Données!$A$3:$U$1479,11,FALSE))</f>
        <v>0</v>
      </c>
      <c r="G60" s="74">
        <f t="shared" si="1"/>
        <v>4</v>
      </c>
      <c r="H60" s="363">
        <f>IF(ISERROR(VLOOKUP(B60,Données!$A$3:$U$1479,12,FALSE)),0,VLOOKUP(B60,Données!$A$3:$U$1479,12,FALSE))</f>
        <v>0</v>
      </c>
      <c r="I60" s="74">
        <f>IF(((E60+5)-'Calcul Masse Salariale'!$B$1)&lt;=0,0,(E60+5)-'Calcul Masse Salariale'!$B$1)</f>
        <v>4</v>
      </c>
      <c r="J60" s="212"/>
    </row>
    <row r="61" spans="1:10" ht="15.75" x14ac:dyDescent="0.25">
      <c r="A61" s="497"/>
      <c r="B61" s="74"/>
      <c r="C61" s="74" t="str">
        <f>IF(ISERROR(VLOOKUP(B61,Données!$A$3:$L$1479,5,FALSE)),"",VLOOKUP(B61,Données!$A$3:$L$1479,5,FALSE))</f>
        <v/>
      </c>
      <c r="D61" s="347" t="str">
        <f>IF(ISERROR(VLOOKUP(B61,Données!$A$3:$X$1479,23,FALSE)),"",VLOOKUP(B61,Données!$A$3:$X$1479,23,FALSE))</f>
        <v/>
      </c>
      <c r="E61" s="74">
        <v>2018</v>
      </c>
      <c r="F61" s="358">
        <f>IF(ISERROR(VLOOKUP(B61,Données!$A$3:$U$1479,11,FALSE)),0,VLOOKUP(B61,Données!$A$3:$U$1479,11,FALSE))</f>
        <v>0</v>
      </c>
      <c r="G61" s="74">
        <f t="shared" si="1"/>
        <v>4</v>
      </c>
      <c r="H61" s="363">
        <f>IF(ISERROR(VLOOKUP(B61,Données!$A$3:$U$1479,12,FALSE)),0,VLOOKUP(B61,Données!$A$3:$U$1479,12,FALSE))</f>
        <v>0</v>
      </c>
      <c r="I61" s="74">
        <f>IF(((E61+5)-'Calcul Masse Salariale'!$B$1)&lt;=0,0,(E61+5)-'Calcul Masse Salariale'!$B$1)</f>
        <v>4</v>
      </c>
      <c r="J61" s="212"/>
    </row>
    <row r="62" spans="1:10" ht="15.75" x14ac:dyDescent="0.25">
      <c r="A62" s="497"/>
      <c r="B62" s="74"/>
      <c r="C62" s="74" t="str">
        <f>IF(ISERROR(VLOOKUP(B62,Données!$A$3:$L$1479,5,FALSE)),"",VLOOKUP(B62,Données!$A$3:$L$1479,5,FALSE))</f>
        <v/>
      </c>
      <c r="D62" s="347" t="str">
        <f>IF(ISERROR(VLOOKUP(B62,Données!$A$3:$X$1479,23,FALSE)),"",VLOOKUP(B62,Données!$A$3:$X$1479,23,FALSE))</f>
        <v/>
      </c>
      <c r="E62" s="74">
        <v>2018</v>
      </c>
      <c r="F62" s="358">
        <f>IF(ISERROR(VLOOKUP(B62,Données!$A$3:$U$1479,11,FALSE)),0,VLOOKUP(B62,Données!$A$3:$U$1479,11,FALSE))</f>
        <v>0</v>
      </c>
      <c r="G62" s="74">
        <f t="shared" si="1"/>
        <v>4</v>
      </c>
      <c r="H62" s="363">
        <f>IF(ISERROR(VLOOKUP(B62,Données!$A$3:$U$1479,12,FALSE)),0,VLOOKUP(B62,Données!$A$3:$U$1479,12,FALSE))</f>
        <v>0</v>
      </c>
      <c r="I62" s="74">
        <f>IF(((E62+5)-'Calcul Masse Salariale'!$B$1)&lt;=0,0,(E62+5)-'Calcul Masse Salariale'!$B$1)</f>
        <v>4</v>
      </c>
      <c r="J62" s="212"/>
    </row>
    <row r="63" spans="1:10" ht="15.75" x14ac:dyDescent="0.25">
      <c r="A63" s="497"/>
      <c r="B63" s="74"/>
      <c r="C63" s="74" t="str">
        <f>IF(ISERROR(VLOOKUP(B63,Données!$A$3:$L$1479,5,FALSE)),"",VLOOKUP(B63,Données!$A$3:$L$1479,5,FALSE))</f>
        <v/>
      </c>
      <c r="D63" s="347" t="str">
        <f>IF(ISERROR(VLOOKUP(B63,Données!$A$3:$X$1479,23,FALSE)),"",VLOOKUP(B63,Données!$A$3:$X$1479,23,FALSE))</f>
        <v/>
      </c>
      <c r="E63" s="74">
        <v>2018</v>
      </c>
      <c r="F63" s="358">
        <f>IF(ISERROR(VLOOKUP(B63,Données!$A$3:$U$1479,11,FALSE)),0,VLOOKUP(B63,Données!$A$3:$U$1479,11,FALSE))</f>
        <v>0</v>
      </c>
      <c r="G63" s="74">
        <f t="shared" si="1"/>
        <v>4</v>
      </c>
      <c r="H63" s="363">
        <f>IF(ISERROR(VLOOKUP(B63,Données!$A$3:$U$1479,12,FALSE)),0,VLOOKUP(B63,Données!$A$3:$U$1479,12,FALSE))</f>
        <v>0</v>
      </c>
      <c r="I63" s="74">
        <f>IF(((E63+5)-'Calcul Masse Salariale'!$B$1)&lt;=0,0,(E63+5)-'Calcul Masse Salariale'!$B$1)</f>
        <v>4</v>
      </c>
      <c r="J63" s="212"/>
    </row>
    <row r="64" spans="1:10" ht="15.75" x14ac:dyDescent="0.25">
      <c r="A64" s="497"/>
      <c r="B64" s="74"/>
      <c r="C64" s="74" t="str">
        <f>IF(ISERROR(VLOOKUP(B64,Données!$A$3:$L$1479,5,FALSE)),"",VLOOKUP(B64,Données!$A$3:$L$1479,5,FALSE))</f>
        <v/>
      </c>
      <c r="D64" s="347" t="str">
        <f>IF(ISERROR(VLOOKUP(B64,Données!$A$3:$X$1479,23,FALSE)),"",VLOOKUP(B64,Données!$A$3:$X$1479,23,FALSE))</f>
        <v/>
      </c>
      <c r="E64" s="74">
        <v>2018</v>
      </c>
      <c r="F64" s="358">
        <f>IF(ISERROR(VLOOKUP(B64,Données!$A$3:$U$1479,11,FALSE)),0,VLOOKUP(B64,Données!$A$3:$U$1479,11,FALSE))</f>
        <v>0</v>
      </c>
      <c r="G64" s="74">
        <f t="shared" si="1"/>
        <v>4</v>
      </c>
      <c r="H64" s="363">
        <f>IF(ISERROR(VLOOKUP(B64,Données!$A$3:$U$1479,12,FALSE)),0,VLOOKUP(B64,Données!$A$3:$U$1479,12,FALSE))</f>
        <v>0</v>
      </c>
      <c r="I64" s="74">
        <f>IF(((E64+5)-'Calcul Masse Salariale'!$B$1)&lt;=0,0,(E64+5)-'Calcul Masse Salariale'!$B$1)</f>
        <v>4</v>
      </c>
      <c r="J64" s="212"/>
    </row>
    <row r="65" spans="1:10" ht="15.75" x14ac:dyDescent="0.25">
      <c r="A65" s="497"/>
      <c r="B65" s="74"/>
      <c r="C65" s="74" t="str">
        <f>IF(ISERROR(VLOOKUP(B65,Données!$A$3:$L$1479,5,FALSE)),"",VLOOKUP(B65,Données!$A$3:$L$1479,5,FALSE))</f>
        <v/>
      </c>
      <c r="D65" s="347" t="str">
        <f>IF(ISERROR(VLOOKUP(B65,Données!$A$3:$X$1479,23,FALSE)),"",VLOOKUP(B65,Données!$A$3:$X$1479,23,FALSE))</f>
        <v/>
      </c>
      <c r="E65" s="74">
        <v>2018</v>
      </c>
      <c r="F65" s="358">
        <f>IF(ISERROR(VLOOKUP(B65,Données!$A$3:$U$1479,11,FALSE)),0,VLOOKUP(B65,Données!$A$3:$U$1479,11,FALSE))</f>
        <v>0</v>
      </c>
      <c r="G65" s="74">
        <f t="shared" si="1"/>
        <v>4</v>
      </c>
      <c r="H65" s="363">
        <f>IF(ISERROR(VLOOKUP(B65,Données!$A$3:$U$1479,12,FALSE)),0,VLOOKUP(B65,Données!$A$3:$U$1479,12,FALSE))</f>
        <v>0</v>
      </c>
      <c r="I65" s="74">
        <f>IF(((E65+5)-'Calcul Masse Salariale'!$B$1)&lt;=0,0,(E65+5)-'Calcul Masse Salariale'!$B$1)</f>
        <v>4</v>
      </c>
      <c r="J65" s="212"/>
    </row>
    <row r="66" spans="1:10" ht="15.75" x14ac:dyDescent="0.25">
      <c r="A66" s="497"/>
      <c r="B66" s="74"/>
      <c r="C66" s="74" t="str">
        <f>IF(ISERROR(VLOOKUP(B66,Données!$A$3:$L$1479,5,FALSE)),"",VLOOKUP(B66,Données!$A$3:$L$1479,5,FALSE))</f>
        <v/>
      </c>
      <c r="D66" s="347" t="str">
        <f>IF(ISERROR(VLOOKUP(B66,Données!$A$3:$X$1479,23,FALSE)),"",VLOOKUP(B66,Données!$A$3:$X$1479,23,FALSE))</f>
        <v/>
      </c>
      <c r="E66" s="74">
        <v>2018</v>
      </c>
      <c r="F66" s="358">
        <f>IF(ISERROR(VLOOKUP(B66,Données!$A$3:$U$1479,11,FALSE)),0,VLOOKUP(B66,Données!$A$3:$U$1479,11,FALSE))</f>
        <v>0</v>
      </c>
      <c r="G66" s="74">
        <f t="shared" si="1"/>
        <v>4</v>
      </c>
      <c r="H66" s="363">
        <f>IF(ISERROR(VLOOKUP(B66,Données!$A$3:$U$1479,12,FALSE)),0,VLOOKUP(B66,Données!$A$3:$U$1479,12,FALSE))</f>
        <v>0</v>
      </c>
      <c r="I66" s="74">
        <f>IF(((E66+5)-'Calcul Masse Salariale'!$B$1)&lt;=0,0,(E66+5)-'Calcul Masse Salariale'!$B$1)</f>
        <v>4</v>
      </c>
      <c r="J66" s="212"/>
    </row>
    <row r="67" spans="1:10" ht="15.75" x14ac:dyDescent="0.25">
      <c r="A67" s="497"/>
      <c r="B67" s="74"/>
      <c r="C67" s="74" t="str">
        <f>IF(ISERROR(VLOOKUP(B67,Données!$A$3:$L$1479,5,FALSE)),"",VLOOKUP(B67,Données!$A$3:$L$1479,5,FALSE))</f>
        <v/>
      </c>
      <c r="D67" s="347" t="str">
        <f>IF(ISERROR(VLOOKUP(B67,Données!$A$3:$X$1479,23,FALSE)),"",VLOOKUP(B67,Données!$A$3:$X$1479,23,FALSE))</f>
        <v/>
      </c>
      <c r="E67" s="74">
        <v>2018</v>
      </c>
      <c r="F67" s="358">
        <f>IF(ISERROR(VLOOKUP(B67,Données!$A$3:$U$1479,11,FALSE)),0,VLOOKUP(B67,Données!$A$3:$U$1479,11,FALSE))</f>
        <v>0</v>
      </c>
      <c r="G67" s="74">
        <f t="shared" si="1"/>
        <v>4</v>
      </c>
      <c r="H67" s="363">
        <f>IF(ISERROR(VLOOKUP(B67,Données!$A$3:$U$1479,12,FALSE)),0,VLOOKUP(B67,Données!$A$3:$U$1479,12,FALSE))</f>
        <v>0</v>
      </c>
      <c r="I67" s="74">
        <f>IF(((E67+5)-'Calcul Masse Salariale'!$B$1)&lt;=0,0,(E67+5)-'Calcul Masse Salariale'!$B$1)</f>
        <v>4</v>
      </c>
      <c r="J67" s="212"/>
    </row>
    <row r="68" spans="1:10" ht="15.75" x14ac:dyDescent="0.25">
      <c r="A68" s="497"/>
      <c r="B68" s="74"/>
      <c r="C68" s="74" t="str">
        <f>IF(ISERROR(VLOOKUP(B68,Données!$A$3:$L$1479,5,FALSE)),"",VLOOKUP(B68,Données!$A$3:$L$1479,5,FALSE))</f>
        <v/>
      </c>
      <c r="D68" s="347" t="str">
        <f>IF(ISERROR(VLOOKUP(B68,Données!$A$3:$X$1479,23,FALSE)),"",VLOOKUP(B68,Données!$A$3:$X$1479,23,FALSE))</f>
        <v/>
      </c>
      <c r="E68" s="74">
        <v>2018</v>
      </c>
      <c r="F68" s="358">
        <f>IF(ISERROR(VLOOKUP(B68,Données!$A$3:$U$1479,11,FALSE)),0,VLOOKUP(B68,Données!$A$3:$U$1479,11,FALSE))</f>
        <v>0</v>
      </c>
      <c r="G68" s="74">
        <f t="shared" si="1"/>
        <v>4</v>
      </c>
      <c r="H68" s="363">
        <f>IF(ISERROR(VLOOKUP(B68,Données!$A$3:$U$1479,12,FALSE)),0,VLOOKUP(B68,Données!$A$3:$U$1479,12,FALSE))</f>
        <v>0</v>
      </c>
      <c r="I68" s="74">
        <f>IF(((E68+5)-'Calcul Masse Salariale'!$B$1)&lt;=0,0,(E68+5)-'Calcul Masse Salariale'!$B$1)</f>
        <v>4</v>
      </c>
      <c r="J68" s="212"/>
    </row>
    <row r="69" spans="1:10" ht="15.75" x14ac:dyDescent="0.25">
      <c r="A69" s="497"/>
      <c r="B69" s="74"/>
      <c r="C69" s="74" t="str">
        <f>IF(ISERROR(VLOOKUP(B69,Données!$A$3:$L$1479,5,FALSE)),"",VLOOKUP(B69,Données!$A$3:$L$1479,5,FALSE))</f>
        <v/>
      </c>
      <c r="D69" s="347" t="str">
        <f>IF(ISERROR(VLOOKUP(B69,Données!$A$3:$X$1479,23,FALSE)),"",VLOOKUP(B69,Données!$A$3:$X$1479,23,FALSE))</f>
        <v/>
      </c>
      <c r="E69" s="74">
        <v>2018</v>
      </c>
      <c r="F69" s="358">
        <f>IF(ISERROR(VLOOKUP(B69,Données!$A$3:$U$1479,11,FALSE)),0,VLOOKUP(B69,Données!$A$3:$U$1479,11,FALSE))</f>
        <v>0</v>
      </c>
      <c r="G69" s="74">
        <f t="shared" si="1"/>
        <v>4</v>
      </c>
      <c r="H69" s="363">
        <f>IF(ISERROR(VLOOKUP(B69,Données!$A$3:$U$1479,12,FALSE)),0,VLOOKUP(B69,Données!$A$3:$U$1479,12,FALSE))</f>
        <v>0</v>
      </c>
      <c r="I69" s="74">
        <f>IF(((E69+5)-'Calcul Masse Salariale'!$B$1)&lt;=0,0,(E69+5)-'Calcul Masse Salariale'!$B$1)</f>
        <v>4</v>
      </c>
      <c r="J69" s="212"/>
    </row>
    <row r="70" spans="1:10" ht="15.75" x14ac:dyDescent="0.25">
      <c r="A70" s="497"/>
      <c r="B70" s="74"/>
      <c r="C70" s="74" t="str">
        <f>IF(ISERROR(VLOOKUP(B70,Données!$A$3:$L$1479,5,FALSE)),"",VLOOKUP(B70,Données!$A$3:$L$1479,5,FALSE))</f>
        <v/>
      </c>
      <c r="D70" s="347" t="str">
        <f>IF(ISERROR(VLOOKUP(B70,Données!$A$3:$X$1479,23,FALSE)),"",VLOOKUP(B70,Données!$A$3:$X$1479,23,FALSE))</f>
        <v/>
      </c>
      <c r="E70" s="74">
        <v>2018</v>
      </c>
      <c r="F70" s="358">
        <f>IF(ISERROR(VLOOKUP(B70,Données!$A$3:$U$1479,11,FALSE)),0,VLOOKUP(B70,Données!$A$3:$U$1479,11,FALSE))</f>
        <v>0</v>
      </c>
      <c r="G70" s="74">
        <f t="shared" si="1"/>
        <v>4</v>
      </c>
      <c r="H70" s="363">
        <f>IF(ISERROR(VLOOKUP(B70,Données!$A$3:$U$1479,12,FALSE)),0,VLOOKUP(B70,Données!$A$3:$U$1479,12,FALSE))</f>
        <v>0</v>
      </c>
      <c r="I70" s="74">
        <f>IF(((E70+5)-'Calcul Masse Salariale'!$B$1)&lt;=0,0,(E70+5)-'Calcul Masse Salariale'!$B$1)</f>
        <v>4</v>
      </c>
      <c r="J70" s="212"/>
    </row>
    <row r="71" spans="1:10" ht="15.75" x14ac:dyDescent="0.25">
      <c r="A71" s="497"/>
      <c r="B71" s="74"/>
      <c r="C71" s="74" t="str">
        <f>IF(ISERROR(VLOOKUP(B71,Données!$A$3:$L$1479,5,FALSE)),"",VLOOKUP(B71,Données!$A$3:$L$1479,5,FALSE))</f>
        <v/>
      </c>
      <c r="D71" s="347" t="str">
        <f>IF(ISERROR(VLOOKUP(B71,Données!$A$3:$X$1479,23,FALSE)),"",VLOOKUP(B71,Données!$A$3:$X$1479,23,FALSE))</f>
        <v/>
      </c>
      <c r="E71" s="74">
        <v>2018</v>
      </c>
      <c r="F71" s="358">
        <f>IF(ISERROR(VLOOKUP(B71,Données!$A$3:$U$1479,11,FALSE)),0,VLOOKUP(B71,Données!$A$3:$U$1479,11,FALSE))</f>
        <v>0</v>
      </c>
      <c r="G71" s="74">
        <f t="shared" si="1"/>
        <v>4</v>
      </c>
      <c r="H71" s="363">
        <f>IF(ISERROR(VLOOKUP(B71,Données!$A$3:$U$1479,12,FALSE)),0,VLOOKUP(B71,Données!$A$3:$U$1479,12,FALSE))</f>
        <v>0</v>
      </c>
      <c r="I71" s="74">
        <f>IF(((E71+5)-'Calcul Masse Salariale'!$B$1)&lt;=0,0,(E71+5)-'Calcul Masse Salariale'!$B$1)</f>
        <v>4</v>
      </c>
      <c r="J71" s="212"/>
    </row>
    <row r="72" spans="1:10" ht="15.75" x14ac:dyDescent="0.25">
      <c r="A72" s="497"/>
      <c r="C72" s="74" t="str">
        <f>IF(ISERROR(VLOOKUP(B72,Données!$A$3:$L$1479,5,FALSE)),"",VLOOKUP(B72,Données!$A$3:$L$1479,5,FALSE))</f>
        <v/>
      </c>
      <c r="D72" s="347" t="str">
        <f>IF(ISERROR(VLOOKUP(B72,Données!$A$3:$X$1479,23,FALSE)),"",VLOOKUP(B72,Données!$A$3:$X$1479,23,FALSE))</f>
        <v/>
      </c>
      <c r="E72" s="74">
        <v>2019</v>
      </c>
      <c r="F72" s="358">
        <f>IF(ISERROR(VLOOKUP(B72,Données!$A$3:$U$1479,11,FALSE)),0,VLOOKUP(B72,Données!$A$3:$U$1479,11,FALSE))</f>
        <v>0</v>
      </c>
      <c r="G72" s="74">
        <f t="shared" si="1"/>
        <v>5</v>
      </c>
      <c r="H72" s="363">
        <f>IF(ISERROR(VLOOKUP(B72,Données!$A$3:$U$1479,12,FALSE)),0,VLOOKUP(B72,Données!$A$3:$U$1479,12,FALSE))</f>
        <v>0</v>
      </c>
      <c r="I72" s="74">
        <f>IF(((E72+5)-'Calcul Masse Salariale'!$B$1)&lt;=0,0,(E72+5)-'Calcul Masse Salariale'!$B$1)</f>
        <v>5</v>
      </c>
      <c r="J72" s="212"/>
    </row>
    <row r="73" spans="1:10" ht="15.75" x14ac:dyDescent="0.25">
      <c r="A73" s="497"/>
      <c r="C73" s="74" t="str">
        <f>IF(ISERROR(VLOOKUP(B73,Données!$A$3:$L$1479,5,FALSE)),"",VLOOKUP(B73,Données!$A$3:$L$1479,5,FALSE))</f>
        <v/>
      </c>
      <c r="D73" s="347" t="str">
        <f>IF(ISERROR(VLOOKUP(B73,Données!$A$3:$X$1479,23,FALSE)),"",VLOOKUP(B73,Données!$A$3:$X$1479,23,FALSE))</f>
        <v/>
      </c>
      <c r="E73" s="74">
        <v>2020</v>
      </c>
      <c r="F73" s="358">
        <f>IF(ISERROR(VLOOKUP(B73,Données!$A$3:$U$1479,11,FALSE)),0,VLOOKUP(B73,Données!$A$3:$U$1479,11,FALSE))</f>
        <v>0</v>
      </c>
      <c r="G73" s="74">
        <f t="shared" si="1"/>
        <v>6</v>
      </c>
      <c r="H73" s="363">
        <f>IF(ISERROR(VLOOKUP(B73,Données!$A$3:$U$1479,12,FALSE)),0,VLOOKUP(B73,Données!$A$3:$U$1479,12,FALSE))</f>
        <v>0</v>
      </c>
      <c r="I73" s="74">
        <f>IF(((E73+5)-'Calcul Masse Salariale'!$B$1)&lt;=0,0,(E73+5)-'Calcul Masse Salariale'!$B$1)</f>
        <v>6</v>
      </c>
    </row>
    <row r="74" spans="1:10" x14ac:dyDescent="0.25">
      <c r="A74" s="41"/>
      <c r="C74" s="273"/>
      <c r="D74" s="273"/>
      <c r="F74" s="358">
        <f>IF(ISERROR(VLOOKUP(B74,Données!$A$3:$U$1479,11,FALSE)),0,VLOOKUP(B74,Données!$A$3:$U$1479,11,FALSE))</f>
        <v>0</v>
      </c>
      <c r="G74" s="401">
        <f>IF(ISERROR(VLOOKUP(#REF!,Données!$A$3:$U$1479,20,FALSE)),0,VLOOKUP(#REF!,Données!$A$3:$U$1479,20,FALSE))</f>
        <v>0</v>
      </c>
      <c r="H74" s="38"/>
    </row>
    <row r="75" spans="1:10" x14ac:dyDescent="0.25">
      <c r="A75" s="41"/>
      <c r="G75" s="37"/>
    </row>
    <row r="76" spans="1:10" x14ac:dyDescent="0.25">
      <c r="A76" s="41"/>
      <c r="G76" s="37"/>
    </row>
    <row r="77" spans="1:10" x14ac:dyDescent="0.25">
      <c r="G77" s="37"/>
    </row>
    <row r="78" spans="1:10" x14ac:dyDescent="0.25">
      <c r="G78" s="37"/>
    </row>
    <row r="79" spans="1:10" x14ac:dyDescent="0.25">
      <c r="G79" s="37"/>
    </row>
    <row r="80" spans="1:10" x14ac:dyDescent="0.25">
      <c r="G80" s="37"/>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10">
      <iconSet iconSet="3Symbols" showValue="0" reverse="1">
        <cfvo type="percent" val="0"/>
        <cfvo type="num" val="0.5" gte="0"/>
        <cfvo type="num" val="1"/>
      </iconSet>
    </cfRule>
  </conditionalFormatting>
  <conditionalFormatting sqref="H3:H30">
    <cfRule type="expression" dxfId="17" priority="7">
      <formula>(F3&lt;&gt;H3)</formula>
    </cfRule>
  </conditionalFormatting>
  <conditionalFormatting sqref="G51:G73">
    <cfRule type="iconSet" priority="4">
      <iconSet iconSet="3Flags" showValue="0">
        <cfvo type="percent" val="0"/>
        <cfvo type="num" val="1"/>
        <cfvo type="num" val="2"/>
      </iconSet>
    </cfRule>
  </conditionalFormatting>
  <conditionalFormatting sqref="G35">
    <cfRule type="iconSet" priority="3">
      <iconSet iconSet="3Symbols" showValue="0" reverse="1">
        <cfvo type="percent" val="0"/>
        <cfvo type="num" val="0.5" gte="0"/>
        <cfvo type="num" val="1"/>
      </iconSet>
    </cfRule>
  </conditionalFormatting>
  <conditionalFormatting sqref="G39:G50">
    <cfRule type="iconSet" priority="60">
      <iconSet iconSet="3Flags" showValue="0">
        <cfvo type="percent" val="0"/>
        <cfvo type="num" val="1"/>
        <cfvo type="num" val="2"/>
      </iconSet>
    </cfRule>
  </conditionalFormatting>
  <conditionalFormatting sqref="H39:H73">
    <cfRule type="expression" dxfId="16" priority="1">
      <formula>(F39&lt;&gt;H39)</formula>
    </cfRule>
  </conditionalFormatting>
  <dataValidations count="1">
    <dataValidation type="list" allowBlank="1" showInputMessage="1" sqref="B3:B30">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9" id="{5767A28C-F567-4A56-8935-F020AAE4AFDF}">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FFB1D775-DD4E-4236-84C5-10105293600B}">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T79"/>
  <sheetViews>
    <sheetView zoomScale="85" zoomScaleNormal="85" workbookViewId="0">
      <selection activeCell="C58" sqref="C58"/>
    </sheetView>
  </sheetViews>
  <sheetFormatPr baseColWidth="10" defaultColWidth="11.42578125" defaultRowHeight="15" x14ac:dyDescent="0.25"/>
  <cols>
    <col min="1" max="1" width="12.42578125" style="155" customWidth="1"/>
    <col min="2" max="2" width="24.7109375" style="155" customWidth="1"/>
    <col min="3" max="3" width="7.140625" style="169" bestFit="1" customWidth="1"/>
    <col min="4" max="4" width="4" style="169" bestFit="1" customWidth="1"/>
    <col min="5" max="5" width="13.140625" style="155" bestFit="1" customWidth="1"/>
    <col min="6" max="6" width="25.7109375" style="155" bestFit="1" customWidth="1"/>
    <col min="7" max="7" width="15.42578125" style="177" bestFit="1" customWidth="1"/>
    <col min="8" max="8" width="23.7109375" style="155" bestFit="1" customWidth="1"/>
    <col min="9" max="9" width="11.28515625" style="155" customWidth="1"/>
    <col min="10" max="10" width="2" style="155" customWidth="1"/>
    <col min="11" max="11" width="15.28515625" style="155" customWidth="1"/>
    <col min="12" max="12" width="25.140625" style="155" customWidth="1"/>
    <col min="13" max="13" width="2" style="154" customWidth="1"/>
    <col min="14" max="14" width="12.85546875" style="155" bestFit="1" customWidth="1"/>
    <col min="15" max="15" width="27.42578125" style="155" bestFit="1" customWidth="1"/>
    <col min="16" max="16" width="24.42578125" style="155" bestFit="1" customWidth="1"/>
    <col min="17" max="18" width="10.5703125" style="155" bestFit="1" customWidth="1"/>
    <col min="19" max="16384" width="11.42578125" style="155"/>
  </cols>
  <sheetData>
    <row r="1" spans="1:20" ht="21.75" thickBot="1" x14ac:dyDescent="0.4">
      <c r="A1" s="609" t="s">
        <v>41</v>
      </c>
      <c r="B1" s="609"/>
      <c r="C1" s="609"/>
      <c r="D1" s="342"/>
      <c r="E1" s="152" t="s">
        <v>187</v>
      </c>
      <c r="F1" s="304">
        <f>SUM(F3:F30)</f>
        <v>0</v>
      </c>
      <c r="G1" s="152" t="s">
        <v>188</v>
      </c>
      <c r="H1" s="304">
        <f>F32</f>
        <v>102000000</v>
      </c>
      <c r="I1" s="153"/>
      <c r="J1" s="154"/>
      <c r="K1" s="156" t="s">
        <v>59</v>
      </c>
      <c r="L1" s="156"/>
      <c r="N1" s="154"/>
      <c r="O1" s="614" t="s">
        <v>45</v>
      </c>
      <c r="P1" s="614"/>
      <c r="Q1" s="614"/>
      <c r="R1" s="614"/>
      <c r="S1" s="179"/>
    </row>
    <row r="2" spans="1:20" ht="30" x14ac:dyDescent="0.25">
      <c r="A2" s="601" t="s">
        <v>38</v>
      </c>
      <c r="B2" s="157" t="s">
        <v>36</v>
      </c>
      <c r="C2" s="157" t="s">
        <v>52</v>
      </c>
      <c r="D2" s="157" t="s">
        <v>403</v>
      </c>
      <c r="E2" s="157" t="s">
        <v>5</v>
      </c>
      <c r="F2" s="158" t="s">
        <v>1155</v>
      </c>
      <c r="G2" s="159" t="s">
        <v>189</v>
      </c>
      <c r="H2" s="160" t="s">
        <v>2676</v>
      </c>
      <c r="I2" s="161" t="s">
        <v>2403</v>
      </c>
      <c r="J2" s="154"/>
      <c r="K2" s="41" t="s">
        <v>2436</v>
      </c>
      <c r="L2" s="41" t="s">
        <v>50</v>
      </c>
      <c r="N2" s="163" t="s">
        <v>112</v>
      </c>
      <c r="O2" s="374" t="s">
        <v>108</v>
      </c>
      <c r="P2" s="382" t="s">
        <v>109</v>
      </c>
      <c r="Q2" s="162" t="s">
        <v>46</v>
      </c>
      <c r="R2" s="162" t="s">
        <v>55</v>
      </c>
    </row>
    <row r="3" spans="1:20" ht="15.75" x14ac:dyDescent="0.25">
      <c r="A3" s="601"/>
      <c r="B3" s="209" t="s">
        <v>436</v>
      </c>
      <c r="C3" s="165" t="str">
        <f>IF(ISERROR(VLOOKUP(B3,Données!$A$3:$L$1479,5,FALSE)),"",VLOOKUP(B3,Données!$A$3:$L$1479,5,FALSE))</f>
        <v/>
      </c>
      <c r="D3" s="347" t="str">
        <f>IF(ISERROR(VLOOKUP(B3,Données!$A$3:$X$1479,23,FALSE)),"",VLOOKUP(B3,Données!$A$3:$X$1479,23,FALSE))</f>
        <v/>
      </c>
      <c r="E3" s="165" t="str">
        <f>IF(ISERROR(VLOOKUP(B3,Données!$A$3:$L$1479,7,FALSE)),"",VLOOKUP(B3,Données!$A$3:$L$1479,7,FALSE))</f>
        <v/>
      </c>
      <c r="F3" s="166">
        <f>IF(ISERROR(VLOOKUP(B3,Données!$A$3:$U$1479,11,FALSE)),0,VLOOKUP(B3,Données!$A$3:$U$1479,11,FALSE))</f>
        <v>0</v>
      </c>
      <c r="G3" s="167">
        <f>VALUE(COUNTIF(Validation!$A$2:$H$64,B3))-1</f>
        <v>0</v>
      </c>
      <c r="H3" s="363">
        <f>IF(ISERROR(VLOOKUP(B3,Données!$A$3:$U$1479,12,FALSE)),0,VLOOKUP(B3,Données!$A$3:$U$1479,12,FALSE))</f>
        <v>0</v>
      </c>
      <c r="I3" s="168">
        <f>IF(ISERROR(VLOOKUP(B3,Données!$A$3:$U$1479,20,FALSE)),0,VLOOKUP(B3,Données!$A$3:$U$1479,20,FALSE))</f>
        <v>0</v>
      </c>
      <c r="J3" s="154"/>
      <c r="K3" s="290" t="s">
        <v>2417</v>
      </c>
      <c r="L3" s="41" t="s">
        <v>49</v>
      </c>
      <c r="O3" s="209"/>
      <c r="P3" s="275"/>
      <c r="Q3" s="181"/>
      <c r="R3" s="181" t="str">
        <f>IF(Q3="","",Q3+7)</f>
        <v/>
      </c>
    </row>
    <row r="4" spans="1:20" ht="18.75" customHeight="1" x14ac:dyDescent="0.25">
      <c r="A4" s="601"/>
      <c r="B4" s="274" t="s">
        <v>321</v>
      </c>
      <c r="C4" s="165" t="str">
        <f>IF(ISERROR(VLOOKUP(B4,Données!$A$3:$L$1479,5,FALSE)),"",VLOOKUP(B4,Données!$A$3:$L$1479,5,FALSE))</f>
        <v/>
      </c>
      <c r="D4" s="347" t="str">
        <f>IF(ISERROR(VLOOKUP(B4,Données!$A$3:$X$1479,23,FALSE)),"",VLOOKUP(B4,Données!$A$3:$X$1479,23,FALSE))</f>
        <v/>
      </c>
      <c r="E4" s="165" t="str">
        <f>IF(ISERROR(VLOOKUP(B4,Données!$A$3:$L$1479,7,FALSE)),"",VLOOKUP(B4,Données!$A$3:$L$1479,7,FALSE))</f>
        <v/>
      </c>
      <c r="F4" s="166">
        <f>IF(ISERROR(VLOOKUP(B4,Données!$A$3:$U$1479,11,FALSE)),0,VLOOKUP(B4,Données!$A$3:$U$1479,11,FALSE))</f>
        <v>0</v>
      </c>
      <c r="G4" s="167">
        <f>VALUE(COUNTIF(Validation!$A$2:$H$64,B4))-1</f>
        <v>0</v>
      </c>
      <c r="H4" s="363">
        <f>IF(ISERROR(VLOOKUP(B4,Données!$A$3:$U$1479,12,FALSE)),0,VLOOKUP(B4,Données!$A$3:$U$1479,12,FALSE))</f>
        <v>0</v>
      </c>
      <c r="I4" s="168">
        <f>IF(ISERROR(VLOOKUP(B4,Données!$A$3:$U$1479,20,FALSE)),0,VLOOKUP(B4,Données!$A$3:$U$1479,20,FALSE))</f>
        <v>0</v>
      </c>
      <c r="J4" s="154"/>
      <c r="K4" s="290" t="s">
        <v>2417</v>
      </c>
      <c r="L4" s="41" t="s">
        <v>107</v>
      </c>
      <c r="O4" s="41"/>
      <c r="P4" s="209"/>
      <c r="Q4" s="181"/>
      <c r="R4" s="181" t="str">
        <f t="shared" ref="R4:R37" si="0">IF(Q4="","",Q4+7)</f>
        <v/>
      </c>
    </row>
    <row r="5" spans="1:20" ht="19.5" customHeight="1" x14ac:dyDescent="0.25">
      <c r="A5" s="601"/>
      <c r="B5" s="274" t="s">
        <v>300</v>
      </c>
      <c r="C5" s="165" t="str">
        <f>IF(ISERROR(VLOOKUP(B5,Données!$A$3:$L$1479,5,FALSE)),"",VLOOKUP(B5,Données!$A$3:$L$1479,5,FALSE))</f>
        <v/>
      </c>
      <c r="D5" s="347" t="str">
        <f>IF(ISERROR(VLOOKUP(B5,Données!$A$3:$X$1479,23,FALSE)),"",VLOOKUP(B5,Données!$A$3:$X$1479,23,FALSE))</f>
        <v/>
      </c>
      <c r="E5" s="165" t="str">
        <f>IF(ISERROR(VLOOKUP(B5,Données!$A$3:$L$1479,7,FALSE)),"",VLOOKUP(B5,Données!$A$3:$L$1479,7,FALSE))</f>
        <v/>
      </c>
      <c r="F5" s="166">
        <f>IF(ISERROR(VLOOKUP(B5,Données!$A$3:$U$1479,11,FALSE)),0,VLOOKUP(B5,Données!$A$3:$U$1479,11,FALSE))</f>
        <v>0</v>
      </c>
      <c r="G5" s="167">
        <f>VALUE(COUNTIF(Validation!$A$2:$H$64,B5))-1</f>
        <v>0</v>
      </c>
      <c r="H5" s="363">
        <f>IF(ISERROR(VLOOKUP(B5,Données!$A$3:$U$1479,12,FALSE)),0,VLOOKUP(B5,Données!$A$3:$U$1479,12,FALSE))</f>
        <v>0</v>
      </c>
      <c r="I5" s="168">
        <f>IF(ISERROR(VLOOKUP(B5,Données!$A$3:$U$1479,20,FALSE)),0,VLOOKUP(B5,Données!$A$3:$U$1479,20,FALSE))</f>
        <v>0</v>
      </c>
      <c r="J5" s="154"/>
      <c r="K5" s="290" t="s">
        <v>2417</v>
      </c>
      <c r="L5" s="41" t="s">
        <v>2418</v>
      </c>
      <c r="N5" s="41"/>
      <c r="O5" s="41"/>
      <c r="P5" s="41"/>
      <c r="Q5" s="181"/>
      <c r="R5" s="181" t="str">
        <f t="shared" si="0"/>
        <v/>
      </c>
    </row>
    <row r="6" spans="1:20" ht="15.75" x14ac:dyDescent="0.25">
      <c r="A6" s="601"/>
      <c r="B6" s="164" t="s">
        <v>301</v>
      </c>
      <c r="C6" s="165" t="str">
        <f>IF(ISERROR(VLOOKUP(B6,Données!$A$3:$L$1479,5,FALSE)),"",VLOOKUP(B6,Données!$A$3:$L$1479,5,FALSE))</f>
        <v/>
      </c>
      <c r="D6" s="347" t="str">
        <f>IF(ISERROR(VLOOKUP(B6,Données!$A$3:$X$1479,23,FALSE)),"",VLOOKUP(B6,Données!$A$3:$X$1479,23,FALSE))</f>
        <v/>
      </c>
      <c r="E6" s="165" t="str">
        <f>IF(ISERROR(VLOOKUP(B6,Données!$A$3:$L$1479,7,FALSE)),"",VLOOKUP(B6,Données!$A$3:$L$1479,7,FALSE))</f>
        <v/>
      </c>
      <c r="F6" s="166">
        <f>IF(ISERROR(VLOOKUP(B6,Données!$A$3:$U$1479,11,FALSE)),0,VLOOKUP(B6,Données!$A$3:$U$1479,11,FALSE))</f>
        <v>0</v>
      </c>
      <c r="G6" s="167">
        <f>VALUE(COUNTIF(Validation!$A$2:$H$64,B6))-1</f>
        <v>0</v>
      </c>
      <c r="H6" s="363">
        <f>IF(ISERROR(VLOOKUP(B6,Données!$A$3:$U$1479,12,FALSE)),0,VLOOKUP(B6,Données!$A$3:$U$1479,12,FALSE))</f>
        <v>0</v>
      </c>
      <c r="I6" s="168">
        <f>IF(ISERROR(VLOOKUP(B6,Données!$A$3:$U$1479,20,FALSE)),0,VLOOKUP(B6,Données!$A$3:$U$1479,20,FALSE))</f>
        <v>0</v>
      </c>
      <c r="J6" s="154"/>
      <c r="K6" s="290"/>
      <c r="L6" s="41"/>
      <c r="N6" s="41"/>
      <c r="O6" s="41"/>
      <c r="Q6" s="181"/>
      <c r="R6" s="181" t="str">
        <f t="shared" si="0"/>
        <v/>
      </c>
    </row>
    <row r="7" spans="1:20" ht="15.75" x14ac:dyDescent="0.25">
      <c r="A7" s="601"/>
      <c r="B7" s="209" t="s">
        <v>302</v>
      </c>
      <c r="C7" s="165" t="str">
        <f>IF(ISERROR(VLOOKUP(B7,Données!$A$3:$L$1479,5,FALSE)),"",VLOOKUP(B7,Données!$A$3:$L$1479,5,FALSE))</f>
        <v/>
      </c>
      <c r="D7" s="347" t="str">
        <f>IF(ISERROR(VLOOKUP(B7,Données!$A$3:$X$1479,23,FALSE)),"",VLOOKUP(B7,Données!$A$3:$X$1479,23,FALSE))</f>
        <v/>
      </c>
      <c r="E7" s="165" t="str">
        <f>IF(ISERROR(VLOOKUP(B7,Données!$A$3:$L$1479,7,FALSE)),"",VLOOKUP(B7,Données!$A$3:$L$1479,7,FALSE))</f>
        <v/>
      </c>
      <c r="F7" s="166">
        <f>IF(ISERROR(VLOOKUP(B7,Données!$A$3:$U$1479,11,FALSE)),0,VLOOKUP(B7,Données!$A$3:$U$1479,11,FALSE))</f>
        <v>0</v>
      </c>
      <c r="G7" s="167">
        <f>VALUE(COUNTIF(Validation!$A$2:$H$64,B7))-1</f>
        <v>0</v>
      </c>
      <c r="H7" s="363">
        <f>IF(ISERROR(VLOOKUP(B7,Données!$A$3:$U$1479,12,FALSE)),0,VLOOKUP(B7,Données!$A$3:$U$1479,12,FALSE))</f>
        <v>0</v>
      </c>
      <c r="I7" s="168">
        <f>IF(ISERROR(VLOOKUP(B7,Données!$A$3:$U$1479,20,FALSE)),0,VLOOKUP(B7,Données!$A$3:$U$1479,20,FALSE))</f>
        <v>0</v>
      </c>
      <c r="J7" s="154"/>
      <c r="N7" s="390"/>
      <c r="P7" s="41"/>
      <c r="Q7" s="181"/>
      <c r="R7" s="181" t="str">
        <f t="shared" si="0"/>
        <v/>
      </c>
      <c r="S7" s="390"/>
      <c r="T7" s="390"/>
    </row>
    <row r="8" spans="1:20" ht="15.75" x14ac:dyDescent="0.25">
      <c r="A8" s="601"/>
      <c r="B8" s="209" t="s">
        <v>320</v>
      </c>
      <c r="C8" s="165" t="str">
        <f>IF(ISERROR(VLOOKUP(B8,Données!$A$3:$L$1479,5,FALSE)),"",VLOOKUP(B8,Données!$A$3:$L$1479,5,FALSE))</f>
        <v/>
      </c>
      <c r="D8" s="347" t="str">
        <f>IF(ISERROR(VLOOKUP(B8,Données!$A$3:$X$1479,23,FALSE)),"",VLOOKUP(B8,Données!$A$3:$X$1479,23,FALSE))</f>
        <v/>
      </c>
      <c r="E8" s="165" t="str">
        <f>IF(ISERROR(VLOOKUP(B8,Données!$A$3:$L$1479,7,FALSE)),"",VLOOKUP(B8,Données!$A$3:$L$1479,7,FALSE))</f>
        <v/>
      </c>
      <c r="F8" s="166">
        <f>IF(ISERROR(VLOOKUP(B8,Données!$A$3:$U$1479,11,FALSE)),0,VLOOKUP(B8,Données!$A$3:$U$1479,11,FALSE))</f>
        <v>0</v>
      </c>
      <c r="G8" s="167">
        <f>VALUE(COUNTIF(Validation!$A$2:$H$64,B8))-1</f>
        <v>0</v>
      </c>
      <c r="H8" s="363">
        <f>IF(ISERROR(VLOOKUP(B8,Données!$A$3:$U$1479,12,FALSE)),0,VLOOKUP(B8,Données!$A$3:$U$1479,12,FALSE))</f>
        <v>0</v>
      </c>
      <c r="I8" s="168">
        <f>IF(ISERROR(VLOOKUP(B8,Données!$A$3:$U$1479,20,FALSE)),0,VLOOKUP(B8,Données!$A$3:$U$1479,20,FALSE))</f>
        <v>0</v>
      </c>
      <c r="J8" s="154"/>
      <c r="O8" s="41"/>
      <c r="P8" s="41"/>
      <c r="Q8" s="181"/>
      <c r="R8" s="181" t="str">
        <f>IF(Q8="","",Q8+7)</f>
        <v/>
      </c>
    </row>
    <row r="9" spans="1:20" ht="15.75" x14ac:dyDescent="0.25">
      <c r="A9" s="601"/>
      <c r="B9" s="164" t="s">
        <v>304</v>
      </c>
      <c r="C9" s="165" t="str">
        <f>IF(ISERROR(VLOOKUP(B9,Données!$A$3:$L$1479,5,FALSE)),"",VLOOKUP(B9,Données!$A$3:$L$1479,5,FALSE))</f>
        <v/>
      </c>
      <c r="D9" s="347" t="str">
        <f>IF(ISERROR(VLOOKUP(B9,Données!$A$3:$X$1479,23,FALSE)),"",VLOOKUP(B9,Données!$A$3:$X$1479,23,FALSE))</f>
        <v/>
      </c>
      <c r="E9" s="165" t="str">
        <f>IF(ISERROR(VLOOKUP(B9,Données!$A$3:$L$1479,7,FALSE)),"",VLOOKUP(B9,Données!$A$3:$L$1479,7,FALSE))</f>
        <v/>
      </c>
      <c r="F9" s="166">
        <f>IF(ISERROR(VLOOKUP(B9,Données!$A$3:$U$1479,11,FALSE)),0,VLOOKUP(B9,Données!$A$3:$U$1479,11,FALSE))</f>
        <v>0</v>
      </c>
      <c r="G9" s="167">
        <f>VALUE(COUNTIF(Validation!$A$2:$H$64,B9))-1</f>
        <v>0</v>
      </c>
      <c r="H9" s="363">
        <f>IF(ISERROR(VLOOKUP(B9,Données!$A$3:$U$1479,12,FALSE)),0,VLOOKUP(B9,Données!$A$3:$U$1479,12,FALSE))</f>
        <v>0</v>
      </c>
      <c r="I9" s="168">
        <f>IF(ISERROR(VLOOKUP(B9,Données!$A$3:$U$1479,20,FALSE)),0,VLOOKUP(B9,Données!$A$3:$U$1479,20,FALSE))</f>
        <v>0</v>
      </c>
      <c r="J9" s="154"/>
      <c r="K9" s="603" t="s">
        <v>60</v>
      </c>
      <c r="L9" s="603"/>
      <c r="O9" s="41"/>
      <c r="Q9" s="181"/>
      <c r="R9" s="181" t="str">
        <f>IF(Q9="","",Q9+7)</f>
        <v/>
      </c>
    </row>
    <row r="10" spans="1:20" ht="15.75" x14ac:dyDescent="0.25">
      <c r="A10" s="601"/>
      <c r="B10" s="209" t="s">
        <v>141</v>
      </c>
      <c r="C10" s="165" t="str">
        <f>IF(ISERROR(VLOOKUP(B10,Données!$A$3:$L$1479,5,FALSE)),"",VLOOKUP(B10,Données!$A$3:$L$1479,5,FALSE))</f>
        <v/>
      </c>
      <c r="D10" s="347" t="str">
        <f>IF(ISERROR(VLOOKUP(B10,Données!$A$3:$X$1479,23,FALSE)),"",VLOOKUP(B10,Données!$A$3:$X$1479,23,FALSE))</f>
        <v/>
      </c>
      <c r="E10" s="165" t="str">
        <f>IF(ISERROR(VLOOKUP(B10,Données!$A$3:$L$1479,7,FALSE)),"",VLOOKUP(B10,Données!$A$3:$L$1479,7,FALSE))</f>
        <v/>
      </c>
      <c r="F10" s="166">
        <f>IF(ISERROR(VLOOKUP(B10,Données!$A$3:$U$1479,11,FALSE)),0,VLOOKUP(B10,Données!$A$3:$U$1479,11,FALSE))</f>
        <v>0</v>
      </c>
      <c r="G10" s="167">
        <f>VALUE(COUNTIF(Validation!$A$2:$H$64,B10))-1</f>
        <v>0</v>
      </c>
      <c r="H10" s="363">
        <f>IF(ISERROR(VLOOKUP(B10,Données!$A$3:$U$1479,12,FALSE)),0,VLOOKUP(B10,Données!$A$3:$U$1479,12,FALSE))</f>
        <v>0</v>
      </c>
      <c r="I10" s="168">
        <f>IF(ISERROR(VLOOKUP(B10,Données!$A$3:$U$1479,20,FALSE)),0,VLOOKUP(B10,Données!$A$3:$U$1479,20,FALSE))</f>
        <v>0</v>
      </c>
      <c r="J10" s="154"/>
      <c r="K10" s="162" t="s">
        <v>62</v>
      </c>
      <c r="L10" s="162" t="s">
        <v>61</v>
      </c>
      <c r="O10" s="41"/>
      <c r="P10" s="41"/>
      <c r="Q10" s="181"/>
      <c r="R10" s="181" t="str">
        <f>IF(Q10="","",Q10+7)</f>
        <v/>
      </c>
    </row>
    <row r="11" spans="1:20" ht="15.75" x14ac:dyDescent="0.25">
      <c r="A11" s="601"/>
      <c r="B11" s="164" t="s">
        <v>306</v>
      </c>
      <c r="C11" s="165" t="str">
        <f>IF(ISERROR(VLOOKUP(B11,Données!$A$3:$L$1479,5,FALSE)),"",VLOOKUP(B11,Données!$A$3:$L$1479,5,FALSE))</f>
        <v/>
      </c>
      <c r="D11" s="347" t="str">
        <f>IF(ISERROR(VLOOKUP(B11,Données!$A$3:$X$1479,23,FALSE)),"",VLOOKUP(B11,Données!$A$3:$X$1479,23,FALSE))</f>
        <v/>
      </c>
      <c r="E11" s="165" t="str">
        <f>IF(ISERROR(VLOOKUP(B11,Données!$A$3:$L$1479,7,FALSE)),"",VLOOKUP(B11,Données!$A$3:$L$1479,7,FALSE))</f>
        <v/>
      </c>
      <c r="F11" s="166">
        <f>IF(ISERROR(VLOOKUP(B11,Données!$A$3:$U$1479,11,FALSE)),0,VLOOKUP(B11,Données!$A$3:$U$1479,11,FALSE))</f>
        <v>0</v>
      </c>
      <c r="G11" s="167">
        <f>VALUE(COUNTIF(Validation!$A$2:$H$64,B11))-1</f>
        <v>0</v>
      </c>
      <c r="H11" s="363">
        <f>IF(ISERROR(VLOOKUP(B11,Données!$A$3:$U$1479,12,FALSE)),0,VLOOKUP(B11,Données!$A$3:$U$1479,12,FALSE))</f>
        <v>0</v>
      </c>
      <c r="I11" s="168">
        <f>IF(ISERROR(VLOOKUP(B11,Données!$A$3:$U$1479,20,FALSE)),0,VLOOKUP(B11,Données!$A$3:$U$1479,20,FALSE))</f>
        <v>0</v>
      </c>
      <c r="J11" s="154"/>
      <c r="K11" s="41" t="s">
        <v>192</v>
      </c>
      <c r="L11" s="41" t="s">
        <v>1341</v>
      </c>
      <c r="O11" s="41"/>
      <c r="P11" s="41"/>
      <c r="Q11" s="181"/>
      <c r="R11" s="181" t="str">
        <f>IF(Q11="","",Q11+7)</f>
        <v/>
      </c>
    </row>
    <row r="12" spans="1:20" ht="15.75" x14ac:dyDescent="0.25">
      <c r="A12" s="601"/>
      <c r="B12" s="209" t="s">
        <v>303</v>
      </c>
      <c r="C12" s="165" t="str">
        <f>IF(ISERROR(VLOOKUP(B12,Données!$A$3:$L$1479,5,FALSE)),"",VLOOKUP(B12,Données!$A$3:$L$1479,5,FALSE))</f>
        <v/>
      </c>
      <c r="D12" s="347" t="str">
        <f>IF(ISERROR(VLOOKUP(B12,Données!$A$3:$X$1479,23,FALSE)),"",VLOOKUP(B12,Données!$A$3:$X$1479,23,FALSE))</f>
        <v/>
      </c>
      <c r="E12" s="165" t="str">
        <f>IF(ISERROR(VLOOKUP(B12,Données!$A$3:$L$1479,7,FALSE)),"",VLOOKUP(B12,Données!$A$3:$L$1479,7,FALSE))</f>
        <v/>
      </c>
      <c r="F12" s="166">
        <f>IF(ISERROR(VLOOKUP(B12,Données!$A$3:$U$1479,11,FALSE)),0,VLOOKUP(B12,Données!$A$3:$U$1479,11,FALSE))</f>
        <v>0</v>
      </c>
      <c r="G12" s="167">
        <f>VALUE(COUNTIF(Validation!$A$2:$H$64,B12))-1</f>
        <v>0</v>
      </c>
      <c r="H12" s="363">
        <f>IF(ISERROR(VLOOKUP(B12,Données!$A$3:$U$1479,12,FALSE)),0,VLOOKUP(B12,Données!$A$3:$U$1479,12,FALSE))</f>
        <v>0</v>
      </c>
      <c r="I12" s="168">
        <f>IF(ISERROR(VLOOKUP(B12,Données!$A$3:$U$1479,20,FALSE)),0,VLOOKUP(B12,Données!$A$3:$U$1479,20,FALSE))</f>
        <v>0</v>
      </c>
      <c r="J12" s="154"/>
      <c r="K12" s="155" t="s">
        <v>192</v>
      </c>
      <c r="L12" s="155" t="s">
        <v>1341</v>
      </c>
      <c r="O12" s="41"/>
      <c r="P12" s="41"/>
      <c r="Q12" s="181"/>
      <c r="R12" s="181" t="str">
        <f>IF(Q12="","",Q12+7)</f>
        <v/>
      </c>
    </row>
    <row r="13" spans="1:20" ht="15.75" x14ac:dyDescent="0.25">
      <c r="A13" s="601"/>
      <c r="B13" s="274" t="s">
        <v>308</v>
      </c>
      <c r="C13" s="165" t="str">
        <f>IF(ISERROR(VLOOKUP(B13,Données!$A$3:$L$1479,5,FALSE)),"",VLOOKUP(B13,Données!$A$3:$L$1479,5,FALSE))</f>
        <v/>
      </c>
      <c r="D13" s="347" t="str">
        <f>IF(ISERROR(VLOOKUP(B13,Données!$A$3:$X$1479,23,FALSE)),"",VLOOKUP(B13,Données!$A$3:$X$1479,23,FALSE))</f>
        <v/>
      </c>
      <c r="E13" s="165" t="str">
        <f>IF(ISERROR(VLOOKUP(B13,Données!$A$3:$L$1479,7,FALSE)),"",VLOOKUP(B13,Données!$A$3:$L$1479,7,FALSE))</f>
        <v/>
      </c>
      <c r="F13" s="166">
        <f>IF(ISERROR(VLOOKUP(B13,Données!$A$3:$U$1479,11,FALSE)),0,VLOOKUP(B13,Données!$A$3:$U$1479,11,FALSE))</f>
        <v>0</v>
      </c>
      <c r="G13" s="167">
        <f>VALUE(COUNTIF(Validation!$A$2:$H$64,B13))-1</f>
        <v>0</v>
      </c>
      <c r="H13" s="363">
        <f>IF(ISERROR(VLOOKUP(B13,Données!$A$3:$U$1479,12,FALSE)),0,VLOOKUP(B13,Données!$A$3:$U$1479,12,FALSE))</f>
        <v>0</v>
      </c>
      <c r="I13" s="168">
        <f>IF(ISERROR(VLOOKUP(B13,Données!$A$3:$U$1479,20,FALSE)),0,VLOOKUP(B13,Données!$A$3:$U$1479,20,FALSE))</f>
        <v>0</v>
      </c>
      <c r="J13" s="154"/>
      <c r="K13" s="41" t="s">
        <v>193</v>
      </c>
      <c r="L13" s="155" t="s">
        <v>1341</v>
      </c>
      <c r="O13" s="41"/>
      <c r="P13" s="41"/>
      <c r="Q13" s="181"/>
      <c r="R13" s="181" t="str">
        <f t="shared" si="0"/>
        <v/>
      </c>
    </row>
    <row r="14" spans="1:20" ht="15.75" x14ac:dyDescent="0.25">
      <c r="A14" s="602"/>
      <c r="B14" s="278" t="s">
        <v>309</v>
      </c>
      <c r="C14" s="170" t="str">
        <f>IF(ISERROR(VLOOKUP(B14,Données!$A$3:$L$1479,5,FALSE)),"",VLOOKUP(B14,Données!$A$3:$L$1479,5,FALSE))</f>
        <v/>
      </c>
      <c r="D14" s="349" t="str">
        <f>IF(ISERROR(VLOOKUP(B14,Données!$A$3:$X$1479,23,FALSE)),"",VLOOKUP(B14,Données!$A$3:$X$1479,23,FALSE))</f>
        <v/>
      </c>
      <c r="E14" s="170" t="str">
        <f>IF(ISERROR(VLOOKUP(B14,Données!$A$3:$L$1479,7,FALSE)),"",VLOOKUP(B14,Données!$A$3:$L$1479,7,FALSE))</f>
        <v/>
      </c>
      <c r="F14" s="171">
        <f>IF(ISERROR(VLOOKUP(B14,Données!$A$3:$U$1479,11,FALSE)),0,VLOOKUP(B14,Données!$A$3:$U$1479,11,FALSE))</f>
        <v>0</v>
      </c>
      <c r="G14" s="172">
        <f>VALUE(COUNTIF(Validation!$A$2:$H$64,B14))-1</f>
        <v>0</v>
      </c>
      <c r="H14" s="364">
        <f>IF(ISERROR(VLOOKUP(B14,Données!$A$3:$U$1479,12,FALSE)),0,VLOOKUP(B14,Données!$A$3:$U$1479,12,FALSE))</f>
        <v>0</v>
      </c>
      <c r="I14" s="173">
        <f>IF(ISERROR(VLOOKUP(B14,Données!$A$3:$U$1479,20,FALSE)),0,VLOOKUP(B14,Données!$A$3:$U$1479,20,FALSE))</f>
        <v>0</v>
      </c>
      <c r="J14" s="154"/>
      <c r="K14" s="41" t="s">
        <v>193</v>
      </c>
      <c r="L14" s="41" t="s">
        <v>1341</v>
      </c>
      <c r="O14" s="41"/>
      <c r="P14" s="41"/>
      <c r="Q14" s="181"/>
      <c r="R14" s="181" t="str">
        <f t="shared" si="0"/>
        <v/>
      </c>
    </row>
    <row r="15" spans="1:20" ht="15.75" x14ac:dyDescent="0.25">
      <c r="A15" s="604" t="s">
        <v>39</v>
      </c>
      <c r="B15" s="275" t="s">
        <v>292</v>
      </c>
      <c r="C15" s="165" t="str">
        <f>IF(ISERROR(VLOOKUP(B15,Données!$A$3:$L$1479,5,FALSE)),"",VLOOKUP(B15,Données!$A$3:$L$1479,5,FALSE))</f>
        <v/>
      </c>
      <c r="D15" s="347" t="str">
        <f>IF(ISERROR(VLOOKUP(B15,Données!$A$3:$X$1479,23,FALSE)),"",VLOOKUP(B15,Données!$A$3:$X$1479,23,FALSE))</f>
        <v/>
      </c>
      <c r="E15" s="165" t="str">
        <f>IF(ISERROR(VLOOKUP(B15,Données!$A$3:$L$1479,7,FALSE)),"",VLOOKUP(B15,Données!$A$3:$L$1479,7,FALSE))</f>
        <v/>
      </c>
      <c r="F15" s="166">
        <f>IF(ISERROR(VLOOKUP(B15,Données!$A$3:$U$1479,11,FALSE)),0,VLOOKUP(B15,Données!$A$3:$U$1479,11,FALSE))</f>
        <v>0</v>
      </c>
      <c r="G15" s="167">
        <f>VALUE(COUNTIF(Validation!$A$2:$H$64,B15))-1</f>
        <v>0</v>
      </c>
      <c r="H15" s="363">
        <f>IF(ISERROR(VLOOKUP(B15,Données!$A$3:$U$1479,12,FALSE)),0,VLOOKUP(B15,Données!$A$3:$U$1479,12,FALSE))</f>
        <v>0</v>
      </c>
      <c r="I15" s="168">
        <f>IF(ISERROR(VLOOKUP(B15,Données!$A$3:$U$1479,20,FALSE)),0,VLOOKUP(B15,Données!$A$3:$U$1479,20,FALSE))</f>
        <v>0</v>
      </c>
      <c r="J15" s="154"/>
      <c r="K15" s="41" t="s">
        <v>193</v>
      </c>
      <c r="L15" s="41" t="s">
        <v>1341</v>
      </c>
      <c r="O15" s="41"/>
      <c r="P15" s="41"/>
      <c r="Q15" s="181"/>
      <c r="R15" s="181" t="str">
        <f t="shared" si="0"/>
        <v/>
      </c>
    </row>
    <row r="16" spans="1:20" ht="15.75" x14ac:dyDescent="0.25">
      <c r="A16" s="605"/>
      <c r="B16" s="164" t="s">
        <v>311</v>
      </c>
      <c r="C16" s="165" t="str">
        <f>IF(ISERROR(VLOOKUP(B16,Données!$A$3:$L$1479,5,FALSE)),"",VLOOKUP(B16,Données!$A$3:$L$1479,5,FALSE))</f>
        <v/>
      </c>
      <c r="D16" s="347" t="str">
        <f>IF(ISERROR(VLOOKUP(B16,Données!$A$3:$X$1479,23,FALSE)),"",VLOOKUP(B16,Données!$A$3:$X$1479,23,FALSE))</f>
        <v/>
      </c>
      <c r="E16" s="165" t="str">
        <f>IF(ISERROR(VLOOKUP(B16,Données!$A$3:$L$1479,7,FALSE)),"",VLOOKUP(B16,Données!$A$3:$L$1479,7,FALSE))</f>
        <v/>
      </c>
      <c r="F16" s="166">
        <f>IF(ISERROR(VLOOKUP(B16,Données!$A$3:$U$1479,11,FALSE)),0,VLOOKUP(B16,Données!$A$3:$U$1479,11,FALSE))</f>
        <v>0</v>
      </c>
      <c r="G16" s="167">
        <f>VALUE(COUNTIF(Validation!$A$2:$H$64,B16))-1</f>
        <v>0</v>
      </c>
      <c r="H16" s="363">
        <f>IF(ISERROR(VLOOKUP(B16,Données!$A$3:$U$1479,12,FALSE)),0,VLOOKUP(B16,Données!$A$3:$U$1479,12,FALSE))</f>
        <v>0</v>
      </c>
      <c r="I16" s="168">
        <f>IF(ISERROR(VLOOKUP(B16,Données!$A$3:$U$1479,20,FALSE)),0,VLOOKUP(B16,Données!$A$3:$U$1479,20,FALSE))</f>
        <v>0</v>
      </c>
      <c r="J16" s="154"/>
      <c r="K16" s="155" t="s">
        <v>194</v>
      </c>
      <c r="L16" s="41" t="s">
        <v>1341</v>
      </c>
      <c r="O16" s="41"/>
      <c r="P16" s="41"/>
      <c r="Q16" s="181"/>
      <c r="R16" s="181" t="str">
        <f t="shared" si="0"/>
        <v/>
      </c>
    </row>
    <row r="17" spans="1:18" ht="15.75" x14ac:dyDescent="0.25">
      <c r="A17" s="605"/>
      <c r="B17" s="209" t="s">
        <v>312</v>
      </c>
      <c r="C17" s="165" t="str">
        <f>IF(ISERROR(VLOOKUP(B17,Données!$A$3:$L$1479,5,FALSE)),"",VLOOKUP(B17,Données!$A$3:$L$1479,5,FALSE))</f>
        <v/>
      </c>
      <c r="D17" s="347" t="str">
        <f>IF(ISERROR(VLOOKUP(B17,Données!$A$3:$X$1479,23,FALSE)),"",VLOOKUP(B17,Données!$A$3:$X$1479,23,FALSE))</f>
        <v/>
      </c>
      <c r="E17" s="165" t="str">
        <f>IF(ISERROR(VLOOKUP(B17,Données!$A$3:$L$1479,7,FALSE)),"",VLOOKUP(B17,Données!$A$3:$L$1479,7,FALSE))</f>
        <v/>
      </c>
      <c r="F17" s="166">
        <f>IF(ISERROR(VLOOKUP(B17,Données!$A$3:$U$1479,11,FALSE)),0,VLOOKUP(B17,Données!$A$3:$U$1479,11,FALSE))</f>
        <v>0</v>
      </c>
      <c r="G17" s="167">
        <f>VALUE(COUNTIF(Validation!$A$2:$H$64,B17))-1</f>
        <v>0</v>
      </c>
      <c r="H17" s="363">
        <f>IF(ISERROR(VLOOKUP(B17,Données!$A$3:$U$1479,12,FALSE)),0,VLOOKUP(B17,Données!$A$3:$U$1479,12,FALSE))</f>
        <v>0</v>
      </c>
      <c r="I17" s="168">
        <f>IF(ISERROR(VLOOKUP(B17,Données!$A$3:$U$1479,20,FALSE)),0,VLOOKUP(B17,Données!$A$3:$U$1479,20,FALSE))</f>
        <v>0</v>
      </c>
      <c r="J17" s="154"/>
      <c r="O17" s="41"/>
      <c r="P17" s="41"/>
      <c r="Q17" s="181"/>
      <c r="R17" s="181" t="str">
        <f t="shared" si="0"/>
        <v/>
      </c>
    </row>
    <row r="18" spans="1:18" ht="15.75" x14ac:dyDescent="0.25">
      <c r="A18" s="605"/>
      <c r="B18" s="209" t="s">
        <v>313</v>
      </c>
      <c r="C18" s="165" t="str">
        <f>IF(ISERROR(VLOOKUP(B18,Données!$A$3:$L$1479,5,FALSE)),"",VLOOKUP(B18,Données!$A$3:$L$1479,5,FALSE))</f>
        <v/>
      </c>
      <c r="D18" s="347" t="str">
        <f>IF(ISERROR(VLOOKUP(B18,Données!$A$3:$X$1479,23,FALSE)),"",VLOOKUP(B18,Données!$A$3:$X$1479,23,FALSE))</f>
        <v/>
      </c>
      <c r="E18" s="165" t="str">
        <f>IF(ISERROR(VLOOKUP(B18,Données!$A$3:$L$1479,7,FALSE)),"",VLOOKUP(B18,Données!$A$3:$L$1479,7,FALSE))</f>
        <v/>
      </c>
      <c r="F18" s="166">
        <f>IF(ISERROR(VLOOKUP(B18,Données!$A$3:$U$1479,11,FALSE)),0,VLOOKUP(B18,Données!$A$3:$U$1479,11,FALSE))</f>
        <v>0</v>
      </c>
      <c r="G18" s="167">
        <f>VALUE(COUNTIF(Validation!$A$2:$H$64,B18))-1</f>
        <v>0</v>
      </c>
      <c r="H18" s="363">
        <f>IF(ISERROR(VLOOKUP(B18,Données!$A$3:$U$1479,12,FALSE)),0,VLOOKUP(B18,Données!$A$3:$U$1479,12,FALSE))</f>
        <v>0</v>
      </c>
      <c r="I18" s="168">
        <f>IF(ISERROR(VLOOKUP(B18,Données!$A$3:$U$1479,20,FALSE)),0,VLOOKUP(B18,Données!$A$3:$U$1479,20,FALSE))</f>
        <v>0</v>
      </c>
      <c r="J18" s="174"/>
      <c r="K18" s="41" t="s">
        <v>194</v>
      </c>
      <c r="L18" s="41" t="s">
        <v>2433</v>
      </c>
      <c r="O18" s="41"/>
      <c r="P18" s="41"/>
      <c r="Q18" s="181"/>
      <c r="R18" s="181" t="str">
        <f t="shared" si="0"/>
        <v/>
      </c>
    </row>
    <row r="19" spans="1:18" ht="15.75" x14ac:dyDescent="0.25">
      <c r="A19" s="605"/>
      <c r="B19" s="209" t="s">
        <v>314</v>
      </c>
      <c r="C19" s="165" t="str">
        <f>IF(ISERROR(VLOOKUP(B19,Données!$A$3:$L$1479,5,FALSE)),"",VLOOKUP(B19,Données!$A$3:$L$1479,5,FALSE))</f>
        <v/>
      </c>
      <c r="D19" s="347" t="str">
        <f>IF(ISERROR(VLOOKUP(B19,Données!$A$3:$X$1479,23,FALSE)),"",VLOOKUP(B19,Données!$A$3:$X$1479,23,FALSE))</f>
        <v/>
      </c>
      <c r="E19" s="165" t="str">
        <f>IF(ISERROR(VLOOKUP(B19,Données!$A$3:$L$1479,7,FALSE)),"",VLOOKUP(B19,Données!$A$3:$L$1479,7,FALSE))</f>
        <v/>
      </c>
      <c r="F19" s="166">
        <f>IF(ISERROR(VLOOKUP(B19,Données!$A$3:$U$1479,11,FALSE)),0,VLOOKUP(B19,Données!$A$3:$U$1479,11,FALSE))</f>
        <v>0</v>
      </c>
      <c r="G19" s="167">
        <f>VALUE(COUNTIF(Validation!$A$2:$H$64,B19))-1</f>
        <v>0</v>
      </c>
      <c r="H19" s="363">
        <f>IF(ISERROR(VLOOKUP(B19,Données!$A$3:$U$1479,12,FALSE)),0,VLOOKUP(B19,Données!$A$3:$U$1479,12,FALSE))</f>
        <v>0</v>
      </c>
      <c r="I19" s="168">
        <f>IF(ISERROR(VLOOKUP(B19,Données!$A$3:$U$1479,20,FALSE)),0,VLOOKUP(B19,Données!$A$3:$U$1479,20,FALSE))</f>
        <v>0</v>
      </c>
      <c r="J19" s="174"/>
      <c r="O19" s="41"/>
      <c r="P19" s="41"/>
      <c r="Q19" s="181"/>
      <c r="R19" s="181" t="str">
        <f t="shared" si="0"/>
        <v/>
      </c>
    </row>
    <row r="20" spans="1:18" ht="15.75" x14ac:dyDescent="0.25">
      <c r="A20" s="606"/>
      <c r="B20" s="277" t="s">
        <v>272</v>
      </c>
      <c r="C20" s="170" t="str">
        <f>IF(ISERROR(VLOOKUP(B20,Données!$A$3:$L$1479,5,FALSE)),"",VLOOKUP(B20,Données!$A$3:$L$1479,5,FALSE))</f>
        <v/>
      </c>
      <c r="D20" s="349" t="str">
        <f>IF(ISERROR(VLOOKUP(B20,Données!$A$3:$X$1479,23,FALSE)),"",VLOOKUP(B20,Données!$A$3:$X$1479,23,FALSE))</f>
        <v/>
      </c>
      <c r="E20" s="170" t="str">
        <f>IF(ISERROR(VLOOKUP(B20,Données!$A$3:$L$1479,7,FALSE)),"",VLOOKUP(B20,Données!$A$3:$L$1479,7,FALSE))</f>
        <v/>
      </c>
      <c r="F20" s="171">
        <f>IF(ISERROR(VLOOKUP(B20,Données!$A$3:$U$1479,11,FALSE)),0,VLOOKUP(B20,Données!$A$3:$U$1479,11,FALSE))</f>
        <v>0</v>
      </c>
      <c r="G20" s="172">
        <f>VALUE(COUNTIF(Validation!$A$2:$H$64,B20))-1</f>
        <v>0</v>
      </c>
      <c r="H20" s="364">
        <f>IF(ISERROR(VLOOKUP(B20,Données!$A$3:$U$1479,12,FALSE)),0,VLOOKUP(B20,Données!$A$3:$U$1479,12,FALSE))</f>
        <v>0</v>
      </c>
      <c r="I20" s="173">
        <f>IF(ISERROR(VLOOKUP(B20,Données!$A$3:$U$1479,20,FALSE)),0,VLOOKUP(B20,Données!$A$3:$U$1479,20,FALSE))</f>
        <v>0</v>
      </c>
      <c r="J20" s="174"/>
      <c r="O20" s="41"/>
      <c r="P20" s="41"/>
      <c r="Q20" s="181"/>
      <c r="R20" s="181" t="str">
        <f t="shared" si="0"/>
        <v/>
      </c>
    </row>
    <row r="21" spans="1:18" ht="20.25" customHeight="1" x14ac:dyDescent="0.25">
      <c r="A21" s="607" t="s">
        <v>40</v>
      </c>
      <c r="B21" s="274" t="s">
        <v>316</v>
      </c>
      <c r="C21" s="165" t="str">
        <f>IF(ISERROR(VLOOKUP(B21,Données!$A$3:$L$1479,5,FALSE)),"",VLOOKUP(B21,Données!$A$3:$L$1479,5,FALSE))</f>
        <v/>
      </c>
      <c r="D21" s="347" t="str">
        <f>IF(ISERROR(VLOOKUP(B21,Données!$A$3:$X$1479,23,FALSE)),"",VLOOKUP(B21,Données!$A$3:$X$1479,23,FALSE))</f>
        <v/>
      </c>
      <c r="E21" s="165" t="str">
        <f>IF(ISERROR(VLOOKUP(B21,Données!$A$3:$L$1479,7,FALSE)),"",VLOOKUP(B21,Données!$A$3:$L$1479,7,FALSE))</f>
        <v/>
      </c>
      <c r="F21" s="166">
        <f>IF(ISERROR(VLOOKUP(B21,Données!$A$3:$U$1479,11,FALSE)),0,VLOOKUP(B21,Données!$A$3:$U$1479,11,FALSE))</f>
        <v>0</v>
      </c>
      <c r="G21" s="167">
        <f>VALUE(COUNTIF(Validation!$A$2:$H$64,B21))-1</f>
        <v>0</v>
      </c>
      <c r="H21" s="363">
        <f>IF(ISERROR(VLOOKUP(B21,Données!$A$3:$U$1479,12,FALSE)),0,VLOOKUP(B21,Données!$A$3:$U$1479,12,FALSE))</f>
        <v>0</v>
      </c>
      <c r="I21" s="168">
        <f>IF(ISERROR(VLOOKUP(B21,Données!$A$3:$U$1479,20,FALSE)),0,VLOOKUP(B21,Données!$A$3:$U$1479,20,FALSE))</f>
        <v>0</v>
      </c>
      <c r="J21" s="154"/>
      <c r="O21" s="41"/>
      <c r="P21" s="41"/>
      <c r="Q21" s="181"/>
      <c r="R21" s="181" t="str">
        <f t="shared" si="0"/>
        <v/>
      </c>
    </row>
    <row r="22" spans="1:18" ht="15.75" customHeight="1" x14ac:dyDescent="0.25">
      <c r="A22" s="608"/>
      <c r="B22" s="277" t="s">
        <v>317</v>
      </c>
      <c r="C22" s="170" t="str">
        <f>IF(ISERROR(VLOOKUP(B22,Données!$A$3:$L$1479,5,FALSE)),"",VLOOKUP(B22,Données!$A$3:$L$1479,5,FALSE))</f>
        <v/>
      </c>
      <c r="D22" s="349" t="str">
        <f>IF(ISERROR(VLOOKUP(B22,Données!$A$3:$X$1479,23,FALSE)),"",VLOOKUP(B22,Données!$A$3:$X$1479,23,FALSE))</f>
        <v/>
      </c>
      <c r="E22" s="170" t="str">
        <f>IF(ISERROR(VLOOKUP(B22,Données!$A$3:$L$1479,7,FALSE)),"",VLOOKUP(B22,Données!$A$3:$L$1479,7,FALSE))</f>
        <v/>
      </c>
      <c r="F22" s="171">
        <f>IF(ISERROR(VLOOKUP(B22,Données!$A$3:$U$1479,11,FALSE)),0,VLOOKUP(B22,Données!$A$3:$U$1479,11,FALSE))</f>
        <v>0</v>
      </c>
      <c r="G22" s="172">
        <f>VALUE(COUNTIF(Validation!$A$2:$H$64,B22))-1</f>
        <v>0</v>
      </c>
      <c r="H22" s="364">
        <f>IF(ISERROR(VLOOKUP(B22,Données!$A$3:$U$1479,12,FALSE)),0,VLOOKUP(B22,Données!$A$3:$U$1479,12,FALSE))</f>
        <v>0</v>
      </c>
      <c r="I22" s="173">
        <f>IF(ISERROR(VLOOKUP(B22,Données!$A$3:$U$1479,20,FALSE)),0,VLOOKUP(B22,Données!$A$3:$U$1479,20,FALSE))</f>
        <v>0</v>
      </c>
      <c r="J22" s="154"/>
      <c r="O22" s="41"/>
      <c r="P22" s="41"/>
      <c r="Q22" s="181"/>
      <c r="R22" s="181" t="str">
        <f t="shared" si="0"/>
        <v/>
      </c>
    </row>
    <row r="23" spans="1:18" ht="15.75" customHeight="1" x14ac:dyDescent="0.25">
      <c r="A23" s="610" t="s">
        <v>42</v>
      </c>
      <c r="B23" s="209" t="s">
        <v>1103</v>
      </c>
      <c r="C23" s="165" t="str">
        <f>IF(ISERROR(VLOOKUP(B23,Données!$A$3:$L$1479,5,FALSE)),"",VLOOKUP(B23,Données!$A$3:$L$1479,5,FALSE))</f>
        <v/>
      </c>
      <c r="D23" s="347" t="str">
        <f>IF(ISERROR(VLOOKUP(B23,Données!$A$3:$X$1479,23,FALSE)),"",VLOOKUP(B23,Données!$A$3:$X$1479,23,FALSE))</f>
        <v/>
      </c>
      <c r="E23" s="165" t="str">
        <f>IF(ISERROR(VLOOKUP(B23,Données!$A$3:$L$1479,7,FALSE)),"",VLOOKUP(B23,Données!$A$3:$L$1479,7,FALSE))</f>
        <v/>
      </c>
      <c r="F23" s="166">
        <f>IF(ISERROR(VLOOKUP(B23,Données!$A$3:$U$1479,11,FALSE)),0,VLOOKUP(B23,Données!$A$3:$U$1479,11,FALSE))</f>
        <v>0</v>
      </c>
      <c r="G23" s="167">
        <f>VALUE(COUNTIF(Validation!$A$2:$H$64,B23))-1</f>
        <v>0</v>
      </c>
      <c r="H23" s="363">
        <f>IF(ISERROR(VLOOKUP(B23,Données!$A$3:$U$1479,12,FALSE)),0,VLOOKUP(B23,Données!$A$3:$U$1479,12,FALSE))</f>
        <v>0</v>
      </c>
      <c r="I23" s="168">
        <f>IF(ISERROR(VLOOKUP(B23,Données!$A$3:$U$1479,20,FALSE)),0,VLOOKUP(B23,Données!$A$3:$U$1479,20,FALSE))</f>
        <v>0</v>
      </c>
      <c r="J23" s="154"/>
      <c r="P23" s="41"/>
      <c r="Q23" s="181"/>
      <c r="R23" s="181" t="str">
        <f t="shared" si="0"/>
        <v/>
      </c>
    </row>
    <row r="24" spans="1:18" ht="15.75" customHeight="1" x14ac:dyDescent="0.25">
      <c r="A24" s="611"/>
      <c r="B24" s="209" t="s">
        <v>310</v>
      </c>
      <c r="C24" s="165" t="str">
        <f>IF(ISERROR(VLOOKUP(B24,Données!$A$3:$L$1479,5,FALSE)),"",VLOOKUP(B24,Données!$A$3:$L$1479,5,FALSE))</f>
        <v/>
      </c>
      <c r="D24" s="347" t="str">
        <f>IF(ISERROR(VLOOKUP(B24,Données!$A$3:$X$1479,23,FALSE)),"",VLOOKUP(B24,Données!$A$3:$X$1479,23,FALSE))</f>
        <v/>
      </c>
      <c r="E24" s="165" t="str">
        <f>IF(ISERROR(VLOOKUP(B24,Données!$A$3:$L$1479,7,FALSE)),"",VLOOKUP(B24,Données!$A$3:$L$1479,7,FALSE))</f>
        <v/>
      </c>
      <c r="F24" s="166">
        <f>IF(ISERROR(VLOOKUP(B24,Données!$A$3:$U$1479,11,FALSE)),0,VLOOKUP(B24,Données!$A$3:$U$1479,11,FALSE))</f>
        <v>0</v>
      </c>
      <c r="G24" s="167">
        <f>VALUE(COUNTIF(Validation!$A$2:$H$64,B24))-1</f>
        <v>0</v>
      </c>
      <c r="H24" s="363">
        <f>IF(ISERROR(VLOOKUP(B24,Données!$A$3:$U$1479,12,FALSE)),0,VLOOKUP(B24,Données!$A$3:$U$1479,12,FALSE))</f>
        <v>0</v>
      </c>
      <c r="I24" s="168">
        <f>IF(ISERROR(VLOOKUP(B24,Données!$A$3:$U$1479,20,FALSE)),0,VLOOKUP(B24,Données!$A$3:$U$1479,20,FALSE))</f>
        <v>0</v>
      </c>
      <c r="J24" s="154"/>
      <c r="P24" s="41"/>
      <c r="Q24" s="181"/>
      <c r="R24" s="181" t="str">
        <f t="shared" si="0"/>
        <v/>
      </c>
    </row>
    <row r="25" spans="1:18" ht="15.75" customHeight="1" x14ac:dyDescent="0.25">
      <c r="A25" s="611"/>
      <c r="B25" s="209" t="s">
        <v>156</v>
      </c>
      <c r="C25" s="165" t="str">
        <f>IF(ISERROR(VLOOKUP(B25,Données!$A$3:$L$1479,5,FALSE)),"",VLOOKUP(B25,Données!$A$3:$L$1479,5,FALSE))</f>
        <v/>
      </c>
      <c r="D25" s="347" t="str">
        <f>IF(ISERROR(VLOOKUP(B25,Données!$A$3:$X$1479,23,FALSE)),"",VLOOKUP(B25,Données!$A$3:$X$1479,23,FALSE))</f>
        <v/>
      </c>
      <c r="E25" s="165" t="str">
        <f>IF(ISERROR(VLOOKUP(B25,Données!$A$3:$L$1479,7,FALSE)),"",VLOOKUP(B25,Données!$A$3:$L$1479,7,FALSE))</f>
        <v/>
      </c>
      <c r="F25" s="166">
        <f>IF(ISERROR(VLOOKUP(B25,Données!$A$3:$U$1479,11,FALSE)),0,VLOOKUP(B25,Données!$A$3:$U$1479,11,FALSE))</f>
        <v>0</v>
      </c>
      <c r="G25" s="167">
        <f>VALUE(COUNTIF(Validation!$A$2:$H$64,B25))-1</f>
        <v>0</v>
      </c>
      <c r="H25" s="363">
        <f>IF(ISERROR(VLOOKUP(B25,Données!$A$3:$U$1479,12,FALSE)),0,VLOOKUP(B25,Données!$A$3:$U$1479,12,FALSE))</f>
        <v>0</v>
      </c>
      <c r="I25" s="168">
        <f>IF(ISERROR(VLOOKUP(B25,Données!$A$3:$U$1479,20,FALSE)),0,VLOOKUP(B25,Données!$A$3:$U$1479,20,FALSE))</f>
        <v>0</v>
      </c>
      <c r="J25" s="154"/>
      <c r="O25" s="41"/>
      <c r="P25" s="41"/>
      <c r="Q25" s="181"/>
      <c r="R25" s="181" t="str">
        <f t="shared" si="0"/>
        <v/>
      </c>
    </row>
    <row r="26" spans="1:18" ht="15.75" customHeight="1" x14ac:dyDescent="0.25">
      <c r="A26" s="611"/>
      <c r="B26" s="209" t="s">
        <v>283</v>
      </c>
      <c r="C26" s="165" t="str">
        <f>IF(ISERROR(VLOOKUP(B26,Données!$A$3:$L$1479,5,FALSE)),"",VLOOKUP(B26,Données!$A$3:$L$1479,5,FALSE))</f>
        <v/>
      </c>
      <c r="D26" s="347" t="str">
        <f>IF(ISERROR(VLOOKUP(B26,Données!$A$3:$X$1479,23,FALSE)),"",VLOOKUP(B26,Données!$A$3:$X$1479,23,FALSE))</f>
        <v/>
      </c>
      <c r="E26" s="165" t="str">
        <f>IF(ISERROR(VLOOKUP(B26,Données!$A$3:$L$1479,7,FALSE)),"",VLOOKUP(B26,Données!$A$3:$L$1479,7,FALSE))</f>
        <v/>
      </c>
      <c r="F26" s="166">
        <f>IF(ISERROR(VLOOKUP(B26,Données!$A$3:$U$1479,11,FALSE)),0,VLOOKUP(B26,Données!$A$3:$U$1479,11,FALSE))</f>
        <v>0</v>
      </c>
      <c r="G26" s="167">
        <f>VALUE(COUNTIF(Validation!$A$2:$H$64,B26))-1</f>
        <v>0</v>
      </c>
      <c r="H26" s="363">
        <f>IF(ISERROR(VLOOKUP(B26,Données!$A$3:$U$1479,12,FALSE)),0,VLOOKUP(B26,Données!$A$3:$U$1479,12,FALSE))</f>
        <v>0</v>
      </c>
      <c r="I26" s="168">
        <f>IF(ISERROR(VLOOKUP(B26,Données!$A$3:$U$1479,20,FALSE)),0,VLOOKUP(B26,Données!$A$3:$U$1479,20,FALSE))</f>
        <v>0</v>
      </c>
      <c r="J26" s="154"/>
      <c r="O26" s="41"/>
      <c r="P26" s="41"/>
      <c r="Q26" s="181"/>
      <c r="R26" s="181" t="str">
        <f t="shared" si="0"/>
        <v/>
      </c>
    </row>
    <row r="27" spans="1:18" ht="15.75" customHeight="1" x14ac:dyDescent="0.25">
      <c r="A27" s="611"/>
      <c r="B27" s="209"/>
      <c r="C27" s="165" t="str">
        <f>IF(ISERROR(VLOOKUP(B27,Données!$A$3:$L$1479,5,FALSE)),"",VLOOKUP(B27,Données!$A$3:$L$1479,5,FALSE))</f>
        <v/>
      </c>
      <c r="D27" s="347" t="str">
        <f>IF(ISERROR(VLOOKUP(B27,Données!$A$3:$X$1479,23,FALSE)),"",VLOOKUP(B27,Données!$A$3:$X$1479,23,FALSE))</f>
        <v/>
      </c>
      <c r="E27" s="165" t="str">
        <f>IF(ISERROR(VLOOKUP(B27,Données!$A$3:$L$1479,7,FALSE)),"",VLOOKUP(B27,Données!$A$3:$L$1479,7,FALSE))</f>
        <v/>
      </c>
      <c r="F27" s="166">
        <f>IF(ISERROR(VLOOKUP(B27,Données!$A$3:$U$1479,11,FALSE)),0,VLOOKUP(B27,Données!$A$3:$U$1479,11,FALSE))</f>
        <v>0</v>
      </c>
      <c r="G27" s="167">
        <f>VALUE(COUNTIF(Validation!$A$2:$H$64,B27))-1</f>
        <v>229</v>
      </c>
      <c r="H27" s="363">
        <f>IF(ISERROR(VLOOKUP(B27,Données!$A$3:$U$1479,12,FALSE)),0,VLOOKUP(B27,Données!$A$3:$U$1479,12,FALSE))</f>
        <v>0</v>
      </c>
      <c r="I27" s="168">
        <f>IF(ISERROR(VLOOKUP(B27,Données!$A$3:$U$1479,20,FALSE)),0,VLOOKUP(B27,Données!$A$3:$U$1479,20,FALSE))</f>
        <v>0</v>
      </c>
      <c r="J27" s="154"/>
      <c r="N27" s="41"/>
      <c r="P27" s="41"/>
      <c r="R27" s="181" t="str">
        <f t="shared" si="0"/>
        <v/>
      </c>
    </row>
    <row r="28" spans="1:18" ht="15.75" customHeight="1" x14ac:dyDescent="0.25">
      <c r="A28" s="611"/>
      <c r="B28" s="209"/>
      <c r="C28" s="165" t="str">
        <f>IF(ISERROR(VLOOKUP(B28,Données!$A$3:$L$1479,5,FALSE)),"",VLOOKUP(B28,Données!$A$3:$L$1479,5,FALSE))</f>
        <v/>
      </c>
      <c r="D28" s="347" t="str">
        <f>IF(ISERROR(VLOOKUP(B28,Données!$A$3:$X$1479,23,FALSE)),"",VLOOKUP(B28,Données!$A$3:$X$1479,23,FALSE))</f>
        <v/>
      </c>
      <c r="E28" s="165" t="str">
        <f>IF(ISERROR(VLOOKUP(B28,Données!$A$3:$L$1479,7,FALSE)),"",VLOOKUP(B28,Données!$A$3:$L$1479,7,FALSE))</f>
        <v/>
      </c>
      <c r="F28" s="166">
        <f>IF(ISERROR(VLOOKUP(B28,Données!$A$3:$U$1479,11,FALSE)),0,VLOOKUP(B28,Données!$A$3:$U$1479,11,FALSE))</f>
        <v>0</v>
      </c>
      <c r="G28" s="167">
        <f>VALUE(COUNTIF(Validation!$A$2:$H$64,B28))-1</f>
        <v>229</v>
      </c>
      <c r="H28" s="363">
        <f>IF(ISERROR(VLOOKUP(B28,Données!$A$3:$U$1479,12,FALSE)),0,VLOOKUP(B28,Données!$A$3:$U$1479,12,FALSE))</f>
        <v>0</v>
      </c>
      <c r="I28" s="168">
        <f>IF(ISERROR(VLOOKUP(B28,Données!$A$3:$U$1479,20,FALSE)),0,VLOOKUP(B28,Données!$A$3:$U$1479,20,FALSE))</f>
        <v>0</v>
      </c>
      <c r="J28" s="154"/>
      <c r="N28" s="41"/>
      <c r="O28" s="41"/>
      <c r="P28" s="41"/>
      <c r="R28" s="181" t="str">
        <f t="shared" si="0"/>
        <v/>
      </c>
    </row>
    <row r="29" spans="1:18" ht="15.75" customHeight="1" x14ac:dyDescent="0.25">
      <c r="A29" s="611"/>
      <c r="B29" s="209"/>
      <c r="C29" s="165" t="str">
        <f>IF(ISERROR(VLOOKUP(B29,Données!$A$3:$L$1479,5,FALSE)),"",VLOOKUP(B29,Données!$A$3:$L$1479,5,FALSE))</f>
        <v/>
      </c>
      <c r="D29" s="347" t="str">
        <f>IF(ISERROR(VLOOKUP(B29,Données!$A$3:$X$1479,23,FALSE)),"",VLOOKUP(B29,Données!$A$3:$X$1479,23,FALSE))</f>
        <v/>
      </c>
      <c r="E29" s="165" t="str">
        <f>IF(ISERROR(VLOOKUP(B29,Données!$A$3:$L$1479,7,FALSE)),"",VLOOKUP(B29,Données!$A$3:$L$1479,7,FALSE))</f>
        <v/>
      </c>
      <c r="F29" s="166">
        <f>IF(ISERROR(VLOOKUP(B29,Données!$A$3:$U$1479,11,FALSE)),0,VLOOKUP(B29,Données!$A$3:$U$1479,11,FALSE))</f>
        <v>0</v>
      </c>
      <c r="G29" s="167">
        <f>VALUE(COUNTIF(Validation!$A$2:$H$64,B29))-1</f>
        <v>229</v>
      </c>
      <c r="H29" s="363">
        <f>IF(ISERROR(VLOOKUP(B29,Données!$A$3:$U$1479,12,FALSE)),0,VLOOKUP(B29,Données!$A$3:$U$1479,12,FALSE))</f>
        <v>0</v>
      </c>
      <c r="I29" s="168">
        <f>IF(ISERROR(VLOOKUP(B29,Données!$A$3:$U$1479,20,FALSE)),0,VLOOKUP(B29,Données!$A$3:$U$1479,20,FALSE))</f>
        <v>0</v>
      </c>
      <c r="J29" s="154"/>
      <c r="O29" s="41"/>
      <c r="P29" s="41"/>
      <c r="R29" s="181" t="str">
        <f t="shared" si="0"/>
        <v/>
      </c>
    </row>
    <row r="30" spans="1:18" ht="15.75" customHeight="1" x14ac:dyDescent="0.25">
      <c r="A30" s="611"/>
      <c r="B30" s="29"/>
      <c r="C30" s="165" t="str">
        <f>IF(ISERROR(VLOOKUP(B30,Données!$A$3:$L$1479,5,FALSE)),"",VLOOKUP(B30,Données!$A$3:$L$1479,5,FALSE))</f>
        <v/>
      </c>
      <c r="D30" s="347" t="str">
        <f>IF(ISERROR(VLOOKUP(B30,Données!$A$3:$X$1479,23,FALSE)),"",VLOOKUP(B30,Données!$A$3:$X$1479,23,FALSE))</f>
        <v/>
      </c>
      <c r="E30" s="165" t="str">
        <f>IF(ISERROR(VLOOKUP(B30,Données!$A$3:$L$1479,7,FALSE)),"",VLOOKUP(B30,Données!$A$3:$L$1479,7,FALSE))</f>
        <v/>
      </c>
      <c r="F30" s="166">
        <f>IF(ISERROR(VLOOKUP(B30,Données!$A$3:$U$1479,11,FALSE)),0,VLOOKUP(B30,Données!$A$3:$U$1479,11,FALSE))</f>
        <v>0</v>
      </c>
      <c r="G30" s="167">
        <f>VALUE(COUNTIF(Validation!$A$2:$H$64,B30))-1</f>
        <v>229</v>
      </c>
      <c r="H30" s="363">
        <f>IF(ISERROR(VLOOKUP(B30,Données!$A$3:$U$1479,12,FALSE)),0,VLOOKUP(B30,Données!$A$3:$U$1479,12,FALSE))</f>
        <v>0</v>
      </c>
      <c r="I30" s="168">
        <f>IF(ISERROR(VLOOKUP(B30,Données!$A$3:$U$1479,20,FALSE)),0,VLOOKUP(B30,Données!$A$3:$U$1479,20,FALSE))</f>
        <v>0</v>
      </c>
      <c r="J30" s="154"/>
      <c r="O30" s="41"/>
      <c r="P30" s="41"/>
      <c r="Q30" s="181"/>
      <c r="R30" s="181" t="str">
        <f t="shared" si="0"/>
        <v/>
      </c>
    </row>
    <row r="31" spans="1:18" ht="15.75" x14ac:dyDescent="0.25">
      <c r="A31" s="612" t="s">
        <v>37</v>
      </c>
      <c r="B31" s="612"/>
      <c r="C31" s="612"/>
      <c r="D31" s="612"/>
      <c r="E31" s="612"/>
      <c r="F31" s="312">
        <f>ROUNDDOWN(SUM(F3:F30),2)</f>
        <v>0</v>
      </c>
      <c r="G31" s="176"/>
      <c r="H31" s="328">
        <f>SUM(H3:H30)</f>
        <v>0</v>
      </c>
      <c r="J31" s="154"/>
      <c r="O31" s="41"/>
      <c r="P31" s="41"/>
      <c r="Q31" s="181"/>
      <c r="R31" s="181" t="str">
        <f t="shared" si="0"/>
        <v/>
      </c>
    </row>
    <row r="32" spans="1:18" ht="19.5" thickBot="1" x14ac:dyDescent="0.35">
      <c r="A32" s="613" t="s">
        <v>44</v>
      </c>
      <c r="B32" s="613"/>
      <c r="C32" s="613"/>
      <c r="D32" s="613"/>
      <c r="E32" s="613"/>
      <c r="F32" s="320">
        <f>'Calcul Masse Salariale'!$B$5-F31</f>
        <v>102000000</v>
      </c>
      <c r="G32" s="178"/>
      <c r="H32" s="336">
        <f>'Calcul Masse Salariale'!$B$6-H31</f>
        <v>102000000</v>
      </c>
      <c r="J32" s="154"/>
      <c r="O32" s="41"/>
      <c r="P32" s="41"/>
      <c r="R32" s="181" t="str">
        <f t="shared" si="0"/>
        <v/>
      </c>
    </row>
    <row r="33" spans="1:18" ht="16.5" thickBot="1" x14ac:dyDescent="0.3">
      <c r="F33" s="368"/>
      <c r="J33" s="154"/>
      <c r="O33" s="41"/>
      <c r="P33" s="41"/>
      <c r="Q33" s="181"/>
      <c r="R33" s="181" t="str">
        <f t="shared" si="0"/>
        <v/>
      </c>
    </row>
    <row r="34" spans="1:18" ht="30.75" thickBot="1" x14ac:dyDescent="0.3">
      <c r="B34" s="420" t="s">
        <v>36</v>
      </c>
      <c r="C34" s="421" t="s">
        <v>52</v>
      </c>
      <c r="D34" s="421" t="s">
        <v>403</v>
      </c>
      <c r="E34" s="421" t="s">
        <v>5</v>
      </c>
      <c r="F34" s="422" t="s">
        <v>134</v>
      </c>
      <c r="G34" s="423" t="s">
        <v>189</v>
      </c>
      <c r="H34" s="424" t="s">
        <v>1155</v>
      </c>
      <c r="I34" s="425" t="s">
        <v>2403</v>
      </c>
      <c r="J34" s="154"/>
      <c r="N34" s="41"/>
      <c r="O34" s="41"/>
      <c r="P34" s="41"/>
      <c r="R34" s="181" t="str">
        <f t="shared" si="0"/>
        <v/>
      </c>
    </row>
    <row r="35" spans="1:18" ht="19.5" thickBot="1" x14ac:dyDescent="0.35">
      <c r="A35" s="506" t="s">
        <v>2401</v>
      </c>
      <c r="B35" s="453"/>
      <c r="C35" s="402" t="str">
        <f>IF(ISERROR(VLOOKUP(B35,Données!$A$3:$L$1479,5,FALSE)),"",VLOOKUP(B35,Données!$A$3:$L$1479,5,FALSE))</f>
        <v/>
      </c>
      <c r="D35" s="402" t="str">
        <f>IF(ISERROR(VLOOKUP(B35,Données!$A$3:$X$1479,22,FALSE)),"",VLOOKUP(B35,Données!$A$3:$X$1479,22,FALSE))</f>
        <v/>
      </c>
      <c r="E35" s="402" t="str">
        <f>IF(ISERROR(VLOOKUP(B35,Données!$A$3:$L$1479,7,FALSE)),"",VLOOKUP(B35,Données!$A$3:$L$1479,7,FALSE))</f>
        <v/>
      </c>
      <c r="F35" s="403">
        <f>IF(ISERROR(VLOOKUP(B35,Données!$A$3:$U$1479,11,FALSE)),0,VLOOKUP(B35,Données!$A$3:$U$1479,11,FALSE))</f>
        <v>0</v>
      </c>
      <c r="G35" s="456">
        <f>VALUE(COUNTIF(Validation!$A$2:$H$120,B35))-1</f>
        <v>229</v>
      </c>
      <c r="H35" s="404">
        <f>IF(ISERROR(VLOOKUP(B35,Données!$A$3:$U$1479,12,FALSE)),0,VLOOKUP(B35,Données!$A$3:$U$1479,12,FALSE))</f>
        <v>0</v>
      </c>
      <c r="I35" s="405">
        <f>IF(ISERROR(VLOOKUP(B35,Données!$E$3:$U$1479,17,FALSE)),0,VLOOKUP(B35,Données!$E$3:$U$1479,17,FALSE))</f>
        <v>0</v>
      </c>
      <c r="J35" s="154"/>
      <c r="P35" s="41"/>
      <c r="R35" s="181" t="str">
        <f t="shared" si="0"/>
        <v/>
      </c>
    </row>
    <row r="36" spans="1:18" ht="19.5" thickBot="1" x14ac:dyDescent="0.35">
      <c r="A36" s="507"/>
      <c r="B36" s="406" t="s">
        <v>2404</v>
      </c>
      <c r="C36" s="509"/>
      <c r="D36" s="509"/>
      <c r="E36" s="509"/>
      <c r="F36" s="407" t="s">
        <v>2405</v>
      </c>
      <c r="G36" s="509" t="str">
        <f>IF(C36="","",C36+28)</f>
        <v/>
      </c>
      <c r="H36" s="509"/>
      <c r="I36" s="509"/>
      <c r="J36" s="154"/>
      <c r="N36" s="41"/>
      <c r="O36" s="41"/>
      <c r="P36" s="41"/>
      <c r="R36" s="181" t="str">
        <f t="shared" si="0"/>
        <v/>
      </c>
    </row>
    <row r="37" spans="1:18" x14ac:dyDescent="0.25">
      <c r="J37" s="154"/>
      <c r="N37" s="41"/>
      <c r="O37" s="41"/>
      <c r="P37" s="41"/>
      <c r="R37" s="181" t="str">
        <f t="shared" si="0"/>
        <v/>
      </c>
    </row>
    <row r="38" spans="1:18" ht="34.5" customHeight="1" x14ac:dyDescent="0.25">
      <c r="A38" s="60"/>
      <c r="B38" s="62" t="s">
        <v>36</v>
      </c>
      <c r="C38" s="62" t="s">
        <v>52</v>
      </c>
      <c r="D38" s="62" t="s">
        <v>403</v>
      </c>
      <c r="E38" s="7" t="s">
        <v>2402</v>
      </c>
      <c r="F38" s="399" t="s">
        <v>134</v>
      </c>
      <c r="G38" s="68" t="s">
        <v>195</v>
      </c>
      <c r="H38" s="160" t="s">
        <v>2676</v>
      </c>
      <c r="I38" s="67" t="s">
        <v>1</v>
      </c>
      <c r="J38" s="154"/>
    </row>
    <row r="39" spans="1:18" ht="15.75" x14ac:dyDescent="0.25">
      <c r="A39" s="497" t="s">
        <v>43</v>
      </c>
      <c r="B39" s="353" t="s">
        <v>598</v>
      </c>
      <c r="C39" s="74" t="str">
        <f>IF(ISERROR(VLOOKUP(B39,Données!$A$3:$L$1479,5,FALSE)),"",VLOOKUP(B39,Données!$A$3:$L$1479,5,FALSE))</f>
        <v/>
      </c>
      <c r="D39" s="347" t="str">
        <f>IF(ISERROR(VLOOKUP(B39,Données!$A$3:$X$1479,23,FALSE)),"",VLOOKUP(B39,Données!$A$3:$X$1479,23,FALSE))</f>
        <v/>
      </c>
      <c r="E39" s="169">
        <v>2014</v>
      </c>
      <c r="F39" s="358">
        <f>IF(ISERROR(VLOOKUP(B39,Données!$A$3:$U$1479,11,FALSE)),0,VLOOKUP(B39,Données!$A$3:$U$1479,11,FALSE))</f>
        <v>0</v>
      </c>
      <c r="G39" s="74">
        <f t="shared" ref="G39:G73" si="1">I39</f>
        <v>0</v>
      </c>
      <c r="H39" s="363">
        <f>IF(ISERROR(VLOOKUP(B39,Données!$A$3:$U$1479,12,FALSE)),0,VLOOKUP(B39,Données!$A$3:$U$1479,12,FALSE))</f>
        <v>0</v>
      </c>
      <c r="I39" s="74">
        <f>IF(((E39+5)-'Calcul Masse Salariale'!$B$1)&lt;=0,0,(E39+5)-'Calcul Masse Salariale'!$B$1)</f>
        <v>0</v>
      </c>
      <c r="J39" s="154"/>
    </row>
    <row r="40" spans="1:18" ht="15.75" x14ac:dyDescent="0.25">
      <c r="A40" s="497"/>
      <c r="B40" s="353" t="s">
        <v>863</v>
      </c>
      <c r="C40" s="74" t="str">
        <f>IF(ISERROR(VLOOKUP(B40,Données!$A$3:$L$1479,5,FALSE)),"",VLOOKUP(B40,Données!$A$3:$L$1479,5,FALSE))</f>
        <v/>
      </c>
      <c r="D40" s="347" t="str">
        <f>IF(ISERROR(VLOOKUP(B40,Données!$A$3:$X$1479,23,FALSE)),"",VLOOKUP(B40,Données!$A$3:$X$1479,23,FALSE))</f>
        <v/>
      </c>
      <c r="E40" s="169">
        <v>2015</v>
      </c>
      <c r="F40" s="358">
        <f>IF(ISERROR(VLOOKUP(B40,Données!$A$3:$U$1479,11,FALSE)),0,VLOOKUP(B40,Données!$A$3:$U$1479,11,FALSE))</f>
        <v>0</v>
      </c>
      <c r="G40" s="74">
        <f t="shared" si="1"/>
        <v>1</v>
      </c>
      <c r="H40" s="363">
        <f>IF(ISERROR(VLOOKUP(B40,Données!$A$3:$U$1479,12,FALSE)),0,VLOOKUP(B40,Données!$A$3:$U$1479,12,FALSE))</f>
        <v>0</v>
      </c>
      <c r="I40" s="74">
        <f>IF(((E40+5)-'Calcul Masse Salariale'!$B$1)&lt;=0,0,(E40+5)-'Calcul Masse Salariale'!$B$1)</f>
        <v>1</v>
      </c>
      <c r="J40" s="154"/>
    </row>
    <row r="41" spans="1:18" ht="18.75" x14ac:dyDescent="0.3">
      <c r="A41" s="497"/>
      <c r="B41" s="353" t="s">
        <v>999</v>
      </c>
      <c r="C41" s="74" t="str">
        <f>IF(ISERROR(VLOOKUP(B41,Données!$A$3:$L$1479,5,FALSE)),"",VLOOKUP(B41,Données!$A$3:$L$1479,5,FALSE))</f>
        <v/>
      </c>
      <c r="D41" s="347" t="str">
        <f>IF(ISERROR(VLOOKUP(B41,Données!$A$3:$X$1479,23,FALSE)),"",VLOOKUP(B41,Données!$A$3:$X$1479,23,FALSE))</f>
        <v/>
      </c>
      <c r="E41" s="169">
        <v>2015</v>
      </c>
      <c r="F41" s="358">
        <f>IF(ISERROR(VLOOKUP(B41,Données!$A$3:$U$1479,11,FALSE)),0,VLOOKUP(B41,Données!$A$3:$U$1479,11,FALSE))</f>
        <v>0</v>
      </c>
      <c r="G41" s="74">
        <f t="shared" si="1"/>
        <v>1</v>
      </c>
      <c r="H41" s="363">
        <f>IF(ISERROR(VLOOKUP(B41,Données!$A$3:$U$1479,12,FALSE)),0,VLOOKUP(B41,Données!$A$3:$U$1479,12,FALSE))</f>
        <v>0</v>
      </c>
      <c r="I41" s="74">
        <f>IF(((E41+5)-'Calcul Masse Salariale'!$B$1)&lt;=0,0,(E41+5)-'Calcul Masse Salariale'!$B$1)</f>
        <v>1</v>
      </c>
      <c r="J41" s="180"/>
    </row>
    <row r="42" spans="1:18" ht="15.75" x14ac:dyDescent="0.25">
      <c r="A42" s="497"/>
      <c r="B42" s="353" t="s">
        <v>682</v>
      </c>
      <c r="C42" s="74" t="str">
        <f>IF(ISERROR(VLOOKUP(B42,Données!$A$3:$L$1479,5,FALSE)),"",VLOOKUP(B42,Données!$A$3:$L$1479,5,FALSE))</f>
        <v/>
      </c>
      <c r="D42" s="347" t="str">
        <f>IF(ISERROR(VLOOKUP(B42,Données!$A$3:$X$1479,23,FALSE)),"",VLOOKUP(B42,Données!$A$3:$X$1479,23,FALSE))</f>
        <v/>
      </c>
      <c r="E42" s="169">
        <v>2015</v>
      </c>
      <c r="F42" s="358">
        <f>IF(ISERROR(VLOOKUP(B42,Données!$A$3:$U$1479,11,FALSE)),0,VLOOKUP(B42,Données!$A$3:$U$1479,11,FALSE))</f>
        <v>0</v>
      </c>
      <c r="G42" s="74">
        <f t="shared" si="1"/>
        <v>1</v>
      </c>
      <c r="H42" s="363">
        <f>IF(ISERROR(VLOOKUP(B42,Données!$A$3:$U$1479,12,FALSE)),0,VLOOKUP(B42,Données!$A$3:$U$1479,12,FALSE))</f>
        <v>0</v>
      </c>
      <c r="I42" s="74">
        <f>IF(((E42+5)-'Calcul Masse Salariale'!$B$1)&lt;=0,0,(E42+5)-'Calcul Masse Salariale'!$B$1)</f>
        <v>1</v>
      </c>
      <c r="J42" s="154"/>
    </row>
    <row r="43" spans="1:18" ht="15.75" x14ac:dyDescent="0.25">
      <c r="A43" s="497"/>
      <c r="B43" s="353" t="s">
        <v>868</v>
      </c>
      <c r="C43" s="74" t="str">
        <f>IF(ISERROR(VLOOKUP(B43,Données!$A$3:$L$1479,5,FALSE)),"",VLOOKUP(B43,Données!$A$3:$L$1479,5,FALSE))</f>
        <v/>
      </c>
      <c r="D43" s="347" t="str">
        <f>IF(ISERROR(VLOOKUP(B43,Données!$A$3:$X$1479,23,FALSE)),"",VLOOKUP(B43,Données!$A$3:$X$1479,23,FALSE))</f>
        <v/>
      </c>
      <c r="E43" s="169">
        <v>2015</v>
      </c>
      <c r="F43" s="358">
        <f>IF(ISERROR(VLOOKUP(B43,Données!$A$3:$U$1479,11,FALSE)),0,VLOOKUP(B43,Données!$A$3:$U$1479,11,FALSE))</f>
        <v>0</v>
      </c>
      <c r="G43" s="74">
        <f t="shared" si="1"/>
        <v>1</v>
      </c>
      <c r="H43" s="363">
        <f>IF(ISERROR(VLOOKUP(B43,Données!$A$3:$U$1479,12,FALSE)),0,VLOOKUP(B43,Données!$A$3:$U$1479,12,FALSE))</f>
        <v>0</v>
      </c>
      <c r="I43" s="74">
        <f>IF(((E43+5)-'Calcul Masse Salariale'!$B$1)&lt;=0,0,(E43+5)-'Calcul Masse Salariale'!$B$1)</f>
        <v>1</v>
      </c>
      <c r="J43" s="154"/>
    </row>
    <row r="44" spans="1:18" ht="15.75" x14ac:dyDescent="0.25">
      <c r="A44" s="497"/>
      <c r="B44" s="357" t="s">
        <v>888</v>
      </c>
      <c r="C44" s="74" t="str">
        <f>IF(ISERROR(VLOOKUP(B44,Données!$A$3:$L$1479,5,FALSE)),"",VLOOKUP(B44,Données!$A$3:$L$1479,5,FALSE))</f>
        <v/>
      </c>
      <c r="D44" s="347" t="str">
        <f>IF(ISERROR(VLOOKUP(B44,Données!$A$3:$X$1479,23,FALSE)),"",VLOOKUP(B44,Données!$A$3:$X$1479,23,FALSE))</f>
        <v/>
      </c>
      <c r="E44" s="169">
        <v>2016</v>
      </c>
      <c r="F44" s="358">
        <f>IF(ISERROR(VLOOKUP(B44,Données!$A$3:$U$1479,11,FALSE)),0,VLOOKUP(B44,Données!$A$3:$U$1479,11,FALSE))</f>
        <v>0</v>
      </c>
      <c r="G44" s="74">
        <f t="shared" si="1"/>
        <v>2</v>
      </c>
      <c r="H44" s="363">
        <f>IF(ISERROR(VLOOKUP(B44,Données!$A$3:$U$1479,12,FALSE)),0,VLOOKUP(B44,Données!$A$3:$U$1479,12,FALSE))</f>
        <v>0</v>
      </c>
      <c r="I44" s="74">
        <f>IF(((E44+5)-'Calcul Masse Salariale'!$B$1)&lt;=0,0,(E44+5)-'Calcul Masse Salariale'!$B$1)</f>
        <v>2</v>
      </c>
      <c r="J44" s="154"/>
    </row>
    <row r="45" spans="1:18" ht="15.75" x14ac:dyDescent="0.25">
      <c r="A45" s="497"/>
      <c r="B45" s="355" t="s">
        <v>839</v>
      </c>
      <c r="C45" s="74" t="str">
        <f>IF(ISERROR(VLOOKUP(B45,Données!$A$3:$L$1479,5,FALSE)),"",VLOOKUP(B45,Données!$A$3:$L$1479,5,FALSE))</f>
        <v/>
      </c>
      <c r="D45" s="347" t="str">
        <f>IF(ISERROR(VLOOKUP(B45,Données!$A$3:$X$1479,23,FALSE)),"",VLOOKUP(B45,Données!$A$3:$X$1479,23,FALSE))</f>
        <v/>
      </c>
      <c r="E45" s="169">
        <v>2015</v>
      </c>
      <c r="F45" s="358">
        <f>IF(ISERROR(VLOOKUP(B45,Données!$A$3:$U$1479,11,FALSE)),0,VLOOKUP(B45,Données!$A$3:$U$1479,11,FALSE))</f>
        <v>0</v>
      </c>
      <c r="G45" s="74">
        <f t="shared" si="1"/>
        <v>1</v>
      </c>
      <c r="H45" s="363">
        <f>IF(ISERROR(VLOOKUP(B45,Données!$A$3:$U$1479,12,FALSE)),0,VLOOKUP(B45,Données!$A$3:$U$1479,12,FALSE))</f>
        <v>0</v>
      </c>
      <c r="I45" s="74">
        <f>IF(((E45+5)-'Calcul Masse Salariale'!$B$1)&lt;=0,0,(E45+5)-'Calcul Masse Salariale'!$B$1)</f>
        <v>1</v>
      </c>
      <c r="J45" s="154"/>
    </row>
    <row r="46" spans="1:18" ht="15.75" x14ac:dyDescent="0.25">
      <c r="A46" s="497"/>
      <c r="B46" s="356" t="s">
        <v>138</v>
      </c>
      <c r="C46" s="74" t="str">
        <f>IF(ISERROR(VLOOKUP(B46,Données!$A$3:$L$1479,5,FALSE)),"",VLOOKUP(B46,Données!$A$3:$L$1479,5,FALSE))</f>
        <v/>
      </c>
      <c r="D46" s="347" t="str">
        <f>IF(ISERROR(VLOOKUP(B46,Données!$A$3:$X$1479,23,FALSE)),"",VLOOKUP(B46,Données!$A$3:$X$1479,23,FALSE))</f>
        <v/>
      </c>
      <c r="E46" s="169">
        <v>2017</v>
      </c>
      <c r="F46" s="358">
        <f>IF(ISERROR(VLOOKUP(B46,Données!$A$3:$U$1479,11,FALSE)),0,VLOOKUP(B46,Données!$A$3:$U$1479,11,FALSE))</f>
        <v>0</v>
      </c>
      <c r="G46" s="74">
        <f t="shared" si="1"/>
        <v>3</v>
      </c>
      <c r="H46" s="363">
        <f>IF(ISERROR(VLOOKUP(B46,Données!$A$3:$U$1479,12,FALSE)),0,VLOOKUP(B46,Données!$A$3:$U$1479,12,FALSE))</f>
        <v>0</v>
      </c>
      <c r="I46" s="74">
        <f>IF(((E46+5)-'Calcul Masse Salariale'!$B$1)&lt;=0,0,(E46+5)-'Calcul Masse Salariale'!$B$1)</f>
        <v>3</v>
      </c>
      <c r="J46" s="154"/>
    </row>
    <row r="47" spans="1:18" ht="15.75" x14ac:dyDescent="0.25">
      <c r="A47" s="497"/>
      <c r="B47" s="357" t="s">
        <v>151</v>
      </c>
      <c r="C47" s="74" t="str">
        <f>IF(ISERROR(VLOOKUP(B47,Données!$A$3:$L$1479,5,FALSE)),"",VLOOKUP(B47,Données!$A$3:$L$1479,5,FALSE))</f>
        <v/>
      </c>
      <c r="D47" s="347" t="str">
        <f>IF(ISERROR(VLOOKUP(B47,Données!$A$3:$X$1479,23,FALSE)),"",VLOOKUP(B47,Données!$A$3:$X$1479,23,FALSE))</f>
        <v/>
      </c>
      <c r="E47" s="169">
        <v>2017</v>
      </c>
      <c r="F47" s="358">
        <f>IF(ISERROR(VLOOKUP(B47,Données!$A$3:$U$1479,11,FALSE)),0,VLOOKUP(B47,Données!$A$3:$U$1479,11,FALSE))</f>
        <v>0</v>
      </c>
      <c r="G47" s="74">
        <f t="shared" si="1"/>
        <v>3</v>
      </c>
      <c r="H47" s="363">
        <f>IF(ISERROR(VLOOKUP(B47,Données!$A$3:$U$1479,12,FALSE)),0,VLOOKUP(B47,Données!$A$3:$U$1479,12,FALSE))</f>
        <v>0</v>
      </c>
      <c r="I47" s="74">
        <f>IF(((E47+5)-'Calcul Masse Salariale'!$B$1)&lt;=0,0,(E47+5)-'Calcul Masse Salariale'!$B$1)</f>
        <v>3</v>
      </c>
      <c r="J47" s="154"/>
    </row>
    <row r="48" spans="1:18" ht="15.75" x14ac:dyDescent="0.25">
      <c r="A48" s="497"/>
      <c r="B48" s="356" t="s">
        <v>153</v>
      </c>
      <c r="C48" s="74" t="str">
        <f>IF(ISERROR(VLOOKUP(B48,Données!$A$3:$L$1479,5,FALSE)),"",VLOOKUP(B48,Données!$A$3:$L$1479,5,FALSE))</f>
        <v/>
      </c>
      <c r="D48" s="347" t="str">
        <f>IF(ISERROR(VLOOKUP(B48,Données!$A$3:$X$1479,23,FALSE)),"",VLOOKUP(B48,Données!$A$3:$X$1479,23,FALSE))</f>
        <v/>
      </c>
      <c r="E48" s="169">
        <v>2017</v>
      </c>
      <c r="F48" s="358">
        <f>IF(ISERROR(VLOOKUP(B48,Données!$A$3:$U$1479,11,FALSE)),0,VLOOKUP(B48,Données!$A$3:$U$1479,11,FALSE))</f>
        <v>0</v>
      </c>
      <c r="G48" s="74">
        <f t="shared" si="1"/>
        <v>3</v>
      </c>
      <c r="H48" s="363">
        <f>IF(ISERROR(VLOOKUP(B48,Données!$A$3:$U$1479,12,FALSE)),0,VLOOKUP(B48,Données!$A$3:$U$1479,12,FALSE))</f>
        <v>0</v>
      </c>
      <c r="I48" s="74">
        <f>IF(((E48+5)-'Calcul Masse Salariale'!$B$1)&lt;=0,0,(E48+5)-'Calcul Masse Salariale'!$B$1)</f>
        <v>3</v>
      </c>
      <c r="J48" s="154"/>
    </row>
    <row r="49" spans="1:10" ht="15.75" x14ac:dyDescent="0.25">
      <c r="A49" s="497"/>
      <c r="B49" s="356" t="s">
        <v>154</v>
      </c>
      <c r="C49" s="74" t="str">
        <f>IF(ISERROR(VLOOKUP(B49,Données!$A$3:$L$1479,5,FALSE)),"",VLOOKUP(B49,Données!$A$3:$L$1479,5,FALSE))</f>
        <v/>
      </c>
      <c r="D49" s="347" t="str">
        <f>IF(ISERROR(VLOOKUP(B49,Données!$A$3:$X$1479,23,FALSE)),"",VLOOKUP(B49,Données!$A$3:$X$1479,23,FALSE))</f>
        <v/>
      </c>
      <c r="E49" s="169">
        <v>2017</v>
      </c>
      <c r="F49" s="358">
        <f>IF(ISERROR(VLOOKUP(B49,Données!$A$3:$U$1479,11,FALSE)),0,VLOOKUP(B49,Données!$A$3:$U$1479,11,FALSE))</f>
        <v>0</v>
      </c>
      <c r="G49" s="74">
        <f t="shared" si="1"/>
        <v>3</v>
      </c>
      <c r="H49" s="363">
        <f>IF(ISERROR(VLOOKUP(B49,Données!$A$3:$U$1479,12,FALSE)),0,VLOOKUP(B49,Données!$A$3:$U$1479,12,FALSE))</f>
        <v>0</v>
      </c>
      <c r="I49" s="74">
        <f>IF(((E49+5)-'Calcul Masse Salariale'!$B$1)&lt;=0,0,(E49+5)-'Calcul Masse Salariale'!$B$1)</f>
        <v>3</v>
      </c>
      <c r="J49" s="154"/>
    </row>
    <row r="50" spans="1:10" ht="15.75" x14ac:dyDescent="0.25">
      <c r="A50" s="497"/>
      <c r="B50" s="175" t="s">
        <v>1165</v>
      </c>
      <c r="C50" s="74" t="str">
        <f>IF(ISERROR(VLOOKUP(B50,Données!$A$3:$L$1479,5,FALSE)),"",VLOOKUP(B50,Données!$A$3:$L$1479,5,FALSE))</f>
        <v/>
      </c>
      <c r="D50" s="347" t="str">
        <f>IF(ISERROR(VLOOKUP(B50,Données!$A$3:$X$1479,23,FALSE)),"",VLOOKUP(B50,Données!$A$3:$X$1479,23,FALSE))</f>
        <v/>
      </c>
      <c r="E50" s="169">
        <v>2018</v>
      </c>
      <c r="F50" s="358">
        <f>IF(ISERROR(VLOOKUP(B50,Données!$A$3:$U$1479,11,FALSE)),0,VLOOKUP(B50,Données!$A$3:$U$1479,11,FALSE))</f>
        <v>0</v>
      </c>
      <c r="G50" s="74">
        <f t="shared" si="1"/>
        <v>4</v>
      </c>
      <c r="H50" s="363">
        <f>IF(ISERROR(VLOOKUP(B50,Données!$A$3:$U$1479,12,FALSE)),0,VLOOKUP(B50,Données!$A$3:$U$1479,12,FALSE))</f>
        <v>0</v>
      </c>
      <c r="I50" s="74">
        <f>IF(((E50+5)-'Calcul Masse Salariale'!$B$1)&lt;=0,0,(E50+5)-'Calcul Masse Salariale'!$B$1)</f>
        <v>4</v>
      </c>
      <c r="J50" s="154"/>
    </row>
    <row r="51" spans="1:10" ht="15.75" x14ac:dyDescent="0.25">
      <c r="A51" s="497"/>
      <c r="B51" s="165" t="s">
        <v>789</v>
      </c>
      <c r="C51" s="74" t="str">
        <f>IF(ISERROR(VLOOKUP(B51,Données!$A$3:$L$1479,5,FALSE)),"",VLOOKUP(B51,Données!$A$3:$L$1479,5,FALSE))</f>
        <v/>
      </c>
      <c r="D51" s="347" t="str">
        <f>IF(ISERROR(VLOOKUP(B51,Données!$A$3:$X$1479,23,FALSE)),"",VLOOKUP(B51,Données!$A$3:$X$1479,23,FALSE))</f>
        <v/>
      </c>
      <c r="E51" s="169">
        <v>2018</v>
      </c>
      <c r="F51" s="358">
        <f>IF(ISERROR(VLOOKUP(B51,Données!$A$3:$U$1479,11,FALSE)),0,VLOOKUP(B51,Données!$A$3:$U$1479,11,FALSE))</f>
        <v>0</v>
      </c>
      <c r="G51" s="74">
        <f t="shared" si="1"/>
        <v>4</v>
      </c>
      <c r="H51" s="363">
        <f>IF(ISERROR(VLOOKUP(B51,Données!$A$3:$U$1479,12,FALSE)),0,VLOOKUP(B51,Données!$A$3:$U$1479,12,FALSE))</f>
        <v>0</v>
      </c>
      <c r="I51" s="74">
        <f>IF(((E51+5)-'Calcul Masse Salariale'!$B$1)&lt;=0,0,(E51+5)-'Calcul Masse Salariale'!$B$1)</f>
        <v>4</v>
      </c>
      <c r="J51" s="154"/>
    </row>
    <row r="52" spans="1:10" ht="15.75" x14ac:dyDescent="0.25">
      <c r="A52" s="497"/>
      <c r="B52" s="169" t="s">
        <v>409</v>
      </c>
      <c r="C52" s="74" t="str">
        <f>IF(ISERROR(VLOOKUP(B52,Données!$A$3:$L$1479,5,FALSE)),"",VLOOKUP(B52,Données!$A$3:$L$1479,5,FALSE))</f>
        <v/>
      </c>
      <c r="D52" s="347" t="str">
        <f>IF(ISERROR(VLOOKUP(B52,Données!$A$3:$X$1479,23,FALSE)),"",VLOOKUP(B52,Données!$A$3:$X$1479,23,FALSE))</f>
        <v/>
      </c>
      <c r="E52" s="169">
        <v>2018</v>
      </c>
      <c r="F52" s="358">
        <f>IF(ISERROR(VLOOKUP(B52,Données!$A$3:$U$1479,11,FALSE)),0,VLOOKUP(B52,Données!$A$3:$U$1479,11,FALSE))</f>
        <v>0</v>
      </c>
      <c r="G52" s="74">
        <f t="shared" si="1"/>
        <v>4</v>
      </c>
      <c r="H52" s="363">
        <f>IF(ISERROR(VLOOKUP(B52,Données!$A$3:$U$1479,12,FALSE)),0,VLOOKUP(B52,Données!$A$3:$U$1479,12,FALSE))</f>
        <v>0</v>
      </c>
      <c r="I52" s="74">
        <f>IF(((E52+5)-'Calcul Masse Salariale'!$B$1)&lt;=0,0,(E52+5)-'Calcul Masse Salariale'!$B$1)</f>
        <v>4</v>
      </c>
      <c r="J52" s="154"/>
    </row>
    <row r="53" spans="1:10" ht="15.75" x14ac:dyDescent="0.25">
      <c r="A53" s="497"/>
      <c r="B53" s="169" t="s">
        <v>1175</v>
      </c>
      <c r="C53" s="74" t="str">
        <f>IF(ISERROR(VLOOKUP(B53,Données!$A$3:$L$1479,5,FALSE)),"",VLOOKUP(B53,Données!$A$3:$L$1479,5,FALSE))</f>
        <v/>
      </c>
      <c r="D53" s="347" t="str">
        <f>IF(ISERROR(VLOOKUP(B53,Données!$A$3:$X$1479,23,FALSE)),"",VLOOKUP(B53,Données!$A$3:$X$1479,23,FALSE))</f>
        <v/>
      </c>
      <c r="E53" s="169">
        <v>2018</v>
      </c>
      <c r="F53" s="358">
        <f>IF(ISERROR(VLOOKUP(B53,Données!$A$3:$U$1479,11,FALSE)),0,VLOOKUP(B53,Données!$A$3:$U$1479,11,FALSE))</f>
        <v>0</v>
      </c>
      <c r="G53" s="74">
        <f t="shared" si="1"/>
        <v>4</v>
      </c>
      <c r="H53" s="363">
        <f>IF(ISERROR(VLOOKUP(B53,Données!$A$3:$U$1479,12,FALSE)),0,VLOOKUP(B53,Données!$A$3:$U$1479,12,FALSE))</f>
        <v>0</v>
      </c>
      <c r="I53" s="74">
        <f>IF(((E53+5)-'Calcul Masse Salariale'!$B$1)&lt;=0,0,(E53+5)-'Calcul Masse Salariale'!$B$1)</f>
        <v>4</v>
      </c>
      <c r="J53" s="154"/>
    </row>
    <row r="54" spans="1:10" ht="15.75" x14ac:dyDescent="0.25">
      <c r="A54" s="497"/>
      <c r="B54" s="169" t="s">
        <v>942</v>
      </c>
      <c r="C54" s="74" t="str">
        <f>IF(ISERROR(VLOOKUP(B54,Données!$A$3:$L$1479,5,FALSE)),"",VLOOKUP(B54,Données!$A$3:$L$1479,5,FALSE))</f>
        <v/>
      </c>
      <c r="D54" s="347" t="str">
        <f>IF(ISERROR(VLOOKUP(B54,Données!$A$3:$X$1479,23,FALSE)),"",VLOOKUP(B54,Données!$A$3:$X$1479,23,FALSE))</f>
        <v/>
      </c>
      <c r="E54" s="169">
        <v>2018</v>
      </c>
      <c r="F54" s="358">
        <f>IF(ISERROR(VLOOKUP(B54,Données!$A$3:$U$1479,11,FALSE)),0,VLOOKUP(B54,Données!$A$3:$U$1479,11,FALSE))</f>
        <v>0</v>
      </c>
      <c r="G54" s="74">
        <f t="shared" si="1"/>
        <v>4</v>
      </c>
      <c r="H54" s="363">
        <f>IF(ISERROR(VLOOKUP(B54,Données!$A$3:$U$1479,12,FALSE)),0,VLOOKUP(B54,Données!$A$3:$U$1479,12,FALSE))</f>
        <v>0</v>
      </c>
      <c r="I54" s="74">
        <f>IF(((E54+5)-'Calcul Masse Salariale'!$B$1)&lt;=0,0,(E54+5)-'Calcul Masse Salariale'!$B$1)</f>
        <v>4</v>
      </c>
      <c r="J54" s="154"/>
    </row>
    <row r="55" spans="1:10" ht="15.75" x14ac:dyDescent="0.25">
      <c r="A55" s="497"/>
      <c r="B55" s="169" t="s">
        <v>1200</v>
      </c>
      <c r="C55" s="74" t="str">
        <f>IF(ISERROR(VLOOKUP(B55,Données!$A$3:$L$1479,5,FALSE)),"",VLOOKUP(B55,Données!$A$3:$L$1479,5,FALSE))</f>
        <v/>
      </c>
      <c r="D55" s="347" t="str">
        <f>IF(ISERROR(VLOOKUP(B55,Données!$A$3:$X$1479,23,FALSE)),"",VLOOKUP(B55,Données!$A$3:$X$1479,23,FALSE))</f>
        <v/>
      </c>
      <c r="E55" s="169">
        <v>2018</v>
      </c>
      <c r="F55" s="358">
        <f>IF(ISERROR(VLOOKUP(B55,Données!$A$3:$U$1479,11,FALSE)),0,VLOOKUP(B55,Données!$A$3:$U$1479,11,FALSE))</f>
        <v>0</v>
      </c>
      <c r="G55" s="74">
        <f t="shared" si="1"/>
        <v>4</v>
      </c>
      <c r="H55" s="363">
        <f>IF(ISERROR(VLOOKUP(B55,Données!$A$3:$U$1479,12,FALSE)),0,VLOOKUP(B55,Données!$A$3:$U$1479,12,FALSE))</f>
        <v>0</v>
      </c>
      <c r="I55" s="74">
        <f>IF(((E55+5)-'Calcul Masse Salariale'!$B$1)&lt;=0,0,(E55+5)-'Calcul Masse Salariale'!$B$1)</f>
        <v>4</v>
      </c>
      <c r="J55" s="154"/>
    </row>
    <row r="56" spans="1:10" ht="15.75" x14ac:dyDescent="0.25">
      <c r="A56" s="497"/>
      <c r="B56" s="74"/>
      <c r="C56" s="74" t="str">
        <f>IF(ISERROR(VLOOKUP(B56,Données!$A$3:$L$1479,5,FALSE)),"",VLOOKUP(B56,Données!$A$3:$L$1479,5,FALSE))</f>
        <v/>
      </c>
      <c r="D56" s="347" t="str">
        <f>IF(ISERROR(VLOOKUP(B56,Données!$A$3:$X$1479,23,FALSE)),"",VLOOKUP(B56,Données!$A$3:$X$1479,23,FALSE))</f>
        <v/>
      </c>
      <c r="E56" s="74"/>
      <c r="F56" s="358">
        <f>IF(ISERROR(VLOOKUP(B56,Données!$A$3:$U$1479,11,FALSE)),0,VLOOKUP(B56,Données!$A$3:$U$1479,11,FALSE))</f>
        <v>0</v>
      </c>
      <c r="G56" s="74">
        <f t="shared" si="1"/>
        <v>0</v>
      </c>
      <c r="H56" s="363">
        <f>IF(ISERROR(VLOOKUP(B56,Données!$A$3:$U$1479,12,FALSE)),0,VLOOKUP(B56,Données!$A$3:$U$1479,12,FALSE))</f>
        <v>0</v>
      </c>
      <c r="I56" s="74">
        <f>IF(((E56+5)-'Calcul Masse Salariale'!$B$1)&lt;=0,0,(E56+5)-'Calcul Masse Salariale'!$B$1)</f>
        <v>0</v>
      </c>
      <c r="J56" s="154"/>
    </row>
    <row r="57" spans="1:10" ht="15.75" x14ac:dyDescent="0.25">
      <c r="A57" s="497"/>
      <c r="B57" s="74"/>
      <c r="C57" s="74" t="str">
        <f>IF(ISERROR(VLOOKUP(B57,Données!$A$3:$L$1479,5,FALSE)),"",VLOOKUP(B57,Données!$A$3:$L$1479,5,FALSE))</f>
        <v/>
      </c>
      <c r="D57" s="347" t="str">
        <f>IF(ISERROR(VLOOKUP(B57,Données!$A$3:$X$1479,23,FALSE)),"",VLOOKUP(B57,Données!$A$3:$X$1479,23,FALSE))</f>
        <v/>
      </c>
      <c r="E57" s="74"/>
      <c r="F57" s="358">
        <f>IF(ISERROR(VLOOKUP(B57,Données!$A$3:$U$1479,11,FALSE)),0,VLOOKUP(B57,Données!$A$3:$U$1479,11,FALSE))</f>
        <v>0</v>
      </c>
      <c r="G57" s="74">
        <f t="shared" si="1"/>
        <v>0</v>
      </c>
      <c r="H57" s="363">
        <f>IF(ISERROR(VLOOKUP(B57,Données!$A$3:$U$1479,12,FALSE)),0,VLOOKUP(B57,Données!$A$3:$U$1479,12,FALSE))</f>
        <v>0</v>
      </c>
      <c r="I57" s="74">
        <f>IF(((E57+5)-'Calcul Masse Salariale'!$B$1)&lt;=0,0,(E57+5)-'Calcul Masse Salariale'!$B$1)</f>
        <v>0</v>
      </c>
      <c r="J57" s="154"/>
    </row>
    <row r="58" spans="1:10" ht="15.75" x14ac:dyDescent="0.25">
      <c r="A58" s="497"/>
      <c r="B58" s="74"/>
      <c r="C58" s="74" t="str">
        <f>IF(ISERROR(VLOOKUP(B58,Données!$A$3:$L$1479,5,FALSE)),"",VLOOKUP(B58,Données!$A$3:$L$1479,5,FALSE))</f>
        <v/>
      </c>
      <c r="D58" s="347" t="str">
        <f>IF(ISERROR(VLOOKUP(B58,Données!$A$3:$X$1479,23,FALSE)),"",VLOOKUP(B58,Données!$A$3:$X$1479,23,FALSE))</f>
        <v/>
      </c>
      <c r="E58" s="74"/>
      <c r="F58" s="358">
        <f>IF(ISERROR(VLOOKUP(B58,Données!$A$3:$U$1479,11,FALSE)),0,VLOOKUP(B58,Données!$A$3:$U$1479,11,FALSE))</f>
        <v>0</v>
      </c>
      <c r="G58" s="74">
        <f t="shared" si="1"/>
        <v>0</v>
      </c>
      <c r="H58" s="363">
        <f>IF(ISERROR(VLOOKUP(B58,Données!$A$3:$U$1479,12,FALSE)),0,VLOOKUP(B58,Données!$A$3:$U$1479,12,FALSE))</f>
        <v>0</v>
      </c>
      <c r="I58" s="74">
        <f>IF(((E58+5)-'Calcul Masse Salariale'!$B$1)&lt;=0,0,(E58+5)-'Calcul Masse Salariale'!$B$1)</f>
        <v>0</v>
      </c>
      <c r="J58" s="154"/>
    </row>
    <row r="59" spans="1:10" ht="15.75" x14ac:dyDescent="0.25">
      <c r="A59" s="497"/>
      <c r="B59" s="74"/>
      <c r="C59" s="74" t="str">
        <f>IF(ISERROR(VLOOKUP(B59,Données!$A$3:$L$1479,5,FALSE)),"",VLOOKUP(B59,Données!$A$3:$L$1479,5,FALSE))</f>
        <v/>
      </c>
      <c r="D59" s="347" t="str">
        <f>IF(ISERROR(VLOOKUP(B59,Données!$A$3:$X$1479,23,FALSE)),"",VLOOKUP(B59,Données!$A$3:$X$1479,23,FALSE))</f>
        <v/>
      </c>
      <c r="E59" s="74"/>
      <c r="F59" s="358">
        <f>IF(ISERROR(VLOOKUP(B59,Données!$A$3:$U$1479,11,FALSE)),0,VLOOKUP(B59,Données!$A$3:$U$1479,11,FALSE))</f>
        <v>0</v>
      </c>
      <c r="G59" s="74">
        <f t="shared" si="1"/>
        <v>0</v>
      </c>
      <c r="H59" s="363">
        <f>IF(ISERROR(VLOOKUP(B59,Données!$A$3:$U$1479,12,FALSE)),0,VLOOKUP(B59,Données!$A$3:$U$1479,12,FALSE))</f>
        <v>0</v>
      </c>
      <c r="I59" s="74">
        <f>IF(((E59+5)-'Calcul Masse Salariale'!$B$1)&lt;=0,0,(E59+5)-'Calcul Masse Salariale'!$B$1)</f>
        <v>0</v>
      </c>
      <c r="J59" s="154"/>
    </row>
    <row r="60" spans="1:10" ht="15.75" x14ac:dyDescent="0.25">
      <c r="A60" s="497"/>
      <c r="B60" s="74"/>
      <c r="C60" s="74" t="str">
        <f>IF(ISERROR(VLOOKUP(B60,Données!$A$3:$L$1479,5,FALSE)),"",VLOOKUP(B60,Données!$A$3:$L$1479,5,FALSE))</f>
        <v/>
      </c>
      <c r="D60" s="347" t="str">
        <f>IF(ISERROR(VLOOKUP(B60,Données!$A$3:$X$1479,23,FALSE)),"",VLOOKUP(B60,Données!$A$3:$X$1479,23,FALSE))</f>
        <v/>
      </c>
      <c r="E60" s="74"/>
      <c r="F60" s="358">
        <f>IF(ISERROR(VLOOKUP(B60,Données!$A$3:$U$1479,11,FALSE)),0,VLOOKUP(B60,Données!$A$3:$U$1479,11,FALSE))</f>
        <v>0</v>
      </c>
      <c r="G60" s="74">
        <f t="shared" si="1"/>
        <v>0</v>
      </c>
      <c r="H60" s="363">
        <f>IF(ISERROR(VLOOKUP(B60,Données!$A$3:$U$1479,12,FALSE)),0,VLOOKUP(B60,Données!$A$3:$U$1479,12,FALSE))</f>
        <v>0</v>
      </c>
      <c r="I60" s="74">
        <f>IF(((E60+5)-'Calcul Masse Salariale'!$B$1)&lt;=0,0,(E60+5)-'Calcul Masse Salariale'!$B$1)</f>
        <v>0</v>
      </c>
      <c r="J60" s="154"/>
    </row>
    <row r="61" spans="1:10" ht="15.75" x14ac:dyDescent="0.25">
      <c r="A61" s="497"/>
      <c r="B61" s="74"/>
      <c r="C61" s="74" t="str">
        <f>IF(ISERROR(VLOOKUP(B61,Données!$A$3:$L$1479,5,FALSE)),"",VLOOKUP(B61,Données!$A$3:$L$1479,5,FALSE))</f>
        <v/>
      </c>
      <c r="D61" s="347" t="str">
        <f>IF(ISERROR(VLOOKUP(B61,Données!$A$3:$X$1479,23,FALSE)),"",VLOOKUP(B61,Données!$A$3:$X$1479,23,FALSE))</f>
        <v/>
      </c>
      <c r="E61" s="74"/>
      <c r="F61" s="358">
        <f>IF(ISERROR(VLOOKUP(B61,Données!$A$3:$U$1479,11,FALSE)),0,VLOOKUP(B61,Données!$A$3:$U$1479,11,FALSE))</f>
        <v>0</v>
      </c>
      <c r="G61" s="74">
        <f t="shared" si="1"/>
        <v>0</v>
      </c>
      <c r="H61" s="363">
        <f>IF(ISERROR(VLOOKUP(B61,Données!$A$3:$U$1479,12,FALSE)),0,VLOOKUP(B61,Données!$A$3:$U$1479,12,FALSE))</f>
        <v>0</v>
      </c>
      <c r="I61" s="74">
        <f>IF(((E61+5)-'Calcul Masse Salariale'!$B$1)&lt;=0,0,(E61+5)-'Calcul Masse Salariale'!$B$1)</f>
        <v>0</v>
      </c>
      <c r="J61" s="154"/>
    </row>
    <row r="62" spans="1:10" ht="15.75" x14ac:dyDescent="0.25">
      <c r="A62" s="497"/>
      <c r="B62" s="74"/>
      <c r="C62" s="74" t="str">
        <f>IF(ISERROR(VLOOKUP(B62,Données!$A$3:$L$1479,5,FALSE)),"",VLOOKUP(B62,Données!$A$3:$L$1479,5,FALSE))</f>
        <v/>
      </c>
      <c r="D62" s="347" t="str">
        <f>IF(ISERROR(VLOOKUP(B62,Données!$A$3:$X$1479,23,FALSE)),"",VLOOKUP(B62,Données!$A$3:$X$1479,23,FALSE))</f>
        <v/>
      </c>
      <c r="E62" s="74"/>
      <c r="F62" s="358">
        <f>IF(ISERROR(VLOOKUP(B62,Données!$A$3:$U$1479,11,FALSE)),0,VLOOKUP(B62,Données!$A$3:$U$1479,11,FALSE))</f>
        <v>0</v>
      </c>
      <c r="G62" s="74">
        <f t="shared" si="1"/>
        <v>0</v>
      </c>
      <c r="H62" s="363">
        <f>IF(ISERROR(VLOOKUP(B62,Données!$A$3:$U$1479,12,FALSE)),0,VLOOKUP(B62,Données!$A$3:$U$1479,12,FALSE))</f>
        <v>0</v>
      </c>
      <c r="I62" s="74">
        <f>IF(((E62+5)-'Calcul Masse Salariale'!$B$1)&lt;=0,0,(E62+5)-'Calcul Masse Salariale'!$B$1)</f>
        <v>0</v>
      </c>
      <c r="J62" s="154"/>
    </row>
    <row r="63" spans="1:10" ht="15.75" x14ac:dyDescent="0.25">
      <c r="A63" s="497"/>
      <c r="B63" s="74"/>
      <c r="C63" s="74" t="str">
        <f>IF(ISERROR(VLOOKUP(B63,Données!$A$3:$L$1479,5,FALSE)),"",VLOOKUP(B63,Données!$A$3:$L$1479,5,FALSE))</f>
        <v/>
      </c>
      <c r="D63" s="347" t="str">
        <f>IF(ISERROR(VLOOKUP(B63,Données!$A$3:$X$1479,23,FALSE)),"",VLOOKUP(B63,Données!$A$3:$X$1479,23,FALSE))</f>
        <v/>
      </c>
      <c r="E63" s="74"/>
      <c r="F63" s="358">
        <f>IF(ISERROR(VLOOKUP(B63,Données!$A$3:$U$1479,11,FALSE)),0,VLOOKUP(B63,Données!$A$3:$U$1479,11,FALSE))</f>
        <v>0</v>
      </c>
      <c r="G63" s="74">
        <f t="shared" si="1"/>
        <v>0</v>
      </c>
      <c r="H63" s="363">
        <f>IF(ISERROR(VLOOKUP(B63,Données!$A$3:$U$1479,12,FALSE)),0,VLOOKUP(B63,Données!$A$3:$U$1479,12,FALSE))</f>
        <v>0</v>
      </c>
      <c r="I63" s="74">
        <f>IF(((E63+5)-'Calcul Masse Salariale'!$B$1)&lt;=0,0,(E63+5)-'Calcul Masse Salariale'!$B$1)</f>
        <v>0</v>
      </c>
      <c r="J63" s="154"/>
    </row>
    <row r="64" spans="1:10" ht="15.75" x14ac:dyDescent="0.25">
      <c r="A64" s="497"/>
      <c r="B64" s="74"/>
      <c r="C64" s="74" t="str">
        <f>IF(ISERROR(VLOOKUP(B64,Données!$A$3:$L$1479,5,FALSE)),"",VLOOKUP(B64,Données!$A$3:$L$1479,5,FALSE))</f>
        <v/>
      </c>
      <c r="D64" s="347" t="str">
        <f>IF(ISERROR(VLOOKUP(B64,Données!$A$3:$X$1479,23,FALSE)),"",VLOOKUP(B64,Données!$A$3:$X$1479,23,FALSE))</f>
        <v/>
      </c>
      <c r="E64" s="74"/>
      <c r="F64" s="358">
        <f>IF(ISERROR(VLOOKUP(B64,Données!$A$3:$U$1479,11,FALSE)),0,VLOOKUP(B64,Données!$A$3:$U$1479,11,FALSE))</f>
        <v>0</v>
      </c>
      <c r="G64" s="74">
        <f t="shared" si="1"/>
        <v>0</v>
      </c>
      <c r="H64" s="363">
        <f>IF(ISERROR(VLOOKUP(B64,Données!$A$3:$U$1479,12,FALSE)),0,VLOOKUP(B64,Données!$A$3:$U$1479,12,FALSE))</f>
        <v>0</v>
      </c>
      <c r="I64" s="74">
        <f>IF(((E64+5)-'Calcul Masse Salariale'!$B$1)&lt;=0,0,(E64+5)-'Calcul Masse Salariale'!$B$1)</f>
        <v>0</v>
      </c>
      <c r="J64" s="154"/>
    </row>
    <row r="65" spans="1:10" ht="15.75" x14ac:dyDescent="0.25">
      <c r="A65" s="497"/>
      <c r="B65" s="74"/>
      <c r="C65" s="74" t="str">
        <f>IF(ISERROR(VLOOKUP(B65,Données!$A$3:$L$1479,5,FALSE)),"",VLOOKUP(B65,Données!$A$3:$L$1479,5,FALSE))</f>
        <v/>
      </c>
      <c r="D65" s="347" t="str">
        <f>IF(ISERROR(VLOOKUP(B65,Données!$A$3:$X$1479,23,FALSE)),"",VLOOKUP(B65,Données!$A$3:$X$1479,23,FALSE))</f>
        <v/>
      </c>
      <c r="E65" s="74"/>
      <c r="F65" s="358">
        <f>IF(ISERROR(VLOOKUP(B65,Données!$A$3:$U$1479,11,FALSE)),0,VLOOKUP(B65,Données!$A$3:$U$1479,11,FALSE))</f>
        <v>0</v>
      </c>
      <c r="G65" s="74">
        <f t="shared" si="1"/>
        <v>0</v>
      </c>
      <c r="H65" s="363">
        <f>IF(ISERROR(VLOOKUP(B65,Données!$A$3:$U$1479,12,FALSE)),0,VLOOKUP(B65,Données!$A$3:$U$1479,12,FALSE))</f>
        <v>0</v>
      </c>
      <c r="I65" s="74">
        <f>IF(((E65+5)-'Calcul Masse Salariale'!$B$1)&lt;=0,0,(E65+5)-'Calcul Masse Salariale'!$B$1)</f>
        <v>0</v>
      </c>
      <c r="J65" s="154"/>
    </row>
    <row r="66" spans="1:10" ht="15.75" x14ac:dyDescent="0.25">
      <c r="A66" s="497"/>
      <c r="B66" s="74"/>
      <c r="C66" s="74" t="str">
        <f>IF(ISERROR(VLOOKUP(B66,Données!$A$3:$L$1479,5,FALSE)),"",VLOOKUP(B66,Données!$A$3:$L$1479,5,FALSE))</f>
        <v/>
      </c>
      <c r="D66" s="347" t="str">
        <f>IF(ISERROR(VLOOKUP(B66,Données!$A$3:$X$1479,23,FALSE)),"",VLOOKUP(B66,Données!$A$3:$X$1479,23,FALSE))</f>
        <v/>
      </c>
      <c r="E66" s="74"/>
      <c r="F66" s="358">
        <f>IF(ISERROR(VLOOKUP(B66,Données!$A$3:$U$1479,11,FALSE)),0,VLOOKUP(B66,Données!$A$3:$U$1479,11,FALSE))</f>
        <v>0</v>
      </c>
      <c r="G66" s="74">
        <f t="shared" si="1"/>
        <v>0</v>
      </c>
      <c r="H66" s="363">
        <f>IF(ISERROR(VLOOKUP(B66,Données!$A$3:$U$1479,12,FALSE)),0,VLOOKUP(B66,Données!$A$3:$U$1479,12,FALSE))</f>
        <v>0</v>
      </c>
      <c r="I66" s="74">
        <f>IF(((E66+5)-'Calcul Masse Salariale'!$B$1)&lt;=0,0,(E66+5)-'Calcul Masse Salariale'!$B$1)</f>
        <v>0</v>
      </c>
      <c r="J66" s="154"/>
    </row>
    <row r="67" spans="1:10" ht="15.75" x14ac:dyDescent="0.25">
      <c r="A67" s="497"/>
      <c r="B67" s="74"/>
      <c r="C67" s="74" t="str">
        <f>IF(ISERROR(VLOOKUP(B67,Données!$A$3:$L$1479,5,FALSE)),"",VLOOKUP(B67,Données!$A$3:$L$1479,5,FALSE))</f>
        <v/>
      </c>
      <c r="D67" s="347" t="str">
        <f>IF(ISERROR(VLOOKUP(B67,Données!$A$3:$X$1479,23,FALSE)),"",VLOOKUP(B67,Données!$A$3:$X$1479,23,FALSE))</f>
        <v/>
      </c>
      <c r="E67" s="74"/>
      <c r="F67" s="358">
        <f>IF(ISERROR(VLOOKUP(B67,Données!$A$3:$U$1479,11,FALSE)),0,VLOOKUP(B67,Données!$A$3:$U$1479,11,FALSE))</f>
        <v>0</v>
      </c>
      <c r="G67" s="74">
        <f t="shared" si="1"/>
        <v>0</v>
      </c>
      <c r="H67" s="363">
        <f>IF(ISERROR(VLOOKUP(B67,Données!$A$3:$U$1479,12,FALSE)),0,VLOOKUP(B67,Données!$A$3:$U$1479,12,FALSE))</f>
        <v>0</v>
      </c>
      <c r="I67" s="74">
        <f>IF(((E67+5)-'Calcul Masse Salariale'!$B$1)&lt;=0,0,(E67+5)-'Calcul Masse Salariale'!$B$1)</f>
        <v>0</v>
      </c>
      <c r="J67" s="154"/>
    </row>
    <row r="68" spans="1:10" ht="15.75" x14ac:dyDescent="0.25">
      <c r="A68" s="497"/>
      <c r="B68" s="74"/>
      <c r="C68" s="74" t="str">
        <f>IF(ISERROR(VLOOKUP(B68,Données!$A$3:$L$1479,5,FALSE)),"",VLOOKUP(B68,Données!$A$3:$L$1479,5,FALSE))</f>
        <v/>
      </c>
      <c r="D68" s="347" t="str">
        <f>IF(ISERROR(VLOOKUP(B68,Données!$A$3:$X$1479,23,FALSE)),"",VLOOKUP(B68,Données!$A$3:$X$1479,23,FALSE))</f>
        <v/>
      </c>
      <c r="E68" s="74"/>
      <c r="F68" s="358">
        <f>IF(ISERROR(VLOOKUP(B68,Données!$A$3:$U$1479,11,FALSE)),0,VLOOKUP(B68,Données!$A$3:$U$1479,11,FALSE))</f>
        <v>0</v>
      </c>
      <c r="G68" s="74">
        <f t="shared" si="1"/>
        <v>0</v>
      </c>
      <c r="H68" s="363">
        <f>IF(ISERROR(VLOOKUP(B68,Données!$A$3:$U$1479,12,FALSE)),0,VLOOKUP(B68,Données!$A$3:$U$1479,12,FALSE))</f>
        <v>0</v>
      </c>
      <c r="I68" s="74">
        <f>IF(((E68+5)-'Calcul Masse Salariale'!$B$1)&lt;=0,0,(E68+5)-'Calcul Masse Salariale'!$B$1)</f>
        <v>0</v>
      </c>
      <c r="J68" s="154"/>
    </row>
    <row r="69" spans="1:10" ht="15.75" x14ac:dyDescent="0.25">
      <c r="A69" s="497"/>
      <c r="B69" s="74"/>
      <c r="C69" s="74" t="str">
        <f>IF(ISERROR(VLOOKUP(B69,Données!$A$3:$L$1479,5,FALSE)),"",VLOOKUP(B69,Données!$A$3:$L$1479,5,FALSE))</f>
        <v/>
      </c>
      <c r="D69" s="347" t="str">
        <f>IF(ISERROR(VLOOKUP(B69,Données!$A$3:$X$1479,23,FALSE)),"",VLOOKUP(B69,Données!$A$3:$X$1479,23,FALSE))</f>
        <v/>
      </c>
      <c r="E69" s="74"/>
      <c r="F69" s="358">
        <f>IF(ISERROR(VLOOKUP(B69,Données!$A$3:$U$1479,11,FALSE)),0,VLOOKUP(B69,Données!$A$3:$U$1479,11,FALSE))</f>
        <v>0</v>
      </c>
      <c r="G69" s="74">
        <f t="shared" si="1"/>
        <v>0</v>
      </c>
      <c r="H69" s="363">
        <f>IF(ISERROR(VLOOKUP(B69,Données!$A$3:$U$1479,12,FALSE)),0,VLOOKUP(B69,Données!$A$3:$U$1479,12,FALSE))</f>
        <v>0</v>
      </c>
      <c r="I69" s="74">
        <f>IF(((E69+5)-'Calcul Masse Salariale'!$B$1)&lt;=0,0,(E69+5)-'Calcul Masse Salariale'!$B$1)</f>
        <v>0</v>
      </c>
      <c r="J69" s="154"/>
    </row>
    <row r="70" spans="1:10" ht="15.75" x14ac:dyDescent="0.25">
      <c r="A70" s="497"/>
      <c r="B70" s="74"/>
      <c r="C70" s="74" t="str">
        <f>IF(ISERROR(VLOOKUP(B70,Données!$A$3:$L$1479,5,FALSE)),"",VLOOKUP(B70,Données!$A$3:$L$1479,5,FALSE))</f>
        <v/>
      </c>
      <c r="D70" s="347" t="str">
        <f>IF(ISERROR(VLOOKUP(B70,Données!$A$3:$X$1479,23,FALSE)),"",VLOOKUP(B70,Données!$A$3:$X$1479,23,FALSE))</f>
        <v/>
      </c>
      <c r="E70" s="74"/>
      <c r="F70" s="358">
        <f>IF(ISERROR(VLOOKUP(B70,Données!$A$3:$U$1479,11,FALSE)),0,VLOOKUP(B70,Données!$A$3:$U$1479,11,FALSE))</f>
        <v>0</v>
      </c>
      <c r="G70" s="74">
        <f t="shared" si="1"/>
        <v>0</v>
      </c>
      <c r="H70" s="363">
        <f>IF(ISERROR(VLOOKUP(B70,Données!$A$3:$U$1479,12,FALSE)),0,VLOOKUP(B70,Données!$A$3:$U$1479,12,FALSE))</f>
        <v>0</v>
      </c>
      <c r="I70" s="74">
        <f>IF(((E70+5)-'Calcul Masse Salariale'!$B$1)&lt;=0,0,(E70+5)-'Calcul Masse Salariale'!$B$1)</f>
        <v>0</v>
      </c>
      <c r="J70" s="154"/>
    </row>
    <row r="71" spans="1:10" ht="15.75" x14ac:dyDescent="0.25">
      <c r="A71" s="497"/>
      <c r="B71" s="74"/>
      <c r="C71" s="74" t="str">
        <f>IF(ISERROR(VLOOKUP(B71,Données!$A$3:$L$1479,5,FALSE)),"",VLOOKUP(B71,Données!$A$3:$L$1479,5,FALSE))</f>
        <v/>
      </c>
      <c r="D71" s="347" t="str">
        <f>IF(ISERROR(VLOOKUP(B71,Données!$A$3:$X$1479,23,FALSE)),"",VLOOKUP(B71,Données!$A$3:$X$1479,23,FALSE))</f>
        <v/>
      </c>
      <c r="E71" s="74"/>
      <c r="F71" s="358">
        <f>IF(ISERROR(VLOOKUP(B71,Données!$A$3:$U$1479,11,FALSE)),0,VLOOKUP(B71,Données!$A$3:$U$1479,11,FALSE))</f>
        <v>0</v>
      </c>
      <c r="G71" s="74">
        <f t="shared" si="1"/>
        <v>0</v>
      </c>
      <c r="H71" s="363">
        <f>IF(ISERROR(VLOOKUP(B71,Données!$A$3:$U$1479,12,FALSE)),0,VLOOKUP(B71,Données!$A$3:$U$1479,12,FALSE))</f>
        <v>0</v>
      </c>
      <c r="I71" s="74">
        <f>IF(((E71+5)-'Calcul Masse Salariale'!$B$1)&lt;=0,0,(E71+5)-'Calcul Masse Salariale'!$B$1)</f>
        <v>0</v>
      </c>
      <c r="J71" s="154"/>
    </row>
    <row r="72" spans="1:10" ht="15.75" x14ac:dyDescent="0.25">
      <c r="A72" s="497"/>
      <c r="B72" s="74"/>
      <c r="C72" s="74" t="str">
        <f>IF(ISERROR(VLOOKUP(B72,Données!$A$3:$L$1479,5,FALSE)),"",VLOOKUP(B72,Données!$A$3:$L$1479,5,FALSE))</f>
        <v/>
      </c>
      <c r="D72" s="347" t="str">
        <f>IF(ISERROR(VLOOKUP(B72,Données!$A$3:$X$1479,23,FALSE)),"",VLOOKUP(B72,Données!$A$3:$X$1479,23,FALSE))</f>
        <v/>
      </c>
      <c r="E72" s="74"/>
      <c r="F72" s="358">
        <f>IF(ISERROR(VLOOKUP(B72,Données!$A$3:$U$1479,11,FALSE)),0,VLOOKUP(B72,Données!$A$3:$U$1479,11,FALSE))</f>
        <v>0</v>
      </c>
      <c r="G72" s="74">
        <f t="shared" si="1"/>
        <v>0</v>
      </c>
      <c r="H72" s="363">
        <f>IF(ISERROR(VLOOKUP(B72,Données!$A$3:$U$1479,12,FALSE)),0,VLOOKUP(B72,Données!$A$3:$U$1479,12,FALSE))</f>
        <v>0</v>
      </c>
      <c r="I72" s="74">
        <f>IF(((E72+5)-'Calcul Masse Salariale'!$B$1)&lt;=0,0,(E72+5)-'Calcul Masse Salariale'!$B$1)</f>
        <v>0</v>
      </c>
      <c r="J72" s="154"/>
    </row>
    <row r="73" spans="1:10" ht="15.75" x14ac:dyDescent="0.25">
      <c r="A73" s="497"/>
      <c r="B73" s="74"/>
      <c r="C73" s="74" t="str">
        <f>IF(ISERROR(VLOOKUP(B73,Données!$A$3:$L$1479,5,FALSE)),"",VLOOKUP(B73,Données!$A$3:$L$1479,5,FALSE))</f>
        <v/>
      </c>
      <c r="D73" s="347" t="str">
        <f>IF(ISERROR(VLOOKUP(B73,Données!$A$3:$X$1479,23,FALSE)),"",VLOOKUP(B73,Données!$A$3:$X$1479,23,FALSE))</f>
        <v/>
      </c>
      <c r="E73" s="74"/>
      <c r="F73" s="358">
        <f>IF(ISERROR(VLOOKUP(B73,Données!$A$3:$U$1479,11,FALSE)),0,VLOOKUP(B73,Données!$A$3:$U$1479,11,FALSE))</f>
        <v>0</v>
      </c>
      <c r="G73" s="74">
        <f t="shared" si="1"/>
        <v>0</v>
      </c>
      <c r="H73" s="363">
        <f>IF(ISERROR(VLOOKUP(B73,Données!$A$3:$U$1479,12,FALSE)),0,VLOOKUP(B73,Données!$A$3:$U$1479,12,FALSE))</f>
        <v>0</v>
      </c>
      <c r="I73" s="74">
        <f>IF(((E73+5)-'Calcul Masse Salariale'!$B$1)&lt;=0,0,(E73+5)-'Calcul Masse Salariale'!$B$1)</f>
        <v>0</v>
      </c>
      <c r="J73" s="154"/>
    </row>
    <row r="74" spans="1:10" x14ac:dyDescent="0.25">
      <c r="A74" s="41"/>
      <c r="C74" s="273"/>
      <c r="D74" s="273"/>
      <c r="F74" s="358">
        <f>IF(ISERROR(VLOOKUP(B74,Données!$A$3:$U$1479,11,FALSE)),0,VLOOKUP(B74,Données!$A$3:$U$1479,11,FALSE))</f>
        <v>0</v>
      </c>
      <c r="G74" s="401">
        <f>IF(ISERROR(VLOOKUP(#REF!,Données!$A$3:$U$1479,20,FALSE)),0,VLOOKUP(#REF!,Données!$A$3:$U$1479,20,FALSE))</f>
        <v>0</v>
      </c>
      <c r="H74" s="279"/>
      <c r="J74" s="154"/>
    </row>
    <row r="75" spans="1:10" x14ac:dyDescent="0.25">
      <c r="A75" s="41"/>
      <c r="J75" s="154"/>
    </row>
    <row r="76" spans="1:10" x14ac:dyDescent="0.25">
      <c r="A76" s="41"/>
    </row>
    <row r="77" spans="1:10" x14ac:dyDescent="0.25">
      <c r="A77" s="41"/>
    </row>
    <row r="78" spans="1:10" x14ac:dyDescent="0.25">
      <c r="A78" s="41"/>
    </row>
    <row r="79" spans="1:10" x14ac:dyDescent="0.25">
      <c r="A79" s="41"/>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10">
      <iconSet iconSet="3Symbols" showValue="0" reverse="1">
        <cfvo type="percent" val="0"/>
        <cfvo type="num" val="0.5" gte="0"/>
        <cfvo type="num" val="1"/>
      </iconSet>
    </cfRule>
  </conditionalFormatting>
  <conditionalFormatting sqref="H3:H30">
    <cfRule type="expression" dxfId="15" priority="7">
      <formula>(F3&lt;&gt;H3)</formula>
    </cfRule>
  </conditionalFormatting>
  <conditionalFormatting sqref="G35">
    <cfRule type="iconSet" priority="3">
      <iconSet iconSet="3Symbols" showValue="0" reverse="1">
        <cfvo type="percent" val="0"/>
        <cfvo type="num" val="0.5" gte="0"/>
        <cfvo type="num" val="1"/>
      </iconSet>
    </cfRule>
  </conditionalFormatting>
  <conditionalFormatting sqref="G49:G73">
    <cfRule type="iconSet" priority="63">
      <iconSet iconSet="3Flags" showValue="0">
        <cfvo type="percent" val="0"/>
        <cfvo type="num" val="1"/>
        <cfvo type="num" val="2"/>
      </iconSet>
    </cfRule>
  </conditionalFormatting>
  <conditionalFormatting sqref="G39:G48">
    <cfRule type="iconSet" priority="65">
      <iconSet iconSet="3Flags" showValue="0">
        <cfvo type="percent" val="0"/>
        <cfvo type="num" val="1"/>
        <cfvo type="num" val="2"/>
      </iconSet>
    </cfRule>
  </conditionalFormatting>
  <conditionalFormatting sqref="H39:H73">
    <cfRule type="expression" dxfId="14" priority="1">
      <formula>(F39&lt;&gt;H39)</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9" id="{222D7D67-7F9F-4255-9588-7F741833F7F4}">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E63D0885-E8E3-49FE-B3D7-DD58970F8354}">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V79"/>
  <sheetViews>
    <sheetView zoomScale="85" zoomScaleNormal="85" workbookViewId="0">
      <selection activeCell="B3" sqref="B3"/>
    </sheetView>
  </sheetViews>
  <sheetFormatPr baseColWidth="10" defaultColWidth="11.42578125" defaultRowHeight="15" x14ac:dyDescent="0.25"/>
  <cols>
    <col min="1" max="1" width="12.42578125" style="155" customWidth="1"/>
    <col min="2" max="2" width="32.85546875" style="155" customWidth="1"/>
    <col min="3" max="3" width="4" style="169" bestFit="1" customWidth="1"/>
    <col min="4" max="4" width="13.140625" style="155" bestFit="1" customWidth="1"/>
    <col min="5" max="5" width="25.7109375" style="155" bestFit="1" customWidth="1"/>
    <col min="6" max="6" width="15.42578125" style="177" bestFit="1" customWidth="1"/>
    <col min="7" max="7" width="23.7109375" style="155" bestFit="1" customWidth="1"/>
    <col min="8" max="8" width="11.28515625" style="155" customWidth="1"/>
    <col min="9" max="9" width="2" style="155" customWidth="1"/>
    <col min="10" max="10" width="15.28515625" style="155" customWidth="1"/>
    <col min="11" max="11" width="25.140625" style="155" customWidth="1"/>
    <col min="12" max="12" width="2" style="154" customWidth="1"/>
    <col min="13" max="13" width="12.85546875" style="155" bestFit="1" customWidth="1"/>
    <col min="14" max="14" width="27.42578125" style="155" bestFit="1" customWidth="1"/>
    <col min="15" max="15" width="24.42578125" style="155" bestFit="1" customWidth="1"/>
    <col min="16" max="17" width="10.5703125" style="155" bestFit="1" customWidth="1"/>
    <col min="18" max="16384" width="11.42578125" style="155"/>
  </cols>
  <sheetData>
    <row r="1" spans="1:22" ht="21.75" thickBot="1" x14ac:dyDescent="0.4">
      <c r="A1" s="609" t="s">
        <v>41</v>
      </c>
      <c r="B1" s="609"/>
      <c r="C1" s="487"/>
      <c r="D1" s="487" t="s">
        <v>187</v>
      </c>
      <c r="E1" s="304">
        <f>SUM(E3:E30)</f>
        <v>5250000</v>
      </c>
      <c r="F1" s="487" t="s">
        <v>188</v>
      </c>
      <c r="G1" s="304">
        <f>E32</f>
        <v>96750000</v>
      </c>
      <c r="H1" s="153"/>
      <c r="I1" s="154"/>
      <c r="J1" s="156" t="s">
        <v>59</v>
      </c>
      <c r="K1" s="156"/>
      <c r="M1" s="154"/>
      <c r="N1" s="614" t="s">
        <v>45</v>
      </c>
      <c r="O1" s="614"/>
      <c r="P1" s="614"/>
      <c r="Q1" s="614"/>
      <c r="R1" s="179"/>
    </row>
    <row r="2" spans="1:22" ht="30" x14ac:dyDescent="0.25">
      <c r="A2" s="601" t="s">
        <v>38</v>
      </c>
      <c r="B2" s="157" t="s">
        <v>36</v>
      </c>
      <c r="C2" s="157" t="s">
        <v>403</v>
      </c>
      <c r="D2" s="7" t="s">
        <v>3018</v>
      </c>
      <c r="E2" s="158" t="s">
        <v>1155</v>
      </c>
      <c r="F2" s="159" t="s">
        <v>189</v>
      </c>
      <c r="G2" s="160" t="s">
        <v>2676</v>
      </c>
      <c r="H2" s="161" t="s">
        <v>2403</v>
      </c>
      <c r="I2" s="154"/>
      <c r="J2" s="41" t="s">
        <v>2436</v>
      </c>
      <c r="K2" s="41" t="s">
        <v>50</v>
      </c>
      <c r="M2" s="163" t="s">
        <v>112</v>
      </c>
      <c r="N2" s="374" t="s">
        <v>108</v>
      </c>
      <c r="O2" s="382" t="s">
        <v>109</v>
      </c>
      <c r="P2" s="162" t="s">
        <v>46</v>
      </c>
      <c r="Q2" s="162" t="s">
        <v>55</v>
      </c>
    </row>
    <row r="3" spans="1:22" ht="20.25" customHeight="1" x14ac:dyDescent="0.25">
      <c r="A3" s="601"/>
      <c r="B3" s="209" t="s">
        <v>3023</v>
      </c>
      <c r="C3" s="347" t="str">
        <f>IF(ISERROR(VLOOKUP(B3,Données!$A$3:$X$1479,24,FALSE)),"",VLOOKUP(B3,Données!$A$3:$X$1479,24,FALSE))</f>
        <v/>
      </c>
      <c r="D3" s="165" t="str">
        <f>IF(ISERROR(VLOOKUP(B3,Données!$A$3:$L$1479,10,FALSE)),"",VLOOKUP(B3,Données!$A$3:$L$1479,10,FALSE))</f>
        <v/>
      </c>
      <c r="E3" s="166">
        <f>IF(ISERROR(VLOOKUP(B3,Données!$A$3:$U$1479,12,FALSE)),0,VLOOKUP(B3,Données!$A$3:$U$1479,12,FALSE))</f>
        <v>0</v>
      </c>
      <c r="F3" s="167">
        <f>VALUE(COUNTIF(Validation!$A$2:$H$64,B3))-1</f>
        <v>-1</v>
      </c>
      <c r="G3" s="363">
        <f>IF(ISERROR(VLOOKUP(B3,Données!$A$3:$U$1479,13,FALSE)),0,VLOOKUP(B3,Données!$A$3:$U$1479,13,FALSE))</f>
        <v>0</v>
      </c>
      <c r="H3" s="168">
        <f>IF(ISERROR(VLOOKUP(B3,Données!$A$3:$U$1479,21,FALSE)),0,VLOOKUP(B3,Données!$A$3:$U$1479,21,FALSE))</f>
        <v>0</v>
      </c>
      <c r="I3" s="154"/>
      <c r="J3" s="290" t="s">
        <v>2417</v>
      </c>
      <c r="K3" s="41" t="s">
        <v>49</v>
      </c>
      <c r="N3" s="209"/>
      <c r="O3" s="275"/>
      <c r="P3" s="181"/>
      <c r="Q3" s="181" t="str">
        <f>IF(P3="","",P3+7)</f>
        <v/>
      </c>
    </row>
    <row r="4" spans="1:22" ht="20.25" customHeight="1" x14ac:dyDescent="0.25">
      <c r="A4" s="601"/>
      <c r="B4" s="274" t="s">
        <v>3019</v>
      </c>
      <c r="C4" s="347">
        <f>IF(ISERROR(VLOOKUP(B4,Données!$A$3:$X$1479,24,FALSE)),"",VLOOKUP(B4,Données!$A$3:$X$1479,24,FALSE))</f>
        <v>0</v>
      </c>
      <c r="D4" s="165">
        <f>IF(ISERROR(VLOOKUP(B4,Données!$A$3:$L$1479,10,FALSE)),"",VLOOKUP(B4,Données!$A$3:$L$1479,10,FALSE))</f>
        <v>28</v>
      </c>
      <c r="E4" s="166">
        <f>IF(ISERROR(VLOOKUP(B4,Données!$A$3:$U$1479,12,FALSE)),0,VLOOKUP(B4,Données!$A$3:$U$1479,12,FALSE))</f>
        <v>5250000</v>
      </c>
      <c r="F4" s="167">
        <f>VALUE(COUNTIF(Validation!$A$2:$H$64,B4))-1</f>
        <v>-1</v>
      </c>
      <c r="G4" s="363">
        <f>IF(ISERROR(VLOOKUP(B4,Données!$A$3:$U$1479,13,FALSE)),0,VLOOKUP(B4,Données!$A$3:$U$1479,13,FALSE))</f>
        <v>5250000</v>
      </c>
      <c r="H4" s="168">
        <f>IF(ISERROR(VLOOKUP(B4,Données!$A$3:$U$1479,21,FALSE)),0,VLOOKUP(B4,Données!$A$3:$U$1479,21,FALSE))</f>
        <v>5</v>
      </c>
      <c r="I4" s="154"/>
      <c r="J4" s="290" t="s">
        <v>2417</v>
      </c>
      <c r="K4" s="41" t="s">
        <v>107</v>
      </c>
      <c r="N4" s="41"/>
      <c r="O4" s="209"/>
      <c r="P4" s="181"/>
      <c r="Q4" s="181" t="str">
        <f t="shared" ref="Q4:Q37" si="0">IF(P4="","",P4+7)</f>
        <v/>
      </c>
    </row>
    <row r="5" spans="1:22" ht="20.25" customHeight="1" thickBot="1" x14ac:dyDescent="0.3">
      <c r="A5" s="601"/>
      <c r="B5" s="274"/>
      <c r="C5" s="347" t="str">
        <f>IF(ISERROR(VLOOKUP(B5,Données!$A$3:$X$1479,24,FALSE)),"",VLOOKUP(B5,Données!$A$3:$X$1479,24,FALSE))</f>
        <v/>
      </c>
      <c r="D5" s="165" t="str">
        <f>IF(ISERROR(VLOOKUP(B5,Données!$A$3:$L$1479,10,FALSE)),"",VLOOKUP(B5,Données!$A$3:$L$1479,10,FALSE))</f>
        <v/>
      </c>
      <c r="E5" s="166">
        <f>IF(ISERROR(VLOOKUP(B5,Données!$A$3:$U$1479,12,FALSE)),0,VLOOKUP(B5,Données!$A$3:$U$1479,12,FALSE))</f>
        <v>0</v>
      </c>
      <c r="F5" s="167">
        <f>VALUE(COUNTIF(Validation!$A$2:$H$64,B5))-1</f>
        <v>229</v>
      </c>
      <c r="G5" s="363">
        <f>IF(ISERROR(VLOOKUP(B5,Données!$A$3:$U$1479,13,FALSE)),0,VLOOKUP(B5,Données!$A$3:$U$1479,13,FALSE))</f>
        <v>0</v>
      </c>
      <c r="H5" s="168">
        <f>IF(ISERROR(VLOOKUP(B5,Données!$A$3:$U$1479,21,FALSE)),0,VLOOKUP(B5,Données!$A$3:$U$1479,21,FALSE))</f>
        <v>0</v>
      </c>
      <c r="I5" s="154"/>
      <c r="J5" s="290" t="s">
        <v>2417</v>
      </c>
      <c r="K5" s="41" t="s">
        <v>2418</v>
      </c>
      <c r="M5" s="41"/>
      <c r="N5" s="41"/>
      <c r="O5" s="41"/>
      <c r="P5" s="181"/>
      <c r="Q5" s="181" t="str">
        <f t="shared" si="0"/>
        <v/>
      </c>
    </row>
    <row r="6" spans="1:22" ht="20.25" customHeight="1" thickBot="1" x14ac:dyDescent="0.3">
      <c r="A6" s="601"/>
      <c r="B6" s="164"/>
      <c r="C6" s="347" t="str">
        <f>IF(ISERROR(VLOOKUP(B6,Données!$A$3:$X$1479,24,FALSE)),"",VLOOKUP(B6,Données!$A$3:$X$1479,24,FALSE))</f>
        <v/>
      </c>
      <c r="D6" s="165" t="str">
        <f>IF(ISERROR(VLOOKUP(B6,Données!$A$3:$L$1479,10,FALSE)),"",VLOOKUP(B6,Données!$A$3:$L$1479,10,FALSE))</f>
        <v/>
      </c>
      <c r="E6" s="166">
        <f>IF(ISERROR(VLOOKUP(B6,Données!$A$3:$U$1479,12,FALSE)),0,VLOOKUP(B6,Données!$A$3:$U$1479,12,FALSE))</f>
        <v>0</v>
      </c>
      <c r="F6" s="167">
        <f>VALUE(COUNTIF(Validation!$A$2:$H$64,B6))-1</f>
        <v>229</v>
      </c>
      <c r="G6" s="363">
        <f>IF(ISERROR(VLOOKUP(B6,Données!$A$3:$U$1479,13,FALSE)),0,VLOOKUP(B6,Données!$A$3:$U$1479,13,FALSE))</f>
        <v>0</v>
      </c>
      <c r="H6" s="168">
        <f>IF(ISERROR(VLOOKUP(B6,Données!$A$3:$U$1479,21,FALSE)),0,VLOOKUP(B6,Données!$A$3:$U$1479,21,FALSE))</f>
        <v>0</v>
      </c>
      <c r="I6" s="154"/>
      <c r="J6" s="290"/>
      <c r="K6" s="41"/>
      <c r="M6" s="41"/>
      <c r="N6" s="41"/>
      <c r="P6" s="181"/>
      <c r="Q6" s="181" t="str">
        <f t="shared" si="0"/>
        <v/>
      </c>
      <c r="V6" s="490"/>
    </row>
    <row r="7" spans="1:22" ht="20.25" customHeight="1" x14ac:dyDescent="0.25">
      <c r="A7" s="601"/>
      <c r="B7" s="209"/>
      <c r="C7" s="347" t="str">
        <f>IF(ISERROR(VLOOKUP(B7,Données!$A$3:$X$1479,24,FALSE)),"",VLOOKUP(B7,Données!$A$3:$X$1479,24,FALSE))</f>
        <v/>
      </c>
      <c r="D7" s="165" t="str">
        <f>IF(ISERROR(VLOOKUP(B7,Données!$A$3:$L$1479,10,FALSE)),"",VLOOKUP(B7,Données!$A$3:$L$1479,10,FALSE))</f>
        <v/>
      </c>
      <c r="E7" s="166">
        <f>IF(ISERROR(VLOOKUP(B7,Données!$A$3:$U$1479,12,FALSE)),0,VLOOKUP(B7,Données!$A$3:$U$1479,12,FALSE))</f>
        <v>0</v>
      </c>
      <c r="F7" s="167">
        <f>VALUE(COUNTIF(Validation!$A$2:$H$64,B7))-1</f>
        <v>229</v>
      </c>
      <c r="G7" s="363">
        <f>IF(ISERROR(VLOOKUP(B7,Données!$A$3:$U$1479,13,FALSE)),0,VLOOKUP(B7,Données!$A$3:$U$1479,13,FALSE))</f>
        <v>0</v>
      </c>
      <c r="H7" s="168">
        <f>IF(ISERROR(VLOOKUP(B7,Données!$A$3:$U$1479,21,FALSE)),0,VLOOKUP(B7,Données!$A$3:$U$1479,21,FALSE))</f>
        <v>0</v>
      </c>
      <c r="I7" s="154"/>
      <c r="M7" s="390"/>
      <c r="O7" s="41"/>
      <c r="P7" s="181"/>
      <c r="Q7" s="181" t="str">
        <f t="shared" si="0"/>
        <v/>
      </c>
      <c r="R7" s="390"/>
      <c r="S7" s="390"/>
      <c r="V7" s="41"/>
    </row>
    <row r="8" spans="1:22" ht="20.25" customHeight="1" x14ac:dyDescent="0.25">
      <c r="A8" s="601"/>
      <c r="B8" s="209"/>
      <c r="C8" s="347" t="str">
        <f>IF(ISERROR(VLOOKUP(B8,Données!$A$3:$X$1479,24,FALSE)),"",VLOOKUP(B8,Données!$A$3:$X$1479,24,FALSE))</f>
        <v/>
      </c>
      <c r="D8" s="165" t="str">
        <f>IF(ISERROR(VLOOKUP(B8,Données!$A$3:$L$1479,10,FALSE)),"",VLOOKUP(B8,Données!$A$3:$L$1479,10,FALSE))</f>
        <v/>
      </c>
      <c r="E8" s="166">
        <f>IF(ISERROR(VLOOKUP(B8,Données!$A$3:$U$1479,12,FALSE)),0,VLOOKUP(B8,Données!$A$3:$U$1479,12,FALSE))</f>
        <v>0</v>
      </c>
      <c r="F8" s="167">
        <f>VALUE(COUNTIF(Validation!$A$2:$H$64,B8))-1</f>
        <v>229</v>
      </c>
      <c r="G8" s="363">
        <f>IF(ISERROR(VLOOKUP(B8,Données!$A$3:$U$1479,13,FALSE)),0,VLOOKUP(B8,Données!$A$3:$U$1479,13,FALSE))</f>
        <v>0</v>
      </c>
      <c r="H8" s="168">
        <f>IF(ISERROR(VLOOKUP(B8,Données!$A$3:$U$1479,21,FALSE)),0,VLOOKUP(B8,Données!$A$3:$U$1479,21,FALSE))</f>
        <v>0</v>
      </c>
      <c r="I8" s="154"/>
      <c r="N8" s="41"/>
      <c r="O8" s="41"/>
      <c r="P8" s="181"/>
      <c r="Q8" s="181" t="str">
        <f>IF(P8="","",P8+7)</f>
        <v/>
      </c>
      <c r="V8" s="41"/>
    </row>
    <row r="9" spans="1:22" ht="20.25" customHeight="1" x14ac:dyDescent="0.25">
      <c r="A9" s="601"/>
      <c r="B9" s="164"/>
      <c r="C9" s="347" t="str">
        <f>IF(ISERROR(VLOOKUP(B9,Données!$A$3:$X$1479,24,FALSE)),"",VLOOKUP(B9,Données!$A$3:$X$1479,24,FALSE))</f>
        <v/>
      </c>
      <c r="D9" s="165" t="str">
        <f>IF(ISERROR(VLOOKUP(B9,Données!$A$3:$L$1479,10,FALSE)),"",VLOOKUP(B9,Données!$A$3:$L$1479,10,FALSE))</f>
        <v/>
      </c>
      <c r="E9" s="166">
        <f>IF(ISERROR(VLOOKUP(B9,Données!$A$3:$U$1479,12,FALSE)),0,VLOOKUP(B9,Données!$A$3:$U$1479,12,FALSE))</f>
        <v>0</v>
      </c>
      <c r="F9" s="167">
        <f>VALUE(COUNTIF(Validation!$A$2:$H$64,B9))-1</f>
        <v>229</v>
      </c>
      <c r="G9" s="363">
        <f>IF(ISERROR(VLOOKUP(B9,Données!$A$3:$U$1479,13,FALSE)),0,VLOOKUP(B9,Données!$A$3:$U$1479,13,FALSE))</f>
        <v>0</v>
      </c>
      <c r="H9" s="168">
        <f>IF(ISERROR(VLOOKUP(B9,Données!$A$3:$U$1479,21,FALSE)),0,VLOOKUP(B9,Données!$A$3:$U$1479,21,FALSE))</f>
        <v>0</v>
      </c>
      <c r="I9" s="154"/>
      <c r="J9" s="603" t="s">
        <v>60</v>
      </c>
      <c r="K9" s="603"/>
      <c r="N9" s="41"/>
      <c r="P9" s="181"/>
      <c r="Q9" s="181" t="str">
        <f>IF(P9="","",P9+7)</f>
        <v/>
      </c>
    </row>
    <row r="10" spans="1:22" ht="20.25" customHeight="1" x14ac:dyDescent="0.25">
      <c r="A10" s="601"/>
      <c r="B10" s="209"/>
      <c r="C10" s="347" t="str">
        <f>IF(ISERROR(VLOOKUP(B10,Données!$A$3:$X$1479,24,FALSE)),"",VLOOKUP(B10,Données!$A$3:$X$1479,24,FALSE))</f>
        <v/>
      </c>
      <c r="D10" s="165" t="str">
        <f>IF(ISERROR(VLOOKUP(B10,Données!$A$3:$L$1479,10,FALSE)),"",VLOOKUP(B10,Données!$A$3:$L$1479,10,FALSE))</f>
        <v/>
      </c>
      <c r="E10" s="166">
        <f>IF(ISERROR(VLOOKUP(B10,Données!$A$3:$U$1479,12,FALSE)),0,VLOOKUP(B10,Données!$A$3:$U$1479,12,FALSE))</f>
        <v>0</v>
      </c>
      <c r="F10" s="167">
        <f>VALUE(COUNTIF(Validation!$A$2:$H$64,B10))-1</f>
        <v>229</v>
      </c>
      <c r="G10" s="363">
        <f>IF(ISERROR(VLOOKUP(B10,Données!$A$3:$U$1479,13,FALSE)),0,VLOOKUP(B10,Données!$A$3:$U$1479,13,FALSE))</f>
        <v>0</v>
      </c>
      <c r="H10" s="168">
        <f>IF(ISERROR(VLOOKUP(B10,Données!$A$3:$U$1479,21,FALSE)),0,VLOOKUP(B10,Données!$A$3:$U$1479,21,FALSE))</f>
        <v>0</v>
      </c>
      <c r="I10" s="154"/>
      <c r="J10" s="162" t="s">
        <v>62</v>
      </c>
      <c r="K10" s="162" t="s">
        <v>61</v>
      </c>
      <c r="N10" s="41"/>
      <c r="O10" s="41"/>
      <c r="P10" s="181"/>
      <c r="Q10" s="181" t="str">
        <f>IF(P10="","",P10+7)</f>
        <v/>
      </c>
    </row>
    <row r="11" spans="1:22" ht="20.25" customHeight="1" x14ac:dyDescent="0.25">
      <c r="A11" s="601"/>
      <c r="B11" s="164"/>
      <c r="C11" s="347" t="str">
        <f>IF(ISERROR(VLOOKUP(B11,Données!$A$3:$X$1479,24,FALSE)),"",VLOOKUP(B11,Données!$A$3:$X$1479,24,FALSE))</f>
        <v/>
      </c>
      <c r="D11" s="165" t="str">
        <f>IF(ISERROR(VLOOKUP(B11,Données!$A$3:$L$1479,10,FALSE)),"",VLOOKUP(B11,Données!$A$3:$L$1479,10,FALSE))</f>
        <v/>
      </c>
      <c r="E11" s="166">
        <f>IF(ISERROR(VLOOKUP(B11,Données!$A$3:$U$1479,12,FALSE)),0,VLOOKUP(B11,Données!$A$3:$U$1479,12,FALSE))</f>
        <v>0</v>
      </c>
      <c r="F11" s="167">
        <f>VALUE(COUNTIF(Validation!$A$2:$H$64,B11))-1</f>
        <v>229</v>
      </c>
      <c r="G11" s="363">
        <f>IF(ISERROR(VLOOKUP(B11,Données!$A$3:$U$1479,13,FALSE)),0,VLOOKUP(B11,Données!$A$3:$U$1479,13,FALSE))</f>
        <v>0</v>
      </c>
      <c r="H11" s="168">
        <f>IF(ISERROR(VLOOKUP(B11,Données!$A$3:$U$1479,21,FALSE)),0,VLOOKUP(B11,Données!$A$3:$U$1479,21,FALSE))</f>
        <v>0</v>
      </c>
      <c r="I11" s="154"/>
      <c r="J11" s="41" t="s">
        <v>192</v>
      </c>
      <c r="K11" s="41" t="s">
        <v>1341</v>
      </c>
      <c r="N11" s="41"/>
      <c r="O11" s="41"/>
      <c r="P11" s="181"/>
      <c r="Q11" s="181" t="str">
        <f>IF(P11="","",P11+7)</f>
        <v/>
      </c>
    </row>
    <row r="12" spans="1:22" ht="20.25" customHeight="1" x14ac:dyDescent="0.25">
      <c r="A12" s="601"/>
      <c r="B12" s="209"/>
      <c r="C12" s="347" t="str">
        <f>IF(ISERROR(VLOOKUP(B12,Données!$A$3:$X$1479,24,FALSE)),"",VLOOKUP(B12,Données!$A$3:$X$1479,24,FALSE))</f>
        <v/>
      </c>
      <c r="D12" s="165" t="str">
        <f>IF(ISERROR(VLOOKUP(B12,Données!$A$3:$L$1479,10,FALSE)),"",VLOOKUP(B12,Données!$A$3:$L$1479,10,FALSE))</f>
        <v/>
      </c>
      <c r="E12" s="166">
        <f>IF(ISERROR(VLOOKUP(B12,Données!$A$3:$U$1479,12,FALSE)),0,VLOOKUP(B12,Données!$A$3:$U$1479,12,FALSE))</f>
        <v>0</v>
      </c>
      <c r="F12" s="167">
        <f>VALUE(COUNTIF(Validation!$A$2:$H$64,B12))-1</f>
        <v>229</v>
      </c>
      <c r="G12" s="363">
        <f>IF(ISERROR(VLOOKUP(B12,Données!$A$3:$U$1479,13,FALSE)),0,VLOOKUP(B12,Données!$A$3:$U$1479,13,FALSE))</f>
        <v>0</v>
      </c>
      <c r="H12" s="168">
        <f>IF(ISERROR(VLOOKUP(B12,Données!$A$3:$U$1479,21,FALSE)),0,VLOOKUP(B12,Données!$A$3:$U$1479,21,FALSE))</f>
        <v>0</v>
      </c>
      <c r="I12" s="154"/>
      <c r="J12" s="155" t="s">
        <v>192</v>
      </c>
      <c r="K12" s="155" t="s">
        <v>1341</v>
      </c>
      <c r="N12" s="41"/>
      <c r="O12" s="41"/>
      <c r="P12" s="181"/>
      <c r="Q12" s="181" t="str">
        <f>IF(P12="","",P12+7)</f>
        <v/>
      </c>
    </row>
    <row r="13" spans="1:22" ht="20.25" customHeight="1" x14ac:dyDescent="0.25">
      <c r="A13" s="601"/>
      <c r="B13" s="274"/>
      <c r="C13" s="347" t="str">
        <f>IF(ISERROR(VLOOKUP(B13,Données!$A$3:$X$1479,24,FALSE)),"",VLOOKUP(B13,Données!$A$3:$X$1479,24,FALSE))</f>
        <v/>
      </c>
      <c r="D13" s="165" t="str">
        <f>IF(ISERROR(VLOOKUP(B13,Données!$A$3:$L$1479,10,FALSE)),"",VLOOKUP(B13,Données!$A$3:$L$1479,10,FALSE))</f>
        <v/>
      </c>
      <c r="E13" s="166">
        <f>IF(ISERROR(VLOOKUP(B13,Données!$A$3:$U$1479,12,FALSE)),0,VLOOKUP(B13,Données!$A$3:$U$1479,12,FALSE))</f>
        <v>0</v>
      </c>
      <c r="F13" s="167">
        <f>VALUE(COUNTIF(Validation!$A$2:$H$64,B13))-1</f>
        <v>229</v>
      </c>
      <c r="G13" s="363">
        <f>IF(ISERROR(VLOOKUP(B13,Données!$A$3:$U$1479,13,FALSE)),0,VLOOKUP(B13,Données!$A$3:$U$1479,13,FALSE))</f>
        <v>0</v>
      </c>
      <c r="H13" s="168">
        <f>IF(ISERROR(VLOOKUP(B13,Données!$A$3:$U$1479,21,FALSE)),0,VLOOKUP(B13,Données!$A$3:$U$1479,21,FALSE))</f>
        <v>0</v>
      </c>
      <c r="I13" s="154"/>
      <c r="J13" s="41" t="s">
        <v>193</v>
      </c>
      <c r="K13" s="155" t="s">
        <v>1341</v>
      </c>
      <c r="N13" s="41"/>
      <c r="O13" s="41"/>
      <c r="P13" s="181"/>
      <c r="Q13" s="181" t="str">
        <f t="shared" si="0"/>
        <v/>
      </c>
    </row>
    <row r="14" spans="1:22" ht="20.25" customHeight="1" x14ac:dyDescent="0.25">
      <c r="A14" s="602"/>
      <c r="B14" s="278"/>
      <c r="C14" s="349" t="str">
        <f>IF(ISERROR(VLOOKUP(B14,Données!$A$3:$X$1479,24,FALSE)),"",VLOOKUP(B14,Données!$A$3:$X$1479,24,FALSE))</f>
        <v/>
      </c>
      <c r="D14" s="170" t="str">
        <f>IF(ISERROR(VLOOKUP(B14,Données!$A$3:$L$1479,10,FALSE)),"",VLOOKUP(B14,Données!$A$3:$L$1479,10,FALSE))</f>
        <v/>
      </c>
      <c r="E14" s="171">
        <f>IF(ISERROR(VLOOKUP(B14,Données!$A$3:$U$1479,12,FALSE)),0,VLOOKUP(B14,Données!$A$3:$U$1479,12,FALSE))</f>
        <v>0</v>
      </c>
      <c r="F14" s="172">
        <f>VALUE(COUNTIF(Validation!$A$2:$H$64,B14))-1</f>
        <v>229</v>
      </c>
      <c r="G14" s="364">
        <f>IF(ISERROR(VLOOKUP(B14,Données!$A$3:$U$1479,13,FALSE)),0,VLOOKUP(B14,Données!$A$3:$U$1479,13,FALSE))</f>
        <v>0</v>
      </c>
      <c r="H14" s="173">
        <f>IF(ISERROR(VLOOKUP(B14,Données!$A$3:$U$1479,21,FALSE)),0,VLOOKUP(B14,Données!$A$3:$U$1479,21,FALSE))</f>
        <v>0</v>
      </c>
      <c r="I14" s="154"/>
      <c r="J14" s="41" t="s">
        <v>193</v>
      </c>
      <c r="K14" s="41" t="s">
        <v>1341</v>
      </c>
      <c r="N14" s="41"/>
      <c r="O14" s="41"/>
      <c r="P14" s="181"/>
      <c r="Q14" s="181" t="str">
        <f t="shared" si="0"/>
        <v/>
      </c>
    </row>
    <row r="15" spans="1:22" ht="20.25" customHeight="1" x14ac:dyDescent="0.25">
      <c r="A15" s="604" t="s">
        <v>39</v>
      </c>
      <c r="B15" s="275"/>
      <c r="C15" s="347" t="str">
        <f>IF(ISERROR(VLOOKUP(B15,Données!$A$3:$X$1479,24,FALSE)),"",VLOOKUP(B15,Données!$A$3:$X$1479,24,FALSE))</f>
        <v/>
      </c>
      <c r="D15" s="165" t="str">
        <f>IF(ISERROR(VLOOKUP(B15,Données!$A$3:$L$1479,10,FALSE)),"",VLOOKUP(B15,Données!$A$3:$L$1479,10,FALSE))</f>
        <v/>
      </c>
      <c r="E15" s="166">
        <f>IF(ISERROR(VLOOKUP(B15,Données!$A$3:$U$1479,12,FALSE)),0,VLOOKUP(B15,Données!$A$3:$U$1479,12,FALSE))</f>
        <v>0</v>
      </c>
      <c r="F15" s="167">
        <f>VALUE(COUNTIF(Validation!$A$2:$H$64,B15))-1</f>
        <v>229</v>
      </c>
      <c r="G15" s="363">
        <f>IF(ISERROR(VLOOKUP(B15,Données!$A$3:$U$1479,13,FALSE)),0,VLOOKUP(B15,Données!$A$3:$U$1479,13,FALSE))</f>
        <v>0</v>
      </c>
      <c r="H15" s="168">
        <f>IF(ISERROR(VLOOKUP(B15,Données!$A$3:$U$1479,21,FALSE)),0,VLOOKUP(B15,Données!$A$3:$U$1479,21,FALSE))</f>
        <v>0</v>
      </c>
      <c r="I15" s="154"/>
      <c r="J15" s="41" t="s">
        <v>193</v>
      </c>
      <c r="K15" s="41" t="s">
        <v>1341</v>
      </c>
      <c r="N15" s="41"/>
      <c r="O15" s="41"/>
      <c r="P15" s="181"/>
      <c r="Q15" s="181" t="str">
        <f t="shared" si="0"/>
        <v/>
      </c>
    </row>
    <row r="16" spans="1:22" ht="20.25" customHeight="1" x14ac:dyDescent="0.25">
      <c r="A16" s="605"/>
      <c r="B16" s="164"/>
      <c r="C16" s="347" t="str">
        <f>IF(ISERROR(VLOOKUP(B16,Données!$A$3:$X$1479,24,FALSE)),"",VLOOKUP(B16,Données!$A$3:$X$1479,24,FALSE))</f>
        <v/>
      </c>
      <c r="D16" s="165" t="str">
        <f>IF(ISERROR(VLOOKUP(B16,Données!$A$3:$L$1479,10,FALSE)),"",VLOOKUP(B16,Données!$A$3:$L$1479,10,FALSE))</f>
        <v/>
      </c>
      <c r="E16" s="166">
        <f>IF(ISERROR(VLOOKUP(B16,Données!$A$3:$U$1479,12,FALSE)),0,VLOOKUP(B16,Données!$A$3:$U$1479,12,FALSE))</f>
        <v>0</v>
      </c>
      <c r="F16" s="167">
        <f>VALUE(COUNTIF(Validation!$A$2:$H$64,B16))-1</f>
        <v>229</v>
      </c>
      <c r="G16" s="363">
        <f>IF(ISERROR(VLOOKUP(B16,Données!$A$3:$U$1479,13,FALSE)),0,VLOOKUP(B16,Données!$A$3:$U$1479,13,FALSE))</f>
        <v>0</v>
      </c>
      <c r="H16" s="168">
        <f>IF(ISERROR(VLOOKUP(B16,Données!$A$3:$U$1479,21,FALSE)),0,VLOOKUP(B16,Données!$A$3:$U$1479,21,FALSE))</f>
        <v>0</v>
      </c>
      <c r="I16" s="154"/>
      <c r="J16" s="155" t="s">
        <v>194</v>
      </c>
      <c r="K16" s="41" t="s">
        <v>1341</v>
      </c>
      <c r="N16" s="41"/>
      <c r="O16" s="41"/>
      <c r="P16" s="181"/>
      <c r="Q16" s="181" t="str">
        <f t="shared" si="0"/>
        <v/>
      </c>
    </row>
    <row r="17" spans="1:17" ht="20.25" customHeight="1" x14ac:dyDescent="0.25">
      <c r="A17" s="605"/>
      <c r="B17" s="209"/>
      <c r="C17" s="347" t="str">
        <f>IF(ISERROR(VLOOKUP(B17,Données!$A$3:$X$1479,24,FALSE)),"",VLOOKUP(B17,Données!$A$3:$X$1479,24,FALSE))</f>
        <v/>
      </c>
      <c r="D17" s="165" t="str">
        <f>IF(ISERROR(VLOOKUP(B17,Données!$A$3:$L$1479,10,FALSE)),"",VLOOKUP(B17,Données!$A$3:$L$1479,10,FALSE))</f>
        <v/>
      </c>
      <c r="E17" s="166">
        <f>IF(ISERROR(VLOOKUP(B17,Données!$A$3:$U$1479,12,FALSE)),0,VLOOKUP(B17,Données!$A$3:$U$1479,12,FALSE))</f>
        <v>0</v>
      </c>
      <c r="F17" s="167">
        <f>VALUE(COUNTIF(Validation!$A$2:$H$64,B17))-1</f>
        <v>229</v>
      </c>
      <c r="G17" s="363">
        <f>IF(ISERROR(VLOOKUP(B17,Données!$A$3:$U$1479,13,FALSE)),0,VLOOKUP(B17,Données!$A$3:$U$1479,13,FALSE))</f>
        <v>0</v>
      </c>
      <c r="H17" s="168">
        <f>IF(ISERROR(VLOOKUP(B17,Données!$A$3:$U$1479,21,FALSE)),0,VLOOKUP(B17,Données!$A$3:$U$1479,21,FALSE))</f>
        <v>0</v>
      </c>
      <c r="I17" s="154"/>
      <c r="N17" s="41"/>
      <c r="O17" s="41"/>
      <c r="P17" s="181"/>
      <c r="Q17" s="181" t="str">
        <f t="shared" si="0"/>
        <v/>
      </c>
    </row>
    <row r="18" spans="1:17" ht="20.25" customHeight="1" x14ac:dyDescent="0.25">
      <c r="A18" s="605"/>
      <c r="B18" s="209"/>
      <c r="C18" s="347" t="str">
        <f>IF(ISERROR(VLOOKUP(B18,Données!$A$3:$X$1479,24,FALSE)),"",VLOOKUP(B18,Données!$A$3:$X$1479,24,FALSE))</f>
        <v/>
      </c>
      <c r="D18" s="165" t="str">
        <f>IF(ISERROR(VLOOKUP(B18,Données!$A$3:$L$1479,10,FALSE)),"",VLOOKUP(B18,Données!$A$3:$L$1479,10,FALSE))</f>
        <v/>
      </c>
      <c r="E18" s="166">
        <f>IF(ISERROR(VLOOKUP(B18,Données!$A$3:$U$1479,12,FALSE)),0,VLOOKUP(B18,Données!$A$3:$U$1479,12,FALSE))</f>
        <v>0</v>
      </c>
      <c r="F18" s="167">
        <f>VALUE(COUNTIF(Validation!$A$2:$H$64,B18))-1</f>
        <v>229</v>
      </c>
      <c r="G18" s="363">
        <f>IF(ISERROR(VLOOKUP(B18,Données!$A$3:$U$1479,13,FALSE)),0,VLOOKUP(B18,Données!$A$3:$U$1479,13,FALSE))</f>
        <v>0</v>
      </c>
      <c r="H18" s="168">
        <f>IF(ISERROR(VLOOKUP(B18,Données!$A$3:$U$1479,21,FALSE)),0,VLOOKUP(B18,Données!$A$3:$U$1479,21,FALSE))</f>
        <v>0</v>
      </c>
      <c r="I18" s="174"/>
      <c r="J18" s="41" t="s">
        <v>194</v>
      </c>
      <c r="K18" s="41" t="s">
        <v>2433</v>
      </c>
      <c r="N18" s="41"/>
      <c r="O18" s="41"/>
      <c r="P18" s="181"/>
      <c r="Q18" s="181" t="str">
        <f t="shared" si="0"/>
        <v/>
      </c>
    </row>
    <row r="19" spans="1:17" ht="20.25" customHeight="1" x14ac:dyDescent="0.25">
      <c r="A19" s="605"/>
      <c r="B19" s="209"/>
      <c r="C19" s="347" t="str">
        <f>IF(ISERROR(VLOOKUP(B19,Données!$A$3:$X$1479,24,FALSE)),"",VLOOKUP(B19,Données!$A$3:$X$1479,24,FALSE))</f>
        <v/>
      </c>
      <c r="D19" s="165" t="str">
        <f>IF(ISERROR(VLOOKUP(B19,Données!$A$3:$L$1479,10,FALSE)),"",VLOOKUP(B19,Données!$A$3:$L$1479,10,FALSE))</f>
        <v/>
      </c>
      <c r="E19" s="166">
        <f>IF(ISERROR(VLOOKUP(B19,Données!$A$3:$U$1479,12,FALSE)),0,VLOOKUP(B19,Données!$A$3:$U$1479,12,FALSE))</f>
        <v>0</v>
      </c>
      <c r="F19" s="167">
        <f>VALUE(COUNTIF(Validation!$A$2:$H$64,B19))-1</f>
        <v>229</v>
      </c>
      <c r="G19" s="363">
        <f>IF(ISERROR(VLOOKUP(B19,Données!$A$3:$U$1479,13,FALSE)),0,VLOOKUP(B19,Données!$A$3:$U$1479,13,FALSE))</f>
        <v>0</v>
      </c>
      <c r="H19" s="168">
        <f>IF(ISERROR(VLOOKUP(B19,Données!$A$3:$U$1479,21,FALSE)),0,VLOOKUP(B19,Données!$A$3:$U$1479,21,FALSE))</f>
        <v>0</v>
      </c>
      <c r="I19" s="174"/>
      <c r="N19" s="41"/>
      <c r="O19" s="41"/>
      <c r="P19" s="181"/>
      <c r="Q19" s="181" t="str">
        <f t="shared" si="0"/>
        <v/>
      </c>
    </row>
    <row r="20" spans="1:17" ht="20.25" customHeight="1" x14ac:dyDescent="0.25">
      <c r="A20" s="606"/>
      <c r="B20" s="277"/>
      <c r="C20" s="349" t="str">
        <f>IF(ISERROR(VLOOKUP(B20,Données!$A$3:$X$1479,24,FALSE)),"",VLOOKUP(B20,Données!$A$3:$X$1479,24,FALSE))</f>
        <v/>
      </c>
      <c r="D20" s="170" t="str">
        <f>IF(ISERROR(VLOOKUP(B20,Données!$A$3:$L$1479,10,FALSE)),"",VLOOKUP(B20,Données!$A$3:$L$1479,10,FALSE))</f>
        <v/>
      </c>
      <c r="E20" s="171">
        <f>IF(ISERROR(VLOOKUP(B20,Données!$A$3:$U$1479,12,FALSE)),0,VLOOKUP(B20,Données!$A$3:$U$1479,12,FALSE))</f>
        <v>0</v>
      </c>
      <c r="F20" s="172">
        <f>VALUE(COUNTIF(Validation!$A$2:$H$64,B20))-1</f>
        <v>229</v>
      </c>
      <c r="G20" s="364">
        <f>IF(ISERROR(VLOOKUP(B20,Données!$A$3:$U$1479,13,FALSE)),0,VLOOKUP(B20,Données!$A$3:$U$1479,13,FALSE))</f>
        <v>0</v>
      </c>
      <c r="H20" s="173">
        <f>IF(ISERROR(VLOOKUP(B20,Données!$A$3:$U$1479,21,FALSE)),0,VLOOKUP(B20,Données!$A$3:$U$1479,21,FALSE))</f>
        <v>0</v>
      </c>
      <c r="I20" s="174"/>
      <c r="N20" s="41"/>
      <c r="O20" s="41"/>
      <c r="P20" s="181"/>
      <c r="Q20" s="181" t="str">
        <f t="shared" si="0"/>
        <v/>
      </c>
    </row>
    <row r="21" spans="1:17" ht="20.25" customHeight="1" x14ac:dyDescent="0.25">
      <c r="A21" s="607" t="s">
        <v>40</v>
      </c>
      <c r="B21" s="274"/>
      <c r="C21" s="347" t="str">
        <f>IF(ISERROR(VLOOKUP(B21,Données!$A$3:$X$1479,24,FALSE)),"",VLOOKUP(B21,Données!$A$3:$X$1479,24,FALSE))</f>
        <v/>
      </c>
      <c r="D21" s="165" t="str">
        <f>IF(ISERROR(VLOOKUP(B21,Données!$A$3:$L$1479,10,FALSE)),"",VLOOKUP(B21,Données!$A$3:$L$1479,10,FALSE))</f>
        <v/>
      </c>
      <c r="E21" s="166">
        <f>IF(ISERROR(VLOOKUP(B21,Données!$A$3:$U$1479,12,FALSE)),0,VLOOKUP(B21,Données!$A$3:$U$1479,12,FALSE))</f>
        <v>0</v>
      </c>
      <c r="F21" s="167">
        <f>VALUE(COUNTIF(Validation!$A$2:$H$64,B21))-1</f>
        <v>229</v>
      </c>
      <c r="G21" s="363">
        <f>IF(ISERROR(VLOOKUP(B21,Données!$A$3:$U$1479,13,FALSE)),0,VLOOKUP(B21,Données!$A$3:$U$1479,13,FALSE))</f>
        <v>0</v>
      </c>
      <c r="H21" s="168">
        <f>IF(ISERROR(VLOOKUP(B21,Données!$A$3:$U$1479,21,FALSE)),0,VLOOKUP(B21,Données!$A$3:$U$1479,21,FALSE))</f>
        <v>0</v>
      </c>
      <c r="I21" s="154"/>
      <c r="N21" s="41"/>
      <c r="O21" s="41"/>
      <c r="P21" s="181"/>
      <c r="Q21" s="181" t="str">
        <f t="shared" si="0"/>
        <v/>
      </c>
    </row>
    <row r="22" spans="1:17" ht="20.25" customHeight="1" x14ac:dyDescent="0.25">
      <c r="A22" s="608"/>
      <c r="B22" s="277"/>
      <c r="C22" s="349" t="str">
        <f>IF(ISERROR(VLOOKUP(B22,Données!$A$3:$X$1479,24,FALSE)),"",VLOOKUP(B22,Données!$A$3:$X$1479,24,FALSE))</f>
        <v/>
      </c>
      <c r="D22" s="170" t="str">
        <f>IF(ISERROR(VLOOKUP(B22,Données!$A$3:$L$1479,10,FALSE)),"",VLOOKUP(B22,Données!$A$3:$L$1479,10,FALSE))</f>
        <v/>
      </c>
      <c r="E22" s="171">
        <f>IF(ISERROR(VLOOKUP(B22,Données!$A$3:$U$1479,12,FALSE)),0,VLOOKUP(B22,Données!$A$3:$U$1479,12,FALSE))</f>
        <v>0</v>
      </c>
      <c r="F22" s="172">
        <f>VALUE(COUNTIF(Validation!$A$2:$H$64,B22))-1</f>
        <v>229</v>
      </c>
      <c r="G22" s="364">
        <f>IF(ISERROR(VLOOKUP(B22,Données!$A$3:$U$1479,13,FALSE)),0,VLOOKUP(B22,Données!$A$3:$U$1479,13,FALSE))</f>
        <v>0</v>
      </c>
      <c r="H22" s="173">
        <f>IF(ISERROR(VLOOKUP(B22,Données!$A$3:$U$1479,21,FALSE)),0,VLOOKUP(B22,Données!$A$3:$U$1479,21,FALSE))</f>
        <v>0</v>
      </c>
      <c r="I22" s="154"/>
      <c r="N22" s="41"/>
      <c r="O22" s="41"/>
      <c r="P22" s="181"/>
      <c r="Q22" s="181" t="str">
        <f t="shared" si="0"/>
        <v/>
      </c>
    </row>
    <row r="23" spans="1:17" ht="20.25" customHeight="1" x14ac:dyDescent="0.25">
      <c r="A23" s="610" t="s">
        <v>42</v>
      </c>
      <c r="B23" s="209"/>
      <c r="C23" s="347" t="str">
        <f>IF(ISERROR(VLOOKUP(B23,Données!$A$3:$X$1479,24,FALSE)),"",VLOOKUP(B23,Données!$A$3:$X$1479,24,FALSE))</f>
        <v/>
      </c>
      <c r="D23" s="165" t="str">
        <f>IF(ISERROR(VLOOKUP(B23,Données!$A$3:$L$1479,10,FALSE)),"",VLOOKUP(B23,Données!$A$3:$L$1479,10,FALSE))</f>
        <v/>
      </c>
      <c r="E23" s="166">
        <f>IF(ISERROR(VLOOKUP(B23,Données!$A$3:$U$1479,12,FALSE)),0,VLOOKUP(B23,Données!$A$3:$U$1479,12,FALSE))</f>
        <v>0</v>
      </c>
      <c r="F23" s="167">
        <f>VALUE(COUNTIF(Validation!$A$2:$H$64,B23))-1</f>
        <v>229</v>
      </c>
      <c r="G23" s="363">
        <f>IF(ISERROR(VLOOKUP(B23,Données!$A$3:$U$1479,13,FALSE)),0,VLOOKUP(B23,Données!$A$3:$U$1479,13,FALSE))</f>
        <v>0</v>
      </c>
      <c r="H23" s="168">
        <f>IF(ISERROR(VLOOKUP(B23,Données!$A$3:$U$1479,21,FALSE)),0,VLOOKUP(B23,Données!$A$3:$U$1479,21,FALSE))</f>
        <v>0</v>
      </c>
      <c r="I23" s="154"/>
      <c r="O23" s="41"/>
      <c r="P23" s="181"/>
      <c r="Q23" s="181" t="str">
        <f t="shared" si="0"/>
        <v/>
      </c>
    </row>
    <row r="24" spans="1:17" ht="20.25" customHeight="1" x14ac:dyDescent="0.25">
      <c r="A24" s="611"/>
      <c r="B24" s="209"/>
      <c r="C24" s="347" t="str">
        <f>IF(ISERROR(VLOOKUP(B24,Données!$A$3:$X$1479,24,FALSE)),"",VLOOKUP(B24,Données!$A$3:$X$1479,24,FALSE))</f>
        <v/>
      </c>
      <c r="D24" s="165" t="str">
        <f>IF(ISERROR(VLOOKUP(B24,Données!$A$3:$L$1479,10,FALSE)),"",VLOOKUP(B24,Données!$A$3:$L$1479,10,FALSE))</f>
        <v/>
      </c>
      <c r="E24" s="166">
        <f>IF(ISERROR(VLOOKUP(B24,Données!$A$3:$U$1479,12,FALSE)),0,VLOOKUP(B24,Données!$A$3:$U$1479,12,FALSE))</f>
        <v>0</v>
      </c>
      <c r="F24" s="167">
        <f>VALUE(COUNTIF(Validation!$A$2:$H$64,B24))-1</f>
        <v>229</v>
      </c>
      <c r="G24" s="363">
        <f>IF(ISERROR(VLOOKUP(B24,Données!$A$3:$U$1479,13,FALSE)),0,VLOOKUP(B24,Données!$A$3:$U$1479,13,FALSE))</f>
        <v>0</v>
      </c>
      <c r="H24" s="168">
        <f>IF(ISERROR(VLOOKUP(B24,Données!$A$3:$U$1479,21,FALSE)),0,VLOOKUP(B24,Données!$A$3:$U$1479,21,FALSE))</f>
        <v>0</v>
      </c>
      <c r="I24" s="154"/>
      <c r="O24" s="41"/>
      <c r="P24" s="181"/>
      <c r="Q24" s="181" t="str">
        <f t="shared" si="0"/>
        <v/>
      </c>
    </row>
    <row r="25" spans="1:17" ht="20.25" customHeight="1" x14ac:dyDescent="0.25">
      <c r="A25" s="611"/>
      <c r="B25" s="209"/>
      <c r="C25" s="347" t="str">
        <f>IF(ISERROR(VLOOKUP(B25,Données!$A$3:$X$1479,24,FALSE)),"",VLOOKUP(B25,Données!$A$3:$X$1479,24,FALSE))</f>
        <v/>
      </c>
      <c r="D25" s="165" t="str">
        <f>IF(ISERROR(VLOOKUP(B25,Données!$A$3:$L$1479,10,FALSE)),"",VLOOKUP(B25,Données!$A$3:$L$1479,10,FALSE))</f>
        <v/>
      </c>
      <c r="E25" s="166">
        <f>IF(ISERROR(VLOOKUP(B25,Données!$A$3:$U$1479,12,FALSE)),0,VLOOKUP(B25,Données!$A$3:$U$1479,12,FALSE))</f>
        <v>0</v>
      </c>
      <c r="F25" s="167">
        <f>VALUE(COUNTIF(Validation!$A$2:$H$64,B25))-1</f>
        <v>229</v>
      </c>
      <c r="G25" s="363">
        <f>IF(ISERROR(VLOOKUP(B25,Données!$A$3:$U$1479,13,FALSE)),0,VLOOKUP(B25,Données!$A$3:$U$1479,13,FALSE))</f>
        <v>0</v>
      </c>
      <c r="H25" s="168">
        <f>IF(ISERROR(VLOOKUP(B25,Données!$A$3:$U$1479,21,FALSE)),0,VLOOKUP(B25,Données!$A$3:$U$1479,21,FALSE))</f>
        <v>0</v>
      </c>
      <c r="I25" s="154"/>
      <c r="N25" s="41"/>
      <c r="O25" s="41"/>
      <c r="P25" s="181"/>
      <c r="Q25" s="181" t="str">
        <f t="shared" si="0"/>
        <v/>
      </c>
    </row>
    <row r="26" spans="1:17" ht="20.25" customHeight="1" x14ac:dyDescent="0.25">
      <c r="A26" s="611"/>
      <c r="B26" s="209"/>
      <c r="C26" s="347" t="str">
        <f>IF(ISERROR(VLOOKUP(B26,Données!$A$3:$X$1479,24,FALSE)),"",VLOOKUP(B26,Données!$A$3:$X$1479,24,FALSE))</f>
        <v/>
      </c>
      <c r="D26" s="165" t="str">
        <f>IF(ISERROR(VLOOKUP(B26,Données!$A$3:$L$1479,10,FALSE)),"",VLOOKUP(B26,Données!$A$3:$L$1479,10,FALSE))</f>
        <v/>
      </c>
      <c r="E26" s="166">
        <f>IF(ISERROR(VLOOKUP(B26,Données!$A$3:$U$1479,12,FALSE)),0,VLOOKUP(B26,Données!$A$3:$U$1479,12,FALSE))</f>
        <v>0</v>
      </c>
      <c r="F26" s="167">
        <f>VALUE(COUNTIF(Validation!$A$2:$H$64,B26))-1</f>
        <v>229</v>
      </c>
      <c r="G26" s="363">
        <f>IF(ISERROR(VLOOKUP(B26,Données!$A$3:$U$1479,13,FALSE)),0,VLOOKUP(B26,Données!$A$3:$U$1479,13,FALSE))</f>
        <v>0</v>
      </c>
      <c r="H26" s="168">
        <f>IF(ISERROR(VLOOKUP(B26,Données!$A$3:$U$1479,21,FALSE)),0,VLOOKUP(B26,Données!$A$3:$U$1479,21,FALSE))</f>
        <v>0</v>
      </c>
      <c r="I26" s="154"/>
      <c r="N26" s="41"/>
      <c r="O26" s="41"/>
      <c r="P26" s="181"/>
      <c r="Q26" s="181" t="str">
        <f t="shared" si="0"/>
        <v/>
      </c>
    </row>
    <row r="27" spans="1:17" ht="20.25" customHeight="1" x14ac:dyDescent="0.25">
      <c r="A27" s="611"/>
      <c r="B27" s="209"/>
      <c r="C27" s="347" t="str">
        <f>IF(ISERROR(VLOOKUP(B27,Données!$A$3:$X$1479,24,FALSE)),"",VLOOKUP(B27,Données!$A$3:$X$1479,24,FALSE))</f>
        <v/>
      </c>
      <c r="D27" s="165" t="str">
        <f>IF(ISERROR(VLOOKUP(B27,Données!$A$3:$L$1479,10,FALSE)),"",VLOOKUP(B27,Données!$A$3:$L$1479,10,FALSE))</f>
        <v/>
      </c>
      <c r="E27" s="166">
        <f>IF(ISERROR(VLOOKUP(B27,Données!$A$3:$U$1479,12,FALSE)),0,VLOOKUP(B27,Données!$A$3:$U$1479,12,FALSE))</f>
        <v>0</v>
      </c>
      <c r="F27" s="167">
        <f>VALUE(COUNTIF(Validation!$A$2:$H$64,B27))-1</f>
        <v>229</v>
      </c>
      <c r="G27" s="363">
        <f>IF(ISERROR(VLOOKUP(B27,Données!$A$3:$U$1479,13,FALSE)),0,VLOOKUP(B27,Données!$A$3:$U$1479,13,FALSE))</f>
        <v>0</v>
      </c>
      <c r="H27" s="168">
        <f>IF(ISERROR(VLOOKUP(B27,Données!$A$3:$U$1479,21,FALSE)),0,VLOOKUP(B27,Données!$A$3:$U$1479,21,FALSE))</f>
        <v>0</v>
      </c>
      <c r="I27" s="154"/>
      <c r="M27" s="41"/>
      <c r="O27" s="41"/>
      <c r="Q27" s="181" t="str">
        <f t="shared" si="0"/>
        <v/>
      </c>
    </row>
    <row r="28" spans="1:17" ht="20.25" customHeight="1" x14ac:dyDescent="0.25">
      <c r="A28" s="611"/>
      <c r="B28" s="209"/>
      <c r="C28" s="347" t="str">
        <f>IF(ISERROR(VLOOKUP(B28,Données!$A$3:$X$1479,24,FALSE)),"",VLOOKUP(B28,Données!$A$3:$X$1479,24,FALSE))</f>
        <v/>
      </c>
      <c r="D28" s="165" t="str">
        <f>IF(ISERROR(VLOOKUP(B28,Données!$A$3:$L$1479,10,FALSE)),"",VLOOKUP(B28,Données!$A$3:$L$1479,10,FALSE))</f>
        <v/>
      </c>
      <c r="E28" s="166">
        <f>IF(ISERROR(VLOOKUP(B28,Données!$A$3:$U$1479,12,FALSE)),0,VLOOKUP(B28,Données!$A$3:$U$1479,12,FALSE))</f>
        <v>0</v>
      </c>
      <c r="F28" s="167">
        <f>VALUE(COUNTIF(Validation!$A$2:$H$64,B28))-1</f>
        <v>229</v>
      </c>
      <c r="G28" s="363">
        <f>IF(ISERROR(VLOOKUP(B28,Données!$A$3:$U$1479,13,FALSE)),0,VLOOKUP(B28,Données!$A$3:$U$1479,13,FALSE))</f>
        <v>0</v>
      </c>
      <c r="H28" s="168">
        <f>IF(ISERROR(VLOOKUP(B28,Données!$A$3:$U$1479,21,FALSE)),0,VLOOKUP(B28,Données!$A$3:$U$1479,21,FALSE))</f>
        <v>0</v>
      </c>
      <c r="I28" s="154"/>
      <c r="M28" s="41"/>
      <c r="N28" s="41"/>
      <c r="O28" s="41"/>
      <c r="Q28" s="181" t="str">
        <f t="shared" si="0"/>
        <v/>
      </c>
    </row>
    <row r="29" spans="1:17" ht="20.25" customHeight="1" x14ac:dyDescent="0.25">
      <c r="A29" s="611"/>
      <c r="B29" s="209"/>
      <c r="C29" s="347" t="str">
        <f>IF(ISERROR(VLOOKUP(B29,Données!$A$3:$X$1479,24,FALSE)),"",VLOOKUP(B29,Données!$A$3:$X$1479,24,FALSE))</f>
        <v/>
      </c>
      <c r="D29" s="165" t="str">
        <f>IF(ISERROR(VLOOKUP(B29,Données!$A$3:$L$1479,10,FALSE)),"",VLOOKUP(B29,Données!$A$3:$L$1479,10,FALSE))</f>
        <v/>
      </c>
      <c r="E29" s="166">
        <f>IF(ISERROR(VLOOKUP(B29,Données!$A$3:$U$1479,12,FALSE)),0,VLOOKUP(B29,Données!$A$3:$U$1479,12,FALSE))</f>
        <v>0</v>
      </c>
      <c r="F29" s="167">
        <f>VALUE(COUNTIF(Validation!$A$2:$H$64,B29))-1</f>
        <v>229</v>
      </c>
      <c r="G29" s="363">
        <f>IF(ISERROR(VLOOKUP(B29,Données!$A$3:$U$1479,13,FALSE)),0,VLOOKUP(B29,Données!$A$3:$U$1479,13,FALSE))</f>
        <v>0</v>
      </c>
      <c r="H29" s="168">
        <f>IF(ISERROR(VLOOKUP(B29,Données!$A$3:$U$1479,21,FALSE)),0,VLOOKUP(B29,Données!$A$3:$U$1479,21,FALSE))</f>
        <v>0</v>
      </c>
      <c r="I29" s="154"/>
      <c r="N29" s="41"/>
      <c r="O29" s="41"/>
      <c r="Q29" s="181" t="str">
        <f t="shared" si="0"/>
        <v/>
      </c>
    </row>
    <row r="30" spans="1:17" ht="20.25" customHeight="1" x14ac:dyDescent="0.25">
      <c r="A30" s="611"/>
      <c r="B30" s="29"/>
      <c r="C30" s="347" t="str">
        <f>IF(ISERROR(VLOOKUP(B30,Données!$A$3:$X$1479,24,FALSE)),"",VLOOKUP(B30,Données!$A$3:$X$1479,24,FALSE))</f>
        <v/>
      </c>
      <c r="D30" s="165" t="str">
        <f>IF(ISERROR(VLOOKUP(B30,Données!$A$3:$L$1479,10,FALSE)),"",VLOOKUP(B30,Données!$A$3:$L$1479,10,FALSE))</f>
        <v/>
      </c>
      <c r="E30" s="166">
        <f>IF(ISERROR(VLOOKUP(B30,Données!$A$3:$U$1479,12,FALSE)),0,VLOOKUP(B30,Données!$A$3:$U$1479,12,FALSE))</f>
        <v>0</v>
      </c>
      <c r="F30" s="167">
        <f>VALUE(COUNTIF(Validation!$A$2:$H$64,B30))-1</f>
        <v>229</v>
      </c>
      <c r="G30" s="363">
        <f>IF(ISERROR(VLOOKUP(B30,Données!$A$3:$U$1479,13,FALSE)),0,VLOOKUP(B30,Données!$A$3:$U$1479,13,FALSE))</f>
        <v>0</v>
      </c>
      <c r="H30" s="168">
        <f>IF(ISERROR(VLOOKUP(B30,Données!$A$3:$U$1479,21,FALSE)),0,VLOOKUP(B30,Données!$A$3:$U$1479,21,FALSE))</f>
        <v>0</v>
      </c>
      <c r="I30" s="154"/>
      <c r="N30" s="41"/>
      <c r="O30" s="41"/>
      <c r="P30" s="181"/>
      <c r="Q30" s="181" t="str">
        <f t="shared" si="0"/>
        <v/>
      </c>
    </row>
    <row r="31" spans="1:17" ht="15.75" x14ac:dyDescent="0.25">
      <c r="A31" s="612" t="s">
        <v>37</v>
      </c>
      <c r="B31" s="612"/>
      <c r="C31" s="612"/>
      <c r="D31" s="612"/>
      <c r="E31" s="312">
        <f>ROUNDDOWN(SUM(E3:E30),2)</f>
        <v>5250000</v>
      </c>
      <c r="F31" s="488"/>
      <c r="G31" s="328">
        <f>SUM(G3:G30)</f>
        <v>5250000</v>
      </c>
      <c r="I31" s="154"/>
      <c r="N31" s="41"/>
      <c r="O31" s="41"/>
      <c r="P31" s="181"/>
      <c r="Q31" s="181" t="str">
        <f t="shared" si="0"/>
        <v/>
      </c>
    </row>
    <row r="32" spans="1:17" ht="19.5" thickBot="1" x14ac:dyDescent="0.35">
      <c r="A32" s="613" t="s">
        <v>44</v>
      </c>
      <c r="B32" s="613"/>
      <c r="C32" s="613"/>
      <c r="D32" s="613"/>
      <c r="E32" s="320">
        <f>'Calcul Masse Salariale'!$B$5-E31</f>
        <v>96750000</v>
      </c>
      <c r="F32" s="489"/>
      <c r="G32" s="336">
        <f>'Calcul Masse Salariale'!$B$6-G31</f>
        <v>96750000</v>
      </c>
      <c r="I32" s="154"/>
      <c r="N32" s="41"/>
      <c r="O32" s="41"/>
      <c r="Q32" s="181" t="str">
        <f t="shared" si="0"/>
        <v/>
      </c>
    </row>
    <row r="33" spans="1:17" ht="16.5" thickBot="1" x14ac:dyDescent="0.3">
      <c r="E33" s="368"/>
      <c r="I33" s="154"/>
      <c r="N33" s="41"/>
      <c r="O33" s="41"/>
      <c r="P33" s="181"/>
      <c r="Q33" s="181" t="str">
        <f t="shared" si="0"/>
        <v/>
      </c>
    </row>
    <row r="34" spans="1:17" ht="30.75" thickBot="1" x14ac:dyDescent="0.3">
      <c r="B34" s="420" t="s">
        <v>36</v>
      </c>
      <c r="C34" s="421" t="s">
        <v>403</v>
      </c>
      <c r="D34" s="421" t="s">
        <v>5</v>
      </c>
      <c r="E34" s="422" t="s">
        <v>134</v>
      </c>
      <c r="F34" s="423" t="s">
        <v>189</v>
      </c>
      <c r="G34" s="424" t="s">
        <v>1155</v>
      </c>
      <c r="H34" s="425" t="s">
        <v>2403</v>
      </c>
      <c r="I34" s="154"/>
      <c r="M34" s="41"/>
      <c r="N34" s="41"/>
      <c r="O34" s="41"/>
      <c r="Q34" s="181" t="str">
        <f t="shared" si="0"/>
        <v/>
      </c>
    </row>
    <row r="35" spans="1:17" ht="19.5" thickBot="1" x14ac:dyDescent="0.35">
      <c r="A35" s="506" t="s">
        <v>2401</v>
      </c>
      <c r="B35" s="453"/>
      <c r="C35" s="402" t="str">
        <f>IF(ISERROR(VLOOKUP(B35,Données!$A$3:$X$1479,22,FALSE)),"",VLOOKUP(B35,Données!$A$3:$X$1479,22,FALSE))</f>
        <v/>
      </c>
      <c r="D35" s="402" t="str">
        <f>IF(ISERROR(VLOOKUP(B35,Données!$A$3:$L$1479,7,FALSE)),"",VLOOKUP(B35,Données!$A$3:$L$1479,7,FALSE))</f>
        <v/>
      </c>
      <c r="E35" s="403">
        <f>IF(ISERROR(VLOOKUP(B35,Données!$A$3:$U$1479,11,FALSE)),0,VLOOKUP(B35,Données!$A$3:$U$1479,11,FALSE))</f>
        <v>0</v>
      </c>
      <c r="F35" s="456">
        <f>VALUE(COUNTIF(Validation!$A$2:$H$120,B35))-1</f>
        <v>229</v>
      </c>
      <c r="G35" s="404">
        <f>IF(ISERROR(VLOOKUP(B35,Données!$A$3:$U$1479,12,FALSE)),0,VLOOKUP(B35,Données!$A$3:$U$1479,12,FALSE))</f>
        <v>0</v>
      </c>
      <c r="H35" s="405">
        <f>IF(ISERROR(VLOOKUP(B35,Données!$E$3:$U$1479,17,FALSE)),0,VLOOKUP(B35,Données!$E$3:$U$1479,17,FALSE))</f>
        <v>0</v>
      </c>
      <c r="I35" s="154"/>
      <c r="O35" s="41"/>
      <c r="Q35" s="181" t="str">
        <f t="shared" si="0"/>
        <v/>
      </c>
    </row>
    <row r="36" spans="1:17" ht="19.5" thickBot="1" x14ac:dyDescent="0.35">
      <c r="A36" s="507"/>
      <c r="B36" s="406" t="s">
        <v>2404</v>
      </c>
      <c r="C36" s="509"/>
      <c r="D36" s="509"/>
      <c r="E36" s="407" t="s">
        <v>2405</v>
      </c>
      <c r="F36" s="509" t="e">
        <f>IF(#REF!="","",#REF!+28)</f>
        <v>#REF!</v>
      </c>
      <c r="G36" s="509"/>
      <c r="H36" s="509"/>
      <c r="I36" s="154"/>
      <c r="M36" s="41"/>
      <c r="N36" s="41"/>
      <c r="O36" s="41"/>
      <c r="Q36" s="181" t="str">
        <f t="shared" si="0"/>
        <v/>
      </c>
    </row>
    <row r="37" spans="1:17" x14ac:dyDescent="0.25">
      <c r="I37" s="154"/>
      <c r="M37" s="41"/>
      <c r="N37" s="41"/>
      <c r="O37" s="41"/>
      <c r="Q37" s="181" t="str">
        <f t="shared" si="0"/>
        <v/>
      </c>
    </row>
    <row r="38" spans="1:17" ht="34.5" customHeight="1" x14ac:dyDescent="0.25">
      <c r="A38" s="60"/>
      <c r="B38" s="62" t="s">
        <v>36</v>
      </c>
      <c r="C38" s="62" t="s">
        <v>403</v>
      </c>
      <c r="D38" s="7" t="s">
        <v>2402</v>
      </c>
      <c r="E38" s="399" t="s">
        <v>134</v>
      </c>
      <c r="F38" s="68" t="s">
        <v>195</v>
      </c>
      <c r="G38" s="160" t="s">
        <v>2676</v>
      </c>
      <c r="H38" s="67" t="s">
        <v>1</v>
      </c>
      <c r="I38" s="154"/>
      <c r="O38" s="41"/>
    </row>
    <row r="39" spans="1:17" ht="15.75" x14ac:dyDescent="0.25">
      <c r="A39" s="497" t="s">
        <v>43</v>
      </c>
      <c r="B39" s="353" t="s">
        <v>598</v>
      </c>
      <c r="C39" s="347" t="str">
        <f>IF(ISERROR(VLOOKUP(B39,Données!$A$3:$X$1479,23,FALSE)),"",VLOOKUP(B39,Données!$A$3:$X$1479,23,FALSE))</f>
        <v/>
      </c>
      <c r="D39" s="169">
        <v>2014</v>
      </c>
      <c r="E39" s="358">
        <f>IF(ISERROR(VLOOKUP(B39,Données!$A$3:$U$1479,11,FALSE)),0,VLOOKUP(B39,Données!$A$3:$U$1479,11,FALSE))</f>
        <v>0</v>
      </c>
      <c r="F39" s="74">
        <f t="shared" ref="F39:F73" si="1">H39</f>
        <v>0</v>
      </c>
      <c r="G39" s="363">
        <f>IF(ISERROR(VLOOKUP(B39,Données!$A$3:$U$1479,12,FALSE)),0,VLOOKUP(B39,Données!$A$3:$U$1479,12,FALSE))</f>
        <v>0</v>
      </c>
      <c r="H39" s="74">
        <f>IF(((D39+5)-'Calcul Masse Salariale'!$B$1)&lt;=0,0,(D39+5)-'Calcul Masse Salariale'!$B$1)</f>
        <v>0</v>
      </c>
      <c r="I39" s="154"/>
    </row>
    <row r="40" spans="1:17" ht="15.75" x14ac:dyDescent="0.25">
      <c r="A40" s="497"/>
      <c r="B40" s="353" t="s">
        <v>863</v>
      </c>
      <c r="C40" s="347" t="str">
        <f>IF(ISERROR(VLOOKUP(B40,Données!$A$3:$X$1479,23,FALSE)),"",VLOOKUP(B40,Données!$A$3:$X$1479,23,FALSE))</f>
        <v/>
      </c>
      <c r="D40" s="169">
        <v>2015</v>
      </c>
      <c r="E40" s="358">
        <f>IF(ISERROR(VLOOKUP(B40,Données!$A$3:$U$1479,11,FALSE)),0,VLOOKUP(B40,Données!$A$3:$U$1479,11,FALSE))</f>
        <v>0</v>
      </c>
      <c r="F40" s="74">
        <f t="shared" si="1"/>
        <v>1</v>
      </c>
      <c r="G40" s="363">
        <f>IF(ISERROR(VLOOKUP(B40,Données!$A$3:$U$1479,12,FALSE)),0,VLOOKUP(B40,Données!$A$3:$U$1479,12,FALSE))</f>
        <v>0</v>
      </c>
      <c r="H40" s="74">
        <f>IF(((D40+5)-'Calcul Masse Salariale'!$B$1)&lt;=0,0,(D40+5)-'Calcul Masse Salariale'!$B$1)</f>
        <v>1</v>
      </c>
      <c r="I40" s="154"/>
    </row>
    <row r="41" spans="1:17" ht="18.75" x14ac:dyDescent="0.3">
      <c r="A41" s="497"/>
      <c r="B41" s="353" t="s">
        <v>999</v>
      </c>
      <c r="C41" s="347" t="str">
        <f>IF(ISERROR(VLOOKUP(B41,Données!$A$3:$X$1479,23,FALSE)),"",VLOOKUP(B41,Données!$A$3:$X$1479,23,FALSE))</f>
        <v/>
      </c>
      <c r="D41" s="169">
        <v>2015</v>
      </c>
      <c r="E41" s="358">
        <f>IF(ISERROR(VLOOKUP(B41,Données!$A$3:$U$1479,11,FALSE)),0,VLOOKUP(B41,Données!$A$3:$U$1479,11,FALSE))</f>
        <v>0</v>
      </c>
      <c r="F41" s="74">
        <f t="shared" si="1"/>
        <v>1</v>
      </c>
      <c r="G41" s="363">
        <f>IF(ISERROR(VLOOKUP(B41,Données!$A$3:$U$1479,12,FALSE)),0,VLOOKUP(B41,Données!$A$3:$U$1479,12,FALSE))</f>
        <v>0</v>
      </c>
      <c r="H41" s="74">
        <f>IF(((D41+5)-'Calcul Masse Salariale'!$B$1)&lt;=0,0,(D41+5)-'Calcul Masse Salariale'!$B$1)</f>
        <v>1</v>
      </c>
      <c r="I41" s="180"/>
    </row>
    <row r="42" spans="1:17" ht="15.75" x14ac:dyDescent="0.25">
      <c r="A42" s="497"/>
      <c r="B42" s="353" t="s">
        <v>682</v>
      </c>
      <c r="C42" s="347" t="str">
        <f>IF(ISERROR(VLOOKUP(B42,Données!$A$3:$X$1479,23,FALSE)),"",VLOOKUP(B42,Données!$A$3:$X$1479,23,FALSE))</f>
        <v/>
      </c>
      <c r="D42" s="169">
        <v>2015</v>
      </c>
      <c r="E42" s="358">
        <f>IF(ISERROR(VLOOKUP(B42,Données!$A$3:$U$1479,11,FALSE)),0,VLOOKUP(B42,Données!$A$3:$U$1479,11,FALSE))</f>
        <v>0</v>
      </c>
      <c r="F42" s="74">
        <f t="shared" si="1"/>
        <v>1</v>
      </c>
      <c r="G42" s="363">
        <f>IF(ISERROR(VLOOKUP(B42,Données!$A$3:$U$1479,12,FALSE)),0,VLOOKUP(B42,Données!$A$3:$U$1479,12,FALSE))</f>
        <v>0</v>
      </c>
      <c r="H42" s="74">
        <f>IF(((D42+5)-'Calcul Masse Salariale'!$B$1)&lt;=0,0,(D42+5)-'Calcul Masse Salariale'!$B$1)</f>
        <v>1</v>
      </c>
      <c r="I42" s="154"/>
    </row>
    <row r="43" spans="1:17" ht="15.75" x14ac:dyDescent="0.25">
      <c r="A43" s="497"/>
      <c r="B43" s="353" t="s">
        <v>868</v>
      </c>
      <c r="C43" s="347" t="str">
        <f>IF(ISERROR(VLOOKUP(B43,Données!$A$3:$X$1479,23,FALSE)),"",VLOOKUP(B43,Données!$A$3:$X$1479,23,FALSE))</f>
        <v/>
      </c>
      <c r="D43" s="169">
        <v>2015</v>
      </c>
      <c r="E43" s="358">
        <f>IF(ISERROR(VLOOKUP(B43,Données!$A$3:$U$1479,11,FALSE)),0,VLOOKUP(B43,Données!$A$3:$U$1479,11,FALSE))</f>
        <v>0</v>
      </c>
      <c r="F43" s="74">
        <f t="shared" si="1"/>
        <v>1</v>
      </c>
      <c r="G43" s="363">
        <f>IF(ISERROR(VLOOKUP(B43,Données!$A$3:$U$1479,12,FALSE)),0,VLOOKUP(B43,Données!$A$3:$U$1479,12,FALSE))</f>
        <v>0</v>
      </c>
      <c r="H43" s="74">
        <f>IF(((D43+5)-'Calcul Masse Salariale'!$B$1)&lt;=0,0,(D43+5)-'Calcul Masse Salariale'!$B$1)</f>
        <v>1</v>
      </c>
      <c r="I43" s="154"/>
    </row>
    <row r="44" spans="1:17" ht="15.75" x14ac:dyDescent="0.25">
      <c r="A44" s="497"/>
      <c r="B44" s="357" t="s">
        <v>888</v>
      </c>
      <c r="C44" s="347" t="str">
        <f>IF(ISERROR(VLOOKUP(B44,Données!$A$3:$X$1479,23,FALSE)),"",VLOOKUP(B44,Données!$A$3:$X$1479,23,FALSE))</f>
        <v/>
      </c>
      <c r="D44" s="169">
        <v>2016</v>
      </c>
      <c r="E44" s="358">
        <f>IF(ISERROR(VLOOKUP(B44,Données!$A$3:$U$1479,11,FALSE)),0,VLOOKUP(B44,Données!$A$3:$U$1479,11,FALSE))</f>
        <v>0</v>
      </c>
      <c r="F44" s="74">
        <f t="shared" si="1"/>
        <v>2</v>
      </c>
      <c r="G44" s="363">
        <f>IF(ISERROR(VLOOKUP(B44,Données!$A$3:$U$1479,12,FALSE)),0,VLOOKUP(B44,Données!$A$3:$U$1479,12,FALSE))</f>
        <v>0</v>
      </c>
      <c r="H44" s="74">
        <f>IF(((D44+5)-'Calcul Masse Salariale'!$B$1)&lt;=0,0,(D44+5)-'Calcul Masse Salariale'!$B$1)</f>
        <v>2</v>
      </c>
      <c r="I44" s="154"/>
    </row>
    <row r="45" spans="1:17" ht="15.75" x14ac:dyDescent="0.25">
      <c r="A45" s="497"/>
      <c r="B45" s="355" t="s">
        <v>839</v>
      </c>
      <c r="C45" s="347" t="str">
        <f>IF(ISERROR(VLOOKUP(B45,Données!$A$3:$X$1479,23,FALSE)),"",VLOOKUP(B45,Données!$A$3:$X$1479,23,FALSE))</f>
        <v/>
      </c>
      <c r="D45" s="169">
        <v>2015</v>
      </c>
      <c r="E45" s="358">
        <f>IF(ISERROR(VLOOKUP(B45,Données!$A$3:$U$1479,11,FALSE)),0,VLOOKUP(B45,Données!$A$3:$U$1479,11,FALSE))</f>
        <v>0</v>
      </c>
      <c r="F45" s="74">
        <f t="shared" si="1"/>
        <v>1</v>
      </c>
      <c r="G45" s="363">
        <f>IF(ISERROR(VLOOKUP(B45,Données!$A$3:$U$1479,12,FALSE)),0,VLOOKUP(B45,Données!$A$3:$U$1479,12,FALSE))</f>
        <v>0</v>
      </c>
      <c r="H45" s="74">
        <f>IF(((D45+5)-'Calcul Masse Salariale'!$B$1)&lt;=0,0,(D45+5)-'Calcul Masse Salariale'!$B$1)</f>
        <v>1</v>
      </c>
      <c r="I45" s="154"/>
    </row>
    <row r="46" spans="1:17" ht="15.75" x14ac:dyDescent="0.25">
      <c r="A46" s="497"/>
      <c r="B46" s="356" t="s">
        <v>138</v>
      </c>
      <c r="C46" s="347" t="str">
        <f>IF(ISERROR(VLOOKUP(B46,Données!$A$3:$X$1479,23,FALSE)),"",VLOOKUP(B46,Données!$A$3:$X$1479,23,FALSE))</f>
        <v/>
      </c>
      <c r="D46" s="169">
        <v>2017</v>
      </c>
      <c r="E46" s="358">
        <f>IF(ISERROR(VLOOKUP(B46,Données!$A$3:$U$1479,11,FALSE)),0,VLOOKUP(B46,Données!$A$3:$U$1479,11,FALSE))</f>
        <v>0</v>
      </c>
      <c r="F46" s="74">
        <f t="shared" si="1"/>
        <v>3</v>
      </c>
      <c r="G46" s="363">
        <f>IF(ISERROR(VLOOKUP(B46,Données!$A$3:$U$1479,12,FALSE)),0,VLOOKUP(B46,Données!$A$3:$U$1479,12,FALSE))</f>
        <v>0</v>
      </c>
      <c r="H46" s="74">
        <f>IF(((D46+5)-'Calcul Masse Salariale'!$B$1)&lt;=0,0,(D46+5)-'Calcul Masse Salariale'!$B$1)</f>
        <v>3</v>
      </c>
      <c r="I46" s="154"/>
    </row>
    <row r="47" spans="1:17" ht="15.75" x14ac:dyDescent="0.25">
      <c r="A47" s="497"/>
      <c r="B47" s="357" t="s">
        <v>151</v>
      </c>
      <c r="C47" s="347" t="str">
        <f>IF(ISERROR(VLOOKUP(B47,Données!$A$3:$X$1479,23,FALSE)),"",VLOOKUP(B47,Données!$A$3:$X$1479,23,FALSE))</f>
        <v/>
      </c>
      <c r="D47" s="169">
        <v>2017</v>
      </c>
      <c r="E47" s="358">
        <f>IF(ISERROR(VLOOKUP(B47,Données!$A$3:$U$1479,11,FALSE)),0,VLOOKUP(B47,Données!$A$3:$U$1479,11,FALSE))</f>
        <v>0</v>
      </c>
      <c r="F47" s="74">
        <f t="shared" si="1"/>
        <v>3</v>
      </c>
      <c r="G47" s="363">
        <f>IF(ISERROR(VLOOKUP(B47,Données!$A$3:$U$1479,12,FALSE)),0,VLOOKUP(B47,Données!$A$3:$U$1479,12,FALSE))</f>
        <v>0</v>
      </c>
      <c r="H47" s="74">
        <f>IF(((D47+5)-'Calcul Masse Salariale'!$B$1)&lt;=0,0,(D47+5)-'Calcul Masse Salariale'!$B$1)</f>
        <v>3</v>
      </c>
      <c r="I47" s="154"/>
    </row>
    <row r="48" spans="1:17" ht="15.75" x14ac:dyDescent="0.25">
      <c r="A48" s="497"/>
      <c r="B48" s="356" t="s">
        <v>153</v>
      </c>
      <c r="C48" s="347" t="str">
        <f>IF(ISERROR(VLOOKUP(B48,Données!$A$3:$X$1479,23,FALSE)),"",VLOOKUP(B48,Données!$A$3:$X$1479,23,FALSE))</f>
        <v/>
      </c>
      <c r="D48" s="169">
        <v>2017</v>
      </c>
      <c r="E48" s="358">
        <f>IF(ISERROR(VLOOKUP(B48,Données!$A$3:$U$1479,11,FALSE)),0,VLOOKUP(B48,Données!$A$3:$U$1479,11,FALSE))</f>
        <v>0</v>
      </c>
      <c r="F48" s="74">
        <f t="shared" si="1"/>
        <v>3</v>
      </c>
      <c r="G48" s="363">
        <f>IF(ISERROR(VLOOKUP(B48,Données!$A$3:$U$1479,12,FALSE)),0,VLOOKUP(B48,Données!$A$3:$U$1479,12,FALSE))</f>
        <v>0</v>
      </c>
      <c r="H48" s="74">
        <f>IF(((D48+5)-'Calcul Masse Salariale'!$B$1)&lt;=0,0,(D48+5)-'Calcul Masse Salariale'!$B$1)</f>
        <v>3</v>
      </c>
      <c r="I48" s="154"/>
    </row>
    <row r="49" spans="1:9" ht="15.75" x14ac:dyDescent="0.25">
      <c r="A49" s="497"/>
      <c r="B49" s="356" t="s">
        <v>154</v>
      </c>
      <c r="C49" s="347" t="str">
        <f>IF(ISERROR(VLOOKUP(B49,Données!$A$3:$X$1479,23,FALSE)),"",VLOOKUP(B49,Données!$A$3:$X$1479,23,FALSE))</f>
        <v/>
      </c>
      <c r="D49" s="169">
        <v>2017</v>
      </c>
      <c r="E49" s="358">
        <f>IF(ISERROR(VLOOKUP(B49,Données!$A$3:$U$1479,11,FALSE)),0,VLOOKUP(B49,Données!$A$3:$U$1479,11,FALSE))</f>
        <v>0</v>
      </c>
      <c r="F49" s="74">
        <f t="shared" si="1"/>
        <v>3</v>
      </c>
      <c r="G49" s="363">
        <f>IF(ISERROR(VLOOKUP(B49,Données!$A$3:$U$1479,12,FALSE)),0,VLOOKUP(B49,Données!$A$3:$U$1479,12,FALSE))</f>
        <v>0</v>
      </c>
      <c r="H49" s="74">
        <f>IF(((D49+5)-'Calcul Masse Salariale'!$B$1)&lt;=0,0,(D49+5)-'Calcul Masse Salariale'!$B$1)</f>
        <v>3</v>
      </c>
      <c r="I49" s="154"/>
    </row>
    <row r="50" spans="1:9" ht="15.75" x14ac:dyDescent="0.25">
      <c r="A50" s="497"/>
      <c r="B50" s="175" t="s">
        <v>1165</v>
      </c>
      <c r="C50" s="347" t="str">
        <f>IF(ISERROR(VLOOKUP(B50,Données!$A$3:$X$1479,23,FALSE)),"",VLOOKUP(B50,Données!$A$3:$X$1479,23,FALSE))</f>
        <v/>
      </c>
      <c r="D50" s="169">
        <v>2018</v>
      </c>
      <c r="E50" s="358">
        <f>IF(ISERROR(VLOOKUP(B50,Données!$A$3:$U$1479,11,FALSE)),0,VLOOKUP(B50,Données!$A$3:$U$1479,11,FALSE))</f>
        <v>0</v>
      </c>
      <c r="F50" s="74">
        <f t="shared" si="1"/>
        <v>4</v>
      </c>
      <c r="G50" s="363">
        <f>IF(ISERROR(VLOOKUP(B50,Données!$A$3:$U$1479,12,FALSE)),0,VLOOKUP(B50,Données!$A$3:$U$1479,12,FALSE))</f>
        <v>0</v>
      </c>
      <c r="H50" s="74">
        <f>IF(((D50+5)-'Calcul Masse Salariale'!$B$1)&lt;=0,0,(D50+5)-'Calcul Masse Salariale'!$B$1)</f>
        <v>4</v>
      </c>
      <c r="I50" s="154"/>
    </row>
    <row r="51" spans="1:9" ht="15.75" x14ac:dyDescent="0.25">
      <c r="A51" s="497"/>
      <c r="B51" s="165" t="s">
        <v>789</v>
      </c>
      <c r="C51" s="347" t="str">
        <f>IF(ISERROR(VLOOKUP(B51,Données!$A$3:$X$1479,23,FALSE)),"",VLOOKUP(B51,Données!$A$3:$X$1479,23,FALSE))</f>
        <v/>
      </c>
      <c r="D51" s="169">
        <v>2018</v>
      </c>
      <c r="E51" s="358">
        <f>IF(ISERROR(VLOOKUP(B51,Données!$A$3:$U$1479,11,FALSE)),0,VLOOKUP(B51,Données!$A$3:$U$1479,11,FALSE))</f>
        <v>0</v>
      </c>
      <c r="F51" s="74">
        <f t="shared" si="1"/>
        <v>4</v>
      </c>
      <c r="G51" s="363">
        <f>IF(ISERROR(VLOOKUP(B51,Données!$A$3:$U$1479,12,FALSE)),0,VLOOKUP(B51,Données!$A$3:$U$1479,12,FALSE))</f>
        <v>0</v>
      </c>
      <c r="H51" s="74">
        <f>IF(((D51+5)-'Calcul Masse Salariale'!$B$1)&lt;=0,0,(D51+5)-'Calcul Masse Salariale'!$B$1)</f>
        <v>4</v>
      </c>
      <c r="I51" s="154"/>
    </row>
    <row r="52" spans="1:9" ht="15.75" x14ac:dyDescent="0.25">
      <c r="A52" s="497"/>
      <c r="B52" s="169" t="s">
        <v>409</v>
      </c>
      <c r="C52" s="347" t="str">
        <f>IF(ISERROR(VLOOKUP(B52,Données!$A$3:$X$1479,23,FALSE)),"",VLOOKUP(B52,Données!$A$3:$X$1479,23,FALSE))</f>
        <v/>
      </c>
      <c r="D52" s="169">
        <v>2018</v>
      </c>
      <c r="E52" s="358">
        <f>IF(ISERROR(VLOOKUP(B52,Données!$A$3:$U$1479,11,FALSE)),0,VLOOKUP(B52,Données!$A$3:$U$1479,11,FALSE))</f>
        <v>0</v>
      </c>
      <c r="F52" s="74">
        <f t="shared" si="1"/>
        <v>4</v>
      </c>
      <c r="G52" s="363">
        <f>IF(ISERROR(VLOOKUP(B52,Données!$A$3:$U$1479,12,FALSE)),0,VLOOKUP(B52,Données!$A$3:$U$1479,12,FALSE))</f>
        <v>0</v>
      </c>
      <c r="H52" s="74">
        <f>IF(((D52+5)-'Calcul Masse Salariale'!$B$1)&lt;=0,0,(D52+5)-'Calcul Masse Salariale'!$B$1)</f>
        <v>4</v>
      </c>
      <c r="I52" s="154"/>
    </row>
    <row r="53" spans="1:9" ht="15.75" x14ac:dyDescent="0.25">
      <c r="A53" s="497"/>
      <c r="B53" s="169" t="s">
        <v>1175</v>
      </c>
      <c r="C53" s="347" t="str">
        <f>IF(ISERROR(VLOOKUP(B53,Données!$A$3:$X$1479,23,FALSE)),"",VLOOKUP(B53,Données!$A$3:$X$1479,23,FALSE))</f>
        <v/>
      </c>
      <c r="D53" s="169">
        <v>2018</v>
      </c>
      <c r="E53" s="358">
        <f>IF(ISERROR(VLOOKUP(B53,Données!$A$3:$U$1479,11,FALSE)),0,VLOOKUP(B53,Données!$A$3:$U$1479,11,FALSE))</f>
        <v>0</v>
      </c>
      <c r="F53" s="74">
        <f t="shared" si="1"/>
        <v>4</v>
      </c>
      <c r="G53" s="363">
        <f>IF(ISERROR(VLOOKUP(B53,Données!$A$3:$U$1479,12,FALSE)),0,VLOOKUP(B53,Données!$A$3:$U$1479,12,FALSE))</f>
        <v>0</v>
      </c>
      <c r="H53" s="74">
        <f>IF(((D53+5)-'Calcul Masse Salariale'!$B$1)&lt;=0,0,(D53+5)-'Calcul Masse Salariale'!$B$1)</f>
        <v>4</v>
      </c>
      <c r="I53" s="154"/>
    </row>
    <row r="54" spans="1:9" ht="15.75" x14ac:dyDescent="0.25">
      <c r="A54" s="497"/>
      <c r="B54" s="169" t="s">
        <v>942</v>
      </c>
      <c r="C54" s="347" t="str">
        <f>IF(ISERROR(VLOOKUP(B54,Données!$A$3:$X$1479,23,FALSE)),"",VLOOKUP(B54,Données!$A$3:$X$1479,23,FALSE))</f>
        <v/>
      </c>
      <c r="D54" s="169">
        <v>2018</v>
      </c>
      <c r="E54" s="358">
        <f>IF(ISERROR(VLOOKUP(B54,Données!$A$3:$U$1479,11,FALSE)),0,VLOOKUP(B54,Données!$A$3:$U$1479,11,FALSE))</f>
        <v>0</v>
      </c>
      <c r="F54" s="74">
        <f t="shared" si="1"/>
        <v>4</v>
      </c>
      <c r="G54" s="363">
        <f>IF(ISERROR(VLOOKUP(B54,Données!$A$3:$U$1479,12,FALSE)),0,VLOOKUP(B54,Données!$A$3:$U$1479,12,FALSE))</f>
        <v>0</v>
      </c>
      <c r="H54" s="74">
        <f>IF(((D54+5)-'Calcul Masse Salariale'!$B$1)&lt;=0,0,(D54+5)-'Calcul Masse Salariale'!$B$1)</f>
        <v>4</v>
      </c>
      <c r="I54" s="154"/>
    </row>
    <row r="55" spans="1:9" ht="15.75" x14ac:dyDescent="0.25">
      <c r="A55" s="497"/>
      <c r="B55" s="169" t="s">
        <v>1200</v>
      </c>
      <c r="C55" s="347" t="str">
        <f>IF(ISERROR(VLOOKUP(B55,Données!$A$3:$X$1479,23,FALSE)),"",VLOOKUP(B55,Données!$A$3:$X$1479,23,FALSE))</f>
        <v/>
      </c>
      <c r="D55" s="169">
        <v>2018</v>
      </c>
      <c r="E55" s="358">
        <f>IF(ISERROR(VLOOKUP(B55,Données!$A$3:$U$1479,11,FALSE)),0,VLOOKUP(B55,Données!$A$3:$U$1479,11,FALSE))</f>
        <v>0</v>
      </c>
      <c r="F55" s="74">
        <f t="shared" si="1"/>
        <v>4</v>
      </c>
      <c r="G55" s="363">
        <f>IF(ISERROR(VLOOKUP(B55,Données!$A$3:$U$1479,12,FALSE)),0,VLOOKUP(B55,Données!$A$3:$U$1479,12,FALSE))</f>
        <v>0</v>
      </c>
      <c r="H55" s="74">
        <f>IF(((D55+5)-'Calcul Masse Salariale'!$B$1)&lt;=0,0,(D55+5)-'Calcul Masse Salariale'!$B$1)</f>
        <v>4</v>
      </c>
      <c r="I55" s="154"/>
    </row>
    <row r="56" spans="1:9" ht="15.75" x14ac:dyDescent="0.25">
      <c r="A56" s="497"/>
      <c r="B56" s="74"/>
      <c r="C56" s="347" t="str">
        <f>IF(ISERROR(VLOOKUP(B56,Données!$A$3:$X$1479,23,FALSE)),"",VLOOKUP(B56,Données!$A$3:$X$1479,23,FALSE))</f>
        <v/>
      </c>
      <c r="D56" s="74"/>
      <c r="E56" s="358">
        <f>IF(ISERROR(VLOOKUP(B56,Données!$A$3:$U$1479,11,FALSE)),0,VLOOKUP(B56,Données!$A$3:$U$1479,11,FALSE))</f>
        <v>0</v>
      </c>
      <c r="F56" s="74">
        <f t="shared" si="1"/>
        <v>0</v>
      </c>
      <c r="G56" s="363">
        <f>IF(ISERROR(VLOOKUP(B56,Données!$A$3:$U$1479,12,FALSE)),0,VLOOKUP(B56,Données!$A$3:$U$1479,12,FALSE))</f>
        <v>0</v>
      </c>
      <c r="H56" s="74">
        <f>IF(((D56+5)-'Calcul Masse Salariale'!$B$1)&lt;=0,0,(D56+5)-'Calcul Masse Salariale'!$B$1)</f>
        <v>0</v>
      </c>
      <c r="I56" s="154"/>
    </row>
    <row r="57" spans="1:9" ht="15.75" x14ac:dyDescent="0.25">
      <c r="A57" s="497"/>
      <c r="B57" s="74"/>
      <c r="C57" s="347" t="str">
        <f>IF(ISERROR(VLOOKUP(B57,Données!$A$3:$X$1479,23,FALSE)),"",VLOOKUP(B57,Données!$A$3:$X$1479,23,FALSE))</f>
        <v/>
      </c>
      <c r="D57" s="74"/>
      <c r="E57" s="358">
        <f>IF(ISERROR(VLOOKUP(B57,Données!$A$3:$U$1479,11,FALSE)),0,VLOOKUP(B57,Données!$A$3:$U$1479,11,FALSE))</f>
        <v>0</v>
      </c>
      <c r="F57" s="74">
        <f t="shared" si="1"/>
        <v>0</v>
      </c>
      <c r="G57" s="363">
        <f>IF(ISERROR(VLOOKUP(B57,Données!$A$3:$U$1479,12,FALSE)),0,VLOOKUP(B57,Données!$A$3:$U$1479,12,FALSE))</f>
        <v>0</v>
      </c>
      <c r="H57" s="74">
        <f>IF(((D57+5)-'Calcul Masse Salariale'!$B$1)&lt;=0,0,(D57+5)-'Calcul Masse Salariale'!$B$1)</f>
        <v>0</v>
      </c>
      <c r="I57" s="154"/>
    </row>
    <row r="58" spans="1:9" ht="15.75" x14ac:dyDescent="0.25">
      <c r="A58" s="497"/>
      <c r="B58" s="74"/>
      <c r="C58" s="347" t="str">
        <f>IF(ISERROR(VLOOKUP(B58,Données!$A$3:$X$1479,23,FALSE)),"",VLOOKUP(B58,Données!$A$3:$X$1479,23,FALSE))</f>
        <v/>
      </c>
      <c r="D58" s="74"/>
      <c r="E58" s="358">
        <f>IF(ISERROR(VLOOKUP(B58,Données!$A$3:$U$1479,11,FALSE)),0,VLOOKUP(B58,Données!$A$3:$U$1479,11,FALSE))</f>
        <v>0</v>
      </c>
      <c r="F58" s="74">
        <f t="shared" si="1"/>
        <v>0</v>
      </c>
      <c r="G58" s="363">
        <f>IF(ISERROR(VLOOKUP(B58,Données!$A$3:$U$1479,12,FALSE)),0,VLOOKUP(B58,Données!$A$3:$U$1479,12,FALSE))</f>
        <v>0</v>
      </c>
      <c r="H58" s="74">
        <f>IF(((D58+5)-'Calcul Masse Salariale'!$B$1)&lt;=0,0,(D58+5)-'Calcul Masse Salariale'!$B$1)</f>
        <v>0</v>
      </c>
      <c r="I58" s="154"/>
    </row>
    <row r="59" spans="1:9" ht="15.75" x14ac:dyDescent="0.25">
      <c r="A59" s="497"/>
      <c r="B59" s="74"/>
      <c r="C59" s="347" t="str">
        <f>IF(ISERROR(VLOOKUP(B59,Données!$A$3:$X$1479,23,FALSE)),"",VLOOKUP(B59,Données!$A$3:$X$1479,23,FALSE))</f>
        <v/>
      </c>
      <c r="D59" s="74"/>
      <c r="E59" s="358">
        <f>IF(ISERROR(VLOOKUP(B59,Données!$A$3:$U$1479,11,FALSE)),0,VLOOKUP(B59,Données!$A$3:$U$1479,11,FALSE))</f>
        <v>0</v>
      </c>
      <c r="F59" s="74">
        <f t="shared" si="1"/>
        <v>0</v>
      </c>
      <c r="G59" s="363">
        <f>IF(ISERROR(VLOOKUP(B59,Données!$A$3:$U$1479,12,FALSE)),0,VLOOKUP(B59,Données!$A$3:$U$1479,12,FALSE))</f>
        <v>0</v>
      </c>
      <c r="H59" s="74">
        <f>IF(((D59+5)-'Calcul Masse Salariale'!$B$1)&lt;=0,0,(D59+5)-'Calcul Masse Salariale'!$B$1)</f>
        <v>0</v>
      </c>
      <c r="I59" s="154"/>
    </row>
    <row r="60" spans="1:9" ht="15.75" x14ac:dyDescent="0.25">
      <c r="A60" s="497"/>
      <c r="B60" s="74"/>
      <c r="C60" s="347" t="str">
        <f>IF(ISERROR(VLOOKUP(B60,Données!$A$3:$X$1479,23,FALSE)),"",VLOOKUP(B60,Données!$A$3:$X$1479,23,FALSE))</f>
        <v/>
      </c>
      <c r="D60" s="74"/>
      <c r="E60" s="358">
        <f>IF(ISERROR(VLOOKUP(B60,Données!$A$3:$U$1479,11,FALSE)),0,VLOOKUP(B60,Données!$A$3:$U$1479,11,FALSE))</f>
        <v>0</v>
      </c>
      <c r="F60" s="74">
        <f t="shared" si="1"/>
        <v>0</v>
      </c>
      <c r="G60" s="363">
        <f>IF(ISERROR(VLOOKUP(B60,Données!$A$3:$U$1479,12,FALSE)),0,VLOOKUP(B60,Données!$A$3:$U$1479,12,FALSE))</f>
        <v>0</v>
      </c>
      <c r="H60" s="74">
        <f>IF(((D60+5)-'Calcul Masse Salariale'!$B$1)&lt;=0,0,(D60+5)-'Calcul Masse Salariale'!$B$1)</f>
        <v>0</v>
      </c>
      <c r="I60" s="154"/>
    </row>
    <row r="61" spans="1:9" ht="15.75" x14ac:dyDescent="0.25">
      <c r="A61" s="497"/>
      <c r="B61" s="74"/>
      <c r="C61" s="347" t="str">
        <f>IF(ISERROR(VLOOKUP(B61,Données!$A$3:$X$1479,23,FALSE)),"",VLOOKUP(B61,Données!$A$3:$X$1479,23,FALSE))</f>
        <v/>
      </c>
      <c r="D61" s="74"/>
      <c r="E61" s="358">
        <f>IF(ISERROR(VLOOKUP(B61,Données!$A$3:$U$1479,11,FALSE)),0,VLOOKUP(B61,Données!$A$3:$U$1479,11,FALSE))</f>
        <v>0</v>
      </c>
      <c r="F61" s="74">
        <f t="shared" si="1"/>
        <v>0</v>
      </c>
      <c r="G61" s="363">
        <f>IF(ISERROR(VLOOKUP(B61,Données!$A$3:$U$1479,12,FALSE)),0,VLOOKUP(B61,Données!$A$3:$U$1479,12,FALSE))</f>
        <v>0</v>
      </c>
      <c r="H61" s="74">
        <f>IF(((D61+5)-'Calcul Masse Salariale'!$B$1)&lt;=0,0,(D61+5)-'Calcul Masse Salariale'!$B$1)</f>
        <v>0</v>
      </c>
      <c r="I61" s="154"/>
    </row>
    <row r="62" spans="1:9" ht="15.75" x14ac:dyDescent="0.25">
      <c r="A62" s="497"/>
      <c r="B62" s="74"/>
      <c r="C62" s="347" t="str">
        <f>IF(ISERROR(VLOOKUP(B62,Données!$A$3:$X$1479,23,FALSE)),"",VLOOKUP(B62,Données!$A$3:$X$1479,23,FALSE))</f>
        <v/>
      </c>
      <c r="D62" s="74"/>
      <c r="E62" s="358">
        <f>IF(ISERROR(VLOOKUP(B62,Données!$A$3:$U$1479,11,FALSE)),0,VLOOKUP(B62,Données!$A$3:$U$1479,11,FALSE))</f>
        <v>0</v>
      </c>
      <c r="F62" s="74">
        <f t="shared" si="1"/>
        <v>0</v>
      </c>
      <c r="G62" s="363">
        <f>IF(ISERROR(VLOOKUP(B62,Données!$A$3:$U$1479,12,FALSE)),0,VLOOKUP(B62,Données!$A$3:$U$1479,12,FALSE))</f>
        <v>0</v>
      </c>
      <c r="H62" s="74">
        <f>IF(((D62+5)-'Calcul Masse Salariale'!$B$1)&lt;=0,0,(D62+5)-'Calcul Masse Salariale'!$B$1)</f>
        <v>0</v>
      </c>
      <c r="I62" s="154"/>
    </row>
    <row r="63" spans="1:9" ht="15.75" x14ac:dyDescent="0.25">
      <c r="A63" s="497"/>
      <c r="B63" s="74"/>
      <c r="C63" s="347" t="str">
        <f>IF(ISERROR(VLOOKUP(B63,Données!$A$3:$X$1479,23,FALSE)),"",VLOOKUP(B63,Données!$A$3:$X$1479,23,FALSE))</f>
        <v/>
      </c>
      <c r="D63" s="74"/>
      <c r="E63" s="358">
        <f>IF(ISERROR(VLOOKUP(B63,Données!$A$3:$U$1479,11,FALSE)),0,VLOOKUP(B63,Données!$A$3:$U$1479,11,FALSE))</f>
        <v>0</v>
      </c>
      <c r="F63" s="74">
        <f t="shared" si="1"/>
        <v>0</v>
      </c>
      <c r="G63" s="363">
        <f>IF(ISERROR(VLOOKUP(B63,Données!$A$3:$U$1479,12,FALSE)),0,VLOOKUP(B63,Données!$A$3:$U$1479,12,FALSE))</f>
        <v>0</v>
      </c>
      <c r="H63" s="74">
        <f>IF(((D63+5)-'Calcul Masse Salariale'!$B$1)&lt;=0,0,(D63+5)-'Calcul Masse Salariale'!$B$1)</f>
        <v>0</v>
      </c>
      <c r="I63" s="154"/>
    </row>
    <row r="64" spans="1:9" ht="15.75" x14ac:dyDescent="0.25">
      <c r="A64" s="497"/>
      <c r="B64" s="74"/>
      <c r="C64" s="347" t="str">
        <f>IF(ISERROR(VLOOKUP(B64,Données!$A$3:$X$1479,23,FALSE)),"",VLOOKUP(B64,Données!$A$3:$X$1479,23,FALSE))</f>
        <v/>
      </c>
      <c r="D64" s="74"/>
      <c r="E64" s="358">
        <f>IF(ISERROR(VLOOKUP(B64,Données!$A$3:$U$1479,11,FALSE)),0,VLOOKUP(B64,Données!$A$3:$U$1479,11,FALSE))</f>
        <v>0</v>
      </c>
      <c r="F64" s="74">
        <f t="shared" si="1"/>
        <v>0</v>
      </c>
      <c r="G64" s="363">
        <f>IF(ISERROR(VLOOKUP(B64,Données!$A$3:$U$1479,12,FALSE)),0,VLOOKUP(B64,Données!$A$3:$U$1479,12,FALSE))</f>
        <v>0</v>
      </c>
      <c r="H64" s="74">
        <f>IF(((D64+5)-'Calcul Masse Salariale'!$B$1)&lt;=0,0,(D64+5)-'Calcul Masse Salariale'!$B$1)</f>
        <v>0</v>
      </c>
      <c r="I64" s="154"/>
    </row>
    <row r="65" spans="1:9" ht="15.75" x14ac:dyDescent="0.25">
      <c r="A65" s="497"/>
      <c r="B65" s="74"/>
      <c r="C65" s="347" t="str">
        <f>IF(ISERROR(VLOOKUP(B65,Données!$A$3:$X$1479,23,FALSE)),"",VLOOKUP(B65,Données!$A$3:$X$1479,23,FALSE))</f>
        <v/>
      </c>
      <c r="D65" s="74"/>
      <c r="E65" s="358">
        <f>IF(ISERROR(VLOOKUP(B65,Données!$A$3:$U$1479,11,FALSE)),0,VLOOKUP(B65,Données!$A$3:$U$1479,11,FALSE))</f>
        <v>0</v>
      </c>
      <c r="F65" s="74">
        <f t="shared" si="1"/>
        <v>0</v>
      </c>
      <c r="G65" s="363">
        <f>IF(ISERROR(VLOOKUP(B65,Données!$A$3:$U$1479,12,FALSE)),0,VLOOKUP(B65,Données!$A$3:$U$1479,12,FALSE))</f>
        <v>0</v>
      </c>
      <c r="H65" s="74">
        <f>IF(((D65+5)-'Calcul Masse Salariale'!$B$1)&lt;=0,0,(D65+5)-'Calcul Masse Salariale'!$B$1)</f>
        <v>0</v>
      </c>
      <c r="I65" s="154"/>
    </row>
    <row r="66" spans="1:9" ht="15.75" x14ac:dyDescent="0.25">
      <c r="A66" s="497"/>
      <c r="B66" s="74"/>
      <c r="C66" s="347" t="str">
        <f>IF(ISERROR(VLOOKUP(B66,Données!$A$3:$X$1479,23,FALSE)),"",VLOOKUP(B66,Données!$A$3:$X$1479,23,FALSE))</f>
        <v/>
      </c>
      <c r="D66" s="74"/>
      <c r="E66" s="358">
        <f>IF(ISERROR(VLOOKUP(B66,Données!$A$3:$U$1479,11,FALSE)),0,VLOOKUP(B66,Données!$A$3:$U$1479,11,FALSE))</f>
        <v>0</v>
      </c>
      <c r="F66" s="74">
        <f t="shared" si="1"/>
        <v>0</v>
      </c>
      <c r="G66" s="363">
        <f>IF(ISERROR(VLOOKUP(B66,Données!$A$3:$U$1479,12,FALSE)),0,VLOOKUP(B66,Données!$A$3:$U$1479,12,FALSE))</f>
        <v>0</v>
      </c>
      <c r="H66" s="74">
        <f>IF(((D66+5)-'Calcul Masse Salariale'!$B$1)&lt;=0,0,(D66+5)-'Calcul Masse Salariale'!$B$1)</f>
        <v>0</v>
      </c>
      <c r="I66" s="154"/>
    </row>
    <row r="67" spans="1:9" ht="15.75" x14ac:dyDescent="0.25">
      <c r="A67" s="497"/>
      <c r="B67" s="74"/>
      <c r="C67" s="347" t="str">
        <f>IF(ISERROR(VLOOKUP(B67,Données!$A$3:$X$1479,23,FALSE)),"",VLOOKUP(B67,Données!$A$3:$X$1479,23,FALSE))</f>
        <v/>
      </c>
      <c r="D67" s="74"/>
      <c r="E67" s="358">
        <f>IF(ISERROR(VLOOKUP(B67,Données!$A$3:$U$1479,11,FALSE)),0,VLOOKUP(B67,Données!$A$3:$U$1479,11,FALSE))</f>
        <v>0</v>
      </c>
      <c r="F67" s="74">
        <f t="shared" si="1"/>
        <v>0</v>
      </c>
      <c r="G67" s="363">
        <f>IF(ISERROR(VLOOKUP(B67,Données!$A$3:$U$1479,12,FALSE)),0,VLOOKUP(B67,Données!$A$3:$U$1479,12,FALSE))</f>
        <v>0</v>
      </c>
      <c r="H67" s="74">
        <f>IF(((D67+5)-'Calcul Masse Salariale'!$B$1)&lt;=0,0,(D67+5)-'Calcul Masse Salariale'!$B$1)</f>
        <v>0</v>
      </c>
      <c r="I67" s="154"/>
    </row>
    <row r="68" spans="1:9" ht="15.75" x14ac:dyDescent="0.25">
      <c r="A68" s="497"/>
      <c r="B68" s="74"/>
      <c r="C68" s="347" t="str">
        <f>IF(ISERROR(VLOOKUP(B68,Données!$A$3:$X$1479,23,FALSE)),"",VLOOKUP(B68,Données!$A$3:$X$1479,23,FALSE))</f>
        <v/>
      </c>
      <c r="D68" s="74"/>
      <c r="E68" s="358">
        <f>IF(ISERROR(VLOOKUP(B68,Données!$A$3:$U$1479,11,FALSE)),0,VLOOKUP(B68,Données!$A$3:$U$1479,11,FALSE))</f>
        <v>0</v>
      </c>
      <c r="F68" s="74">
        <f t="shared" si="1"/>
        <v>0</v>
      </c>
      <c r="G68" s="363">
        <f>IF(ISERROR(VLOOKUP(B68,Données!$A$3:$U$1479,12,FALSE)),0,VLOOKUP(B68,Données!$A$3:$U$1479,12,FALSE))</f>
        <v>0</v>
      </c>
      <c r="H68" s="74">
        <f>IF(((D68+5)-'Calcul Masse Salariale'!$B$1)&lt;=0,0,(D68+5)-'Calcul Masse Salariale'!$B$1)</f>
        <v>0</v>
      </c>
      <c r="I68" s="154"/>
    </row>
    <row r="69" spans="1:9" ht="15.75" x14ac:dyDescent="0.25">
      <c r="A69" s="497"/>
      <c r="B69" s="74"/>
      <c r="C69" s="347" t="str">
        <f>IF(ISERROR(VLOOKUP(B69,Données!$A$3:$X$1479,23,FALSE)),"",VLOOKUP(B69,Données!$A$3:$X$1479,23,FALSE))</f>
        <v/>
      </c>
      <c r="D69" s="74"/>
      <c r="E69" s="358">
        <f>IF(ISERROR(VLOOKUP(B69,Données!$A$3:$U$1479,11,FALSE)),0,VLOOKUP(B69,Données!$A$3:$U$1479,11,FALSE))</f>
        <v>0</v>
      </c>
      <c r="F69" s="74">
        <f t="shared" si="1"/>
        <v>0</v>
      </c>
      <c r="G69" s="363">
        <f>IF(ISERROR(VLOOKUP(B69,Données!$A$3:$U$1479,12,FALSE)),0,VLOOKUP(B69,Données!$A$3:$U$1479,12,FALSE))</f>
        <v>0</v>
      </c>
      <c r="H69" s="74">
        <f>IF(((D69+5)-'Calcul Masse Salariale'!$B$1)&lt;=0,0,(D69+5)-'Calcul Masse Salariale'!$B$1)</f>
        <v>0</v>
      </c>
      <c r="I69" s="154"/>
    </row>
    <row r="70" spans="1:9" ht="15.75" x14ac:dyDescent="0.25">
      <c r="A70" s="497"/>
      <c r="B70" s="74"/>
      <c r="C70" s="347" t="str">
        <f>IF(ISERROR(VLOOKUP(B70,Données!$A$3:$X$1479,23,FALSE)),"",VLOOKUP(B70,Données!$A$3:$X$1479,23,FALSE))</f>
        <v/>
      </c>
      <c r="D70" s="74"/>
      <c r="E70" s="358">
        <f>IF(ISERROR(VLOOKUP(B70,Données!$A$3:$U$1479,11,FALSE)),0,VLOOKUP(B70,Données!$A$3:$U$1479,11,FALSE))</f>
        <v>0</v>
      </c>
      <c r="F70" s="74">
        <f t="shared" si="1"/>
        <v>0</v>
      </c>
      <c r="G70" s="363">
        <f>IF(ISERROR(VLOOKUP(B70,Données!$A$3:$U$1479,12,FALSE)),0,VLOOKUP(B70,Données!$A$3:$U$1479,12,FALSE))</f>
        <v>0</v>
      </c>
      <c r="H70" s="74">
        <f>IF(((D70+5)-'Calcul Masse Salariale'!$B$1)&lt;=0,0,(D70+5)-'Calcul Masse Salariale'!$B$1)</f>
        <v>0</v>
      </c>
      <c r="I70" s="154"/>
    </row>
    <row r="71" spans="1:9" ht="15.75" x14ac:dyDescent="0.25">
      <c r="A71" s="497"/>
      <c r="B71" s="74"/>
      <c r="C71" s="347" t="str">
        <f>IF(ISERROR(VLOOKUP(B71,Données!$A$3:$X$1479,23,FALSE)),"",VLOOKUP(B71,Données!$A$3:$X$1479,23,FALSE))</f>
        <v/>
      </c>
      <c r="D71" s="74"/>
      <c r="E71" s="358">
        <f>IF(ISERROR(VLOOKUP(B71,Données!$A$3:$U$1479,11,FALSE)),0,VLOOKUP(B71,Données!$A$3:$U$1479,11,FALSE))</f>
        <v>0</v>
      </c>
      <c r="F71" s="74">
        <f t="shared" si="1"/>
        <v>0</v>
      </c>
      <c r="G71" s="363">
        <f>IF(ISERROR(VLOOKUP(B71,Données!$A$3:$U$1479,12,FALSE)),0,VLOOKUP(B71,Données!$A$3:$U$1479,12,FALSE))</f>
        <v>0</v>
      </c>
      <c r="H71" s="74">
        <f>IF(((D71+5)-'Calcul Masse Salariale'!$B$1)&lt;=0,0,(D71+5)-'Calcul Masse Salariale'!$B$1)</f>
        <v>0</v>
      </c>
      <c r="I71" s="154"/>
    </row>
    <row r="72" spans="1:9" ht="15.75" x14ac:dyDescent="0.25">
      <c r="A72" s="497"/>
      <c r="B72" s="74"/>
      <c r="C72" s="347" t="str">
        <f>IF(ISERROR(VLOOKUP(B72,Données!$A$3:$X$1479,23,FALSE)),"",VLOOKUP(B72,Données!$A$3:$X$1479,23,FALSE))</f>
        <v/>
      </c>
      <c r="D72" s="74"/>
      <c r="E72" s="358">
        <f>IF(ISERROR(VLOOKUP(B72,Données!$A$3:$U$1479,11,FALSE)),0,VLOOKUP(B72,Données!$A$3:$U$1479,11,FALSE))</f>
        <v>0</v>
      </c>
      <c r="F72" s="74">
        <f t="shared" si="1"/>
        <v>0</v>
      </c>
      <c r="G72" s="363">
        <f>IF(ISERROR(VLOOKUP(B72,Données!$A$3:$U$1479,12,FALSE)),0,VLOOKUP(B72,Données!$A$3:$U$1479,12,FALSE))</f>
        <v>0</v>
      </c>
      <c r="H72" s="74">
        <f>IF(((D72+5)-'Calcul Masse Salariale'!$B$1)&lt;=0,0,(D72+5)-'Calcul Masse Salariale'!$B$1)</f>
        <v>0</v>
      </c>
      <c r="I72" s="154"/>
    </row>
    <row r="73" spans="1:9" ht="15.75" x14ac:dyDescent="0.25">
      <c r="A73" s="497"/>
      <c r="B73" s="74"/>
      <c r="C73" s="347" t="str">
        <f>IF(ISERROR(VLOOKUP(B73,Données!$A$3:$X$1479,23,FALSE)),"",VLOOKUP(B73,Données!$A$3:$X$1479,23,FALSE))</f>
        <v/>
      </c>
      <c r="D73" s="74"/>
      <c r="E73" s="358">
        <f>IF(ISERROR(VLOOKUP(B73,Données!$A$3:$U$1479,11,FALSE)),0,VLOOKUP(B73,Données!$A$3:$U$1479,11,FALSE))</f>
        <v>0</v>
      </c>
      <c r="F73" s="74">
        <f t="shared" si="1"/>
        <v>0</v>
      </c>
      <c r="G73" s="363">
        <f>IF(ISERROR(VLOOKUP(B73,Données!$A$3:$U$1479,12,FALSE)),0,VLOOKUP(B73,Données!$A$3:$U$1479,12,FALSE))</f>
        <v>0</v>
      </c>
      <c r="H73" s="74">
        <f>IF(((D73+5)-'Calcul Masse Salariale'!$B$1)&lt;=0,0,(D73+5)-'Calcul Masse Salariale'!$B$1)</f>
        <v>0</v>
      </c>
      <c r="I73" s="154"/>
    </row>
    <row r="74" spans="1:9" x14ac:dyDescent="0.25">
      <c r="A74" s="41"/>
      <c r="C74" s="273"/>
      <c r="E74" s="358">
        <f>IF(ISERROR(VLOOKUP(B74,Données!$A$3:$U$1479,11,FALSE)),0,VLOOKUP(B74,Données!$A$3:$U$1479,11,FALSE))</f>
        <v>0</v>
      </c>
      <c r="F74" s="401">
        <f>IF(ISERROR(VLOOKUP(#REF!,Données!$A$3:$U$1479,20,FALSE)),0,VLOOKUP(#REF!,Données!$A$3:$U$1479,20,FALSE))</f>
        <v>0</v>
      </c>
      <c r="G74" s="279"/>
      <c r="I74" s="154"/>
    </row>
    <row r="75" spans="1:9" x14ac:dyDescent="0.25">
      <c r="A75" s="41"/>
      <c r="I75" s="154"/>
    </row>
    <row r="76" spans="1:9" x14ac:dyDescent="0.25">
      <c r="A76" s="41"/>
    </row>
    <row r="77" spans="1:9" x14ac:dyDescent="0.25">
      <c r="A77" s="41"/>
    </row>
    <row r="78" spans="1:9" x14ac:dyDescent="0.25">
      <c r="A78" s="41"/>
    </row>
    <row r="79" spans="1:9" x14ac:dyDescent="0.25">
      <c r="A79" s="41"/>
    </row>
  </sheetData>
  <mergeCells count="13">
    <mergeCell ref="A39:A73"/>
    <mergeCell ref="A23:A30"/>
    <mergeCell ref="A31:D31"/>
    <mergeCell ref="A32:D32"/>
    <mergeCell ref="A35:A36"/>
    <mergeCell ref="C36:D36"/>
    <mergeCell ref="F36:H36"/>
    <mergeCell ref="A1:B1"/>
    <mergeCell ref="N1:Q1"/>
    <mergeCell ref="A2:A14"/>
    <mergeCell ref="J9:K9"/>
    <mergeCell ref="A15:A20"/>
    <mergeCell ref="A21:A22"/>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3"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2" priority="1">
      <formula>(E39&lt;&gt;G39)</formula>
    </cfRule>
  </conditionalFormatting>
  <dataValidations count="1">
    <dataValidation type="list" allowBlank="1" showInputMessage="1" sqref="B3:B30">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3AFA5C42-43BD-4FF2-8367-4AA2C10EC60D}">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F9C00691-6894-420C-8FFC-1CDA77ADC4FF}">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G10"/>
  <sheetViews>
    <sheetView workbookViewId="0">
      <selection activeCell="C18" sqref="C18"/>
    </sheetView>
  </sheetViews>
  <sheetFormatPr baseColWidth="10" defaultRowHeight="15" x14ac:dyDescent="0.25"/>
  <cols>
    <col min="1" max="1" width="13" bestFit="1" customWidth="1"/>
    <col min="2" max="7" width="25.7109375" customWidth="1"/>
  </cols>
  <sheetData>
    <row r="1" spans="1:7" x14ac:dyDescent="0.25">
      <c r="A1" s="621" t="s">
        <v>2419</v>
      </c>
      <c r="B1" s="615" t="s">
        <v>2422</v>
      </c>
      <c r="C1" s="616"/>
      <c r="D1" s="617" t="s">
        <v>2423</v>
      </c>
      <c r="E1" s="618"/>
      <c r="F1" s="619" t="s">
        <v>2425</v>
      </c>
      <c r="G1" s="620"/>
    </row>
    <row r="2" spans="1:7" x14ac:dyDescent="0.25">
      <c r="A2" s="622"/>
      <c r="B2" s="474" t="s">
        <v>2421</v>
      </c>
      <c r="C2" s="477" t="s">
        <v>2420</v>
      </c>
      <c r="D2" s="481" t="s">
        <v>2421</v>
      </c>
      <c r="E2" s="477" t="s">
        <v>2420</v>
      </c>
      <c r="F2" s="480" t="s">
        <v>2421</v>
      </c>
      <c r="G2" s="472" t="s">
        <v>2426</v>
      </c>
    </row>
    <row r="3" spans="1:7" x14ac:dyDescent="0.25">
      <c r="A3" s="467" t="s">
        <v>47</v>
      </c>
      <c r="B3" s="468" t="str">
        <f>IF(ISERROR(VLOOKUP($B$1,David!$N$3:$P$29,2,FALSE)),"",VLOOKUP($B$1,David!$N$3:$P$29,2,FALSE))</f>
        <v/>
      </c>
      <c r="C3" s="478" t="str">
        <f>IF(ISERROR(VLOOKUP($B$1,David!$N$3:$P$29,3,FALSE)),"",VLOOKUP($B$1,David!$N$3:$P$29,3,FALSE))</f>
        <v/>
      </c>
      <c r="D3" s="482" t="str">
        <f>IF(ISERROR(VLOOKUP($D$1,David!$N$3:$P$29,2,FALSE)),"",VLOOKUP($D$1,David!$N$3:$P$29,2,FALSE))</f>
        <v/>
      </c>
      <c r="E3" s="478" t="str">
        <f>IF(ISERROR(VLOOKUP($D$1,David!$N$3:$P$29,3,FALSE)),"",VLOOKUP($D$1,David!$N$3:$P$29,3,FALSE))</f>
        <v/>
      </c>
      <c r="F3" s="475" t="str">
        <f>IF(ISERROR(VLOOKUP($F$1,David!$N$3:$P$59,2,FALSE)),"",VLOOKUP($F$1,David!$N$3:$P$59,2,FALSE))</f>
        <v/>
      </c>
      <c r="G3" s="469" t="str">
        <f>IF(ISERROR(VLOOKUP($F$1,David!$N$3:$P$29,3,FALSE)),"",VLOOKUP($F$1,David!$N$3:$P$29,3,FALSE))</f>
        <v/>
      </c>
    </row>
    <row r="4" spans="1:7" x14ac:dyDescent="0.25">
      <c r="A4" s="467" t="s">
        <v>51</v>
      </c>
      <c r="B4" s="468" t="str">
        <f>IF(ISERROR(VLOOKUP($B$1,Vincent!$N$3:$P$29,2,FALSE)),"",VLOOKUP($B$1,Vincent!$N$3:$P$29,2,FALSE))</f>
        <v/>
      </c>
      <c r="C4" s="478" t="str">
        <f>IF(ISERROR(VLOOKUP($B$1,Vincent!$N$3:$P$29,3,FALSE)),"",VLOOKUP($B$1,Vincent!$N$3:$P$29,3,FALSE))</f>
        <v/>
      </c>
      <c r="D4" s="482" t="str">
        <f>IF(ISERROR(VLOOKUP($D$1,Vincent!$N$3:$P$59,2,FALSE)),"",VLOOKUP($D$1,Vincent!$N$3:$P$59,2,FALSE))</f>
        <v/>
      </c>
      <c r="E4" s="478" t="str">
        <f>IF(ISERROR(VLOOKUP($D$1,Vincent!$N$3:$P$59,3,FALSE)),"",VLOOKUP($D$1,Vincent!$N$3:$P$59,3,FALSE))</f>
        <v/>
      </c>
      <c r="F4" s="475" t="str">
        <f>IF(ISERROR(VLOOKUP($F$1,Vincent!$N$3:$P$59,2,FALSE)),"",VLOOKUP($F$1,Vincent!$N$3:$P$59,2,FALSE))</f>
        <v/>
      </c>
      <c r="G4" s="469" t="str">
        <f>IF(ISERROR(VLOOKUP($F$1,Vincent!$N$3:$P$59,3,FALSE)),"",VLOOKUP($F$1,Vincent!$N$3:$P$59,3,FALSE))</f>
        <v/>
      </c>
    </row>
    <row r="5" spans="1:7" x14ac:dyDescent="0.25">
      <c r="A5" s="467" t="s">
        <v>49</v>
      </c>
      <c r="B5" s="468" t="str">
        <f>IF(ISERROR(VLOOKUP($B$1,Steve!$N$3:$P$29,2,FALSE)),"",VLOOKUP($B$1,Steve!$N$3:$P$29,2,FALSE))</f>
        <v/>
      </c>
      <c r="C5" s="478" t="str">
        <f>IF(ISERROR(VLOOKUP($B$1,Steve!$N$3:$P$29,3,FALSE)),"",VLOOKUP($B$1,Steve!$N$3:$P$29,3,FALSE))</f>
        <v/>
      </c>
      <c r="D5" s="482" t="str">
        <f>IF(ISERROR(VLOOKUP($D$1,Steve!$N$3:$P$29,2,FALSE)),"",VLOOKUP($D$1,Steve!$N$3:$P$29,2,FALSE))</f>
        <v/>
      </c>
      <c r="E5" s="478" t="str">
        <f>IF(ISERROR(VLOOKUP($D$1,Steve!$N$3:$P$29,3,FALSE)),"",VLOOKUP($D$1,Steve!$N$3:$P$29,3,FALSE))</f>
        <v/>
      </c>
      <c r="F5" s="475" t="str">
        <f>IF(ISERROR(VLOOKUP($F$1,Steve!$N$3:$P$29,2,FALSE)),"",VLOOKUP($F$1,Steve!$N$3:$P$29,2,FALSE))</f>
        <v/>
      </c>
      <c r="G5" s="469" t="str">
        <f>IF(ISERROR(VLOOKUP($F$1,Steve!$N$3:$P$29,3,FALSE)),"",VLOOKUP($F$1,Steve!$N$3:$P$29,3,FALSE))</f>
        <v/>
      </c>
    </row>
    <row r="6" spans="1:7" x14ac:dyDescent="0.25">
      <c r="A6" s="467" t="s">
        <v>107</v>
      </c>
      <c r="B6" s="468" t="str">
        <f>IF(ISERROR(VLOOKUP($B$1,Paule!$N$3:$P$30,2,FALSE)),"",VLOOKUP($B$1,Paule!$N$3:$P$30,2,FALSE))</f>
        <v/>
      </c>
      <c r="C6" s="478" t="str">
        <f>IF(ISERROR(VLOOKUP($B$1,Paule!$N$3:$P$30,3,FALSE)),"",VLOOKUP($B$1,Paule!$N$3:$P$30,3,FALSE))</f>
        <v/>
      </c>
      <c r="D6" s="482" t="str">
        <f>IF(ISERROR(VLOOKUP($D$1,Paule!$N$3:$P$30,2,FALSE)),"",VLOOKUP($D$1,Paule!$N$3:$P$30,2,FALSE))</f>
        <v/>
      </c>
      <c r="E6" s="478" t="str">
        <f>IF(ISERROR(VLOOKUP($D$1,Paule!$N$3:$P$30,3,FALSE)),"",VLOOKUP($D$1,Paule!$N$3:$P$30,3,FALSE))</f>
        <v/>
      </c>
      <c r="F6" s="475" t="str">
        <f>IF(ISERROR(VLOOKUP($F$1,Paule!$N$3:$P$30,2,FALSE)),"",VLOOKUP($F$1,Paule!$N$3:$P$30,2,FALSE))</f>
        <v/>
      </c>
      <c r="G6" s="469" t="str">
        <f>IF(ISERROR(VLOOKUP($F$1,Paule!$N$3:$P$30,3,FALSE)),"",VLOOKUP($F$1,Paule!$N$3:$P$30,3,FALSE))</f>
        <v/>
      </c>
    </row>
    <row r="7" spans="1:7" x14ac:dyDescent="0.25">
      <c r="A7" s="467" t="s">
        <v>131</v>
      </c>
      <c r="B7" s="468" t="str">
        <f>IF(ISERROR(VLOOKUP($B$1,Sébastien_STL!$N$3:$P$29,2,FALSE)),"",VLOOKUP($B$1,Sébastien_STL!$N$3:$P$29,2,FALSE))</f>
        <v/>
      </c>
      <c r="C7" s="478" t="str">
        <f>IF(ISERROR(VLOOKUP($B$1,Sébastien_STL!$N$3:$P$29,3,FALSE)),"",VLOOKUP($B$1,Sébastien_STL!$N$3:$P$29,3,FALSE))</f>
        <v/>
      </c>
      <c r="D7" s="482" t="str">
        <f>IF(ISERROR(VLOOKUP($D$1,Sébastien_STL!$N$3:$P$29,2,FALSE)),"",VLOOKUP($D$1,Sébastien_STL!$N$3:$P$29,2,FALSE))</f>
        <v/>
      </c>
      <c r="E7" s="478" t="str">
        <f>IF(ISERROR(VLOOKUP($D$1,Sébastien_STL!$N$3:$P$29,3,FALSE)),"",VLOOKUP($D$1,Sébastien_STL!$N$3:$P$29,2,FALSE))</f>
        <v/>
      </c>
      <c r="F7" s="475" t="str">
        <f>IF(ISERROR(VLOOKUP($F$1,Sébastien_STL!$N$3:$P$29,2,FALSE)),"",VLOOKUP($F$1,Sébastien_STL!$N$3:$P$29,2,FALSE))</f>
        <v/>
      </c>
      <c r="G7" s="469" t="str">
        <f>IF(ISERROR(VLOOKUP($F$1,Sébastien_STL!$N$3:$P$29,3,FALSE)),"",VLOOKUP($F$1,Sébastien_STL!$N$3:$P$29,2,FALSE))</f>
        <v/>
      </c>
    </row>
    <row r="8" spans="1:7" x14ac:dyDescent="0.25">
      <c r="A8" s="467" t="s">
        <v>48</v>
      </c>
      <c r="B8" s="468" t="str">
        <f>IF(ISERROR(VLOOKUP($B$1,Jérôme!$N$3:$P$29,2,FALSE)),"",VLOOKUP($B$1,Jérôme!$N$3:$P$29,2,FALSE))</f>
        <v/>
      </c>
      <c r="C8" s="478" t="str">
        <f>IF(ISERROR(VLOOKUP($B$1,Jérôme!$N$3:$P$29,3,FALSE)),"",VLOOKUP($B$1,Jérôme!$N$3:$P$29,3,FALSE))</f>
        <v/>
      </c>
      <c r="D8" s="482" t="str">
        <f>IF(ISERROR(VLOOKUP($D$1,Jérôme!$N$3:$P$29,2,FALSE)),"",VLOOKUP($D$1,Jérôme!$N$3:$P$29,2,FALSE))</f>
        <v/>
      </c>
      <c r="E8" s="478" t="str">
        <f>IF(ISERROR(VLOOKUP($D$1,Jérôme!$N$3:$P$29,3,FALSE)),"",VLOOKUP($D$1,Jérôme!$N$3:$P$29,3,FALSE))</f>
        <v/>
      </c>
      <c r="F8" s="475" t="str">
        <f>IF(ISERROR(VLOOKUP($F$1,Jérôme!$N$3:$P$29,2,FALSE)),"",VLOOKUP($F$1,Jérôme!$N$3:$P$29,2,FALSE))</f>
        <v/>
      </c>
      <c r="G8" s="469" t="str">
        <f>IF(ISERROR(VLOOKUP($F$1,Jérôme!$N$3:$P$29,3,FALSE)),"",VLOOKUP($F$1,Jérôme!$N$3:$P$29,3,FALSE))</f>
        <v/>
      </c>
    </row>
    <row r="9" spans="1:7" x14ac:dyDescent="0.25">
      <c r="A9" s="467" t="s">
        <v>2424</v>
      </c>
      <c r="B9" s="468" t="str">
        <f>IF(ISERROR(VLOOKUP($B$1,Sébastien_FAU!$N$3:$P$30,2,FALSE)),"",VLOOKUP($B$1,Sébastien_FAU!$N$3:$P$30,2,FALSE))</f>
        <v/>
      </c>
      <c r="C9" s="478" t="str">
        <f>IF(ISERROR(VLOOKUP($B$1,Sébastien_FAU!$N$3:$P$30,3,FALSE)),"",VLOOKUP($B$1,Sébastien_FAU!$N$3:$P$30,3,FALSE))</f>
        <v/>
      </c>
      <c r="D9" s="482" t="str">
        <f>IF(ISERROR(VLOOKUP($D$1,Sébastien_FAU!$N$3:$P$30,2,FALSE)),"",VLOOKUP($D$1,Sébastien_FAU!$N$3:$P$30,2,FALSE))</f>
        <v/>
      </c>
      <c r="E9" s="478" t="str">
        <f>IF(ISERROR(VLOOKUP($D$1,Sébastien_FAU!$N$3:$P$30,3,FALSE)),"",VLOOKUP($D$1,Sébastien_FAU!$N$3:$P$30,3,FALSE))</f>
        <v/>
      </c>
      <c r="F9" s="475" t="str">
        <f>IF(ISERROR(VLOOKUP($F$1,Sébastien_FAU!$N$3:$P$30,2,FALSE)),"",VLOOKUP($F$1,Sébastien_FAU!$N$3:$P$30,2,FALSE))</f>
        <v/>
      </c>
      <c r="G9" s="469" t="str">
        <f>IF(ISERROR(VLOOKUP($F$1,Sébastien_FAU!$N$3:$P$30,3,FALSE)),"",VLOOKUP($F$1,Sébastien_FAU!$N$3:$P$30,3,FALSE))</f>
        <v/>
      </c>
    </row>
    <row r="10" spans="1:7" ht="15.75" thickBot="1" x14ac:dyDescent="0.3">
      <c r="A10" s="473" t="s">
        <v>50</v>
      </c>
      <c r="B10" s="470" t="str">
        <f>IF(ISERROR(VLOOKUP($B$1,Nicolas!$N$3:$P$29,2,FALSE)),"",VLOOKUP($B$1,Nicolas!$N$3:$P$29,2,FALSE))</f>
        <v/>
      </c>
      <c r="C10" s="479" t="str">
        <f>IF(ISERROR(VLOOKUP($B$1,Nicolas!$N$3:$P$29,3,FALSE)),"",VLOOKUP($B$1,Nicolas!$N$3:$P$29,3,FALSE))</f>
        <v/>
      </c>
      <c r="D10" s="483" t="str">
        <f>IF(ISERROR(VLOOKUP($D$1,Nicolas!$N$3:$P$29,2,FALSE)),"",VLOOKUP($D$1,Nicolas!$N$3:$P$29,2,FALSE))</f>
        <v/>
      </c>
      <c r="E10" s="479" t="str">
        <f>IF(ISERROR(VLOOKUP($D$1,Nicolas!$N$3:$P$29,3,FALSE)),"",VLOOKUP($D$1,Nicolas!$N$3:$P$29,3,FALSE))</f>
        <v/>
      </c>
      <c r="F10" s="476" t="str">
        <f>IF(ISERROR(VLOOKUP($F$1,Nicolas!$N$3:$P$29,2,FALSE)),"",VLOOKUP($F$1,Nicolas!$N$3:$P$29,2,FALSE))</f>
        <v/>
      </c>
      <c r="G10" s="471" t="str">
        <f>IF(ISERROR(VLOOKUP($F$1,Nicolas!$N$3:$P$29,3,FALSE)),"",VLOOKUP($F$1,Nicolas!$N$3:$P$29,3,FALSE))</f>
        <v/>
      </c>
    </row>
  </sheetData>
  <mergeCells count="4">
    <mergeCell ref="B1:C1"/>
    <mergeCell ref="D1:E1"/>
    <mergeCell ref="F1:G1"/>
    <mergeCell ref="A1:A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M1478"/>
  <sheetViews>
    <sheetView topLeftCell="A1440" workbookViewId="0">
      <selection activeCell="G2" sqref="G2:M1478"/>
    </sheetView>
  </sheetViews>
  <sheetFormatPr baseColWidth="10" defaultRowHeight="15" x14ac:dyDescent="0.25"/>
  <cols>
    <col min="1" max="1" width="24.85546875" bestFit="1" customWidth="1"/>
  </cols>
  <sheetData>
    <row r="1" spans="1:13" ht="15.75" thickBot="1" x14ac:dyDescent="0.3">
      <c r="A1" s="3" t="s">
        <v>53</v>
      </c>
      <c r="B1" s="4" t="s">
        <v>52</v>
      </c>
      <c r="C1" s="4" t="s">
        <v>994</v>
      </c>
      <c r="D1" s="4" t="s">
        <v>5</v>
      </c>
      <c r="E1" s="4" t="s">
        <v>195</v>
      </c>
      <c r="F1" s="4" t="s">
        <v>995</v>
      </c>
      <c r="G1" t="s">
        <v>363</v>
      </c>
      <c r="H1" t="s">
        <v>364</v>
      </c>
      <c r="I1" t="s">
        <v>365</v>
      </c>
      <c r="J1" t="s">
        <v>366</v>
      </c>
      <c r="K1" t="s">
        <v>367</v>
      </c>
      <c r="L1" t="s">
        <v>368</v>
      </c>
      <c r="M1" t="s">
        <v>2671</v>
      </c>
    </row>
    <row r="2" spans="1:13" ht="15" customHeight="1" x14ac:dyDescent="0.25">
      <c r="A2" t="s">
        <v>2793</v>
      </c>
      <c r="B2" t="s">
        <v>17</v>
      </c>
      <c r="C2" t="s">
        <v>372</v>
      </c>
      <c r="D2" t="s">
        <v>2442</v>
      </c>
      <c r="E2" t="s">
        <v>2439</v>
      </c>
      <c r="F2">
        <v>32</v>
      </c>
      <c r="G2">
        <v>4250000</v>
      </c>
      <c r="H2">
        <v>4250000</v>
      </c>
      <c r="I2">
        <v>4250000</v>
      </c>
      <c r="J2">
        <v>4250000</v>
      </c>
      <c r="K2" t="s">
        <v>7</v>
      </c>
      <c r="L2">
        <v>0</v>
      </c>
      <c r="M2">
        <v>0</v>
      </c>
    </row>
    <row r="3" spans="1:13" ht="28.5" customHeight="1" x14ac:dyDescent="0.25">
      <c r="A3" t="s">
        <v>2685</v>
      </c>
      <c r="B3" t="s">
        <v>33</v>
      </c>
      <c r="C3">
        <v>0</v>
      </c>
      <c r="D3" t="s">
        <v>2680</v>
      </c>
      <c r="E3" t="s">
        <v>2677</v>
      </c>
      <c r="F3">
        <v>25</v>
      </c>
      <c r="G3">
        <v>700000</v>
      </c>
      <c r="H3" t="s">
        <v>8</v>
      </c>
      <c r="I3">
        <v>0</v>
      </c>
      <c r="J3">
        <v>0</v>
      </c>
      <c r="K3">
        <v>0</v>
      </c>
      <c r="L3">
        <v>0</v>
      </c>
      <c r="M3">
        <v>0</v>
      </c>
    </row>
    <row r="4" spans="1:13" ht="32.25" customHeight="1" x14ac:dyDescent="0.25">
      <c r="A4" t="s">
        <v>2534</v>
      </c>
      <c r="B4" t="s">
        <v>2531</v>
      </c>
      <c r="C4" t="s">
        <v>386</v>
      </c>
      <c r="D4" t="s">
        <v>73</v>
      </c>
      <c r="E4" t="s">
        <v>2690</v>
      </c>
      <c r="F4">
        <v>23</v>
      </c>
      <c r="G4">
        <v>925000</v>
      </c>
      <c r="H4">
        <v>925000</v>
      </c>
      <c r="I4" t="s">
        <v>8</v>
      </c>
      <c r="J4">
        <v>0</v>
      </c>
      <c r="K4">
        <v>0</v>
      </c>
      <c r="L4">
        <v>0</v>
      </c>
      <c r="M4">
        <v>0</v>
      </c>
    </row>
    <row r="5" spans="1:13" ht="32.25" customHeight="1" x14ac:dyDescent="0.25">
      <c r="A5" t="s">
        <v>1683</v>
      </c>
      <c r="B5" t="s">
        <v>27</v>
      </c>
      <c r="C5" t="s">
        <v>386</v>
      </c>
      <c r="D5" t="s">
        <v>2440</v>
      </c>
      <c r="E5" t="s">
        <v>2446</v>
      </c>
      <c r="F5">
        <v>21</v>
      </c>
      <c r="G5">
        <v>880000</v>
      </c>
      <c r="H5">
        <v>880000</v>
      </c>
      <c r="I5" t="s">
        <v>8</v>
      </c>
      <c r="J5">
        <v>0</v>
      </c>
      <c r="K5">
        <v>0</v>
      </c>
      <c r="L5">
        <v>0</v>
      </c>
      <c r="M5">
        <v>0</v>
      </c>
    </row>
    <row r="6" spans="1:13" ht="15" customHeight="1" x14ac:dyDescent="0.25">
      <c r="A6" t="s">
        <v>1352</v>
      </c>
      <c r="B6" t="s">
        <v>2531</v>
      </c>
      <c r="C6" t="s">
        <v>381</v>
      </c>
      <c r="D6" t="s">
        <v>2678</v>
      </c>
      <c r="E6" t="s">
        <v>2677</v>
      </c>
      <c r="F6">
        <v>27</v>
      </c>
      <c r="G6">
        <v>1666667</v>
      </c>
      <c r="H6">
        <v>1666667</v>
      </c>
      <c r="I6">
        <v>1666667</v>
      </c>
      <c r="J6" t="s">
        <v>7</v>
      </c>
      <c r="K6">
        <v>0</v>
      </c>
      <c r="L6">
        <v>0</v>
      </c>
      <c r="M6">
        <v>0</v>
      </c>
    </row>
    <row r="7" spans="1:13" ht="15" customHeight="1" x14ac:dyDescent="0.25">
      <c r="A7" t="s">
        <v>2480</v>
      </c>
      <c r="B7" t="s">
        <v>29</v>
      </c>
      <c r="C7" t="s">
        <v>388</v>
      </c>
      <c r="D7" t="s">
        <v>379</v>
      </c>
      <c r="E7" t="s">
        <v>389</v>
      </c>
      <c r="F7">
        <v>19</v>
      </c>
      <c r="G7">
        <v>925000</v>
      </c>
      <c r="H7">
        <v>925000</v>
      </c>
      <c r="I7">
        <v>925000</v>
      </c>
      <c r="J7" t="s">
        <v>8</v>
      </c>
      <c r="K7">
        <v>0</v>
      </c>
      <c r="L7">
        <v>0</v>
      </c>
      <c r="M7">
        <v>0</v>
      </c>
    </row>
    <row r="8" spans="1:13" ht="28.5" customHeight="1" x14ac:dyDescent="0.25">
      <c r="A8" t="s">
        <v>1508</v>
      </c>
      <c r="B8" t="s">
        <v>33</v>
      </c>
      <c r="C8">
        <v>0</v>
      </c>
      <c r="D8" t="s">
        <v>93</v>
      </c>
      <c r="E8" t="s">
        <v>2677</v>
      </c>
      <c r="F8">
        <v>27</v>
      </c>
      <c r="G8">
        <v>737500</v>
      </c>
      <c r="H8">
        <v>737500</v>
      </c>
      <c r="I8" t="s">
        <v>7</v>
      </c>
      <c r="J8">
        <v>0</v>
      </c>
      <c r="K8">
        <v>0</v>
      </c>
      <c r="L8">
        <v>0</v>
      </c>
      <c r="M8">
        <v>0</v>
      </c>
    </row>
    <row r="9" spans="1:13" ht="15" customHeight="1" x14ac:dyDescent="0.25">
      <c r="A9" t="s">
        <v>1950</v>
      </c>
      <c r="B9" t="s">
        <v>29</v>
      </c>
      <c r="C9">
        <v>0</v>
      </c>
      <c r="D9" t="s">
        <v>2679</v>
      </c>
      <c r="E9" t="s">
        <v>2690</v>
      </c>
      <c r="F9">
        <v>28</v>
      </c>
      <c r="G9">
        <v>700000</v>
      </c>
      <c r="H9">
        <v>700000</v>
      </c>
      <c r="I9" t="s">
        <v>7</v>
      </c>
      <c r="J9">
        <v>0</v>
      </c>
      <c r="K9">
        <v>0</v>
      </c>
      <c r="L9">
        <v>0</v>
      </c>
      <c r="M9">
        <v>0</v>
      </c>
    </row>
    <row r="10" spans="1:13" ht="15" customHeight="1" x14ac:dyDescent="0.25">
      <c r="A10" t="s">
        <v>1622</v>
      </c>
      <c r="B10" t="s">
        <v>25</v>
      </c>
      <c r="C10" t="s">
        <v>386</v>
      </c>
      <c r="D10" t="s">
        <v>82</v>
      </c>
      <c r="E10" t="s">
        <v>2446</v>
      </c>
      <c r="F10">
        <v>23</v>
      </c>
      <c r="G10">
        <v>925000</v>
      </c>
      <c r="H10" t="s">
        <v>8</v>
      </c>
      <c r="I10">
        <v>0</v>
      </c>
      <c r="J10">
        <v>0</v>
      </c>
      <c r="K10">
        <v>0</v>
      </c>
      <c r="L10">
        <v>0</v>
      </c>
      <c r="M10">
        <v>0</v>
      </c>
    </row>
    <row r="11" spans="1:13" ht="15" customHeight="1" x14ac:dyDescent="0.25">
      <c r="A11" t="s">
        <v>1622</v>
      </c>
      <c r="B11" t="s">
        <v>11</v>
      </c>
      <c r="C11">
        <v>0</v>
      </c>
      <c r="D11" t="s">
        <v>2452</v>
      </c>
      <c r="E11" t="s">
        <v>2439</v>
      </c>
      <c r="F11">
        <v>22</v>
      </c>
      <c r="G11">
        <v>8454000</v>
      </c>
      <c r="H11">
        <v>8454000</v>
      </c>
      <c r="I11">
        <v>8454000</v>
      </c>
      <c r="J11">
        <v>8454000</v>
      </c>
      <c r="K11">
        <v>8454000</v>
      </c>
      <c r="L11" t="s">
        <v>7</v>
      </c>
      <c r="M11">
        <v>0</v>
      </c>
    </row>
    <row r="12" spans="1:13" ht="30" customHeight="1" x14ac:dyDescent="0.25">
      <c r="A12" t="s">
        <v>1504</v>
      </c>
      <c r="B12" t="s">
        <v>22</v>
      </c>
      <c r="C12" t="s">
        <v>386</v>
      </c>
      <c r="D12" t="s">
        <v>2453</v>
      </c>
      <c r="E12" t="s">
        <v>2446</v>
      </c>
      <c r="F12">
        <v>22</v>
      </c>
      <c r="G12">
        <v>776666</v>
      </c>
      <c r="H12">
        <v>776666</v>
      </c>
      <c r="I12" t="s">
        <v>8</v>
      </c>
      <c r="J12">
        <v>0</v>
      </c>
      <c r="K12">
        <v>0</v>
      </c>
      <c r="L12">
        <v>0</v>
      </c>
      <c r="M12">
        <v>0</v>
      </c>
    </row>
    <row r="13" spans="1:13" ht="15" customHeight="1" x14ac:dyDescent="0.25">
      <c r="A13" t="s">
        <v>2716</v>
      </c>
      <c r="B13" t="s">
        <v>31</v>
      </c>
      <c r="C13" t="s">
        <v>386</v>
      </c>
      <c r="D13" t="s">
        <v>73</v>
      </c>
      <c r="E13" t="s">
        <v>2690</v>
      </c>
      <c r="F13">
        <v>18</v>
      </c>
      <c r="G13">
        <v>925000</v>
      </c>
      <c r="H13">
        <v>925000</v>
      </c>
      <c r="I13">
        <v>925000</v>
      </c>
      <c r="J13" t="s">
        <v>8</v>
      </c>
      <c r="K13">
        <v>0</v>
      </c>
      <c r="L13">
        <v>0</v>
      </c>
      <c r="M13">
        <v>0</v>
      </c>
    </row>
    <row r="14" spans="1:13" ht="15" customHeight="1" x14ac:dyDescent="0.25">
      <c r="A14" t="s">
        <v>2510</v>
      </c>
      <c r="B14" t="s">
        <v>2503</v>
      </c>
      <c r="C14" t="s">
        <v>386</v>
      </c>
      <c r="D14" t="s">
        <v>380</v>
      </c>
      <c r="E14" t="s">
        <v>2690</v>
      </c>
      <c r="F14">
        <v>19</v>
      </c>
      <c r="G14">
        <v>894167</v>
      </c>
      <c r="H14">
        <v>894167</v>
      </c>
      <c r="I14">
        <v>894167</v>
      </c>
      <c r="J14" t="s">
        <v>8</v>
      </c>
      <c r="K14">
        <v>0</v>
      </c>
      <c r="L14">
        <v>0</v>
      </c>
      <c r="M14">
        <v>0</v>
      </c>
    </row>
    <row r="15" spans="1:13" ht="30" customHeight="1" x14ac:dyDescent="0.25">
      <c r="A15" t="s">
        <v>2887</v>
      </c>
      <c r="B15" t="s">
        <v>23</v>
      </c>
      <c r="C15" t="s">
        <v>386</v>
      </c>
      <c r="D15" t="s">
        <v>379</v>
      </c>
      <c r="E15" t="s">
        <v>2690</v>
      </c>
      <c r="F15">
        <v>21</v>
      </c>
      <c r="G15">
        <v>921666</v>
      </c>
      <c r="H15">
        <v>921666</v>
      </c>
      <c r="I15" t="s">
        <v>8</v>
      </c>
      <c r="J15">
        <v>0</v>
      </c>
      <c r="K15">
        <v>0</v>
      </c>
      <c r="L15">
        <v>0</v>
      </c>
      <c r="M15">
        <v>0</v>
      </c>
    </row>
    <row r="16" spans="1:13" ht="15" customHeight="1" x14ac:dyDescent="0.25">
      <c r="A16" t="s">
        <v>2061</v>
      </c>
      <c r="B16" t="s">
        <v>31</v>
      </c>
      <c r="C16">
        <v>0</v>
      </c>
      <c r="D16" t="s">
        <v>127</v>
      </c>
      <c r="E16" t="s">
        <v>2677</v>
      </c>
      <c r="F16">
        <v>29</v>
      </c>
      <c r="G16">
        <v>4350000</v>
      </c>
      <c r="H16">
        <v>4350000</v>
      </c>
      <c r="I16" t="s">
        <v>7</v>
      </c>
      <c r="J16">
        <v>0</v>
      </c>
      <c r="K16">
        <v>0</v>
      </c>
      <c r="L16">
        <v>0</v>
      </c>
      <c r="M16">
        <v>0</v>
      </c>
    </row>
    <row r="17" spans="1:13" ht="15" customHeight="1" x14ac:dyDescent="0.25">
      <c r="A17" t="s">
        <v>2479</v>
      </c>
      <c r="B17" t="s">
        <v>29</v>
      </c>
      <c r="C17" t="s">
        <v>386</v>
      </c>
      <c r="D17" t="s">
        <v>380</v>
      </c>
      <c r="E17" t="s">
        <v>2690</v>
      </c>
      <c r="F17">
        <v>21</v>
      </c>
      <c r="G17">
        <v>925000</v>
      </c>
      <c r="H17">
        <v>925000</v>
      </c>
      <c r="I17">
        <v>925000</v>
      </c>
      <c r="J17" t="s">
        <v>8</v>
      </c>
      <c r="K17">
        <v>0</v>
      </c>
      <c r="L17">
        <v>0</v>
      </c>
      <c r="M17">
        <v>0</v>
      </c>
    </row>
    <row r="18" spans="1:13" ht="15" customHeight="1" x14ac:dyDescent="0.25">
      <c r="A18" t="s">
        <v>2474</v>
      </c>
      <c r="B18" t="s">
        <v>29</v>
      </c>
      <c r="C18" t="s">
        <v>386</v>
      </c>
      <c r="D18" t="s">
        <v>2679</v>
      </c>
      <c r="E18" t="s">
        <v>2690</v>
      </c>
      <c r="F18">
        <v>20</v>
      </c>
      <c r="G18">
        <v>925000</v>
      </c>
      <c r="H18">
        <v>925000</v>
      </c>
      <c r="I18">
        <v>925000</v>
      </c>
      <c r="J18" t="s">
        <v>8</v>
      </c>
      <c r="K18">
        <v>0</v>
      </c>
      <c r="L18">
        <v>0</v>
      </c>
      <c r="M18">
        <v>0</v>
      </c>
    </row>
    <row r="19" spans="1:13" ht="15" customHeight="1" x14ac:dyDescent="0.25">
      <c r="A19" t="s">
        <v>2656</v>
      </c>
      <c r="B19" t="s">
        <v>27</v>
      </c>
      <c r="C19" t="s">
        <v>386</v>
      </c>
      <c r="D19" t="s">
        <v>2445</v>
      </c>
      <c r="E19" t="s">
        <v>2446</v>
      </c>
      <c r="F19">
        <v>23</v>
      </c>
      <c r="G19">
        <v>925000</v>
      </c>
      <c r="H19">
        <v>925000</v>
      </c>
      <c r="I19" t="s">
        <v>8</v>
      </c>
      <c r="J19">
        <v>0</v>
      </c>
      <c r="K19">
        <v>0</v>
      </c>
      <c r="L19">
        <v>0</v>
      </c>
      <c r="M19">
        <v>0</v>
      </c>
    </row>
    <row r="20" spans="1:13" ht="15" customHeight="1" x14ac:dyDescent="0.25">
      <c r="A20" t="s">
        <v>1944</v>
      </c>
      <c r="B20" t="s">
        <v>15</v>
      </c>
      <c r="C20">
        <v>0</v>
      </c>
      <c r="D20" t="s">
        <v>2444</v>
      </c>
      <c r="E20" t="s">
        <v>2446</v>
      </c>
      <c r="F20">
        <v>27</v>
      </c>
      <c r="G20">
        <v>725000</v>
      </c>
      <c r="H20" t="s">
        <v>7</v>
      </c>
      <c r="I20">
        <v>0</v>
      </c>
      <c r="J20">
        <v>0</v>
      </c>
      <c r="K20">
        <v>0</v>
      </c>
      <c r="L20">
        <v>0</v>
      </c>
      <c r="M20">
        <v>0</v>
      </c>
    </row>
    <row r="21" spans="1:13" ht="15" customHeight="1" x14ac:dyDescent="0.25">
      <c r="A21" t="s">
        <v>1490</v>
      </c>
      <c r="B21" t="s">
        <v>22</v>
      </c>
      <c r="C21" t="s">
        <v>381</v>
      </c>
      <c r="D21" t="s">
        <v>2445</v>
      </c>
      <c r="E21" t="s">
        <v>2439</v>
      </c>
      <c r="F21">
        <v>30</v>
      </c>
      <c r="G21">
        <v>4625000</v>
      </c>
      <c r="H21">
        <v>4625000</v>
      </c>
      <c r="I21">
        <v>4625000</v>
      </c>
      <c r="J21" t="s">
        <v>7</v>
      </c>
      <c r="K21">
        <v>0</v>
      </c>
      <c r="L21">
        <v>0</v>
      </c>
      <c r="M21">
        <v>0</v>
      </c>
    </row>
    <row r="22" spans="1:13" ht="28.5" customHeight="1" x14ac:dyDescent="0.25">
      <c r="A22" t="s">
        <v>2285</v>
      </c>
      <c r="B22" t="s">
        <v>20</v>
      </c>
      <c r="C22">
        <v>0</v>
      </c>
      <c r="D22" t="s">
        <v>2448</v>
      </c>
      <c r="E22" t="s">
        <v>2446</v>
      </c>
      <c r="F22">
        <v>23</v>
      </c>
      <c r="G22">
        <v>700000</v>
      </c>
      <c r="H22">
        <v>700000</v>
      </c>
      <c r="I22" t="s">
        <v>8</v>
      </c>
      <c r="J22">
        <v>0</v>
      </c>
      <c r="K22">
        <v>0</v>
      </c>
      <c r="L22">
        <v>0</v>
      </c>
      <c r="M22">
        <v>0</v>
      </c>
    </row>
    <row r="23" spans="1:13" ht="15" customHeight="1" x14ac:dyDescent="0.25">
      <c r="A23" t="s">
        <v>2013</v>
      </c>
      <c r="B23" t="s">
        <v>21</v>
      </c>
      <c r="C23">
        <v>0</v>
      </c>
      <c r="D23" t="s">
        <v>73</v>
      </c>
      <c r="E23" t="s">
        <v>2446</v>
      </c>
      <c r="F23">
        <v>26</v>
      </c>
      <c r="G23">
        <v>675000</v>
      </c>
      <c r="H23" t="s">
        <v>7</v>
      </c>
      <c r="I23">
        <v>0</v>
      </c>
      <c r="J23">
        <v>0</v>
      </c>
      <c r="K23">
        <v>0</v>
      </c>
      <c r="L23">
        <v>0</v>
      </c>
      <c r="M23">
        <v>0</v>
      </c>
    </row>
    <row r="24" spans="1:13" ht="15" customHeight="1" x14ac:dyDescent="0.25">
      <c r="A24" t="s">
        <v>1601</v>
      </c>
      <c r="B24" t="s">
        <v>33</v>
      </c>
      <c r="C24" t="s">
        <v>381</v>
      </c>
      <c r="D24" t="s">
        <v>127</v>
      </c>
      <c r="E24" t="s">
        <v>2677</v>
      </c>
      <c r="F24">
        <v>29</v>
      </c>
      <c r="G24">
        <v>5000000</v>
      </c>
      <c r="H24">
        <v>5000000</v>
      </c>
      <c r="I24" t="s">
        <v>7</v>
      </c>
      <c r="J24">
        <v>0</v>
      </c>
      <c r="K24">
        <v>0</v>
      </c>
      <c r="L24">
        <v>0</v>
      </c>
      <c r="M24">
        <v>0</v>
      </c>
    </row>
    <row r="25" spans="1:13" ht="15" customHeight="1" x14ac:dyDescent="0.25">
      <c r="A25" t="s">
        <v>1529</v>
      </c>
      <c r="B25" t="s">
        <v>27</v>
      </c>
      <c r="C25" t="s">
        <v>2578</v>
      </c>
      <c r="D25" t="s">
        <v>127</v>
      </c>
      <c r="E25" t="s">
        <v>2439</v>
      </c>
      <c r="F25">
        <v>38</v>
      </c>
      <c r="G25">
        <v>4750000</v>
      </c>
      <c r="H25" t="s">
        <v>7</v>
      </c>
      <c r="I25">
        <v>0</v>
      </c>
      <c r="J25">
        <v>0</v>
      </c>
      <c r="K25">
        <v>0</v>
      </c>
      <c r="L25">
        <v>0</v>
      </c>
      <c r="M25">
        <v>0</v>
      </c>
    </row>
    <row r="26" spans="1:13" ht="15" customHeight="1" x14ac:dyDescent="0.25">
      <c r="A26" t="s">
        <v>1695</v>
      </c>
      <c r="B26" t="s">
        <v>24</v>
      </c>
      <c r="C26" t="s">
        <v>386</v>
      </c>
      <c r="D26" t="s">
        <v>2438</v>
      </c>
      <c r="E26" t="s">
        <v>2446</v>
      </c>
      <c r="F26">
        <v>21</v>
      </c>
      <c r="G26">
        <v>925000</v>
      </c>
      <c r="H26" t="s">
        <v>8</v>
      </c>
      <c r="I26">
        <v>0</v>
      </c>
      <c r="J26">
        <v>0</v>
      </c>
      <c r="K26">
        <v>0</v>
      </c>
      <c r="L26">
        <v>0</v>
      </c>
      <c r="M26">
        <v>0</v>
      </c>
    </row>
    <row r="27" spans="1:13" ht="15" customHeight="1" x14ac:dyDescent="0.25">
      <c r="A27" t="s">
        <v>1659</v>
      </c>
      <c r="B27" t="s">
        <v>15</v>
      </c>
      <c r="C27" t="s">
        <v>386</v>
      </c>
      <c r="D27" t="s">
        <v>2445</v>
      </c>
      <c r="E27" t="s">
        <v>2446</v>
      </c>
      <c r="F27">
        <v>20</v>
      </c>
      <c r="G27">
        <v>816666</v>
      </c>
      <c r="H27">
        <v>816666</v>
      </c>
      <c r="I27" t="s">
        <v>8</v>
      </c>
      <c r="J27">
        <v>0</v>
      </c>
      <c r="K27">
        <v>0</v>
      </c>
      <c r="L27">
        <v>0</v>
      </c>
      <c r="M27">
        <v>0</v>
      </c>
    </row>
    <row r="28" spans="1:13" ht="15" customHeight="1" x14ac:dyDescent="0.25">
      <c r="A28" t="s">
        <v>1659</v>
      </c>
      <c r="B28" t="s">
        <v>14</v>
      </c>
      <c r="C28">
        <v>0</v>
      </c>
      <c r="D28" t="s">
        <v>2438</v>
      </c>
      <c r="E28" t="s">
        <v>2439</v>
      </c>
      <c r="F28">
        <v>25</v>
      </c>
      <c r="G28">
        <v>1850000</v>
      </c>
      <c r="H28" t="s">
        <v>8</v>
      </c>
      <c r="I28">
        <v>0</v>
      </c>
      <c r="J28">
        <v>0</v>
      </c>
      <c r="K28">
        <v>0</v>
      </c>
      <c r="L28">
        <v>0</v>
      </c>
      <c r="M28">
        <v>0</v>
      </c>
    </row>
    <row r="29" spans="1:13" ht="28.5" customHeight="1" x14ac:dyDescent="0.25">
      <c r="A29" t="s">
        <v>2625</v>
      </c>
      <c r="B29" t="s">
        <v>20</v>
      </c>
      <c r="C29" t="s">
        <v>386</v>
      </c>
      <c r="D29" t="s">
        <v>2445</v>
      </c>
      <c r="E29" t="s">
        <v>2446</v>
      </c>
      <c r="F29">
        <v>20</v>
      </c>
      <c r="G29">
        <v>1775000</v>
      </c>
      <c r="H29">
        <v>1775000</v>
      </c>
      <c r="I29">
        <v>1775000</v>
      </c>
      <c r="J29" t="s">
        <v>8</v>
      </c>
      <c r="K29">
        <v>0</v>
      </c>
      <c r="L29">
        <v>0</v>
      </c>
      <c r="M29">
        <v>0</v>
      </c>
    </row>
    <row r="30" spans="1:13" ht="15" customHeight="1" x14ac:dyDescent="0.25">
      <c r="A30" t="s">
        <v>2281</v>
      </c>
      <c r="B30" t="s">
        <v>20</v>
      </c>
      <c r="C30" t="s">
        <v>386</v>
      </c>
      <c r="D30" t="s">
        <v>73</v>
      </c>
      <c r="E30" t="s">
        <v>2446</v>
      </c>
      <c r="F30">
        <v>19</v>
      </c>
      <c r="G30">
        <v>913333</v>
      </c>
      <c r="H30">
        <v>913333</v>
      </c>
      <c r="I30">
        <v>913333</v>
      </c>
      <c r="J30" t="s">
        <v>8</v>
      </c>
      <c r="K30">
        <v>0</v>
      </c>
      <c r="L30">
        <v>0</v>
      </c>
      <c r="M30">
        <v>0</v>
      </c>
    </row>
    <row r="31" spans="1:13" ht="15" customHeight="1" x14ac:dyDescent="0.25">
      <c r="A31" t="s">
        <v>1367</v>
      </c>
      <c r="B31" t="s">
        <v>9</v>
      </c>
      <c r="C31" t="s">
        <v>388</v>
      </c>
      <c r="D31" t="s">
        <v>82</v>
      </c>
      <c r="E31" t="s">
        <v>2592</v>
      </c>
      <c r="F31">
        <v>19</v>
      </c>
      <c r="G31">
        <v>894167</v>
      </c>
      <c r="H31">
        <v>894167</v>
      </c>
      <c r="I31">
        <v>894167</v>
      </c>
      <c r="J31" t="s">
        <v>8</v>
      </c>
      <c r="K31">
        <v>0</v>
      </c>
      <c r="L31">
        <v>0</v>
      </c>
      <c r="M31">
        <v>0</v>
      </c>
    </row>
    <row r="32" spans="1:13" x14ac:dyDescent="0.25">
      <c r="A32" t="s">
        <v>1770</v>
      </c>
      <c r="B32" t="s">
        <v>26</v>
      </c>
      <c r="C32" t="s">
        <v>386</v>
      </c>
      <c r="D32" t="s">
        <v>2679</v>
      </c>
      <c r="E32" t="s">
        <v>2677</v>
      </c>
      <c r="F32">
        <v>20</v>
      </c>
      <c r="G32">
        <v>1744166</v>
      </c>
      <c r="H32">
        <v>1744166</v>
      </c>
      <c r="I32" t="s">
        <v>8</v>
      </c>
      <c r="J32">
        <v>0</v>
      </c>
      <c r="K32">
        <v>0</v>
      </c>
      <c r="L32">
        <v>0</v>
      </c>
      <c r="M32">
        <v>0</v>
      </c>
    </row>
    <row r="33" spans="1:13" ht="28.5" customHeight="1" x14ac:dyDescent="0.25">
      <c r="A33" t="s">
        <v>2207</v>
      </c>
      <c r="B33" t="s">
        <v>12</v>
      </c>
      <c r="C33" t="s">
        <v>403</v>
      </c>
      <c r="D33" t="s">
        <v>2444</v>
      </c>
      <c r="E33" t="s">
        <v>2439</v>
      </c>
      <c r="F33">
        <v>22</v>
      </c>
      <c r="G33">
        <v>863333</v>
      </c>
      <c r="H33" t="s">
        <v>8</v>
      </c>
      <c r="I33">
        <v>0</v>
      </c>
      <c r="J33">
        <v>0</v>
      </c>
      <c r="K33">
        <v>0</v>
      </c>
      <c r="L33">
        <v>0</v>
      </c>
      <c r="M33">
        <v>0</v>
      </c>
    </row>
    <row r="34" spans="1:13" ht="15" customHeight="1" x14ac:dyDescent="0.25">
      <c r="A34" t="s">
        <v>1554</v>
      </c>
      <c r="B34" t="s">
        <v>28</v>
      </c>
      <c r="C34">
        <v>0</v>
      </c>
      <c r="D34" t="s">
        <v>2450</v>
      </c>
      <c r="E34" t="s">
        <v>2446</v>
      </c>
      <c r="F34">
        <v>28</v>
      </c>
      <c r="G34">
        <v>750000</v>
      </c>
      <c r="H34">
        <v>750000</v>
      </c>
      <c r="I34" t="s">
        <v>7</v>
      </c>
      <c r="J34">
        <v>0</v>
      </c>
      <c r="K34">
        <v>0</v>
      </c>
      <c r="L34">
        <v>0</v>
      </c>
      <c r="M34">
        <v>0</v>
      </c>
    </row>
    <row r="35" spans="1:13" ht="15" customHeight="1" x14ac:dyDescent="0.25">
      <c r="A35" t="s">
        <v>1472</v>
      </c>
      <c r="B35" t="s">
        <v>2531</v>
      </c>
      <c r="C35" t="s">
        <v>386</v>
      </c>
      <c r="D35" t="s">
        <v>73</v>
      </c>
      <c r="E35" t="s">
        <v>2690</v>
      </c>
      <c r="F35">
        <v>21</v>
      </c>
      <c r="G35">
        <v>910833</v>
      </c>
      <c r="H35">
        <v>910833</v>
      </c>
      <c r="I35" t="s">
        <v>8</v>
      </c>
      <c r="J35">
        <v>0</v>
      </c>
      <c r="K35">
        <v>0</v>
      </c>
      <c r="L35">
        <v>0</v>
      </c>
      <c r="M35">
        <v>0</v>
      </c>
    </row>
    <row r="36" spans="1:13" ht="15" customHeight="1" x14ac:dyDescent="0.25">
      <c r="A36" t="s">
        <v>1838</v>
      </c>
      <c r="B36" t="s">
        <v>29</v>
      </c>
      <c r="C36" t="s">
        <v>386</v>
      </c>
      <c r="D36" t="s">
        <v>73</v>
      </c>
      <c r="E36" t="s">
        <v>2690</v>
      </c>
      <c r="F36">
        <v>23</v>
      </c>
      <c r="G36">
        <v>925000</v>
      </c>
      <c r="H36" t="s">
        <v>8</v>
      </c>
      <c r="I36">
        <v>0</v>
      </c>
      <c r="J36">
        <v>0</v>
      </c>
      <c r="K36">
        <v>0</v>
      </c>
      <c r="L36">
        <v>0</v>
      </c>
      <c r="M36">
        <v>0</v>
      </c>
    </row>
    <row r="37" spans="1:13" ht="15" customHeight="1" x14ac:dyDescent="0.25">
      <c r="A37" t="s">
        <v>1889</v>
      </c>
      <c r="B37" t="s">
        <v>27</v>
      </c>
      <c r="C37">
        <v>0</v>
      </c>
      <c r="D37" t="s">
        <v>2452</v>
      </c>
      <c r="E37" t="s">
        <v>2439</v>
      </c>
      <c r="F37">
        <v>31</v>
      </c>
      <c r="G37">
        <v>4550000</v>
      </c>
      <c r="H37">
        <v>4550000</v>
      </c>
      <c r="I37" t="s">
        <v>7</v>
      </c>
      <c r="J37">
        <v>0</v>
      </c>
      <c r="K37">
        <v>0</v>
      </c>
      <c r="L37">
        <v>0</v>
      </c>
      <c r="M37">
        <v>0</v>
      </c>
    </row>
    <row r="38" spans="1:13" ht="15" customHeight="1" x14ac:dyDescent="0.25">
      <c r="A38" t="s">
        <v>2107</v>
      </c>
      <c r="B38" t="s">
        <v>35</v>
      </c>
      <c r="C38" t="s">
        <v>386</v>
      </c>
      <c r="D38" t="s">
        <v>2453</v>
      </c>
      <c r="E38" t="s">
        <v>2446</v>
      </c>
      <c r="F38">
        <v>23</v>
      </c>
      <c r="G38">
        <v>758333</v>
      </c>
      <c r="H38" t="s">
        <v>8</v>
      </c>
      <c r="I38">
        <v>0</v>
      </c>
      <c r="J38">
        <v>0</v>
      </c>
      <c r="K38">
        <v>0</v>
      </c>
      <c r="L38">
        <v>0</v>
      </c>
      <c r="M38">
        <v>0</v>
      </c>
    </row>
    <row r="39" spans="1:13" ht="15" customHeight="1" x14ac:dyDescent="0.25">
      <c r="A39" t="s">
        <v>2720</v>
      </c>
      <c r="B39" t="s">
        <v>18</v>
      </c>
      <c r="C39">
        <v>0</v>
      </c>
      <c r="D39" t="s">
        <v>2438</v>
      </c>
      <c r="E39" t="s">
        <v>2439</v>
      </c>
      <c r="F39">
        <v>26</v>
      </c>
      <c r="G39">
        <v>1000000</v>
      </c>
      <c r="H39" t="s">
        <v>7</v>
      </c>
      <c r="I39">
        <v>0</v>
      </c>
      <c r="J39">
        <v>0</v>
      </c>
      <c r="K39">
        <v>0</v>
      </c>
      <c r="L39">
        <v>0</v>
      </c>
      <c r="M39">
        <v>0</v>
      </c>
    </row>
    <row r="40" spans="1:13" ht="15" customHeight="1" x14ac:dyDescent="0.25">
      <c r="A40" t="s">
        <v>1484</v>
      </c>
      <c r="B40" t="s">
        <v>22</v>
      </c>
      <c r="C40">
        <v>0</v>
      </c>
      <c r="D40" t="s">
        <v>2438</v>
      </c>
      <c r="E40" t="s">
        <v>2439</v>
      </c>
      <c r="F40">
        <v>26</v>
      </c>
      <c r="G40">
        <v>2600000</v>
      </c>
      <c r="H40">
        <v>2600000</v>
      </c>
      <c r="I40" t="s">
        <v>7</v>
      </c>
      <c r="J40">
        <v>0</v>
      </c>
      <c r="K40">
        <v>0</v>
      </c>
      <c r="L40">
        <v>0</v>
      </c>
      <c r="M40">
        <v>0</v>
      </c>
    </row>
    <row r="41" spans="1:13" ht="15" customHeight="1" x14ac:dyDescent="0.25">
      <c r="A41" t="s">
        <v>2020</v>
      </c>
      <c r="B41" t="s">
        <v>23</v>
      </c>
      <c r="C41">
        <v>0</v>
      </c>
      <c r="D41" t="s">
        <v>2680</v>
      </c>
      <c r="E41" t="s">
        <v>2677</v>
      </c>
      <c r="F41">
        <v>26</v>
      </c>
      <c r="G41">
        <v>4250000</v>
      </c>
      <c r="H41">
        <v>4250000</v>
      </c>
      <c r="I41">
        <v>4250000</v>
      </c>
      <c r="J41">
        <v>4250000</v>
      </c>
      <c r="K41">
        <v>4250000</v>
      </c>
      <c r="L41" t="s">
        <v>7</v>
      </c>
      <c r="M41">
        <v>0</v>
      </c>
    </row>
    <row r="42" spans="1:13" ht="15" customHeight="1" x14ac:dyDescent="0.25">
      <c r="A42" t="s">
        <v>1408</v>
      </c>
      <c r="B42" t="s">
        <v>10</v>
      </c>
      <c r="C42" t="s">
        <v>386</v>
      </c>
      <c r="D42" t="s">
        <v>2679</v>
      </c>
      <c r="E42" t="s">
        <v>2690</v>
      </c>
      <c r="F42">
        <v>21</v>
      </c>
      <c r="G42">
        <v>925000</v>
      </c>
      <c r="H42">
        <v>925000</v>
      </c>
      <c r="I42" t="s">
        <v>8</v>
      </c>
      <c r="J42">
        <v>0</v>
      </c>
      <c r="K42">
        <v>0</v>
      </c>
      <c r="L42">
        <v>0</v>
      </c>
      <c r="M42">
        <v>0</v>
      </c>
    </row>
    <row r="43" spans="1:13" ht="15" customHeight="1" x14ac:dyDescent="0.25">
      <c r="A43" t="s">
        <v>1836</v>
      </c>
      <c r="B43" t="s">
        <v>29</v>
      </c>
      <c r="C43">
        <v>0</v>
      </c>
      <c r="D43" t="s">
        <v>2684</v>
      </c>
      <c r="E43" t="s">
        <v>2677</v>
      </c>
      <c r="F43">
        <v>25</v>
      </c>
      <c r="G43">
        <v>1000000</v>
      </c>
      <c r="H43">
        <v>1000000</v>
      </c>
      <c r="I43" t="s">
        <v>8</v>
      </c>
      <c r="J43">
        <v>0</v>
      </c>
      <c r="K43">
        <v>0</v>
      </c>
      <c r="L43">
        <v>0</v>
      </c>
      <c r="M43">
        <v>0</v>
      </c>
    </row>
    <row r="44" spans="1:13" ht="15" customHeight="1" x14ac:dyDescent="0.25">
      <c r="A44" t="s">
        <v>1425</v>
      </c>
      <c r="B44" t="s">
        <v>17</v>
      </c>
      <c r="C44">
        <v>0</v>
      </c>
      <c r="D44" t="s">
        <v>2494</v>
      </c>
      <c r="E44" t="s">
        <v>2439</v>
      </c>
      <c r="F44">
        <v>25</v>
      </c>
      <c r="G44">
        <v>3000000</v>
      </c>
      <c r="H44" t="s">
        <v>8</v>
      </c>
      <c r="I44">
        <v>0</v>
      </c>
      <c r="J44">
        <v>0</v>
      </c>
      <c r="K44">
        <v>0</v>
      </c>
      <c r="L44">
        <v>0</v>
      </c>
      <c r="M44">
        <v>0</v>
      </c>
    </row>
    <row r="45" spans="1:13" ht="15" customHeight="1" x14ac:dyDescent="0.25">
      <c r="A45" t="s">
        <v>2817</v>
      </c>
      <c r="B45" t="s">
        <v>14</v>
      </c>
      <c r="C45" t="s">
        <v>372</v>
      </c>
      <c r="D45" t="s">
        <v>2441</v>
      </c>
      <c r="E45" t="s">
        <v>2439</v>
      </c>
      <c r="F45">
        <v>30</v>
      </c>
      <c r="G45">
        <v>5875000</v>
      </c>
      <c r="H45">
        <v>5875000</v>
      </c>
      <c r="I45">
        <v>5875000</v>
      </c>
      <c r="J45">
        <v>5875000</v>
      </c>
      <c r="K45">
        <v>5875000</v>
      </c>
      <c r="L45">
        <v>5875000</v>
      </c>
      <c r="M45" t="s">
        <v>7</v>
      </c>
    </row>
    <row r="46" spans="1:13" ht="15" customHeight="1" x14ac:dyDescent="0.25">
      <c r="A46" t="s">
        <v>2888</v>
      </c>
      <c r="B46" t="s">
        <v>28</v>
      </c>
      <c r="C46">
        <v>0</v>
      </c>
      <c r="D46" t="s">
        <v>2438</v>
      </c>
      <c r="E46" t="s">
        <v>2446</v>
      </c>
      <c r="F46">
        <v>23</v>
      </c>
      <c r="G46">
        <v>700000</v>
      </c>
      <c r="H46" t="s">
        <v>8</v>
      </c>
      <c r="I46">
        <v>0</v>
      </c>
      <c r="J46">
        <v>0</v>
      </c>
      <c r="K46">
        <v>0</v>
      </c>
      <c r="L46">
        <v>0</v>
      </c>
      <c r="M46">
        <v>0</v>
      </c>
    </row>
    <row r="47" spans="1:13" ht="15" customHeight="1" x14ac:dyDescent="0.25">
      <c r="A47" t="s">
        <v>2363</v>
      </c>
      <c r="B47" t="s">
        <v>34</v>
      </c>
      <c r="C47">
        <v>0</v>
      </c>
      <c r="D47" t="s">
        <v>127</v>
      </c>
      <c r="E47" t="s">
        <v>2446</v>
      </c>
      <c r="F47">
        <v>32</v>
      </c>
      <c r="G47">
        <v>675000</v>
      </c>
      <c r="H47" t="s">
        <v>7</v>
      </c>
      <c r="I47">
        <v>0</v>
      </c>
      <c r="J47">
        <v>0</v>
      </c>
      <c r="K47">
        <v>0</v>
      </c>
      <c r="L47">
        <v>0</v>
      </c>
      <c r="M47">
        <v>0</v>
      </c>
    </row>
    <row r="48" spans="1:13" ht="15" customHeight="1" x14ac:dyDescent="0.25">
      <c r="A48" t="s">
        <v>1345</v>
      </c>
      <c r="B48" t="s">
        <v>9</v>
      </c>
      <c r="C48" t="s">
        <v>381</v>
      </c>
      <c r="D48" t="s">
        <v>2448</v>
      </c>
      <c r="E48" t="s">
        <v>2439</v>
      </c>
      <c r="F48">
        <v>35</v>
      </c>
      <c r="G48">
        <v>6000000</v>
      </c>
      <c r="H48">
        <v>6000000</v>
      </c>
      <c r="I48" t="s">
        <v>7</v>
      </c>
      <c r="J48">
        <v>0</v>
      </c>
      <c r="K48">
        <v>0</v>
      </c>
      <c r="L48">
        <v>0</v>
      </c>
      <c r="M48">
        <v>0</v>
      </c>
    </row>
    <row r="49" spans="1:13" ht="15" customHeight="1" x14ac:dyDescent="0.25">
      <c r="A49" t="s">
        <v>2802</v>
      </c>
      <c r="B49" t="s">
        <v>12</v>
      </c>
      <c r="C49" t="s">
        <v>372</v>
      </c>
      <c r="D49" t="s">
        <v>73</v>
      </c>
      <c r="E49" t="s">
        <v>2439</v>
      </c>
      <c r="F49">
        <v>30</v>
      </c>
      <c r="G49">
        <v>5350000</v>
      </c>
      <c r="H49">
        <v>5350000</v>
      </c>
      <c r="I49">
        <v>5350000</v>
      </c>
      <c r="J49">
        <v>5350000</v>
      </c>
      <c r="K49">
        <v>5350000</v>
      </c>
      <c r="L49" t="s">
        <v>7</v>
      </c>
      <c r="M49">
        <v>0</v>
      </c>
    </row>
    <row r="50" spans="1:13" ht="15" customHeight="1" x14ac:dyDescent="0.25">
      <c r="A50" t="s">
        <v>2870</v>
      </c>
      <c r="B50" t="s">
        <v>2503</v>
      </c>
      <c r="C50" t="s">
        <v>381</v>
      </c>
      <c r="D50" t="s">
        <v>73</v>
      </c>
      <c r="E50" t="s">
        <v>2677</v>
      </c>
      <c r="F50">
        <v>31</v>
      </c>
      <c r="G50">
        <v>6700000</v>
      </c>
      <c r="H50" t="s">
        <v>7</v>
      </c>
      <c r="I50">
        <v>0</v>
      </c>
      <c r="J50">
        <v>0</v>
      </c>
      <c r="K50">
        <v>0</v>
      </c>
      <c r="L50">
        <v>0</v>
      </c>
      <c r="M50">
        <v>0</v>
      </c>
    </row>
    <row r="51" spans="1:13" ht="15" customHeight="1" x14ac:dyDescent="0.25">
      <c r="A51" t="s">
        <v>1723</v>
      </c>
      <c r="B51" t="s">
        <v>24</v>
      </c>
      <c r="C51">
        <v>0</v>
      </c>
      <c r="D51" t="s">
        <v>2450</v>
      </c>
      <c r="E51" t="s">
        <v>2446</v>
      </c>
      <c r="F51">
        <v>24</v>
      </c>
      <c r="G51">
        <v>700000</v>
      </c>
      <c r="H51" t="s">
        <v>8</v>
      </c>
      <c r="I51">
        <v>0</v>
      </c>
      <c r="J51">
        <v>0</v>
      </c>
      <c r="K51">
        <v>0</v>
      </c>
      <c r="L51">
        <v>0</v>
      </c>
      <c r="M51">
        <v>0</v>
      </c>
    </row>
    <row r="52" spans="1:13" ht="15" customHeight="1" x14ac:dyDescent="0.25">
      <c r="A52" t="s">
        <v>2330</v>
      </c>
      <c r="B52" t="s">
        <v>34</v>
      </c>
      <c r="C52">
        <v>0</v>
      </c>
      <c r="D52" t="s">
        <v>2440</v>
      </c>
      <c r="E52" t="s">
        <v>2439</v>
      </c>
      <c r="F52">
        <v>26</v>
      </c>
      <c r="G52">
        <v>3366666</v>
      </c>
      <c r="H52">
        <v>3366666</v>
      </c>
      <c r="I52" t="s">
        <v>7</v>
      </c>
      <c r="J52">
        <v>0</v>
      </c>
      <c r="K52">
        <v>0</v>
      </c>
      <c r="L52">
        <v>0</v>
      </c>
      <c r="M52">
        <v>0</v>
      </c>
    </row>
    <row r="53" spans="1:13" ht="15" customHeight="1" x14ac:dyDescent="0.25">
      <c r="A53" t="s">
        <v>2460</v>
      </c>
      <c r="B53" t="s">
        <v>63</v>
      </c>
      <c r="C53" t="s">
        <v>388</v>
      </c>
      <c r="D53" t="s">
        <v>380</v>
      </c>
      <c r="E53" t="s">
        <v>389</v>
      </c>
      <c r="F53">
        <v>19</v>
      </c>
      <c r="G53">
        <v>925000</v>
      </c>
      <c r="H53">
        <v>925000</v>
      </c>
      <c r="I53">
        <v>925000</v>
      </c>
      <c r="J53" t="s">
        <v>8</v>
      </c>
      <c r="K53">
        <v>0</v>
      </c>
      <c r="L53">
        <v>0</v>
      </c>
      <c r="M53">
        <v>0</v>
      </c>
    </row>
    <row r="54" spans="1:13" ht="15" customHeight="1" x14ac:dyDescent="0.25">
      <c r="A54" t="s">
        <v>2806</v>
      </c>
      <c r="B54" t="s">
        <v>25</v>
      </c>
      <c r="C54">
        <v>0</v>
      </c>
      <c r="D54" t="s">
        <v>2441</v>
      </c>
      <c r="E54" t="s">
        <v>2439</v>
      </c>
      <c r="F54">
        <v>29</v>
      </c>
      <c r="G54">
        <v>5000000</v>
      </c>
      <c r="H54">
        <v>5000000</v>
      </c>
      <c r="I54">
        <v>5000000</v>
      </c>
      <c r="J54">
        <v>5000000</v>
      </c>
      <c r="K54">
        <v>5000000</v>
      </c>
      <c r="L54" t="s">
        <v>7</v>
      </c>
      <c r="M54">
        <v>0</v>
      </c>
    </row>
    <row r="55" spans="1:13" ht="15" customHeight="1" x14ac:dyDescent="0.25">
      <c r="A55" t="s">
        <v>2735</v>
      </c>
      <c r="B55" t="s">
        <v>34</v>
      </c>
      <c r="C55">
        <v>0</v>
      </c>
      <c r="D55" t="s">
        <v>2438</v>
      </c>
      <c r="E55" t="s">
        <v>2446</v>
      </c>
      <c r="F55">
        <v>24</v>
      </c>
      <c r="G55">
        <v>700000</v>
      </c>
      <c r="H55" t="s">
        <v>8</v>
      </c>
      <c r="I55">
        <v>0</v>
      </c>
      <c r="J55">
        <v>0</v>
      </c>
      <c r="K55">
        <v>0</v>
      </c>
      <c r="L55">
        <v>0</v>
      </c>
      <c r="M55">
        <v>0</v>
      </c>
    </row>
    <row r="56" spans="1:13" ht="15" customHeight="1" x14ac:dyDescent="0.25">
      <c r="A56" t="s">
        <v>1469</v>
      </c>
      <c r="B56" t="s">
        <v>2531</v>
      </c>
      <c r="C56" t="s">
        <v>386</v>
      </c>
      <c r="D56" t="s">
        <v>2680</v>
      </c>
      <c r="E56" t="s">
        <v>2690</v>
      </c>
      <c r="F56">
        <v>21</v>
      </c>
      <c r="G56">
        <v>925000</v>
      </c>
      <c r="H56">
        <v>925000</v>
      </c>
      <c r="I56" t="s">
        <v>8</v>
      </c>
      <c r="J56">
        <v>0</v>
      </c>
      <c r="K56">
        <v>0</v>
      </c>
      <c r="L56">
        <v>0</v>
      </c>
      <c r="M56">
        <v>0</v>
      </c>
    </row>
    <row r="57" spans="1:13" ht="15" customHeight="1" x14ac:dyDescent="0.25">
      <c r="A57" t="s">
        <v>2655</v>
      </c>
      <c r="B57" t="s">
        <v>27</v>
      </c>
      <c r="C57" t="s">
        <v>386</v>
      </c>
      <c r="D57" t="s">
        <v>2441</v>
      </c>
      <c r="E57" t="s">
        <v>2446</v>
      </c>
      <c r="F57">
        <v>22</v>
      </c>
      <c r="G57">
        <v>925000</v>
      </c>
      <c r="H57" t="s">
        <v>8</v>
      </c>
      <c r="I57">
        <v>0</v>
      </c>
      <c r="J57">
        <v>0</v>
      </c>
      <c r="K57">
        <v>0</v>
      </c>
      <c r="L57">
        <v>0</v>
      </c>
      <c r="M57">
        <v>0</v>
      </c>
    </row>
    <row r="58" spans="1:13" ht="15" customHeight="1" x14ac:dyDescent="0.25">
      <c r="A58" t="s">
        <v>2051</v>
      </c>
      <c r="B58" t="s">
        <v>31</v>
      </c>
      <c r="C58">
        <v>0</v>
      </c>
      <c r="D58" t="s">
        <v>73</v>
      </c>
      <c r="E58" t="s">
        <v>2677</v>
      </c>
      <c r="F58">
        <v>23</v>
      </c>
      <c r="G58" t="s">
        <v>8</v>
      </c>
      <c r="H58">
        <v>0</v>
      </c>
      <c r="I58">
        <v>0</v>
      </c>
      <c r="J58">
        <v>0</v>
      </c>
      <c r="K58">
        <v>0</v>
      </c>
      <c r="L58">
        <v>0</v>
      </c>
      <c r="M58">
        <v>0</v>
      </c>
    </row>
    <row r="59" spans="1:13" ht="15" customHeight="1" x14ac:dyDescent="0.25">
      <c r="A59" t="s">
        <v>1886</v>
      </c>
      <c r="B59" t="s">
        <v>22</v>
      </c>
      <c r="C59">
        <v>0</v>
      </c>
      <c r="D59" t="s">
        <v>2438</v>
      </c>
      <c r="E59" t="s">
        <v>2446</v>
      </c>
      <c r="F59">
        <v>25</v>
      </c>
      <c r="G59">
        <v>700000</v>
      </c>
      <c r="H59" t="s">
        <v>8</v>
      </c>
      <c r="I59">
        <v>0</v>
      </c>
      <c r="J59">
        <v>0</v>
      </c>
      <c r="K59">
        <v>0</v>
      </c>
      <c r="L59">
        <v>0</v>
      </c>
      <c r="M59">
        <v>0</v>
      </c>
    </row>
    <row r="60" spans="1:13" ht="15" customHeight="1" x14ac:dyDescent="0.25">
      <c r="A60" t="s">
        <v>1928</v>
      </c>
      <c r="B60" t="s">
        <v>15</v>
      </c>
      <c r="C60">
        <v>0</v>
      </c>
      <c r="D60" t="s">
        <v>2445</v>
      </c>
      <c r="E60" t="s">
        <v>2439</v>
      </c>
      <c r="F60">
        <v>29</v>
      </c>
      <c r="G60">
        <v>1450000</v>
      </c>
      <c r="H60" t="s">
        <v>7</v>
      </c>
      <c r="I60">
        <v>0</v>
      </c>
      <c r="J60">
        <v>0</v>
      </c>
      <c r="K60">
        <v>0</v>
      </c>
      <c r="L60">
        <v>0</v>
      </c>
      <c r="M60">
        <v>0</v>
      </c>
    </row>
    <row r="61" spans="1:13" ht="15" customHeight="1" x14ac:dyDescent="0.25">
      <c r="A61" t="s">
        <v>1820</v>
      </c>
      <c r="B61" t="s">
        <v>25</v>
      </c>
      <c r="C61">
        <v>0</v>
      </c>
      <c r="D61" t="s">
        <v>73</v>
      </c>
      <c r="E61" t="s">
        <v>2446</v>
      </c>
      <c r="F61">
        <v>26</v>
      </c>
      <c r="G61">
        <v>700000</v>
      </c>
      <c r="H61">
        <v>700000</v>
      </c>
      <c r="I61" t="s">
        <v>7</v>
      </c>
      <c r="J61">
        <v>0</v>
      </c>
      <c r="K61">
        <v>0</v>
      </c>
      <c r="L61">
        <v>0</v>
      </c>
      <c r="M61">
        <v>0</v>
      </c>
    </row>
    <row r="62" spans="1:13" ht="15" customHeight="1" x14ac:dyDescent="0.25">
      <c r="A62" t="s">
        <v>2889</v>
      </c>
      <c r="B62" t="s">
        <v>21</v>
      </c>
      <c r="C62" t="s">
        <v>386</v>
      </c>
      <c r="D62" t="s">
        <v>127</v>
      </c>
      <c r="E62" t="s">
        <v>2446</v>
      </c>
      <c r="F62">
        <v>20</v>
      </c>
      <c r="G62">
        <v>733333</v>
      </c>
      <c r="H62">
        <v>733333</v>
      </c>
      <c r="I62">
        <v>733333</v>
      </c>
      <c r="J62" t="s">
        <v>8</v>
      </c>
      <c r="K62">
        <v>0</v>
      </c>
      <c r="L62">
        <v>0</v>
      </c>
      <c r="M62">
        <v>0</v>
      </c>
    </row>
    <row r="63" spans="1:13" ht="15" customHeight="1" x14ac:dyDescent="0.25">
      <c r="A63" t="s">
        <v>2831</v>
      </c>
      <c r="B63" t="s">
        <v>2531</v>
      </c>
      <c r="C63">
        <v>0</v>
      </c>
      <c r="D63" t="s">
        <v>73</v>
      </c>
      <c r="E63" t="s">
        <v>2677</v>
      </c>
      <c r="F63">
        <v>23</v>
      </c>
      <c r="G63">
        <v>5900000</v>
      </c>
      <c r="H63">
        <v>5900000</v>
      </c>
      <c r="I63">
        <v>5900000</v>
      </c>
      <c r="J63" t="s">
        <v>7</v>
      </c>
      <c r="K63">
        <v>0</v>
      </c>
      <c r="L63">
        <v>0</v>
      </c>
      <c r="M63">
        <v>0</v>
      </c>
    </row>
    <row r="64" spans="1:13" ht="15" customHeight="1" x14ac:dyDescent="0.25">
      <c r="A64" t="s">
        <v>2890</v>
      </c>
      <c r="B64" t="s">
        <v>32</v>
      </c>
      <c r="C64" t="s">
        <v>386</v>
      </c>
      <c r="D64" t="s">
        <v>73</v>
      </c>
      <c r="E64" t="s">
        <v>2446</v>
      </c>
      <c r="F64">
        <v>22</v>
      </c>
      <c r="G64">
        <v>759258</v>
      </c>
      <c r="H64">
        <v>759258</v>
      </c>
      <c r="I64" t="s">
        <v>8</v>
      </c>
      <c r="J64">
        <v>0</v>
      </c>
      <c r="K64">
        <v>0</v>
      </c>
      <c r="L64">
        <v>0</v>
      </c>
      <c r="M64">
        <v>0</v>
      </c>
    </row>
    <row r="65" spans="1:13" ht="15" customHeight="1" x14ac:dyDescent="0.25">
      <c r="A65" t="s">
        <v>1924</v>
      </c>
      <c r="B65" t="s">
        <v>33</v>
      </c>
      <c r="C65" t="s">
        <v>2686</v>
      </c>
      <c r="D65" t="s">
        <v>379</v>
      </c>
      <c r="E65" t="s">
        <v>2677</v>
      </c>
      <c r="F65">
        <v>28</v>
      </c>
      <c r="G65">
        <v>2750000</v>
      </c>
      <c r="H65" t="s">
        <v>7</v>
      </c>
      <c r="I65">
        <v>0</v>
      </c>
      <c r="J65">
        <v>0</v>
      </c>
      <c r="K65">
        <v>0</v>
      </c>
      <c r="L65">
        <v>0</v>
      </c>
      <c r="M65">
        <v>0</v>
      </c>
    </row>
    <row r="66" spans="1:13" ht="15" customHeight="1" x14ac:dyDescent="0.25">
      <c r="A66" t="s">
        <v>1942</v>
      </c>
      <c r="B66" t="s">
        <v>15</v>
      </c>
      <c r="C66" t="s">
        <v>386</v>
      </c>
      <c r="D66" t="s">
        <v>2440</v>
      </c>
      <c r="E66" t="s">
        <v>2446</v>
      </c>
      <c r="F66">
        <v>20</v>
      </c>
      <c r="G66">
        <v>741666</v>
      </c>
      <c r="H66">
        <v>741666</v>
      </c>
      <c r="I66" t="s">
        <v>8</v>
      </c>
      <c r="J66">
        <v>0</v>
      </c>
      <c r="K66">
        <v>0</v>
      </c>
      <c r="L66">
        <v>0</v>
      </c>
      <c r="M66">
        <v>0</v>
      </c>
    </row>
    <row r="67" spans="1:13" ht="15" customHeight="1" x14ac:dyDescent="0.25">
      <c r="A67" t="s">
        <v>2015</v>
      </c>
      <c r="B67" t="s">
        <v>21</v>
      </c>
      <c r="C67">
        <v>0</v>
      </c>
      <c r="D67" t="s">
        <v>2444</v>
      </c>
      <c r="E67" t="s">
        <v>2446</v>
      </c>
      <c r="F67">
        <v>31</v>
      </c>
      <c r="G67">
        <v>700000</v>
      </c>
      <c r="H67" t="s">
        <v>7</v>
      </c>
      <c r="I67">
        <v>0</v>
      </c>
      <c r="J67">
        <v>0</v>
      </c>
      <c r="K67">
        <v>0</v>
      </c>
      <c r="L67">
        <v>0</v>
      </c>
      <c r="M67">
        <v>0</v>
      </c>
    </row>
    <row r="68" spans="1:13" ht="15" customHeight="1" x14ac:dyDescent="0.25">
      <c r="A68" t="s">
        <v>1732</v>
      </c>
      <c r="B68" t="s">
        <v>25</v>
      </c>
      <c r="C68" t="s">
        <v>403</v>
      </c>
      <c r="D68" t="s">
        <v>73</v>
      </c>
      <c r="E68" t="s">
        <v>2439</v>
      </c>
      <c r="F68">
        <v>22</v>
      </c>
      <c r="G68">
        <v>1263333</v>
      </c>
      <c r="H68" t="s">
        <v>8</v>
      </c>
      <c r="I68">
        <v>0</v>
      </c>
      <c r="J68">
        <v>0</v>
      </c>
      <c r="K68">
        <v>0</v>
      </c>
      <c r="L68">
        <v>0</v>
      </c>
      <c r="M68">
        <v>0</v>
      </c>
    </row>
    <row r="69" spans="1:13" ht="15" customHeight="1" x14ac:dyDescent="0.25">
      <c r="A69" t="s">
        <v>1716</v>
      </c>
      <c r="B69" t="s">
        <v>24</v>
      </c>
      <c r="C69" t="s">
        <v>386</v>
      </c>
      <c r="D69" t="s">
        <v>2453</v>
      </c>
      <c r="E69" t="s">
        <v>2446</v>
      </c>
      <c r="F69">
        <v>21</v>
      </c>
      <c r="G69">
        <v>905000</v>
      </c>
      <c r="H69">
        <v>905000</v>
      </c>
      <c r="I69" t="s">
        <v>8</v>
      </c>
      <c r="J69">
        <v>0</v>
      </c>
      <c r="K69">
        <v>0</v>
      </c>
      <c r="L69">
        <v>0</v>
      </c>
      <c r="M69">
        <v>0</v>
      </c>
    </row>
    <row r="70" spans="1:13" ht="15" customHeight="1" x14ac:dyDescent="0.25">
      <c r="A70" t="s">
        <v>1540</v>
      </c>
      <c r="B70" t="s">
        <v>27</v>
      </c>
      <c r="C70" t="s">
        <v>386</v>
      </c>
      <c r="D70" t="s">
        <v>73</v>
      </c>
      <c r="E70" t="s">
        <v>2439</v>
      </c>
      <c r="F70">
        <v>21</v>
      </c>
      <c r="G70">
        <v>773333</v>
      </c>
      <c r="H70">
        <v>773333</v>
      </c>
      <c r="I70" t="s">
        <v>8</v>
      </c>
      <c r="J70">
        <v>0</v>
      </c>
      <c r="K70">
        <v>0</v>
      </c>
      <c r="L70">
        <v>0</v>
      </c>
      <c r="M70">
        <v>0</v>
      </c>
    </row>
    <row r="71" spans="1:13" ht="15" customHeight="1" x14ac:dyDescent="0.25">
      <c r="A71" t="s">
        <v>1964</v>
      </c>
      <c r="B71" t="s">
        <v>16</v>
      </c>
      <c r="C71">
        <v>0</v>
      </c>
      <c r="D71" t="s">
        <v>82</v>
      </c>
      <c r="E71" t="s">
        <v>2690</v>
      </c>
      <c r="F71">
        <v>25</v>
      </c>
      <c r="G71">
        <v>700000</v>
      </c>
      <c r="H71" t="s">
        <v>8</v>
      </c>
      <c r="I71">
        <v>0</v>
      </c>
      <c r="J71">
        <v>0</v>
      </c>
      <c r="K71">
        <v>0</v>
      </c>
      <c r="L71">
        <v>0</v>
      </c>
      <c r="M71">
        <v>0</v>
      </c>
    </row>
    <row r="72" spans="1:13" ht="15" customHeight="1" x14ac:dyDescent="0.25">
      <c r="A72" t="s">
        <v>2333</v>
      </c>
      <c r="B72" t="s">
        <v>34</v>
      </c>
      <c r="C72" t="s">
        <v>381</v>
      </c>
      <c r="D72" t="s">
        <v>73</v>
      </c>
      <c r="E72" t="s">
        <v>2439</v>
      </c>
      <c r="F72">
        <v>33</v>
      </c>
      <c r="G72">
        <v>3000000</v>
      </c>
      <c r="H72">
        <v>3000000</v>
      </c>
      <c r="I72">
        <v>3000000</v>
      </c>
      <c r="J72" t="s">
        <v>7</v>
      </c>
      <c r="K72">
        <v>0</v>
      </c>
      <c r="L72">
        <v>0</v>
      </c>
      <c r="M72">
        <v>0</v>
      </c>
    </row>
    <row r="73" spans="1:13" ht="15" customHeight="1" x14ac:dyDescent="0.25">
      <c r="A73" t="s">
        <v>1634</v>
      </c>
      <c r="B73" t="s">
        <v>11</v>
      </c>
      <c r="C73" t="s">
        <v>386</v>
      </c>
      <c r="D73" t="s">
        <v>2445</v>
      </c>
      <c r="E73" t="s">
        <v>2446</v>
      </c>
      <c r="F73">
        <v>20</v>
      </c>
      <c r="G73">
        <v>1363333</v>
      </c>
      <c r="H73">
        <v>1363333</v>
      </c>
      <c r="I73" t="s">
        <v>8</v>
      </c>
      <c r="J73">
        <v>0</v>
      </c>
      <c r="K73">
        <v>0</v>
      </c>
      <c r="L73">
        <v>0</v>
      </c>
      <c r="M73">
        <v>0</v>
      </c>
    </row>
    <row r="74" spans="1:13" ht="15" customHeight="1" x14ac:dyDescent="0.25">
      <c r="A74" t="s">
        <v>2248</v>
      </c>
      <c r="B74" t="s">
        <v>18</v>
      </c>
      <c r="C74" t="s">
        <v>386</v>
      </c>
      <c r="D74" t="s">
        <v>2444</v>
      </c>
      <c r="E74" t="s">
        <v>2446</v>
      </c>
      <c r="F74">
        <v>22</v>
      </c>
      <c r="G74">
        <v>798333</v>
      </c>
      <c r="H74" t="s">
        <v>8</v>
      </c>
      <c r="I74">
        <v>0</v>
      </c>
      <c r="J74">
        <v>0</v>
      </c>
      <c r="K74">
        <v>0</v>
      </c>
      <c r="L74">
        <v>0</v>
      </c>
      <c r="M74">
        <v>0</v>
      </c>
    </row>
    <row r="75" spans="1:13" ht="15" customHeight="1" x14ac:dyDescent="0.25">
      <c r="A75" t="s">
        <v>1941</v>
      </c>
      <c r="B75" t="s">
        <v>27</v>
      </c>
      <c r="C75" t="s">
        <v>386</v>
      </c>
      <c r="D75" t="s">
        <v>2448</v>
      </c>
      <c r="E75" t="s">
        <v>2446</v>
      </c>
      <c r="F75">
        <v>22</v>
      </c>
      <c r="G75">
        <v>816667</v>
      </c>
      <c r="H75" t="s">
        <v>8</v>
      </c>
      <c r="I75">
        <v>0</v>
      </c>
      <c r="J75">
        <v>0</v>
      </c>
      <c r="K75">
        <v>0</v>
      </c>
      <c r="L75">
        <v>0</v>
      </c>
      <c r="M75">
        <v>0</v>
      </c>
    </row>
    <row r="76" spans="1:13" ht="15" customHeight="1" x14ac:dyDescent="0.25">
      <c r="A76" t="s">
        <v>2471</v>
      </c>
      <c r="B76" t="s">
        <v>13</v>
      </c>
      <c r="C76" t="s">
        <v>388</v>
      </c>
      <c r="D76" t="s">
        <v>82</v>
      </c>
      <c r="E76" t="s">
        <v>389</v>
      </c>
      <c r="F76">
        <v>19</v>
      </c>
      <c r="G76">
        <v>1135833</v>
      </c>
      <c r="H76">
        <v>1135833</v>
      </c>
      <c r="I76">
        <v>1135833</v>
      </c>
      <c r="J76" t="s">
        <v>8</v>
      </c>
      <c r="K76">
        <v>0</v>
      </c>
      <c r="L76">
        <v>0</v>
      </c>
      <c r="M76">
        <v>0</v>
      </c>
    </row>
    <row r="77" spans="1:13" ht="15" customHeight="1" x14ac:dyDescent="0.25">
      <c r="A77" t="s">
        <v>1395</v>
      </c>
      <c r="B77" t="s">
        <v>35</v>
      </c>
      <c r="C77">
        <v>0</v>
      </c>
      <c r="D77" t="s">
        <v>2445</v>
      </c>
      <c r="E77" t="s">
        <v>2439</v>
      </c>
      <c r="F77">
        <v>26</v>
      </c>
      <c r="G77">
        <v>1000000</v>
      </c>
      <c r="H77" t="s">
        <v>7</v>
      </c>
      <c r="I77">
        <v>0</v>
      </c>
      <c r="J77">
        <v>0</v>
      </c>
      <c r="K77">
        <v>0</v>
      </c>
      <c r="L77">
        <v>0</v>
      </c>
      <c r="M77">
        <v>0</v>
      </c>
    </row>
    <row r="78" spans="1:13" ht="15" customHeight="1" x14ac:dyDescent="0.25">
      <c r="A78" t="s">
        <v>1731</v>
      </c>
      <c r="B78" t="s">
        <v>25</v>
      </c>
      <c r="C78">
        <v>0</v>
      </c>
      <c r="D78" t="s">
        <v>2440</v>
      </c>
      <c r="E78" t="s">
        <v>2439</v>
      </c>
      <c r="F78">
        <v>22</v>
      </c>
      <c r="G78" t="s">
        <v>8</v>
      </c>
      <c r="H78">
        <v>0</v>
      </c>
      <c r="I78">
        <v>0</v>
      </c>
      <c r="J78">
        <v>0</v>
      </c>
      <c r="K78">
        <v>0</v>
      </c>
      <c r="L78">
        <v>0</v>
      </c>
      <c r="M78">
        <v>0</v>
      </c>
    </row>
    <row r="79" spans="1:13" ht="15" customHeight="1" x14ac:dyDescent="0.25">
      <c r="A79" t="s">
        <v>2618</v>
      </c>
      <c r="B79" t="s">
        <v>21</v>
      </c>
      <c r="C79">
        <v>0</v>
      </c>
      <c r="D79" t="s">
        <v>2440</v>
      </c>
      <c r="E79" t="s">
        <v>2446</v>
      </c>
      <c r="F79">
        <v>29</v>
      </c>
      <c r="G79">
        <v>675000</v>
      </c>
      <c r="H79" t="s">
        <v>7</v>
      </c>
      <c r="I79">
        <v>0</v>
      </c>
      <c r="J79">
        <v>0</v>
      </c>
      <c r="K79">
        <v>0</v>
      </c>
      <c r="L79">
        <v>0</v>
      </c>
      <c r="M79">
        <v>0</v>
      </c>
    </row>
    <row r="80" spans="1:13" ht="15" customHeight="1" x14ac:dyDescent="0.25">
      <c r="A80" t="s">
        <v>2538</v>
      </c>
      <c r="B80" t="s">
        <v>2531</v>
      </c>
      <c r="C80" t="s">
        <v>386</v>
      </c>
      <c r="D80" t="s">
        <v>127</v>
      </c>
      <c r="E80" t="s">
        <v>2690</v>
      </c>
      <c r="F80">
        <v>22</v>
      </c>
      <c r="G80">
        <v>925000</v>
      </c>
      <c r="H80">
        <v>925000</v>
      </c>
      <c r="I80" t="s">
        <v>8</v>
      </c>
      <c r="J80">
        <v>0</v>
      </c>
      <c r="K80">
        <v>0</v>
      </c>
      <c r="L80">
        <v>0</v>
      </c>
      <c r="M80">
        <v>0</v>
      </c>
    </row>
    <row r="81" spans="1:13" ht="15" customHeight="1" x14ac:dyDescent="0.25">
      <c r="A81" t="s">
        <v>1362</v>
      </c>
      <c r="B81" t="s">
        <v>26</v>
      </c>
      <c r="C81" t="s">
        <v>2686</v>
      </c>
      <c r="D81" t="s">
        <v>93</v>
      </c>
      <c r="E81" t="s">
        <v>2677</v>
      </c>
      <c r="F81">
        <v>31</v>
      </c>
      <c r="G81">
        <v>1900000</v>
      </c>
      <c r="H81" t="s">
        <v>7</v>
      </c>
      <c r="I81">
        <v>0</v>
      </c>
      <c r="J81">
        <v>0</v>
      </c>
      <c r="K81">
        <v>0</v>
      </c>
      <c r="L81">
        <v>0</v>
      </c>
      <c r="M81">
        <v>0</v>
      </c>
    </row>
    <row r="82" spans="1:13" ht="15" customHeight="1" x14ac:dyDescent="0.25">
      <c r="A82" t="s">
        <v>2891</v>
      </c>
      <c r="B82" t="s">
        <v>15</v>
      </c>
      <c r="C82">
        <v>0</v>
      </c>
      <c r="D82" t="s">
        <v>2450</v>
      </c>
      <c r="E82" t="s">
        <v>2439</v>
      </c>
      <c r="F82">
        <v>34</v>
      </c>
      <c r="G82">
        <v>1800000</v>
      </c>
      <c r="H82">
        <v>1800000</v>
      </c>
      <c r="I82" t="s">
        <v>7</v>
      </c>
      <c r="J82">
        <v>0</v>
      </c>
      <c r="K82">
        <v>0</v>
      </c>
      <c r="L82">
        <v>0</v>
      </c>
      <c r="M82">
        <v>0</v>
      </c>
    </row>
    <row r="83" spans="1:13" ht="15" customHeight="1" x14ac:dyDescent="0.25">
      <c r="A83" t="s">
        <v>1843</v>
      </c>
      <c r="B83" t="s">
        <v>29</v>
      </c>
      <c r="C83" t="s">
        <v>386</v>
      </c>
      <c r="D83" t="s">
        <v>73</v>
      </c>
      <c r="E83" t="s">
        <v>2690</v>
      </c>
      <c r="F83">
        <v>20</v>
      </c>
      <c r="G83">
        <v>733333</v>
      </c>
      <c r="H83">
        <v>733333</v>
      </c>
      <c r="I83">
        <v>733333</v>
      </c>
      <c r="J83" t="s">
        <v>8</v>
      </c>
      <c r="K83">
        <v>0</v>
      </c>
      <c r="L83">
        <v>0</v>
      </c>
      <c r="M83">
        <v>0</v>
      </c>
    </row>
    <row r="84" spans="1:13" ht="15" customHeight="1" x14ac:dyDescent="0.25">
      <c r="A84" t="s">
        <v>1743</v>
      </c>
      <c r="B84" t="s">
        <v>25</v>
      </c>
      <c r="C84" t="s">
        <v>386</v>
      </c>
      <c r="D84" t="s">
        <v>2452</v>
      </c>
      <c r="E84" t="s">
        <v>2446</v>
      </c>
      <c r="F84">
        <v>21</v>
      </c>
      <c r="G84">
        <v>1106666</v>
      </c>
      <c r="H84">
        <v>1106666</v>
      </c>
      <c r="I84" t="s">
        <v>8</v>
      </c>
      <c r="J84">
        <v>0</v>
      </c>
      <c r="K84">
        <v>0</v>
      </c>
      <c r="L84">
        <v>0</v>
      </c>
      <c r="M84">
        <v>0</v>
      </c>
    </row>
    <row r="85" spans="1:13" ht="15" customHeight="1" x14ac:dyDescent="0.25">
      <c r="A85" t="s">
        <v>2005</v>
      </c>
      <c r="B85" t="s">
        <v>21</v>
      </c>
      <c r="C85">
        <v>0</v>
      </c>
      <c r="D85" t="s">
        <v>2444</v>
      </c>
      <c r="E85" t="s">
        <v>2446</v>
      </c>
      <c r="F85">
        <v>23</v>
      </c>
      <c r="G85" t="s">
        <v>8</v>
      </c>
      <c r="H85">
        <v>0</v>
      </c>
      <c r="I85">
        <v>0</v>
      </c>
      <c r="J85">
        <v>0</v>
      </c>
      <c r="K85">
        <v>0</v>
      </c>
      <c r="L85">
        <v>0</v>
      </c>
      <c r="M85">
        <v>0</v>
      </c>
    </row>
    <row r="86" spans="1:13" ht="15" customHeight="1" x14ac:dyDescent="0.25">
      <c r="A86" t="s">
        <v>2604</v>
      </c>
      <c r="B86" t="s">
        <v>22</v>
      </c>
      <c r="C86">
        <v>0</v>
      </c>
      <c r="D86" t="s">
        <v>2453</v>
      </c>
      <c r="E86" t="s">
        <v>2446</v>
      </c>
      <c r="F86">
        <v>27</v>
      </c>
      <c r="G86">
        <v>700000</v>
      </c>
      <c r="H86" t="s">
        <v>7</v>
      </c>
      <c r="I86">
        <v>0</v>
      </c>
      <c r="J86">
        <v>0</v>
      </c>
      <c r="K86">
        <v>0</v>
      </c>
      <c r="L86">
        <v>0</v>
      </c>
      <c r="M86">
        <v>0</v>
      </c>
    </row>
    <row r="87" spans="1:13" ht="15" customHeight="1" x14ac:dyDescent="0.25">
      <c r="A87" t="s">
        <v>2847</v>
      </c>
      <c r="B87" t="s">
        <v>14</v>
      </c>
      <c r="C87" t="s">
        <v>386</v>
      </c>
      <c r="D87" t="s">
        <v>2448</v>
      </c>
      <c r="E87" t="s">
        <v>2446</v>
      </c>
      <c r="F87">
        <v>20</v>
      </c>
      <c r="G87">
        <v>1633333</v>
      </c>
      <c r="H87">
        <v>1633333</v>
      </c>
      <c r="I87">
        <v>1633333</v>
      </c>
      <c r="J87" t="s">
        <v>8</v>
      </c>
      <c r="K87">
        <v>0</v>
      </c>
      <c r="L87">
        <v>0</v>
      </c>
      <c r="M87">
        <v>0</v>
      </c>
    </row>
    <row r="88" spans="1:13" ht="15" customHeight="1" x14ac:dyDescent="0.25">
      <c r="A88" t="s">
        <v>2828</v>
      </c>
      <c r="B88" t="s">
        <v>16</v>
      </c>
      <c r="C88" t="s">
        <v>420</v>
      </c>
      <c r="D88" t="s">
        <v>93</v>
      </c>
      <c r="E88" t="s">
        <v>2677</v>
      </c>
      <c r="F88">
        <v>30</v>
      </c>
      <c r="G88">
        <v>9500000</v>
      </c>
      <c r="H88">
        <v>9500000</v>
      </c>
      <c r="I88">
        <v>9500000</v>
      </c>
      <c r="J88">
        <v>9500000</v>
      </c>
      <c r="K88">
        <v>9500000</v>
      </c>
      <c r="L88">
        <v>9500000</v>
      </c>
      <c r="M88" t="s">
        <v>7</v>
      </c>
    </row>
    <row r="89" spans="1:13" ht="15" customHeight="1" x14ac:dyDescent="0.25">
      <c r="A89" t="s">
        <v>1491</v>
      </c>
      <c r="B89" t="s">
        <v>34</v>
      </c>
      <c r="C89">
        <v>0</v>
      </c>
      <c r="D89" t="s">
        <v>2445</v>
      </c>
      <c r="E89" t="s">
        <v>2439</v>
      </c>
      <c r="F89">
        <v>32</v>
      </c>
      <c r="G89">
        <v>2000000</v>
      </c>
      <c r="H89">
        <v>2000000</v>
      </c>
      <c r="I89" t="s">
        <v>7</v>
      </c>
      <c r="J89">
        <v>0</v>
      </c>
      <c r="K89">
        <v>0</v>
      </c>
      <c r="L89">
        <v>0</v>
      </c>
      <c r="M89">
        <v>0</v>
      </c>
    </row>
    <row r="90" spans="1:13" ht="15" customHeight="1" x14ac:dyDescent="0.25">
      <c r="A90" t="s">
        <v>2458</v>
      </c>
      <c r="B90" t="s">
        <v>63</v>
      </c>
      <c r="C90">
        <v>0</v>
      </c>
      <c r="D90" t="s">
        <v>2680</v>
      </c>
      <c r="E90" t="s">
        <v>2690</v>
      </c>
      <c r="F90">
        <v>27</v>
      </c>
      <c r="G90">
        <v>725000</v>
      </c>
      <c r="H90" t="s">
        <v>7</v>
      </c>
      <c r="I90">
        <v>0</v>
      </c>
      <c r="J90">
        <v>0</v>
      </c>
      <c r="K90">
        <v>0</v>
      </c>
      <c r="L90">
        <v>0</v>
      </c>
      <c r="M90">
        <v>0</v>
      </c>
    </row>
    <row r="91" spans="1:13" ht="15" customHeight="1" x14ac:dyDescent="0.25">
      <c r="A91" t="s">
        <v>2193</v>
      </c>
      <c r="B91" t="s">
        <v>12</v>
      </c>
      <c r="C91">
        <v>0</v>
      </c>
      <c r="D91" t="s">
        <v>2454</v>
      </c>
      <c r="E91" t="s">
        <v>2439</v>
      </c>
      <c r="F91">
        <v>23</v>
      </c>
      <c r="G91">
        <v>2550000</v>
      </c>
      <c r="H91">
        <v>2550000</v>
      </c>
      <c r="I91" t="s">
        <v>8</v>
      </c>
      <c r="J91">
        <v>0</v>
      </c>
      <c r="K91">
        <v>0</v>
      </c>
      <c r="L91">
        <v>0</v>
      </c>
      <c r="M91">
        <v>0</v>
      </c>
    </row>
    <row r="92" spans="1:13" ht="15" customHeight="1" x14ac:dyDescent="0.25">
      <c r="A92" t="s">
        <v>2226</v>
      </c>
      <c r="B92" t="s">
        <v>18</v>
      </c>
      <c r="C92">
        <v>0</v>
      </c>
      <c r="D92" t="s">
        <v>2444</v>
      </c>
      <c r="E92" t="s">
        <v>2439</v>
      </c>
      <c r="F92">
        <v>25</v>
      </c>
      <c r="G92">
        <v>1900000</v>
      </c>
      <c r="H92" t="s">
        <v>8</v>
      </c>
      <c r="I92">
        <v>0</v>
      </c>
      <c r="J92">
        <v>0</v>
      </c>
      <c r="K92">
        <v>0</v>
      </c>
      <c r="L92">
        <v>0</v>
      </c>
      <c r="M92">
        <v>0</v>
      </c>
    </row>
    <row r="93" spans="1:13" ht="15" customHeight="1" x14ac:dyDescent="0.25">
      <c r="A93" t="s">
        <v>2579</v>
      </c>
      <c r="B93" t="s">
        <v>6</v>
      </c>
      <c r="C93" t="s">
        <v>386</v>
      </c>
      <c r="D93" t="s">
        <v>2445</v>
      </c>
      <c r="E93" t="s">
        <v>2446</v>
      </c>
      <c r="F93">
        <v>20</v>
      </c>
      <c r="G93">
        <v>925000</v>
      </c>
      <c r="H93">
        <v>925000</v>
      </c>
      <c r="I93">
        <v>925000</v>
      </c>
      <c r="J93" t="s">
        <v>8</v>
      </c>
      <c r="K93">
        <v>0</v>
      </c>
      <c r="L93">
        <v>0</v>
      </c>
      <c r="M93">
        <v>0</v>
      </c>
    </row>
    <row r="94" spans="1:13" ht="15" customHeight="1" x14ac:dyDescent="0.25">
      <c r="A94" t="s">
        <v>2239</v>
      </c>
      <c r="B94" t="s">
        <v>18</v>
      </c>
      <c r="C94" t="s">
        <v>386</v>
      </c>
      <c r="D94" t="s">
        <v>2440</v>
      </c>
      <c r="E94" t="s">
        <v>2446</v>
      </c>
      <c r="F94">
        <v>21</v>
      </c>
      <c r="G94">
        <v>863333</v>
      </c>
      <c r="H94">
        <v>863333</v>
      </c>
      <c r="I94" t="s">
        <v>8</v>
      </c>
      <c r="J94">
        <v>0</v>
      </c>
      <c r="K94">
        <v>0</v>
      </c>
      <c r="L94">
        <v>0</v>
      </c>
      <c r="M94">
        <v>0</v>
      </c>
    </row>
    <row r="95" spans="1:13" ht="15" customHeight="1" x14ac:dyDescent="0.25">
      <c r="A95" t="s">
        <v>2104</v>
      </c>
      <c r="B95" t="s">
        <v>35</v>
      </c>
      <c r="C95" t="s">
        <v>386</v>
      </c>
      <c r="D95" t="s">
        <v>127</v>
      </c>
      <c r="E95" t="s">
        <v>2446</v>
      </c>
      <c r="F95">
        <v>21</v>
      </c>
      <c r="G95">
        <v>766666</v>
      </c>
      <c r="H95">
        <v>766666</v>
      </c>
      <c r="I95" t="s">
        <v>8</v>
      </c>
      <c r="J95">
        <v>0</v>
      </c>
      <c r="K95">
        <v>0</v>
      </c>
      <c r="L95">
        <v>0</v>
      </c>
      <c r="M95">
        <v>0</v>
      </c>
    </row>
    <row r="96" spans="1:13" ht="15" customHeight="1" x14ac:dyDescent="0.25">
      <c r="A96" t="s">
        <v>2800</v>
      </c>
      <c r="B96" t="s">
        <v>9</v>
      </c>
      <c r="C96" t="s">
        <v>420</v>
      </c>
      <c r="D96" t="s">
        <v>73</v>
      </c>
      <c r="E96" t="s">
        <v>2439</v>
      </c>
      <c r="F96">
        <v>34</v>
      </c>
      <c r="G96">
        <v>6875000</v>
      </c>
      <c r="H96">
        <v>6875000</v>
      </c>
      <c r="I96">
        <v>6875000</v>
      </c>
      <c r="J96" t="s">
        <v>7</v>
      </c>
      <c r="K96">
        <v>0</v>
      </c>
      <c r="L96">
        <v>0</v>
      </c>
      <c r="M96">
        <v>0</v>
      </c>
    </row>
    <row r="97" spans="1:13" ht="15" customHeight="1" x14ac:dyDescent="0.25">
      <c r="A97" t="s">
        <v>2541</v>
      </c>
      <c r="B97" t="s">
        <v>30</v>
      </c>
      <c r="C97" t="s">
        <v>386</v>
      </c>
      <c r="D97" t="s">
        <v>2442</v>
      </c>
      <c r="E97" t="s">
        <v>2446</v>
      </c>
      <c r="F97">
        <v>20</v>
      </c>
      <c r="G97">
        <v>925000</v>
      </c>
      <c r="H97">
        <v>925000</v>
      </c>
      <c r="I97">
        <v>925000</v>
      </c>
      <c r="J97" t="s">
        <v>8</v>
      </c>
      <c r="K97">
        <v>0</v>
      </c>
      <c r="L97">
        <v>0</v>
      </c>
      <c r="M97">
        <v>0</v>
      </c>
    </row>
    <row r="98" spans="1:13" ht="15" customHeight="1" x14ac:dyDescent="0.25">
      <c r="A98" t="s">
        <v>1436</v>
      </c>
      <c r="B98" t="s">
        <v>17</v>
      </c>
      <c r="C98">
        <v>0</v>
      </c>
      <c r="D98" t="s">
        <v>127</v>
      </c>
      <c r="E98" t="s">
        <v>2439</v>
      </c>
      <c r="F98">
        <v>31</v>
      </c>
      <c r="G98">
        <v>3000000</v>
      </c>
      <c r="H98">
        <v>3000000</v>
      </c>
      <c r="I98" t="s">
        <v>7</v>
      </c>
      <c r="J98">
        <v>0</v>
      </c>
      <c r="K98">
        <v>0</v>
      </c>
      <c r="L98">
        <v>0</v>
      </c>
      <c r="M98">
        <v>0</v>
      </c>
    </row>
    <row r="99" spans="1:13" ht="15" customHeight="1" x14ac:dyDescent="0.25">
      <c r="A99" t="s">
        <v>1427</v>
      </c>
      <c r="B99" t="s">
        <v>17</v>
      </c>
      <c r="C99">
        <v>0</v>
      </c>
      <c r="D99" t="s">
        <v>2442</v>
      </c>
      <c r="E99" t="s">
        <v>2439</v>
      </c>
      <c r="F99">
        <v>24</v>
      </c>
      <c r="G99">
        <v>1400000</v>
      </c>
      <c r="H99" t="s">
        <v>8</v>
      </c>
      <c r="I99">
        <v>0</v>
      </c>
      <c r="J99">
        <v>0</v>
      </c>
      <c r="K99">
        <v>0</v>
      </c>
      <c r="L99">
        <v>0</v>
      </c>
      <c r="M99">
        <v>0</v>
      </c>
    </row>
    <row r="100" spans="1:13" ht="15" customHeight="1" x14ac:dyDescent="0.25">
      <c r="A100" t="s">
        <v>2892</v>
      </c>
      <c r="B100" t="s">
        <v>28</v>
      </c>
      <c r="C100">
        <v>0</v>
      </c>
      <c r="D100" t="s">
        <v>127</v>
      </c>
      <c r="E100" t="s">
        <v>2446</v>
      </c>
      <c r="F100">
        <v>28</v>
      </c>
      <c r="G100">
        <v>700000</v>
      </c>
      <c r="H100" t="s">
        <v>7</v>
      </c>
      <c r="I100">
        <v>0</v>
      </c>
      <c r="J100">
        <v>0</v>
      </c>
      <c r="K100">
        <v>0</v>
      </c>
      <c r="L100">
        <v>0</v>
      </c>
      <c r="M100">
        <v>0</v>
      </c>
    </row>
    <row r="101" spans="1:13" ht="15" customHeight="1" x14ac:dyDescent="0.25">
      <c r="A101" t="s">
        <v>2327</v>
      </c>
      <c r="B101" t="s">
        <v>30</v>
      </c>
      <c r="C101">
        <v>0</v>
      </c>
      <c r="D101" t="s">
        <v>127</v>
      </c>
      <c r="E101" t="s">
        <v>2446</v>
      </c>
      <c r="F101">
        <v>25</v>
      </c>
      <c r="G101">
        <v>675000</v>
      </c>
      <c r="H101" t="s">
        <v>8</v>
      </c>
      <c r="I101">
        <v>0</v>
      </c>
      <c r="J101">
        <v>0</v>
      </c>
      <c r="K101">
        <v>0</v>
      </c>
      <c r="L101">
        <v>0</v>
      </c>
      <c r="M101">
        <v>0</v>
      </c>
    </row>
    <row r="102" spans="1:13" ht="15" customHeight="1" x14ac:dyDescent="0.25">
      <c r="A102" t="s">
        <v>2344</v>
      </c>
      <c r="B102" t="s">
        <v>34</v>
      </c>
      <c r="C102">
        <v>0</v>
      </c>
      <c r="D102" t="s">
        <v>2444</v>
      </c>
      <c r="E102" t="s">
        <v>2439</v>
      </c>
      <c r="F102">
        <v>31</v>
      </c>
      <c r="G102">
        <v>825000</v>
      </c>
      <c r="H102" t="s">
        <v>7</v>
      </c>
      <c r="I102">
        <v>0</v>
      </c>
      <c r="J102">
        <v>0</v>
      </c>
      <c r="K102">
        <v>0</v>
      </c>
      <c r="L102">
        <v>0</v>
      </c>
      <c r="M102">
        <v>0</v>
      </c>
    </row>
    <row r="103" spans="1:13" ht="15" customHeight="1" x14ac:dyDescent="0.25">
      <c r="A103" t="s">
        <v>1771</v>
      </c>
      <c r="B103" t="s">
        <v>28</v>
      </c>
      <c r="C103">
        <v>0</v>
      </c>
      <c r="D103" t="s">
        <v>2444</v>
      </c>
      <c r="E103" t="s">
        <v>2446</v>
      </c>
      <c r="F103">
        <v>24</v>
      </c>
      <c r="G103">
        <v>700000</v>
      </c>
      <c r="H103">
        <v>700000</v>
      </c>
      <c r="I103" t="s">
        <v>8</v>
      </c>
      <c r="J103">
        <v>0</v>
      </c>
      <c r="K103">
        <v>0</v>
      </c>
      <c r="L103">
        <v>0</v>
      </c>
      <c r="M103">
        <v>0</v>
      </c>
    </row>
    <row r="104" spans="1:13" ht="15" customHeight="1" x14ac:dyDescent="0.25">
      <c r="A104" t="s">
        <v>1874</v>
      </c>
      <c r="B104" t="s">
        <v>2503</v>
      </c>
      <c r="C104" t="s">
        <v>386</v>
      </c>
      <c r="D104" t="s">
        <v>82</v>
      </c>
      <c r="E104" t="s">
        <v>2690</v>
      </c>
      <c r="F104">
        <v>23</v>
      </c>
      <c r="G104">
        <v>925000</v>
      </c>
      <c r="H104" t="s">
        <v>8</v>
      </c>
      <c r="I104">
        <v>0</v>
      </c>
      <c r="J104">
        <v>0</v>
      </c>
      <c r="K104">
        <v>0</v>
      </c>
      <c r="L104">
        <v>0</v>
      </c>
      <c r="M104">
        <v>0</v>
      </c>
    </row>
    <row r="105" spans="1:13" ht="15" customHeight="1" x14ac:dyDescent="0.25">
      <c r="A105" t="s">
        <v>2080</v>
      </c>
      <c r="B105" t="s">
        <v>31</v>
      </c>
      <c r="C105">
        <v>0</v>
      </c>
      <c r="D105" t="s">
        <v>127</v>
      </c>
      <c r="E105" t="s">
        <v>2677</v>
      </c>
      <c r="F105">
        <v>26</v>
      </c>
      <c r="G105">
        <v>4400000</v>
      </c>
      <c r="H105">
        <v>4400000</v>
      </c>
      <c r="I105" t="s">
        <v>7</v>
      </c>
      <c r="J105">
        <v>0</v>
      </c>
      <c r="K105">
        <v>0</v>
      </c>
      <c r="L105">
        <v>0</v>
      </c>
      <c r="M105">
        <v>0</v>
      </c>
    </row>
    <row r="106" spans="1:13" ht="15" customHeight="1" x14ac:dyDescent="0.25">
      <c r="A106" t="s">
        <v>1841</v>
      </c>
      <c r="B106" t="s">
        <v>63</v>
      </c>
      <c r="C106" t="s">
        <v>386</v>
      </c>
      <c r="D106" t="s">
        <v>82</v>
      </c>
      <c r="E106" t="s">
        <v>2690</v>
      </c>
      <c r="F106">
        <v>23</v>
      </c>
      <c r="G106">
        <v>800000</v>
      </c>
      <c r="H106" t="s">
        <v>8</v>
      </c>
      <c r="I106">
        <v>0</v>
      </c>
      <c r="J106">
        <v>0</v>
      </c>
      <c r="K106">
        <v>0</v>
      </c>
      <c r="L106">
        <v>0</v>
      </c>
      <c r="M106">
        <v>0</v>
      </c>
    </row>
    <row r="107" spans="1:13" ht="15" customHeight="1" x14ac:dyDescent="0.25">
      <c r="A107" t="s">
        <v>2386</v>
      </c>
      <c r="B107" t="s">
        <v>135</v>
      </c>
      <c r="C107">
        <v>0</v>
      </c>
      <c r="D107" t="s">
        <v>380</v>
      </c>
      <c r="E107" t="s">
        <v>2690</v>
      </c>
      <c r="F107">
        <v>25</v>
      </c>
      <c r="G107">
        <v>716667</v>
      </c>
      <c r="H107">
        <v>716667</v>
      </c>
      <c r="I107">
        <v>716667</v>
      </c>
      <c r="J107" t="s">
        <v>7</v>
      </c>
      <c r="K107">
        <v>0</v>
      </c>
      <c r="L107">
        <v>0</v>
      </c>
      <c r="M107">
        <v>0</v>
      </c>
    </row>
    <row r="108" spans="1:13" ht="15" customHeight="1" x14ac:dyDescent="0.25">
      <c r="A108" t="s">
        <v>1962</v>
      </c>
      <c r="B108" t="s">
        <v>16</v>
      </c>
      <c r="C108" t="s">
        <v>420</v>
      </c>
      <c r="D108" t="s">
        <v>127</v>
      </c>
      <c r="E108" t="s">
        <v>2677</v>
      </c>
      <c r="F108">
        <v>32</v>
      </c>
      <c r="G108">
        <v>4916666</v>
      </c>
      <c r="H108">
        <v>4916666</v>
      </c>
      <c r="I108">
        <v>4916666</v>
      </c>
      <c r="J108">
        <v>4916666</v>
      </c>
      <c r="K108" t="s">
        <v>7</v>
      </c>
      <c r="L108">
        <v>0</v>
      </c>
      <c r="M108">
        <v>0</v>
      </c>
    </row>
    <row r="109" spans="1:13" ht="15" customHeight="1" x14ac:dyDescent="0.25">
      <c r="A109" t="s">
        <v>1650</v>
      </c>
      <c r="B109" t="s">
        <v>11</v>
      </c>
      <c r="C109">
        <v>0</v>
      </c>
      <c r="D109" t="s">
        <v>73</v>
      </c>
      <c r="E109" t="s">
        <v>2439</v>
      </c>
      <c r="F109">
        <v>23</v>
      </c>
      <c r="G109">
        <v>700000</v>
      </c>
      <c r="H109" t="s">
        <v>8</v>
      </c>
      <c r="I109">
        <v>0</v>
      </c>
      <c r="J109">
        <v>0</v>
      </c>
      <c r="K109">
        <v>0</v>
      </c>
      <c r="L109">
        <v>0</v>
      </c>
      <c r="M109">
        <v>0</v>
      </c>
    </row>
    <row r="110" spans="1:13" ht="15" customHeight="1" x14ac:dyDescent="0.25">
      <c r="A110" t="s">
        <v>2030</v>
      </c>
      <c r="B110" t="s">
        <v>35</v>
      </c>
      <c r="C110">
        <v>0</v>
      </c>
      <c r="D110" t="s">
        <v>2445</v>
      </c>
      <c r="E110" t="s">
        <v>2446</v>
      </c>
      <c r="F110">
        <v>29</v>
      </c>
      <c r="G110">
        <v>700000</v>
      </c>
      <c r="H110" t="s">
        <v>7</v>
      </c>
      <c r="I110">
        <v>0</v>
      </c>
      <c r="J110">
        <v>0</v>
      </c>
      <c r="K110">
        <v>0</v>
      </c>
      <c r="L110">
        <v>0</v>
      </c>
      <c r="M110">
        <v>0</v>
      </c>
    </row>
    <row r="111" spans="1:13" ht="15" customHeight="1" x14ac:dyDescent="0.25">
      <c r="A111" t="s">
        <v>1501</v>
      </c>
      <c r="B111" t="s">
        <v>21</v>
      </c>
      <c r="C111" t="s">
        <v>386</v>
      </c>
      <c r="D111" t="s">
        <v>2453</v>
      </c>
      <c r="E111" t="s">
        <v>2446</v>
      </c>
      <c r="F111">
        <v>21</v>
      </c>
      <c r="G111">
        <v>910000</v>
      </c>
      <c r="H111">
        <v>910000</v>
      </c>
      <c r="I111" t="s">
        <v>8</v>
      </c>
      <c r="J111">
        <v>0</v>
      </c>
      <c r="K111">
        <v>0</v>
      </c>
      <c r="L111">
        <v>0</v>
      </c>
      <c r="M111">
        <v>0</v>
      </c>
    </row>
    <row r="112" spans="1:13" ht="15" customHeight="1" x14ac:dyDescent="0.25">
      <c r="A112" t="s">
        <v>1682</v>
      </c>
      <c r="B112" t="s">
        <v>14</v>
      </c>
      <c r="C112" t="s">
        <v>403</v>
      </c>
      <c r="D112" t="s">
        <v>2440</v>
      </c>
      <c r="E112" t="s">
        <v>2446</v>
      </c>
      <c r="F112">
        <v>22</v>
      </c>
      <c r="G112">
        <v>863333</v>
      </c>
      <c r="H112" t="s">
        <v>8</v>
      </c>
      <c r="I112">
        <v>0</v>
      </c>
      <c r="J112">
        <v>0</v>
      </c>
      <c r="K112">
        <v>0</v>
      </c>
      <c r="L112">
        <v>0</v>
      </c>
      <c r="M112">
        <v>0</v>
      </c>
    </row>
    <row r="113" spans="1:13" ht="15" customHeight="1" x14ac:dyDescent="0.25">
      <c r="A113" t="s">
        <v>1348</v>
      </c>
      <c r="B113" t="s">
        <v>9</v>
      </c>
      <c r="C113" t="s">
        <v>386</v>
      </c>
      <c r="D113" t="s">
        <v>2442</v>
      </c>
      <c r="E113" t="s">
        <v>2446</v>
      </c>
      <c r="F113">
        <v>23</v>
      </c>
      <c r="G113">
        <v>1066667</v>
      </c>
      <c r="H113" t="s">
        <v>8</v>
      </c>
      <c r="I113">
        <v>0</v>
      </c>
      <c r="J113">
        <v>0</v>
      </c>
      <c r="K113">
        <v>0</v>
      </c>
      <c r="L113">
        <v>0</v>
      </c>
      <c r="M113">
        <v>0</v>
      </c>
    </row>
    <row r="114" spans="1:13" ht="15" customHeight="1" x14ac:dyDescent="0.25">
      <c r="A114" t="s">
        <v>2848</v>
      </c>
      <c r="B114" t="s">
        <v>29</v>
      </c>
      <c r="C114" t="s">
        <v>386</v>
      </c>
      <c r="D114" t="s">
        <v>93</v>
      </c>
      <c r="E114" t="s">
        <v>2690</v>
      </c>
      <c r="F114">
        <v>22</v>
      </c>
      <c r="G114">
        <v>925000</v>
      </c>
      <c r="H114">
        <v>925000</v>
      </c>
      <c r="I114" t="s">
        <v>8</v>
      </c>
      <c r="J114">
        <v>0</v>
      </c>
      <c r="K114">
        <v>0</v>
      </c>
      <c r="L114">
        <v>0</v>
      </c>
      <c r="M114">
        <v>0</v>
      </c>
    </row>
    <row r="115" spans="1:13" ht="15" customHeight="1" x14ac:dyDescent="0.25">
      <c r="A115" t="s">
        <v>1658</v>
      </c>
      <c r="B115" t="s">
        <v>14</v>
      </c>
      <c r="C115">
        <v>0</v>
      </c>
      <c r="D115" t="s">
        <v>2438</v>
      </c>
      <c r="E115" t="s">
        <v>2439</v>
      </c>
      <c r="F115">
        <v>24</v>
      </c>
      <c r="G115">
        <v>2500000</v>
      </c>
      <c r="H115">
        <v>2500000</v>
      </c>
      <c r="I115" t="s">
        <v>8</v>
      </c>
      <c r="J115">
        <v>0</v>
      </c>
      <c r="K115">
        <v>0</v>
      </c>
      <c r="L115">
        <v>0</v>
      </c>
      <c r="M115">
        <v>0</v>
      </c>
    </row>
    <row r="116" spans="1:13" ht="15" customHeight="1" x14ac:dyDescent="0.25">
      <c r="A116" t="s">
        <v>2849</v>
      </c>
      <c r="B116" t="s">
        <v>20</v>
      </c>
      <c r="C116" t="s">
        <v>386</v>
      </c>
      <c r="D116" t="s">
        <v>2445</v>
      </c>
      <c r="E116" t="s">
        <v>2446</v>
      </c>
      <c r="F116">
        <v>18</v>
      </c>
      <c r="G116">
        <v>1083333</v>
      </c>
      <c r="H116">
        <v>1083333</v>
      </c>
      <c r="I116">
        <v>1083333</v>
      </c>
      <c r="J116" t="s">
        <v>8</v>
      </c>
      <c r="K116">
        <v>0</v>
      </c>
      <c r="L116">
        <v>0</v>
      </c>
      <c r="M116">
        <v>0</v>
      </c>
    </row>
    <row r="117" spans="1:13" ht="15" customHeight="1" x14ac:dyDescent="0.25">
      <c r="A117" t="s">
        <v>1454</v>
      </c>
      <c r="B117" t="s">
        <v>29</v>
      </c>
      <c r="C117">
        <v>0</v>
      </c>
      <c r="D117" t="s">
        <v>2684</v>
      </c>
      <c r="E117" t="s">
        <v>2677</v>
      </c>
      <c r="F117">
        <v>27</v>
      </c>
      <c r="G117">
        <v>4100000</v>
      </c>
      <c r="H117">
        <v>4100000</v>
      </c>
      <c r="I117" t="s">
        <v>7</v>
      </c>
      <c r="J117">
        <v>0</v>
      </c>
      <c r="K117">
        <v>0</v>
      </c>
      <c r="L117">
        <v>0</v>
      </c>
      <c r="M117">
        <v>0</v>
      </c>
    </row>
    <row r="118" spans="1:13" ht="15" customHeight="1" x14ac:dyDescent="0.25">
      <c r="A118" t="s">
        <v>2041</v>
      </c>
      <c r="B118" t="s">
        <v>23</v>
      </c>
      <c r="C118">
        <v>0</v>
      </c>
      <c r="D118" t="s">
        <v>73</v>
      </c>
      <c r="E118" t="s">
        <v>2690</v>
      </c>
      <c r="F118">
        <v>26</v>
      </c>
      <c r="G118">
        <v>675000</v>
      </c>
      <c r="H118" t="s">
        <v>7</v>
      </c>
      <c r="I118">
        <v>0</v>
      </c>
      <c r="J118">
        <v>0</v>
      </c>
      <c r="K118">
        <v>0</v>
      </c>
      <c r="L118">
        <v>0</v>
      </c>
      <c r="M118">
        <v>0</v>
      </c>
    </row>
    <row r="119" spans="1:13" ht="15" customHeight="1" x14ac:dyDescent="0.25">
      <c r="A119" t="s">
        <v>1720</v>
      </c>
      <c r="B119" t="s">
        <v>24</v>
      </c>
      <c r="C119" t="s">
        <v>386</v>
      </c>
      <c r="D119" t="s">
        <v>127</v>
      </c>
      <c r="E119" t="s">
        <v>2439</v>
      </c>
      <c r="F119">
        <v>22</v>
      </c>
      <c r="G119">
        <v>913333</v>
      </c>
      <c r="H119" t="s">
        <v>8</v>
      </c>
      <c r="I119">
        <v>0</v>
      </c>
      <c r="J119">
        <v>0</v>
      </c>
      <c r="K119">
        <v>0</v>
      </c>
      <c r="L119">
        <v>0</v>
      </c>
      <c r="M119">
        <v>0</v>
      </c>
    </row>
    <row r="120" spans="1:13" ht="15" customHeight="1" x14ac:dyDescent="0.25">
      <c r="A120" t="s">
        <v>2078</v>
      </c>
      <c r="B120" t="s">
        <v>31</v>
      </c>
      <c r="C120">
        <v>0</v>
      </c>
      <c r="D120" t="s">
        <v>88</v>
      </c>
      <c r="E120" t="s">
        <v>2677</v>
      </c>
      <c r="F120">
        <v>23</v>
      </c>
      <c r="G120">
        <v>850000</v>
      </c>
      <c r="H120" t="s">
        <v>8</v>
      </c>
      <c r="I120">
        <v>0</v>
      </c>
      <c r="J120">
        <v>0</v>
      </c>
      <c r="K120">
        <v>0</v>
      </c>
      <c r="L120">
        <v>0</v>
      </c>
      <c r="M120">
        <v>0</v>
      </c>
    </row>
    <row r="121" spans="1:13" ht="15" customHeight="1" x14ac:dyDescent="0.25">
      <c r="A121" t="s">
        <v>2146</v>
      </c>
      <c r="B121" t="s">
        <v>29</v>
      </c>
      <c r="C121">
        <v>0</v>
      </c>
      <c r="D121" t="s">
        <v>73</v>
      </c>
      <c r="E121" t="s">
        <v>2690</v>
      </c>
      <c r="F121">
        <v>25</v>
      </c>
      <c r="G121">
        <v>700000</v>
      </c>
      <c r="H121" t="s">
        <v>8</v>
      </c>
      <c r="I121">
        <v>0</v>
      </c>
      <c r="J121">
        <v>0</v>
      </c>
      <c r="K121">
        <v>0</v>
      </c>
      <c r="L121">
        <v>0</v>
      </c>
      <c r="M121">
        <v>0</v>
      </c>
    </row>
    <row r="122" spans="1:13" ht="15" customHeight="1" x14ac:dyDescent="0.25">
      <c r="A122" t="s">
        <v>2322</v>
      </c>
      <c r="B122" t="s">
        <v>30</v>
      </c>
      <c r="C122" t="s">
        <v>386</v>
      </c>
      <c r="D122" t="s">
        <v>2441</v>
      </c>
      <c r="E122" t="s">
        <v>2446</v>
      </c>
      <c r="F122">
        <v>21</v>
      </c>
      <c r="G122">
        <v>790000</v>
      </c>
      <c r="H122">
        <v>790000</v>
      </c>
      <c r="I122" t="s">
        <v>8</v>
      </c>
      <c r="J122">
        <v>0</v>
      </c>
      <c r="K122">
        <v>0</v>
      </c>
      <c r="L122">
        <v>0</v>
      </c>
      <c r="M122">
        <v>0</v>
      </c>
    </row>
    <row r="123" spans="1:13" ht="15" customHeight="1" x14ac:dyDescent="0.25">
      <c r="A123" t="s">
        <v>1380</v>
      </c>
      <c r="B123" t="s">
        <v>9</v>
      </c>
      <c r="C123">
        <v>0</v>
      </c>
      <c r="D123" t="s">
        <v>2440</v>
      </c>
      <c r="E123" t="s">
        <v>2446</v>
      </c>
      <c r="F123">
        <v>24</v>
      </c>
      <c r="G123">
        <v>700000</v>
      </c>
      <c r="H123">
        <v>700000</v>
      </c>
      <c r="I123" t="s">
        <v>8</v>
      </c>
      <c r="J123">
        <v>0</v>
      </c>
      <c r="K123">
        <v>0</v>
      </c>
      <c r="L123">
        <v>0</v>
      </c>
      <c r="M123">
        <v>0</v>
      </c>
    </row>
    <row r="124" spans="1:13" ht="15" customHeight="1" x14ac:dyDescent="0.25">
      <c r="A124" t="s">
        <v>1847</v>
      </c>
      <c r="B124" t="s">
        <v>29</v>
      </c>
      <c r="C124">
        <v>0</v>
      </c>
      <c r="D124" t="s">
        <v>2679</v>
      </c>
      <c r="E124" t="s">
        <v>2677</v>
      </c>
      <c r="F124">
        <v>24</v>
      </c>
      <c r="G124">
        <v>750000</v>
      </c>
      <c r="H124">
        <v>750000</v>
      </c>
      <c r="I124" t="s">
        <v>8</v>
      </c>
      <c r="J124">
        <v>0</v>
      </c>
      <c r="K124">
        <v>0</v>
      </c>
      <c r="L124">
        <v>0</v>
      </c>
      <c r="M124">
        <v>0</v>
      </c>
    </row>
    <row r="125" spans="1:13" ht="15" customHeight="1" x14ac:dyDescent="0.25">
      <c r="A125" t="s">
        <v>1669</v>
      </c>
      <c r="B125" t="s">
        <v>2531</v>
      </c>
      <c r="C125" t="s">
        <v>420</v>
      </c>
      <c r="D125" t="s">
        <v>127</v>
      </c>
      <c r="E125" t="s">
        <v>2677</v>
      </c>
      <c r="F125">
        <v>30</v>
      </c>
      <c r="G125">
        <v>10000000</v>
      </c>
      <c r="H125">
        <v>10000000</v>
      </c>
      <c r="I125">
        <v>10000000</v>
      </c>
      <c r="J125">
        <v>10000000</v>
      </c>
      <c r="K125">
        <v>10000000</v>
      </c>
      <c r="L125">
        <v>10000000</v>
      </c>
      <c r="M125">
        <v>10000000</v>
      </c>
    </row>
    <row r="126" spans="1:13" ht="15" customHeight="1" x14ac:dyDescent="0.25">
      <c r="A126" t="s">
        <v>1519</v>
      </c>
      <c r="B126" t="s">
        <v>27</v>
      </c>
      <c r="C126">
        <v>0</v>
      </c>
      <c r="D126" t="s">
        <v>2442</v>
      </c>
      <c r="E126" t="s">
        <v>2439</v>
      </c>
      <c r="F126">
        <v>29</v>
      </c>
      <c r="G126">
        <v>4000000</v>
      </c>
      <c r="H126" t="s">
        <v>7</v>
      </c>
      <c r="I126">
        <v>0</v>
      </c>
      <c r="J126">
        <v>0</v>
      </c>
      <c r="K126">
        <v>0</v>
      </c>
      <c r="L126">
        <v>0</v>
      </c>
      <c r="M126">
        <v>0</v>
      </c>
    </row>
    <row r="127" spans="1:13" ht="15" customHeight="1" x14ac:dyDescent="0.25">
      <c r="A127" t="s">
        <v>2337</v>
      </c>
      <c r="B127" t="s">
        <v>34</v>
      </c>
      <c r="C127">
        <v>0</v>
      </c>
      <c r="D127" t="s">
        <v>2438</v>
      </c>
      <c r="E127" t="s">
        <v>2439</v>
      </c>
      <c r="F127">
        <v>22</v>
      </c>
      <c r="G127" t="s">
        <v>8</v>
      </c>
      <c r="H127">
        <v>0</v>
      </c>
      <c r="I127">
        <v>0</v>
      </c>
      <c r="J127">
        <v>0</v>
      </c>
      <c r="K127">
        <v>0</v>
      </c>
      <c r="L127">
        <v>0</v>
      </c>
      <c r="M127">
        <v>0</v>
      </c>
    </row>
    <row r="128" spans="1:13" ht="15" customHeight="1" x14ac:dyDescent="0.25">
      <c r="A128" t="s">
        <v>2762</v>
      </c>
      <c r="B128" t="s">
        <v>10</v>
      </c>
      <c r="C128">
        <v>0</v>
      </c>
      <c r="D128" t="s">
        <v>379</v>
      </c>
      <c r="E128" t="s">
        <v>2677</v>
      </c>
      <c r="F128">
        <v>29</v>
      </c>
      <c r="G128">
        <v>5142857</v>
      </c>
      <c r="H128" t="s">
        <v>7</v>
      </c>
      <c r="I128">
        <v>0</v>
      </c>
      <c r="J128">
        <v>0</v>
      </c>
      <c r="K128">
        <v>0</v>
      </c>
      <c r="L128">
        <v>0</v>
      </c>
      <c r="M128">
        <v>0</v>
      </c>
    </row>
    <row r="129" spans="1:13" ht="15" customHeight="1" x14ac:dyDescent="0.25">
      <c r="A129" t="s">
        <v>2064</v>
      </c>
      <c r="B129" t="s">
        <v>31</v>
      </c>
      <c r="C129" t="s">
        <v>386</v>
      </c>
      <c r="D129" t="s">
        <v>2689</v>
      </c>
      <c r="E129" t="s">
        <v>2690</v>
      </c>
      <c r="F129">
        <v>19</v>
      </c>
      <c r="G129">
        <v>1106667</v>
      </c>
      <c r="H129">
        <v>1106667</v>
      </c>
      <c r="I129">
        <v>1106667</v>
      </c>
      <c r="J129" t="s">
        <v>8</v>
      </c>
      <c r="K129">
        <v>0</v>
      </c>
      <c r="L129">
        <v>0</v>
      </c>
      <c r="M129">
        <v>0</v>
      </c>
    </row>
    <row r="130" spans="1:13" ht="15" customHeight="1" x14ac:dyDescent="0.25">
      <c r="A130" t="s">
        <v>2021</v>
      </c>
      <c r="B130" t="s">
        <v>23</v>
      </c>
      <c r="C130">
        <v>0</v>
      </c>
      <c r="D130" t="s">
        <v>73</v>
      </c>
      <c r="E130" t="s">
        <v>2677</v>
      </c>
      <c r="F130">
        <v>31</v>
      </c>
      <c r="G130">
        <v>4100000</v>
      </c>
      <c r="H130">
        <v>4100000</v>
      </c>
      <c r="I130" t="s">
        <v>7</v>
      </c>
      <c r="J130">
        <v>0</v>
      </c>
      <c r="K130">
        <v>0</v>
      </c>
      <c r="L130">
        <v>0</v>
      </c>
      <c r="M130">
        <v>0</v>
      </c>
    </row>
    <row r="131" spans="1:13" ht="15" customHeight="1" x14ac:dyDescent="0.25">
      <c r="A131" t="s">
        <v>1643</v>
      </c>
      <c r="B131" t="s">
        <v>11</v>
      </c>
      <c r="C131" t="s">
        <v>386</v>
      </c>
      <c r="D131" t="s">
        <v>127</v>
      </c>
      <c r="E131" t="s">
        <v>2446</v>
      </c>
      <c r="F131">
        <v>22</v>
      </c>
      <c r="G131">
        <v>758333</v>
      </c>
      <c r="H131" t="s">
        <v>8</v>
      </c>
      <c r="I131">
        <v>0</v>
      </c>
      <c r="J131">
        <v>0</v>
      </c>
      <c r="K131">
        <v>0</v>
      </c>
      <c r="L131">
        <v>0</v>
      </c>
      <c r="M131">
        <v>0</v>
      </c>
    </row>
    <row r="132" spans="1:13" ht="15" customHeight="1" x14ac:dyDescent="0.25">
      <c r="A132" t="s">
        <v>1904</v>
      </c>
      <c r="B132" t="s">
        <v>13</v>
      </c>
      <c r="C132" t="s">
        <v>388</v>
      </c>
      <c r="D132" t="s">
        <v>2444</v>
      </c>
      <c r="E132" t="s">
        <v>389</v>
      </c>
      <c r="F132">
        <v>18</v>
      </c>
      <c r="G132">
        <v>1744167</v>
      </c>
      <c r="H132">
        <v>1744167</v>
      </c>
      <c r="I132">
        <v>1744167</v>
      </c>
      <c r="J132" t="s">
        <v>8</v>
      </c>
      <c r="K132">
        <v>0</v>
      </c>
      <c r="L132">
        <v>0</v>
      </c>
      <c r="M132">
        <v>0</v>
      </c>
    </row>
    <row r="133" spans="1:13" ht="15" customHeight="1" x14ac:dyDescent="0.25">
      <c r="A133" t="s">
        <v>2647</v>
      </c>
      <c r="B133" t="s">
        <v>24</v>
      </c>
      <c r="C133" t="s">
        <v>386</v>
      </c>
      <c r="D133" t="s">
        <v>2494</v>
      </c>
      <c r="E133" t="s">
        <v>2446</v>
      </c>
      <c r="F133">
        <v>20</v>
      </c>
      <c r="G133">
        <v>925000</v>
      </c>
      <c r="H133">
        <v>925000</v>
      </c>
      <c r="I133">
        <v>925000</v>
      </c>
      <c r="J133" t="s">
        <v>8</v>
      </c>
      <c r="K133">
        <v>0</v>
      </c>
      <c r="L133">
        <v>0</v>
      </c>
      <c r="M133">
        <v>0</v>
      </c>
    </row>
    <row r="134" spans="1:13" ht="15" customHeight="1" x14ac:dyDescent="0.25">
      <c r="A134" t="s">
        <v>1406</v>
      </c>
      <c r="B134" t="s">
        <v>10</v>
      </c>
      <c r="C134" t="s">
        <v>386</v>
      </c>
      <c r="D134" t="s">
        <v>379</v>
      </c>
      <c r="E134" t="s">
        <v>2690</v>
      </c>
      <c r="F134">
        <v>22</v>
      </c>
      <c r="G134">
        <v>925000</v>
      </c>
      <c r="H134">
        <v>925000</v>
      </c>
      <c r="I134" t="s">
        <v>8</v>
      </c>
      <c r="J134">
        <v>0</v>
      </c>
      <c r="K134">
        <v>0</v>
      </c>
      <c r="L134">
        <v>0</v>
      </c>
      <c r="M134">
        <v>0</v>
      </c>
    </row>
    <row r="135" spans="1:13" ht="15" customHeight="1" x14ac:dyDescent="0.25">
      <c r="A135" t="s">
        <v>1605</v>
      </c>
      <c r="B135" t="s">
        <v>31</v>
      </c>
      <c r="C135">
        <v>0</v>
      </c>
      <c r="D135" t="s">
        <v>380</v>
      </c>
      <c r="E135" t="s">
        <v>2690</v>
      </c>
      <c r="F135">
        <v>24</v>
      </c>
      <c r="G135">
        <v>700000</v>
      </c>
      <c r="H135" t="s">
        <v>8</v>
      </c>
      <c r="I135">
        <v>0</v>
      </c>
      <c r="J135">
        <v>0</v>
      </c>
      <c r="K135">
        <v>0</v>
      </c>
      <c r="L135">
        <v>0</v>
      </c>
      <c r="M135">
        <v>0</v>
      </c>
    </row>
    <row r="136" spans="1:13" ht="15" customHeight="1" x14ac:dyDescent="0.25">
      <c r="A136" t="s">
        <v>2850</v>
      </c>
      <c r="B136" t="s">
        <v>2531</v>
      </c>
      <c r="C136" t="s">
        <v>386</v>
      </c>
      <c r="D136" t="s">
        <v>73</v>
      </c>
      <c r="E136" t="s">
        <v>2677</v>
      </c>
      <c r="F136">
        <v>22</v>
      </c>
      <c r="G136">
        <v>1491667</v>
      </c>
      <c r="H136" t="s">
        <v>8</v>
      </c>
      <c r="I136">
        <v>0</v>
      </c>
      <c r="J136">
        <v>0</v>
      </c>
      <c r="K136">
        <v>0</v>
      </c>
      <c r="L136">
        <v>0</v>
      </c>
      <c r="M136">
        <v>0</v>
      </c>
    </row>
    <row r="137" spans="1:13" ht="15" customHeight="1" x14ac:dyDescent="0.25">
      <c r="A137" t="s">
        <v>2816</v>
      </c>
      <c r="B137" t="s">
        <v>27</v>
      </c>
      <c r="C137">
        <v>0</v>
      </c>
      <c r="D137" t="s">
        <v>2445</v>
      </c>
      <c r="E137" t="s">
        <v>2439</v>
      </c>
      <c r="F137">
        <v>30</v>
      </c>
      <c r="G137">
        <v>1200000</v>
      </c>
      <c r="H137" t="s">
        <v>7</v>
      </c>
      <c r="I137">
        <v>0</v>
      </c>
      <c r="J137">
        <v>0</v>
      </c>
      <c r="K137">
        <v>0</v>
      </c>
      <c r="L137">
        <v>0</v>
      </c>
      <c r="M137">
        <v>0</v>
      </c>
    </row>
    <row r="138" spans="1:13" ht="15" customHeight="1" x14ac:dyDescent="0.25">
      <c r="A138" t="s">
        <v>2058</v>
      </c>
      <c r="B138" t="s">
        <v>31</v>
      </c>
      <c r="C138">
        <v>0</v>
      </c>
      <c r="D138" t="s">
        <v>379</v>
      </c>
      <c r="E138" t="s">
        <v>2677</v>
      </c>
      <c r="F138">
        <v>30</v>
      </c>
      <c r="G138">
        <v>1375000</v>
      </c>
      <c r="H138">
        <v>1375000</v>
      </c>
      <c r="I138">
        <v>1375000</v>
      </c>
      <c r="J138" t="s">
        <v>7</v>
      </c>
      <c r="K138">
        <v>0</v>
      </c>
      <c r="L138">
        <v>0</v>
      </c>
      <c r="M138">
        <v>0</v>
      </c>
    </row>
    <row r="139" spans="1:13" ht="15" customHeight="1" x14ac:dyDescent="0.25">
      <c r="A139" t="s">
        <v>2233</v>
      </c>
      <c r="B139" t="s">
        <v>18</v>
      </c>
      <c r="C139" t="s">
        <v>386</v>
      </c>
      <c r="D139" t="s">
        <v>2444</v>
      </c>
      <c r="E139" t="s">
        <v>2446</v>
      </c>
      <c r="F139">
        <v>19</v>
      </c>
      <c r="G139">
        <v>1627500</v>
      </c>
      <c r="H139">
        <v>1627500</v>
      </c>
      <c r="I139">
        <v>1627500</v>
      </c>
      <c r="J139" t="s">
        <v>8</v>
      </c>
      <c r="K139">
        <v>0</v>
      </c>
      <c r="L139">
        <v>0</v>
      </c>
      <c r="M139">
        <v>0</v>
      </c>
    </row>
    <row r="140" spans="1:13" ht="15" customHeight="1" x14ac:dyDescent="0.25">
      <c r="A140" t="s">
        <v>2359</v>
      </c>
      <c r="B140" t="s">
        <v>34</v>
      </c>
      <c r="C140">
        <v>0</v>
      </c>
      <c r="D140" t="s">
        <v>2440</v>
      </c>
      <c r="E140" t="s">
        <v>2446</v>
      </c>
      <c r="F140">
        <v>25</v>
      </c>
      <c r="G140">
        <v>750000</v>
      </c>
      <c r="H140" t="s">
        <v>8</v>
      </c>
      <c r="I140">
        <v>0</v>
      </c>
      <c r="J140">
        <v>0</v>
      </c>
      <c r="K140">
        <v>0</v>
      </c>
      <c r="L140">
        <v>0</v>
      </c>
      <c r="M140">
        <v>0</v>
      </c>
    </row>
    <row r="141" spans="1:13" ht="15" customHeight="1" x14ac:dyDescent="0.25">
      <c r="A141" t="s">
        <v>2010</v>
      </c>
      <c r="B141" t="s">
        <v>21</v>
      </c>
      <c r="C141" t="s">
        <v>386</v>
      </c>
      <c r="D141" t="s">
        <v>2444</v>
      </c>
      <c r="E141" t="s">
        <v>2446</v>
      </c>
      <c r="F141">
        <v>22</v>
      </c>
      <c r="G141">
        <v>806666</v>
      </c>
      <c r="H141" t="s">
        <v>8</v>
      </c>
      <c r="I141">
        <v>0</v>
      </c>
      <c r="J141">
        <v>0</v>
      </c>
      <c r="K141">
        <v>0</v>
      </c>
      <c r="L141">
        <v>0</v>
      </c>
      <c r="M141">
        <v>0</v>
      </c>
    </row>
    <row r="142" spans="1:13" ht="15" customHeight="1" x14ac:dyDescent="0.25">
      <c r="A142" t="s">
        <v>2055</v>
      </c>
      <c r="B142" t="s">
        <v>31</v>
      </c>
      <c r="C142" t="s">
        <v>2683</v>
      </c>
      <c r="D142" t="s">
        <v>380</v>
      </c>
      <c r="E142" t="s">
        <v>2677</v>
      </c>
      <c r="F142">
        <v>35</v>
      </c>
      <c r="G142">
        <v>3500000</v>
      </c>
      <c r="H142" t="s">
        <v>7</v>
      </c>
      <c r="I142">
        <v>0</v>
      </c>
      <c r="J142">
        <v>0</v>
      </c>
      <c r="K142">
        <v>0</v>
      </c>
      <c r="L142">
        <v>0</v>
      </c>
      <c r="M142">
        <v>0</v>
      </c>
    </row>
    <row r="143" spans="1:13" ht="15" customHeight="1" x14ac:dyDescent="0.25">
      <c r="A143" t="s">
        <v>1980</v>
      </c>
      <c r="B143" t="s">
        <v>16</v>
      </c>
      <c r="C143">
        <v>0</v>
      </c>
      <c r="D143" t="s">
        <v>127</v>
      </c>
      <c r="E143" t="s">
        <v>2690</v>
      </c>
      <c r="F143">
        <v>23</v>
      </c>
      <c r="G143">
        <v>700000</v>
      </c>
      <c r="H143" t="s">
        <v>8</v>
      </c>
      <c r="I143">
        <v>0</v>
      </c>
      <c r="J143">
        <v>0</v>
      </c>
      <c r="K143">
        <v>0</v>
      </c>
      <c r="L143">
        <v>0</v>
      </c>
      <c r="M143">
        <v>0</v>
      </c>
    </row>
    <row r="144" spans="1:13" ht="15" customHeight="1" x14ac:dyDescent="0.25">
      <c r="A144" t="s">
        <v>2667</v>
      </c>
      <c r="B144" t="s">
        <v>15</v>
      </c>
      <c r="C144" t="s">
        <v>386</v>
      </c>
      <c r="D144" t="s">
        <v>73</v>
      </c>
      <c r="E144" t="s">
        <v>2446</v>
      </c>
      <c r="F144">
        <v>20</v>
      </c>
      <c r="G144">
        <v>1075000</v>
      </c>
      <c r="H144">
        <v>1075000</v>
      </c>
      <c r="I144">
        <v>1075000</v>
      </c>
      <c r="J144" t="s">
        <v>8</v>
      </c>
      <c r="K144">
        <v>0</v>
      </c>
      <c r="L144">
        <v>0</v>
      </c>
      <c r="M144">
        <v>0</v>
      </c>
    </row>
    <row r="145" spans="1:13" ht="15" customHeight="1" x14ac:dyDescent="0.25">
      <c r="A145" t="s">
        <v>1865</v>
      </c>
      <c r="B145" t="s">
        <v>17</v>
      </c>
      <c r="C145">
        <v>0</v>
      </c>
      <c r="D145" t="s">
        <v>2444</v>
      </c>
      <c r="E145" t="s">
        <v>2439</v>
      </c>
      <c r="F145">
        <v>24</v>
      </c>
      <c r="G145">
        <v>1000000</v>
      </c>
      <c r="H145" t="s">
        <v>8</v>
      </c>
      <c r="I145">
        <v>0</v>
      </c>
      <c r="J145">
        <v>0</v>
      </c>
      <c r="K145">
        <v>0</v>
      </c>
      <c r="L145">
        <v>0</v>
      </c>
      <c r="M145">
        <v>0</v>
      </c>
    </row>
    <row r="146" spans="1:13" ht="15" customHeight="1" x14ac:dyDescent="0.25">
      <c r="A146" t="s">
        <v>1734</v>
      </c>
      <c r="B146" t="s">
        <v>25</v>
      </c>
      <c r="C146" t="s">
        <v>381</v>
      </c>
      <c r="D146" t="s">
        <v>2444</v>
      </c>
      <c r="E146" t="s">
        <v>2439</v>
      </c>
      <c r="F146">
        <v>35</v>
      </c>
      <c r="G146">
        <v>6000000</v>
      </c>
      <c r="H146">
        <v>6000000</v>
      </c>
      <c r="I146">
        <v>6000000</v>
      </c>
      <c r="J146" t="s">
        <v>7</v>
      </c>
      <c r="K146">
        <v>0</v>
      </c>
      <c r="L146">
        <v>0</v>
      </c>
      <c r="M146">
        <v>0</v>
      </c>
    </row>
    <row r="147" spans="1:13" ht="15" customHeight="1" x14ac:dyDescent="0.25">
      <c r="A147" t="s">
        <v>1857</v>
      </c>
      <c r="B147" t="s">
        <v>2503</v>
      </c>
      <c r="C147">
        <v>0</v>
      </c>
      <c r="D147" t="s">
        <v>2684</v>
      </c>
      <c r="E147" t="s">
        <v>2677</v>
      </c>
      <c r="F147">
        <v>25</v>
      </c>
      <c r="G147">
        <v>800000</v>
      </c>
      <c r="H147" t="s">
        <v>8</v>
      </c>
      <c r="I147">
        <v>0</v>
      </c>
      <c r="J147">
        <v>0</v>
      </c>
      <c r="K147">
        <v>0</v>
      </c>
      <c r="L147">
        <v>0</v>
      </c>
      <c r="M147">
        <v>0</v>
      </c>
    </row>
    <row r="148" spans="1:13" ht="15" customHeight="1" x14ac:dyDescent="0.25">
      <c r="A148" t="s">
        <v>2147</v>
      </c>
      <c r="B148" t="s">
        <v>6</v>
      </c>
      <c r="C148">
        <v>0</v>
      </c>
      <c r="D148" t="s">
        <v>127</v>
      </c>
      <c r="E148" t="s">
        <v>2446</v>
      </c>
      <c r="F148">
        <v>27</v>
      </c>
      <c r="G148">
        <v>675000</v>
      </c>
      <c r="H148" t="s">
        <v>7</v>
      </c>
      <c r="I148">
        <v>0</v>
      </c>
      <c r="J148">
        <v>0</v>
      </c>
      <c r="K148">
        <v>0</v>
      </c>
      <c r="L148">
        <v>0</v>
      </c>
      <c r="M148">
        <v>0</v>
      </c>
    </row>
    <row r="149" spans="1:13" ht="15" customHeight="1" x14ac:dyDescent="0.25">
      <c r="A149" t="s">
        <v>2048</v>
      </c>
      <c r="B149" t="s">
        <v>31</v>
      </c>
      <c r="C149" t="s">
        <v>381</v>
      </c>
      <c r="D149" t="s">
        <v>73</v>
      </c>
      <c r="E149" t="s">
        <v>2677</v>
      </c>
      <c r="F149">
        <v>33</v>
      </c>
      <c r="G149">
        <v>5000000</v>
      </c>
      <c r="H149">
        <v>5000000</v>
      </c>
      <c r="I149" t="s">
        <v>7</v>
      </c>
      <c r="J149">
        <v>0</v>
      </c>
      <c r="K149">
        <v>0</v>
      </c>
      <c r="L149">
        <v>0</v>
      </c>
      <c r="M149">
        <v>0</v>
      </c>
    </row>
    <row r="150" spans="1:13" ht="15" customHeight="1" x14ac:dyDescent="0.25">
      <c r="A150" t="s">
        <v>1610</v>
      </c>
      <c r="B150" t="s">
        <v>33</v>
      </c>
      <c r="C150" t="s">
        <v>386</v>
      </c>
      <c r="D150" t="s">
        <v>88</v>
      </c>
      <c r="E150" t="s">
        <v>2690</v>
      </c>
      <c r="F150">
        <v>22</v>
      </c>
      <c r="G150">
        <v>925000</v>
      </c>
      <c r="H150" t="s">
        <v>8</v>
      </c>
      <c r="I150">
        <v>0</v>
      </c>
      <c r="J150">
        <v>0</v>
      </c>
      <c r="K150">
        <v>0</v>
      </c>
      <c r="L150">
        <v>0</v>
      </c>
      <c r="M150">
        <v>0</v>
      </c>
    </row>
    <row r="151" spans="1:13" ht="15" customHeight="1" x14ac:dyDescent="0.25">
      <c r="A151" t="s">
        <v>2871</v>
      </c>
      <c r="B151" t="s">
        <v>27</v>
      </c>
      <c r="C151" t="s">
        <v>386</v>
      </c>
      <c r="D151" t="s">
        <v>2445</v>
      </c>
      <c r="E151" t="s">
        <v>2446</v>
      </c>
      <c r="F151">
        <v>19</v>
      </c>
      <c r="G151">
        <v>1313333</v>
      </c>
      <c r="H151">
        <v>1313333</v>
      </c>
      <c r="I151">
        <v>1313333</v>
      </c>
      <c r="J151" t="s">
        <v>8</v>
      </c>
      <c r="K151">
        <v>0</v>
      </c>
      <c r="L151">
        <v>0</v>
      </c>
      <c r="M151">
        <v>0</v>
      </c>
    </row>
    <row r="152" spans="1:13" ht="15" customHeight="1" x14ac:dyDescent="0.25">
      <c r="A152" t="s">
        <v>1697</v>
      </c>
      <c r="B152" t="s">
        <v>24</v>
      </c>
      <c r="C152" t="s">
        <v>386</v>
      </c>
      <c r="D152" t="s">
        <v>2442</v>
      </c>
      <c r="E152" t="s">
        <v>2439</v>
      </c>
      <c r="F152">
        <v>21</v>
      </c>
      <c r="G152">
        <v>825000</v>
      </c>
      <c r="H152" t="s">
        <v>8</v>
      </c>
      <c r="I152">
        <v>0</v>
      </c>
      <c r="J152">
        <v>0</v>
      </c>
      <c r="K152">
        <v>0</v>
      </c>
      <c r="L152">
        <v>0</v>
      </c>
      <c r="M152">
        <v>0</v>
      </c>
    </row>
    <row r="153" spans="1:13" ht="15" customHeight="1" x14ac:dyDescent="0.25">
      <c r="A153" t="s">
        <v>2305</v>
      </c>
      <c r="B153" t="s">
        <v>28</v>
      </c>
      <c r="C153">
        <v>0</v>
      </c>
      <c r="D153" t="s">
        <v>2444</v>
      </c>
      <c r="E153" t="s">
        <v>2439</v>
      </c>
      <c r="F153">
        <v>32</v>
      </c>
      <c r="G153">
        <v>3800000</v>
      </c>
      <c r="H153" t="s">
        <v>7</v>
      </c>
      <c r="I153">
        <v>0</v>
      </c>
      <c r="J153">
        <v>0</v>
      </c>
      <c r="K153">
        <v>0</v>
      </c>
      <c r="L153">
        <v>0</v>
      </c>
      <c r="M153">
        <v>0</v>
      </c>
    </row>
    <row r="154" spans="1:13" ht="15" customHeight="1" x14ac:dyDescent="0.25">
      <c r="A154" t="s">
        <v>1819</v>
      </c>
      <c r="B154" t="s">
        <v>28</v>
      </c>
      <c r="C154">
        <v>0</v>
      </c>
      <c r="D154" t="s">
        <v>2445</v>
      </c>
      <c r="E154" t="s">
        <v>2446</v>
      </c>
      <c r="F154">
        <v>30</v>
      </c>
      <c r="G154">
        <v>675000</v>
      </c>
      <c r="H154" t="s">
        <v>7</v>
      </c>
      <c r="I154">
        <v>0</v>
      </c>
      <c r="J154">
        <v>0</v>
      </c>
      <c r="K154">
        <v>0</v>
      </c>
      <c r="L154">
        <v>0</v>
      </c>
      <c r="M154">
        <v>0</v>
      </c>
    </row>
    <row r="155" spans="1:13" ht="15" customHeight="1" x14ac:dyDescent="0.25">
      <c r="A155" t="s">
        <v>2266</v>
      </c>
      <c r="B155" t="s">
        <v>20</v>
      </c>
      <c r="C155">
        <v>0</v>
      </c>
      <c r="D155" t="s">
        <v>2445</v>
      </c>
      <c r="E155" t="s">
        <v>2446</v>
      </c>
      <c r="F155">
        <v>24</v>
      </c>
      <c r="G155">
        <v>700000</v>
      </c>
      <c r="H155">
        <v>700000</v>
      </c>
      <c r="I155" t="s">
        <v>8</v>
      </c>
      <c r="J155">
        <v>0</v>
      </c>
      <c r="K155">
        <v>0</v>
      </c>
      <c r="L155">
        <v>0</v>
      </c>
      <c r="M155">
        <v>0</v>
      </c>
    </row>
    <row r="156" spans="1:13" ht="15" customHeight="1" x14ac:dyDescent="0.25">
      <c r="A156" t="s">
        <v>2360</v>
      </c>
      <c r="B156" t="s">
        <v>34</v>
      </c>
      <c r="C156" t="s">
        <v>386</v>
      </c>
      <c r="D156" t="s">
        <v>82</v>
      </c>
      <c r="E156" t="s">
        <v>2446</v>
      </c>
      <c r="F156">
        <v>22</v>
      </c>
      <c r="G156">
        <v>888333</v>
      </c>
      <c r="H156" t="s">
        <v>8</v>
      </c>
      <c r="I156">
        <v>0</v>
      </c>
      <c r="J156">
        <v>0</v>
      </c>
      <c r="K156">
        <v>0</v>
      </c>
      <c r="L156">
        <v>0</v>
      </c>
      <c r="M156">
        <v>0</v>
      </c>
    </row>
    <row r="157" spans="1:13" ht="15" customHeight="1" x14ac:dyDescent="0.25">
      <c r="A157" t="s">
        <v>2721</v>
      </c>
      <c r="B157" t="s">
        <v>18</v>
      </c>
      <c r="C157" t="s">
        <v>388</v>
      </c>
      <c r="D157" t="s">
        <v>2445</v>
      </c>
      <c r="E157" t="s">
        <v>2592</v>
      </c>
      <c r="F157">
        <v>18</v>
      </c>
      <c r="G157">
        <v>1775000</v>
      </c>
      <c r="H157">
        <v>1775000</v>
      </c>
      <c r="I157">
        <v>1775000</v>
      </c>
      <c r="J157" t="s">
        <v>8</v>
      </c>
      <c r="K157">
        <v>0</v>
      </c>
      <c r="L157">
        <v>0</v>
      </c>
      <c r="M157">
        <v>0</v>
      </c>
    </row>
    <row r="158" spans="1:13" ht="15" customHeight="1" x14ac:dyDescent="0.25">
      <c r="A158" t="s">
        <v>2199</v>
      </c>
      <c r="B158" t="s">
        <v>12</v>
      </c>
      <c r="C158" t="s">
        <v>381</v>
      </c>
      <c r="D158" t="s">
        <v>2444</v>
      </c>
      <c r="E158" t="s">
        <v>2439</v>
      </c>
      <c r="F158">
        <v>29</v>
      </c>
      <c r="G158">
        <v>4650400</v>
      </c>
      <c r="H158" t="s">
        <v>7</v>
      </c>
      <c r="I158">
        <v>0</v>
      </c>
      <c r="J158">
        <v>0</v>
      </c>
      <c r="K158">
        <v>0</v>
      </c>
      <c r="L158">
        <v>0</v>
      </c>
      <c r="M158">
        <v>0</v>
      </c>
    </row>
    <row r="159" spans="1:13" ht="15" customHeight="1" x14ac:dyDescent="0.25">
      <c r="A159" t="s">
        <v>1996</v>
      </c>
      <c r="B159" t="s">
        <v>21</v>
      </c>
      <c r="C159">
        <v>0</v>
      </c>
      <c r="D159" t="s">
        <v>2445</v>
      </c>
      <c r="E159" t="s">
        <v>2439</v>
      </c>
      <c r="F159">
        <v>26</v>
      </c>
      <c r="G159">
        <v>4166667</v>
      </c>
      <c r="H159">
        <v>4166667</v>
      </c>
      <c r="I159" t="s">
        <v>7</v>
      </c>
      <c r="J159">
        <v>0</v>
      </c>
      <c r="K159">
        <v>0</v>
      </c>
      <c r="L159">
        <v>0</v>
      </c>
      <c r="M159">
        <v>0</v>
      </c>
    </row>
    <row r="160" spans="1:13" ht="15" customHeight="1" x14ac:dyDescent="0.25">
      <c r="A160" t="s">
        <v>2221</v>
      </c>
      <c r="B160" t="s">
        <v>18</v>
      </c>
      <c r="C160">
        <v>0</v>
      </c>
      <c r="D160" t="s">
        <v>73</v>
      </c>
      <c r="E160" t="s">
        <v>2439</v>
      </c>
      <c r="F160">
        <v>35</v>
      </c>
      <c r="G160">
        <v>1150000</v>
      </c>
      <c r="H160" t="s">
        <v>7</v>
      </c>
      <c r="I160">
        <v>0</v>
      </c>
      <c r="J160">
        <v>0</v>
      </c>
      <c r="K160">
        <v>0</v>
      </c>
      <c r="L160">
        <v>0</v>
      </c>
      <c r="M160">
        <v>0</v>
      </c>
    </row>
    <row r="161" spans="1:13" ht="15" customHeight="1" x14ac:dyDescent="0.25">
      <c r="A161" t="s">
        <v>2292</v>
      </c>
      <c r="B161" t="s">
        <v>30</v>
      </c>
      <c r="C161">
        <v>0</v>
      </c>
      <c r="D161" t="s">
        <v>73</v>
      </c>
      <c r="E161" t="s">
        <v>2439</v>
      </c>
      <c r="F161">
        <v>26</v>
      </c>
      <c r="G161">
        <v>700000</v>
      </c>
      <c r="H161" t="s">
        <v>7</v>
      </c>
      <c r="I161">
        <v>0</v>
      </c>
      <c r="J161">
        <v>0</v>
      </c>
      <c r="K161">
        <v>0</v>
      </c>
      <c r="L161">
        <v>0</v>
      </c>
      <c r="M161">
        <v>0</v>
      </c>
    </row>
    <row r="162" spans="1:13" ht="15" customHeight="1" x14ac:dyDescent="0.25">
      <c r="A162" t="s">
        <v>2606</v>
      </c>
      <c r="B162" t="s">
        <v>22</v>
      </c>
      <c r="C162" t="s">
        <v>386</v>
      </c>
      <c r="D162" t="s">
        <v>2444</v>
      </c>
      <c r="E162" t="s">
        <v>2446</v>
      </c>
      <c r="F162">
        <v>20</v>
      </c>
      <c r="G162">
        <v>910833</v>
      </c>
      <c r="H162">
        <v>910833</v>
      </c>
      <c r="I162">
        <v>910833</v>
      </c>
      <c r="J162" t="s">
        <v>8</v>
      </c>
      <c r="K162">
        <v>0</v>
      </c>
      <c r="L162">
        <v>0</v>
      </c>
      <c r="M162">
        <v>0</v>
      </c>
    </row>
    <row r="163" spans="1:13" ht="15" customHeight="1" x14ac:dyDescent="0.25">
      <c r="A163" t="s">
        <v>1615</v>
      </c>
      <c r="B163" t="s">
        <v>33</v>
      </c>
      <c r="C163" t="s">
        <v>386</v>
      </c>
      <c r="D163" t="s">
        <v>73</v>
      </c>
      <c r="E163" t="s">
        <v>2690</v>
      </c>
      <c r="F163">
        <v>23</v>
      </c>
      <c r="G163">
        <v>925000</v>
      </c>
      <c r="H163" t="s">
        <v>8</v>
      </c>
      <c r="I163">
        <v>0</v>
      </c>
      <c r="J163">
        <v>0</v>
      </c>
      <c r="K163">
        <v>0</v>
      </c>
      <c r="L163">
        <v>0</v>
      </c>
      <c r="M163">
        <v>0</v>
      </c>
    </row>
    <row r="164" spans="1:13" ht="15" customHeight="1" x14ac:dyDescent="0.25">
      <c r="A164" t="s">
        <v>2096</v>
      </c>
      <c r="B164" t="s">
        <v>35</v>
      </c>
      <c r="C164">
        <v>0</v>
      </c>
      <c r="D164" t="s">
        <v>127</v>
      </c>
      <c r="E164" t="s">
        <v>2439</v>
      </c>
      <c r="F164">
        <v>26</v>
      </c>
      <c r="G164">
        <v>1225000</v>
      </c>
      <c r="H164" t="s">
        <v>7</v>
      </c>
      <c r="I164">
        <v>0</v>
      </c>
      <c r="J164">
        <v>0</v>
      </c>
      <c r="K164">
        <v>0</v>
      </c>
      <c r="L164">
        <v>0</v>
      </c>
      <c r="M164">
        <v>0</v>
      </c>
    </row>
    <row r="165" spans="1:13" ht="15" customHeight="1" x14ac:dyDescent="0.25">
      <c r="A165" t="s">
        <v>1588</v>
      </c>
      <c r="B165" t="s">
        <v>27</v>
      </c>
      <c r="C165">
        <v>0</v>
      </c>
      <c r="D165" t="s">
        <v>2442</v>
      </c>
      <c r="E165" t="s">
        <v>2439</v>
      </c>
      <c r="F165">
        <v>25</v>
      </c>
      <c r="G165">
        <v>2100000</v>
      </c>
      <c r="H165" t="s">
        <v>8</v>
      </c>
      <c r="I165">
        <v>0</v>
      </c>
      <c r="J165">
        <v>0</v>
      </c>
      <c r="K165">
        <v>0</v>
      </c>
      <c r="L165">
        <v>0</v>
      </c>
      <c r="M165">
        <v>0</v>
      </c>
    </row>
    <row r="166" spans="1:13" ht="15" customHeight="1" x14ac:dyDescent="0.25">
      <c r="A166" t="s">
        <v>2254</v>
      </c>
      <c r="B166" t="s">
        <v>20</v>
      </c>
      <c r="C166" t="s">
        <v>381</v>
      </c>
      <c r="D166" t="s">
        <v>2441</v>
      </c>
      <c r="E166" t="s">
        <v>2439</v>
      </c>
      <c r="F166">
        <v>34</v>
      </c>
      <c r="G166">
        <v>5875000</v>
      </c>
      <c r="H166">
        <v>5875000</v>
      </c>
      <c r="I166">
        <v>5875000</v>
      </c>
      <c r="J166" t="s">
        <v>7</v>
      </c>
      <c r="K166">
        <v>0</v>
      </c>
      <c r="L166">
        <v>0</v>
      </c>
      <c r="M166">
        <v>0</v>
      </c>
    </row>
    <row r="167" spans="1:13" ht="15" customHeight="1" x14ac:dyDescent="0.25">
      <c r="A167" t="s">
        <v>1993</v>
      </c>
      <c r="B167" t="s">
        <v>21</v>
      </c>
      <c r="C167">
        <v>0</v>
      </c>
      <c r="D167" t="s">
        <v>2438</v>
      </c>
      <c r="E167" t="s">
        <v>2439</v>
      </c>
      <c r="F167">
        <v>29</v>
      </c>
      <c r="G167">
        <v>687500</v>
      </c>
      <c r="H167" t="s">
        <v>7</v>
      </c>
      <c r="I167">
        <v>0</v>
      </c>
      <c r="J167">
        <v>0</v>
      </c>
      <c r="K167">
        <v>0</v>
      </c>
      <c r="L167">
        <v>0</v>
      </c>
      <c r="M167">
        <v>0</v>
      </c>
    </row>
    <row r="168" spans="1:13" ht="15" customHeight="1" x14ac:dyDescent="0.25">
      <c r="A168" t="s">
        <v>1477</v>
      </c>
      <c r="B168" t="s">
        <v>2531</v>
      </c>
      <c r="C168">
        <v>0</v>
      </c>
      <c r="D168" t="s">
        <v>379</v>
      </c>
      <c r="E168" t="s">
        <v>2677</v>
      </c>
      <c r="F168">
        <v>25</v>
      </c>
      <c r="G168">
        <v>675000</v>
      </c>
      <c r="H168" t="s">
        <v>8</v>
      </c>
      <c r="I168">
        <v>0</v>
      </c>
      <c r="J168">
        <v>0</v>
      </c>
      <c r="K168">
        <v>0</v>
      </c>
      <c r="L168">
        <v>0</v>
      </c>
      <c r="M168">
        <v>0</v>
      </c>
    </row>
    <row r="169" spans="1:13" ht="15" customHeight="1" x14ac:dyDescent="0.25">
      <c r="A169" t="s">
        <v>1532</v>
      </c>
      <c r="B169" t="s">
        <v>27</v>
      </c>
      <c r="C169" t="s">
        <v>386</v>
      </c>
      <c r="D169" t="s">
        <v>73</v>
      </c>
      <c r="E169" t="s">
        <v>2439</v>
      </c>
      <c r="F169">
        <v>21</v>
      </c>
      <c r="G169">
        <v>1573333</v>
      </c>
      <c r="H169">
        <v>1573333</v>
      </c>
      <c r="I169" t="s">
        <v>8</v>
      </c>
      <c r="J169">
        <v>0</v>
      </c>
      <c r="K169">
        <v>0</v>
      </c>
      <c r="L169">
        <v>0</v>
      </c>
      <c r="M169">
        <v>0</v>
      </c>
    </row>
    <row r="170" spans="1:13" ht="15" customHeight="1" x14ac:dyDescent="0.25">
      <c r="A170" t="s">
        <v>1653</v>
      </c>
      <c r="B170" t="s">
        <v>135</v>
      </c>
      <c r="C170">
        <v>0</v>
      </c>
      <c r="D170" t="s">
        <v>2684</v>
      </c>
      <c r="E170" t="s">
        <v>2690</v>
      </c>
      <c r="F170">
        <v>27</v>
      </c>
      <c r="G170">
        <v>700000</v>
      </c>
      <c r="H170">
        <v>700000</v>
      </c>
      <c r="I170" t="s">
        <v>7</v>
      </c>
      <c r="J170">
        <v>0</v>
      </c>
      <c r="K170">
        <v>0</v>
      </c>
      <c r="L170">
        <v>0</v>
      </c>
      <c r="M170">
        <v>0</v>
      </c>
    </row>
    <row r="171" spans="1:13" ht="15" customHeight="1" x14ac:dyDescent="0.25">
      <c r="A171" t="s">
        <v>2630</v>
      </c>
      <c r="B171" t="s">
        <v>10</v>
      </c>
      <c r="C171" t="s">
        <v>386</v>
      </c>
      <c r="D171" t="s">
        <v>82</v>
      </c>
      <c r="E171" t="s">
        <v>2690</v>
      </c>
      <c r="F171">
        <v>21</v>
      </c>
      <c r="G171">
        <v>925000</v>
      </c>
      <c r="H171">
        <v>925000</v>
      </c>
      <c r="I171">
        <v>925000</v>
      </c>
      <c r="J171" t="s">
        <v>8</v>
      </c>
      <c r="K171">
        <v>0</v>
      </c>
      <c r="L171">
        <v>0</v>
      </c>
      <c r="M171">
        <v>0</v>
      </c>
    </row>
    <row r="172" spans="1:13" ht="15" customHeight="1" x14ac:dyDescent="0.25">
      <c r="A172" t="s">
        <v>1759</v>
      </c>
      <c r="B172" t="s">
        <v>26</v>
      </c>
      <c r="C172">
        <v>0</v>
      </c>
      <c r="D172" t="s">
        <v>2680</v>
      </c>
      <c r="E172" t="s">
        <v>2677</v>
      </c>
      <c r="F172">
        <v>24</v>
      </c>
      <c r="G172">
        <v>3250000</v>
      </c>
      <c r="H172">
        <v>3250000</v>
      </c>
      <c r="I172" t="s">
        <v>8</v>
      </c>
      <c r="J172">
        <v>0</v>
      </c>
      <c r="K172">
        <v>0</v>
      </c>
      <c r="L172">
        <v>0</v>
      </c>
      <c r="M172">
        <v>0</v>
      </c>
    </row>
    <row r="173" spans="1:13" ht="15" customHeight="1" x14ac:dyDescent="0.25">
      <c r="A173" t="s">
        <v>1812</v>
      </c>
      <c r="B173" t="s">
        <v>28</v>
      </c>
      <c r="C173" t="s">
        <v>386</v>
      </c>
      <c r="D173" t="s">
        <v>73</v>
      </c>
      <c r="E173" t="s">
        <v>2446</v>
      </c>
      <c r="F173">
        <v>21</v>
      </c>
      <c r="G173">
        <v>790000</v>
      </c>
      <c r="H173">
        <v>790000</v>
      </c>
      <c r="I173" t="s">
        <v>8</v>
      </c>
      <c r="J173">
        <v>0</v>
      </c>
      <c r="K173">
        <v>0</v>
      </c>
      <c r="L173">
        <v>0</v>
      </c>
      <c r="M173">
        <v>0</v>
      </c>
    </row>
    <row r="174" spans="1:13" ht="15" customHeight="1" x14ac:dyDescent="0.25">
      <c r="A174" t="s">
        <v>2181</v>
      </c>
      <c r="B174" t="s">
        <v>63</v>
      </c>
      <c r="C174">
        <v>0</v>
      </c>
      <c r="D174" t="s">
        <v>93</v>
      </c>
      <c r="E174" t="s">
        <v>2690</v>
      </c>
      <c r="F174">
        <v>23</v>
      </c>
      <c r="G174">
        <v>737500</v>
      </c>
      <c r="H174">
        <v>737500</v>
      </c>
      <c r="I174" t="s">
        <v>8</v>
      </c>
      <c r="J174">
        <v>0</v>
      </c>
      <c r="K174">
        <v>0</v>
      </c>
      <c r="L174">
        <v>0</v>
      </c>
      <c r="M174">
        <v>0</v>
      </c>
    </row>
    <row r="175" spans="1:13" ht="15" customHeight="1" x14ac:dyDescent="0.25">
      <c r="A175" t="s">
        <v>2893</v>
      </c>
      <c r="B175" t="s">
        <v>15</v>
      </c>
      <c r="C175">
        <v>0</v>
      </c>
      <c r="D175" t="s">
        <v>2442</v>
      </c>
      <c r="E175" t="s">
        <v>2439</v>
      </c>
      <c r="F175">
        <v>24</v>
      </c>
      <c r="G175">
        <v>3250000</v>
      </c>
      <c r="H175" t="s">
        <v>8</v>
      </c>
      <c r="I175">
        <v>0</v>
      </c>
      <c r="J175">
        <v>0</v>
      </c>
      <c r="K175">
        <v>0</v>
      </c>
      <c r="L175">
        <v>0</v>
      </c>
      <c r="M175">
        <v>0</v>
      </c>
    </row>
    <row r="176" spans="1:13" ht="15" customHeight="1" x14ac:dyDescent="0.25">
      <c r="A176" t="s">
        <v>2171</v>
      </c>
      <c r="B176" t="s">
        <v>63</v>
      </c>
      <c r="C176" t="s">
        <v>386</v>
      </c>
      <c r="D176" t="s">
        <v>93</v>
      </c>
      <c r="E176" t="s">
        <v>2690</v>
      </c>
      <c r="F176">
        <v>22</v>
      </c>
      <c r="G176">
        <v>925000</v>
      </c>
      <c r="H176">
        <v>925000</v>
      </c>
      <c r="I176" t="s">
        <v>8</v>
      </c>
      <c r="J176">
        <v>0</v>
      </c>
      <c r="K176">
        <v>0</v>
      </c>
      <c r="L176">
        <v>0</v>
      </c>
      <c r="M176">
        <v>0</v>
      </c>
    </row>
    <row r="177" spans="1:13" ht="15" customHeight="1" x14ac:dyDescent="0.25">
      <c r="A177" t="s">
        <v>2303</v>
      </c>
      <c r="B177" t="s">
        <v>30</v>
      </c>
      <c r="C177" t="s">
        <v>381</v>
      </c>
      <c r="D177" t="s">
        <v>2444</v>
      </c>
      <c r="E177" t="s">
        <v>2439</v>
      </c>
      <c r="F177">
        <v>34</v>
      </c>
      <c r="G177">
        <v>8000000</v>
      </c>
      <c r="H177">
        <v>8000000</v>
      </c>
      <c r="I177">
        <v>8000000</v>
      </c>
      <c r="J177">
        <v>8000000</v>
      </c>
      <c r="K177">
        <v>8000000</v>
      </c>
      <c r="L177">
        <v>8000000</v>
      </c>
      <c r="M177" t="s">
        <v>7</v>
      </c>
    </row>
    <row r="178" spans="1:13" ht="15" customHeight="1" x14ac:dyDescent="0.25">
      <c r="A178" t="s">
        <v>1751</v>
      </c>
      <c r="B178" t="s">
        <v>25</v>
      </c>
      <c r="C178">
        <v>0</v>
      </c>
      <c r="D178" t="s">
        <v>2444</v>
      </c>
      <c r="E178" t="s">
        <v>2446</v>
      </c>
      <c r="F178">
        <v>24</v>
      </c>
      <c r="G178">
        <v>675000</v>
      </c>
      <c r="H178" t="s">
        <v>8</v>
      </c>
      <c r="I178">
        <v>0</v>
      </c>
      <c r="J178">
        <v>0</v>
      </c>
      <c r="K178">
        <v>0</v>
      </c>
      <c r="L178">
        <v>0</v>
      </c>
      <c r="M178">
        <v>0</v>
      </c>
    </row>
    <row r="179" spans="1:13" ht="15" customHeight="1" x14ac:dyDescent="0.25">
      <c r="A179" t="s">
        <v>1703</v>
      </c>
      <c r="B179" t="s">
        <v>24</v>
      </c>
      <c r="C179">
        <v>0</v>
      </c>
      <c r="D179" t="s">
        <v>2445</v>
      </c>
      <c r="E179" t="s">
        <v>2439</v>
      </c>
      <c r="F179">
        <v>24</v>
      </c>
      <c r="G179">
        <v>3733333</v>
      </c>
      <c r="H179">
        <v>3733333</v>
      </c>
      <c r="I179">
        <v>3733333</v>
      </c>
      <c r="J179" t="s">
        <v>7</v>
      </c>
      <c r="K179">
        <v>0</v>
      </c>
      <c r="L179">
        <v>0</v>
      </c>
      <c r="M179">
        <v>0</v>
      </c>
    </row>
    <row r="180" spans="1:13" ht="15" customHeight="1" x14ac:dyDescent="0.25">
      <c r="A180" t="s">
        <v>2823</v>
      </c>
      <c r="B180" t="s">
        <v>35</v>
      </c>
      <c r="C180" t="s">
        <v>381</v>
      </c>
      <c r="D180" t="s">
        <v>2444</v>
      </c>
      <c r="E180" t="s">
        <v>2439</v>
      </c>
      <c r="F180">
        <v>34</v>
      </c>
      <c r="G180">
        <v>7600000</v>
      </c>
      <c r="H180">
        <v>7600000</v>
      </c>
      <c r="I180" t="s">
        <v>7</v>
      </c>
      <c r="J180">
        <v>0</v>
      </c>
      <c r="K180">
        <v>0</v>
      </c>
      <c r="L180">
        <v>0</v>
      </c>
      <c r="M180">
        <v>0</v>
      </c>
    </row>
    <row r="181" spans="1:13" ht="15" customHeight="1" x14ac:dyDescent="0.25">
      <c r="A181" t="s">
        <v>2757</v>
      </c>
      <c r="B181" t="s">
        <v>15</v>
      </c>
      <c r="C181" t="s">
        <v>388</v>
      </c>
      <c r="D181" t="s">
        <v>2445</v>
      </c>
      <c r="E181" t="s">
        <v>389</v>
      </c>
      <c r="F181">
        <v>18</v>
      </c>
      <c r="G181">
        <v>3425000</v>
      </c>
      <c r="H181">
        <v>3425000</v>
      </c>
      <c r="I181">
        <v>3425000</v>
      </c>
      <c r="J181" t="s">
        <v>8</v>
      </c>
      <c r="K181">
        <v>0</v>
      </c>
      <c r="L181">
        <v>0</v>
      </c>
      <c r="M181">
        <v>0</v>
      </c>
    </row>
    <row r="182" spans="1:13" ht="15" customHeight="1" x14ac:dyDescent="0.25">
      <c r="A182" t="s">
        <v>2792</v>
      </c>
      <c r="B182" t="s">
        <v>22</v>
      </c>
      <c r="C182">
        <v>0</v>
      </c>
      <c r="D182" t="s">
        <v>2442</v>
      </c>
      <c r="E182" t="s">
        <v>2439</v>
      </c>
      <c r="F182">
        <v>30</v>
      </c>
      <c r="G182">
        <v>3400000</v>
      </c>
      <c r="H182">
        <v>3400000</v>
      </c>
      <c r="I182">
        <v>3400000</v>
      </c>
      <c r="J182">
        <v>3400000</v>
      </c>
      <c r="K182" t="s">
        <v>7</v>
      </c>
      <c r="L182">
        <v>0</v>
      </c>
      <c r="M182">
        <v>0</v>
      </c>
    </row>
    <row r="183" spans="1:13" ht="15" customHeight="1" x14ac:dyDescent="0.25">
      <c r="A183" t="s">
        <v>1975</v>
      </c>
      <c r="B183" t="s">
        <v>16</v>
      </c>
      <c r="C183" t="s">
        <v>386</v>
      </c>
      <c r="D183" t="s">
        <v>88</v>
      </c>
      <c r="E183" t="s">
        <v>2690</v>
      </c>
      <c r="F183">
        <v>20</v>
      </c>
      <c r="G183">
        <v>738333</v>
      </c>
      <c r="H183">
        <v>738333</v>
      </c>
      <c r="I183" t="s">
        <v>8</v>
      </c>
      <c r="J183">
        <v>0</v>
      </c>
      <c r="K183">
        <v>0</v>
      </c>
      <c r="L183">
        <v>0</v>
      </c>
      <c r="M183">
        <v>0</v>
      </c>
    </row>
    <row r="184" spans="1:13" ht="15" customHeight="1" x14ac:dyDescent="0.25">
      <c r="A184" t="s">
        <v>2220</v>
      </c>
      <c r="B184" t="s">
        <v>13</v>
      </c>
      <c r="C184">
        <v>0</v>
      </c>
      <c r="D184" t="s">
        <v>2462</v>
      </c>
      <c r="E184" t="s">
        <v>2439</v>
      </c>
      <c r="F184">
        <v>25</v>
      </c>
      <c r="G184">
        <v>1500000</v>
      </c>
      <c r="H184" t="s">
        <v>8</v>
      </c>
      <c r="I184">
        <v>0</v>
      </c>
      <c r="J184">
        <v>0</v>
      </c>
      <c r="K184">
        <v>0</v>
      </c>
      <c r="L184">
        <v>0</v>
      </c>
      <c r="M184">
        <v>0</v>
      </c>
    </row>
    <row r="185" spans="1:13" ht="15" customHeight="1" x14ac:dyDescent="0.25">
      <c r="A185" t="s">
        <v>1972</v>
      </c>
      <c r="B185" t="s">
        <v>16</v>
      </c>
      <c r="C185" t="s">
        <v>386</v>
      </c>
      <c r="D185" t="s">
        <v>88</v>
      </c>
      <c r="E185" t="s">
        <v>2690</v>
      </c>
      <c r="F185">
        <v>24</v>
      </c>
      <c r="G185">
        <v>925000</v>
      </c>
      <c r="H185" t="s">
        <v>8</v>
      </c>
      <c r="I185">
        <v>0</v>
      </c>
      <c r="J185">
        <v>0</v>
      </c>
      <c r="K185">
        <v>0</v>
      </c>
      <c r="L185">
        <v>0</v>
      </c>
      <c r="M185">
        <v>0</v>
      </c>
    </row>
    <row r="186" spans="1:13" ht="15" customHeight="1" x14ac:dyDescent="0.25">
      <c r="A186" t="s">
        <v>2557</v>
      </c>
      <c r="B186" t="s">
        <v>27</v>
      </c>
      <c r="C186" t="s">
        <v>370</v>
      </c>
      <c r="D186" t="s">
        <v>2438</v>
      </c>
      <c r="E186" t="s">
        <v>374</v>
      </c>
      <c r="F186">
        <v>34</v>
      </c>
      <c r="G186">
        <v>5800000</v>
      </c>
      <c r="H186" t="s">
        <v>7</v>
      </c>
      <c r="I186">
        <v>0</v>
      </c>
      <c r="J186">
        <v>0</v>
      </c>
      <c r="K186">
        <v>0</v>
      </c>
      <c r="L186">
        <v>0</v>
      </c>
      <c r="M186">
        <v>0</v>
      </c>
    </row>
    <row r="187" spans="1:13" ht="15" customHeight="1" x14ac:dyDescent="0.25">
      <c r="A187" t="s">
        <v>1917</v>
      </c>
      <c r="B187" t="s">
        <v>15</v>
      </c>
      <c r="C187">
        <v>0</v>
      </c>
      <c r="D187" t="s">
        <v>2442</v>
      </c>
      <c r="E187" t="s">
        <v>2439</v>
      </c>
      <c r="F187">
        <v>29</v>
      </c>
      <c r="G187">
        <v>2850000</v>
      </c>
      <c r="H187">
        <v>2850000</v>
      </c>
      <c r="I187" t="s">
        <v>7</v>
      </c>
      <c r="J187">
        <v>0</v>
      </c>
      <c r="K187">
        <v>0</v>
      </c>
      <c r="L187">
        <v>0</v>
      </c>
      <c r="M187">
        <v>0</v>
      </c>
    </row>
    <row r="188" spans="1:13" ht="15" customHeight="1" x14ac:dyDescent="0.25">
      <c r="A188" t="s">
        <v>2749</v>
      </c>
      <c r="B188" t="s">
        <v>24</v>
      </c>
      <c r="C188">
        <v>0</v>
      </c>
      <c r="D188">
        <v>0</v>
      </c>
      <c r="E188">
        <v>0</v>
      </c>
      <c r="F188">
        <v>0</v>
      </c>
      <c r="G188">
        <v>0</v>
      </c>
      <c r="H188">
        <v>0</v>
      </c>
      <c r="I188">
        <v>0</v>
      </c>
      <c r="J188">
        <v>0</v>
      </c>
      <c r="K188">
        <v>0</v>
      </c>
      <c r="L188">
        <v>0</v>
      </c>
      <c r="M188">
        <v>0</v>
      </c>
    </row>
    <row r="189" spans="1:13" ht="15" customHeight="1" x14ac:dyDescent="0.25">
      <c r="A189" t="s">
        <v>2268</v>
      </c>
      <c r="B189" t="s">
        <v>20</v>
      </c>
      <c r="C189">
        <v>0</v>
      </c>
      <c r="D189" t="s">
        <v>127</v>
      </c>
      <c r="E189" t="s">
        <v>2439</v>
      </c>
      <c r="F189">
        <v>27</v>
      </c>
      <c r="G189">
        <v>675000</v>
      </c>
      <c r="H189" t="s">
        <v>7</v>
      </c>
      <c r="I189">
        <v>0</v>
      </c>
      <c r="J189">
        <v>0</v>
      </c>
      <c r="K189">
        <v>0</v>
      </c>
      <c r="L189">
        <v>0</v>
      </c>
      <c r="M189">
        <v>0</v>
      </c>
    </row>
    <row r="190" spans="1:13" ht="15" customHeight="1" x14ac:dyDescent="0.25">
      <c r="A190" t="s">
        <v>2178</v>
      </c>
      <c r="B190" t="s">
        <v>63</v>
      </c>
      <c r="C190" t="s">
        <v>386</v>
      </c>
      <c r="D190" t="s">
        <v>82</v>
      </c>
      <c r="E190" t="s">
        <v>2690</v>
      </c>
      <c r="F190">
        <v>22</v>
      </c>
      <c r="G190">
        <v>894166</v>
      </c>
      <c r="H190" t="s">
        <v>8</v>
      </c>
      <c r="I190">
        <v>0</v>
      </c>
      <c r="J190">
        <v>0</v>
      </c>
      <c r="K190">
        <v>0</v>
      </c>
      <c r="L190">
        <v>0</v>
      </c>
      <c r="M190">
        <v>0</v>
      </c>
    </row>
    <row r="191" spans="1:13" ht="15" customHeight="1" x14ac:dyDescent="0.25">
      <c r="A191" t="s">
        <v>2361</v>
      </c>
      <c r="B191" t="s">
        <v>27</v>
      </c>
      <c r="C191">
        <v>0</v>
      </c>
      <c r="D191" t="s">
        <v>2450</v>
      </c>
      <c r="E191" t="s">
        <v>2446</v>
      </c>
      <c r="F191">
        <v>23</v>
      </c>
      <c r="G191">
        <v>700000</v>
      </c>
      <c r="H191">
        <v>700000</v>
      </c>
      <c r="I191" t="s">
        <v>8</v>
      </c>
      <c r="J191">
        <v>0</v>
      </c>
      <c r="K191">
        <v>0</v>
      </c>
      <c r="L191">
        <v>0</v>
      </c>
      <c r="M191">
        <v>0</v>
      </c>
    </row>
    <row r="192" spans="1:13" ht="30" customHeight="1" x14ac:dyDescent="0.25">
      <c r="A192" t="s">
        <v>1523</v>
      </c>
      <c r="B192" t="s">
        <v>9</v>
      </c>
      <c r="C192">
        <v>0</v>
      </c>
      <c r="D192" t="s">
        <v>73</v>
      </c>
      <c r="E192" t="s">
        <v>2446</v>
      </c>
      <c r="F192">
        <v>30</v>
      </c>
      <c r="G192">
        <v>700000</v>
      </c>
      <c r="H192">
        <v>700000</v>
      </c>
      <c r="I192" t="s">
        <v>7</v>
      </c>
      <c r="J192">
        <v>0</v>
      </c>
      <c r="K192">
        <v>0</v>
      </c>
      <c r="L192">
        <v>0</v>
      </c>
      <c r="M192">
        <v>0</v>
      </c>
    </row>
    <row r="193" spans="1:13" ht="15" customHeight="1" x14ac:dyDescent="0.25">
      <c r="A193" t="s">
        <v>1358</v>
      </c>
      <c r="B193" t="s">
        <v>9</v>
      </c>
      <c r="C193">
        <v>0</v>
      </c>
      <c r="D193" t="s">
        <v>2444</v>
      </c>
      <c r="E193" t="s">
        <v>2439</v>
      </c>
      <c r="F193">
        <v>22</v>
      </c>
      <c r="G193" t="s">
        <v>8</v>
      </c>
      <c r="H193">
        <v>0</v>
      </c>
      <c r="I193">
        <v>0</v>
      </c>
      <c r="J193">
        <v>0</v>
      </c>
      <c r="K193">
        <v>0</v>
      </c>
      <c r="L193">
        <v>0</v>
      </c>
      <c r="M193">
        <v>0</v>
      </c>
    </row>
    <row r="194" spans="1:13" ht="15" customHeight="1" x14ac:dyDescent="0.25">
      <c r="A194" t="s">
        <v>1861</v>
      </c>
      <c r="B194" t="s">
        <v>2503</v>
      </c>
      <c r="C194" t="s">
        <v>381</v>
      </c>
      <c r="D194" t="s">
        <v>379</v>
      </c>
      <c r="E194" t="s">
        <v>2677</v>
      </c>
      <c r="F194">
        <v>29</v>
      </c>
      <c r="G194">
        <v>8000000</v>
      </c>
      <c r="H194">
        <v>8000000</v>
      </c>
      <c r="I194">
        <v>8000000</v>
      </c>
      <c r="J194">
        <v>8000000</v>
      </c>
      <c r="K194">
        <v>8000000</v>
      </c>
      <c r="L194">
        <v>8000000</v>
      </c>
      <c r="M194">
        <v>8000000</v>
      </c>
    </row>
    <row r="195" spans="1:13" ht="15" customHeight="1" x14ac:dyDescent="0.25">
      <c r="A195" t="s">
        <v>1675</v>
      </c>
      <c r="B195" t="s">
        <v>14</v>
      </c>
      <c r="C195" t="s">
        <v>386</v>
      </c>
      <c r="D195" t="s">
        <v>2445</v>
      </c>
      <c r="E195" t="s">
        <v>2446</v>
      </c>
      <c r="F195">
        <v>22</v>
      </c>
      <c r="G195">
        <v>894166</v>
      </c>
      <c r="H195" t="s">
        <v>8</v>
      </c>
      <c r="I195">
        <v>0</v>
      </c>
      <c r="J195">
        <v>0</v>
      </c>
      <c r="K195">
        <v>0</v>
      </c>
      <c r="L195">
        <v>0</v>
      </c>
      <c r="M195">
        <v>0</v>
      </c>
    </row>
    <row r="196" spans="1:13" ht="15" customHeight="1" x14ac:dyDescent="0.25">
      <c r="A196" t="s">
        <v>1906</v>
      </c>
      <c r="B196" t="s">
        <v>13</v>
      </c>
      <c r="C196" t="s">
        <v>386</v>
      </c>
      <c r="D196" t="s">
        <v>82</v>
      </c>
      <c r="E196" t="s">
        <v>2446</v>
      </c>
      <c r="F196">
        <v>22</v>
      </c>
      <c r="G196">
        <v>925000</v>
      </c>
      <c r="H196">
        <v>925000</v>
      </c>
      <c r="I196" t="s">
        <v>8</v>
      </c>
      <c r="J196">
        <v>0</v>
      </c>
      <c r="K196">
        <v>0</v>
      </c>
      <c r="L196">
        <v>0</v>
      </c>
      <c r="M196">
        <v>0</v>
      </c>
    </row>
    <row r="197" spans="1:13" ht="15" customHeight="1" x14ac:dyDescent="0.25">
      <c r="A197" t="s">
        <v>2573</v>
      </c>
      <c r="B197" t="s">
        <v>25</v>
      </c>
      <c r="C197" t="s">
        <v>386</v>
      </c>
      <c r="D197" t="s">
        <v>2450</v>
      </c>
      <c r="E197" t="s">
        <v>2446</v>
      </c>
      <c r="F197">
        <v>22</v>
      </c>
      <c r="G197">
        <v>925000</v>
      </c>
      <c r="H197">
        <v>925000</v>
      </c>
      <c r="I197" t="s">
        <v>8</v>
      </c>
      <c r="J197">
        <v>0</v>
      </c>
      <c r="K197">
        <v>0</v>
      </c>
      <c r="L197">
        <v>0</v>
      </c>
      <c r="M197">
        <v>0</v>
      </c>
    </row>
    <row r="198" spans="1:13" ht="15" customHeight="1" x14ac:dyDescent="0.25">
      <c r="A198" t="s">
        <v>2375</v>
      </c>
      <c r="B198" t="s">
        <v>13</v>
      </c>
      <c r="C198">
        <v>0</v>
      </c>
      <c r="D198" t="s">
        <v>2453</v>
      </c>
      <c r="E198" t="s">
        <v>2439</v>
      </c>
      <c r="F198">
        <v>28</v>
      </c>
      <c r="G198">
        <v>1000000</v>
      </c>
      <c r="H198">
        <v>1000000</v>
      </c>
      <c r="I198">
        <v>1000000</v>
      </c>
      <c r="J198" t="s">
        <v>7</v>
      </c>
      <c r="K198">
        <v>0</v>
      </c>
      <c r="L198">
        <v>0</v>
      </c>
      <c r="M198">
        <v>0</v>
      </c>
    </row>
    <row r="199" spans="1:13" ht="15" customHeight="1" x14ac:dyDescent="0.25">
      <c r="A199" t="s">
        <v>2392</v>
      </c>
      <c r="B199" t="s">
        <v>23</v>
      </c>
      <c r="C199">
        <v>0</v>
      </c>
      <c r="D199" t="s">
        <v>93</v>
      </c>
      <c r="E199" t="s">
        <v>2690</v>
      </c>
      <c r="F199">
        <v>27</v>
      </c>
      <c r="G199">
        <v>700000</v>
      </c>
      <c r="H199" t="s">
        <v>7</v>
      </c>
      <c r="I199">
        <v>0</v>
      </c>
      <c r="J199">
        <v>0</v>
      </c>
      <c r="K199">
        <v>0</v>
      </c>
      <c r="L199">
        <v>0</v>
      </c>
      <c r="M199">
        <v>0</v>
      </c>
    </row>
    <row r="200" spans="1:13" ht="15" customHeight="1" x14ac:dyDescent="0.25">
      <c r="A200" t="s">
        <v>1598</v>
      </c>
      <c r="B200" t="s">
        <v>24</v>
      </c>
      <c r="C200">
        <v>0</v>
      </c>
      <c r="D200" t="s">
        <v>2444</v>
      </c>
      <c r="E200" t="s">
        <v>2439</v>
      </c>
      <c r="F200">
        <v>25</v>
      </c>
      <c r="G200">
        <v>1500000</v>
      </c>
      <c r="H200">
        <v>1500000</v>
      </c>
      <c r="I200" t="s">
        <v>7</v>
      </c>
      <c r="J200">
        <v>0</v>
      </c>
      <c r="K200">
        <v>0</v>
      </c>
      <c r="L200">
        <v>0</v>
      </c>
      <c r="M200">
        <v>0</v>
      </c>
    </row>
    <row r="201" spans="1:13" ht="15" customHeight="1" x14ac:dyDescent="0.25">
      <c r="A201" t="s">
        <v>2148</v>
      </c>
      <c r="B201" t="s">
        <v>6</v>
      </c>
      <c r="C201">
        <v>0</v>
      </c>
      <c r="D201" t="s">
        <v>73</v>
      </c>
      <c r="E201" t="s">
        <v>2446</v>
      </c>
      <c r="F201">
        <v>27</v>
      </c>
      <c r="G201">
        <v>700000</v>
      </c>
      <c r="H201" t="s">
        <v>7</v>
      </c>
      <c r="I201">
        <v>0</v>
      </c>
      <c r="J201">
        <v>0</v>
      </c>
      <c r="K201">
        <v>0</v>
      </c>
      <c r="L201">
        <v>0</v>
      </c>
      <c r="M201">
        <v>0</v>
      </c>
    </row>
    <row r="202" spans="1:13" ht="15" customHeight="1" x14ac:dyDescent="0.25">
      <c r="A202" t="s">
        <v>1649</v>
      </c>
      <c r="B202" t="s">
        <v>30</v>
      </c>
      <c r="C202">
        <v>0</v>
      </c>
      <c r="D202" t="s">
        <v>2445</v>
      </c>
      <c r="E202" t="s">
        <v>2446</v>
      </c>
      <c r="F202">
        <v>25</v>
      </c>
      <c r="G202">
        <v>700000</v>
      </c>
      <c r="H202">
        <v>700000</v>
      </c>
      <c r="I202" t="s">
        <v>8</v>
      </c>
      <c r="J202">
        <v>0</v>
      </c>
      <c r="K202">
        <v>0</v>
      </c>
      <c r="L202">
        <v>0</v>
      </c>
      <c r="M202">
        <v>0</v>
      </c>
    </row>
    <row r="203" spans="1:13" ht="15" customHeight="1" x14ac:dyDescent="0.25">
      <c r="A203" t="s">
        <v>2039</v>
      </c>
      <c r="B203" t="s">
        <v>23</v>
      </c>
      <c r="C203" t="s">
        <v>403</v>
      </c>
      <c r="D203" t="s">
        <v>82</v>
      </c>
      <c r="E203" t="s">
        <v>2690</v>
      </c>
      <c r="F203">
        <v>22</v>
      </c>
      <c r="G203">
        <v>691666</v>
      </c>
      <c r="H203" t="s">
        <v>8</v>
      </c>
      <c r="I203">
        <v>0</v>
      </c>
      <c r="J203">
        <v>0</v>
      </c>
      <c r="K203">
        <v>0</v>
      </c>
      <c r="L203">
        <v>0</v>
      </c>
      <c r="M203">
        <v>0</v>
      </c>
    </row>
    <row r="204" spans="1:13" ht="15" customHeight="1" x14ac:dyDescent="0.25">
      <c r="A204" t="s">
        <v>2374</v>
      </c>
      <c r="B204" t="s">
        <v>135</v>
      </c>
      <c r="C204">
        <v>0</v>
      </c>
      <c r="D204" t="s">
        <v>93</v>
      </c>
      <c r="E204" t="s">
        <v>2677</v>
      </c>
      <c r="F204">
        <v>24</v>
      </c>
      <c r="G204">
        <v>725000</v>
      </c>
      <c r="H204" t="s">
        <v>8</v>
      </c>
      <c r="I204">
        <v>0</v>
      </c>
      <c r="J204">
        <v>0</v>
      </c>
      <c r="K204">
        <v>0</v>
      </c>
      <c r="L204">
        <v>0</v>
      </c>
      <c r="M204">
        <v>0</v>
      </c>
    </row>
    <row r="205" spans="1:13" ht="15" customHeight="1" x14ac:dyDescent="0.25">
      <c r="A205" t="s">
        <v>2810</v>
      </c>
      <c r="B205" t="s">
        <v>20</v>
      </c>
      <c r="C205">
        <v>0</v>
      </c>
      <c r="D205" t="s">
        <v>2448</v>
      </c>
      <c r="E205" t="s">
        <v>2439</v>
      </c>
      <c r="F205">
        <v>34</v>
      </c>
      <c r="G205">
        <v>5272727</v>
      </c>
      <c r="H205">
        <v>5272727</v>
      </c>
      <c r="I205">
        <v>5272727</v>
      </c>
      <c r="J205" t="s">
        <v>7</v>
      </c>
      <c r="K205">
        <v>0</v>
      </c>
      <c r="L205">
        <v>0</v>
      </c>
      <c r="M205">
        <v>0</v>
      </c>
    </row>
    <row r="206" spans="1:13" ht="15" customHeight="1" x14ac:dyDescent="0.25">
      <c r="A206" t="s">
        <v>1378</v>
      </c>
      <c r="B206" t="s">
        <v>18</v>
      </c>
      <c r="C206">
        <v>0</v>
      </c>
      <c r="D206" t="s">
        <v>73</v>
      </c>
      <c r="E206" t="s">
        <v>2439</v>
      </c>
      <c r="F206">
        <v>24</v>
      </c>
      <c r="G206">
        <v>675000</v>
      </c>
      <c r="H206" t="s">
        <v>8</v>
      </c>
      <c r="I206">
        <v>0</v>
      </c>
      <c r="J206">
        <v>0</v>
      </c>
      <c r="K206">
        <v>0</v>
      </c>
      <c r="L206">
        <v>0</v>
      </c>
      <c r="M206">
        <v>0</v>
      </c>
    </row>
    <row r="207" spans="1:13" ht="15" customHeight="1" x14ac:dyDescent="0.25">
      <c r="A207" t="s">
        <v>2491</v>
      </c>
      <c r="B207" t="s">
        <v>16</v>
      </c>
      <c r="C207" t="s">
        <v>386</v>
      </c>
      <c r="D207" t="s">
        <v>82</v>
      </c>
      <c r="E207" t="s">
        <v>2690</v>
      </c>
      <c r="F207">
        <v>22</v>
      </c>
      <c r="G207">
        <v>1293750</v>
      </c>
      <c r="H207">
        <v>1293750</v>
      </c>
      <c r="I207" t="s">
        <v>8</v>
      </c>
      <c r="J207">
        <v>0</v>
      </c>
      <c r="K207">
        <v>0</v>
      </c>
      <c r="L207">
        <v>0</v>
      </c>
      <c r="M207">
        <v>0</v>
      </c>
    </row>
    <row r="208" spans="1:13" ht="15" customHeight="1" x14ac:dyDescent="0.25">
      <c r="A208" t="s">
        <v>1524</v>
      </c>
      <c r="B208" t="s">
        <v>33</v>
      </c>
      <c r="C208">
        <v>0</v>
      </c>
      <c r="D208" t="s">
        <v>379</v>
      </c>
      <c r="E208" t="s">
        <v>2677</v>
      </c>
      <c r="F208">
        <v>25</v>
      </c>
      <c r="G208">
        <v>4500000</v>
      </c>
      <c r="H208" t="s">
        <v>7</v>
      </c>
      <c r="I208">
        <v>0</v>
      </c>
      <c r="J208">
        <v>0</v>
      </c>
      <c r="K208">
        <v>0</v>
      </c>
      <c r="L208">
        <v>0</v>
      </c>
      <c r="M208">
        <v>0</v>
      </c>
    </row>
    <row r="209" spans="1:13" ht="15" customHeight="1" x14ac:dyDescent="0.25">
      <c r="A209" t="s">
        <v>1374</v>
      </c>
      <c r="B209" t="s">
        <v>9</v>
      </c>
      <c r="C209">
        <v>0</v>
      </c>
      <c r="D209" t="s">
        <v>2442</v>
      </c>
      <c r="E209" t="s">
        <v>2446</v>
      </c>
      <c r="F209">
        <v>24</v>
      </c>
      <c r="G209">
        <v>700000</v>
      </c>
      <c r="H209" t="s">
        <v>8</v>
      </c>
      <c r="I209">
        <v>0</v>
      </c>
      <c r="J209">
        <v>0</v>
      </c>
      <c r="K209">
        <v>0</v>
      </c>
      <c r="L209">
        <v>0</v>
      </c>
      <c r="M209">
        <v>0</v>
      </c>
    </row>
    <row r="210" spans="1:13" ht="15" customHeight="1" x14ac:dyDescent="0.25">
      <c r="A210" t="s">
        <v>1580</v>
      </c>
      <c r="B210" t="s">
        <v>32</v>
      </c>
      <c r="C210" t="s">
        <v>386</v>
      </c>
      <c r="D210" t="s">
        <v>2444</v>
      </c>
      <c r="E210" t="s">
        <v>2439</v>
      </c>
      <c r="F210">
        <v>22</v>
      </c>
      <c r="G210">
        <v>890000</v>
      </c>
      <c r="H210" t="s">
        <v>8</v>
      </c>
      <c r="I210">
        <v>0</v>
      </c>
      <c r="J210">
        <v>0</v>
      </c>
      <c r="K210">
        <v>0</v>
      </c>
      <c r="L210">
        <v>0</v>
      </c>
      <c r="M210">
        <v>0</v>
      </c>
    </row>
    <row r="211" spans="1:13" ht="15" customHeight="1" x14ac:dyDescent="0.25">
      <c r="A211" t="s">
        <v>1527</v>
      </c>
      <c r="B211" t="s">
        <v>27</v>
      </c>
      <c r="C211" t="s">
        <v>386</v>
      </c>
      <c r="D211" t="s">
        <v>2445</v>
      </c>
      <c r="E211" t="s">
        <v>2439</v>
      </c>
      <c r="F211">
        <v>22</v>
      </c>
      <c r="G211">
        <v>1223333</v>
      </c>
      <c r="H211" t="s">
        <v>8</v>
      </c>
      <c r="I211">
        <v>0</v>
      </c>
      <c r="J211">
        <v>0</v>
      </c>
      <c r="K211">
        <v>0</v>
      </c>
      <c r="L211">
        <v>0</v>
      </c>
      <c r="M211">
        <v>0</v>
      </c>
    </row>
    <row r="212" spans="1:13" ht="15" customHeight="1" x14ac:dyDescent="0.25">
      <c r="A212" t="s">
        <v>1509</v>
      </c>
      <c r="B212" t="s">
        <v>63</v>
      </c>
      <c r="C212">
        <v>0</v>
      </c>
      <c r="D212" t="s">
        <v>73</v>
      </c>
      <c r="E212" t="s">
        <v>2690</v>
      </c>
      <c r="F212">
        <v>27</v>
      </c>
      <c r="G212">
        <v>675000</v>
      </c>
      <c r="H212" t="s">
        <v>7</v>
      </c>
      <c r="I212">
        <v>0</v>
      </c>
      <c r="J212">
        <v>0</v>
      </c>
      <c r="K212">
        <v>0</v>
      </c>
      <c r="L212">
        <v>0</v>
      </c>
      <c r="M212">
        <v>0</v>
      </c>
    </row>
    <row r="213" spans="1:13" ht="15" customHeight="1" x14ac:dyDescent="0.25">
      <c r="A213" t="s">
        <v>2835</v>
      </c>
      <c r="B213" t="s">
        <v>9</v>
      </c>
      <c r="C213" t="s">
        <v>2499</v>
      </c>
      <c r="D213" t="s">
        <v>2445</v>
      </c>
      <c r="E213" t="s">
        <v>2439</v>
      </c>
      <c r="F213">
        <v>42</v>
      </c>
      <c r="G213">
        <v>3750000</v>
      </c>
      <c r="H213" t="s">
        <v>7</v>
      </c>
      <c r="I213">
        <v>0</v>
      </c>
      <c r="J213">
        <v>0</v>
      </c>
      <c r="K213">
        <v>0</v>
      </c>
      <c r="L213">
        <v>0</v>
      </c>
      <c r="M213">
        <v>0</v>
      </c>
    </row>
    <row r="214" spans="1:13" ht="15" customHeight="1" x14ac:dyDescent="0.25">
      <c r="A214" t="s">
        <v>2357</v>
      </c>
      <c r="B214" t="s">
        <v>34</v>
      </c>
      <c r="C214" t="s">
        <v>386</v>
      </c>
      <c r="D214" t="s">
        <v>82</v>
      </c>
      <c r="E214" t="s">
        <v>2446</v>
      </c>
      <c r="F214">
        <v>23</v>
      </c>
      <c r="G214">
        <v>765000</v>
      </c>
      <c r="H214" t="s">
        <v>8</v>
      </c>
      <c r="I214">
        <v>0</v>
      </c>
      <c r="J214">
        <v>0</v>
      </c>
      <c r="K214">
        <v>0</v>
      </c>
      <c r="L214">
        <v>0</v>
      </c>
      <c r="M214">
        <v>0</v>
      </c>
    </row>
    <row r="215" spans="1:13" ht="15" customHeight="1" x14ac:dyDescent="0.25">
      <c r="A215" t="s">
        <v>2315</v>
      </c>
      <c r="B215" t="s">
        <v>30</v>
      </c>
      <c r="C215" t="s">
        <v>386</v>
      </c>
      <c r="D215" t="s">
        <v>2452</v>
      </c>
      <c r="E215" t="s">
        <v>2446</v>
      </c>
      <c r="F215">
        <v>20</v>
      </c>
      <c r="G215">
        <v>903333</v>
      </c>
      <c r="H215">
        <v>903333</v>
      </c>
      <c r="I215">
        <v>903333</v>
      </c>
      <c r="J215" t="s">
        <v>8</v>
      </c>
      <c r="K215">
        <v>0</v>
      </c>
      <c r="L215">
        <v>0</v>
      </c>
      <c r="M215">
        <v>0</v>
      </c>
    </row>
    <row r="216" spans="1:13" ht="15" customHeight="1" x14ac:dyDescent="0.25">
      <c r="A216" t="s">
        <v>2731</v>
      </c>
      <c r="B216" t="s">
        <v>22</v>
      </c>
      <c r="C216" t="s">
        <v>381</v>
      </c>
      <c r="D216" t="s">
        <v>2445</v>
      </c>
      <c r="E216" t="s">
        <v>2439</v>
      </c>
      <c r="F216">
        <v>28</v>
      </c>
      <c r="G216">
        <v>3500000</v>
      </c>
      <c r="H216">
        <v>3500000</v>
      </c>
      <c r="I216">
        <v>3500000</v>
      </c>
      <c r="J216" t="s">
        <v>7</v>
      </c>
      <c r="K216">
        <v>0</v>
      </c>
      <c r="L216">
        <v>0</v>
      </c>
      <c r="M216">
        <v>0</v>
      </c>
    </row>
    <row r="217" spans="1:13" ht="15" customHeight="1" x14ac:dyDescent="0.25">
      <c r="A217" t="s">
        <v>2495</v>
      </c>
      <c r="B217" t="s">
        <v>18</v>
      </c>
      <c r="C217">
        <v>0</v>
      </c>
      <c r="D217" t="s">
        <v>2438</v>
      </c>
      <c r="E217" t="s">
        <v>2439</v>
      </c>
      <c r="F217">
        <v>28</v>
      </c>
      <c r="G217">
        <v>2150000</v>
      </c>
      <c r="H217">
        <v>2150000</v>
      </c>
      <c r="I217" t="s">
        <v>7</v>
      </c>
      <c r="J217">
        <v>0</v>
      </c>
      <c r="K217">
        <v>0</v>
      </c>
      <c r="L217">
        <v>0</v>
      </c>
      <c r="M217">
        <v>0</v>
      </c>
    </row>
    <row r="218" spans="1:13" ht="15" customHeight="1" x14ac:dyDescent="0.25">
      <c r="A218" t="s">
        <v>2660</v>
      </c>
      <c r="B218" t="s">
        <v>35</v>
      </c>
      <c r="C218" t="s">
        <v>386</v>
      </c>
      <c r="D218" t="s">
        <v>2441</v>
      </c>
      <c r="E218" t="s">
        <v>2446</v>
      </c>
      <c r="F218">
        <v>26</v>
      </c>
      <c r="G218">
        <v>925000</v>
      </c>
      <c r="H218" t="s">
        <v>7</v>
      </c>
      <c r="I218">
        <v>0</v>
      </c>
      <c r="J218">
        <v>0</v>
      </c>
      <c r="K218">
        <v>0</v>
      </c>
      <c r="L218">
        <v>0</v>
      </c>
      <c r="M218">
        <v>0</v>
      </c>
    </row>
    <row r="219" spans="1:13" ht="15" customHeight="1" x14ac:dyDescent="0.25">
      <c r="A219" t="s">
        <v>1541</v>
      </c>
      <c r="B219" t="s">
        <v>27</v>
      </c>
      <c r="C219" t="s">
        <v>386</v>
      </c>
      <c r="D219" t="s">
        <v>73</v>
      </c>
      <c r="E219" t="s">
        <v>2446</v>
      </c>
      <c r="F219">
        <v>22</v>
      </c>
      <c r="G219">
        <v>894166</v>
      </c>
      <c r="H219" t="s">
        <v>8</v>
      </c>
      <c r="I219">
        <v>0</v>
      </c>
      <c r="J219">
        <v>0</v>
      </c>
      <c r="K219">
        <v>0</v>
      </c>
      <c r="L219">
        <v>0</v>
      </c>
      <c r="M219">
        <v>0</v>
      </c>
    </row>
    <row r="220" spans="1:13" ht="15" customHeight="1" x14ac:dyDescent="0.25">
      <c r="A220" t="s">
        <v>2314</v>
      </c>
      <c r="B220" t="s">
        <v>30</v>
      </c>
      <c r="C220" t="s">
        <v>386</v>
      </c>
      <c r="D220" t="s">
        <v>73</v>
      </c>
      <c r="E220" t="s">
        <v>2446</v>
      </c>
      <c r="F220">
        <v>20</v>
      </c>
      <c r="G220">
        <v>927500</v>
      </c>
      <c r="H220">
        <v>927500</v>
      </c>
      <c r="I220">
        <v>927500</v>
      </c>
      <c r="J220" t="s">
        <v>8</v>
      </c>
      <c r="K220">
        <v>0</v>
      </c>
      <c r="L220">
        <v>0</v>
      </c>
      <c r="M220">
        <v>0</v>
      </c>
    </row>
    <row r="221" spans="1:13" ht="15" customHeight="1" x14ac:dyDescent="0.25">
      <c r="A221" t="s">
        <v>1440</v>
      </c>
      <c r="B221" t="s">
        <v>17</v>
      </c>
      <c r="C221" t="s">
        <v>386</v>
      </c>
      <c r="D221" t="s">
        <v>2445</v>
      </c>
      <c r="E221" t="s">
        <v>2446</v>
      </c>
      <c r="F221">
        <v>21</v>
      </c>
      <c r="G221">
        <v>894166</v>
      </c>
      <c r="H221">
        <v>894166</v>
      </c>
      <c r="I221" t="s">
        <v>8</v>
      </c>
      <c r="J221">
        <v>0</v>
      </c>
      <c r="K221">
        <v>0</v>
      </c>
      <c r="L221">
        <v>0</v>
      </c>
      <c r="M221">
        <v>0</v>
      </c>
    </row>
    <row r="222" spans="1:13" ht="15" customHeight="1" x14ac:dyDescent="0.25">
      <c r="A222" t="s">
        <v>2163</v>
      </c>
      <c r="B222" t="s">
        <v>63</v>
      </c>
      <c r="C222">
        <v>0</v>
      </c>
      <c r="D222" t="s">
        <v>380</v>
      </c>
      <c r="E222" t="s">
        <v>2677</v>
      </c>
      <c r="F222">
        <v>21</v>
      </c>
      <c r="G222">
        <v>4600000</v>
      </c>
      <c r="H222">
        <v>4600000</v>
      </c>
      <c r="I222">
        <v>4600000</v>
      </c>
      <c r="J222">
        <v>4600000</v>
      </c>
      <c r="K222">
        <v>4600000</v>
      </c>
      <c r="L222">
        <v>4600000</v>
      </c>
      <c r="M222" t="s">
        <v>7</v>
      </c>
    </row>
    <row r="223" spans="1:13" ht="15" customHeight="1" x14ac:dyDescent="0.25">
      <c r="A223" t="s">
        <v>1769</v>
      </c>
      <c r="B223" t="s">
        <v>26</v>
      </c>
      <c r="C223" t="s">
        <v>386</v>
      </c>
      <c r="D223" t="s">
        <v>2696</v>
      </c>
      <c r="E223" t="s">
        <v>2677</v>
      </c>
      <c r="F223">
        <v>19</v>
      </c>
      <c r="G223">
        <v>1244166</v>
      </c>
      <c r="H223">
        <v>1244166</v>
      </c>
      <c r="I223" t="s">
        <v>8</v>
      </c>
      <c r="J223">
        <v>0</v>
      </c>
      <c r="K223">
        <v>0</v>
      </c>
      <c r="L223">
        <v>0</v>
      </c>
      <c r="M223">
        <v>0</v>
      </c>
    </row>
    <row r="224" spans="1:13" ht="15" customHeight="1" x14ac:dyDescent="0.25">
      <c r="A224" t="s">
        <v>1577</v>
      </c>
      <c r="B224" t="s">
        <v>32</v>
      </c>
      <c r="C224" t="s">
        <v>386</v>
      </c>
      <c r="D224" t="s">
        <v>73</v>
      </c>
      <c r="E224" t="s">
        <v>2439</v>
      </c>
      <c r="F224">
        <v>22</v>
      </c>
      <c r="G224">
        <v>935833</v>
      </c>
      <c r="H224" t="s">
        <v>8</v>
      </c>
      <c r="I224">
        <v>0</v>
      </c>
      <c r="J224">
        <v>0</v>
      </c>
      <c r="K224">
        <v>0</v>
      </c>
      <c r="L224">
        <v>0</v>
      </c>
      <c r="M224">
        <v>0</v>
      </c>
    </row>
    <row r="225" spans="1:13" ht="15" customHeight="1" x14ac:dyDescent="0.25">
      <c r="A225" t="s">
        <v>1726</v>
      </c>
      <c r="B225" t="s">
        <v>25</v>
      </c>
      <c r="C225">
        <v>0</v>
      </c>
      <c r="D225" t="s">
        <v>73</v>
      </c>
      <c r="E225" t="s">
        <v>2439</v>
      </c>
      <c r="F225">
        <v>28</v>
      </c>
      <c r="G225">
        <v>3350000</v>
      </c>
      <c r="H225">
        <v>3350000</v>
      </c>
      <c r="I225" t="s">
        <v>7</v>
      </c>
      <c r="J225">
        <v>0</v>
      </c>
      <c r="K225">
        <v>0</v>
      </c>
      <c r="L225">
        <v>0</v>
      </c>
      <c r="M225">
        <v>0</v>
      </c>
    </row>
    <row r="226" spans="1:13" ht="15" customHeight="1" x14ac:dyDescent="0.25">
      <c r="A226" t="s">
        <v>2276</v>
      </c>
      <c r="B226" t="s">
        <v>20</v>
      </c>
      <c r="C226" t="s">
        <v>386</v>
      </c>
      <c r="D226" t="s">
        <v>2445</v>
      </c>
      <c r="E226" t="s">
        <v>2446</v>
      </c>
      <c r="F226">
        <v>21</v>
      </c>
      <c r="G226">
        <v>894166</v>
      </c>
      <c r="H226">
        <v>894166</v>
      </c>
      <c r="I226" t="s">
        <v>8</v>
      </c>
      <c r="J226">
        <v>0</v>
      </c>
      <c r="K226">
        <v>0</v>
      </c>
      <c r="L226">
        <v>0</v>
      </c>
      <c r="M226">
        <v>0</v>
      </c>
    </row>
    <row r="227" spans="1:13" ht="15" customHeight="1" x14ac:dyDescent="0.25">
      <c r="A227" t="s">
        <v>2506</v>
      </c>
      <c r="B227" t="s">
        <v>2503</v>
      </c>
      <c r="C227" t="s">
        <v>388</v>
      </c>
      <c r="D227" t="s">
        <v>88</v>
      </c>
      <c r="E227" t="s">
        <v>389</v>
      </c>
      <c r="F227">
        <v>19</v>
      </c>
      <c r="G227">
        <v>894167</v>
      </c>
      <c r="H227">
        <v>894167</v>
      </c>
      <c r="I227">
        <v>894167</v>
      </c>
      <c r="J227" t="s">
        <v>8</v>
      </c>
      <c r="K227">
        <v>0</v>
      </c>
      <c r="L227">
        <v>0</v>
      </c>
      <c r="M227">
        <v>0</v>
      </c>
    </row>
    <row r="228" spans="1:13" ht="15" customHeight="1" x14ac:dyDescent="0.25">
      <c r="A228" t="s">
        <v>2366</v>
      </c>
      <c r="B228" t="s">
        <v>33</v>
      </c>
      <c r="C228" t="s">
        <v>370</v>
      </c>
      <c r="D228" t="s">
        <v>88</v>
      </c>
      <c r="E228" t="s">
        <v>374</v>
      </c>
      <c r="F228">
        <v>35</v>
      </c>
      <c r="G228">
        <v>5250000</v>
      </c>
      <c r="H228" t="s">
        <v>7</v>
      </c>
      <c r="I228">
        <v>0</v>
      </c>
      <c r="J228">
        <v>0</v>
      </c>
      <c r="K228">
        <v>0</v>
      </c>
      <c r="L228">
        <v>0</v>
      </c>
      <c r="M228">
        <v>0</v>
      </c>
    </row>
    <row r="229" spans="1:13" ht="15" customHeight="1" x14ac:dyDescent="0.25">
      <c r="A229" t="s">
        <v>1687</v>
      </c>
      <c r="B229" t="s">
        <v>14</v>
      </c>
      <c r="C229">
        <v>0</v>
      </c>
      <c r="D229" t="s">
        <v>2444</v>
      </c>
      <c r="E229" t="s">
        <v>2439</v>
      </c>
      <c r="F229">
        <v>26</v>
      </c>
      <c r="G229">
        <v>700000</v>
      </c>
      <c r="H229">
        <v>700000</v>
      </c>
      <c r="I229" t="s">
        <v>7</v>
      </c>
      <c r="J229">
        <v>0</v>
      </c>
      <c r="K229">
        <v>0</v>
      </c>
      <c r="L229">
        <v>0</v>
      </c>
      <c r="M229">
        <v>0</v>
      </c>
    </row>
    <row r="230" spans="1:13" ht="15" customHeight="1" x14ac:dyDescent="0.25">
      <c r="A230" t="s">
        <v>2259</v>
      </c>
      <c r="B230" t="s">
        <v>20</v>
      </c>
      <c r="C230">
        <v>0</v>
      </c>
      <c r="D230" t="s">
        <v>2440</v>
      </c>
      <c r="E230" t="s">
        <v>2439</v>
      </c>
      <c r="F230">
        <v>28</v>
      </c>
      <c r="G230">
        <v>1600000</v>
      </c>
      <c r="H230" t="s">
        <v>7</v>
      </c>
      <c r="I230">
        <v>0</v>
      </c>
      <c r="J230">
        <v>0</v>
      </c>
      <c r="K230">
        <v>0</v>
      </c>
      <c r="L230">
        <v>0</v>
      </c>
      <c r="M230">
        <v>0</v>
      </c>
    </row>
    <row r="231" spans="1:13" ht="15" customHeight="1" x14ac:dyDescent="0.25">
      <c r="A231" t="s">
        <v>1376</v>
      </c>
      <c r="B231" t="s">
        <v>9</v>
      </c>
      <c r="C231" t="s">
        <v>386</v>
      </c>
      <c r="D231" t="s">
        <v>2444</v>
      </c>
      <c r="E231" t="s">
        <v>2439</v>
      </c>
      <c r="F231">
        <v>24</v>
      </c>
      <c r="G231">
        <v>735000</v>
      </c>
      <c r="H231">
        <v>1000000</v>
      </c>
      <c r="I231">
        <v>1000000</v>
      </c>
      <c r="J231">
        <v>1000000</v>
      </c>
      <c r="K231" t="s">
        <v>7</v>
      </c>
      <c r="L231">
        <v>0</v>
      </c>
      <c r="M231">
        <v>0</v>
      </c>
    </row>
    <row r="232" spans="1:13" ht="15" customHeight="1" x14ac:dyDescent="0.25">
      <c r="A232" t="s">
        <v>2807</v>
      </c>
      <c r="B232" t="s">
        <v>25</v>
      </c>
      <c r="C232">
        <v>0</v>
      </c>
      <c r="D232" t="s">
        <v>2438</v>
      </c>
      <c r="E232" t="s">
        <v>2439</v>
      </c>
      <c r="F232">
        <v>31</v>
      </c>
      <c r="G232">
        <v>3500000</v>
      </c>
      <c r="H232">
        <v>3500000</v>
      </c>
      <c r="I232">
        <v>3500000</v>
      </c>
      <c r="J232" t="s">
        <v>7</v>
      </c>
      <c r="K232">
        <v>0</v>
      </c>
      <c r="L232">
        <v>0</v>
      </c>
      <c r="M232">
        <v>0</v>
      </c>
    </row>
    <row r="233" spans="1:13" ht="15" customHeight="1" x14ac:dyDescent="0.25">
      <c r="A233" t="s">
        <v>1559</v>
      </c>
      <c r="B233" t="s">
        <v>32</v>
      </c>
      <c r="C233">
        <v>0</v>
      </c>
      <c r="D233" t="s">
        <v>2445</v>
      </c>
      <c r="E233" t="s">
        <v>2439</v>
      </c>
      <c r="F233">
        <v>34</v>
      </c>
      <c r="G233">
        <v>1700000</v>
      </c>
      <c r="H233">
        <v>1700000</v>
      </c>
      <c r="I233" t="s">
        <v>7</v>
      </c>
      <c r="J233">
        <v>0</v>
      </c>
      <c r="K233">
        <v>0</v>
      </c>
      <c r="L233">
        <v>0</v>
      </c>
      <c r="M233">
        <v>0</v>
      </c>
    </row>
    <row r="234" spans="1:13" ht="15" customHeight="1" x14ac:dyDescent="0.25">
      <c r="A234" t="s">
        <v>2395</v>
      </c>
      <c r="B234" t="s">
        <v>135</v>
      </c>
      <c r="C234" t="s">
        <v>386</v>
      </c>
      <c r="D234" t="s">
        <v>379</v>
      </c>
      <c r="E234" t="s">
        <v>2690</v>
      </c>
      <c r="F234">
        <v>21</v>
      </c>
      <c r="G234">
        <v>715556</v>
      </c>
      <c r="H234">
        <v>715556</v>
      </c>
      <c r="I234" t="s">
        <v>8</v>
      </c>
      <c r="J234">
        <v>0</v>
      </c>
      <c r="K234">
        <v>0</v>
      </c>
      <c r="L234">
        <v>0</v>
      </c>
      <c r="M234">
        <v>0</v>
      </c>
    </row>
    <row r="235" spans="1:13" ht="15" customHeight="1" x14ac:dyDescent="0.25">
      <c r="A235" t="s">
        <v>2117</v>
      </c>
      <c r="B235" t="s">
        <v>16</v>
      </c>
      <c r="C235" t="s">
        <v>381</v>
      </c>
      <c r="D235" t="s">
        <v>2681</v>
      </c>
      <c r="E235" t="s">
        <v>2677</v>
      </c>
      <c r="F235">
        <v>32</v>
      </c>
      <c r="G235">
        <v>3250000</v>
      </c>
      <c r="H235">
        <v>3250000</v>
      </c>
      <c r="I235" t="s">
        <v>7</v>
      </c>
      <c r="J235">
        <v>0</v>
      </c>
      <c r="K235">
        <v>0</v>
      </c>
      <c r="L235">
        <v>0</v>
      </c>
      <c r="M235">
        <v>0</v>
      </c>
    </row>
    <row r="236" spans="1:13" ht="15" customHeight="1" x14ac:dyDescent="0.25">
      <c r="A236" t="s">
        <v>1925</v>
      </c>
      <c r="B236" t="s">
        <v>15</v>
      </c>
      <c r="C236">
        <v>0</v>
      </c>
      <c r="D236" t="s">
        <v>2445</v>
      </c>
      <c r="E236" t="s">
        <v>2439</v>
      </c>
      <c r="F236">
        <v>30</v>
      </c>
      <c r="G236">
        <v>4250000</v>
      </c>
      <c r="H236">
        <v>4250000</v>
      </c>
      <c r="I236" t="s">
        <v>7</v>
      </c>
      <c r="J236">
        <v>0</v>
      </c>
      <c r="K236">
        <v>0</v>
      </c>
      <c r="L236">
        <v>0</v>
      </c>
      <c r="M236">
        <v>0</v>
      </c>
    </row>
    <row r="237" spans="1:13" ht="15" customHeight="1" x14ac:dyDescent="0.25">
      <c r="A237" t="s">
        <v>1693</v>
      </c>
      <c r="B237" t="s">
        <v>24</v>
      </c>
      <c r="C237">
        <v>0</v>
      </c>
      <c r="D237" t="s">
        <v>2494</v>
      </c>
      <c r="E237" t="s">
        <v>2439</v>
      </c>
      <c r="F237">
        <v>27</v>
      </c>
      <c r="G237">
        <v>1800000</v>
      </c>
      <c r="H237">
        <v>1800000</v>
      </c>
      <c r="I237" t="s">
        <v>7</v>
      </c>
      <c r="J237">
        <v>0</v>
      </c>
      <c r="K237">
        <v>0</v>
      </c>
      <c r="L237">
        <v>0</v>
      </c>
      <c r="M237">
        <v>0</v>
      </c>
    </row>
    <row r="238" spans="1:13" ht="15" customHeight="1" x14ac:dyDescent="0.25">
      <c r="A238" t="s">
        <v>1676</v>
      </c>
      <c r="B238" t="s">
        <v>14</v>
      </c>
      <c r="C238" t="s">
        <v>386</v>
      </c>
      <c r="D238" t="s">
        <v>2444</v>
      </c>
      <c r="E238" t="s">
        <v>2446</v>
      </c>
      <c r="F238">
        <v>23</v>
      </c>
      <c r="G238">
        <v>925000</v>
      </c>
      <c r="H238" t="s">
        <v>8</v>
      </c>
      <c r="I238">
        <v>0</v>
      </c>
      <c r="J238">
        <v>0</v>
      </c>
      <c r="K238">
        <v>0</v>
      </c>
      <c r="L238">
        <v>0</v>
      </c>
      <c r="M238">
        <v>0</v>
      </c>
    </row>
    <row r="239" spans="1:13" ht="15" customHeight="1" x14ac:dyDescent="0.25">
      <c r="A239" t="s">
        <v>1572</v>
      </c>
      <c r="B239" t="s">
        <v>32</v>
      </c>
      <c r="C239" t="s">
        <v>386</v>
      </c>
      <c r="D239" t="s">
        <v>73</v>
      </c>
      <c r="E239" t="s">
        <v>2446</v>
      </c>
      <c r="F239">
        <v>22</v>
      </c>
      <c r="G239">
        <v>925000</v>
      </c>
      <c r="H239" t="s">
        <v>8</v>
      </c>
      <c r="I239">
        <v>0</v>
      </c>
      <c r="J239">
        <v>0</v>
      </c>
      <c r="K239">
        <v>0</v>
      </c>
      <c r="L239">
        <v>0</v>
      </c>
      <c r="M239">
        <v>0</v>
      </c>
    </row>
    <row r="240" spans="1:13" ht="15" customHeight="1" x14ac:dyDescent="0.25">
      <c r="A240" t="s">
        <v>1952</v>
      </c>
      <c r="B240" t="s">
        <v>16</v>
      </c>
      <c r="C240">
        <v>0</v>
      </c>
      <c r="D240" t="s">
        <v>2689</v>
      </c>
      <c r="E240" t="s">
        <v>2677</v>
      </c>
      <c r="F240">
        <v>33</v>
      </c>
      <c r="G240">
        <v>2400000</v>
      </c>
      <c r="H240">
        <v>2400000</v>
      </c>
      <c r="I240" t="s">
        <v>7</v>
      </c>
      <c r="J240">
        <v>0</v>
      </c>
      <c r="K240">
        <v>0</v>
      </c>
      <c r="L240">
        <v>0</v>
      </c>
      <c r="M240">
        <v>0</v>
      </c>
    </row>
    <row r="241" spans="1:13" ht="15" customHeight="1" x14ac:dyDescent="0.25">
      <c r="A241" t="s">
        <v>1921</v>
      </c>
      <c r="B241" t="s">
        <v>15</v>
      </c>
      <c r="C241">
        <v>0</v>
      </c>
      <c r="D241" t="s">
        <v>2453</v>
      </c>
      <c r="E241" t="s">
        <v>2439</v>
      </c>
      <c r="F241">
        <v>24</v>
      </c>
      <c r="G241">
        <v>3500000</v>
      </c>
      <c r="H241">
        <v>3500000</v>
      </c>
      <c r="I241">
        <v>3500000</v>
      </c>
      <c r="J241">
        <v>3500000</v>
      </c>
      <c r="K241" t="s">
        <v>7</v>
      </c>
      <c r="L241">
        <v>0</v>
      </c>
      <c r="M241">
        <v>0</v>
      </c>
    </row>
    <row r="242" spans="1:13" ht="15" customHeight="1" x14ac:dyDescent="0.25">
      <c r="A242" t="s">
        <v>2112</v>
      </c>
      <c r="B242" t="s">
        <v>35</v>
      </c>
      <c r="C242">
        <v>0</v>
      </c>
      <c r="D242" t="s">
        <v>127</v>
      </c>
      <c r="E242" t="s">
        <v>2439</v>
      </c>
      <c r="F242">
        <v>24</v>
      </c>
      <c r="G242" t="s">
        <v>8</v>
      </c>
      <c r="H242">
        <v>0</v>
      </c>
      <c r="I242">
        <v>0</v>
      </c>
      <c r="J242">
        <v>0</v>
      </c>
      <c r="K242">
        <v>0</v>
      </c>
      <c r="L242">
        <v>0</v>
      </c>
      <c r="M242">
        <v>0</v>
      </c>
    </row>
    <row r="243" spans="1:13" ht="15" customHeight="1" x14ac:dyDescent="0.25">
      <c r="A243" t="s">
        <v>2136</v>
      </c>
      <c r="B243" t="s">
        <v>6</v>
      </c>
      <c r="C243" t="s">
        <v>386</v>
      </c>
      <c r="D243" t="s">
        <v>2452</v>
      </c>
      <c r="E243" t="s">
        <v>2446</v>
      </c>
      <c r="F243">
        <v>20</v>
      </c>
      <c r="G243">
        <v>925000</v>
      </c>
      <c r="H243">
        <v>925000</v>
      </c>
      <c r="I243" t="s">
        <v>8</v>
      </c>
      <c r="J243">
        <v>0</v>
      </c>
      <c r="K243">
        <v>0</v>
      </c>
      <c r="L243">
        <v>0</v>
      </c>
      <c r="M243">
        <v>0</v>
      </c>
    </row>
    <row r="244" spans="1:13" ht="15" customHeight="1" x14ac:dyDescent="0.25">
      <c r="A244" t="s">
        <v>1555</v>
      </c>
      <c r="B244" t="s">
        <v>32</v>
      </c>
      <c r="C244">
        <v>0</v>
      </c>
      <c r="D244" t="s">
        <v>2440</v>
      </c>
      <c r="E244" t="s">
        <v>2446</v>
      </c>
      <c r="F244">
        <v>29</v>
      </c>
      <c r="G244">
        <v>700000</v>
      </c>
      <c r="H244" t="s">
        <v>7</v>
      </c>
      <c r="I244">
        <v>0</v>
      </c>
      <c r="J244">
        <v>0</v>
      </c>
      <c r="K244">
        <v>0</v>
      </c>
      <c r="L244">
        <v>0</v>
      </c>
      <c r="M244">
        <v>0</v>
      </c>
    </row>
    <row r="245" spans="1:13" ht="15" customHeight="1" x14ac:dyDescent="0.25">
      <c r="A245" t="s">
        <v>1530</v>
      </c>
      <c r="B245" t="s">
        <v>32</v>
      </c>
      <c r="C245">
        <v>0</v>
      </c>
      <c r="D245" t="s">
        <v>127</v>
      </c>
      <c r="E245" t="s">
        <v>2446</v>
      </c>
      <c r="F245">
        <v>29</v>
      </c>
      <c r="G245">
        <v>2400000</v>
      </c>
      <c r="H245" t="s">
        <v>7</v>
      </c>
      <c r="I245">
        <v>0</v>
      </c>
      <c r="J245">
        <v>0</v>
      </c>
      <c r="K245">
        <v>0</v>
      </c>
      <c r="L245">
        <v>0</v>
      </c>
      <c r="M245">
        <v>0</v>
      </c>
    </row>
    <row r="246" spans="1:13" ht="15" customHeight="1" x14ac:dyDescent="0.25">
      <c r="A246" t="s">
        <v>2162</v>
      </c>
      <c r="B246" t="s">
        <v>15</v>
      </c>
      <c r="C246">
        <v>0</v>
      </c>
      <c r="D246" t="s">
        <v>2445</v>
      </c>
      <c r="E246" t="s">
        <v>2439</v>
      </c>
      <c r="F246">
        <v>29</v>
      </c>
      <c r="G246">
        <v>1375000</v>
      </c>
      <c r="H246" t="s">
        <v>7</v>
      </c>
      <c r="I246">
        <v>0</v>
      </c>
      <c r="J246">
        <v>0</v>
      </c>
      <c r="K246">
        <v>0</v>
      </c>
      <c r="L246">
        <v>0</v>
      </c>
      <c r="M246">
        <v>0</v>
      </c>
    </row>
    <row r="247" spans="1:13" ht="15" customHeight="1" x14ac:dyDescent="0.25">
      <c r="A247" t="s">
        <v>1855</v>
      </c>
      <c r="B247" t="s">
        <v>2531</v>
      </c>
      <c r="C247">
        <v>0</v>
      </c>
      <c r="D247" t="s">
        <v>2680</v>
      </c>
      <c r="E247" t="s">
        <v>2677</v>
      </c>
      <c r="F247">
        <v>27</v>
      </c>
      <c r="G247">
        <v>3500000</v>
      </c>
      <c r="H247">
        <v>3500000</v>
      </c>
      <c r="I247">
        <v>3500000</v>
      </c>
      <c r="J247">
        <v>3500000</v>
      </c>
      <c r="K247" t="s">
        <v>7</v>
      </c>
      <c r="L247">
        <v>0</v>
      </c>
      <c r="M247">
        <v>0</v>
      </c>
    </row>
    <row r="248" spans="1:13" ht="15" customHeight="1" x14ac:dyDescent="0.25">
      <c r="A248" t="s">
        <v>2088</v>
      </c>
      <c r="B248" t="s">
        <v>35</v>
      </c>
      <c r="C248">
        <v>0</v>
      </c>
      <c r="D248" t="s">
        <v>2440</v>
      </c>
      <c r="E248" t="s">
        <v>2439</v>
      </c>
      <c r="F248">
        <v>22</v>
      </c>
      <c r="G248" t="s">
        <v>8</v>
      </c>
      <c r="H248">
        <v>0</v>
      </c>
      <c r="I248">
        <v>0</v>
      </c>
      <c r="J248">
        <v>0</v>
      </c>
      <c r="K248">
        <v>0</v>
      </c>
      <c r="L248">
        <v>0</v>
      </c>
      <c r="M248">
        <v>0</v>
      </c>
    </row>
    <row r="249" spans="1:13" ht="15" customHeight="1" x14ac:dyDescent="0.25">
      <c r="A249" t="s">
        <v>1868</v>
      </c>
      <c r="B249" t="s">
        <v>2503</v>
      </c>
      <c r="C249">
        <v>0</v>
      </c>
      <c r="D249" t="s">
        <v>127</v>
      </c>
      <c r="E249" t="s">
        <v>2677</v>
      </c>
      <c r="F249">
        <v>27</v>
      </c>
      <c r="G249">
        <v>1100000</v>
      </c>
      <c r="H249">
        <v>1100000</v>
      </c>
      <c r="I249">
        <v>1100000</v>
      </c>
      <c r="J249" t="s">
        <v>7</v>
      </c>
      <c r="K249">
        <v>0</v>
      </c>
      <c r="L249">
        <v>0</v>
      </c>
      <c r="M249">
        <v>0</v>
      </c>
    </row>
    <row r="250" spans="1:13" ht="15" customHeight="1" x14ac:dyDescent="0.25">
      <c r="A250" t="s">
        <v>2086</v>
      </c>
      <c r="B250" t="s">
        <v>35</v>
      </c>
      <c r="C250">
        <v>0</v>
      </c>
      <c r="D250" t="s">
        <v>2452</v>
      </c>
      <c r="E250" t="s">
        <v>2439</v>
      </c>
      <c r="F250">
        <v>25</v>
      </c>
      <c r="G250">
        <v>2280000</v>
      </c>
      <c r="H250">
        <v>2280000</v>
      </c>
      <c r="I250" t="s">
        <v>8</v>
      </c>
      <c r="J250">
        <v>0</v>
      </c>
      <c r="K250">
        <v>0</v>
      </c>
      <c r="L250">
        <v>0</v>
      </c>
      <c r="M250">
        <v>0</v>
      </c>
    </row>
    <row r="251" spans="1:13" ht="15" customHeight="1" x14ac:dyDescent="0.25">
      <c r="A251" t="s">
        <v>2747</v>
      </c>
      <c r="B251" t="s">
        <v>25</v>
      </c>
      <c r="C251">
        <v>0</v>
      </c>
      <c r="D251" t="s">
        <v>127</v>
      </c>
      <c r="E251" t="s">
        <v>2446</v>
      </c>
      <c r="F251">
        <v>27</v>
      </c>
      <c r="G251">
        <v>700000</v>
      </c>
      <c r="H251" t="s">
        <v>7</v>
      </c>
      <c r="I251">
        <v>0</v>
      </c>
      <c r="J251">
        <v>0</v>
      </c>
      <c r="K251">
        <v>0</v>
      </c>
      <c r="L251">
        <v>0</v>
      </c>
      <c r="M251">
        <v>0</v>
      </c>
    </row>
    <row r="252" spans="1:13" ht="15" customHeight="1" x14ac:dyDescent="0.25">
      <c r="A252" t="s">
        <v>2651</v>
      </c>
      <c r="B252" t="s">
        <v>24</v>
      </c>
      <c r="C252" t="s">
        <v>386</v>
      </c>
      <c r="D252" t="s">
        <v>127</v>
      </c>
      <c r="E252" t="s">
        <v>2446</v>
      </c>
      <c r="F252">
        <v>21</v>
      </c>
      <c r="G252">
        <v>718333</v>
      </c>
      <c r="H252">
        <v>718333</v>
      </c>
      <c r="I252" t="s">
        <v>8</v>
      </c>
      <c r="J252">
        <v>0</v>
      </c>
      <c r="K252">
        <v>0</v>
      </c>
      <c r="L252">
        <v>0</v>
      </c>
      <c r="M252">
        <v>0</v>
      </c>
    </row>
    <row r="253" spans="1:13" ht="15" customHeight="1" x14ac:dyDescent="0.25">
      <c r="A253" t="s">
        <v>2449</v>
      </c>
      <c r="B253" t="s">
        <v>135</v>
      </c>
      <c r="C253" t="s">
        <v>386</v>
      </c>
      <c r="D253" t="s">
        <v>73</v>
      </c>
      <c r="E253" t="s">
        <v>2690</v>
      </c>
      <c r="F253">
        <v>19</v>
      </c>
      <c r="G253">
        <v>806667</v>
      </c>
      <c r="H253">
        <v>806667</v>
      </c>
      <c r="I253">
        <v>806667</v>
      </c>
      <c r="J253" t="s">
        <v>8</v>
      </c>
      <c r="K253">
        <v>0</v>
      </c>
      <c r="L253">
        <v>0</v>
      </c>
      <c r="M253">
        <v>0</v>
      </c>
    </row>
    <row r="254" spans="1:13" ht="15" customHeight="1" x14ac:dyDescent="0.25">
      <c r="A254" t="s">
        <v>2730</v>
      </c>
      <c r="B254" t="s">
        <v>22</v>
      </c>
      <c r="C254">
        <v>0</v>
      </c>
      <c r="D254" t="s">
        <v>2452</v>
      </c>
      <c r="E254" t="s">
        <v>2439</v>
      </c>
      <c r="F254">
        <v>26</v>
      </c>
      <c r="G254">
        <v>1000000</v>
      </c>
      <c r="H254" t="s">
        <v>8</v>
      </c>
      <c r="I254">
        <v>0</v>
      </c>
      <c r="J254">
        <v>0</v>
      </c>
      <c r="K254">
        <v>0</v>
      </c>
      <c r="L254">
        <v>0</v>
      </c>
      <c r="M254">
        <v>0</v>
      </c>
    </row>
    <row r="255" spans="1:13" ht="15" customHeight="1" x14ac:dyDescent="0.25">
      <c r="A255" t="s">
        <v>2794</v>
      </c>
      <c r="B255" t="s">
        <v>30</v>
      </c>
      <c r="C255" t="s">
        <v>381</v>
      </c>
      <c r="D255" t="s">
        <v>2452</v>
      </c>
      <c r="E255" t="s">
        <v>2439</v>
      </c>
      <c r="F255">
        <v>30</v>
      </c>
      <c r="G255">
        <v>8000000</v>
      </c>
      <c r="H255">
        <v>8000000</v>
      </c>
      <c r="I255">
        <v>8000000</v>
      </c>
      <c r="J255">
        <v>8000000</v>
      </c>
      <c r="K255">
        <v>8000000</v>
      </c>
      <c r="L255">
        <v>8000000</v>
      </c>
      <c r="M255">
        <v>8000000</v>
      </c>
    </row>
    <row r="256" spans="1:13" ht="15" customHeight="1" x14ac:dyDescent="0.25">
      <c r="A256" t="s">
        <v>2814</v>
      </c>
      <c r="B256" t="s">
        <v>28</v>
      </c>
      <c r="C256">
        <v>0</v>
      </c>
      <c r="D256" t="s">
        <v>73</v>
      </c>
      <c r="E256" t="s">
        <v>2439</v>
      </c>
      <c r="F256">
        <v>26</v>
      </c>
      <c r="G256">
        <v>4333333</v>
      </c>
      <c r="H256">
        <v>4333333</v>
      </c>
      <c r="I256">
        <v>4333333</v>
      </c>
      <c r="J256" t="s">
        <v>7</v>
      </c>
      <c r="K256">
        <v>0</v>
      </c>
      <c r="L256">
        <v>0</v>
      </c>
      <c r="M256">
        <v>0</v>
      </c>
    </row>
    <row r="257" spans="1:13" ht="15" customHeight="1" x14ac:dyDescent="0.25">
      <c r="A257" t="s">
        <v>1990</v>
      </c>
      <c r="B257" t="s">
        <v>9</v>
      </c>
      <c r="C257">
        <v>0</v>
      </c>
      <c r="D257" t="s">
        <v>2448</v>
      </c>
      <c r="E257" t="s">
        <v>2439</v>
      </c>
      <c r="F257">
        <v>27</v>
      </c>
      <c r="G257">
        <v>3200000</v>
      </c>
      <c r="H257" t="s">
        <v>7</v>
      </c>
      <c r="I257">
        <v>0</v>
      </c>
      <c r="J257">
        <v>0</v>
      </c>
      <c r="K257">
        <v>0</v>
      </c>
      <c r="L257">
        <v>0</v>
      </c>
      <c r="M257">
        <v>0</v>
      </c>
    </row>
    <row r="258" spans="1:13" ht="15" customHeight="1" x14ac:dyDescent="0.25">
      <c r="A258" t="s">
        <v>2702</v>
      </c>
      <c r="B258" t="s">
        <v>10</v>
      </c>
      <c r="C258" t="s">
        <v>386</v>
      </c>
      <c r="D258" t="s">
        <v>73</v>
      </c>
      <c r="E258" t="s">
        <v>2690</v>
      </c>
      <c r="F258">
        <v>18</v>
      </c>
      <c r="G258">
        <v>1775000</v>
      </c>
      <c r="H258">
        <v>1775000</v>
      </c>
      <c r="I258">
        <v>1775000</v>
      </c>
      <c r="J258" t="s">
        <v>8</v>
      </c>
      <c r="K258">
        <v>0</v>
      </c>
      <c r="L258">
        <v>0</v>
      </c>
      <c r="M258">
        <v>0</v>
      </c>
    </row>
    <row r="259" spans="1:13" ht="15" customHeight="1" x14ac:dyDescent="0.25">
      <c r="A259" t="s">
        <v>2514</v>
      </c>
      <c r="B259" t="s">
        <v>23</v>
      </c>
      <c r="C259" t="s">
        <v>386</v>
      </c>
      <c r="D259" t="s">
        <v>93</v>
      </c>
      <c r="E259" t="s">
        <v>2690</v>
      </c>
      <c r="F259">
        <v>23</v>
      </c>
      <c r="G259">
        <v>925000</v>
      </c>
      <c r="H259">
        <v>925000</v>
      </c>
      <c r="I259" t="s">
        <v>8</v>
      </c>
      <c r="J259">
        <v>0</v>
      </c>
      <c r="K259">
        <v>0</v>
      </c>
      <c r="L259">
        <v>0</v>
      </c>
      <c r="M259">
        <v>0</v>
      </c>
    </row>
    <row r="260" spans="1:13" ht="15" customHeight="1" x14ac:dyDescent="0.25">
      <c r="A260" t="s">
        <v>2477</v>
      </c>
      <c r="B260" t="s">
        <v>29</v>
      </c>
      <c r="C260">
        <v>0</v>
      </c>
      <c r="D260" t="s">
        <v>73</v>
      </c>
      <c r="E260" t="s">
        <v>2690</v>
      </c>
      <c r="F260">
        <v>26</v>
      </c>
      <c r="G260">
        <v>700000</v>
      </c>
      <c r="H260" t="s">
        <v>7</v>
      </c>
      <c r="I260">
        <v>0</v>
      </c>
      <c r="J260">
        <v>0</v>
      </c>
      <c r="K260">
        <v>0</v>
      </c>
      <c r="L260">
        <v>0</v>
      </c>
      <c r="M260">
        <v>0</v>
      </c>
    </row>
    <row r="261" spans="1:13" ht="15" customHeight="1" x14ac:dyDescent="0.25">
      <c r="A261" t="s">
        <v>1898</v>
      </c>
      <c r="B261" t="s">
        <v>13</v>
      </c>
      <c r="C261" t="s">
        <v>370</v>
      </c>
      <c r="D261" t="s">
        <v>127</v>
      </c>
      <c r="E261" t="s">
        <v>2439</v>
      </c>
      <c r="F261">
        <v>34</v>
      </c>
      <c r="G261">
        <v>6000000</v>
      </c>
      <c r="H261" t="s">
        <v>7</v>
      </c>
      <c r="I261">
        <v>0</v>
      </c>
      <c r="J261">
        <v>0</v>
      </c>
      <c r="K261">
        <v>0</v>
      </c>
      <c r="L261">
        <v>0</v>
      </c>
      <c r="M261">
        <v>0</v>
      </c>
    </row>
    <row r="262" spans="1:13" ht="15" customHeight="1" x14ac:dyDescent="0.25">
      <c r="A262" t="s">
        <v>1776</v>
      </c>
      <c r="B262" t="s">
        <v>26</v>
      </c>
      <c r="C262" t="s">
        <v>386</v>
      </c>
      <c r="D262" t="s">
        <v>82</v>
      </c>
      <c r="E262" t="s">
        <v>2690</v>
      </c>
      <c r="F262">
        <v>22</v>
      </c>
      <c r="G262">
        <v>866666</v>
      </c>
      <c r="H262" t="s">
        <v>8</v>
      </c>
      <c r="I262">
        <v>0</v>
      </c>
      <c r="J262">
        <v>0</v>
      </c>
      <c r="K262">
        <v>0</v>
      </c>
      <c r="L262">
        <v>0</v>
      </c>
      <c r="M262">
        <v>0</v>
      </c>
    </row>
    <row r="263" spans="1:13" ht="15" customHeight="1" x14ac:dyDescent="0.25">
      <c r="A263" t="s">
        <v>1416</v>
      </c>
      <c r="B263" t="s">
        <v>28</v>
      </c>
      <c r="C263">
        <v>0</v>
      </c>
      <c r="D263" t="s">
        <v>73</v>
      </c>
      <c r="E263" t="s">
        <v>2446</v>
      </c>
      <c r="F263">
        <v>27</v>
      </c>
      <c r="G263">
        <v>700000</v>
      </c>
      <c r="H263" t="s">
        <v>7</v>
      </c>
      <c r="I263">
        <v>0</v>
      </c>
      <c r="J263">
        <v>0</v>
      </c>
      <c r="K263">
        <v>0</v>
      </c>
      <c r="L263">
        <v>0</v>
      </c>
      <c r="M263">
        <v>0</v>
      </c>
    </row>
    <row r="264" spans="1:13" ht="15" customHeight="1" x14ac:dyDescent="0.25">
      <c r="A264" t="s">
        <v>2826</v>
      </c>
      <c r="B264" t="s">
        <v>29</v>
      </c>
      <c r="C264" t="s">
        <v>420</v>
      </c>
      <c r="D264" t="s">
        <v>73</v>
      </c>
      <c r="E264" t="s">
        <v>2677</v>
      </c>
      <c r="F264">
        <v>32</v>
      </c>
      <c r="G264">
        <v>8700000</v>
      </c>
      <c r="H264">
        <v>8700000</v>
      </c>
      <c r="I264">
        <v>8700000</v>
      </c>
      <c r="J264">
        <v>8700000</v>
      </c>
      <c r="K264">
        <v>8700000</v>
      </c>
      <c r="L264">
        <v>8700000</v>
      </c>
      <c r="M264" t="s">
        <v>7</v>
      </c>
    </row>
    <row r="265" spans="1:13" ht="15" customHeight="1" x14ac:dyDescent="0.25">
      <c r="A265" t="s">
        <v>1691</v>
      </c>
      <c r="B265" t="s">
        <v>2531</v>
      </c>
      <c r="C265">
        <v>0</v>
      </c>
      <c r="D265" t="s">
        <v>380</v>
      </c>
      <c r="E265" t="s">
        <v>2690</v>
      </c>
      <c r="F265">
        <v>29</v>
      </c>
      <c r="G265">
        <v>725000</v>
      </c>
      <c r="H265">
        <v>725000</v>
      </c>
      <c r="I265" t="s">
        <v>7</v>
      </c>
      <c r="J265">
        <v>0</v>
      </c>
      <c r="K265">
        <v>0</v>
      </c>
      <c r="L265">
        <v>0</v>
      </c>
      <c r="M265">
        <v>0</v>
      </c>
    </row>
    <row r="266" spans="1:13" ht="15" customHeight="1" x14ac:dyDescent="0.25">
      <c r="A266" t="s">
        <v>2155</v>
      </c>
      <c r="B266" t="s">
        <v>63</v>
      </c>
      <c r="C266">
        <v>0</v>
      </c>
      <c r="D266" t="s">
        <v>93</v>
      </c>
      <c r="E266" t="s">
        <v>2677</v>
      </c>
      <c r="F266">
        <v>22</v>
      </c>
      <c r="G266">
        <v>1533333</v>
      </c>
      <c r="H266">
        <v>1533333</v>
      </c>
      <c r="I266">
        <v>1533333</v>
      </c>
      <c r="J266" t="s">
        <v>8</v>
      </c>
      <c r="K266">
        <v>0</v>
      </c>
      <c r="L266">
        <v>0</v>
      </c>
      <c r="M266">
        <v>0</v>
      </c>
    </row>
    <row r="267" spans="1:13" ht="15" customHeight="1" x14ac:dyDescent="0.25">
      <c r="A267" t="s">
        <v>2250</v>
      </c>
      <c r="B267" t="s">
        <v>18</v>
      </c>
      <c r="C267">
        <v>0</v>
      </c>
      <c r="D267" t="s">
        <v>2453</v>
      </c>
      <c r="E267" t="s">
        <v>2446</v>
      </c>
      <c r="F267">
        <v>26</v>
      </c>
      <c r="G267">
        <v>687500</v>
      </c>
      <c r="H267" t="s">
        <v>7</v>
      </c>
      <c r="I267">
        <v>0</v>
      </c>
      <c r="J267">
        <v>0</v>
      </c>
      <c r="K267">
        <v>0</v>
      </c>
      <c r="L267">
        <v>0</v>
      </c>
      <c r="M267">
        <v>0</v>
      </c>
    </row>
    <row r="268" spans="1:13" ht="15" customHeight="1" x14ac:dyDescent="0.25">
      <c r="A268" t="s">
        <v>2195</v>
      </c>
      <c r="B268" t="s">
        <v>12</v>
      </c>
      <c r="C268">
        <v>0</v>
      </c>
      <c r="D268" t="s">
        <v>2441</v>
      </c>
      <c r="E268" t="s">
        <v>2439</v>
      </c>
      <c r="F268">
        <v>26</v>
      </c>
      <c r="G268">
        <v>1250000</v>
      </c>
      <c r="H268" t="s">
        <v>7</v>
      </c>
      <c r="I268">
        <v>0</v>
      </c>
      <c r="J268">
        <v>0</v>
      </c>
      <c r="K268">
        <v>0</v>
      </c>
      <c r="L268">
        <v>0</v>
      </c>
      <c r="M268">
        <v>0</v>
      </c>
    </row>
    <row r="269" spans="1:13" ht="15" customHeight="1" x14ac:dyDescent="0.25">
      <c r="A269" t="s">
        <v>1846</v>
      </c>
      <c r="B269" t="s">
        <v>29</v>
      </c>
      <c r="C269">
        <v>0</v>
      </c>
      <c r="D269" t="s">
        <v>380</v>
      </c>
      <c r="E269" t="s">
        <v>2690</v>
      </c>
      <c r="F269">
        <v>28</v>
      </c>
      <c r="G269">
        <v>700000</v>
      </c>
      <c r="H269">
        <v>700000</v>
      </c>
      <c r="I269" t="s">
        <v>7</v>
      </c>
      <c r="J269">
        <v>0</v>
      </c>
      <c r="K269">
        <v>0</v>
      </c>
      <c r="L269">
        <v>0</v>
      </c>
      <c r="M269">
        <v>0</v>
      </c>
    </row>
    <row r="270" spans="1:13" ht="15" customHeight="1" x14ac:dyDescent="0.25">
      <c r="A270" t="s">
        <v>2658</v>
      </c>
      <c r="B270" t="s">
        <v>27</v>
      </c>
      <c r="C270" t="s">
        <v>386</v>
      </c>
      <c r="D270" t="s">
        <v>127</v>
      </c>
      <c r="E270" t="s">
        <v>2446</v>
      </c>
      <c r="F270">
        <v>22</v>
      </c>
      <c r="G270">
        <v>925000</v>
      </c>
      <c r="H270" t="s">
        <v>8</v>
      </c>
      <c r="I270">
        <v>0</v>
      </c>
      <c r="J270">
        <v>0</v>
      </c>
      <c r="K270">
        <v>0</v>
      </c>
      <c r="L270">
        <v>0</v>
      </c>
      <c r="M270">
        <v>0</v>
      </c>
    </row>
    <row r="271" spans="1:13" ht="15" customHeight="1" x14ac:dyDescent="0.25">
      <c r="A271" t="s">
        <v>2729</v>
      </c>
      <c r="B271" t="s">
        <v>13</v>
      </c>
      <c r="C271" t="s">
        <v>386</v>
      </c>
      <c r="D271" t="s">
        <v>73</v>
      </c>
      <c r="E271" t="s">
        <v>2446</v>
      </c>
      <c r="F271">
        <v>18</v>
      </c>
      <c r="G271">
        <v>3425000</v>
      </c>
      <c r="H271">
        <v>3425000</v>
      </c>
      <c r="I271">
        <v>3425000</v>
      </c>
      <c r="J271" t="s">
        <v>8</v>
      </c>
      <c r="K271">
        <v>0</v>
      </c>
      <c r="L271">
        <v>0</v>
      </c>
      <c r="M271">
        <v>0</v>
      </c>
    </row>
    <row r="272" spans="1:13" ht="15" customHeight="1" x14ac:dyDescent="0.25">
      <c r="A272" t="s">
        <v>1455</v>
      </c>
      <c r="B272" t="s">
        <v>2531</v>
      </c>
      <c r="C272" t="s">
        <v>370</v>
      </c>
      <c r="D272" t="s">
        <v>2680</v>
      </c>
      <c r="E272" t="s">
        <v>2677</v>
      </c>
      <c r="F272">
        <v>30</v>
      </c>
      <c r="G272">
        <v>4000000</v>
      </c>
      <c r="H272" t="s">
        <v>7</v>
      </c>
      <c r="I272">
        <v>0</v>
      </c>
      <c r="J272">
        <v>0</v>
      </c>
      <c r="K272">
        <v>0</v>
      </c>
      <c r="L272">
        <v>0</v>
      </c>
      <c r="M272">
        <v>0</v>
      </c>
    </row>
    <row r="273" spans="1:13" ht="15" customHeight="1" x14ac:dyDescent="0.25">
      <c r="A273" t="s">
        <v>2894</v>
      </c>
      <c r="B273" t="s">
        <v>30</v>
      </c>
      <c r="C273" t="s">
        <v>386</v>
      </c>
      <c r="D273" t="s">
        <v>2450</v>
      </c>
      <c r="E273" t="s">
        <v>2446</v>
      </c>
      <c r="F273">
        <v>21</v>
      </c>
      <c r="G273">
        <v>925000</v>
      </c>
      <c r="H273" t="s">
        <v>8</v>
      </c>
      <c r="I273">
        <v>0</v>
      </c>
      <c r="J273">
        <v>0</v>
      </c>
      <c r="K273">
        <v>0</v>
      </c>
      <c r="L273">
        <v>0</v>
      </c>
      <c r="M273">
        <v>0</v>
      </c>
    </row>
    <row r="274" spans="1:13" ht="15" customHeight="1" x14ac:dyDescent="0.25">
      <c r="A274" t="s">
        <v>1398</v>
      </c>
      <c r="B274" t="s">
        <v>10</v>
      </c>
      <c r="C274" t="s">
        <v>386</v>
      </c>
      <c r="D274" t="s">
        <v>380</v>
      </c>
      <c r="E274" t="s">
        <v>2677</v>
      </c>
      <c r="F274">
        <v>19</v>
      </c>
      <c r="G274">
        <v>3775000</v>
      </c>
      <c r="H274">
        <v>3775000</v>
      </c>
      <c r="I274" t="s">
        <v>8</v>
      </c>
      <c r="J274">
        <v>0</v>
      </c>
      <c r="K274">
        <v>0</v>
      </c>
      <c r="L274">
        <v>0</v>
      </c>
      <c r="M274">
        <v>0</v>
      </c>
    </row>
    <row r="275" spans="1:13" ht="15" customHeight="1" x14ac:dyDescent="0.25">
      <c r="A275" t="s">
        <v>2851</v>
      </c>
      <c r="B275" t="s">
        <v>13</v>
      </c>
      <c r="C275">
        <v>0</v>
      </c>
      <c r="D275" t="s">
        <v>2445</v>
      </c>
      <c r="E275" t="s">
        <v>2439</v>
      </c>
      <c r="F275">
        <v>24</v>
      </c>
      <c r="G275">
        <v>850000</v>
      </c>
      <c r="H275">
        <v>850000</v>
      </c>
      <c r="I275" t="s">
        <v>8</v>
      </c>
      <c r="J275">
        <v>0</v>
      </c>
      <c r="K275">
        <v>0</v>
      </c>
      <c r="L275">
        <v>0</v>
      </c>
      <c r="M275">
        <v>0</v>
      </c>
    </row>
    <row r="276" spans="1:13" ht="15" customHeight="1" x14ac:dyDescent="0.25">
      <c r="A276" t="s">
        <v>2744</v>
      </c>
      <c r="B276" t="s">
        <v>25</v>
      </c>
      <c r="C276">
        <v>0</v>
      </c>
      <c r="D276" t="s">
        <v>2440</v>
      </c>
      <c r="E276" t="s">
        <v>2439</v>
      </c>
      <c r="F276">
        <v>23</v>
      </c>
      <c r="G276" t="s">
        <v>8</v>
      </c>
      <c r="H276">
        <v>0</v>
      </c>
      <c r="I276">
        <v>0</v>
      </c>
      <c r="J276">
        <v>0</v>
      </c>
      <c r="K276">
        <v>0</v>
      </c>
      <c r="L276">
        <v>0</v>
      </c>
      <c r="M276">
        <v>0</v>
      </c>
    </row>
    <row r="277" spans="1:13" ht="15" customHeight="1" x14ac:dyDescent="0.25">
      <c r="A277" t="s">
        <v>1433</v>
      </c>
      <c r="B277" t="s">
        <v>17</v>
      </c>
      <c r="C277" t="s">
        <v>381</v>
      </c>
      <c r="D277" t="s">
        <v>2444</v>
      </c>
      <c r="E277" t="s">
        <v>2439</v>
      </c>
      <c r="F277">
        <v>35</v>
      </c>
      <c r="G277">
        <v>3166666</v>
      </c>
      <c r="H277" t="s">
        <v>7</v>
      </c>
      <c r="I277">
        <v>0</v>
      </c>
      <c r="J277">
        <v>0</v>
      </c>
      <c r="K277">
        <v>0</v>
      </c>
      <c r="L277">
        <v>0</v>
      </c>
      <c r="M277">
        <v>0</v>
      </c>
    </row>
    <row r="278" spans="1:13" ht="15" customHeight="1" x14ac:dyDescent="0.25">
      <c r="A278" t="s">
        <v>1685</v>
      </c>
      <c r="B278" t="s">
        <v>14</v>
      </c>
      <c r="C278">
        <v>0</v>
      </c>
      <c r="D278" t="s">
        <v>73</v>
      </c>
      <c r="E278" t="s">
        <v>2446</v>
      </c>
      <c r="F278">
        <v>29</v>
      </c>
      <c r="G278">
        <v>750000</v>
      </c>
      <c r="H278">
        <v>750000</v>
      </c>
      <c r="I278" t="s">
        <v>7</v>
      </c>
      <c r="J278">
        <v>0</v>
      </c>
      <c r="K278">
        <v>0</v>
      </c>
      <c r="L278">
        <v>0</v>
      </c>
      <c r="M278">
        <v>0</v>
      </c>
    </row>
    <row r="279" spans="1:13" ht="15" customHeight="1" x14ac:dyDescent="0.25">
      <c r="A279" t="s">
        <v>2490</v>
      </c>
      <c r="B279" t="s">
        <v>16</v>
      </c>
      <c r="C279" t="s">
        <v>388</v>
      </c>
      <c r="D279" t="s">
        <v>73</v>
      </c>
      <c r="E279" t="s">
        <v>389</v>
      </c>
      <c r="F279">
        <v>19</v>
      </c>
      <c r="G279">
        <v>901666</v>
      </c>
      <c r="H279">
        <v>901666</v>
      </c>
      <c r="I279">
        <v>901666</v>
      </c>
      <c r="J279" t="s">
        <v>8</v>
      </c>
      <c r="K279">
        <v>0</v>
      </c>
      <c r="L279">
        <v>0</v>
      </c>
      <c r="M279">
        <v>0</v>
      </c>
    </row>
    <row r="280" spans="1:13" ht="15" customHeight="1" x14ac:dyDescent="0.25">
      <c r="A280" t="s">
        <v>1483</v>
      </c>
      <c r="B280" t="s">
        <v>22</v>
      </c>
      <c r="C280">
        <v>0</v>
      </c>
      <c r="D280" t="s">
        <v>73</v>
      </c>
      <c r="E280" t="s">
        <v>2439</v>
      </c>
      <c r="F280">
        <v>26</v>
      </c>
      <c r="G280">
        <v>3083333</v>
      </c>
      <c r="H280">
        <v>3083333</v>
      </c>
      <c r="I280" t="s">
        <v>7</v>
      </c>
      <c r="J280">
        <v>0</v>
      </c>
      <c r="K280">
        <v>0</v>
      </c>
      <c r="L280">
        <v>0</v>
      </c>
      <c r="M280">
        <v>0</v>
      </c>
    </row>
    <row r="281" spans="1:13" ht="15" customHeight="1" x14ac:dyDescent="0.25">
      <c r="A281" t="s">
        <v>2756</v>
      </c>
      <c r="B281" t="s">
        <v>14</v>
      </c>
      <c r="C281">
        <v>0</v>
      </c>
      <c r="D281" t="s">
        <v>2494</v>
      </c>
      <c r="E281" t="s">
        <v>2446</v>
      </c>
      <c r="F281">
        <v>24</v>
      </c>
      <c r="G281">
        <v>800000</v>
      </c>
      <c r="H281" t="s">
        <v>8</v>
      </c>
      <c r="I281">
        <v>0</v>
      </c>
      <c r="J281">
        <v>0</v>
      </c>
      <c r="K281">
        <v>0</v>
      </c>
      <c r="L281">
        <v>0</v>
      </c>
      <c r="M281">
        <v>0</v>
      </c>
    </row>
    <row r="282" spans="1:13" ht="15" customHeight="1" x14ac:dyDescent="0.25">
      <c r="A282" t="s">
        <v>2398</v>
      </c>
      <c r="B282" t="s">
        <v>135</v>
      </c>
      <c r="C282">
        <v>0</v>
      </c>
      <c r="D282" t="s">
        <v>127</v>
      </c>
      <c r="E282" t="s">
        <v>2690</v>
      </c>
      <c r="F282">
        <v>25</v>
      </c>
      <c r="G282">
        <v>675000</v>
      </c>
      <c r="H282" t="s">
        <v>8</v>
      </c>
      <c r="I282">
        <v>0</v>
      </c>
      <c r="J282">
        <v>0</v>
      </c>
      <c r="K282">
        <v>0</v>
      </c>
      <c r="L282">
        <v>0</v>
      </c>
      <c r="M282">
        <v>0</v>
      </c>
    </row>
    <row r="283" spans="1:13" ht="15" customHeight="1" x14ac:dyDescent="0.25">
      <c r="A283" t="s">
        <v>2175</v>
      </c>
      <c r="B283" t="s">
        <v>23</v>
      </c>
      <c r="C283">
        <v>0</v>
      </c>
      <c r="D283" t="s">
        <v>2678</v>
      </c>
      <c r="E283" t="s">
        <v>2690</v>
      </c>
      <c r="F283">
        <v>24</v>
      </c>
      <c r="G283">
        <v>700000</v>
      </c>
      <c r="H283" t="s">
        <v>8</v>
      </c>
      <c r="I283">
        <v>0</v>
      </c>
      <c r="J283">
        <v>0</v>
      </c>
      <c r="K283">
        <v>0</v>
      </c>
      <c r="L283">
        <v>0</v>
      </c>
      <c r="M283">
        <v>0</v>
      </c>
    </row>
    <row r="284" spans="1:13" ht="15" customHeight="1" x14ac:dyDescent="0.25">
      <c r="A284" t="s">
        <v>2588</v>
      </c>
      <c r="B284" t="s">
        <v>12</v>
      </c>
      <c r="C284">
        <v>0</v>
      </c>
      <c r="D284" t="s">
        <v>2445</v>
      </c>
      <c r="E284" t="s">
        <v>2446</v>
      </c>
      <c r="F284">
        <v>27</v>
      </c>
      <c r="G284">
        <v>700000</v>
      </c>
      <c r="H284" t="s">
        <v>7</v>
      </c>
      <c r="I284">
        <v>0</v>
      </c>
      <c r="J284">
        <v>0</v>
      </c>
      <c r="K284">
        <v>0</v>
      </c>
      <c r="L284">
        <v>0</v>
      </c>
      <c r="M284">
        <v>0</v>
      </c>
    </row>
    <row r="285" spans="1:13" ht="15" customHeight="1" x14ac:dyDescent="0.25">
      <c r="A285" t="s">
        <v>1679</v>
      </c>
      <c r="B285" t="s">
        <v>27</v>
      </c>
      <c r="C285" t="s">
        <v>386</v>
      </c>
      <c r="D285" t="s">
        <v>2438</v>
      </c>
      <c r="E285" t="s">
        <v>2446</v>
      </c>
      <c r="F285">
        <v>22</v>
      </c>
      <c r="G285">
        <v>850000</v>
      </c>
      <c r="H285">
        <v>850000</v>
      </c>
      <c r="I285" t="s">
        <v>8</v>
      </c>
      <c r="J285">
        <v>0</v>
      </c>
      <c r="K285">
        <v>0</v>
      </c>
      <c r="L285">
        <v>0</v>
      </c>
      <c r="M285">
        <v>0</v>
      </c>
    </row>
    <row r="286" spans="1:13" ht="15" customHeight="1" x14ac:dyDescent="0.25">
      <c r="A286" t="s">
        <v>2517</v>
      </c>
      <c r="B286" t="s">
        <v>23</v>
      </c>
      <c r="C286" t="s">
        <v>386</v>
      </c>
      <c r="D286" t="s">
        <v>82</v>
      </c>
      <c r="E286" t="s">
        <v>2690</v>
      </c>
      <c r="F286">
        <v>22</v>
      </c>
      <c r="G286">
        <v>1325000</v>
      </c>
      <c r="H286">
        <v>1325000</v>
      </c>
      <c r="I286" t="s">
        <v>8</v>
      </c>
      <c r="J286">
        <v>0</v>
      </c>
      <c r="K286">
        <v>0</v>
      </c>
      <c r="L286">
        <v>0</v>
      </c>
      <c r="M286">
        <v>0</v>
      </c>
    </row>
    <row r="287" spans="1:13" ht="15" customHeight="1" x14ac:dyDescent="0.25">
      <c r="A287" t="s">
        <v>2501</v>
      </c>
      <c r="B287" t="s">
        <v>18</v>
      </c>
      <c r="C287" t="s">
        <v>386</v>
      </c>
      <c r="D287" t="s">
        <v>82</v>
      </c>
      <c r="E287" t="s">
        <v>2446</v>
      </c>
      <c r="F287">
        <v>24</v>
      </c>
      <c r="G287">
        <v>750000</v>
      </c>
      <c r="H287" t="s">
        <v>8</v>
      </c>
      <c r="I287">
        <v>0</v>
      </c>
      <c r="J287">
        <v>0</v>
      </c>
      <c r="K287">
        <v>0</v>
      </c>
      <c r="L287">
        <v>0</v>
      </c>
      <c r="M287">
        <v>0</v>
      </c>
    </row>
    <row r="288" spans="1:13" ht="15" customHeight="1" x14ac:dyDescent="0.25">
      <c r="A288" t="s">
        <v>1777</v>
      </c>
      <c r="B288" t="s">
        <v>26</v>
      </c>
      <c r="C288" t="s">
        <v>386</v>
      </c>
      <c r="D288" t="s">
        <v>82</v>
      </c>
      <c r="E288" t="s">
        <v>2690</v>
      </c>
      <c r="F288">
        <v>21</v>
      </c>
      <c r="G288">
        <v>910833</v>
      </c>
      <c r="H288">
        <v>910833</v>
      </c>
      <c r="I288" t="s">
        <v>8</v>
      </c>
      <c r="J288">
        <v>0</v>
      </c>
      <c r="K288">
        <v>0</v>
      </c>
      <c r="L288">
        <v>0</v>
      </c>
      <c r="M288">
        <v>0</v>
      </c>
    </row>
    <row r="289" spans="1:13" ht="15" customHeight="1" x14ac:dyDescent="0.25">
      <c r="A289" t="s">
        <v>2728</v>
      </c>
      <c r="B289" t="s">
        <v>13</v>
      </c>
      <c r="C289">
        <v>0</v>
      </c>
      <c r="D289" t="s">
        <v>2445</v>
      </c>
      <c r="E289" t="s">
        <v>2439</v>
      </c>
      <c r="F289">
        <v>28</v>
      </c>
      <c r="G289">
        <v>4550000</v>
      </c>
      <c r="H289">
        <v>4550000</v>
      </c>
      <c r="I289">
        <v>4550000</v>
      </c>
      <c r="J289" t="s">
        <v>7</v>
      </c>
      <c r="K289">
        <v>0</v>
      </c>
      <c r="L289">
        <v>0</v>
      </c>
      <c r="M289">
        <v>0</v>
      </c>
    </row>
    <row r="290" spans="1:13" ht="15" customHeight="1" x14ac:dyDescent="0.25">
      <c r="A290" t="s">
        <v>2732</v>
      </c>
      <c r="B290" t="s">
        <v>17</v>
      </c>
      <c r="C290">
        <v>0</v>
      </c>
      <c r="D290" t="s">
        <v>2452</v>
      </c>
      <c r="E290" t="s">
        <v>2439</v>
      </c>
      <c r="F290">
        <v>24</v>
      </c>
      <c r="G290">
        <v>900000</v>
      </c>
      <c r="H290" t="s">
        <v>8</v>
      </c>
      <c r="I290">
        <v>0</v>
      </c>
      <c r="J290">
        <v>0</v>
      </c>
      <c r="K290">
        <v>0</v>
      </c>
      <c r="L290">
        <v>0</v>
      </c>
      <c r="M290">
        <v>0</v>
      </c>
    </row>
    <row r="291" spans="1:13" ht="15" customHeight="1" x14ac:dyDescent="0.25">
      <c r="A291" t="s">
        <v>2741</v>
      </c>
      <c r="B291" t="s">
        <v>6</v>
      </c>
      <c r="C291">
        <v>0</v>
      </c>
      <c r="D291" t="s">
        <v>73</v>
      </c>
      <c r="E291" t="s">
        <v>2446</v>
      </c>
      <c r="F291">
        <v>23</v>
      </c>
      <c r="G291">
        <v>750000</v>
      </c>
      <c r="H291" t="s">
        <v>8</v>
      </c>
      <c r="I291">
        <v>0</v>
      </c>
      <c r="J291">
        <v>0</v>
      </c>
      <c r="K291">
        <v>0</v>
      </c>
      <c r="L291">
        <v>0</v>
      </c>
      <c r="M291">
        <v>0</v>
      </c>
    </row>
    <row r="292" spans="1:13" ht="15" customHeight="1" x14ac:dyDescent="0.25">
      <c r="A292" t="s">
        <v>2895</v>
      </c>
      <c r="B292" t="s">
        <v>10</v>
      </c>
      <c r="C292">
        <v>0</v>
      </c>
      <c r="D292" t="s">
        <v>73</v>
      </c>
      <c r="E292" t="s">
        <v>2690</v>
      </c>
      <c r="F292">
        <v>25</v>
      </c>
      <c r="G292">
        <v>700000</v>
      </c>
      <c r="H292">
        <v>700000</v>
      </c>
      <c r="I292" t="s">
        <v>7</v>
      </c>
      <c r="J292">
        <v>0</v>
      </c>
      <c r="K292">
        <v>0</v>
      </c>
      <c r="L292">
        <v>0</v>
      </c>
      <c r="M292">
        <v>0</v>
      </c>
    </row>
    <row r="293" spans="1:13" ht="15" customHeight="1" x14ac:dyDescent="0.25">
      <c r="A293" t="s">
        <v>1763</v>
      </c>
      <c r="B293" t="s">
        <v>26</v>
      </c>
      <c r="C293">
        <v>0</v>
      </c>
      <c r="D293" t="s">
        <v>379</v>
      </c>
      <c r="E293" t="s">
        <v>2677</v>
      </c>
      <c r="F293">
        <v>23</v>
      </c>
      <c r="G293" t="s">
        <v>8</v>
      </c>
      <c r="H293">
        <v>0</v>
      </c>
      <c r="I293">
        <v>0</v>
      </c>
      <c r="J293">
        <v>0</v>
      </c>
      <c r="K293">
        <v>0</v>
      </c>
      <c r="L293">
        <v>0</v>
      </c>
      <c r="M293">
        <v>0</v>
      </c>
    </row>
    <row r="294" spans="1:13" ht="15" customHeight="1" x14ac:dyDescent="0.25">
      <c r="A294" t="s">
        <v>1892</v>
      </c>
      <c r="B294" t="s">
        <v>13</v>
      </c>
      <c r="C294" t="s">
        <v>403</v>
      </c>
      <c r="D294" t="s">
        <v>2442</v>
      </c>
      <c r="E294" t="s">
        <v>2439</v>
      </c>
      <c r="F294">
        <v>21</v>
      </c>
      <c r="G294">
        <v>894166</v>
      </c>
      <c r="H294" t="s">
        <v>8</v>
      </c>
      <c r="I294">
        <v>0</v>
      </c>
      <c r="J294">
        <v>0</v>
      </c>
      <c r="K294">
        <v>0</v>
      </c>
      <c r="L294">
        <v>0</v>
      </c>
      <c r="M294">
        <v>0</v>
      </c>
    </row>
    <row r="295" spans="1:13" ht="15" customHeight="1" x14ac:dyDescent="0.25">
      <c r="A295" t="s">
        <v>1351</v>
      </c>
      <c r="B295" t="s">
        <v>9</v>
      </c>
      <c r="C295" t="s">
        <v>403</v>
      </c>
      <c r="D295" t="s">
        <v>2440</v>
      </c>
      <c r="E295" t="s">
        <v>2439</v>
      </c>
      <c r="F295">
        <v>22</v>
      </c>
      <c r="G295">
        <v>1288333</v>
      </c>
      <c r="H295" t="s">
        <v>8</v>
      </c>
      <c r="I295">
        <v>0</v>
      </c>
      <c r="J295">
        <v>0</v>
      </c>
      <c r="K295">
        <v>0</v>
      </c>
      <c r="L295">
        <v>0</v>
      </c>
      <c r="M295">
        <v>0</v>
      </c>
    </row>
    <row r="296" spans="1:13" ht="15" customHeight="1" x14ac:dyDescent="0.25">
      <c r="A296" t="s">
        <v>1431</v>
      </c>
      <c r="B296" t="s">
        <v>17</v>
      </c>
      <c r="C296" t="s">
        <v>372</v>
      </c>
      <c r="D296" t="s">
        <v>2445</v>
      </c>
      <c r="E296" t="s">
        <v>2439</v>
      </c>
      <c r="F296">
        <v>29</v>
      </c>
      <c r="G296">
        <v>5000000</v>
      </c>
      <c r="H296">
        <v>5000000</v>
      </c>
      <c r="I296">
        <v>5000000</v>
      </c>
      <c r="J296" t="s">
        <v>7</v>
      </c>
      <c r="K296">
        <v>0</v>
      </c>
      <c r="L296">
        <v>0</v>
      </c>
      <c r="M296">
        <v>0</v>
      </c>
    </row>
    <row r="297" spans="1:13" ht="15" customHeight="1" x14ac:dyDescent="0.25">
      <c r="A297" t="s">
        <v>2738</v>
      </c>
      <c r="B297" t="s">
        <v>6</v>
      </c>
      <c r="C297">
        <v>0</v>
      </c>
      <c r="D297" t="s">
        <v>2445</v>
      </c>
      <c r="E297" t="s">
        <v>2439</v>
      </c>
      <c r="F297">
        <v>29</v>
      </c>
      <c r="G297">
        <v>750000</v>
      </c>
      <c r="H297" t="s">
        <v>7</v>
      </c>
      <c r="I297">
        <v>0</v>
      </c>
      <c r="J297">
        <v>0</v>
      </c>
      <c r="K297">
        <v>0</v>
      </c>
      <c r="L297">
        <v>0</v>
      </c>
      <c r="M297">
        <v>0</v>
      </c>
    </row>
    <row r="298" spans="1:13" ht="15" customHeight="1" x14ac:dyDescent="0.25">
      <c r="A298" t="s">
        <v>1910</v>
      </c>
      <c r="B298" t="s">
        <v>13</v>
      </c>
      <c r="C298">
        <v>0</v>
      </c>
      <c r="D298" t="s">
        <v>127</v>
      </c>
      <c r="E298" t="s">
        <v>2446</v>
      </c>
      <c r="F298">
        <v>25</v>
      </c>
      <c r="G298">
        <v>1000000</v>
      </c>
      <c r="H298">
        <v>1000000</v>
      </c>
      <c r="I298">
        <v>1000000</v>
      </c>
      <c r="J298" t="s">
        <v>7</v>
      </c>
      <c r="K298">
        <v>0</v>
      </c>
      <c r="L298">
        <v>0</v>
      </c>
      <c r="M298">
        <v>0</v>
      </c>
    </row>
    <row r="299" spans="1:13" ht="15" customHeight="1" x14ac:dyDescent="0.25">
      <c r="A299" t="s">
        <v>2310</v>
      </c>
      <c r="B299" t="s">
        <v>30</v>
      </c>
      <c r="C299">
        <v>0</v>
      </c>
      <c r="D299" t="s">
        <v>127</v>
      </c>
      <c r="E299" t="s">
        <v>2439</v>
      </c>
      <c r="F299">
        <v>30</v>
      </c>
      <c r="G299">
        <v>1900000</v>
      </c>
      <c r="H299" t="s">
        <v>7</v>
      </c>
      <c r="I299">
        <v>0</v>
      </c>
      <c r="J299">
        <v>0</v>
      </c>
      <c r="K299">
        <v>0</v>
      </c>
      <c r="L299">
        <v>0</v>
      </c>
      <c r="M299">
        <v>0</v>
      </c>
    </row>
    <row r="300" spans="1:13" ht="15" customHeight="1" x14ac:dyDescent="0.25">
      <c r="A300" t="s">
        <v>2489</v>
      </c>
      <c r="B300" t="s">
        <v>16</v>
      </c>
      <c r="C300" t="s">
        <v>388</v>
      </c>
      <c r="D300" t="s">
        <v>73</v>
      </c>
      <c r="E300" t="s">
        <v>389</v>
      </c>
      <c r="F300">
        <v>19</v>
      </c>
      <c r="G300">
        <v>1431667</v>
      </c>
      <c r="H300">
        <v>1431667</v>
      </c>
      <c r="I300">
        <v>1431667</v>
      </c>
      <c r="J300" t="s">
        <v>8</v>
      </c>
      <c r="K300">
        <v>0</v>
      </c>
      <c r="L300">
        <v>0</v>
      </c>
      <c r="M300">
        <v>0</v>
      </c>
    </row>
    <row r="301" spans="1:13" ht="15" customHeight="1" x14ac:dyDescent="0.25">
      <c r="A301" t="s">
        <v>1526</v>
      </c>
      <c r="B301" t="s">
        <v>27</v>
      </c>
      <c r="C301">
        <v>0</v>
      </c>
      <c r="D301" t="s">
        <v>2444</v>
      </c>
      <c r="E301" t="s">
        <v>2439</v>
      </c>
      <c r="F301">
        <v>26</v>
      </c>
      <c r="G301">
        <v>900000</v>
      </c>
      <c r="H301" t="s">
        <v>7</v>
      </c>
      <c r="I301">
        <v>0</v>
      </c>
      <c r="J301">
        <v>0</v>
      </c>
      <c r="K301">
        <v>0</v>
      </c>
      <c r="L301">
        <v>0</v>
      </c>
      <c r="M301">
        <v>0</v>
      </c>
    </row>
    <row r="302" spans="1:13" ht="15" customHeight="1" x14ac:dyDescent="0.25">
      <c r="A302" t="s">
        <v>2161</v>
      </c>
      <c r="B302" t="s">
        <v>63</v>
      </c>
      <c r="C302" t="s">
        <v>2707</v>
      </c>
      <c r="D302" t="s">
        <v>379</v>
      </c>
      <c r="E302" t="s">
        <v>2677</v>
      </c>
      <c r="F302">
        <v>31</v>
      </c>
      <c r="G302">
        <v>3937500</v>
      </c>
      <c r="H302">
        <v>3937500</v>
      </c>
      <c r="I302" t="s">
        <v>7</v>
      </c>
      <c r="J302">
        <v>0</v>
      </c>
      <c r="K302">
        <v>0</v>
      </c>
      <c r="L302">
        <v>0</v>
      </c>
      <c r="M302">
        <v>0</v>
      </c>
    </row>
    <row r="303" spans="1:13" ht="15" customHeight="1" x14ac:dyDescent="0.25">
      <c r="A303" t="s">
        <v>2347</v>
      </c>
      <c r="B303" t="s">
        <v>34</v>
      </c>
      <c r="C303">
        <v>0</v>
      </c>
      <c r="D303" t="s">
        <v>127</v>
      </c>
      <c r="E303" t="s">
        <v>2439</v>
      </c>
      <c r="F303">
        <v>23</v>
      </c>
      <c r="G303">
        <v>1050000</v>
      </c>
      <c r="H303">
        <v>1050000</v>
      </c>
      <c r="I303" t="s">
        <v>8</v>
      </c>
      <c r="J303">
        <v>0</v>
      </c>
      <c r="K303">
        <v>0</v>
      </c>
      <c r="L303">
        <v>0</v>
      </c>
      <c r="M303">
        <v>0</v>
      </c>
    </row>
    <row r="304" spans="1:13" ht="15" customHeight="1" x14ac:dyDescent="0.25">
      <c r="A304" t="s">
        <v>2597</v>
      </c>
      <c r="B304" t="s">
        <v>33</v>
      </c>
      <c r="C304" t="s">
        <v>388</v>
      </c>
      <c r="D304" t="s">
        <v>73</v>
      </c>
      <c r="E304" t="s">
        <v>389</v>
      </c>
      <c r="F304">
        <v>18</v>
      </c>
      <c r="G304">
        <v>783333</v>
      </c>
      <c r="H304">
        <v>783333</v>
      </c>
      <c r="I304">
        <v>783333</v>
      </c>
      <c r="J304" t="s">
        <v>8</v>
      </c>
      <c r="K304">
        <v>0</v>
      </c>
      <c r="L304">
        <v>0</v>
      </c>
      <c r="M304">
        <v>0</v>
      </c>
    </row>
    <row r="305" spans="1:13" ht="15" customHeight="1" x14ac:dyDescent="0.25">
      <c r="A305" t="s">
        <v>1599</v>
      </c>
      <c r="B305" t="s">
        <v>33</v>
      </c>
      <c r="C305" t="s">
        <v>403</v>
      </c>
      <c r="D305" t="s">
        <v>380</v>
      </c>
      <c r="E305" t="s">
        <v>374</v>
      </c>
      <c r="F305">
        <v>22</v>
      </c>
      <c r="G305">
        <v>863333</v>
      </c>
      <c r="H305" t="s">
        <v>8</v>
      </c>
      <c r="I305">
        <v>0</v>
      </c>
      <c r="J305">
        <v>0</v>
      </c>
      <c r="K305">
        <v>0</v>
      </c>
      <c r="L305">
        <v>0</v>
      </c>
      <c r="M305">
        <v>0</v>
      </c>
    </row>
    <row r="306" spans="1:13" ht="15" customHeight="1" x14ac:dyDescent="0.25">
      <c r="A306" t="s">
        <v>2311</v>
      </c>
      <c r="B306" t="s">
        <v>30</v>
      </c>
      <c r="C306">
        <v>0</v>
      </c>
      <c r="D306" t="s">
        <v>82</v>
      </c>
      <c r="E306" t="s">
        <v>2446</v>
      </c>
      <c r="F306">
        <v>24</v>
      </c>
      <c r="G306">
        <v>700000</v>
      </c>
      <c r="H306">
        <v>700000</v>
      </c>
      <c r="I306" t="s">
        <v>8</v>
      </c>
      <c r="J306">
        <v>0</v>
      </c>
      <c r="K306">
        <v>0</v>
      </c>
      <c r="L306">
        <v>0</v>
      </c>
      <c r="M306">
        <v>0</v>
      </c>
    </row>
    <row r="307" spans="1:13" ht="15" customHeight="1" x14ac:dyDescent="0.25">
      <c r="A307" t="s">
        <v>1486</v>
      </c>
      <c r="B307" t="s">
        <v>6</v>
      </c>
      <c r="C307">
        <v>0</v>
      </c>
      <c r="D307" t="s">
        <v>2441</v>
      </c>
      <c r="E307" t="s">
        <v>2439</v>
      </c>
      <c r="F307">
        <v>28</v>
      </c>
      <c r="G307">
        <v>950000</v>
      </c>
      <c r="H307" t="s">
        <v>7</v>
      </c>
      <c r="I307">
        <v>0</v>
      </c>
      <c r="J307">
        <v>0</v>
      </c>
      <c r="K307">
        <v>0</v>
      </c>
      <c r="L307">
        <v>0</v>
      </c>
      <c r="M307">
        <v>0</v>
      </c>
    </row>
    <row r="308" spans="1:13" ht="15" customHeight="1" x14ac:dyDescent="0.25">
      <c r="A308" t="s">
        <v>1834</v>
      </c>
      <c r="B308" t="s">
        <v>29</v>
      </c>
      <c r="C308">
        <v>0</v>
      </c>
      <c r="D308" t="s">
        <v>127</v>
      </c>
      <c r="E308" t="s">
        <v>2677</v>
      </c>
      <c r="F308">
        <v>28</v>
      </c>
      <c r="G308">
        <v>1250000</v>
      </c>
      <c r="H308">
        <v>1250000</v>
      </c>
      <c r="I308">
        <v>1250000</v>
      </c>
      <c r="J308" t="s">
        <v>7</v>
      </c>
      <c r="K308">
        <v>0</v>
      </c>
      <c r="L308">
        <v>0</v>
      </c>
      <c r="M308">
        <v>0</v>
      </c>
    </row>
    <row r="309" spans="1:13" ht="15" customHeight="1" x14ac:dyDescent="0.25">
      <c r="A309" t="s">
        <v>2739</v>
      </c>
      <c r="B309" t="s">
        <v>6</v>
      </c>
      <c r="C309">
        <v>0</v>
      </c>
      <c r="D309">
        <v>0</v>
      </c>
      <c r="E309">
        <v>0</v>
      </c>
      <c r="F309">
        <v>0</v>
      </c>
      <c r="G309">
        <v>0</v>
      </c>
      <c r="H309">
        <v>0</v>
      </c>
      <c r="I309">
        <v>0</v>
      </c>
      <c r="J309">
        <v>0</v>
      </c>
      <c r="K309">
        <v>0</v>
      </c>
      <c r="L309">
        <v>0</v>
      </c>
      <c r="M309">
        <v>0</v>
      </c>
    </row>
    <row r="310" spans="1:13" ht="15" customHeight="1" x14ac:dyDescent="0.25">
      <c r="A310" t="s">
        <v>1978</v>
      </c>
      <c r="B310" t="s">
        <v>2531</v>
      </c>
      <c r="C310">
        <v>0</v>
      </c>
      <c r="D310" t="s">
        <v>127</v>
      </c>
      <c r="E310" t="s">
        <v>2690</v>
      </c>
      <c r="F310">
        <v>23</v>
      </c>
      <c r="G310">
        <v>700000</v>
      </c>
      <c r="H310" t="s">
        <v>8</v>
      </c>
      <c r="I310">
        <v>0</v>
      </c>
      <c r="J310">
        <v>0</v>
      </c>
      <c r="K310">
        <v>0</v>
      </c>
      <c r="L310">
        <v>0</v>
      </c>
      <c r="M310">
        <v>0</v>
      </c>
    </row>
    <row r="311" spans="1:13" ht="15" customHeight="1" x14ac:dyDescent="0.25">
      <c r="A311" t="s">
        <v>2616</v>
      </c>
      <c r="B311" t="s">
        <v>21</v>
      </c>
      <c r="C311" t="s">
        <v>386</v>
      </c>
      <c r="D311" t="s">
        <v>2440</v>
      </c>
      <c r="E311" t="s">
        <v>2446</v>
      </c>
      <c r="F311">
        <v>20</v>
      </c>
      <c r="G311">
        <v>925000</v>
      </c>
      <c r="H311">
        <v>925000</v>
      </c>
      <c r="I311">
        <v>925000</v>
      </c>
      <c r="J311" t="s">
        <v>8</v>
      </c>
      <c r="K311">
        <v>0</v>
      </c>
      <c r="L311">
        <v>0</v>
      </c>
      <c r="M311">
        <v>0</v>
      </c>
    </row>
    <row r="312" spans="1:13" ht="15" customHeight="1" x14ac:dyDescent="0.25">
      <c r="A312" t="s">
        <v>2711</v>
      </c>
      <c r="B312" t="s">
        <v>26</v>
      </c>
      <c r="C312">
        <v>0</v>
      </c>
      <c r="D312" t="s">
        <v>93</v>
      </c>
      <c r="E312" t="s">
        <v>2690</v>
      </c>
      <c r="F312">
        <v>25</v>
      </c>
      <c r="G312">
        <v>700000</v>
      </c>
      <c r="H312" t="s">
        <v>8</v>
      </c>
      <c r="I312">
        <v>0</v>
      </c>
      <c r="J312">
        <v>0</v>
      </c>
      <c r="K312">
        <v>0</v>
      </c>
      <c r="L312">
        <v>0</v>
      </c>
      <c r="M312">
        <v>0</v>
      </c>
    </row>
    <row r="313" spans="1:13" ht="15" customHeight="1" x14ac:dyDescent="0.25">
      <c r="A313" t="s">
        <v>1968</v>
      </c>
      <c r="B313" t="s">
        <v>16</v>
      </c>
      <c r="C313">
        <v>0</v>
      </c>
      <c r="D313" t="s">
        <v>73</v>
      </c>
      <c r="E313" t="s">
        <v>2677</v>
      </c>
      <c r="F313">
        <v>24</v>
      </c>
      <c r="G313">
        <v>1500000</v>
      </c>
      <c r="H313">
        <v>1500000</v>
      </c>
      <c r="I313" t="s">
        <v>8</v>
      </c>
      <c r="J313">
        <v>0</v>
      </c>
      <c r="K313">
        <v>0</v>
      </c>
      <c r="L313">
        <v>0</v>
      </c>
      <c r="M313">
        <v>0</v>
      </c>
    </row>
    <row r="314" spans="1:13" ht="15" customHeight="1" x14ac:dyDescent="0.25">
      <c r="A314" t="s">
        <v>1934</v>
      </c>
      <c r="B314" t="s">
        <v>15</v>
      </c>
      <c r="C314" t="s">
        <v>386</v>
      </c>
      <c r="D314" t="s">
        <v>73</v>
      </c>
      <c r="E314" t="s">
        <v>2446</v>
      </c>
      <c r="F314">
        <v>21</v>
      </c>
      <c r="G314">
        <v>1137500</v>
      </c>
      <c r="H314">
        <v>1137500</v>
      </c>
      <c r="I314" t="s">
        <v>8</v>
      </c>
      <c r="J314">
        <v>0</v>
      </c>
      <c r="K314">
        <v>0</v>
      </c>
      <c r="L314">
        <v>0</v>
      </c>
      <c r="M314">
        <v>0</v>
      </c>
    </row>
    <row r="315" spans="1:13" ht="15" customHeight="1" x14ac:dyDescent="0.25">
      <c r="A315" t="s">
        <v>2306</v>
      </c>
      <c r="B315" t="s">
        <v>30</v>
      </c>
      <c r="C315">
        <v>0</v>
      </c>
      <c r="D315" t="s">
        <v>2445</v>
      </c>
      <c r="E315" t="s">
        <v>2439</v>
      </c>
      <c r="F315">
        <v>28</v>
      </c>
      <c r="G315">
        <v>3270000</v>
      </c>
      <c r="H315" t="s">
        <v>7</v>
      </c>
      <c r="I315">
        <v>0</v>
      </c>
      <c r="J315">
        <v>0</v>
      </c>
      <c r="K315">
        <v>0</v>
      </c>
      <c r="L315">
        <v>0</v>
      </c>
      <c r="M315">
        <v>0</v>
      </c>
    </row>
    <row r="316" spans="1:13" ht="15" customHeight="1" x14ac:dyDescent="0.25">
      <c r="A316" t="s">
        <v>2179</v>
      </c>
      <c r="B316" t="s">
        <v>63</v>
      </c>
      <c r="C316" t="s">
        <v>386</v>
      </c>
      <c r="D316" t="s">
        <v>380</v>
      </c>
      <c r="E316" t="s">
        <v>2690</v>
      </c>
      <c r="F316">
        <v>21</v>
      </c>
      <c r="G316">
        <v>910833</v>
      </c>
      <c r="H316">
        <v>910833</v>
      </c>
      <c r="I316" t="s">
        <v>8</v>
      </c>
      <c r="J316">
        <v>0</v>
      </c>
      <c r="K316">
        <v>0</v>
      </c>
      <c r="L316">
        <v>0</v>
      </c>
      <c r="M316">
        <v>0</v>
      </c>
    </row>
    <row r="317" spans="1:13" ht="15" customHeight="1" x14ac:dyDescent="0.25">
      <c r="A317" t="s">
        <v>1849</v>
      </c>
      <c r="B317" t="s">
        <v>29</v>
      </c>
      <c r="C317">
        <v>0</v>
      </c>
      <c r="D317" t="s">
        <v>2679</v>
      </c>
      <c r="E317" t="s">
        <v>2690</v>
      </c>
      <c r="F317">
        <v>25</v>
      </c>
      <c r="G317">
        <v>700000</v>
      </c>
      <c r="H317" t="s">
        <v>8</v>
      </c>
      <c r="I317">
        <v>0</v>
      </c>
      <c r="J317">
        <v>0</v>
      </c>
      <c r="K317">
        <v>0</v>
      </c>
      <c r="L317">
        <v>0</v>
      </c>
      <c r="M317">
        <v>0</v>
      </c>
    </row>
    <row r="318" spans="1:13" ht="15" customHeight="1" x14ac:dyDescent="0.25">
      <c r="A318" t="s">
        <v>2355</v>
      </c>
      <c r="B318" t="s">
        <v>34</v>
      </c>
      <c r="C318" t="s">
        <v>386</v>
      </c>
      <c r="D318" t="s">
        <v>127</v>
      </c>
      <c r="E318" t="s">
        <v>2446</v>
      </c>
      <c r="F318">
        <v>20</v>
      </c>
      <c r="G318">
        <v>910833</v>
      </c>
      <c r="H318">
        <v>910833</v>
      </c>
      <c r="I318">
        <v>910833</v>
      </c>
      <c r="J318" t="s">
        <v>8</v>
      </c>
      <c r="K318">
        <v>0</v>
      </c>
      <c r="L318">
        <v>0</v>
      </c>
      <c r="M318">
        <v>0</v>
      </c>
    </row>
    <row r="319" spans="1:13" ht="15" customHeight="1" x14ac:dyDescent="0.25">
      <c r="A319" t="s">
        <v>1866</v>
      </c>
      <c r="B319" t="s">
        <v>2503</v>
      </c>
      <c r="C319">
        <v>0</v>
      </c>
      <c r="D319" t="s">
        <v>380</v>
      </c>
      <c r="E319" t="s">
        <v>2677</v>
      </c>
      <c r="F319">
        <v>25</v>
      </c>
      <c r="G319">
        <v>1250000</v>
      </c>
      <c r="H319" t="s">
        <v>8</v>
      </c>
      <c r="I319">
        <v>0</v>
      </c>
      <c r="J319">
        <v>0</v>
      </c>
      <c r="K319">
        <v>0</v>
      </c>
      <c r="L319">
        <v>0</v>
      </c>
      <c r="M319">
        <v>0</v>
      </c>
    </row>
    <row r="320" spans="1:13" ht="15" customHeight="1" x14ac:dyDescent="0.25">
      <c r="A320" t="s">
        <v>2492</v>
      </c>
      <c r="B320" t="s">
        <v>16</v>
      </c>
      <c r="C320" t="s">
        <v>386</v>
      </c>
      <c r="D320" t="s">
        <v>380</v>
      </c>
      <c r="E320" t="s">
        <v>2690</v>
      </c>
      <c r="F320">
        <v>25</v>
      </c>
      <c r="G320">
        <v>925000</v>
      </c>
      <c r="H320" t="s">
        <v>8</v>
      </c>
      <c r="I320">
        <v>0</v>
      </c>
      <c r="J320">
        <v>0</v>
      </c>
      <c r="K320">
        <v>0</v>
      </c>
      <c r="L320">
        <v>0</v>
      </c>
      <c r="M320">
        <v>0</v>
      </c>
    </row>
    <row r="321" spans="1:13" ht="15" customHeight="1" x14ac:dyDescent="0.25">
      <c r="A321" t="s">
        <v>1742</v>
      </c>
      <c r="B321" t="s">
        <v>25</v>
      </c>
      <c r="C321" t="s">
        <v>388</v>
      </c>
      <c r="D321" t="s">
        <v>2444</v>
      </c>
      <c r="E321" t="s">
        <v>389</v>
      </c>
      <c r="F321">
        <v>19</v>
      </c>
      <c r="G321">
        <v>1431667</v>
      </c>
      <c r="H321">
        <v>1431667</v>
      </c>
      <c r="I321">
        <v>1431667</v>
      </c>
      <c r="J321" t="s">
        <v>8</v>
      </c>
      <c r="K321">
        <v>0</v>
      </c>
      <c r="L321">
        <v>0</v>
      </c>
      <c r="M321">
        <v>0</v>
      </c>
    </row>
    <row r="322" spans="1:13" ht="15" customHeight="1" x14ac:dyDescent="0.25">
      <c r="A322" t="s">
        <v>1482</v>
      </c>
      <c r="B322" t="s">
        <v>22</v>
      </c>
      <c r="C322">
        <v>0</v>
      </c>
      <c r="D322" t="s">
        <v>2452</v>
      </c>
      <c r="E322" t="s">
        <v>2439</v>
      </c>
      <c r="F322">
        <v>24</v>
      </c>
      <c r="G322">
        <v>3150000</v>
      </c>
      <c r="H322" t="s">
        <v>8</v>
      </c>
      <c r="I322">
        <v>0</v>
      </c>
      <c r="J322">
        <v>0</v>
      </c>
      <c r="K322">
        <v>0</v>
      </c>
      <c r="L322">
        <v>0</v>
      </c>
      <c r="M322">
        <v>0</v>
      </c>
    </row>
    <row r="323" spans="1:13" ht="15" customHeight="1" x14ac:dyDescent="0.25">
      <c r="A323" t="s">
        <v>1564</v>
      </c>
      <c r="B323" t="s">
        <v>32</v>
      </c>
      <c r="C323">
        <v>0</v>
      </c>
      <c r="D323" t="s">
        <v>127</v>
      </c>
      <c r="E323" t="s">
        <v>2446</v>
      </c>
      <c r="F323">
        <v>27</v>
      </c>
      <c r="G323">
        <v>1150000</v>
      </c>
      <c r="H323" t="s">
        <v>7</v>
      </c>
      <c r="I323">
        <v>0</v>
      </c>
      <c r="J323">
        <v>0</v>
      </c>
      <c r="K323">
        <v>0</v>
      </c>
      <c r="L323">
        <v>0</v>
      </c>
      <c r="M323">
        <v>0</v>
      </c>
    </row>
    <row r="324" spans="1:13" ht="15" customHeight="1" x14ac:dyDescent="0.25">
      <c r="A324" t="s">
        <v>1564</v>
      </c>
      <c r="B324" t="s">
        <v>32</v>
      </c>
      <c r="C324">
        <v>0</v>
      </c>
      <c r="D324" t="s">
        <v>127</v>
      </c>
      <c r="E324" t="s">
        <v>2446</v>
      </c>
      <c r="F324">
        <v>27</v>
      </c>
      <c r="G324">
        <v>1150000</v>
      </c>
      <c r="H324" t="s">
        <v>7</v>
      </c>
      <c r="I324">
        <v>0</v>
      </c>
      <c r="J324">
        <v>0</v>
      </c>
      <c r="K324">
        <v>0</v>
      </c>
      <c r="L324">
        <v>0</v>
      </c>
      <c r="M324">
        <v>0</v>
      </c>
    </row>
    <row r="325" spans="1:13" ht="15" customHeight="1" x14ac:dyDescent="0.25">
      <c r="A325" t="s">
        <v>1349</v>
      </c>
      <c r="B325" t="s">
        <v>21</v>
      </c>
      <c r="C325">
        <v>0</v>
      </c>
      <c r="D325" t="s">
        <v>2496</v>
      </c>
      <c r="E325" t="s">
        <v>2439</v>
      </c>
      <c r="F325">
        <v>23</v>
      </c>
      <c r="G325">
        <v>1900000</v>
      </c>
      <c r="H325">
        <v>1900000</v>
      </c>
      <c r="I325" t="s">
        <v>8</v>
      </c>
      <c r="J325">
        <v>0</v>
      </c>
      <c r="K325">
        <v>0</v>
      </c>
      <c r="L325">
        <v>0</v>
      </c>
      <c r="M325">
        <v>0</v>
      </c>
    </row>
    <row r="326" spans="1:13" ht="15" customHeight="1" x14ac:dyDescent="0.25">
      <c r="A326" t="s">
        <v>2519</v>
      </c>
      <c r="B326" t="s">
        <v>23</v>
      </c>
      <c r="C326">
        <v>0</v>
      </c>
      <c r="D326" t="s">
        <v>380</v>
      </c>
      <c r="E326" t="s">
        <v>2690</v>
      </c>
      <c r="F326">
        <v>29</v>
      </c>
      <c r="G326">
        <v>675000</v>
      </c>
      <c r="H326" t="s">
        <v>7</v>
      </c>
      <c r="I326">
        <v>0</v>
      </c>
      <c r="J326">
        <v>0</v>
      </c>
      <c r="K326">
        <v>0</v>
      </c>
      <c r="L326">
        <v>0</v>
      </c>
      <c r="M326">
        <v>0</v>
      </c>
    </row>
    <row r="327" spans="1:13" ht="15" customHeight="1" x14ac:dyDescent="0.25">
      <c r="A327" t="s">
        <v>2297</v>
      </c>
      <c r="B327" t="s">
        <v>15</v>
      </c>
      <c r="C327">
        <v>0</v>
      </c>
      <c r="D327" t="s">
        <v>2438</v>
      </c>
      <c r="E327" t="s">
        <v>2439</v>
      </c>
      <c r="F327">
        <v>27</v>
      </c>
      <c r="G327">
        <v>3900000</v>
      </c>
      <c r="H327">
        <v>3900000</v>
      </c>
      <c r="I327">
        <v>3900000</v>
      </c>
      <c r="J327">
        <v>3900000</v>
      </c>
      <c r="K327" t="s">
        <v>7</v>
      </c>
      <c r="L327">
        <v>0</v>
      </c>
      <c r="M327">
        <v>0</v>
      </c>
    </row>
    <row r="328" spans="1:13" ht="15" customHeight="1" x14ac:dyDescent="0.25">
      <c r="A328" t="s">
        <v>1842</v>
      </c>
      <c r="B328" t="s">
        <v>29</v>
      </c>
      <c r="C328" t="s">
        <v>386</v>
      </c>
      <c r="D328" t="s">
        <v>127</v>
      </c>
      <c r="E328" t="s">
        <v>2690</v>
      </c>
      <c r="F328">
        <v>20</v>
      </c>
      <c r="G328">
        <v>733333</v>
      </c>
      <c r="H328">
        <v>733333</v>
      </c>
      <c r="I328">
        <v>733333</v>
      </c>
      <c r="J328" t="s">
        <v>8</v>
      </c>
      <c r="K328">
        <v>0</v>
      </c>
      <c r="L328">
        <v>0</v>
      </c>
      <c r="M328">
        <v>0</v>
      </c>
    </row>
    <row r="329" spans="1:13" ht="15" customHeight="1" x14ac:dyDescent="0.25">
      <c r="A329" t="s">
        <v>2580</v>
      </c>
      <c r="B329" t="s">
        <v>6</v>
      </c>
      <c r="C329" t="s">
        <v>386</v>
      </c>
      <c r="D329" t="s">
        <v>127</v>
      </c>
      <c r="E329" t="s">
        <v>2446</v>
      </c>
      <c r="F329">
        <v>19</v>
      </c>
      <c r="G329">
        <v>925000</v>
      </c>
      <c r="H329">
        <v>925000</v>
      </c>
      <c r="I329">
        <v>925000</v>
      </c>
      <c r="J329" t="s">
        <v>8</v>
      </c>
      <c r="K329">
        <v>0</v>
      </c>
      <c r="L329">
        <v>0</v>
      </c>
      <c r="M329">
        <v>0</v>
      </c>
    </row>
    <row r="330" spans="1:13" ht="15" customHeight="1" x14ac:dyDescent="0.25">
      <c r="A330" t="s">
        <v>2139</v>
      </c>
      <c r="B330" t="s">
        <v>6</v>
      </c>
      <c r="C330" t="s">
        <v>386</v>
      </c>
      <c r="D330" t="s">
        <v>73</v>
      </c>
      <c r="E330" t="s">
        <v>2446</v>
      </c>
      <c r="F330">
        <v>22</v>
      </c>
      <c r="G330">
        <v>925000</v>
      </c>
      <c r="H330" t="s">
        <v>8</v>
      </c>
      <c r="I330">
        <v>0</v>
      </c>
      <c r="J330">
        <v>0</v>
      </c>
      <c r="K330">
        <v>0</v>
      </c>
      <c r="L330">
        <v>0</v>
      </c>
      <c r="M330">
        <v>0</v>
      </c>
    </row>
    <row r="331" spans="1:13" ht="15" customHeight="1" x14ac:dyDescent="0.25">
      <c r="A331" t="s">
        <v>1562</v>
      </c>
      <c r="B331" t="s">
        <v>31</v>
      </c>
      <c r="C331">
        <v>0</v>
      </c>
      <c r="D331" t="s">
        <v>379</v>
      </c>
      <c r="E331" t="s">
        <v>2690</v>
      </c>
      <c r="F331">
        <v>25</v>
      </c>
      <c r="G331">
        <v>700000</v>
      </c>
      <c r="H331" t="s">
        <v>8</v>
      </c>
      <c r="I331">
        <v>0</v>
      </c>
      <c r="J331">
        <v>0</v>
      </c>
      <c r="K331">
        <v>0</v>
      </c>
      <c r="L331">
        <v>0</v>
      </c>
      <c r="M331">
        <v>0</v>
      </c>
    </row>
    <row r="332" spans="1:13" ht="15" customHeight="1" x14ac:dyDescent="0.25">
      <c r="A332" t="s">
        <v>2811</v>
      </c>
      <c r="B332" t="s">
        <v>20</v>
      </c>
      <c r="C332" t="s">
        <v>420</v>
      </c>
      <c r="D332" t="s">
        <v>2444</v>
      </c>
      <c r="E332" t="s">
        <v>2439</v>
      </c>
      <c r="F332">
        <v>29</v>
      </c>
      <c r="G332">
        <v>11000000</v>
      </c>
      <c r="H332">
        <v>11000000</v>
      </c>
      <c r="I332">
        <v>11000000</v>
      </c>
      <c r="J332">
        <v>11000000</v>
      </c>
      <c r="K332">
        <v>11000000</v>
      </c>
      <c r="L332">
        <v>11000000</v>
      </c>
      <c r="M332">
        <v>11000000</v>
      </c>
    </row>
    <row r="333" spans="1:13" ht="15" customHeight="1" x14ac:dyDescent="0.25">
      <c r="A333" t="s">
        <v>1858</v>
      </c>
      <c r="B333" t="s">
        <v>2503</v>
      </c>
      <c r="C333">
        <v>0</v>
      </c>
      <c r="D333" t="s">
        <v>73</v>
      </c>
      <c r="E333" t="s">
        <v>2677</v>
      </c>
      <c r="F333">
        <v>29</v>
      </c>
      <c r="G333">
        <v>750000</v>
      </c>
      <c r="H333">
        <v>750000</v>
      </c>
      <c r="I333">
        <v>750000</v>
      </c>
      <c r="J333" t="s">
        <v>7</v>
      </c>
      <c r="K333">
        <v>0</v>
      </c>
      <c r="L333">
        <v>0</v>
      </c>
      <c r="M333">
        <v>0</v>
      </c>
    </row>
    <row r="334" spans="1:13" ht="15" customHeight="1" x14ac:dyDescent="0.25">
      <c r="A334" t="s">
        <v>1982</v>
      </c>
      <c r="B334" t="s">
        <v>16</v>
      </c>
      <c r="C334">
        <v>0</v>
      </c>
      <c r="D334" t="s">
        <v>73</v>
      </c>
      <c r="E334" t="s">
        <v>2677</v>
      </c>
      <c r="F334">
        <v>28</v>
      </c>
      <c r="G334">
        <v>750000</v>
      </c>
      <c r="H334">
        <v>750000</v>
      </c>
      <c r="I334" t="s">
        <v>7</v>
      </c>
      <c r="J334">
        <v>0</v>
      </c>
      <c r="K334">
        <v>0</v>
      </c>
      <c r="L334">
        <v>0</v>
      </c>
      <c r="M334">
        <v>0</v>
      </c>
    </row>
    <row r="335" spans="1:13" ht="15" customHeight="1" x14ac:dyDescent="0.25">
      <c r="A335" t="s">
        <v>2217</v>
      </c>
      <c r="B335" t="s">
        <v>18</v>
      </c>
      <c r="C335">
        <v>0</v>
      </c>
      <c r="D335" t="s">
        <v>2494</v>
      </c>
      <c r="E335" t="s">
        <v>2439</v>
      </c>
      <c r="F335">
        <v>23</v>
      </c>
      <c r="G335">
        <v>8500000</v>
      </c>
      <c r="H335">
        <v>8500000</v>
      </c>
      <c r="I335">
        <v>8500000</v>
      </c>
      <c r="J335">
        <v>8500000</v>
      </c>
      <c r="K335">
        <v>8500000</v>
      </c>
      <c r="L335">
        <v>8500000</v>
      </c>
      <c r="M335" t="s">
        <v>7</v>
      </c>
    </row>
    <row r="336" spans="1:13" ht="15" customHeight="1" x14ac:dyDescent="0.25">
      <c r="A336" t="s">
        <v>2537</v>
      </c>
      <c r="B336" t="s">
        <v>2531</v>
      </c>
      <c r="C336">
        <v>0</v>
      </c>
      <c r="D336" t="s">
        <v>127</v>
      </c>
      <c r="E336" t="s">
        <v>2690</v>
      </c>
      <c r="F336">
        <v>25</v>
      </c>
      <c r="G336">
        <v>850000</v>
      </c>
      <c r="H336">
        <v>850000</v>
      </c>
      <c r="I336" t="s">
        <v>7</v>
      </c>
      <c r="J336">
        <v>0</v>
      </c>
      <c r="K336">
        <v>0</v>
      </c>
      <c r="L336">
        <v>0</v>
      </c>
      <c r="M336">
        <v>0</v>
      </c>
    </row>
    <row r="337" spans="1:13" ht="15" customHeight="1" x14ac:dyDescent="0.25">
      <c r="A337" t="s">
        <v>1936</v>
      </c>
      <c r="B337" t="s">
        <v>15</v>
      </c>
      <c r="C337">
        <v>0</v>
      </c>
      <c r="D337" t="s">
        <v>73</v>
      </c>
      <c r="E337" t="s">
        <v>2446</v>
      </c>
      <c r="F337">
        <v>25</v>
      </c>
      <c r="G337">
        <v>735000</v>
      </c>
      <c r="H337" t="s">
        <v>8</v>
      </c>
      <c r="I337">
        <v>0</v>
      </c>
      <c r="J337">
        <v>0</v>
      </c>
      <c r="K337">
        <v>0</v>
      </c>
      <c r="L337">
        <v>0</v>
      </c>
      <c r="M337">
        <v>0</v>
      </c>
    </row>
    <row r="338" spans="1:13" ht="15" customHeight="1" x14ac:dyDescent="0.25">
      <c r="A338" t="s">
        <v>1479</v>
      </c>
      <c r="B338" t="s">
        <v>22</v>
      </c>
      <c r="C338">
        <v>0</v>
      </c>
      <c r="D338" t="s">
        <v>2470</v>
      </c>
      <c r="E338" t="s">
        <v>2439</v>
      </c>
      <c r="F338">
        <v>24</v>
      </c>
      <c r="G338">
        <v>5500000</v>
      </c>
      <c r="H338">
        <v>5500000</v>
      </c>
      <c r="I338">
        <v>5500000</v>
      </c>
      <c r="J338">
        <v>5500000</v>
      </c>
      <c r="K338" t="s">
        <v>7</v>
      </c>
      <c r="L338">
        <v>0</v>
      </c>
      <c r="M338">
        <v>0</v>
      </c>
    </row>
    <row r="339" spans="1:13" ht="15" customHeight="1" x14ac:dyDescent="0.25">
      <c r="A339" t="s">
        <v>2473</v>
      </c>
      <c r="B339" t="s">
        <v>29</v>
      </c>
      <c r="C339" t="s">
        <v>386</v>
      </c>
      <c r="D339" t="s">
        <v>2689</v>
      </c>
      <c r="E339" t="s">
        <v>2690</v>
      </c>
      <c r="F339">
        <v>20</v>
      </c>
      <c r="G339">
        <v>925000</v>
      </c>
      <c r="H339">
        <v>925000</v>
      </c>
      <c r="I339">
        <v>925000</v>
      </c>
      <c r="J339" t="s">
        <v>8</v>
      </c>
      <c r="K339">
        <v>0</v>
      </c>
      <c r="L339">
        <v>0</v>
      </c>
      <c r="M339">
        <v>0</v>
      </c>
    </row>
    <row r="340" spans="1:13" ht="15" customHeight="1" x14ac:dyDescent="0.25">
      <c r="A340" t="s">
        <v>2896</v>
      </c>
      <c r="B340" t="s">
        <v>12</v>
      </c>
      <c r="C340" t="s">
        <v>386</v>
      </c>
      <c r="D340" t="s">
        <v>73</v>
      </c>
      <c r="E340" t="s">
        <v>2439</v>
      </c>
      <c r="F340">
        <v>21</v>
      </c>
      <c r="G340">
        <v>910833</v>
      </c>
      <c r="H340">
        <v>910833</v>
      </c>
      <c r="I340" t="s">
        <v>8</v>
      </c>
      <c r="J340">
        <v>0</v>
      </c>
      <c r="K340">
        <v>0</v>
      </c>
      <c r="L340">
        <v>0</v>
      </c>
      <c r="M340">
        <v>0</v>
      </c>
    </row>
    <row r="341" spans="1:13" ht="15" customHeight="1" x14ac:dyDescent="0.25">
      <c r="A341" t="s">
        <v>1655</v>
      </c>
      <c r="B341" t="s">
        <v>14</v>
      </c>
      <c r="C341" t="s">
        <v>370</v>
      </c>
      <c r="D341" t="s">
        <v>2452</v>
      </c>
      <c r="E341" t="s">
        <v>2439</v>
      </c>
      <c r="F341">
        <v>33</v>
      </c>
      <c r="G341">
        <v>5850000</v>
      </c>
      <c r="H341">
        <v>5850000</v>
      </c>
      <c r="I341" t="s">
        <v>7</v>
      </c>
      <c r="J341">
        <v>0</v>
      </c>
      <c r="K341">
        <v>0</v>
      </c>
      <c r="L341">
        <v>0</v>
      </c>
      <c r="M341">
        <v>0</v>
      </c>
    </row>
    <row r="342" spans="1:13" ht="15" customHeight="1" x14ac:dyDescent="0.25">
      <c r="A342" t="s">
        <v>2001</v>
      </c>
      <c r="B342" t="s">
        <v>21</v>
      </c>
      <c r="C342" t="s">
        <v>381</v>
      </c>
      <c r="D342" t="s">
        <v>127</v>
      </c>
      <c r="E342" t="s">
        <v>2439</v>
      </c>
      <c r="F342">
        <v>33</v>
      </c>
      <c r="G342">
        <v>4333333</v>
      </c>
      <c r="H342">
        <v>4333333</v>
      </c>
      <c r="I342" t="s">
        <v>7</v>
      </c>
      <c r="J342">
        <v>0</v>
      </c>
      <c r="K342">
        <v>0</v>
      </c>
      <c r="L342">
        <v>0</v>
      </c>
      <c r="M342">
        <v>0</v>
      </c>
    </row>
    <row r="343" spans="1:13" ht="15" customHeight="1" x14ac:dyDescent="0.25">
      <c r="A343" t="s">
        <v>1660</v>
      </c>
      <c r="B343" t="s">
        <v>14</v>
      </c>
      <c r="C343" t="s">
        <v>403</v>
      </c>
      <c r="D343" t="s">
        <v>2452</v>
      </c>
      <c r="E343" t="s">
        <v>2439</v>
      </c>
      <c r="F343">
        <v>21</v>
      </c>
      <c r="G343">
        <v>3394166</v>
      </c>
      <c r="H343" t="s">
        <v>8</v>
      </c>
      <c r="I343">
        <v>0</v>
      </c>
      <c r="J343">
        <v>0</v>
      </c>
      <c r="K343">
        <v>0</v>
      </c>
      <c r="L343">
        <v>0</v>
      </c>
      <c r="M343">
        <v>0</v>
      </c>
    </row>
    <row r="344" spans="1:13" ht="15" customHeight="1" x14ac:dyDescent="0.25">
      <c r="A344" t="s">
        <v>1516</v>
      </c>
      <c r="B344" t="s">
        <v>23</v>
      </c>
      <c r="C344">
        <v>0</v>
      </c>
      <c r="D344" t="s">
        <v>2679</v>
      </c>
      <c r="E344" t="s">
        <v>2677</v>
      </c>
      <c r="F344">
        <v>28</v>
      </c>
      <c r="G344">
        <v>8000000</v>
      </c>
      <c r="H344">
        <v>8000000</v>
      </c>
      <c r="I344">
        <v>8000000</v>
      </c>
      <c r="J344">
        <v>8000000</v>
      </c>
      <c r="K344">
        <v>8000000</v>
      </c>
      <c r="L344">
        <v>8000000</v>
      </c>
      <c r="M344">
        <v>8000000</v>
      </c>
    </row>
    <row r="345" spans="1:13" ht="15" customHeight="1" x14ac:dyDescent="0.25">
      <c r="A345" t="s">
        <v>1662</v>
      </c>
      <c r="B345" t="s">
        <v>27</v>
      </c>
      <c r="C345">
        <v>0</v>
      </c>
      <c r="D345" t="s">
        <v>2442</v>
      </c>
      <c r="E345" t="s">
        <v>2439</v>
      </c>
      <c r="F345">
        <v>23</v>
      </c>
      <c r="G345">
        <v>1650000</v>
      </c>
      <c r="H345" t="s">
        <v>8</v>
      </c>
      <c r="I345">
        <v>0</v>
      </c>
      <c r="J345">
        <v>0</v>
      </c>
      <c r="K345">
        <v>0</v>
      </c>
      <c r="L345">
        <v>0</v>
      </c>
      <c r="M345">
        <v>0</v>
      </c>
    </row>
    <row r="346" spans="1:13" ht="15" customHeight="1" x14ac:dyDescent="0.25">
      <c r="A346" t="s">
        <v>2614</v>
      </c>
      <c r="B346" t="s">
        <v>21</v>
      </c>
      <c r="C346" t="s">
        <v>386</v>
      </c>
      <c r="D346" t="s">
        <v>2438</v>
      </c>
      <c r="E346" t="s">
        <v>2446</v>
      </c>
      <c r="F346">
        <v>22</v>
      </c>
      <c r="G346">
        <v>925000</v>
      </c>
      <c r="H346">
        <v>925000</v>
      </c>
      <c r="I346" t="s">
        <v>8</v>
      </c>
      <c r="J346">
        <v>0</v>
      </c>
      <c r="K346">
        <v>0</v>
      </c>
      <c r="L346">
        <v>0</v>
      </c>
      <c r="M346">
        <v>0</v>
      </c>
    </row>
    <row r="347" spans="1:13" ht="15" customHeight="1" x14ac:dyDescent="0.25">
      <c r="A347" t="s">
        <v>2390</v>
      </c>
      <c r="B347" t="s">
        <v>135</v>
      </c>
      <c r="C347" t="s">
        <v>386</v>
      </c>
      <c r="D347" t="s">
        <v>2684</v>
      </c>
      <c r="E347" t="s">
        <v>2690</v>
      </c>
      <c r="F347">
        <v>23</v>
      </c>
      <c r="G347">
        <v>925000</v>
      </c>
      <c r="H347" t="s">
        <v>8</v>
      </c>
      <c r="I347">
        <v>0</v>
      </c>
      <c r="J347">
        <v>0</v>
      </c>
      <c r="K347">
        <v>0</v>
      </c>
      <c r="L347">
        <v>0</v>
      </c>
      <c r="M347">
        <v>0</v>
      </c>
    </row>
    <row r="348" spans="1:13" ht="15" customHeight="1" x14ac:dyDescent="0.25">
      <c r="A348" t="s">
        <v>1994</v>
      </c>
      <c r="B348" t="s">
        <v>21</v>
      </c>
      <c r="C348">
        <v>0</v>
      </c>
      <c r="D348" t="s">
        <v>2444</v>
      </c>
      <c r="E348" t="s">
        <v>2439</v>
      </c>
      <c r="F348">
        <v>25</v>
      </c>
      <c r="G348">
        <v>6000000</v>
      </c>
      <c r="H348">
        <v>6000000</v>
      </c>
      <c r="I348">
        <v>6000000</v>
      </c>
      <c r="J348">
        <v>6000000</v>
      </c>
      <c r="K348" t="s">
        <v>7</v>
      </c>
      <c r="L348">
        <v>0</v>
      </c>
      <c r="M348">
        <v>0</v>
      </c>
    </row>
    <row r="349" spans="1:13" ht="15" customHeight="1" x14ac:dyDescent="0.25">
      <c r="A349" t="s">
        <v>1583</v>
      </c>
      <c r="B349" t="s">
        <v>21</v>
      </c>
      <c r="C349">
        <v>0</v>
      </c>
      <c r="D349" t="s">
        <v>73</v>
      </c>
      <c r="E349" t="s">
        <v>2446</v>
      </c>
      <c r="F349">
        <v>28</v>
      </c>
      <c r="G349">
        <v>700000</v>
      </c>
      <c r="H349">
        <v>700000</v>
      </c>
      <c r="I349" t="s">
        <v>7</v>
      </c>
      <c r="J349">
        <v>0</v>
      </c>
      <c r="K349">
        <v>0</v>
      </c>
      <c r="L349">
        <v>0</v>
      </c>
      <c r="M349">
        <v>0</v>
      </c>
    </row>
    <row r="350" spans="1:13" ht="15" customHeight="1" x14ac:dyDescent="0.25">
      <c r="A350" t="s">
        <v>1829</v>
      </c>
      <c r="B350" t="s">
        <v>29</v>
      </c>
      <c r="C350">
        <v>0</v>
      </c>
      <c r="D350" t="s">
        <v>380</v>
      </c>
      <c r="E350" t="s">
        <v>2677</v>
      </c>
      <c r="F350">
        <v>27</v>
      </c>
      <c r="G350">
        <v>4100000</v>
      </c>
      <c r="H350">
        <v>4100000</v>
      </c>
      <c r="I350">
        <v>4100000</v>
      </c>
      <c r="J350">
        <v>4100000</v>
      </c>
      <c r="K350" t="s">
        <v>7</v>
      </c>
      <c r="L350">
        <v>0</v>
      </c>
      <c r="M350">
        <v>0</v>
      </c>
    </row>
    <row r="351" spans="1:13" ht="15" customHeight="1" x14ac:dyDescent="0.25">
      <c r="A351" t="s">
        <v>2059</v>
      </c>
      <c r="B351" t="s">
        <v>31</v>
      </c>
      <c r="C351" t="s">
        <v>403</v>
      </c>
      <c r="D351" t="s">
        <v>380</v>
      </c>
      <c r="E351" t="s">
        <v>2677</v>
      </c>
      <c r="F351">
        <v>22</v>
      </c>
      <c r="G351">
        <v>888333</v>
      </c>
      <c r="H351" t="s">
        <v>8</v>
      </c>
      <c r="I351">
        <v>0</v>
      </c>
      <c r="J351">
        <v>0</v>
      </c>
      <c r="K351">
        <v>0</v>
      </c>
      <c r="L351">
        <v>0</v>
      </c>
      <c r="M351">
        <v>0</v>
      </c>
    </row>
    <row r="352" spans="1:13" ht="15" customHeight="1" x14ac:dyDescent="0.25">
      <c r="A352" t="s">
        <v>2575</v>
      </c>
      <c r="B352" t="s">
        <v>25</v>
      </c>
      <c r="C352" t="s">
        <v>386</v>
      </c>
      <c r="D352" t="s">
        <v>2440</v>
      </c>
      <c r="E352" t="s">
        <v>2446</v>
      </c>
      <c r="F352">
        <v>20</v>
      </c>
      <c r="G352">
        <v>756667</v>
      </c>
      <c r="H352">
        <v>756667</v>
      </c>
      <c r="I352">
        <v>756667</v>
      </c>
      <c r="J352" t="s">
        <v>8</v>
      </c>
      <c r="K352">
        <v>0</v>
      </c>
      <c r="L352">
        <v>0</v>
      </c>
      <c r="M352">
        <v>0</v>
      </c>
    </row>
    <row r="353" spans="1:13" ht="15" customHeight="1" x14ac:dyDescent="0.25">
      <c r="A353" t="s">
        <v>2626</v>
      </c>
      <c r="B353" t="s">
        <v>20</v>
      </c>
      <c r="C353" t="s">
        <v>386</v>
      </c>
      <c r="D353" t="s">
        <v>2444</v>
      </c>
      <c r="E353" t="s">
        <v>2446</v>
      </c>
      <c r="F353">
        <v>20</v>
      </c>
      <c r="G353">
        <v>925000</v>
      </c>
      <c r="H353">
        <v>925000</v>
      </c>
      <c r="I353">
        <v>925000</v>
      </c>
      <c r="J353" t="s">
        <v>8</v>
      </c>
      <c r="K353">
        <v>0</v>
      </c>
      <c r="L353">
        <v>0</v>
      </c>
      <c r="M353">
        <v>0</v>
      </c>
    </row>
    <row r="354" spans="1:13" ht="15" customHeight="1" x14ac:dyDescent="0.25">
      <c r="A354" t="s">
        <v>2598</v>
      </c>
      <c r="B354" t="s">
        <v>33</v>
      </c>
      <c r="C354" t="s">
        <v>386</v>
      </c>
      <c r="D354" t="s">
        <v>379</v>
      </c>
      <c r="E354" t="s">
        <v>2690</v>
      </c>
      <c r="F354">
        <v>22</v>
      </c>
      <c r="G354">
        <v>800000</v>
      </c>
      <c r="H354">
        <v>800000</v>
      </c>
      <c r="I354" t="s">
        <v>8</v>
      </c>
      <c r="J354">
        <v>0</v>
      </c>
      <c r="K354">
        <v>0</v>
      </c>
      <c r="L354">
        <v>0</v>
      </c>
      <c r="M354">
        <v>0</v>
      </c>
    </row>
    <row r="355" spans="1:13" ht="15" customHeight="1" x14ac:dyDescent="0.25">
      <c r="A355" t="s">
        <v>2157</v>
      </c>
      <c r="B355" t="s">
        <v>63</v>
      </c>
      <c r="C355">
        <v>0</v>
      </c>
      <c r="D355" t="s">
        <v>2679</v>
      </c>
      <c r="E355" t="s">
        <v>2677</v>
      </c>
      <c r="F355">
        <v>23</v>
      </c>
      <c r="G355">
        <v>4450000</v>
      </c>
      <c r="H355">
        <v>4450000</v>
      </c>
      <c r="I355">
        <v>4450000</v>
      </c>
      <c r="J355">
        <v>4450000</v>
      </c>
      <c r="K355">
        <v>4450000</v>
      </c>
      <c r="L355">
        <v>4450000</v>
      </c>
      <c r="M355" t="s">
        <v>7</v>
      </c>
    </row>
    <row r="356" spans="1:13" ht="15" customHeight="1" x14ac:dyDescent="0.25">
      <c r="A356" t="s">
        <v>2722</v>
      </c>
      <c r="B356" t="s">
        <v>11</v>
      </c>
      <c r="C356">
        <v>0</v>
      </c>
      <c r="D356" t="s">
        <v>2470</v>
      </c>
      <c r="E356" t="s">
        <v>2439</v>
      </c>
      <c r="F356">
        <v>27</v>
      </c>
      <c r="G356">
        <v>3375000</v>
      </c>
      <c r="H356">
        <v>3375000</v>
      </c>
      <c r="I356" t="s">
        <v>7</v>
      </c>
      <c r="J356">
        <v>0</v>
      </c>
      <c r="K356">
        <v>0</v>
      </c>
      <c r="L356">
        <v>0</v>
      </c>
      <c r="M356">
        <v>0</v>
      </c>
    </row>
    <row r="357" spans="1:13" ht="15" customHeight="1" x14ac:dyDescent="0.25">
      <c r="A357" t="s">
        <v>2369</v>
      </c>
      <c r="B357" t="s">
        <v>135</v>
      </c>
      <c r="C357">
        <v>0</v>
      </c>
      <c r="D357" t="s">
        <v>73</v>
      </c>
      <c r="E357" t="s">
        <v>2677</v>
      </c>
      <c r="F357">
        <v>28</v>
      </c>
      <c r="G357">
        <v>3850000</v>
      </c>
      <c r="H357" t="s">
        <v>7</v>
      </c>
      <c r="I357">
        <v>0</v>
      </c>
      <c r="J357">
        <v>0</v>
      </c>
      <c r="K357">
        <v>0</v>
      </c>
      <c r="L357">
        <v>0</v>
      </c>
      <c r="M357">
        <v>0</v>
      </c>
    </row>
    <row r="358" spans="1:13" ht="15" customHeight="1" x14ac:dyDescent="0.25">
      <c r="A358" t="s">
        <v>1749</v>
      </c>
      <c r="B358" t="s">
        <v>25</v>
      </c>
      <c r="C358" t="s">
        <v>386</v>
      </c>
      <c r="D358" t="s">
        <v>73</v>
      </c>
      <c r="E358" t="s">
        <v>2446</v>
      </c>
      <c r="F358">
        <v>23</v>
      </c>
      <c r="G358">
        <v>720000</v>
      </c>
      <c r="H358" t="s">
        <v>8</v>
      </c>
      <c r="I358">
        <v>0</v>
      </c>
      <c r="J358">
        <v>0</v>
      </c>
      <c r="K358">
        <v>0</v>
      </c>
      <c r="L358">
        <v>0</v>
      </c>
      <c r="M358">
        <v>0</v>
      </c>
    </row>
    <row r="359" spans="1:13" ht="15" customHeight="1" x14ac:dyDescent="0.25">
      <c r="A359" t="s">
        <v>2118</v>
      </c>
      <c r="B359" t="s">
        <v>6</v>
      </c>
      <c r="C359" t="s">
        <v>381</v>
      </c>
      <c r="D359" t="s">
        <v>2441</v>
      </c>
      <c r="E359" t="s">
        <v>2439</v>
      </c>
      <c r="F359">
        <v>35</v>
      </c>
      <c r="G359">
        <v>3150000</v>
      </c>
      <c r="H359" t="s">
        <v>7</v>
      </c>
      <c r="I359">
        <v>0</v>
      </c>
      <c r="J359">
        <v>0</v>
      </c>
      <c r="K359">
        <v>0</v>
      </c>
      <c r="L359">
        <v>0</v>
      </c>
      <c r="M359">
        <v>0</v>
      </c>
    </row>
    <row r="360" spans="1:13" x14ac:dyDescent="0.25">
      <c r="A360" t="s">
        <v>2571</v>
      </c>
      <c r="B360" t="s">
        <v>25</v>
      </c>
      <c r="C360" t="s">
        <v>372</v>
      </c>
      <c r="D360" t="s">
        <v>2438</v>
      </c>
      <c r="E360" t="s">
        <v>2439</v>
      </c>
      <c r="F360">
        <v>29</v>
      </c>
      <c r="G360">
        <v>5500000</v>
      </c>
      <c r="H360">
        <v>5500000</v>
      </c>
      <c r="I360">
        <v>5500000</v>
      </c>
      <c r="J360">
        <v>5500000</v>
      </c>
      <c r="K360">
        <v>5500000</v>
      </c>
      <c r="L360" t="s">
        <v>7</v>
      </c>
      <c r="M360">
        <v>0</v>
      </c>
    </row>
    <row r="361" spans="1:13" ht="15" customHeight="1" x14ac:dyDescent="0.25">
      <c r="A361" t="s">
        <v>2657</v>
      </c>
      <c r="B361" t="s">
        <v>27</v>
      </c>
      <c r="C361">
        <v>0</v>
      </c>
      <c r="D361" t="s">
        <v>2444</v>
      </c>
      <c r="E361" t="s">
        <v>2446</v>
      </c>
      <c r="F361">
        <v>25</v>
      </c>
      <c r="G361">
        <v>700000</v>
      </c>
      <c r="H361" t="s">
        <v>8</v>
      </c>
      <c r="I361">
        <v>0</v>
      </c>
      <c r="J361">
        <v>0</v>
      </c>
      <c r="K361">
        <v>0</v>
      </c>
      <c r="L361">
        <v>0</v>
      </c>
      <c r="M361">
        <v>0</v>
      </c>
    </row>
    <row r="362" spans="1:13" ht="15" customHeight="1" x14ac:dyDescent="0.25">
      <c r="A362" t="s">
        <v>2797</v>
      </c>
      <c r="B362" t="s">
        <v>34</v>
      </c>
      <c r="C362" t="s">
        <v>420</v>
      </c>
      <c r="D362" t="s">
        <v>2445</v>
      </c>
      <c r="E362" t="s">
        <v>2439</v>
      </c>
      <c r="F362">
        <v>33</v>
      </c>
      <c r="G362">
        <v>6000000</v>
      </c>
      <c r="H362">
        <v>6000000</v>
      </c>
      <c r="I362" t="s">
        <v>7</v>
      </c>
      <c r="J362">
        <v>0</v>
      </c>
      <c r="K362">
        <v>0</v>
      </c>
      <c r="L362">
        <v>0</v>
      </c>
      <c r="M362">
        <v>0</v>
      </c>
    </row>
    <row r="363" spans="1:13" ht="15" customHeight="1" x14ac:dyDescent="0.25">
      <c r="A363" t="s">
        <v>2056</v>
      </c>
      <c r="B363" t="s">
        <v>31</v>
      </c>
      <c r="C363">
        <v>0</v>
      </c>
      <c r="D363" t="s">
        <v>380</v>
      </c>
      <c r="E363" t="s">
        <v>2677</v>
      </c>
      <c r="F363">
        <v>26</v>
      </c>
      <c r="G363">
        <v>3100000</v>
      </c>
      <c r="H363" t="s">
        <v>7</v>
      </c>
      <c r="I363">
        <v>0</v>
      </c>
      <c r="J363">
        <v>0</v>
      </c>
      <c r="K363">
        <v>0</v>
      </c>
      <c r="L363">
        <v>0</v>
      </c>
      <c r="M363">
        <v>0</v>
      </c>
    </row>
    <row r="364" spans="1:13" ht="15" customHeight="1" x14ac:dyDescent="0.25">
      <c r="A364" t="s">
        <v>2081</v>
      </c>
      <c r="B364" t="s">
        <v>35</v>
      </c>
      <c r="C364">
        <v>0</v>
      </c>
      <c r="D364" t="s">
        <v>2441</v>
      </c>
      <c r="E364" t="s">
        <v>2439</v>
      </c>
      <c r="F364">
        <v>23</v>
      </c>
      <c r="G364">
        <v>6000000</v>
      </c>
      <c r="H364">
        <v>6000000</v>
      </c>
      <c r="I364">
        <v>6000000</v>
      </c>
      <c r="J364">
        <v>6000000</v>
      </c>
      <c r="K364">
        <v>6000000</v>
      </c>
      <c r="L364">
        <v>6000000</v>
      </c>
      <c r="M364" t="s">
        <v>7</v>
      </c>
    </row>
    <row r="365" spans="1:13" ht="15" customHeight="1" x14ac:dyDescent="0.25">
      <c r="A365" t="s">
        <v>1443</v>
      </c>
      <c r="B365" t="s">
        <v>17</v>
      </c>
      <c r="C365" t="s">
        <v>386</v>
      </c>
      <c r="D365" t="s">
        <v>2452</v>
      </c>
      <c r="E365" t="s">
        <v>2446</v>
      </c>
      <c r="F365">
        <v>23</v>
      </c>
      <c r="G365">
        <v>925000</v>
      </c>
      <c r="H365" t="s">
        <v>8</v>
      </c>
      <c r="I365">
        <v>0</v>
      </c>
      <c r="J365">
        <v>0</v>
      </c>
      <c r="K365">
        <v>0</v>
      </c>
      <c r="L365">
        <v>0</v>
      </c>
      <c r="M365">
        <v>0</v>
      </c>
    </row>
    <row r="366" spans="1:13" ht="15" customHeight="1" x14ac:dyDescent="0.25">
      <c r="A366" t="s">
        <v>2825</v>
      </c>
      <c r="B366" t="s">
        <v>10</v>
      </c>
      <c r="C366">
        <v>0</v>
      </c>
      <c r="D366" t="s">
        <v>73</v>
      </c>
      <c r="E366" t="s">
        <v>2677</v>
      </c>
      <c r="F366">
        <v>22</v>
      </c>
      <c r="G366">
        <v>10000000</v>
      </c>
      <c r="H366">
        <v>10000000</v>
      </c>
      <c r="I366">
        <v>10000000</v>
      </c>
      <c r="J366">
        <v>10000000</v>
      </c>
      <c r="K366">
        <v>10000000</v>
      </c>
      <c r="L366">
        <v>10000000</v>
      </c>
      <c r="M366">
        <v>10000000</v>
      </c>
    </row>
    <row r="367" spans="1:13" x14ac:dyDescent="0.25">
      <c r="A367" t="s">
        <v>2783</v>
      </c>
      <c r="B367" t="s">
        <v>2531</v>
      </c>
      <c r="C367">
        <v>0</v>
      </c>
      <c r="D367" t="s">
        <v>379</v>
      </c>
      <c r="E367" t="s">
        <v>2677</v>
      </c>
      <c r="F367">
        <v>23</v>
      </c>
      <c r="G367">
        <v>7500000</v>
      </c>
      <c r="H367">
        <v>7500000</v>
      </c>
      <c r="I367">
        <v>7500000</v>
      </c>
      <c r="J367">
        <v>7500000</v>
      </c>
      <c r="K367">
        <v>7500000</v>
      </c>
      <c r="L367">
        <v>7500000</v>
      </c>
      <c r="M367" t="s">
        <v>7</v>
      </c>
    </row>
    <row r="368" spans="1:13" ht="15" customHeight="1" x14ac:dyDescent="0.25">
      <c r="A368" t="s">
        <v>2778</v>
      </c>
      <c r="B368" t="s">
        <v>23</v>
      </c>
      <c r="C368">
        <v>0</v>
      </c>
      <c r="D368" t="s">
        <v>380</v>
      </c>
      <c r="E368" t="s">
        <v>2677</v>
      </c>
      <c r="F368">
        <v>29</v>
      </c>
      <c r="G368">
        <v>3750000</v>
      </c>
      <c r="H368">
        <v>3750000</v>
      </c>
      <c r="I368">
        <v>3750000</v>
      </c>
      <c r="J368" t="s">
        <v>7</v>
      </c>
      <c r="K368">
        <v>0</v>
      </c>
      <c r="L368">
        <v>0</v>
      </c>
      <c r="M368">
        <v>0</v>
      </c>
    </row>
    <row r="369" spans="1:13" ht="15" customHeight="1" x14ac:dyDescent="0.25">
      <c r="A369" t="s">
        <v>2827</v>
      </c>
      <c r="B369" t="s">
        <v>63</v>
      </c>
      <c r="C369" t="s">
        <v>420</v>
      </c>
      <c r="D369" t="s">
        <v>380</v>
      </c>
      <c r="E369" t="s">
        <v>2677</v>
      </c>
      <c r="F369">
        <v>28</v>
      </c>
      <c r="G369">
        <v>8250000</v>
      </c>
      <c r="H369">
        <v>8250000</v>
      </c>
      <c r="I369">
        <v>8250000</v>
      </c>
      <c r="J369">
        <v>8250000</v>
      </c>
      <c r="K369">
        <v>8250000</v>
      </c>
      <c r="L369">
        <v>8250000</v>
      </c>
      <c r="M369">
        <v>8250000</v>
      </c>
    </row>
    <row r="370" spans="1:13" ht="15" customHeight="1" x14ac:dyDescent="0.25">
      <c r="A370" t="s">
        <v>1976</v>
      </c>
      <c r="B370" t="s">
        <v>10</v>
      </c>
      <c r="C370">
        <v>0</v>
      </c>
      <c r="D370" t="s">
        <v>93</v>
      </c>
      <c r="E370" t="s">
        <v>2690</v>
      </c>
      <c r="F370">
        <v>24</v>
      </c>
      <c r="G370">
        <v>700000</v>
      </c>
      <c r="H370" t="s">
        <v>8</v>
      </c>
      <c r="I370">
        <v>0</v>
      </c>
      <c r="J370">
        <v>0</v>
      </c>
      <c r="K370">
        <v>0</v>
      </c>
      <c r="L370">
        <v>0</v>
      </c>
      <c r="M370">
        <v>0</v>
      </c>
    </row>
    <row r="371" spans="1:13" ht="15" customHeight="1" x14ac:dyDescent="0.25">
      <c r="A371" t="s">
        <v>2554</v>
      </c>
      <c r="B371" t="s">
        <v>34</v>
      </c>
      <c r="C371" t="s">
        <v>386</v>
      </c>
      <c r="D371" t="s">
        <v>2444</v>
      </c>
      <c r="E371" t="s">
        <v>2446</v>
      </c>
      <c r="F371">
        <v>21</v>
      </c>
      <c r="G371">
        <v>850000</v>
      </c>
      <c r="H371">
        <v>850000</v>
      </c>
      <c r="I371" t="s">
        <v>8</v>
      </c>
      <c r="J371">
        <v>0</v>
      </c>
      <c r="K371">
        <v>0</v>
      </c>
      <c r="L371">
        <v>0</v>
      </c>
      <c r="M371">
        <v>0</v>
      </c>
    </row>
    <row r="372" spans="1:13" ht="15" customHeight="1" x14ac:dyDescent="0.25">
      <c r="A372" t="s">
        <v>1854</v>
      </c>
      <c r="B372" t="s">
        <v>2503</v>
      </c>
      <c r="C372">
        <v>0</v>
      </c>
      <c r="D372" t="s">
        <v>73</v>
      </c>
      <c r="E372" t="s">
        <v>2677</v>
      </c>
      <c r="F372">
        <v>30</v>
      </c>
      <c r="G372">
        <v>3500000</v>
      </c>
      <c r="H372">
        <v>3500000</v>
      </c>
      <c r="I372">
        <v>3500000</v>
      </c>
      <c r="J372">
        <v>3500000</v>
      </c>
      <c r="K372" t="s">
        <v>7</v>
      </c>
      <c r="L372">
        <v>0</v>
      </c>
      <c r="M372">
        <v>0</v>
      </c>
    </row>
    <row r="373" spans="1:13" ht="15" customHeight="1" x14ac:dyDescent="0.25">
      <c r="A373" t="s">
        <v>1798</v>
      </c>
      <c r="B373" t="s">
        <v>28</v>
      </c>
      <c r="C373">
        <v>0</v>
      </c>
      <c r="D373" t="s">
        <v>127</v>
      </c>
      <c r="E373" t="s">
        <v>2439</v>
      </c>
      <c r="F373">
        <v>34</v>
      </c>
      <c r="G373">
        <v>2000000</v>
      </c>
      <c r="H373" t="s">
        <v>7</v>
      </c>
      <c r="I373">
        <v>0</v>
      </c>
      <c r="J373">
        <v>0</v>
      </c>
      <c r="K373">
        <v>0</v>
      </c>
      <c r="L373">
        <v>0</v>
      </c>
      <c r="M373">
        <v>0</v>
      </c>
    </row>
    <row r="374" spans="1:13" ht="15" customHeight="1" x14ac:dyDescent="0.25">
      <c r="A374" t="s">
        <v>2777</v>
      </c>
      <c r="B374" t="s">
        <v>23</v>
      </c>
      <c r="C374">
        <v>0</v>
      </c>
      <c r="D374" t="s">
        <v>379</v>
      </c>
      <c r="E374" t="s">
        <v>2677</v>
      </c>
      <c r="F374">
        <v>28</v>
      </c>
      <c r="G374">
        <v>6250000</v>
      </c>
      <c r="H374">
        <v>6250000</v>
      </c>
      <c r="I374">
        <v>6250000</v>
      </c>
      <c r="J374">
        <v>6250000</v>
      </c>
      <c r="K374">
        <v>6250000</v>
      </c>
      <c r="L374">
        <v>6250000</v>
      </c>
      <c r="M374">
        <v>6250000</v>
      </c>
    </row>
    <row r="375" spans="1:13" ht="15" customHeight="1" x14ac:dyDescent="0.25">
      <c r="A375" t="s">
        <v>2564</v>
      </c>
      <c r="B375" t="s">
        <v>26</v>
      </c>
      <c r="C375" t="s">
        <v>386</v>
      </c>
      <c r="D375" t="s">
        <v>88</v>
      </c>
      <c r="E375" t="s">
        <v>2690</v>
      </c>
      <c r="F375">
        <v>20</v>
      </c>
      <c r="G375">
        <v>925000</v>
      </c>
      <c r="H375">
        <v>925000</v>
      </c>
      <c r="I375">
        <v>925000</v>
      </c>
      <c r="J375" t="s">
        <v>8</v>
      </c>
      <c r="K375">
        <v>0</v>
      </c>
      <c r="L375">
        <v>0</v>
      </c>
      <c r="M375">
        <v>0</v>
      </c>
    </row>
    <row r="376" spans="1:13" ht="15" customHeight="1" x14ac:dyDescent="0.25">
      <c r="A376" t="s">
        <v>2527</v>
      </c>
      <c r="B376" t="s">
        <v>17</v>
      </c>
      <c r="C376">
        <v>0</v>
      </c>
      <c r="D376" t="s">
        <v>2440</v>
      </c>
      <c r="E376" t="s">
        <v>2446</v>
      </c>
      <c r="F376">
        <v>26</v>
      </c>
      <c r="G376">
        <v>700000</v>
      </c>
      <c r="H376" t="s">
        <v>7</v>
      </c>
      <c r="I376">
        <v>0</v>
      </c>
      <c r="J376">
        <v>0</v>
      </c>
      <c r="K376">
        <v>0</v>
      </c>
      <c r="L376">
        <v>0</v>
      </c>
      <c r="M376">
        <v>0</v>
      </c>
    </row>
    <row r="377" spans="1:13" ht="15" customHeight="1" x14ac:dyDescent="0.25">
      <c r="A377" t="s">
        <v>2389</v>
      </c>
      <c r="B377" t="s">
        <v>135</v>
      </c>
      <c r="C377" t="s">
        <v>386</v>
      </c>
      <c r="D377" t="s">
        <v>88</v>
      </c>
      <c r="E377" t="s">
        <v>2690</v>
      </c>
      <c r="F377">
        <v>19</v>
      </c>
      <c r="G377">
        <v>903333</v>
      </c>
      <c r="H377">
        <v>903333</v>
      </c>
      <c r="I377">
        <v>903333</v>
      </c>
      <c r="J377" t="s">
        <v>8</v>
      </c>
      <c r="K377">
        <v>0</v>
      </c>
      <c r="L377">
        <v>0</v>
      </c>
      <c r="M377">
        <v>0</v>
      </c>
    </row>
    <row r="378" spans="1:13" ht="15" customHeight="1" x14ac:dyDescent="0.25">
      <c r="A378" t="s">
        <v>2897</v>
      </c>
      <c r="B378" t="s">
        <v>30</v>
      </c>
      <c r="C378" t="s">
        <v>388</v>
      </c>
      <c r="D378" t="s">
        <v>127</v>
      </c>
      <c r="E378" t="s">
        <v>389</v>
      </c>
      <c r="F378">
        <v>19</v>
      </c>
      <c r="G378">
        <v>810000</v>
      </c>
      <c r="H378">
        <v>810000</v>
      </c>
      <c r="I378">
        <v>810000</v>
      </c>
      <c r="J378" t="s">
        <v>8</v>
      </c>
      <c r="K378">
        <v>0</v>
      </c>
      <c r="L378">
        <v>0</v>
      </c>
      <c r="M378">
        <v>0</v>
      </c>
    </row>
    <row r="379" spans="1:13" ht="15" customHeight="1" x14ac:dyDescent="0.25">
      <c r="A379" t="s">
        <v>2712</v>
      </c>
      <c r="B379" t="s">
        <v>135</v>
      </c>
      <c r="C379" t="s">
        <v>2713</v>
      </c>
      <c r="D379" t="s">
        <v>379</v>
      </c>
      <c r="E379" t="s">
        <v>2677</v>
      </c>
      <c r="F379">
        <v>37</v>
      </c>
      <c r="G379">
        <v>1500000</v>
      </c>
      <c r="H379" t="s">
        <v>7</v>
      </c>
      <c r="I379">
        <v>0</v>
      </c>
      <c r="J379">
        <v>0</v>
      </c>
      <c r="K379">
        <v>0</v>
      </c>
      <c r="L379">
        <v>0</v>
      </c>
      <c r="M379">
        <v>0</v>
      </c>
    </row>
    <row r="380" spans="1:13" ht="15" customHeight="1" x14ac:dyDescent="0.25">
      <c r="A380" t="s">
        <v>1533</v>
      </c>
      <c r="B380" t="s">
        <v>27</v>
      </c>
      <c r="C380">
        <v>0</v>
      </c>
      <c r="D380" t="s">
        <v>2445</v>
      </c>
      <c r="E380" t="s">
        <v>2446</v>
      </c>
      <c r="F380">
        <v>23</v>
      </c>
      <c r="G380">
        <v>700000</v>
      </c>
      <c r="H380" t="s">
        <v>8</v>
      </c>
      <c r="I380">
        <v>0</v>
      </c>
      <c r="J380">
        <v>0</v>
      </c>
      <c r="K380">
        <v>0</v>
      </c>
      <c r="L380">
        <v>0</v>
      </c>
      <c r="M380">
        <v>0</v>
      </c>
    </row>
    <row r="381" spans="1:13" ht="15" customHeight="1" x14ac:dyDescent="0.25">
      <c r="A381" t="s">
        <v>1606</v>
      </c>
      <c r="B381" t="s">
        <v>33</v>
      </c>
      <c r="C381" t="s">
        <v>386</v>
      </c>
      <c r="D381" t="s">
        <v>2689</v>
      </c>
      <c r="E381" t="s">
        <v>2690</v>
      </c>
      <c r="F381">
        <v>23</v>
      </c>
      <c r="G381">
        <v>925000</v>
      </c>
      <c r="H381" t="s">
        <v>8</v>
      </c>
      <c r="I381">
        <v>0</v>
      </c>
      <c r="J381">
        <v>0</v>
      </c>
      <c r="K381">
        <v>0</v>
      </c>
      <c r="L381">
        <v>0</v>
      </c>
      <c r="M381">
        <v>0</v>
      </c>
    </row>
    <row r="382" spans="1:13" ht="15" customHeight="1" x14ac:dyDescent="0.25">
      <c r="A382" t="s">
        <v>1594</v>
      </c>
      <c r="B382" t="s">
        <v>27</v>
      </c>
      <c r="C382">
        <v>0</v>
      </c>
      <c r="D382" t="s">
        <v>2494</v>
      </c>
      <c r="E382" t="s">
        <v>2439</v>
      </c>
      <c r="F382">
        <v>29</v>
      </c>
      <c r="G382">
        <v>800000</v>
      </c>
      <c r="H382" t="s">
        <v>7</v>
      </c>
      <c r="I382">
        <v>0</v>
      </c>
      <c r="J382">
        <v>0</v>
      </c>
      <c r="K382">
        <v>0</v>
      </c>
      <c r="L382">
        <v>0</v>
      </c>
      <c r="M382">
        <v>0</v>
      </c>
    </row>
    <row r="383" spans="1:13" ht="15" customHeight="1" x14ac:dyDescent="0.25">
      <c r="A383" t="s">
        <v>2469</v>
      </c>
      <c r="B383" t="s">
        <v>13</v>
      </c>
      <c r="C383" t="s">
        <v>386</v>
      </c>
      <c r="D383" t="s">
        <v>73</v>
      </c>
      <c r="E383" t="s">
        <v>2446</v>
      </c>
      <c r="F383">
        <v>20</v>
      </c>
      <c r="G383">
        <v>894167</v>
      </c>
      <c r="H383">
        <v>894167</v>
      </c>
      <c r="I383">
        <v>894167</v>
      </c>
      <c r="J383" t="s">
        <v>8</v>
      </c>
      <c r="K383">
        <v>0</v>
      </c>
      <c r="L383">
        <v>0</v>
      </c>
      <c r="M383">
        <v>0</v>
      </c>
    </row>
    <row r="384" spans="1:13" ht="15" customHeight="1" x14ac:dyDescent="0.25">
      <c r="A384" t="s">
        <v>1432</v>
      </c>
      <c r="B384" t="s">
        <v>17</v>
      </c>
      <c r="C384" t="s">
        <v>381</v>
      </c>
      <c r="D384" t="s">
        <v>2445</v>
      </c>
      <c r="E384" t="s">
        <v>2439</v>
      </c>
      <c r="F384">
        <v>35</v>
      </c>
      <c r="G384">
        <v>4250000</v>
      </c>
      <c r="H384" t="s">
        <v>7</v>
      </c>
      <c r="I384">
        <v>0</v>
      </c>
      <c r="J384">
        <v>0</v>
      </c>
      <c r="K384">
        <v>0</v>
      </c>
      <c r="L384">
        <v>0</v>
      </c>
      <c r="M384">
        <v>0</v>
      </c>
    </row>
    <row r="385" spans="1:13" ht="15" customHeight="1" x14ac:dyDescent="0.25">
      <c r="A385" t="s">
        <v>2753</v>
      </c>
      <c r="B385" t="s">
        <v>21</v>
      </c>
      <c r="C385">
        <v>0</v>
      </c>
      <c r="D385" t="s">
        <v>73</v>
      </c>
      <c r="E385" t="s">
        <v>2439</v>
      </c>
      <c r="F385">
        <v>22</v>
      </c>
      <c r="G385" t="s">
        <v>8</v>
      </c>
      <c r="H385">
        <v>0</v>
      </c>
      <c r="I385">
        <v>0</v>
      </c>
      <c r="J385">
        <v>0</v>
      </c>
      <c r="K385">
        <v>0</v>
      </c>
      <c r="L385">
        <v>0</v>
      </c>
      <c r="M385">
        <v>0</v>
      </c>
    </row>
    <row r="386" spans="1:13" ht="15" customHeight="1" x14ac:dyDescent="0.25">
      <c r="A386" t="s">
        <v>2743</v>
      </c>
      <c r="B386" t="s">
        <v>6</v>
      </c>
      <c r="C386" t="s">
        <v>386</v>
      </c>
      <c r="D386" t="s">
        <v>127</v>
      </c>
      <c r="E386" t="s">
        <v>2446</v>
      </c>
      <c r="F386">
        <v>20</v>
      </c>
      <c r="G386">
        <v>878889</v>
      </c>
      <c r="H386">
        <v>878889</v>
      </c>
      <c r="I386">
        <v>878889</v>
      </c>
      <c r="J386" t="s">
        <v>8</v>
      </c>
      <c r="K386">
        <v>0</v>
      </c>
      <c r="L386">
        <v>0</v>
      </c>
      <c r="M386">
        <v>0</v>
      </c>
    </row>
    <row r="387" spans="1:13" ht="15" customHeight="1" x14ac:dyDescent="0.25">
      <c r="A387" t="s">
        <v>2329</v>
      </c>
      <c r="B387" t="s">
        <v>34</v>
      </c>
      <c r="C387" t="s">
        <v>372</v>
      </c>
      <c r="D387" t="s">
        <v>2442</v>
      </c>
      <c r="E387" t="s">
        <v>2439</v>
      </c>
      <c r="F387">
        <v>34</v>
      </c>
      <c r="G387">
        <v>6000000</v>
      </c>
      <c r="H387">
        <v>6000000</v>
      </c>
      <c r="I387">
        <v>6000000</v>
      </c>
      <c r="J387" t="s">
        <v>7</v>
      </c>
      <c r="K387">
        <v>0</v>
      </c>
      <c r="L387">
        <v>0</v>
      </c>
      <c r="M387">
        <v>0</v>
      </c>
    </row>
    <row r="388" spans="1:13" ht="15" customHeight="1" x14ac:dyDescent="0.25">
      <c r="A388" t="s">
        <v>1552</v>
      </c>
      <c r="B388" t="s">
        <v>32</v>
      </c>
      <c r="C388">
        <v>0</v>
      </c>
      <c r="D388" t="s">
        <v>2442</v>
      </c>
      <c r="E388" t="s">
        <v>2439</v>
      </c>
      <c r="F388">
        <v>24</v>
      </c>
      <c r="G388" t="s">
        <v>8</v>
      </c>
      <c r="H388">
        <v>0</v>
      </c>
      <c r="I388">
        <v>0</v>
      </c>
      <c r="J388">
        <v>0</v>
      </c>
      <c r="K388">
        <v>0</v>
      </c>
      <c r="L388">
        <v>0</v>
      </c>
      <c r="M388">
        <v>0</v>
      </c>
    </row>
    <row r="389" spans="1:13" ht="15" customHeight="1" x14ac:dyDescent="0.25">
      <c r="A389" t="s">
        <v>1498</v>
      </c>
      <c r="B389" t="s">
        <v>22</v>
      </c>
      <c r="C389" t="s">
        <v>386</v>
      </c>
      <c r="D389" t="s">
        <v>2448</v>
      </c>
      <c r="E389" t="s">
        <v>2446</v>
      </c>
      <c r="F389">
        <v>23</v>
      </c>
      <c r="G389">
        <v>1350000</v>
      </c>
      <c r="H389" t="s">
        <v>8</v>
      </c>
      <c r="I389">
        <v>0</v>
      </c>
      <c r="J389">
        <v>0</v>
      </c>
      <c r="K389">
        <v>0</v>
      </c>
      <c r="L389">
        <v>0</v>
      </c>
      <c r="M389">
        <v>0</v>
      </c>
    </row>
    <row r="390" spans="1:13" ht="15" customHeight="1" x14ac:dyDescent="0.25">
      <c r="A390" t="s">
        <v>2273</v>
      </c>
      <c r="B390" t="s">
        <v>20</v>
      </c>
      <c r="C390" t="s">
        <v>386</v>
      </c>
      <c r="D390" t="s">
        <v>73</v>
      </c>
      <c r="E390" t="s">
        <v>2446</v>
      </c>
      <c r="F390">
        <v>22</v>
      </c>
      <c r="G390">
        <v>925000</v>
      </c>
      <c r="H390" t="s">
        <v>8</v>
      </c>
      <c r="I390">
        <v>0</v>
      </c>
      <c r="J390">
        <v>0</v>
      </c>
      <c r="K390">
        <v>0</v>
      </c>
      <c r="L390">
        <v>0</v>
      </c>
      <c r="M390">
        <v>0</v>
      </c>
    </row>
    <row r="391" spans="1:13" ht="15" customHeight="1" x14ac:dyDescent="0.25">
      <c r="A391" t="s">
        <v>2050</v>
      </c>
      <c r="B391" t="s">
        <v>31</v>
      </c>
      <c r="C391">
        <v>0</v>
      </c>
      <c r="D391" t="s">
        <v>2696</v>
      </c>
      <c r="E391" t="s">
        <v>2677</v>
      </c>
      <c r="F391">
        <v>23</v>
      </c>
      <c r="G391">
        <v>900000</v>
      </c>
      <c r="H391" t="s">
        <v>8</v>
      </c>
      <c r="I391">
        <v>0</v>
      </c>
      <c r="J391">
        <v>0</v>
      </c>
      <c r="K391">
        <v>0</v>
      </c>
      <c r="L391">
        <v>0</v>
      </c>
      <c r="M391">
        <v>0</v>
      </c>
    </row>
    <row r="392" spans="1:13" ht="15" customHeight="1" x14ac:dyDescent="0.25">
      <c r="A392" t="s">
        <v>2512</v>
      </c>
      <c r="B392" t="s">
        <v>23</v>
      </c>
      <c r="C392" t="s">
        <v>386</v>
      </c>
      <c r="D392" t="s">
        <v>379</v>
      </c>
      <c r="E392" t="s">
        <v>2677</v>
      </c>
      <c r="F392">
        <v>21</v>
      </c>
      <c r="G392">
        <v>1491666</v>
      </c>
      <c r="H392">
        <v>1491666</v>
      </c>
      <c r="I392" t="s">
        <v>8</v>
      </c>
      <c r="J392">
        <v>0</v>
      </c>
      <c r="K392">
        <v>0</v>
      </c>
      <c r="L392">
        <v>0</v>
      </c>
      <c r="M392">
        <v>0</v>
      </c>
    </row>
    <row r="393" spans="1:13" ht="15" customHeight="1" x14ac:dyDescent="0.25">
      <c r="A393" t="s">
        <v>2751</v>
      </c>
      <c r="B393" t="s">
        <v>20</v>
      </c>
      <c r="C393" t="s">
        <v>386</v>
      </c>
      <c r="D393" t="s">
        <v>2442</v>
      </c>
      <c r="E393" t="s">
        <v>2446</v>
      </c>
      <c r="F393">
        <v>19</v>
      </c>
      <c r="G393">
        <v>925000</v>
      </c>
      <c r="H393">
        <v>925000</v>
      </c>
      <c r="I393">
        <v>925000</v>
      </c>
      <c r="J393" t="s">
        <v>8</v>
      </c>
      <c r="K393">
        <v>0</v>
      </c>
      <c r="L393">
        <v>0</v>
      </c>
      <c r="M393">
        <v>0</v>
      </c>
    </row>
    <row r="394" spans="1:13" ht="15" customHeight="1" x14ac:dyDescent="0.25">
      <c r="A394" t="s">
        <v>1955</v>
      </c>
      <c r="B394" t="s">
        <v>16</v>
      </c>
      <c r="C394">
        <v>0</v>
      </c>
      <c r="D394" t="s">
        <v>73</v>
      </c>
      <c r="E394" t="s">
        <v>2677</v>
      </c>
      <c r="F394">
        <v>25</v>
      </c>
      <c r="G394">
        <v>2200000</v>
      </c>
      <c r="H394" t="s">
        <v>8</v>
      </c>
      <c r="I394">
        <v>0</v>
      </c>
      <c r="J394">
        <v>0</v>
      </c>
      <c r="K394">
        <v>0</v>
      </c>
      <c r="L394">
        <v>0</v>
      </c>
      <c r="M394">
        <v>0</v>
      </c>
    </row>
    <row r="395" spans="1:13" x14ac:dyDescent="0.25">
      <c r="A395" t="s">
        <v>2288</v>
      </c>
      <c r="B395" t="s">
        <v>21</v>
      </c>
      <c r="C395" t="s">
        <v>386</v>
      </c>
      <c r="D395" t="s">
        <v>2445</v>
      </c>
      <c r="E395" t="s">
        <v>2446</v>
      </c>
      <c r="F395">
        <v>22</v>
      </c>
      <c r="G395">
        <v>698333</v>
      </c>
      <c r="H395" t="s">
        <v>8</v>
      </c>
      <c r="I395">
        <v>0</v>
      </c>
      <c r="J395">
        <v>0</v>
      </c>
      <c r="K395">
        <v>0</v>
      </c>
      <c r="L395">
        <v>0</v>
      </c>
      <c r="M395">
        <v>0</v>
      </c>
    </row>
    <row r="396" spans="1:13" x14ac:dyDescent="0.25">
      <c r="A396" t="s">
        <v>2291</v>
      </c>
      <c r="B396" t="s">
        <v>34</v>
      </c>
      <c r="C396">
        <v>0</v>
      </c>
      <c r="D396" t="s">
        <v>2444</v>
      </c>
      <c r="E396" t="s">
        <v>2439</v>
      </c>
      <c r="F396">
        <v>27</v>
      </c>
      <c r="G396">
        <v>850000</v>
      </c>
      <c r="H396" t="s">
        <v>7</v>
      </c>
      <c r="I396">
        <v>0</v>
      </c>
      <c r="J396">
        <v>0</v>
      </c>
      <c r="K396">
        <v>0</v>
      </c>
      <c r="L396">
        <v>0</v>
      </c>
      <c r="M396">
        <v>0</v>
      </c>
    </row>
    <row r="397" spans="1:13" ht="15" customHeight="1" x14ac:dyDescent="0.25">
      <c r="A397" t="s">
        <v>2635</v>
      </c>
      <c r="B397" t="s">
        <v>28</v>
      </c>
      <c r="C397" t="s">
        <v>386</v>
      </c>
      <c r="D397" t="s">
        <v>2440</v>
      </c>
      <c r="E397" t="s">
        <v>2446</v>
      </c>
      <c r="F397">
        <v>19</v>
      </c>
      <c r="G397">
        <v>1425000</v>
      </c>
      <c r="H397">
        <v>1425000</v>
      </c>
      <c r="I397">
        <v>1425000</v>
      </c>
      <c r="J397" t="s">
        <v>8</v>
      </c>
      <c r="K397">
        <v>0</v>
      </c>
      <c r="L397">
        <v>0</v>
      </c>
      <c r="M397">
        <v>0</v>
      </c>
    </row>
    <row r="398" spans="1:13" ht="15" customHeight="1" x14ac:dyDescent="0.25">
      <c r="A398" t="s">
        <v>2173</v>
      </c>
      <c r="B398" t="s">
        <v>63</v>
      </c>
      <c r="C398">
        <v>0</v>
      </c>
      <c r="D398" t="s">
        <v>88</v>
      </c>
      <c r="E398" t="s">
        <v>2690</v>
      </c>
      <c r="F398">
        <v>24</v>
      </c>
      <c r="G398">
        <v>737500</v>
      </c>
      <c r="H398">
        <v>737500</v>
      </c>
      <c r="I398" t="s">
        <v>8</v>
      </c>
      <c r="J398">
        <v>0</v>
      </c>
      <c r="K398">
        <v>0</v>
      </c>
      <c r="L398">
        <v>0</v>
      </c>
      <c r="M398">
        <v>0</v>
      </c>
    </row>
    <row r="399" spans="1:13" ht="15" customHeight="1" x14ac:dyDescent="0.25">
      <c r="A399" t="s">
        <v>2772</v>
      </c>
      <c r="B399" t="s">
        <v>26</v>
      </c>
      <c r="C399">
        <v>0</v>
      </c>
      <c r="D399" t="s">
        <v>88</v>
      </c>
      <c r="E399" t="s">
        <v>2677</v>
      </c>
      <c r="F399">
        <v>27</v>
      </c>
      <c r="G399">
        <v>1850000</v>
      </c>
      <c r="H399" t="s">
        <v>7</v>
      </c>
      <c r="I399">
        <v>0</v>
      </c>
      <c r="J399">
        <v>0</v>
      </c>
      <c r="K399">
        <v>0</v>
      </c>
      <c r="L399">
        <v>0</v>
      </c>
      <c r="M399">
        <v>0</v>
      </c>
    </row>
    <row r="400" spans="1:13" ht="15" customHeight="1" x14ac:dyDescent="0.25">
      <c r="A400" t="s">
        <v>2788</v>
      </c>
      <c r="B400" t="s">
        <v>11</v>
      </c>
      <c r="C400" t="s">
        <v>381</v>
      </c>
      <c r="D400" t="s">
        <v>2444</v>
      </c>
      <c r="E400" t="s">
        <v>2439</v>
      </c>
      <c r="F400">
        <v>27</v>
      </c>
      <c r="G400">
        <v>4833333</v>
      </c>
      <c r="H400" t="s">
        <v>7</v>
      </c>
      <c r="I400">
        <v>0</v>
      </c>
      <c r="J400">
        <v>0</v>
      </c>
      <c r="K400">
        <v>0</v>
      </c>
      <c r="L400">
        <v>0</v>
      </c>
      <c r="M400">
        <v>0</v>
      </c>
    </row>
    <row r="401" spans="1:13" ht="15" customHeight="1" x14ac:dyDescent="0.25">
      <c r="A401" t="s">
        <v>1417</v>
      </c>
      <c r="B401" t="s">
        <v>16</v>
      </c>
      <c r="C401">
        <v>0</v>
      </c>
      <c r="D401" t="s">
        <v>379</v>
      </c>
      <c r="E401" t="s">
        <v>2677</v>
      </c>
      <c r="F401">
        <v>31</v>
      </c>
      <c r="G401">
        <v>737500</v>
      </c>
      <c r="H401">
        <v>737500</v>
      </c>
      <c r="I401" t="s">
        <v>7</v>
      </c>
      <c r="J401">
        <v>0</v>
      </c>
      <c r="K401">
        <v>0</v>
      </c>
      <c r="L401">
        <v>0</v>
      </c>
      <c r="M401">
        <v>0</v>
      </c>
    </row>
    <row r="402" spans="1:13" ht="15" customHeight="1" x14ac:dyDescent="0.25">
      <c r="A402" t="s">
        <v>2898</v>
      </c>
      <c r="B402" t="s">
        <v>2503</v>
      </c>
      <c r="C402" t="s">
        <v>386</v>
      </c>
      <c r="D402" t="s">
        <v>380</v>
      </c>
      <c r="E402" t="s">
        <v>2690</v>
      </c>
      <c r="F402">
        <v>19</v>
      </c>
      <c r="G402">
        <v>894167</v>
      </c>
      <c r="H402">
        <v>894167</v>
      </c>
      <c r="I402">
        <v>894167</v>
      </c>
      <c r="J402" t="s">
        <v>8</v>
      </c>
      <c r="K402">
        <v>0</v>
      </c>
      <c r="L402">
        <v>0</v>
      </c>
      <c r="M402">
        <v>0</v>
      </c>
    </row>
    <row r="403" spans="1:13" ht="15" customHeight="1" x14ac:dyDescent="0.25">
      <c r="A403" t="s">
        <v>2486</v>
      </c>
      <c r="B403" t="s">
        <v>16</v>
      </c>
      <c r="C403" t="s">
        <v>386</v>
      </c>
      <c r="D403" t="s">
        <v>73</v>
      </c>
      <c r="E403" t="s">
        <v>2690</v>
      </c>
      <c r="F403">
        <v>21</v>
      </c>
      <c r="G403">
        <v>925000</v>
      </c>
      <c r="H403">
        <v>925000</v>
      </c>
      <c r="I403">
        <v>925000</v>
      </c>
      <c r="J403" t="s">
        <v>8</v>
      </c>
      <c r="K403">
        <v>0</v>
      </c>
      <c r="L403">
        <v>0</v>
      </c>
      <c r="M403">
        <v>0</v>
      </c>
    </row>
    <row r="404" spans="1:13" ht="15" customHeight="1" x14ac:dyDescent="0.25">
      <c r="A404" t="s">
        <v>2394</v>
      </c>
      <c r="B404" t="s">
        <v>135</v>
      </c>
      <c r="C404" t="s">
        <v>386</v>
      </c>
      <c r="D404" t="s">
        <v>127</v>
      </c>
      <c r="E404" t="s">
        <v>2690</v>
      </c>
      <c r="F404">
        <v>20</v>
      </c>
      <c r="G404">
        <v>733333</v>
      </c>
      <c r="H404">
        <v>733333</v>
      </c>
      <c r="I404">
        <v>733333</v>
      </c>
      <c r="J404" t="s">
        <v>8</v>
      </c>
      <c r="K404">
        <v>0</v>
      </c>
      <c r="L404">
        <v>0</v>
      </c>
      <c r="M404">
        <v>0</v>
      </c>
    </row>
    <row r="405" spans="1:13" ht="15" customHeight="1" x14ac:dyDescent="0.25">
      <c r="A405" t="s">
        <v>2734</v>
      </c>
      <c r="B405" t="s">
        <v>34</v>
      </c>
      <c r="C405" t="s">
        <v>420</v>
      </c>
      <c r="D405" t="s">
        <v>2442</v>
      </c>
      <c r="E405" t="s">
        <v>2439</v>
      </c>
      <c r="F405">
        <v>27</v>
      </c>
      <c r="G405">
        <v>3500000</v>
      </c>
      <c r="H405">
        <v>3500000</v>
      </c>
      <c r="I405">
        <v>3500000</v>
      </c>
      <c r="J405">
        <v>3500000</v>
      </c>
      <c r="K405" t="s">
        <v>7</v>
      </c>
      <c r="L405">
        <v>0</v>
      </c>
      <c r="M405">
        <v>0</v>
      </c>
    </row>
    <row r="406" spans="1:13" ht="15" customHeight="1" x14ac:dyDescent="0.25">
      <c r="A406" t="s">
        <v>2545</v>
      </c>
      <c r="B406" t="s">
        <v>30</v>
      </c>
      <c r="C406" t="s">
        <v>386</v>
      </c>
      <c r="D406" t="s">
        <v>2445</v>
      </c>
      <c r="E406" t="s">
        <v>2446</v>
      </c>
      <c r="F406">
        <v>20</v>
      </c>
      <c r="G406">
        <v>1137500</v>
      </c>
      <c r="H406">
        <v>1137500</v>
      </c>
      <c r="I406">
        <v>1137500</v>
      </c>
      <c r="J406" t="s">
        <v>8</v>
      </c>
      <c r="K406">
        <v>0</v>
      </c>
      <c r="L406">
        <v>0</v>
      </c>
      <c r="M406">
        <v>0</v>
      </c>
    </row>
    <row r="407" spans="1:13" ht="15" customHeight="1" x14ac:dyDescent="0.25">
      <c r="A407" t="s">
        <v>2024</v>
      </c>
      <c r="B407" t="s">
        <v>21</v>
      </c>
      <c r="C407">
        <v>0</v>
      </c>
      <c r="D407" t="s">
        <v>2440</v>
      </c>
      <c r="E407" t="s">
        <v>2439</v>
      </c>
      <c r="F407">
        <v>23</v>
      </c>
      <c r="G407" t="s">
        <v>8</v>
      </c>
      <c r="H407">
        <v>0</v>
      </c>
      <c r="I407">
        <v>0</v>
      </c>
      <c r="J407">
        <v>0</v>
      </c>
      <c r="K407">
        <v>0</v>
      </c>
      <c r="L407">
        <v>0</v>
      </c>
      <c r="M407">
        <v>0</v>
      </c>
    </row>
    <row r="408" spans="1:13" ht="15" customHeight="1" x14ac:dyDescent="0.25">
      <c r="A408" t="s">
        <v>1728</v>
      </c>
      <c r="B408" t="s">
        <v>17</v>
      </c>
      <c r="C408" t="s">
        <v>2520</v>
      </c>
      <c r="D408" t="s">
        <v>2452</v>
      </c>
      <c r="E408" t="s">
        <v>2439</v>
      </c>
      <c r="F408">
        <v>35</v>
      </c>
      <c r="G408">
        <v>3000000</v>
      </c>
      <c r="H408">
        <v>3000000</v>
      </c>
      <c r="I408" t="s">
        <v>7</v>
      </c>
      <c r="J408">
        <v>0</v>
      </c>
      <c r="K408">
        <v>0</v>
      </c>
      <c r="L408">
        <v>0</v>
      </c>
      <c r="M408">
        <v>0</v>
      </c>
    </row>
    <row r="409" spans="1:13" ht="15" customHeight="1" x14ac:dyDescent="0.25">
      <c r="A409" t="s">
        <v>2144</v>
      </c>
      <c r="B409" t="s">
        <v>63</v>
      </c>
      <c r="C409" t="s">
        <v>386</v>
      </c>
      <c r="D409" t="s">
        <v>2678</v>
      </c>
      <c r="E409" t="s">
        <v>2690</v>
      </c>
      <c r="F409">
        <v>23</v>
      </c>
      <c r="G409">
        <v>701667</v>
      </c>
      <c r="H409" t="s">
        <v>8</v>
      </c>
      <c r="I409">
        <v>0</v>
      </c>
      <c r="J409">
        <v>0</v>
      </c>
      <c r="K409">
        <v>0</v>
      </c>
      <c r="L409">
        <v>0</v>
      </c>
      <c r="M409">
        <v>0</v>
      </c>
    </row>
    <row r="410" spans="1:13" ht="15" customHeight="1" x14ac:dyDescent="0.25">
      <c r="A410" t="s">
        <v>2160</v>
      </c>
      <c r="B410" t="s">
        <v>63</v>
      </c>
      <c r="C410" t="s">
        <v>386</v>
      </c>
      <c r="D410" t="s">
        <v>88</v>
      </c>
      <c r="E410" t="s">
        <v>2677</v>
      </c>
      <c r="F410">
        <v>22</v>
      </c>
      <c r="G410">
        <v>1075833</v>
      </c>
      <c r="H410" t="s">
        <v>8</v>
      </c>
      <c r="I410">
        <v>0</v>
      </c>
      <c r="J410">
        <v>0</v>
      </c>
      <c r="K410">
        <v>0</v>
      </c>
      <c r="L410">
        <v>0</v>
      </c>
      <c r="M410">
        <v>0</v>
      </c>
    </row>
    <row r="411" spans="1:13" ht="15" customHeight="1" x14ac:dyDescent="0.25">
      <c r="A411" t="s">
        <v>2631</v>
      </c>
      <c r="B411" t="s">
        <v>10</v>
      </c>
      <c r="C411" t="s">
        <v>386</v>
      </c>
      <c r="D411" t="s">
        <v>379</v>
      </c>
      <c r="E411" t="s">
        <v>2690</v>
      </c>
      <c r="F411">
        <v>22</v>
      </c>
      <c r="G411">
        <v>925000</v>
      </c>
      <c r="H411">
        <v>925000</v>
      </c>
      <c r="I411" t="s">
        <v>8</v>
      </c>
      <c r="J411">
        <v>0</v>
      </c>
      <c r="K411">
        <v>0</v>
      </c>
      <c r="L411">
        <v>0</v>
      </c>
      <c r="M411">
        <v>0</v>
      </c>
    </row>
    <row r="412" spans="1:13" ht="15" customHeight="1" x14ac:dyDescent="0.25">
      <c r="A412" t="s">
        <v>1369</v>
      </c>
      <c r="B412" t="s">
        <v>9</v>
      </c>
      <c r="C412">
        <v>0</v>
      </c>
      <c r="D412" t="s">
        <v>2448</v>
      </c>
      <c r="E412" t="s">
        <v>2446</v>
      </c>
      <c r="F412">
        <v>24</v>
      </c>
      <c r="G412">
        <v>700000</v>
      </c>
      <c r="H412" t="s">
        <v>8</v>
      </c>
      <c r="I412">
        <v>0</v>
      </c>
      <c r="J412">
        <v>0</v>
      </c>
      <c r="K412">
        <v>0</v>
      </c>
      <c r="L412">
        <v>0</v>
      </c>
      <c r="M412">
        <v>0</v>
      </c>
    </row>
    <row r="413" spans="1:13" ht="15" customHeight="1" x14ac:dyDescent="0.25">
      <c r="A413" t="s">
        <v>2072</v>
      </c>
      <c r="B413" t="s">
        <v>31</v>
      </c>
      <c r="C413" t="s">
        <v>386</v>
      </c>
      <c r="D413" t="s">
        <v>127</v>
      </c>
      <c r="E413" t="s">
        <v>2690</v>
      </c>
      <c r="F413">
        <v>21</v>
      </c>
      <c r="G413">
        <v>910833</v>
      </c>
      <c r="H413">
        <v>910833</v>
      </c>
      <c r="I413" t="s">
        <v>8</v>
      </c>
      <c r="J413">
        <v>0</v>
      </c>
      <c r="K413">
        <v>0</v>
      </c>
      <c r="L413">
        <v>0</v>
      </c>
      <c r="M413">
        <v>0</v>
      </c>
    </row>
    <row r="414" spans="1:13" ht="15" customHeight="1" x14ac:dyDescent="0.25">
      <c r="A414" t="s">
        <v>2639</v>
      </c>
      <c r="B414" t="s">
        <v>14</v>
      </c>
      <c r="C414" t="s">
        <v>386</v>
      </c>
      <c r="D414" t="s">
        <v>2438</v>
      </c>
      <c r="E414" t="s">
        <v>2446</v>
      </c>
      <c r="F414">
        <v>20</v>
      </c>
      <c r="G414">
        <v>925000</v>
      </c>
      <c r="H414">
        <v>925000</v>
      </c>
      <c r="I414">
        <v>925000</v>
      </c>
      <c r="J414" t="s">
        <v>8</v>
      </c>
      <c r="K414">
        <v>0</v>
      </c>
      <c r="L414">
        <v>0</v>
      </c>
      <c r="M414">
        <v>0</v>
      </c>
    </row>
    <row r="415" spans="1:13" ht="15" customHeight="1" x14ac:dyDescent="0.25">
      <c r="A415" t="s">
        <v>2607</v>
      </c>
      <c r="B415" t="s">
        <v>22</v>
      </c>
      <c r="C415" t="s">
        <v>386</v>
      </c>
      <c r="D415" t="s">
        <v>2444</v>
      </c>
      <c r="E415" t="s">
        <v>2446</v>
      </c>
      <c r="F415">
        <v>20</v>
      </c>
      <c r="G415">
        <v>883333</v>
      </c>
      <c r="H415">
        <v>883333</v>
      </c>
      <c r="I415" t="s">
        <v>8</v>
      </c>
      <c r="J415">
        <v>0</v>
      </c>
      <c r="K415">
        <v>0</v>
      </c>
      <c r="L415">
        <v>0</v>
      </c>
      <c r="M415">
        <v>0</v>
      </c>
    </row>
    <row r="416" spans="1:13" ht="15" customHeight="1" x14ac:dyDescent="0.25">
      <c r="A416" t="s">
        <v>1629</v>
      </c>
      <c r="B416" t="s">
        <v>11</v>
      </c>
      <c r="C416">
        <v>0</v>
      </c>
      <c r="D416" t="s">
        <v>2445</v>
      </c>
      <c r="E416" t="s">
        <v>2439</v>
      </c>
      <c r="F416">
        <v>23</v>
      </c>
      <c r="G416">
        <v>850000</v>
      </c>
      <c r="H416" t="s">
        <v>8</v>
      </c>
      <c r="I416">
        <v>0</v>
      </c>
      <c r="J416">
        <v>0</v>
      </c>
      <c r="K416">
        <v>0</v>
      </c>
      <c r="L416">
        <v>0</v>
      </c>
      <c r="M416">
        <v>0</v>
      </c>
    </row>
    <row r="417" spans="1:13" ht="15" customHeight="1" x14ac:dyDescent="0.25">
      <c r="A417" t="s">
        <v>2899</v>
      </c>
      <c r="B417" t="s">
        <v>135</v>
      </c>
      <c r="C417" t="s">
        <v>381</v>
      </c>
      <c r="D417" t="s">
        <v>127</v>
      </c>
      <c r="E417" t="s">
        <v>2677</v>
      </c>
      <c r="F417">
        <v>34</v>
      </c>
      <c r="G417">
        <v>7000000</v>
      </c>
      <c r="H417">
        <v>7000000</v>
      </c>
      <c r="I417">
        <v>7000000</v>
      </c>
      <c r="J417" t="s">
        <v>7</v>
      </c>
      <c r="K417">
        <v>0</v>
      </c>
      <c r="L417">
        <v>0</v>
      </c>
      <c r="M417">
        <v>0</v>
      </c>
    </row>
    <row r="418" spans="1:13" ht="15" customHeight="1" x14ac:dyDescent="0.25">
      <c r="A418" t="s">
        <v>1640</v>
      </c>
      <c r="B418" t="s">
        <v>11</v>
      </c>
      <c r="C418" t="s">
        <v>403</v>
      </c>
      <c r="D418" t="s">
        <v>2440</v>
      </c>
      <c r="E418" t="s">
        <v>2439</v>
      </c>
      <c r="F418">
        <v>23</v>
      </c>
      <c r="G418">
        <v>800000</v>
      </c>
      <c r="H418" t="s">
        <v>8</v>
      </c>
      <c r="I418">
        <v>0</v>
      </c>
      <c r="J418">
        <v>0</v>
      </c>
      <c r="K418">
        <v>0</v>
      </c>
      <c r="L418">
        <v>0</v>
      </c>
      <c r="M418">
        <v>0</v>
      </c>
    </row>
    <row r="419" spans="1:13" ht="15" customHeight="1" x14ac:dyDescent="0.25">
      <c r="A419" t="s">
        <v>1782</v>
      </c>
      <c r="B419" t="s">
        <v>26</v>
      </c>
      <c r="C419">
        <v>0</v>
      </c>
      <c r="D419" t="s">
        <v>2684</v>
      </c>
      <c r="E419" t="s">
        <v>2690</v>
      </c>
      <c r="F419">
        <v>26</v>
      </c>
      <c r="G419">
        <v>700000</v>
      </c>
      <c r="H419" t="s">
        <v>7</v>
      </c>
      <c r="I419">
        <v>0</v>
      </c>
      <c r="J419">
        <v>0</v>
      </c>
      <c r="K419">
        <v>0</v>
      </c>
      <c r="L419">
        <v>0</v>
      </c>
      <c r="M419">
        <v>0</v>
      </c>
    </row>
    <row r="420" spans="1:13" ht="15" customHeight="1" x14ac:dyDescent="0.25">
      <c r="A420" t="s">
        <v>2065</v>
      </c>
      <c r="B420" t="s">
        <v>31</v>
      </c>
      <c r="C420" t="s">
        <v>386</v>
      </c>
      <c r="D420" t="s">
        <v>93</v>
      </c>
      <c r="E420" t="s">
        <v>2690</v>
      </c>
      <c r="F420">
        <v>22</v>
      </c>
      <c r="G420">
        <v>925000</v>
      </c>
      <c r="H420">
        <v>925000</v>
      </c>
      <c r="I420" t="s">
        <v>8</v>
      </c>
      <c r="J420">
        <v>0</v>
      </c>
      <c r="K420">
        <v>0</v>
      </c>
      <c r="L420">
        <v>0</v>
      </c>
      <c r="M420">
        <v>0</v>
      </c>
    </row>
    <row r="421" spans="1:13" ht="15" customHeight="1" x14ac:dyDescent="0.25">
      <c r="A421" t="s">
        <v>1991</v>
      </c>
      <c r="B421" t="s">
        <v>21</v>
      </c>
      <c r="C421">
        <v>0</v>
      </c>
      <c r="D421" t="s">
        <v>2442</v>
      </c>
      <c r="E421" t="s">
        <v>2439</v>
      </c>
      <c r="F421">
        <v>28</v>
      </c>
      <c r="G421">
        <v>2875000</v>
      </c>
      <c r="H421">
        <v>2875000</v>
      </c>
      <c r="I421" t="s">
        <v>7</v>
      </c>
      <c r="J421">
        <v>0</v>
      </c>
      <c r="K421">
        <v>0</v>
      </c>
      <c r="L421">
        <v>0</v>
      </c>
      <c r="M421">
        <v>0</v>
      </c>
    </row>
    <row r="422" spans="1:13" ht="15" customHeight="1" x14ac:dyDescent="0.25">
      <c r="A422" t="s">
        <v>2844</v>
      </c>
      <c r="B422" t="s">
        <v>14</v>
      </c>
      <c r="C422" t="s">
        <v>370</v>
      </c>
      <c r="D422" t="s">
        <v>2462</v>
      </c>
      <c r="E422" t="s">
        <v>2439</v>
      </c>
      <c r="F422">
        <v>31</v>
      </c>
      <c r="G422">
        <v>5500000</v>
      </c>
      <c r="H422">
        <v>5500000</v>
      </c>
      <c r="I422" t="s">
        <v>7</v>
      </c>
      <c r="J422">
        <v>0</v>
      </c>
      <c r="K422">
        <v>0</v>
      </c>
      <c r="L422">
        <v>0</v>
      </c>
      <c r="M422">
        <v>0</v>
      </c>
    </row>
    <row r="423" spans="1:13" ht="15" customHeight="1" x14ac:dyDescent="0.25">
      <c r="A423" t="s">
        <v>1797</v>
      </c>
      <c r="B423" t="s">
        <v>22</v>
      </c>
      <c r="C423">
        <v>0</v>
      </c>
      <c r="D423" t="s">
        <v>2444</v>
      </c>
      <c r="E423" t="s">
        <v>2439</v>
      </c>
      <c r="F423">
        <v>28</v>
      </c>
      <c r="G423">
        <v>800000</v>
      </c>
      <c r="H423" t="s">
        <v>7</v>
      </c>
      <c r="I423">
        <v>0</v>
      </c>
      <c r="J423">
        <v>0</v>
      </c>
      <c r="K423">
        <v>0</v>
      </c>
      <c r="L423">
        <v>0</v>
      </c>
      <c r="M423">
        <v>0</v>
      </c>
    </row>
    <row r="424" spans="1:13" ht="15" customHeight="1" x14ac:dyDescent="0.25">
      <c r="A424" t="s">
        <v>1780</v>
      </c>
      <c r="B424" t="s">
        <v>26</v>
      </c>
      <c r="C424" t="s">
        <v>386</v>
      </c>
      <c r="D424" t="s">
        <v>73</v>
      </c>
      <c r="E424" t="s">
        <v>2690</v>
      </c>
      <c r="F424">
        <v>22</v>
      </c>
      <c r="G424">
        <v>736667</v>
      </c>
      <c r="H424" t="s">
        <v>8</v>
      </c>
      <c r="I424">
        <v>0</v>
      </c>
      <c r="J424">
        <v>0</v>
      </c>
      <c r="K424">
        <v>0</v>
      </c>
      <c r="L424">
        <v>0</v>
      </c>
      <c r="M424">
        <v>0</v>
      </c>
    </row>
    <row r="425" spans="1:13" ht="15" customHeight="1" x14ac:dyDescent="0.25">
      <c r="A425" t="s">
        <v>1565</v>
      </c>
      <c r="B425" t="s">
        <v>32</v>
      </c>
      <c r="C425" t="s">
        <v>386</v>
      </c>
      <c r="D425" t="s">
        <v>2444</v>
      </c>
      <c r="E425" t="s">
        <v>2446</v>
      </c>
      <c r="F425">
        <v>20</v>
      </c>
      <c r="G425">
        <v>1425000</v>
      </c>
      <c r="H425">
        <v>1425000</v>
      </c>
      <c r="I425" t="s">
        <v>8</v>
      </c>
      <c r="J425">
        <v>0</v>
      </c>
      <c r="K425">
        <v>0</v>
      </c>
      <c r="L425">
        <v>0</v>
      </c>
      <c r="M425">
        <v>0</v>
      </c>
    </row>
    <row r="426" spans="1:13" ht="15" customHeight="1" x14ac:dyDescent="0.25">
      <c r="A426" t="s">
        <v>2558</v>
      </c>
      <c r="B426" t="s">
        <v>32</v>
      </c>
      <c r="C426" t="s">
        <v>386</v>
      </c>
      <c r="D426" t="s">
        <v>2440</v>
      </c>
      <c r="E426" t="s">
        <v>2446</v>
      </c>
      <c r="F426">
        <v>18</v>
      </c>
      <c r="G426">
        <v>925000</v>
      </c>
      <c r="H426">
        <v>925000</v>
      </c>
      <c r="I426">
        <v>925000</v>
      </c>
      <c r="J426" t="s">
        <v>8</v>
      </c>
      <c r="K426">
        <v>0</v>
      </c>
      <c r="L426">
        <v>0</v>
      </c>
      <c r="M426">
        <v>0</v>
      </c>
    </row>
    <row r="427" spans="1:13" ht="15" customHeight="1" x14ac:dyDescent="0.25">
      <c r="A427" t="s">
        <v>2265</v>
      </c>
      <c r="B427" t="s">
        <v>20</v>
      </c>
      <c r="C427">
        <v>0</v>
      </c>
      <c r="D427" t="s">
        <v>2445</v>
      </c>
      <c r="E427" t="s">
        <v>2439</v>
      </c>
      <c r="F427">
        <v>27</v>
      </c>
      <c r="G427">
        <v>2525000</v>
      </c>
      <c r="H427" t="s">
        <v>7</v>
      </c>
      <c r="I427">
        <v>0</v>
      </c>
      <c r="J427">
        <v>0</v>
      </c>
      <c r="K427">
        <v>0</v>
      </c>
      <c r="L427">
        <v>0</v>
      </c>
      <c r="M427">
        <v>0</v>
      </c>
    </row>
    <row r="428" spans="1:13" ht="15" customHeight="1" x14ac:dyDescent="0.25">
      <c r="A428" t="s">
        <v>1538</v>
      </c>
      <c r="B428" t="s">
        <v>27</v>
      </c>
      <c r="C428" t="s">
        <v>386</v>
      </c>
      <c r="D428" t="s">
        <v>2440</v>
      </c>
      <c r="E428" t="s">
        <v>2446</v>
      </c>
      <c r="F428">
        <v>19</v>
      </c>
      <c r="G428">
        <v>888333</v>
      </c>
      <c r="H428">
        <v>888333</v>
      </c>
      <c r="I428">
        <v>888333</v>
      </c>
      <c r="J428" t="s">
        <v>8</v>
      </c>
      <c r="K428">
        <v>0</v>
      </c>
      <c r="L428">
        <v>0</v>
      </c>
      <c r="M428">
        <v>0</v>
      </c>
    </row>
    <row r="429" spans="1:13" ht="15" customHeight="1" x14ac:dyDescent="0.25">
      <c r="A429" t="s">
        <v>1911</v>
      </c>
      <c r="B429" t="s">
        <v>11</v>
      </c>
      <c r="C429">
        <v>0</v>
      </c>
      <c r="D429" t="s">
        <v>127</v>
      </c>
      <c r="E429" t="s">
        <v>2446</v>
      </c>
      <c r="F429">
        <v>26</v>
      </c>
      <c r="G429">
        <v>775000</v>
      </c>
      <c r="H429" t="s">
        <v>7</v>
      </c>
      <c r="I429">
        <v>0</v>
      </c>
      <c r="J429">
        <v>0</v>
      </c>
      <c r="K429">
        <v>0</v>
      </c>
      <c r="L429">
        <v>0</v>
      </c>
      <c r="M429">
        <v>0</v>
      </c>
    </row>
    <row r="430" spans="1:13" ht="15" customHeight="1" x14ac:dyDescent="0.25">
      <c r="A430" t="s">
        <v>2776</v>
      </c>
      <c r="B430" t="s">
        <v>23</v>
      </c>
      <c r="C430">
        <v>0</v>
      </c>
      <c r="D430" t="s">
        <v>93</v>
      </c>
      <c r="E430" t="s">
        <v>2677</v>
      </c>
      <c r="F430">
        <v>25</v>
      </c>
      <c r="G430">
        <v>6000000</v>
      </c>
      <c r="H430">
        <v>6000000</v>
      </c>
      <c r="I430">
        <v>6000000</v>
      </c>
      <c r="J430" t="s">
        <v>7</v>
      </c>
      <c r="K430">
        <v>0</v>
      </c>
      <c r="L430">
        <v>0</v>
      </c>
      <c r="M430">
        <v>0</v>
      </c>
    </row>
    <row r="431" spans="1:13" ht="15" customHeight="1" x14ac:dyDescent="0.25">
      <c r="A431" t="s">
        <v>1905</v>
      </c>
      <c r="B431" t="s">
        <v>11</v>
      </c>
      <c r="C431">
        <v>0</v>
      </c>
      <c r="D431" t="s">
        <v>2445</v>
      </c>
      <c r="E431" t="s">
        <v>2439</v>
      </c>
      <c r="F431">
        <v>23</v>
      </c>
      <c r="G431">
        <v>874125</v>
      </c>
      <c r="H431" t="s">
        <v>8</v>
      </c>
      <c r="I431">
        <v>0</v>
      </c>
      <c r="J431">
        <v>0</v>
      </c>
      <c r="K431">
        <v>0</v>
      </c>
      <c r="L431">
        <v>0</v>
      </c>
      <c r="M431">
        <v>0</v>
      </c>
    </row>
    <row r="432" spans="1:13" ht="15" customHeight="1" x14ac:dyDescent="0.25">
      <c r="A432" t="s">
        <v>2560</v>
      </c>
      <c r="B432" t="s">
        <v>32</v>
      </c>
      <c r="C432" t="s">
        <v>386</v>
      </c>
      <c r="D432" t="s">
        <v>2440</v>
      </c>
      <c r="E432" t="s">
        <v>2446</v>
      </c>
      <c r="F432">
        <v>19</v>
      </c>
      <c r="G432">
        <v>894167</v>
      </c>
      <c r="H432">
        <v>894167</v>
      </c>
      <c r="I432">
        <v>894167</v>
      </c>
      <c r="J432" t="s">
        <v>8</v>
      </c>
      <c r="K432">
        <v>0</v>
      </c>
      <c r="L432">
        <v>0</v>
      </c>
      <c r="M432">
        <v>0</v>
      </c>
    </row>
    <row r="433" spans="1:13" ht="15" customHeight="1" x14ac:dyDescent="0.25">
      <c r="A433" t="s">
        <v>1680</v>
      </c>
      <c r="B433" t="s">
        <v>14</v>
      </c>
      <c r="C433" t="s">
        <v>386</v>
      </c>
      <c r="D433" t="s">
        <v>2453</v>
      </c>
      <c r="E433" t="s">
        <v>2446</v>
      </c>
      <c r="F433">
        <v>21</v>
      </c>
      <c r="G433">
        <v>925000</v>
      </c>
      <c r="H433" t="s">
        <v>8</v>
      </c>
      <c r="I433">
        <v>0</v>
      </c>
      <c r="J433">
        <v>0</v>
      </c>
      <c r="K433">
        <v>0</v>
      </c>
      <c r="L433">
        <v>0</v>
      </c>
      <c r="M433">
        <v>0</v>
      </c>
    </row>
    <row r="434" spans="1:13" ht="15" customHeight="1" x14ac:dyDescent="0.25">
      <c r="A434" t="s">
        <v>1915</v>
      </c>
      <c r="B434" t="s">
        <v>13</v>
      </c>
      <c r="C434" t="s">
        <v>386</v>
      </c>
      <c r="D434" t="s">
        <v>2452</v>
      </c>
      <c r="E434" t="s">
        <v>2446</v>
      </c>
      <c r="F434">
        <v>22</v>
      </c>
      <c r="G434">
        <v>706666</v>
      </c>
      <c r="H434" t="s">
        <v>8</v>
      </c>
      <c r="I434">
        <v>0</v>
      </c>
      <c r="J434">
        <v>0</v>
      </c>
      <c r="K434">
        <v>0</v>
      </c>
      <c r="L434">
        <v>0</v>
      </c>
      <c r="M434">
        <v>0</v>
      </c>
    </row>
    <row r="435" spans="1:13" ht="15" customHeight="1" x14ac:dyDescent="0.25">
      <c r="A435" t="s">
        <v>2518</v>
      </c>
      <c r="B435" t="s">
        <v>23</v>
      </c>
      <c r="C435" t="s">
        <v>386</v>
      </c>
      <c r="D435" t="s">
        <v>380</v>
      </c>
      <c r="E435" t="s">
        <v>2690</v>
      </c>
      <c r="F435">
        <v>23</v>
      </c>
      <c r="G435">
        <v>925000</v>
      </c>
      <c r="H435">
        <v>925000</v>
      </c>
      <c r="I435" t="s">
        <v>8</v>
      </c>
      <c r="J435">
        <v>0</v>
      </c>
      <c r="K435">
        <v>0</v>
      </c>
      <c r="L435">
        <v>0</v>
      </c>
      <c r="M435">
        <v>0</v>
      </c>
    </row>
    <row r="436" spans="1:13" ht="15" customHeight="1" x14ac:dyDescent="0.25">
      <c r="A436" t="s">
        <v>1672</v>
      </c>
      <c r="B436" t="s">
        <v>14</v>
      </c>
      <c r="C436" t="s">
        <v>386</v>
      </c>
      <c r="D436" t="s">
        <v>73</v>
      </c>
      <c r="E436" t="s">
        <v>2446</v>
      </c>
      <c r="F436">
        <v>19</v>
      </c>
      <c r="G436">
        <v>1269167</v>
      </c>
      <c r="H436">
        <v>1269167</v>
      </c>
      <c r="I436">
        <v>1269167</v>
      </c>
      <c r="J436" t="s">
        <v>8</v>
      </c>
      <c r="K436">
        <v>0</v>
      </c>
      <c r="L436">
        <v>0</v>
      </c>
      <c r="M436">
        <v>0</v>
      </c>
    </row>
    <row r="437" spans="1:13" ht="15" customHeight="1" x14ac:dyDescent="0.25">
      <c r="A437" t="s">
        <v>2122</v>
      </c>
      <c r="B437" t="s">
        <v>6</v>
      </c>
      <c r="C437" t="s">
        <v>381</v>
      </c>
      <c r="D437" t="s">
        <v>2445</v>
      </c>
      <c r="E437" t="s">
        <v>2439</v>
      </c>
      <c r="F437">
        <v>27</v>
      </c>
      <c r="G437">
        <v>6500000</v>
      </c>
      <c r="H437">
        <v>6500000</v>
      </c>
      <c r="I437">
        <v>6500000</v>
      </c>
      <c r="J437">
        <v>6500000</v>
      </c>
      <c r="K437">
        <v>6500000</v>
      </c>
      <c r="L437">
        <v>6500000</v>
      </c>
      <c r="M437">
        <v>6500000</v>
      </c>
    </row>
    <row r="438" spans="1:13" ht="15" customHeight="1" x14ac:dyDescent="0.25">
      <c r="A438" t="s">
        <v>2562</v>
      </c>
      <c r="B438" t="s">
        <v>26</v>
      </c>
      <c r="C438" t="s">
        <v>386</v>
      </c>
      <c r="D438" t="s">
        <v>379</v>
      </c>
      <c r="E438" t="s">
        <v>2677</v>
      </c>
      <c r="F438">
        <v>21</v>
      </c>
      <c r="G438">
        <v>1775000</v>
      </c>
      <c r="H438">
        <v>1775000</v>
      </c>
      <c r="I438">
        <v>1775000</v>
      </c>
      <c r="J438" t="s">
        <v>8</v>
      </c>
      <c r="K438">
        <v>0</v>
      </c>
      <c r="L438">
        <v>0</v>
      </c>
      <c r="M438">
        <v>0</v>
      </c>
    </row>
    <row r="439" spans="1:13" ht="15" customHeight="1" x14ac:dyDescent="0.25">
      <c r="A439" t="s">
        <v>1946</v>
      </c>
      <c r="B439" t="s">
        <v>15</v>
      </c>
      <c r="C439">
        <v>0</v>
      </c>
      <c r="D439" t="s">
        <v>127</v>
      </c>
      <c r="E439" t="s">
        <v>2439</v>
      </c>
      <c r="F439">
        <v>29</v>
      </c>
      <c r="G439">
        <v>950000</v>
      </c>
      <c r="H439" t="s">
        <v>7</v>
      </c>
      <c r="I439">
        <v>0</v>
      </c>
      <c r="J439">
        <v>0</v>
      </c>
      <c r="K439">
        <v>0</v>
      </c>
      <c r="L439">
        <v>0</v>
      </c>
      <c r="M439">
        <v>0</v>
      </c>
    </row>
    <row r="440" spans="1:13" ht="15" customHeight="1" x14ac:dyDescent="0.25">
      <c r="A440" t="s">
        <v>1422</v>
      </c>
      <c r="B440" t="s">
        <v>17</v>
      </c>
      <c r="C440">
        <v>0</v>
      </c>
      <c r="D440" t="s">
        <v>2441</v>
      </c>
      <c r="E440" t="s">
        <v>374</v>
      </c>
      <c r="F440">
        <v>39</v>
      </c>
      <c r="G440">
        <v>3954545</v>
      </c>
      <c r="H440" t="s">
        <v>7</v>
      </c>
      <c r="I440">
        <v>0</v>
      </c>
      <c r="J440">
        <v>0</v>
      </c>
      <c r="K440">
        <v>0</v>
      </c>
      <c r="L440">
        <v>0</v>
      </c>
      <c r="M440">
        <v>0</v>
      </c>
    </row>
    <row r="441" spans="1:13" ht="15" customHeight="1" x14ac:dyDescent="0.25">
      <c r="A441" t="s">
        <v>1364</v>
      </c>
      <c r="B441" t="s">
        <v>9</v>
      </c>
      <c r="C441" t="s">
        <v>386</v>
      </c>
      <c r="D441" t="s">
        <v>73</v>
      </c>
      <c r="E441" t="s">
        <v>2446</v>
      </c>
      <c r="F441">
        <v>21</v>
      </c>
      <c r="G441">
        <v>1137500</v>
      </c>
      <c r="H441">
        <v>1137500</v>
      </c>
      <c r="I441" t="s">
        <v>8</v>
      </c>
      <c r="J441">
        <v>0</v>
      </c>
      <c r="K441">
        <v>0</v>
      </c>
      <c r="L441">
        <v>0</v>
      </c>
      <c r="M441">
        <v>0</v>
      </c>
    </row>
    <row r="442" spans="1:13" ht="15" customHeight="1" x14ac:dyDescent="0.25">
      <c r="A442" t="s">
        <v>1811</v>
      </c>
      <c r="B442" t="s">
        <v>28</v>
      </c>
      <c r="C442" t="s">
        <v>386</v>
      </c>
      <c r="D442" t="s">
        <v>2444</v>
      </c>
      <c r="E442" t="s">
        <v>2446</v>
      </c>
      <c r="F442">
        <v>23</v>
      </c>
      <c r="G442">
        <v>825000</v>
      </c>
      <c r="H442" t="s">
        <v>8</v>
      </c>
      <c r="I442">
        <v>0</v>
      </c>
      <c r="J442">
        <v>0</v>
      </c>
      <c r="K442">
        <v>0</v>
      </c>
      <c r="L442">
        <v>0</v>
      </c>
      <c r="M442">
        <v>0</v>
      </c>
    </row>
    <row r="443" spans="1:13" ht="15" customHeight="1" x14ac:dyDescent="0.25">
      <c r="A443" t="s">
        <v>1755</v>
      </c>
      <c r="B443" t="s">
        <v>25</v>
      </c>
      <c r="C443">
        <v>0</v>
      </c>
      <c r="D443" t="s">
        <v>2448</v>
      </c>
      <c r="E443" t="s">
        <v>2439</v>
      </c>
      <c r="F443">
        <v>27</v>
      </c>
      <c r="G443">
        <v>700000</v>
      </c>
      <c r="H443">
        <v>700000</v>
      </c>
      <c r="I443" t="s">
        <v>7</v>
      </c>
      <c r="J443">
        <v>0</v>
      </c>
      <c r="K443">
        <v>0</v>
      </c>
      <c r="L443">
        <v>0</v>
      </c>
      <c r="M443">
        <v>0</v>
      </c>
    </row>
    <row r="444" spans="1:13" ht="15" customHeight="1" x14ac:dyDescent="0.25">
      <c r="A444" t="s">
        <v>1428</v>
      </c>
      <c r="B444" t="s">
        <v>20</v>
      </c>
      <c r="C444">
        <v>0</v>
      </c>
      <c r="D444" t="s">
        <v>2438</v>
      </c>
      <c r="E444" t="s">
        <v>2446</v>
      </c>
      <c r="F444">
        <v>25</v>
      </c>
      <c r="G444">
        <v>700000</v>
      </c>
      <c r="H444" t="s">
        <v>8</v>
      </c>
      <c r="I444">
        <v>0</v>
      </c>
      <c r="J444">
        <v>0</v>
      </c>
      <c r="K444">
        <v>0</v>
      </c>
      <c r="L444">
        <v>0</v>
      </c>
      <c r="M444">
        <v>0</v>
      </c>
    </row>
    <row r="445" spans="1:13" ht="15" customHeight="1" x14ac:dyDescent="0.25">
      <c r="A445" t="s">
        <v>1512</v>
      </c>
      <c r="B445" t="s">
        <v>12</v>
      </c>
      <c r="C445">
        <v>0</v>
      </c>
      <c r="D445" t="s">
        <v>73</v>
      </c>
      <c r="E445" t="s">
        <v>2446</v>
      </c>
      <c r="F445">
        <v>28</v>
      </c>
      <c r="G445">
        <v>700000</v>
      </c>
      <c r="H445" t="s">
        <v>7</v>
      </c>
      <c r="I445">
        <v>0</v>
      </c>
      <c r="J445">
        <v>0</v>
      </c>
      <c r="K445">
        <v>0</v>
      </c>
      <c r="L445">
        <v>0</v>
      </c>
      <c r="M445">
        <v>0</v>
      </c>
    </row>
    <row r="446" spans="1:13" ht="15" customHeight="1" x14ac:dyDescent="0.25">
      <c r="A446" t="s">
        <v>2191</v>
      </c>
      <c r="B446" t="s">
        <v>12</v>
      </c>
      <c r="C446" t="s">
        <v>381</v>
      </c>
      <c r="D446" t="s">
        <v>2442</v>
      </c>
      <c r="E446" t="s">
        <v>2439</v>
      </c>
      <c r="F446">
        <v>31</v>
      </c>
      <c r="G446">
        <v>4300000</v>
      </c>
      <c r="H446" t="s">
        <v>7</v>
      </c>
      <c r="I446">
        <v>0</v>
      </c>
      <c r="J446">
        <v>0</v>
      </c>
      <c r="K446">
        <v>0</v>
      </c>
      <c r="L446">
        <v>0</v>
      </c>
      <c r="M446">
        <v>0</v>
      </c>
    </row>
    <row r="447" spans="1:13" ht="15" customHeight="1" x14ac:dyDescent="0.25">
      <c r="A447" t="s">
        <v>1800</v>
      </c>
      <c r="B447" t="s">
        <v>28</v>
      </c>
      <c r="C447" t="s">
        <v>386</v>
      </c>
      <c r="D447" t="s">
        <v>73</v>
      </c>
      <c r="E447" t="s">
        <v>2446</v>
      </c>
      <c r="F447">
        <v>20</v>
      </c>
      <c r="G447">
        <v>863333</v>
      </c>
      <c r="H447">
        <v>863333</v>
      </c>
      <c r="I447">
        <v>863333</v>
      </c>
      <c r="J447" t="s">
        <v>8</v>
      </c>
      <c r="K447">
        <v>0</v>
      </c>
      <c r="L447">
        <v>0</v>
      </c>
      <c r="M447">
        <v>0</v>
      </c>
    </row>
    <row r="448" spans="1:13" ht="15" customHeight="1" x14ac:dyDescent="0.25">
      <c r="A448" t="s">
        <v>1444</v>
      </c>
      <c r="B448" t="s">
        <v>17</v>
      </c>
      <c r="C448" t="s">
        <v>386</v>
      </c>
      <c r="D448" t="s">
        <v>127</v>
      </c>
      <c r="E448" t="s">
        <v>2446</v>
      </c>
      <c r="F448">
        <v>20</v>
      </c>
      <c r="G448">
        <v>733333</v>
      </c>
      <c r="H448">
        <v>733333</v>
      </c>
      <c r="I448">
        <v>733333</v>
      </c>
      <c r="J448" t="s">
        <v>8</v>
      </c>
      <c r="K448">
        <v>0</v>
      </c>
      <c r="L448">
        <v>0</v>
      </c>
      <c r="M448">
        <v>0</v>
      </c>
    </row>
    <row r="449" spans="1:13" ht="15" customHeight="1" x14ac:dyDescent="0.25">
      <c r="A449" t="s">
        <v>1517</v>
      </c>
      <c r="B449" t="s">
        <v>27</v>
      </c>
      <c r="C449">
        <v>0</v>
      </c>
      <c r="D449" t="s">
        <v>2438</v>
      </c>
      <c r="E449" t="s">
        <v>374</v>
      </c>
      <c r="F449">
        <v>37</v>
      </c>
      <c r="G449">
        <v>4875000</v>
      </c>
      <c r="H449">
        <v>4875000</v>
      </c>
      <c r="I449" t="s">
        <v>7</v>
      </c>
      <c r="J449">
        <v>0</v>
      </c>
      <c r="K449">
        <v>0</v>
      </c>
      <c r="L449">
        <v>0</v>
      </c>
      <c r="M449">
        <v>0</v>
      </c>
    </row>
    <row r="450" spans="1:13" ht="15" customHeight="1" x14ac:dyDescent="0.25">
      <c r="A450" t="s">
        <v>1698</v>
      </c>
      <c r="B450" t="s">
        <v>28</v>
      </c>
      <c r="C450">
        <v>0</v>
      </c>
      <c r="D450" t="s">
        <v>2438</v>
      </c>
      <c r="E450" t="s">
        <v>2439</v>
      </c>
      <c r="F450">
        <v>26</v>
      </c>
      <c r="G450">
        <v>700000</v>
      </c>
      <c r="H450" t="s">
        <v>7</v>
      </c>
      <c r="I450">
        <v>0</v>
      </c>
      <c r="J450">
        <v>0</v>
      </c>
      <c r="K450">
        <v>0</v>
      </c>
      <c r="L450">
        <v>0</v>
      </c>
      <c r="M450">
        <v>0</v>
      </c>
    </row>
    <row r="451" spans="1:13" ht="15" customHeight="1" x14ac:dyDescent="0.25">
      <c r="A451" t="s">
        <v>2356</v>
      </c>
      <c r="B451" t="s">
        <v>34</v>
      </c>
      <c r="C451" t="s">
        <v>386</v>
      </c>
      <c r="D451" t="s">
        <v>2440</v>
      </c>
      <c r="E451" t="s">
        <v>2446</v>
      </c>
      <c r="F451">
        <v>20</v>
      </c>
      <c r="G451">
        <v>863333</v>
      </c>
      <c r="H451">
        <v>863333</v>
      </c>
      <c r="I451">
        <v>863333</v>
      </c>
      <c r="J451" t="s">
        <v>8</v>
      </c>
      <c r="K451">
        <v>0</v>
      </c>
      <c r="L451">
        <v>0</v>
      </c>
      <c r="M451">
        <v>0</v>
      </c>
    </row>
    <row r="452" spans="1:13" ht="15" customHeight="1" x14ac:dyDescent="0.25">
      <c r="A452" t="s">
        <v>2331</v>
      </c>
      <c r="B452" t="s">
        <v>18</v>
      </c>
      <c r="C452">
        <v>0</v>
      </c>
      <c r="D452" t="s">
        <v>2448</v>
      </c>
      <c r="E452" t="s">
        <v>2439</v>
      </c>
      <c r="F452">
        <v>30</v>
      </c>
      <c r="G452">
        <v>3150000</v>
      </c>
      <c r="H452" t="s">
        <v>7</v>
      </c>
      <c r="I452">
        <v>0</v>
      </c>
      <c r="J452">
        <v>0</v>
      </c>
      <c r="K452">
        <v>0</v>
      </c>
      <c r="L452">
        <v>0</v>
      </c>
      <c r="M452">
        <v>0</v>
      </c>
    </row>
    <row r="453" spans="1:13" ht="15" customHeight="1" x14ac:dyDescent="0.25">
      <c r="A453" t="s">
        <v>2150</v>
      </c>
      <c r="B453" t="s">
        <v>29</v>
      </c>
      <c r="C453">
        <v>0</v>
      </c>
      <c r="D453" t="s">
        <v>2703</v>
      </c>
      <c r="E453" t="s">
        <v>2677</v>
      </c>
      <c r="F453">
        <v>25</v>
      </c>
      <c r="G453">
        <v>4900000</v>
      </c>
      <c r="H453" t="s">
        <v>7</v>
      </c>
      <c r="I453">
        <v>0</v>
      </c>
      <c r="J453">
        <v>0</v>
      </c>
      <c r="K453">
        <v>0</v>
      </c>
      <c r="L453">
        <v>0</v>
      </c>
      <c r="M453">
        <v>0</v>
      </c>
    </row>
    <row r="454" spans="1:13" ht="15" customHeight="1" x14ac:dyDescent="0.25">
      <c r="A454" t="s">
        <v>2791</v>
      </c>
      <c r="B454" t="s">
        <v>22</v>
      </c>
      <c r="C454">
        <v>0</v>
      </c>
      <c r="D454" t="s">
        <v>2438</v>
      </c>
      <c r="E454" t="s">
        <v>2439</v>
      </c>
      <c r="F454">
        <v>27</v>
      </c>
      <c r="G454">
        <v>3750000</v>
      </c>
      <c r="H454">
        <v>3750000</v>
      </c>
      <c r="I454" t="s">
        <v>7</v>
      </c>
      <c r="J454">
        <v>0</v>
      </c>
      <c r="K454">
        <v>0</v>
      </c>
      <c r="L454">
        <v>0</v>
      </c>
      <c r="M454">
        <v>0</v>
      </c>
    </row>
    <row r="455" spans="1:13" ht="15" customHeight="1" x14ac:dyDescent="0.25">
      <c r="A455" t="s">
        <v>2542</v>
      </c>
      <c r="B455" t="s">
        <v>30</v>
      </c>
      <c r="C455" t="s">
        <v>386</v>
      </c>
      <c r="D455" t="s">
        <v>73</v>
      </c>
      <c r="E455" t="s">
        <v>2446</v>
      </c>
      <c r="F455">
        <v>20</v>
      </c>
      <c r="G455">
        <v>786667</v>
      </c>
      <c r="H455">
        <v>786667</v>
      </c>
      <c r="I455">
        <v>786667</v>
      </c>
      <c r="J455" t="s">
        <v>8</v>
      </c>
      <c r="K455">
        <v>0</v>
      </c>
      <c r="L455">
        <v>0</v>
      </c>
      <c r="M455">
        <v>0</v>
      </c>
    </row>
    <row r="456" spans="1:13" ht="15" customHeight="1" x14ac:dyDescent="0.25">
      <c r="A456" t="s">
        <v>2246</v>
      </c>
      <c r="B456" t="s">
        <v>18</v>
      </c>
      <c r="C456">
        <v>0</v>
      </c>
      <c r="D456" t="s">
        <v>2440</v>
      </c>
      <c r="E456" t="s">
        <v>2446</v>
      </c>
      <c r="F456">
        <v>25</v>
      </c>
      <c r="G456">
        <v>700000</v>
      </c>
      <c r="H456">
        <v>700000</v>
      </c>
      <c r="I456" t="s">
        <v>7</v>
      </c>
      <c r="J456">
        <v>0</v>
      </c>
      <c r="K456">
        <v>0</v>
      </c>
      <c r="L456">
        <v>0</v>
      </c>
      <c r="M456">
        <v>0</v>
      </c>
    </row>
    <row r="457" spans="1:13" ht="15" customHeight="1" x14ac:dyDescent="0.25">
      <c r="A457" t="s">
        <v>2298</v>
      </c>
      <c r="B457" t="s">
        <v>30</v>
      </c>
      <c r="C457">
        <v>0</v>
      </c>
      <c r="D457" t="s">
        <v>73</v>
      </c>
      <c r="E457" t="s">
        <v>2439</v>
      </c>
      <c r="F457">
        <v>22</v>
      </c>
      <c r="G457">
        <v>700000</v>
      </c>
      <c r="H457">
        <v>700000</v>
      </c>
      <c r="I457" t="s">
        <v>8</v>
      </c>
      <c r="J457">
        <v>0</v>
      </c>
      <c r="K457">
        <v>0</v>
      </c>
      <c r="L457">
        <v>0</v>
      </c>
      <c r="M457">
        <v>0</v>
      </c>
    </row>
    <row r="458" spans="1:13" ht="15" customHeight="1" x14ac:dyDescent="0.25">
      <c r="A458" t="s">
        <v>2485</v>
      </c>
      <c r="B458" t="s">
        <v>16</v>
      </c>
      <c r="C458" t="s">
        <v>386</v>
      </c>
      <c r="D458" t="s">
        <v>2679</v>
      </c>
      <c r="E458" t="s">
        <v>2690</v>
      </c>
      <c r="F458">
        <v>23</v>
      </c>
      <c r="G458">
        <v>925000</v>
      </c>
      <c r="H458">
        <v>925000</v>
      </c>
      <c r="I458" t="s">
        <v>8</v>
      </c>
      <c r="J458">
        <v>0</v>
      </c>
      <c r="K458">
        <v>0</v>
      </c>
      <c r="L458">
        <v>0</v>
      </c>
      <c r="M458">
        <v>0</v>
      </c>
    </row>
    <row r="459" spans="1:13" ht="15" customHeight="1" x14ac:dyDescent="0.25">
      <c r="A459" t="s">
        <v>2185</v>
      </c>
      <c r="B459" t="s">
        <v>63</v>
      </c>
      <c r="C459">
        <v>0</v>
      </c>
      <c r="D459" t="s">
        <v>2689</v>
      </c>
      <c r="E459" t="s">
        <v>2677</v>
      </c>
      <c r="F459">
        <v>23</v>
      </c>
      <c r="G459">
        <v>775000</v>
      </c>
      <c r="H459">
        <v>775000</v>
      </c>
      <c r="I459" t="s">
        <v>8</v>
      </c>
      <c r="J459">
        <v>0</v>
      </c>
      <c r="K459">
        <v>0</v>
      </c>
      <c r="L459">
        <v>0</v>
      </c>
      <c r="M459">
        <v>0</v>
      </c>
    </row>
    <row r="460" spans="1:13" ht="15" customHeight="1" x14ac:dyDescent="0.25">
      <c r="A460" t="s">
        <v>2692</v>
      </c>
      <c r="B460" t="s">
        <v>33</v>
      </c>
      <c r="C460">
        <v>0</v>
      </c>
      <c r="D460" t="s">
        <v>73</v>
      </c>
      <c r="E460" t="s">
        <v>2690</v>
      </c>
      <c r="F460">
        <v>26</v>
      </c>
      <c r="G460">
        <v>700000</v>
      </c>
      <c r="H460" t="s">
        <v>7</v>
      </c>
      <c r="I460">
        <v>0</v>
      </c>
      <c r="J460">
        <v>0</v>
      </c>
      <c r="K460">
        <v>0</v>
      </c>
      <c r="L460">
        <v>0</v>
      </c>
      <c r="M460">
        <v>0</v>
      </c>
    </row>
    <row r="461" spans="1:13" ht="15" customHeight="1" x14ac:dyDescent="0.25">
      <c r="A461" t="s">
        <v>2338</v>
      </c>
      <c r="B461" t="s">
        <v>34</v>
      </c>
      <c r="C461" t="s">
        <v>386</v>
      </c>
      <c r="D461" t="s">
        <v>73</v>
      </c>
      <c r="E461" t="s">
        <v>2446</v>
      </c>
      <c r="F461">
        <v>22</v>
      </c>
      <c r="G461">
        <v>1491667</v>
      </c>
      <c r="H461" t="s">
        <v>8</v>
      </c>
      <c r="I461">
        <v>0</v>
      </c>
      <c r="J461">
        <v>0</v>
      </c>
      <c r="K461">
        <v>0</v>
      </c>
      <c r="L461">
        <v>0</v>
      </c>
      <c r="M461">
        <v>0</v>
      </c>
    </row>
    <row r="462" spans="1:13" ht="15" customHeight="1" x14ac:dyDescent="0.25">
      <c r="A462" t="s">
        <v>2900</v>
      </c>
      <c r="B462" t="s">
        <v>23</v>
      </c>
      <c r="C462">
        <v>0</v>
      </c>
      <c r="D462" t="s">
        <v>73</v>
      </c>
      <c r="E462" t="s">
        <v>2677</v>
      </c>
      <c r="F462">
        <v>26</v>
      </c>
      <c r="G462">
        <v>666666</v>
      </c>
      <c r="H462" t="s">
        <v>7</v>
      </c>
      <c r="I462">
        <v>0</v>
      </c>
      <c r="J462">
        <v>0</v>
      </c>
      <c r="K462">
        <v>0</v>
      </c>
      <c r="L462">
        <v>0</v>
      </c>
      <c r="M462">
        <v>0</v>
      </c>
    </row>
    <row r="463" spans="1:13" ht="15" customHeight="1" x14ac:dyDescent="0.25">
      <c r="A463" t="s">
        <v>2188</v>
      </c>
      <c r="B463" t="s">
        <v>12</v>
      </c>
      <c r="C463">
        <v>0</v>
      </c>
      <c r="D463" t="s">
        <v>2440</v>
      </c>
      <c r="E463" t="s">
        <v>2439</v>
      </c>
      <c r="F463">
        <v>26</v>
      </c>
      <c r="G463">
        <v>6750000</v>
      </c>
      <c r="H463">
        <v>6750000</v>
      </c>
      <c r="I463">
        <v>6750000</v>
      </c>
      <c r="J463" t="s">
        <v>7</v>
      </c>
      <c r="K463">
        <v>0</v>
      </c>
      <c r="L463">
        <v>0</v>
      </c>
      <c r="M463">
        <v>0</v>
      </c>
    </row>
    <row r="464" spans="1:13" ht="15" customHeight="1" x14ac:dyDescent="0.25">
      <c r="A464" t="s">
        <v>2339</v>
      </c>
      <c r="B464" t="s">
        <v>9</v>
      </c>
      <c r="C464">
        <v>0</v>
      </c>
      <c r="D464" t="s">
        <v>2450</v>
      </c>
      <c r="E464" t="s">
        <v>2446</v>
      </c>
      <c r="F464">
        <v>25</v>
      </c>
      <c r="G464">
        <v>700000</v>
      </c>
      <c r="H464" t="s">
        <v>8</v>
      </c>
      <c r="I464">
        <v>0</v>
      </c>
      <c r="J464">
        <v>0</v>
      </c>
      <c r="K464">
        <v>0</v>
      </c>
      <c r="L464">
        <v>0</v>
      </c>
      <c r="M464">
        <v>0</v>
      </c>
    </row>
    <row r="465" spans="1:13" ht="30" customHeight="1" x14ac:dyDescent="0.25">
      <c r="A465" t="s">
        <v>1582</v>
      </c>
      <c r="B465" t="s">
        <v>32</v>
      </c>
      <c r="C465">
        <v>0</v>
      </c>
      <c r="D465" t="s">
        <v>2445</v>
      </c>
      <c r="E465" t="s">
        <v>2446</v>
      </c>
      <c r="F465">
        <v>29</v>
      </c>
      <c r="G465">
        <v>700000</v>
      </c>
      <c r="H465" t="s">
        <v>7</v>
      </c>
      <c r="I465">
        <v>0</v>
      </c>
      <c r="J465">
        <v>0</v>
      </c>
      <c r="K465">
        <v>0</v>
      </c>
      <c r="L465">
        <v>0</v>
      </c>
      <c r="M465">
        <v>0</v>
      </c>
    </row>
    <row r="466" spans="1:13" ht="15" customHeight="1" x14ac:dyDescent="0.25">
      <c r="A466" t="s">
        <v>2901</v>
      </c>
      <c r="B466" t="s">
        <v>33</v>
      </c>
      <c r="C466">
        <v>0</v>
      </c>
      <c r="D466" t="s">
        <v>73</v>
      </c>
      <c r="E466" t="s">
        <v>2677</v>
      </c>
      <c r="F466">
        <v>24</v>
      </c>
      <c r="G466">
        <v>675000</v>
      </c>
      <c r="H466" t="s">
        <v>8</v>
      </c>
      <c r="I466">
        <v>0</v>
      </c>
      <c r="J466">
        <v>0</v>
      </c>
      <c r="K466">
        <v>0</v>
      </c>
      <c r="L466">
        <v>0</v>
      </c>
      <c r="M466">
        <v>0</v>
      </c>
    </row>
    <row r="467" spans="1:13" ht="15" customHeight="1" x14ac:dyDescent="0.25">
      <c r="A467" t="s">
        <v>1633</v>
      </c>
      <c r="B467" t="s">
        <v>11</v>
      </c>
      <c r="C467" t="s">
        <v>386</v>
      </c>
      <c r="D467" t="s">
        <v>2438</v>
      </c>
      <c r="E467" t="s">
        <v>2446</v>
      </c>
      <c r="F467">
        <v>21</v>
      </c>
      <c r="G467">
        <v>1163333</v>
      </c>
      <c r="H467">
        <v>1163333</v>
      </c>
      <c r="I467" t="s">
        <v>8</v>
      </c>
      <c r="J467">
        <v>0</v>
      </c>
      <c r="K467">
        <v>0</v>
      </c>
      <c r="L467">
        <v>0</v>
      </c>
      <c r="M467">
        <v>0</v>
      </c>
    </row>
    <row r="468" spans="1:13" ht="15" customHeight="1" x14ac:dyDescent="0.25">
      <c r="A468" t="s">
        <v>2641</v>
      </c>
      <c r="B468" t="s">
        <v>14</v>
      </c>
      <c r="C468" t="s">
        <v>386</v>
      </c>
      <c r="D468" t="s">
        <v>82</v>
      </c>
      <c r="E468" t="s">
        <v>2446</v>
      </c>
      <c r="F468">
        <v>23</v>
      </c>
      <c r="G468">
        <v>1350000</v>
      </c>
      <c r="H468" t="s">
        <v>8</v>
      </c>
      <c r="I468">
        <v>0</v>
      </c>
      <c r="J468">
        <v>0</v>
      </c>
      <c r="K468">
        <v>0</v>
      </c>
      <c r="L468">
        <v>0</v>
      </c>
      <c r="M468">
        <v>0</v>
      </c>
    </row>
    <row r="469" spans="1:13" ht="15" customHeight="1" x14ac:dyDescent="0.25">
      <c r="A469" t="s">
        <v>2664</v>
      </c>
      <c r="B469" t="s">
        <v>35</v>
      </c>
      <c r="C469" t="s">
        <v>386</v>
      </c>
      <c r="D469" t="s">
        <v>2445</v>
      </c>
      <c r="E469" t="s">
        <v>2446</v>
      </c>
      <c r="F469">
        <v>20</v>
      </c>
      <c r="G469">
        <v>810000</v>
      </c>
      <c r="H469">
        <v>810000</v>
      </c>
      <c r="I469">
        <v>810000</v>
      </c>
      <c r="J469" t="s">
        <v>8</v>
      </c>
      <c r="K469">
        <v>0</v>
      </c>
      <c r="L469">
        <v>0</v>
      </c>
      <c r="M469">
        <v>0</v>
      </c>
    </row>
    <row r="470" spans="1:13" ht="15" customHeight="1" x14ac:dyDescent="0.25">
      <c r="A470" t="s">
        <v>2205</v>
      </c>
      <c r="B470" t="s">
        <v>12</v>
      </c>
      <c r="C470" t="s">
        <v>386</v>
      </c>
      <c r="D470" t="s">
        <v>2448</v>
      </c>
      <c r="E470" t="s">
        <v>2446</v>
      </c>
      <c r="F470">
        <v>22</v>
      </c>
      <c r="G470">
        <v>925000</v>
      </c>
      <c r="H470" t="s">
        <v>8</v>
      </c>
      <c r="I470">
        <v>0</v>
      </c>
      <c r="J470">
        <v>0</v>
      </c>
      <c r="K470">
        <v>0</v>
      </c>
      <c r="L470">
        <v>0</v>
      </c>
      <c r="M470">
        <v>0</v>
      </c>
    </row>
    <row r="471" spans="1:13" ht="15" customHeight="1" x14ac:dyDescent="0.25">
      <c r="A471" t="s">
        <v>1637</v>
      </c>
      <c r="B471" t="s">
        <v>11</v>
      </c>
      <c r="C471" t="s">
        <v>386</v>
      </c>
      <c r="D471" t="s">
        <v>2448</v>
      </c>
      <c r="E471" t="s">
        <v>2446</v>
      </c>
      <c r="F471">
        <v>21</v>
      </c>
      <c r="G471">
        <v>800000</v>
      </c>
      <c r="H471">
        <v>800000</v>
      </c>
      <c r="I471" t="s">
        <v>8</v>
      </c>
      <c r="J471">
        <v>0</v>
      </c>
      <c r="K471">
        <v>0</v>
      </c>
      <c r="L471">
        <v>0</v>
      </c>
      <c r="M471">
        <v>0</v>
      </c>
    </row>
    <row r="472" spans="1:13" ht="15" customHeight="1" x14ac:dyDescent="0.25">
      <c r="A472" t="s">
        <v>1873</v>
      </c>
      <c r="B472" t="s">
        <v>2503</v>
      </c>
      <c r="C472" t="s">
        <v>386</v>
      </c>
      <c r="D472" t="s">
        <v>380</v>
      </c>
      <c r="E472" t="s">
        <v>2690</v>
      </c>
      <c r="F472">
        <v>20</v>
      </c>
      <c r="G472">
        <v>837778</v>
      </c>
      <c r="H472">
        <v>837778</v>
      </c>
      <c r="I472">
        <v>837778</v>
      </c>
      <c r="J472" t="s">
        <v>8</v>
      </c>
      <c r="K472">
        <v>0</v>
      </c>
      <c r="L472">
        <v>0</v>
      </c>
      <c r="M472">
        <v>0</v>
      </c>
    </row>
    <row r="473" spans="1:13" ht="15" customHeight="1" x14ac:dyDescent="0.25">
      <c r="A473" t="s">
        <v>1775</v>
      </c>
      <c r="B473" t="s">
        <v>26</v>
      </c>
      <c r="C473" t="s">
        <v>386</v>
      </c>
      <c r="D473" t="s">
        <v>127</v>
      </c>
      <c r="E473" t="s">
        <v>2677</v>
      </c>
      <c r="F473">
        <v>23</v>
      </c>
      <c r="G473">
        <v>925000</v>
      </c>
      <c r="H473" t="s">
        <v>8</v>
      </c>
      <c r="I473">
        <v>0</v>
      </c>
      <c r="J473">
        <v>0</v>
      </c>
      <c r="K473">
        <v>0</v>
      </c>
      <c r="L473">
        <v>0</v>
      </c>
      <c r="M473">
        <v>0</v>
      </c>
    </row>
    <row r="474" spans="1:13" ht="15" customHeight="1" x14ac:dyDescent="0.25">
      <c r="A474" t="s">
        <v>1689</v>
      </c>
      <c r="B474" t="s">
        <v>14</v>
      </c>
      <c r="C474">
        <v>0</v>
      </c>
      <c r="D474" t="s">
        <v>2442</v>
      </c>
      <c r="E474" t="s">
        <v>2446</v>
      </c>
      <c r="F474">
        <v>32</v>
      </c>
      <c r="G474">
        <v>675000</v>
      </c>
      <c r="H474" t="s">
        <v>7</v>
      </c>
      <c r="I474">
        <v>0</v>
      </c>
      <c r="J474">
        <v>0</v>
      </c>
      <c r="K474">
        <v>0</v>
      </c>
      <c r="L474">
        <v>0</v>
      </c>
      <c r="M474">
        <v>0</v>
      </c>
    </row>
    <row r="475" spans="1:13" x14ac:dyDescent="0.25">
      <c r="A475" t="s">
        <v>1870</v>
      </c>
      <c r="B475" t="s">
        <v>2503</v>
      </c>
      <c r="C475">
        <v>0</v>
      </c>
      <c r="D475" t="s">
        <v>2679</v>
      </c>
      <c r="E475" t="s">
        <v>2690</v>
      </c>
      <c r="F475">
        <v>23</v>
      </c>
      <c r="G475">
        <v>700000</v>
      </c>
      <c r="H475" t="s">
        <v>8</v>
      </c>
      <c r="I475">
        <v>0</v>
      </c>
      <c r="J475">
        <v>0</v>
      </c>
      <c r="K475">
        <v>0</v>
      </c>
      <c r="L475">
        <v>0</v>
      </c>
      <c r="M475">
        <v>0</v>
      </c>
    </row>
    <row r="476" spans="1:13" ht="15" customHeight="1" x14ac:dyDescent="0.25">
      <c r="A476" t="s">
        <v>1781</v>
      </c>
      <c r="B476" t="s">
        <v>26</v>
      </c>
      <c r="C476" t="s">
        <v>386</v>
      </c>
      <c r="D476" t="s">
        <v>2689</v>
      </c>
      <c r="E476" t="s">
        <v>2690</v>
      </c>
      <c r="F476">
        <v>21</v>
      </c>
      <c r="G476">
        <v>730000</v>
      </c>
      <c r="H476">
        <v>730000</v>
      </c>
      <c r="I476" t="s">
        <v>8</v>
      </c>
      <c r="J476">
        <v>0</v>
      </c>
      <c r="K476">
        <v>0</v>
      </c>
      <c r="L476">
        <v>0</v>
      </c>
      <c r="M476">
        <v>0</v>
      </c>
    </row>
    <row r="477" spans="1:13" ht="15" customHeight="1" x14ac:dyDescent="0.25">
      <c r="A477" t="s">
        <v>2837</v>
      </c>
      <c r="B477" t="s">
        <v>6</v>
      </c>
      <c r="C477" t="s">
        <v>420</v>
      </c>
      <c r="D477" t="s">
        <v>73</v>
      </c>
      <c r="E477" t="s">
        <v>2439</v>
      </c>
      <c r="F477">
        <v>34</v>
      </c>
      <c r="G477">
        <v>8250000</v>
      </c>
      <c r="H477">
        <v>8250000</v>
      </c>
      <c r="I477" t="s">
        <v>7</v>
      </c>
      <c r="J477">
        <v>0</v>
      </c>
      <c r="K477">
        <v>0</v>
      </c>
      <c r="L477">
        <v>0</v>
      </c>
      <c r="M477">
        <v>0</v>
      </c>
    </row>
    <row r="478" spans="1:13" ht="15" customHeight="1" x14ac:dyDescent="0.25">
      <c r="A478" t="s">
        <v>2723</v>
      </c>
      <c r="B478" t="s">
        <v>11</v>
      </c>
      <c r="C478">
        <v>0</v>
      </c>
      <c r="D478" t="s">
        <v>73</v>
      </c>
      <c r="E478" t="s">
        <v>2439</v>
      </c>
      <c r="F478">
        <v>31</v>
      </c>
      <c r="G478">
        <v>725000</v>
      </c>
      <c r="H478" t="s">
        <v>7</v>
      </c>
      <c r="I478">
        <v>0</v>
      </c>
      <c r="J478">
        <v>0</v>
      </c>
      <c r="K478">
        <v>0</v>
      </c>
      <c r="L478">
        <v>0</v>
      </c>
      <c r="M478">
        <v>0</v>
      </c>
    </row>
    <row r="479" spans="1:13" ht="15" customHeight="1" x14ac:dyDescent="0.25">
      <c r="A479" t="s">
        <v>1752</v>
      </c>
      <c r="B479" t="s">
        <v>25</v>
      </c>
      <c r="C479">
        <v>0</v>
      </c>
      <c r="D479" t="s">
        <v>127</v>
      </c>
      <c r="E479" t="s">
        <v>2446</v>
      </c>
      <c r="F479">
        <v>26</v>
      </c>
      <c r="G479">
        <v>675000</v>
      </c>
      <c r="H479" t="s">
        <v>7</v>
      </c>
      <c r="I479">
        <v>0</v>
      </c>
      <c r="J479">
        <v>0</v>
      </c>
      <c r="K479">
        <v>0</v>
      </c>
      <c r="L479">
        <v>0</v>
      </c>
      <c r="M479">
        <v>0</v>
      </c>
    </row>
    <row r="480" spans="1:13" ht="15" customHeight="1" x14ac:dyDescent="0.25">
      <c r="A480" t="s">
        <v>2128</v>
      </c>
      <c r="B480" t="s">
        <v>6</v>
      </c>
      <c r="C480">
        <v>0</v>
      </c>
      <c r="D480" t="s">
        <v>127</v>
      </c>
      <c r="E480" t="s">
        <v>2439</v>
      </c>
      <c r="F480">
        <v>26</v>
      </c>
      <c r="G480">
        <v>6400000</v>
      </c>
      <c r="H480">
        <v>6400000</v>
      </c>
      <c r="I480">
        <v>6400000</v>
      </c>
      <c r="J480">
        <v>6400000</v>
      </c>
      <c r="K480">
        <v>6400000</v>
      </c>
      <c r="L480">
        <v>6400000</v>
      </c>
      <c r="M480">
        <v>6400000</v>
      </c>
    </row>
    <row r="481" spans="1:13" ht="15" customHeight="1" x14ac:dyDescent="0.25">
      <c r="A481" t="s">
        <v>1717</v>
      </c>
      <c r="B481" t="s">
        <v>24</v>
      </c>
      <c r="C481" t="s">
        <v>386</v>
      </c>
      <c r="D481" t="s">
        <v>73</v>
      </c>
      <c r="E481" t="s">
        <v>2446</v>
      </c>
      <c r="F481">
        <v>21</v>
      </c>
      <c r="G481">
        <v>921666</v>
      </c>
      <c r="H481">
        <v>921666</v>
      </c>
      <c r="I481" t="s">
        <v>8</v>
      </c>
      <c r="J481">
        <v>0</v>
      </c>
      <c r="K481">
        <v>0</v>
      </c>
      <c r="L481">
        <v>0</v>
      </c>
      <c r="M481">
        <v>0</v>
      </c>
    </row>
    <row r="482" spans="1:13" ht="15" customHeight="1" x14ac:dyDescent="0.25">
      <c r="A482" t="s">
        <v>1899</v>
      </c>
      <c r="B482" t="s">
        <v>13</v>
      </c>
      <c r="C482" t="s">
        <v>386</v>
      </c>
      <c r="D482" t="s">
        <v>2445</v>
      </c>
      <c r="E482" t="s">
        <v>2446</v>
      </c>
      <c r="F482">
        <v>22</v>
      </c>
      <c r="G482">
        <v>925000</v>
      </c>
      <c r="H482">
        <v>925000</v>
      </c>
      <c r="I482" t="s">
        <v>8</v>
      </c>
      <c r="J482">
        <v>0</v>
      </c>
      <c r="K482">
        <v>0</v>
      </c>
      <c r="L482">
        <v>0</v>
      </c>
      <c r="M482">
        <v>0</v>
      </c>
    </row>
    <row r="483" spans="1:13" ht="15" customHeight="1" x14ac:dyDescent="0.25">
      <c r="A483" t="s">
        <v>2203</v>
      </c>
      <c r="B483" t="s">
        <v>12</v>
      </c>
      <c r="C483">
        <v>0</v>
      </c>
      <c r="D483" t="s">
        <v>127</v>
      </c>
      <c r="E483" t="s">
        <v>2446</v>
      </c>
      <c r="F483">
        <v>25</v>
      </c>
      <c r="G483">
        <v>750000</v>
      </c>
      <c r="H483" t="s">
        <v>8</v>
      </c>
      <c r="I483">
        <v>0</v>
      </c>
      <c r="J483">
        <v>0</v>
      </c>
      <c r="K483">
        <v>0</v>
      </c>
      <c r="L483">
        <v>0</v>
      </c>
      <c r="M483">
        <v>0</v>
      </c>
    </row>
    <row r="484" spans="1:13" ht="15" customHeight="1" x14ac:dyDescent="0.25">
      <c r="A484" t="s">
        <v>1784</v>
      </c>
      <c r="B484" t="s">
        <v>10</v>
      </c>
      <c r="C484">
        <v>0</v>
      </c>
      <c r="D484" t="s">
        <v>82</v>
      </c>
      <c r="E484" t="s">
        <v>2690</v>
      </c>
      <c r="F484">
        <v>26</v>
      </c>
      <c r="G484">
        <v>700000</v>
      </c>
      <c r="H484" t="s">
        <v>7</v>
      </c>
      <c r="I484">
        <v>0</v>
      </c>
      <c r="J484">
        <v>0</v>
      </c>
      <c r="K484">
        <v>0</v>
      </c>
      <c r="L484">
        <v>0</v>
      </c>
      <c r="M484">
        <v>0</v>
      </c>
    </row>
    <row r="485" spans="1:13" ht="15" customHeight="1" x14ac:dyDescent="0.25">
      <c r="A485" t="s">
        <v>2836</v>
      </c>
      <c r="B485" t="s">
        <v>12</v>
      </c>
      <c r="C485" t="s">
        <v>372</v>
      </c>
      <c r="D485" t="s">
        <v>2445</v>
      </c>
      <c r="E485" t="s">
        <v>2439</v>
      </c>
      <c r="F485">
        <v>35</v>
      </c>
      <c r="G485">
        <v>6750000</v>
      </c>
      <c r="H485">
        <v>6750000</v>
      </c>
      <c r="I485">
        <v>6750000</v>
      </c>
      <c r="J485" t="s">
        <v>7</v>
      </c>
      <c r="K485">
        <v>0</v>
      </c>
      <c r="L485">
        <v>0</v>
      </c>
      <c r="M485">
        <v>0</v>
      </c>
    </row>
    <row r="486" spans="1:13" ht="15" customHeight="1" x14ac:dyDescent="0.25">
      <c r="A486" t="s">
        <v>1929</v>
      </c>
      <c r="B486" t="s">
        <v>15</v>
      </c>
      <c r="C486" t="s">
        <v>403</v>
      </c>
      <c r="D486" t="s">
        <v>2445</v>
      </c>
      <c r="E486" t="s">
        <v>2439</v>
      </c>
      <c r="F486">
        <v>21</v>
      </c>
      <c r="G486">
        <v>935833</v>
      </c>
      <c r="H486">
        <v>5000000</v>
      </c>
      <c r="I486">
        <v>5000000</v>
      </c>
      <c r="J486">
        <v>5000000</v>
      </c>
      <c r="K486">
        <v>5000000</v>
      </c>
      <c r="L486">
        <v>5000000</v>
      </c>
      <c r="M486">
        <v>5000000</v>
      </c>
    </row>
    <row r="487" spans="1:13" ht="15" customHeight="1" x14ac:dyDescent="0.25">
      <c r="A487" t="s">
        <v>1386</v>
      </c>
      <c r="B487" t="s">
        <v>10</v>
      </c>
      <c r="C487">
        <v>0</v>
      </c>
      <c r="D487" t="s">
        <v>2679</v>
      </c>
      <c r="E487" t="s">
        <v>2677</v>
      </c>
      <c r="F487">
        <v>25</v>
      </c>
      <c r="G487">
        <v>1600000</v>
      </c>
      <c r="H487" t="s">
        <v>7</v>
      </c>
      <c r="I487">
        <v>0</v>
      </c>
      <c r="J487">
        <v>0</v>
      </c>
      <c r="K487">
        <v>0</v>
      </c>
      <c r="L487">
        <v>0</v>
      </c>
      <c r="M487">
        <v>0</v>
      </c>
    </row>
    <row r="488" spans="1:13" ht="15" customHeight="1" x14ac:dyDescent="0.25">
      <c r="A488" t="s">
        <v>2843</v>
      </c>
      <c r="B488" t="s">
        <v>28</v>
      </c>
      <c r="C488" t="s">
        <v>420</v>
      </c>
      <c r="D488" t="s">
        <v>2462</v>
      </c>
      <c r="E488" t="s">
        <v>2439</v>
      </c>
      <c r="F488">
        <v>31</v>
      </c>
      <c r="G488">
        <v>8275000</v>
      </c>
      <c r="H488">
        <v>8275000</v>
      </c>
      <c r="I488">
        <v>8275000</v>
      </c>
      <c r="J488" t="s">
        <v>7</v>
      </c>
      <c r="K488">
        <v>0</v>
      </c>
      <c r="L488">
        <v>0</v>
      </c>
      <c r="M488">
        <v>0</v>
      </c>
    </row>
    <row r="489" spans="1:13" ht="15" customHeight="1" x14ac:dyDescent="0.25">
      <c r="A489" t="s">
        <v>2385</v>
      </c>
      <c r="B489" t="s">
        <v>135</v>
      </c>
      <c r="C489" t="s">
        <v>386</v>
      </c>
      <c r="D489" t="s">
        <v>73</v>
      </c>
      <c r="E489" t="s">
        <v>2690</v>
      </c>
      <c r="F489">
        <v>20</v>
      </c>
      <c r="G489">
        <v>1713333</v>
      </c>
      <c r="H489">
        <v>1713333</v>
      </c>
      <c r="I489">
        <v>1713333</v>
      </c>
      <c r="J489" t="s">
        <v>8</v>
      </c>
      <c r="K489">
        <v>0</v>
      </c>
      <c r="L489">
        <v>0</v>
      </c>
      <c r="M489">
        <v>0</v>
      </c>
    </row>
    <row r="490" spans="1:13" ht="15" customHeight="1" x14ac:dyDescent="0.25">
      <c r="A490" t="s">
        <v>1973</v>
      </c>
      <c r="B490" t="s">
        <v>16</v>
      </c>
      <c r="C490" t="s">
        <v>386</v>
      </c>
      <c r="D490" t="s">
        <v>380</v>
      </c>
      <c r="E490" t="s">
        <v>2690</v>
      </c>
      <c r="F490">
        <v>21</v>
      </c>
      <c r="G490">
        <v>761666</v>
      </c>
      <c r="H490">
        <v>761666</v>
      </c>
      <c r="I490" t="s">
        <v>8</v>
      </c>
      <c r="J490">
        <v>0</v>
      </c>
      <c r="K490">
        <v>0</v>
      </c>
      <c r="L490">
        <v>0</v>
      </c>
      <c r="M490">
        <v>0</v>
      </c>
    </row>
    <row r="491" spans="1:13" ht="15" customHeight="1" x14ac:dyDescent="0.25">
      <c r="A491" t="s">
        <v>1426</v>
      </c>
      <c r="B491" t="s">
        <v>17</v>
      </c>
      <c r="C491">
        <v>0</v>
      </c>
      <c r="D491" t="s">
        <v>2521</v>
      </c>
      <c r="E491" t="s">
        <v>2439</v>
      </c>
      <c r="F491">
        <v>30</v>
      </c>
      <c r="G491">
        <v>1800000</v>
      </c>
      <c r="H491">
        <v>1800000</v>
      </c>
      <c r="I491" t="s">
        <v>7</v>
      </c>
      <c r="J491">
        <v>0</v>
      </c>
      <c r="K491">
        <v>0</v>
      </c>
      <c r="L491">
        <v>0</v>
      </c>
      <c r="M491">
        <v>0</v>
      </c>
    </row>
    <row r="492" spans="1:13" ht="15" customHeight="1" x14ac:dyDescent="0.25">
      <c r="A492" t="s">
        <v>2350</v>
      </c>
      <c r="B492" t="s">
        <v>34</v>
      </c>
      <c r="C492">
        <v>0</v>
      </c>
      <c r="D492" t="s">
        <v>2440</v>
      </c>
      <c r="E492" t="s">
        <v>2439</v>
      </c>
      <c r="F492">
        <v>23</v>
      </c>
      <c r="G492" t="s">
        <v>8</v>
      </c>
      <c r="H492">
        <v>0</v>
      </c>
      <c r="I492">
        <v>0</v>
      </c>
      <c r="J492">
        <v>0</v>
      </c>
      <c r="K492">
        <v>0</v>
      </c>
      <c r="L492">
        <v>0</v>
      </c>
      <c r="M492">
        <v>0</v>
      </c>
    </row>
    <row r="493" spans="1:13" ht="15" customHeight="1" x14ac:dyDescent="0.25">
      <c r="A493" t="s">
        <v>2455</v>
      </c>
      <c r="B493" t="s">
        <v>63</v>
      </c>
      <c r="C493" t="s">
        <v>381</v>
      </c>
      <c r="D493" t="s">
        <v>379</v>
      </c>
      <c r="E493" t="s">
        <v>2677</v>
      </c>
      <c r="F493">
        <v>34</v>
      </c>
      <c r="G493">
        <v>5475000</v>
      </c>
      <c r="H493">
        <v>5475000</v>
      </c>
      <c r="I493" t="s">
        <v>7</v>
      </c>
      <c r="J493">
        <v>0</v>
      </c>
      <c r="K493">
        <v>0</v>
      </c>
      <c r="L493">
        <v>0</v>
      </c>
      <c r="M493">
        <v>0</v>
      </c>
    </row>
    <row r="494" spans="1:13" ht="15" customHeight="1" x14ac:dyDescent="0.25">
      <c r="A494" t="s">
        <v>1382</v>
      </c>
      <c r="B494" t="s">
        <v>27</v>
      </c>
      <c r="C494">
        <v>0</v>
      </c>
      <c r="D494" t="s">
        <v>2444</v>
      </c>
      <c r="E494" t="s">
        <v>2446</v>
      </c>
      <c r="F494">
        <v>29</v>
      </c>
      <c r="G494">
        <v>800000</v>
      </c>
      <c r="H494" t="s">
        <v>7</v>
      </c>
      <c r="I494">
        <v>0</v>
      </c>
      <c r="J494">
        <v>0</v>
      </c>
      <c r="K494">
        <v>0</v>
      </c>
      <c r="L494">
        <v>0</v>
      </c>
      <c r="M494">
        <v>0</v>
      </c>
    </row>
    <row r="495" spans="1:13" ht="15" customHeight="1" x14ac:dyDescent="0.25">
      <c r="A495" t="s">
        <v>2302</v>
      </c>
      <c r="B495" t="s">
        <v>30</v>
      </c>
      <c r="C495">
        <v>0</v>
      </c>
      <c r="D495" t="s">
        <v>2448</v>
      </c>
      <c r="E495" t="s">
        <v>2439</v>
      </c>
      <c r="F495">
        <v>26</v>
      </c>
      <c r="G495">
        <v>925000</v>
      </c>
      <c r="H495">
        <v>925000</v>
      </c>
      <c r="I495" t="s">
        <v>7</v>
      </c>
      <c r="J495">
        <v>0</v>
      </c>
      <c r="K495">
        <v>0</v>
      </c>
      <c r="L495">
        <v>0</v>
      </c>
      <c r="M495">
        <v>0</v>
      </c>
    </row>
    <row r="496" spans="1:13" ht="15" customHeight="1" x14ac:dyDescent="0.25">
      <c r="A496" t="s">
        <v>2620</v>
      </c>
      <c r="B496" t="s">
        <v>21</v>
      </c>
      <c r="C496" t="s">
        <v>386</v>
      </c>
      <c r="D496" t="s">
        <v>2445</v>
      </c>
      <c r="E496" t="s">
        <v>2446</v>
      </c>
      <c r="F496">
        <v>20</v>
      </c>
      <c r="G496">
        <v>791667</v>
      </c>
      <c r="H496">
        <v>791667</v>
      </c>
      <c r="I496">
        <v>791667</v>
      </c>
      <c r="J496" t="s">
        <v>8</v>
      </c>
      <c r="K496">
        <v>0</v>
      </c>
      <c r="L496">
        <v>0</v>
      </c>
      <c r="M496">
        <v>0</v>
      </c>
    </row>
    <row r="497" spans="1:13" ht="15" customHeight="1" x14ac:dyDescent="0.25">
      <c r="A497" t="s">
        <v>1793</v>
      </c>
      <c r="B497" t="s">
        <v>28</v>
      </c>
      <c r="C497">
        <v>0</v>
      </c>
      <c r="D497" t="s">
        <v>2445</v>
      </c>
      <c r="E497" t="s">
        <v>2439</v>
      </c>
      <c r="F497">
        <v>26</v>
      </c>
      <c r="G497">
        <v>4500000</v>
      </c>
      <c r="H497">
        <v>4500000</v>
      </c>
      <c r="I497">
        <v>4500000</v>
      </c>
      <c r="J497">
        <v>4500000</v>
      </c>
      <c r="K497" t="s">
        <v>7</v>
      </c>
      <c r="L497">
        <v>0</v>
      </c>
      <c r="M497">
        <v>0</v>
      </c>
    </row>
    <row r="498" spans="1:13" ht="15" customHeight="1" x14ac:dyDescent="0.25">
      <c r="A498" t="s">
        <v>1814</v>
      </c>
      <c r="B498" t="s">
        <v>135</v>
      </c>
      <c r="C498">
        <v>0</v>
      </c>
      <c r="D498" t="s">
        <v>93</v>
      </c>
      <c r="E498" t="s">
        <v>2690</v>
      </c>
      <c r="F498">
        <v>25</v>
      </c>
      <c r="G498">
        <v>700000</v>
      </c>
      <c r="H498">
        <v>700000</v>
      </c>
      <c r="I498" t="s">
        <v>7</v>
      </c>
      <c r="J498">
        <v>0</v>
      </c>
      <c r="K498">
        <v>0</v>
      </c>
      <c r="L498">
        <v>0</v>
      </c>
      <c r="M498">
        <v>0</v>
      </c>
    </row>
    <row r="499" spans="1:13" ht="15" customHeight="1" x14ac:dyDescent="0.25">
      <c r="A499" t="s">
        <v>1551</v>
      </c>
      <c r="B499" t="s">
        <v>32</v>
      </c>
      <c r="C499" t="s">
        <v>372</v>
      </c>
      <c r="D499" t="s">
        <v>2496</v>
      </c>
      <c r="E499" t="s">
        <v>2439</v>
      </c>
      <c r="F499">
        <v>27</v>
      </c>
      <c r="G499">
        <v>5166666</v>
      </c>
      <c r="H499">
        <v>5166666</v>
      </c>
      <c r="I499">
        <v>5166666</v>
      </c>
      <c r="J499">
        <v>5166666</v>
      </c>
      <c r="K499">
        <v>5166666</v>
      </c>
      <c r="L499">
        <v>5166666</v>
      </c>
      <c r="M499" t="s">
        <v>7</v>
      </c>
    </row>
    <row r="500" spans="1:13" ht="15" customHeight="1" x14ac:dyDescent="0.25">
      <c r="A500" t="s">
        <v>2151</v>
      </c>
      <c r="B500" t="s">
        <v>63</v>
      </c>
      <c r="C500" t="s">
        <v>381</v>
      </c>
      <c r="D500" t="s">
        <v>2680</v>
      </c>
      <c r="E500" t="s">
        <v>2677</v>
      </c>
      <c r="F500">
        <v>31</v>
      </c>
      <c r="G500">
        <v>3350000</v>
      </c>
      <c r="H500">
        <v>3350000</v>
      </c>
      <c r="I500" t="s">
        <v>7</v>
      </c>
      <c r="J500">
        <v>0</v>
      </c>
      <c r="K500">
        <v>0</v>
      </c>
      <c r="L500">
        <v>0</v>
      </c>
      <c r="M500">
        <v>0</v>
      </c>
    </row>
    <row r="501" spans="1:13" ht="15" customHeight="1" x14ac:dyDescent="0.25">
      <c r="A501" t="s">
        <v>2688</v>
      </c>
      <c r="B501" t="s">
        <v>33</v>
      </c>
      <c r="C501">
        <v>0</v>
      </c>
      <c r="D501">
        <v>0</v>
      </c>
      <c r="E501">
        <v>0</v>
      </c>
      <c r="F501">
        <v>0</v>
      </c>
      <c r="G501">
        <v>0</v>
      </c>
      <c r="H501">
        <v>0</v>
      </c>
      <c r="I501">
        <v>0</v>
      </c>
      <c r="J501">
        <v>0</v>
      </c>
      <c r="K501">
        <v>0</v>
      </c>
      <c r="L501">
        <v>0</v>
      </c>
      <c r="M501">
        <v>0</v>
      </c>
    </row>
    <row r="502" spans="1:13" ht="15" customHeight="1" x14ac:dyDescent="0.25">
      <c r="A502" t="s">
        <v>2335</v>
      </c>
      <c r="B502" t="s">
        <v>18</v>
      </c>
      <c r="C502">
        <v>0</v>
      </c>
      <c r="D502" t="s">
        <v>2496</v>
      </c>
      <c r="E502" t="s">
        <v>2439</v>
      </c>
      <c r="F502">
        <v>26</v>
      </c>
      <c r="G502">
        <v>1300000</v>
      </c>
      <c r="H502" t="s">
        <v>7</v>
      </c>
      <c r="I502">
        <v>0</v>
      </c>
      <c r="J502">
        <v>0</v>
      </c>
      <c r="K502">
        <v>0</v>
      </c>
      <c r="L502">
        <v>0</v>
      </c>
      <c r="M502">
        <v>0</v>
      </c>
    </row>
    <row r="503" spans="1:13" x14ac:dyDescent="0.25">
      <c r="A503" t="s">
        <v>1986</v>
      </c>
      <c r="B503" t="s">
        <v>23</v>
      </c>
      <c r="C503">
        <v>0</v>
      </c>
      <c r="D503" t="s">
        <v>2684</v>
      </c>
      <c r="E503" t="s">
        <v>2677</v>
      </c>
      <c r="F503">
        <v>27</v>
      </c>
      <c r="G503">
        <v>5750000</v>
      </c>
      <c r="H503" t="s">
        <v>7</v>
      </c>
      <c r="I503">
        <v>0</v>
      </c>
      <c r="J503">
        <v>0</v>
      </c>
      <c r="K503">
        <v>0</v>
      </c>
      <c r="L503">
        <v>0</v>
      </c>
      <c r="M503">
        <v>0</v>
      </c>
    </row>
    <row r="504" spans="1:13" ht="15" customHeight="1" x14ac:dyDescent="0.25">
      <c r="A504" t="s">
        <v>1827</v>
      </c>
      <c r="B504" t="s">
        <v>6</v>
      </c>
      <c r="C504">
        <v>0</v>
      </c>
      <c r="D504" t="s">
        <v>2453</v>
      </c>
      <c r="E504" t="s">
        <v>2439</v>
      </c>
      <c r="F504">
        <v>29</v>
      </c>
      <c r="G504">
        <v>700000</v>
      </c>
      <c r="H504" t="s">
        <v>7</v>
      </c>
      <c r="I504">
        <v>0</v>
      </c>
      <c r="J504">
        <v>0</v>
      </c>
      <c r="K504">
        <v>0</v>
      </c>
      <c r="L504">
        <v>0</v>
      </c>
      <c r="M504">
        <v>0</v>
      </c>
    </row>
    <row r="505" spans="1:13" ht="15" customHeight="1" x14ac:dyDescent="0.25">
      <c r="A505" t="s">
        <v>2216</v>
      </c>
      <c r="B505" t="s">
        <v>34</v>
      </c>
      <c r="C505">
        <v>0</v>
      </c>
      <c r="D505" t="s">
        <v>73</v>
      </c>
      <c r="E505" t="s">
        <v>2446</v>
      </c>
      <c r="F505">
        <v>26</v>
      </c>
      <c r="G505">
        <v>700000</v>
      </c>
      <c r="H505" t="s">
        <v>7</v>
      </c>
      <c r="I505">
        <v>0</v>
      </c>
      <c r="J505">
        <v>0</v>
      </c>
      <c r="K505">
        <v>0</v>
      </c>
      <c r="L505">
        <v>0</v>
      </c>
      <c r="M505">
        <v>0</v>
      </c>
    </row>
    <row r="506" spans="1:13" ht="15" customHeight="1" x14ac:dyDescent="0.25">
      <c r="A506" t="s">
        <v>2227</v>
      </c>
      <c r="B506" t="s">
        <v>33</v>
      </c>
      <c r="C506">
        <v>0</v>
      </c>
      <c r="D506" t="s">
        <v>380</v>
      </c>
      <c r="E506" t="s">
        <v>2690</v>
      </c>
      <c r="F506">
        <v>27</v>
      </c>
      <c r="G506">
        <v>700000</v>
      </c>
      <c r="H506" t="s">
        <v>7</v>
      </c>
      <c r="I506">
        <v>0</v>
      </c>
      <c r="J506">
        <v>0</v>
      </c>
      <c r="K506">
        <v>0</v>
      </c>
      <c r="L506">
        <v>0</v>
      </c>
      <c r="M506">
        <v>0</v>
      </c>
    </row>
    <row r="507" spans="1:13" ht="15" customHeight="1" x14ac:dyDescent="0.25">
      <c r="A507" t="s">
        <v>1949</v>
      </c>
      <c r="B507" t="s">
        <v>15</v>
      </c>
      <c r="C507">
        <v>0</v>
      </c>
      <c r="D507" t="s">
        <v>2445</v>
      </c>
      <c r="E507" t="s">
        <v>2439</v>
      </c>
      <c r="F507">
        <v>24</v>
      </c>
      <c r="G507">
        <v>735000</v>
      </c>
      <c r="H507" t="s">
        <v>8</v>
      </c>
      <c r="I507">
        <v>0</v>
      </c>
      <c r="J507">
        <v>0</v>
      </c>
      <c r="K507">
        <v>0</v>
      </c>
      <c r="L507">
        <v>0</v>
      </c>
      <c r="M507">
        <v>0</v>
      </c>
    </row>
    <row r="508" spans="1:13" ht="15" customHeight="1" x14ac:dyDescent="0.25">
      <c r="A508" t="s">
        <v>1478</v>
      </c>
      <c r="B508" t="s">
        <v>2531</v>
      </c>
      <c r="C508">
        <v>0</v>
      </c>
      <c r="D508" t="s">
        <v>88</v>
      </c>
      <c r="E508" t="s">
        <v>2690</v>
      </c>
      <c r="F508">
        <v>25</v>
      </c>
      <c r="G508">
        <v>700000</v>
      </c>
      <c r="H508" t="s">
        <v>8</v>
      </c>
      <c r="I508">
        <v>0</v>
      </c>
      <c r="J508">
        <v>0</v>
      </c>
      <c r="K508">
        <v>0</v>
      </c>
      <c r="L508">
        <v>0</v>
      </c>
      <c r="M508">
        <v>0</v>
      </c>
    </row>
    <row r="509" spans="1:13" ht="15" customHeight="1" x14ac:dyDescent="0.25">
      <c r="A509" t="s">
        <v>2106</v>
      </c>
      <c r="B509" t="s">
        <v>35</v>
      </c>
      <c r="C509" t="s">
        <v>386</v>
      </c>
      <c r="D509" t="s">
        <v>2444</v>
      </c>
      <c r="E509" t="s">
        <v>2446</v>
      </c>
      <c r="F509">
        <v>21</v>
      </c>
      <c r="G509">
        <v>838333</v>
      </c>
      <c r="H509">
        <v>838333</v>
      </c>
      <c r="I509" t="s">
        <v>8</v>
      </c>
      <c r="J509">
        <v>0</v>
      </c>
      <c r="K509">
        <v>0</v>
      </c>
      <c r="L509">
        <v>0</v>
      </c>
      <c r="M509">
        <v>0</v>
      </c>
    </row>
    <row r="510" spans="1:13" ht="15" customHeight="1" x14ac:dyDescent="0.25">
      <c r="A510" t="s">
        <v>1430</v>
      </c>
      <c r="B510" t="s">
        <v>17</v>
      </c>
      <c r="C510" t="s">
        <v>381</v>
      </c>
      <c r="D510" t="s">
        <v>2444</v>
      </c>
      <c r="E510" t="s">
        <v>2439</v>
      </c>
      <c r="F510">
        <v>33</v>
      </c>
      <c r="G510">
        <v>5375000</v>
      </c>
      <c r="H510" t="s">
        <v>7</v>
      </c>
      <c r="I510">
        <v>0</v>
      </c>
      <c r="J510">
        <v>0</v>
      </c>
      <c r="K510">
        <v>0</v>
      </c>
      <c r="L510">
        <v>0</v>
      </c>
      <c r="M510">
        <v>0</v>
      </c>
    </row>
    <row r="511" spans="1:13" ht="15" customHeight="1" x14ac:dyDescent="0.25">
      <c r="A511" t="s">
        <v>2839</v>
      </c>
      <c r="B511" t="s">
        <v>24</v>
      </c>
      <c r="C511" t="s">
        <v>372</v>
      </c>
      <c r="D511" t="s">
        <v>2445</v>
      </c>
      <c r="E511" t="s">
        <v>2439</v>
      </c>
      <c r="F511">
        <v>36</v>
      </c>
      <c r="G511">
        <v>5000000</v>
      </c>
      <c r="H511" t="s">
        <v>7</v>
      </c>
      <c r="I511">
        <v>0</v>
      </c>
      <c r="J511">
        <v>0</v>
      </c>
      <c r="K511">
        <v>0</v>
      </c>
      <c r="L511">
        <v>0</v>
      </c>
      <c r="M511">
        <v>0</v>
      </c>
    </row>
    <row r="512" spans="1:13" ht="15" customHeight="1" x14ac:dyDescent="0.25">
      <c r="A512" t="s">
        <v>1992</v>
      </c>
      <c r="B512" t="s">
        <v>21</v>
      </c>
      <c r="C512" t="s">
        <v>386</v>
      </c>
      <c r="D512" t="s">
        <v>2440</v>
      </c>
      <c r="E512" t="s">
        <v>2446</v>
      </c>
      <c r="F512">
        <v>22</v>
      </c>
      <c r="G512">
        <v>1225000</v>
      </c>
      <c r="H512" t="s">
        <v>8</v>
      </c>
      <c r="I512">
        <v>0</v>
      </c>
      <c r="J512">
        <v>0</v>
      </c>
      <c r="K512">
        <v>0</v>
      </c>
      <c r="L512">
        <v>0</v>
      </c>
      <c r="M512">
        <v>0</v>
      </c>
    </row>
    <row r="513" spans="1:13" ht="15" customHeight="1" x14ac:dyDescent="0.25">
      <c r="A513" t="s">
        <v>1943</v>
      </c>
      <c r="B513" t="s">
        <v>15</v>
      </c>
      <c r="C513">
        <v>0</v>
      </c>
      <c r="D513" t="s">
        <v>2440</v>
      </c>
      <c r="E513" t="s">
        <v>2446</v>
      </c>
      <c r="F513">
        <v>22</v>
      </c>
      <c r="G513">
        <v>735000</v>
      </c>
      <c r="H513" t="s">
        <v>8</v>
      </c>
      <c r="I513">
        <v>0</v>
      </c>
      <c r="J513">
        <v>0</v>
      </c>
      <c r="K513">
        <v>0</v>
      </c>
      <c r="L513">
        <v>0</v>
      </c>
      <c r="M513">
        <v>0</v>
      </c>
    </row>
    <row r="514" spans="1:13" ht="30" customHeight="1" x14ac:dyDescent="0.25">
      <c r="A514" t="s">
        <v>2316</v>
      </c>
      <c r="B514" t="s">
        <v>30</v>
      </c>
      <c r="C514" t="s">
        <v>386</v>
      </c>
      <c r="D514" t="s">
        <v>73</v>
      </c>
      <c r="E514" t="s">
        <v>2446</v>
      </c>
      <c r="F514">
        <v>21</v>
      </c>
      <c r="G514">
        <v>850000</v>
      </c>
      <c r="H514">
        <v>850000</v>
      </c>
      <c r="I514" t="s">
        <v>8</v>
      </c>
      <c r="J514">
        <v>0</v>
      </c>
      <c r="K514">
        <v>0</v>
      </c>
      <c r="L514">
        <v>0</v>
      </c>
      <c r="M514">
        <v>0</v>
      </c>
    </row>
    <row r="515" spans="1:13" ht="15" customHeight="1" x14ac:dyDescent="0.25">
      <c r="A515" t="s">
        <v>1740</v>
      </c>
      <c r="B515" t="s">
        <v>25</v>
      </c>
      <c r="C515">
        <v>0</v>
      </c>
      <c r="D515" t="s">
        <v>127</v>
      </c>
      <c r="E515" t="s">
        <v>2439</v>
      </c>
      <c r="F515">
        <v>33</v>
      </c>
      <c r="G515">
        <v>3333333</v>
      </c>
      <c r="H515" t="s">
        <v>7</v>
      </c>
      <c r="I515">
        <v>0</v>
      </c>
      <c r="J515">
        <v>0</v>
      </c>
      <c r="K515">
        <v>0</v>
      </c>
      <c r="L515">
        <v>0</v>
      </c>
      <c r="M515">
        <v>0</v>
      </c>
    </row>
    <row r="516" spans="1:13" ht="15" customHeight="1" x14ac:dyDescent="0.25">
      <c r="A516" t="s">
        <v>2110</v>
      </c>
      <c r="B516" t="s">
        <v>35</v>
      </c>
      <c r="C516">
        <v>0</v>
      </c>
      <c r="D516" t="s">
        <v>2453</v>
      </c>
      <c r="E516" t="s">
        <v>2446</v>
      </c>
      <c r="F516">
        <v>26</v>
      </c>
      <c r="G516">
        <v>700000</v>
      </c>
      <c r="H516" t="s">
        <v>7</v>
      </c>
      <c r="I516">
        <v>0</v>
      </c>
      <c r="J516">
        <v>0</v>
      </c>
      <c r="K516">
        <v>0</v>
      </c>
      <c r="L516">
        <v>0</v>
      </c>
      <c r="M516">
        <v>0</v>
      </c>
    </row>
    <row r="517" spans="1:13" ht="15" customHeight="1" x14ac:dyDescent="0.25">
      <c r="A517" t="s">
        <v>2042</v>
      </c>
      <c r="B517" t="s">
        <v>23</v>
      </c>
      <c r="C517">
        <v>0</v>
      </c>
      <c r="D517" t="s">
        <v>88</v>
      </c>
      <c r="E517" t="s">
        <v>2677</v>
      </c>
      <c r="F517">
        <v>26</v>
      </c>
      <c r="G517">
        <v>1000000</v>
      </c>
      <c r="H517" t="s">
        <v>7</v>
      </c>
      <c r="I517">
        <v>0</v>
      </c>
      <c r="J517">
        <v>0</v>
      </c>
      <c r="K517">
        <v>0</v>
      </c>
      <c r="L517">
        <v>0</v>
      </c>
      <c r="M517">
        <v>0</v>
      </c>
    </row>
    <row r="518" spans="1:13" ht="15" customHeight="1" x14ac:dyDescent="0.25">
      <c r="A518" t="s">
        <v>2902</v>
      </c>
      <c r="B518" t="s">
        <v>24</v>
      </c>
      <c r="C518" t="s">
        <v>388</v>
      </c>
      <c r="D518" t="s">
        <v>2445</v>
      </c>
      <c r="E518" t="s">
        <v>389</v>
      </c>
      <c r="F518">
        <v>19</v>
      </c>
      <c r="G518">
        <v>743333</v>
      </c>
      <c r="H518">
        <v>743333</v>
      </c>
      <c r="I518">
        <v>743333</v>
      </c>
      <c r="J518" t="s">
        <v>8</v>
      </c>
      <c r="K518">
        <v>0</v>
      </c>
      <c r="L518">
        <v>0</v>
      </c>
      <c r="M518">
        <v>0</v>
      </c>
    </row>
    <row r="519" spans="1:13" ht="15" customHeight="1" x14ac:dyDescent="0.25">
      <c r="A519" t="s">
        <v>1774</v>
      </c>
      <c r="B519" t="s">
        <v>26</v>
      </c>
      <c r="C519" t="s">
        <v>386</v>
      </c>
      <c r="D519" t="s">
        <v>93</v>
      </c>
      <c r="E519" t="s">
        <v>2690</v>
      </c>
      <c r="F519">
        <v>22</v>
      </c>
      <c r="G519">
        <v>888333</v>
      </c>
      <c r="H519" t="s">
        <v>8</v>
      </c>
      <c r="I519">
        <v>0</v>
      </c>
      <c r="J519">
        <v>0</v>
      </c>
      <c r="K519">
        <v>0</v>
      </c>
      <c r="L519">
        <v>0</v>
      </c>
      <c r="M519">
        <v>0</v>
      </c>
    </row>
    <row r="520" spans="1:13" ht="15" customHeight="1" x14ac:dyDescent="0.25">
      <c r="A520" t="s">
        <v>2043</v>
      </c>
      <c r="B520" t="s">
        <v>23</v>
      </c>
      <c r="C520">
        <v>0</v>
      </c>
      <c r="D520" t="s">
        <v>127</v>
      </c>
      <c r="E520" t="s">
        <v>2690</v>
      </c>
      <c r="F520">
        <v>29</v>
      </c>
      <c r="G520">
        <v>700000</v>
      </c>
      <c r="H520" t="s">
        <v>7</v>
      </c>
      <c r="I520">
        <v>0</v>
      </c>
      <c r="J520">
        <v>0</v>
      </c>
      <c r="K520">
        <v>0</v>
      </c>
      <c r="L520">
        <v>0</v>
      </c>
      <c r="M520">
        <v>0</v>
      </c>
    </row>
    <row r="521" spans="1:13" ht="15" customHeight="1" x14ac:dyDescent="0.25">
      <c r="A521" t="s">
        <v>2168</v>
      </c>
      <c r="B521" t="s">
        <v>63</v>
      </c>
      <c r="C521" t="s">
        <v>386</v>
      </c>
      <c r="D521" t="s">
        <v>379</v>
      </c>
      <c r="E521" t="s">
        <v>2690</v>
      </c>
      <c r="F521">
        <v>24</v>
      </c>
      <c r="G521">
        <v>1775000</v>
      </c>
      <c r="H521" t="s">
        <v>8</v>
      </c>
      <c r="I521">
        <v>0</v>
      </c>
      <c r="J521">
        <v>0</v>
      </c>
      <c r="K521">
        <v>0</v>
      </c>
      <c r="L521">
        <v>0</v>
      </c>
      <c r="M521">
        <v>0</v>
      </c>
    </row>
    <row r="522" spans="1:13" ht="15" customHeight="1" x14ac:dyDescent="0.25">
      <c r="A522" t="s">
        <v>1932</v>
      </c>
      <c r="B522" t="s">
        <v>15</v>
      </c>
      <c r="C522">
        <v>0</v>
      </c>
      <c r="D522" t="s">
        <v>127</v>
      </c>
      <c r="E522" t="s">
        <v>2439</v>
      </c>
      <c r="F522">
        <v>27</v>
      </c>
      <c r="G522">
        <v>3333333</v>
      </c>
      <c r="H522">
        <v>3333333</v>
      </c>
      <c r="I522" t="s">
        <v>7</v>
      </c>
      <c r="J522">
        <v>0</v>
      </c>
      <c r="K522">
        <v>0</v>
      </c>
      <c r="L522">
        <v>0</v>
      </c>
      <c r="M522">
        <v>0</v>
      </c>
    </row>
    <row r="523" spans="1:13" ht="15" customHeight="1" x14ac:dyDescent="0.25">
      <c r="A523" t="s">
        <v>2654</v>
      </c>
      <c r="B523" t="s">
        <v>27</v>
      </c>
      <c r="C523" t="s">
        <v>388</v>
      </c>
      <c r="D523" t="s">
        <v>2440</v>
      </c>
      <c r="E523" t="s">
        <v>389</v>
      </c>
      <c r="F523">
        <v>19</v>
      </c>
      <c r="G523">
        <v>830000</v>
      </c>
      <c r="H523">
        <v>830000</v>
      </c>
      <c r="I523">
        <v>830000</v>
      </c>
      <c r="J523" t="s">
        <v>8</v>
      </c>
      <c r="K523">
        <v>0</v>
      </c>
      <c r="L523">
        <v>0</v>
      </c>
      <c r="M523">
        <v>0</v>
      </c>
    </row>
    <row r="524" spans="1:13" ht="15" customHeight="1" x14ac:dyDescent="0.25">
      <c r="A524" t="s">
        <v>2852</v>
      </c>
      <c r="B524" t="s">
        <v>20</v>
      </c>
      <c r="C524" t="s">
        <v>386</v>
      </c>
      <c r="D524" t="s">
        <v>2440</v>
      </c>
      <c r="E524" t="s">
        <v>2439</v>
      </c>
      <c r="F524">
        <v>21</v>
      </c>
      <c r="G524">
        <v>925000</v>
      </c>
      <c r="H524" t="s">
        <v>8</v>
      </c>
      <c r="I524">
        <v>0</v>
      </c>
      <c r="J524">
        <v>0</v>
      </c>
      <c r="K524">
        <v>0</v>
      </c>
      <c r="L524">
        <v>0</v>
      </c>
      <c r="M524">
        <v>0</v>
      </c>
    </row>
    <row r="525" spans="1:13" ht="15" customHeight="1" x14ac:dyDescent="0.25">
      <c r="A525" t="s">
        <v>1356</v>
      </c>
      <c r="B525" t="s">
        <v>9</v>
      </c>
      <c r="C525">
        <v>0</v>
      </c>
      <c r="D525" t="s">
        <v>2445</v>
      </c>
      <c r="E525" t="s">
        <v>2439</v>
      </c>
      <c r="F525">
        <v>25</v>
      </c>
      <c r="G525">
        <v>1400000</v>
      </c>
      <c r="H525" t="s">
        <v>8</v>
      </c>
      <c r="I525">
        <v>0</v>
      </c>
      <c r="J525">
        <v>0</v>
      </c>
      <c r="K525">
        <v>0</v>
      </c>
      <c r="L525">
        <v>0</v>
      </c>
      <c r="M525">
        <v>0</v>
      </c>
    </row>
    <row r="526" spans="1:13" ht="15" customHeight="1" x14ac:dyDescent="0.25">
      <c r="A526" t="s">
        <v>1794</v>
      </c>
      <c r="B526" t="s">
        <v>2503</v>
      </c>
      <c r="C526" t="s">
        <v>2686</v>
      </c>
      <c r="D526" t="s">
        <v>379</v>
      </c>
      <c r="E526" t="s">
        <v>2677</v>
      </c>
      <c r="F526">
        <v>29</v>
      </c>
      <c r="G526">
        <v>2345000</v>
      </c>
      <c r="H526" t="s">
        <v>7</v>
      </c>
      <c r="I526">
        <v>0</v>
      </c>
      <c r="J526">
        <v>0</v>
      </c>
      <c r="K526">
        <v>0</v>
      </c>
      <c r="L526">
        <v>0</v>
      </c>
      <c r="M526">
        <v>0</v>
      </c>
    </row>
    <row r="527" spans="1:13" ht="15" customHeight="1" x14ac:dyDescent="0.25">
      <c r="A527" t="s">
        <v>2341</v>
      </c>
      <c r="B527" t="s">
        <v>29</v>
      </c>
      <c r="C527">
        <v>0</v>
      </c>
      <c r="D527" t="s">
        <v>379</v>
      </c>
      <c r="E527" t="s">
        <v>2677</v>
      </c>
      <c r="F527">
        <v>27</v>
      </c>
      <c r="G527">
        <v>4000000</v>
      </c>
      <c r="H527">
        <v>4000000</v>
      </c>
      <c r="I527" t="s">
        <v>7</v>
      </c>
      <c r="J527">
        <v>0</v>
      </c>
      <c r="K527">
        <v>0</v>
      </c>
      <c r="L527">
        <v>0</v>
      </c>
      <c r="M527">
        <v>0</v>
      </c>
    </row>
    <row r="528" spans="1:13" ht="15" customHeight="1" x14ac:dyDescent="0.25">
      <c r="A528" t="s">
        <v>1826</v>
      </c>
      <c r="B528" t="s">
        <v>29</v>
      </c>
      <c r="C528">
        <v>0</v>
      </c>
      <c r="D528" t="s">
        <v>2689</v>
      </c>
      <c r="E528" t="s">
        <v>2677</v>
      </c>
      <c r="F528">
        <v>24</v>
      </c>
      <c r="G528">
        <v>6000000</v>
      </c>
      <c r="H528">
        <v>6000000</v>
      </c>
      <c r="I528">
        <v>6000000</v>
      </c>
      <c r="J528">
        <v>6000000</v>
      </c>
      <c r="K528">
        <v>6000000</v>
      </c>
      <c r="L528" t="s">
        <v>7</v>
      </c>
      <c r="M528">
        <v>0</v>
      </c>
    </row>
    <row r="529" spans="1:13" ht="15" customHeight="1" x14ac:dyDescent="0.25">
      <c r="A529" t="s">
        <v>1415</v>
      </c>
      <c r="B529" t="s">
        <v>6</v>
      </c>
      <c r="C529" t="s">
        <v>386</v>
      </c>
      <c r="D529" t="s">
        <v>2445</v>
      </c>
      <c r="E529" t="s">
        <v>2439</v>
      </c>
      <c r="F529">
        <v>22</v>
      </c>
      <c r="G529">
        <v>888333</v>
      </c>
      <c r="H529" t="s">
        <v>8</v>
      </c>
      <c r="I529">
        <v>0</v>
      </c>
      <c r="J529">
        <v>0</v>
      </c>
      <c r="K529">
        <v>0</v>
      </c>
      <c r="L529">
        <v>0</v>
      </c>
      <c r="M529">
        <v>0</v>
      </c>
    </row>
    <row r="530" spans="1:13" ht="15" customHeight="1" x14ac:dyDescent="0.25">
      <c r="A530" t="s">
        <v>2057</v>
      </c>
      <c r="B530" t="s">
        <v>31</v>
      </c>
      <c r="C530" t="s">
        <v>381</v>
      </c>
      <c r="D530" t="s">
        <v>380</v>
      </c>
      <c r="E530" t="s">
        <v>2677</v>
      </c>
      <c r="F530">
        <v>32</v>
      </c>
      <c r="G530">
        <v>1750000</v>
      </c>
      <c r="H530">
        <v>1750000</v>
      </c>
      <c r="I530" t="s">
        <v>7</v>
      </c>
      <c r="J530">
        <v>0</v>
      </c>
      <c r="K530">
        <v>0</v>
      </c>
      <c r="L530">
        <v>0</v>
      </c>
      <c r="M530">
        <v>0</v>
      </c>
    </row>
    <row r="531" spans="1:13" ht="15" customHeight="1" x14ac:dyDescent="0.25">
      <c r="A531" t="s">
        <v>1967</v>
      </c>
      <c r="B531" t="s">
        <v>16</v>
      </c>
      <c r="C531" t="s">
        <v>386</v>
      </c>
      <c r="D531" t="s">
        <v>93</v>
      </c>
      <c r="E531" t="s">
        <v>2690</v>
      </c>
      <c r="F531">
        <v>22</v>
      </c>
      <c r="G531">
        <v>1644166</v>
      </c>
      <c r="H531" t="s">
        <v>8</v>
      </c>
      <c r="I531">
        <v>0</v>
      </c>
      <c r="J531">
        <v>0</v>
      </c>
      <c r="K531">
        <v>0</v>
      </c>
      <c r="L531">
        <v>0</v>
      </c>
      <c r="M531">
        <v>0</v>
      </c>
    </row>
    <row r="532" spans="1:13" ht="15" customHeight="1" x14ac:dyDescent="0.25">
      <c r="A532" t="s">
        <v>2443</v>
      </c>
      <c r="B532" t="s">
        <v>24</v>
      </c>
      <c r="C532">
        <v>0</v>
      </c>
      <c r="D532" t="s">
        <v>2440</v>
      </c>
      <c r="E532" t="s">
        <v>2439</v>
      </c>
      <c r="F532">
        <v>27</v>
      </c>
      <c r="G532">
        <v>4500000</v>
      </c>
      <c r="H532">
        <v>4500000</v>
      </c>
      <c r="I532" t="s">
        <v>7</v>
      </c>
      <c r="J532">
        <v>0</v>
      </c>
      <c r="K532">
        <v>0</v>
      </c>
      <c r="L532">
        <v>0</v>
      </c>
      <c r="M532">
        <v>0</v>
      </c>
    </row>
    <row r="533" spans="1:13" ht="15" customHeight="1" x14ac:dyDescent="0.25">
      <c r="A533" t="s">
        <v>2659</v>
      </c>
      <c r="B533" t="s">
        <v>35</v>
      </c>
      <c r="C533" t="s">
        <v>386</v>
      </c>
      <c r="D533" t="s">
        <v>73</v>
      </c>
      <c r="E533" t="s">
        <v>2446</v>
      </c>
      <c r="F533">
        <v>19</v>
      </c>
      <c r="G533">
        <v>925000</v>
      </c>
      <c r="H533">
        <v>925000</v>
      </c>
      <c r="I533">
        <v>925000</v>
      </c>
      <c r="J533" t="s">
        <v>8</v>
      </c>
      <c r="K533">
        <v>0</v>
      </c>
      <c r="L533">
        <v>0</v>
      </c>
      <c r="M533">
        <v>0</v>
      </c>
    </row>
    <row r="534" spans="1:13" ht="15" customHeight="1" x14ac:dyDescent="0.25">
      <c r="A534" t="s">
        <v>1897</v>
      </c>
      <c r="B534" t="s">
        <v>13</v>
      </c>
      <c r="C534">
        <v>0</v>
      </c>
      <c r="D534" t="s">
        <v>2445</v>
      </c>
      <c r="E534" t="s">
        <v>2439</v>
      </c>
      <c r="F534">
        <v>27</v>
      </c>
      <c r="G534">
        <v>1200000</v>
      </c>
      <c r="H534" t="s">
        <v>7</v>
      </c>
      <c r="I534">
        <v>0</v>
      </c>
      <c r="J534">
        <v>0</v>
      </c>
      <c r="K534">
        <v>0</v>
      </c>
      <c r="L534">
        <v>0</v>
      </c>
      <c r="M534">
        <v>0</v>
      </c>
    </row>
    <row r="535" spans="1:13" ht="15" customHeight="1" x14ac:dyDescent="0.25">
      <c r="A535" t="s">
        <v>1535</v>
      </c>
      <c r="B535" t="s">
        <v>27</v>
      </c>
      <c r="C535" t="s">
        <v>386</v>
      </c>
      <c r="D535" t="s">
        <v>127</v>
      </c>
      <c r="E535" t="s">
        <v>2446</v>
      </c>
      <c r="F535">
        <v>21</v>
      </c>
      <c r="G535">
        <v>910833</v>
      </c>
      <c r="H535">
        <v>910833</v>
      </c>
      <c r="I535" t="s">
        <v>8</v>
      </c>
      <c r="J535">
        <v>0</v>
      </c>
      <c r="K535">
        <v>0</v>
      </c>
      <c r="L535">
        <v>0</v>
      </c>
      <c r="M535">
        <v>0</v>
      </c>
    </row>
    <row r="536" spans="1:13" ht="15" customHeight="1" x14ac:dyDescent="0.25">
      <c r="A536" t="s">
        <v>2868</v>
      </c>
      <c r="B536" t="s">
        <v>18</v>
      </c>
      <c r="C536" t="s">
        <v>386</v>
      </c>
      <c r="D536" t="s">
        <v>73</v>
      </c>
      <c r="E536" t="s">
        <v>2446</v>
      </c>
      <c r="F536">
        <v>27</v>
      </c>
      <c r="G536">
        <v>1562500</v>
      </c>
      <c r="H536" t="s">
        <v>7</v>
      </c>
      <c r="I536">
        <v>0</v>
      </c>
      <c r="J536">
        <v>0</v>
      </c>
      <c r="K536">
        <v>0</v>
      </c>
      <c r="L536">
        <v>0</v>
      </c>
      <c r="M536">
        <v>0</v>
      </c>
    </row>
    <row r="537" spans="1:13" ht="15" customHeight="1" x14ac:dyDescent="0.25">
      <c r="A537" t="s">
        <v>2465</v>
      </c>
      <c r="B537" t="s">
        <v>13</v>
      </c>
      <c r="C537" t="s">
        <v>386</v>
      </c>
      <c r="D537" t="s">
        <v>2440</v>
      </c>
      <c r="E537" t="s">
        <v>2446</v>
      </c>
      <c r="F537">
        <v>20</v>
      </c>
      <c r="G537">
        <v>925000</v>
      </c>
      <c r="H537">
        <v>925000</v>
      </c>
      <c r="I537" t="s">
        <v>8</v>
      </c>
      <c r="J537">
        <v>0</v>
      </c>
      <c r="K537">
        <v>0</v>
      </c>
      <c r="L537">
        <v>0</v>
      </c>
      <c r="M537">
        <v>0</v>
      </c>
    </row>
    <row r="538" spans="1:13" ht="15" customHeight="1" x14ac:dyDescent="0.25">
      <c r="A538" t="s">
        <v>1822</v>
      </c>
      <c r="B538" t="s">
        <v>2503</v>
      </c>
      <c r="C538">
        <v>0</v>
      </c>
      <c r="D538" t="s">
        <v>93</v>
      </c>
      <c r="E538" t="s">
        <v>2677</v>
      </c>
      <c r="F538">
        <v>30</v>
      </c>
      <c r="G538">
        <v>2750000</v>
      </c>
      <c r="H538">
        <v>2750000</v>
      </c>
      <c r="I538">
        <v>2750000</v>
      </c>
      <c r="J538">
        <v>2750000</v>
      </c>
      <c r="K538" t="s">
        <v>7</v>
      </c>
      <c r="L538">
        <v>0</v>
      </c>
      <c r="M538">
        <v>0</v>
      </c>
    </row>
    <row r="539" spans="1:13" ht="15" customHeight="1" x14ac:dyDescent="0.25">
      <c r="A539" t="s">
        <v>2872</v>
      </c>
      <c r="B539" t="s">
        <v>28</v>
      </c>
      <c r="C539">
        <v>0</v>
      </c>
      <c r="D539" t="s">
        <v>2445</v>
      </c>
      <c r="E539" t="s">
        <v>2439</v>
      </c>
      <c r="F539">
        <v>24</v>
      </c>
      <c r="G539">
        <v>1150000</v>
      </c>
      <c r="H539" t="s">
        <v>8</v>
      </c>
      <c r="I539">
        <v>0</v>
      </c>
      <c r="J539">
        <v>0</v>
      </c>
      <c r="K539">
        <v>0</v>
      </c>
      <c r="L539">
        <v>0</v>
      </c>
      <c r="M539">
        <v>0</v>
      </c>
    </row>
    <row r="540" spans="1:13" ht="15" customHeight="1" x14ac:dyDescent="0.25">
      <c r="A540" t="s">
        <v>2478</v>
      </c>
      <c r="B540" t="s">
        <v>29</v>
      </c>
      <c r="C540">
        <v>0</v>
      </c>
      <c r="D540" t="s">
        <v>88</v>
      </c>
      <c r="E540" t="s">
        <v>2690</v>
      </c>
      <c r="F540">
        <v>26</v>
      </c>
      <c r="G540">
        <v>675000</v>
      </c>
      <c r="H540" t="s">
        <v>7</v>
      </c>
      <c r="I540">
        <v>0</v>
      </c>
      <c r="J540">
        <v>0</v>
      </c>
      <c r="K540">
        <v>0</v>
      </c>
      <c r="L540">
        <v>0</v>
      </c>
      <c r="M540">
        <v>0</v>
      </c>
    </row>
    <row r="541" spans="1:13" ht="15" customHeight="1" x14ac:dyDescent="0.25">
      <c r="A541" t="s">
        <v>2387</v>
      </c>
      <c r="B541" t="s">
        <v>135</v>
      </c>
      <c r="C541" t="s">
        <v>386</v>
      </c>
      <c r="D541" t="s">
        <v>380</v>
      </c>
      <c r="E541" t="s">
        <v>2690</v>
      </c>
      <c r="F541">
        <v>20</v>
      </c>
      <c r="G541">
        <v>863333</v>
      </c>
      <c r="H541">
        <v>863333</v>
      </c>
      <c r="I541">
        <v>863333</v>
      </c>
      <c r="J541" t="s">
        <v>8</v>
      </c>
      <c r="K541">
        <v>0</v>
      </c>
      <c r="L541">
        <v>0</v>
      </c>
      <c r="M541">
        <v>0</v>
      </c>
    </row>
    <row r="542" spans="1:13" ht="15" customHeight="1" x14ac:dyDescent="0.25">
      <c r="A542" t="s">
        <v>1597</v>
      </c>
      <c r="B542" t="s">
        <v>27</v>
      </c>
      <c r="C542" t="s">
        <v>2578</v>
      </c>
      <c r="D542" t="s">
        <v>2444</v>
      </c>
      <c r="E542" t="s">
        <v>2439</v>
      </c>
      <c r="F542">
        <v>38</v>
      </c>
      <c r="G542">
        <v>3500000</v>
      </c>
      <c r="H542" t="s">
        <v>7</v>
      </c>
      <c r="I542">
        <v>0</v>
      </c>
      <c r="J542">
        <v>0</v>
      </c>
      <c r="K542">
        <v>0</v>
      </c>
      <c r="L542">
        <v>0</v>
      </c>
      <c r="M542">
        <v>0</v>
      </c>
    </row>
    <row r="543" spans="1:13" ht="15" customHeight="1" x14ac:dyDescent="0.25">
      <c r="A543" t="s">
        <v>1773</v>
      </c>
      <c r="B543" t="s">
        <v>26</v>
      </c>
      <c r="C543" t="s">
        <v>386</v>
      </c>
      <c r="D543" t="s">
        <v>380</v>
      </c>
      <c r="E543" t="s">
        <v>2677</v>
      </c>
      <c r="F543">
        <v>21</v>
      </c>
      <c r="G543">
        <v>894166</v>
      </c>
      <c r="H543">
        <v>894166</v>
      </c>
      <c r="I543" t="s">
        <v>8</v>
      </c>
      <c r="J543">
        <v>0</v>
      </c>
      <c r="K543">
        <v>0</v>
      </c>
      <c r="L543">
        <v>0</v>
      </c>
      <c r="M543">
        <v>0</v>
      </c>
    </row>
    <row r="544" spans="1:13" ht="15" customHeight="1" x14ac:dyDescent="0.25">
      <c r="A544" t="s">
        <v>2873</v>
      </c>
      <c r="B544" t="s">
        <v>6</v>
      </c>
      <c r="C544">
        <v>0</v>
      </c>
      <c r="D544" t="s">
        <v>82</v>
      </c>
      <c r="E544" t="s">
        <v>2446</v>
      </c>
      <c r="F544">
        <v>27</v>
      </c>
      <c r="G544">
        <v>850000</v>
      </c>
      <c r="H544" t="s">
        <v>7</v>
      </c>
      <c r="I544">
        <v>0</v>
      </c>
      <c r="J544">
        <v>0</v>
      </c>
      <c r="K544">
        <v>0</v>
      </c>
      <c r="L544">
        <v>0</v>
      </c>
      <c r="M544">
        <v>0</v>
      </c>
    </row>
    <row r="545" spans="1:13" ht="15" customHeight="1" x14ac:dyDescent="0.25">
      <c r="A545" t="s">
        <v>2468</v>
      </c>
      <c r="B545" t="s">
        <v>13</v>
      </c>
      <c r="C545" t="s">
        <v>386</v>
      </c>
      <c r="D545" t="s">
        <v>73</v>
      </c>
      <c r="E545" t="s">
        <v>2446</v>
      </c>
      <c r="F545">
        <v>21</v>
      </c>
      <c r="G545">
        <v>925000</v>
      </c>
      <c r="H545">
        <v>925000</v>
      </c>
      <c r="I545">
        <v>925000</v>
      </c>
      <c r="J545" t="s">
        <v>8</v>
      </c>
      <c r="K545">
        <v>0</v>
      </c>
      <c r="L545">
        <v>0</v>
      </c>
      <c r="M545">
        <v>0</v>
      </c>
    </row>
    <row r="546" spans="1:13" ht="15" customHeight="1" x14ac:dyDescent="0.25">
      <c r="A546" t="s">
        <v>1361</v>
      </c>
      <c r="B546" t="s">
        <v>9</v>
      </c>
      <c r="C546">
        <v>0</v>
      </c>
      <c r="D546" t="s">
        <v>127</v>
      </c>
      <c r="E546" t="s">
        <v>2439</v>
      </c>
      <c r="F546">
        <v>34</v>
      </c>
      <c r="G546">
        <v>2750000</v>
      </c>
      <c r="H546" t="s">
        <v>7</v>
      </c>
      <c r="I546">
        <v>0</v>
      </c>
      <c r="J546">
        <v>0</v>
      </c>
      <c r="K546">
        <v>0</v>
      </c>
      <c r="L546">
        <v>0</v>
      </c>
      <c r="M546">
        <v>0</v>
      </c>
    </row>
    <row r="547" spans="1:13" ht="15" customHeight="1" x14ac:dyDescent="0.25">
      <c r="A547" t="s">
        <v>2319</v>
      </c>
      <c r="B547" t="s">
        <v>30</v>
      </c>
      <c r="C547" t="s">
        <v>386</v>
      </c>
      <c r="D547" t="s">
        <v>2450</v>
      </c>
      <c r="E547" t="s">
        <v>2446</v>
      </c>
      <c r="F547">
        <v>22</v>
      </c>
      <c r="G547">
        <v>925000</v>
      </c>
      <c r="H547" t="s">
        <v>8</v>
      </c>
      <c r="I547">
        <v>0</v>
      </c>
      <c r="J547">
        <v>0</v>
      </c>
      <c r="K547">
        <v>0</v>
      </c>
      <c r="L547">
        <v>0</v>
      </c>
      <c r="M547">
        <v>0</v>
      </c>
    </row>
    <row r="548" spans="1:13" ht="15" customHeight="1" x14ac:dyDescent="0.25">
      <c r="A548" t="s">
        <v>2808</v>
      </c>
      <c r="B548" t="s">
        <v>24</v>
      </c>
      <c r="C548">
        <v>0</v>
      </c>
      <c r="D548" t="s">
        <v>2450</v>
      </c>
      <c r="E548" t="s">
        <v>2439</v>
      </c>
      <c r="F548">
        <v>27</v>
      </c>
      <c r="G548">
        <v>6000000</v>
      </c>
      <c r="H548" t="s">
        <v>7</v>
      </c>
      <c r="I548">
        <v>0</v>
      </c>
      <c r="J548">
        <v>0</v>
      </c>
      <c r="K548">
        <v>0</v>
      </c>
      <c r="L548">
        <v>0</v>
      </c>
      <c r="M548">
        <v>0</v>
      </c>
    </row>
    <row r="549" spans="1:13" ht="15" customHeight="1" x14ac:dyDescent="0.25">
      <c r="A549" t="s">
        <v>1839</v>
      </c>
      <c r="B549" t="s">
        <v>29</v>
      </c>
      <c r="C549" t="s">
        <v>386</v>
      </c>
      <c r="D549" t="s">
        <v>73</v>
      </c>
      <c r="E549" t="s">
        <v>2690</v>
      </c>
      <c r="F549">
        <v>19</v>
      </c>
      <c r="G549">
        <v>927500</v>
      </c>
      <c r="H549">
        <v>927500</v>
      </c>
      <c r="I549">
        <v>927500</v>
      </c>
      <c r="J549" t="s">
        <v>8</v>
      </c>
      <c r="K549">
        <v>0</v>
      </c>
      <c r="L549">
        <v>0</v>
      </c>
      <c r="M549">
        <v>0</v>
      </c>
    </row>
    <row r="550" spans="1:13" ht="15" customHeight="1" x14ac:dyDescent="0.25">
      <c r="A550" t="s">
        <v>2027</v>
      </c>
      <c r="B550" t="s">
        <v>23</v>
      </c>
      <c r="C550" t="s">
        <v>2713</v>
      </c>
      <c r="D550" t="s">
        <v>380</v>
      </c>
      <c r="E550" t="s">
        <v>2677</v>
      </c>
      <c r="F550">
        <v>36</v>
      </c>
      <c r="G550">
        <v>1250000</v>
      </c>
      <c r="H550" t="s">
        <v>7</v>
      </c>
      <c r="I550">
        <v>0</v>
      </c>
      <c r="J550">
        <v>0</v>
      </c>
      <c r="K550">
        <v>0</v>
      </c>
      <c r="L550">
        <v>0</v>
      </c>
      <c r="M550">
        <v>0</v>
      </c>
    </row>
    <row r="551" spans="1:13" ht="15" customHeight="1" x14ac:dyDescent="0.25">
      <c r="A551" t="s">
        <v>1626</v>
      </c>
      <c r="B551" t="s">
        <v>11</v>
      </c>
      <c r="C551">
        <v>0</v>
      </c>
      <c r="D551" t="s">
        <v>2444</v>
      </c>
      <c r="E551" t="s">
        <v>2439</v>
      </c>
      <c r="F551">
        <v>26</v>
      </c>
      <c r="G551">
        <v>5750000</v>
      </c>
      <c r="H551">
        <v>5750000</v>
      </c>
      <c r="I551" t="s">
        <v>7</v>
      </c>
      <c r="J551">
        <v>0</v>
      </c>
      <c r="K551">
        <v>0</v>
      </c>
      <c r="L551">
        <v>0</v>
      </c>
      <c r="M551">
        <v>0</v>
      </c>
    </row>
    <row r="552" spans="1:13" ht="15" customHeight="1" x14ac:dyDescent="0.25">
      <c r="A552" t="s">
        <v>2016</v>
      </c>
      <c r="B552" t="s">
        <v>10</v>
      </c>
      <c r="C552">
        <v>0</v>
      </c>
      <c r="D552" t="s">
        <v>127</v>
      </c>
      <c r="E552" t="s">
        <v>2690</v>
      </c>
      <c r="F552">
        <v>31</v>
      </c>
      <c r="G552">
        <v>700000</v>
      </c>
      <c r="H552" t="s">
        <v>7</v>
      </c>
      <c r="I552">
        <v>0</v>
      </c>
      <c r="J552">
        <v>0</v>
      </c>
      <c r="K552">
        <v>0</v>
      </c>
      <c r="L552">
        <v>0</v>
      </c>
      <c r="M552">
        <v>0</v>
      </c>
    </row>
    <row r="553" spans="1:13" ht="15" customHeight="1" x14ac:dyDescent="0.25">
      <c r="A553" t="s">
        <v>2200</v>
      </c>
      <c r="B553" t="s">
        <v>12</v>
      </c>
      <c r="C553">
        <v>0</v>
      </c>
      <c r="D553" t="s">
        <v>2444</v>
      </c>
      <c r="E553" t="s">
        <v>2439</v>
      </c>
      <c r="F553">
        <v>28</v>
      </c>
      <c r="G553">
        <v>3857143</v>
      </c>
      <c r="H553" t="s">
        <v>7</v>
      </c>
      <c r="I553">
        <v>0</v>
      </c>
      <c r="J553">
        <v>0</v>
      </c>
      <c r="K553">
        <v>0</v>
      </c>
      <c r="L553">
        <v>0</v>
      </c>
      <c r="M553">
        <v>0</v>
      </c>
    </row>
    <row r="554" spans="1:13" ht="15" customHeight="1" x14ac:dyDescent="0.25">
      <c r="A554" t="s">
        <v>2198</v>
      </c>
      <c r="B554" t="s">
        <v>12</v>
      </c>
      <c r="C554">
        <v>0</v>
      </c>
      <c r="D554" t="s">
        <v>2445</v>
      </c>
      <c r="E554" t="s">
        <v>2439</v>
      </c>
      <c r="F554">
        <v>22</v>
      </c>
      <c r="G554">
        <v>4950000</v>
      </c>
      <c r="H554">
        <v>4950000</v>
      </c>
      <c r="I554">
        <v>4950000</v>
      </c>
      <c r="J554">
        <v>4950000</v>
      </c>
      <c r="K554">
        <v>4950000</v>
      </c>
      <c r="L554" t="s">
        <v>7</v>
      </c>
      <c r="M554">
        <v>0</v>
      </c>
    </row>
    <row r="555" spans="1:13" ht="15" customHeight="1" x14ac:dyDescent="0.25">
      <c r="A555" t="s">
        <v>1984</v>
      </c>
      <c r="B555" t="s">
        <v>16</v>
      </c>
      <c r="C555">
        <v>0</v>
      </c>
      <c r="D555" t="s">
        <v>380</v>
      </c>
      <c r="E555" t="s">
        <v>2690</v>
      </c>
      <c r="F555">
        <v>28</v>
      </c>
      <c r="G555">
        <v>700000</v>
      </c>
      <c r="H555">
        <v>700000</v>
      </c>
      <c r="I555" t="s">
        <v>7</v>
      </c>
      <c r="J555">
        <v>0</v>
      </c>
      <c r="K555">
        <v>0</v>
      </c>
      <c r="L555">
        <v>0</v>
      </c>
      <c r="M555">
        <v>0</v>
      </c>
    </row>
    <row r="556" spans="1:13" ht="15" customHeight="1" x14ac:dyDescent="0.25">
      <c r="A556" t="s">
        <v>2874</v>
      </c>
      <c r="B556" t="s">
        <v>14</v>
      </c>
      <c r="C556">
        <v>0</v>
      </c>
      <c r="D556" t="s">
        <v>2440</v>
      </c>
      <c r="E556" t="s">
        <v>2439</v>
      </c>
      <c r="F556">
        <v>26</v>
      </c>
      <c r="G556">
        <v>750000</v>
      </c>
      <c r="H556" t="s">
        <v>7</v>
      </c>
      <c r="I556">
        <v>0</v>
      </c>
      <c r="J556">
        <v>0</v>
      </c>
      <c r="K556">
        <v>0</v>
      </c>
      <c r="L556">
        <v>0</v>
      </c>
      <c r="M556">
        <v>0</v>
      </c>
    </row>
    <row r="557" spans="1:13" ht="15" customHeight="1" x14ac:dyDescent="0.25">
      <c r="A557" t="s">
        <v>1951</v>
      </c>
      <c r="B557" t="s">
        <v>16</v>
      </c>
      <c r="C557" t="s">
        <v>381</v>
      </c>
      <c r="D557" t="s">
        <v>73</v>
      </c>
      <c r="E557" t="s">
        <v>2677</v>
      </c>
      <c r="F557">
        <v>32</v>
      </c>
      <c r="G557">
        <v>4750000</v>
      </c>
      <c r="H557" t="s">
        <v>7</v>
      </c>
      <c r="I557">
        <v>0</v>
      </c>
      <c r="J557">
        <v>0</v>
      </c>
      <c r="K557">
        <v>0</v>
      </c>
      <c r="L557">
        <v>0</v>
      </c>
      <c r="M557">
        <v>0</v>
      </c>
    </row>
    <row r="558" spans="1:13" ht="15" customHeight="1" x14ac:dyDescent="0.25">
      <c r="A558" t="s">
        <v>2103</v>
      </c>
      <c r="B558" t="s">
        <v>35</v>
      </c>
      <c r="C558" t="s">
        <v>386</v>
      </c>
      <c r="D558" t="s">
        <v>73</v>
      </c>
      <c r="E558" t="s">
        <v>2446</v>
      </c>
      <c r="F558">
        <v>22</v>
      </c>
      <c r="G558">
        <v>925000</v>
      </c>
      <c r="H558" t="s">
        <v>8</v>
      </c>
      <c r="I558">
        <v>0</v>
      </c>
      <c r="J558">
        <v>0</v>
      </c>
      <c r="K558">
        <v>0</v>
      </c>
      <c r="L558">
        <v>0</v>
      </c>
      <c r="M558">
        <v>0</v>
      </c>
    </row>
    <row r="559" spans="1:13" ht="15" customHeight="1" x14ac:dyDescent="0.25">
      <c r="A559" t="s">
        <v>1528</v>
      </c>
      <c r="B559" t="s">
        <v>33</v>
      </c>
      <c r="C559">
        <v>0</v>
      </c>
      <c r="D559" t="s">
        <v>380</v>
      </c>
      <c r="E559" t="s">
        <v>2677</v>
      </c>
      <c r="F559">
        <v>24</v>
      </c>
      <c r="G559">
        <v>725000</v>
      </c>
      <c r="H559" t="s">
        <v>8</v>
      </c>
      <c r="I559">
        <v>0</v>
      </c>
      <c r="J559">
        <v>0</v>
      </c>
      <c r="K559">
        <v>0</v>
      </c>
      <c r="L559">
        <v>0</v>
      </c>
      <c r="M559">
        <v>0</v>
      </c>
    </row>
    <row r="560" spans="1:13" ht="15" customHeight="1" x14ac:dyDescent="0.25">
      <c r="A560" t="s">
        <v>1668</v>
      </c>
      <c r="B560" t="s">
        <v>14</v>
      </c>
      <c r="C560">
        <v>0</v>
      </c>
      <c r="D560" t="s">
        <v>2445</v>
      </c>
      <c r="E560" t="s">
        <v>2439</v>
      </c>
      <c r="F560">
        <v>26</v>
      </c>
      <c r="G560">
        <v>1633333</v>
      </c>
      <c r="H560">
        <v>1633333</v>
      </c>
      <c r="I560">
        <v>1633333</v>
      </c>
      <c r="J560" t="s">
        <v>7</v>
      </c>
      <c r="K560">
        <v>0</v>
      </c>
      <c r="L560">
        <v>0</v>
      </c>
      <c r="M560">
        <v>0</v>
      </c>
    </row>
    <row r="561" spans="1:13" ht="15" customHeight="1" x14ac:dyDescent="0.25">
      <c r="A561" t="s">
        <v>1813</v>
      </c>
      <c r="B561" t="s">
        <v>28</v>
      </c>
      <c r="C561" t="s">
        <v>386</v>
      </c>
      <c r="D561" t="s">
        <v>127</v>
      </c>
      <c r="E561" t="s">
        <v>2439</v>
      </c>
      <c r="F561">
        <v>21</v>
      </c>
      <c r="G561">
        <v>863333</v>
      </c>
      <c r="H561">
        <v>863333</v>
      </c>
      <c r="I561" t="s">
        <v>8</v>
      </c>
      <c r="J561">
        <v>0</v>
      </c>
      <c r="K561">
        <v>0</v>
      </c>
      <c r="L561">
        <v>0</v>
      </c>
      <c r="M561">
        <v>0</v>
      </c>
    </row>
    <row r="562" spans="1:13" ht="15" customHeight="1" x14ac:dyDescent="0.25">
      <c r="A562" t="s">
        <v>2023</v>
      </c>
      <c r="B562" t="s">
        <v>21</v>
      </c>
      <c r="C562">
        <v>0</v>
      </c>
      <c r="D562" t="s">
        <v>2442</v>
      </c>
      <c r="E562" t="s">
        <v>2439</v>
      </c>
      <c r="F562">
        <v>24</v>
      </c>
      <c r="G562">
        <v>1900000</v>
      </c>
      <c r="H562">
        <v>1900000</v>
      </c>
      <c r="I562" t="s">
        <v>8</v>
      </c>
      <c r="J562">
        <v>0</v>
      </c>
      <c r="K562">
        <v>0</v>
      </c>
      <c r="L562">
        <v>0</v>
      </c>
      <c r="M562">
        <v>0</v>
      </c>
    </row>
    <row r="563" spans="1:13" ht="15" customHeight="1" x14ac:dyDescent="0.25">
      <c r="A563" t="s">
        <v>2197</v>
      </c>
      <c r="B563" t="s">
        <v>2503</v>
      </c>
      <c r="C563">
        <v>0</v>
      </c>
      <c r="D563" t="s">
        <v>2689</v>
      </c>
      <c r="E563" t="s">
        <v>2677</v>
      </c>
      <c r="F563">
        <v>27</v>
      </c>
      <c r="G563">
        <v>1500000</v>
      </c>
      <c r="H563">
        <v>1500000</v>
      </c>
      <c r="I563">
        <v>1500000</v>
      </c>
      <c r="J563">
        <v>1500000</v>
      </c>
      <c r="K563" t="s">
        <v>7</v>
      </c>
      <c r="L563">
        <v>0</v>
      </c>
      <c r="M563">
        <v>0</v>
      </c>
    </row>
    <row r="564" spans="1:13" ht="15" customHeight="1" x14ac:dyDescent="0.25">
      <c r="A564" t="s">
        <v>2371</v>
      </c>
      <c r="B564" t="s">
        <v>11</v>
      </c>
      <c r="C564">
        <v>0</v>
      </c>
      <c r="D564" t="s">
        <v>2452</v>
      </c>
      <c r="E564" t="s">
        <v>2439</v>
      </c>
      <c r="F564">
        <v>28</v>
      </c>
      <c r="G564">
        <v>2750000</v>
      </c>
      <c r="H564" t="s">
        <v>7</v>
      </c>
      <c r="I564">
        <v>0</v>
      </c>
      <c r="J564">
        <v>0</v>
      </c>
      <c r="K564">
        <v>0</v>
      </c>
      <c r="L564">
        <v>0</v>
      </c>
      <c r="M564">
        <v>0</v>
      </c>
    </row>
    <row r="565" spans="1:13" ht="15" customHeight="1" x14ac:dyDescent="0.25">
      <c r="A565" t="s">
        <v>1466</v>
      </c>
      <c r="B565" t="s">
        <v>2531</v>
      </c>
      <c r="C565">
        <v>0</v>
      </c>
      <c r="D565" t="s">
        <v>2696</v>
      </c>
      <c r="E565" t="s">
        <v>2690</v>
      </c>
      <c r="F565">
        <v>23</v>
      </c>
      <c r="G565">
        <v>874125</v>
      </c>
      <c r="H565" t="s">
        <v>8</v>
      </c>
      <c r="I565">
        <v>0</v>
      </c>
      <c r="J565">
        <v>0</v>
      </c>
      <c r="K565">
        <v>0</v>
      </c>
      <c r="L565">
        <v>0</v>
      </c>
      <c r="M565">
        <v>0</v>
      </c>
    </row>
    <row r="566" spans="1:13" ht="15" customHeight="1" x14ac:dyDescent="0.25">
      <c r="A566" t="s">
        <v>1893</v>
      </c>
      <c r="B566" t="s">
        <v>24</v>
      </c>
      <c r="C566">
        <v>0</v>
      </c>
      <c r="D566" t="s">
        <v>2448</v>
      </c>
      <c r="E566" t="s">
        <v>2439</v>
      </c>
      <c r="F566">
        <v>24</v>
      </c>
      <c r="G566">
        <v>750000</v>
      </c>
      <c r="H566" t="s">
        <v>8</v>
      </c>
      <c r="I566">
        <v>0</v>
      </c>
      <c r="J566">
        <v>0</v>
      </c>
      <c r="K566">
        <v>0</v>
      </c>
      <c r="L566">
        <v>0</v>
      </c>
      <c r="M566">
        <v>0</v>
      </c>
    </row>
    <row r="567" spans="1:13" ht="15" customHeight="1" x14ac:dyDescent="0.25">
      <c r="A567" t="s">
        <v>1756</v>
      </c>
      <c r="B567" t="s">
        <v>28</v>
      </c>
      <c r="C567" t="s">
        <v>420</v>
      </c>
      <c r="D567" t="s">
        <v>73</v>
      </c>
      <c r="E567" t="s">
        <v>2439</v>
      </c>
      <c r="F567">
        <v>27</v>
      </c>
      <c r="G567">
        <v>7142857</v>
      </c>
      <c r="H567">
        <v>7142857</v>
      </c>
      <c r="I567">
        <v>7142857</v>
      </c>
      <c r="J567">
        <v>7142857</v>
      </c>
      <c r="K567">
        <v>7142857</v>
      </c>
      <c r="L567">
        <v>7142857</v>
      </c>
      <c r="M567">
        <v>7142857</v>
      </c>
    </row>
    <row r="568" spans="1:13" ht="15" customHeight="1" x14ac:dyDescent="0.25">
      <c r="A568" t="s">
        <v>2170</v>
      </c>
      <c r="B568" t="s">
        <v>63</v>
      </c>
      <c r="C568" t="s">
        <v>388</v>
      </c>
      <c r="D568" t="s">
        <v>73</v>
      </c>
      <c r="E568" t="s">
        <v>389</v>
      </c>
      <c r="F568">
        <v>19</v>
      </c>
      <c r="G568">
        <v>2644167</v>
      </c>
      <c r="H568">
        <v>2644167</v>
      </c>
      <c r="I568">
        <v>2644167</v>
      </c>
      <c r="J568" t="s">
        <v>8</v>
      </c>
      <c r="K568">
        <v>0</v>
      </c>
      <c r="L568">
        <v>0</v>
      </c>
      <c r="M568">
        <v>0</v>
      </c>
    </row>
    <row r="569" spans="1:13" ht="15" customHeight="1" x14ac:dyDescent="0.25">
      <c r="A569" t="s">
        <v>1983</v>
      </c>
      <c r="B569" t="s">
        <v>16</v>
      </c>
      <c r="C569">
        <v>0</v>
      </c>
      <c r="D569" t="s">
        <v>380</v>
      </c>
      <c r="E569" t="s">
        <v>2690</v>
      </c>
      <c r="F569">
        <v>24</v>
      </c>
      <c r="G569">
        <v>700000</v>
      </c>
      <c r="H569" t="s">
        <v>8</v>
      </c>
      <c r="I569">
        <v>0</v>
      </c>
      <c r="J569">
        <v>0</v>
      </c>
      <c r="K569">
        <v>0</v>
      </c>
      <c r="L569">
        <v>0</v>
      </c>
      <c r="M569">
        <v>0</v>
      </c>
    </row>
    <row r="570" spans="1:13" ht="15" customHeight="1" x14ac:dyDescent="0.25">
      <c r="A570" t="s">
        <v>2243</v>
      </c>
      <c r="B570" t="s">
        <v>18</v>
      </c>
      <c r="C570" t="s">
        <v>386</v>
      </c>
      <c r="D570" t="s">
        <v>73</v>
      </c>
      <c r="E570" t="s">
        <v>2446</v>
      </c>
      <c r="F570">
        <v>22</v>
      </c>
      <c r="G570">
        <v>925000</v>
      </c>
      <c r="H570" t="s">
        <v>8</v>
      </c>
      <c r="I570">
        <v>0</v>
      </c>
      <c r="J570">
        <v>0</v>
      </c>
      <c r="K570">
        <v>0</v>
      </c>
      <c r="L570">
        <v>0</v>
      </c>
      <c r="M570">
        <v>0</v>
      </c>
    </row>
    <row r="571" spans="1:13" ht="15" customHeight="1" x14ac:dyDescent="0.25">
      <c r="A571" t="s">
        <v>1556</v>
      </c>
      <c r="B571" t="s">
        <v>32</v>
      </c>
      <c r="C571" t="s">
        <v>420</v>
      </c>
      <c r="D571" t="s">
        <v>2445</v>
      </c>
      <c r="E571" t="s">
        <v>2439</v>
      </c>
      <c r="F571">
        <v>28</v>
      </c>
      <c r="G571">
        <v>7875000</v>
      </c>
      <c r="H571">
        <v>7875000</v>
      </c>
      <c r="I571">
        <v>7875000</v>
      </c>
      <c r="J571">
        <v>7875000</v>
      </c>
      <c r="K571">
        <v>7875000</v>
      </c>
      <c r="L571">
        <v>7875000</v>
      </c>
      <c r="M571" t="s">
        <v>7</v>
      </c>
    </row>
    <row r="572" spans="1:13" ht="15" customHeight="1" x14ac:dyDescent="0.25">
      <c r="A572" t="s">
        <v>2308</v>
      </c>
      <c r="B572" t="s">
        <v>30</v>
      </c>
      <c r="C572">
        <v>0</v>
      </c>
      <c r="D572" t="s">
        <v>2444</v>
      </c>
      <c r="E572" t="s">
        <v>2439</v>
      </c>
      <c r="F572">
        <v>28</v>
      </c>
      <c r="G572">
        <v>960000</v>
      </c>
      <c r="H572" t="s">
        <v>7</v>
      </c>
      <c r="I572">
        <v>0</v>
      </c>
      <c r="J572">
        <v>0</v>
      </c>
      <c r="K572">
        <v>0</v>
      </c>
      <c r="L572">
        <v>0</v>
      </c>
      <c r="M572">
        <v>0</v>
      </c>
    </row>
    <row r="573" spans="1:13" ht="15" customHeight="1" x14ac:dyDescent="0.25">
      <c r="A573" t="s">
        <v>1350</v>
      </c>
      <c r="B573" t="s">
        <v>9</v>
      </c>
      <c r="C573">
        <v>0</v>
      </c>
      <c r="D573" t="s">
        <v>2494</v>
      </c>
      <c r="E573" t="s">
        <v>2439</v>
      </c>
      <c r="F573">
        <v>24</v>
      </c>
      <c r="G573">
        <v>2800000</v>
      </c>
      <c r="H573">
        <v>2800000</v>
      </c>
      <c r="I573" t="s">
        <v>8</v>
      </c>
      <c r="J573">
        <v>0</v>
      </c>
      <c r="K573">
        <v>0</v>
      </c>
      <c r="L573">
        <v>0</v>
      </c>
      <c r="M573">
        <v>0</v>
      </c>
    </row>
    <row r="574" spans="1:13" ht="15" customHeight="1" x14ac:dyDescent="0.25">
      <c r="A574" t="s">
        <v>2758</v>
      </c>
      <c r="B574" t="s">
        <v>35</v>
      </c>
      <c r="C574" t="s">
        <v>386</v>
      </c>
      <c r="D574" t="s">
        <v>2445</v>
      </c>
      <c r="E574" t="s">
        <v>2446</v>
      </c>
      <c r="F574">
        <v>18</v>
      </c>
      <c r="G574">
        <v>1137500</v>
      </c>
      <c r="H574">
        <v>1137500</v>
      </c>
      <c r="I574">
        <v>1137500</v>
      </c>
      <c r="J574" t="s">
        <v>8</v>
      </c>
      <c r="K574">
        <v>0</v>
      </c>
      <c r="L574">
        <v>0</v>
      </c>
      <c r="M574">
        <v>0</v>
      </c>
    </row>
    <row r="575" spans="1:13" ht="15" customHeight="1" x14ac:dyDescent="0.25">
      <c r="A575" t="s">
        <v>1966</v>
      </c>
      <c r="B575" t="s">
        <v>16</v>
      </c>
      <c r="C575" t="s">
        <v>386</v>
      </c>
      <c r="D575" t="s">
        <v>380</v>
      </c>
      <c r="E575" t="s">
        <v>2677</v>
      </c>
      <c r="F575">
        <v>20</v>
      </c>
      <c r="G575">
        <v>3394166</v>
      </c>
      <c r="H575">
        <v>3394166</v>
      </c>
      <c r="I575" t="s">
        <v>8</v>
      </c>
      <c r="J575">
        <v>0</v>
      </c>
      <c r="K575">
        <v>0</v>
      </c>
      <c r="L575">
        <v>0</v>
      </c>
      <c r="M575">
        <v>0</v>
      </c>
    </row>
    <row r="576" spans="1:13" ht="15" customHeight="1" x14ac:dyDescent="0.25">
      <c r="A576" t="s">
        <v>1753</v>
      </c>
      <c r="B576" t="s">
        <v>25</v>
      </c>
      <c r="C576">
        <v>0</v>
      </c>
      <c r="D576" t="s">
        <v>2445</v>
      </c>
      <c r="E576" t="s">
        <v>2446</v>
      </c>
      <c r="F576">
        <v>28</v>
      </c>
      <c r="G576">
        <v>675000</v>
      </c>
      <c r="H576" t="s">
        <v>7</v>
      </c>
      <c r="I576">
        <v>0</v>
      </c>
      <c r="J576">
        <v>0</v>
      </c>
      <c r="K576">
        <v>0</v>
      </c>
      <c r="L576">
        <v>0</v>
      </c>
      <c r="M576">
        <v>0</v>
      </c>
    </row>
    <row r="577" spans="1:13" ht="15" customHeight="1" x14ac:dyDescent="0.25">
      <c r="A577" t="s">
        <v>2095</v>
      </c>
      <c r="B577" t="s">
        <v>35</v>
      </c>
      <c r="C577">
        <v>0</v>
      </c>
      <c r="D577" t="s">
        <v>127</v>
      </c>
      <c r="E577" t="s">
        <v>2439</v>
      </c>
      <c r="F577">
        <v>26</v>
      </c>
      <c r="G577">
        <v>6166666</v>
      </c>
      <c r="H577">
        <v>6166666</v>
      </c>
      <c r="I577">
        <v>6166666</v>
      </c>
      <c r="J577">
        <v>6166666</v>
      </c>
      <c r="K577">
        <v>6166666</v>
      </c>
      <c r="L577" t="s">
        <v>7</v>
      </c>
      <c r="M577">
        <v>0</v>
      </c>
    </row>
    <row r="578" spans="1:13" ht="15" customHeight="1" x14ac:dyDescent="0.25">
      <c r="A578" t="s">
        <v>1423</v>
      </c>
      <c r="B578" t="s">
        <v>17</v>
      </c>
      <c r="C578" t="s">
        <v>372</v>
      </c>
      <c r="D578" t="s">
        <v>2494</v>
      </c>
      <c r="E578" t="s">
        <v>2439</v>
      </c>
      <c r="F578">
        <v>32</v>
      </c>
      <c r="G578">
        <v>3850000</v>
      </c>
      <c r="H578">
        <v>3850000</v>
      </c>
      <c r="I578" t="s">
        <v>7</v>
      </c>
      <c r="J578">
        <v>0</v>
      </c>
      <c r="K578">
        <v>0</v>
      </c>
      <c r="L578">
        <v>0</v>
      </c>
      <c r="M578">
        <v>0</v>
      </c>
    </row>
    <row r="579" spans="1:13" ht="15" customHeight="1" x14ac:dyDescent="0.25">
      <c r="A579" t="s">
        <v>1638</v>
      </c>
      <c r="B579" t="s">
        <v>11</v>
      </c>
      <c r="C579" t="s">
        <v>386</v>
      </c>
      <c r="D579" t="s">
        <v>127</v>
      </c>
      <c r="E579" t="s">
        <v>2446</v>
      </c>
      <c r="F579">
        <v>22</v>
      </c>
      <c r="G579">
        <v>785000</v>
      </c>
      <c r="H579">
        <v>785000</v>
      </c>
      <c r="I579" t="s">
        <v>8</v>
      </c>
      <c r="J579">
        <v>0</v>
      </c>
      <c r="K579">
        <v>0</v>
      </c>
      <c r="L579">
        <v>0</v>
      </c>
      <c r="M579">
        <v>0</v>
      </c>
    </row>
    <row r="580" spans="1:13" ht="15" customHeight="1" x14ac:dyDescent="0.25">
      <c r="A580" t="s">
        <v>2114</v>
      </c>
      <c r="B580" t="s">
        <v>6</v>
      </c>
      <c r="C580" t="s">
        <v>381</v>
      </c>
      <c r="D580" t="s">
        <v>73</v>
      </c>
      <c r="E580" t="s">
        <v>2439</v>
      </c>
      <c r="F580">
        <v>29</v>
      </c>
      <c r="G580">
        <v>5825000</v>
      </c>
      <c r="H580">
        <v>5825000</v>
      </c>
      <c r="I580">
        <v>5825000</v>
      </c>
      <c r="J580">
        <v>5825000</v>
      </c>
      <c r="K580">
        <v>5825000</v>
      </c>
      <c r="L580" t="s">
        <v>7</v>
      </c>
      <c r="M580">
        <v>0</v>
      </c>
    </row>
    <row r="581" spans="1:13" ht="15" customHeight="1" x14ac:dyDescent="0.25">
      <c r="A581" t="s">
        <v>2668</v>
      </c>
      <c r="B581" t="s">
        <v>15</v>
      </c>
      <c r="C581" t="s">
        <v>386</v>
      </c>
      <c r="D581" t="s">
        <v>2438</v>
      </c>
      <c r="E581" t="s">
        <v>2446</v>
      </c>
      <c r="F581">
        <v>20</v>
      </c>
      <c r="G581">
        <v>826666</v>
      </c>
      <c r="H581">
        <v>826666</v>
      </c>
      <c r="I581">
        <v>826666</v>
      </c>
      <c r="J581" t="s">
        <v>8</v>
      </c>
      <c r="K581">
        <v>0</v>
      </c>
      <c r="L581">
        <v>0</v>
      </c>
      <c r="M581">
        <v>0</v>
      </c>
    </row>
    <row r="582" spans="1:13" ht="15" customHeight="1" x14ac:dyDescent="0.25">
      <c r="A582" t="s">
        <v>2532</v>
      </c>
      <c r="B582" t="s">
        <v>2531</v>
      </c>
      <c r="C582" t="s">
        <v>386</v>
      </c>
      <c r="D582" t="s">
        <v>73</v>
      </c>
      <c r="E582" t="s">
        <v>2690</v>
      </c>
      <c r="F582">
        <v>20</v>
      </c>
      <c r="G582">
        <v>1775000</v>
      </c>
      <c r="H582">
        <v>1775000</v>
      </c>
      <c r="I582">
        <v>1775000</v>
      </c>
      <c r="J582" t="s">
        <v>8</v>
      </c>
      <c r="K582">
        <v>0</v>
      </c>
      <c r="L582">
        <v>0</v>
      </c>
      <c r="M582">
        <v>0</v>
      </c>
    </row>
    <row r="583" spans="1:13" ht="15" customHeight="1" x14ac:dyDescent="0.25">
      <c r="A583" t="s">
        <v>2295</v>
      </c>
      <c r="B583" t="s">
        <v>30</v>
      </c>
      <c r="C583">
        <v>0</v>
      </c>
      <c r="D583" t="s">
        <v>2448</v>
      </c>
      <c r="E583" t="s">
        <v>2439</v>
      </c>
      <c r="F583">
        <v>25</v>
      </c>
      <c r="G583">
        <v>5625000</v>
      </c>
      <c r="H583">
        <v>5625000</v>
      </c>
      <c r="I583">
        <v>5625000</v>
      </c>
      <c r="J583" t="s">
        <v>7</v>
      </c>
      <c r="K583">
        <v>0</v>
      </c>
      <c r="L583">
        <v>0</v>
      </c>
      <c r="M583">
        <v>0</v>
      </c>
    </row>
    <row r="584" spans="1:13" ht="15" customHeight="1" x14ac:dyDescent="0.25">
      <c r="A584" t="s">
        <v>1452</v>
      </c>
      <c r="B584" t="s">
        <v>17</v>
      </c>
      <c r="C584">
        <v>0</v>
      </c>
      <c r="D584" t="s">
        <v>2445</v>
      </c>
      <c r="E584" t="s">
        <v>2446</v>
      </c>
      <c r="F584">
        <v>23</v>
      </c>
      <c r="G584">
        <v>700000</v>
      </c>
      <c r="H584">
        <v>700000</v>
      </c>
      <c r="I584" t="s">
        <v>8</v>
      </c>
      <c r="J584">
        <v>0</v>
      </c>
      <c r="K584">
        <v>0</v>
      </c>
      <c r="L584">
        <v>0</v>
      </c>
      <c r="M584">
        <v>0</v>
      </c>
    </row>
    <row r="585" spans="1:13" ht="15" customHeight="1" x14ac:dyDescent="0.25">
      <c r="A585" t="s">
        <v>1403</v>
      </c>
      <c r="B585" t="s">
        <v>10</v>
      </c>
      <c r="C585" t="s">
        <v>386</v>
      </c>
      <c r="D585" t="s">
        <v>380</v>
      </c>
      <c r="E585" t="s">
        <v>2690</v>
      </c>
      <c r="F585">
        <v>23</v>
      </c>
      <c r="G585">
        <v>925000</v>
      </c>
      <c r="H585" t="s">
        <v>8</v>
      </c>
      <c r="I585">
        <v>0</v>
      </c>
      <c r="J585">
        <v>0</v>
      </c>
      <c r="K585">
        <v>0</v>
      </c>
      <c r="L585">
        <v>0</v>
      </c>
      <c r="M585">
        <v>0</v>
      </c>
    </row>
    <row r="586" spans="1:13" ht="15" customHeight="1" x14ac:dyDescent="0.25">
      <c r="A586" t="s">
        <v>1736</v>
      </c>
      <c r="B586" t="s">
        <v>25</v>
      </c>
      <c r="C586">
        <v>0</v>
      </c>
      <c r="D586" t="s">
        <v>2445</v>
      </c>
      <c r="E586" t="s">
        <v>2439</v>
      </c>
      <c r="F586">
        <v>30</v>
      </c>
      <c r="G586">
        <v>2500000</v>
      </c>
      <c r="H586">
        <v>2500000</v>
      </c>
      <c r="I586">
        <v>2500000</v>
      </c>
      <c r="J586" t="s">
        <v>7</v>
      </c>
      <c r="K586">
        <v>0</v>
      </c>
      <c r="L586">
        <v>0</v>
      </c>
      <c r="M586">
        <v>0</v>
      </c>
    </row>
    <row r="587" spans="1:13" ht="15" customHeight="1" x14ac:dyDescent="0.25">
      <c r="A587" t="s">
        <v>1907</v>
      </c>
      <c r="B587" t="s">
        <v>13</v>
      </c>
      <c r="C587" t="s">
        <v>386</v>
      </c>
      <c r="D587" t="s">
        <v>73</v>
      </c>
      <c r="E587" t="s">
        <v>2446</v>
      </c>
      <c r="F587">
        <v>23</v>
      </c>
      <c r="G587">
        <v>925000</v>
      </c>
      <c r="H587" t="s">
        <v>8</v>
      </c>
      <c r="I587">
        <v>0</v>
      </c>
      <c r="J587">
        <v>0</v>
      </c>
      <c r="K587">
        <v>0</v>
      </c>
      <c r="L587">
        <v>0</v>
      </c>
      <c r="M587">
        <v>0</v>
      </c>
    </row>
    <row r="588" spans="1:13" ht="15" customHeight="1" x14ac:dyDescent="0.25">
      <c r="A588" t="s">
        <v>2180</v>
      </c>
      <c r="B588" t="s">
        <v>63</v>
      </c>
      <c r="C588">
        <v>0</v>
      </c>
      <c r="D588" t="s">
        <v>127</v>
      </c>
      <c r="E588" t="s">
        <v>2690</v>
      </c>
      <c r="F588">
        <v>23</v>
      </c>
      <c r="G588">
        <v>708750</v>
      </c>
      <c r="H588" t="s">
        <v>8</v>
      </c>
      <c r="I588">
        <v>0</v>
      </c>
      <c r="J588">
        <v>0</v>
      </c>
      <c r="K588">
        <v>0</v>
      </c>
      <c r="L588">
        <v>0</v>
      </c>
      <c r="M588">
        <v>0</v>
      </c>
    </row>
    <row r="589" spans="1:13" ht="15" customHeight="1" x14ac:dyDescent="0.25">
      <c r="A589" t="s">
        <v>2153</v>
      </c>
      <c r="B589" t="s">
        <v>63</v>
      </c>
      <c r="C589">
        <v>0</v>
      </c>
      <c r="D589" t="s">
        <v>2678</v>
      </c>
      <c r="E589" t="s">
        <v>2677</v>
      </c>
      <c r="F589">
        <v>25</v>
      </c>
      <c r="G589">
        <v>1500000</v>
      </c>
      <c r="H589" t="s">
        <v>8</v>
      </c>
      <c r="I589">
        <v>0</v>
      </c>
      <c r="J589">
        <v>0</v>
      </c>
      <c r="K589">
        <v>0</v>
      </c>
      <c r="L589">
        <v>0</v>
      </c>
      <c r="M589">
        <v>0</v>
      </c>
    </row>
    <row r="590" spans="1:13" ht="15" customHeight="1" x14ac:dyDescent="0.25">
      <c r="A590" t="s">
        <v>1970</v>
      </c>
      <c r="B590" t="s">
        <v>16</v>
      </c>
      <c r="C590" t="s">
        <v>386</v>
      </c>
      <c r="D590" t="s">
        <v>2679</v>
      </c>
      <c r="E590" t="s">
        <v>2677</v>
      </c>
      <c r="F590">
        <v>22</v>
      </c>
      <c r="G590">
        <v>925000</v>
      </c>
      <c r="H590" t="s">
        <v>8</v>
      </c>
      <c r="I590">
        <v>0</v>
      </c>
      <c r="J590">
        <v>0</v>
      </c>
      <c r="K590">
        <v>0</v>
      </c>
      <c r="L590">
        <v>0</v>
      </c>
      <c r="M590">
        <v>0</v>
      </c>
    </row>
    <row r="591" spans="1:13" ht="15" customHeight="1" x14ac:dyDescent="0.25">
      <c r="A591" t="s">
        <v>2524</v>
      </c>
      <c r="B591" t="s">
        <v>17</v>
      </c>
      <c r="C591" t="s">
        <v>386</v>
      </c>
      <c r="D591" t="s">
        <v>2440</v>
      </c>
      <c r="E591" t="s">
        <v>2446</v>
      </c>
      <c r="F591">
        <v>23</v>
      </c>
      <c r="G591">
        <v>1350000</v>
      </c>
      <c r="H591" t="s">
        <v>8</v>
      </c>
      <c r="I591">
        <v>0</v>
      </c>
      <c r="J591">
        <v>0</v>
      </c>
      <c r="K591">
        <v>0</v>
      </c>
      <c r="L591">
        <v>0</v>
      </c>
      <c r="M591">
        <v>0</v>
      </c>
    </row>
    <row r="592" spans="1:13" ht="15" customHeight="1" x14ac:dyDescent="0.25">
      <c r="A592" t="s">
        <v>1694</v>
      </c>
      <c r="B592" t="s">
        <v>24</v>
      </c>
      <c r="C592" t="s">
        <v>386</v>
      </c>
      <c r="D592" t="s">
        <v>73</v>
      </c>
      <c r="E592" t="s">
        <v>2439</v>
      </c>
      <c r="F592">
        <v>20</v>
      </c>
      <c r="G592">
        <v>3775000</v>
      </c>
      <c r="H592" t="s">
        <v>8</v>
      </c>
      <c r="I592">
        <v>0</v>
      </c>
      <c r="J592">
        <v>0</v>
      </c>
      <c r="K592">
        <v>0</v>
      </c>
      <c r="L592">
        <v>0</v>
      </c>
      <c r="M592">
        <v>0</v>
      </c>
    </row>
    <row r="593" spans="1:13" ht="15" customHeight="1" x14ac:dyDescent="0.25">
      <c r="A593" t="s">
        <v>2766</v>
      </c>
      <c r="B593" t="s">
        <v>63</v>
      </c>
      <c r="C593" t="s">
        <v>420</v>
      </c>
      <c r="D593" t="s">
        <v>379</v>
      </c>
      <c r="E593" t="s">
        <v>2677</v>
      </c>
      <c r="F593">
        <v>32</v>
      </c>
      <c r="G593">
        <v>5000000</v>
      </c>
      <c r="H593">
        <v>5000000</v>
      </c>
      <c r="I593" t="s">
        <v>7</v>
      </c>
      <c r="J593">
        <v>0</v>
      </c>
      <c r="K593">
        <v>0</v>
      </c>
      <c r="L593">
        <v>0</v>
      </c>
      <c r="M593">
        <v>0</v>
      </c>
    </row>
    <row r="594" spans="1:13" ht="15" customHeight="1" x14ac:dyDescent="0.25">
      <c r="A594" t="s">
        <v>1878</v>
      </c>
      <c r="B594" t="s">
        <v>2503</v>
      </c>
      <c r="C594" t="s">
        <v>386</v>
      </c>
      <c r="D594" t="s">
        <v>82</v>
      </c>
      <c r="E594" t="s">
        <v>2690</v>
      </c>
      <c r="F594">
        <v>22</v>
      </c>
      <c r="G594">
        <v>798333</v>
      </c>
      <c r="H594" t="s">
        <v>8</v>
      </c>
      <c r="I594">
        <v>0</v>
      </c>
      <c r="J594">
        <v>0</v>
      </c>
      <c r="K594">
        <v>0</v>
      </c>
      <c r="L594">
        <v>0</v>
      </c>
      <c r="M594">
        <v>0</v>
      </c>
    </row>
    <row r="595" spans="1:13" ht="15" customHeight="1" x14ac:dyDescent="0.25">
      <c r="A595" t="s">
        <v>2634</v>
      </c>
      <c r="B595" t="s">
        <v>31</v>
      </c>
      <c r="C595" t="s">
        <v>386</v>
      </c>
      <c r="D595" t="s">
        <v>127</v>
      </c>
      <c r="E595" t="s">
        <v>2690</v>
      </c>
      <c r="F595">
        <v>19</v>
      </c>
      <c r="G595">
        <v>925000</v>
      </c>
      <c r="H595">
        <v>925000</v>
      </c>
      <c r="I595">
        <v>925000</v>
      </c>
      <c r="J595" t="s">
        <v>8</v>
      </c>
      <c r="K595">
        <v>0</v>
      </c>
      <c r="L595">
        <v>0</v>
      </c>
      <c r="M595">
        <v>0</v>
      </c>
    </row>
    <row r="596" spans="1:13" ht="15" customHeight="1" x14ac:dyDescent="0.25">
      <c r="A596" t="s">
        <v>1453</v>
      </c>
      <c r="B596" t="s">
        <v>2531</v>
      </c>
      <c r="C596" t="s">
        <v>381</v>
      </c>
      <c r="D596" t="s">
        <v>2680</v>
      </c>
      <c r="E596" t="s">
        <v>2677</v>
      </c>
      <c r="F596">
        <v>29</v>
      </c>
      <c r="G596">
        <v>5187500</v>
      </c>
      <c r="H596" t="s">
        <v>7</v>
      </c>
      <c r="I596">
        <v>0</v>
      </c>
      <c r="J596">
        <v>0</v>
      </c>
      <c r="K596">
        <v>0</v>
      </c>
      <c r="L596">
        <v>0</v>
      </c>
      <c r="M596">
        <v>0</v>
      </c>
    </row>
    <row r="597" spans="1:13" ht="15" customHeight="1" x14ac:dyDescent="0.25">
      <c r="A597" t="s">
        <v>2853</v>
      </c>
      <c r="B597" t="s">
        <v>27</v>
      </c>
      <c r="C597">
        <v>0</v>
      </c>
      <c r="D597" t="s">
        <v>127</v>
      </c>
      <c r="E597" t="s">
        <v>2446</v>
      </c>
      <c r="F597">
        <v>24</v>
      </c>
      <c r="G597">
        <v>700000</v>
      </c>
      <c r="H597">
        <v>700000</v>
      </c>
      <c r="I597" t="s">
        <v>8</v>
      </c>
      <c r="J597">
        <v>0</v>
      </c>
      <c r="K597">
        <v>0</v>
      </c>
      <c r="L597">
        <v>0</v>
      </c>
      <c r="M597">
        <v>0</v>
      </c>
    </row>
    <row r="598" spans="1:13" ht="15" customHeight="1" x14ac:dyDescent="0.25">
      <c r="A598" t="s">
        <v>2379</v>
      </c>
      <c r="B598" t="s">
        <v>135</v>
      </c>
      <c r="C598">
        <v>0</v>
      </c>
      <c r="D598" t="s">
        <v>379</v>
      </c>
      <c r="E598" t="s">
        <v>2677</v>
      </c>
      <c r="F598">
        <v>32</v>
      </c>
      <c r="G598">
        <v>2200000</v>
      </c>
      <c r="H598" t="s">
        <v>7</v>
      </c>
      <c r="I598">
        <v>0</v>
      </c>
      <c r="J598">
        <v>0</v>
      </c>
      <c r="K598">
        <v>0</v>
      </c>
      <c r="L598">
        <v>0</v>
      </c>
      <c r="M598">
        <v>0</v>
      </c>
    </row>
    <row r="599" spans="1:13" ht="15" customHeight="1" x14ac:dyDescent="0.25">
      <c r="A599" t="s">
        <v>1600</v>
      </c>
      <c r="B599" t="s">
        <v>33</v>
      </c>
      <c r="C599">
        <v>0</v>
      </c>
      <c r="D599" t="s">
        <v>379</v>
      </c>
      <c r="E599" t="s">
        <v>2677</v>
      </c>
      <c r="F599">
        <v>27</v>
      </c>
      <c r="G599">
        <v>675000</v>
      </c>
      <c r="H599" t="s">
        <v>7</v>
      </c>
      <c r="I599">
        <v>0</v>
      </c>
      <c r="J599">
        <v>0</v>
      </c>
      <c r="K599">
        <v>0</v>
      </c>
      <c r="L599">
        <v>0</v>
      </c>
      <c r="M599">
        <v>0</v>
      </c>
    </row>
    <row r="600" spans="1:13" ht="15" customHeight="1" x14ac:dyDescent="0.25">
      <c r="A600" t="s">
        <v>2599</v>
      </c>
      <c r="B600" t="s">
        <v>33</v>
      </c>
      <c r="C600" t="s">
        <v>386</v>
      </c>
      <c r="D600" t="s">
        <v>82</v>
      </c>
      <c r="E600" t="s">
        <v>2690</v>
      </c>
      <c r="F600">
        <v>20</v>
      </c>
      <c r="G600">
        <v>799766</v>
      </c>
      <c r="H600">
        <v>799766</v>
      </c>
      <c r="I600">
        <v>799766</v>
      </c>
      <c r="J600" t="s">
        <v>8</v>
      </c>
      <c r="K600">
        <v>0</v>
      </c>
      <c r="L600">
        <v>0</v>
      </c>
      <c r="M600">
        <v>0</v>
      </c>
    </row>
    <row r="601" spans="1:13" ht="15" customHeight="1" x14ac:dyDescent="0.25">
      <c r="A601" t="s">
        <v>2854</v>
      </c>
      <c r="B601" t="s">
        <v>25</v>
      </c>
      <c r="C601" t="s">
        <v>386</v>
      </c>
      <c r="D601" t="s">
        <v>2438</v>
      </c>
      <c r="E601" t="s">
        <v>2446</v>
      </c>
      <c r="F601">
        <v>18</v>
      </c>
      <c r="G601">
        <v>925000</v>
      </c>
      <c r="H601">
        <v>925000</v>
      </c>
      <c r="I601">
        <v>925000</v>
      </c>
      <c r="J601" t="s">
        <v>8</v>
      </c>
      <c r="K601">
        <v>0</v>
      </c>
      <c r="L601">
        <v>0</v>
      </c>
      <c r="M601">
        <v>0</v>
      </c>
    </row>
    <row r="602" spans="1:13" ht="15" customHeight="1" x14ac:dyDescent="0.25">
      <c r="A602" t="s">
        <v>1867</v>
      </c>
      <c r="B602" t="s">
        <v>2503</v>
      </c>
      <c r="C602" t="s">
        <v>381</v>
      </c>
      <c r="D602" t="s">
        <v>127</v>
      </c>
      <c r="E602" t="s">
        <v>2677</v>
      </c>
      <c r="F602">
        <v>29</v>
      </c>
      <c r="G602">
        <v>6100000</v>
      </c>
      <c r="H602" t="s">
        <v>7</v>
      </c>
      <c r="I602">
        <v>0</v>
      </c>
      <c r="J602">
        <v>0</v>
      </c>
      <c r="K602">
        <v>0</v>
      </c>
      <c r="L602">
        <v>0</v>
      </c>
      <c r="M602">
        <v>0</v>
      </c>
    </row>
    <row r="603" spans="1:13" ht="15" customHeight="1" x14ac:dyDescent="0.25">
      <c r="A603" t="s">
        <v>2126</v>
      </c>
      <c r="B603" t="s">
        <v>6</v>
      </c>
      <c r="C603">
        <v>0</v>
      </c>
      <c r="D603" t="s">
        <v>2444</v>
      </c>
      <c r="E603" t="s">
        <v>2439</v>
      </c>
      <c r="F603">
        <v>31</v>
      </c>
      <c r="G603">
        <v>850000</v>
      </c>
      <c r="H603" t="s">
        <v>7</v>
      </c>
      <c r="I603">
        <v>0</v>
      </c>
      <c r="J603">
        <v>0</v>
      </c>
      <c r="K603">
        <v>0</v>
      </c>
      <c r="L603">
        <v>0</v>
      </c>
      <c r="M603">
        <v>0</v>
      </c>
    </row>
    <row r="604" spans="1:13" ht="15" customHeight="1" x14ac:dyDescent="0.25">
      <c r="A604" t="s">
        <v>1961</v>
      </c>
      <c r="B604" t="s">
        <v>16</v>
      </c>
      <c r="C604">
        <v>0</v>
      </c>
      <c r="D604" t="s">
        <v>379</v>
      </c>
      <c r="E604" t="s">
        <v>2677</v>
      </c>
      <c r="F604">
        <v>23</v>
      </c>
      <c r="G604" t="s">
        <v>8</v>
      </c>
      <c r="H604">
        <v>0</v>
      </c>
      <c r="I604">
        <v>0</v>
      </c>
      <c r="J604">
        <v>0</v>
      </c>
      <c r="K604">
        <v>0</v>
      </c>
      <c r="L604">
        <v>0</v>
      </c>
      <c r="M604">
        <v>0</v>
      </c>
    </row>
    <row r="605" spans="1:13" ht="15" customHeight="1" x14ac:dyDescent="0.25">
      <c r="A605" t="s">
        <v>2855</v>
      </c>
      <c r="B605" t="s">
        <v>29</v>
      </c>
      <c r="C605" t="s">
        <v>372</v>
      </c>
      <c r="D605" t="s">
        <v>88</v>
      </c>
      <c r="E605" t="s">
        <v>2677</v>
      </c>
      <c r="F605">
        <v>32</v>
      </c>
      <c r="G605">
        <v>5300000</v>
      </c>
      <c r="H605">
        <v>5300000</v>
      </c>
      <c r="I605">
        <v>5300000</v>
      </c>
      <c r="J605">
        <v>5300000</v>
      </c>
      <c r="K605" t="s">
        <v>7</v>
      </c>
      <c r="L605">
        <v>0</v>
      </c>
      <c r="M605">
        <v>0</v>
      </c>
    </row>
    <row r="606" spans="1:13" ht="15" customHeight="1" x14ac:dyDescent="0.25">
      <c r="A606" t="s">
        <v>2687</v>
      </c>
      <c r="B606" t="s">
        <v>33</v>
      </c>
      <c r="C606" t="s">
        <v>370</v>
      </c>
      <c r="D606" t="s">
        <v>88</v>
      </c>
      <c r="E606" t="s">
        <v>374</v>
      </c>
      <c r="F606">
        <v>34</v>
      </c>
      <c r="G606">
        <v>5300000</v>
      </c>
      <c r="H606" t="s">
        <v>7</v>
      </c>
      <c r="I606">
        <v>0</v>
      </c>
      <c r="J606">
        <v>0</v>
      </c>
      <c r="K606">
        <v>0</v>
      </c>
      <c r="L606">
        <v>0</v>
      </c>
      <c r="M606">
        <v>0</v>
      </c>
    </row>
    <row r="607" spans="1:13" ht="15" customHeight="1" x14ac:dyDescent="0.25">
      <c r="A607" t="s">
        <v>2795</v>
      </c>
      <c r="B607" t="s">
        <v>34</v>
      </c>
      <c r="C607">
        <v>0</v>
      </c>
      <c r="D607" t="s">
        <v>73</v>
      </c>
      <c r="E607" t="s">
        <v>2439</v>
      </c>
      <c r="F607">
        <v>24</v>
      </c>
      <c r="G607">
        <v>5500000</v>
      </c>
      <c r="H607">
        <v>5500000</v>
      </c>
      <c r="I607">
        <v>5500000</v>
      </c>
      <c r="J607">
        <v>5500000</v>
      </c>
      <c r="K607" t="s">
        <v>7</v>
      </c>
      <c r="L607">
        <v>0</v>
      </c>
      <c r="M607">
        <v>0</v>
      </c>
    </row>
    <row r="608" spans="1:13" ht="15" customHeight="1" x14ac:dyDescent="0.25">
      <c r="A608" t="s">
        <v>1744</v>
      </c>
      <c r="B608" t="s">
        <v>25</v>
      </c>
      <c r="C608">
        <v>0</v>
      </c>
      <c r="D608" t="s">
        <v>2453</v>
      </c>
      <c r="E608" t="s">
        <v>2446</v>
      </c>
      <c r="F608">
        <v>23</v>
      </c>
      <c r="G608" t="s">
        <v>8</v>
      </c>
      <c r="H608">
        <v>0</v>
      </c>
      <c r="I608">
        <v>0</v>
      </c>
      <c r="J608">
        <v>0</v>
      </c>
      <c r="K608">
        <v>0</v>
      </c>
      <c r="L608">
        <v>0</v>
      </c>
      <c r="M608">
        <v>0</v>
      </c>
    </row>
    <row r="609" spans="1:13" ht="15" customHeight="1" x14ac:dyDescent="0.25">
      <c r="A609" t="s">
        <v>1435</v>
      </c>
      <c r="B609" t="s">
        <v>17</v>
      </c>
      <c r="C609" t="s">
        <v>2511</v>
      </c>
      <c r="D609" t="s">
        <v>127</v>
      </c>
      <c r="E609" t="s">
        <v>2439</v>
      </c>
      <c r="F609">
        <v>35</v>
      </c>
      <c r="G609">
        <v>5100000</v>
      </c>
      <c r="H609" t="s">
        <v>7</v>
      </c>
      <c r="I609">
        <v>0</v>
      </c>
      <c r="J609">
        <v>0</v>
      </c>
      <c r="K609">
        <v>0</v>
      </c>
      <c r="L609">
        <v>0</v>
      </c>
      <c r="M609">
        <v>0</v>
      </c>
    </row>
    <row r="610" spans="1:13" ht="15" customHeight="1" x14ac:dyDescent="0.25">
      <c r="A610" t="s">
        <v>1772</v>
      </c>
      <c r="B610" t="s">
        <v>26</v>
      </c>
      <c r="C610" t="s">
        <v>386</v>
      </c>
      <c r="D610" t="s">
        <v>73</v>
      </c>
      <c r="E610" t="s">
        <v>2677</v>
      </c>
      <c r="F610">
        <v>21</v>
      </c>
      <c r="G610">
        <v>863333</v>
      </c>
      <c r="H610">
        <v>863333</v>
      </c>
      <c r="I610" t="s">
        <v>8</v>
      </c>
      <c r="J610">
        <v>0</v>
      </c>
      <c r="K610">
        <v>0</v>
      </c>
      <c r="L610">
        <v>0</v>
      </c>
      <c r="M610">
        <v>0</v>
      </c>
    </row>
    <row r="611" spans="1:13" ht="15" customHeight="1" x14ac:dyDescent="0.25">
      <c r="A611" t="s">
        <v>1445</v>
      </c>
      <c r="B611" t="s">
        <v>17</v>
      </c>
      <c r="C611" t="s">
        <v>386</v>
      </c>
      <c r="D611" t="s">
        <v>2444</v>
      </c>
      <c r="E611" t="s">
        <v>2439</v>
      </c>
      <c r="F611">
        <v>21</v>
      </c>
      <c r="G611">
        <v>913333</v>
      </c>
      <c r="H611">
        <v>913333</v>
      </c>
      <c r="I611" t="s">
        <v>8</v>
      </c>
      <c r="J611">
        <v>0</v>
      </c>
      <c r="K611">
        <v>0</v>
      </c>
      <c r="L611">
        <v>0</v>
      </c>
      <c r="M611">
        <v>0</v>
      </c>
    </row>
    <row r="612" spans="1:13" ht="15" customHeight="1" x14ac:dyDescent="0.25">
      <c r="A612" t="s">
        <v>2781</v>
      </c>
      <c r="B612" t="s">
        <v>2531</v>
      </c>
      <c r="C612" t="s">
        <v>420</v>
      </c>
      <c r="D612" t="s">
        <v>2696</v>
      </c>
      <c r="E612" t="s">
        <v>2677</v>
      </c>
      <c r="F612">
        <v>26</v>
      </c>
      <c r="G612">
        <v>5900000</v>
      </c>
      <c r="H612">
        <v>5900000</v>
      </c>
      <c r="I612">
        <v>5900000</v>
      </c>
      <c r="J612">
        <v>5900000</v>
      </c>
      <c r="K612" t="s">
        <v>7</v>
      </c>
      <c r="L612">
        <v>0</v>
      </c>
      <c r="M612">
        <v>0</v>
      </c>
    </row>
    <row r="613" spans="1:13" ht="15" customHeight="1" x14ac:dyDescent="0.25">
      <c r="A613" t="s">
        <v>1488</v>
      </c>
      <c r="B613" t="s">
        <v>22</v>
      </c>
      <c r="C613">
        <v>0</v>
      </c>
      <c r="D613" t="s">
        <v>2442</v>
      </c>
      <c r="E613" t="s">
        <v>2439</v>
      </c>
      <c r="F613">
        <v>25</v>
      </c>
      <c r="G613">
        <v>800000</v>
      </c>
      <c r="H613" t="s">
        <v>8</v>
      </c>
      <c r="I613">
        <v>0</v>
      </c>
      <c r="J613">
        <v>0</v>
      </c>
      <c r="K613">
        <v>0</v>
      </c>
      <c r="L613">
        <v>0</v>
      </c>
      <c r="M613">
        <v>0</v>
      </c>
    </row>
    <row r="614" spans="1:13" ht="15" customHeight="1" x14ac:dyDescent="0.25">
      <c r="A614" t="s">
        <v>1370</v>
      </c>
      <c r="B614" t="s">
        <v>9</v>
      </c>
      <c r="C614" t="s">
        <v>386</v>
      </c>
      <c r="D614" t="s">
        <v>2452</v>
      </c>
      <c r="E614" t="s">
        <v>2446</v>
      </c>
      <c r="F614">
        <v>22</v>
      </c>
      <c r="G614">
        <v>925000</v>
      </c>
      <c r="H614">
        <v>925000</v>
      </c>
      <c r="I614" t="s">
        <v>8</v>
      </c>
      <c r="J614">
        <v>0</v>
      </c>
      <c r="K614">
        <v>0</v>
      </c>
      <c r="L614">
        <v>0</v>
      </c>
      <c r="M614">
        <v>0</v>
      </c>
    </row>
    <row r="615" spans="1:13" ht="15" customHeight="1" x14ac:dyDescent="0.25">
      <c r="A615" t="s">
        <v>2748</v>
      </c>
      <c r="B615" t="s">
        <v>24</v>
      </c>
      <c r="C615" t="s">
        <v>388</v>
      </c>
      <c r="D615" t="s">
        <v>73</v>
      </c>
      <c r="E615" t="s">
        <v>2439</v>
      </c>
      <c r="F615">
        <v>18</v>
      </c>
      <c r="G615">
        <v>3775000</v>
      </c>
      <c r="H615">
        <v>3775000</v>
      </c>
      <c r="I615">
        <v>3775000</v>
      </c>
      <c r="J615" t="s">
        <v>8</v>
      </c>
      <c r="K615">
        <v>0</v>
      </c>
      <c r="L615">
        <v>0</v>
      </c>
      <c r="M615">
        <v>0</v>
      </c>
    </row>
    <row r="616" spans="1:13" ht="15" customHeight="1" x14ac:dyDescent="0.25">
      <c r="A616" t="s">
        <v>2550</v>
      </c>
      <c r="B616" t="s">
        <v>34</v>
      </c>
      <c r="C616" t="s">
        <v>386</v>
      </c>
      <c r="D616" t="s">
        <v>2445</v>
      </c>
      <c r="E616" t="s">
        <v>2439</v>
      </c>
      <c r="F616">
        <v>19</v>
      </c>
      <c r="G616">
        <v>1604167</v>
      </c>
      <c r="H616">
        <v>1604167</v>
      </c>
      <c r="I616" t="s">
        <v>8</v>
      </c>
      <c r="J616">
        <v>0</v>
      </c>
      <c r="K616">
        <v>0</v>
      </c>
      <c r="L616">
        <v>0</v>
      </c>
      <c r="M616">
        <v>0</v>
      </c>
    </row>
    <row r="617" spans="1:13" ht="15" customHeight="1" x14ac:dyDescent="0.25">
      <c r="A617" t="s">
        <v>2381</v>
      </c>
      <c r="B617" t="s">
        <v>21</v>
      </c>
      <c r="C617">
        <v>0</v>
      </c>
      <c r="D617" t="s">
        <v>2444</v>
      </c>
      <c r="E617" t="s">
        <v>2439</v>
      </c>
      <c r="F617">
        <v>30</v>
      </c>
      <c r="G617">
        <v>700000</v>
      </c>
      <c r="H617">
        <v>700000</v>
      </c>
      <c r="I617" t="s">
        <v>7</v>
      </c>
      <c r="J617">
        <v>0</v>
      </c>
      <c r="K617">
        <v>0</v>
      </c>
      <c r="L617">
        <v>0</v>
      </c>
      <c r="M617">
        <v>0</v>
      </c>
    </row>
    <row r="618" spans="1:13" ht="15" customHeight="1" x14ac:dyDescent="0.25">
      <c r="A618" t="s">
        <v>1468</v>
      </c>
      <c r="B618" t="s">
        <v>2531</v>
      </c>
      <c r="C618">
        <v>0</v>
      </c>
      <c r="D618" t="s">
        <v>2689</v>
      </c>
      <c r="E618" t="s">
        <v>2690</v>
      </c>
      <c r="F618">
        <v>23</v>
      </c>
      <c r="G618">
        <v>715000</v>
      </c>
      <c r="H618" t="s">
        <v>8</v>
      </c>
      <c r="I618">
        <v>0</v>
      </c>
      <c r="J618">
        <v>0</v>
      </c>
      <c r="K618">
        <v>0</v>
      </c>
      <c r="L618">
        <v>0</v>
      </c>
      <c r="M618">
        <v>0</v>
      </c>
    </row>
    <row r="619" spans="1:13" ht="15" customHeight="1" x14ac:dyDescent="0.25">
      <c r="A619" t="s">
        <v>2559</v>
      </c>
      <c r="B619" t="s">
        <v>32</v>
      </c>
      <c r="C619" t="s">
        <v>386</v>
      </c>
      <c r="D619" t="s">
        <v>73</v>
      </c>
      <c r="E619" t="s">
        <v>2446</v>
      </c>
      <c r="F619">
        <v>20</v>
      </c>
      <c r="G619">
        <v>925000</v>
      </c>
      <c r="H619">
        <v>925000</v>
      </c>
      <c r="I619">
        <v>925000</v>
      </c>
      <c r="J619" t="s">
        <v>8</v>
      </c>
      <c r="K619">
        <v>0</v>
      </c>
      <c r="L619">
        <v>0</v>
      </c>
      <c r="M619">
        <v>0</v>
      </c>
    </row>
    <row r="620" spans="1:13" ht="15" customHeight="1" x14ac:dyDescent="0.25">
      <c r="A620" t="s">
        <v>1396</v>
      </c>
      <c r="B620" t="s">
        <v>10</v>
      </c>
      <c r="C620">
        <v>0</v>
      </c>
      <c r="D620" t="s">
        <v>380</v>
      </c>
      <c r="E620" t="s">
        <v>2677</v>
      </c>
      <c r="F620">
        <v>34</v>
      </c>
      <c r="G620">
        <v>2250000</v>
      </c>
      <c r="H620" t="s">
        <v>7</v>
      </c>
      <c r="I620">
        <v>0</v>
      </c>
      <c r="J620">
        <v>0</v>
      </c>
      <c r="K620">
        <v>0</v>
      </c>
      <c r="L620">
        <v>0</v>
      </c>
      <c r="M620">
        <v>0</v>
      </c>
    </row>
    <row r="621" spans="1:13" ht="15" customHeight="1" x14ac:dyDescent="0.25">
      <c r="A621" t="s">
        <v>2569</v>
      </c>
      <c r="B621" t="s">
        <v>26</v>
      </c>
      <c r="C621" t="s">
        <v>386</v>
      </c>
      <c r="D621" t="s">
        <v>127</v>
      </c>
      <c r="E621" t="s">
        <v>2690</v>
      </c>
      <c r="F621">
        <v>22</v>
      </c>
      <c r="G621">
        <v>925000</v>
      </c>
      <c r="H621">
        <v>925000</v>
      </c>
      <c r="I621" t="s">
        <v>8</v>
      </c>
      <c r="J621">
        <v>0</v>
      </c>
      <c r="K621">
        <v>0</v>
      </c>
      <c r="L621">
        <v>0</v>
      </c>
      <c r="M621">
        <v>0</v>
      </c>
    </row>
    <row r="622" spans="1:13" ht="15" customHeight="1" x14ac:dyDescent="0.25">
      <c r="A622" t="s">
        <v>2069</v>
      </c>
      <c r="B622" t="s">
        <v>31</v>
      </c>
      <c r="C622">
        <v>0</v>
      </c>
      <c r="D622" t="s">
        <v>127</v>
      </c>
      <c r="E622" t="s">
        <v>2690</v>
      </c>
      <c r="F622">
        <v>24</v>
      </c>
      <c r="G622">
        <v>700000</v>
      </c>
      <c r="H622" t="s">
        <v>8</v>
      </c>
      <c r="I622">
        <v>0</v>
      </c>
      <c r="J622">
        <v>0</v>
      </c>
      <c r="K622">
        <v>0</v>
      </c>
      <c r="L622">
        <v>0</v>
      </c>
      <c r="M622">
        <v>0</v>
      </c>
    </row>
    <row r="623" spans="1:13" ht="15" customHeight="1" x14ac:dyDescent="0.25">
      <c r="A623" t="s">
        <v>1465</v>
      </c>
      <c r="B623" t="s">
        <v>33</v>
      </c>
      <c r="C623">
        <v>0</v>
      </c>
      <c r="D623" t="s">
        <v>127</v>
      </c>
      <c r="E623" t="s">
        <v>2677</v>
      </c>
      <c r="F623">
        <v>29</v>
      </c>
      <c r="G623">
        <v>700000</v>
      </c>
      <c r="H623" t="s">
        <v>7</v>
      </c>
      <c r="I623">
        <v>0</v>
      </c>
      <c r="J623">
        <v>0</v>
      </c>
      <c r="K623">
        <v>0</v>
      </c>
      <c r="L623">
        <v>0</v>
      </c>
      <c r="M623">
        <v>0</v>
      </c>
    </row>
    <row r="624" spans="1:13" ht="15" customHeight="1" x14ac:dyDescent="0.25">
      <c r="A624" t="s">
        <v>1399</v>
      </c>
      <c r="B624" t="s">
        <v>10</v>
      </c>
      <c r="C624">
        <v>0</v>
      </c>
      <c r="D624" t="s">
        <v>127</v>
      </c>
      <c r="E624" t="s">
        <v>2677</v>
      </c>
      <c r="F624">
        <v>33</v>
      </c>
      <c r="G624">
        <v>2750000</v>
      </c>
      <c r="H624">
        <v>2750000</v>
      </c>
      <c r="I624" t="s">
        <v>7</v>
      </c>
      <c r="J624">
        <v>0</v>
      </c>
      <c r="K624">
        <v>0</v>
      </c>
      <c r="L624">
        <v>0</v>
      </c>
      <c r="M624">
        <v>0</v>
      </c>
    </row>
    <row r="625" spans="1:13" ht="15" customHeight="1" x14ac:dyDescent="0.25">
      <c r="A625" t="s">
        <v>2576</v>
      </c>
      <c r="B625" t="s">
        <v>25</v>
      </c>
      <c r="C625" t="s">
        <v>386</v>
      </c>
      <c r="D625" t="s">
        <v>2444</v>
      </c>
      <c r="E625" t="s">
        <v>2446</v>
      </c>
      <c r="F625">
        <v>24</v>
      </c>
      <c r="G625">
        <v>925000</v>
      </c>
      <c r="H625" t="s">
        <v>8</v>
      </c>
      <c r="I625">
        <v>0</v>
      </c>
      <c r="J625">
        <v>0</v>
      </c>
      <c r="K625">
        <v>0</v>
      </c>
      <c r="L625">
        <v>0</v>
      </c>
      <c r="M625">
        <v>0</v>
      </c>
    </row>
    <row r="626" spans="1:13" ht="15" customHeight="1" x14ac:dyDescent="0.25">
      <c r="A626" t="s">
        <v>1587</v>
      </c>
      <c r="B626" t="s">
        <v>33</v>
      </c>
      <c r="C626" t="s">
        <v>381</v>
      </c>
      <c r="D626" t="s">
        <v>93</v>
      </c>
      <c r="E626" t="s">
        <v>374</v>
      </c>
      <c r="F626">
        <v>27</v>
      </c>
      <c r="G626">
        <v>2250000</v>
      </c>
      <c r="H626">
        <v>2250000</v>
      </c>
      <c r="I626" t="s">
        <v>7</v>
      </c>
      <c r="J626">
        <v>0</v>
      </c>
      <c r="K626">
        <v>0</v>
      </c>
      <c r="L626">
        <v>0</v>
      </c>
      <c r="M626">
        <v>0</v>
      </c>
    </row>
    <row r="627" spans="1:13" ht="15" customHeight="1" x14ac:dyDescent="0.25">
      <c r="A627" t="s">
        <v>2261</v>
      </c>
      <c r="B627" t="s">
        <v>20</v>
      </c>
      <c r="C627">
        <v>0</v>
      </c>
      <c r="D627" t="s">
        <v>2450</v>
      </c>
      <c r="E627" t="s">
        <v>2439</v>
      </c>
      <c r="F627">
        <v>25</v>
      </c>
      <c r="G627">
        <v>2425000</v>
      </c>
      <c r="H627">
        <v>2425000</v>
      </c>
      <c r="I627" t="s">
        <v>7</v>
      </c>
      <c r="J627">
        <v>0</v>
      </c>
      <c r="K627">
        <v>0</v>
      </c>
      <c r="L627">
        <v>0</v>
      </c>
      <c r="M627">
        <v>0</v>
      </c>
    </row>
    <row r="628" spans="1:13" ht="15" customHeight="1" x14ac:dyDescent="0.25">
      <c r="A628" t="s">
        <v>2286</v>
      </c>
      <c r="B628" t="s">
        <v>20</v>
      </c>
      <c r="C628" t="s">
        <v>386</v>
      </c>
      <c r="D628" t="s">
        <v>2440</v>
      </c>
      <c r="E628" t="s">
        <v>2446</v>
      </c>
      <c r="F628">
        <v>23</v>
      </c>
      <c r="G628">
        <v>706667</v>
      </c>
      <c r="H628" t="s">
        <v>8</v>
      </c>
      <c r="I628">
        <v>0</v>
      </c>
      <c r="J628">
        <v>0</v>
      </c>
      <c r="K628">
        <v>0</v>
      </c>
      <c r="L628">
        <v>0</v>
      </c>
      <c r="M628">
        <v>0</v>
      </c>
    </row>
    <row r="629" spans="1:13" ht="15" customHeight="1" x14ac:dyDescent="0.25">
      <c r="A629" t="s">
        <v>1574</v>
      </c>
      <c r="B629" t="s">
        <v>23</v>
      </c>
      <c r="C629" t="s">
        <v>386</v>
      </c>
      <c r="D629" t="s">
        <v>127</v>
      </c>
      <c r="E629" t="s">
        <v>2690</v>
      </c>
      <c r="F629">
        <v>22</v>
      </c>
      <c r="G629">
        <v>925000</v>
      </c>
      <c r="H629" t="s">
        <v>8</v>
      </c>
      <c r="I629">
        <v>0</v>
      </c>
      <c r="J629">
        <v>0</v>
      </c>
      <c r="K629">
        <v>0</v>
      </c>
      <c r="L629">
        <v>0</v>
      </c>
      <c r="M629">
        <v>0</v>
      </c>
    </row>
    <row r="630" spans="1:13" ht="15" customHeight="1" x14ac:dyDescent="0.25">
      <c r="A630" t="s">
        <v>2029</v>
      </c>
      <c r="B630" t="s">
        <v>23</v>
      </c>
      <c r="C630">
        <v>0</v>
      </c>
      <c r="D630" t="s">
        <v>379</v>
      </c>
      <c r="E630" t="s">
        <v>2677</v>
      </c>
      <c r="F630">
        <v>31</v>
      </c>
      <c r="G630">
        <v>675000</v>
      </c>
      <c r="H630" t="s">
        <v>7</v>
      </c>
      <c r="I630">
        <v>0</v>
      </c>
      <c r="J630">
        <v>0</v>
      </c>
      <c r="K630">
        <v>0</v>
      </c>
      <c r="L630">
        <v>0</v>
      </c>
      <c r="M630">
        <v>0</v>
      </c>
    </row>
    <row r="631" spans="1:13" ht="15" customHeight="1" x14ac:dyDescent="0.25">
      <c r="A631" t="s">
        <v>1715</v>
      </c>
      <c r="B631" t="s">
        <v>24</v>
      </c>
      <c r="C631">
        <v>0</v>
      </c>
      <c r="D631" t="s">
        <v>82</v>
      </c>
      <c r="E631" t="s">
        <v>2446</v>
      </c>
      <c r="F631">
        <v>23</v>
      </c>
      <c r="G631">
        <v>700000</v>
      </c>
      <c r="H631" t="s">
        <v>8</v>
      </c>
      <c r="I631">
        <v>0</v>
      </c>
      <c r="J631">
        <v>0</v>
      </c>
      <c r="K631">
        <v>0</v>
      </c>
      <c r="L631">
        <v>0</v>
      </c>
      <c r="M631">
        <v>0</v>
      </c>
    </row>
    <row r="632" spans="1:13" ht="15" customHeight="1" x14ac:dyDescent="0.25">
      <c r="A632" t="s">
        <v>2194</v>
      </c>
      <c r="B632" t="s">
        <v>12</v>
      </c>
      <c r="C632">
        <v>0</v>
      </c>
      <c r="D632" t="s">
        <v>73</v>
      </c>
      <c r="E632" t="s">
        <v>2439</v>
      </c>
      <c r="F632">
        <v>24</v>
      </c>
      <c r="G632">
        <v>1675000</v>
      </c>
      <c r="H632" t="s">
        <v>8</v>
      </c>
      <c r="I632">
        <v>0</v>
      </c>
      <c r="J632">
        <v>0</v>
      </c>
      <c r="K632">
        <v>0</v>
      </c>
      <c r="L632">
        <v>0</v>
      </c>
      <c r="M632">
        <v>0</v>
      </c>
    </row>
    <row r="633" spans="1:13" ht="15" customHeight="1" x14ac:dyDescent="0.25">
      <c r="A633" t="s">
        <v>1954</v>
      </c>
      <c r="B633" t="s">
        <v>16</v>
      </c>
      <c r="C633">
        <v>0</v>
      </c>
      <c r="D633" t="s">
        <v>2696</v>
      </c>
      <c r="E633" t="s">
        <v>2677</v>
      </c>
      <c r="F633">
        <v>26</v>
      </c>
      <c r="G633">
        <v>2300000</v>
      </c>
      <c r="H633" t="s">
        <v>7</v>
      </c>
      <c r="I633">
        <v>0</v>
      </c>
      <c r="J633">
        <v>0</v>
      </c>
      <c r="K633">
        <v>0</v>
      </c>
      <c r="L633">
        <v>0</v>
      </c>
      <c r="M633">
        <v>0</v>
      </c>
    </row>
    <row r="634" spans="1:13" ht="15" customHeight="1" x14ac:dyDescent="0.25">
      <c r="A634" t="s">
        <v>2875</v>
      </c>
      <c r="B634" t="s">
        <v>23</v>
      </c>
      <c r="C634">
        <v>0</v>
      </c>
      <c r="D634" t="s">
        <v>2696</v>
      </c>
      <c r="E634" t="s">
        <v>2677</v>
      </c>
      <c r="F634">
        <v>27</v>
      </c>
      <c r="G634">
        <v>2000000</v>
      </c>
      <c r="H634">
        <v>2000000</v>
      </c>
      <c r="I634">
        <v>2000000</v>
      </c>
      <c r="J634" t="s">
        <v>7</v>
      </c>
      <c r="K634">
        <v>0</v>
      </c>
      <c r="L634">
        <v>0</v>
      </c>
      <c r="M634">
        <v>0</v>
      </c>
    </row>
    <row r="635" spans="1:13" ht="15" customHeight="1" x14ac:dyDescent="0.25">
      <c r="A635" t="s">
        <v>1537</v>
      </c>
      <c r="B635" t="s">
        <v>27</v>
      </c>
      <c r="C635" t="s">
        <v>386</v>
      </c>
      <c r="D635" t="s">
        <v>2444</v>
      </c>
      <c r="E635" t="s">
        <v>2439</v>
      </c>
      <c r="F635">
        <v>23</v>
      </c>
      <c r="G635">
        <v>801667</v>
      </c>
      <c r="H635" t="s">
        <v>8</v>
      </c>
      <c r="I635">
        <v>0</v>
      </c>
      <c r="J635">
        <v>0</v>
      </c>
      <c r="K635">
        <v>0</v>
      </c>
      <c r="L635">
        <v>0</v>
      </c>
      <c r="M635">
        <v>0</v>
      </c>
    </row>
    <row r="636" spans="1:13" ht="15" customHeight="1" x14ac:dyDescent="0.25">
      <c r="A636" t="s">
        <v>1845</v>
      </c>
      <c r="B636" t="s">
        <v>29</v>
      </c>
      <c r="C636">
        <v>0</v>
      </c>
      <c r="D636" t="s">
        <v>127</v>
      </c>
      <c r="E636" t="s">
        <v>2690</v>
      </c>
      <c r="F636">
        <v>24</v>
      </c>
      <c r="G636">
        <v>675000</v>
      </c>
      <c r="H636" t="s">
        <v>8</v>
      </c>
      <c r="I636">
        <v>0</v>
      </c>
      <c r="J636">
        <v>0</v>
      </c>
      <c r="K636">
        <v>0</v>
      </c>
      <c r="L636">
        <v>0</v>
      </c>
      <c r="M636">
        <v>0</v>
      </c>
    </row>
    <row r="637" spans="1:13" ht="15" customHeight="1" x14ac:dyDescent="0.25">
      <c r="A637" t="s">
        <v>2352</v>
      </c>
      <c r="B637" t="s">
        <v>34</v>
      </c>
      <c r="C637" t="s">
        <v>386</v>
      </c>
      <c r="D637" t="s">
        <v>2438</v>
      </c>
      <c r="E637" t="s">
        <v>2446</v>
      </c>
      <c r="F637">
        <v>21</v>
      </c>
      <c r="G637">
        <v>925000</v>
      </c>
      <c r="H637">
        <v>925000</v>
      </c>
      <c r="I637" t="s">
        <v>8</v>
      </c>
      <c r="J637">
        <v>0</v>
      </c>
      <c r="K637">
        <v>0</v>
      </c>
      <c r="L637">
        <v>0</v>
      </c>
      <c r="M637">
        <v>0</v>
      </c>
    </row>
    <row r="638" spans="1:13" ht="15" customHeight="1" x14ac:dyDescent="0.25">
      <c r="A638" t="s">
        <v>2038</v>
      </c>
      <c r="B638" t="s">
        <v>23</v>
      </c>
      <c r="C638" t="s">
        <v>386</v>
      </c>
      <c r="D638" t="s">
        <v>93</v>
      </c>
      <c r="E638" t="s">
        <v>2690</v>
      </c>
      <c r="F638">
        <v>22</v>
      </c>
      <c r="G638">
        <v>713333</v>
      </c>
      <c r="H638">
        <v>713333</v>
      </c>
      <c r="I638" t="s">
        <v>8</v>
      </c>
      <c r="J638">
        <v>0</v>
      </c>
      <c r="K638">
        <v>0</v>
      </c>
      <c r="L638">
        <v>0</v>
      </c>
      <c r="M638">
        <v>0</v>
      </c>
    </row>
    <row r="639" spans="1:13" ht="15" customHeight="1" x14ac:dyDescent="0.25">
      <c r="A639" t="s">
        <v>2456</v>
      </c>
      <c r="B639" t="s">
        <v>63</v>
      </c>
      <c r="C639" t="s">
        <v>386</v>
      </c>
      <c r="D639" t="s">
        <v>73</v>
      </c>
      <c r="E639" t="s">
        <v>2690</v>
      </c>
      <c r="F639">
        <v>18</v>
      </c>
      <c r="G639">
        <v>925000</v>
      </c>
      <c r="H639">
        <v>925000</v>
      </c>
      <c r="I639">
        <v>925000</v>
      </c>
      <c r="J639" t="s">
        <v>8</v>
      </c>
      <c r="K639">
        <v>0</v>
      </c>
      <c r="L639">
        <v>0</v>
      </c>
      <c r="M639">
        <v>0</v>
      </c>
    </row>
    <row r="640" spans="1:13" ht="15" customHeight="1" x14ac:dyDescent="0.25">
      <c r="A640" t="s">
        <v>2818</v>
      </c>
      <c r="B640" t="s">
        <v>14</v>
      </c>
      <c r="C640">
        <v>0</v>
      </c>
      <c r="D640" t="s">
        <v>2452</v>
      </c>
      <c r="E640" t="s">
        <v>2439</v>
      </c>
      <c r="F640">
        <v>26</v>
      </c>
      <c r="G640">
        <v>3750000</v>
      </c>
      <c r="H640">
        <v>3750000</v>
      </c>
      <c r="I640">
        <v>3750000</v>
      </c>
      <c r="J640" t="s">
        <v>7</v>
      </c>
      <c r="K640">
        <v>0</v>
      </c>
      <c r="L640">
        <v>0</v>
      </c>
      <c r="M640">
        <v>0</v>
      </c>
    </row>
    <row r="641" spans="1:13" ht="15" customHeight="1" x14ac:dyDescent="0.25">
      <c r="A641" t="s">
        <v>1434</v>
      </c>
      <c r="B641" t="s">
        <v>2503</v>
      </c>
      <c r="C641">
        <v>0</v>
      </c>
      <c r="D641" t="s">
        <v>379</v>
      </c>
      <c r="E641" t="s">
        <v>2677</v>
      </c>
      <c r="F641">
        <v>28</v>
      </c>
      <c r="G641">
        <v>2500000</v>
      </c>
      <c r="H641">
        <v>2500000</v>
      </c>
      <c r="I641">
        <v>2500000</v>
      </c>
      <c r="J641">
        <v>2500000</v>
      </c>
      <c r="K641" t="s">
        <v>7</v>
      </c>
      <c r="L641">
        <v>0</v>
      </c>
      <c r="M641">
        <v>0</v>
      </c>
    </row>
    <row r="642" spans="1:13" ht="15" customHeight="1" x14ac:dyDescent="0.25">
      <c r="A642" t="s">
        <v>2574</v>
      </c>
      <c r="B642" t="s">
        <v>25</v>
      </c>
      <c r="C642">
        <v>0</v>
      </c>
      <c r="D642" t="s">
        <v>73</v>
      </c>
      <c r="E642" t="s">
        <v>2446</v>
      </c>
      <c r="F642">
        <v>25</v>
      </c>
      <c r="G642">
        <v>792500</v>
      </c>
      <c r="H642">
        <v>792500</v>
      </c>
      <c r="I642" t="s">
        <v>7</v>
      </c>
      <c r="J642">
        <v>0</v>
      </c>
      <c r="K642">
        <v>0</v>
      </c>
      <c r="L642">
        <v>0</v>
      </c>
      <c r="M642">
        <v>0</v>
      </c>
    </row>
    <row r="643" spans="1:13" ht="15" customHeight="1" x14ac:dyDescent="0.25">
      <c r="A643" t="s">
        <v>1869</v>
      </c>
      <c r="B643" t="s">
        <v>2503</v>
      </c>
      <c r="C643" t="s">
        <v>386</v>
      </c>
      <c r="D643" t="s">
        <v>380</v>
      </c>
      <c r="E643" t="s">
        <v>2690</v>
      </c>
      <c r="F643">
        <v>21</v>
      </c>
      <c r="G643">
        <v>925000</v>
      </c>
      <c r="H643" t="s">
        <v>8</v>
      </c>
      <c r="I643">
        <v>0</v>
      </c>
      <c r="J643">
        <v>0</v>
      </c>
      <c r="K643">
        <v>0</v>
      </c>
      <c r="L643">
        <v>0</v>
      </c>
      <c r="M643">
        <v>0</v>
      </c>
    </row>
    <row r="644" spans="1:13" ht="15" customHeight="1" x14ac:dyDescent="0.25">
      <c r="A644" t="s">
        <v>2775</v>
      </c>
      <c r="B644" t="s">
        <v>23</v>
      </c>
      <c r="C644">
        <v>0</v>
      </c>
      <c r="D644" t="s">
        <v>2684</v>
      </c>
      <c r="E644" t="s">
        <v>2677</v>
      </c>
      <c r="F644">
        <v>27</v>
      </c>
      <c r="G644">
        <v>8000000</v>
      </c>
      <c r="H644">
        <v>8000000</v>
      </c>
      <c r="I644">
        <v>8000000</v>
      </c>
      <c r="J644">
        <v>8000000</v>
      </c>
      <c r="K644">
        <v>8000000</v>
      </c>
      <c r="L644">
        <v>8000000</v>
      </c>
      <c r="M644" t="s">
        <v>7</v>
      </c>
    </row>
    <row r="645" spans="1:13" ht="15" customHeight="1" x14ac:dyDescent="0.25">
      <c r="A645" t="s">
        <v>1412</v>
      </c>
      <c r="B645" t="s">
        <v>10</v>
      </c>
      <c r="C645" t="s">
        <v>386</v>
      </c>
      <c r="D645" t="s">
        <v>127</v>
      </c>
      <c r="E645" t="s">
        <v>2690</v>
      </c>
      <c r="F645">
        <v>23</v>
      </c>
      <c r="G645">
        <v>925000</v>
      </c>
      <c r="H645" t="s">
        <v>8</v>
      </c>
      <c r="I645">
        <v>0</v>
      </c>
      <c r="J645">
        <v>0</v>
      </c>
      <c r="K645">
        <v>0</v>
      </c>
      <c r="L645">
        <v>0</v>
      </c>
      <c r="M645">
        <v>0</v>
      </c>
    </row>
    <row r="646" spans="1:13" ht="15" customHeight="1" x14ac:dyDescent="0.25">
      <c r="A646" t="s">
        <v>2700</v>
      </c>
      <c r="B646" t="s">
        <v>10</v>
      </c>
      <c r="C646" t="s">
        <v>381</v>
      </c>
      <c r="D646" t="s">
        <v>2701</v>
      </c>
      <c r="E646" t="s">
        <v>2677</v>
      </c>
      <c r="F646">
        <v>28</v>
      </c>
      <c r="G646">
        <v>4500000</v>
      </c>
      <c r="H646">
        <v>4500000</v>
      </c>
      <c r="I646" t="s">
        <v>7</v>
      </c>
      <c r="J646">
        <v>0</v>
      </c>
      <c r="K646">
        <v>0</v>
      </c>
      <c r="L646">
        <v>0</v>
      </c>
      <c r="M646">
        <v>0</v>
      </c>
    </row>
    <row r="647" spans="1:13" ht="15" customHeight="1" x14ac:dyDescent="0.25">
      <c r="A647" t="s">
        <v>1958</v>
      </c>
      <c r="B647" t="s">
        <v>16</v>
      </c>
      <c r="C647">
        <v>0</v>
      </c>
      <c r="D647" t="s">
        <v>379</v>
      </c>
      <c r="E647" t="s">
        <v>374</v>
      </c>
      <c r="F647">
        <v>27</v>
      </c>
      <c r="G647">
        <v>2350000</v>
      </c>
      <c r="H647">
        <v>2350000</v>
      </c>
      <c r="I647" t="s">
        <v>7</v>
      </c>
      <c r="J647">
        <v>0</v>
      </c>
      <c r="K647">
        <v>0</v>
      </c>
      <c r="L647">
        <v>0</v>
      </c>
      <c r="M647">
        <v>0</v>
      </c>
    </row>
    <row r="648" spans="1:13" ht="15" customHeight="1" x14ac:dyDescent="0.25">
      <c r="A648" t="s">
        <v>1835</v>
      </c>
      <c r="B648" t="s">
        <v>29</v>
      </c>
      <c r="C648">
        <v>0</v>
      </c>
      <c r="D648" t="s">
        <v>2679</v>
      </c>
      <c r="E648" t="s">
        <v>2690</v>
      </c>
      <c r="F648">
        <v>25</v>
      </c>
      <c r="G648">
        <v>700000</v>
      </c>
      <c r="H648" t="s">
        <v>8</v>
      </c>
      <c r="I648">
        <v>0</v>
      </c>
      <c r="J648">
        <v>0</v>
      </c>
      <c r="K648">
        <v>0</v>
      </c>
      <c r="L648">
        <v>0</v>
      </c>
      <c r="M648">
        <v>0</v>
      </c>
    </row>
    <row r="649" spans="1:13" ht="15" customHeight="1" x14ac:dyDescent="0.25">
      <c r="A649" t="s">
        <v>2821</v>
      </c>
      <c r="B649" t="s">
        <v>15</v>
      </c>
      <c r="C649" t="s">
        <v>370</v>
      </c>
      <c r="D649" t="s">
        <v>2444</v>
      </c>
      <c r="E649" t="s">
        <v>2439</v>
      </c>
      <c r="F649">
        <v>31</v>
      </c>
      <c r="G649">
        <v>6000000</v>
      </c>
      <c r="H649">
        <v>6000000</v>
      </c>
      <c r="I649">
        <v>6000000</v>
      </c>
      <c r="J649">
        <v>6000000</v>
      </c>
      <c r="K649" t="s">
        <v>7</v>
      </c>
      <c r="L649">
        <v>0</v>
      </c>
      <c r="M649">
        <v>0</v>
      </c>
    </row>
    <row r="650" spans="1:13" ht="15" customHeight="1" x14ac:dyDescent="0.25">
      <c r="A650" t="s">
        <v>1830</v>
      </c>
      <c r="B650" t="s">
        <v>29</v>
      </c>
      <c r="C650">
        <v>0</v>
      </c>
      <c r="D650" t="s">
        <v>380</v>
      </c>
      <c r="E650" t="s">
        <v>2677</v>
      </c>
      <c r="F650">
        <v>32</v>
      </c>
      <c r="G650">
        <v>3250000</v>
      </c>
      <c r="H650">
        <v>3250000</v>
      </c>
      <c r="I650">
        <v>3250000</v>
      </c>
      <c r="J650">
        <v>3250000</v>
      </c>
      <c r="K650" t="s">
        <v>7</v>
      </c>
      <c r="L650">
        <v>0</v>
      </c>
      <c r="M650">
        <v>0</v>
      </c>
    </row>
    <row r="651" spans="1:13" ht="15" customHeight="1" x14ac:dyDescent="0.25">
      <c r="A651" t="s">
        <v>1914</v>
      </c>
      <c r="B651" t="s">
        <v>21</v>
      </c>
      <c r="C651">
        <v>0</v>
      </c>
      <c r="D651" t="s">
        <v>73</v>
      </c>
      <c r="E651" t="s">
        <v>2446</v>
      </c>
      <c r="F651">
        <v>24</v>
      </c>
      <c r="G651">
        <v>700000</v>
      </c>
      <c r="H651">
        <v>700000</v>
      </c>
      <c r="I651" t="s">
        <v>8</v>
      </c>
      <c r="J651">
        <v>0</v>
      </c>
      <c r="K651">
        <v>0</v>
      </c>
      <c r="L651">
        <v>0</v>
      </c>
      <c r="M651">
        <v>0</v>
      </c>
    </row>
    <row r="652" spans="1:13" ht="15" customHeight="1" x14ac:dyDescent="0.25">
      <c r="A652" t="s">
        <v>2466</v>
      </c>
      <c r="B652" t="s">
        <v>13</v>
      </c>
      <c r="C652" t="s">
        <v>386</v>
      </c>
      <c r="D652" t="s">
        <v>2438</v>
      </c>
      <c r="E652" t="s">
        <v>2446</v>
      </c>
      <c r="F652">
        <v>21</v>
      </c>
      <c r="G652">
        <v>925000</v>
      </c>
      <c r="H652">
        <v>925000</v>
      </c>
      <c r="I652">
        <v>925000</v>
      </c>
      <c r="J652" t="s">
        <v>8</v>
      </c>
      <c r="K652">
        <v>0</v>
      </c>
      <c r="L652">
        <v>0</v>
      </c>
      <c r="M652">
        <v>0</v>
      </c>
    </row>
    <row r="653" spans="1:13" ht="15" customHeight="1" x14ac:dyDescent="0.25">
      <c r="A653" t="s">
        <v>1548</v>
      </c>
      <c r="B653" t="s">
        <v>32</v>
      </c>
      <c r="C653" t="s">
        <v>372</v>
      </c>
      <c r="D653" t="s">
        <v>2462</v>
      </c>
      <c r="E653" t="s">
        <v>2439</v>
      </c>
      <c r="F653">
        <v>29</v>
      </c>
      <c r="G653">
        <v>5000000</v>
      </c>
      <c r="H653">
        <v>5000000</v>
      </c>
      <c r="I653">
        <v>5000000</v>
      </c>
      <c r="J653">
        <v>5000000</v>
      </c>
      <c r="K653">
        <v>5000000</v>
      </c>
      <c r="L653" t="s">
        <v>7</v>
      </c>
      <c r="M653">
        <v>0</v>
      </c>
    </row>
    <row r="654" spans="1:13" ht="15" customHeight="1" x14ac:dyDescent="0.25">
      <c r="A654" t="s">
        <v>1593</v>
      </c>
      <c r="B654" t="s">
        <v>33</v>
      </c>
      <c r="C654">
        <v>0</v>
      </c>
      <c r="D654" t="s">
        <v>93</v>
      </c>
      <c r="E654" t="s">
        <v>2677</v>
      </c>
      <c r="F654">
        <v>24</v>
      </c>
      <c r="G654">
        <v>3400000</v>
      </c>
      <c r="H654">
        <v>3400000</v>
      </c>
      <c r="I654">
        <v>3400000</v>
      </c>
      <c r="J654">
        <v>3400000</v>
      </c>
      <c r="K654" t="s">
        <v>7</v>
      </c>
      <c r="L654">
        <v>0</v>
      </c>
      <c r="M654">
        <v>0</v>
      </c>
    </row>
    <row r="655" spans="1:13" ht="15" customHeight="1" x14ac:dyDescent="0.25">
      <c r="A655" t="s">
        <v>1730</v>
      </c>
      <c r="B655" t="s">
        <v>25</v>
      </c>
      <c r="C655">
        <v>0</v>
      </c>
      <c r="D655" t="s">
        <v>2440</v>
      </c>
      <c r="E655" t="s">
        <v>2439</v>
      </c>
      <c r="F655">
        <v>25</v>
      </c>
      <c r="G655">
        <v>1000000</v>
      </c>
      <c r="H655">
        <v>1000000</v>
      </c>
      <c r="I655">
        <v>1000000</v>
      </c>
      <c r="J655" t="s">
        <v>7</v>
      </c>
      <c r="K655">
        <v>0</v>
      </c>
      <c r="L655">
        <v>0</v>
      </c>
      <c r="M655">
        <v>0</v>
      </c>
    </row>
    <row r="656" spans="1:13" ht="15" customHeight="1" x14ac:dyDescent="0.25">
      <c r="A656" t="s">
        <v>1903</v>
      </c>
      <c r="B656" t="s">
        <v>10</v>
      </c>
      <c r="C656" t="s">
        <v>386</v>
      </c>
      <c r="D656" t="s">
        <v>379</v>
      </c>
      <c r="E656" t="s">
        <v>2690</v>
      </c>
      <c r="F656">
        <v>20</v>
      </c>
      <c r="G656">
        <v>1279166</v>
      </c>
      <c r="H656">
        <v>1279166</v>
      </c>
      <c r="I656" t="s">
        <v>8</v>
      </c>
      <c r="J656">
        <v>0</v>
      </c>
      <c r="K656">
        <v>0</v>
      </c>
      <c r="L656">
        <v>0</v>
      </c>
      <c r="M656">
        <v>0</v>
      </c>
    </row>
    <row r="657" spans="1:13" ht="15" customHeight="1" x14ac:dyDescent="0.25">
      <c r="A657" t="s">
        <v>2393</v>
      </c>
      <c r="B657" t="s">
        <v>135</v>
      </c>
      <c r="C657" t="s">
        <v>386</v>
      </c>
      <c r="D657" t="s">
        <v>73</v>
      </c>
      <c r="E657" t="s">
        <v>2690</v>
      </c>
      <c r="F657">
        <v>20</v>
      </c>
      <c r="G657">
        <v>760000</v>
      </c>
      <c r="H657">
        <v>760000</v>
      </c>
      <c r="I657">
        <v>760000</v>
      </c>
      <c r="J657" t="s">
        <v>8</v>
      </c>
      <c r="K657">
        <v>0</v>
      </c>
      <c r="L657">
        <v>0</v>
      </c>
      <c r="M657">
        <v>0</v>
      </c>
    </row>
    <row r="658" spans="1:13" ht="15" customHeight="1" x14ac:dyDescent="0.25">
      <c r="A658" t="s">
        <v>2247</v>
      </c>
      <c r="B658" t="s">
        <v>18</v>
      </c>
      <c r="C658" t="s">
        <v>386</v>
      </c>
      <c r="D658" t="s">
        <v>2445</v>
      </c>
      <c r="E658" t="s">
        <v>2446</v>
      </c>
      <c r="F658">
        <v>22</v>
      </c>
      <c r="G658">
        <v>815000</v>
      </c>
      <c r="H658" t="s">
        <v>8</v>
      </c>
      <c r="I658">
        <v>0</v>
      </c>
      <c r="J658">
        <v>0</v>
      </c>
      <c r="K658">
        <v>0</v>
      </c>
      <c r="L658">
        <v>0</v>
      </c>
      <c r="M658">
        <v>0</v>
      </c>
    </row>
    <row r="659" spans="1:13" ht="15" customHeight="1" x14ac:dyDescent="0.25">
      <c r="A659" t="s">
        <v>2309</v>
      </c>
      <c r="B659" t="s">
        <v>30</v>
      </c>
      <c r="C659" t="s">
        <v>381</v>
      </c>
      <c r="D659" t="s">
        <v>127</v>
      </c>
      <c r="E659" t="s">
        <v>2439</v>
      </c>
      <c r="F659">
        <v>29</v>
      </c>
      <c r="G659">
        <v>5750000</v>
      </c>
      <c r="H659">
        <v>5750000</v>
      </c>
      <c r="I659">
        <v>5750000</v>
      </c>
      <c r="J659">
        <v>5750000</v>
      </c>
      <c r="K659">
        <v>5750000</v>
      </c>
      <c r="L659" t="s">
        <v>7</v>
      </c>
      <c r="M659">
        <v>0</v>
      </c>
    </row>
    <row r="660" spans="1:13" ht="15" customHeight="1" x14ac:dyDescent="0.25">
      <c r="A660" t="s">
        <v>2133</v>
      </c>
      <c r="B660" t="s">
        <v>6</v>
      </c>
      <c r="C660" t="s">
        <v>386</v>
      </c>
      <c r="D660" t="s">
        <v>2440</v>
      </c>
      <c r="E660" t="s">
        <v>2446</v>
      </c>
      <c r="F660">
        <v>21</v>
      </c>
      <c r="G660">
        <v>863333</v>
      </c>
      <c r="H660">
        <v>863333</v>
      </c>
      <c r="I660" t="s">
        <v>8</v>
      </c>
      <c r="J660">
        <v>0</v>
      </c>
      <c r="K660">
        <v>0</v>
      </c>
      <c r="L660">
        <v>0</v>
      </c>
      <c r="M660">
        <v>0</v>
      </c>
    </row>
    <row r="661" spans="1:13" ht="15" customHeight="1" x14ac:dyDescent="0.25">
      <c r="A661" t="s">
        <v>2819</v>
      </c>
      <c r="B661" t="s">
        <v>14</v>
      </c>
      <c r="C661">
        <v>0</v>
      </c>
      <c r="D661" t="s">
        <v>2444</v>
      </c>
      <c r="E661" t="s">
        <v>2439</v>
      </c>
      <c r="F661">
        <v>24</v>
      </c>
      <c r="G661">
        <v>5400000</v>
      </c>
      <c r="H661">
        <v>5400000</v>
      </c>
      <c r="I661">
        <v>5400000</v>
      </c>
      <c r="J661" t="s">
        <v>7</v>
      </c>
      <c r="K661">
        <v>0</v>
      </c>
      <c r="L661">
        <v>0</v>
      </c>
      <c r="M661">
        <v>0</v>
      </c>
    </row>
    <row r="662" spans="1:13" ht="15" customHeight="1" x14ac:dyDescent="0.25">
      <c r="A662" t="s">
        <v>2876</v>
      </c>
      <c r="B662" t="s">
        <v>2503</v>
      </c>
      <c r="C662" t="s">
        <v>386</v>
      </c>
      <c r="D662" t="s">
        <v>93</v>
      </c>
      <c r="E662" t="s">
        <v>2690</v>
      </c>
      <c r="F662">
        <v>21</v>
      </c>
      <c r="G662">
        <v>860000</v>
      </c>
      <c r="H662">
        <v>860000</v>
      </c>
      <c r="I662" t="s">
        <v>8</v>
      </c>
      <c r="J662">
        <v>0</v>
      </c>
      <c r="K662">
        <v>0</v>
      </c>
      <c r="L662">
        <v>0</v>
      </c>
      <c r="M662">
        <v>0</v>
      </c>
    </row>
    <row r="663" spans="1:13" ht="15" customHeight="1" x14ac:dyDescent="0.25">
      <c r="A663" t="s">
        <v>1578</v>
      </c>
      <c r="B663" t="s">
        <v>32</v>
      </c>
      <c r="C663" t="s">
        <v>386</v>
      </c>
      <c r="D663" t="s">
        <v>2442</v>
      </c>
      <c r="E663" t="s">
        <v>2439</v>
      </c>
      <c r="F663">
        <v>22</v>
      </c>
      <c r="G663">
        <v>910833</v>
      </c>
      <c r="H663" t="s">
        <v>8</v>
      </c>
      <c r="I663">
        <v>0</v>
      </c>
      <c r="J663">
        <v>0</v>
      </c>
      <c r="K663">
        <v>0</v>
      </c>
      <c r="L663">
        <v>0</v>
      </c>
      <c r="M663">
        <v>0</v>
      </c>
    </row>
    <row r="664" spans="1:13" ht="15" customHeight="1" x14ac:dyDescent="0.25">
      <c r="A664" t="s">
        <v>2172</v>
      </c>
      <c r="B664" t="s">
        <v>29</v>
      </c>
      <c r="C664" t="s">
        <v>386</v>
      </c>
      <c r="D664" t="s">
        <v>380</v>
      </c>
      <c r="E664" t="s">
        <v>2690</v>
      </c>
      <c r="F664">
        <v>20</v>
      </c>
      <c r="G664">
        <v>1075833</v>
      </c>
      <c r="H664">
        <v>1075833</v>
      </c>
      <c r="I664">
        <v>1075833</v>
      </c>
      <c r="J664" t="s">
        <v>8</v>
      </c>
      <c r="K664">
        <v>0</v>
      </c>
      <c r="L664">
        <v>0</v>
      </c>
      <c r="M664">
        <v>0</v>
      </c>
    </row>
    <row r="665" spans="1:13" ht="15" customHeight="1" x14ac:dyDescent="0.25">
      <c r="A665" t="s">
        <v>2717</v>
      </c>
      <c r="B665" t="s">
        <v>31</v>
      </c>
      <c r="C665" t="s">
        <v>386</v>
      </c>
      <c r="D665" t="s">
        <v>73</v>
      </c>
      <c r="E665" t="s">
        <v>2690</v>
      </c>
      <c r="F665">
        <v>23</v>
      </c>
      <c r="G665">
        <v>925000</v>
      </c>
      <c r="H665">
        <v>925000</v>
      </c>
      <c r="I665" t="s">
        <v>8</v>
      </c>
      <c r="J665">
        <v>0</v>
      </c>
      <c r="K665">
        <v>0</v>
      </c>
      <c r="L665">
        <v>0</v>
      </c>
      <c r="M665">
        <v>0</v>
      </c>
    </row>
    <row r="666" spans="1:13" ht="15" customHeight="1" x14ac:dyDescent="0.25">
      <c r="A666" t="s">
        <v>2829</v>
      </c>
      <c r="B666" t="s">
        <v>23</v>
      </c>
      <c r="C666">
        <v>0</v>
      </c>
      <c r="D666" t="s">
        <v>380</v>
      </c>
      <c r="E666" t="s">
        <v>2677</v>
      </c>
      <c r="F666">
        <v>29</v>
      </c>
      <c r="G666">
        <v>4000000</v>
      </c>
      <c r="H666" t="s">
        <v>7</v>
      </c>
      <c r="I666">
        <v>0</v>
      </c>
      <c r="J666">
        <v>0</v>
      </c>
      <c r="K666">
        <v>0</v>
      </c>
      <c r="L666">
        <v>0</v>
      </c>
      <c r="M666">
        <v>0</v>
      </c>
    </row>
    <row r="667" spans="1:13" ht="15" customHeight="1" x14ac:dyDescent="0.25">
      <c r="A667" t="s">
        <v>1923</v>
      </c>
      <c r="B667" t="s">
        <v>15</v>
      </c>
      <c r="C667" t="s">
        <v>386</v>
      </c>
      <c r="D667" t="s">
        <v>2494</v>
      </c>
      <c r="E667" t="s">
        <v>2439</v>
      </c>
      <c r="F667">
        <v>21</v>
      </c>
      <c r="G667">
        <v>1673333</v>
      </c>
      <c r="H667" t="s">
        <v>8</v>
      </c>
      <c r="I667">
        <v>0</v>
      </c>
      <c r="J667">
        <v>0</v>
      </c>
      <c r="K667">
        <v>0</v>
      </c>
      <c r="L667">
        <v>0</v>
      </c>
      <c r="M667">
        <v>0</v>
      </c>
    </row>
    <row r="668" spans="1:13" ht="15" customHeight="1" x14ac:dyDescent="0.25">
      <c r="A668" t="s">
        <v>2351</v>
      </c>
      <c r="B668" t="s">
        <v>34</v>
      </c>
      <c r="C668" t="s">
        <v>386</v>
      </c>
      <c r="D668" t="s">
        <v>2445</v>
      </c>
      <c r="E668" t="s">
        <v>2446</v>
      </c>
      <c r="F668">
        <v>21</v>
      </c>
      <c r="G668">
        <v>1913333</v>
      </c>
      <c r="H668">
        <v>1913333</v>
      </c>
      <c r="I668" t="s">
        <v>8</v>
      </c>
      <c r="J668">
        <v>0</v>
      </c>
      <c r="K668">
        <v>0</v>
      </c>
      <c r="L668">
        <v>0</v>
      </c>
      <c r="M668">
        <v>0</v>
      </c>
    </row>
    <row r="669" spans="1:13" ht="15" customHeight="1" x14ac:dyDescent="0.25">
      <c r="A669" t="s">
        <v>2498</v>
      </c>
      <c r="B669" t="s">
        <v>18</v>
      </c>
      <c r="C669">
        <v>0</v>
      </c>
      <c r="D669" t="s">
        <v>2441</v>
      </c>
      <c r="E669" t="s">
        <v>2439</v>
      </c>
      <c r="F669">
        <v>26</v>
      </c>
      <c r="G669">
        <v>750000</v>
      </c>
      <c r="H669" t="s">
        <v>7</v>
      </c>
      <c r="I669">
        <v>0</v>
      </c>
      <c r="J669">
        <v>0</v>
      </c>
      <c r="K669">
        <v>0</v>
      </c>
      <c r="L669">
        <v>0</v>
      </c>
      <c r="M669">
        <v>0</v>
      </c>
    </row>
    <row r="670" spans="1:13" ht="15" customHeight="1" x14ac:dyDescent="0.25">
      <c r="A670" t="s">
        <v>1492</v>
      </c>
      <c r="B670" t="s">
        <v>22</v>
      </c>
      <c r="C670" t="s">
        <v>386</v>
      </c>
      <c r="D670" t="s">
        <v>2444</v>
      </c>
      <c r="E670" t="s">
        <v>2446</v>
      </c>
      <c r="F670">
        <v>22</v>
      </c>
      <c r="G670">
        <v>1063333</v>
      </c>
      <c r="H670" t="s">
        <v>8</v>
      </c>
      <c r="I670">
        <v>0</v>
      </c>
      <c r="J670">
        <v>0</v>
      </c>
      <c r="K670">
        <v>0</v>
      </c>
      <c r="L670">
        <v>0</v>
      </c>
      <c r="M670">
        <v>0</v>
      </c>
    </row>
    <row r="671" spans="1:13" ht="15" customHeight="1" x14ac:dyDescent="0.25">
      <c r="A671" t="s">
        <v>1586</v>
      </c>
      <c r="B671" t="s">
        <v>15</v>
      </c>
      <c r="C671" t="s">
        <v>381</v>
      </c>
      <c r="D671" t="s">
        <v>73</v>
      </c>
      <c r="E671" t="s">
        <v>2439</v>
      </c>
      <c r="F671">
        <v>28</v>
      </c>
      <c r="G671">
        <v>4500000</v>
      </c>
      <c r="H671">
        <v>4500000</v>
      </c>
      <c r="I671">
        <v>4500000</v>
      </c>
      <c r="J671" t="s">
        <v>7</v>
      </c>
      <c r="K671">
        <v>0</v>
      </c>
      <c r="L671">
        <v>0</v>
      </c>
      <c r="M671">
        <v>0</v>
      </c>
    </row>
    <row r="672" spans="1:13" ht="15" customHeight="1" x14ac:dyDescent="0.25">
      <c r="A672" t="s">
        <v>2877</v>
      </c>
      <c r="B672" t="s">
        <v>21</v>
      </c>
      <c r="C672" t="s">
        <v>386</v>
      </c>
      <c r="D672" t="s">
        <v>127</v>
      </c>
      <c r="E672" t="s">
        <v>2446</v>
      </c>
      <c r="F672">
        <v>22</v>
      </c>
      <c r="G672">
        <v>925000</v>
      </c>
      <c r="H672" t="s">
        <v>8</v>
      </c>
      <c r="I672">
        <v>0</v>
      </c>
      <c r="J672">
        <v>0</v>
      </c>
      <c r="K672">
        <v>0</v>
      </c>
      <c r="L672">
        <v>0</v>
      </c>
      <c r="M672">
        <v>0</v>
      </c>
    </row>
    <row r="673" spans="1:13" ht="15" customHeight="1" x14ac:dyDescent="0.25">
      <c r="A673" t="s">
        <v>1900</v>
      </c>
      <c r="B673" t="s">
        <v>29</v>
      </c>
      <c r="C673" t="s">
        <v>403</v>
      </c>
      <c r="D673" t="s">
        <v>2681</v>
      </c>
      <c r="E673" t="s">
        <v>2677</v>
      </c>
      <c r="F673">
        <v>24</v>
      </c>
      <c r="G673">
        <v>3775000</v>
      </c>
      <c r="H673" t="s">
        <v>8</v>
      </c>
      <c r="I673">
        <v>0</v>
      </c>
      <c r="J673">
        <v>0</v>
      </c>
      <c r="K673">
        <v>0</v>
      </c>
      <c r="L673">
        <v>0</v>
      </c>
      <c r="M673">
        <v>0</v>
      </c>
    </row>
    <row r="674" spans="1:13" ht="15" customHeight="1" x14ac:dyDescent="0.25">
      <c r="A674" t="s">
        <v>2709</v>
      </c>
      <c r="B674" t="s">
        <v>26</v>
      </c>
      <c r="C674" t="s">
        <v>388</v>
      </c>
      <c r="D674" t="s">
        <v>88</v>
      </c>
      <c r="E674" t="s">
        <v>2677</v>
      </c>
      <c r="F674">
        <v>18</v>
      </c>
      <c r="G674">
        <v>3575000</v>
      </c>
      <c r="H674">
        <v>3575000</v>
      </c>
      <c r="I674">
        <v>3575000</v>
      </c>
      <c r="J674" t="s">
        <v>8</v>
      </c>
      <c r="K674">
        <v>0</v>
      </c>
      <c r="L674">
        <v>0</v>
      </c>
      <c r="M674">
        <v>0</v>
      </c>
    </row>
    <row r="675" spans="1:13" ht="15" customHeight="1" x14ac:dyDescent="0.25">
      <c r="A675" t="s">
        <v>2878</v>
      </c>
      <c r="B675" t="s">
        <v>63</v>
      </c>
      <c r="C675" t="s">
        <v>386</v>
      </c>
      <c r="D675" t="s">
        <v>127</v>
      </c>
      <c r="E675" t="s">
        <v>2690</v>
      </c>
      <c r="F675">
        <v>22</v>
      </c>
      <c r="G675">
        <v>925000</v>
      </c>
      <c r="H675">
        <v>925000</v>
      </c>
      <c r="I675" t="s">
        <v>8</v>
      </c>
      <c r="J675">
        <v>0</v>
      </c>
      <c r="K675">
        <v>0</v>
      </c>
      <c r="L675">
        <v>0</v>
      </c>
      <c r="M675">
        <v>0</v>
      </c>
    </row>
    <row r="676" spans="1:13" ht="15" customHeight="1" x14ac:dyDescent="0.25">
      <c r="A676" t="s">
        <v>2714</v>
      </c>
      <c r="B676" t="s">
        <v>135</v>
      </c>
      <c r="C676" t="s">
        <v>386</v>
      </c>
      <c r="D676" t="s">
        <v>73</v>
      </c>
      <c r="E676" t="s">
        <v>2690</v>
      </c>
      <c r="F676">
        <v>18</v>
      </c>
      <c r="G676">
        <v>795833</v>
      </c>
      <c r="H676">
        <v>795833</v>
      </c>
      <c r="I676">
        <v>795833</v>
      </c>
      <c r="J676" t="s">
        <v>8</v>
      </c>
      <c r="K676">
        <v>0</v>
      </c>
      <c r="L676">
        <v>0</v>
      </c>
      <c r="M676">
        <v>0</v>
      </c>
    </row>
    <row r="677" spans="1:13" ht="15" customHeight="1" x14ac:dyDescent="0.25">
      <c r="A677" t="s">
        <v>1939</v>
      </c>
      <c r="B677" t="s">
        <v>15</v>
      </c>
      <c r="C677">
        <v>0</v>
      </c>
      <c r="D677" t="s">
        <v>73</v>
      </c>
      <c r="E677" t="s">
        <v>2439</v>
      </c>
      <c r="F677">
        <v>23</v>
      </c>
      <c r="G677">
        <v>750000</v>
      </c>
      <c r="H677" t="s">
        <v>8</v>
      </c>
      <c r="I677">
        <v>0</v>
      </c>
      <c r="J677">
        <v>0</v>
      </c>
      <c r="K677">
        <v>0</v>
      </c>
      <c r="L677">
        <v>0</v>
      </c>
      <c r="M677">
        <v>0</v>
      </c>
    </row>
    <row r="678" spans="1:13" ht="15" customHeight="1" x14ac:dyDescent="0.25">
      <c r="A678" t="s">
        <v>2879</v>
      </c>
      <c r="B678" t="s">
        <v>13</v>
      </c>
      <c r="C678">
        <v>0</v>
      </c>
      <c r="D678" t="s">
        <v>2448</v>
      </c>
      <c r="E678" t="s">
        <v>2439</v>
      </c>
      <c r="F678">
        <v>24</v>
      </c>
      <c r="G678">
        <v>1000000</v>
      </c>
      <c r="H678">
        <v>1000000</v>
      </c>
      <c r="I678" t="s">
        <v>8</v>
      </c>
      <c r="J678">
        <v>0</v>
      </c>
      <c r="K678">
        <v>0</v>
      </c>
      <c r="L678">
        <v>0</v>
      </c>
      <c r="M678">
        <v>0</v>
      </c>
    </row>
    <row r="679" spans="1:13" x14ac:dyDescent="0.25">
      <c r="A679" t="s">
        <v>1359</v>
      </c>
      <c r="B679" t="s">
        <v>9</v>
      </c>
      <c r="C679">
        <v>0</v>
      </c>
      <c r="D679" t="s">
        <v>2444</v>
      </c>
      <c r="E679" t="s">
        <v>2439</v>
      </c>
      <c r="F679">
        <v>30</v>
      </c>
      <c r="G679">
        <v>800000</v>
      </c>
      <c r="H679">
        <v>800000</v>
      </c>
      <c r="I679" t="s">
        <v>7</v>
      </c>
      <c r="J679">
        <v>0</v>
      </c>
      <c r="K679">
        <v>0</v>
      </c>
      <c r="L679">
        <v>0</v>
      </c>
      <c r="M679">
        <v>0</v>
      </c>
    </row>
    <row r="680" spans="1:13" ht="15" customHeight="1" x14ac:dyDescent="0.25">
      <c r="A680" t="s">
        <v>2294</v>
      </c>
      <c r="B680" t="s">
        <v>30</v>
      </c>
      <c r="C680" t="s">
        <v>381</v>
      </c>
      <c r="D680" t="s">
        <v>2440</v>
      </c>
      <c r="E680" t="s">
        <v>2439</v>
      </c>
      <c r="F680">
        <v>28</v>
      </c>
      <c r="G680">
        <v>7000000</v>
      </c>
      <c r="H680">
        <v>7000000</v>
      </c>
      <c r="I680">
        <v>7000000</v>
      </c>
      <c r="J680">
        <v>7000000</v>
      </c>
      <c r="K680">
        <v>7000000</v>
      </c>
      <c r="L680">
        <v>7000000</v>
      </c>
      <c r="M680" t="s">
        <v>7</v>
      </c>
    </row>
    <row r="681" spans="1:13" ht="15" customHeight="1" x14ac:dyDescent="0.25">
      <c r="A681" t="s">
        <v>1887</v>
      </c>
      <c r="B681" t="s">
        <v>13</v>
      </c>
      <c r="C681" t="s">
        <v>420</v>
      </c>
      <c r="D681" t="s">
        <v>2453</v>
      </c>
      <c r="E681" t="s">
        <v>2439</v>
      </c>
      <c r="F681">
        <v>30</v>
      </c>
      <c r="G681">
        <v>10500000</v>
      </c>
      <c r="H681">
        <v>10500000</v>
      </c>
      <c r="I681">
        <v>10500000</v>
      </c>
      <c r="J681">
        <v>10500000</v>
      </c>
      <c r="K681" t="s">
        <v>7</v>
      </c>
      <c r="L681">
        <v>0</v>
      </c>
      <c r="M681">
        <v>0</v>
      </c>
    </row>
    <row r="682" spans="1:13" ht="15" customHeight="1" x14ac:dyDescent="0.25">
      <c r="A682" t="s">
        <v>1592</v>
      </c>
      <c r="B682" t="s">
        <v>33</v>
      </c>
      <c r="C682">
        <v>0</v>
      </c>
      <c r="D682" t="s">
        <v>88</v>
      </c>
      <c r="E682" t="s">
        <v>2677</v>
      </c>
      <c r="F682">
        <v>23</v>
      </c>
      <c r="G682">
        <v>3200000</v>
      </c>
      <c r="H682">
        <v>3200000</v>
      </c>
      <c r="I682">
        <v>3200000</v>
      </c>
      <c r="J682" t="s">
        <v>8</v>
      </c>
      <c r="K682">
        <v>0</v>
      </c>
      <c r="L682">
        <v>0</v>
      </c>
      <c r="M682">
        <v>0</v>
      </c>
    </row>
    <row r="683" spans="1:13" ht="15" customHeight="1" x14ac:dyDescent="0.25">
      <c r="A683" t="s">
        <v>2304</v>
      </c>
      <c r="B683" t="s">
        <v>30</v>
      </c>
      <c r="C683" t="s">
        <v>420</v>
      </c>
      <c r="D683" t="s">
        <v>2444</v>
      </c>
      <c r="E683" t="s">
        <v>2439</v>
      </c>
      <c r="F683">
        <v>29</v>
      </c>
      <c r="G683">
        <v>11500000</v>
      </c>
      <c r="H683">
        <v>11500000</v>
      </c>
      <c r="I683">
        <v>11500000</v>
      </c>
      <c r="J683">
        <v>11500000</v>
      </c>
      <c r="K683">
        <v>11500000</v>
      </c>
      <c r="L683">
        <v>11500000</v>
      </c>
      <c r="M683">
        <v>11500000</v>
      </c>
    </row>
    <row r="684" spans="1:13" ht="15" customHeight="1" x14ac:dyDescent="0.25">
      <c r="A684" t="s">
        <v>2296</v>
      </c>
      <c r="B684" t="s">
        <v>30</v>
      </c>
      <c r="C684">
        <v>0</v>
      </c>
      <c r="D684" t="s">
        <v>2453</v>
      </c>
      <c r="E684" t="s">
        <v>2439</v>
      </c>
      <c r="F684">
        <v>29</v>
      </c>
      <c r="G684">
        <v>2000000</v>
      </c>
      <c r="H684" t="s">
        <v>7</v>
      </c>
      <c r="I684">
        <v>0</v>
      </c>
      <c r="J684">
        <v>0</v>
      </c>
      <c r="K684">
        <v>0</v>
      </c>
      <c r="L684">
        <v>0</v>
      </c>
      <c r="M684">
        <v>0</v>
      </c>
    </row>
    <row r="685" spans="1:13" ht="15" customHeight="1" x14ac:dyDescent="0.25">
      <c r="A685" t="s">
        <v>2365</v>
      </c>
      <c r="B685" t="s">
        <v>135</v>
      </c>
      <c r="C685">
        <v>0</v>
      </c>
      <c r="D685" t="s">
        <v>73</v>
      </c>
      <c r="E685" t="s">
        <v>2677</v>
      </c>
      <c r="F685">
        <v>26</v>
      </c>
      <c r="G685">
        <v>5900000</v>
      </c>
      <c r="H685">
        <v>5900000</v>
      </c>
      <c r="I685">
        <v>5900000</v>
      </c>
      <c r="J685">
        <v>5900000</v>
      </c>
      <c r="K685">
        <v>5900000</v>
      </c>
      <c r="L685">
        <v>5900000</v>
      </c>
      <c r="M685">
        <v>5900000</v>
      </c>
    </row>
    <row r="686" spans="1:13" ht="15" customHeight="1" x14ac:dyDescent="0.25">
      <c r="A686" t="s">
        <v>1808</v>
      </c>
      <c r="B686" t="s">
        <v>28</v>
      </c>
      <c r="C686" t="s">
        <v>386</v>
      </c>
      <c r="D686" t="s">
        <v>2496</v>
      </c>
      <c r="E686" t="s">
        <v>2446</v>
      </c>
      <c r="F686">
        <v>22</v>
      </c>
      <c r="G686">
        <v>850000</v>
      </c>
      <c r="H686">
        <v>850000</v>
      </c>
      <c r="I686" t="s">
        <v>8</v>
      </c>
      <c r="J686">
        <v>0</v>
      </c>
      <c r="K686">
        <v>0</v>
      </c>
      <c r="L686">
        <v>0</v>
      </c>
      <c r="M686">
        <v>0</v>
      </c>
    </row>
    <row r="687" spans="1:13" ht="15" customHeight="1" x14ac:dyDescent="0.25">
      <c r="A687" t="s">
        <v>2119</v>
      </c>
      <c r="B687" t="s">
        <v>6</v>
      </c>
      <c r="C687">
        <v>0</v>
      </c>
      <c r="D687" t="s">
        <v>2438</v>
      </c>
      <c r="E687" t="s">
        <v>2439</v>
      </c>
      <c r="F687">
        <v>23</v>
      </c>
      <c r="G687">
        <v>2600000</v>
      </c>
      <c r="H687">
        <v>2600000</v>
      </c>
      <c r="I687" t="s">
        <v>8</v>
      </c>
      <c r="J687">
        <v>0</v>
      </c>
      <c r="K687">
        <v>0</v>
      </c>
      <c r="L687">
        <v>0</v>
      </c>
      <c r="M687">
        <v>0</v>
      </c>
    </row>
    <row r="688" spans="1:13" ht="15" customHeight="1" x14ac:dyDescent="0.25">
      <c r="A688" t="s">
        <v>2528</v>
      </c>
      <c r="B688" t="s">
        <v>17</v>
      </c>
      <c r="C688" t="s">
        <v>386</v>
      </c>
      <c r="D688" t="s">
        <v>2444</v>
      </c>
      <c r="E688" t="s">
        <v>2446</v>
      </c>
      <c r="F688">
        <v>23</v>
      </c>
      <c r="G688">
        <v>1775000</v>
      </c>
      <c r="H688" t="s">
        <v>8</v>
      </c>
      <c r="I688">
        <v>0</v>
      </c>
      <c r="J688">
        <v>0</v>
      </c>
      <c r="K688">
        <v>0</v>
      </c>
      <c r="L688">
        <v>0</v>
      </c>
      <c r="M688">
        <v>0</v>
      </c>
    </row>
    <row r="689" spans="1:13" ht="15" customHeight="1" x14ac:dyDescent="0.25">
      <c r="A689" t="s">
        <v>1618</v>
      </c>
      <c r="B689" t="s">
        <v>33</v>
      </c>
      <c r="C689">
        <v>0</v>
      </c>
      <c r="D689" t="s">
        <v>127</v>
      </c>
      <c r="E689" t="s">
        <v>2690</v>
      </c>
      <c r="F689">
        <v>25</v>
      </c>
      <c r="G689">
        <v>675000</v>
      </c>
      <c r="H689" t="s">
        <v>8</v>
      </c>
      <c r="I689">
        <v>0</v>
      </c>
      <c r="J689">
        <v>0</v>
      </c>
      <c r="K689">
        <v>0</v>
      </c>
      <c r="L689">
        <v>0</v>
      </c>
      <c r="M689">
        <v>0</v>
      </c>
    </row>
    <row r="690" spans="1:13" ht="15" customHeight="1" x14ac:dyDescent="0.25">
      <c r="A690" t="s">
        <v>2075</v>
      </c>
      <c r="B690" t="s">
        <v>31</v>
      </c>
      <c r="C690" t="s">
        <v>386</v>
      </c>
      <c r="D690" t="s">
        <v>73</v>
      </c>
      <c r="E690" t="s">
        <v>2690</v>
      </c>
      <c r="F690">
        <v>21</v>
      </c>
      <c r="G690">
        <v>822222</v>
      </c>
      <c r="H690">
        <v>822222</v>
      </c>
      <c r="I690" t="s">
        <v>8</v>
      </c>
      <c r="J690">
        <v>0</v>
      </c>
      <c r="K690">
        <v>0</v>
      </c>
      <c r="L690">
        <v>0</v>
      </c>
      <c r="M690">
        <v>0</v>
      </c>
    </row>
    <row r="691" spans="1:13" ht="15" customHeight="1" x14ac:dyDescent="0.25">
      <c r="A691" t="s">
        <v>2219</v>
      </c>
      <c r="B691" t="s">
        <v>18</v>
      </c>
      <c r="C691">
        <v>0</v>
      </c>
      <c r="D691" t="s">
        <v>2438</v>
      </c>
      <c r="E691" t="s">
        <v>2439</v>
      </c>
      <c r="F691">
        <v>28</v>
      </c>
      <c r="G691">
        <v>1950000</v>
      </c>
      <c r="H691" t="s">
        <v>7</v>
      </c>
      <c r="I691">
        <v>0</v>
      </c>
      <c r="J691">
        <v>0</v>
      </c>
      <c r="K691">
        <v>0</v>
      </c>
      <c r="L691">
        <v>0</v>
      </c>
      <c r="M691">
        <v>0</v>
      </c>
    </row>
    <row r="692" spans="1:13" ht="15" customHeight="1" x14ac:dyDescent="0.25">
      <c r="A692" t="s">
        <v>1568</v>
      </c>
      <c r="B692" t="s">
        <v>32</v>
      </c>
      <c r="C692" t="s">
        <v>386</v>
      </c>
      <c r="D692" t="s">
        <v>2440</v>
      </c>
      <c r="E692" t="s">
        <v>2446</v>
      </c>
      <c r="F692">
        <v>21</v>
      </c>
      <c r="G692">
        <v>894166</v>
      </c>
      <c r="H692">
        <v>894166</v>
      </c>
      <c r="I692" t="s">
        <v>8</v>
      </c>
      <c r="J692">
        <v>0</v>
      </c>
      <c r="K692">
        <v>0</v>
      </c>
      <c r="L692">
        <v>0</v>
      </c>
      <c r="M692">
        <v>0</v>
      </c>
    </row>
    <row r="693" spans="1:13" ht="15" customHeight="1" x14ac:dyDescent="0.25">
      <c r="A693" t="s">
        <v>1935</v>
      </c>
      <c r="B693" t="s">
        <v>15</v>
      </c>
      <c r="C693" t="s">
        <v>386</v>
      </c>
      <c r="D693" t="s">
        <v>73</v>
      </c>
      <c r="E693" t="s">
        <v>2446</v>
      </c>
      <c r="F693">
        <v>19</v>
      </c>
      <c r="G693">
        <v>1319167</v>
      </c>
      <c r="H693">
        <v>1319167</v>
      </c>
      <c r="I693">
        <v>1319167</v>
      </c>
      <c r="J693" t="s">
        <v>8</v>
      </c>
      <c r="K693">
        <v>0</v>
      </c>
      <c r="L693">
        <v>0</v>
      </c>
      <c r="M693">
        <v>0</v>
      </c>
    </row>
    <row r="694" spans="1:13" ht="15" customHeight="1" x14ac:dyDescent="0.25">
      <c r="A694" t="s">
        <v>2568</v>
      </c>
      <c r="B694" t="s">
        <v>26</v>
      </c>
      <c r="C694" t="s">
        <v>386</v>
      </c>
      <c r="D694" t="s">
        <v>379</v>
      </c>
      <c r="E694" t="s">
        <v>2690</v>
      </c>
      <c r="F694">
        <v>20</v>
      </c>
      <c r="G694">
        <v>925000</v>
      </c>
      <c r="H694">
        <v>925000</v>
      </c>
      <c r="I694">
        <v>925000</v>
      </c>
      <c r="J694" t="s">
        <v>8</v>
      </c>
      <c r="K694">
        <v>0</v>
      </c>
      <c r="L694">
        <v>0</v>
      </c>
      <c r="M694">
        <v>0</v>
      </c>
    </row>
    <row r="695" spans="1:13" ht="15" customHeight="1" x14ac:dyDescent="0.25">
      <c r="A695" t="s">
        <v>2536</v>
      </c>
      <c r="B695" t="s">
        <v>2531</v>
      </c>
      <c r="C695" t="s">
        <v>386</v>
      </c>
      <c r="D695" t="s">
        <v>379</v>
      </c>
      <c r="E695" t="s">
        <v>2690</v>
      </c>
      <c r="F695">
        <v>23</v>
      </c>
      <c r="G695">
        <v>1350000</v>
      </c>
      <c r="H695" t="s">
        <v>8</v>
      </c>
      <c r="I695">
        <v>0</v>
      </c>
      <c r="J695">
        <v>0</v>
      </c>
      <c r="K695">
        <v>0</v>
      </c>
      <c r="L695">
        <v>0</v>
      </c>
      <c r="M695">
        <v>0</v>
      </c>
    </row>
    <row r="696" spans="1:13" ht="15" customHeight="1" x14ac:dyDescent="0.25">
      <c r="A696" t="s">
        <v>2279</v>
      </c>
      <c r="B696" t="s">
        <v>20</v>
      </c>
      <c r="C696" t="s">
        <v>386</v>
      </c>
      <c r="D696" t="s">
        <v>127</v>
      </c>
      <c r="E696" t="s">
        <v>2446</v>
      </c>
      <c r="F696">
        <v>21</v>
      </c>
      <c r="G696">
        <v>783333</v>
      </c>
      <c r="H696" t="s">
        <v>8</v>
      </c>
      <c r="I696">
        <v>0</v>
      </c>
      <c r="J696">
        <v>0</v>
      </c>
      <c r="K696">
        <v>0</v>
      </c>
      <c r="L696">
        <v>0</v>
      </c>
      <c r="M696">
        <v>0</v>
      </c>
    </row>
    <row r="697" spans="1:13" ht="15" customHeight="1" x14ac:dyDescent="0.25">
      <c r="A697" t="s">
        <v>2790</v>
      </c>
      <c r="B697" t="s">
        <v>13</v>
      </c>
      <c r="C697" t="s">
        <v>420</v>
      </c>
      <c r="D697" t="s">
        <v>2445</v>
      </c>
      <c r="E697" t="s">
        <v>2439</v>
      </c>
      <c r="F697">
        <v>36</v>
      </c>
      <c r="G697">
        <v>5538462</v>
      </c>
      <c r="H697">
        <v>5538462</v>
      </c>
      <c r="I697">
        <v>5538462</v>
      </c>
      <c r="J697">
        <v>5538462</v>
      </c>
      <c r="K697" t="s">
        <v>7</v>
      </c>
      <c r="L697">
        <v>0</v>
      </c>
      <c r="M697">
        <v>0</v>
      </c>
    </row>
    <row r="698" spans="1:13" ht="15" customHeight="1" x14ac:dyDescent="0.25">
      <c r="A698" t="s">
        <v>2156</v>
      </c>
      <c r="B698" t="s">
        <v>63</v>
      </c>
      <c r="C698" t="s">
        <v>403</v>
      </c>
      <c r="D698" t="s">
        <v>2706</v>
      </c>
      <c r="E698" t="s">
        <v>2677</v>
      </c>
      <c r="F698">
        <v>21</v>
      </c>
      <c r="G698">
        <v>1673333</v>
      </c>
      <c r="H698" t="s">
        <v>8</v>
      </c>
      <c r="I698">
        <v>0</v>
      </c>
      <c r="J698">
        <v>0</v>
      </c>
      <c r="K698">
        <v>0</v>
      </c>
      <c r="L698">
        <v>0</v>
      </c>
      <c r="M698">
        <v>0</v>
      </c>
    </row>
    <row r="699" spans="1:13" ht="15" customHeight="1" x14ac:dyDescent="0.25">
      <c r="A699" t="s">
        <v>2540</v>
      </c>
      <c r="B699" t="s">
        <v>30</v>
      </c>
      <c r="C699" t="s">
        <v>386</v>
      </c>
      <c r="D699" t="s">
        <v>73</v>
      </c>
      <c r="E699" t="s">
        <v>2446</v>
      </c>
      <c r="F699">
        <v>25</v>
      </c>
      <c r="G699">
        <v>925000</v>
      </c>
      <c r="H699" t="s">
        <v>8</v>
      </c>
      <c r="I699">
        <v>0</v>
      </c>
      <c r="J699">
        <v>0</v>
      </c>
      <c r="K699">
        <v>0</v>
      </c>
      <c r="L699">
        <v>0</v>
      </c>
      <c r="M699">
        <v>0</v>
      </c>
    </row>
    <row r="700" spans="1:13" ht="15" customHeight="1" x14ac:dyDescent="0.25">
      <c r="A700" t="s">
        <v>1539</v>
      </c>
      <c r="B700" t="s">
        <v>27</v>
      </c>
      <c r="C700" t="s">
        <v>386</v>
      </c>
      <c r="D700" t="s">
        <v>2452</v>
      </c>
      <c r="E700" t="s">
        <v>2446</v>
      </c>
      <c r="F700">
        <v>20</v>
      </c>
      <c r="G700">
        <v>726667</v>
      </c>
      <c r="H700">
        <v>726667</v>
      </c>
      <c r="I700">
        <v>726667</v>
      </c>
      <c r="J700" t="s">
        <v>8</v>
      </c>
      <c r="K700">
        <v>0</v>
      </c>
      <c r="L700">
        <v>0</v>
      </c>
      <c r="M700">
        <v>0</v>
      </c>
    </row>
    <row r="701" spans="1:13" ht="15" customHeight="1" x14ac:dyDescent="0.25">
      <c r="A701" t="s">
        <v>2262</v>
      </c>
      <c r="B701" t="s">
        <v>20</v>
      </c>
      <c r="C701">
        <v>0</v>
      </c>
      <c r="D701" t="s">
        <v>2452</v>
      </c>
      <c r="E701" t="s">
        <v>2439</v>
      </c>
      <c r="F701">
        <v>22</v>
      </c>
      <c r="G701" t="s">
        <v>8</v>
      </c>
      <c r="H701">
        <v>0</v>
      </c>
      <c r="I701">
        <v>0</v>
      </c>
      <c r="J701">
        <v>0</v>
      </c>
      <c r="K701">
        <v>0</v>
      </c>
      <c r="L701">
        <v>0</v>
      </c>
      <c r="M701">
        <v>0</v>
      </c>
    </row>
    <row r="702" spans="1:13" ht="15" customHeight="1" x14ac:dyDescent="0.25">
      <c r="A702" t="s">
        <v>2750</v>
      </c>
      <c r="B702" t="s">
        <v>20</v>
      </c>
      <c r="C702">
        <v>0</v>
      </c>
      <c r="D702" t="s">
        <v>2452</v>
      </c>
      <c r="E702" t="s">
        <v>2439</v>
      </c>
      <c r="F702">
        <v>30</v>
      </c>
      <c r="G702">
        <v>700000</v>
      </c>
      <c r="H702" t="s">
        <v>7</v>
      </c>
      <c r="I702">
        <v>0</v>
      </c>
      <c r="J702">
        <v>0</v>
      </c>
      <c r="K702">
        <v>0</v>
      </c>
      <c r="L702">
        <v>0</v>
      </c>
      <c r="M702">
        <v>0</v>
      </c>
    </row>
    <row r="703" spans="1:13" ht="15" customHeight="1" x14ac:dyDescent="0.25">
      <c r="A703" t="s">
        <v>1864</v>
      </c>
      <c r="B703" t="s">
        <v>2503</v>
      </c>
      <c r="C703">
        <v>0</v>
      </c>
      <c r="D703" t="s">
        <v>380</v>
      </c>
      <c r="E703" t="s">
        <v>2677</v>
      </c>
      <c r="F703">
        <v>28</v>
      </c>
      <c r="G703">
        <v>2500000</v>
      </c>
      <c r="H703">
        <v>2500000</v>
      </c>
      <c r="I703">
        <v>2500000</v>
      </c>
      <c r="J703" t="s">
        <v>7</v>
      </c>
      <c r="K703">
        <v>0</v>
      </c>
      <c r="L703">
        <v>0</v>
      </c>
      <c r="M703">
        <v>0</v>
      </c>
    </row>
    <row r="704" spans="1:13" ht="15" customHeight="1" x14ac:dyDescent="0.25">
      <c r="A704" t="s">
        <v>1920</v>
      </c>
      <c r="B704" t="s">
        <v>33</v>
      </c>
      <c r="C704">
        <v>0</v>
      </c>
      <c r="D704" t="s">
        <v>2679</v>
      </c>
      <c r="E704" t="s">
        <v>2677</v>
      </c>
      <c r="F704">
        <v>25</v>
      </c>
      <c r="G704">
        <v>3500000</v>
      </c>
      <c r="H704">
        <v>3500000</v>
      </c>
      <c r="I704">
        <v>3500000</v>
      </c>
      <c r="J704">
        <v>3500000</v>
      </c>
      <c r="K704" t="s">
        <v>7</v>
      </c>
      <c r="L704">
        <v>0</v>
      </c>
      <c r="M704">
        <v>0</v>
      </c>
    </row>
    <row r="705" spans="1:13" ht="15" customHeight="1" x14ac:dyDescent="0.25">
      <c r="A705" t="s">
        <v>2358</v>
      </c>
      <c r="B705" t="s">
        <v>16</v>
      </c>
      <c r="C705">
        <v>0</v>
      </c>
      <c r="D705" t="s">
        <v>73</v>
      </c>
      <c r="E705" t="s">
        <v>2690</v>
      </c>
      <c r="F705">
        <v>27</v>
      </c>
      <c r="G705">
        <v>737500</v>
      </c>
      <c r="H705">
        <v>737500</v>
      </c>
      <c r="I705" t="s">
        <v>7</v>
      </c>
      <c r="J705">
        <v>0</v>
      </c>
      <c r="K705">
        <v>0</v>
      </c>
      <c r="L705">
        <v>0</v>
      </c>
      <c r="M705">
        <v>0</v>
      </c>
    </row>
    <row r="706" spans="1:13" ht="15" customHeight="1" x14ac:dyDescent="0.25">
      <c r="A706" t="s">
        <v>2804</v>
      </c>
      <c r="B706" t="s">
        <v>6</v>
      </c>
      <c r="C706" t="s">
        <v>420</v>
      </c>
      <c r="D706" t="s">
        <v>2448</v>
      </c>
      <c r="E706" t="s">
        <v>2439</v>
      </c>
      <c r="F706">
        <v>34</v>
      </c>
      <c r="G706">
        <v>6875000</v>
      </c>
      <c r="H706">
        <v>6875000</v>
      </c>
      <c r="I706">
        <v>6875000</v>
      </c>
      <c r="J706" t="s">
        <v>7</v>
      </c>
      <c r="K706">
        <v>0</v>
      </c>
      <c r="L706">
        <v>0</v>
      </c>
      <c r="M706">
        <v>0</v>
      </c>
    </row>
    <row r="707" spans="1:13" ht="15" customHeight="1" x14ac:dyDescent="0.25">
      <c r="A707" t="s">
        <v>1603</v>
      </c>
      <c r="B707" t="s">
        <v>63</v>
      </c>
      <c r="C707" t="s">
        <v>2705</v>
      </c>
      <c r="D707" t="s">
        <v>88</v>
      </c>
      <c r="E707" t="s">
        <v>2677</v>
      </c>
      <c r="F707">
        <v>31</v>
      </c>
      <c r="G707">
        <v>8000000</v>
      </c>
      <c r="H707">
        <v>8000000</v>
      </c>
      <c r="I707">
        <v>8000000</v>
      </c>
      <c r="J707" t="s">
        <v>7</v>
      </c>
      <c r="K707">
        <v>0</v>
      </c>
      <c r="L707">
        <v>0</v>
      </c>
      <c r="M707">
        <v>0</v>
      </c>
    </row>
    <row r="708" spans="1:13" ht="15" customHeight="1" x14ac:dyDescent="0.25">
      <c r="A708" t="s">
        <v>1377</v>
      </c>
      <c r="B708" t="s">
        <v>9</v>
      </c>
      <c r="C708" t="s">
        <v>386</v>
      </c>
      <c r="D708" t="s">
        <v>127</v>
      </c>
      <c r="E708" t="s">
        <v>2446</v>
      </c>
      <c r="F708">
        <v>20</v>
      </c>
      <c r="G708">
        <v>733333</v>
      </c>
      <c r="H708">
        <v>733333</v>
      </c>
      <c r="I708">
        <v>733333</v>
      </c>
      <c r="J708" t="s">
        <v>8</v>
      </c>
      <c r="K708">
        <v>0</v>
      </c>
      <c r="L708">
        <v>0</v>
      </c>
      <c r="M708">
        <v>0</v>
      </c>
    </row>
    <row r="709" spans="1:13" ht="15" customHeight="1" x14ac:dyDescent="0.25">
      <c r="A709" t="s">
        <v>2222</v>
      </c>
      <c r="B709" t="s">
        <v>18</v>
      </c>
      <c r="C709">
        <v>0</v>
      </c>
      <c r="D709" t="s">
        <v>2452</v>
      </c>
      <c r="E709" t="s">
        <v>2439</v>
      </c>
      <c r="F709">
        <v>25</v>
      </c>
      <c r="G709">
        <v>1200000</v>
      </c>
      <c r="H709">
        <v>1200000</v>
      </c>
      <c r="I709" t="s">
        <v>8</v>
      </c>
      <c r="J709">
        <v>0</v>
      </c>
      <c r="K709">
        <v>0</v>
      </c>
      <c r="L709">
        <v>0</v>
      </c>
      <c r="M709">
        <v>0</v>
      </c>
    </row>
    <row r="710" spans="1:13" ht="15" customHeight="1" x14ac:dyDescent="0.25">
      <c r="A710" t="s">
        <v>2615</v>
      </c>
      <c r="B710" t="s">
        <v>21</v>
      </c>
      <c r="C710" t="s">
        <v>386</v>
      </c>
      <c r="D710" t="s">
        <v>73</v>
      </c>
      <c r="E710" t="s">
        <v>2446</v>
      </c>
      <c r="F710">
        <v>19</v>
      </c>
      <c r="G710">
        <v>925000</v>
      </c>
      <c r="H710">
        <v>925000</v>
      </c>
      <c r="I710">
        <v>925000</v>
      </c>
      <c r="J710" t="s">
        <v>8</v>
      </c>
      <c r="K710">
        <v>0</v>
      </c>
      <c r="L710">
        <v>0</v>
      </c>
      <c r="M710">
        <v>0</v>
      </c>
    </row>
    <row r="711" spans="1:13" ht="15" customHeight="1" x14ac:dyDescent="0.25">
      <c r="A711" t="s">
        <v>1963</v>
      </c>
      <c r="B711" t="s">
        <v>16</v>
      </c>
      <c r="C711">
        <v>0</v>
      </c>
      <c r="D711" t="s">
        <v>127</v>
      </c>
      <c r="E711" t="s">
        <v>2677</v>
      </c>
      <c r="F711">
        <v>33</v>
      </c>
      <c r="G711">
        <v>2500000</v>
      </c>
      <c r="H711" t="s">
        <v>7</v>
      </c>
      <c r="I711">
        <v>0</v>
      </c>
      <c r="J711">
        <v>0</v>
      </c>
      <c r="K711">
        <v>0</v>
      </c>
      <c r="L711">
        <v>0</v>
      </c>
      <c r="M711">
        <v>0</v>
      </c>
    </row>
    <row r="712" spans="1:13" ht="15" customHeight="1" x14ac:dyDescent="0.25">
      <c r="A712" t="s">
        <v>2555</v>
      </c>
      <c r="B712" t="s">
        <v>34</v>
      </c>
      <c r="C712" t="s">
        <v>386</v>
      </c>
      <c r="D712" t="s">
        <v>127</v>
      </c>
      <c r="E712" t="s">
        <v>2446</v>
      </c>
      <c r="F712">
        <v>22</v>
      </c>
      <c r="G712">
        <v>1137500</v>
      </c>
      <c r="H712" t="s">
        <v>8</v>
      </c>
      <c r="I712">
        <v>0</v>
      </c>
      <c r="J712">
        <v>0</v>
      </c>
      <c r="K712">
        <v>0</v>
      </c>
      <c r="L712">
        <v>0</v>
      </c>
      <c r="M712">
        <v>0</v>
      </c>
    </row>
    <row r="713" spans="1:13" ht="15" customHeight="1" x14ac:dyDescent="0.25">
      <c r="A713" t="s">
        <v>1550</v>
      </c>
      <c r="B713" t="s">
        <v>32</v>
      </c>
      <c r="C713" t="s">
        <v>372</v>
      </c>
      <c r="D713" t="s">
        <v>2440</v>
      </c>
      <c r="E713" t="s">
        <v>2439</v>
      </c>
      <c r="F713">
        <v>29</v>
      </c>
      <c r="G713">
        <v>4450000</v>
      </c>
      <c r="H713">
        <v>4450000</v>
      </c>
      <c r="I713">
        <v>4450000</v>
      </c>
      <c r="J713">
        <v>4450000</v>
      </c>
      <c r="K713" t="s">
        <v>7</v>
      </c>
      <c r="L713">
        <v>0</v>
      </c>
      <c r="M713">
        <v>0</v>
      </c>
    </row>
    <row r="714" spans="1:13" ht="15" customHeight="1" x14ac:dyDescent="0.25">
      <c r="A714" t="s">
        <v>1706</v>
      </c>
      <c r="B714" t="s">
        <v>22</v>
      </c>
      <c r="C714">
        <v>0</v>
      </c>
      <c r="D714" t="s">
        <v>127</v>
      </c>
      <c r="E714" t="s">
        <v>2439</v>
      </c>
      <c r="F714">
        <v>30</v>
      </c>
      <c r="G714">
        <v>1750000</v>
      </c>
      <c r="H714" t="s">
        <v>7</v>
      </c>
      <c r="I714">
        <v>0</v>
      </c>
      <c r="J714">
        <v>0</v>
      </c>
      <c r="K714">
        <v>0</v>
      </c>
      <c r="L714">
        <v>0</v>
      </c>
      <c r="M714">
        <v>0</v>
      </c>
    </row>
    <row r="715" spans="1:13" ht="15" customHeight="1" x14ac:dyDescent="0.25">
      <c r="A715" t="s">
        <v>2037</v>
      </c>
      <c r="B715" t="s">
        <v>12</v>
      </c>
      <c r="C715">
        <v>0</v>
      </c>
      <c r="D715" t="s">
        <v>2442</v>
      </c>
      <c r="E715" t="s">
        <v>2446</v>
      </c>
      <c r="F715">
        <v>23</v>
      </c>
      <c r="G715">
        <v>700000</v>
      </c>
      <c r="H715" t="s">
        <v>8</v>
      </c>
      <c r="I715">
        <v>0</v>
      </c>
      <c r="J715">
        <v>0</v>
      </c>
      <c r="K715">
        <v>0</v>
      </c>
      <c r="L715">
        <v>0</v>
      </c>
      <c r="M715">
        <v>0</v>
      </c>
    </row>
    <row r="716" spans="1:13" ht="15" customHeight="1" x14ac:dyDescent="0.25">
      <c r="A716" t="s">
        <v>2600</v>
      </c>
      <c r="B716" t="s">
        <v>33</v>
      </c>
      <c r="C716" t="s">
        <v>386</v>
      </c>
      <c r="D716" t="s">
        <v>380</v>
      </c>
      <c r="E716" t="s">
        <v>2690</v>
      </c>
      <c r="F716">
        <v>24</v>
      </c>
      <c r="G716">
        <v>925000</v>
      </c>
      <c r="H716" t="s">
        <v>8</v>
      </c>
      <c r="I716">
        <v>0</v>
      </c>
      <c r="J716">
        <v>0</v>
      </c>
      <c r="K716">
        <v>0</v>
      </c>
      <c r="L716">
        <v>0</v>
      </c>
      <c r="M716">
        <v>0</v>
      </c>
    </row>
    <row r="717" spans="1:13" ht="15" customHeight="1" x14ac:dyDescent="0.25">
      <c r="A717" t="s">
        <v>2484</v>
      </c>
      <c r="B717" t="s">
        <v>16</v>
      </c>
      <c r="C717" t="s">
        <v>386</v>
      </c>
      <c r="D717" t="s">
        <v>2689</v>
      </c>
      <c r="E717" t="s">
        <v>2690</v>
      </c>
      <c r="F717">
        <v>23</v>
      </c>
      <c r="G717">
        <v>925000</v>
      </c>
      <c r="H717">
        <v>925000</v>
      </c>
      <c r="I717" t="s">
        <v>8</v>
      </c>
      <c r="J717">
        <v>0</v>
      </c>
      <c r="K717">
        <v>0</v>
      </c>
      <c r="L717">
        <v>0</v>
      </c>
      <c r="M717">
        <v>0</v>
      </c>
    </row>
    <row r="718" spans="1:13" ht="15" customHeight="1" x14ac:dyDescent="0.25">
      <c r="A718" t="s">
        <v>1673</v>
      </c>
      <c r="B718" t="s">
        <v>14</v>
      </c>
      <c r="C718" t="s">
        <v>386</v>
      </c>
      <c r="D718" t="s">
        <v>127</v>
      </c>
      <c r="E718" t="s">
        <v>2446</v>
      </c>
      <c r="F718">
        <v>22</v>
      </c>
      <c r="G718">
        <v>1066667</v>
      </c>
      <c r="H718" t="s">
        <v>8</v>
      </c>
      <c r="I718">
        <v>0</v>
      </c>
      <c r="J718">
        <v>0</v>
      </c>
      <c r="K718">
        <v>0</v>
      </c>
      <c r="L718">
        <v>0</v>
      </c>
      <c r="M718">
        <v>0</v>
      </c>
    </row>
    <row r="719" spans="1:13" ht="15" customHeight="1" x14ac:dyDescent="0.25">
      <c r="A719" t="s">
        <v>2224</v>
      </c>
      <c r="B719" t="s">
        <v>18</v>
      </c>
      <c r="C719">
        <v>0</v>
      </c>
      <c r="D719" t="s">
        <v>2445</v>
      </c>
      <c r="E719" t="s">
        <v>2439</v>
      </c>
      <c r="F719">
        <v>26</v>
      </c>
      <c r="G719">
        <v>4167000</v>
      </c>
      <c r="H719">
        <v>4167000</v>
      </c>
      <c r="I719">
        <v>4167000</v>
      </c>
      <c r="J719">
        <v>4167000</v>
      </c>
      <c r="K719" t="s">
        <v>7</v>
      </c>
      <c r="L719">
        <v>0</v>
      </c>
      <c r="M719">
        <v>0</v>
      </c>
    </row>
    <row r="720" spans="1:13" ht="15" customHeight="1" x14ac:dyDescent="0.25">
      <c r="A720" t="s">
        <v>2214</v>
      </c>
      <c r="B720" t="s">
        <v>27</v>
      </c>
      <c r="C720">
        <v>0</v>
      </c>
      <c r="D720" t="s">
        <v>2440</v>
      </c>
      <c r="E720" t="s">
        <v>2446</v>
      </c>
      <c r="F720">
        <v>24</v>
      </c>
      <c r="G720">
        <v>700000</v>
      </c>
      <c r="H720" t="s">
        <v>8</v>
      </c>
      <c r="I720">
        <v>0</v>
      </c>
      <c r="J720">
        <v>0</v>
      </c>
      <c r="K720">
        <v>0</v>
      </c>
      <c r="L720">
        <v>0</v>
      </c>
      <c r="M720">
        <v>0</v>
      </c>
    </row>
    <row r="721" spans="1:13" ht="15" customHeight="1" x14ac:dyDescent="0.25">
      <c r="A721" t="s">
        <v>2769</v>
      </c>
      <c r="B721" t="s">
        <v>16</v>
      </c>
      <c r="C721">
        <v>0</v>
      </c>
      <c r="D721" t="s">
        <v>379</v>
      </c>
      <c r="E721" t="s">
        <v>2677</v>
      </c>
      <c r="F721">
        <v>26</v>
      </c>
      <c r="G721">
        <v>4250000</v>
      </c>
      <c r="H721">
        <v>4250000</v>
      </c>
      <c r="I721">
        <v>4250000</v>
      </c>
      <c r="J721" t="s">
        <v>7</v>
      </c>
      <c r="K721">
        <v>0</v>
      </c>
      <c r="L721">
        <v>0</v>
      </c>
      <c r="M721">
        <v>0</v>
      </c>
    </row>
    <row r="722" spans="1:13" ht="15" customHeight="1" x14ac:dyDescent="0.25">
      <c r="A722" t="s">
        <v>2006</v>
      </c>
      <c r="B722" t="s">
        <v>6</v>
      </c>
      <c r="C722">
        <v>0</v>
      </c>
      <c r="D722" t="s">
        <v>2448</v>
      </c>
      <c r="E722" t="s">
        <v>2446</v>
      </c>
      <c r="F722">
        <v>25</v>
      </c>
      <c r="G722">
        <v>700000</v>
      </c>
      <c r="H722" t="s">
        <v>8</v>
      </c>
      <c r="I722">
        <v>0</v>
      </c>
      <c r="J722">
        <v>0</v>
      </c>
      <c r="K722">
        <v>0</v>
      </c>
      <c r="L722">
        <v>0</v>
      </c>
      <c r="M722">
        <v>0</v>
      </c>
    </row>
    <row r="723" spans="1:13" ht="15" customHeight="1" x14ac:dyDescent="0.25">
      <c r="A723" t="s">
        <v>1913</v>
      </c>
      <c r="B723" t="s">
        <v>13</v>
      </c>
      <c r="C723" t="s">
        <v>386</v>
      </c>
      <c r="D723" t="s">
        <v>2440</v>
      </c>
      <c r="E723" t="s">
        <v>2446</v>
      </c>
      <c r="F723">
        <v>22</v>
      </c>
      <c r="G723">
        <v>935833</v>
      </c>
      <c r="H723" t="s">
        <v>8</v>
      </c>
      <c r="I723">
        <v>0</v>
      </c>
      <c r="J723">
        <v>0</v>
      </c>
      <c r="K723">
        <v>0</v>
      </c>
      <c r="L723">
        <v>0</v>
      </c>
      <c r="M723">
        <v>0</v>
      </c>
    </row>
    <row r="724" spans="1:13" ht="15" customHeight="1" x14ac:dyDescent="0.25">
      <c r="A724" t="s">
        <v>2547</v>
      </c>
      <c r="B724" t="s">
        <v>30</v>
      </c>
      <c r="C724" t="s">
        <v>388</v>
      </c>
      <c r="D724" t="s">
        <v>2445</v>
      </c>
      <c r="E724" t="s">
        <v>389</v>
      </c>
      <c r="F724">
        <v>18</v>
      </c>
      <c r="G724">
        <v>925000</v>
      </c>
      <c r="H724">
        <v>925000</v>
      </c>
      <c r="I724">
        <v>925000</v>
      </c>
      <c r="J724" t="s">
        <v>8</v>
      </c>
      <c r="K724">
        <v>0</v>
      </c>
      <c r="L724">
        <v>0</v>
      </c>
      <c r="M724">
        <v>0</v>
      </c>
    </row>
    <row r="725" spans="1:13" ht="15" customHeight="1" x14ac:dyDescent="0.25">
      <c r="A725" t="s">
        <v>2548</v>
      </c>
      <c r="B725" t="s">
        <v>30</v>
      </c>
      <c r="C725" t="s">
        <v>386</v>
      </c>
      <c r="D725" t="s">
        <v>2445</v>
      </c>
      <c r="E725" t="s">
        <v>2446</v>
      </c>
      <c r="F725">
        <v>21</v>
      </c>
      <c r="G725">
        <v>810000</v>
      </c>
      <c r="H725">
        <v>810000</v>
      </c>
      <c r="I725">
        <v>810000</v>
      </c>
      <c r="J725" t="s">
        <v>8</v>
      </c>
      <c r="K725">
        <v>0</v>
      </c>
      <c r="L725">
        <v>0</v>
      </c>
      <c r="M725">
        <v>0</v>
      </c>
    </row>
    <row r="726" spans="1:13" ht="15" customHeight="1" x14ac:dyDescent="0.25">
      <c r="A726" t="s">
        <v>1561</v>
      </c>
      <c r="B726" t="s">
        <v>13</v>
      </c>
      <c r="C726">
        <v>0</v>
      </c>
      <c r="D726" t="s">
        <v>2445</v>
      </c>
      <c r="E726" t="s">
        <v>2439</v>
      </c>
      <c r="F726">
        <v>25</v>
      </c>
      <c r="G726">
        <v>925000</v>
      </c>
      <c r="H726" t="s">
        <v>8</v>
      </c>
      <c r="I726">
        <v>0</v>
      </c>
      <c r="J726">
        <v>0</v>
      </c>
      <c r="K726">
        <v>0</v>
      </c>
      <c r="L726">
        <v>0</v>
      </c>
      <c r="M726">
        <v>0</v>
      </c>
    </row>
    <row r="727" spans="1:13" ht="15" customHeight="1" x14ac:dyDescent="0.25">
      <c r="A727" t="s">
        <v>2842</v>
      </c>
      <c r="B727" t="s">
        <v>21</v>
      </c>
      <c r="C727" t="s">
        <v>2499</v>
      </c>
      <c r="D727" t="s">
        <v>73</v>
      </c>
      <c r="E727" t="s">
        <v>2439</v>
      </c>
      <c r="F727">
        <v>36</v>
      </c>
      <c r="G727">
        <v>5500000</v>
      </c>
      <c r="H727" t="s">
        <v>7</v>
      </c>
      <c r="I727">
        <v>0</v>
      </c>
      <c r="J727">
        <v>0</v>
      </c>
      <c r="K727">
        <v>0</v>
      </c>
      <c r="L727">
        <v>0</v>
      </c>
      <c r="M727">
        <v>0</v>
      </c>
    </row>
    <row r="728" spans="1:13" ht="15" customHeight="1" x14ac:dyDescent="0.25">
      <c r="A728" t="s">
        <v>1745</v>
      </c>
      <c r="B728" t="s">
        <v>25</v>
      </c>
      <c r="C728" t="s">
        <v>386</v>
      </c>
      <c r="D728" t="s">
        <v>2442</v>
      </c>
      <c r="E728" t="s">
        <v>2446</v>
      </c>
      <c r="F728">
        <v>20</v>
      </c>
      <c r="G728">
        <v>925000</v>
      </c>
      <c r="H728">
        <v>925000</v>
      </c>
      <c r="I728" t="s">
        <v>8</v>
      </c>
      <c r="J728">
        <v>0</v>
      </c>
      <c r="K728">
        <v>0</v>
      </c>
      <c r="L728">
        <v>0</v>
      </c>
      <c r="M728">
        <v>0</v>
      </c>
    </row>
    <row r="729" spans="1:13" ht="15" customHeight="1" x14ac:dyDescent="0.25">
      <c r="A729" t="s">
        <v>2397</v>
      </c>
      <c r="B729" t="s">
        <v>135</v>
      </c>
      <c r="C729" t="s">
        <v>386</v>
      </c>
      <c r="D729" t="s">
        <v>88</v>
      </c>
      <c r="E729" t="s">
        <v>2690</v>
      </c>
      <c r="F729">
        <v>22</v>
      </c>
      <c r="G729">
        <v>905000</v>
      </c>
      <c r="H729" t="s">
        <v>8</v>
      </c>
      <c r="I729">
        <v>0</v>
      </c>
      <c r="J729">
        <v>0</v>
      </c>
      <c r="K729">
        <v>0</v>
      </c>
      <c r="L729">
        <v>0</v>
      </c>
      <c r="M729">
        <v>0</v>
      </c>
    </row>
    <row r="730" spans="1:13" ht="15" customHeight="1" x14ac:dyDescent="0.25">
      <c r="A730" t="s">
        <v>1727</v>
      </c>
      <c r="B730" t="s">
        <v>25</v>
      </c>
      <c r="C730" t="s">
        <v>381</v>
      </c>
      <c r="D730" t="s">
        <v>2496</v>
      </c>
      <c r="E730" t="s">
        <v>2439</v>
      </c>
      <c r="F730">
        <v>32</v>
      </c>
      <c r="G730">
        <v>3000000</v>
      </c>
      <c r="H730">
        <v>3000000</v>
      </c>
      <c r="I730">
        <v>3000000</v>
      </c>
      <c r="J730" t="s">
        <v>7</v>
      </c>
      <c r="K730">
        <v>0</v>
      </c>
      <c r="L730">
        <v>0</v>
      </c>
      <c r="M730">
        <v>0</v>
      </c>
    </row>
    <row r="731" spans="1:13" ht="15" customHeight="1" x14ac:dyDescent="0.25">
      <c r="A731" t="s">
        <v>1792</v>
      </c>
      <c r="B731" t="s">
        <v>28</v>
      </c>
      <c r="C731">
        <v>0</v>
      </c>
      <c r="D731" t="s">
        <v>2441</v>
      </c>
      <c r="E731" t="s">
        <v>2439</v>
      </c>
      <c r="F731">
        <v>22</v>
      </c>
      <c r="G731" t="s">
        <v>8</v>
      </c>
      <c r="H731">
        <v>0</v>
      </c>
      <c r="I731">
        <v>0</v>
      </c>
      <c r="J731">
        <v>0</v>
      </c>
      <c r="K731">
        <v>0</v>
      </c>
      <c r="L731">
        <v>0</v>
      </c>
      <c r="M731">
        <v>0</v>
      </c>
    </row>
    <row r="732" spans="1:13" ht="15" customHeight="1" x14ac:dyDescent="0.25">
      <c r="A732" t="s">
        <v>2142</v>
      </c>
      <c r="B732" t="s">
        <v>6</v>
      </c>
      <c r="C732" t="s">
        <v>386</v>
      </c>
      <c r="D732" t="s">
        <v>2440</v>
      </c>
      <c r="E732" t="s">
        <v>2446</v>
      </c>
      <c r="F732">
        <v>21</v>
      </c>
      <c r="G732">
        <v>910833</v>
      </c>
      <c r="H732">
        <v>910833</v>
      </c>
      <c r="I732" t="s">
        <v>8</v>
      </c>
      <c r="J732">
        <v>0</v>
      </c>
      <c r="K732">
        <v>0</v>
      </c>
      <c r="L732">
        <v>0</v>
      </c>
      <c r="M732">
        <v>0</v>
      </c>
    </row>
    <row r="733" spans="1:13" ht="15" customHeight="1" x14ac:dyDescent="0.25">
      <c r="A733" t="s">
        <v>2840</v>
      </c>
      <c r="B733" t="s">
        <v>20</v>
      </c>
      <c r="C733" t="s">
        <v>420</v>
      </c>
      <c r="D733" t="s">
        <v>73</v>
      </c>
      <c r="E733" t="s">
        <v>2439</v>
      </c>
      <c r="F733">
        <v>31</v>
      </c>
      <c r="G733">
        <v>10000000</v>
      </c>
      <c r="H733">
        <v>10000000</v>
      </c>
      <c r="I733">
        <v>10000000</v>
      </c>
      <c r="J733">
        <v>10000000</v>
      </c>
      <c r="K733">
        <v>10000000</v>
      </c>
      <c r="L733" t="s">
        <v>7</v>
      </c>
      <c r="M733">
        <v>0</v>
      </c>
    </row>
    <row r="734" spans="1:13" ht="15" customHeight="1" x14ac:dyDescent="0.25">
      <c r="A734" t="s">
        <v>1372</v>
      </c>
      <c r="B734" t="s">
        <v>9</v>
      </c>
      <c r="C734" t="s">
        <v>386</v>
      </c>
      <c r="D734" t="s">
        <v>2450</v>
      </c>
      <c r="E734" t="s">
        <v>2446</v>
      </c>
      <c r="F734">
        <v>21</v>
      </c>
      <c r="G734">
        <v>910833</v>
      </c>
      <c r="H734">
        <v>910833</v>
      </c>
      <c r="I734" t="s">
        <v>8</v>
      </c>
      <c r="J734">
        <v>0</v>
      </c>
      <c r="K734">
        <v>0</v>
      </c>
      <c r="L734">
        <v>0</v>
      </c>
      <c r="M734">
        <v>0</v>
      </c>
    </row>
    <row r="735" spans="1:13" ht="15" customHeight="1" x14ac:dyDescent="0.25">
      <c r="A735" t="s">
        <v>2324</v>
      </c>
      <c r="B735" t="s">
        <v>30</v>
      </c>
      <c r="C735" t="s">
        <v>386</v>
      </c>
      <c r="D735" t="s">
        <v>127</v>
      </c>
      <c r="E735" t="s">
        <v>2446</v>
      </c>
      <c r="F735">
        <v>21</v>
      </c>
      <c r="G735">
        <v>723333</v>
      </c>
      <c r="H735">
        <v>723333</v>
      </c>
      <c r="I735" t="s">
        <v>8</v>
      </c>
      <c r="J735">
        <v>0</v>
      </c>
      <c r="K735">
        <v>0</v>
      </c>
      <c r="L735">
        <v>0</v>
      </c>
      <c r="M735">
        <v>0</v>
      </c>
    </row>
    <row r="736" spans="1:13" ht="15" customHeight="1" x14ac:dyDescent="0.25">
      <c r="A736" t="s">
        <v>1670</v>
      </c>
      <c r="B736" t="s">
        <v>14</v>
      </c>
      <c r="C736">
        <v>0</v>
      </c>
      <c r="D736" t="s">
        <v>127</v>
      </c>
      <c r="E736" t="s">
        <v>2439</v>
      </c>
      <c r="F736">
        <v>25</v>
      </c>
      <c r="G736">
        <v>1150000</v>
      </c>
      <c r="H736" t="s">
        <v>8</v>
      </c>
      <c r="I736">
        <v>0</v>
      </c>
      <c r="J736">
        <v>0</v>
      </c>
      <c r="K736">
        <v>0</v>
      </c>
      <c r="L736">
        <v>0</v>
      </c>
      <c r="M736">
        <v>0</v>
      </c>
    </row>
    <row r="737" spans="1:13" ht="15" customHeight="1" x14ac:dyDescent="0.25">
      <c r="A737" t="s">
        <v>2596</v>
      </c>
      <c r="B737" t="s">
        <v>33</v>
      </c>
      <c r="C737" t="s">
        <v>386</v>
      </c>
      <c r="D737" t="s">
        <v>88</v>
      </c>
      <c r="E737" t="s">
        <v>2690</v>
      </c>
      <c r="F737">
        <v>23</v>
      </c>
      <c r="G737">
        <v>925000</v>
      </c>
      <c r="H737">
        <v>925000</v>
      </c>
      <c r="I737" t="s">
        <v>8</v>
      </c>
      <c r="J737">
        <v>0</v>
      </c>
      <c r="K737">
        <v>0</v>
      </c>
      <c r="L737">
        <v>0</v>
      </c>
      <c r="M737">
        <v>0</v>
      </c>
    </row>
    <row r="738" spans="1:13" ht="15" customHeight="1" x14ac:dyDescent="0.25">
      <c r="A738" t="s">
        <v>2230</v>
      </c>
      <c r="B738" t="s">
        <v>18</v>
      </c>
      <c r="C738" t="s">
        <v>381</v>
      </c>
      <c r="D738" t="s">
        <v>127</v>
      </c>
      <c r="E738" t="s">
        <v>2439</v>
      </c>
      <c r="F738">
        <v>31</v>
      </c>
      <c r="G738">
        <v>4500000</v>
      </c>
      <c r="H738">
        <v>4500000</v>
      </c>
      <c r="I738">
        <v>4500000</v>
      </c>
      <c r="J738" t="s">
        <v>7</v>
      </c>
      <c r="K738">
        <v>0</v>
      </c>
      <c r="L738">
        <v>0</v>
      </c>
      <c r="M738">
        <v>0</v>
      </c>
    </row>
    <row r="739" spans="1:13" ht="15" customHeight="1" x14ac:dyDescent="0.25">
      <c r="A739" t="s">
        <v>2691</v>
      </c>
      <c r="B739" t="s">
        <v>33</v>
      </c>
      <c r="C739">
        <v>0</v>
      </c>
      <c r="D739" t="s">
        <v>73</v>
      </c>
      <c r="E739" t="s">
        <v>2690</v>
      </c>
      <c r="F739">
        <v>26</v>
      </c>
      <c r="G739">
        <v>700000</v>
      </c>
      <c r="H739">
        <v>700000</v>
      </c>
      <c r="I739" t="s">
        <v>7</v>
      </c>
      <c r="J739">
        <v>0</v>
      </c>
      <c r="K739">
        <v>0</v>
      </c>
      <c r="L739">
        <v>0</v>
      </c>
      <c r="M739">
        <v>0</v>
      </c>
    </row>
    <row r="740" spans="1:13" ht="15" customHeight="1" x14ac:dyDescent="0.25">
      <c r="A740" t="s">
        <v>2066</v>
      </c>
      <c r="B740" t="s">
        <v>31</v>
      </c>
      <c r="C740" t="s">
        <v>386</v>
      </c>
      <c r="D740" t="s">
        <v>88</v>
      </c>
      <c r="E740" t="s">
        <v>2690</v>
      </c>
      <c r="F740">
        <v>20</v>
      </c>
      <c r="G740">
        <v>1075833</v>
      </c>
      <c r="H740">
        <v>1075833</v>
      </c>
      <c r="I740">
        <v>1075833</v>
      </c>
      <c r="J740" t="s">
        <v>8</v>
      </c>
      <c r="K740">
        <v>0</v>
      </c>
      <c r="L740">
        <v>0</v>
      </c>
      <c r="M740">
        <v>0</v>
      </c>
    </row>
    <row r="741" spans="1:13" ht="15" customHeight="1" x14ac:dyDescent="0.25">
      <c r="A741" t="s">
        <v>1497</v>
      </c>
      <c r="B741" t="s">
        <v>22</v>
      </c>
      <c r="C741" t="s">
        <v>386</v>
      </c>
      <c r="D741" t="s">
        <v>2452</v>
      </c>
      <c r="E741" t="s">
        <v>2439</v>
      </c>
      <c r="F741">
        <v>19</v>
      </c>
      <c r="G741">
        <v>3425000</v>
      </c>
      <c r="H741">
        <v>3425000</v>
      </c>
      <c r="I741" t="s">
        <v>8</v>
      </c>
      <c r="J741">
        <v>0</v>
      </c>
      <c r="K741">
        <v>0</v>
      </c>
      <c r="L741">
        <v>0</v>
      </c>
      <c r="M741">
        <v>0</v>
      </c>
    </row>
    <row r="742" spans="1:13" ht="15" customHeight="1" x14ac:dyDescent="0.25">
      <c r="A742" t="s">
        <v>2317</v>
      </c>
      <c r="B742" t="s">
        <v>30</v>
      </c>
      <c r="C742" t="s">
        <v>388</v>
      </c>
      <c r="D742" t="s">
        <v>2440</v>
      </c>
      <c r="E742" t="s">
        <v>389</v>
      </c>
      <c r="F742">
        <v>19</v>
      </c>
      <c r="G742">
        <v>806667</v>
      </c>
      <c r="H742">
        <v>806667</v>
      </c>
      <c r="I742">
        <v>806667</v>
      </c>
      <c r="J742" t="s">
        <v>8</v>
      </c>
      <c r="K742">
        <v>0</v>
      </c>
      <c r="L742">
        <v>0</v>
      </c>
      <c r="M742">
        <v>0</v>
      </c>
    </row>
    <row r="743" spans="1:13" ht="15" customHeight="1" x14ac:dyDescent="0.25">
      <c r="A743" t="s">
        <v>2665</v>
      </c>
      <c r="B743" t="s">
        <v>35</v>
      </c>
      <c r="C743" t="s">
        <v>386</v>
      </c>
      <c r="D743" t="s">
        <v>2445</v>
      </c>
      <c r="E743" t="s">
        <v>2446</v>
      </c>
      <c r="F743">
        <v>22</v>
      </c>
      <c r="G743">
        <v>925000</v>
      </c>
      <c r="H743">
        <v>925000</v>
      </c>
      <c r="I743" t="s">
        <v>8</v>
      </c>
      <c r="J743">
        <v>0</v>
      </c>
      <c r="K743">
        <v>0</v>
      </c>
      <c r="L743">
        <v>0</v>
      </c>
      <c r="M743">
        <v>0</v>
      </c>
    </row>
    <row r="744" spans="1:13" ht="15" customHeight="1" x14ac:dyDescent="0.25">
      <c r="A744" t="s">
        <v>2253</v>
      </c>
      <c r="B744" t="s">
        <v>20</v>
      </c>
      <c r="C744" t="s">
        <v>2499</v>
      </c>
      <c r="D744" t="s">
        <v>2442</v>
      </c>
      <c r="E744" t="s">
        <v>2439</v>
      </c>
      <c r="F744">
        <v>36</v>
      </c>
      <c r="G744">
        <v>6250000</v>
      </c>
      <c r="H744">
        <v>6250000</v>
      </c>
      <c r="I744" t="s">
        <v>7</v>
      </c>
      <c r="J744">
        <v>0</v>
      </c>
      <c r="K744">
        <v>0</v>
      </c>
      <c r="L744">
        <v>0</v>
      </c>
      <c r="M744">
        <v>0</v>
      </c>
    </row>
    <row r="745" spans="1:13" ht="15" customHeight="1" x14ac:dyDescent="0.25">
      <c r="A745" t="s">
        <v>2563</v>
      </c>
      <c r="B745" t="s">
        <v>26</v>
      </c>
      <c r="C745" t="s">
        <v>386</v>
      </c>
      <c r="D745" t="s">
        <v>88</v>
      </c>
      <c r="E745" t="s">
        <v>2690</v>
      </c>
      <c r="F745">
        <v>19</v>
      </c>
      <c r="G745">
        <v>1775000</v>
      </c>
      <c r="H745">
        <v>1775000</v>
      </c>
      <c r="I745">
        <v>1775000</v>
      </c>
      <c r="J745" t="s">
        <v>8</v>
      </c>
      <c r="K745">
        <v>0</v>
      </c>
      <c r="L745">
        <v>0</v>
      </c>
      <c r="M745">
        <v>0</v>
      </c>
    </row>
    <row r="746" spans="1:13" ht="15" customHeight="1" x14ac:dyDescent="0.25">
      <c r="A746" t="s">
        <v>2771</v>
      </c>
      <c r="B746" t="s">
        <v>26</v>
      </c>
      <c r="C746" t="s">
        <v>381</v>
      </c>
      <c r="D746" t="s">
        <v>93</v>
      </c>
      <c r="E746" t="s">
        <v>2677</v>
      </c>
      <c r="F746">
        <v>28</v>
      </c>
      <c r="G746">
        <v>4625000</v>
      </c>
      <c r="H746" t="s">
        <v>7</v>
      </c>
      <c r="I746">
        <v>0</v>
      </c>
      <c r="J746">
        <v>0</v>
      </c>
      <c r="K746">
        <v>0</v>
      </c>
      <c r="L746">
        <v>0</v>
      </c>
      <c r="M746">
        <v>0</v>
      </c>
    </row>
    <row r="747" spans="1:13" ht="15" customHeight="1" x14ac:dyDescent="0.25">
      <c r="A747" t="s">
        <v>2799</v>
      </c>
      <c r="B747" t="s">
        <v>9</v>
      </c>
      <c r="C747" t="s">
        <v>381</v>
      </c>
      <c r="D747" t="s">
        <v>73</v>
      </c>
      <c r="E747" t="s">
        <v>2439</v>
      </c>
      <c r="F747">
        <v>33</v>
      </c>
      <c r="G747">
        <v>7250000</v>
      </c>
      <c r="H747">
        <v>7250000</v>
      </c>
      <c r="I747" t="s">
        <v>7</v>
      </c>
      <c r="J747">
        <v>0</v>
      </c>
      <c r="K747">
        <v>0</v>
      </c>
      <c r="L747">
        <v>0</v>
      </c>
      <c r="M747">
        <v>0</v>
      </c>
    </row>
    <row r="748" spans="1:13" ht="15" customHeight="1" x14ac:dyDescent="0.25">
      <c r="A748" t="s">
        <v>1353</v>
      </c>
      <c r="B748" t="s">
        <v>9</v>
      </c>
      <c r="C748" t="s">
        <v>381</v>
      </c>
      <c r="D748" t="s">
        <v>2445</v>
      </c>
      <c r="E748" t="s">
        <v>2439</v>
      </c>
      <c r="F748">
        <v>28</v>
      </c>
      <c r="G748">
        <v>5250000</v>
      </c>
      <c r="H748" t="s">
        <v>7</v>
      </c>
      <c r="I748">
        <v>0</v>
      </c>
      <c r="J748">
        <v>0</v>
      </c>
      <c r="K748">
        <v>0</v>
      </c>
      <c r="L748">
        <v>0</v>
      </c>
      <c r="M748">
        <v>0</v>
      </c>
    </row>
    <row r="749" spans="1:13" ht="15" customHeight="1" x14ac:dyDescent="0.25">
      <c r="A749" t="s">
        <v>2472</v>
      </c>
      <c r="B749" t="s">
        <v>13</v>
      </c>
      <c r="C749" t="s">
        <v>386</v>
      </c>
      <c r="D749" t="s">
        <v>82</v>
      </c>
      <c r="E749" t="s">
        <v>2446</v>
      </c>
      <c r="F749">
        <v>21</v>
      </c>
      <c r="G749">
        <v>925000</v>
      </c>
      <c r="H749">
        <v>925000</v>
      </c>
      <c r="I749">
        <v>925000</v>
      </c>
      <c r="J749" t="s">
        <v>8</v>
      </c>
      <c r="K749">
        <v>0</v>
      </c>
      <c r="L749">
        <v>0</v>
      </c>
      <c r="M749">
        <v>0</v>
      </c>
    </row>
    <row r="750" spans="1:13" ht="15" customHeight="1" x14ac:dyDescent="0.25">
      <c r="A750" t="s">
        <v>2464</v>
      </c>
      <c r="B750" t="s">
        <v>13</v>
      </c>
      <c r="C750" t="s">
        <v>386</v>
      </c>
      <c r="D750" t="s">
        <v>2440</v>
      </c>
      <c r="E750" t="s">
        <v>2446</v>
      </c>
      <c r="F750">
        <v>23</v>
      </c>
      <c r="G750">
        <v>1775000</v>
      </c>
      <c r="H750" t="s">
        <v>8</v>
      </c>
      <c r="I750">
        <v>0</v>
      </c>
      <c r="J750">
        <v>0</v>
      </c>
      <c r="K750">
        <v>0</v>
      </c>
      <c r="L750">
        <v>0</v>
      </c>
      <c r="M750">
        <v>0</v>
      </c>
    </row>
    <row r="751" spans="1:13" ht="15" customHeight="1" x14ac:dyDescent="0.25">
      <c r="A751" t="s">
        <v>1549</v>
      </c>
      <c r="B751" t="s">
        <v>32</v>
      </c>
      <c r="C751">
        <v>0</v>
      </c>
      <c r="D751" t="s">
        <v>2438</v>
      </c>
      <c r="E751" t="s">
        <v>2439</v>
      </c>
      <c r="F751">
        <v>26</v>
      </c>
      <c r="G751">
        <v>9500000</v>
      </c>
      <c r="H751">
        <v>9500000</v>
      </c>
      <c r="I751">
        <v>9500000</v>
      </c>
      <c r="J751">
        <v>9500000</v>
      </c>
      <c r="K751">
        <v>9500000</v>
      </c>
      <c r="L751">
        <v>9500000</v>
      </c>
      <c r="M751">
        <v>9500000</v>
      </c>
    </row>
    <row r="752" spans="1:13" ht="15" customHeight="1" x14ac:dyDescent="0.25">
      <c r="A752" t="s">
        <v>2166</v>
      </c>
      <c r="B752" t="s">
        <v>63</v>
      </c>
      <c r="C752">
        <v>0</v>
      </c>
      <c r="D752" t="s">
        <v>127</v>
      </c>
      <c r="E752" t="s">
        <v>2677</v>
      </c>
      <c r="F752">
        <v>29</v>
      </c>
      <c r="G752">
        <v>1850000</v>
      </c>
      <c r="H752" t="s">
        <v>7</v>
      </c>
      <c r="I752">
        <v>0</v>
      </c>
      <c r="J752">
        <v>0</v>
      </c>
      <c r="K752">
        <v>0</v>
      </c>
      <c r="L752">
        <v>0</v>
      </c>
      <c r="M752">
        <v>0</v>
      </c>
    </row>
    <row r="753" spans="1:13" ht="15" customHeight="1" x14ac:dyDescent="0.25">
      <c r="A753" t="s">
        <v>2523</v>
      </c>
      <c r="B753" t="s">
        <v>17</v>
      </c>
      <c r="C753" t="s">
        <v>386</v>
      </c>
      <c r="D753" t="s">
        <v>2440</v>
      </c>
      <c r="E753" t="s">
        <v>2446</v>
      </c>
      <c r="F753">
        <v>23</v>
      </c>
      <c r="G753">
        <v>1350000</v>
      </c>
      <c r="H753" t="s">
        <v>8</v>
      </c>
      <c r="I753">
        <v>0</v>
      </c>
      <c r="J753">
        <v>0</v>
      </c>
      <c r="K753">
        <v>0</v>
      </c>
      <c r="L753">
        <v>0</v>
      </c>
      <c r="M753">
        <v>0</v>
      </c>
    </row>
    <row r="754" spans="1:13" ht="15" customHeight="1" x14ac:dyDescent="0.25">
      <c r="A754" t="s">
        <v>1373</v>
      </c>
      <c r="B754" t="s">
        <v>9</v>
      </c>
      <c r="C754" t="s">
        <v>386</v>
      </c>
      <c r="D754" t="s">
        <v>2453</v>
      </c>
      <c r="E754" t="s">
        <v>2446</v>
      </c>
      <c r="F754">
        <v>23</v>
      </c>
      <c r="G754">
        <v>762500</v>
      </c>
      <c r="H754" t="s">
        <v>8</v>
      </c>
      <c r="I754">
        <v>0</v>
      </c>
      <c r="J754">
        <v>0</v>
      </c>
      <c r="K754">
        <v>0</v>
      </c>
      <c r="L754">
        <v>0</v>
      </c>
      <c r="M754">
        <v>0</v>
      </c>
    </row>
    <row r="755" spans="1:13" ht="15" customHeight="1" x14ac:dyDescent="0.25">
      <c r="A755" t="s">
        <v>1733</v>
      </c>
      <c r="B755" t="s">
        <v>25</v>
      </c>
      <c r="C755">
        <v>0</v>
      </c>
      <c r="D755" t="s">
        <v>2438</v>
      </c>
      <c r="E755" t="s">
        <v>2439</v>
      </c>
      <c r="F755">
        <v>27</v>
      </c>
      <c r="G755">
        <v>850000</v>
      </c>
      <c r="H755" t="s">
        <v>7</v>
      </c>
      <c r="I755">
        <v>0</v>
      </c>
      <c r="J755">
        <v>0</v>
      </c>
      <c r="K755">
        <v>0</v>
      </c>
      <c r="L755">
        <v>0</v>
      </c>
      <c r="M755">
        <v>0</v>
      </c>
    </row>
    <row r="756" spans="1:13" ht="15" customHeight="1" x14ac:dyDescent="0.25">
      <c r="A756" t="s">
        <v>1667</v>
      </c>
      <c r="B756" t="s">
        <v>14</v>
      </c>
      <c r="C756">
        <v>0</v>
      </c>
      <c r="D756" t="s">
        <v>2445</v>
      </c>
      <c r="E756" t="s">
        <v>2439</v>
      </c>
      <c r="F756">
        <v>26</v>
      </c>
      <c r="G756">
        <v>725000</v>
      </c>
      <c r="H756" t="s">
        <v>8</v>
      </c>
      <c r="I756">
        <v>0</v>
      </c>
      <c r="J756">
        <v>0</v>
      </c>
      <c r="K756">
        <v>0</v>
      </c>
      <c r="L756">
        <v>0</v>
      </c>
      <c r="M756">
        <v>0</v>
      </c>
    </row>
    <row r="757" spans="1:13" ht="15" customHeight="1" x14ac:dyDescent="0.25">
      <c r="A757" t="s">
        <v>2201</v>
      </c>
      <c r="B757" t="s">
        <v>22</v>
      </c>
      <c r="C757">
        <v>0</v>
      </c>
      <c r="D757" t="s">
        <v>2445</v>
      </c>
      <c r="E757" t="s">
        <v>2439</v>
      </c>
      <c r="F757">
        <v>25</v>
      </c>
      <c r="G757">
        <v>1850000</v>
      </c>
      <c r="H757">
        <v>1850000</v>
      </c>
      <c r="I757">
        <v>1850000</v>
      </c>
      <c r="J757" t="s">
        <v>7</v>
      </c>
      <c r="K757">
        <v>0</v>
      </c>
      <c r="L757">
        <v>0</v>
      </c>
      <c r="M757">
        <v>0</v>
      </c>
    </row>
    <row r="758" spans="1:13" ht="15" customHeight="1" x14ac:dyDescent="0.25">
      <c r="A758" t="s">
        <v>2092</v>
      </c>
      <c r="B758" t="s">
        <v>35</v>
      </c>
      <c r="C758" t="s">
        <v>381</v>
      </c>
      <c r="D758" t="s">
        <v>2445</v>
      </c>
      <c r="E758" t="s">
        <v>2439</v>
      </c>
      <c r="F758">
        <v>28</v>
      </c>
      <c r="G758">
        <v>4333333</v>
      </c>
      <c r="H758" t="s">
        <v>7</v>
      </c>
      <c r="I758">
        <v>0</v>
      </c>
      <c r="J758">
        <v>0</v>
      </c>
      <c r="K758">
        <v>0</v>
      </c>
      <c r="L758">
        <v>0</v>
      </c>
      <c r="M758">
        <v>0</v>
      </c>
    </row>
    <row r="759" spans="1:13" ht="15" customHeight="1" x14ac:dyDescent="0.25">
      <c r="A759" t="s">
        <v>2004</v>
      </c>
      <c r="B759" t="s">
        <v>21</v>
      </c>
      <c r="C759" t="s">
        <v>386</v>
      </c>
      <c r="D759" t="s">
        <v>2453</v>
      </c>
      <c r="E759" t="s">
        <v>2446</v>
      </c>
      <c r="F759">
        <v>21</v>
      </c>
      <c r="G759">
        <v>1425000</v>
      </c>
      <c r="H759" t="s">
        <v>8</v>
      </c>
      <c r="I759">
        <v>0</v>
      </c>
      <c r="J759">
        <v>0</v>
      </c>
      <c r="K759">
        <v>0</v>
      </c>
      <c r="L759">
        <v>0</v>
      </c>
      <c r="M759">
        <v>0</v>
      </c>
    </row>
    <row r="760" spans="1:13" ht="15" customHeight="1" x14ac:dyDescent="0.25">
      <c r="A760" t="s">
        <v>1636</v>
      </c>
      <c r="B760" t="s">
        <v>11</v>
      </c>
      <c r="C760" t="s">
        <v>386</v>
      </c>
      <c r="D760" t="s">
        <v>2452</v>
      </c>
      <c r="E760" t="s">
        <v>2446</v>
      </c>
      <c r="F760">
        <v>21</v>
      </c>
      <c r="G760">
        <v>894166</v>
      </c>
      <c r="H760">
        <v>894166</v>
      </c>
      <c r="I760" t="s">
        <v>8</v>
      </c>
      <c r="J760">
        <v>0</v>
      </c>
      <c r="K760">
        <v>0</v>
      </c>
      <c r="L760">
        <v>0</v>
      </c>
      <c r="M760">
        <v>0</v>
      </c>
    </row>
    <row r="761" spans="1:13" ht="15" customHeight="1" x14ac:dyDescent="0.25">
      <c r="A761" t="s">
        <v>2270</v>
      </c>
      <c r="B761" t="s">
        <v>20</v>
      </c>
      <c r="C761" t="s">
        <v>386</v>
      </c>
      <c r="D761" t="s">
        <v>2494</v>
      </c>
      <c r="E761" t="s">
        <v>2446</v>
      </c>
      <c r="F761">
        <v>19</v>
      </c>
      <c r="G761">
        <v>1081667</v>
      </c>
      <c r="H761">
        <v>1081667</v>
      </c>
      <c r="I761">
        <v>1081667</v>
      </c>
      <c r="J761" t="s">
        <v>8</v>
      </c>
      <c r="K761">
        <v>0</v>
      </c>
      <c r="L761">
        <v>0</v>
      </c>
      <c r="M761">
        <v>0</v>
      </c>
    </row>
    <row r="762" spans="1:13" ht="15" customHeight="1" x14ac:dyDescent="0.25">
      <c r="A762" t="s">
        <v>1346</v>
      </c>
      <c r="B762" t="s">
        <v>9</v>
      </c>
      <c r="C762">
        <v>0</v>
      </c>
      <c r="D762" t="s">
        <v>2452</v>
      </c>
      <c r="E762" t="s">
        <v>2439</v>
      </c>
      <c r="F762">
        <v>26</v>
      </c>
      <c r="G762">
        <v>1275000</v>
      </c>
      <c r="H762">
        <v>1275000</v>
      </c>
      <c r="I762" t="s">
        <v>7</v>
      </c>
      <c r="J762">
        <v>0</v>
      </c>
      <c r="K762">
        <v>0</v>
      </c>
      <c r="L762">
        <v>0</v>
      </c>
      <c r="M762">
        <v>0</v>
      </c>
    </row>
    <row r="763" spans="1:13" ht="15" customHeight="1" x14ac:dyDescent="0.25">
      <c r="A763" t="s">
        <v>2467</v>
      </c>
      <c r="B763" t="s">
        <v>13</v>
      </c>
      <c r="C763" t="s">
        <v>386</v>
      </c>
      <c r="D763" t="s">
        <v>2452</v>
      </c>
      <c r="E763" t="s">
        <v>2446</v>
      </c>
      <c r="F763">
        <v>19</v>
      </c>
      <c r="G763">
        <v>925000</v>
      </c>
      <c r="H763">
        <v>925000</v>
      </c>
      <c r="I763">
        <v>925000</v>
      </c>
      <c r="J763" t="s">
        <v>8</v>
      </c>
      <c r="K763">
        <v>0</v>
      </c>
      <c r="L763">
        <v>0</v>
      </c>
      <c r="M763">
        <v>0</v>
      </c>
    </row>
    <row r="764" spans="1:13" ht="15" customHeight="1" x14ac:dyDescent="0.25">
      <c r="A764" t="s">
        <v>1851</v>
      </c>
      <c r="B764" t="s">
        <v>2503</v>
      </c>
      <c r="C764" t="s">
        <v>381</v>
      </c>
      <c r="D764" t="s">
        <v>73</v>
      </c>
      <c r="E764" t="s">
        <v>2677</v>
      </c>
      <c r="F764">
        <v>27</v>
      </c>
      <c r="G764">
        <v>7800000</v>
      </c>
      <c r="H764">
        <v>7800000</v>
      </c>
      <c r="I764">
        <v>7800000</v>
      </c>
      <c r="J764">
        <v>7800000</v>
      </c>
      <c r="K764">
        <v>7800000</v>
      </c>
      <c r="L764">
        <v>7800000</v>
      </c>
      <c r="M764" t="s">
        <v>7</v>
      </c>
    </row>
    <row r="765" spans="1:13" ht="15" customHeight="1" x14ac:dyDescent="0.25">
      <c r="A765" t="s">
        <v>2209</v>
      </c>
      <c r="B765" t="s">
        <v>12</v>
      </c>
      <c r="C765" t="s">
        <v>386</v>
      </c>
      <c r="D765" t="s">
        <v>2445</v>
      </c>
      <c r="E765" t="s">
        <v>2439</v>
      </c>
      <c r="F765">
        <v>22</v>
      </c>
      <c r="G765">
        <v>863333</v>
      </c>
      <c r="H765" t="s">
        <v>8</v>
      </c>
      <c r="I765">
        <v>0</v>
      </c>
      <c r="J765">
        <v>0</v>
      </c>
      <c r="K765">
        <v>0</v>
      </c>
      <c r="L765">
        <v>0</v>
      </c>
      <c r="M765">
        <v>0</v>
      </c>
    </row>
    <row r="766" spans="1:13" ht="15" customHeight="1" x14ac:dyDescent="0.25">
      <c r="A766" t="s">
        <v>2073</v>
      </c>
      <c r="B766" t="s">
        <v>31</v>
      </c>
      <c r="C766" t="s">
        <v>386</v>
      </c>
      <c r="D766" t="s">
        <v>88</v>
      </c>
      <c r="E766" t="s">
        <v>2690</v>
      </c>
      <c r="F766">
        <v>21</v>
      </c>
      <c r="G766">
        <v>880000</v>
      </c>
      <c r="H766">
        <v>880000</v>
      </c>
      <c r="I766" t="s">
        <v>8</v>
      </c>
      <c r="J766">
        <v>0</v>
      </c>
      <c r="K766">
        <v>0</v>
      </c>
      <c r="L766">
        <v>0</v>
      </c>
      <c r="M766">
        <v>0</v>
      </c>
    </row>
    <row r="767" spans="1:13" ht="15" customHeight="1" x14ac:dyDescent="0.25">
      <c r="A767" t="s">
        <v>2301</v>
      </c>
      <c r="B767" t="s">
        <v>30</v>
      </c>
      <c r="C767">
        <v>0</v>
      </c>
      <c r="D767" t="s">
        <v>2441</v>
      </c>
      <c r="E767" t="s">
        <v>2439</v>
      </c>
      <c r="F767">
        <v>23</v>
      </c>
      <c r="G767">
        <v>1000000</v>
      </c>
      <c r="H767" t="s">
        <v>8</v>
      </c>
      <c r="I767">
        <v>0</v>
      </c>
      <c r="J767">
        <v>0</v>
      </c>
      <c r="K767">
        <v>0</v>
      </c>
      <c r="L767">
        <v>0</v>
      </c>
      <c r="M767">
        <v>0</v>
      </c>
    </row>
    <row r="768" spans="1:13" ht="15" customHeight="1" x14ac:dyDescent="0.25">
      <c r="A768" t="s">
        <v>1806</v>
      </c>
      <c r="B768" t="s">
        <v>28</v>
      </c>
      <c r="C768" t="s">
        <v>386</v>
      </c>
      <c r="D768" t="s">
        <v>73</v>
      </c>
      <c r="E768" t="s">
        <v>2446</v>
      </c>
      <c r="F768">
        <v>21</v>
      </c>
      <c r="G768">
        <v>863333</v>
      </c>
      <c r="H768">
        <v>863333</v>
      </c>
      <c r="I768" t="s">
        <v>8</v>
      </c>
      <c r="J768">
        <v>0</v>
      </c>
      <c r="K768">
        <v>0</v>
      </c>
      <c r="L768">
        <v>0</v>
      </c>
      <c r="M768">
        <v>0</v>
      </c>
    </row>
    <row r="769" spans="1:13" ht="15" customHeight="1" x14ac:dyDescent="0.25">
      <c r="A769" t="s">
        <v>2805</v>
      </c>
      <c r="B769" t="s">
        <v>25</v>
      </c>
      <c r="C769" t="s">
        <v>372</v>
      </c>
      <c r="D769" t="s">
        <v>2440</v>
      </c>
      <c r="E769" t="s">
        <v>2439</v>
      </c>
      <c r="F769">
        <v>33</v>
      </c>
      <c r="G769">
        <v>5500000</v>
      </c>
      <c r="H769">
        <v>5500000</v>
      </c>
      <c r="I769">
        <v>5500000</v>
      </c>
      <c r="J769">
        <v>5500000</v>
      </c>
      <c r="K769" t="s">
        <v>7</v>
      </c>
      <c r="L769">
        <v>0</v>
      </c>
      <c r="M769">
        <v>0</v>
      </c>
    </row>
    <row r="770" spans="1:13" ht="15" customHeight="1" x14ac:dyDescent="0.25">
      <c r="A770" t="s">
        <v>2274</v>
      </c>
      <c r="B770" t="s">
        <v>20</v>
      </c>
      <c r="C770">
        <v>0</v>
      </c>
      <c r="D770" t="s">
        <v>2444</v>
      </c>
      <c r="E770" t="s">
        <v>2439</v>
      </c>
      <c r="F770">
        <v>26</v>
      </c>
      <c r="G770">
        <v>825000</v>
      </c>
      <c r="H770" t="s">
        <v>7</v>
      </c>
      <c r="I770">
        <v>0</v>
      </c>
      <c r="J770">
        <v>0</v>
      </c>
      <c r="K770">
        <v>0</v>
      </c>
      <c r="L770">
        <v>0</v>
      </c>
      <c r="M770">
        <v>0</v>
      </c>
    </row>
    <row r="771" spans="1:13" ht="15" customHeight="1" x14ac:dyDescent="0.25">
      <c r="A771" t="s">
        <v>1840</v>
      </c>
      <c r="B771" t="s">
        <v>29</v>
      </c>
      <c r="C771" t="s">
        <v>386</v>
      </c>
      <c r="D771" t="s">
        <v>2679</v>
      </c>
      <c r="E771" t="s">
        <v>2690</v>
      </c>
      <c r="F771">
        <v>24</v>
      </c>
      <c r="G771">
        <v>925000</v>
      </c>
      <c r="H771" t="s">
        <v>8</v>
      </c>
      <c r="I771">
        <v>0</v>
      </c>
      <c r="J771">
        <v>0</v>
      </c>
      <c r="K771">
        <v>0</v>
      </c>
      <c r="L771">
        <v>0</v>
      </c>
      <c r="M771">
        <v>0</v>
      </c>
    </row>
    <row r="772" spans="1:13" ht="15" customHeight="1" x14ac:dyDescent="0.25">
      <c r="A772" t="s">
        <v>2903</v>
      </c>
      <c r="B772" t="s">
        <v>9</v>
      </c>
      <c r="C772">
        <v>0</v>
      </c>
      <c r="D772" t="s">
        <v>127</v>
      </c>
      <c r="E772" t="s">
        <v>2446</v>
      </c>
      <c r="F772">
        <v>26</v>
      </c>
      <c r="G772">
        <v>700000</v>
      </c>
      <c r="H772" t="s">
        <v>7</v>
      </c>
      <c r="I772">
        <v>0</v>
      </c>
      <c r="J772">
        <v>0</v>
      </c>
      <c r="K772">
        <v>0</v>
      </c>
      <c r="L772">
        <v>0</v>
      </c>
      <c r="M772">
        <v>0</v>
      </c>
    </row>
    <row r="773" spans="1:13" ht="15" customHeight="1" x14ac:dyDescent="0.25">
      <c r="A773" t="s">
        <v>2245</v>
      </c>
      <c r="B773" t="s">
        <v>18</v>
      </c>
      <c r="C773" t="s">
        <v>386</v>
      </c>
      <c r="D773" t="s">
        <v>2445</v>
      </c>
      <c r="E773" t="s">
        <v>2446</v>
      </c>
      <c r="F773">
        <v>23</v>
      </c>
      <c r="G773">
        <v>758333</v>
      </c>
      <c r="H773" t="s">
        <v>8</v>
      </c>
      <c r="I773">
        <v>0</v>
      </c>
      <c r="J773">
        <v>0</v>
      </c>
      <c r="K773">
        <v>0</v>
      </c>
      <c r="L773">
        <v>0</v>
      </c>
      <c r="M773">
        <v>0</v>
      </c>
    </row>
    <row r="774" spans="1:13" ht="15" customHeight="1" x14ac:dyDescent="0.25">
      <c r="A774" t="s">
        <v>2087</v>
      </c>
      <c r="B774" t="s">
        <v>35</v>
      </c>
      <c r="C774">
        <v>0</v>
      </c>
      <c r="D774" t="s">
        <v>2442</v>
      </c>
      <c r="E774" t="s">
        <v>2439</v>
      </c>
      <c r="F774">
        <v>21</v>
      </c>
      <c r="G774" t="s">
        <v>8</v>
      </c>
      <c r="H774">
        <v>0</v>
      </c>
      <c r="I774">
        <v>0</v>
      </c>
      <c r="J774">
        <v>0</v>
      </c>
      <c r="K774">
        <v>0</v>
      </c>
      <c r="L774">
        <v>0</v>
      </c>
      <c r="M774">
        <v>0</v>
      </c>
    </row>
    <row r="775" spans="1:13" ht="15" customHeight="1" x14ac:dyDescent="0.25">
      <c r="A775" t="s">
        <v>1542</v>
      </c>
      <c r="B775" t="s">
        <v>27</v>
      </c>
      <c r="C775" t="s">
        <v>386</v>
      </c>
      <c r="D775" t="s">
        <v>2445</v>
      </c>
      <c r="E775" t="s">
        <v>2446</v>
      </c>
      <c r="F775">
        <v>21</v>
      </c>
      <c r="G775">
        <v>780000</v>
      </c>
      <c r="H775">
        <v>780000</v>
      </c>
      <c r="I775" t="s">
        <v>8</v>
      </c>
      <c r="J775">
        <v>0</v>
      </c>
      <c r="K775">
        <v>0</v>
      </c>
      <c r="L775">
        <v>0</v>
      </c>
      <c r="M775">
        <v>0</v>
      </c>
    </row>
    <row r="776" spans="1:13" ht="15" customHeight="1" x14ac:dyDescent="0.25">
      <c r="A776" t="s">
        <v>2077</v>
      </c>
      <c r="B776" t="s">
        <v>31</v>
      </c>
      <c r="C776">
        <v>0</v>
      </c>
      <c r="D776" t="s">
        <v>380</v>
      </c>
      <c r="E776" t="s">
        <v>2690</v>
      </c>
      <c r="F776">
        <v>27</v>
      </c>
      <c r="G776">
        <v>675000</v>
      </c>
      <c r="H776" t="s">
        <v>7</v>
      </c>
      <c r="I776">
        <v>0</v>
      </c>
      <c r="J776">
        <v>0</v>
      </c>
      <c r="K776">
        <v>0</v>
      </c>
      <c r="L776">
        <v>0</v>
      </c>
      <c r="M776">
        <v>0</v>
      </c>
    </row>
    <row r="777" spans="1:13" ht="15" customHeight="1" x14ac:dyDescent="0.25">
      <c r="A777" t="s">
        <v>2845</v>
      </c>
      <c r="B777" t="s">
        <v>15</v>
      </c>
      <c r="C777" t="s">
        <v>381</v>
      </c>
      <c r="D777" t="s">
        <v>2440</v>
      </c>
      <c r="E777" t="s">
        <v>2439</v>
      </c>
      <c r="F777">
        <v>26</v>
      </c>
      <c r="G777">
        <v>5571429</v>
      </c>
      <c r="H777">
        <v>5571429</v>
      </c>
      <c r="I777" t="s">
        <v>7</v>
      </c>
      <c r="J777">
        <v>0</v>
      </c>
      <c r="K777">
        <v>0</v>
      </c>
      <c r="L777">
        <v>0</v>
      </c>
      <c r="M777">
        <v>0</v>
      </c>
    </row>
    <row r="778" spans="1:13" ht="15" customHeight="1" x14ac:dyDescent="0.25">
      <c r="A778" t="s">
        <v>1901</v>
      </c>
      <c r="B778" t="s">
        <v>13</v>
      </c>
      <c r="C778" t="s">
        <v>386</v>
      </c>
      <c r="D778" t="s">
        <v>127</v>
      </c>
      <c r="E778" t="s">
        <v>2446</v>
      </c>
      <c r="F778">
        <v>24</v>
      </c>
      <c r="G778">
        <v>1137500</v>
      </c>
      <c r="H778" t="s">
        <v>8</v>
      </c>
      <c r="I778">
        <v>0</v>
      </c>
      <c r="J778">
        <v>0</v>
      </c>
      <c r="K778">
        <v>0</v>
      </c>
      <c r="L778">
        <v>0</v>
      </c>
      <c r="M778">
        <v>0</v>
      </c>
    </row>
    <row r="779" spans="1:13" ht="15" customHeight="1" x14ac:dyDescent="0.25">
      <c r="A779" t="s">
        <v>1718</v>
      </c>
      <c r="B779" t="s">
        <v>31</v>
      </c>
      <c r="C779">
        <v>0</v>
      </c>
      <c r="D779" t="s">
        <v>88</v>
      </c>
      <c r="E779" t="s">
        <v>2690</v>
      </c>
      <c r="F779">
        <v>26</v>
      </c>
      <c r="G779">
        <v>700000</v>
      </c>
      <c r="H779" t="s">
        <v>7</v>
      </c>
      <c r="I779">
        <v>0</v>
      </c>
      <c r="J779">
        <v>0</v>
      </c>
      <c r="K779">
        <v>0</v>
      </c>
      <c r="L779">
        <v>0</v>
      </c>
      <c r="M779">
        <v>0</v>
      </c>
    </row>
    <row r="780" spans="1:13" ht="15" customHeight="1" x14ac:dyDescent="0.25">
      <c r="A780" t="s">
        <v>1419</v>
      </c>
      <c r="B780" t="s">
        <v>17</v>
      </c>
      <c r="C780">
        <v>0</v>
      </c>
      <c r="D780" t="s">
        <v>2452</v>
      </c>
      <c r="E780" t="s">
        <v>2439</v>
      </c>
      <c r="F780">
        <v>23</v>
      </c>
      <c r="G780">
        <v>6100000</v>
      </c>
      <c r="H780">
        <v>6100000</v>
      </c>
      <c r="I780">
        <v>6100000</v>
      </c>
      <c r="J780">
        <v>6100000</v>
      </c>
      <c r="K780" t="s">
        <v>7</v>
      </c>
      <c r="L780">
        <v>0</v>
      </c>
      <c r="M780">
        <v>0</v>
      </c>
    </row>
    <row r="781" spans="1:13" ht="15" customHeight="1" x14ac:dyDescent="0.25">
      <c r="A781" t="s">
        <v>2481</v>
      </c>
      <c r="B781" t="s">
        <v>29</v>
      </c>
      <c r="C781" t="s">
        <v>386</v>
      </c>
      <c r="D781" t="s">
        <v>127</v>
      </c>
      <c r="E781" t="s">
        <v>2690</v>
      </c>
      <c r="F781">
        <v>22</v>
      </c>
      <c r="G781">
        <v>925000</v>
      </c>
      <c r="H781">
        <v>925000</v>
      </c>
      <c r="I781" t="s">
        <v>8</v>
      </c>
      <c r="J781">
        <v>0</v>
      </c>
      <c r="K781">
        <v>0</v>
      </c>
      <c r="L781">
        <v>0</v>
      </c>
      <c r="M781">
        <v>0</v>
      </c>
    </row>
    <row r="782" spans="1:13" ht="15" customHeight="1" x14ac:dyDescent="0.25">
      <c r="A782" t="s">
        <v>2786</v>
      </c>
      <c r="B782" t="s">
        <v>18</v>
      </c>
      <c r="C782">
        <v>0</v>
      </c>
      <c r="D782" t="s">
        <v>2444</v>
      </c>
      <c r="E782" t="s">
        <v>2439</v>
      </c>
      <c r="F782">
        <v>26</v>
      </c>
      <c r="G782">
        <v>4166666</v>
      </c>
      <c r="H782">
        <v>4166666</v>
      </c>
      <c r="I782" t="s">
        <v>7</v>
      </c>
      <c r="J782">
        <v>0</v>
      </c>
      <c r="K782">
        <v>0</v>
      </c>
      <c r="L782">
        <v>0</v>
      </c>
      <c r="M782">
        <v>0</v>
      </c>
    </row>
    <row r="783" spans="1:13" ht="15" customHeight="1" x14ac:dyDescent="0.25">
      <c r="A783" t="s">
        <v>2530</v>
      </c>
      <c r="B783" t="s">
        <v>17</v>
      </c>
      <c r="C783" t="s">
        <v>386</v>
      </c>
      <c r="D783" t="s">
        <v>127</v>
      </c>
      <c r="E783" t="s">
        <v>2446</v>
      </c>
      <c r="F783">
        <v>20</v>
      </c>
      <c r="G783">
        <v>1100000</v>
      </c>
      <c r="H783">
        <v>1100000</v>
      </c>
      <c r="I783">
        <v>1100000</v>
      </c>
      <c r="J783" t="s">
        <v>8</v>
      </c>
      <c r="K783">
        <v>0</v>
      </c>
      <c r="L783">
        <v>0</v>
      </c>
      <c r="M783">
        <v>0</v>
      </c>
    </row>
    <row r="784" spans="1:13" ht="15" customHeight="1" x14ac:dyDescent="0.25">
      <c r="A784" t="s">
        <v>2132</v>
      </c>
      <c r="B784" t="s">
        <v>6</v>
      </c>
      <c r="C784" t="s">
        <v>386</v>
      </c>
      <c r="D784" t="s">
        <v>2445</v>
      </c>
      <c r="E784" t="s">
        <v>2446</v>
      </c>
      <c r="F784">
        <v>22</v>
      </c>
      <c r="G784">
        <v>894166</v>
      </c>
      <c r="H784" t="s">
        <v>8</v>
      </c>
      <c r="I784">
        <v>0</v>
      </c>
      <c r="J784">
        <v>0</v>
      </c>
      <c r="K784">
        <v>0</v>
      </c>
      <c r="L784">
        <v>0</v>
      </c>
      <c r="M784">
        <v>0</v>
      </c>
    </row>
    <row r="785" spans="1:13" ht="15" customHeight="1" x14ac:dyDescent="0.25">
      <c r="A785" t="s">
        <v>1387</v>
      </c>
      <c r="B785" t="s">
        <v>10</v>
      </c>
      <c r="C785">
        <v>0</v>
      </c>
      <c r="D785" t="s">
        <v>2679</v>
      </c>
      <c r="E785" t="s">
        <v>2677</v>
      </c>
      <c r="F785">
        <v>27</v>
      </c>
      <c r="G785">
        <v>1550000</v>
      </c>
      <c r="H785" t="s">
        <v>7</v>
      </c>
      <c r="I785">
        <v>0</v>
      </c>
      <c r="J785">
        <v>0</v>
      </c>
      <c r="K785">
        <v>0</v>
      </c>
      <c r="L785">
        <v>0</v>
      </c>
      <c r="M785">
        <v>0</v>
      </c>
    </row>
    <row r="786" spans="1:13" ht="15" customHeight="1" x14ac:dyDescent="0.25">
      <c r="A786" t="s">
        <v>1451</v>
      </c>
      <c r="B786" t="s">
        <v>17</v>
      </c>
      <c r="C786">
        <v>0</v>
      </c>
      <c r="D786" t="s">
        <v>2445</v>
      </c>
      <c r="E786" t="s">
        <v>2446</v>
      </c>
      <c r="F786">
        <v>29</v>
      </c>
      <c r="G786">
        <v>700000</v>
      </c>
      <c r="H786">
        <v>700000</v>
      </c>
      <c r="I786" t="s">
        <v>7</v>
      </c>
      <c r="J786">
        <v>0</v>
      </c>
      <c r="K786">
        <v>0</v>
      </c>
      <c r="L786">
        <v>0</v>
      </c>
      <c r="M786">
        <v>0</v>
      </c>
    </row>
    <row r="787" spans="1:13" ht="15" customHeight="1" x14ac:dyDescent="0.25">
      <c r="A787" t="s">
        <v>1789</v>
      </c>
      <c r="B787" t="s">
        <v>28</v>
      </c>
      <c r="C787">
        <v>0</v>
      </c>
      <c r="D787" t="s">
        <v>73</v>
      </c>
      <c r="E787" t="s">
        <v>2439</v>
      </c>
      <c r="F787">
        <v>25</v>
      </c>
      <c r="G787">
        <v>2300000</v>
      </c>
      <c r="H787">
        <v>2300000</v>
      </c>
      <c r="I787" t="s">
        <v>7</v>
      </c>
      <c r="J787">
        <v>0</v>
      </c>
      <c r="K787">
        <v>0</v>
      </c>
      <c r="L787">
        <v>0</v>
      </c>
      <c r="M787">
        <v>0</v>
      </c>
    </row>
    <row r="788" spans="1:13" ht="15" customHeight="1" x14ac:dyDescent="0.25">
      <c r="A788" t="s">
        <v>2591</v>
      </c>
      <c r="B788" t="s">
        <v>9</v>
      </c>
      <c r="C788" t="s">
        <v>388</v>
      </c>
      <c r="D788" t="s">
        <v>2452</v>
      </c>
      <c r="E788" t="s">
        <v>389</v>
      </c>
      <c r="F788">
        <v>19</v>
      </c>
      <c r="G788">
        <v>894167</v>
      </c>
      <c r="H788">
        <v>894167</v>
      </c>
      <c r="I788">
        <v>894167</v>
      </c>
      <c r="J788" t="s">
        <v>8</v>
      </c>
      <c r="K788">
        <v>0</v>
      </c>
      <c r="L788">
        <v>0</v>
      </c>
      <c r="M788">
        <v>0</v>
      </c>
    </row>
    <row r="789" spans="1:13" ht="15" customHeight="1" x14ac:dyDescent="0.25">
      <c r="A789" t="s">
        <v>2904</v>
      </c>
      <c r="B789" t="s">
        <v>9</v>
      </c>
      <c r="C789" t="s">
        <v>386</v>
      </c>
      <c r="D789" t="s">
        <v>82</v>
      </c>
      <c r="E789" t="s">
        <v>2446</v>
      </c>
      <c r="F789">
        <v>22</v>
      </c>
      <c r="G789">
        <v>871666</v>
      </c>
      <c r="H789" t="s">
        <v>8</v>
      </c>
      <c r="I789">
        <v>0</v>
      </c>
      <c r="J789">
        <v>0</v>
      </c>
      <c r="K789">
        <v>0</v>
      </c>
      <c r="L789">
        <v>0</v>
      </c>
      <c r="M789">
        <v>0</v>
      </c>
    </row>
    <row r="790" spans="1:13" ht="15" customHeight="1" x14ac:dyDescent="0.25">
      <c r="A790" t="s">
        <v>2196</v>
      </c>
      <c r="B790" t="s">
        <v>10</v>
      </c>
      <c r="C790">
        <v>0</v>
      </c>
      <c r="D790" t="s">
        <v>2684</v>
      </c>
      <c r="E790" t="s">
        <v>2690</v>
      </c>
      <c r="F790">
        <v>24</v>
      </c>
      <c r="G790">
        <v>700000</v>
      </c>
      <c r="H790" t="s">
        <v>8</v>
      </c>
      <c r="I790">
        <v>0</v>
      </c>
      <c r="J790">
        <v>0</v>
      </c>
      <c r="K790">
        <v>0</v>
      </c>
      <c r="L790">
        <v>0</v>
      </c>
      <c r="M790">
        <v>0</v>
      </c>
    </row>
    <row r="791" spans="1:13" ht="15" customHeight="1" x14ac:dyDescent="0.25">
      <c r="A791" t="s">
        <v>2698</v>
      </c>
      <c r="B791" t="s">
        <v>2503</v>
      </c>
      <c r="C791" t="s">
        <v>386</v>
      </c>
      <c r="D791" t="s">
        <v>88</v>
      </c>
      <c r="E791" t="s">
        <v>2690</v>
      </c>
      <c r="F791">
        <v>20</v>
      </c>
      <c r="G791">
        <v>925000</v>
      </c>
      <c r="H791">
        <v>925000</v>
      </c>
      <c r="I791">
        <v>925000</v>
      </c>
      <c r="J791" t="s">
        <v>8</v>
      </c>
      <c r="K791">
        <v>0</v>
      </c>
      <c r="L791">
        <v>0</v>
      </c>
      <c r="M791">
        <v>0</v>
      </c>
    </row>
    <row r="792" spans="1:13" ht="15" customHeight="1" x14ac:dyDescent="0.25">
      <c r="A792" t="s">
        <v>1735</v>
      </c>
      <c r="B792" t="s">
        <v>25</v>
      </c>
      <c r="C792">
        <v>0</v>
      </c>
      <c r="D792" t="s">
        <v>2445</v>
      </c>
      <c r="E792" t="s">
        <v>2439</v>
      </c>
      <c r="F792">
        <v>28</v>
      </c>
      <c r="G792">
        <v>5500000</v>
      </c>
      <c r="H792">
        <v>5500000</v>
      </c>
      <c r="I792">
        <v>5500000</v>
      </c>
      <c r="J792" t="s">
        <v>7</v>
      </c>
      <c r="K792">
        <v>0</v>
      </c>
      <c r="L792">
        <v>0</v>
      </c>
      <c r="M792">
        <v>0</v>
      </c>
    </row>
    <row r="793" spans="1:13" ht="15" customHeight="1" x14ac:dyDescent="0.25">
      <c r="A793" t="s">
        <v>2838</v>
      </c>
      <c r="B793" t="s">
        <v>25</v>
      </c>
      <c r="C793" t="s">
        <v>372</v>
      </c>
      <c r="D793" t="s">
        <v>2450</v>
      </c>
      <c r="E793" t="s">
        <v>2439</v>
      </c>
      <c r="F793">
        <v>29</v>
      </c>
      <c r="G793">
        <v>7000000</v>
      </c>
      <c r="H793">
        <v>7000000</v>
      </c>
      <c r="I793">
        <v>7000000</v>
      </c>
      <c r="J793">
        <v>7000000</v>
      </c>
      <c r="K793">
        <v>7000000</v>
      </c>
      <c r="L793">
        <v>7000000</v>
      </c>
      <c r="M793">
        <v>7000000</v>
      </c>
    </row>
    <row r="794" spans="1:13" ht="15" customHeight="1" x14ac:dyDescent="0.25">
      <c r="A794" t="s">
        <v>1779</v>
      </c>
      <c r="B794" t="s">
        <v>26</v>
      </c>
      <c r="C794" t="s">
        <v>386</v>
      </c>
      <c r="D794" t="s">
        <v>93</v>
      </c>
      <c r="E794" t="s">
        <v>2690</v>
      </c>
      <c r="F794">
        <v>23</v>
      </c>
      <c r="G794">
        <v>825000</v>
      </c>
      <c r="H794" t="s">
        <v>8</v>
      </c>
      <c r="I794">
        <v>0</v>
      </c>
      <c r="J794">
        <v>0</v>
      </c>
      <c r="K794">
        <v>0</v>
      </c>
      <c r="L794">
        <v>0</v>
      </c>
      <c r="M794">
        <v>0</v>
      </c>
    </row>
    <row r="795" spans="1:13" ht="15" customHeight="1" x14ac:dyDescent="0.25">
      <c r="A795" t="s">
        <v>1487</v>
      </c>
      <c r="B795" t="s">
        <v>22</v>
      </c>
      <c r="C795">
        <v>0</v>
      </c>
      <c r="D795" t="s">
        <v>2442</v>
      </c>
      <c r="E795" t="s">
        <v>2439</v>
      </c>
      <c r="F795">
        <v>24</v>
      </c>
      <c r="G795">
        <v>2400000</v>
      </c>
      <c r="H795">
        <v>2400000</v>
      </c>
      <c r="I795" t="s">
        <v>8</v>
      </c>
      <c r="J795">
        <v>0</v>
      </c>
      <c r="K795">
        <v>0</v>
      </c>
      <c r="L795">
        <v>0</v>
      </c>
      <c r="M795">
        <v>0</v>
      </c>
    </row>
    <row r="796" spans="1:13" ht="15" customHeight="1" x14ac:dyDescent="0.25">
      <c r="A796" t="s">
        <v>1741</v>
      </c>
      <c r="B796" t="s">
        <v>13</v>
      </c>
      <c r="C796">
        <v>0</v>
      </c>
      <c r="D796" t="s">
        <v>127</v>
      </c>
      <c r="E796" t="s">
        <v>2439</v>
      </c>
      <c r="F796">
        <v>28</v>
      </c>
      <c r="G796">
        <v>5000000</v>
      </c>
      <c r="H796" t="s">
        <v>7</v>
      </c>
      <c r="I796">
        <v>0</v>
      </c>
      <c r="J796">
        <v>0</v>
      </c>
      <c r="K796">
        <v>0</v>
      </c>
      <c r="L796">
        <v>0</v>
      </c>
      <c r="M796">
        <v>0</v>
      </c>
    </row>
    <row r="797" spans="1:13" ht="15" customHeight="1" x14ac:dyDescent="0.25">
      <c r="A797" t="s">
        <v>2340</v>
      </c>
      <c r="B797" t="s">
        <v>2503</v>
      </c>
      <c r="C797">
        <v>0</v>
      </c>
      <c r="D797" t="s">
        <v>93</v>
      </c>
      <c r="E797" t="s">
        <v>2677</v>
      </c>
      <c r="F797">
        <v>25</v>
      </c>
      <c r="G797">
        <v>700000</v>
      </c>
      <c r="H797" t="s">
        <v>8</v>
      </c>
      <c r="I797">
        <v>0</v>
      </c>
      <c r="J797">
        <v>0</v>
      </c>
      <c r="K797">
        <v>0</v>
      </c>
      <c r="L797">
        <v>0</v>
      </c>
      <c r="M797">
        <v>0</v>
      </c>
    </row>
    <row r="798" spans="1:13" ht="15" customHeight="1" x14ac:dyDescent="0.25">
      <c r="A798" t="s">
        <v>1589</v>
      </c>
      <c r="B798" t="s">
        <v>34</v>
      </c>
      <c r="C798">
        <v>0</v>
      </c>
      <c r="D798" t="s">
        <v>2440</v>
      </c>
      <c r="E798" t="s">
        <v>2439</v>
      </c>
      <c r="F798">
        <v>26</v>
      </c>
      <c r="G798">
        <v>1500000</v>
      </c>
      <c r="H798" t="s">
        <v>7</v>
      </c>
      <c r="I798">
        <v>0</v>
      </c>
      <c r="J798">
        <v>0</v>
      </c>
      <c r="K798">
        <v>0</v>
      </c>
      <c r="L798">
        <v>0</v>
      </c>
      <c r="M798">
        <v>0</v>
      </c>
    </row>
    <row r="799" spans="1:13" ht="15" customHeight="1" x14ac:dyDescent="0.25">
      <c r="A799" t="s">
        <v>2100</v>
      </c>
      <c r="B799" t="s">
        <v>26</v>
      </c>
      <c r="C799">
        <v>0</v>
      </c>
      <c r="D799" t="s">
        <v>2689</v>
      </c>
      <c r="E799" t="s">
        <v>2677</v>
      </c>
      <c r="F799">
        <v>23</v>
      </c>
      <c r="G799" t="s">
        <v>8</v>
      </c>
      <c r="H799">
        <v>0</v>
      </c>
      <c r="I799">
        <v>0</v>
      </c>
      <c r="J799">
        <v>0</v>
      </c>
      <c r="K799">
        <v>0</v>
      </c>
      <c r="L799">
        <v>0</v>
      </c>
      <c r="M799">
        <v>0</v>
      </c>
    </row>
    <row r="800" spans="1:13" ht="15" customHeight="1" x14ac:dyDescent="0.25">
      <c r="A800" t="s">
        <v>2586</v>
      </c>
      <c r="B800" t="s">
        <v>12</v>
      </c>
      <c r="C800" t="s">
        <v>386</v>
      </c>
      <c r="D800" t="s">
        <v>2445</v>
      </c>
      <c r="E800" t="s">
        <v>2446</v>
      </c>
      <c r="F800">
        <v>22</v>
      </c>
      <c r="G800">
        <v>925000</v>
      </c>
      <c r="H800">
        <v>925000</v>
      </c>
      <c r="I800" t="s">
        <v>8</v>
      </c>
      <c r="J800">
        <v>0</v>
      </c>
      <c r="K800">
        <v>0</v>
      </c>
      <c r="L800">
        <v>0</v>
      </c>
      <c r="M800">
        <v>0</v>
      </c>
    </row>
    <row r="801" spans="1:13" ht="15" customHeight="1" x14ac:dyDescent="0.25">
      <c r="A801" t="s">
        <v>1511</v>
      </c>
      <c r="B801" t="s">
        <v>135</v>
      </c>
      <c r="C801">
        <v>0</v>
      </c>
      <c r="D801" t="s">
        <v>379</v>
      </c>
      <c r="E801" t="s">
        <v>2690</v>
      </c>
      <c r="F801">
        <v>23</v>
      </c>
      <c r="G801">
        <v>700000</v>
      </c>
      <c r="H801" t="s">
        <v>8</v>
      </c>
      <c r="I801">
        <v>0</v>
      </c>
      <c r="J801">
        <v>0</v>
      </c>
      <c r="K801">
        <v>0</v>
      </c>
      <c r="L801">
        <v>0</v>
      </c>
      <c r="M801">
        <v>0</v>
      </c>
    </row>
    <row r="802" spans="1:13" ht="15" customHeight="1" x14ac:dyDescent="0.25">
      <c r="A802" t="s">
        <v>2388</v>
      </c>
      <c r="B802" t="s">
        <v>135</v>
      </c>
      <c r="C802" t="s">
        <v>386</v>
      </c>
      <c r="D802" t="s">
        <v>73</v>
      </c>
      <c r="E802" t="s">
        <v>2690</v>
      </c>
      <c r="F802">
        <v>20</v>
      </c>
      <c r="G802">
        <v>927500</v>
      </c>
      <c r="H802">
        <v>927500</v>
      </c>
      <c r="I802">
        <v>927500</v>
      </c>
      <c r="J802" t="s">
        <v>8</v>
      </c>
      <c r="K802">
        <v>0</v>
      </c>
      <c r="L802">
        <v>0</v>
      </c>
      <c r="M802">
        <v>0</v>
      </c>
    </row>
    <row r="803" spans="1:13" ht="15" customHeight="1" x14ac:dyDescent="0.25">
      <c r="A803" t="s">
        <v>2605</v>
      </c>
      <c r="B803" t="s">
        <v>22</v>
      </c>
      <c r="C803" t="s">
        <v>386</v>
      </c>
      <c r="D803" t="s">
        <v>2445</v>
      </c>
      <c r="E803" t="s">
        <v>2446</v>
      </c>
      <c r="F803">
        <v>22</v>
      </c>
      <c r="G803">
        <v>925000</v>
      </c>
      <c r="H803">
        <v>925000</v>
      </c>
      <c r="I803" t="s">
        <v>8</v>
      </c>
      <c r="J803">
        <v>0</v>
      </c>
      <c r="K803">
        <v>0</v>
      </c>
      <c r="L803">
        <v>0</v>
      </c>
      <c r="M803">
        <v>0</v>
      </c>
    </row>
    <row r="804" spans="1:13" ht="15" customHeight="1" x14ac:dyDescent="0.25">
      <c r="A804" t="s">
        <v>1977</v>
      </c>
      <c r="B804" t="s">
        <v>16</v>
      </c>
      <c r="C804" t="s">
        <v>386</v>
      </c>
      <c r="D804" t="s">
        <v>2684</v>
      </c>
      <c r="E804" t="s">
        <v>2690</v>
      </c>
      <c r="F804">
        <v>23</v>
      </c>
      <c r="G804">
        <v>722500</v>
      </c>
      <c r="H804" t="s">
        <v>8</v>
      </c>
      <c r="I804">
        <v>0</v>
      </c>
      <c r="J804">
        <v>0</v>
      </c>
      <c r="K804">
        <v>0</v>
      </c>
      <c r="L804">
        <v>0</v>
      </c>
      <c r="M804">
        <v>0</v>
      </c>
    </row>
    <row r="805" spans="1:13" ht="15" customHeight="1" x14ac:dyDescent="0.25">
      <c r="A805" t="s">
        <v>2764</v>
      </c>
      <c r="B805" t="s">
        <v>29</v>
      </c>
      <c r="C805" t="s">
        <v>370</v>
      </c>
      <c r="D805" t="s">
        <v>379</v>
      </c>
      <c r="E805" t="s">
        <v>2677</v>
      </c>
      <c r="F805">
        <v>32</v>
      </c>
      <c r="G805">
        <v>7250000</v>
      </c>
      <c r="H805">
        <v>7250000</v>
      </c>
      <c r="I805">
        <v>7250000</v>
      </c>
      <c r="J805" t="s">
        <v>7</v>
      </c>
      <c r="K805">
        <v>0</v>
      </c>
      <c r="L805">
        <v>0</v>
      </c>
      <c r="M805">
        <v>0</v>
      </c>
    </row>
    <row r="806" spans="1:13" ht="15" customHeight="1" x14ac:dyDescent="0.25">
      <c r="A806" t="s">
        <v>2663</v>
      </c>
      <c r="B806" t="s">
        <v>35</v>
      </c>
      <c r="C806">
        <v>0</v>
      </c>
      <c r="D806" t="s">
        <v>2448</v>
      </c>
      <c r="E806" t="s">
        <v>2446</v>
      </c>
      <c r="F806">
        <v>34</v>
      </c>
      <c r="G806">
        <v>700000</v>
      </c>
      <c r="H806" t="s">
        <v>7</v>
      </c>
      <c r="I806">
        <v>0</v>
      </c>
      <c r="J806">
        <v>0</v>
      </c>
      <c r="K806">
        <v>0</v>
      </c>
      <c r="L806">
        <v>0</v>
      </c>
      <c r="M806">
        <v>0</v>
      </c>
    </row>
    <row r="807" spans="1:13" ht="15" customHeight="1" x14ac:dyDescent="0.25">
      <c r="A807" t="s">
        <v>1765</v>
      </c>
      <c r="B807" t="s">
        <v>26</v>
      </c>
      <c r="C807">
        <v>0</v>
      </c>
      <c r="D807" t="s">
        <v>2684</v>
      </c>
      <c r="E807" t="s">
        <v>2690</v>
      </c>
      <c r="F807">
        <v>24</v>
      </c>
      <c r="G807">
        <v>700000</v>
      </c>
      <c r="H807" t="s">
        <v>8</v>
      </c>
      <c r="I807">
        <v>0</v>
      </c>
      <c r="J807">
        <v>0</v>
      </c>
      <c r="K807">
        <v>0</v>
      </c>
      <c r="L807">
        <v>0</v>
      </c>
      <c r="M807">
        <v>0</v>
      </c>
    </row>
    <row r="808" spans="1:13" ht="15" customHeight="1" x14ac:dyDescent="0.25">
      <c r="A808" t="s">
        <v>2300</v>
      </c>
      <c r="B808" t="s">
        <v>30</v>
      </c>
      <c r="C808">
        <v>0</v>
      </c>
      <c r="D808" t="s">
        <v>73</v>
      </c>
      <c r="E808" t="s">
        <v>2446</v>
      </c>
      <c r="F808">
        <v>23</v>
      </c>
      <c r="G808">
        <v>700000</v>
      </c>
      <c r="H808" t="s">
        <v>8</v>
      </c>
      <c r="I808">
        <v>0</v>
      </c>
      <c r="J808">
        <v>0</v>
      </c>
      <c r="K808">
        <v>0</v>
      </c>
      <c r="L808">
        <v>0</v>
      </c>
      <c r="M808">
        <v>0</v>
      </c>
    </row>
    <row r="809" spans="1:13" ht="15" customHeight="1" x14ac:dyDescent="0.25">
      <c r="A809" t="s">
        <v>1881</v>
      </c>
      <c r="B809" t="s">
        <v>2503</v>
      </c>
      <c r="C809">
        <v>0</v>
      </c>
      <c r="D809" t="s">
        <v>379</v>
      </c>
      <c r="E809" t="s">
        <v>2690</v>
      </c>
      <c r="F809">
        <v>24</v>
      </c>
      <c r="G809">
        <v>675000</v>
      </c>
      <c r="H809" t="s">
        <v>8</v>
      </c>
      <c r="I809">
        <v>0</v>
      </c>
      <c r="J809">
        <v>0</v>
      </c>
      <c r="K809">
        <v>0</v>
      </c>
      <c r="L809">
        <v>0</v>
      </c>
      <c r="M809">
        <v>0</v>
      </c>
    </row>
    <row r="810" spans="1:13" ht="15" customHeight="1" x14ac:dyDescent="0.25">
      <c r="A810" t="s">
        <v>2257</v>
      </c>
      <c r="B810" t="s">
        <v>20</v>
      </c>
      <c r="C810">
        <v>0</v>
      </c>
      <c r="D810" t="s">
        <v>2521</v>
      </c>
      <c r="E810" t="s">
        <v>2439</v>
      </c>
      <c r="F810">
        <v>32</v>
      </c>
      <c r="G810">
        <v>2000000</v>
      </c>
      <c r="H810" t="s">
        <v>7</v>
      </c>
      <c r="I810">
        <v>0</v>
      </c>
      <c r="J810">
        <v>0</v>
      </c>
      <c r="K810">
        <v>0</v>
      </c>
      <c r="L810">
        <v>0</v>
      </c>
      <c r="M810">
        <v>0</v>
      </c>
    </row>
    <row r="811" spans="1:13" ht="15" customHeight="1" x14ac:dyDescent="0.25">
      <c r="A811" t="s">
        <v>1945</v>
      </c>
      <c r="B811" t="s">
        <v>15</v>
      </c>
      <c r="C811" t="s">
        <v>386</v>
      </c>
      <c r="D811" t="s">
        <v>2440</v>
      </c>
      <c r="E811" t="s">
        <v>2446</v>
      </c>
      <c r="F811">
        <v>21</v>
      </c>
      <c r="G811">
        <v>716666</v>
      </c>
      <c r="H811">
        <v>716666</v>
      </c>
      <c r="I811" t="s">
        <v>8</v>
      </c>
      <c r="J811">
        <v>0</v>
      </c>
      <c r="K811">
        <v>0</v>
      </c>
      <c r="L811">
        <v>0</v>
      </c>
      <c r="M811">
        <v>0</v>
      </c>
    </row>
    <row r="812" spans="1:13" ht="15" customHeight="1" x14ac:dyDescent="0.25">
      <c r="A812" t="s">
        <v>2014</v>
      </c>
      <c r="B812" t="s">
        <v>21</v>
      </c>
      <c r="C812">
        <v>0</v>
      </c>
      <c r="D812" t="s">
        <v>2440</v>
      </c>
      <c r="E812" t="s">
        <v>2446</v>
      </c>
      <c r="F812">
        <v>30</v>
      </c>
      <c r="G812">
        <v>675000</v>
      </c>
      <c r="H812" t="s">
        <v>7</v>
      </c>
      <c r="I812">
        <v>0</v>
      </c>
      <c r="J812">
        <v>0</v>
      </c>
      <c r="K812">
        <v>0</v>
      </c>
      <c r="L812">
        <v>0</v>
      </c>
      <c r="M812">
        <v>0</v>
      </c>
    </row>
    <row r="813" spans="1:13" ht="15" customHeight="1" x14ac:dyDescent="0.25">
      <c r="A813" t="s">
        <v>2640</v>
      </c>
      <c r="B813" t="s">
        <v>14</v>
      </c>
      <c r="C813" t="s">
        <v>386</v>
      </c>
      <c r="D813" t="s">
        <v>2440</v>
      </c>
      <c r="E813" t="s">
        <v>2446</v>
      </c>
      <c r="F813">
        <v>26</v>
      </c>
      <c r="G813">
        <v>925000</v>
      </c>
      <c r="H813" t="s">
        <v>8</v>
      </c>
      <c r="I813">
        <v>0</v>
      </c>
      <c r="J813">
        <v>0</v>
      </c>
      <c r="K813">
        <v>0</v>
      </c>
      <c r="L813">
        <v>0</v>
      </c>
      <c r="M813">
        <v>0</v>
      </c>
    </row>
    <row r="814" spans="1:13" x14ac:dyDescent="0.25">
      <c r="A814" t="s">
        <v>1608</v>
      </c>
      <c r="B814" t="s">
        <v>33</v>
      </c>
      <c r="C814" t="s">
        <v>386</v>
      </c>
      <c r="D814" t="s">
        <v>379</v>
      </c>
      <c r="E814" t="s">
        <v>2690</v>
      </c>
      <c r="F814">
        <v>20</v>
      </c>
      <c r="G814">
        <v>1263333</v>
      </c>
      <c r="H814">
        <v>1263333</v>
      </c>
      <c r="I814">
        <v>1263333</v>
      </c>
      <c r="J814" t="s">
        <v>8</v>
      </c>
      <c r="K814">
        <v>0</v>
      </c>
      <c r="L814">
        <v>0</v>
      </c>
      <c r="M814">
        <v>0</v>
      </c>
    </row>
    <row r="815" spans="1:13" ht="15" customHeight="1" x14ac:dyDescent="0.25">
      <c r="A815" t="s">
        <v>2349</v>
      </c>
      <c r="B815" t="s">
        <v>34</v>
      </c>
      <c r="C815" t="s">
        <v>386</v>
      </c>
      <c r="D815" t="s">
        <v>2438</v>
      </c>
      <c r="E815" t="s">
        <v>2446</v>
      </c>
      <c r="F815">
        <v>20</v>
      </c>
      <c r="G815">
        <v>1125000</v>
      </c>
      <c r="H815">
        <v>1125000</v>
      </c>
      <c r="I815" t="s">
        <v>8</v>
      </c>
      <c r="J815">
        <v>0</v>
      </c>
      <c r="K815">
        <v>0</v>
      </c>
      <c r="L815">
        <v>0</v>
      </c>
      <c r="M815">
        <v>0</v>
      </c>
    </row>
    <row r="816" spans="1:13" ht="15" customHeight="1" x14ac:dyDescent="0.25">
      <c r="A816" t="s">
        <v>1791</v>
      </c>
      <c r="B816" t="s">
        <v>28</v>
      </c>
      <c r="C816" t="s">
        <v>403</v>
      </c>
      <c r="D816" t="s">
        <v>2440</v>
      </c>
      <c r="E816" t="s">
        <v>2439</v>
      </c>
      <c r="F816">
        <v>22</v>
      </c>
      <c r="G816">
        <v>1137500</v>
      </c>
      <c r="H816" t="s">
        <v>8</v>
      </c>
      <c r="I816">
        <v>0</v>
      </c>
      <c r="J816">
        <v>0</v>
      </c>
      <c r="K816">
        <v>0</v>
      </c>
      <c r="L816">
        <v>0</v>
      </c>
      <c r="M816">
        <v>0</v>
      </c>
    </row>
    <row r="817" spans="1:13" ht="15" customHeight="1" x14ac:dyDescent="0.25">
      <c r="A817" t="s">
        <v>1959</v>
      </c>
      <c r="B817" t="s">
        <v>16</v>
      </c>
      <c r="C817">
        <v>0</v>
      </c>
      <c r="D817" t="s">
        <v>380</v>
      </c>
      <c r="E817" t="s">
        <v>2677</v>
      </c>
      <c r="F817">
        <v>25</v>
      </c>
      <c r="G817">
        <v>5800000</v>
      </c>
      <c r="H817">
        <v>5800000</v>
      </c>
      <c r="I817">
        <v>5800000</v>
      </c>
      <c r="J817">
        <v>5800000</v>
      </c>
      <c r="K817">
        <v>5800000</v>
      </c>
      <c r="L817">
        <v>5800000</v>
      </c>
      <c r="M817" t="s">
        <v>7</v>
      </c>
    </row>
    <row r="818" spans="1:13" ht="15" customHeight="1" x14ac:dyDescent="0.25">
      <c r="A818" t="s">
        <v>1505</v>
      </c>
      <c r="B818" t="s">
        <v>22</v>
      </c>
      <c r="C818">
        <v>0</v>
      </c>
      <c r="D818" t="s">
        <v>127</v>
      </c>
      <c r="E818" t="s">
        <v>2446</v>
      </c>
      <c r="F818">
        <v>25</v>
      </c>
      <c r="G818">
        <v>750000</v>
      </c>
      <c r="H818">
        <v>750000</v>
      </c>
      <c r="I818" t="s">
        <v>7</v>
      </c>
      <c r="J818">
        <v>0</v>
      </c>
      <c r="K818">
        <v>0</v>
      </c>
      <c r="L818">
        <v>0</v>
      </c>
      <c r="M818">
        <v>0</v>
      </c>
    </row>
    <row r="819" spans="1:13" ht="15" customHeight="1" x14ac:dyDescent="0.25">
      <c r="A819" t="s">
        <v>1613</v>
      </c>
      <c r="B819" t="s">
        <v>33</v>
      </c>
      <c r="C819" t="s">
        <v>386</v>
      </c>
      <c r="D819" t="s">
        <v>82</v>
      </c>
      <c r="E819" t="s">
        <v>2690</v>
      </c>
      <c r="F819">
        <v>22</v>
      </c>
      <c r="G819">
        <v>925000</v>
      </c>
      <c r="H819">
        <v>925000</v>
      </c>
      <c r="I819" t="s">
        <v>8</v>
      </c>
      <c r="J819">
        <v>0</v>
      </c>
      <c r="K819">
        <v>0</v>
      </c>
      <c r="L819">
        <v>0</v>
      </c>
      <c r="M819">
        <v>0</v>
      </c>
    </row>
    <row r="820" spans="1:13" ht="15" customHeight="1" x14ac:dyDescent="0.25">
      <c r="A820" t="s">
        <v>1767</v>
      </c>
      <c r="B820" t="s">
        <v>26</v>
      </c>
      <c r="C820" t="s">
        <v>386</v>
      </c>
      <c r="D820" t="s">
        <v>380</v>
      </c>
      <c r="E820" t="s">
        <v>2690</v>
      </c>
      <c r="F820">
        <v>21</v>
      </c>
      <c r="G820">
        <v>1100000</v>
      </c>
      <c r="H820">
        <v>1100000</v>
      </c>
      <c r="I820" t="s">
        <v>8</v>
      </c>
      <c r="J820">
        <v>0</v>
      </c>
      <c r="K820">
        <v>0</v>
      </c>
      <c r="L820">
        <v>0</v>
      </c>
      <c r="M820">
        <v>0</v>
      </c>
    </row>
    <row r="821" spans="1:13" x14ac:dyDescent="0.25">
      <c r="A821" t="s">
        <v>1930</v>
      </c>
      <c r="B821" t="s">
        <v>15</v>
      </c>
      <c r="C821">
        <v>0</v>
      </c>
      <c r="D821" t="s">
        <v>2445</v>
      </c>
      <c r="E821" t="s">
        <v>2446</v>
      </c>
      <c r="F821">
        <v>24</v>
      </c>
      <c r="G821">
        <v>742500</v>
      </c>
      <c r="H821">
        <v>742500</v>
      </c>
      <c r="I821" t="s">
        <v>8</v>
      </c>
      <c r="J821">
        <v>0</v>
      </c>
      <c r="K821">
        <v>0</v>
      </c>
      <c r="L821">
        <v>0</v>
      </c>
      <c r="M821">
        <v>0</v>
      </c>
    </row>
    <row r="822" spans="1:13" ht="15" customHeight="1" x14ac:dyDescent="0.25">
      <c r="A822" t="s">
        <v>2190</v>
      </c>
      <c r="B822" t="s">
        <v>12</v>
      </c>
      <c r="C822">
        <v>0</v>
      </c>
      <c r="D822" t="s">
        <v>2453</v>
      </c>
      <c r="E822" t="s">
        <v>2439</v>
      </c>
      <c r="F822">
        <v>24</v>
      </c>
      <c r="G822">
        <v>4850000</v>
      </c>
      <c r="H822">
        <v>4850000</v>
      </c>
      <c r="I822">
        <v>4850000</v>
      </c>
      <c r="J822">
        <v>4850000</v>
      </c>
      <c r="K822">
        <v>4850000</v>
      </c>
      <c r="L822" t="s">
        <v>7</v>
      </c>
      <c r="M822">
        <v>0</v>
      </c>
    </row>
    <row r="823" spans="1:13" ht="15" customHeight="1" x14ac:dyDescent="0.25">
      <c r="A823" t="s">
        <v>2123</v>
      </c>
      <c r="B823" t="s">
        <v>6</v>
      </c>
      <c r="C823">
        <v>0</v>
      </c>
      <c r="D823" t="s">
        <v>2445</v>
      </c>
      <c r="E823" t="s">
        <v>2439</v>
      </c>
      <c r="F823">
        <v>25</v>
      </c>
      <c r="G823">
        <v>5205556</v>
      </c>
      <c r="H823">
        <v>5205556</v>
      </c>
      <c r="I823">
        <v>5205556</v>
      </c>
      <c r="J823" t="s">
        <v>7</v>
      </c>
      <c r="K823">
        <v>0</v>
      </c>
      <c r="L823">
        <v>0</v>
      </c>
      <c r="M823">
        <v>0</v>
      </c>
    </row>
    <row r="824" spans="1:13" ht="15" customHeight="1" x14ac:dyDescent="0.25">
      <c r="A824" t="s">
        <v>2880</v>
      </c>
      <c r="B824" t="s">
        <v>9</v>
      </c>
      <c r="C824">
        <v>0</v>
      </c>
      <c r="D824" t="s">
        <v>2450</v>
      </c>
      <c r="E824" t="s">
        <v>2439</v>
      </c>
      <c r="F824">
        <v>27</v>
      </c>
      <c r="G824">
        <v>850000</v>
      </c>
      <c r="H824">
        <v>850000</v>
      </c>
      <c r="I824" t="s">
        <v>7</v>
      </c>
      <c r="J824">
        <v>0</v>
      </c>
      <c r="K824">
        <v>0</v>
      </c>
      <c r="L824">
        <v>0</v>
      </c>
      <c r="M824">
        <v>0</v>
      </c>
    </row>
    <row r="825" spans="1:13" ht="15" customHeight="1" x14ac:dyDescent="0.25">
      <c r="A825" t="s">
        <v>2856</v>
      </c>
      <c r="B825" t="s">
        <v>17</v>
      </c>
      <c r="C825" t="s">
        <v>386</v>
      </c>
      <c r="D825" t="s">
        <v>2444</v>
      </c>
      <c r="E825" t="s">
        <v>2446</v>
      </c>
      <c r="F825">
        <v>20</v>
      </c>
      <c r="G825">
        <v>925000</v>
      </c>
      <c r="H825">
        <v>925000</v>
      </c>
      <c r="I825" t="s">
        <v>8</v>
      </c>
      <c r="J825">
        <v>0</v>
      </c>
      <c r="K825">
        <v>0</v>
      </c>
      <c r="L825">
        <v>0</v>
      </c>
      <c r="M825">
        <v>0</v>
      </c>
    </row>
    <row r="826" spans="1:13" ht="15" customHeight="1" x14ac:dyDescent="0.25">
      <c r="A826" t="s">
        <v>2293</v>
      </c>
      <c r="B826" t="s">
        <v>11</v>
      </c>
      <c r="C826">
        <v>0</v>
      </c>
      <c r="D826" t="s">
        <v>2444</v>
      </c>
      <c r="E826" t="s">
        <v>2446</v>
      </c>
      <c r="F826">
        <v>23</v>
      </c>
      <c r="G826">
        <v>700000</v>
      </c>
      <c r="H826" t="s">
        <v>8</v>
      </c>
      <c r="I826">
        <v>0</v>
      </c>
      <c r="J826">
        <v>0</v>
      </c>
      <c r="K826">
        <v>0</v>
      </c>
      <c r="L826">
        <v>0</v>
      </c>
      <c r="M826">
        <v>0</v>
      </c>
    </row>
    <row r="827" spans="1:13" x14ac:dyDescent="0.25">
      <c r="A827" t="s">
        <v>1571</v>
      </c>
      <c r="B827" t="s">
        <v>32</v>
      </c>
      <c r="C827" t="s">
        <v>386</v>
      </c>
      <c r="D827" t="s">
        <v>73</v>
      </c>
      <c r="E827" t="s">
        <v>2446</v>
      </c>
      <c r="F827">
        <v>19</v>
      </c>
      <c r="G827">
        <v>863333</v>
      </c>
      <c r="H827">
        <v>863333</v>
      </c>
      <c r="I827">
        <v>863333</v>
      </c>
      <c r="J827" t="s">
        <v>8</v>
      </c>
      <c r="K827">
        <v>0</v>
      </c>
      <c r="L827">
        <v>0</v>
      </c>
      <c r="M827">
        <v>0</v>
      </c>
    </row>
    <row r="828" spans="1:13" ht="15" customHeight="1" x14ac:dyDescent="0.25">
      <c r="A828" t="s">
        <v>2113</v>
      </c>
      <c r="B828" t="s">
        <v>35</v>
      </c>
      <c r="C828">
        <v>0</v>
      </c>
      <c r="D828" t="s">
        <v>2438</v>
      </c>
      <c r="E828" t="s">
        <v>2446</v>
      </c>
      <c r="F828">
        <v>26</v>
      </c>
      <c r="G828">
        <v>700000</v>
      </c>
      <c r="H828" t="s">
        <v>8</v>
      </c>
      <c r="I828">
        <v>0</v>
      </c>
      <c r="J828">
        <v>0</v>
      </c>
      <c r="K828">
        <v>0</v>
      </c>
      <c r="L828">
        <v>0</v>
      </c>
      <c r="M828">
        <v>0</v>
      </c>
    </row>
    <row r="829" spans="1:13" ht="15" customHeight="1" x14ac:dyDescent="0.25">
      <c r="A829" t="s">
        <v>2082</v>
      </c>
      <c r="B829" t="s">
        <v>35</v>
      </c>
      <c r="C829" t="s">
        <v>420</v>
      </c>
      <c r="D829" t="s">
        <v>2448</v>
      </c>
      <c r="E829" t="s">
        <v>2439</v>
      </c>
      <c r="F829">
        <v>31</v>
      </c>
      <c r="G829">
        <v>5291666</v>
      </c>
      <c r="H829">
        <v>5291666</v>
      </c>
      <c r="I829">
        <v>5291666</v>
      </c>
      <c r="J829">
        <v>5291666</v>
      </c>
      <c r="K829">
        <v>5291666</v>
      </c>
      <c r="L829" t="s">
        <v>7</v>
      </c>
      <c r="M829">
        <v>0</v>
      </c>
    </row>
    <row r="830" spans="1:13" ht="15" customHeight="1" x14ac:dyDescent="0.25">
      <c r="A830" t="s">
        <v>2622</v>
      </c>
      <c r="B830" t="s">
        <v>20</v>
      </c>
      <c r="C830" t="s">
        <v>386</v>
      </c>
      <c r="D830" t="s">
        <v>73</v>
      </c>
      <c r="E830" t="s">
        <v>2439</v>
      </c>
      <c r="F830">
        <v>21</v>
      </c>
      <c r="G830">
        <v>1491667</v>
      </c>
      <c r="H830">
        <v>1491667</v>
      </c>
      <c r="I830" t="s">
        <v>8</v>
      </c>
      <c r="J830">
        <v>0</v>
      </c>
      <c r="K830">
        <v>0</v>
      </c>
      <c r="L830">
        <v>0</v>
      </c>
      <c r="M830">
        <v>0</v>
      </c>
    </row>
    <row r="831" spans="1:13" ht="15" customHeight="1" x14ac:dyDescent="0.25">
      <c r="A831" t="s">
        <v>2008</v>
      </c>
      <c r="B831" t="s">
        <v>21</v>
      </c>
      <c r="C831" t="s">
        <v>386</v>
      </c>
      <c r="D831" t="s">
        <v>2438</v>
      </c>
      <c r="E831" t="s">
        <v>2446</v>
      </c>
      <c r="F831">
        <v>19</v>
      </c>
      <c r="G831">
        <v>871667</v>
      </c>
      <c r="H831">
        <v>871667</v>
      </c>
      <c r="I831">
        <v>871667</v>
      </c>
      <c r="J831" t="s">
        <v>8</v>
      </c>
      <c r="K831">
        <v>0</v>
      </c>
      <c r="L831">
        <v>0</v>
      </c>
      <c r="M831">
        <v>0</v>
      </c>
    </row>
    <row r="832" spans="1:13" ht="15" customHeight="1" x14ac:dyDescent="0.25">
      <c r="A832" t="s">
        <v>2561</v>
      </c>
      <c r="B832" t="s">
        <v>32</v>
      </c>
      <c r="C832" t="s">
        <v>386</v>
      </c>
      <c r="D832" t="s">
        <v>2494</v>
      </c>
      <c r="E832" t="s">
        <v>2446</v>
      </c>
      <c r="F832">
        <v>23</v>
      </c>
      <c r="G832">
        <v>925000</v>
      </c>
      <c r="H832">
        <v>925000</v>
      </c>
      <c r="I832" t="s">
        <v>8</v>
      </c>
      <c r="J832">
        <v>0</v>
      </c>
      <c r="K832">
        <v>0</v>
      </c>
      <c r="L832">
        <v>0</v>
      </c>
      <c r="M832">
        <v>0</v>
      </c>
    </row>
    <row r="833" spans="1:13" ht="15" customHeight="1" x14ac:dyDescent="0.25">
      <c r="A833" t="s">
        <v>2210</v>
      </c>
      <c r="B833" t="s">
        <v>12</v>
      </c>
      <c r="C833">
        <v>0</v>
      </c>
      <c r="D833" t="s">
        <v>2450</v>
      </c>
      <c r="E833" t="s">
        <v>2446</v>
      </c>
      <c r="F833">
        <v>24</v>
      </c>
      <c r="G833">
        <v>700000</v>
      </c>
      <c r="H833" t="s">
        <v>8</v>
      </c>
      <c r="I833">
        <v>0</v>
      </c>
      <c r="J833">
        <v>0</v>
      </c>
      <c r="K833">
        <v>0</v>
      </c>
      <c r="L833">
        <v>0</v>
      </c>
      <c r="M833">
        <v>0</v>
      </c>
    </row>
    <row r="834" spans="1:13" ht="15" customHeight="1" x14ac:dyDescent="0.25">
      <c r="A834" t="s">
        <v>1645</v>
      </c>
      <c r="B834" t="s">
        <v>11</v>
      </c>
      <c r="C834" t="s">
        <v>386</v>
      </c>
      <c r="D834" t="s">
        <v>2452</v>
      </c>
      <c r="E834" t="s">
        <v>2446</v>
      </c>
      <c r="F834">
        <v>23</v>
      </c>
      <c r="G834">
        <v>728333</v>
      </c>
      <c r="H834" t="s">
        <v>8</v>
      </c>
      <c r="I834">
        <v>0</v>
      </c>
      <c r="J834">
        <v>0</v>
      </c>
      <c r="K834">
        <v>0</v>
      </c>
      <c r="L834">
        <v>0</v>
      </c>
      <c r="M834">
        <v>0</v>
      </c>
    </row>
    <row r="835" spans="1:13" ht="15" customHeight="1" x14ac:dyDescent="0.25">
      <c r="A835" t="s">
        <v>1754</v>
      </c>
      <c r="B835" t="s">
        <v>25</v>
      </c>
      <c r="C835">
        <v>0</v>
      </c>
      <c r="D835" t="s">
        <v>2442</v>
      </c>
      <c r="E835" t="s">
        <v>2446</v>
      </c>
      <c r="F835">
        <v>29</v>
      </c>
      <c r="G835">
        <v>675000</v>
      </c>
      <c r="H835" t="s">
        <v>7</v>
      </c>
      <c r="I835">
        <v>0</v>
      </c>
      <c r="J835">
        <v>0</v>
      </c>
      <c r="K835">
        <v>0</v>
      </c>
      <c r="L835">
        <v>0</v>
      </c>
      <c r="M835">
        <v>0</v>
      </c>
    </row>
    <row r="836" spans="1:13" ht="15" customHeight="1" x14ac:dyDescent="0.25">
      <c r="A836" t="s">
        <v>2251</v>
      </c>
      <c r="B836" t="s">
        <v>18</v>
      </c>
      <c r="C836">
        <v>0</v>
      </c>
      <c r="D836" t="s">
        <v>2445</v>
      </c>
      <c r="E836" t="s">
        <v>2446</v>
      </c>
      <c r="F836">
        <v>26</v>
      </c>
      <c r="G836">
        <v>675000</v>
      </c>
      <c r="H836" t="s">
        <v>7</v>
      </c>
      <c r="I836">
        <v>0</v>
      </c>
      <c r="J836">
        <v>0</v>
      </c>
      <c r="K836">
        <v>0</v>
      </c>
      <c r="L836">
        <v>0</v>
      </c>
      <c r="M836">
        <v>0</v>
      </c>
    </row>
    <row r="837" spans="1:13" ht="15" customHeight="1" x14ac:dyDescent="0.25">
      <c r="A837" t="s">
        <v>2084</v>
      </c>
      <c r="B837" t="s">
        <v>35</v>
      </c>
      <c r="C837">
        <v>0</v>
      </c>
      <c r="D837" t="s">
        <v>73</v>
      </c>
      <c r="E837" t="s">
        <v>2439</v>
      </c>
      <c r="F837">
        <v>26</v>
      </c>
      <c r="G837">
        <v>2916666</v>
      </c>
      <c r="H837">
        <v>2916666</v>
      </c>
      <c r="I837" t="s">
        <v>7</v>
      </c>
      <c r="J837">
        <v>0</v>
      </c>
      <c r="K837">
        <v>0</v>
      </c>
      <c r="L837">
        <v>0</v>
      </c>
      <c r="M837">
        <v>0</v>
      </c>
    </row>
    <row r="838" spans="1:13" ht="15" customHeight="1" x14ac:dyDescent="0.25">
      <c r="A838" t="s">
        <v>2535</v>
      </c>
      <c r="B838" t="s">
        <v>2531</v>
      </c>
      <c r="C838">
        <v>0</v>
      </c>
      <c r="D838" t="s">
        <v>93</v>
      </c>
      <c r="E838" t="s">
        <v>2690</v>
      </c>
      <c r="F838">
        <v>27</v>
      </c>
      <c r="G838">
        <v>700000</v>
      </c>
      <c r="H838" t="s">
        <v>7</v>
      </c>
      <c r="I838">
        <v>0</v>
      </c>
      <c r="J838">
        <v>0</v>
      </c>
      <c r="K838">
        <v>0</v>
      </c>
      <c r="L838">
        <v>0</v>
      </c>
      <c r="M838">
        <v>0</v>
      </c>
    </row>
    <row r="839" spans="1:13" ht="15" customHeight="1" x14ac:dyDescent="0.25">
      <c r="A839" t="s">
        <v>2475</v>
      </c>
      <c r="B839" t="s">
        <v>29</v>
      </c>
      <c r="C839" t="s">
        <v>386</v>
      </c>
      <c r="D839" t="s">
        <v>2679</v>
      </c>
      <c r="E839" t="s">
        <v>2690</v>
      </c>
      <c r="F839">
        <v>24</v>
      </c>
      <c r="G839">
        <v>925000</v>
      </c>
      <c r="H839" t="s">
        <v>8</v>
      </c>
      <c r="I839">
        <v>0</v>
      </c>
      <c r="J839">
        <v>0</v>
      </c>
      <c r="K839">
        <v>0</v>
      </c>
      <c r="L839">
        <v>0</v>
      </c>
      <c r="M839">
        <v>0</v>
      </c>
    </row>
    <row r="840" spans="1:13" ht="15" customHeight="1" x14ac:dyDescent="0.25">
      <c r="A840" t="s">
        <v>1536</v>
      </c>
      <c r="B840" t="s">
        <v>33</v>
      </c>
      <c r="C840" t="s">
        <v>386</v>
      </c>
      <c r="D840" t="s">
        <v>73</v>
      </c>
      <c r="E840" t="s">
        <v>2690</v>
      </c>
      <c r="F840">
        <v>22</v>
      </c>
      <c r="G840">
        <v>925000</v>
      </c>
      <c r="H840" t="s">
        <v>8</v>
      </c>
      <c r="I840">
        <v>0</v>
      </c>
      <c r="J840">
        <v>0</v>
      </c>
      <c r="K840">
        <v>0</v>
      </c>
      <c r="L840">
        <v>0</v>
      </c>
      <c r="M840">
        <v>0</v>
      </c>
    </row>
    <row r="841" spans="1:13" ht="15" customHeight="1" x14ac:dyDescent="0.25">
      <c r="A841" t="s">
        <v>2674</v>
      </c>
      <c r="B841" t="s">
        <v>12</v>
      </c>
      <c r="C841" t="s">
        <v>2737</v>
      </c>
      <c r="D841" t="s">
        <v>2440</v>
      </c>
      <c r="E841" t="s">
        <v>2439</v>
      </c>
      <c r="F841">
        <v>31</v>
      </c>
      <c r="G841">
        <v>6000000</v>
      </c>
      <c r="H841">
        <v>6000000</v>
      </c>
      <c r="I841">
        <v>6000000</v>
      </c>
      <c r="J841">
        <v>6000000</v>
      </c>
      <c r="K841" t="s">
        <v>7</v>
      </c>
      <c r="L841">
        <v>0</v>
      </c>
      <c r="M841">
        <v>0</v>
      </c>
    </row>
    <row r="842" spans="1:13" ht="15" customHeight="1" x14ac:dyDescent="0.25">
      <c r="A842" t="s">
        <v>2289</v>
      </c>
      <c r="B842" t="s">
        <v>20</v>
      </c>
      <c r="C842" t="s">
        <v>386</v>
      </c>
      <c r="D842" t="s">
        <v>2438</v>
      </c>
      <c r="E842" t="s">
        <v>2446</v>
      </c>
      <c r="F842">
        <v>22</v>
      </c>
      <c r="G842">
        <v>677777</v>
      </c>
      <c r="H842" t="s">
        <v>8</v>
      </c>
      <c r="I842">
        <v>0</v>
      </c>
      <c r="J842">
        <v>0</v>
      </c>
      <c r="K842">
        <v>0</v>
      </c>
      <c r="L842">
        <v>0</v>
      </c>
      <c r="M842">
        <v>0</v>
      </c>
    </row>
    <row r="843" spans="1:13" ht="15" customHeight="1" x14ac:dyDescent="0.25">
      <c r="A843" t="s">
        <v>2857</v>
      </c>
      <c r="B843" t="s">
        <v>6</v>
      </c>
      <c r="C843" t="s">
        <v>386</v>
      </c>
      <c r="D843" t="s">
        <v>2452</v>
      </c>
      <c r="E843" t="s">
        <v>2446</v>
      </c>
      <c r="F843">
        <v>19</v>
      </c>
      <c r="G843">
        <v>925000</v>
      </c>
      <c r="H843">
        <v>925000</v>
      </c>
      <c r="I843" t="s">
        <v>8</v>
      </c>
      <c r="J843">
        <v>0</v>
      </c>
      <c r="K843">
        <v>0</v>
      </c>
      <c r="L843">
        <v>0</v>
      </c>
      <c r="M843">
        <v>0</v>
      </c>
    </row>
    <row r="844" spans="1:13" ht="15" customHeight="1" x14ac:dyDescent="0.25">
      <c r="A844" t="s">
        <v>1764</v>
      </c>
      <c r="B844" t="s">
        <v>26</v>
      </c>
      <c r="C844" t="s">
        <v>420</v>
      </c>
      <c r="D844" t="s">
        <v>127</v>
      </c>
      <c r="E844" t="s">
        <v>2677</v>
      </c>
      <c r="F844">
        <v>37</v>
      </c>
      <c r="G844">
        <v>8500000</v>
      </c>
      <c r="H844">
        <v>8500000</v>
      </c>
      <c r="I844" t="s">
        <v>7</v>
      </c>
      <c r="J844">
        <v>0</v>
      </c>
      <c r="K844">
        <v>0</v>
      </c>
      <c r="L844">
        <v>0</v>
      </c>
      <c r="M844">
        <v>0</v>
      </c>
    </row>
    <row r="845" spans="1:13" x14ac:dyDescent="0.25">
      <c r="A845" t="s">
        <v>2609</v>
      </c>
      <c r="B845" t="s">
        <v>11</v>
      </c>
      <c r="C845" t="s">
        <v>386</v>
      </c>
      <c r="D845" t="s">
        <v>73</v>
      </c>
      <c r="E845" t="s">
        <v>2446</v>
      </c>
      <c r="F845">
        <v>20</v>
      </c>
      <c r="G845">
        <v>925000</v>
      </c>
      <c r="H845">
        <v>925000</v>
      </c>
      <c r="I845">
        <v>925000</v>
      </c>
      <c r="J845" t="s">
        <v>8</v>
      </c>
      <c r="K845">
        <v>0</v>
      </c>
      <c r="L845">
        <v>0</v>
      </c>
      <c r="M845">
        <v>0</v>
      </c>
    </row>
    <row r="846" spans="1:13" x14ac:dyDescent="0.25">
      <c r="A846" t="s">
        <v>2661</v>
      </c>
      <c r="B846" t="s">
        <v>35</v>
      </c>
      <c r="C846" t="s">
        <v>386</v>
      </c>
      <c r="D846" t="s">
        <v>2442</v>
      </c>
      <c r="E846" t="s">
        <v>2446</v>
      </c>
      <c r="F846">
        <v>21</v>
      </c>
      <c r="G846">
        <v>758333</v>
      </c>
      <c r="H846">
        <v>758333</v>
      </c>
      <c r="I846">
        <v>758333</v>
      </c>
      <c r="J846" t="s">
        <v>8</v>
      </c>
      <c r="K846">
        <v>0</v>
      </c>
      <c r="L846">
        <v>0</v>
      </c>
      <c r="M846">
        <v>0</v>
      </c>
    </row>
    <row r="847" spans="1:13" ht="15" customHeight="1" x14ac:dyDescent="0.25">
      <c r="A847" t="s">
        <v>1410</v>
      </c>
      <c r="B847" t="s">
        <v>10</v>
      </c>
      <c r="C847" t="s">
        <v>386</v>
      </c>
      <c r="D847" t="s">
        <v>127</v>
      </c>
      <c r="E847" t="s">
        <v>2690</v>
      </c>
      <c r="F847">
        <v>20</v>
      </c>
      <c r="G847">
        <v>910833</v>
      </c>
      <c r="H847">
        <v>910833</v>
      </c>
      <c r="I847">
        <v>910833</v>
      </c>
      <c r="J847" t="s">
        <v>8</v>
      </c>
      <c r="K847">
        <v>0</v>
      </c>
      <c r="L847">
        <v>0</v>
      </c>
      <c r="M847">
        <v>0</v>
      </c>
    </row>
    <row r="848" spans="1:13" ht="15" customHeight="1" x14ac:dyDescent="0.25">
      <c r="A848" t="s">
        <v>1810</v>
      </c>
      <c r="B848" t="s">
        <v>28</v>
      </c>
      <c r="C848">
        <v>0</v>
      </c>
      <c r="D848" t="s">
        <v>127</v>
      </c>
      <c r="E848" t="s">
        <v>2446</v>
      </c>
      <c r="F848">
        <v>26</v>
      </c>
      <c r="G848">
        <v>750000</v>
      </c>
      <c r="H848" t="s">
        <v>7</v>
      </c>
      <c r="I848">
        <v>0</v>
      </c>
      <c r="J848">
        <v>0</v>
      </c>
      <c r="K848">
        <v>0</v>
      </c>
      <c r="L848">
        <v>0</v>
      </c>
      <c r="M848">
        <v>0</v>
      </c>
    </row>
    <row r="849" spans="1:13" ht="15" customHeight="1" x14ac:dyDescent="0.25">
      <c r="A849" t="s">
        <v>2169</v>
      </c>
      <c r="B849" t="s">
        <v>63</v>
      </c>
      <c r="C849">
        <v>0</v>
      </c>
      <c r="D849" t="s">
        <v>379</v>
      </c>
      <c r="E849" t="s">
        <v>2677</v>
      </c>
      <c r="F849">
        <v>25</v>
      </c>
      <c r="G849">
        <v>874125</v>
      </c>
      <c r="H849" t="s">
        <v>8</v>
      </c>
      <c r="I849">
        <v>0</v>
      </c>
      <c r="J849">
        <v>0</v>
      </c>
      <c r="K849">
        <v>0</v>
      </c>
      <c r="L849">
        <v>0</v>
      </c>
      <c r="M849">
        <v>0</v>
      </c>
    </row>
    <row r="850" spans="1:13" ht="15" customHeight="1" x14ac:dyDescent="0.25">
      <c r="A850" t="s">
        <v>2881</v>
      </c>
      <c r="B850" t="s">
        <v>13</v>
      </c>
      <c r="C850">
        <v>0</v>
      </c>
      <c r="D850" t="s">
        <v>2445</v>
      </c>
      <c r="E850" t="s">
        <v>2439</v>
      </c>
      <c r="F850">
        <v>24</v>
      </c>
      <c r="G850">
        <v>4083333</v>
      </c>
      <c r="H850">
        <v>4083333</v>
      </c>
      <c r="I850">
        <v>4083333</v>
      </c>
      <c r="J850" t="s">
        <v>7</v>
      </c>
      <c r="K850">
        <v>0</v>
      </c>
      <c r="L850">
        <v>0</v>
      </c>
      <c r="M850">
        <v>0</v>
      </c>
    </row>
    <row r="851" spans="1:13" ht="15" customHeight="1" x14ac:dyDescent="0.25">
      <c r="A851" t="s">
        <v>1518</v>
      </c>
      <c r="B851" t="s">
        <v>27</v>
      </c>
      <c r="C851" t="s">
        <v>381</v>
      </c>
      <c r="D851" t="s">
        <v>2440</v>
      </c>
      <c r="E851" t="s">
        <v>374</v>
      </c>
      <c r="F851">
        <v>34</v>
      </c>
      <c r="G851">
        <v>4650000</v>
      </c>
      <c r="H851" t="s">
        <v>7</v>
      </c>
      <c r="I851">
        <v>0</v>
      </c>
      <c r="J851">
        <v>0</v>
      </c>
      <c r="K851">
        <v>0</v>
      </c>
      <c r="L851">
        <v>0</v>
      </c>
      <c r="M851">
        <v>0</v>
      </c>
    </row>
    <row r="852" spans="1:13" ht="15" customHeight="1" x14ac:dyDescent="0.25">
      <c r="A852" t="s">
        <v>2290</v>
      </c>
      <c r="B852" t="s">
        <v>20</v>
      </c>
      <c r="C852">
        <v>0</v>
      </c>
      <c r="D852" t="s">
        <v>2444</v>
      </c>
      <c r="E852" t="s">
        <v>2439</v>
      </c>
      <c r="F852">
        <v>25</v>
      </c>
      <c r="G852">
        <v>675000</v>
      </c>
      <c r="H852" t="s">
        <v>8</v>
      </c>
      <c r="I852">
        <v>0</v>
      </c>
      <c r="J852">
        <v>0</v>
      </c>
      <c r="K852">
        <v>0</v>
      </c>
      <c r="L852">
        <v>0</v>
      </c>
      <c r="M852">
        <v>0</v>
      </c>
    </row>
    <row r="853" spans="1:13" ht="15" customHeight="1" x14ac:dyDescent="0.25">
      <c r="A853" t="s">
        <v>1471</v>
      </c>
      <c r="B853" t="s">
        <v>15</v>
      </c>
      <c r="C853">
        <v>0</v>
      </c>
      <c r="D853" t="s">
        <v>2445</v>
      </c>
      <c r="E853" t="s">
        <v>2446</v>
      </c>
      <c r="F853">
        <v>26</v>
      </c>
      <c r="G853">
        <v>750000</v>
      </c>
      <c r="H853" t="s">
        <v>7</v>
      </c>
      <c r="I853">
        <v>0</v>
      </c>
      <c r="J853">
        <v>0</v>
      </c>
      <c r="K853">
        <v>0</v>
      </c>
      <c r="L853">
        <v>0</v>
      </c>
      <c r="M853">
        <v>0</v>
      </c>
    </row>
    <row r="854" spans="1:13" ht="15" customHeight="1" x14ac:dyDescent="0.25">
      <c r="A854" t="s">
        <v>2079</v>
      </c>
      <c r="B854" t="s">
        <v>31</v>
      </c>
      <c r="C854">
        <v>0</v>
      </c>
      <c r="D854" t="s">
        <v>2689</v>
      </c>
      <c r="E854" t="s">
        <v>2677</v>
      </c>
      <c r="F854">
        <v>25</v>
      </c>
      <c r="G854">
        <v>750000</v>
      </c>
      <c r="H854" t="s">
        <v>8</v>
      </c>
      <c r="I854">
        <v>0</v>
      </c>
      <c r="J854">
        <v>0</v>
      </c>
      <c r="K854">
        <v>0</v>
      </c>
      <c r="L854">
        <v>0</v>
      </c>
      <c r="M854">
        <v>0</v>
      </c>
    </row>
    <row r="855" spans="1:13" ht="15" customHeight="1" x14ac:dyDescent="0.25">
      <c r="A855" t="s">
        <v>2353</v>
      </c>
      <c r="B855" t="s">
        <v>34</v>
      </c>
      <c r="C855" t="s">
        <v>386</v>
      </c>
      <c r="D855" t="s">
        <v>2448</v>
      </c>
      <c r="E855" t="s">
        <v>2446</v>
      </c>
      <c r="F855">
        <v>23</v>
      </c>
      <c r="G855">
        <v>995833</v>
      </c>
      <c r="H855" t="s">
        <v>8</v>
      </c>
      <c r="I855">
        <v>0</v>
      </c>
      <c r="J855">
        <v>0</v>
      </c>
      <c r="K855">
        <v>0</v>
      </c>
      <c r="L855">
        <v>0</v>
      </c>
      <c r="M855">
        <v>0</v>
      </c>
    </row>
    <row r="856" spans="1:13" ht="15" customHeight="1" x14ac:dyDescent="0.25">
      <c r="A856" t="s">
        <v>1678</v>
      </c>
      <c r="B856" t="s">
        <v>14</v>
      </c>
      <c r="C856">
        <v>0</v>
      </c>
      <c r="D856" t="s">
        <v>73</v>
      </c>
      <c r="E856" t="s">
        <v>2446</v>
      </c>
      <c r="F856">
        <v>23</v>
      </c>
      <c r="G856">
        <v>874125</v>
      </c>
      <c r="H856" t="s">
        <v>8</v>
      </c>
      <c r="I856">
        <v>0</v>
      </c>
      <c r="J856">
        <v>0</v>
      </c>
      <c r="K856">
        <v>0</v>
      </c>
      <c r="L856">
        <v>0</v>
      </c>
      <c r="M856">
        <v>0</v>
      </c>
    </row>
    <row r="857" spans="1:13" ht="15" customHeight="1" x14ac:dyDescent="0.25">
      <c r="A857" t="s">
        <v>2820</v>
      </c>
      <c r="B857" t="s">
        <v>15</v>
      </c>
      <c r="C857">
        <v>0</v>
      </c>
      <c r="D857" t="s">
        <v>2448</v>
      </c>
      <c r="E857" t="s">
        <v>2439</v>
      </c>
      <c r="F857">
        <v>23</v>
      </c>
      <c r="G857">
        <v>6300000</v>
      </c>
      <c r="H857">
        <v>6300000</v>
      </c>
      <c r="I857">
        <v>6300000</v>
      </c>
      <c r="J857">
        <v>6300000</v>
      </c>
      <c r="K857" t="s">
        <v>7</v>
      </c>
      <c r="L857">
        <v>0</v>
      </c>
      <c r="M857">
        <v>0</v>
      </c>
    </row>
    <row r="858" spans="1:13" ht="15" customHeight="1" x14ac:dyDescent="0.25">
      <c r="A858" t="s">
        <v>2177</v>
      </c>
      <c r="B858" t="s">
        <v>63</v>
      </c>
      <c r="C858" t="s">
        <v>386</v>
      </c>
      <c r="D858" t="s">
        <v>127</v>
      </c>
      <c r="E858" t="s">
        <v>2690</v>
      </c>
      <c r="F858">
        <v>23</v>
      </c>
      <c r="G858">
        <v>925000</v>
      </c>
      <c r="H858" t="s">
        <v>8</v>
      </c>
      <c r="I858">
        <v>0</v>
      </c>
      <c r="J858">
        <v>0</v>
      </c>
      <c r="K858">
        <v>0</v>
      </c>
      <c r="L858">
        <v>0</v>
      </c>
      <c r="M858">
        <v>0</v>
      </c>
    </row>
    <row r="859" spans="1:13" ht="15" customHeight="1" x14ac:dyDescent="0.25">
      <c r="A859" t="s">
        <v>1631</v>
      </c>
      <c r="B859" t="s">
        <v>11</v>
      </c>
      <c r="C859">
        <v>0</v>
      </c>
      <c r="D859" t="s">
        <v>2441</v>
      </c>
      <c r="E859" t="s">
        <v>2446</v>
      </c>
      <c r="F859">
        <v>25</v>
      </c>
      <c r="G859" t="s">
        <v>8</v>
      </c>
      <c r="H859">
        <v>0</v>
      </c>
      <c r="I859">
        <v>0</v>
      </c>
      <c r="J859">
        <v>0</v>
      </c>
      <c r="K859">
        <v>0</v>
      </c>
      <c r="L859">
        <v>0</v>
      </c>
      <c r="M859">
        <v>0</v>
      </c>
    </row>
    <row r="860" spans="1:13" ht="15" customHeight="1" x14ac:dyDescent="0.25">
      <c r="A860" t="s">
        <v>2035</v>
      </c>
      <c r="B860" t="s">
        <v>23</v>
      </c>
      <c r="C860" t="s">
        <v>386</v>
      </c>
      <c r="D860" t="s">
        <v>73</v>
      </c>
      <c r="E860" t="s">
        <v>2690</v>
      </c>
      <c r="F860">
        <v>21</v>
      </c>
      <c r="G860">
        <v>753333</v>
      </c>
      <c r="H860">
        <v>753333</v>
      </c>
      <c r="I860" t="s">
        <v>8</v>
      </c>
      <c r="J860">
        <v>0</v>
      </c>
      <c r="K860">
        <v>0</v>
      </c>
      <c r="L860">
        <v>0</v>
      </c>
      <c r="M860">
        <v>0</v>
      </c>
    </row>
    <row r="861" spans="1:13" ht="15" customHeight="1" x14ac:dyDescent="0.25">
      <c r="A861" t="s">
        <v>2141</v>
      </c>
      <c r="B861" t="s">
        <v>6</v>
      </c>
      <c r="C861" t="s">
        <v>386</v>
      </c>
      <c r="D861" t="s">
        <v>2445</v>
      </c>
      <c r="E861" t="s">
        <v>2446</v>
      </c>
      <c r="F861">
        <v>21</v>
      </c>
      <c r="G861">
        <v>910833</v>
      </c>
      <c r="H861">
        <v>910833</v>
      </c>
      <c r="I861" t="s">
        <v>8</v>
      </c>
      <c r="J861">
        <v>0</v>
      </c>
      <c r="K861">
        <v>0</v>
      </c>
      <c r="L861">
        <v>0</v>
      </c>
      <c r="M861">
        <v>0</v>
      </c>
    </row>
    <row r="862" spans="1:13" ht="15" customHeight="1" x14ac:dyDescent="0.25">
      <c r="A862" t="s">
        <v>2508</v>
      </c>
      <c r="B862" t="s">
        <v>2503</v>
      </c>
      <c r="C862">
        <v>0</v>
      </c>
      <c r="D862" t="s">
        <v>73</v>
      </c>
      <c r="E862" t="s">
        <v>2690</v>
      </c>
      <c r="F862">
        <v>26</v>
      </c>
      <c r="G862">
        <v>700000</v>
      </c>
      <c r="H862">
        <v>700000</v>
      </c>
      <c r="I862" t="s">
        <v>7</v>
      </c>
      <c r="J862">
        <v>0</v>
      </c>
      <c r="K862">
        <v>0</v>
      </c>
      <c r="L862">
        <v>0</v>
      </c>
      <c r="M862">
        <v>0</v>
      </c>
    </row>
    <row r="863" spans="1:13" ht="15" customHeight="1" x14ac:dyDescent="0.25">
      <c r="A863" t="s">
        <v>2666</v>
      </c>
      <c r="B863" t="s">
        <v>15</v>
      </c>
      <c r="C863" t="s">
        <v>386</v>
      </c>
      <c r="D863" t="s">
        <v>2444</v>
      </c>
      <c r="E863" t="s">
        <v>2439</v>
      </c>
      <c r="F863">
        <v>20</v>
      </c>
      <c r="G863">
        <v>2854166</v>
      </c>
      <c r="H863">
        <v>2854166</v>
      </c>
      <c r="I863" t="s">
        <v>8</v>
      </c>
      <c r="J863">
        <v>0</v>
      </c>
      <c r="K863">
        <v>0</v>
      </c>
      <c r="L863">
        <v>0</v>
      </c>
      <c r="M863">
        <v>0</v>
      </c>
    </row>
    <row r="864" spans="1:13" ht="15" customHeight="1" x14ac:dyDescent="0.25">
      <c r="A864" t="s">
        <v>2241</v>
      </c>
      <c r="B864" t="s">
        <v>18</v>
      </c>
      <c r="C864" t="s">
        <v>386</v>
      </c>
      <c r="D864" t="s">
        <v>2438</v>
      </c>
      <c r="E864" t="s">
        <v>2446</v>
      </c>
      <c r="F864">
        <v>20</v>
      </c>
      <c r="G864">
        <v>879167</v>
      </c>
      <c r="H864">
        <v>879167</v>
      </c>
      <c r="I864">
        <v>879167</v>
      </c>
      <c r="J864" t="s">
        <v>8</v>
      </c>
      <c r="K864">
        <v>0</v>
      </c>
      <c r="L864">
        <v>0</v>
      </c>
      <c r="M864">
        <v>0</v>
      </c>
    </row>
    <row r="865" spans="1:13" ht="15" customHeight="1" x14ac:dyDescent="0.25">
      <c r="A865" t="s">
        <v>1877</v>
      </c>
      <c r="B865" t="s">
        <v>2503</v>
      </c>
      <c r="C865" t="s">
        <v>386</v>
      </c>
      <c r="D865" t="s">
        <v>73</v>
      </c>
      <c r="E865" t="s">
        <v>2690</v>
      </c>
      <c r="F865">
        <v>21</v>
      </c>
      <c r="G865">
        <v>773333</v>
      </c>
      <c r="H865">
        <v>773333</v>
      </c>
      <c r="I865" t="s">
        <v>8</v>
      </c>
      <c r="J865">
        <v>0</v>
      </c>
      <c r="K865">
        <v>0</v>
      </c>
      <c r="L865">
        <v>0</v>
      </c>
      <c r="M865">
        <v>0</v>
      </c>
    </row>
    <row r="866" spans="1:13" ht="15" customHeight="1" x14ac:dyDescent="0.25">
      <c r="A866" t="s">
        <v>1459</v>
      </c>
      <c r="B866" t="s">
        <v>2531</v>
      </c>
      <c r="C866">
        <v>0</v>
      </c>
      <c r="D866" t="s">
        <v>2678</v>
      </c>
      <c r="E866" t="s">
        <v>2677</v>
      </c>
      <c r="F866">
        <v>22</v>
      </c>
      <c r="G866" t="s">
        <v>8</v>
      </c>
      <c r="H866">
        <v>0</v>
      </c>
      <c r="I866">
        <v>0</v>
      </c>
      <c r="J866">
        <v>0</v>
      </c>
      <c r="K866">
        <v>0</v>
      </c>
      <c r="L866">
        <v>0</v>
      </c>
      <c r="M866">
        <v>0</v>
      </c>
    </row>
    <row r="867" spans="1:13" ht="15" customHeight="1" x14ac:dyDescent="0.25">
      <c r="A867" t="s">
        <v>2763</v>
      </c>
      <c r="B867" t="s">
        <v>29</v>
      </c>
      <c r="C867" t="s">
        <v>420</v>
      </c>
      <c r="D867" t="s">
        <v>73</v>
      </c>
      <c r="E867" t="s">
        <v>2677</v>
      </c>
      <c r="F867">
        <v>33</v>
      </c>
      <c r="G867">
        <v>9500000</v>
      </c>
      <c r="H867">
        <v>9500000</v>
      </c>
      <c r="I867">
        <v>9500000</v>
      </c>
      <c r="J867" t="s">
        <v>7</v>
      </c>
      <c r="K867">
        <v>0</v>
      </c>
      <c r="L867">
        <v>0</v>
      </c>
      <c r="M867">
        <v>0</v>
      </c>
    </row>
    <row r="868" spans="1:13" ht="15" customHeight="1" x14ac:dyDescent="0.25">
      <c r="A868" t="s">
        <v>2252</v>
      </c>
      <c r="B868" t="s">
        <v>18</v>
      </c>
      <c r="C868">
        <v>0</v>
      </c>
      <c r="D868" t="s">
        <v>2452</v>
      </c>
      <c r="E868" t="s">
        <v>2446</v>
      </c>
      <c r="F868">
        <v>30</v>
      </c>
      <c r="G868">
        <v>700000</v>
      </c>
      <c r="H868" t="s">
        <v>7</v>
      </c>
      <c r="I868">
        <v>0</v>
      </c>
      <c r="J868">
        <v>0</v>
      </c>
      <c r="K868">
        <v>0</v>
      </c>
      <c r="L868">
        <v>0</v>
      </c>
      <c r="M868">
        <v>0</v>
      </c>
    </row>
    <row r="869" spans="1:13" ht="15" customHeight="1" x14ac:dyDescent="0.25">
      <c r="A869" t="s">
        <v>2649</v>
      </c>
      <c r="B869" t="s">
        <v>24</v>
      </c>
      <c r="C869" t="s">
        <v>386</v>
      </c>
      <c r="D869" t="s">
        <v>2440</v>
      </c>
      <c r="E869" t="s">
        <v>2446</v>
      </c>
      <c r="F869">
        <v>21</v>
      </c>
      <c r="G869">
        <v>925000</v>
      </c>
      <c r="H869">
        <v>925000</v>
      </c>
      <c r="I869">
        <v>925000</v>
      </c>
      <c r="J869" t="s">
        <v>8</v>
      </c>
      <c r="K869">
        <v>0</v>
      </c>
      <c r="L869">
        <v>0</v>
      </c>
      <c r="M869">
        <v>0</v>
      </c>
    </row>
    <row r="870" spans="1:13" ht="15" customHeight="1" x14ac:dyDescent="0.25">
      <c r="A870" t="s">
        <v>2211</v>
      </c>
      <c r="B870" t="s">
        <v>12</v>
      </c>
      <c r="C870">
        <v>0</v>
      </c>
      <c r="D870" t="s">
        <v>2450</v>
      </c>
      <c r="E870" t="s">
        <v>2439</v>
      </c>
      <c r="F870">
        <v>23</v>
      </c>
      <c r="G870" t="s">
        <v>8</v>
      </c>
      <c r="H870">
        <v>0</v>
      </c>
      <c r="I870">
        <v>0</v>
      </c>
      <c r="J870">
        <v>0</v>
      </c>
      <c r="K870">
        <v>0</v>
      </c>
      <c r="L870">
        <v>0</v>
      </c>
      <c r="M870">
        <v>0</v>
      </c>
    </row>
    <row r="871" spans="1:13" ht="15" customHeight="1" x14ac:dyDescent="0.25">
      <c r="A871" t="s">
        <v>1896</v>
      </c>
      <c r="B871" t="s">
        <v>18</v>
      </c>
      <c r="C871">
        <v>0</v>
      </c>
      <c r="D871" t="s">
        <v>2445</v>
      </c>
      <c r="E871" t="s">
        <v>2439</v>
      </c>
      <c r="F871">
        <v>29</v>
      </c>
      <c r="G871">
        <v>2250000</v>
      </c>
      <c r="H871" t="s">
        <v>7</v>
      </c>
      <c r="I871">
        <v>0</v>
      </c>
      <c r="J871">
        <v>0</v>
      </c>
      <c r="K871">
        <v>0</v>
      </c>
      <c r="L871">
        <v>0</v>
      </c>
      <c r="M871">
        <v>0</v>
      </c>
    </row>
    <row r="872" spans="1:13" x14ac:dyDescent="0.25">
      <c r="A872" t="s">
        <v>2124</v>
      </c>
      <c r="B872" t="s">
        <v>6</v>
      </c>
      <c r="C872" t="s">
        <v>381</v>
      </c>
      <c r="D872" t="s">
        <v>2444</v>
      </c>
      <c r="E872" t="s">
        <v>2439</v>
      </c>
      <c r="F872">
        <v>27</v>
      </c>
      <c r="G872">
        <v>4100000</v>
      </c>
      <c r="H872">
        <v>4100000</v>
      </c>
      <c r="I872">
        <v>4100000</v>
      </c>
      <c r="J872" t="s">
        <v>7</v>
      </c>
      <c r="K872">
        <v>0</v>
      </c>
      <c r="L872">
        <v>0</v>
      </c>
      <c r="M872">
        <v>0</v>
      </c>
    </row>
    <row r="873" spans="1:13" ht="15" customHeight="1" x14ac:dyDescent="0.25">
      <c r="A873" t="s">
        <v>1424</v>
      </c>
      <c r="B873" t="s">
        <v>17</v>
      </c>
      <c r="C873">
        <v>0</v>
      </c>
      <c r="D873" t="s">
        <v>2441</v>
      </c>
      <c r="E873" t="s">
        <v>2439</v>
      </c>
      <c r="F873">
        <v>24</v>
      </c>
      <c r="G873">
        <v>3300000</v>
      </c>
      <c r="H873" t="s">
        <v>8</v>
      </c>
      <c r="I873">
        <v>0</v>
      </c>
      <c r="J873">
        <v>0</v>
      </c>
      <c r="K873">
        <v>0</v>
      </c>
      <c r="L873">
        <v>0</v>
      </c>
      <c r="M873">
        <v>0</v>
      </c>
    </row>
    <row r="874" spans="1:13" ht="15" customHeight="1" x14ac:dyDescent="0.25">
      <c r="A874" t="s">
        <v>2235</v>
      </c>
      <c r="B874" t="s">
        <v>18</v>
      </c>
      <c r="C874" t="s">
        <v>386</v>
      </c>
      <c r="D874" t="s">
        <v>2444</v>
      </c>
      <c r="E874" t="s">
        <v>2446</v>
      </c>
      <c r="F874">
        <v>23</v>
      </c>
      <c r="G874">
        <v>925000</v>
      </c>
      <c r="H874" t="s">
        <v>8</v>
      </c>
      <c r="I874">
        <v>0</v>
      </c>
      <c r="J874">
        <v>0</v>
      </c>
      <c r="K874">
        <v>0</v>
      </c>
      <c r="L874">
        <v>0</v>
      </c>
      <c r="M874">
        <v>0</v>
      </c>
    </row>
    <row r="875" spans="1:13" ht="15" customHeight="1" x14ac:dyDescent="0.25">
      <c r="A875" t="s">
        <v>1344</v>
      </c>
      <c r="B875" t="s">
        <v>9</v>
      </c>
      <c r="C875" t="s">
        <v>420</v>
      </c>
      <c r="D875" t="s">
        <v>2440</v>
      </c>
      <c r="E875" t="s">
        <v>2439</v>
      </c>
      <c r="F875">
        <v>31</v>
      </c>
      <c r="G875">
        <v>6125000</v>
      </c>
      <c r="H875">
        <v>6125000</v>
      </c>
      <c r="I875">
        <v>6125000</v>
      </c>
      <c r="J875">
        <v>6125000</v>
      </c>
      <c r="K875">
        <v>6125000</v>
      </c>
      <c r="L875">
        <v>6125000</v>
      </c>
      <c r="M875" t="s">
        <v>7</v>
      </c>
    </row>
    <row r="876" spans="1:13" ht="15" customHeight="1" x14ac:dyDescent="0.25">
      <c r="A876" t="s">
        <v>2367</v>
      </c>
      <c r="B876" t="s">
        <v>135</v>
      </c>
      <c r="C876" t="s">
        <v>381</v>
      </c>
      <c r="D876" t="s">
        <v>2689</v>
      </c>
      <c r="E876" t="s">
        <v>2677</v>
      </c>
      <c r="F876">
        <v>28</v>
      </c>
      <c r="G876">
        <v>5000000</v>
      </c>
      <c r="H876">
        <v>5000000</v>
      </c>
      <c r="I876">
        <v>5000000</v>
      </c>
      <c r="J876">
        <v>5000000</v>
      </c>
      <c r="K876">
        <v>5000000</v>
      </c>
      <c r="L876" t="s">
        <v>7</v>
      </c>
      <c r="M876">
        <v>0</v>
      </c>
    </row>
    <row r="877" spans="1:13" ht="15" customHeight="1" x14ac:dyDescent="0.25">
      <c r="A877" t="s">
        <v>1614</v>
      </c>
      <c r="B877" t="s">
        <v>33</v>
      </c>
      <c r="C877" t="s">
        <v>386</v>
      </c>
      <c r="D877" t="s">
        <v>93</v>
      </c>
      <c r="E877" t="s">
        <v>2690</v>
      </c>
      <c r="F877">
        <v>24</v>
      </c>
      <c r="G877">
        <v>925000</v>
      </c>
      <c r="H877" t="s">
        <v>8</v>
      </c>
      <c r="I877">
        <v>0</v>
      </c>
      <c r="J877">
        <v>0</v>
      </c>
      <c r="K877">
        <v>0</v>
      </c>
      <c r="L877">
        <v>0</v>
      </c>
      <c r="M877">
        <v>0</v>
      </c>
    </row>
    <row r="878" spans="1:13" ht="15" customHeight="1" x14ac:dyDescent="0.25">
      <c r="A878" t="s">
        <v>1611</v>
      </c>
      <c r="B878" t="s">
        <v>33</v>
      </c>
      <c r="C878">
        <v>0</v>
      </c>
      <c r="D878" t="s">
        <v>380</v>
      </c>
      <c r="E878" t="s">
        <v>2677</v>
      </c>
      <c r="F878">
        <v>27</v>
      </c>
      <c r="G878">
        <v>700000</v>
      </c>
      <c r="H878" t="s">
        <v>7</v>
      </c>
      <c r="I878">
        <v>0</v>
      </c>
      <c r="J878">
        <v>0</v>
      </c>
      <c r="K878">
        <v>0</v>
      </c>
      <c r="L878">
        <v>0</v>
      </c>
      <c r="M878">
        <v>0</v>
      </c>
    </row>
    <row r="879" spans="1:13" ht="15" customHeight="1" x14ac:dyDescent="0.25">
      <c r="A879" t="s">
        <v>2704</v>
      </c>
      <c r="B879" t="s">
        <v>29</v>
      </c>
      <c r="C879" t="s">
        <v>386</v>
      </c>
      <c r="D879" t="s">
        <v>82</v>
      </c>
      <c r="E879" t="s">
        <v>2690</v>
      </c>
      <c r="F879">
        <v>22</v>
      </c>
      <c r="G879">
        <v>1775000</v>
      </c>
      <c r="H879">
        <v>1775000</v>
      </c>
      <c r="I879" t="s">
        <v>8</v>
      </c>
      <c r="J879">
        <v>0</v>
      </c>
      <c r="K879">
        <v>0</v>
      </c>
      <c r="L879">
        <v>0</v>
      </c>
      <c r="M879">
        <v>0</v>
      </c>
    </row>
    <row r="880" spans="1:13" ht="15" customHeight="1" x14ac:dyDescent="0.25">
      <c r="A880" t="s">
        <v>2858</v>
      </c>
      <c r="B880" t="s">
        <v>34</v>
      </c>
      <c r="C880">
        <v>0</v>
      </c>
      <c r="D880" t="s">
        <v>127</v>
      </c>
      <c r="E880" t="s">
        <v>2439</v>
      </c>
      <c r="F880">
        <v>29</v>
      </c>
      <c r="G880">
        <v>3666667</v>
      </c>
      <c r="H880" t="s">
        <v>7</v>
      </c>
      <c r="I880">
        <v>0</v>
      </c>
      <c r="J880">
        <v>0</v>
      </c>
      <c r="K880">
        <v>0</v>
      </c>
      <c r="L880">
        <v>0</v>
      </c>
      <c r="M880">
        <v>0</v>
      </c>
    </row>
    <row r="881" spans="1:13" ht="15" customHeight="1" x14ac:dyDescent="0.25">
      <c r="A881" t="s">
        <v>2726</v>
      </c>
      <c r="B881" t="s">
        <v>11</v>
      </c>
      <c r="C881">
        <v>0</v>
      </c>
      <c r="D881">
        <v>0</v>
      </c>
      <c r="E881">
        <v>0</v>
      </c>
      <c r="F881">
        <v>0</v>
      </c>
      <c r="G881">
        <v>0</v>
      </c>
      <c r="H881">
        <v>0</v>
      </c>
      <c r="I881">
        <v>0</v>
      </c>
      <c r="J881">
        <v>0</v>
      </c>
      <c r="K881">
        <v>0</v>
      </c>
      <c r="L881">
        <v>0</v>
      </c>
      <c r="M881">
        <v>0</v>
      </c>
    </row>
    <row r="882" spans="1:13" ht="15" customHeight="1" x14ac:dyDescent="0.25">
      <c r="A882" t="s">
        <v>1591</v>
      </c>
      <c r="B882" t="s">
        <v>33</v>
      </c>
      <c r="C882">
        <v>0</v>
      </c>
      <c r="D882" t="s">
        <v>88</v>
      </c>
      <c r="E882" t="s">
        <v>2677</v>
      </c>
      <c r="F882">
        <v>22</v>
      </c>
      <c r="G882" t="s">
        <v>8</v>
      </c>
      <c r="H882">
        <v>0</v>
      </c>
      <c r="I882">
        <v>0</v>
      </c>
      <c r="J882">
        <v>0</v>
      </c>
      <c r="K882">
        <v>0</v>
      </c>
      <c r="L882">
        <v>0</v>
      </c>
      <c r="M882">
        <v>0</v>
      </c>
    </row>
    <row r="883" spans="1:13" ht="15" customHeight="1" x14ac:dyDescent="0.25">
      <c r="A883" t="s">
        <v>2232</v>
      </c>
      <c r="B883" t="s">
        <v>18</v>
      </c>
      <c r="C883" t="s">
        <v>386</v>
      </c>
      <c r="D883" t="s">
        <v>2448</v>
      </c>
      <c r="E883" t="s">
        <v>2446</v>
      </c>
      <c r="F883">
        <v>22</v>
      </c>
      <c r="G883">
        <v>1000000</v>
      </c>
      <c r="H883">
        <v>1000000</v>
      </c>
      <c r="I883" t="s">
        <v>8</v>
      </c>
      <c r="J883">
        <v>0</v>
      </c>
      <c r="K883">
        <v>0</v>
      </c>
      <c r="L883">
        <v>0</v>
      </c>
      <c r="M883">
        <v>0</v>
      </c>
    </row>
    <row r="884" spans="1:13" ht="15" customHeight="1" x14ac:dyDescent="0.25">
      <c r="A884" t="s">
        <v>1815</v>
      </c>
      <c r="B884" t="s">
        <v>32</v>
      </c>
      <c r="C884">
        <v>0</v>
      </c>
      <c r="D884" t="s">
        <v>2440</v>
      </c>
      <c r="E884" t="s">
        <v>2439</v>
      </c>
      <c r="F884">
        <v>24</v>
      </c>
      <c r="G884">
        <v>700000</v>
      </c>
      <c r="H884" t="s">
        <v>8</v>
      </c>
      <c r="I884">
        <v>0</v>
      </c>
      <c r="J884">
        <v>0</v>
      </c>
      <c r="K884">
        <v>0</v>
      </c>
      <c r="L884">
        <v>0</v>
      </c>
      <c r="M884">
        <v>0</v>
      </c>
    </row>
    <row r="885" spans="1:13" ht="15" customHeight="1" x14ac:dyDescent="0.25">
      <c r="A885" t="s">
        <v>1729</v>
      </c>
      <c r="B885" t="s">
        <v>25</v>
      </c>
      <c r="C885">
        <v>0</v>
      </c>
      <c r="D885" t="s">
        <v>2442</v>
      </c>
      <c r="E885" t="s">
        <v>2439</v>
      </c>
      <c r="F885">
        <v>30</v>
      </c>
      <c r="G885">
        <v>2500000</v>
      </c>
      <c r="H885" t="s">
        <v>7</v>
      </c>
      <c r="I885">
        <v>0</v>
      </c>
      <c r="J885">
        <v>0</v>
      </c>
      <c r="K885">
        <v>0</v>
      </c>
      <c r="L885">
        <v>0</v>
      </c>
      <c r="M885">
        <v>0</v>
      </c>
    </row>
    <row r="886" spans="1:13" ht="15" customHeight="1" x14ac:dyDescent="0.25">
      <c r="A886" t="s">
        <v>1948</v>
      </c>
      <c r="B886" t="s">
        <v>32</v>
      </c>
      <c r="C886">
        <v>0</v>
      </c>
      <c r="D886" t="s">
        <v>127</v>
      </c>
      <c r="E886" t="s">
        <v>2446</v>
      </c>
      <c r="F886">
        <v>24</v>
      </c>
      <c r="G886">
        <v>700000</v>
      </c>
      <c r="H886" t="s">
        <v>8</v>
      </c>
      <c r="I886">
        <v>0</v>
      </c>
      <c r="J886">
        <v>0</v>
      </c>
      <c r="K886">
        <v>0</v>
      </c>
      <c r="L886">
        <v>0</v>
      </c>
      <c r="M886">
        <v>0</v>
      </c>
    </row>
    <row r="887" spans="1:13" ht="15" customHeight="1" x14ac:dyDescent="0.25">
      <c r="A887" t="s">
        <v>2263</v>
      </c>
      <c r="B887" t="s">
        <v>20</v>
      </c>
      <c r="C887">
        <v>0</v>
      </c>
      <c r="D887" t="s">
        <v>2444</v>
      </c>
      <c r="E887" t="s">
        <v>2439</v>
      </c>
      <c r="F887">
        <v>32</v>
      </c>
      <c r="G887">
        <v>4000000</v>
      </c>
      <c r="H887">
        <v>4000000</v>
      </c>
      <c r="I887" t="s">
        <v>7</v>
      </c>
      <c r="J887">
        <v>0</v>
      </c>
      <c r="K887">
        <v>0</v>
      </c>
      <c r="L887">
        <v>0</v>
      </c>
      <c r="M887">
        <v>0</v>
      </c>
    </row>
    <row r="888" spans="1:13" ht="15" customHeight="1" x14ac:dyDescent="0.25">
      <c r="A888" t="s">
        <v>1621</v>
      </c>
      <c r="B888" t="s">
        <v>11</v>
      </c>
      <c r="C888">
        <v>0</v>
      </c>
      <c r="D888" t="s">
        <v>2494</v>
      </c>
      <c r="E888" t="s">
        <v>2439</v>
      </c>
      <c r="F888">
        <v>27</v>
      </c>
      <c r="G888">
        <v>2000000</v>
      </c>
      <c r="H888">
        <v>2000000</v>
      </c>
      <c r="I888" t="s">
        <v>7</v>
      </c>
      <c r="J888">
        <v>0</v>
      </c>
      <c r="K888">
        <v>0</v>
      </c>
      <c r="L888">
        <v>0</v>
      </c>
      <c r="M888">
        <v>0</v>
      </c>
    </row>
    <row r="889" spans="1:13" ht="15" customHeight="1" x14ac:dyDescent="0.25">
      <c r="A889" t="s">
        <v>2740</v>
      </c>
      <c r="B889" t="s">
        <v>6</v>
      </c>
      <c r="C889">
        <v>0</v>
      </c>
      <c r="D889" t="s">
        <v>73</v>
      </c>
      <c r="E889" t="s">
        <v>2446</v>
      </c>
      <c r="F889">
        <v>29</v>
      </c>
      <c r="G889">
        <v>750000</v>
      </c>
      <c r="H889" t="s">
        <v>7</v>
      </c>
      <c r="I889">
        <v>0</v>
      </c>
      <c r="J889">
        <v>0</v>
      </c>
      <c r="K889">
        <v>0</v>
      </c>
      <c r="L889">
        <v>0</v>
      </c>
      <c r="M889">
        <v>0</v>
      </c>
    </row>
    <row r="890" spans="1:13" ht="15" customHeight="1" x14ac:dyDescent="0.25">
      <c r="A890" t="s">
        <v>1971</v>
      </c>
      <c r="B890" t="s">
        <v>16</v>
      </c>
      <c r="C890" t="s">
        <v>386</v>
      </c>
      <c r="D890" t="s">
        <v>2679</v>
      </c>
      <c r="E890" t="s">
        <v>2690</v>
      </c>
      <c r="F890">
        <v>21</v>
      </c>
      <c r="G890">
        <v>880000</v>
      </c>
      <c r="H890">
        <v>880000</v>
      </c>
      <c r="I890" t="s">
        <v>8</v>
      </c>
      <c r="J890">
        <v>0</v>
      </c>
      <c r="K890">
        <v>0</v>
      </c>
      <c r="L890">
        <v>0</v>
      </c>
      <c r="M890">
        <v>0</v>
      </c>
    </row>
    <row r="891" spans="1:13" ht="15" customHeight="1" x14ac:dyDescent="0.25">
      <c r="A891" t="s">
        <v>1570</v>
      </c>
      <c r="B891" t="s">
        <v>32</v>
      </c>
      <c r="C891">
        <v>0</v>
      </c>
      <c r="D891" t="s">
        <v>82</v>
      </c>
      <c r="E891" t="s">
        <v>2446</v>
      </c>
      <c r="F891">
        <v>23</v>
      </c>
      <c r="G891">
        <v>700000</v>
      </c>
      <c r="H891" t="s">
        <v>8</v>
      </c>
      <c r="I891">
        <v>0</v>
      </c>
      <c r="J891">
        <v>0</v>
      </c>
      <c r="K891">
        <v>0</v>
      </c>
      <c r="L891">
        <v>0</v>
      </c>
      <c r="M891">
        <v>0</v>
      </c>
    </row>
    <row r="892" spans="1:13" ht="15" customHeight="1" x14ac:dyDescent="0.25">
      <c r="A892" t="s">
        <v>2719</v>
      </c>
      <c r="B892" t="s">
        <v>2531</v>
      </c>
      <c r="C892" t="s">
        <v>386</v>
      </c>
      <c r="D892" t="s">
        <v>82</v>
      </c>
      <c r="E892" t="s">
        <v>2690</v>
      </c>
      <c r="F892">
        <v>22</v>
      </c>
      <c r="G892">
        <v>770000</v>
      </c>
      <c r="H892">
        <v>770000</v>
      </c>
      <c r="I892" t="s">
        <v>8</v>
      </c>
      <c r="J892">
        <v>0</v>
      </c>
      <c r="K892">
        <v>0</v>
      </c>
      <c r="L892">
        <v>0</v>
      </c>
      <c r="M892">
        <v>0</v>
      </c>
    </row>
    <row r="893" spans="1:13" ht="15" customHeight="1" x14ac:dyDescent="0.25">
      <c r="A893" t="s">
        <v>1460</v>
      </c>
      <c r="B893" t="s">
        <v>2531</v>
      </c>
      <c r="C893">
        <v>0</v>
      </c>
      <c r="D893" t="s">
        <v>380</v>
      </c>
      <c r="E893" t="s">
        <v>2677</v>
      </c>
      <c r="F893">
        <v>25</v>
      </c>
      <c r="G893">
        <v>4875000</v>
      </c>
      <c r="H893">
        <v>4875000</v>
      </c>
      <c r="I893">
        <v>4875000</v>
      </c>
      <c r="J893">
        <v>4875000</v>
      </c>
      <c r="K893">
        <v>4875000</v>
      </c>
      <c r="L893">
        <v>4875000</v>
      </c>
      <c r="M893">
        <v>4875000</v>
      </c>
    </row>
    <row r="894" spans="1:13" ht="15" customHeight="1" x14ac:dyDescent="0.25">
      <c r="A894" t="s">
        <v>2611</v>
      </c>
      <c r="B894" t="s">
        <v>11</v>
      </c>
      <c r="C894" t="s">
        <v>386</v>
      </c>
      <c r="D894" t="s">
        <v>73</v>
      </c>
      <c r="E894" t="s">
        <v>2446</v>
      </c>
      <c r="F894">
        <v>20</v>
      </c>
      <c r="G894">
        <v>925000</v>
      </c>
      <c r="H894">
        <v>925000</v>
      </c>
      <c r="I894">
        <v>925000</v>
      </c>
      <c r="J894" t="s">
        <v>8</v>
      </c>
      <c r="K894">
        <v>0</v>
      </c>
      <c r="L894">
        <v>0</v>
      </c>
      <c r="M894">
        <v>0</v>
      </c>
    </row>
    <row r="895" spans="1:13" ht="15" customHeight="1" x14ac:dyDescent="0.25">
      <c r="A895" t="s">
        <v>1590</v>
      </c>
      <c r="B895" t="s">
        <v>33</v>
      </c>
      <c r="C895">
        <v>0</v>
      </c>
      <c r="D895" t="s">
        <v>73</v>
      </c>
      <c r="E895" t="s">
        <v>2677</v>
      </c>
      <c r="F895">
        <v>21</v>
      </c>
      <c r="G895">
        <v>11634000</v>
      </c>
      <c r="H895">
        <v>11634000</v>
      </c>
      <c r="I895">
        <v>11634000</v>
      </c>
      <c r="J895">
        <v>11634000</v>
      </c>
      <c r="K895">
        <v>11634000</v>
      </c>
      <c r="L895" t="s">
        <v>7</v>
      </c>
      <c r="M895">
        <v>0</v>
      </c>
    </row>
    <row r="896" spans="1:13" ht="15" customHeight="1" x14ac:dyDescent="0.25">
      <c r="A896" t="s">
        <v>1739</v>
      </c>
      <c r="B896" t="s">
        <v>25</v>
      </c>
      <c r="C896">
        <v>0</v>
      </c>
      <c r="D896" t="s">
        <v>2444</v>
      </c>
      <c r="E896" t="s">
        <v>2439</v>
      </c>
      <c r="F896">
        <v>26</v>
      </c>
      <c r="G896">
        <v>1450000</v>
      </c>
      <c r="H896">
        <v>1450000</v>
      </c>
      <c r="I896">
        <v>1450000</v>
      </c>
      <c r="J896">
        <v>1450000</v>
      </c>
      <c r="K896" t="s">
        <v>7</v>
      </c>
      <c r="L896">
        <v>0</v>
      </c>
      <c r="M896">
        <v>0</v>
      </c>
    </row>
    <row r="897" spans="1:13" ht="15" customHeight="1" x14ac:dyDescent="0.25">
      <c r="A897" t="s">
        <v>2617</v>
      </c>
      <c r="B897" t="s">
        <v>21</v>
      </c>
      <c r="C897">
        <v>0</v>
      </c>
      <c r="D897" t="s">
        <v>2448</v>
      </c>
      <c r="E897" t="s">
        <v>2446</v>
      </c>
      <c r="F897">
        <v>26</v>
      </c>
      <c r="G897">
        <v>700000</v>
      </c>
      <c r="H897">
        <v>700000</v>
      </c>
      <c r="I897" t="s">
        <v>7</v>
      </c>
      <c r="J897">
        <v>0</v>
      </c>
      <c r="K897">
        <v>0</v>
      </c>
      <c r="L897">
        <v>0</v>
      </c>
      <c r="M897">
        <v>0</v>
      </c>
    </row>
    <row r="898" spans="1:13" ht="15" customHeight="1" x14ac:dyDescent="0.25">
      <c r="A898" t="s">
        <v>2186</v>
      </c>
      <c r="B898" t="s">
        <v>63</v>
      </c>
      <c r="C898">
        <v>0</v>
      </c>
      <c r="D898" t="s">
        <v>379</v>
      </c>
      <c r="E898" t="s">
        <v>2690</v>
      </c>
      <c r="F898">
        <v>22</v>
      </c>
      <c r="G898">
        <v>715000</v>
      </c>
      <c r="H898" t="s">
        <v>8</v>
      </c>
      <c r="I898">
        <v>0</v>
      </c>
      <c r="J898">
        <v>0</v>
      </c>
      <c r="K898">
        <v>0</v>
      </c>
      <c r="L898">
        <v>0</v>
      </c>
      <c r="M898">
        <v>0</v>
      </c>
    </row>
    <row r="899" spans="1:13" ht="15" customHeight="1" x14ac:dyDescent="0.25">
      <c r="A899" t="s">
        <v>1357</v>
      </c>
      <c r="B899" t="s">
        <v>9</v>
      </c>
      <c r="C899">
        <v>0</v>
      </c>
      <c r="D899" t="s">
        <v>2444</v>
      </c>
      <c r="E899" t="s">
        <v>2439</v>
      </c>
      <c r="F899">
        <v>21</v>
      </c>
      <c r="G899" t="s">
        <v>8</v>
      </c>
      <c r="H899">
        <v>0</v>
      </c>
      <c r="I899">
        <v>0</v>
      </c>
      <c r="J899">
        <v>0</v>
      </c>
      <c r="K899">
        <v>0</v>
      </c>
      <c r="L899">
        <v>0</v>
      </c>
      <c r="M899">
        <v>0</v>
      </c>
    </row>
    <row r="900" spans="1:13" ht="15" customHeight="1" x14ac:dyDescent="0.25">
      <c r="A900" t="s">
        <v>1397</v>
      </c>
      <c r="B900" t="s">
        <v>10</v>
      </c>
      <c r="C900">
        <v>0</v>
      </c>
      <c r="D900" t="s">
        <v>380</v>
      </c>
      <c r="E900" t="s">
        <v>2677</v>
      </c>
      <c r="F900">
        <v>25</v>
      </c>
      <c r="G900">
        <v>2850000</v>
      </c>
      <c r="H900">
        <v>2850000</v>
      </c>
      <c r="I900" t="s">
        <v>7</v>
      </c>
      <c r="J900">
        <v>0</v>
      </c>
      <c r="K900">
        <v>0</v>
      </c>
      <c r="L900">
        <v>0</v>
      </c>
      <c r="M900">
        <v>0</v>
      </c>
    </row>
    <row r="901" spans="1:13" ht="15" customHeight="1" x14ac:dyDescent="0.25">
      <c r="A901" t="s">
        <v>1456</v>
      </c>
      <c r="B901" t="s">
        <v>29</v>
      </c>
      <c r="C901">
        <v>0</v>
      </c>
      <c r="D901" t="s">
        <v>2696</v>
      </c>
      <c r="E901" t="s">
        <v>2677</v>
      </c>
      <c r="F901">
        <v>23</v>
      </c>
      <c r="G901">
        <v>1250000</v>
      </c>
      <c r="H901" t="s">
        <v>8</v>
      </c>
      <c r="I901">
        <v>0</v>
      </c>
      <c r="J901">
        <v>0</v>
      </c>
      <c r="K901">
        <v>0</v>
      </c>
      <c r="L901">
        <v>0</v>
      </c>
      <c r="M901">
        <v>0</v>
      </c>
    </row>
    <row r="902" spans="1:13" ht="15" customHeight="1" x14ac:dyDescent="0.25">
      <c r="A902" t="s">
        <v>1500</v>
      </c>
      <c r="B902" t="s">
        <v>22</v>
      </c>
      <c r="C902">
        <v>0</v>
      </c>
      <c r="D902" t="s">
        <v>2453</v>
      </c>
      <c r="E902" t="s">
        <v>2446</v>
      </c>
      <c r="F902">
        <v>24</v>
      </c>
      <c r="G902">
        <v>700000</v>
      </c>
      <c r="H902" t="s">
        <v>8</v>
      </c>
      <c r="I902">
        <v>0</v>
      </c>
      <c r="J902">
        <v>0</v>
      </c>
      <c r="K902">
        <v>0</v>
      </c>
      <c r="L902">
        <v>0</v>
      </c>
      <c r="M902">
        <v>0</v>
      </c>
    </row>
    <row r="903" spans="1:13" ht="15" customHeight="1" x14ac:dyDescent="0.25">
      <c r="A903" t="s">
        <v>2727</v>
      </c>
      <c r="B903" t="s">
        <v>11</v>
      </c>
      <c r="C903">
        <v>0</v>
      </c>
      <c r="D903" t="s">
        <v>2440</v>
      </c>
      <c r="E903" t="s">
        <v>2446</v>
      </c>
      <c r="F903">
        <v>27</v>
      </c>
      <c r="G903">
        <v>700000</v>
      </c>
      <c r="H903" t="s">
        <v>7</v>
      </c>
      <c r="I903">
        <v>0</v>
      </c>
      <c r="J903">
        <v>0</v>
      </c>
      <c r="K903">
        <v>0</v>
      </c>
      <c r="L903">
        <v>0</v>
      </c>
      <c r="M903">
        <v>0</v>
      </c>
    </row>
    <row r="904" spans="1:13" ht="15" customHeight="1" x14ac:dyDescent="0.25">
      <c r="A904" t="s">
        <v>1462</v>
      </c>
      <c r="B904" t="s">
        <v>2531</v>
      </c>
      <c r="C904">
        <v>0</v>
      </c>
      <c r="D904" t="s">
        <v>380</v>
      </c>
      <c r="E904" t="s">
        <v>2677</v>
      </c>
      <c r="F904">
        <v>24</v>
      </c>
      <c r="G904">
        <v>700000</v>
      </c>
      <c r="H904" t="s">
        <v>8</v>
      </c>
      <c r="I904">
        <v>0</v>
      </c>
      <c r="J904">
        <v>0</v>
      </c>
      <c r="K904">
        <v>0</v>
      </c>
      <c r="L904">
        <v>0</v>
      </c>
      <c r="M904">
        <v>0</v>
      </c>
    </row>
    <row r="905" spans="1:13" ht="15" customHeight="1" x14ac:dyDescent="0.25">
      <c r="A905" t="s">
        <v>2832</v>
      </c>
      <c r="B905" t="s">
        <v>18</v>
      </c>
      <c r="C905">
        <v>0</v>
      </c>
      <c r="D905" t="s">
        <v>73</v>
      </c>
      <c r="E905" t="s">
        <v>2439</v>
      </c>
      <c r="F905">
        <v>22</v>
      </c>
      <c r="G905">
        <v>12500000</v>
      </c>
      <c r="H905">
        <v>12500000</v>
      </c>
      <c r="I905">
        <v>12500000</v>
      </c>
      <c r="J905">
        <v>12500000</v>
      </c>
      <c r="K905">
        <v>12500000</v>
      </c>
      <c r="L905">
        <v>12500000</v>
      </c>
      <c r="M905">
        <v>12500000</v>
      </c>
    </row>
    <row r="906" spans="1:13" ht="15" customHeight="1" x14ac:dyDescent="0.25">
      <c r="A906" t="s">
        <v>1557</v>
      </c>
      <c r="B906" t="s">
        <v>32</v>
      </c>
      <c r="C906" t="s">
        <v>372</v>
      </c>
      <c r="D906" t="s">
        <v>2445</v>
      </c>
      <c r="E906" t="s">
        <v>2439</v>
      </c>
      <c r="F906">
        <v>30</v>
      </c>
      <c r="G906">
        <v>6750000</v>
      </c>
      <c r="H906">
        <v>6750000</v>
      </c>
      <c r="I906">
        <v>6750000</v>
      </c>
      <c r="J906">
        <v>6750000</v>
      </c>
      <c r="K906">
        <v>6750000</v>
      </c>
      <c r="L906">
        <v>6750000</v>
      </c>
      <c r="M906">
        <v>6750000</v>
      </c>
    </row>
    <row r="907" spans="1:13" ht="15" customHeight="1" x14ac:dyDescent="0.25">
      <c r="A907" t="s">
        <v>1609</v>
      </c>
      <c r="B907" t="s">
        <v>32</v>
      </c>
      <c r="C907" t="s">
        <v>2511</v>
      </c>
      <c r="D907" t="s">
        <v>127</v>
      </c>
      <c r="E907" t="s">
        <v>2439</v>
      </c>
      <c r="F907">
        <v>36</v>
      </c>
      <c r="G907">
        <v>1300000</v>
      </c>
      <c r="H907">
        <v>1300000</v>
      </c>
      <c r="I907" t="s">
        <v>7</v>
      </c>
      <c r="J907">
        <v>0</v>
      </c>
      <c r="K907">
        <v>0</v>
      </c>
      <c r="L907">
        <v>0</v>
      </c>
      <c r="M907">
        <v>0</v>
      </c>
    </row>
    <row r="908" spans="1:13" ht="15" customHeight="1" x14ac:dyDescent="0.25">
      <c r="A908" t="s">
        <v>1624</v>
      </c>
      <c r="B908" t="s">
        <v>11</v>
      </c>
      <c r="C908">
        <v>0</v>
      </c>
      <c r="D908" t="s">
        <v>2442</v>
      </c>
      <c r="E908" t="s">
        <v>2439</v>
      </c>
      <c r="F908">
        <v>25</v>
      </c>
      <c r="G908">
        <v>2100000</v>
      </c>
      <c r="H908">
        <v>2100000</v>
      </c>
      <c r="I908" t="s">
        <v>7</v>
      </c>
      <c r="J908">
        <v>0</v>
      </c>
      <c r="K908">
        <v>0</v>
      </c>
      <c r="L908">
        <v>0</v>
      </c>
      <c r="M908">
        <v>0</v>
      </c>
    </row>
    <row r="909" spans="1:13" ht="15" customHeight="1" x14ac:dyDescent="0.25">
      <c r="A909" t="s">
        <v>2544</v>
      </c>
      <c r="B909" t="s">
        <v>30</v>
      </c>
      <c r="C909" t="s">
        <v>386</v>
      </c>
      <c r="D909" t="s">
        <v>73</v>
      </c>
      <c r="E909" t="s">
        <v>2446</v>
      </c>
      <c r="F909">
        <v>20</v>
      </c>
      <c r="G909">
        <v>855000</v>
      </c>
      <c r="H909">
        <v>855000</v>
      </c>
      <c r="I909">
        <v>855000</v>
      </c>
      <c r="J909" t="s">
        <v>8</v>
      </c>
      <c r="K909">
        <v>0</v>
      </c>
      <c r="L909">
        <v>0</v>
      </c>
      <c r="M909">
        <v>0</v>
      </c>
    </row>
    <row r="910" spans="1:13" ht="15" customHeight="1" x14ac:dyDescent="0.25">
      <c r="A910" t="s">
        <v>1450</v>
      </c>
      <c r="B910" t="s">
        <v>17</v>
      </c>
      <c r="C910">
        <v>0</v>
      </c>
      <c r="D910" t="s">
        <v>2444</v>
      </c>
      <c r="E910" t="s">
        <v>2446</v>
      </c>
      <c r="F910">
        <v>27</v>
      </c>
      <c r="G910">
        <v>700000</v>
      </c>
      <c r="H910">
        <v>700000</v>
      </c>
      <c r="I910" t="s">
        <v>7</v>
      </c>
      <c r="J910">
        <v>0</v>
      </c>
      <c r="K910">
        <v>0</v>
      </c>
      <c r="L910">
        <v>0</v>
      </c>
      <c r="M910">
        <v>0</v>
      </c>
    </row>
    <row r="911" spans="1:13" ht="15" customHeight="1" x14ac:dyDescent="0.25">
      <c r="A911" t="s">
        <v>1379</v>
      </c>
      <c r="B911" t="s">
        <v>34</v>
      </c>
      <c r="C911">
        <v>0</v>
      </c>
      <c r="D911" t="s">
        <v>127</v>
      </c>
      <c r="E911" t="s">
        <v>2446</v>
      </c>
      <c r="F911">
        <v>26</v>
      </c>
      <c r="G911">
        <v>700000</v>
      </c>
      <c r="H911" t="s">
        <v>7</v>
      </c>
      <c r="I911">
        <v>0</v>
      </c>
      <c r="J911">
        <v>0</v>
      </c>
      <c r="K911">
        <v>0</v>
      </c>
      <c r="L911">
        <v>0</v>
      </c>
      <c r="M911">
        <v>0</v>
      </c>
    </row>
    <row r="912" spans="1:13" ht="15" customHeight="1" x14ac:dyDescent="0.25">
      <c r="A912" t="s">
        <v>2529</v>
      </c>
      <c r="B912" t="s">
        <v>17</v>
      </c>
      <c r="C912" t="s">
        <v>388</v>
      </c>
      <c r="D912" t="s">
        <v>2445</v>
      </c>
      <c r="E912" t="s">
        <v>389</v>
      </c>
      <c r="F912">
        <v>19</v>
      </c>
      <c r="G912">
        <v>910833</v>
      </c>
      <c r="H912">
        <v>910833</v>
      </c>
      <c r="I912">
        <v>910833</v>
      </c>
      <c r="J912" t="s">
        <v>8</v>
      </c>
      <c r="K912">
        <v>0</v>
      </c>
      <c r="L912">
        <v>0</v>
      </c>
      <c r="M912">
        <v>0</v>
      </c>
    </row>
    <row r="913" spans="1:13" ht="15" customHeight="1" x14ac:dyDescent="0.25">
      <c r="A913" t="s">
        <v>1647</v>
      </c>
      <c r="B913" t="s">
        <v>26</v>
      </c>
      <c r="C913">
        <v>0</v>
      </c>
      <c r="D913" t="s">
        <v>2679</v>
      </c>
      <c r="E913" t="s">
        <v>2677</v>
      </c>
      <c r="F913">
        <v>27</v>
      </c>
      <c r="G913">
        <v>750000</v>
      </c>
      <c r="H913" t="s">
        <v>7</v>
      </c>
      <c r="I913">
        <v>0</v>
      </c>
      <c r="J913">
        <v>0</v>
      </c>
      <c r="K913">
        <v>0</v>
      </c>
      <c r="L913">
        <v>0</v>
      </c>
      <c r="M913">
        <v>0</v>
      </c>
    </row>
    <row r="914" spans="1:13" ht="15" customHeight="1" x14ac:dyDescent="0.25">
      <c r="A914" t="s">
        <v>2391</v>
      </c>
      <c r="B914" t="s">
        <v>135</v>
      </c>
      <c r="C914">
        <v>0</v>
      </c>
      <c r="D914" t="s">
        <v>93</v>
      </c>
      <c r="E914" t="s">
        <v>2677</v>
      </c>
      <c r="F914">
        <v>28</v>
      </c>
      <c r="G914">
        <v>750000</v>
      </c>
      <c r="H914" t="s">
        <v>7</v>
      </c>
      <c r="I914">
        <v>0</v>
      </c>
      <c r="J914">
        <v>0</v>
      </c>
      <c r="K914">
        <v>0</v>
      </c>
      <c r="L914">
        <v>0</v>
      </c>
      <c r="M914">
        <v>0</v>
      </c>
    </row>
    <row r="915" spans="1:13" ht="15" customHeight="1" x14ac:dyDescent="0.25">
      <c r="A915" t="s">
        <v>2108</v>
      </c>
      <c r="B915" t="s">
        <v>35</v>
      </c>
      <c r="C915" t="s">
        <v>386</v>
      </c>
      <c r="D915" t="s">
        <v>73</v>
      </c>
      <c r="E915" t="s">
        <v>2446</v>
      </c>
      <c r="F915">
        <v>21</v>
      </c>
      <c r="G915">
        <v>741666</v>
      </c>
      <c r="H915">
        <v>741666</v>
      </c>
      <c r="I915" t="s">
        <v>8</v>
      </c>
      <c r="J915">
        <v>0</v>
      </c>
      <c r="K915">
        <v>0</v>
      </c>
      <c r="L915">
        <v>0</v>
      </c>
      <c r="M915">
        <v>0</v>
      </c>
    </row>
    <row r="916" spans="1:13" ht="15" customHeight="1" x14ac:dyDescent="0.25">
      <c r="A916" t="s">
        <v>1641</v>
      </c>
      <c r="B916" t="s">
        <v>11</v>
      </c>
      <c r="C916">
        <v>0</v>
      </c>
      <c r="D916" t="s">
        <v>2444</v>
      </c>
      <c r="E916" t="s">
        <v>2446</v>
      </c>
      <c r="F916">
        <v>23</v>
      </c>
      <c r="G916" t="s">
        <v>8</v>
      </c>
      <c r="H916">
        <v>0</v>
      </c>
      <c r="I916">
        <v>0</v>
      </c>
      <c r="J916">
        <v>0</v>
      </c>
      <c r="K916">
        <v>0</v>
      </c>
      <c r="L916">
        <v>0</v>
      </c>
      <c r="M916">
        <v>0</v>
      </c>
    </row>
    <row r="917" spans="1:13" ht="15" customHeight="1" x14ac:dyDescent="0.25">
      <c r="A917" t="s">
        <v>1708</v>
      </c>
      <c r="B917" t="s">
        <v>24</v>
      </c>
      <c r="C917" t="s">
        <v>386</v>
      </c>
      <c r="D917" t="s">
        <v>73</v>
      </c>
      <c r="E917" t="s">
        <v>2446</v>
      </c>
      <c r="F917">
        <v>21</v>
      </c>
      <c r="G917">
        <v>1363333</v>
      </c>
      <c r="H917">
        <v>1363333</v>
      </c>
      <c r="I917" t="s">
        <v>8</v>
      </c>
      <c r="J917">
        <v>0</v>
      </c>
      <c r="K917">
        <v>0</v>
      </c>
      <c r="L917">
        <v>0</v>
      </c>
      <c r="M917">
        <v>0</v>
      </c>
    </row>
    <row r="918" spans="1:13" ht="15" customHeight="1" x14ac:dyDescent="0.25">
      <c r="A918" t="s">
        <v>2500</v>
      </c>
      <c r="B918" t="s">
        <v>18</v>
      </c>
      <c r="C918" t="s">
        <v>386</v>
      </c>
      <c r="D918" t="s">
        <v>73</v>
      </c>
      <c r="E918" t="s">
        <v>2446</v>
      </c>
      <c r="F918">
        <v>19</v>
      </c>
      <c r="G918">
        <v>925000</v>
      </c>
      <c r="H918">
        <v>925000</v>
      </c>
      <c r="I918">
        <v>925000</v>
      </c>
      <c r="J918" t="s">
        <v>8</v>
      </c>
      <c r="K918">
        <v>0</v>
      </c>
      <c r="L918">
        <v>0</v>
      </c>
      <c r="M918">
        <v>0</v>
      </c>
    </row>
    <row r="919" spans="1:13" ht="15" customHeight="1" x14ac:dyDescent="0.25">
      <c r="A919" t="s">
        <v>2697</v>
      </c>
      <c r="B919" t="s">
        <v>2503</v>
      </c>
      <c r="C919" t="s">
        <v>386</v>
      </c>
      <c r="D919" t="s">
        <v>73</v>
      </c>
      <c r="E919" t="s">
        <v>2690</v>
      </c>
      <c r="F919">
        <v>18</v>
      </c>
      <c r="G919">
        <v>925000</v>
      </c>
      <c r="H919">
        <v>925000</v>
      </c>
      <c r="I919">
        <v>925000</v>
      </c>
      <c r="J919" t="s">
        <v>8</v>
      </c>
      <c r="K919">
        <v>0</v>
      </c>
      <c r="L919">
        <v>0</v>
      </c>
      <c r="M919">
        <v>0</v>
      </c>
    </row>
    <row r="920" spans="1:13" ht="15" customHeight="1" x14ac:dyDescent="0.25">
      <c r="A920" t="s">
        <v>2377</v>
      </c>
      <c r="B920" t="s">
        <v>135</v>
      </c>
      <c r="C920">
        <v>0</v>
      </c>
      <c r="D920" t="s">
        <v>380</v>
      </c>
      <c r="E920" t="s">
        <v>2677</v>
      </c>
      <c r="F920">
        <v>28</v>
      </c>
      <c r="G920">
        <v>2500000</v>
      </c>
      <c r="H920">
        <v>2500000</v>
      </c>
      <c r="I920">
        <v>2500000</v>
      </c>
      <c r="J920" t="s">
        <v>7</v>
      </c>
      <c r="K920">
        <v>0</v>
      </c>
      <c r="L920">
        <v>0</v>
      </c>
      <c r="M920">
        <v>0</v>
      </c>
    </row>
    <row r="921" spans="1:13" ht="15" customHeight="1" x14ac:dyDescent="0.25">
      <c r="A921" t="s">
        <v>1510</v>
      </c>
      <c r="B921" t="s">
        <v>22</v>
      </c>
      <c r="C921" t="s">
        <v>386</v>
      </c>
      <c r="D921" t="s">
        <v>127</v>
      </c>
      <c r="E921" t="s">
        <v>2446</v>
      </c>
      <c r="F921">
        <v>22</v>
      </c>
      <c r="G921">
        <v>718888</v>
      </c>
      <c r="H921" t="s">
        <v>8</v>
      </c>
      <c r="I921">
        <v>0</v>
      </c>
      <c r="J921">
        <v>0</v>
      </c>
      <c r="K921">
        <v>0</v>
      </c>
      <c r="L921">
        <v>0</v>
      </c>
      <c r="M921">
        <v>0</v>
      </c>
    </row>
    <row r="922" spans="1:13" ht="15" customHeight="1" x14ac:dyDescent="0.25">
      <c r="A922" t="s">
        <v>2149</v>
      </c>
      <c r="B922" t="s">
        <v>135</v>
      </c>
      <c r="C922">
        <v>0</v>
      </c>
      <c r="D922" t="s">
        <v>380</v>
      </c>
      <c r="E922" t="s">
        <v>2690</v>
      </c>
      <c r="F922">
        <v>26</v>
      </c>
      <c r="G922">
        <v>700000</v>
      </c>
      <c r="H922" t="s">
        <v>7</v>
      </c>
      <c r="I922">
        <v>0</v>
      </c>
      <c r="J922">
        <v>0</v>
      </c>
      <c r="K922">
        <v>0</v>
      </c>
      <c r="L922">
        <v>0</v>
      </c>
      <c r="M922">
        <v>0</v>
      </c>
    </row>
    <row r="923" spans="1:13" ht="15" customHeight="1" x14ac:dyDescent="0.25">
      <c r="A923" t="s">
        <v>1883</v>
      </c>
      <c r="B923" t="s">
        <v>15</v>
      </c>
      <c r="C923">
        <v>0</v>
      </c>
      <c r="D923" t="s">
        <v>2438</v>
      </c>
      <c r="E923" t="s">
        <v>2446</v>
      </c>
      <c r="F923">
        <v>29</v>
      </c>
      <c r="G923">
        <v>700000</v>
      </c>
      <c r="H923" t="s">
        <v>7</v>
      </c>
      <c r="I923">
        <v>0</v>
      </c>
      <c r="J923">
        <v>0</v>
      </c>
      <c r="K923">
        <v>0</v>
      </c>
      <c r="L923">
        <v>0</v>
      </c>
      <c r="M923">
        <v>0</v>
      </c>
    </row>
    <row r="924" spans="1:13" ht="15" customHeight="1" x14ac:dyDescent="0.25">
      <c r="A924" t="s">
        <v>2299</v>
      </c>
      <c r="B924" t="s">
        <v>30</v>
      </c>
      <c r="C924">
        <v>0</v>
      </c>
      <c r="D924" t="s">
        <v>2442</v>
      </c>
      <c r="E924" t="s">
        <v>2439</v>
      </c>
      <c r="F924">
        <v>22</v>
      </c>
      <c r="G924">
        <v>6000000</v>
      </c>
      <c r="H924">
        <v>6000000</v>
      </c>
      <c r="I924">
        <v>6000000</v>
      </c>
      <c r="J924">
        <v>6000000</v>
      </c>
      <c r="K924" t="s">
        <v>8</v>
      </c>
      <c r="L924">
        <v>0</v>
      </c>
      <c r="M924">
        <v>0</v>
      </c>
    </row>
    <row r="925" spans="1:13" ht="15" customHeight="1" x14ac:dyDescent="0.25">
      <c r="A925" t="s">
        <v>2488</v>
      </c>
      <c r="B925" t="s">
        <v>16</v>
      </c>
      <c r="C925" t="s">
        <v>386</v>
      </c>
      <c r="D925" t="s">
        <v>88</v>
      </c>
      <c r="E925" t="s">
        <v>2690</v>
      </c>
      <c r="F925">
        <v>24</v>
      </c>
      <c r="G925">
        <v>925000</v>
      </c>
      <c r="H925" t="s">
        <v>8</v>
      </c>
      <c r="I925">
        <v>0</v>
      </c>
      <c r="J925">
        <v>0</v>
      </c>
      <c r="K925">
        <v>0</v>
      </c>
      <c r="L925">
        <v>0</v>
      </c>
      <c r="M925">
        <v>0</v>
      </c>
    </row>
    <row r="926" spans="1:13" ht="15" customHeight="1" x14ac:dyDescent="0.25">
      <c r="A926" t="s">
        <v>1938</v>
      </c>
      <c r="B926" t="s">
        <v>15</v>
      </c>
      <c r="C926" t="s">
        <v>386</v>
      </c>
      <c r="D926" t="s">
        <v>82</v>
      </c>
      <c r="E926" t="s">
        <v>2446</v>
      </c>
      <c r="F926">
        <v>22</v>
      </c>
      <c r="G926">
        <v>925000</v>
      </c>
      <c r="H926" t="s">
        <v>8</v>
      </c>
      <c r="I926">
        <v>0</v>
      </c>
      <c r="J926">
        <v>0</v>
      </c>
      <c r="K926">
        <v>0</v>
      </c>
      <c r="L926">
        <v>0</v>
      </c>
      <c r="M926">
        <v>0</v>
      </c>
    </row>
    <row r="927" spans="1:13" ht="15" customHeight="1" x14ac:dyDescent="0.25">
      <c r="A927" t="s">
        <v>2011</v>
      </c>
      <c r="B927" t="s">
        <v>21</v>
      </c>
      <c r="C927" t="s">
        <v>386</v>
      </c>
      <c r="D927" t="s">
        <v>82</v>
      </c>
      <c r="E927" t="s">
        <v>2446</v>
      </c>
      <c r="F927">
        <v>22</v>
      </c>
      <c r="G927">
        <v>716666</v>
      </c>
      <c r="H927" t="s">
        <v>8</v>
      </c>
      <c r="I927">
        <v>0</v>
      </c>
      <c r="J927">
        <v>0</v>
      </c>
      <c r="K927">
        <v>0</v>
      </c>
      <c r="L927">
        <v>0</v>
      </c>
      <c r="M927">
        <v>0</v>
      </c>
    </row>
    <row r="928" spans="1:13" ht="15" customHeight="1" x14ac:dyDescent="0.25">
      <c r="A928" t="s">
        <v>2174</v>
      </c>
      <c r="B928" t="s">
        <v>63</v>
      </c>
      <c r="C928" t="s">
        <v>386</v>
      </c>
      <c r="D928" t="s">
        <v>73</v>
      </c>
      <c r="E928" t="s">
        <v>2690</v>
      </c>
      <c r="F928">
        <v>22</v>
      </c>
      <c r="G928">
        <v>1075833</v>
      </c>
      <c r="H928" t="s">
        <v>8</v>
      </c>
      <c r="I928">
        <v>0</v>
      </c>
      <c r="J928">
        <v>0</v>
      </c>
      <c r="K928">
        <v>0</v>
      </c>
      <c r="L928">
        <v>0</v>
      </c>
      <c r="M928">
        <v>0</v>
      </c>
    </row>
    <row r="929" spans="1:13" ht="15" customHeight="1" x14ac:dyDescent="0.25">
      <c r="A929" t="s">
        <v>2313</v>
      </c>
      <c r="B929" t="s">
        <v>30</v>
      </c>
      <c r="C929" t="s">
        <v>388</v>
      </c>
      <c r="D929" t="s">
        <v>2444</v>
      </c>
      <c r="E929" t="s">
        <v>389</v>
      </c>
      <c r="F929">
        <v>18</v>
      </c>
      <c r="G929">
        <v>1194167</v>
      </c>
      <c r="H929">
        <v>1194167</v>
      </c>
      <c r="I929">
        <v>1194167</v>
      </c>
      <c r="J929" t="s">
        <v>8</v>
      </c>
      <c r="K929">
        <v>0</v>
      </c>
      <c r="L929">
        <v>0</v>
      </c>
      <c r="M929">
        <v>0</v>
      </c>
    </row>
    <row r="930" spans="1:13" ht="15" customHeight="1" x14ac:dyDescent="0.25">
      <c r="A930" t="s">
        <v>2182</v>
      </c>
      <c r="B930" t="s">
        <v>24</v>
      </c>
      <c r="C930">
        <v>0</v>
      </c>
      <c r="D930" t="s">
        <v>2444</v>
      </c>
      <c r="E930" t="s">
        <v>2446</v>
      </c>
      <c r="F930">
        <v>25</v>
      </c>
      <c r="G930">
        <v>700000</v>
      </c>
      <c r="H930" t="s">
        <v>8</v>
      </c>
      <c r="I930">
        <v>0</v>
      </c>
      <c r="J930">
        <v>0</v>
      </c>
      <c r="K930">
        <v>0</v>
      </c>
      <c r="L930">
        <v>0</v>
      </c>
      <c r="M930">
        <v>0</v>
      </c>
    </row>
    <row r="931" spans="1:13" ht="15" customHeight="1" x14ac:dyDescent="0.25">
      <c r="A931" t="s">
        <v>2380</v>
      </c>
      <c r="B931" t="s">
        <v>135</v>
      </c>
      <c r="C931">
        <v>0</v>
      </c>
      <c r="D931" t="s">
        <v>380</v>
      </c>
      <c r="E931" t="s">
        <v>2677</v>
      </c>
      <c r="F931">
        <v>27</v>
      </c>
      <c r="G931">
        <v>1375000</v>
      </c>
      <c r="H931" t="s">
        <v>7</v>
      </c>
      <c r="I931">
        <v>0</v>
      </c>
      <c r="J931">
        <v>0</v>
      </c>
      <c r="K931">
        <v>0</v>
      </c>
      <c r="L931">
        <v>0</v>
      </c>
      <c r="M931">
        <v>0</v>
      </c>
    </row>
    <row r="932" spans="1:13" ht="15" customHeight="1" x14ac:dyDescent="0.25">
      <c r="A932" t="s">
        <v>1981</v>
      </c>
      <c r="B932" t="s">
        <v>16</v>
      </c>
      <c r="C932">
        <v>0</v>
      </c>
      <c r="D932" t="s">
        <v>93</v>
      </c>
      <c r="E932" t="s">
        <v>2690</v>
      </c>
      <c r="F932">
        <v>26</v>
      </c>
      <c r="G932">
        <v>675000</v>
      </c>
      <c r="H932" t="s">
        <v>7</v>
      </c>
      <c r="I932">
        <v>0</v>
      </c>
      <c r="J932">
        <v>0</v>
      </c>
      <c r="K932">
        <v>0</v>
      </c>
      <c r="L932">
        <v>0</v>
      </c>
      <c r="M932">
        <v>0</v>
      </c>
    </row>
    <row r="933" spans="1:13" ht="15" customHeight="1" x14ac:dyDescent="0.25">
      <c r="A933" t="s">
        <v>2638</v>
      </c>
      <c r="B933" t="s">
        <v>14</v>
      </c>
      <c r="C933">
        <v>0</v>
      </c>
      <c r="D933" t="s">
        <v>127</v>
      </c>
      <c r="E933" t="s">
        <v>2439</v>
      </c>
      <c r="F933">
        <v>25</v>
      </c>
      <c r="G933">
        <v>874125</v>
      </c>
      <c r="H933" t="s">
        <v>8</v>
      </c>
      <c r="I933">
        <v>0</v>
      </c>
      <c r="J933">
        <v>0</v>
      </c>
      <c r="K933">
        <v>0</v>
      </c>
      <c r="L933">
        <v>0</v>
      </c>
      <c r="M933">
        <v>0</v>
      </c>
    </row>
    <row r="934" spans="1:13" ht="15" customHeight="1" x14ac:dyDescent="0.25">
      <c r="A934" t="s">
        <v>1766</v>
      </c>
      <c r="B934" t="s">
        <v>26</v>
      </c>
      <c r="C934" t="s">
        <v>386</v>
      </c>
      <c r="D934" t="s">
        <v>2680</v>
      </c>
      <c r="E934" t="s">
        <v>2690</v>
      </c>
      <c r="F934">
        <v>23</v>
      </c>
      <c r="G934">
        <v>1137500</v>
      </c>
      <c r="H934" t="s">
        <v>8</v>
      </c>
      <c r="I934">
        <v>0</v>
      </c>
      <c r="J934">
        <v>0</v>
      </c>
      <c r="K934">
        <v>0</v>
      </c>
      <c r="L934">
        <v>0</v>
      </c>
      <c r="M934">
        <v>0</v>
      </c>
    </row>
    <row r="935" spans="1:13" ht="15" customHeight="1" x14ac:dyDescent="0.25">
      <c r="A935" t="s">
        <v>1493</v>
      </c>
      <c r="B935" t="s">
        <v>22</v>
      </c>
      <c r="C935" t="s">
        <v>386</v>
      </c>
      <c r="D935" t="s">
        <v>2445</v>
      </c>
      <c r="E935" t="s">
        <v>2439</v>
      </c>
      <c r="F935">
        <v>21</v>
      </c>
      <c r="G935">
        <v>870000</v>
      </c>
      <c r="H935" t="s">
        <v>8</v>
      </c>
      <c r="I935">
        <v>0</v>
      </c>
      <c r="J935">
        <v>0</v>
      </c>
      <c r="K935">
        <v>0</v>
      </c>
      <c r="L935">
        <v>0</v>
      </c>
      <c r="M935">
        <v>0</v>
      </c>
    </row>
    <row r="936" spans="1:13" ht="15" customHeight="1" x14ac:dyDescent="0.25">
      <c r="A936" t="s">
        <v>2323</v>
      </c>
      <c r="B936" t="s">
        <v>30</v>
      </c>
      <c r="C936" t="s">
        <v>386</v>
      </c>
      <c r="D936" t="s">
        <v>2445</v>
      </c>
      <c r="E936" t="s">
        <v>2439</v>
      </c>
      <c r="F936">
        <v>23</v>
      </c>
      <c r="G936">
        <v>735000</v>
      </c>
      <c r="H936" t="s">
        <v>8</v>
      </c>
      <c r="I936">
        <v>0</v>
      </c>
      <c r="J936">
        <v>0</v>
      </c>
      <c r="K936">
        <v>0</v>
      </c>
      <c r="L936">
        <v>0</v>
      </c>
      <c r="M936">
        <v>0</v>
      </c>
    </row>
    <row r="937" spans="1:13" ht="15" customHeight="1" x14ac:dyDescent="0.25">
      <c r="A937" t="s">
        <v>2459</v>
      </c>
      <c r="B937" t="s">
        <v>63</v>
      </c>
      <c r="C937">
        <v>0</v>
      </c>
      <c r="D937" t="s">
        <v>73</v>
      </c>
      <c r="E937" t="s">
        <v>2690</v>
      </c>
      <c r="F937">
        <v>31</v>
      </c>
      <c r="G937">
        <v>725000</v>
      </c>
      <c r="H937">
        <v>725000</v>
      </c>
      <c r="I937" t="s">
        <v>7</v>
      </c>
      <c r="J937">
        <v>0</v>
      </c>
      <c r="K937">
        <v>0</v>
      </c>
      <c r="L937">
        <v>0</v>
      </c>
      <c r="M937">
        <v>0</v>
      </c>
    </row>
    <row r="938" spans="1:13" ht="15" customHeight="1" x14ac:dyDescent="0.25">
      <c r="A938" t="s">
        <v>2595</v>
      </c>
      <c r="B938" t="s">
        <v>33</v>
      </c>
      <c r="C938" t="s">
        <v>386</v>
      </c>
      <c r="D938" t="s">
        <v>2689</v>
      </c>
      <c r="E938" t="s">
        <v>2690</v>
      </c>
      <c r="F938">
        <v>24</v>
      </c>
      <c r="G938">
        <v>925000</v>
      </c>
      <c r="H938" t="s">
        <v>8</v>
      </c>
      <c r="I938">
        <v>0</v>
      </c>
      <c r="J938">
        <v>0</v>
      </c>
      <c r="K938">
        <v>0</v>
      </c>
      <c r="L938">
        <v>0</v>
      </c>
      <c r="M938">
        <v>0</v>
      </c>
    </row>
    <row r="939" spans="1:13" ht="15" customHeight="1" x14ac:dyDescent="0.25">
      <c r="A939" t="s">
        <v>2070</v>
      </c>
      <c r="B939" t="s">
        <v>31</v>
      </c>
      <c r="C939" t="s">
        <v>386</v>
      </c>
      <c r="D939" t="s">
        <v>380</v>
      </c>
      <c r="E939" t="s">
        <v>2690</v>
      </c>
      <c r="F939">
        <v>23</v>
      </c>
      <c r="G939">
        <v>925000</v>
      </c>
      <c r="H939" t="s">
        <v>8</v>
      </c>
      <c r="I939">
        <v>0</v>
      </c>
      <c r="J939">
        <v>0</v>
      </c>
      <c r="K939">
        <v>0</v>
      </c>
      <c r="L939">
        <v>0</v>
      </c>
      <c r="M939">
        <v>0</v>
      </c>
    </row>
    <row r="940" spans="1:13" ht="15" customHeight="1" x14ac:dyDescent="0.25">
      <c r="A940" t="s">
        <v>1661</v>
      </c>
      <c r="B940" t="s">
        <v>14</v>
      </c>
      <c r="C940">
        <v>0</v>
      </c>
      <c r="D940" t="s">
        <v>2440</v>
      </c>
      <c r="E940" t="s">
        <v>2446</v>
      </c>
      <c r="F940">
        <v>23</v>
      </c>
      <c r="G940">
        <v>874125</v>
      </c>
      <c r="H940" t="s">
        <v>8</v>
      </c>
      <c r="I940">
        <v>0</v>
      </c>
      <c r="J940">
        <v>0</v>
      </c>
      <c r="K940">
        <v>0</v>
      </c>
      <c r="L940">
        <v>0</v>
      </c>
      <c r="M940">
        <v>0</v>
      </c>
    </row>
    <row r="941" spans="1:13" ht="15" customHeight="1" x14ac:dyDescent="0.25">
      <c r="A941" t="s">
        <v>1844</v>
      </c>
      <c r="B941" t="s">
        <v>29</v>
      </c>
      <c r="C941" t="s">
        <v>386</v>
      </c>
      <c r="D941" t="s">
        <v>2696</v>
      </c>
      <c r="E941" t="s">
        <v>2690</v>
      </c>
      <c r="F941">
        <v>22</v>
      </c>
      <c r="G941">
        <v>710000</v>
      </c>
      <c r="H941" t="s">
        <v>8</v>
      </c>
      <c r="I941">
        <v>0</v>
      </c>
      <c r="J941">
        <v>0</v>
      </c>
      <c r="K941">
        <v>0</v>
      </c>
      <c r="L941">
        <v>0</v>
      </c>
      <c r="M941">
        <v>0</v>
      </c>
    </row>
    <row r="942" spans="1:13" ht="15" customHeight="1" x14ac:dyDescent="0.25">
      <c r="A942" t="s">
        <v>2376</v>
      </c>
      <c r="B942" t="s">
        <v>10</v>
      </c>
      <c r="C942">
        <v>0</v>
      </c>
      <c r="D942" t="s">
        <v>379</v>
      </c>
      <c r="E942" t="s">
        <v>2677</v>
      </c>
      <c r="F942">
        <v>26</v>
      </c>
      <c r="G942">
        <v>3875000</v>
      </c>
      <c r="H942">
        <v>3875000</v>
      </c>
      <c r="I942">
        <v>3875000</v>
      </c>
      <c r="J942" t="s">
        <v>7</v>
      </c>
      <c r="K942">
        <v>0</v>
      </c>
      <c r="L942">
        <v>0</v>
      </c>
      <c r="M942">
        <v>0</v>
      </c>
    </row>
    <row r="943" spans="1:13" ht="15" customHeight="1" x14ac:dyDescent="0.25">
      <c r="A943" t="s">
        <v>1547</v>
      </c>
      <c r="B943" t="s">
        <v>34</v>
      </c>
      <c r="C943">
        <v>0</v>
      </c>
      <c r="D943" t="s">
        <v>2494</v>
      </c>
      <c r="E943" t="s">
        <v>2439</v>
      </c>
      <c r="F943">
        <v>26</v>
      </c>
      <c r="G943">
        <v>5250000</v>
      </c>
      <c r="H943">
        <v>5250000</v>
      </c>
      <c r="I943">
        <v>5250000</v>
      </c>
      <c r="J943">
        <v>5250000</v>
      </c>
      <c r="K943" t="s">
        <v>7</v>
      </c>
      <c r="L943">
        <v>0</v>
      </c>
      <c r="M943">
        <v>0</v>
      </c>
    </row>
    <row r="944" spans="1:13" ht="15" customHeight="1" x14ac:dyDescent="0.25">
      <c r="A944" t="s">
        <v>1355</v>
      </c>
      <c r="B944" t="s">
        <v>9</v>
      </c>
      <c r="C944">
        <v>0</v>
      </c>
      <c r="D944" t="s">
        <v>2444</v>
      </c>
      <c r="E944" t="s">
        <v>2439</v>
      </c>
      <c r="F944">
        <v>31</v>
      </c>
      <c r="G944">
        <v>2500000</v>
      </c>
      <c r="H944" t="s">
        <v>7</v>
      </c>
      <c r="I944">
        <v>0</v>
      </c>
      <c r="J944">
        <v>0</v>
      </c>
      <c r="K944">
        <v>0</v>
      </c>
      <c r="L944">
        <v>0</v>
      </c>
      <c r="M944">
        <v>0</v>
      </c>
    </row>
    <row r="945" spans="1:13" ht="15" customHeight="1" x14ac:dyDescent="0.25">
      <c r="A945" t="s">
        <v>2129</v>
      </c>
      <c r="B945" t="s">
        <v>6</v>
      </c>
      <c r="C945" t="s">
        <v>2578</v>
      </c>
      <c r="D945" t="s">
        <v>127</v>
      </c>
      <c r="E945" t="s">
        <v>2439</v>
      </c>
      <c r="F945">
        <v>39</v>
      </c>
      <c r="G945">
        <v>2325000</v>
      </c>
      <c r="H945" t="s">
        <v>7</v>
      </c>
      <c r="I945">
        <v>0</v>
      </c>
      <c r="J945">
        <v>0</v>
      </c>
      <c r="K945">
        <v>0</v>
      </c>
      <c r="L945">
        <v>0</v>
      </c>
      <c r="M945">
        <v>0</v>
      </c>
    </row>
    <row r="946" spans="1:13" ht="15" customHeight="1" x14ac:dyDescent="0.25">
      <c r="A946" t="s">
        <v>1390</v>
      </c>
      <c r="B946" t="s">
        <v>10</v>
      </c>
      <c r="C946" t="s">
        <v>386</v>
      </c>
      <c r="D946" t="s">
        <v>73</v>
      </c>
      <c r="E946" t="s">
        <v>2677</v>
      </c>
      <c r="F946">
        <v>20</v>
      </c>
      <c r="G946">
        <v>1491667</v>
      </c>
      <c r="H946" t="s">
        <v>8</v>
      </c>
      <c r="I946">
        <v>0</v>
      </c>
      <c r="J946">
        <v>0</v>
      </c>
      <c r="K946">
        <v>0</v>
      </c>
      <c r="L946">
        <v>0</v>
      </c>
      <c r="M946">
        <v>0</v>
      </c>
    </row>
    <row r="947" spans="1:13" ht="15" customHeight="1" x14ac:dyDescent="0.25">
      <c r="A947" t="s">
        <v>2801</v>
      </c>
      <c r="B947" t="s">
        <v>12</v>
      </c>
      <c r="C947">
        <v>0</v>
      </c>
      <c r="D947" t="s">
        <v>73</v>
      </c>
      <c r="E947" t="s">
        <v>2439</v>
      </c>
      <c r="F947">
        <v>24</v>
      </c>
      <c r="G947">
        <v>6375000</v>
      </c>
      <c r="H947">
        <v>6375000</v>
      </c>
      <c r="I947">
        <v>6375000</v>
      </c>
      <c r="J947">
        <v>6375000</v>
      </c>
      <c r="K947" t="s">
        <v>7</v>
      </c>
      <c r="L947">
        <v>0</v>
      </c>
      <c r="M947">
        <v>0</v>
      </c>
    </row>
    <row r="948" spans="1:13" ht="15" customHeight="1" x14ac:dyDescent="0.25">
      <c r="A948" t="s">
        <v>1474</v>
      </c>
      <c r="B948" t="s">
        <v>2531</v>
      </c>
      <c r="C948">
        <v>0</v>
      </c>
      <c r="D948" t="s">
        <v>127</v>
      </c>
      <c r="E948" t="s">
        <v>2677</v>
      </c>
      <c r="F948">
        <v>22</v>
      </c>
      <c r="G948">
        <v>708750</v>
      </c>
      <c r="H948" t="s">
        <v>8</v>
      </c>
      <c r="I948">
        <v>0</v>
      </c>
      <c r="J948">
        <v>0</v>
      </c>
      <c r="K948">
        <v>0</v>
      </c>
      <c r="L948">
        <v>0</v>
      </c>
      <c r="M948">
        <v>0</v>
      </c>
    </row>
    <row r="949" spans="1:13" ht="15" customHeight="1" x14ac:dyDescent="0.25">
      <c r="A949" t="s">
        <v>2125</v>
      </c>
      <c r="B949" t="s">
        <v>10</v>
      </c>
      <c r="C949">
        <v>0</v>
      </c>
      <c r="D949" t="s">
        <v>379</v>
      </c>
      <c r="E949" t="s">
        <v>2677</v>
      </c>
      <c r="F949">
        <v>25</v>
      </c>
      <c r="G949">
        <v>3387500</v>
      </c>
      <c r="H949" t="s">
        <v>8</v>
      </c>
      <c r="I949">
        <v>0</v>
      </c>
      <c r="J949">
        <v>0</v>
      </c>
      <c r="K949">
        <v>0</v>
      </c>
      <c r="L949">
        <v>0</v>
      </c>
      <c r="M949">
        <v>0</v>
      </c>
    </row>
    <row r="950" spans="1:13" ht="15" customHeight="1" x14ac:dyDescent="0.25">
      <c r="A950" t="s">
        <v>1354</v>
      </c>
      <c r="B950" t="s">
        <v>9</v>
      </c>
      <c r="C950">
        <v>0</v>
      </c>
      <c r="D950" t="s">
        <v>2445</v>
      </c>
      <c r="E950" t="s">
        <v>2439</v>
      </c>
      <c r="F950">
        <v>28</v>
      </c>
      <c r="G950">
        <v>2750000</v>
      </c>
      <c r="H950">
        <v>2750000</v>
      </c>
      <c r="I950">
        <v>2750000</v>
      </c>
      <c r="J950">
        <v>2750000</v>
      </c>
      <c r="K950" t="s">
        <v>7</v>
      </c>
      <c r="L950">
        <v>0</v>
      </c>
      <c r="M950">
        <v>0</v>
      </c>
    </row>
    <row r="951" spans="1:13" ht="15" customHeight="1" x14ac:dyDescent="0.25">
      <c r="A951" t="s">
        <v>1604</v>
      </c>
      <c r="B951" t="s">
        <v>33</v>
      </c>
      <c r="C951">
        <v>0</v>
      </c>
      <c r="D951" t="s">
        <v>2680</v>
      </c>
      <c r="E951" t="s">
        <v>2677</v>
      </c>
      <c r="F951">
        <v>24</v>
      </c>
      <c r="G951">
        <v>775000</v>
      </c>
      <c r="H951">
        <v>775000</v>
      </c>
      <c r="I951" t="s">
        <v>8</v>
      </c>
      <c r="J951">
        <v>0</v>
      </c>
      <c r="K951">
        <v>0</v>
      </c>
      <c r="L951">
        <v>0</v>
      </c>
      <c r="M951">
        <v>0</v>
      </c>
    </row>
    <row r="952" spans="1:13" x14ac:dyDescent="0.25">
      <c r="A952" t="s">
        <v>2138</v>
      </c>
      <c r="B952" t="s">
        <v>6</v>
      </c>
      <c r="C952" t="s">
        <v>386</v>
      </c>
      <c r="D952" t="s">
        <v>73</v>
      </c>
      <c r="E952" t="s">
        <v>389</v>
      </c>
      <c r="F952">
        <v>20</v>
      </c>
      <c r="G952">
        <v>927500</v>
      </c>
      <c r="H952">
        <v>927500</v>
      </c>
      <c r="I952">
        <v>927500</v>
      </c>
      <c r="J952" t="s">
        <v>8</v>
      </c>
      <c r="K952">
        <v>0</v>
      </c>
      <c r="L952">
        <v>0</v>
      </c>
      <c r="M952">
        <v>0</v>
      </c>
    </row>
    <row r="953" spans="1:13" x14ac:dyDescent="0.25">
      <c r="A953" t="s">
        <v>1816</v>
      </c>
      <c r="B953" t="s">
        <v>28</v>
      </c>
      <c r="C953">
        <v>0</v>
      </c>
      <c r="D953" t="s">
        <v>2445</v>
      </c>
      <c r="E953" t="s">
        <v>2439</v>
      </c>
      <c r="F953">
        <v>24</v>
      </c>
      <c r="G953">
        <v>700000</v>
      </c>
      <c r="H953">
        <v>700000</v>
      </c>
      <c r="I953" t="s">
        <v>8</v>
      </c>
      <c r="J953">
        <v>0</v>
      </c>
      <c r="K953">
        <v>0</v>
      </c>
      <c r="L953">
        <v>0</v>
      </c>
      <c r="M953">
        <v>0</v>
      </c>
    </row>
    <row r="954" spans="1:13" ht="15" customHeight="1" x14ac:dyDescent="0.25">
      <c r="A954" t="s">
        <v>2282</v>
      </c>
      <c r="B954" t="s">
        <v>20</v>
      </c>
      <c r="C954" t="s">
        <v>386</v>
      </c>
      <c r="D954" t="s">
        <v>73</v>
      </c>
      <c r="E954" t="s">
        <v>2446</v>
      </c>
      <c r="F954">
        <v>22</v>
      </c>
      <c r="G954">
        <v>743333</v>
      </c>
      <c r="H954">
        <v>743333</v>
      </c>
      <c r="I954" t="s">
        <v>8</v>
      </c>
      <c r="J954">
        <v>0</v>
      </c>
      <c r="K954">
        <v>0</v>
      </c>
      <c r="L954">
        <v>0</v>
      </c>
      <c r="M954">
        <v>0</v>
      </c>
    </row>
    <row r="955" spans="1:13" ht="15" customHeight="1" x14ac:dyDescent="0.25">
      <c r="A955" t="s">
        <v>2093</v>
      </c>
      <c r="B955" t="s">
        <v>35</v>
      </c>
      <c r="C955">
        <v>0</v>
      </c>
      <c r="D955" t="s">
        <v>2445</v>
      </c>
      <c r="E955" t="s">
        <v>2439</v>
      </c>
      <c r="F955">
        <v>24</v>
      </c>
      <c r="G955">
        <v>3150000</v>
      </c>
      <c r="H955" t="s">
        <v>8</v>
      </c>
      <c r="I955">
        <v>0</v>
      </c>
      <c r="J955">
        <v>0</v>
      </c>
      <c r="K955">
        <v>0</v>
      </c>
      <c r="L955">
        <v>0</v>
      </c>
      <c r="M955">
        <v>0</v>
      </c>
    </row>
    <row r="956" spans="1:13" ht="15" customHeight="1" x14ac:dyDescent="0.25">
      <c r="A956" t="s">
        <v>2346</v>
      </c>
      <c r="B956" t="s">
        <v>34</v>
      </c>
      <c r="C956">
        <v>0</v>
      </c>
      <c r="D956" t="s">
        <v>2496</v>
      </c>
      <c r="E956" t="s">
        <v>2439</v>
      </c>
      <c r="F956">
        <v>24</v>
      </c>
      <c r="G956">
        <v>975000</v>
      </c>
      <c r="H956" t="s">
        <v>8</v>
      </c>
      <c r="I956">
        <v>0</v>
      </c>
      <c r="J956">
        <v>0</v>
      </c>
      <c r="K956">
        <v>0</v>
      </c>
      <c r="L956">
        <v>0</v>
      </c>
      <c r="M956">
        <v>0</v>
      </c>
    </row>
    <row r="957" spans="1:13" ht="15" customHeight="1" x14ac:dyDescent="0.25">
      <c r="A957" t="s">
        <v>2287</v>
      </c>
      <c r="B957" t="s">
        <v>20</v>
      </c>
      <c r="C957" t="s">
        <v>386</v>
      </c>
      <c r="D957" t="s">
        <v>2445</v>
      </c>
      <c r="E957" t="s">
        <v>2592</v>
      </c>
      <c r="F957">
        <v>20</v>
      </c>
      <c r="G957">
        <v>705556</v>
      </c>
      <c r="H957">
        <v>705556</v>
      </c>
      <c r="I957" t="s">
        <v>8</v>
      </c>
      <c r="J957">
        <v>0</v>
      </c>
      <c r="K957">
        <v>0</v>
      </c>
      <c r="L957">
        <v>0</v>
      </c>
      <c r="M957">
        <v>0</v>
      </c>
    </row>
    <row r="958" spans="1:13" ht="15" customHeight="1" x14ac:dyDescent="0.25">
      <c r="A958" t="s">
        <v>1630</v>
      </c>
      <c r="B958" t="s">
        <v>11</v>
      </c>
      <c r="C958">
        <v>0</v>
      </c>
      <c r="D958" t="s">
        <v>127</v>
      </c>
      <c r="E958" t="s">
        <v>2439</v>
      </c>
      <c r="F958">
        <v>27</v>
      </c>
      <c r="G958">
        <v>3125000</v>
      </c>
      <c r="H958">
        <v>3125000</v>
      </c>
      <c r="I958" t="s">
        <v>7</v>
      </c>
      <c r="J958">
        <v>0</v>
      </c>
      <c r="K958">
        <v>0</v>
      </c>
      <c r="L958">
        <v>0</v>
      </c>
      <c r="M958">
        <v>0</v>
      </c>
    </row>
    <row r="959" spans="1:13" ht="15" customHeight="1" x14ac:dyDescent="0.25">
      <c r="A959" t="s">
        <v>1619</v>
      </c>
      <c r="B959" t="s">
        <v>32</v>
      </c>
      <c r="C959">
        <v>0</v>
      </c>
      <c r="D959" t="s">
        <v>73</v>
      </c>
      <c r="E959" t="s">
        <v>2446</v>
      </c>
      <c r="F959">
        <v>33</v>
      </c>
      <c r="G959">
        <v>700000</v>
      </c>
      <c r="H959" t="s">
        <v>7</v>
      </c>
      <c r="I959">
        <v>0</v>
      </c>
      <c r="J959">
        <v>0</v>
      </c>
      <c r="K959">
        <v>0</v>
      </c>
      <c r="L959">
        <v>0</v>
      </c>
      <c r="M959">
        <v>0</v>
      </c>
    </row>
    <row r="960" spans="1:13" ht="15" customHeight="1" x14ac:dyDescent="0.25">
      <c r="A960" t="s">
        <v>1704</v>
      </c>
      <c r="B960" t="s">
        <v>24</v>
      </c>
      <c r="C960">
        <v>0</v>
      </c>
      <c r="D960" t="s">
        <v>2445</v>
      </c>
      <c r="E960" t="s">
        <v>2439</v>
      </c>
      <c r="F960">
        <v>24</v>
      </c>
      <c r="G960">
        <v>1400000</v>
      </c>
      <c r="H960" t="s">
        <v>8</v>
      </c>
      <c r="I960">
        <v>0</v>
      </c>
      <c r="J960">
        <v>0</v>
      </c>
      <c r="K960">
        <v>0</v>
      </c>
      <c r="L960">
        <v>0</v>
      </c>
      <c r="M960">
        <v>0</v>
      </c>
    </row>
    <row r="961" spans="1:13" ht="15" customHeight="1" x14ac:dyDescent="0.25">
      <c r="A961" t="s">
        <v>1894</v>
      </c>
      <c r="B961" t="s">
        <v>13</v>
      </c>
      <c r="C961">
        <v>0</v>
      </c>
      <c r="D961" t="s">
        <v>2444</v>
      </c>
      <c r="E961" t="s">
        <v>2439</v>
      </c>
      <c r="F961">
        <v>26</v>
      </c>
      <c r="G961">
        <v>3850000</v>
      </c>
      <c r="H961">
        <v>3850000</v>
      </c>
      <c r="I961">
        <v>3850000</v>
      </c>
      <c r="J961" t="s">
        <v>7</v>
      </c>
      <c r="K961">
        <v>0</v>
      </c>
      <c r="L961">
        <v>0</v>
      </c>
      <c r="M961">
        <v>0</v>
      </c>
    </row>
    <row r="962" spans="1:13" ht="15" customHeight="1" x14ac:dyDescent="0.25">
      <c r="A962" t="s">
        <v>1833</v>
      </c>
      <c r="B962" t="s">
        <v>29</v>
      </c>
      <c r="C962">
        <v>0</v>
      </c>
      <c r="D962" t="s">
        <v>127</v>
      </c>
      <c r="E962" t="s">
        <v>2677</v>
      </c>
      <c r="F962">
        <v>25</v>
      </c>
      <c r="G962">
        <v>3750000</v>
      </c>
      <c r="H962" t="s">
        <v>8</v>
      </c>
      <c r="I962">
        <v>0</v>
      </c>
      <c r="J962">
        <v>0</v>
      </c>
      <c r="K962">
        <v>0</v>
      </c>
      <c r="L962">
        <v>0</v>
      </c>
      <c r="M962">
        <v>0</v>
      </c>
    </row>
    <row r="963" spans="1:13" ht="15" customHeight="1" x14ac:dyDescent="0.25">
      <c r="A963" t="s">
        <v>1664</v>
      </c>
      <c r="B963" t="s">
        <v>14</v>
      </c>
      <c r="C963">
        <v>0</v>
      </c>
      <c r="D963" t="s">
        <v>2445</v>
      </c>
      <c r="E963" t="s">
        <v>2439</v>
      </c>
      <c r="F963">
        <v>25</v>
      </c>
      <c r="G963">
        <v>4600000</v>
      </c>
      <c r="H963">
        <v>4600000</v>
      </c>
      <c r="I963" t="s">
        <v>7</v>
      </c>
      <c r="J963">
        <v>0</v>
      </c>
      <c r="K963">
        <v>0</v>
      </c>
      <c r="L963">
        <v>0</v>
      </c>
      <c r="M963">
        <v>0</v>
      </c>
    </row>
    <row r="964" spans="1:13" ht="15" customHeight="1" x14ac:dyDescent="0.25">
      <c r="A964" t="s">
        <v>2264</v>
      </c>
      <c r="B964" t="s">
        <v>33</v>
      </c>
      <c r="C964">
        <v>0</v>
      </c>
      <c r="D964" t="s">
        <v>380</v>
      </c>
      <c r="E964" t="s">
        <v>2677</v>
      </c>
      <c r="F964">
        <v>30</v>
      </c>
      <c r="G964">
        <v>4000000</v>
      </c>
      <c r="H964" t="s">
        <v>7</v>
      </c>
      <c r="I964">
        <v>0</v>
      </c>
      <c r="J964">
        <v>0</v>
      </c>
      <c r="K964">
        <v>0</v>
      </c>
      <c r="L964">
        <v>0</v>
      </c>
      <c r="M964">
        <v>0</v>
      </c>
    </row>
    <row r="965" spans="1:13" ht="15" customHeight="1" x14ac:dyDescent="0.25">
      <c r="A965" t="s">
        <v>1817</v>
      </c>
      <c r="B965" t="s">
        <v>28</v>
      </c>
      <c r="C965" t="s">
        <v>386</v>
      </c>
      <c r="D965" t="s">
        <v>2444</v>
      </c>
      <c r="E965" t="s">
        <v>2439</v>
      </c>
      <c r="F965">
        <v>22</v>
      </c>
      <c r="G965">
        <v>678889</v>
      </c>
      <c r="H965" t="s">
        <v>8</v>
      </c>
      <c r="I965">
        <v>0</v>
      </c>
      <c r="J965">
        <v>0</v>
      </c>
      <c r="K965">
        <v>0</v>
      </c>
      <c r="L965">
        <v>0</v>
      </c>
      <c r="M965">
        <v>0</v>
      </c>
    </row>
    <row r="966" spans="1:13" ht="15" customHeight="1" x14ac:dyDescent="0.25">
      <c r="A966" t="s">
        <v>2091</v>
      </c>
      <c r="B966" t="s">
        <v>34</v>
      </c>
      <c r="C966" t="s">
        <v>420</v>
      </c>
      <c r="D966" t="s">
        <v>2444</v>
      </c>
      <c r="E966" t="s">
        <v>2439</v>
      </c>
      <c r="F966">
        <v>29</v>
      </c>
      <c r="G966">
        <v>6000000</v>
      </c>
      <c r="H966">
        <v>6000000</v>
      </c>
      <c r="I966">
        <v>6000000</v>
      </c>
      <c r="J966">
        <v>6000000</v>
      </c>
      <c r="K966">
        <v>6000000</v>
      </c>
      <c r="L966" t="s">
        <v>7</v>
      </c>
      <c r="M966">
        <v>0</v>
      </c>
    </row>
    <row r="967" spans="1:13" ht="15" customHeight="1" x14ac:dyDescent="0.25">
      <c r="A967" t="s">
        <v>1757</v>
      </c>
      <c r="B967" t="s">
        <v>26</v>
      </c>
      <c r="C967">
        <v>0</v>
      </c>
      <c r="D967" t="s">
        <v>2708</v>
      </c>
      <c r="E967" t="s">
        <v>2677</v>
      </c>
      <c r="F967">
        <v>26</v>
      </c>
      <c r="G967">
        <v>4000000</v>
      </c>
      <c r="H967" t="s">
        <v>7</v>
      </c>
      <c r="I967">
        <v>0</v>
      </c>
      <c r="J967">
        <v>0</v>
      </c>
      <c r="K967">
        <v>0</v>
      </c>
      <c r="L967">
        <v>0</v>
      </c>
      <c r="M967">
        <v>0</v>
      </c>
    </row>
    <row r="968" spans="1:13" ht="15" customHeight="1" x14ac:dyDescent="0.25">
      <c r="A968" t="s">
        <v>2509</v>
      </c>
      <c r="B968" t="s">
        <v>2503</v>
      </c>
      <c r="C968" t="s">
        <v>386</v>
      </c>
      <c r="D968" t="s">
        <v>380</v>
      </c>
      <c r="E968" t="s">
        <v>2690</v>
      </c>
      <c r="F968">
        <v>23</v>
      </c>
      <c r="G968">
        <v>925000</v>
      </c>
      <c r="H968">
        <v>925000</v>
      </c>
      <c r="I968" t="s">
        <v>8</v>
      </c>
      <c r="J968">
        <v>0</v>
      </c>
      <c r="K968">
        <v>0</v>
      </c>
      <c r="L968">
        <v>0</v>
      </c>
      <c r="M968">
        <v>0</v>
      </c>
    </row>
    <row r="969" spans="1:13" ht="15" customHeight="1" x14ac:dyDescent="0.25">
      <c r="A969" t="s">
        <v>1657</v>
      </c>
      <c r="B969" t="s">
        <v>14</v>
      </c>
      <c r="C969">
        <v>0</v>
      </c>
      <c r="D969" t="s">
        <v>2448</v>
      </c>
      <c r="E969" t="s">
        <v>2439</v>
      </c>
      <c r="F969">
        <v>30</v>
      </c>
      <c r="G969">
        <v>2750000</v>
      </c>
      <c r="H969">
        <v>2750000</v>
      </c>
      <c r="I969" t="s">
        <v>7</v>
      </c>
      <c r="J969">
        <v>0</v>
      </c>
      <c r="K969">
        <v>0</v>
      </c>
      <c r="L969">
        <v>0</v>
      </c>
      <c r="M969">
        <v>0</v>
      </c>
    </row>
    <row r="970" spans="1:13" ht="15" customHeight="1" x14ac:dyDescent="0.25">
      <c r="A970" t="s">
        <v>2189</v>
      </c>
      <c r="B970" t="s">
        <v>18</v>
      </c>
      <c r="C970">
        <v>0</v>
      </c>
      <c r="D970" t="s">
        <v>2441</v>
      </c>
      <c r="E970" t="s">
        <v>2439</v>
      </c>
      <c r="F970">
        <v>31</v>
      </c>
      <c r="G970">
        <v>5750000</v>
      </c>
      <c r="H970">
        <v>5750000</v>
      </c>
      <c r="I970">
        <v>5750000</v>
      </c>
      <c r="J970">
        <v>5750000</v>
      </c>
      <c r="K970" t="s">
        <v>7</v>
      </c>
      <c r="L970">
        <v>0</v>
      </c>
      <c r="M970">
        <v>0</v>
      </c>
    </row>
    <row r="971" spans="1:13" ht="15" customHeight="1" x14ac:dyDescent="0.25">
      <c r="A971" t="s">
        <v>1632</v>
      </c>
      <c r="B971" t="s">
        <v>11</v>
      </c>
      <c r="C971" t="s">
        <v>386</v>
      </c>
      <c r="D971" t="s">
        <v>73</v>
      </c>
      <c r="E971" t="s">
        <v>2439</v>
      </c>
      <c r="F971">
        <v>20</v>
      </c>
      <c r="G971">
        <v>1400833</v>
      </c>
      <c r="H971">
        <v>1400833</v>
      </c>
      <c r="I971">
        <v>1400833</v>
      </c>
      <c r="J971" t="s">
        <v>8</v>
      </c>
      <c r="K971">
        <v>0</v>
      </c>
      <c r="L971">
        <v>0</v>
      </c>
      <c r="M971">
        <v>0</v>
      </c>
    </row>
    <row r="972" spans="1:13" ht="15" customHeight="1" x14ac:dyDescent="0.25">
      <c r="A972" t="s">
        <v>1635</v>
      </c>
      <c r="B972" t="s">
        <v>11</v>
      </c>
      <c r="C972">
        <v>0</v>
      </c>
      <c r="D972" t="s">
        <v>127</v>
      </c>
      <c r="E972" t="s">
        <v>2446</v>
      </c>
      <c r="F972">
        <v>23</v>
      </c>
      <c r="G972">
        <v>737500</v>
      </c>
      <c r="H972">
        <v>737500</v>
      </c>
      <c r="I972" t="s">
        <v>8</v>
      </c>
      <c r="J972">
        <v>0</v>
      </c>
      <c r="K972">
        <v>0</v>
      </c>
      <c r="L972">
        <v>0</v>
      </c>
      <c r="M972">
        <v>0</v>
      </c>
    </row>
    <row r="973" spans="1:13" ht="15" customHeight="1" x14ac:dyDescent="0.25">
      <c r="A973" t="s">
        <v>1725</v>
      </c>
      <c r="B973" t="s">
        <v>25</v>
      </c>
      <c r="C973" t="s">
        <v>372</v>
      </c>
      <c r="D973" t="s">
        <v>2452</v>
      </c>
      <c r="E973" t="s">
        <v>2439</v>
      </c>
      <c r="F973">
        <v>27</v>
      </c>
      <c r="G973">
        <v>6000000</v>
      </c>
      <c r="H973">
        <v>6000000</v>
      </c>
      <c r="I973">
        <v>6000000</v>
      </c>
      <c r="J973">
        <v>6000000</v>
      </c>
      <c r="K973">
        <v>6000000</v>
      </c>
      <c r="L973">
        <v>6000000</v>
      </c>
      <c r="M973" t="s">
        <v>7</v>
      </c>
    </row>
    <row r="974" spans="1:13" ht="15" customHeight="1" x14ac:dyDescent="0.25">
      <c r="A974" t="s">
        <v>1409</v>
      </c>
      <c r="B974" t="s">
        <v>10</v>
      </c>
      <c r="C974">
        <v>0</v>
      </c>
      <c r="D974" t="s">
        <v>379</v>
      </c>
      <c r="E974" t="s">
        <v>2677</v>
      </c>
      <c r="F974">
        <v>27</v>
      </c>
      <c r="G974">
        <v>812500</v>
      </c>
      <c r="H974" t="s">
        <v>7</v>
      </c>
      <c r="I974">
        <v>0</v>
      </c>
      <c r="J974">
        <v>0</v>
      </c>
      <c r="K974">
        <v>0</v>
      </c>
      <c r="L974">
        <v>0</v>
      </c>
      <c r="M974">
        <v>0</v>
      </c>
    </row>
    <row r="975" spans="1:13" ht="15" customHeight="1" x14ac:dyDescent="0.25">
      <c r="A975" t="s">
        <v>1926</v>
      </c>
      <c r="B975" t="s">
        <v>17</v>
      </c>
      <c r="C975">
        <v>0</v>
      </c>
      <c r="D975" t="s">
        <v>2445</v>
      </c>
      <c r="E975" t="s">
        <v>2439</v>
      </c>
      <c r="F975">
        <v>27</v>
      </c>
      <c r="G975">
        <v>3000000</v>
      </c>
      <c r="H975">
        <v>3000000</v>
      </c>
      <c r="I975" t="s">
        <v>7</v>
      </c>
      <c r="J975">
        <v>0</v>
      </c>
      <c r="K975">
        <v>0</v>
      </c>
      <c r="L975">
        <v>0</v>
      </c>
      <c r="M975">
        <v>0</v>
      </c>
    </row>
    <row r="976" spans="1:13" ht="15" customHeight="1" x14ac:dyDescent="0.25">
      <c r="A976" t="s">
        <v>1882</v>
      </c>
      <c r="B976" t="s">
        <v>63</v>
      </c>
      <c r="C976">
        <v>0</v>
      </c>
      <c r="D976" t="s">
        <v>380</v>
      </c>
      <c r="E976" t="s">
        <v>2690</v>
      </c>
      <c r="F976">
        <v>29</v>
      </c>
      <c r="G976">
        <v>725000</v>
      </c>
      <c r="H976">
        <v>725000</v>
      </c>
      <c r="I976" t="s">
        <v>7</v>
      </c>
      <c r="J976">
        <v>0</v>
      </c>
      <c r="K976">
        <v>0</v>
      </c>
      <c r="L976">
        <v>0</v>
      </c>
      <c r="M976">
        <v>0</v>
      </c>
    </row>
    <row r="977" spans="1:13" ht="15" customHeight="1" x14ac:dyDescent="0.25">
      <c r="A977" t="s">
        <v>2693</v>
      </c>
      <c r="B977" t="s">
        <v>33</v>
      </c>
      <c r="C977">
        <v>0</v>
      </c>
      <c r="D977" t="s">
        <v>127</v>
      </c>
      <c r="E977">
        <v>0</v>
      </c>
      <c r="F977">
        <v>31</v>
      </c>
      <c r="G977" t="s">
        <v>2694</v>
      </c>
      <c r="H977">
        <v>0</v>
      </c>
      <c r="I977">
        <v>0</v>
      </c>
      <c r="J977">
        <v>0</v>
      </c>
      <c r="K977">
        <v>0</v>
      </c>
      <c r="L977">
        <v>0</v>
      </c>
      <c r="M977">
        <v>0</v>
      </c>
    </row>
    <row r="978" spans="1:13" ht="15" customHeight="1" x14ac:dyDescent="0.25">
      <c r="A978" t="s">
        <v>2565</v>
      </c>
      <c r="B978" t="s">
        <v>26</v>
      </c>
      <c r="C978" t="s">
        <v>386</v>
      </c>
      <c r="D978" t="s">
        <v>2679</v>
      </c>
      <c r="E978" t="s">
        <v>2690</v>
      </c>
      <c r="F978">
        <v>23</v>
      </c>
      <c r="G978">
        <v>925000</v>
      </c>
      <c r="H978">
        <v>925000</v>
      </c>
      <c r="I978" t="s">
        <v>8</v>
      </c>
      <c r="J978">
        <v>0</v>
      </c>
      <c r="K978">
        <v>0</v>
      </c>
      <c r="L978">
        <v>0</v>
      </c>
      <c r="M978">
        <v>0</v>
      </c>
    </row>
    <row r="979" spans="1:13" ht="15" customHeight="1" x14ac:dyDescent="0.25">
      <c r="A979" t="s">
        <v>1988</v>
      </c>
      <c r="B979" t="s">
        <v>11</v>
      </c>
      <c r="C979">
        <v>0</v>
      </c>
      <c r="D979" t="s">
        <v>2442</v>
      </c>
      <c r="E979" t="s">
        <v>2439</v>
      </c>
      <c r="F979">
        <v>26</v>
      </c>
      <c r="G979">
        <v>5250000</v>
      </c>
      <c r="H979">
        <v>5250000</v>
      </c>
      <c r="I979">
        <v>5250000</v>
      </c>
      <c r="J979" t="s">
        <v>7</v>
      </c>
      <c r="K979">
        <v>0</v>
      </c>
      <c r="L979">
        <v>0</v>
      </c>
      <c r="M979">
        <v>0</v>
      </c>
    </row>
    <row r="980" spans="1:13" ht="15" customHeight="1" x14ac:dyDescent="0.25">
      <c r="A980" t="s">
        <v>1616</v>
      </c>
      <c r="B980" t="s">
        <v>12</v>
      </c>
      <c r="C980" t="s">
        <v>403</v>
      </c>
      <c r="D980" t="s">
        <v>2445</v>
      </c>
      <c r="E980" t="s">
        <v>2446</v>
      </c>
      <c r="F980">
        <v>22</v>
      </c>
      <c r="G980">
        <v>921666</v>
      </c>
      <c r="H980" t="s">
        <v>8</v>
      </c>
      <c r="I980">
        <v>0</v>
      </c>
      <c r="J980">
        <v>0</v>
      </c>
      <c r="K980">
        <v>0</v>
      </c>
      <c r="L980">
        <v>0</v>
      </c>
      <c r="M980">
        <v>0</v>
      </c>
    </row>
    <row r="981" spans="1:13" ht="15" customHeight="1" x14ac:dyDescent="0.25">
      <c r="A981" t="s">
        <v>1420</v>
      </c>
      <c r="B981" t="s">
        <v>17</v>
      </c>
      <c r="C981" t="s">
        <v>381</v>
      </c>
      <c r="D981" t="s">
        <v>73</v>
      </c>
      <c r="E981" t="s">
        <v>2439</v>
      </c>
      <c r="F981">
        <v>35</v>
      </c>
      <c r="G981">
        <v>5250000</v>
      </c>
      <c r="H981">
        <v>5250000</v>
      </c>
      <c r="I981">
        <v>5250000</v>
      </c>
      <c r="J981" t="s">
        <v>7</v>
      </c>
      <c r="K981">
        <v>0</v>
      </c>
      <c r="L981">
        <v>0</v>
      </c>
      <c r="M981">
        <v>0</v>
      </c>
    </row>
    <row r="982" spans="1:13" ht="15" customHeight="1" x14ac:dyDescent="0.25">
      <c r="A982" t="s">
        <v>1918</v>
      </c>
      <c r="B982" t="s">
        <v>15</v>
      </c>
      <c r="C982">
        <v>0</v>
      </c>
      <c r="D982" t="s">
        <v>2442</v>
      </c>
      <c r="E982" t="s">
        <v>2439</v>
      </c>
      <c r="F982">
        <v>26</v>
      </c>
      <c r="G982">
        <v>1975000</v>
      </c>
      <c r="H982" t="s">
        <v>7</v>
      </c>
      <c r="I982">
        <v>0</v>
      </c>
      <c r="J982">
        <v>0</v>
      </c>
      <c r="K982">
        <v>0</v>
      </c>
      <c r="L982">
        <v>0</v>
      </c>
      <c r="M982">
        <v>0</v>
      </c>
    </row>
    <row r="983" spans="1:13" ht="15" customHeight="1" x14ac:dyDescent="0.25">
      <c r="A983" t="s">
        <v>1783</v>
      </c>
      <c r="B983" t="s">
        <v>26</v>
      </c>
      <c r="C983">
        <v>0</v>
      </c>
      <c r="D983" t="s">
        <v>2679</v>
      </c>
      <c r="E983" t="s">
        <v>2677</v>
      </c>
      <c r="F983">
        <v>25</v>
      </c>
      <c r="G983">
        <v>700000</v>
      </c>
      <c r="H983" t="s">
        <v>8</v>
      </c>
      <c r="I983">
        <v>0</v>
      </c>
      <c r="J983">
        <v>0</v>
      </c>
      <c r="K983">
        <v>0</v>
      </c>
      <c r="L983">
        <v>0</v>
      </c>
      <c r="M983">
        <v>0</v>
      </c>
    </row>
    <row r="984" spans="1:13" ht="15" customHeight="1" x14ac:dyDescent="0.25">
      <c r="A984" t="s">
        <v>2102</v>
      </c>
      <c r="B984" t="s">
        <v>35</v>
      </c>
      <c r="C984" t="s">
        <v>386</v>
      </c>
      <c r="D984" t="s">
        <v>2444</v>
      </c>
      <c r="E984" t="s">
        <v>2439</v>
      </c>
      <c r="F984">
        <v>22</v>
      </c>
      <c r="G984">
        <v>916666</v>
      </c>
      <c r="H984" t="s">
        <v>8</v>
      </c>
      <c r="I984">
        <v>0</v>
      </c>
      <c r="J984">
        <v>0</v>
      </c>
      <c r="K984">
        <v>0</v>
      </c>
      <c r="L984">
        <v>0</v>
      </c>
      <c r="M984">
        <v>0</v>
      </c>
    </row>
    <row r="985" spans="1:13" ht="15" customHeight="1" x14ac:dyDescent="0.25">
      <c r="A985" t="s">
        <v>2345</v>
      </c>
      <c r="B985" t="s">
        <v>27</v>
      </c>
      <c r="C985">
        <v>0</v>
      </c>
      <c r="D985" t="s">
        <v>127</v>
      </c>
      <c r="E985" t="s">
        <v>2439</v>
      </c>
      <c r="F985">
        <v>29</v>
      </c>
      <c r="G985">
        <v>2600000</v>
      </c>
      <c r="H985">
        <v>2600000</v>
      </c>
      <c r="I985" t="s">
        <v>7</v>
      </c>
      <c r="J985">
        <v>0</v>
      </c>
      <c r="K985">
        <v>0</v>
      </c>
      <c r="L985">
        <v>0</v>
      </c>
      <c r="M985">
        <v>0</v>
      </c>
    </row>
    <row r="986" spans="1:13" ht="15" customHeight="1" x14ac:dyDescent="0.25">
      <c r="A986" t="s">
        <v>1902</v>
      </c>
      <c r="B986" t="s">
        <v>13</v>
      </c>
      <c r="C986">
        <v>0</v>
      </c>
      <c r="D986" t="s">
        <v>2452</v>
      </c>
      <c r="E986" t="s">
        <v>2446</v>
      </c>
      <c r="F986">
        <v>25</v>
      </c>
      <c r="G986">
        <v>700000</v>
      </c>
      <c r="H986" t="s">
        <v>8</v>
      </c>
      <c r="I986">
        <v>0</v>
      </c>
      <c r="J986">
        <v>0</v>
      </c>
      <c r="K986">
        <v>0</v>
      </c>
      <c r="L986">
        <v>0</v>
      </c>
      <c r="M986">
        <v>0</v>
      </c>
    </row>
    <row r="987" spans="1:13" ht="15" customHeight="1" x14ac:dyDescent="0.25">
      <c r="A987" t="s">
        <v>1862</v>
      </c>
      <c r="B987" t="s">
        <v>28</v>
      </c>
      <c r="C987" t="s">
        <v>381</v>
      </c>
      <c r="D987" t="s">
        <v>2444</v>
      </c>
      <c r="E987" t="s">
        <v>2439</v>
      </c>
      <c r="F987">
        <v>32</v>
      </c>
      <c r="G987">
        <v>5750000</v>
      </c>
      <c r="H987">
        <v>5750000</v>
      </c>
      <c r="I987" t="s">
        <v>7</v>
      </c>
      <c r="J987">
        <v>0</v>
      </c>
      <c r="K987">
        <v>0</v>
      </c>
      <c r="L987">
        <v>0</v>
      </c>
      <c r="M987">
        <v>0</v>
      </c>
    </row>
    <row r="988" spans="1:13" ht="15" customHeight="1" x14ac:dyDescent="0.25">
      <c r="A988" t="s">
        <v>1908</v>
      </c>
      <c r="B988" t="s">
        <v>13</v>
      </c>
      <c r="C988" t="s">
        <v>386</v>
      </c>
      <c r="D988" t="s">
        <v>73</v>
      </c>
      <c r="E988" t="s">
        <v>2446</v>
      </c>
      <c r="F988">
        <v>22</v>
      </c>
      <c r="G988">
        <v>925000</v>
      </c>
      <c r="H988" t="s">
        <v>8</v>
      </c>
      <c r="I988">
        <v>0</v>
      </c>
      <c r="J988">
        <v>0</v>
      </c>
      <c r="K988">
        <v>0</v>
      </c>
      <c r="L988">
        <v>0</v>
      </c>
      <c r="M988">
        <v>0</v>
      </c>
    </row>
    <row r="989" spans="1:13" ht="15" customHeight="1" x14ac:dyDescent="0.25">
      <c r="A989" t="s">
        <v>2533</v>
      </c>
      <c r="B989" t="s">
        <v>2531</v>
      </c>
      <c r="C989" t="s">
        <v>388</v>
      </c>
      <c r="D989" t="s">
        <v>88</v>
      </c>
      <c r="E989" t="s">
        <v>389</v>
      </c>
      <c r="F989">
        <v>19</v>
      </c>
      <c r="G989">
        <v>925000</v>
      </c>
      <c r="H989">
        <v>925000</v>
      </c>
      <c r="I989">
        <v>925000</v>
      </c>
      <c r="J989" t="s">
        <v>8</v>
      </c>
      <c r="K989">
        <v>0</v>
      </c>
      <c r="L989">
        <v>0</v>
      </c>
      <c r="M989">
        <v>0</v>
      </c>
    </row>
    <row r="990" spans="1:13" ht="15" customHeight="1" x14ac:dyDescent="0.25">
      <c r="A990" t="s">
        <v>2109</v>
      </c>
      <c r="B990" t="s">
        <v>35</v>
      </c>
      <c r="C990">
        <v>0</v>
      </c>
      <c r="D990" t="s">
        <v>82</v>
      </c>
      <c r="E990" t="s">
        <v>2446</v>
      </c>
      <c r="F990">
        <v>23</v>
      </c>
      <c r="G990">
        <v>700000</v>
      </c>
      <c r="H990" t="s">
        <v>8</v>
      </c>
      <c r="I990">
        <v>0</v>
      </c>
      <c r="J990">
        <v>0</v>
      </c>
      <c r="K990">
        <v>0</v>
      </c>
      <c r="L990">
        <v>0</v>
      </c>
      <c r="M990">
        <v>0</v>
      </c>
    </row>
    <row r="991" spans="1:13" ht="15" customHeight="1" x14ac:dyDescent="0.25">
      <c r="A991" t="s">
        <v>2053</v>
      </c>
      <c r="B991" t="s">
        <v>31</v>
      </c>
      <c r="C991">
        <v>0</v>
      </c>
      <c r="D991" t="s">
        <v>93</v>
      </c>
      <c r="E991" t="s">
        <v>2690</v>
      </c>
      <c r="F991">
        <v>30</v>
      </c>
      <c r="G991">
        <v>700000</v>
      </c>
      <c r="H991" t="s">
        <v>7</v>
      </c>
      <c r="I991">
        <v>0</v>
      </c>
      <c r="J991">
        <v>0</v>
      </c>
      <c r="K991">
        <v>0</v>
      </c>
      <c r="L991">
        <v>0</v>
      </c>
      <c r="M991">
        <v>0</v>
      </c>
    </row>
    <row r="992" spans="1:13" ht="15" customHeight="1" x14ac:dyDescent="0.25">
      <c r="A992" t="s">
        <v>2859</v>
      </c>
      <c r="B992" t="s">
        <v>9</v>
      </c>
      <c r="C992">
        <v>0</v>
      </c>
      <c r="D992" t="s">
        <v>2440</v>
      </c>
      <c r="E992" t="s">
        <v>2439</v>
      </c>
      <c r="F992">
        <v>27</v>
      </c>
      <c r="G992">
        <v>1000000</v>
      </c>
      <c r="H992" t="s">
        <v>7</v>
      </c>
      <c r="I992">
        <v>0</v>
      </c>
      <c r="J992">
        <v>0</v>
      </c>
      <c r="K992">
        <v>0</v>
      </c>
      <c r="L992">
        <v>0</v>
      </c>
      <c r="M992">
        <v>0</v>
      </c>
    </row>
    <row r="993" spans="1:13" ht="15" customHeight="1" x14ac:dyDescent="0.25">
      <c r="A993" t="s">
        <v>2653</v>
      </c>
      <c r="B993" t="s">
        <v>27</v>
      </c>
      <c r="C993" t="s">
        <v>386</v>
      </c>
      <c r="D993" t="s">
        <v>73</v>
      </c>
      <c r="E993" t="s">
        <v>2446</v>
      </c>
      <c r="F993">
        <v>20</v>
      </c>
      <c r="G993">
        <v>1633333</v>
      </c>
      <c r="H993">
        <v>1633333</v>
      </c>
      <c r="I993">
        <v>1633333</v>
      </c>
      <c r="J993" t="s">
        <v>8</v>
      </c>
      <c r="K993">
        <v>0</v>
      </c>
      <c r="L993">
        <v>0</v>
      </c>
      <c r="M993">
        <v>0</v>
      </c>
    </row>
    <row r="994" spans="1:13" ht="15" customHeight="1" x14ac:dyDescent="0.25">
      <c r="A994" t="s">
        <v>2372</v>
      </c>
      <c r="B994" t="s">
        <v>135</v>
      </c>
      <c r="C994">
        <v>0</v>
      </c>
      <c r="D994" t="s">
        <v>2689</v>
      </c>
      <c r="E994" t="s">
        <v>2677</v>
      </c>
      <c r="F994">
        <v>26</v>
      </c>
      <c r="G994">
        <v>1000000</v>
      </c>
      <c r="H994" t="s">
        <v>7</v>
      </c>
      <c r="I994">
        <v>0</v>
      </c>
      <c r="J994">
        <v>0</v>
      </c>
      <c r="K994">
        <v>0</v>
      </c>
      <c r="L994">
        <v>0</v>
      </c>
      <c r="M994">
        <v>0</v>
      </c>
    </row>
    <row r="995" spans="1:13" ht="15" customHeight="1" x14ac:dyDescent="0.25">
      <c r="A995" t="s">
        <v>2785</v>
      </c>
      <c r="B995" t="s">
        <v>18</v>
      </c>
      <c r="C995">
        <v>0</v>
      </c>
      <c r="D995" t="s">
        <v>2452</v>
      </c>
      <c r="E995" t="s">
        <v>2439</v>
      </c>
      <c r="F995">
        <v>26</v>
      </c>
      <c r="G995">
        <v>6000000</v>
      </c>
      <c r="H995">
        <v>6000000</v>
      </c>
      <c r="I995" t="s">
        <v>7</v>
      </c>
      <c r="J995">
        <v>0</v>
      </c>
      <c r="K995">
        <v>0</v>
      </c>
      <c r="L995">
        <v>0</v>
      </c>
      <c r="M995">
        <v>0</v>
      </c>
    </row>
    <row r="996" spans="1:13" ht="15" customHeight="1" x14ac:dyDescent="0.25">
      <c r="A996" t="s">
        <v>2228</v>
      </c>
      <c r="B996" t="s">
        <v>18</v>
      </c>
      <c r="C996">
        <v>0</v>
      </c>
      <c r="D996" t="s">
        <v>2445</v>
      </c>
      <c r="E996" t="s">
        <v>2439</v>
      </c>
      <c r="F996">
        <v>24</v>
      </c>
      <c r="G996">
        <v>3200000</v>
      </c>
      <c r="H996" t="s">
        <v>8</v>
      </c>
      <c r="I996">
        <v>0</v>
      </c>
      <c r="J996">
        <v>0</v>
      </c>
      <c r="K996">
        <v>0</v>
      </c>
      <c r="L996">
        <v>0</v>
      </c>
      <c r="M996">
        <v>0</v>
      </c>
    </row>
    <row r="997" spans="1:13" ht="15" customHeight="1" x14ac:dyDescent="0.25">
      <c r="A997" t="s">
        <v>1665</v>
      </c>
      <c r="B997" t="s">
        <v>14</v>
      </c>
      <c r="C997">
        <v>0</v>
      </c>
      <c r="D997" t="s">
        <v>2444</v>
      </c>
      <c r="E997" t="s">
        <v>2439</v>
      </c>
      <c r="F997">
        <v>25</v>
      </c>
      <c r="G997">
        <v>2700000</v>
      </c>
      <c r="H997">
        <v>2700000</v>
      </c>
      <c r="I997">
        <v>2700000</v>
      </c>
      <c r="J997" t="s">
        <v>7</v>
      </c>
      <c r="K997">
        <v>0</v>
      </c>
      <c r="L997">
        <v>0</v>
      </c>
      <c r="M997">
        <v>0</v>
      </c>
    </row>
    <row r="998" spans="1:13" ht="15" customHeight="1" x14ac:dyDescent="0.25">
      <c r="A998" t="s">
        <v>1974</v>
      </c>
      <c r="B998" t="s">
        <v>16</v>
      </c>
      <c r="C998" t="s">
        <v>386</v>
      </c>
      <c r="D998" t="s">
        <v>380</v>
      </c>
      <c r="E998" t="s">
        <v>2690</v>
      </c>
      <c r="F998">
        <v>23</v>
      </c>
      <c r="G998">
        <v>745000</v>
      </c>
      <c r="H998" t="s">
        <v>8</v>
      </c>
      <c r="I998">
        <v>0</v>
      </c>
      <c r="J998">
        <v>0</v>
      </c>
      <c r="K998">
        <v>0</v>
      </c>
      <c r="L998">
        <v>0</v>
      </c>
      <c r="M998">
        <v>0</v>
      </c>
    </row>
    <row r="999" spans="1:13" ht="15" customHeight="1" x14ac:dyDescent="0.25">
      <c r="A999" t="s">
        <v>2497</v>
      </c>
      <c r="B999" t="s">
        <v>18</v>
      </c>
      <c r="C999" t="s">
        <v>386</v>
      </c>
      <c r="D999" t="s">
        <v>2440</v>
      </c>
      <c r="E999" t="s">
        <v>2439</v>
      </c>
      <c r="F999">
        <v>26</v>
      </c>
      <c r="G999">
        <v>925000</v>
      </c>
      <c r="H999" t="s">
        <v>7</v>
      </c>
      <c r="I999">
        <v>0</v>
      </c>
      <c r="J999">
        <v>0</v>
      </c>
      <c r="K999">
        <v>0</v>
      </c>
      <c r="L999">
        <v>0</v>
      </c>
      <c r="M999">
        <v>0</v>
      </c>
    </row>
    <row r="1000" spans="1:13" ht="15" customHeight="1" x14ac:dyDescent="0.25">
      <c r="A1000" t="s">
        <v>1407</v>
      </c>
      <c r="B1000" t="s">
        <v>13</v>
      </c>
      <c r="C1000" t="s">
        <v>386</v>
      </c>
      <c r="D1000" t="s">
        <v>2441</v>
      </c>
      <c r="E1000" t="s">
        <v>2446</v>
      </c>
      <c r="F1000">
        <v>21</v>
      </c>
      <c r="G1000">
        <v>1713333</v>
      </c>
      <c r="H1000">
        <v>1713333</v>
      </c>
      <c r="I1000" t="s">
        <v>8</v>
      </c>
      <c r="J1000">
        <v>0</v>
      </c>
      <c r="K1000">
        <v>0</v>
      </c>
      <c r="L1000">
        <v>0</v>
      </c>
      <c r="M1000">
        <v>0</v>
      </c>
    </row>
    <row r="1001" spans="1:13" ht="15" customHeight="1" x14ac:dyDescent="0.25">
      <c r="A1001" t="s">
        <v>1595</v>
      </c>
      <c r="B1001" t="s">
        <v>33</v>
      </c>
      <c r="C1001">
        <v>0</v>
      </c>
      <c r="D1001" t="s">
        <v>2678</v>
      </c>
      <c r="E1001" t="s">
        <v>2677</v>
      </c>
      <c r="F1001">
        <v>23</v>
      </c>
      <c r="G1001">
        <v>6962366</v>
      </c>
      <c r="H1001">
        <v>6962366</v>
      </c>
      <c r="I1001">
        <v>6962366</v>
      </c>
      <c r="J1001">
        <v>6962366</v>
      </c>
      <c r="K1001">
        <v>6962366</v>
      </c>
      <c r="L1001" t="s">
        <v>7</v>
      </c>
      <c r="M1001">
        <v>0</v>
      </c>
    </row>
    <row r="1002" spans="1:13" ht="15" customHeight="1" x14ac:dyDescent="0.25">
      <c r="A1002" t="s">
        <v>1421</v>
      </c>
      <c r="B1002" t="s">
        <v>14</v>
      </c>
      <c r="C1002">
        <v>0</v>
      </c>
      <c r="D1002" t="s">
        <v>2441</v>
      </c>
      <c r="E1002" t="s">
        <v>2439</v>
      </c>
      <c r="F1002">
        <v>29</v>
      </c>
      <c r="G1002">
        <v>5500000</v>
      </c>
      <c r="H1002">
        <v>5500000</v>
      </c>
      <c r="I1002">
        <v>5500000</v>
      </c>
      <c r="J1002">
        <v>5500000</v>
      </c>
      <c r="K1002" t="s">
        <v>7</v>
      </c>
      <c r="L1002">
        <v>0</v>
      </c>
      <c r="M1002">
        <v>0</v>
      </c>
    </row>
    <row r="1003" spans="1:13" ht="15" customHeight="1" x14ac:dyDescent="0.25">
      <c r="A1003" t="s">
        <v>1885</v>
      </c>
      <c r="B1003" t="s">
        <v>2503</v>
      </c>
      <c r="C1003">
        <v>0</v>
      </c>
      <c r="D1003" t="s">
        <v>73</v>
      </c>
      <c r="E1003" t="s">
        <v>2690</v>
      </c>
      <c r="F1003">
        <v>25</v>
      </c>
      <c r="G1003">
        <v>700000</v>
      </c>
      <c r="H1003" t="s">
        <v>8</v>
      </c>
      <c r="I1003">
        <v>0</v>
      </c>
      <c r="J1003">
        <v>0</v>
      </c>
      <c r="K1003">
        <v>0</v>
      </c>
      <c r="L1003">
        <v>0</v>
      </c>
      <c r="M1003">
        <v>0</v>
      </c>
    </row>
    <row r="1004" spans="1:13" ht="15" customHeight="1" x14ac:dyDescent="0.25">
      <c r="A1004" t="s">
        <v>1937</v>
      </c>
      <c r="B1004" t="s">
        <v>15</v>
      </c>
      <c r="C1004" t="s">
        <v>386</v>
      </c>
      <c r="D1004" t="s">
        <v>2438</v>
      </c>
      <c r="E1004" t="s">
        <v>2446</v>
      </c>
      <c r="F1004">
        <v>22</v>
      </c>
      <c r="G1004">
        <v>1137500</v>
      </c>
      <c r="H1004" t="s">
        <v>8</v>
      </c>
      <c r="I1004">
        <v>0</v>
      </c>
      <c r="J1004">
        <v>0</v>
      </c>
      <c r="K1004">
        <v>0</v>
      </c>
      <c r="L1004">
        <v>0</v>
      </c>
      <c r="M1004">
        <v>0</v>
      </c>
    </row>
    <row r="1005" spans="1:13" ht="15" customHeight="1" x14ac:dyDescent="0.25">
      <c r="A1005" t="s">
        <v>2164</v>
      </c>
      <c r="B1005" t="s">
        <v>63</v>
      </c>
      <c r="C1005">
        <v>0</v>
      </c>
      <c r="D1005" t="s">
        <v>380</v>
      </c>
      <c r="E1005" t="s">
        <v>2677</v>
      </c>
      <c r="F1005">
        <v>27</v>
      </c>
      <c r="G1005">
        <v>1400000</v>
      </c>
      <c r="H1005">
        <v>1400000</v>
      </c>
      <c r="I1005" t="s">
        <v>7</v>
      </c>
      <c r="J1005">
        <v>0</v>
      </c>
      <c r="K1005">
        <v>0</v>
      </c>
      <c r="L1005">
        <v>0</v>
      </c>
      <c r="M1005">
        <v>0</v>
      </c>
    </row>
    <row r="1006" spans="1:13" ht="15" customHeight="1" x14ac:dyDescent="0.25">
      <c r="A1006" t="s">
        <v>2493</v>
      </c>
      <c r="B1006" t="s">
        <v>16</v>
      </c>
      <c r="C1006" t="s">
        <v>386</v>
      </c>
      <c r="D1006" t="s">
        <v>127</v>
      </c>
      <c r="E1006" t="s">
        <v>2690</v>
      </c>
      <c r="F1006">
        <v>20</v>
      </c>
      <c r="G1006">
        <v>1387500</v>
      </c>
      <c r="H1006">
        <v>1387500</v>
      </c>
      <c r="I1006">
        <v>1387500</v>
      </c>
      <c r="J1006" t="s">
        <v>8</v>
      </c>
      <c r="K1006">
        <v>0</v>
      </c>
      <c r="L1006">
        <v>0</v>
      </c>
      <c r="M1006">
        <v>0</v>
      </c>
    </row>
    <row r="1007" spans="1:13" ht="15" customHeight="1" x14ac:dyDescent="0.25">
      <c r="A1007" t="s">
        <v>1401</v>
      </c>
      <c r="B1007" t="s">
        <v>10</v>
      </c>
      <c r="C1007" t="s">
        <v>386</v>
      </c>
      <c r="D1007" t="s">
        <v>73</v>
      </c>
      <c r="E1007" t="s">
        <v>2690</v>
      </c>
      <c r="F1007">
        <v>24</v>
      </c>
      <c r="G1007">
        <v>925000</v>
      </c>
      <c r="H1007" t="s">
        <v>8</v>
      </c>
      <c r="I1007">
        <v>0</v>
      </c>
      <c r="J1007">
        <v>0</v>
      </c>
      <c r="K1007">
        <v>0</v>
      </c>
      <c r="L1007">
        <v>0</v>
      </c>
      <c r="M1007">
        <v>0</v>
      </c>
    </row>
    <row r="1008" spans="1:13" ht="15" customHeight="1" x14ac:dyDescent="0.25">
      <c r="A1008" t="s">
        <v>2761</v>
      </c>
      <c r="B1008" t="s">
        <v>10</v>
      </c>
      <c r="C1008" t="s">
        <v>381</v>
      </c>
      <c r="D1008" t="s">
        <v>88</v>
      </c>
      <c r="E1008" t="s">
        <v>2677</v>
      </c>
      <c r="F1008">
        <v>31</v>
      </c>
      <c r="G1008">
        <v>6000000</v>
      </c>
      <c r="H1008">
        <v>6000000</v>
      </c>
      <c r="I1008">
        <v>6000000</v>
      </c>
      <c r="J1008">
        <v>6000000</v>
      </c>
      <c r="K1008" t="s">
        <v>7</v>
      </c>
      <c r="L1008">
        <v>0</v>
      </c>
      <c r="M1008">
        <v>0</v>
      </c>
    </row>
    <row r="1009" spans="1:13" ht="15" customHeight="1" x14ac:dyDescent="0.25">
      <c r="A1009" t="s">
        <v>1831</v>
      </c>
      <c r="B1009" t="s">
        <v>16</v>
      </c>
      <c r="C1009">
        <v>0</v>
      </c>
      <c r="D1009" t="s">
        <v>380</v>
      </c>
      <c r="E1009" t="s">
        <v>2677</v>
      </c>
      <c r="F1009">
        <v>26</v>
      </c>
      <c r="G1009">
        <v>2137500</v>
      </c>
      <c r="H1009">
        <v>2137500</v>
      </c>
      <c r="I1009" t="s">
        <v>7</v>
      </c>
      <c r="J1009">
        <v>0</v>
      </c>
      <c r="K1009">
        <v>0</v>
      </c>
      <c r="L1009">
        <v>0</v>
      </c>
      <c r="M1009">
        <v>0</v>
      </c>
    </row>
    <row r="1010" spans="1:13" ht="15" customHeight="1" x14ac:dyDescent="0.25">
      <c r="A1010" t="s">
        <v>2516</v>
      </c>
      <c r="B1010" t="s">
        <v>23</v>
      </c>
      <c r="C1010" t="s">
        <v>386</v>
      </c>
      <c r="D1010" t="s">
        <v>88</v>
      </c>
      <c r="E1010" t="s">
        <v>2690</v>
      </c>
      <c r="F1010">
        <v>22</v>
      </c>
      <c r="G1010">
        <v>730000</v>
      </c>
      <c r="H1010">
        <v>730000</v>
      </c>
      <c r="I1010" t="s">
        <v>8</v>
      </c>
      <c r="J1010">
        <v>0</v>
      </c>
      <c r="K1010">
        <v>0</v>
      </c>
      <c r="L1010">
        <v>0</v>
      </c>
      <c r="M1010">
        <v>0</v>
      </c>
    </row>
    <row r="1011" spans="1:13" ht="15" customHeight="1" x14ac:dyDescent="0.25">
      <c r="A1011" t="s">
        <v>1999</v>
      </c>
      <c r="B1011" t="s">
        <v>22</v>
      </c>
      <c r="C1011">
        <v>0</v>
      </c>
      <c r="D1011" t="s">
        <v>2445</v>
      </c>
      <c r="E1011" t="s">
        <v>2446</v>
      </c>
      <c r="F1011">
        <v>24</v>
      </c>
      <c r="G1011">
        <v>700000</v>
      </c>
      <c r="H1011" t="s">
        <v>8</v>
      </c>
      <c r="I1011">
        <v>0</v>
      </c>
      <c r="J1011">
        <v>0</v>
      </c>
      <c r="K1011">
        <v>0</v>
      </c>
      <c r="L1011">
        <v>0</v>
      </c>
      <c r="M1011">
        <v>0</v>
      </c>
    </row>
    <row r="1012" spans="1:13" ht="15" customHeight="1" x14ac:dyDescent="0.25">
      <c r="A1012" t="s">
        <v>1411</v>
      </c>
      <c r="B1012" t="s">
        <v>10</v>
      </c>
      <c r="C1012" t="s">
        <v>386</v>
      </c>
      <c r="D1012" t="s">
        <v>2689</v>
      </c>
      <c r="E1012" t="s">
        <v>2690</v>
      </c>
      <c r="F1012">
        <v>24</v>
      </c>
      <c r="G1012">
        <v>925000</v>
      </c>
      <c r="H1012" t="s">
        <v>8</v>
      </c>
      <c r="I1012">
        <v>0</v>
      </c>
      <c r="J1012">
        <v>0</v>
      </c>
      <c r="K1012">
        <v>0</v>
      </c>
      <c r="L1012">
        <v>0</v>
      </c>
      <c r="M1012">
        <v>0</v>
      </c>
    </row>
    <row r="1013" spans="1:13" ht="15" customHeight="1" x14ac:dyDescent="0.25">
      <c r="A1013" t="s">
        <v>2860</v>
      </c>
      <c r="B1013" t="s">
        <v>29</v>
      </c>
      <c r="C1013" t="s">
        <v>386</v>
      </c>
      <c r="D1013" t="s">
        <v>73</v>
      </c>
      <c r="E1013" t="s">
        <v>2690</v>
      </c>
      <c r="F1013">
        <v>22</v>
      </c>
      <c r="G1013">
        <v>925000</v>
      </c>
      <c r="H1013">
        <v>925000</v>
      </c>
      <c r="I1013" t="s">
        <v>8</v>
      </c>
      <c r="J1013">
        <v>0</v>
      </c>
      <c r="K1013">
        <v>0</v>
      </c>
      <c r="L1013">
        <v>0</v>
      </c>
      <c r="M1013">
        <v>0</v>
      </c>
    </row>
    <row r="1014" spans="1:13" ht="15" customHeight="1" x14ac:dyDescent="0.25">
      <c r="A1014" t="s">
        <v>1405</v>
      </c>
      <c r="B1014" t="s">
        <v>26</v>
      </c>
      <c r="C1014">
        <v>0</v>
      </c>
      <c r="D1014" t="s">
        <v>2679</v>
      </c>
      <c r="E1014" t="s">
        <v>2690</v>
      </c>
      <c r="F1014">
        <v>25</v>
      </c>
      <c r="G1014">
        <v>700000</v>
      </c>
      <c r="H1014" t="s">
        <v>8</v>
      </c>
      <c r="I1014">
        <v>0</v>
      </c>
      <c r="J1014">
        <v>0</v>
      </c>
      <c r="K1014">
        <v>0</v>
      </c>
      <c r="L1014">
        <v>0</v>
      </c>
      <c r="M1014">
        <v>0</v>
      </c>
    </row>
    <row r="1015" spans="1:13" ht="15" customHeight="1" x14ac:dyDescent="0.25">
      <c r="A1015" t="s">
        <v>2045</v>
      </c>
      <c r="B1015" t="s">
        <v>31</v>
      </c>
      <c r="C1015">
        <v>0</v>
      </c>
      <c r="D1015" t="s">
        <v>73</v>
      </c>
      <c r="E1015" t="s">
        <v>2677</v>
      </c>
      <c r="F1015">
        <v>28</v>
      </c>
      <c r="G1015">
        <v>7500000</v>
      </c>
      <c r="H1015">
        <v>7500000</v>
      </c>
      <c r="I1015">
        <v>7500000</v>
      </c>
      <c r="J1015">
        <v>7500000</v>
      </c>
      <c r="K1015" t="s">
        <v>7</v>
      </c>
      <c r="L1015">
        <v>0</v>
      </c>
      <c r="M1015">
        <v>0</v>
      </c>
    </row>
    <row r="1016" spans="1:13" ht="15" customHeight="1" x14ac:dyDescent="0.25">
      <c r="A1016" t="s">
        <v>1863</v>
      </c>
      <c r="B1016" t="s">
        <v>2503</v>
      </c>
      <c r="C1016" t="s">
        <v>381</v>
      </c>
      <c r="D1016" t="s">
        <v>380</v>
      </c>
      <c r="E1016" t="s">
        <v>2677</v>
      </c>
      <c r="F1016">
        <v>28</v>
      </c>
      <c r="G1016">
        <v>5100000</v>
      </c>
      <c r="H1016">
        <v>5100000</v>
      </c>
      <c r="I1016">
        <v>5100000</v>
      </c>
      <c r="J1016">
        <v>5100000</v>
      </c>
      <c r="K1016" t="s">
        <v>7</v>
      </c>
      <c r="L1016">
        <v>0</v>
      </c>
      <c r="M1016">
        <v>0</v>
      </c>
    </row>
    <row r="1017" spans="1:13" ht="15" customHeight="1" x14ac:dyDescent="0.25">
      <c r="A1017" t="s">
        <v>1852</v>
      </c>
      <c r="B1017" t="s">
        <v>2503</v>
      </c>
      <c r="C1017" t="s">
        <v>381</v>
      </c>
      <c r="D1017" t="s">
        <v>88</v>
      </c>
      <c r="E1017" t="s">
        <v>2677</v>
      </c>
      <c r="F1017">
        <v>32</v>
      </c>
      <c r="G1017">
        <v>5750000</v>
      </c>
      <c r="H1017">
        <v>5750000</v>
      </c>
      <c r="I1017">
        <v>5750000</v>
      </c>
      <c r="J1017">
        <v>5750000</v>
      </c>
      <c r="K1017">
        <v>5750000</v>
      </c>
      <c r="L1017">
        <v>5750000</v>
      </c>
      <c r="M1017" t="s">
        <v>7</v>
      </c>
    </row>
    <row r="1018" spans="1:13" ht="15" customHeight="1" x14ac:dyDescent="0.25">
      <c r="A1018" t="s">
        <v>1437</v>
      </c>
      <c r="B1018" t="s">
        <v>22</v>
      </c>
      <c r="C1018">
        <v>0</v>
      </c>
      <c r="D1018" t="s">
        <v>2445</v>
      </c>
      <c r="E1018" t="s">
        <v>2446</v>
      </c>
      <c r="F1018">
        <v>26</v>
      </c>
      <c r="G1018">
        <v>700000</v>
      </c>
      <c r="H1018" t="s">
        <v>8</v>
      </c>
      <c r="I1018">
        <v>0</v>
      </c>
      <c r="J1018">
        <v>0</v>
      </c>
      <c r="K1018">
        <v>0</v>
      </c>
      <c r="L1018">
        <v>0</v>
      </c>
      <c r="M1018">
        <v>0</v>
      </c>
    </row>
    <row r="1019" spans="1:13" ht="15" customHeight="1" x14ac:dyDescent="0.25">
      <c r="A1019" t="s">
        <v>2824</v>
      </c>
      <c r="B1019" t="s">
        <v>2503</v>
      </c>
      <c r="C1019" t="s">
        <v>381</v>
      </c>
      <c r="D1019" t="s">
        <v>2689</v>
      </c>
      <c r="E1019" t="s">
        <v>2677</v>
      </c>
      <c r="F1019">
        <v>33</v>
      </c>
      <c r="G1019">
        <v>9538462</v>
      </c>
      <c r="H1019">
        <v>9538462</v>
      </c>
      <c r="I1019" t="s">
        <v>7</v>
      </c>
      <c r="J1019">
        <v>0</v>
      </c>
      <c r="K1019">
        <v>0</v>
      </c>
      <c r="L1019">
        <v>0</v>
      </c>
      <c r="M1019">
        <v>0</v>
      </c>
    </row>
    <row r="1020" spans="1:13" ht="15" customHeight="1" x14ac:dyDescent="0.25">
      <c r="A1020" t="s">
        <v>2368</v>
      </c>
      <c r="B1020" t="s">
        <v>135</v>
      </c>
      <c r="C1020" t="s">
        <v>381</v>
      </c>
      <c r="D1020" t="s">
        <v>93</v>
      </c>
      <c r="E1020" t="s">
        <v>2677</v>
      </c>
      <c r="F1020">
        <v>30</v>
      </c>
      <c r="G1020">
        <v>7000000</v>
      </c>
      <c r="H1020">
        <v>7000000</v>
      </c>
      <c r="I1020">
        <v>7000000</v>
      </c>
      <c r="J1020">
        <v>7000000</v>
      </c>
      <c r="K1020" t="s">
        <v>7</v>
      </c>
      <c r="L1020">
        <v>0</v>
      </c>
      <c r="M1020">
        <v>0</v>
      </c>
    </row>
    <row r="1021" spans="1:13" ht="15" customHeight="1" x14ac:dyDescent="0.25">
      <c r="A1021" t="s">
        <v>2815</v>
      </c>
      <c r="B1021" t="s">
        <v>27</v>
      </c>
      <c r="C1021">
        <v>0</v>
      </c>
      <c r="D1021" t="s">
        <v>73</v>
      </c>
      <c r="E1021" t="s">
        <v>2439</v>
      </c>
      <c r="F1021">
        <v>26</v>
      </c>
      <c r="G1021">
        <v>3100000</v>
      </c>
      <c r="H1021" t="s">
        <v>7</v>
      </c>
      <c r="I1021">
        <v>0</v>
      </c>
      <c r="J1021">
        <v>0</v>
      </c>
      <c r="K1021">
        <v>0</v>
      </c>
      <c r="L1021">
        <v>0</v>
      </c>
      <c r="M1021">
        <v>0</v>
      </c>
    </row>
    <row r="1022" spans="1:13" ht="15" customHeight="1" x14ac:dyDescent="0.25">
      <c r="A1022" t="s">
        <v>1546</v>
      </c>
      <c r="B1022" t="s">
        <v>32</v>
      </c>
      <c r="C1022" t="s">
        <v>372</v>
      </c>
      <c r="D1022" t="s">
        <v>2441</v>
      </c>
      <c r="E1022" t="s">
        <v>2439</v>
      </c>
      <c r="F1022">
        <v>28</v>
      </c>
      <c r="G1022">
        <v>5300000</v>
      </c>
      <c r="H1022">
        <v>5300000</v>
      </c>
      <c r="I1022">
        <v>5300000</v>
      </c>
      <c r="J1022" t="s">
        <v>7</v>
      </c>
      <c r="K1022">
        <v>0</v>
      </c>
      <c r="L1022">
        <v>0</v>
      </c>
      <c r="M1022">
        <v>0</v>
      </c>
    </row>
    <row r="1023" spans="1:13" ht="15" customHeight="1" x14ac:dyDescent="0.25">
      <c r="A1023" t="s">
        <v>1692</v>
      </c>
      <c r="B1023" t="s">
        <v>24</v>
      </c>
      <c r="C1023" t="s">
        <v>381</v>
      </c>
      <c r="D1023" t="s">
        <v>2441</v>
      </c>
      <c r="E1023" t="s">
        <v>2439</v>
      </c>
      <c r="F1023">
        <v>28</v>
      </c>
      <c r="G1023">
        <v>4650000</v>
      </c>
      <c r="H1023">
        <v>4650000</v>
      </c>
      <c r="I1023" t="s">
        <v>7</v>
      </c>
      <c r="J1023">
        <v>0</v>
      </c>
      <c r="K1023">
        <v>0</v>
      </c>
      <c r="L1023">
        <v>0</v>
      </c>
      <c r="M1023">
        <v>0</v>
      </c>
    </row>
    <row r="1024" spans="1:13" ht="15" customHeight="1" x14ac:dyDescent="0.25">
      <c r="A1024" t="s">
        <v>2354</v>
      </c>
      <c r="B1024" t="s">
        <v>34</v>
      </c>
      <c r="C1024" t="s">
        <v>386</v>
      </c>
      <c r="D1024" t="s">
        <v>2442</v>
      </c>
      <c r="E1024" t="s">
        <v>2446</v>
      </c>
      <c r="F1024">
        <v>22</v>
      </c>
      <c r="G1024">
        <v>925000</v>
      </c>
      <c r="H1024">
        <v>925000</v>
      </c>
      <c r="I1024" t="s">
        <v>8</v>
      </c>
      <c r="J1024">
        <v>0</v>
      </c>
      <c r="K1024">
        <v>0</v>
      </c>
      <c r="L1024">
        <v>0</v>
      </c>
      <c r="M1024">
        <v>0</v>
      </c>
    </row>
    <row r="1025" spans="1:13" ht="15" customHeight="1" x14ac:dyDescent="0.25">
      <c r="A1025" t="s">
        <v>2476</v>
      </c>
      <c r="B1025" t="s">
        <v>29</v>
      </c>
      <c r="C1025" t="s">
        <v>386</v>
      </c>
      <c r="D1025" t="s">
        <v>73</v>
      </c>
      <c r="E1025" t="s">
        <v>2690</v>
      </c>
      <c r="F1025">
        <v>27</v>
      </c>
      <c r="G1025">
        <v>925000</v>
      </c>
      <c r="H1025" t="s">
        <v>7</v>
      </c>
      <c r="I1025">
        <v>0</v>
      </c>
      <c r="J1025">
        <v>0</v>
      </c>
      <c r="K1025">
        <v>0</v>
      </c>
      <c r="L1025">
        <v>0</v>
      </c>
      <c r="M1025">
        <v>0</v>
      </c>
    </row>
    <row r="1026" spans="1:13" ht="15" customHeight="1" x14ac:dyDescent="0.25">
      <c r="A1026" t="s">
        <v>1654</v>
      </c>
      <c r="B1026" t="s">
        <v>26</v>
      </c>
      <c r="C1026" t="s">
        <v>420</v>
      </c>
      <c r="D1026" t="s">
        <v>93</v>
      </c>
      <c r="E1026" t="s">
        <v>2677</v>
      </c>
      <c r="F1026">
        <v>27</v>
      </c>
      <c r="G1026">
        <v>11642857</v>
      </c>
      <c r="H1026">
        <v>11642857</v>
      </c>
      <c r="I1026">
        <v>11642857</v>
      </c>
      <c r="J1026">
        <v>11642857</v>
      </c>
      <c r="K1026">
        <v>11642857</v>
      </c>
      <c r="L1026">
        <v>11642857</v>
      </c>
      <c r="M1026">
        <v>11642857</v>
      </c>
    </row>
    <row r="1027" spans="1:13" ht="15" customHeight="1" x14ac:dyDescent="0.25">
      <c r="A1027" t="s">
        <v>2152</v>
      </c>
      <c r="B1027" t="s">
        <v>2503</v>
      </c>
      <c r="C1027">
        <v>0</v>
      </c>
      <c r="D1027" t="s">
        <v>2689</v>
      </c>
      <c r="E1027" t="s">
        <v>2677</v>
      </c>
      <c r="F1027">
        <v>28</v>
      </c>
      <c r="G1027">
        <v>2750000</v>
      </c>
      <c r="H1027">
        <v>2750000</v>
      </c>
      <c r="I1027">
        <v>2750000</v>
      </c>
      <c r="J1027">
        <v>2750000</v>
      </c>
      <c r="K1027" t="s">
        <v>7</v>
      </c>
      <c r="L1027">
        <v>0</v>
      </c>
      <c r="M1027">
        <v>0</v>
      </c>
    </row>
    <row r="1028" spans="1:13" ht="15" customHeight="1" x14ac:dyDescent="0.25">
      <c r="A1028" t="s">
        <v>2905</v>
      </c>
      <c r="B1028" t="s">
        <v>32</v>
      </c>
      <c r="C1028">
        <v>0</v>
      </c>
      <c r="D1028" t="s">
        <v>2452</v>
      </c>
      <c r="E1028" t="s">
        <v>2439</v>
      </c>
      <c r="F1028">
        <v>26</v>
      </c>
      <c r="G1028">
        <v>1650000</v>
      </c>
      <c r="H1028">
        <v>1650000</v>
      </c>
      <c r="I1028" t="s">
        <v>7</v>
      </c>
      <c r="J1028">
        <v>0</v>
      </c>
      <c r="K1028">
        <v>0</v>
      </c>
      <c r="L1028">
        <v>0</v>
      </c>
      <c r="M1028">
        <v>0</v>
      </c>
    </row>
    <row r="1029" spans="1:13" ht="15" customHeight="1" x14ac:dyDescent="0.25">
      <c r="A1029" t="s">
        <v>2054</v>
      </c>
      <c r="B1029" t="s">
        <v>31</v>
      </c>
      <c r="C1029">
        <v>0</v>
      </c>
      <c r="D1029" t="s">
        <v>379</v>
      </c>
      <c r="E1029" t="s">
        <v>2677</v>
      </c>
      <c r="F1029">
        <v>26</v>
      </c>
      <c r="G1029">
        <v>5500000</v>
      </c>
      <c r="H1029">
        <v>5500000</v>
      </c>
      <c r="I1029">
        <v>5500000</v>
      </c>
      <c r="J1029" t="s">
        <v>7</v>
      </c>
      <c r="K1029">
        <v>0</v>
      </c>
      <c r="L1029">
        <v>0</v>
      </c>
      <c r="M1029">
        <v>0</v>
      </c>
    </row>
    <row r="1030" spans="1:13" ht="15" customHeight="1" x14ac:dyDescent="0.25">
      <c r="A1030" t="s">
        <v>2812</v>
      </c>
      <c r="B1030" t="s">
        <v>21</v>
      </c>
      <c r="C1030" t="s">
        <v>420</v>
      </c>
      <c r="D1030" t="s">
        <v>2440</v>
      </c>
      <c r="E1030" t="s">
        <v>2439</v>
      </c>
      <c r="F1030">
        <v>35</v>
      </c>
      <c r="G1030">
        <v>7538461</v>
      </c>
      <c r="H1030">
        <v>7538461</v>
      </c>
      <c r="I1030">
        <v>7538461</v>
      </c>
      <c r="J1030">
        <v>7538461</v>
      </c>
      <c r="K1030">
        <v>7538461</v>
      </c>
      <c r="L1030">
        <v>7538461</v>
      </c>
      <c r="M1030" t="s">
        <v>7</v>
      </c>
    </row>
    <row r="1031" spans="1:13" ht="15" customHeight="1" x14ac:dyDescent="0.25">
      <c r="A1031" t="s">
        <v>2206</v>
      </c>
      <c r="B1031" t="s">
        <v>12</v>
      </c>
      <c r="C1031" t="s">
        <v>386</v>
      </c>
      <c r="D1031" t="s">
        <v>127</v>
      </c>
      <c r="E1031" t="s">
        <v>2446</v>
      </c>
      <c r="F1031">
        <v>21</v>
      </c>
      <c r="G1031">
        <v>925000</v>
      </c>
      <c r="H1031" t="s">
        <v>8</v>
      </c>
      <c r="I1031">
        <v>0</v>
      </c>
      <c r="J1031">
        <v>0</v>
      </c>
      <c r="K1031">
        <v>0</v>
      </c>
      <c r="L1031">
        <v>0</v>
      </c>
      <c r="M1031">
        <v>0</v>
      </c>
    </row>
    <row r="1032" spans="1:13" ht="15" customHeight="1" x14ac:dyDescent="0.25">
      <c r="A1032" t="s">
        <v>1343</v>
      </c>
      <c r="B1032" t="s">
        <v>9</v>
      </c>
      <c r="C1032">
        <v>0</v>
      </c>
      <c r="D1032" t="s">
        <v>2438</v>
      </c>
      <c r="E1032" t="s">
        <v>2439</v>
      </c>
      <c r="F1032">
        <v>23</v>
      </c>
      <c r="G1032">
        <v>6666666</v>
      </c>
      <c r="H1032">
        <v>6666666</v>
      </c>
      <c r="I1032">
        <v>6666666</v>
      </c>
      <c r="J1032">
        <v>6666666</v>
      </c>
      <c r="K1032" t="s">
        <v>7</v>
      </c>
      <c r="L1032">
        <v>0</v>
      </c>
      <c r="M1032">
        <v>0</v>
      </c>
    </row>
    <row r="1033" spans="1:13" ht="15" customHeight="1" x14ac:dyDescent="0.25">
      <c r="A1033" t="s">
        <v>1997</v>
      </c>
      <c r="B1033" t="s">
        <v>21</v>
      </c>
      <c r="C1033">
        <v>0</v>
      </c>
      <c r="D1033" t="s">
        <v>2444</v>
      </c>
      <c r="E1033" t="s">
        <v>2439</v>
      </c>
      <c r="F1033">
        <v>29</v>
      </c>
      <c r="G1033">
        <v>2250000</v>
      </c>
      <c r="H1033">
        <v>2250000</v>
      </c>
      <c r="I1033" t="s">
        <v>7</v>
      </c>
      <c r="J1033">
        <v>0</v>
      </c>
      <c r="K1033">
        <v>0</v>
      </c>
      <c r="L1033">
        <v>0</v>
      </c>
      <c r="M1033">
        <v>0</v>
      </c>
    </row>
    <row r="1034" spans="1:13" ht="15" customHeight="1" x14ac:dyDescent="0.25">
      <c r="A1034" t="s">
        <v>1790</v>
      </c>
      <c r="B1034" t="s">
        <v>28</v>
      </c>
      <c r="C1034" t="s">
        <v>386</v>
      </c>
      <c r="D1034" t="s">
        <v>2448</v>
      </c>
      <c r="E1034" t="s">
        <v>2439</v>
      </c>
      <c r="F1034">
        <v>20</v>
      </c>
      <c r="G1034">
        <v>3575000</v>
      </c>
      <c r="H1034" t="s">
        <v>8</v>
      </c>
      <c r="I1034">
        <v>0</v>
      </c>
      <c r="J1034">
        <v>0</v>
      </c>
      <c r="K1034">
        <v>0</v>
      </c>
      <c r="L1034">
        <v>0</v>
      </c>
      <c r="M1034">
        <v>0</v>
      </c>
    </row>
    <row r="1035" spans="1:13" ht="15" customHeight="1" x14ac:dyDescent="0.25">
      <c r="A1035" t="s">
        <v>1545</v>
      </c>
      <c r="B1035" t="s">
        <v>27</v>
      </c>
      <c r="C1035">
        <v>0</v>
      </c>
      <c r="D1035" t="s">
        <v>2452</v>
      </c>
      <c r="E1035" t="s">
        <v>2446</v>
      </c>
      <c r="F1035">
        <v>24</v>
      </c>
      <c r="G1035">
        <v>750000</v>
      </c>
      <c r="H1035" t="s">
        <v>8</v>
      </c>
      <c r="I1035">
        <v>0</v>
      </c>
      <c r="J1035">
        <v>0</v>
      </c>
      <c r="K1035">
        <v>0</v>
      </c>
      <c r="L1035">
        <v>0</v>
      </c>
      <c r="M1035">
        <v>0</v>
      </c>
    </row>
    <row r="1036" spans="1:13" ht="15" customHeight="1" x14ac:dyDescent="0.25">
      <c r="A1036" t="s">
        <v>2482</v>
      </c>
      <c r="B1036" t="s">
        <v>16</v>
      </c>
      <c r="C1036" t="s">
        <v>420</v>
      </c>
      <c r="D1036" t="s">
        <v>2678</v>
      </c>
      <c r="E1036" t="s">
        <v>2677</v>
      </c>
      <c r="F1036">
        <v>35</v>
      </c>
      <c r="G1036">
        <v>7000000</v>
      </c>
      <c r="H1036">
        <v>7000000</v>
      </c>
      <c r="I1036">
        <v>7000000</v>
      </c>
      <c r="J1036" t="s">
        <v>7</v>
      </c>
      <c r="K1036">
        <v>0</v>
      </c>
      <c r="L1036">
        <v>0</v>
      </c>
      <c r="M1036">
        <v>0</v>
      </c>
    </row>
    <row r="1037" spans="1:13" ht="15" customHeight="1" x14ac:dyDescent="0.25">
      <c r="A1037" t="s">
        <v>2526</v>
      </c>
      <c r="B1037" t="s">
        <v>17</v>
      </c>
      <c r="C1037" t="s">
        <v>386</v>
      </c>
      <c r="D1037" t="s">
        <v>73</v>
      </c>
      <c r="E1037" t="s">
        <v>2446</v>
      </c>
      <c r="F1037">
        <v>21</v>
      </c>
      <c r="G1037">
        <v>925000</v>
      </c>
      <c r="H1037">
        <v>925000</v>
      </c>
      <c r="I1037" t="s">
        <v>8</v>
      </c>
      <c r="J1037">
        <v>0</v>
      </c>
      <c r="K1037">
        <v>0</v>
      </c>
      <c r="L1037">
        <v>0</v>
      </c>
      <c r="M1037">
        <v>0</v>
      </c>
    </row>
    <row r="1038" spans="1:13" ht="15" customHeight="1" x14ac:dyDescent="0.25">
      <c r="A1038" t="s">
        <v>2256</v>
      </c>
      <c r="B1038" t="s">
        <v>34</v>
      </c>
      <c r="C1038">
        <v>0</v>
      </c>
      <c r="D1038" t="s">
        <v>2440</v>
      </c>
      <c r="E1038" t="s">
        <v>2439</v>
      </c>
      <c r="F1038">
        <v>27</v>
      </c>
      <c r="G1038">
        <v>3750000</v>
      </c>
      <c r="H1038">
        <v>3750000</v>
      </c>
      <c r="I1038" t="s">
        <v>7</v>
      </c>
      <c r="J1038">
        <v>0</v>
      </c>
      <c r="K1038">
        <v>0</v>
      </c>
      <c r="L1038">
        <v>0</v>
      </c>
      <c r="M1038">
        <v>0</v>
      </c>
    </row>
    <row r="1039" spans="1:13" ht="15" customHeight="1" x14ac:dyDescent="0.25">
      <c r="A1039" t="s">
        <v>1485</v>
      </c>
      <c r="B1039" t="s">
        <v>22</v>
      </c>
      <c r="C1039">
        <v>0</v>
      </c>
      <c r="D1039" t="s">
        <v>2450</v>
      </c>
      <c r="E1039" t="s">
        <v>2439</v>
      </c>
      <c r="F1039">
        <v>26</v>
      </c>
      <c r="G1039">
        <v>1300000</v>
      </c>
      <c r="H1039" t="s">
        <v>7</v>
      </c>
      <c r="I1039">
        <v>0</v>
      </c>
      <c r="J1039">
        <v>0</v>
      </c>
      <c r="K1039">
        <v>0</v>
      </c>
      <c r="L1039">
        <v>0</v>
      </c>
      <c r="M1039">
        <v>0</v>
      </c>
    </row>
    <row r="1040" spans="1:13" ht="15" customHeight="1" x14ac:dyDescent="0.25">
      <c r="A1040" t="s">
        <v>2183</v>
      </c>
      <c r="B1040" t="s">
        <v>63</v>
      </c>
      <c r="C1040" t="s">
        <v>386</v>
      </c>
      <c r="D1040" t="s">
        <v>73</v>
      </c>
      <c r="E1040" t="s">
        <v>2690</v>
      </c>
      <c r="F1040">
        <v>22</v>
      </c>
      <c r="G1040">
        <v>690000</v>
      </c>
      <c r="H1040" t="s">
        <v>8</v>
      </c>
      <c r="I1040">
        <v>0</v>
      </c>
      <c r="J1040">
        <v>0</v>
      </c>
      <c r="K1040">
        <v>0</v>
      </c>
      <c r="L1040">
        <v>0</v>
      </c>
      <c r="M1040">
        <v>0</v>
      </c>
    </row>
    <row r="1041" spans="1:13" ht="15" customHeight="1" x14ac:dyDescent="0.25">
      <c r="A1041" t="s">
        <v>2642</v>
      </c>
      <c r="B1041" t="s">
        <v>14</v>
      </c>
      <c r="C1041" t="s">
        <v>386</v>
      </c>
      <c r="D1041" t="s">
        <v>2444</v>
      </c>
      <c r="E1041" t="s">
        <v>2446</v>
      </c>
      <c r="F1041">
        <v>21</v>
      </c>
      <c r="G1041">
        <v>1491667</v>
      </c>
      <c r="H1041">
        <v>1491667</v>
      </c>
      <c r="I1041" t="s">
        <v>8</v>
      </c>
      <c r="J1041">
        <v>0</v>
      </c>
      <c r="K1041">
        <v>0</v>
      </c>
      <c r="L1041">
        <v>0</v>
      </c>
      <c r="M1041">
        <v>0</v>
      </c>
    </row>
    <row r="1042" spans="1:13" ht="15" customHeight="1" x14ac:dyDescent="0.25">
      <c r="A1042" t="s">
        <v>2629</v>
      </c>
      <c r="B1042" t="s">
        <v>10</v>
      </c>
      <c r="C1042" t="s">
        <v>386</v>
      </c>
      <c r="D1042" t="s">
        <v>2684</v>
      </c>
      <c r="E1042" t="s">
        <v>2690</v>
      </c>
      <c r="F1042">
        <v>19</v>
      </c>
      <c r="G1042">
        <v>927500</v>
      </c>
      <c r="H1042">
        <v>927500</v>
      </c>
      <c r="I1042">
        <v>927500</v>
      </c>
      <c r="J1042" t="s">
        <v>8</v>
      </c>
      <c r="K1042">
        <v>0</v>
      </c>
      <c r="L1042">
        <v>0</v>
      </c>
      <c r="M1042">
        <v>0</v>
      </c>
    </row>
    <row r="1043" spans="1:13" ht="15" customHeight="1" x14ac:dyDescent="0.25">
      <c r="A1043" t="s">
        <v>1738</v>
      </c>
      <c r="B1043" t="s">
        <v>25</v>
      </c>
      <c r="C1043">
        <v>0</v>
      </c>
      <c r="D1043" t="s">
        <v>2445</v>
      </c>
      <c r="E1043" t="s">
        <v>2439</v>
      </c>
      <c r="F1043">
        <v>24</v>
      </c>
      <c r="G1043">
        <v>1600000</v>
      </c>
      <c r="H1043">
        <v>1600000</v>
      </c>
      <c r="I1043" t="s">
        <v>8</v>
      </c>
      <c r="J1043">
        <v>0</v>
      </c>
      <c r="K1043">
        <v>0</v>
      </c>
      <c r="L1043">
        <v>0</v>
      </c>
      <c r="M1043">
        <v>0</v>
      </c>
    </row>
    <row r="1044" spans="1:13" ht="15" customHeight="1" x14ac:dyDescent="0.25">
      <c r="A1044" t="s">
        <v>2159</v>
      </c>
      <c r="B1044" t="s">
        <v>13</v>
      </c>
      <c r="C1044">
        <v>0</v>
      </c>
      <c r="D1044" t="s">
        <v>2441</v>
      </c>
      <c r="E1044" t="s">
        <v>2439</v>
      </c>
      <c r="F1044">
        <v>23</v>
      </c>
      <c r="G1044" t="s">
        <v>8</v>
      </c>
      <c r="H1044">
        <v>0</v>
      </c>
      <c r="I1044">
        <v>0</v>
      </c>
      <c r="J1044">
        <v>0</v>
      </c>
      <c r="K1044">
        <v>0</v>
      </c>
      <c r="L1044">
        <v>0</v>
      </c>
      <c r="M1044">
        <v>0</v>
      </c>
    </row>
    <row r="1045" spans="1:13" ht="15" customHeight="1" x14ac:dyDescent="0.25">
      <c r="A1045" t="s">
        <v>2083</v>
      </c>
      <c r="B1045" t="s">
        <v>35</v>
      </c>
      <c r="C1045" t="s">
        <v>381</v>
      </c>
      <c r="D1045" t="s">
        <v>2450</v>
      </c>
      <c r="E1045" t="s">
        <v>2439</v>
      </c>
      <c r="F1045">
        <v>31</v>
      </c>
      <c r="G1045">
        <v>4125000</v>
      </c>
      <c r="H1045">
        <v>4125000</v>
      </c>
      <c r="I1045" t="s">
        <v>7</v>
      </c>
      <c r="J1045">
        <v>0</v>
      </c>
      <c r="K1045">
        <v>0</v>
      </c>
      <c r="L1045">
        <v>0</v>
      </c>
      <c r="M1045">
        <v>0</v>
      </c>
    </row>
    <row r="1046" spans="1:13" ht="15" customHeight="1" x14ac:dyDescent="0.25">
      <c r="A1046" t="s">
        <v>2049</v>
      </c>
      <c r="B1046" t="s">
        <v>31</v>
      </c>
      <c r="C1046" t="s">
        <v>381</v>
      </c>
      <c r="D1046" t="s">
        <v>2680</v>
      </c>
      <c r="E1046" t="s">
        <v>2677</v>
      </c>
      <c r="F1046">
        <v>31</v>
      </c>
      <c r="G1046">
        <v>4000000</v>
      </c>
      <c r="H1046">
        <v>4000000</v>
      </c>
      <c r="I1046">
        <v>4000000</v>
      </c>
      <c r="J1046" t="s">
        <v>7</v>
      </c>
      <c r="K1046">
        <v>0</v>
      </c>
      <c r="L1046">
        <v>0</v>
      </c>
      <c r="M1046">
        <v>0</v>
      </c>
    </row>
    <row r="1047" spans="1:13" ht="15" customHeight="1" x14ac:dyDescent="0.25">
      <c r="A1047" t="s">
        <v>2326</v>
      </c>
      <c r="B1047" t="s">
        <v>34</v>
      </c>
      <c r="C1047">
        <v>0</v>
      </c>
      <c r="D1047" t="s">
        <v>2440</v>
      </c>
      <c r="E1047" t="s">
        <v>2446</v>
      </c>
      <c r="F1047">
        <v>23</v>
      </c>
      <c r="G1047">
        <v>715000</v>
      </c>
      <c r="H1047" t="s">
        <v>8</v>
      </c>
      <c r="I1047">
        <v>0</v>
      </c>
      <c r="J1047">
        <v>0</v>
      </c>
      <c r="K1047">
        <v>0</v>
      </c>
      <c r="L1047">
        <v>0</v>
      </c>
      <c r="M1047">
        <v>0</v>
      </c>
    </row>
    <row r="1048" spans="1:13" ht="15" customHeight="1" x14ac:dyDescent="0.25">
      <c r="A1048" t="s">
        <v>2483</v>
      </c>
      <c r="B1048" t="s">
        <v>16</v>
      </c>
      <c r="C1048" t="s">
        <v>372</v>
      </c>
      <c r="D1048" t="s">
        <v>88</v>
      </c>
      <c r="E1048" t="s">
        <v>2677</v>
      </c>
      <c r="F1048">
        <v>34</v>
      </c>
      <c r="G1048">
        <v>3250000</v>
      </c>
      <c r="H1048" t="s">
        <v>7</v>
      </c>
      <c r="I1048">
        <v>0</v>
      </c>
      <c r="J1048">
        <v>0</v>
      </c>
      <c r="K1048">
        <v>0</v>
      </c>
      <c r="L1048">
        <v>0</v>
      </c>
      <c r="M1048">
        <v>0</v>
      </c>
    </row>
    <row r="1049" spans="1:13" ht="15" customHeight="1" x14ac:dyDescent="0.25">
      <c r="A1049" t="s">
        <v>2231</v>
      </c>
      <c r="B1049" t="s">
        <v>18</v>
      </c>
      <c r="C1049">
        <v>0</v>
      </c>
      <c r="D1049" t="s">
        <v>2444</v>
      </c>
      <c r="E1049" t="s">
        <v>2439</v>
      </c>
      <c r="F1049">
        <v>25</v>
      </c>
      <c r="G1049">
        <v>1000000</v>
      </c>
      <c r="H1049" t="s">
        <v>8</v>
      </c>
      <c r="I1049">
        <v>0</v>
      </c>
      <c r="J1049">
        <v>0</v>
      </c>
      <c r="K1049">
        <v>0</v>
      </c>
      <c r="L1049">
        <v>0</v>
      </c>
      <c r="M1049">
        <v>0</v>
      </c>
    </row>
    <row r="1050" spans="1:13" ht="15" customHeight="1" x14ac:dyDescent="0.25">
      <c r="A1050" t="s">
        <v>1628</v>
      </c>
      <c r="B1050" t="s">
        <v>11</v>
      </c>
      <c r="C1050">
        <v>0</v>
      </c>
      <c r="D1050" t="s">
        <v>2444</v>
      </c>
      <c r="E1050" t="s">
        <v>2439</v>
      </c>
      <c r="F1050">
        <v>24</v>
      </c>
      <c r="G1050">
        <v>4025000</v>
      </c>
      <c r="H1050">
        <v>4025000</v>
      </c>
      <c r="I1050">
        <v>4025000</v>
      </c>
      <c r="J1050">
        <v>4025000</v>
      </c>
      <c r="K1050">
        <v>4025000</v>
      </c>
      <c r="L1050" t="s">
        <v>7</v>
      </c>
      <c r="M1050">
        <v>0</v>
      </c>
    </row>
    <row r="1051" spans="1:13" ht="15" customHeight="1" x14ac:dyDescent="0.25">
      <c r="A1051" t="s">
        <v>2098</v>
      </c>
      <c r="B1051" t="s">
        <v>33</v>
      </c>
      <c r="C1051">
        <v>0</v>
      </c>
      <c r="D1051" t="s">
        <v>2681</v>
      </c>
      <c r="E1051" t="s">
        <v>2677</v>
      </c>
      <c r="F1051">
        <v>24</v>
      </c>
      <c r="G1051">
        <v>775000</v>
      </c>
      <c r="H1051">
        <v>775000</v>
      </c>
      <c r="I1051" t="s">
        <v>8</v>
      </c>
      <c r="J1051">
        <v>0</v>
      </c>
      <c r="K1051">
        <v>0</v>
      </c>
      <c r="L1051">
        <v>0</v>
      </c>
      <c r="M1051">
        <v>0</v>
      </c>
    </row>
    <row r="1052" spans="1:13" ht="15" customHeight="1" x14ac:dyDescent="0.25">
      <c r="A1052" t="s">
        <v>2269</v>
      </c>
      <c r="B1052" t="s">
        <v>20</v>
      </c>
      <c r="C1052">
        <v>0</v>
      </c>
      <c r="D1052" t="s">
        <v>127</v>
      </c>
      <c r="E1052" t="s">
        <v>2446</v>
      </c>
      <c r="F1052">
        <v>24</v>
      </c>
      <c r="G1052">
        <v>858333</v>
      </c>
      <c r="H1052">
        <v>858333</v>
      </c>
      <c r="I1052">
        <v>858333</v>
      </c>
      <c r="J1052" t="s">
        <v>7</v>
      </c>
      <c r="K1052">
        <v>0</v>
      </c>
      <c r="L1052">
        <v>0</v>
      </c>
      <c r="M1052">
        <v>0</v>
      </c>
    </row>
    <row r="1053" spans="1:13" ht="15" customHeight="1" x14ac:dyDescent="0.25">
      <c r="A1053" t="s">
        <v>1489</v>
      </c>
      <c r="B1053" t="s">
        <v>22</v>
      </c>
      <c r="C1053" t="s">
        <v>370</v>
      </c>
      <c r="D1053" t="s">
        <v>2444</v>
      </c>
      <c r="E1053" t="s">
        <v>2439</v>
      </c>
      <c r="F1053">
        <v>31</v>
      </c>
      <c r="G1053">
        <v>5500000</v>
      </c>
      <c r="H1053">
        <v>5500000</v>
      </c>
      <c r="I1053" t="s">
        <v>7</v>
      </c>
      <c r="J1053">
        <v>0</v>
      </c>
      <c r="K1053">
        <v>0</v>
      </c>
      <c r="L1053">
        <v>0</v>
      </c>
      <c r="M1053">
        <v>0</v>
      </c>
    </row>
    <row r="1054" spans="1:13" ht="15" customHeight="1" x14ac:dyDescent="0.25">
      <c r="A1054" t="s">
        <v>2348</v>
      </c>
      <c r="B1054" t="s">
        <v>34</v>
      </c>
      <c r="C1054" t="s">
        <v>386</v>
      </c>
      <c r="D1054" t="s">
        <v>2452</v>
      </c>
      <c r="E1054" t="s">
        <v>2439</v>
      </c>
      <c r="F1054">
        <v>20</v>
      </c>
      <c r="G1054">
        <v>3775000</v>
      </c>
      <c r="H1054">
        <v>3775000</v>
      </c>
      <c r="I1054" t="s">
        <v>8</v>
      </c>
      <c r="J1054">
        <v>0</v>
      </c>
      <c r="K1054">
        <v>0</v>
      </c>
      <c r="L1054">
        <v>0</v>
      </c>
      <c r="M1054">
        <v>0</v>
      </c>
    </row>
    <row r="1055" spans="1:13" ht="15" customHeight="1" x14ac:dyDescent="0.25">
      <c r="A1055" t="s">
        <v>2137</v>
      </c>
      <c r="B1055" t="s">
        <v>29</v>
      </c>
      <c r="C1055">
        <v>0</v>
      </c>
      <c r="D1055" t="s">
        <v>380</v>
      </c>
      <c r="E1055" t="s">
        <v>2677</v>
      </c>
      <c r="F1055">
        <v>23</v>
      </c>
      <c r="G1055" t="s">
        <v>8</v>
      </c>
      <c r="H1055">
        <v>0</v>
      </c>
      <c r="I1055">
        <v>0</v>
      </c>
      <c r="J1055">
        <v>0</v>
      </c>
      <c r="K1055">
        <v>0</v>
      </c>
      <c r="L1055">
        <v>0</v>
      </c>
      <c r="M1055">
        <v>0</v>
      </c>
    </row>
    <row r="1056" spans="1:13" ht="15" customHeight="1" x14ac:dyDescent="0.25">
      <c r="A1056" t="s">
        <v>1506</v>
      </c>
      <c r="B1056" t="s">
        <v>22</v>
      </c>
      <c r="C1056" t="s">
        <v>386</v>
      </c>
      <c r="D1056" t="s">
        <v>2450</v>
      </c>
      <c r="E1056" t="s">
        <v>2446</v>
      </c>
      <c r="F1056">
        <v>21</v>
      </c>
      <c r="G1056">
        <v>743333</v>
      </c>
      <c r="H1056">
        <v>743333</v>
      </c>
      <c r="I1056" t="s">
        <v>8</v>
      </c>
      <c r="J1056">
        <v>0</v>
      </c>
      <c r="K1056">
        <v>0</v>
      </c>
      <c r="L1056">
        <v>0</v>
      </c>
      <c r="M1056">
        <v>0</v>
      </c>
    </row>
    <row r="1057" spans="1:13" ht="15" customHeight="1" x14ac:dyDescent="0.25">
      <c r="A1057" t="s">
        <v>2627</v>
      </c>
      <c r="B1057" t="s">
        <v>20</v>
      </c>
      <c r="C1057" t="s">
        <v>386</v>
      </c>
      <c r="D1057" t="s">
        <v>2445</v>
      </c>
      <c r="E1057" t="s">
        <v>2446</v>
      </c>
      <c r="F1057">
        <v>20</v>
      </c>
      <c r="G1057">
        <v>801667</v>
      </c>
      <c r="H1057">
        <v>801667</v>
      </c>
      <c r="I1057">
        <v>801667</v>
      </c>
      <c r="J1057" t="s">
        <v>8</v>
      </c>
      <c r="K1057">
        <v>0</v>
      </c>
      <c r="L1057">
        <v>0</v>
      </c>
      <c r="M1057">
        <v>0</v>
      </c>
    </row>
    <row r="1058" spans="1:13" ht="15" customHeight="1" x14ac:dyDescent="0.25">
      <c r="A1058" t="s">
        <v>2208</v>
      </c>
      <c r="B1058" t="s">
        <v>12</v>
      </c>
      <c r="C1058" t="s">
        <v>386</v>
      </c>
      <c r="D1058" t="s">
        <v>73</v>
      </c>
      <c r="E1058" t="s">
        <v>2446</v>
      </c>
      <c r="F1058">
        <v>21</v>
      </c>
      <c r="G1058">
        <v>750000</v>
      </c>
      <c r="H1058">
        <v>750000</v>
      </c>
      <c r="I1058" t="s">
        <v>8</v>
      </c>
      <c r="J1058">
        <v>0</v>
      </c>
      <c r="K1058">
        <v>0</v>
      </c>
      <c r="L1058">
        <v>0</v>
      </c>
      <c r="M1058">
        <v>0</v>
      </c>
    </row>
    <row r="1059" spans="1:13" ht="15" customHeight="1" x14ac:dyDescent="0.25">
      <c r="A1059" t="s">
        <v>2581</v>
      </c>
      <c r="B1059" t="s">
        <v>12</v>
      </c>
      <c r="C1059" t="s">
        <v>386</v>
      </c>
      <c r="D1059" t="s">
        <v>73</v>
      </c>
      <c r="E1059" t="s">
        <v>2446</v>
      </c>
      <c r="F1059">
        <v>23</v>
      </c>
      <c r="G1059">
        <v>925000</v>
      </c>
      <c r="H1059">
        <v>925000</v>
      </c>
      <c r="I1059" t="s">
        <v>8</v>
      </c>
      <c r="J1059">
        <v>0</v>
      </c>
      <c r="K1059">
        <v>0</v>
      </c>
      <c r="L1059">
        <v>0</v>
      </c>
      <c r="M1059">
        <v>0</v>
      </c>
    </row>
    <row r="1060" spans="1:13" ht="15" customHeight="1" x14ac:dyDescent="0.25">
      <c r="A1060" t="s">
        <v>1612</v>
      </c>
      <c r="B1060" t="s">
        <v>17</v>
      </c>
      <c r="C1060">
        <v>0</v>
      </c>
      <c r="D1060" t="s">
        <v>127</v>
      </c>
      <c r="E1060" t="s">
        <v>2439</v>
      </c>
      <c r="F1060">
        <v>27</v>
      </c>
      <c r="G1060">
        <v>750000</v>
      </c>
      <c r="H1060">
        <v>750000</v>
      </c>
      <c r="I1060" t="s">
        <v>7</v>
      </c>
      <c r="J1060">
        <v>0</v>
      </c>
      <c r="K1060">
        <v>0</v>
      </c>
      <c r="L1060">
        <v>0</v>
      </c>
      <c r="M1060">
        <v>0</v>
      </c>
    </row>
    <row r="1061" spans="1:13" ht="15" customHeight="1" x14ac:dyDescent="0.25">
      <c r="A1061" t="s">
        <v>1724</v>
      </c>
      <c r="B1061" t="s">
        <v>6</v>
      </c>
      <c r="C1061">
        <v>0</v>
      </c>
      <c r="D1061" t="s">
        <v>2448</v>
      </c>
      <c r="E1061" t="s">
        <v>2446</v>
      </c>
      <c r="F1061">
        <v>26</v>
      </c>
      <c r="G1061">
        <v>750000</v>
      </c>
      <c r="H1061" t="s">
        <v>7</v>
      </c>
      <c r="I1061">
        <v>0</v>
      </c>
      <c r="J1061">
        <v>0</v>
      </c>
      <c r="K1061">
        <v>0</v>
      </c>
      <c r="L1061">
        <v>0</v>
      </c>
      <c r="M1061">
        <v>0</v>
      </c>
    </row>
    <row r="1062" spans="1:13" ht="15" customHeight="1" x14ac:dyDescent="0.25">
      <c r="A1062" t="s">
        <v>2830</v>
      </c>
      <c r="B1062" t="s">
        <v>31</v>
      </c>
      <c r="C1062" t="s">
        <v>372</v>
      </c>
      <c r="D1062" t="s">
        <v>379</v>
      </c>
      <c r="E1062" t="s">
        <v>2677</v>
      </c>
      <c r="F1062">
        <v>29</v>
      </c>
      <c r="G1062">
        <v>6500000</v>
      </c>
      <c r="H1062" t="s">
        <v>7</v>
      </c>
      <c r="I1062">
        <v>0</v>
      </c>
      <c r="J1062">
        <v>0</v>
      </c>
      <c r="K1062">
        <v>0</v>
      </c>
      <c r="L1062">
        <v>0</v>
      </c>
      <c r="M1062">
        <v>0</v>
      </c>
    </row>
    <row r="1063" spans="1:13" ht="15" customHeight="1" x14ac:dyDescent="0.25">
      <c r="A1063" t="s">
        <v>1876</v>
      </c>
      <c r="B1063" t="s">
        <v>2503</v>
      </c>
      <c r="C1063" t="s">
        <v>386</v>
      </c>
      <c r="D1063" t="s">
        <v>73</v>
      </c>
      <c r="E1063" t="s">
        <v>2690</v>
      </c>
      <c r="F1063">
        <v>21</v>
      </c>
      <c r="G1063">
        <v>894166</v>
      </c>
      <c r="H1063">
        <v>894166</v>
      </c>
      <c r="I1063" t="s">
        <v>8</v>
      </c>
      <c r="J1063">
        <v>0</v>
      </c>
      <c r="K1063">
        <v>0</v>
      </c>
      <c r="L1063">
        <v>0</v>
      </c>
      <c r="M1063">
        <v>0</v>
      </c>
    </row>
    <row r="1064" spans="1:13" ht="15" customHeight="1" x14ac:dyDescent="0.25">
      <c r="A1064" t="s">
        <v>1402</v>
      </c>
      <c r="B1064" t="s">
        <v>10</v>
      </c>
      <c r="C1064" t="s">
        <v>386</v>
      </c>
      <c r="D1064" t="s">
        <v>380</v>
      </c>
      <c r="E1064" t="s">
        <v>2690</v>
      </c>
      <c r="F1064">
        <v>23</v>
      </c>
      <c r="G1064">
        <v>1350000</v>
      </c>
      <c r="H1064" t="s">
        <v>8</v>
      </c>
      <c r="I1064">
        <v>0</v>
      </c>
      <c r="J1064">
        <v>0</v>
      </c>
      <c r="K1064">
        <v>0</v>
      </c>
      <c r="L1064">
        <v>0</v>
      </c>
      <c r="M1064">
        <v>0</v>
      </c>
    </row>
    <row r="1065" spans="1:13" x14ac:dyDescent="0.25">
      <c r="A1065" t="s">
        <v>1872</v>
      </c>
      <c r="B1065" t="s">
        <v>2503</v>
      </c>
      <c r="C1065">
        <v>0</v>
      </c>
      <c r="D1065" t="s">
        <v>2684</v>
      </c>
      <c r="E1065" t="s">
        <v>2690</v>
      </c>
      <c r="F1065">
        <v>24</v>
      </c>
      <c r="G1065">
        <v>700000</v>
      </c>
      <c r="H1065" t="s">
        <v>8</v>
      </c>
      <c r="I1065">
        <v>0</v>
      </c>
      <c r="J1065">
        <v>0</v>
      </c>
      <c r="K1065">
        <v>0</v>
      </c>
      <c r="L1065">
        <v>0</v>
      </c>
      <c r="M1065">
        <v>0</v>
      </c>
    </row>
    <row r="1066" spans="1:13" ht="15" customHeight="1" x14ac:dyDescent="0.25">
      <c r="A1066" t="s">
        <v>1768</v>
      </c>
      <c r="B1066" t="s">
        <v>35</v>
      </c>
      <c r="C1066">
        <v>0</v>
      </c>
      <c r="D1066" t="s">
        <v>2444</v>
      </c>
      <c r="E1066" t="s">
        <v>2439</v>
      </c>
      <c r="F1066">
        <v>24</v>
      </c>
      <c r="G1066">
        <v>3000000</v>
      </c>
      <c r="H1066">
        <v>3000000</v>
      </c>
      <c r="I1066" t="s">
        <v>8</v>
      </c>
      <c r="J1066">
        <v>0</v>
      </c>
      <c r="K1066">
        <v>0</v>
      </c>
      <c r="L1066">
        <v>0</v>
      </c>
      <c r="M1066">
        <v>0</v>
      </c>
    </row>
    <row r="1067" spans="1:13" ht="15" customHeight="1" x14ac:dyDescent="0.25">
      <c r="A1067" t="s">
        <v>2399</v>
      </c>
      <c r="B1067" t="s">
        <v>135</v>
      </c>
      <c r="C1067">
        <v>0</v>
      </c>
      <c r="D1067" t="s">
        <v>2680</v>
      </c>
      <c r="E1067" t="s">
        <v>2677</v>
      </c>
      <c r="F1067">
        <v>28</v>
      </c>
      <c r="G1067">
        <v>775000</v>
      </c>
      <c r="H1067">
        <v>775000</v>
      </c>
      <c r="I1067" t="s">
        <v>7</v>
      </c>
      <c r="J1067">
        <v>0</v>
      </c>
      <c r="K1067">
        <v>0</v>
      </c>
      <c r="L1067">
        <v>0</v>
      </c>
      <c r="M1067">
        <v>0</v>
      </c>
    </row>
    <row r="1068" spans="1:13" ht="15" customHeight="1" x14ac:dyDescent="0.25">
      <c r="A1068" t="s">
        <v>2513</v>
      </c>
      <c r="B1068" t="s">
        <v>23</v>
      </c>
      <c r="C1068" t="s">
        <v>386</v>
      </c>
      <c r="D1068" t="s">
        <v>73</v>
      </c>
      <c r="E1068" t="s">
        <v>2690</v>
      </c>
      <c r="F1068">
        <v>22</v>
      </c>
      <c r="G1068">
        <v>925000</v>
      </c>
      <c r="H1068" t="s">
        <v>8</v>
      </c>
      <c r="I1068">
        <v>0</v>
      </c>
      <c r="J1068">
        <v>0</v>
      </c>
      <c r="K1068">
        <v>0</v>
      </c>
      <c r="L1068">
        <v>0</v>
      </c>
      <c r="M1068">
        <v>0</v>
      </c>
    </row>
    <row r="1069" spans="1:13" ht="15" customHeight="1" x14ac:dyDescent="0.25">
      <c r="A1069" t="s">
        <v>1957</v>
      </c>
      <c r="B1069" t="s">
        <v>28</v>
      </c>
      <c r="C1069">
        <v>0</v>
      </c>
      <c r="D1069" t="s">
        <v>2438</v>
      </c>
      <c r="E1069" t="s">
        <v>2439</v>
      </c>
      <c r="F1069">
        <v>27</v>
      </c>
      <c r="G1069">
        <v>1000000</v>
      </c>
      <c r="H1069" t="s">
        <v>7</v>
      </c>
      <c r="I1069">
        <v>0</v>
      </c>
      <c r="J1069">
        <v>0</v>
      </c>
      <c r="K1069">
        <v>0</v>
      </c>
      <c r="L1069">
        <v>0</v>
      </c>
      <c r="M1069">
        <v>0</v>
      </c>
    </row>
    <row r="1070" spans="1:13" ht="15" customHeight="1" x14ac:dyDescent="0.25">
      <c r="A1070" t="s">
        <v>2603</v>
      </c>
      <c r="B1070" t="s">
        <v>22</v>
      </c>
      <c r="C1070" t="s">
        <v>386</v>
      </c>
      <c r="D1070" t="s">
        <v>73</v>
      </c>
      <c r="E1070" t="s">
        <v>2446</v>
      </c>
      <c r="F1070">
        <v>20</v>
      </c>
      <c r="G1070">
        <v>1491667</v>
      </c>
      <c r="H1070">
        <v>1491667</v>
      </c>
      <c r="I1070" t="s">
        <v>8</v>
      </c>
      <c r="J1070">
        <v>0</v>
      </c>
      <c r="K1070">
        <v>0</v>
      </c>
      <c r="L1070">
        <v>0</v>
      </c>
      <c r="M1070">
        <v>0</v>
      </c>
    </row>
    <row r="1071" spans="1:13" ht="15" customHeight="1" x14ac:dyDescent="0.25">
      <c r="A1071" t="s">
        <v>2074</v>
      </c>
      <c r="B1071" t="s">
        <v>31</v>
      </c>
      <c r="C1071" t="s">
        <v>386</v>
      </c>
      <c r="D1071" t="s">
        <v>88</v>
      </c>
      <c r="E1071" t="s">
        <v>2690</v>
      </c>
      <c r="F1071">
        <v>23</v>
      </c>
      <c r="G1071">
        <v>762500</v>
      </c>
      <c r="H1071" t="s">
        <v>8</v>
      </c>
      <c r="I1071">
        <v>0</v>
      </c>
      <c r="J1071">
        <v>0</v>
      </c>
      <c r="K1071">
        <v>0</v>
      </c>
      <c r="L1071">
        <v>0</v>
      </c>
      <c r="M1071">
        <v>0</v>
      </c>
    </row>
    <row r="1072" spans="1:13" ht="15" customHeight="1" x14ac:dyDescent="0.25">
      <c r="A1072" t="s">
        <v>1553</v>
      </c>
      <c r="B1072" t="s">
        <v>32</v>
      </c>
      <c r="C1072">
        <v>0</v>
      </c>
      <c r="D1072" t="s">
        <v>2448</v>
      </c>
      <c r="E1072" t="s">
        <v>2439</v>
      </c>
      <c r="F1072">
        <v>23</v>
      </c>
      <c r="G1072" t="s">
        <v>8</v>
      </c>
      <c r="H1072">
        <v>0</v>
      </c>
      <c r="I1072">
        <v>0</v>
      </c>
      <c r="J1072">
        <v>0</v>
      </c>
      <c r="K1072">
        <v>0</v>
      </c>
      <c r="L1072">
        <v>0</v>
      </c>
      <c r="M1072">
        <v>0</v>
      </c>
    </row>
    <row r="1073" spans="1:13" ht="15" customHeight="1" x14ac:dyDescent="0.25">
      <c r="A1073" t="s">
        <v>1965</v>
      </c>
      <c r="B1073" t="s">
        <v>16</v>
      </c>
      <c r="C1073" t="s">
        <v>386</v>
      </c>
      <c r="D1073" t="s">
        <v>127</v>
      </c>
      <c r="E1073" t="s">
        <v>2690</v>
      </c>
      <c r="F1073">
        <v>21</v>
      </c>
      <c r="G1073">
        <v>925000</v>
      </c>
      <c r="H1073">
        <v>925000</v>
      </c>
      <c r="I1073" t="s">
        <v>8</v>
      </c>
      <c r="J1073">
        <v>0</v>
      </c>
      <c r="K1073">
        <v>0</v>
      </c>
      <c r="L1073">
        <v>0</v>
      </c>
      <c r="M1073">
        <v>0</v>
      </c>
    </row>
    <row r="1074" spans="1:13" ht="15" customHeight="1" x14ac:dyDescent="0.25">
      <c r="A1074" t="s">
        <v>1960</v>
      </c>
      <c r="B1074" t="s">
        <v>16</v>
      </c>
      <c r="C1074">
        <v>0</v>
      </c>
      <c r="D1074" t="s">
        <v>379</v>
      </c>
      <c r="E1074" t="s">
        <v>2677</v>
      </c>
      <c r="F1074">
        <v>33</v>
      </c>
      <c r="G1074">
        <v>1750000</v>
      </c>
      <c r="H1074" t="s">
        <v>7</v>
      </c>
      <c r="I1074">
        <v>0</v>
      </c>
      <c r="J1074">
        <v>0</v>
      </c>
      <c r="K1074">
        <v>0</v>
      </c>
      <c r="L1074">
        <v>0</v>
      </c>
      <c r="M1074">
        <v>0</v>
      </c>
    </row>
    <row r="1075" spans="1:13" ht="15" customHeight="1" x14ac:dyDescent="0.25">
      <c r="A1075" t="s">
        <v>2633</v>
      </c>
      <c r="B1075" t="s">
        <v>31</v>
      </c>
      <c r="C1075" t="s">
        <v>386</v>
      </c>
      <c r="D1075" t="s">
        <v>93</v>
      </c>
      <c r="E1075" t="s">
        <v>2690</v>
      </c>
      <c r="F1075">
        <v>23</v>
      </c>
      <c r="G1075">
        <v>750000</v>
      </c>
      <c r="H1075">
        <v>750000</v>
      </c>
      <c r="I1075" t="s">
        <v>8</v>
      </c>
      <c r="J1075">
        <v>0</v>
      </c>
      <c r="K1075">
        <v>0</v>
      </c>
      <c r="L1075">
        <v>0</v>
      </c>
      <c r="M1075">
        <v>0</v>
      </c>
    </row>
    <row r="1076" spans="1:13" ht="15" customHeight="1" x14ac:dyDescent="0.25">
      <c r="A1076" t="s">
        <v>2094</v>
      </c>
      <c r="B1076" t="s">
        <v>35</v>
      </c>
      <c r="C1076">
        <v>0</v>
      </c>
      <c r="D1076" t="s">
        <v>82</v>
      </c>
      <c r="E1076" t="s">
        <v>2439</v>
      </c>
      <c r="F1076">
        <v>26</v>
      </c>
      <c r="G1076">
        <v>775000</v>
      </c>
      <c r="H1076">
        <v>775000</v>
      </c>
      <c r="I1076" t="s">
        <v>7</v>
      </c>
      <c r="J1076">
        <v>0</v>
      </c>
      <c r="K1076">
        <v>0</v>
      </c>
      <c r="L1076">
        <v>0</v>
      </c>
      <c r="M1076">
        <v>0</v>
      </c>
    </row>
    <row r="1077" spans="1:13" ht="15" customHeight="1" x14ac:dyDescent="0.25">
      <c r="A1077" t="s">
        <v>1438</v>
      </c>
      <c r="B1077" t="s">
        <v>17</v>
      </c>
      <c r="C1077" t="s">
        <v>386</v>
      </c>
      <c r="D1077" t="s">
        <v>2440</v>
      </c>
      <c r="E1077" t="s">
        <v>2446</v>
      </c>
      <c r="F1077">
        <v>24</v>
      </c>
      <c r="G1077">
        <v>1437500</v>
      </c>
      <c r="H1077" t="s">
        <v>8</v>
      </c>
      <c r="I1077">
        <v>0</v>
      </c>
      <c r="J1077">
        <v>0</v>
      </c>
      <c r="K1077">
        <v>0</v>
      </c>
      <c r="L1077">
        <v>0</v>
      </c>
      <c r="M1077">
        <v>0</v>
      </c>
    </row>
    <row r="1078" spans="1:13" ht="15" customHeight="1" x14ac:dyDescent="0.25">
      <c r="A1078" t="s">
        <v>2584</v>
      </c>
      <c r="B1078" t="s">
        <v>12</v>
      </c>
      <c r="C1078" t="s">
        <v>386</v>
      </c>
      <c r="D1078" t="s">
        <v>2438</v>
      </c>
      <c r="E1078" t="s">
        <v>2446</v>
      </c>
      <c r="F1078">
        <v>19</v>
      </c>
      <c r="G1078">
        <v>810000</v>
      </c>
      <c r="H1078">
        <v>810000</v>
      </c>
      <c r="I1078">
        <v>810000</v>
      </c>
      <c r="J1078" t="s">
        <v>8</v>
      </c>
      <c r="K1078">
        <v>0</v>
      </c>
      <c r="L1078">
        <v>0</v>
      </c>
      <c r="M1078">
        <v>0</v>
      </c>
    </row>
    <row r="1079" spans="1:13" ht="15" customHeight="1" x14ac:dyDescent="0.25">
      <c r="A1079" t="s">
        <v>1648</v>
      </c>
      <c r="B1079" t="s">
        <v>6</v>
      </c>
      <c r="C1079">
        <v>0</v>
      </c>
      <c r="D1079" t="s">
        <v>73</v>
      </c>
      <c r="E1079" t="s">
        <v>2446</v>
      </c>
      <c r="F1079">
        <v>25</v>
      </c>
      <c r="G1079">
        <v>700000</v>
      </c>
      <c r="H1079" t="s">
        <v>8</v>
      </c>
      <c r="I1079">
        <v>0</v>
      </c>
      <c r="J1079">
        <v>0</v>
      </c>
      <c r="K1079">
        <v>0</v>
      </c>
      <c r="L1079">
        <v>0</v>
      </c>
      <c r="M1079">
        <v>0</v>
      </c>
    </row>
    <row r="1080" spans="1:13" ht="15" customHeight="1" x14ac:dyDescent="0.25">
      <c r="A1080" t="s">
        <v>2343</v>
      </c>
      <c r="B1080" t="s">
        <v>31</v>
      </c>
      <c r="C1080">
        <v>0</v>
      </c>
      <c r="D1080" t="s">
        <v>380</v>
      </c>
      <c r="E1080" t="s">
        <v>2677</v>
      </c>
      <c r="F1080">
        <v>25</v>
      </c>
      <c r="G1080">
        <v>700000</v>
      </c>
      <c r="H1080" t="s">
        <v>8</v>
      </c>
      <c r="I1080">
        <v>0</v>
      </c>
      <c r="J1080">
        <v>0</v>
      </c>
      <c r="K1080">
        <v>0</v>
      </c>
      <c r="L1080">
        <v>0</v>
      </c>
      <c r="M1080">
        <v>0</v>
      </c>
    </row>
    <row r="1081" spans="1:13" ht="15" customHeight="1" x14ac:dyDescent="0.25">
      <c r="A1081" t="s">
        <v>2643</v>
      </c>
      <c r="B1081" t="s">
        <v>14</v>
      </c>
      <c r="C1081" t="s">
        <v>386</v>
      </c>
      <c r="D1081" t="s">
        <v>2445</v>
      </c>
      <c r="E1081" t="s">
        <v>2446</v>
      </c>
      <c r="F1081">
        <v>23</v>
      </c>
      <c r="G1081">
        <v>725000</v>
      </c>
      <c r="H1081" t="s">
        <v>8</v>
      </c>
      <c r="I1081">
        <v>0</v>
      </c>
      <c r="J1081">
        <v>0</v>
      </c>
      <c r="K1081">
        <v>0</v>
      </c>
      <c r="L1081">
        <v>0</v>
      </c>
      <c r="M1081">
        <v>0</v>
      </c>
    </row>
    <row r="1082" spans="1:13" ht="15" customHeight="1" x14ac:dyDescent="0.25">
      <c r="A1082" t="s">
        <v>1495</v>
      </c>
      <c r="B1082" t="s">
        <v>22</v>
      </c>
      <c r="C1082" t="s">
        <v>420</v>
      </c>
      <c r="D1082" t="s">
        <v>127</v>
      </c>
      <c r="E1082" t="s">
        <v>2439</v>
      </c>
      <c r="F1082">
        <v>31</v>
      </c>
      <c r="G1082">
        <v>10500000</v>
      </c>
      <c r="H1082">
        <v>10500000</v>
      </c>
      <c r="I1082">
        <v>10500000</v>
      </c>
      <c r="J1082">
        <v>10500000</v>
      </c>
      <c r="K1082">
        <v>10500000</v>
      </c>
      <c r="L1082">
        <v>10500000</v>
      </c>
      <c r="M1082">
        <v>10500000</v>
      </c>
    </row>
    <row r="1083" spans="1:13" ht="15" customHeight="1" x14ac:dyDescent="0.25">
      <c r="A1083" t="s">
        <v>2608</v>
      </c>
      <c r="B1083" t="s">
        <v>22</v>
      </c>
      <c r="C1083" t="s">
        <v>386</v>
      </c>
      <c r="D1083" t="s">
        <v>127</v>
      </c>
      <c r="E1083" t="s">
        <v>2446</v>
      </c>
      <c r="F1083">
        <v>20</v>
      </c>
      <c r="G1083">
        <v>966666</v>
      </c>
      <c r="H1083">
        <v>966666</v>
      </c>
      <c r="I1083">
        <v>966666</v>
      </c>
      <c r="J1083" t="s">
        <v>8</v>
      </c>
      <c r="K1083">
        <v>0</v>
      </c>
      <c r="L1083">
        <v>0</v>
      </c>
      <c r="M1083">
        <v>0</v>
      </c>
    </row>
    <row r="1084" spans="1:13" ht="15" customHeight="1" x14ac:dyDescent="0.25">
      <c r="A1084" t="s">
        <v>2610</v>
      </c>
      <c r="B1084" t="s">
        <v>11</v>
      </c>
      <c r="C1084" t="s">
        <v>386</v>
      </c>
      <c r="D1084" t="s">
        <v>2440</v>
      </c>
      <c r="E1084" t="s">
        <v>2446</v>
      </c>
      <c r="F1084">
        <v>24</v>
      </c>
      <c r="G1084">
        <v>925000</v>
      </c>
      <c r="H1084" t="s">
        <v>8</v>
      </c>
      <c r="I1084">
        <v>0</v>
      </c>
      <c r="J1084">
        <v>0</v>
      </c>
      <c r="K1084">
        <v>0</v>
      </c>
      <c r="L1084">
        <v>0</v>
      </c>
      <c r="M1084">
        <v>0</v>
      </c>
    </row>
    <row r="1085" spans="1:13" ht="15" customHeight="1" x14ac:dyDescent="0.25">
      <c r="A1085" t="s">
        <v>2623</v>
      </c>
      <c r="B1085" t="s">
        <v>20</v>
      </c>
      <c r="C1085" t="s">
        <v>386</v>
      </c>
      <c r="D1085" t="s">
        <v>2440</v>
      </c>
      <c r="E1085" t="s">
        <v>2446</v>
      </c>
      <c r="F1085">
        <v>25</v>
      </c>
      <c r="G1085">
        <v>1775000</v>
      </c>
      <c r="H1085" t="s">
        <v>8</v>
      </c>
      <c r="I1085">
        <v>0</v>
      </c>
      <c r="J1085">
        <v>0</v>
      </c>
      <c r="K1085">
        <v>0</v>
      </c>
      <c r="L1085">
        <v>0</v>
      </c>
      <c r="M1085">
        <v>0</v>
      </c>
    </row>
    <row r="1086" spans="1:13" ht="15" customHeight="1" x14ac:dyDescent="0.25">
      <c r="A1086" t="s">
        <v>2000</v>
      </c>
      <c r="B1086" t="s">
        <v>28</v>
      </c>
      <c r="C1086">
        <v>0</v>
      </c>
      <c r="D1086" t="s">
        <v>2444</v>
      </c>
      <c r="E1086" t="s">
        <v>2446</v>
      </c>
      <c r="F1086">
        <v>33</v>
      </c>
      <c r="G1086">
        <v>700000</v>
      </c>
      <c r="H1086">
        <v>700000</v>
      </c>
      <c r="I1086" t="s">
        <v>7</v>
      </c>
      <c r="J1086">
        <v>0</v>
      </c>
      <c r="K1086">
        <v>0</v>
      </c>
      <c r="L1086">
        <v>0</v>
      </c>
      <c r="M1086">
        <v>0</v>
      </c>
    </row>
    <row r="1087" spans="1:13" ht="15" customHeight="1" x14ac:dyDescent="0.25">
      <c r="A1087" t="s">
        <v>2461</v>
      </c>
      <c r="B1087" t="s">
        <v>63</v>
      </c>
      <c r="C1087" t="s">
        <v>386</v>
      </c>
      <c r="D1087" t="s">
        <v>127</v>
      </c>
      <c r="E1087" t="s">
        <v>2690</v>
      </c>
      <c r="F1087">
        <v>20</v>
      </c>
      <c r="G1087">
        <v>925000</v>
      </c>
      <c r="H1087">
        <v>925000</v>
      </c>
      <c r="I1087">
        <v>925000</v>
      </c>
      <c r="J1087" t="s">
        <v>8</v>
      </c>
      <c r="K1087">
        <v>0</v>
      </c>
      <c r="L1087">
        <v>0</v>
      </c>
      <c r="M1087">
        <v>0</v>
      </c>
    </row>
    <row r="1088" spans="1:13" ht="15" customHeight="1" x14ac:dyDescent="0.25">
      <c r="A1088" t="s">
        <v>2699</v>
      </c>
      <c r="B1088" t="s">
        <v>2503</v>
      </c>
      <c r="C1088" t="s">
        <v>386</v>
      </c>
      <c r="D1088" t="s">
        <v>73</v>
      </c>
      <c r="E1088" t="s">
        <v>2690</v>
      </c>
      <c r="F1088">
        <v>18</v>
      </c>
      <c r="G1088">
        <v>925000</v>
      </c>
      <c r="H1088">
        <v>925000</v>
      </c>
      <c r="I1088">
        <v>925000</v>
      </c>
      <c r="J1088" t="s">
        <v>8</v>
      </c>
      <c r="K1088">
        <v>0</v>
      </c>
      <c r="L1088">
        <v>0</v>
      </c>
      <c r="M1088">
        <v>0</v>
      </c>
    </row>
    <row r="1089" spans="1:13" ht="15" customHeight="1" x14ac:dyDescent="0.25">
      <c r="A1089" t="s">
        <v>2202</v>
      </c>
      <c r="B1089" t="s">
        <v>30</v>
      </c>
      <c r="C1089">
        <v>0</v>
      </c>
      <c r="D1089" t="s">
        <v>2444</v>
      </c>
      <c r="E1089" t="s">
        <v>2439</v>
      </c>
      <c r="F1089">
        <v>29</v>
      </c>
      <c r="G1089">
        <v>800000</v>
      </c>
      <c r="H1089" t="s">
        <v>7</v>
      </c>
      <c r="I1089">
        <v>0</v>
      </c>
      <c r="J1089">
        <v>0</v>
      </c>
      <c r="K1089">
        <v>0</v>
      </c>
      <c r="L1089">
        <v>0</v>
      </c>
      <c r="M1089">
        <v>0</v>
      </c>
    </row>
    <row r="1090" spans="1:13" ht="15" customHeight="1" x14ac:dyDescent="0.25">
      <c r="A1090" t="s">
        <v>1795</v>
      </c>
      <c r="B1090" t="s">
        <v>28</v>
      </c>
      <c r="C1090">
        <v>0</v>
      </c>
      <c r="D1090" t="s">
        <v>2445</v>
      </c>
      <c r="E1090" t="s">
        <v>2439</v>
      </c>
      <c r="F1090">
        <v>22</v>
      </c>
      <c r="G1090" t="s">
        <v>8</v>
      </c>
      <c r="H1090">
        <v>0</v>
      </c>
      <c r="I1090">
        <v>0</v>
      </c>
      <c r="J1090">
        <v>0</v>
      </c>
      <c r="K1090">
        <v>0</v>
      </c>
      <c r="L1090">
        <v>0</v>
      </c>
      <c r="M1090">
        <v>0</v>
      </c>
    </row>
    <row r="1091" spans="1:13" ht="15" customHeight="1" x14ac:dyDescent="0.25">
      <c r="A1091" t="s">
        <v>1848</v>
      </c>
      <c r="B1091" t="s">
        <v>2531</v>
      </c>
      <c r="C1091">
        <v>0</v>
      </c>
      <c r="D1091" t="s">
        <v>379</v>
      </c>
      <c r="E1091" t="s">
        <v>2690</v>
      </c>
      <c r="F1091">
        <v>26</v>
      </c>
      <c r="G1091">
        <v>725000</v>
      </c>
      <c r="H1091">
        <v>725000</v>
      </c>
      <c r="I1091" t="s">
        <v>7</v>
      </c>
      <c r="J1091">
        <v>0</v>
      </c>
      <c r="K1091">
        <v>0</v>
      </c>
      <c r="L1091">
        <v>0</v>
      </c>
      <c r="M1091">
        <v>0</v>
      </c>
    </row>
    <row r="1092" spans="1:13" ht="15" customHeight="1" x14ac:dyDescent="0.25">
      <c r="A1092" t="s">
        <v>1642</v>
      </c>
      <c r="B1092" t="s">
        <v>2531</v>
      </c>
      <c r="C1092" t="s">
        <v>386</v>
      </c>
      <c r="D1092" t="s">
        <v>88</v>
      </c>
      <c r="E1092" t="s">
        <v>2690</v>
      </c>
      <c r="F1092">
        <v>21</v>
      </c>
      <c r="G1092">
        <v>910833</v>
      </c>
      <c r="H1092">
        <v>910833</v>
      </c>
      <c r="I1092" t="s">
        <v>8</v>
      </c>
      <c r="J1092">
        <v>0</v>
      </c>
      <c r="K1092">
        <v>0</v>
      </c>
      <c r="L1092">
        <v>0</v>
      </c>
      <c r="M1092">
        <v>0</v>
      </c>
    </row>
    <row r="1093" spans="1:13" ht="15" customHeight="1" x14ac:dyDescent="0.25">
      <c r="A1093" t="s">
        <v>1448</v>
      </c>
      <c r="B1093" t="s">
        <v>17</v>
      </c>
      <c r="C1093">
        <v>0</v>
      </c>
      <c r="D1093" t="s">
        <v>2440</v>
      </c>
      <c r="E1093" t="s">
        <v>2446</v>
      </c>
      <c r="F1093">
        <v>26</v>
      </c>
      <c r="G1093">
        <v>675000</v>
      </c>
      <c r="H1093" t="s">
        <v>7</v>
      </c>
      <c r="I1093">
        <v>0</v>
      </c>
      <c r="J1093">
        <v>0</v>
      </c>
      <c r="K1093">
        <v>0</v>
      </c>
      <c r="L1093">
        <v>0</v>
      </c>
      <c r="M1093">
        <v>0</v>
      </c>
    </row>
    <row r="1094" spans="1:13" ht="15" customHeight="1" x14ac:dyDescent="0.25">
      <c r="A1094" t="s">
        <v>2882</v>
      </c>
      <c r="B1094" t="s">
        <v>18</v>
      </c>
      <c r="C1094">
        <v>0</v>
      </c>
      <c r="D1094" t="s">
        <v>2438</v>
      </c>
      <c r="E1094" t="s">
        <v>2439</v>
      </c>
      <c r="F1094">
        <v>21</v>
      </c>
      <c r="G1094" t="s">
        <v>8</v>
      </c>
      <c r="H1094">
        <v>0</v>
      </c>
      <c r="I1094">
        <v>0</v>
      </c>
      <c r="J1094">
        <v>0</v>
      </c>
      <c r="K1094">
        <v>0</v>
      </c>
      <c r="L1094">
        <v>0</v>
      </c>
      <c r="M1094">
        <v>0</v>
      </c>
    </row>
    <row r="1095" spans="1:13" ht="15" customHeight="1" x14ac:dyDescent="0.25">
      <c r="A1095" t="s">
        <v>1737</v>
      </c>
      <c r="B1095" t="s">
        <v>25</v>
      </c>
      <c r="C1095">
        <v>0</v>
      </c>
      <c r="D1095" t="s">
        <v>2444</v>
      </c>
      <c r="E1095" t="s">
        <v>2439</v>
      </c>
      <c r="F1095">
        <v>24</v>
      </c>
      <c r="G1095">
        <v>2000000</v>
      </c>
      <c r="H1095" t="s">
        <v>8</v>
      </c>
      <c r="I1095">
        <v>0</v>
      </c>
      <c r="J1095">
        <v>0</v>
      </c>
      <c r="K1095">
        <v>0</v>
      </c>
      <c r="L1095">
        <v>0</v>
      </c>
      <c r="M1095">
        <v>0</v>
      </c>
    </row>
    <row r="1096" spans="1:13" ht="15" customHeight="1" x14ac:dyDescent="0.25">
      <c r="A1096" t="s">
        <v>1461</v>
      </c>
      <c r="B1096" t="s">
        <v>2531</v>
      </c>
      <c r="C1096">
        <v>0</v>
      </c>
      <c r="D1096" t="s">
        <v>379</v>
      </c>
      <c r="E1096" t="s">
        <v>2677</v>
      </c>
      <c r="F1096">
        <v>27</v>
      </c>
      <c r="G1096">
        <v>2733333</v>
      </c>
      <c r="H1096" t="s">
        <v>7</v>
      </c>
      <c r="I1096">
        <v>0</v>
      </c>
      <c r="J1096">
        <v>0</v>
      </c>
      <c r="K1096">
        <v>0</v>
      </c>
      <c r="L1096">
        <v>0</v>
      </c>
      <c r="M1096">
        <v>0</v>
      </c>
    </row>
    <row r="1097" spans="1:13" x14ac:dyDescent="0.25">
      <c r="A1097" t="s">
        <v>1747</v>
      </c>
      <c r="B1097" t="s">
        <v>25</v>
      </c>
      <c r="C1097" t="s">
        <v>386</v>
      </c>
      <c r="D1097" t="s">
        <v>2444</v>
      </c>
      <c r="E1097" t="s">
        <v>2446</v>
      </c>
      <c r="F1097">
        <v>21</v>
      </c>
      <c r="G1097">
        <v>925000</v>
      </c>
      <c r="H1097">
        <v>925000</v>
      </c>
      <c r="I1097" t="s">
        <v>8</v>
      </c>
      <c r="J1097">
        <v>0</v>
      </c>
      <c r="K1097">
        <v>0</v>
      </c>
      <c r="L1097">
        <v>0</v>
      </c>
      <c r="M1097">
        <v>0</v>
      </c>
    </row>
    <row r="1098" spans="1:13" ht="15" customHeight="1" x14ac:dyDescent="0.25">
      <c r="A1098" t="s">
        <v>1709</v>
      </c>
      <c r="B1098" t="s">
        <v>13</v>
      </c>
      <c r="C1098">
        <v>0</v>
      </c>
      <c r="D1098" t="s">
        <v>2450</v>
      </c>
      <c r="E1098" t="s">
        <v>2446</v>
      </c>
      <c r="F1098">
        <v>23</v>
      </c>
      <c r="G1098">
        <v>750000</v>
      </c>
      <c r="H1098">
        <v>750000</v>
      </c>
      <c r="I1098" t="s">
        <v>8</v>
      </c>
      <c r="J1098">
        <v>0</v>
      </c>
      <c r="K1098">
        <v>0</v>
      </c>
      <c r="L1098">
        <v>0</v>
      </c>
      <c r="M1098">
        <v>0</v>
      </c>
    </row>
    <row r="1099" spans="1:13" ht="15" customHeight="1" x14ac:dyDescent="0.25">
      <c r="A1099" t="s">
        <v>2267</v>
      </c>
      <c r="B1099" t="s">
        <v>20</v>
      </c>
      <c r="C1099">
        <v>0</v>
      </c>
      <c r="D1099" t="s">
        <v>127</v>
      </c>
      <c r="E1099" t="s">
        <v>2439</v>
      </c>
      <c r="F1099">
        <v>33</v>
      </c>
      <c r="G1099">
        <v>5800000</v>
      </c>
      <c r="H1099">
        <v>5800000</v>
      </c>
      <c r="I1099">
        <v>5800000</v>
      </c>
      <c r="J1099">
        <v>5800000</v>
      </c>
      <c r="K1099" t="s">
        <v>7</v>
      </c>
      <c r="L1099">
        <v>0</v>
      </c>
      <c r="M1099">
        <v>0</v>
      </c>
    </row>
    <row r="1100" spans="1:13" ht="15" customHeight="1" x14ac:dyDescent="0.25">
      <c r="A1100" t="s">
        <v>2213</v>
      </c>
      <c r="B1100" t="s">
        <v>12</v>
      </c>
      <c r="C1100">
        <v>0</v>
      </c>
      <c r="D1100" t="s">
        <v>73</v>
      </c>
      <c r="E1100" t="s">
        <v>2439</v>
      </c>
      <c r="F1100">
        <v>26</v>
      </c>
      <c r="G1100">
        <v>735000</v>
      </c>
      <c r="H1100" t="s">
        <v>7</v>
      </c>
      <c r="I1100">
        <v>0</v>
      </c>
      <c r="J1100">
        <v>0</v>
      </c>
      <c r="K1100">
        <v>0</v>
      </c>
      <c r="L1100">
        <v>0</v>
      </c>
      <c r="M1100">
        <v>0</v>
      </c>
    </row>
    <row r="1101" spans="1:13" ht="15" customHeight="1" x14ac:dyDescent="0.25">
      <c r="A1101" t="s">
        <v>2396</v>
      </c>
      <c r="B1101" t="s">
        <v>135</v>
      </c>
      <c r="C1101" t="s">
        <v>386</v>
      </c>
      <c r="D1101" t="s">
        <v>2696</v>
      </c>
      <c r="E1101" t="s">
        <v>2690</v>
      </c>
      <c r="F1101">
        <v>24</v>
      </c>
      <c r="G1101">
        <v>715000</v>
      </c>
      <c r="H1101" t="s">
        <v>8</v>
      </c>
      <c r="I1101">
        <v>0</v>
      </c>
      <c r="J1101">
        <v>0</v>
      </c>
      <c r="K1101">
        <v>0</v>
      </c>
      <c r="L1101">
        <v>0</v>
      </c>
      <c r="M1101">
        <v>0</v>
      </c>
    </row>
    <row r="1102" spans="1:13" ht="15" customHeight="1" x14ac:dyDescent="0.25">
      <c r="A1102" t="s">
        <v>2165</v>
      </c>
      <c r="B1102" t="s">
        <v>63</v>
      </c>
      <c r="C1102">
        <v>0</v>
      </c>
      <c r="D1102" t="s">
        <v>127</v>
      </c>
      <c r="E1102" t="s">
        <v>2677</v>
      </c>
      <c r="F1102">
        <v>30</v>
      </c>
      <c r="G1102">
        <v>4250000</v>
      </c>
      <c r="H1102">
        <v>4250000</v>
      </c>
      <c r="I1102" t="s">
        <v>7</v>
      </c>
      <c r="J1102">
        <v>0</v>
      </c>
      <c r="K1102">
        <v>0</v>
      </c>
      <c r="L1102">
        <v>0</v>
      </c>
      <c r="M1102">
        <v>0</v>
      </c>
    </row>
    <row r="1103" spans="1:13" ht="15" customHeight="1" x14ac:dyDescent="0.25">
      <c r="A1103" t="s">
        <v>1912</v>
      </c>
      <c r="B1103" t="s">
        <v>26</v>
      </c>
      <c r="C1103" t="s">
        <v>386</v>
      </c>
      <c r="D1103" t="s">
        <v>379</v>
      </c>
      <c r="E1103" t="s">
        <v>2690</v>
      </c>
      <c r="F1103">
        <v>23</v>
      </c>
      <c r="G1103">
        <v>730000</v>
      </c>
      <c r="H1103" t="s">
        <v>8</v>
      </c>
      <c r="I1103">
        <v>0</v>
      </c>
      <c r="J1103">
        <v>0</v>
      </c>
      <c r="K1103">
        <v>0</v>
      </c>
      <c r="L1103">
        <v>0</v>
      </c>
      <c r="M1103">
        <v>0</v>
      </c>
    </row>
    <row r="1104" spans="1:13" ht="15" customHeight="1" x14ac:dyDescent="0.25">
      <c r="A1104" t="s">
        <v>1569</v>
      </c>
      <c r="B1104" t="s">
        <v>32</v>
      </c>
      <c r="C1104" t="s">
        <v>386</v>
      </c>
      <c r="D1104" t="s">
        <v>2438</v>
      </c>
      <c r="E1104" t="s">
        <v>2446</v>
      </c>
      <c r="F1104">
        <v>21</v>
      </c>
      <c r="G1104">
        <v>894166</v>
      </c>
      <c r="H1104">
        <v>894166</v>
      </c>
      <c r="I1104" t="s">
        <v>8</v>
      </c>
      <c r="J1104">
        <v>0</v>
      </c>
      <c r="K1104">
        <v>0</v>
      </c>
      <c r="L1104">
        <v>0</v>
      </c>
      <c r="M1104">
        <v>0</v>
      </c>
    </row>
    <row r="1105" spans="1:13" ht="15" customHeight="1" x14ac:dyDescent="0.25">
      <c r="A1105" t="s">
        <v>2320</v>
      </c>
      <c r="B1105" t="s">
        <v>30</v>
      </c>
      <c r="C1105">
        <v>0</v>
      </c>
      <c r="D1105" t="s">
        <v>2440</v>
      </c>
      <c r="E1105" t="s">
        <v>2439</v>
      </c>
      <c r="F1105">
        <v>29</v>
      </c>
      <c r="G1105">
        <v>700000</v>
      </c>
      <c r="H1105" t="s">
        <v>7</v>
      </c>
      <c r="I1105">
        <v>0</v>
      </c>
      <c r="J1105">
        <v>0</v>
      </c>
      <c r="K1105">
        <v>0</v>
      </c>
      <c r="L1105">
        <v>0</v>
      </c>
      <c r="M1105">
        <v>0</v>
      </c>
    </row>
    <row r="1106" spans="1:13" ht="15" customHeight="1" x14ac:dyDescent="0.25">
      <c r="A1106" t="s">
        <v>2768</v>
      </c>
      <c r="B1106" t="s">
        <v>16</v>
      </c>
      <c r="C1106" t="s">
        <v>420</v>
      </c>
      <c r="D1106" t="s">
        <v>88</v>
      </c>
      <c r="E1106" t="s">
        <v>2677</v>
      </c>
      <c r="F1106">
        <v>33</v>
      </c>
      <c r="G1106">
        <v>6250000</v>
      </c>
      <c r="H1106">
        <v>6250000</v>
      </c>
      <c r="I1106">
        <v>6250000</v>
      </c>
      <c r="J1106" t="s">
        <v>7</v>
      </c>
      <c r="K1106">
        <v>0</v>
      </c>
      <c r="L1106">
        <v>0</v>
      </c>
      <c r="M1106">
        <v>0</v>
      </c>
    </row>
    <row r="1107" spans="1:13" ht="15" customHeight="1" x14ac:dyDescent="0.25">
      <c r="A1107" t="s">
        <v>2552</v>
      </c>
      <c r="B1107" t="s">
        <v>34</v>
      </c>
      <c r="C1107">
        <v>0</v>
      </c>
      <c r="D1107" t="s">
        <v>2444</v>
      </c>
      <c r="E1107" t="s">
        <v>2446</v>
      </c>
      <c r="F1107">
        <v>24</v>
      </c>
      <c r="G1107">
        <v>700000</v>
      </c>
      <c r="H1107">
        <v>700000</v>
      </c>
      <c r="I1107" t="s">
        <v>8</v>
      </c>
      <c r="J1107">
        <v>0</v>
      </c>
      <c r="K1107">
        <v>0</v>
      </c>
      <c r="L1107">
        <v>0</v>
      </c>
      <c r="M1107">
        <v>0</v>
      </c>
    </row>
    <row r="1108" spans="1:13" ht="15" customHeight="1" x14ac:dyDescent="0.25">
      <c r="A1108" t="s">
        <v>1787</v>
      </c>
      <c r="B1108" t="s">
        <v>28</v>
      </c>
      <c r="C1108">
        <v>0</v>
      </c>
      <c r="D1108" t="s">
        <v>2442</v>
      </c>
      <c r="E1108" t="s">
        <v>2439</v>
      </c>
      <c r="F1108">
        <v>30</v>
      </c>
      <c r="G1108">
        <v>1600000</v>
      </c>
      <c r="H1108">
        <v>1600000</v>
      </c>
      <c r="I1108" t="s">
        <v>7</v>
      </c>
      <c r="J1108">
        <v>0</v>
      </c>
      <c r="K1108">
        <v>0</v>
      </c>
      <c r="L1108">
        <v>0</v>
      </c>
      <c r="M1108">
        <v>0</v>
      </c>
    </row>
    <row r="1109" spans="1:13" ht="15" customHeight="1" x14ac:dyDescent="0.25">
      <c r="A1109" t="s">
        <v>2115</v>
      </c>
      <c r="B1109" t="s">
        <v>6</v>
      </c>
      <c r="C1109">
        <v>0</v>
      </c>
      <c r="D1109" t="s">
        <v>2521</v>
      </c>
      <c r="E1109" t="s">
        <v>2439</v>
      </c>
      <c r="F1109">
        <v>26</v>
      </c>
      <c r="G1109">
        <v>3789444</v>
      </c>
      <c r="H1109">
        <v>3789444</v>
      </c>
      <c r="I1109">
        <v>3789444</v>
      </c>
      <c r="J1109" t="s">
        <v>7</v>
      </c>
      <c r="K1109">
        <v>0</v>
      </c>
      <c r="L1109">
        <v>0</v>
      </c>
      <c r="M1109">
        <v>0</v>
      </c>
    </row>
    <row r="1110" spans="1:13" ht="15" customHeight="1" x14ac:dyDescent="0.25">
      <c r="A1110" t="s">
        <v>1922</v>
      </c>
      <c r="B1110" t="s">
        <v>15</v>
      </c>
      <c r="C1110">
        <v>0</v>
      </c>
      <c r="D1110" t="s">
        <v>2438</v>
      </c>
      <c r="E1110" t="s">
        <v>2439</v>
      </c>
      <c r="F1110">
        <v>22</v>
      </c>
      <c r="G1110" t="s">
        <v>8</v>
      </c>
      <c r="H1110">
        <v>0</v>
      </c>
      <c r="I1110">
        <v>0</v>
      </c>
      <c r="J1110">
        <v>0</v>
      </c>
      <c r="K1110">
        <v>0</v>
      </c>
      <c r="L1110">
        <v>0</v>
      </c>
      <c r="M1110">
        <v>0</v>
      </c>
    </row>
    <row r="1111" spans="1:13" ht="15" customHeight="1" x14ac:dyDescent="0.25">
      <c r="A1111" t="s">
        <v>1360</v>
      </c>
      <c r="B1111" t="s">
        <v>9</v>
      </c>
      <c r="C1111" t="s">
        <v>381</v>
      </c>
      <c r="D1111" t="s">
        <v>127</v>
      </c>
      <c r="E1111" t="s">
        <v>2439</v>
      </c>
      <c r="F1111">
        <v>32</v>
      </c>
      <c r="G1111">
        <v>7000000</v>
      </c>
      <c r="H1111">
        <v>7000000</v>
      </c>
      <c r="I1111" t="s">
        <v>7</v>
      </c>
      <c r="J1111">
        <v>0</v>
      </c>
      <c r="K1111">
        <v>0</v>
      </c>
      <c r="L1111">
        <v>0</v>
      </c>
      <c r="M1111">
        <v>0</v>
      </c>
    </row>
    <row r="1112" spans="1:13" ht="15" customHeight="1" x14ac:dyDescent="0.25">
      <c r="A1112" t="s">
        <v>1620</v>
      </c>
      <c r="B1112" t="s">
        <v>21</v>
      </c>
      <c r="C1112">
        <v>0</v>
      </c>
      <c r="D1112" t="s">
        <v>73</v>
      </c>
      <c r="E1112" t="s">
        <v>2439</v>
      </c>
      <c r="F1112">
        <v>26</v>
      </c>
      <c r="G1112">
        <v>4000000</v>
      </c>
      <c r="H1112">
        <v>4000000</v>
      </c>
      <c r="I1112">
        <v>4000000</v>
      </c>
      <c r="J1112" t="s">
        <v>7</v>
      </c>
      <c r="K1112">
        <v>0</v>
      </c>
      <c r="L1112">
        <v>0</v>
      </c>
      <c r="M1112">
        <v>0</v>
      </c>
    </row>
    <row r="1113" spans="1:13" ht="15" customHeight="1" x14ac:dyDescent="0.25">
      <c r="A1113" t="s">
        <v>1441</v>
      </c>
      <c r="B1113" t="s">
        <v>17</v>
      </c>
      <c r="C1113" t="s">
        <v>386</v>
      </c>
      <c r="D1113" t="s">
        <v>2462</v>
      </c>
      <c r="E1113" t="s">
        <v>2439</v>
      </c>
      <c r="F1113">
        <v>20</v>
      </c>
      <c r="G1113">
        <v>1710833</v>
      </c>
      <c r="H1113">
        <v>1710833</v>
      </c>
      <c r="I1113" t="s">
        <v>8</v>
      </c>
      <c r="J1113">
        <v>0</v>
      </c>
      <c r="K1113">
        <v>0</v>
      </c>
      <c r="L1113">
        <v>0</v>
      </c>
      <c r="M1113">
        <v>0</v>
      </c>
    </row>
    <row r="1114" spans="1:13" ht="15" customHeight="1" x14ac:dyDescent="0.25">
      <c r="A1114" t="s">
        <v>1802</v>
      </c>
      <c r="B1114" t="s">
        <v>28</v>
      </c>
      <c r="C1114" t="s">
        <v>386</v>
      </c>
      <c r="D1114" t="s">
        <v>2440</v>
      </c>
      <c r="E1114" t="s">
        <v>2446</v>
      </c>
      <c r="F1114">
        <v>20</v>
      </c>
      <c r="G1114">
        <v>863333</v>
      </c>
      <c r="H1114">
        <v>863333</v>
      </c>
      <c r="I1114">
        <v>863333</v>
      </c>
      <c r="J1114" t="s">
        <v>8</v>
      </c>
      <c r="K1114">
        <v>0</v>
      </c>
      <c r="L1114">
        <v>0</v>
      </c>
      <c r="M1114">
        <v>0</v>
      </c>
    </row>
    <row r="1115" spans="1:13" ht="15" customHeight="1" x14ac:dyDescent="0.25">
      <c r="A1115" t="s">
        <v>2012</v>
      </c>
      <c r="B1115" t="s">
        <v>21</v>
      </c>
      <c r="C1115">
        <v>0</v>
      </c>
      <c r="D1115" t="s">
        <v>2450</v>
      </c>
      <c r="E1115" t="s">
        <v>2446</v>
      </c>
      <c r="F1115">
        <v>26</v>
      </c>
      <c r="G1115">
        <v>700000</v>
      </c>
      <c r="H1115" t="s">
        <v>7</v>
      </c>
      <c r="I1115">
        <v>0</v>
      </c>
      <c r="J1115">
        <v>0</v>
      </c>
      <c r="K1115">
        <v>0</v>
      </c>
      <c r="L1115">
        <v>0</v>
      </c>
      <c r="M1115">
        <v>0</v>
      </c>
    </row>
    <row r="1116" spans="1:13" ht="15" customHeight="1" x14ac:dyDescent="0.25">
      <c r="A1116" t="s">
        <v>2695</v>
      </c>
      <c r="B1116" t="s">
        <v>33</v>
      </c>
      <c r="C1116">
        <v>0</v>
      </c>
      <c r="D1116" t="s">
        <v>2680</v>
      </c>
      <c r="E1116">
        <v>0</v>
      </c>
      <c r="F1116">
        <v>33</v>
      </c>
      <c r="G1116" t="s">
        <v>2694</v>
      </c>
      <c r="H1116">
        <v>0</v>
      </c>
      <c r="I1116">
        <v>0</v>
      </c>
      <c r="J1116">
        <v>0</v>
      </c>
      <c r="K1116">
        <v>0</v>
      </c>
      <c r="L1116">
        <v>0</v>
      </c>
      <c r="M1116">
        <v>0</v>
      </c>
    </row>
    <row r="1117" spans="1:13" ht="15" customHeight="1" x14ac:dyDescent="0.25">
      <c r="A1117" t="s">
        <v>2370</v>
      </c>
      <c r="B1117" t="s">
        <v>135</v>
      </c>
      <c r="C1117">
        <v>0</v>
      </c>
      <c r="D1117" t="s">
        <v>88</v>
      </c>
      <c r="E1117" t="s">
        <v>2677</v>
      </c>
      <c r="F1117">
        <v>32</v>
      </c>
      <c r="G1117">
        <v>2775000</v>
      </c>
      <c r="H1117" t="s">
        <v>7</v>
      </c>
      <c r="I1117">
        <v>0</v>
      </c>
      <c r="J1117">
        <v>0</v>
      </c>
      <c r="K1117">
        <v>0</v>
      </c>
      <c r="L1117">
        <v>0</v>
      </c>
      <c r="M1117">
        <v>0</v>
      </c>
    </row>
    <row r="1118" spans="1:13" ht="15" customHeight="1" x14ac:dyDescent="0.25">
      <c r="A1118" t="s">
        <v>2283</v>
      </c>
      <c r="B1118" t="s">
        <v>20</v>
      </c>
      <c r="C1118" t="s">
        <v>386</v>
      </c>
      <c r="D1118" t="s">
        <v>2445</v>
      </c>
      <c r="E1118" t="s">
        <v>2446</v>
      </c>
      <c r="F1118">
        <v>22</v>
      </c>
      <c r="G1118">
        <v>733333</v>
      </c>
      <c r="H1118" t="s">
        <v>8</v>
      </c>
      <c r="I1118">
        <v>0</v>
      </c>
      <c r="J1118">
        <v>0</v>
      </c>
      <c r="K1118">
        <v>0</v>
      </c>
      <c r="L1118">
        <v>0</v>
      </c>
      <c r="M1118">
        <v>0</v>
      </c>
    </row>
    <row r="1119" spans="1:13" ht="15" customHeight="1" x14ac:dyDescent="0.25">
      <c r="A1119" t="s">
        <v>2135</v>
      </c>
      <c r="B1119" t="s">
        <v>6</v>
      </c>
      <c r="C1119" t="s">
        <v>386</v>
      </c>
      <c r="D1119" t="s">
        <v>127</v>
      </c>
      <c r="E1119" t="s">
        <v>2446</v>
      </c>
      <c r="F1119">
        <v>23</v>
      </c>
      <c r="G1119">
        <v>925000</v>
      </c>
      <c r="H1119" t="s">
        <v>8</v>
      </c>
      <c r="I1119">
        <v>0</v>
      </c>
      <c r="J1119">
        <v>0</v>
      </c>
      <c r="K1119">
        <v>0</v>
      </c>
      <c r="L1119">
        <v>0</v>
      </c>
      <c r="M1119">
        <v>0</v>
      </c>
    </row>
    <row r="1120" spans="1:13" ht="15" customHeight="1" x14ac:dyDescent="0.25">
      <c r="A1120" t="s">
        <v>1494</v>
      </c>
      <c r="B1120" t="s">
        <v>22</v>
      </c>
      <c r="C1120">
        <v>0</v>
      </c>
      <c r="D1120" t="s">
        <v>2445</v>
      </c>
      <c r="E1120" t="s">
        <v>2439</v>
      </c>
      <c r="F1120">
        <v>26</v>
      </c>
      <c r="G1120">
        <v>1500000</v>
      </c>
      <c r="H1120">
        <v>1500000</v>
      </c>
      <c r="I1120" t="s">
        <v>7</v>
      </c>
      <c r="J1120">
        <v>0</v>
      </c>
      <c r="K1120">
        <v>0</v>
      </c>
      <c r="L1120">
        <v>0</v>
      </c>
      <c r="M1120">
        <v>0</v>
      </c>
    </row>
    <row r="1121" spans="1:13" ht="15" customHeight="1" x14ac:dyDescent="0.25">
      <c r="A1121" t="s">
        <v>1464</v>
      </c>
      <c r="B1121" t="s">
        <v>11</v>
      </c>
      <c r="C1121">
        <v>0</v>
      </c>
      <c r="D1121" t="s">
        <v>127</v>
      </c>
      <c r="E1121" t="s">
        <v>2439</v>
      </c>
      <c r="F1121">
        <v>31</v>
      </c>
      <c r="G1121">
        <v>3400000</v>
      </c>
      <c r="H1121">
        <v>3400000</v>
      </c>
      <c r="I1121" t="s">
        <v>7</v>
      </c>
      <c r="J1121">
        <v>0</v>
      </c>
      <c r="K1121">
        <v>0</v>
      </c>
      <c r="L1121">
        <v>0</v>
      </c>
      <c r="M1121">
        <v>0</v>
      </c>
    </row>
    <row r="1122" spans="1:13" ht="15" customHeight="1" x14ac:dyDescent="0.25">
      <c r="A1122" t="s">
        <v>1392</v>
      </c>
      <c r="B1122" t="s">
        <v>10</v>
      </c>
      <c r="C1122">
        <v>0</v>
      </c>
      <c r="D1122" t="s">
        <v>2678</v>
      </c>
      <c r="E1122" t="s">
        <v>2677</v>
      </c>
      <c r="F1122">
        <v>23</v>
      </c>
      <c r="G1122">
        <v>3650000</v>
      </c>
      <c r="H1122" t="s">
        <v>8</v>
      </c>
      <c r="I1122">
        <v>0</v>
      </c>
      <c r="J1122">
        <v>0</v>
      </c>
      <c r="K1122">
        <v>0</v>
      </c>
      <c r="L1122">
        <v>0</v>
      </c>
      <c r="M1122">
        <v>0</v>
      </c>
    </row>
    <row r="1123" spans="1:13" ht="15" customHeight="1" x14ac:dyDescent="0.25">
      <c r="A1123" t="s">
        <v>2062</v>
      </c>
      <c r="B1123" t="s">
        <v>31</v>
      </c>
      <c r="C1123">
        <v>0</v>
      </c>
      <c r="D1123" t="s">
        <v>379</v>
      </c>
      <c r="E1123" t="s">
        <v>2690</v>
      </c>
      <c r="F1123">
        <v>23</v>
      </c>
      <c r="G1123">
        <v>750000</v>
      </c>
      <c r="H1123" t="s">
        <v>8</v>
      </c>
      <c r="I1123">
        <v>0</v>
      </c>
      <c r="J1123">
        <v>0</v>
      </c>
      <c r="K1123">
        <v>0</v>
      </c>
      <c r="L1123">
        <v>0</v>
      </c>
      <c r="M1123">
        <v>0</v>
      </c>
    </row>
    <row r="1124" spans="1:13" ht="15" customHeight="1" x14ac:dyDescent="0.25">
      <c r="A1124" t="s">
        <v>2260</v>
      </c>
      <c r="B1124" t="s">
        <v>20</v>
      </c>
      <c r="C1124">
        <v>0</v>
      </c>
      <c r="D1124" t="s">
        <v>2442</v>
      </c>
      <c r="E1124" t="s">
        <v>2446</v>
      </c>
      <c r="F1124">
        <v>24</v>
      </c>
      <c r="G1124">
        <v>874125</v>
      </c>
      <c r="H1124" t="s">
        <v>8</v>
      </c>
      <c r="I1124">
        <v>0</v>
      </c>
      <c r="J1124">
        <v>0</v>
      </c>
      <c r="K1124">
        <v>0</v>
      </c>
      <c r="L1124">
        <v>0</v>
      </c>
      <c r="M1124">
        <v>0</v>
      </c>
    </row>
    <row r="1125" spans="1:13" ht="15" customHeight="1" x14ac:dyDescent="0.25">
      <c r="A1125" t="s">
        <v>1652</v>
      </c>
      <c r="B1125" t="s">
        <v>15</v>
      </c>
      <c r="C1125">
        <v>0</v>
      </c>
      <c r="D1125" t="s">
        <v>82</v>
      </c>
      <c r="E1125" t="s">
        <v>2446</v>
      </c>
      <c r="F1125">
        <v>25</v>
      </c>
      <c r="G1125">
        <v>700000</v>
      </c>
      <c r="H1125">
        <v>700000</v>
      </c>
      <c r="I1125" t="s">
        <v>7</v>
      </c>
      <c r="J1125">
        <v>0</v>
      </c>
      <c r="K1125">
        <v>0</v>
      </c>
      <c r="L1125">
        <v>0</v>
      </c>
      <c r="M1125">
        <v>0</v>
      </c>
    </row>
    <row r="1126" spans="1:13" ht="15" customHeight="1" x14ac:dyDescent="0.25">
      <c r="A1126" t="s">
        <v>1473</v>
      </c>
      <c r="B1126" t="s">
        <v>2531</v>
      </c>
      <c r="C1126" t="s">
        <v>386</v>
      </c>
      <c r="D1126" t="s">
        <v>2684</v>
      </c>
      <c r="E1126" t="s">
        <v>2690</v>
      </c>
      <c r="F1126">
        <v>23</v>
      </c>
      <c r="G1126">
        <v>740000</v>
      </c>
      <c r="H1126" t="s">
        <v>8</v>
      </c>
      <c r="I1126">
        <v>0</v>
      </c>
      <c r="J1126">
        <v>0</v>
      </c>
      <c r="K1126">
        <v>0</v>
      </c>
      <c r="L1126">
        <v>0</v>
      </c>
      <c r="M1126">
        <v>0</v>
      </c>
    </row>
    <row r="1127" spans="1:13" ht="15" customHeight="1" x14ac:dyDescent="0.25">
      <c r="A1127" t="s">
        <v>2567</v>
      </c>
      <c r="B1127" t="s">
        <v>26</v>
      </c>
      <c r="C1127" t="s">
        <v>386</v>
      </c>
      <c r="D1127" t="s">
        <v>82</v>
      </c>
      <c r="E1127" t="s">
        <v>2690</v>
      </c>
      <c r="F1127">
        <v>21</v>
      </c>
      <c r="G1127">
        <v>925000</v>
      </c>
      <c r="H1127">
        <v>925000</v>
      </c>
      <c r="I1127">
        <v>925000</v>
      </c>
      <c r="J1127" t="s">
        <v>8</v>
      </c>
      <c r="K1127">
        <v>0</v>
      </c>
      <c r="L1127">
        <v>0</v>
      </c>
      <c r="M1127">
        <v>0</v>
      </c>
    </row>
    <row r="1128" spans="1:13" ht="15" customHeight="1" x14ac:dyDescent="0.25">
      <c r="A1128" t="s">
        <v>2040</v>
      </c>
      <c r="B1128" t="s">
        <v>23</v>
      </c>
      <c r="C1128" t="s">
        <v>403</v>
      </c>
      <c r="D1128" t="s">
        <v>73</v>
      </c>
      <c r="E1128" t="s">
        <v>2690</v>
      </c>
      <c r="F1128">
        <v>22</v>
      </c>
      <c r="G1128">
        <v>691666</v>
      </c>
      <c r="H1128" t="s">
        <v>8</v>
      </c>
      <c r="I1128">
        <v>0</v>
      </c>
      <c r="J1128">
        <v>0</v>
      </c>
      <c r="K1128">
        <v>0</v>
      </c>
      <c r="L1128">
        <v>0</v>
      </c>
      <c r="M1128">
        <v>0</v>
      </c>
    </row>
    <row r="1129" spans="1:13" ht="15" customHeight="1" x14ac:dyDescent="0.25">
      <c r="A1129" t="s">
        <v>2154</v>
      </c>
      <c r="B1129" t="s">
        <v>63</v>
      </c>
      <c r="C1129" t="s">
        <v>381</v>
      </c>
      <c r="D1129" t="s">
        <v>73</v>
      </c>
      <c r="E1129" t="s">
        <v>2677</v>
      </c>
      <c r="F1129">
        <v>34</v>
      </c>
      <c r="G1129">
        <v>1250000</v>
      </c>
      <c r="H1129" t="s">
        <v>7</v>
      </c>
      <c r="I1129">
        <v>0</v>
      </c>
      <c r="J1129">
        <v>0</v>
      </c>
      <c r="K1129">
        <v>0</v>
      </c>
      <c r="L1129">
        <v>0</v>
      </c>
      <c r="M1129">
        <v>0</v>
      </c>
    </row>
    <row r="1130" spans="1:13" ht="15" customHeight="1" x14ac:dyDescent="0.25">
      <c r="A1130" t="s">
        <v>2760</v>
      </c>
      <c r="B1130" t="s">
        <v>33</v>
      </c>
      <c r="C1130">
        <v>0</v>
      </c>
      <c r="D1130" t="s">
        <v>380</v>
      </c>
      <c r="E1130" t="s">
        <v>2677</v>
      </c>
      <c r="F1130">
        <v>25</v>
      </c>
      <c r="G1130">
        <v>5000000</v>
      </c>
      <c r="H1130">
        <v>5000000</v>
      </c>
      <c r="I1130">
        <v>5000000</v>
      </c>
      <c r="J1130" t="s">
        <v>7</v>
      </c>
      <c r="K1130">
        <v>0</v>
      </c>
      <c r="L1130">
        <v>0</v>
      </c>
      <c r="M1130">
        <v>0</v>
      </c>
    </row>
    <row r="1131" spans="1:13" ht="15" customHeight="1" x14ac:dyDescent="0.25">
      <c r="A1131" t="s">
        <v>1837</v>
      </c>
      <c r="B1131" t="s">
        <v>29</v>
      </c>
      <c r="C1131">
        <v>0</v>
      </c>
      <c r="D1131" t="s">
        <v>82</v>
      </c>
      <c r="E1131" t="s">
        <v>2677</v>
      </c>
      <c r="F1131">
        <v>25</v>
      </c>
      <c r="G1131">
        <v>850000</v>
      </c>
      <c r="H1131" t="s">
        <v>8</v>
      </c>
      <c r="I1131">
        <v>0</v>
      </c>
      <c r="J1131">
        <v>0</v>
      </c>
      <c r="K1131">
        <v>0</v>
      </c>
      <c r="L1131">
        <v>0</v>
      </c>
      <c r="M1131">
        <v>0</v>
      </c>
    </row>
    <row r="1132" spans="1:13" ht="15" customHeight="1" x14ac:dyDescent="0.25">
      <c r="A1132" t="s">
        <v>2031</v>
      </c>
      <c r="B1132" t="s">
        <v>23</v>
      </c>
      <c r="C1132" t="s">
        <v>2715</v>
      </c>
      <c r="D1132" t="s">
        <v>127</v>
      </c>
      <c r="E1132" t="s">
        <v>2677</v>
      </c>
      <c r="F1132">
        <v>36</v>
      </c>
      <c r="G1132">
        <v>5000000</v>
      </c>
      <c r="H1132">
        <v>5000000</v>
      </c>
      <c r="I1132" t="s">
        <v>7</v>
      </c>
      <c r="J1132">
        <v>0</v>
      </c>
      <c r="K1132">
        <v>0</v>
      </c>
      <c r="L1132">
        <v>0</v>
      </c>
      <c r="M1132">
        <v>0</v>
      </c>
    </row>
    <row r="1133" spans="1:13" ht="15" customHeight="1" x14ac:dyDescent="0.25">
      <c r="A1133" t="s">
        <v>1393</v>
      </c>
      <c r="B1133" t="s">
        <v>10</v>
      </c>
      <c r="C1133">
        <v>0</v>
      </c>
      <c r="D1133" t="s">
        <v>379</v>
      </c>
      <c r="E1133" t="s">
        <v>2677</v>
      </c>
      <c r="F1133">
        <v>24</v>
      </c>
      <c r="G1133">
        <v>5400000</v>
      </c>
      <c r="H1133">
        <v>5400000</v>
      </c>
      <c r="I1133">
        <v>5400000</v>
      </c>
      <c r="J1133" t="s">
        <v>7</v>
      </c>
      <c r="K1133">
        <v>0</v>
      </c>
      <c r="L1133">
        <v>0</v>
      </c>
      <c r="M1133">
        <v>0</v>
      </c>
    </row>
    <row r="1134" spans="1:13" ht="15" customHeight="1" x14ac:dyDescent="0.25">
      <c r="A1134" t="s">
        <v>1956</v>
      </c>
      <c r="B1134" t="s">
        <v>9</v>
      </c>
      <c r="C1134">
        <v>0</v>
      </c>
      <c r="D1134" t="s">
        <v>2438</v>
      </c>
      <c r="E1134" t="s">
        <v>2439</v>
      </c>
      <c r="F1134">
        <v>26</v>
      </c>
      <c r="G1134">
        <v>1000000</v>
      </c>
      <c r="H1134" t="s">
        <v>8</v>
      </c>
      <c r="I1134">
        <v>0</v>
      </c>
      <c r="J1134">
        <v>0</v>
      </c>
      <c r="K1134">
        <v>0</v>
      </c>
      <c r="L1134">
        <v>0</v>
      </c>
      <c r="M1134">
        <v>0</v>
      </c>
    </row>
    <row r="1135" spans="1:13" ht="15" customHeight="1" x14ac:dyDescent="0.25">
      <c r="A1135" t="s">
        <v>2121</v>
      </c>
      <c r="B1135" t="s">
        <v>6</v>
      </c>
      <c r="C1135">
        <v>0</v>
      </c>
      <c r="D1135" t="s">
        <v>2440</v>
      </c>
      <c r="E1135" t="s">
        <v>2439</v>
      </c>
      <c r="F1135">
        <v>23</v>
      </c>
      <c r="G1135">
        <v>1498925</v>
      </c>
      <c r="H1135">
        <v>1498925</v>
      </c>
      <c r="I1135" t="s">
        <v>8</v>
      </c>
      <c r="J1135">
        <v>0</v>
      </c>
      <c r="K1135">
        <v>0</v>
      </c>
      <c r="L1135">
        <v>0</v>
      </c>
      <c r="M1135">
        <v>0</v>
      </c>
    </row>
    <row r="1136" spans="1:13" ht="15" customHeight="1" x14ac:dyDescent="0.25">
      <c r="A1136" t="s">
        <v>2204</v>
      </c>
      <c r="B1136" t="s">
        <v>12</v>
      </c>
      <c r="C1136">
        <v>0</v>
      </c>
      <c r="D1136" t="s">
        <v>127</v>
      </c>
      <c r="E1136" t="s">
        <v>2439</v>
      </c>
      <c r="F1136">
        <v>26</v>
      </c>
      <c r="G1136">
        <v>2750000</v>
      </c>
      <c r="H1136">
        <v>2750000</v>
      </c>
      <c r="I1136" t="s">
        <v>7</v>
      </c>
      <c r="J1136">
        <v>0</v>
      </c>
      <c r="K1136">
        <v>0</v>
      </c>
      <c r="L1136">
        <v>0</v>
      </c>
      <c r="M1136">
        <v>0</v>
      </c>
    </row>
    <row r="1137" spans="1:13" ht="15" customHeight="1" x14ac:dyDescent="0.25">
      <c r="A1137" t="s">
        <v>1969</v>
      </c>
      <c r="B1137" t="s">
        <v>16</v>
      </c>
      <c r="C1137" t="s">
        <v>386</v>
      </c>
      <c r="D1137" t="s">
        <v>93</v>
      </c>
      <c r="E1137" t="s">
        <v>2690</v>
      </c>
      <c r="F1137">
        <v>20</v>
      </c>
      <c r="G1137">
        <v>894167</v>
      </c>
      <c r="H1137">
        <v>894167</v>
      </c>
      <c r="I1137">
        <v>894167</v>
      </c>
      <c r="J1137" t="s">
        <v>8</v>
      </c>
      <c r="K1137">
        <v>0</v>
      </c>
      <c r="L1137">
        <v>0</v>
      </c>
      <c r="M1137">
        <v>0</v>
      </c>
    </row>
    <row r="1138" spans="1:13" ht="15" customHeight="1" x14ac:dyDescent="0.25">
      <c r="A1138" t="s">
        <v>2212</v>
      </c>
      <c r="B1138" t="s">
        <v>12</v>
      </c>
      <c r="C1138">
        <v>0</v>
      </c>
      <c r="D1138" t="s">
        <v>2438</v>
      </c>
      <c r="E1138" t="s">
        <v>2446</v>
      </c>
      <c r="F1138">
        <v>27</v>
      </c>
      <c r="G1138">
        <v>700000</v>
      </c>
      <c r="H1138" t="s">
        <v>7</v>
      </c>
      <c r="I1138">
        <v>0</v>
      </c>
      <c r="J1138">
        <v>0</v>
      </c>
      <c r="K1138">
        <v>0</v>
      </c>
      <c r="L1138">
        <v>0</v>
      </c>
      <c r="M1138">
        <v>0</v>
      </c>
    </row>
    <row r="1139" spans="1:13" ht="15" customHeight="1" x14ac:dyDescent="0.25">
      <c r="A1139" t="s">
        <v>1671</v>
      </c>
      <c r="B1139" t="s">
        <v>14</v>
      </c>
      <c r="C1139">
        <v>0</v>
      </c>
      <c r="D1139" t="s">
        <v>2440</v>
      </c>
      <c r="E1139" t="s">
        <v>2439</v>
      </c>
      <c r="F1139">
        <v>24</v>
      </c>
      <c r="G1139">
        <v>874125</v>
      </c>
      <c r="H1139" t="s">
        <v>8</v>
      </c>
      <c r="I1139">
        <v>0</v>
      </c>
      <c r="J1139">
        <v>0</v>
      </c>
      <c r="K1139">
        <v>0</v>
      </c>
      <c r="L1139">
        <v>0</v>
      </c>
      <c r="M1139">
        <v>0</v>
      </c>
    </row>
    <row r="1140" spans="1:13" ht="15" customHeight="1" x14ac:dyDescent="0.25">
      <c r="A1140" t="s">
        <v>2621</v>
      </c>
      <c r="B1140" t="s">
        <v>21</v>
      </c>
      <c r="C1140" t="s">
        <v>386</v>
      </c>
      <c r="D1140" t="s">
        <v>127</v>
      </c>
      <c r="E1140" t="s">
        <v>2446</v>
      </c>
      <c r="F1140">
        <v>23</v>
      </c>
      <c r="G1140">
        <v>1387500</v>
      </c>
      <c r="H1140" t="s">
        <v>8</v>
      </c>
      <c r="I1140">
        <v>0</v>
      </c>
      <c r="J1140">
        <v>0</v>
      </c>
      <c r="K1140">
        <v>0</v>
      </c>
      <c r="L1140">
        <v>0</v>
      </c>
      <c r="M1140">
        <v>0</v>
      </c>
    </row>
    <row r="1141" spans="1:13" ht="15" customHeight="1" x14ac:dyDescent="0.25">
      <c r="A1141" t="s">
        <v>1543</v>
      </c>
      <c r="B1141" t="s">
        <v>27</v>
      </c>
      <c r="C1141">
        <v>0</v>
      </c>
      <c r="D1141" t="s">
        <v>2438</v>
      </c>
      <c r="E1141" t="s">
        <v>2446</v>
      </c>
      <c r="F1141">
        <v>25</v>
      </c>
      <c r="G1141">
        <v>725000</v>
      </c>
      <c r="H1141" t="s">
        <v>8</v>
      </c>
      <c r="I1141">
        <v>0</v>
      </c>
      <c r="J1141">
        <v>0</v>
      </c>
      <c r="K1141">
        <v>0</v>
      </c>
      <c r="L1141">
        <v>0</v>
      </c>
      <c r="M1141">
        <v>0</v>
      </c>
    </row>
    <row r="1142" spans="1:13" ht="15" customHeight="1" x14ac:dyDescent="0.25">
      <c r="A1142" t="s">
        <v>2502</v>
      </c>
      <c r="B1142" t="s">
        <v>18</v>
      </c>
      <c r="C1142" t="s">
        <v>388</v>
      </c>
      <c r="D1142" t="s">
        <v>127</v>
      </c>
      <c r="E1142" t="s">
        <v>389</v>
      </c>
      <c r="F1142">
        <v>19</v>
      </c>
      <c r="G1142">
        <v>925000</v>
      </c>
      <c r="H1142">
        <v>925000</v>
      </c>
      <c r="I1142">
        <v>925000</v>
      </c>
      <c r="J1142" t="s">
        <v>8</v>
      </c>
      <c r="K1142">
        <v>0</v>
      </c>
      <c r="L1142">
        <v>0</v>
      </c>
      <c r="M1142">
        <v>0</v>
      </c>
    </row>
    <row r="1143" spans="1:13" ht="15" customHeight="1" x14ac:dyDescent="0.25">
      <c r="A1143" t="s">
        <v>1391</v>
      </c>
      <c r="B1143" t="s">
        <v>10</v>
      </c>
      <c r="C1143">
        <v>0</v>
      </c>
      <c r="D1143" t="s">
        <v>2679</v>
      </c>
      <c r="E1143" t="s">
        <v>2677</v>
      </c>
      <c r="F1143">
        <v>26</v>
      </c>
      <c r="G1143">
        <v>2000000</v>
      </c>
      <c r="H1143" t="s">
        <v>8</v>
      </c>
      <c r="I1143">
        <v>0</v>
      </c>
      <c r="J1143">
        <v>0</v>
      </c>
      <c r="K1143">
        <v>0</v>
      </c>
      <c r="L1143">
        <v>0</v>
      </c>
      <c r="M1143">
        <v>0</v>
      </c>
    </row>
    <row r="1144" spans="1:13" ht="15" customHeight="1" x14ac:dyDescent="0.25">
      <c r="A1144" t="s">
        <v>2447</v>
      </c>
      <c r="B1144" t="s">
        <v>135</v>
      </c>
      <c r="C1144" t="s">
        <v>386</v>
      </c>
      <c r="D1144" t="s">
        <v>88</v>
      </c>
      <c r="E1144" t="s">
        <v>2690</v>
      </c>
      <c r="F1144">
        <v>20</v>
      </c>
      <c r="G1144">
        <v>900000</v>
      </c>
      <c r="H1144">
        <v>900000</v>
      </c>
      <c r="I1144">
        <v>900000</v>
      </c>
      <c r="J1144" t="s">
        <v>8</v>
      </c>
      <c r="K1144">
        <v>0</v>
      </c>
      <c r="L1144">
        <v>0</v>
      </c>
      <c r="M1144">
        <v>0</v>
      </c>
    </row>
    <row r="1145" spans="1:13" ht="15" customHeight="1" x14ac:dyDescent="0.25">
      <c r="A1145" t="s">
        <v>1778</v>
      </c>
      <c r="B1145" t="s">
        <v>26</v>
      </c>
      <c r="C1145" t="s">
        <v>386</v>
      </c>
      <c r="D1145" t="s">
        <v>88</v>
      </c>
      <c r="E1145" t="s">
        <v>2690</v>
      </c>
      <c r="F1145">
        <v>21</v>
      </c>
      <c r="G1145">
        <v>750833</v>
      </c>
      <c r="H1145">
        <v>750833</v>
      </c>
      <c r="I1145" t="s">
        <v>8</v>
      </c>
      <c r="J1145">
        <v>0</v>
      </c>
      <c r="K1145">
        <v>0</v>
      </c>
      <c r="L1145">
        <v>0</v>
      </c>
      <c r="M1145">
        <v>0</v>
      </c>
    </row>
    <row r="1146" spans="1:13" ht="15" customHeight="1" x14ac:dyDescent="0.25">
      <c r="A1146" t="s">
        <v>1719</v>
      </c>
      <c r="B1146" t="s">
        <v>24</v>
      </c>
      <c r="C1146">
        <v>0</v>
      </c>
      <c r="D1146" t="s">
        <v>2453</v>
      </c>
      <c r="E1146" t="s">
        <v>2439</v>
      </c>
      <c r="F1146">
        <v>26</v>
      </c>
      <c r="G1146">
        <v>700000</v>
      </c>
      <c r="H1146" t="s">
        <v>7</v>
      </c>
      <c r="I1146">
        <v>0</v>
      </c>
      <c r="J1146">
        <v>0</v>
      </c>
      <c r="K1146">
        <v>0</v>
      </c>
      <c r="L1146">
        <v>0</v>
      </c>
      <c r="M1146">
        <v>0</v>
      </c>
    </row>
    <row r="1147" spans="1:13" ht="15" customHeight="1" x14ac:dyDescent="0.25">
      <c r="A1147" t="s">
        <v>2906</v>
      </c>
      <c r="B1147" t="s">
        <v>15</v>
      </c>
      <c r="C1147">
        <v>0</v>
      </c>
      <c r="D1147" t="s">
        <v>2445</v>
      </c>
      <c r="E1147" t="s">
        <v>2446</v>
      </c>
      <c r="F1147">
        <v>25</v>
      </c>
      <c r="G1147">
        <v>750000</v>
      </c>
      <c r="H1147">
        <v>750000</v>
      </c>
      <c r="I1147" t="s">
        <v>7</v>
      </c>
      <c r="J1147">
        <v>0</v>
      </c>
      <c r="K1147">
        <v>0</v>
      </c>
      <c r="L1147">
        <v>0</v>
      </c>
      <c r="M1147">
        <v>0</v>
      </c>
    </row>
    <row r="1148" spans="1:13" ht="15" customHeight="1" x14ac:dyDescent="0.25">
      <c r="A1148" t="s">
        <v>2089</v>
      </c>
      <c r="B1148" t="s">
        <v>35</v>
      </c>
      <c r="C1148" t="s">
        <v>386</v>
      </c>
      <c r="D1148" t="s">
        <v>2453</v>
      </c>
      <c r="E1148" t="s">
        <v>2439</v>
      </c>
      <c r="F1148">
        <v>22</v>
      </c>
      <c r="G1148">
        <v>1106666</v>
      </c>
      <c r="H1148" t="s">
        <v>8</v>
      </c>
      <c r="I1148">
        <v>0</v>
      </c>
      <c r="J1148">
        <v>0</v>
      </c>
      <c r="K1148">
        <v>0</v>
      </c>
      <c r="L1148">
        <v>0</v>
      </c>
      <c r="M1148">
        <v>0</v>
      </c>
    </row>
    <row r="1149" spans="1:13" ht="15" customHeight="1" x14ac:dyDescent="0.25">
      <c r="A1149" t="s">
        <v>2332</v>
      </c>
      <c r="B1149" t="s">
        <v>34</v>
      </c>
      <c r="C1149" t="s">
        <v>381</v>
      </c>
      <c r="D1149" t="s">
        <v>2440</v>
      </c>
      <c r="E1149" t="s">
        <v>2439</v>
      </c>
      <c r="F1149">
        <v>29</v>
      </c>
      <c r="G1149">
        <v>3000000</v>
      </c>
      <c r="H1149">
        <v>3000000</v>
      </c>
      <c r="I1149">
        <v>3000000</v>
      </c>
      <c r="J1149" t="s">
        <v>7</v>
      </c>
      <c r="K1149">
        <v>0</v>
      </c>
      <c r="L1149">
        <v>0</v>
      </c>
      <c r="M1149">
        <v>0</v>
      </c>
    </row>
    <row r="1150" spans="1:13" ht="15" customHeight="1" x14ac:dyDescent="0.25">
      <c r="A1150" t="s">
        <v>2120</v>
      </c>
      <c r="B1150" t="s">
        <v>6</v>
      </c>
      <c r="C1150">
        <v>0</v>
      </c>
      <c r="D1150" t="s">
        <v>2448</v>
      </c>
      <c r="E1150" t="s">
        <v>2439</v>
      </c>
      <c r="F1150">
        <v>30</v>
      </c>
      <c r="G1150">
        <v>1133333</v>
      </c>
      <c r="H1150">
        <v>1133333</v>
      </c>
      <c r="I1150" t="s">
        <v>7</v>
      </c>
      <c r="J1150">
        <v>0</v>
      </c>
      <c r="K1150">
        <v>0</v>
      </c>
      <c r="L1150">
        <v>0</v>
      </c>
      <c r="M1150">
        <v>0</v>
      </c>
    </row>
    <row r="1151" spans="1:13" ht="15" customHeight="1" x14ac:dyDescent="0.25">
      <c r="A1151" t="s">
        <v>2907</v>
      </c>
      <c r="B1151" t="s">
        <v>30</v>
      </c>
      <c r="C1151" t="s">
        <v>386</v>
      </c>
      <c r="D1151" t="s">
        <v>2444</v>
      </c>
      <c r="E1151" t="s">
        <v>2446</v>
      </c>
      <c r="F1151">
        <v>22</v>
      </c>
      <c r="G1151">
        <v>863333</v>
      </c>
      <c r="H1151" t="s">
        <v>8</v>
      </c>
      <c r="I1151">
        <v>0</v>
      </c>
      <c r="J1151">
        <v>0</v>
      </c>
      <c r="K1151">
        <v>0</v>
      </c>
      <c r="L1151">
        <v>0</v>
      </c>
      <c r="M1151">
        <v>0</v>
      </c>
    </row>
    <row r="1152" spans="1:13" ht="15" customHeight="1" x14ac:dyDescent="0.25">
      <c r="A1152" t="s">
        <v>2718</v>
      </c>
      <c r="B1152" t="s">
        <v>2531</v>
      </c>
      <c r="C1152">
        <v>0</v>
      </c>
      <c r="D1152" t="s">
        <v>2679</v>
      </c>
      <c r="E1152" t="s">
        <v>2690</v>
      </c>
      <c r="F1152">
        <v>26</v>
      </c>
      <c r="G1152">
        <v>850000</v>
      </c>
      <c r="H1152" t="s">
        <v>7</v>
      </c>
      <c r="I1152">
        <v>0</v>
      </c>
      <c r="J1152">
        <v>0</v>
      </c>
      <c r="K1152">
        <v>0</v>
      </c>
      <c r="L1152">
        <v>0</v>
      </c>
      <c r="M1152">
        <v>0</v>
      </c>
    </row>
    <row r="1153" spans="1:13" ht="15" customHeight="1" x14ac:dyDescent="0.25">
      <c r="A1153" t="s">
        <v>2272</v>
      </c>
      <c r="B1153" t="s">
        <v>20</v>
      </c>
      <c r="C1153">
        <v>0</v>
      </c>
      <c r="D1153" t="s">
        <v>2444</v>
      </c>
      <c r="E1153" t="s">
        <v>2439</v>
      </c>
      <c r="F1153">
        <v>24</v>
      </c>
      <c r="G1153">
        <v>700000</v>
      </c>
      <c r="H1153">
        <v>700000</v>
      </c>
      <c r="I1153" t="s">
        <v>8</v>
      </c>
      <c r="J1153">
        <v>0</v>
      </c>
      <c r="K1153">
        <v>0</v>
      </c>
      <c r="L1153">
        <v>0</v>
      </c>
      <c r="M1153">
        <v>0</v>
      </c>
    </row>
    <row r="1154" spans="1:13" ht="15" customHeight="1" x14ac:dyDescent="0.25">
      <c r="A1154" t="s">
        <v>1646</v>
      </c>
      <c r="B1154" t="s">
        <v>135</v>
      </c>
      <c r="C1154" t="s">
        <v>386</v>
      </c>
      <c r="D1154" t="s">
        <v>73</v>
      </c>
      <c r="E1154" t="s">
        <v>2690</v>
      </c>
      <c r="F1154">
        <v>22</v>
      </c>
      <c r="G1154">
        <v>815000</v>
      </c>
      <c r="H1154" t="s">
        <v>8</v>
      </c>
      <c r="I1154">
        <v>0</v>
      </c>
      <c r="J1154">
        <v>0</v>
      </c>
      <c r="K1154">
        <v>0</v>
      </c>
      <c r="L1154">
        <v>0</v>
      </c>
      <c r="M1154">
        <v>0</v>
      </c>
    </row>
    <row r="1155" spans="1:13" ht="15" customHeight="1" x14ac:dyDescent="0.25">
      <c r="A1155" t="s">
        <v>1801</v>
      </c>
      <c r="B1155" t="s">
        <v>28</v>
      </c>
      <c r="C1155" t="s">
        <v>386</v>
      </c>
      <c r="D1155" t="s">
        <v>73</v>
      </c>
      <c r="E1155" t="s">
        <v>2446</v>
      </c>
      <c r="F1155">
        <v>21</v>
      </c>
      <c r="G1155">
        <v>1106666</v>
      </c>
      <c r="H1155">
        <v>1106666</v>
      </c>
      <c r="I1155" t="s">
        <v>8</v>
      </c>
      <c r="J1155">
        <v>0</v>
      </c>
      <c r="K1155">
        <v>0</v>
      </c>
      <c r="L1155">
        <v>0</v>
      </c>
      <c r="M1155">
        <v>0</v>
      </c>
    </row>
    <row r="1156" spans="1:13" ht="15" customHeight="1" x14ac:dyDescent="0.25">
      <c r="A1156" t="s">
        <v>1832</v>
      </c>
      <c r="B1156" t="s">
        <v>29</v>
      </c>
      <c r="C1156">
        <v>0</v>
      </c>
      <c r="D1156" t="s">
        <v>379</v>
      </c>
      <c r="E1156" t="s">
        <v>2677</v>
      </c>
      <c r="F1156">
        <v>29</v>
      </c>
      <c r="G1156">
        <v>700000</v>
      </c>
      <c r="H1156">
        <v>700000</v>
      </c>
      <c r="I1156" t="s">
        <v>7</v>
      </c>
      <c r="J1156">
        <v>0</v>
      </c>
      <c r="K1156">
        <v>0</v>
      </c>
      <c r="L1156">
        <v>0</v>
      </c>
      <c r="M1156">
        <v>0</v>
      </c>
    </row>
    <row r="1157" spans="1:13" ht="15" customHeight="1" x14ac:dyDescent="0.25">
      <c r="A1157" t="s">
        <v>2628</v>
      </c>
      <c r="B1157" t="s">
        <v>10</v>
      </c>
      <c r="C1157" t="s">
        <v>386</v>
      </c>
      <c r="D1157" t="s">
        <v>2679</v>
      </c>
      <c r="E1157" t="s">
        <v>2690</v>
      </c>
      <c r="F1157">
        <v>21</v>
      </c>
      <c r="G1157">
        <v>925000</v>
      </c>
      <c r="H1157">
        <v>925000</v>
      </c>
      <c r="I1157">
        <v>925000</v>
      </c>
      <c r="J1157" t="s">
        <v>8</v>
      </c>
      <c r="K1157">
        <v>0</v>
      </c>
      <c r="L1157">
        <v>0</v>
      </c>
      <c r="M1157">
        <v>0</v>
      </c>
    </row>
    <row r="1158" spans="1:13" ht="15" customHeight="1" x14ac:dyDescent="0.25">
      <c r="A1158" t="s">
        <v>2225</v>
      </c>
      <c r="B1158" t="s">
        <v>18</v>
      </c>
      <c r="C1158" t="s">
        <v>370</v>
      </c>
      <c r="D1158" t="s">
        <v>2444</v>
      </c>
      <c r="E1158" t="s">
        <v>2439</v>
      </c>
      <c r="F1158">
        <v>32</v>
      </c>
      <c r="G1158">
        <v>4000000</v>
      </c>
      <c r="H1158">
        <v>4000000</v>
      </c>
      <c r="I1158" t="s">
        <v>7</v>
      </c>
      <c r="J1158">
        <v>0</v>
      </c>
      <c r="K1158">
        <v>0</v>
      </c>
      <c r="L1158">
        <v>0</v>
      </c>
      <c r="M1158">
        <v>0</v>
      </c>
    </row>
    <row r="1159" spans="1:13" ht="15" customHeight="1" x14ac:dyDescent="0.25">
      <c r="A1159" t="s">
        <v>2249</v>
      </c>
      <c r="B1159" t="s">
        <v>18</v>
      </c>
      <c r="C1159">
        <v>0</v>
      </c>
      <c r="D1159" t="s">
        <v>2438</v>
      </c>
      <c r="E1159" t="s">
        <v>2446</v>
      </c>
      <c r="F1159">
        <v>26</v>
      </c>
      <c r="G1159">
        <v>700000</v>
      </c>
      <c r="H1159" t="s">
        <v>7</v>
      </c>
      <c r="I1159">
        <v>0</v>
      </c>
      <c r="J1159">
        <v>0</v>
      </c>
      <c r="K1159">
        <v>0</v>
      </c>
      <c r="L1159">
        <v>0</v>
      </c>
      <c r="M1159">
        <v>0</v>
      </c>
    </row>
    <row r="1160" spans="1:13" ht="15" customHeight="1" x14ac:dyDescent="0.25">
      <c r="A1160" t="s">
        <v>2187</v>
      </c>
      <c r="B1160" t="s">
        <v>63</v>
      </c>
      <c r="C1160">
        <v>0</v>
      </c>
      <c r="D1160" t="s">
        <v>379</v>
      </c>
      <c r="E1160" t="s">
        <v>2690</v>
      </c>
      <c r="F1160">
        <v>26</v>
      </c>
      <c r="G1160">
        <v>700000</v>
      </c>
      <c r="H1160" t="s">
        <v>7</v>
      </c>
      <c r="I1160">
        <v>0</v>
      </c>
      <c r="J1160">
        <v>0</v>
      </c>
      <c r="K1160">
        <v>0</v>
      </c>
      <c r="L1160">
        <v>0</v>
      </c>
      <c r="M1160">
        <v>0</v>
      </c>
    </row>
    <row r="1161" spans="1:13" ht="15" customHeight="1" x14ac:dyDescent="0.25">
      <c r="A1161" t="s">
        <v>1823</v>
      </c>
      <c r="B1161" t="s">
        <v>29</v>
      </c>
      <c r="C1161">
        <v>0</v>
      </c>
      <c r="D1161" t="s">
        <v>2680</v>
      </c>
      <c r="E1161" t="s">
        <v>2677</v>
      </c>
      <c r="F1161">
        <v>27</v>
      </c>
      <c r="G1161">
        <v>3500000</v>
      </c>
      <c r="H1161">
        <v>3500000</v>
      </c>
      <c r="I1161">
        <v>3500000</v>
      </c>
      <c r="J1161" t="s">
        <v>7</v>
      </c>
      <c r="K1161">
        <v>0</v>
      </c>
      <c r="L1161">
        <v>0</v>
      </c>
      <c r="M1161">
        <v>0</v>
      </c>
    </row>
    <row r="1162" spans="1:13" ht="15" customHeight="1" x14ac:dyDescent="0.25">
      <c r="A1162" t="s">
        <v>1895</v>
      </c>
      <c r="B1162" t="s">
        <v>32</v>
      </c>
      <c r="C1162">
        <v>0</v>
      </c>
      <c r="D1162" t="s">
        <v>2444</v>
      </c>
      <c r="E1162" t="s">
        <v>2439</v>
      </c>
      <c r="F1162">
        <v>29</v>
      </c>
      <c r="G1162">
        <v>1300000</v>
      </c>
      <c r="H1162" t="s">
        <v>7</v>
      </c>
      <c r="I1162">
        <v>0</v>
      </c>
      <c r="J1162">
        <v>0</v>
      </c>
      <c r="K1162">
        <v>0</v>
      </c>
      <c r="L1162">
        <v>0</v>
      </c>
      <c r="M1162">
        <v>0</v>
      </c>
    </row>
    <row r="1163" spans="1:13" ht="15" customHeight="1" x14ac:dyDescent="0.25">
      <c r="A1163" t="s">
        <v>2583</v>
      </c>
      <c r="B1163" t="s">
        <v>12</v>
      </c>
      <c r="C1163" t="s">
        <v>386</v>
      </c>
      <c r="D1163" t="s">
        <v>2448</v>
      </c>
      <c r="E1163" t="s">
        <v>2446</v>
      </c>
      <c r="F1163">
        <v>20</v>
      </c>
      <c r="G1163">
        <v>850000</v>
      </c>
      <c r="H1163">
        <v>850000</v>
      </c>
      <c r="I1163">
        <v>850000</v>
      </c>
      <c r="J1163" t="s">
        <v>8</v>
      </c>
      <c r="K1163">
        <v>0</v>
      </c>
      <c r="L1163">
        <v>0</v>
      </c>
      <c r="M1163">
        <v>0</v>
      </c>
    </row>
    <row r="1164" spans="1:13" ht="15" customHeight="1" x14ac:dyDescent="0.25">
      <c r="A1164" t="s">
        <v>1515</v>
      </c>
      <c r="B1164" t="s">
        <v>27</v>
      </c>
      <c r="C1164" t="s">
        <v>370</v>
      </c>
      <c r="D1164" t="s">
        <v>2441</v>
      </c>
      <c r="E1164" t="s">
        <v>2439</v>
      </c>
      <c r="F1164">
        <v>32</v>
      </c>
      <c r="G1164">
        <v>7250000</v>
      </c>
      <c r="H1164">
        <v>7250000</v>
      </c>
      <c r="I1164">
        <v>7250000</v>
      </c>
      <c r="J1164" t="s">
        <v>7</v>
      </c>
      <c r="K1164">
        <v>0</v>
      </c>
      <c r="L1164">
        <v>0</v>
      </c>
      <c r="M1164">
        <v>0</v>
      </c>
    </row>
    <row r="1165" spans="1:13" ht="15" customHeight="1" x14ac:dyDescent="0.25">
      <c r="A1165" t="s">
        <v>2192</v>
      </c>
      <c r="B1165" t="s">
        <v>12</v>
      </c>
      <c r="C1165">
        <v>0</v>
      </c>
      <c r="D1165" t="s">
        <v>73</v>
      </c>
      <c r="E1165" t="s">
        <v>2439</v>
      </c>
      <c r="F1165">
        <v>32</v>
      </c>
      <c r="G1165">
        <v>3125000</v>
      </c>
      <c r="H1165">
        <v>3125000</v>
      </c>
      <c r="I1165" t="s">
        <v>7</v>
      </c>
      <c r="J1165">
        <v>0</v>
      </c>
      <c r="K1165">
        <v>0</v>
      </c>
      <c r="L1165">
        <v>0</v>
      </c>
      <c r="M1165">
        <v>0</v>
      </c>
    </row>
    <row r="1166" spans="1:13" ht="15" customHeight="1" x14ac:dyDescent="0.25">
      <c r="A1166" t="s">
        <v>2307</v>
      </c>
      <c r="B1166" t="s">
        <v>20</v>
      </c>
      <c r="C1166">
        <v>0</v>
      </c>
      <c r="D1166" t="s">
        <v>2445</v>
      </c>
      <c r="E1166" t="s">
        <v>2439</v>
      </c>
      <c r="F1166">
        <v>26</v>
      </c>
      <c r="G1166">
        <v>725000</v>
      </c>
      <c r="H1166" t="s">
        <v>7</v>
      </c>
      <c r="I1166">
        <v>0</v>
      </c>
      <c r="J1166">
        <v>0</v>
      </c>
      <c r="K1166">
        <v>0</v>
      </c>
      <c r="L1166">
        <v>0</v>
      </c>
      <c r="M1166">
        <v>0</v>
      </c>
    </row>
    <row r="1167" spans="1:13" ht="15" customHeight="1" x14ac:dyDescent="0.25">
      <c r="A1167" t="s">
        <v>2566</v>
      </c>
      <c r="B1167" t="s">
        <v>26</v>
      </c>
      <c r="C1167" t="s">
        <v>386</v>
      </c>
      <c r="D1167" t="s">
        <v>380</v>
      </c>
      <c r="E1167" t="s">
        <v>2690</v>
      </c>
      <c r="F1167">
        <v>22</v>
      </c>
      <c r="G1167">
        <v>925000</v>
      </c>
      <c r="H1167">
        <v>925000</v>
      </c>
      <c r="I1167" t="s">
        <v>8</v>
      </c>
      <c r="J1167">
        <v>0</v>
      </c>
      <c r="K1167">
        <v>0</v>
      </c>
      <c r="L1167">
        <v>0</v>
      </c>
      <c r="M1167">
        <v>0</v>
      </c>
    </row>
    <row r="1168" spans="1:13" ht="15" customHeight="1" x14ac:dyDescent="0.25">
      <c r="A1168" t="s">
        <v>2284</v>
      </c>
      <c r="B1168" t="s">
        <v>20</v>
      </c>
      <c r="C1168" t="s">
        <v>386</v>
      </c>
      <c r="D1168" t="s">
        <v>73</v>
      </c>
      <c r="E1168" t="s">
        <v>2446</v>
      </c>
      <c r="F1168">
        <v>21</v>
      </c>
      <c r="G1168">
        <v>733333</v>
      </c>
      <c r="H1168">
        <v>733333</v>
      </c>
      <c r="I1168" t="s">
        <v>8</v>
      </c>
      <c r="J1168">
        <v>0</v>
      </c>
      <c r="K1168">
        <v>0</v>
      </c>
      <c r="L1168">
        <v>0</v>
      </c>
      <c r="M1168">
        <v>0</v>
      </c>
    </row>
    <row r="1169" spans="1:13" ht="15" customHeight="1" x14ac:dyDescent="0.25">
      <c r="A1169" t="s">
        <v>1888</v>
      </c>
      <c r="B1169" t="s">
        <v>13</v>
      </c>
      <c r="C1169">
        <v>0</v>
      </c>
      <c r="D1169" t="s">
        <v>2441</v>
      </c>
      <c r="E1169" t="s">
        <v>2439</v>
      </c>
      <c r="F1169">
        <v>26</v>
      </c>
      <c r="G1169">
        <v>6000000</v>
      </c>
      <c r="H1169">
        <v>6000000</v>
      </c>
      <c r="I1169" t="s">
        <v>7</v>
      </c>
      <c r="J1169">
        <v>0</v>
      </c>
      <c r="K1169">
        <v>0</v>
      </c>
      <c r="L1169">
        <v>0</v>
      </c>
      <c r="M1169">
        <v>0</v>
      </c>
    </row>
    <row r="1170" spans="1:13" ht="15" customHeight="1" x14ac:dyDescent="0.25">
      <c r="A1170" t="s">
        <v>1639</v>
      </c>
      <c r="B1170" t="s">
        <v>13</v>
      </c>
      <c r="C1170" t="s">
        <v>386</v>
      </c>
      <c r="D1170" t="s">
        <v>2452</v>
      </c>
      <c r="E1170" t="s">
        <v>2446</v>
      </c>
      <c r="F1170">
        <v>22</v>
      </c>
      <c r="G1170">
        <v>902500</v>
      </c>
      <c r="H1170" t="s">
        <v>8</v>
      </c>
      <c r="I1170">
        <v>0</v>
      </c>
      <c r="J1170">
        <v>0</v>
      </c>
      <c r="K1170">
        <v>0</v>
      </c>
      <c r="L1170">
        <v>0</v>
      </c>
      <c r="M1170">
        <v>0</v>
      </c>
    </row>
    <row r="1171" spans="1:13" ht="15" customHeight="1" x14ac:dyDescent="0.25">
      <c r="A1171" t="s">
        <v>2883</v>
      </c>
      <c r="B1171" t="s">
        <v>17</v>
      </c>
      <c r="C1171" t="s">
        <v>386</v>
      </c>
      <c r="D1171" t="s">
        <v>2444</v>
      </c>
      <c r="E1171" t="s">
        <v>2446</v>
      </c>
      <c r="F1171">
        <v>22</v>
      </c>
      <c r="G1171">
        <v>930000</v>
      </c>
      <c r="H1171" t="s">
        <v>8</v>
      </c>
      <c r="I1171">
        <v>0</v>
      </c>
      <c r="J1171">
        <v>0</v>
      </c>
      <c r="K1171">
        <v>0</v>
      </c>
      <c r="L1171">
        <v>0</v>
      </c>
      <c r="M1171">
        <v>0</v>
      </c>
    </row>
    <row r="1172" spans="1:13" ht="15" customHeight="1" x14ac:dyDescent="0.25">
      <c r="A1172" t="s">
        <v>2242</v>
      </c>
      <c r="B1172" t="s">
        <v>18</v>
      </c>
      <c r="C1172" t="s">
        <v>386</v>
      </c>
      <c r="D1172" t="s">
        <v>2441</v>
      </c>
      <c r="E1172" t="s">
        <v>2446</v>
      </c>
      <c r="F1172">
        <v>20</v>
      </c>
      <c r="G1172">
        <v>879167</v>
      </c>
      <c r="H1172">
        <v>879167</v>
      </c>
      <c r="I1172">
        <v>879167</v>
      </c>
      <c r="J1172" t="s">
        <v>8</v>
      </c>
      <c r="K1172">
        <v>0</v>
      </c>
      <c r="L1172">
        <v>0</v>
      </c>
      <c r="M1172">
        <v>0</v>
      </c>
    </row>
    <row r="1173" spans="1:13" ht="15" customHeight="1" x14ac:dyDescent="0.25">
      <c r="A1173" t="s">
        <v>2884</v>
      </c>
      <c r="B1173" t="s">
        <v>23</v>
      </c>
      <c r="C1173">
        <v>0</v>
      </c>
      <c r="D1173" t="s">
        <v>2689</v>
      </c>
      <c r="E1173" t="s">
        <v>2677</v>
      </c>
      <c r="F1173">
        <v>26</v>
      </c>
      <c r="G1173">
        <v>750000</v>
      </c>
      <c r="H1173" t="s">
        <v>7</v>
      </c>
      <c r="I1173">
        <v>0</v>
      </c>
      <c r="J1173">
        <v>0</v>
      </c>
      <c r="K1173">
        <v>0</v>
      </c>
      <c r="L1173">
        <v>0</v>
      </c>
      <c r="M1173">
        <v>0</v>
      </c>
    </row>
    <row r="1174" spans="1:13" ht="15" customHeight="1" x14ac:dyDescent="0.25">
      <c r="A1174" t="s">
        <v>2236</v>
      </c>
      <c r="B1174" t="s">
        <v>18</v>
      </c>
      <c r="C1174" t="s">
        <v>386</v>
      </c>
      <c r="D1174" t="s">
        <v>2445</v>
      </c>
      <c r="E1174" t="s">
        <v>2446</v>
      </c>
      <c r="F1174">
        <v>20</v>
      </c>
      <c r="G1174">
        <v>863333</v>
      </c>
      <c r="H1174">
        <v>863333</v>
      </c>
      <c r="I1174">
        <v>863333</v>
      </c>
      <c r="J1174" t="s">
        <v>8</v>
      </c>
      <c r="K1174">
        <v>0</v>
      </c>
      <c r="L1174">
        <v>0</v>
      </c>
      <c r="M1174">
        <v>0</v>
      </c>
    </row>
    <row r="1175" spans="1:13" ht="15" customHeight="1" x14ac:dyDescent="0.25">
      <c r="A1175" t="s">
        <v>1871</v>
      </c>
      <c r="B1175" t="s">
        <v>2503</v>
      </c>
      <c r="C1175" t="s">
        <v>386</v>
      </c>
      <c r="D1175" t="s">
        <v>127</v>
      </c>
      <c r="E1175" t="s">
        <v>2690</v>
      </c>
      <c r="F1175">
        <v>22</v>
      </c>
      <c r="G1175">
        <v>1475000</v>
      </c>
      <c r="H1175">
        <v>1475000</v>
      </c>
      <c r="I1175" t="s">
        <v>8</v>
      </c>
      <c r="J1175">
        <v>0</v>
      </c>
      <c r="K1175">
        <v>0</v>
      </c>
      <c r="L1175">
        <v>0</v>
      </c>
      <c r="M1175">
        <v>0</v>
      </c>
    </row>
    <row r="1176" spans="1:13" ht="15" customHeight="1" x14ac:dyDescent="0.25">
      <c r="A1176" t="s">
        <v>1607</v>
      </c>
      <c r="B1176" t="s">
        <v>33</v>
      </c>
      <c r="C1176" t="s">
        <v>386</v>
      </c>
      <c r="D1176" t="s">
        <v>380</v>
      </c>
      <c r="E1176" t="s">
        <v>2690</v>
      </c>
      <c r="F1176">
        <v>19</v>
      </c>
      <c r="G1176">
        <v>894167</v>
      </c>
      <c r="H1176">
        <v>894167</v>
      </c>
      <c r="I1176">
        <v>894167</v>
      </c>
      <c r="J1176" t="s">
        <v>8</v>
      </c>
      <c r="K1176">
        <v>0</v>
      </c>
      <c r="L1176">
        <v>0</v>
      </c>
      <c r="M1176">
        <v>0</v>
      </c>
    </row>
    <row r="1177" spans="1:13" ht="15" customHeight="1" x14ac:dyDescent="0.25">
      <c r="A1177" t="s">
        <v>2861</v>
      </c>
      <c r="B1177" t="s">
        <v>28</v>
      </c>
      <c r="C1177" t="s">
        <v>386</v>
      </c>
      <c r="D1177" t="s">
        <v>127</v>
      </c>
      <c r="E1177" t="s">
        <v>2446</v>
      </c>
      <c r="F1177">
        <v>22</v>
      </c>
      <c r="G1177">
        <v>925000</v>
      </c>
      <c r="H1177">
        <v>925000</v>
      </c>
      <c r="I1177" t="s">
        <v>8</v>
      </c>
      <c r="J1177">
        <v>0</v>
      </c>
      <c r="K1177">
        <v>0</v>
      </c>
      <c r="L1177">
        <v>0</v>
      </c>
      <c r="M1177">
        <v>0</v>
      </c>
    </row>
    <row r="1178" spans="1:13" ht="15" customHeight="1" x14ac:dyDescent="0.25">
      <c r="A1178" t="s">
        <v>2068</v>
      </c>
      <c r="B1178" t="s">
        <v>31</v>
      </c>
      <c r="C1178">
        <v>0</v>
      </c>
      <c r="D1178" t="s">
        <v>93</v>
      </c>
      <c r="E1178" t="s">
        <v>2677</v>
      </c>
      <c r="F1178">
        <v>24</v>
      </c>
      <c r="G1178">
        <v>1500000</v>
      </c>
      <c r="H1178">
        <v>1500000</v>
      </c>
      <c r="I1178" t="s">
        <v>8</v>
      </c>
      <c r="J1178">
        <v>0</v>
      </c>
      <c r="K1178">
        <v>0</v>
      </c>
      <c r="L1178">
        <v>0</v>
      </c>
      <c r="M1178">
        <v>0</v>
      </c>
    </row>
    <row r="1179" spans="1:13" ht="15" customHeight="1" x14ac:dyDescent="0.25">
      <c r="A1179" t="s">
        <v>1796</v>
      </c>
      <c r="B1179" t="s">
        <v>28</v>
      </c>
      <c r="C1179">
        <v>0</v>
      </c>
      <c r="D1179" t="s">
        <v>2444</v>
      </c>
      <c r="E1179" t="s">
        <v>2439</v>
      </c>
      <c r="F1179">
        <v>23</v>
      </c>
      <c r="G1179">
        <v>3250000</v>
      </c>
      <c r="H1179">
        <v>3250000</v>
      </c>
      <c r="I1179" t="s">
        <v>8</v>
      </c>
      <c r="J1179">
        <v>0</v>
      </c>
      <c r="K1179">
        <v>0</v>
      </c>
      <c r="L1179">
        <v>0</v>
      </c>
      <c r="M1179">
        <v>0</v>
      </c>
    </row>
    <row r="1180" spans="1:13" ht="15" customHeight="1" x14ac:dyDescent="0.25">
      <c r="A1180" t="s">
        <v>1702</v>
      </c>
      <c r="B1180" t="s">
        <v>23</v>
      </c>
      <c r="C1180">
        <v>0</v>
      </c>
      <c r="D1180" t="s">
        <v>379</v>
      </c>
      <c r="E1180" t="s">
        <v>2677</v>
      </c>
      <c r="F1180">
        <v>24</v>
      </c>
      <c r="G1180">
        <v>1416667</v>
      </c>
      <c r="H1180">
        <v>1416667</v>
      </c>
      <c r="I1180" t="s">
        <v>8</v>
      </c>
      <c r="J1180">
        <v>0</v>
      </c>
      <c r="K1180">
        <v>0</v>
      </c>
      <c r="L1180">
        <v>0</v>
      </c>
      <c r="M1180">
        <v>0</v>
      </c>
    </row>
    <row r="1181" spans="1:13" ht="15" customHeight="1" x14ac:dyDescent="0.25">
      <c r="A1181" t="s">
        <v>2032</v>
      </c>
      <c r="B1181" t="s">
        <v>23</v>
      </c>
      <c r="C1181">
        <v>0</v>
      </c>
      <c r="D1181" t="s">
        <v>127</v>
      </c>
      <c r="E1181" t="s">
        <v>2677</v>
      </c>
      <c r="F1181">
        <v>24</v>
      </c>
      <c r="G1181">
        <v>1500000</v>
      </c>
      <c r="H1181">
        <v>1500000</v>
      </c>
      <c r="I1181" t="s">
        <v>8</v>
      </c>
      <c r="J1181">
        <v>0</v>
      </c>
      <c r="K1181">
        <v>0</v>
      </c>
      <c r="L1181">
        <v>0</v>
      </c>
      <c r="M1181">
        <v>0</v>
      </c>
    </row>
    <row r="1182" spans="1:13" ht="15" customHeight="1" x14ac:dyDescent="0.25">
      <c r="A1182" t="s">
        <v>2362</v>
      </c>
      <c r="B1182" t="s">
        <v>34</v>
      </c>
      <c r="C1182">
        <v>0</v>
      </c>
      <c r="D1182" t="s">
        <v>2445</v>
      </c>
      <c r="E1182" t="s">
        <v>2446</v>
      </c>
      <c r="F1182">
        <v>25</v>
      </c>
      <c r="G1182">
        <v>675000</v>
      </c>
      <c r="H1182" t="s">
        <v>8</v>
      </c>
      <c r="I1182">
        <v>0</v>
      </c>
      <c r="J1182">
        <v>0</v>
      </c>
      <c r="K1182">
        <v>0</v>
      </c>
      <c r="L1182">
        <v>0</v>
      </c>
      <c r="M1182">
        <v>0</v>
      </c>
    </row>
    <row r="1183" spans="1:13" ht="15" customHeight="1" x14ac:dyDescent="0.25">
      <c r="A1183" t="s">
        <v>1663</v>
      </c>
      <c r="B1183" t="s">
        <v>14</v>
      </c>
      <c r="C1183">
        <v>0</v>
      </c>
      <c r="D1183" t="s">
        <v>2444</v>
      </c>
      <c r="E1183" t="s">
        <v>2439</v>
      </c>
      <c r="F1183">
        <v>28</v>
      </c>
      <c r="G1183">
        <v>4250000</v>
      </c>
      <c r="H1183">
        <v>4250000</v>
      </c>
      <c r="I1183" t="s">
        <v>7</v>
      </c>
      <c r="J1183">
        <v>0</v>
      </c>
      <c r="K1183">
        <v>0</v>
      </c>
      <c r="L1183">
        <v>0</v>
      </c>
      <c r="M1183">
        <v>0</v>
      </c>
    </row>
    <row r="1184" spans="1:13" ht="15" customHeight="1" x14ac:dyDescent="0.25">
      <c r="A1184" t="s">
        <v>1394</v>
      </c>
      <c r="B1184" t="s">
        <v>10</v>
      </c>
      <c r="C1184">
        <v>0</v>
      </c>
      <c r="D1184" t="s">
        <v>380</v>
      </c>
      <c r="E1184" t="s">
        <v>2677</v>
      </c>
      <c r="F1184">
        <v>29</v>
      </c>
      <c r="G1184">
        <v>4000000</v>
      </c>
      <c r="H1184" t="s">
        <v>7</v>
      </c>
      <c r="I1184">
        <v>0</v>
      </c>
      <c r="J1184">
        <v>0</v>
      </c>
      <c r="K1184">
        <v>0</v>
      </c>
      <c r="L1184">
        <v>0</v>
      </c>
      <c r="M1184">
        <v>0</v>
      </c>
    </row>
    <row r="1185" spans="1:13" ht="15" customHeight="1" x14ac:dyDescent="0.25">
      <c r="A1185" t="s">
        <v>1985</v>
      </c>
      <c r="B1185" t="s">
        <v>16</v>
      </c>
      <c r="C1185">
        <v>0</v>
      </c>
      <c r="D1185" t="s">
        <v>379</v>
      </c>
      <c r="E1185" t="s">
        <v>2690</v>
      </c>
      <c r="F1185">
        <v>26</v>
      </c>
      <c r="G1185">
        <v>700000</v>
      </c>
      <c r="H1185" t="s">
        <v>7</v>
      </c>
      <c r="I1185">
        <v>0</v>
      </c>
      <c r="J1185">
        <v>0</v>
      </c>
      <c r="K1185">
        <v>0</v>
      </c>
      <c r="L1185">
        <v>0</v>
      </c>
      <c r="M1185">
        <v>0</v>
      </c>
    </row>
    <row r="1186" spans="1:13" ht="15" customHeight="1" x14ac:dyDescent="0.25">
      <c r="A1186" t="s">
        <v>1457</v>
      </c>
      <c r="B1186" t="s">
        <v>2531</v>
      </c>
      <c r="C1186">
        <v>0</v>
      </c>
      <c r="D1186" t="s">
        <v>88</v>
      </c>
      <c r="E1186" t="s">
        <v>2677</v>
      </c>
      <c r="F1186">
        <v>30</v>
      </c>
      <c r="G1186">
        <v>1200000</v>
      </c>
      <c r="H1186">
        <v>1200000</v>
      </c>
      <c r="I1186" t="s">
        <v>7</v>
      </c>
      <c r="J1186">
        <v>0</v>
      </c>
      <c r="K1186">
        <v>0</v>
      </c>
      <c r="L1186">
        <v>0</v>
      </c>
      <c r="M1186">
        <v>0</v>
      </c>
    </row>
    <row r="1187" spans="1:13" ht="15" customHeight="1" x14ac:dyDescent="0.25">
      <c r="A1187" t="s">
        <v>2334</v>
      </c>
      <c r="B1187" t="s">
        <v>34</v>
      </c>
      <c r="C1187">
        <v>0</v>
      </c>
      <c r="D1187" t="s">
        <v>2452</v>
      </c>
      <c r="E1187" t="s">
        <v>2439</v>
      </c>
      <c r="F1187">
        <v>28</v>
      </c>
      <c r="G1187">
        <v>1900000</v>
      </c>
      <c r="H1187" t="s">
        <v>7</v>
      </c>
      <c r="I1187">
        <v>0</v>
      </c>
      <c r="J1187">
        <v>0</v>
      </c>
      <c r="K1187">
        <v>0</v>
      </c>
      <c r="L1187">
        <v>0</v>
      </c>
      <c r="M1187">
        <v>0</v>
      </c>
    </row>
    <row r="1188" spans="1:13" ht="15" customHeight="1" x14ac:dyDescent="0.25">
      <c r="A1188" t="s">
        <v>2822</v>
      </c>
      <c r="B1188" t="s">
        <v>35</v>
      </c>
      <c r="C1188">
        <v>0</v>
      </c>
      <c r="D1188" t="s">
        <v>73</v>
      </c>
      <c r="E1188" t="s">
        <v>2439</v>
      </c>
      <c r="F1188">
        <v>26</v>
      </c>
      <c r="G1188">
        <v>6125000</v>
      </c>
      <c r="H1188">
        <v>6125000</v>
      </c>
      <c r="I1188">
        <v>6125000</v>
      </c>
      <c r="J1188">
        <v>6125000</v>
      </c>
      <c r="K1188">
        <v>6125000</v>
      </c>
      <c r="L1188" t="s">
        <v>7</v>
      </c>
      <c r="M1188">
        <v>0</v>
      </c>
    </row>
    <row r="1189" spans="1:13" ht="15" customHeight="1" x14ac:dyDescent="0.25">
      <c r="A1189" t="s">
        <v>1475</v>
      </c>
      <c r="B1189" t="s">
        <v>2531</v>
      </c>
      <c r="C1189">
        <v>0</v>
      </c>
      <c r="D1189" t="s">
        <v>379</v>
      </c>
      <c r="E1189" t="s">
        <v>2690</v>
      </c>
      <c r="F1189">
        <v>22</v>
      </c>
      <c r="G1189">
        <v>715000</v>
      </c>
      <c r="H1189" t="s">
        <v>8</v>
      </c>
      <c r="I1189">
        <v>0</v>
      </c>
      <c r="J1189">
        <v>0</v>
      </c>
      <c r="K1189">
        <v>0</v>
      </c>
      <c r="L1189">
        <v>0</v>
      </c>
      <c r="M1189">
        <v>0</v>
      </c>
    </row>
    <row r="1190" spans="1:13" ht="15" customHeight="1" x14ac:dyDescent="0.25">
      <c r="A1190" t="s">
        <v>2047</v>
      </c>
      <c r="B1190" t="s">
        <v>31</v>
      </c>
      <c r="C1190">
        <v>0</v>
      </c>
      <c r="D1190" t="s">
        <v>2679</v>
      </c>
      <c r="E1190" t="s">
        <v>2677</v>
      </c>
      <c r="F1190">
        <v>27</v>
      </c>
      <c r="G1190">
        <v>5125000</v>
      </c>
      <c r="H1190" t="s">
        <v>7</v>
      </c>
      <c r="I1190">
        <v>0</v>
      </c>
      <c r="J1190">
        <v>0</v>
      </c>
      <c r="K1190">
        <v>0</v>
      </c>
      <c r="L1190">
        <v>0</v>
      </c>
      <c r="M1190">
        <v>0</v>
      </c>
    </row>
    <row r="1191" spans="1:13" ht="15" customHeight="1" x14ac:dyDescent="0.25">
      <c r="A1191" t="s">
        <v>2127</v>
      </c>
      <c r="B1191" t="s">
        <v>32</v>
      </c>
      <c r="C1191">
        <v>0</v>
      </c>
      <c r="D1191" t="s">
        <v>2444</v>
      </c>
      <c r="E1191" t="s">
        <v>2439</v>
      </c>
      <c r="F1191">
        <v>29</v>
      </c>
      <c r="G1191">
        <v>700000</v>
      </c>
      <c r="H1191" t="s">
        <v>7</v>
      </c>
      <c r="I1191">
        <v>0</v>
      </c>
      <c r="J1191">
        <v>0</v>
      </c>
      <c r="K1191">
        <v>0</v>
      </c>
      <c r="L1191">
        <v>0</v>
      </c>
      <c r="M1191">
        <v>0</v>
      </c>
    </row>
    <row r="1192" spans="1:13" ht="15" customHeight="1" x14ac:dyDescent="0.25">
      <c r="A1192" t="s">
        <v>2111</v>
      </c>
      <c r="B1192" t="s">
        <v>35</v>
      </c>
      <c r="C1192">
        <v>0</v>
      </c>
      <c r="D1192" t="s">
        <v>2445</v>
      </c>
      <c r="E1192" t="s">
        <v>2446</v>
      </c>
      <c r="F1192">
        <v>30</v>
      </c>
      <c r="G1192">
        <v>700000</v>
      </c>
      <c r="H1192" t="s">
        <v>7</v>
      </c>
      <c r="I1192">
        <v>0</v>
      </c>
      <c r="J1192">
        <v>0</v>
      </c>
      <c r="K1192">
        <v>0</v>
      </c>
      <c r="L1192">
        <v>0</v>
      </c>
      <c r="M1192">
        <v>0</v>
      </c>
    </row>
    <row r="1193" spans="1:13" ht="15" customHeight="1" x14ac:dyDescent="0.25">
      <c r="A1193" t="s">
        <v>2060</v>
      </c>
      <c r="B1193" t="s">
        <v>33</v>
      </c>
      <c r="C1193">
        <v>0</v>
      </c>
      <c r="D1193" t="s">
        <v>379</v>
      </c>
      <c r="E1193" t="s">
        <v>2677</v>
      </c>
      <c r="F1193">
        <v>25</v>
      </c>
      <c r="G1193">
        <v>700000</v>
      </c>
      <c r="H1193" t="s">
        <v>8</v>
      </c>
      <c r="I1193">
        <v>0</v>
      </c>
      <c r="J1193">
        <v>0</v>
      </c>
      <c r="K1193">
        <v>0</v>
      </c>
      <c r="L1193">
        <v>0</v>
      </c>
      <c r="M1193">
        <v>0</v>
      </c>
    </row>
    <row r="1194" spans="1:13" ht="15" customHeight="1" x14ac:dyDescent="0.25">
      <c r="A1194" t="s">
        <v>1890</v>
      </c>
      <c r="B1194" t="s">
        <v>63</v>
      </c>
      <c r="C1194">
        <v>0</v>
      </c>
      <c r="D1194" t="s">
        <v>73</v>
      </c>
      <c r="E1194" t="s">
        <v>2677</v>
      </c>
      <c r="F1194">
        <v>23</v>
      </c>
      <c r="G1194">
        <v>5850000</v>
      </c>
      <c r="H1194">
        <v>5850000</v>
      </c>
      <c r="I1194">
        <v>5850000</v>
      </c>
      <c r="J1194">
        <v>5850000</v>
      </c>
      <c r="K1194">
        <v>5850000</v>
      </c>
      <c r="L1194">
        <v>5850000</v>
      </c>
      <c r="M1194">
        <v>5850000</v>
      </c>
    </row>
    <row r="1195" spans="1:13" ht="15" customHeight="1" x14ac:dyDescent="0.25">
      <c r="A1195" t="s">
        <v>2378</v>
      </c>
      <c r="B1195" t="s">
        <v>135</v>
      </c>
      <c r="C1195" t="s">
        <v>381</v>
      </c>
      <c r="D1195" t="s">
        <v>379</v>
      </c>
      <c r="E1195" t="s">
        <v>2677</v>
      </c>
      <c r="F1195">
        <v>28</v>
      </c>
      <c r="G1195">
        <v>5950000</v>
      </c>
      <c r="H1195">
        <v>5950000</v>
      </c>
      <c r="I1195">
        <v>5950000</v>
      </c>
      <c r="J1195">
        <v>5950000</v>
      </c>
      <c r="K1195">
        <v>5950000</v>
      </c>
      <c r="L1195">
        <v>5950000</v>
      </c>
      <c r="M1195" t="s">
        <v>7</v>
      </c>
    </row>
    <row r="1196" spans="1:13" ht="15" customHeight="1" x14ac:dyDescent="0.25">
      <c r="A1196" t="s">
        <v>2457</v>
      </c>
      <c r="B1196" t="s">
        <v>63</v>
      </c>
      <c r="C1196" t="s">
        <v>386</v>
      </c>
      <c r="D1196" t="s">
        <v>73</v>
      </c>
      <c r="E1196" t="s">
        <v>389</v>
      </c>
      <c r="F1196">
        <v>20</v>
      </c>
      <c r="G1196">
        <v>894167</v>
      </c>
      <c r="H1196">
        <v>894167</v>
      </c>
      <c r="I1196">
        <v>894167</v>
      </c>
      <c r="J1196" t="s">
        <v>8</v>
      </c>
      <c r="K1196">
        <v>0</v>
      </c>
      <c r="L1196">
        <v>0</v>
      </c>
      <c r="M1196">
        <v>0</v>
      </c>
    </row>
    <row r="1197" spans="1:13" ht="15" customHeight="1" x14ac:dyDescent="0.25">
      <c r="A1197" t="s">
        <v>1705</v>
      </c>
      <c r="B1197" t="s">
        <v>24</v>
      </c>
      <c r="C1197" t="s">
        <v>372</v>
      </c>
      <c r="D1197" t="s">
        <v>127</v>
      </c>
      <c r="E1197" t="s">
        <v>2439</v>
      </c>
      <c r="F1197">
        <v>33</v>
      </c>
      <c r="G1197">
        <v>6000000</v>
      </c>
      <c r="H1197">
        <v>6000000</v>
      </c>
      <c r="I1197">
        <v>6000000</v>
      </c>
      <c r="J1197" t="s">
        <v>7</v>
      </c>
      <c r="K1197">
        <v>0</v>
      </c>
      <c r="L1197">
        <v>0</v>
      </c>
      <c r="M1197">
        <v>0</v>
      </c>
    </row>
    <row r="1198" spans="1:13" ht="15" customHeight="1" x14ac:dyDescent="0.25">
      <c r="A1198" t="s">
        <v>2215</v>
      </c>
      <c r="B1198" t="s">
        <v>12</v>
      </c>
      <c r="C1198" t="s">
        <v>386</v>
      </c>
      <c r="D1198" t="s">
        <v>127</v>
      </c>
      <c r="E1198" t="s">
        <v>2446</v>
      </c>
      <c r="F1198">
        <v>22</v>
      </c>
      <c r="G1198">
        <v>675000</v>
      </c>
      <c r="H1198" t="s">
        <v>8</v>
      </c>
      <c r="I1198">
        <v>0</v>
      </c>
      <c r="J1198">
        <v>0</v>
      </c>
      <c r="K1198">
        <v>0</v>
      </c>
      <c r="L1198">
        <v>0</v>
      </c>
      <c r="M1198">
        <v>0</v>
      </c>
    </row>
    <row r="1199" spans="1:13" ht="15" customHeight="1" x14ac:dyDescent="0.25">
      <c r="A1199" t="s">
        <v>2451</v>
      </c>
      <c r="B1199" t="s">
        <v>135</v>
      </c>
      <c r="C1199">
        <v>0</v>
      </c>
      <c r="D1199" t="s">
        <v>380</v>
      </c>
      <c r="E1199" t="s">
        <v>2690</v>
      </c>
      <c r="F1199">
        <v>24</v>
      </c>
      <c r="G1199" t="s">
        <v>8</v>
      </c>
      <c r="H1199">
        <v>0</v>
      </c>
      <c r="I1199">
        <v>0</v>
      </c>
      <c r="J1199">
        <v>0</v>
      </c>
      <c r="K1199">
        <v>0</v>
      </c>
      <c r="L1199">
        <v>0</v>
      </c>
      <c r="M1199">
        <v>0</v>
      </c>
    </row>
    <row r="1200" spans="1:13" ht="15" customHeight="1" x14ac:dyDescent="0.25">
      <c r="A1200" t="s">
        <v>1828</v>
      </c>
      <c r="B1200" t="s">
        <v>29</v>
      </c>
      <c r="C1200" t="s">
        <v>381</v>
      </c>
      <c r="D1200" t="s">
        <v>379</v>
      </c>
      <c r="E1200" t="s">
        <v>2677</v>
      </c>
      <c r="F1200">
        <v>29</v>
      </c>
      <c r="G1200">
        <v>5500000</v>
      </c>
      <c r="H1200" t="s">
        <v>7</v>
      </c>
      <c r="I1200">
        <v>0</v>
      </c>
      <c r="J1200">
        <v>0</v>
      </c>
      <c r="K1200">
        <v>0</v>
      </c>
      <c r="L1200">
        <v>0</v>
      </c>
      <c r="M1200">
        <v>0</v>
      </c>
    </row>
    <row r="1201" spans="1:13" ht="15" customHeight="1" x14ac:dyDescent="0.25">
      <c r="A1201" t="s">
        <v>2046</v>
      </c>
      <c r="B1201" t="s">
        <v>31</v>
      </c>
      <c r="C1201" t="s">
        <v>381</v>
      </c>
      <c r="D1201" t="s">
        <v>93</v>
      </c>
      <c r="E1201" t="s">
        <v>2677</v>
      </c>
      <c r="F1201">
        <v>27</v>
      </c>
      <c r="G1201">
        <v>5350000</v>
      </c>
      <c r="H1201">
        <v>5350000</v>
      </c>
      <c r="I1201" t="s">
        <v>7</v>
      </c>
      <c r="J1201">
        <v>0</v>
      </c>
      <c r="K1201">
        <v>0</v>
      </c>
      <c r="L1201">
        <v>0</v>
      </c>
      <c r="M1201">
        <v>0</v>
      </c>
    </row>
    <row r="1202" spans="1:13" ht="15" customHeight="1" x14ac:dyDescent="0.25">
      <c r="A1202" t="s">
        <v>2601</v>
      </c>
      <c r="B1202" t="s">
        <v>33</v>
      </c>
      <c r="C1202" t="s">
        <v>386</v>
      </c>
      <c r="D1202" t="s">
        <v>127</v>
      </c>
      <c r="E1202" t="s">
        <v>2690</v>
      </c>
      <c r="F1202">
        <v>20</v>
      </c>
      <c r="G1202">
        <v>910833</v>
      </c>
      <c r="H1202">
        <v>910833</v>
      </c>
      <c r="I1202">
        <v>910833</v>
      </c>
      <c r="J1202" t="s">
        <v>8</v>
      </c>
      <c r="K1202">
        <v>0</v>
      </c>
      <c r="L1202">
        <v>0</v>
      </c>
      <c r="M1202">
        <v>0</v>
      </c>
    </row>
    <row r="1203" spans="1:13" ht="15" customHeight="1" x14ac:dyDescent="0.25">
      <c r="A1203" t="s">
        <v>1681</v>
      </c>
      <c r="B1203" t="s">
        <v>14</v>
      </c>
      <c r="C1203">
        <v>0</v>
      </c>
      <c r="D1203" t="s">
        <v>2453</v>
      </c>
      <c r="E1203" t="s">
        <v>2446</v>
      </c>
      <c r="F1203">
        <v>24</v>
      </c>
      <c r="G1203">
        <v>700000</v>
      </c>
      <c r="H1203" t="s">
        <v>8</v>
      </c>
      <c r="I1203">
        <v>0</v>
      </c>
      <c r="J1203">
        <v>0</v>
      </c>
      <c r="K1203">
        <v>0</v>
      </c>
      <c r="L1203">
        <v>0</v>
      </c>
      <c r="M1203">
        <v>0</v>
      </c>
    </row>
    <row r="1204" spans="1:13" ht="15" customHeight="1" x14ac:dyDescent="0.25">
      <c r="A1204" t="s">
        <v>2789</v>
      </c>
      <c r="B1204" t="s">
        <v>13</v>
      </c>
      <c r="C1204" t="s">
        <v>420</v>
      </c>
      <c r="D1204" t="s">
        <v>2444</v>
      </c>
      <c r="E1204" t="s">
        <v>2439</v>
      </c>
      <c r="F1204">
        <v>34</v>
      </c>
      <c r="G1204">
        <v>6875000</v>
      </c>
      <c r="H1204">
        <v>6875000</v>
      </c>
      <c r="I1204">
        <v>6875000</v>
      </c>
      <c r="J1204">
        <v>6875000</v>
      </c>
      <c r="K1204">
        <v>6875000</v>
      </c>
      <c r="L1204" t="s">
        <v>7</v>
      </c>
      <c r="M1204">
        <v>0</v>
      </c>
    </row>
    <row r="1205" spans="1:13" ht="15" customHeight="1" x14ac:dyDescent="0.25">
      <c r="A1205" t="s">
        <v>1998</v>
      </c>
      <c r="B1205" t="s">
        <v>21</v>
      </c>
      <c r="C1205">
        <v>0</v>
      </c>
      <c r="D1205" t="s">
        <v>2445</v>
      </c>
      <c r="E1205" t="s">
        <v>2439</v>
      </c>
      <c r="F1205">
        <v>26</v>
      </c>
      <c r="G1205">
        <v>725000</v>
      </c>
      <c r="H1205">
        <v>725000</v>
      </c>
      <c r="I1205" t="s">
        <v>7</v>
      </c>
      <c r="J1205">
        <v>0</v>
      </c>
      <c r="K1205">
        <v>0</v>
      </c>
      <c r="L1205">
        <v>0</v>
      </c>
      <c r="M1205">
        <v>0</v>
      </c>
    </row>
    <row r="1206" spans="1:13" ht="15" customHeight="1" x14ac:dyDescent="0.25">
      <c r="A1206" t="s">
        <v>2767</v>
      </c>
      <c r="B1206" t="s">
        <v>16</v>
      </c>
      <c r="C1206" t="s">
        <v>420</v>
      </c>
      <c r="D1206" t="s">
        <v>2684</v>
      </c>
      <c r="E1206" t="s">
        <v>2677</v>
      </c>
      <c r="F1206">
        <v>27</v>
      </c>
      <c r="G1206">
        <v>9850000</v>
      </c>
      <c r="H1206">
        <v>9850000</v>
      </c>
      <c r="I1206">
        <v>9850000</v>
      </c>
      <c r="J1206">
        <v>9850000</v>
      </c>
      <c r="K1206">
        <v>9850000</v>
      </c>
      <c r="L1206">
        <v>9850000</v>
      </c>
      <c r="M1206">
        <v>9850000</v>
      </c>
    </row>
    <row r="1207" spans="1:13" ht="15" customHeight="1" x14ac:dyDescent="0.25">
      <c r="A1207" t="s">
        <v>2733</v>
      </c>
      <c r="B1207" t="s">
        <v>17</v>
      </c>
      <c r="C1207" t="s">
        <v>386</v>
      </c>
      <c r="D1207" t="s">
        <v>2444</v>
      </c>
      <c r="E1207" t="s">
        <v>2446</v>
      </c>
      <c r="F1207">
        <v>18</v>
      </c>
      <c r="G1207">
        <v>1775000</v>
      </c>
      <c r="H1207">
        <v>1775000</v>
      </c>
      <c r="I1207">
        <v>1775000</v>
      </c>
      <c r="J1207" t="s">
        <v>8</v>
      </c>
      <c r="K1207">
        <v>0</v>
      </c>
      <c r="L1207">
        <v>0</v>
      </c>
      <c r="M1207">
        <v>0</v>
      </c>
    </row>
    <row r="1208" spans="1:13" ht="15" customHeight="1" x14ac:dyDescent="0.25">
      <c r="A1208" t="s">
        <v>2223</v>
      </c>
      <c r="B1208" t="s">
        <v>16</v>
      </c>
      <c r="C1208">
        <v>0</v>
      </c>
      <c r="D1208" t="s">
        <v>380</v>
      </c>
      <c r="E1208" t="s">
        <v>2677</v>
      </c>
      <c r="F1208">
        <v>33</v>
      </c>
      <c r="G1208">
        <v>2000000</v>
      </c>
      <c r="H1208" t="s">
        <v>7</v>
      </c>
      <c r="I1208">
        <v>0</v>
      </c>
      <c r="J1208">
        <v>0</v>
      </c>
      <c r="K1208">
        <v>0</v>
      </c>
      <c r="L1208">
        <v>0</v>
      </c>
      <c r="M1208">
        <v>0</v>
      </c>
    </row>
    <row r="1209" spans="1:13" ht="15" customHeight="1" x14ac:dyDescent="0.25">
      <c r="A1209" t="s">
        <v>2612</v>
      </c>
      <c r="B1209" t="s">
        <v>11</v>
      </c>
      <c r="C1209" t="s">
        <v>386</v>
      </c>
      <c r="D1209" t="s">
        <v>82</v>
      </c>
      <c r="E1209" t="s">
        <v>2446</v>
      </c>
      <c r="F1209">
        <v>21</v>
      </c>
      <c r="G1209">
        <v>875000</v>
      </c>
      <c r="H1209">
        <v>875000</v>
      </c>
      <c r="I1209">
        <v>875000</v>
      </c>
      <c r="J1209" t="s">
        <v>8</v>
      </c>
      <c r="K1209">
        <v>0</v>
      </c>
      <c r="L1209">
        <v>0</v>
      </c>
      <c r="M1209">
        <v>0</v>
      </c>
    </row>
    <row r="1210" spans="1:13" ht="15" customHeight="1" x14ac:dyDescent="0.25">
      <c r="A1210" t="s">
        <v>2725</v>
      </c>
      <c r="B1210" t="s">
        <v>11</v>
      </c>
      <c r="C1210">
        <v>0</v>
      </c>
      <c r="D1210">
        <v>0</v>
      </c>
      <c r="E1210">
        <v>0</v>
      </c>
      <c r="F1210">
        <v>0</v>
      </c>
      <c r="G1210">
        <v>0</v>
      </c>
      <c r="H1210">
        <v>0</v>
      </c>
      <c r="I1210">
        <v>0</v>
      </c>
      <c r="J1210">
        <v>0</v>
      </c>
      <c r="K1210">
        <v>0</v>
      </c>
      <c r="L1210">
        <v>0</v>
      </c>
      <c r="M1210">
        <v>0</v>
      </c>
    </row>
    <row r="1211" spans="1:13" ht="15" customHeight="1" x14ac:dyDescent="0.25">
      <c r="A1211" t="s">
        <v>1712</v>
      </c>
      <c r="B1211" t="s">
        <v>24</v>
      </c>
      <c r="C1211" t="s">
        <v>386</v>
      </c>
      <c r="D1211" t="s">
        <v>2452</v>
      </c>
      <c r="E1211" t="s">
        <v>2446</v>
      </c>
      <c r="F1211">
        <v>23</v>
      </c>
      <c r="G1211">
        <v>825000</v>
      </c>
      <c r="H1211" t="s">
        <v>8</v>
      </c>
      <c r="I1211">
        <v>0</v>
      </c>
      <c r="J1211">
        <v>0</v>
      </c>
      <c r="K1211">
        <v>0</v>
      </c>
      <c r="L1211">
        <v>0</v>
      </c>
      <c r="M1211">
        <v>0</v>
      </c>
    </row>
    <row r="1212" spans="1:13" ht="15" customHeight="1" x14ac:dyDescent="0.25">
      <c r="A1212" t="s">
        <v>2650</v>
      </c>
      <c r="B1212" t="s">
        <v>24</v>
      </c>
      <c r="C1212" t="s">
        <v>386</v>
      </c>
      <c r="D1212" t="s">
        <v>127</v>
      </c>
      <c r="E1212" t="s">
        <v>2446</v>
      </c>
      <c r="F1212">
        <v>23</v>
      </c>
      <c r="G1212">
        <v>925000</v>
      </c>
      <c r="H1212">
        <v>925000</v>
      </c>
      <c r="I1212" t="s">
        <v>8</v>
      </c>
      <c r="J1212">
        <v>0</v>
      </c>
      <c r="K1212">
        <v>0</v>
      </c>
      <c r="L1212">
        <v>0</v>
      </c>
      <c r="M1212">
        <v>0</v>
      </c>
    </row>
    <row r="1213" spans="1:13" ht="15" customHeight="1" x14ac:dyDescent="0.25">
      <c r="A1213" t="s">
        <v>1365</v>
      </c>
      <c r="B1213" t="s">
        <v>9</v>
      </c>
      <c r="C1213" t="s">
        <v>386</v>
      </c>
      <c r="D1213" t="s">
        <v>2438</v>
      </c>
      <c r="E1213" t="s">
        <v>2446</v>
      </c>
      <c r="F1213">
        <v>22</v>
      </c>
      <c r="G1213">
        <v>1288333</v>
      </c>
      <c r="H1213" t="s">
        <v>8</v>
      </c>
      <c r="I1213">
        <v>0</v>
      </c>
      <c r="J1213">
        <v>0</v>
      </c>
      <c r="K1213">
        <v>0</v>
      </c>
      <c r="L1213">
        <v>0</v>
      </c>
      <c r="M1213">
        <v>0</v>
      </c>
    </row>
    <row r="1214" spans="1:13" ht="15" customHeight="1" x14ac:dyDescent="0.25">
      <c r="A1214" t="s">
        <v>1560</v>
      </c>
      <c r="B1214" t="s">
        <v>32</v>
      </c>
      <c r="C1214" t="s">
        <v>403</v>
      </c>
      <c r="D1214" t="s">
        <v>2445</v>
      </c>
      <c r="E1214" t="s">
        <v>2439</v>
      </c>
      <c r="F1214">
        <v>21</v>
      </c>
      <c r="G1214">
        <v>1744166</v>
      </c>
      <c r="H1214" t="s">
        <v>8</v>
      </c>
      <c r="I1214">
        <v>0</v>
      </c>
      <c r="J1214">
        <v>0</v>
      </c>
      <c r="K1214">
        <v>0</v>
      </c>
      <c r="L1214">
        <v>0</v>
      </c>
      <c r="M1214">
        <v>0</v>
      </c>
    </row>
    <row r="1215" spans="1:13" ht="15" customHeight="1" x14ac:dyDescent="0.25">
      <c r="A1215" t="s">
        <v>1701</v>
      </c>
      <c r="B1215" t="s">
        <v>24</v>
      </c>
      <c r="C1215">
        <v>0</v>
      </c>
      <c r="D1215" t="s">
        <v>2444</v>
      </c>
      <c r="E1215" t="s">
        <v>2439</v>
      </c>
      <c r="F1215">
        <v>25</v>
      </c>
      <c r="G1215">
        <v>4166666</v>
      </c>
      <c r="H1215">
        <v>4166666</v>
      </c>
      <c r="I1215">
        <v>4166666</v>
      </c>
      <c r="J1215">
        <v>4166666</v>
      </c>
      <c r="K1215" t="s">
        <v>7</v>
      </c>
      <c r="L1215">
        <v>0</v>
      </c>
      <c r="M1215">
        <v>0</v>
      </c>
    </row>
    <row r="1216" spans="1:13" ht="15" customHeight="1" x14ac:dyDescent="0.25">
      <c r="A1216" t="s">
        <v>1884</v>
      </c>
      <c r="B1216" t="s">
        <v>2503</v>
      </c>
      <c r="C1216">
        <v>0</v>
      </c>
      <c r="D1216" t="s">
        <v>73</v>
      </c>
      <c r="E1216" t="s">
        <v>2690</v>
      </c>
      <c r="F1216">
        <v>27</v>
      </c>
      <c r="G1216">
        <v>700000</v>
      </c>
      <c r="H1216">
        <v>700000</v>
      </c>
      <c r="I1216" t="s">
        <v>7</v>
      </c>
      <c r="J1216">
        <v>0</v>
      </c>
      <c r="K1216">
        <v>0</v>
      </c>
      <c r="L1216">
        <v>0</v>
      </c>
      <c r="M1216">
        <v>0</v>
      </c>
    </row>
    <row r="1217" spans="1:13" ht="15" customHeight="1" x14ac:dyDescent="0.25">
      <c r="A1217" t="s">
        <v>1710</v>
      </c>
      <c r="B1217" t="s">
        <v>24</v>
      </c>
      <c r="C1217" t="s">
        <v>386</v>
      </c>
      <c r="D1217" t="s">
        <v>73</v>
      </c>
      <c r="E1217" t="s">
        <v>2446</v>
      </c>
      <c r="F1217">
        <v>21</v>
      </c>
      <c r="G1217">
        <v>925000</v>
      </c>
      <c r="H1217">
        <v>925000</v>
      </c>
      <c r="I1217" t="s">
        <v>8</v>
      </c>
      <c r="J1217">
        <v>0</v>
      </c>
      <c r="K1217">
        <v>0</v>
      </c>
      <c r="L1217">
        <v>0</v>
      </c>
      <c r="M1217">
        <v>0</v>
      </c>
    </row>
    <row r="1218" spans="1:13" ht="15" customHeight="1" x14ac:dyDescent="0.25">
      <c r="A1218" t="s">
        <v>1760</v>
      </c>
      <c r="B1218" t="s">
        <v>32</v>
      </c>
      <c r="C1218" t="s">
        <v>372</v>
      </c>
      <c r="D1218" t="s">
        <v>2444</v>
      </c>
      <c r="E1218" t="s">
        <v>2439</v>
      </c>
      <c r="F1218">
        <v>30</v>
      </c>
      <c r="G1218">
        <v>1750000</v>
      </c>
      <c r="H1218" t="s">
        <v>7</v>
      </c>
      <c r="I1218">
        <v>0</v>
      </c>
      <c r="J1218">
        <v>0</v>
      </c>
      <c r="K1218">
        <v>0</v>
      </c>
      <c r="L1218">
        <v>0</v>
      </c>
      <c r="M1218">
        <v>0</v>
      </c>
    </row>
    <row r="1219" spans="1:13" ht="15" customHeight="1" x14ac:dyDescent="0.25">
      <c r="A1219" t="s">
        <v>1481</v>
      </c>
      <c r="B1219" t="s">
        <v>13</v>
      </c>
      <c r="C1219">
        <v>0</v>
      </c>
      <c r="D1219" t="s">
        <v>2448</v>
      </c>
      <c r="E1219" t="s">
        <v>2439</v>
      </c>
      <c r="F1219">
        <v>28</v>
      </c>
      <c r="G1219">
        <v>3900000</v>
      </c>
      <c r="H1219">
        <v>3900000</v>
      </c>
      <c r="I1219">
        <v>3900000</v>
      </c>
      <c r="J1219" t="s">
        <v>7</v>
      </c>
      <c r="K1219">
        <v>0</v>
      </c>
      <c r="L1219">
        <v>0</v>
      </c>
      <c r="M1219">
        <v>0</v>
      </c>
    </row>
    <row r="1220" spans="1:13" ht="15" customHeight="1" x14ac:dyDescent="0.25">
      <c r="A1220" t="s">
        <v>2662</v>
      </c>
      <c r="B1220" t="s">
        <v>35</v>
      </c>
      <c r="C1220">
        <v>0</v>
      </c>
      <c r="D1220" t="s">
        <v>2448</v>
      </c>
      <c r="E1220" t="s">
        <v>2446</v>
      </c>
      <c r="F1220">
        <v>26</v>
      </c>
      <c r="G1220">
        <v>700000</v>
      </c>
      <c r="H1220" t="s">
        <v>7</v>
      </c>
      <c r="I1220">
        <v>0</v>
      </c>
      <c r="J1220">
        <v>0</v>
      </c>
      <c r="K1220">
        <v>0</v>
      </c>
      <c r="L1220">
        <v>0</v>
      </c>
      <c r="M1220">
        <v>0</v>
      </c>
    </row>
    <row r="1221" spans="1:13" ht="15" customHeight="1" x14ac:dyDescent="0.25">
      <c r="A1221" t="s">
        <v>2007</v>
      </c>
      <c r="B1221" t="s">
        <v>21</v>
      </c>
      <c r="C1221" t="s">
        <v>386</v>
      </c>
      <c r="D1221" t="s">
        <v>73</v>
      </c>
      <c r="E1221" t="s">
        <v>2446</v>
      </c>
      <c r="F1221">
        <v>20</v>
      </c>
      <c r="G1221">
        <v>925000</v>
      </c>
      <c r="H1221">
        <v>925000</v>
      </c>
      <c r="I1221" t="s">
        <v>8</v>
      </c>
      <c r="J1221">
        <v>0</v>
      </c>
      <c r="K1221">
        <v>0</v>
      </c>
      <c r="L1221">
        <v>0</v>
      </c>
      <c r="M1221">
        <v>0</v>
      </c>
    </row>
    <row r="1222" spans="1:13" ht="15" customHeight="1" x14ac:dyDescent="0.25">
      <c r="A1222" t="s">
        <v>1385</v>
      </c>
      <c r="B1222" t="s">
        <v>10</v>
      </c>
      <c r="C1222">
        <v>0</v>
      </c>
      <c r="D1222" t="s">
        <v>2689</v>
      </c>
      <c r="E1222" t="s">
        <v>2677</v>
      </c>
      <c r="F1222">
        <v>27</v>
      </c>
      <c r="G1222">
        <v>3000000</v>
      </c>
      <c r="H1222" t="s">
        <v>7</v>
      </c>
      <c r="I1222">
        <v>0</v>
      </c>
      <c r="J1222">
        <v>0</v>
      </c>
      <c r="K1222">
        <v>0</v>
      </c>
      <c r="L1222">
        <v>0</v>
      </c>
      <c r="M1222">
        <v>0</v>
      </c>
    </row>
    <row r="1223" spans="1:13" ht="15" customHeight="1" x14ac:dyDescent="0.25">
      <c r="A1223" t="s">
        <v>2736</v>
      </c>
      <c r="B1223" t="s">
        <v>9</v>
      </c>
      <c r="C1223" t="s">
        <v>386</v>
      </c>
      <c r="D1223" t="s">
        <v>73</v>
      </c>
      <c r="E1223" t="s">
        <v>2439</v>
      </c>
      <c r="F1223">
        <v>19</v>
      </c>
      <c r="G1223">
        <v>925000</v>
      </c>
      <c r="H1223">
        <v>925000</v>
      </c>
      <c r="I1223">
        <v>925000</v>
      </c>
      <c r="J1223" t="s">
        <v>8</v>
      </c>
      <c r="K1223">
        <v>0</v>
      </c>
      <c r="L1223">
        <v>0</v>
      </c>
      <c r="M1223">
        <v>0</v>
      </c>
    </row>
    <row r="1224" spans="1:13" ht="15" customHeight="1" x14ac:dyDescent="0.25">
      <c r="A1224" t="s">
        <v>1371</v>
      </c>
      <c r="B1224" t="s">
        <v>9</v>
      </c>
      <c r="C1224" t="s">
        <v>386</v>
      </c>
      <c r="D1224" t="s">
        <v>82</v>
      </c>
      <c r="E1224" t="s">
        <v>2446</v>
      </c>
      <c r="F1224">
        <v>24</v>
      </c>
      <c r="G1224">
        <v>925000</v>
      </c>
      <c r="H1224" t="s">
        <v>8</v>
      </c>
      <c r="I1224">
        <v>0</v>
      </c>
      <c r="J1224">
        <v>0</v>
      </c>
      <c r="K1224">
        <v>0</v>
      </c>
      <c r="L1224">
        <v>0</v>
      </c>
      <c r="M1224">
        <v>0</v>
      </c>
    </row>
    <row r="1225" spans="1:13" ht="15" customHeight="1" x14ac:dyDescent="0.25">
      <c r="A1225" t="s">
        <v>2130</v>
      </c>
      <c r="B1225" t="s">
        <v>6</v>
      </c>
      <c r="C1225" t="s">
        <v>386</v>
      </c>
      <c r="D1225" t="s">
        <v>2453</v>
      </c>
      <c r="E1225" t="s">
        <v>2446</v>
      </c>
      <c r="F1225">
        <v>24</v>
      </c>
      <c r="G1225">
        <v>925000</v>
      </c>
      <c r="H1225" t="s">
        <v>8</v>
      </c>
      <c r="I1225">
        <v>0</v>
      </c>
      <c r="J1225">
        <v>0</v>
      </c>
      <c r="K1225">
        <v>0</v>
      </c>
      <c r="L1225">
        <v>0</v>
      </c>
      <c r="M1225">
        <v>0</v>
      </c>
    </row>
    <row r="1226" spans="1:13" ht="15" customHeight="1" x14ac:dyDescent="0.25">
      <c r="A1226" t="s">
        <v>1688</v>
      </c>
      <c r="B1226" t="s">
        <v>14</v>
      </c>
      <c r="C1226" t="s">
        <v>386</v>
      </c>
      <c r="D1226" t="s">
        <v>2453</v>
      </c>
      <c r="E1226" t="s">
        <v>2446</v>
      </c>
      <c r="F1226">
        <v>22</v>
      </c>
      <c r="G1226">
        <v>777777</v>
      </c>
      <c r="H1226" t="s">
        <v>8</v>
      </c>
      <c r="I1226">
        <v>0</v>
      </c>
      <c r="J1226">
        <v>0</v>
      </c>
      <c r="K1226">
        <v>0</v>
      </c>
      <c r="L1226">
        <v>0</v>
      </c>
      <c r="M1226">
        <v>0</v>
      </c>
    </row>
    <row r="1227" spans="1:13" ht="15" customHeight="1" x14ac:dyDescent="0.25">
      <c r="A1227" t="s">
        <v>2570</v>
      </c>
      <c r="B1227" t="s">
        <v>26</v>
      </c>
      <c r="C1227" t="s">
        <v>386</v>
      </c>
      <c r="D1227" t="s">
        <v>127</v>
      </c>
      <c r="E1227" t="s">
        <v>2690</v>
      </c>
      <c r="F1227">
        <v>23</v>
      </c>
      <c r="G1227">
        <v>3775000</v>
      </c>
      <c r="H1227">
        <v>3775000</v>
      </c>
      <c r="I1227" t="s">
        <v>8</v>
      </c>
      <c r="J1227">
        <v>0</v>
      </c>
      <c r="K1227">
        <v>0</v>
      </c>
      <c r="L1227">
        <v>0</v>
      </c>
      <c r="M1227">
        <v>0</v>
      </c>
    </row>
    <row r="1228" spans="1:13" ht="15" customHeight="1" x14ac:dyDescent="0.25">
      <c r="A1228" t="s">
        <v>1953</v>
      </c>
      <c r="B1228" t="s">
        <v>6</v>
      </c>
      <c r="C1228">
        <v>0</v>
      </c>
      <c r="D1228" t="s">
        <v>2462</v>
      </c>
      <c r="E1228" t="s">
        <v>2439</v>
      </c>
      <c r="F1228">
        <v>25</v>
      </c>
      <c r="G1228">
        <v>2300000</v>
      </c>
      <c r="H1228" t="s">
        <v>8</v>
      </c>
      <c r="I1228">
        <v>0</v>
      </c>
      <c r="J1228">
        <v>0</v>
      </c>
      <c r="K1228">
        <v>0</v>
      </c>
      <c r="L1228">
        <v>0</v>
      </c>
      <c r="M1228">
        <v>0</v>
      </c>
    </row>
    <row r="1229" spans="1:13" ht="15" customHeight="1" x14ac:dyDescent="0.25">
      <c r="A1229" t="s">
        <v>2593</v>
      </c>
      <c r="B1229" t="s">
        <v>33</v>
      </c>
      <c r="C1229">
        <v>0</v>
      </c>
      <c r="D1229" t="s">
        <v>73</v>
      </c>
      <c r="E1229" t="s">
        <v>2690</v>
      </c>
      <c r="F1229">
        <v>26</v>
      </c>
      <c r="G1229">
        <v>750000</v>
      </c>
      <c r="H1229" t="s">
        <v>7</v>
      </c>
      <c r="I1229">
        <v>0</v>
      </c>
      <c r="J1229">
        <v>0</v>
      </c>
      <c r="K1229">
        <v>0</v>
      </c>
      <c r="L1229">
        <v>0</v>
      </c>
      <c r="M1229">
        <v>0</v>
      </c>
    </row>
    <row r="1230" spans="1:13" ht="15" customHeight="1" x14ac:dyDescent="0.25">
      <c r="A1230" t="s">
        <v>2549</v>
      </c>
      <c r="B1230" t="s">
        <v>30</v>
      </c>
      <c r="C1230" t="s">
        <v>386</v>
      </c>
      <c r="D1230" t="s">
        <v>127</v>
      </c>
      <c r="E1230" t="s">
        <v>2446</v>
      </c>
      <c r="F1230">
        <v>24</v>
      </c>
      <c r="G1230">
        <v>925000</v>
      </c>
      <c r="H1230" t="s">
        <v>8</v>
      </c>
      <c r="I1230">
        <v>0</v>
      </c>
      <c r="J1230">
        <v>0</v>
      </c>
      <c r="K1230">
        <v>0</v>
      </c>
      <c r="L1230">
        <v>0</v>
      </c>
      <c r="M1230">
        <v>0</v>
      </c>
    </row>
    <row r="1231" spans="1:13" ht="15" customHeight="1" x14ac:dyDescent="0.25">
      <c r="A1231" t="s">
        <v>1940</v>
      </c>
      <c r="B1231" t="s">
        <v>15</v>
      </c>
      <c r="C1231" t="s">
        <v>386</v>
      </c>
      <c r="D1231" t="s">
        <v>73</v>
      </c>
      <c r="E1231" t="s">
        <v>2446</v>
      </c>
      <c r="F1231">
        <v>21</v>
      </c>
      <c r="G1231">
        <v>925000</v>
      </c>
      <c r="H1231">
        <v>925000</v>
      </c>
      <c r="I1231" t="s">
        <v>8</v>
      </c>
      <c r="J1231">
        <v>0</v>
      </c>
      <c r="K1231">
        <v>0</v>
      </c>
      <c r="L1231">
        <v>0</v>
      </c>
      <c r="M1231">
        <v>0</v>
      </c>
    </row>
    <row r="1232" spans="1:13" ht="15" customHeight="1" x14ac:dyDescent="0.25">
      <c r="A1232" t="s">
        <v>2143</v>
      </c>
      <c r="B1232" t="s">
        <v>6</v>
      </c>
      <c r="C1232" t="s">
        <v>386</v>
      </c>
      <c r="D1232" t="s">
        <v>2438</v>
      </c>
      <c r="E1232" t="s">
        <v>2446</v>
      </c>
      <c r="F1232">
        <v>22</v>
      </c>
      <c r="G1232">
        <v>935833</v>
      </c>
      <c r="H1232" t="s">
        <v>8</v>
      </c>
      <c r="I1232">
        <v>0</v>
      </c>
      <c r="J1232">
        <v>0</v>
      </c>
      <c r="K1232">
        <v>0</v>
      </c>
      <c r="L1232">
        <v>0</v>
      </c>
      <c r="M1232">
        <v>0</v>
      </c>
    </row>
    <row r="1233" spans="1:13" ht="15" customHeight="1" x14ac:dyDescent="0.25">
      <c r="A1233" t="s">
        <v>1880</v>
      </c>
      <c r="B1233" t="s">
        <v>2503</v>
      </c>
      <c r="C1233" t="s">
        <v>386</v>
      </c>
      <c r="D1233" t="s">
        <v>379</v>
      </c>
      <c r="E1233" t="s">
        <v>2677</v>
      </c>
      <c r="F1233">
        <v>22</v>
      </c>
      <c r="G1233">
        <v>888333</v>
      </c>
      <c r="H1233" t="s">
        <v>8</v>
      </c>
      <c r="I1233">
        <v>0</v>
      </c>
      <c r="J1233">
        <v>0</v>
      </c>
      <c r="K1233">
        <v>0</v>
      </c>
      <c r="L1233">
        <v>0</v>
      </c>
      <c r="M1233">
        <v>0</v>
      </c>
    </row>
    <row r="1234" spans="1:13" ht="15" customHeight="1" x14ac:dyDescent="0.25">
      <c r="A1234" t="s">
        <v>1544</v>
      </c>
      <c r="B1234" t="s">
        <v>6</v>
      </c>
      <c r="C1234">
        <v>0</v>
      </c>
      <c r="D1234" t="s">
        <v>2445</v>
      </c>
      <c r="E1234" t="s">
        <v>2446</v>
      </c>
      <c r="F1234">
        <v>25</v>
      </c>
      <c r="G1234">
        <v>700000</v>
      </c>
      <c r="H1234" t="s">
        <v>8</v>
      </c>
      <c r="I1234">
        <v>0</v>
      </c>
      <c r="J1234">
        <v>0</v>
      </c>
      <c r="K1234">
        <v>0</v>
      </c>
      <c r="L1234">
        <v>0</v>
      </c>
      <c r="M1234">
        <v>0</v>
      </c>
    </row>
    <row r="1235" spans="1:13" ht="15" customHeight="1" x14ac:dyDescent="0.25">
      <c r="A1235" t="s">
        <v>1891</v>
      </c>
      <c r="B1235" t="s">
        <v>13</v>
      </c>
      <c r="C1235">
        <v>0</v>
      </c>
      <c r="D1235" t="s">
        <v>2470</v>
      </c>
      <c r="E1235" t="s">
        <v>2446</v>
      </c>
      <c r="F1235">
        <v>24</v>
      </c>
      <c r="G1235">
        <v>750000</v>
      </c>
      <c r="H1235">
        <v>750000</v>
      </c>
      <c r="I1235" t="s">
        <v>8</v>
      </c>
      <c r="J1235">
        <v>0</v>
      </c>
      <c r="K1235">
        <v>0</v>
      </c>
      <c r="L1235">
        <v>0</v>
      </c>
      <c r="M1235">
        <v>0</v>
      </c>
    </row>
    <row r="1236" spans="1:13" ht="15" customHeight="1" x14ac:dyDescent="0.25">
      <c r="A1236" t="s">
        <v>2116</v>
      </c>
      <c r="B1236" t="s">
        <v>6</v>
      </c>
      <c r="C1236" t="s">
        <v>381</v>
      </c>
      <c r="D1236" t="s">
        <v>2441</v>
      </c>
      <c r="E1236" t="s">
        <v>2439</v>
      </c>
      <c r="F1236">
        <v>28</v>
      </c>
      <c r="G1236">
        <v>5250000</v>
      </c>
      <c r="H1236">
        <v>5250000</v>
      </c>
      <c r="I1236">
        <v>5250000</v>
      </c>
      <c r="J1236">
        <v>5250000</v>
      </c>
      <c r="K1236">
        <v>5250000</v>
      </c>
      <c r="L1236" t="s">
        <v>7</v>
      </c>
      <c r="M1236">
        <v>0</v>
      </c>
    </row>
    <row r="1237" spans="1:13" ht="15" customHeight="1" x14ac:dyDescent="0.25">
      <c r="A1237" t="s">
        <v>2328</v>
      </c>
      <c r="B1237" t="s">
        <v>30</v>
      </c>
      <c r="C1237">
        <v>0</v>
      </c>
      <c r="D1237" t="s">
        <v>2445</v>
      </c>
      <c r="E1237" t="s">
        <v>2439</v>
      </c>
      <c r="F1237">
        <v>26</v>
      </c>
      <c r="G1237">
        <v>675000</v>
      </c>
      <c r="H1237" t="s">
        <v>7</v>
      </c>
      <c r="I1237">
        <v>0</v>
      </c>
      <c r="J1237">
        <v>0</v>
      </c>
      <c r="K1237">
        <v>0</v>
      </c>
      <c r="L1237">
        <v>0</v>
      </c>
      <c r="M1237">
        <v>0</v>
      </c>
    </row>
    <row r="1238" spans="1:13" ht="15" customHeight="1" x14ac:dyDescent="0.25">
      <c r="A1238" t="s">
        <v>2646</v>
      </c>
      <c r="B1238" t="s">
        <v>24</v>
      </c>
      <c r="C1238">
        <v>0</v>
      </c>
      <c r="D1238" t="s">
        <v>2441</v>
      </c>
      <c r="E1238" t="s">
        <v>2439</v>
      </c>
      <c r="F1238">
        <v>30</v>
      </c>
      <c r="G1238">
        <v>5000000</v>
      </c>
      <c r="H1238" t="s">
        <v>7</v>
      </c>
      <c r="I1238">
        <v>0</v>
      </c>
      <c r="J1238">
        <v>0</v>
      </c>
      <c r="K1238">
        <v>0</v>
      </c>
      <c r="L1238">
        <v>0</v>
      </c>
      <c r="M1238">
        <v>0</v>
      </c>
    </row>
    <row r="1239" spans="1:13" x14ac:dyDescent="0.25">
      <c r="A1239" t="s">
        <v>1824</v>
      </c>
      <c r="B1239" t="s">
        <v>29</v>
      </c>
      <c r="C1239">
        <v>0</v>
      </c>
      <c r="D1239" t="s">
        <v>2680</v>
      </c>
      <c r="E1239" t="s">
        <v>2677</v>
      </c>
      <c r="F1239">
        <v>25</v>
      </c>
      <c r="G1239">
        <v>750000</v>
      </c>
      <c r="H1239" t="s">
        <v>8</v>
      </c>
      <c r="I1239">
        <v>0</v>
      </c>
      <c r="J1239">
        <v>0</v>
      </c>
      <c r="K1239">
        <v>0</v>
      </c>
      <c r="L1239">
        <v>0</v>
      </c>
      <c r="M1239">
        <v>0</v>
      </c>
    </row>
    <row r="1240" spans="1:13" ht="15" customHeight="1" x14ac:dyDescent="0.25">
      <c r="A1240" t="s">
        <v>1690</v>
      </c>
      <c r="B1240" t="s">
        <v>14</v>
      </c>
      <c r="C1240">
        <v>0</v>
      </c>
      <c r="D1240" t="s">
        <v>2445</v>
      </c>
      <c r="E1240" t="s">
        <v>2446</v>
      </c>
      <c r="F1240">
        <v>26</v>
      </c>
      <c r="G1240">
        <v>675000</v>
      </c>
      <c r="H1240" t="s">
        <v>7</v>
      </c>
      <c r="I1240">
        <v>0</v>
      </c>
      <c r="J1240">
        <v>0</v>
      </c>
      <c r="K1240">
        <v>0</v>
      </c>
      <c r="L1240">
        <v>0</v>
      </c>
      <c r="M1240">
        <v>0</v>
      </c>
    </row>
    <row r="1241" spans="1:13" ht="15" customHeight="1" x14ac:dyDescent="0.25">
      <c r="A1241" t="s">
        <v>1721</v>
      </c>
      <c r="B1241" t="s">
        <v>24</v>
      </c>
      <c r="C1241" t="s">
        <v>386</v>
      </c>
      <c r="D1241" t="s">
        <v>82</v>
      </c>
      <c r="E1241" t="s">
        <v>2446</v>
      </c>
      <c r="F1241">
        <v>21</v>
      </c>
      <c r="G1241">
        <v>696111</v>
      </c>
      <c r="H1241">
        <v>696111</v>
      </c>
      <c r="I1241" t="s">
        <v>8</v>
      </c>
      <c r="J1241">
        <v>0</v>
      </c>
      <c r="K1241">
        <v>0</v>
      </c>
      <c r="L1241">
        <v>0</v>
      </c>
      <c r="M1241">
        <v>0</v>
      </c>
    </row>
    <row r="1242" spans="1:13" ht="15" customHeight="1" x14ac:dyDescent="0.25">
      <c r="A1242" t="s">
        <v>2025</v>
      </c>
      <c r="B1242" t="s">
        <v>23</v>
      </c>
      <c r="C1242">
        <v>0</v>
      </c>
      <c r="D1242" t="s">
        <v>2678</v>
      </c>
      <c r="E1242" t="s">
        <v>2677</v>
      </c>
      <c r="F1242">
        <v>25</v>
      </c>
      <c r="G1242">
        <v>2857143</v>
      </c>
      <c r="H1242">
        <v>2857143</v>
      </c>
      <c r="I1242">
        <v>2857143</v>
      </c>
      <c r="J1242">
        <v>2857143</v>
      </c>
      <c r="K1242">
        <v>2857143</v>
      </c>
      <c r="L1242">
        <v>2857143</v>
      </c>
      <c r="M1242">
        <v>2857143</v>
      </c>
    </row>
    <row r="1243" spans="1:13" ht="15" customHeight="1" x14ac:dyDescent="0.25">
      <c r="A1243" t="s">
        <v>1746</v>
      </c>
      <c r="B1243" t="s">
        <v>25</v>
      </c>
      <c r="C1243" t="s">
        <v>388</v>
      </c>
      <c r="D1243" t="s">
        <v>127</v>
      </c>
      <c r="E1243" t="s">
        <v>389</v>
      </c>
      <c r="F1243">
        <v>19</v>
      </c>
      <c r="G1243">
        <v>927500</v>
      </c>
      <c r="H1243">
        <v>927500</v>
      </c>
      <c r="I1243">
        <v>927500</v>
      </c>
      <c r="J1243" t="s">
        <v>8</v>
      </c>
      <c r="K1243">
        <v>0</v>
      </c>
      <c r="L1243">
        <v>0</v>
      </c>
      <c r="M1243">
        <v>0</v>
      </c>
    </row>
    <row r="1244" spans="1:13" ht="15" customHeight="1" x14ac:dyDescent="0.25">
      <c r="A1244" t="s">
        <v>1383</v>
      </c>
      <c r="B1244" t="s">
        <v>10</v>
      </c>
      <c r="C1244" t="s">
        <v>420</v>
      </c>
      <c r="D1244" t="s">
        <v>2689</v>
      </c>
      <c r="E1244" t="s">
        <v>2677</v>
      </c>
      <c r="F1244">
        <v>27</v>
      </c>
      <c r="G1244">
        <v>9000000</v>
      </c>
      <c r="H1244">
        <v>9000000</v>
      </c>
      <c r="I1244">
        <v>9000000</v>
      </c>
      <c r="J1244">
        <v>9000000</v>
      </c>
      <c r="K1244">
        <v>9000000</v>
      </c>
      <c r="L1244">
        <v>9000000</v>
      </c>
      <c r="M1244">
        <v>9000000</v>
      </c>
    </row>
    <row r="1245" spans="1:13" ht="15" customHeight="1" x14ac:dyDescent="0.25">
      <c r="A1245" t="s">
        <v>2240</v>
      </c>
      <c r="B1245" t="s">
        <v>18</v>
      </c>
      <c r="C1245" t="s">
        <v>386</v>
      </c>
      <c r="D1245" t="s">
        <v>127</v>
      </c>
      <c r="E1245" t="s">
        <v>2446</v>
      </c>
      <c r="F1245">
        <v>20</v>
      </c>
      <c r="G1245">
        <v>925000</v>
      </c>
      <c r="H1245">
        <v>925000</v>
      </c>
      <c r="I1245" t="s">
        <v>8</v>
      </c>
      <c r="J1245">
        <v>0</v>
      </c>
      <c r="K1245">
        <v>0</v>
      </c>
      <c r="L1245">
        <v>0</v>
      </c>
      <c r="M1245">
        <v>0</v>
      </c>
    </row>
    <row r="1246" spans="1:13" ht="15" customHeight="1" x14ac:dyDescent="0.25">
      <c r="A1246" t="s">
        <v>1761</v>
      </c>
      <c r="B1246" t="s">
        <v>26</v>
      </c>
      <c r="C1246">
        <v>0</v>
      </c>
      <c r="D1246" t="s">
        <v>380</v>
      </c>
      <c r="E1246" t="s">
        <v>2677</v>
      </c>
      <c r="F1246">
        <v>25</v>
      </c>
      <c r="G1246">
        <v>5250000</v>
      </c>
      <c r="H1246">
        <v>5250000</v>
      </c>
      <c r="I1246">
        <v>5250000</v>
      </c>
      <c r="J1246">
        <v>5250000</v>
      </c>
      <c r="K1246">
        <v>5250000</v>
      </c>
      <c r="L1246" t="s">
        <v>7</v>
      </c>
      <c r="M1246">
        <v>0</v>
      </c>
    </row>
    <row r="1247" spans="1:13" ht="15" customHeight="1" x14ac:dyDescent="0.25">
      <c r="A1247" t="s">
        <v>1496</v>
      </c>
      <c r="B1247" t="s">
        <v>22</v>
      </c>
      <c r="C1247" t="s">
        <v>386</v>
      </c>
      <c r="D1247" t="s">
        <v>2445</v>
      </c>
      <c r="E1247" t="s">
        <v>2446</v>
      </c>
      <c r="F1247">
        <v>22</v>
      </c>
      <c r="G1247">
        <v>925000</v>
      </c>
      <c r="H1247" t="s">
        <v>8</v>
      </c>
      <c r="I1247">
        <v>0</v>
      </c>
      <c r="J1247">
        <v>0</v>
      </c>
      <c r="K1247">
        <v>0</v>
      </c>
      <c r="L1247">
        <v>0</v>
      </c>
      <c r="M1247">
        <v>0</v>
      </c>
    </row>
    <row r="1248" spans="1:13" ht="15" customHeight="1" x14ac:dyDescent="0.25">
      <c r="A1248" t="s">
        <v>1627</v>
      </c>
      <c r="B1248" t="s">
        <v>11</v>
      </c>
      <c r="C1248">
        <v>0</v>
      </c>
      <c r="D1248" t="s">
        <v>2445</v>
      </c>
      <c r="E1248" t="s">
        <v>2439</v>
      </c>
      <c r="F1248">
        <v>25</v>
      </c>
      <c r="G1248">
        <v>5300000</v>
      </c>
      <c r="H1248">
        <v>5300000</v>
      </c>
      <c r="I1248">
        <v>5300000</v>
      </c>
      <c r="J1248">
        <v>5300000</v>
      </c>
      <c r="K1248">
        <v>5300000</v>
      </c>
      <c r="L1248">
        <v>5300000</v>
      </c>
      <c r="M1248" t="s">
        <v>7</v>
      </c>
    </row>
    <row r="1249" spans="1:13" ht="15" customHeight="1" x14ac:dyDescent="0.25">
      <c r="A1249" t="s">
        <v>1644</v>
      </c>
      <c r="B1249" t="s">
        <v>11</v>
      </c>
      <c r="C1249" t="s">
        <v>386</v>
      </c>
      <c r="D1249" t="s">
        <v>2438</v>
      </c>
      <c r="E1249" t="s">
        <v>2446</v>
      </c>
      <c r="F1249">
        <v>22</v>
      </c>
      <c r="G1249">
        <v>758333</v>
      </c>
      <c r="H1249" t="s">
        <v>8</v>
      </c>
      <c r="I1249">
        <v>0</v>
      </c>
      <c r="J1249">
        <v>0</v>
      </c>
      <c r="K1249">
        <v>0</v>
      </c>
      <c r="L1249">
        <v>0</v>
      </c>
      <c r="M1249">
        <v>0</v>
      </c>
    </row>
    <row r="1250" spans="1:13" ht="15" customHeight="1" x14ac:dyDescent="0.25">
      <c r="A1250" t="s">
        <v>2184</v>
      </c>
      <c r="B1250" t="s">
        <v>63</v>
      </c>
      <c r="C1250" t="s">
        <v>386</v>
      </c>
      <c r="D1250" t="s">
        <v>82</v>
      </c>
      <c r="E1250" t="s">
        <v>2690</v>
      </c>
      <c r="F1250">
        <v>22</v>
      </c>
      <c r="G1250">
        <v>686667</v>
      </c>
      <c r="H1250" t="s">
        <v>8</v>
      </c>
      <c r="I1250">
        <v>0</v>
      </c>
      <c r="J1250">
        <v>0</v>
      </c>
      <c r="K1250">
        <v>0</v>
      </c>
      <c r="L1250">
        <v>0</v>
      </c>
      <c r="M1250">
        <v>0</v>
      </c>
    </row>
    <row r="1251" spans="1:13" ht="15" customHeight="1" x14ac:dyDescent="0.25">
      <c r="A1251" t="s">
        <v>1762</v>
      </c>
      <c r="B1251" t="s">
        <v>26</v>
      </c>
      <c r="C1251" t="s">
        <v>381</v>
      </c>
      <c r="D1251" t="s">
        <v>2710</v>
      </c>
      <c r="E1251" t="s">
        <v>2677</v>
      </c>
      <c r="F1251">
        <v>30</v>
      </c>
      <c r="G1251">
        <v>4350000</v>
      </c>
      <c r="H1251">
        <v>4350000</v>
      </c>
      <c r="I1251" t="s">
        <v>7</v>
      </c>
      <c r="J1251">
        <v>0</v>
      </c>
      <c r="K1251">
        <v>0</v>
      </c>
      <c r="L1251">
        <v>0</v>
      </c>
      <c r="M1251">
        <v>0</v>
      </c>
    </row>
    <row r="1252" spans="1:13" ht="15" customHeight="1" x14ac:dyDescent="0.25">
      <c r="A1252" t="s">
        <v>1404</v>
      </c>
      <c r="B1252" t="s">
        <v>10</v>
      </c>
      <c r="C1252">
        <v>0</v>
      </c>
      <c r="D1252" t="s">
        <v>93</v>
      </c>
      <c r="E1252" t="s">
        <v>2690</v>
      </c>
      <c r="F1252">
        <v>24</v>
      </c>
      <c r="G1252">
        <v>700000</v>
      </c>
      <c r="H1252">
        <v>700000</v>
      </c>
      <c r="I1252" t="s">
        <v>8</v>
      </c>
      <c r="J1252">
        <v>0</v>
      </c>
      <c r="K1252">
        <v>0</v>
      </c>
      <c r="L1252">
        <v>0</v>
      </c>
      <c r="M1252">
        <v>0</v>
      </c>
    </row>
    <row r="1253" spans="1:13" ht="15" customHeight="1" x14ac:dyDescent="0.25">
      <c r="A1253" t="s">
        <v>2019</v>
      </c>
      <c r="B1253" t="s">
        <v>23</v>
      </c>
      <c r="C1253">
        <v>0</v>
      </c>
      <c r="D1253" t="s">
        <v>2678</v>
      </c>
      <c r="E1253" t="s">
        <v>2677</v>
      </c>
      <c r="F1253">
        <v>29</v>
      </c>
      <c r="G1253">
        <v>4250000</v>
      </c>
      <c r="H1253" t="s">
        <v>7</v>
      </c>
      <c r="I1253">
        <v>0</v>
      </c>
      <c r="J1253">
        <v>0</v>
      </c>
      <c r="K1253">
        <v>0</v>
      </c>
      <c r="L1253">
        <v>0</v>
      </c>
      <c r="M1253">
        <v>0</v>
      </c>
    </row>
    <row r="1254" spans="1:13" ht="15" customHeight="1" x14ac:dyDescent="0.25">
      <c r="A1254" t="s">
        <v>2752</v>
      </c>
      <c r="B1254" t="s">
        <v>32</v>
      </c>
      <c r="C1254">
        <v>0</v>
      </c>
      <c r="D1254" t="s">
        <v>73</v>
      </c>
      <c r="E1254" t="s">
        <v>2446</v>
      </c>
      <c r="F1254">
        <v>25</v>
      </c>
      <c r="G1254">
        <v>700000</v>
      </c>
      <c r="H1254" t="s">
        <v>8</v>
      </c>
      <c r="I1254">
        <v>0</v>
      </c>
      <c r="J1254">
        <v>0</v>
      </c>
      <c r="K1254">
        <v>0</v>
      </c>
      <c r="L1254">
        <v>0</v>
      </c>
      <c r="M1254">
        <v>0</v>
      </c>
    </row>
    <row r="1255" spans="1:13" ht="15" customHeight="1" x14ac:dyDescent="0.25">
      <c r="A1255" t="s">
        <v>1446</v>
      </c>
      <c r="B1255" t="s">
        <v>17</v>
      </c>
      <c r="C1255" t="s">
        <v>386</v>
      </c>
      <c r="D1255" t="s">
        <v>2440</v>
      </c>
      <c r="E1255" t="s">
        <v>2446</v>
      </c>
      <c r="F1255">
        <v>21</v>
      </c>
      <c r="G1255">
        <v>913333</v>
      </c>
      <c r="H1255">
        <v>913333</v>
      </c>
      <c r="I1255" t="s">
        <v>8</v>
      </c>
      <c r="J1255">
        <v>0</v>
      </c>
      <c r="K1255">
        <v>0</v>
      </c>
      <c r="L1255">
        <v>0</v>
      </c>
      <c r="M1255">
        <v>0</v>
      </c>
    </row>
    <row r="1256" spans="1:13" ht="15" customHeight="1" x14ac:dyDescent="0.25">
      <c r="A1256" t="s">
        <v>2167</v>
      </c>
      <c r="B1256" t="s">
        <v>18</v>
      </c>
      <c r="C1256" t="s">
        <v>2520</v>
      </c>
      <c r="D1256" t="s">
        <v>127</v>
      </c>
      <c r="E1256" t="s">
        <v>2439</v>
      </c>
      <c r="F1256">
        <v>37</v>
      </c>
      <c r="G1256">
        <v>3750000</v>
      </c>
      <c r="H1256" t="s">
        <v>7</v>
      </c>
      <c r="I1256">
        <v>0</v>
      </c>
      <c r="J1256">
        <v>0</v>
      </c>
      <c r="K1256">
        <v>0</v>
      </c>
      <c r="L1256">
        <v>0</v>
      </c>
      <c r="M1256">
        <v>0</v>
      </c>
    </row>
    <row r="1257" spans="1:13" ht="15" customHeight="1" x14ac:dyDescent="0.25">
      <c r="A1257" t="s">
        <v>2774</v>
      </c>
      <c r="B1257" t="s">
        <v>135</v>
      </c>
      <c r="C1257" t="s">
        <v>381</v>
      </c>
      <c r="D1257" t="s">
        <v>2680</v>
      </c>
      <c r="E1257" t="s">
        <v>2677</v>
      </c>
      <c r="F1257">
        <v>28</v>
      </c>
      <c r="G1257">
        <v>5000000</v>
      </c>
      <c r="H1257">
        <v>5000000</v>
      </c>
      <c r="I1257">
        <v>5000000</v>
      </c>
      <c r="J1257" t="s">
        <v>7</v>
      </c>
      <c r="K1257">
        <v>0</v>
      </c>
      <c r="L1257">
        <v>0</v>
      </c>
      <c r="M1257">
        <v>0</v>
      </c>
    </row>
    <row r="1258" spans="1:13" ht="15" customHeight="1" x14ac:dyDescent="0.25">
      <c r="A1258" t="s">
        <v>1707</v>
      </c>
      <c r="B1258" t="s">
        <v>24</v>
      </c>
      <c r="C1258" t="s">
        <v>388</v>
      </c>
      <c r="D1258" t="s">
        <v>2445</v>
      </c>
      <c r="E1258" t="s">
        <v>389</v>
      </c>
      <c r="F1258">
        <v>19</v>
      </c>
      <c r="G1258">
        <v>1294167</v>
      </c>
      <c r="H1258">
        <v>1294167</v>
      </c>
      <c r="I1258">
        <v>1294167</v>
      </c>
      <c r="J1258" t="s">
        <v>8</v>
      </c>
      <c r="K1258">
        <v>0</v>
      </c>
      <c r="L1258">
        <v>0</v>
      </c>
      <c r="M1258">
        <v>0</v>
      </c>
    </row>
    <row r="1259" spans="1:13" ht="15" customHeight="1" x14ac:dyDescent="0.25">
      <c r="A1259" t="s">
        <v>1520</v>
      </c>
      <c r="B1259" t="s">
        <v>13</v>
      </c>
      <c r="C1259" t="s">
        <v>381</v>
      </c>
      <c r="D1259" t="s">
        <v>2450</v>
      </c>
      <c r="E1259" t="s">
        <v>2439</v>
      </c>
      <c r="F1259">
        <v>31</v>
      </c>
      <c r="G1259">
        <v>3250000</v>
      </c>
      <c r="H1259">
        <v>3250000</v>
      </c>
      <c r="I1259" t="s">
        <v>7</v>
      </c>
      <c r="J1259">
        <v>0</v>
      </c>
      <c r="K1259">
        <v>0</v>
      </c>
      <c r="L1259">
        <v>0</v>
      </c>
      <c r="M1259">
        <v>0</v>
      </c>
    </row>
    <row r="1260" spans="1:13" ht="15" customHeight="1" x14ac:dyDescent="0.25">
      <c r="A1260" t="s">
        <v>2505</v>
      </c>
      <c r="B1260" t="s">
        <v>2503</v>
      </c>
      <c r="C1260" t="s">
        <v>386</v>
      </c>
      <c r="D1260" t="s">
        <v>93</v>
      </c>
      <c r="E1260" t="s">
        <v>2690</v>
      </c>
      <c r="F1260">
        <v>23</v>
      </c>
      <c r="G1260">
        <v>925000</v>
      </c>
      <c r="H1260">
        <v>925000</v>
      </c>
      <c r="I1260" t="s">
        <v>8</v>
      </c>
      <c r="J1260">
        <v>0</v>
      </c>
      <c r="K1260">
        <v>0</v>
      </c>
      <c r="L1260">
        <v>0</v>
      </c>
      <c r="M1260">
        <v>0</v>
      </c>
    </row>
    <row r="1261" spans="1:13" ht="15" customHeight="1" x14ac:dyDescent="0.25">
      <c r="A1261" t="s">
        <v>1384</v>
      </c>
      <c r="B1261" t="s">
        <v>10</v>
      </c>
      <c r="C1261">
        <v>0</v>
      </c>
      <c r="D1261" t="s">
        <v>2696</v>
      </c>
      <c r="E1261" t="s">
        <v>2677</v>
      </c>
      <c r="F1261">
        <v>32</v>
      </c>
      <c r="G1261">
        <v>3500000</v>
      </c>
      <c r="H1261" t="s">
        <v>7</v>
      </c>
      <c r="I1261">
        <v>0</v>
      </c>
      <c r="J1261">
        <v>0</v>
      </c>
      <c r="K1261">
        <v>0</v>
      </c>
      <c r="L1261">
        <v>0</v>
      </c>
      <c r="M1261">
        <v>0</v>
      </c>
    </row>
    <row r="1262" spans="1:13" ht="15" customHeight="1" x14ac:dyDescent="0.25">
      <c r="A1262" t="s">
        <v>2862</v>
      </c>
      <c r="B1262" t="s">
        <v>63</v>
      </c>
      <c r="C1262" t="s">
        <v>381</v>
      </c>
      <c r="D1262" t="s">
        <v>2679</v>
      </c>
      <c r="E1262" t="s">
        <v>2677</v>
      </c>
      <c r="F1262">
        <v>33</v>
      </c>
      <c r="G1262">
        <v>4750000</v>
      </c>
      <c r="H1262" t="s">
        <v>7</v>
      </c>
      <c r="I1262">
        <v>0</v>
      </c>
      <c r="J1262">
        <v>0</v>
      </c>
      <c r="K1262">
        <v>0</v>
      </c>
      <c r="L1262">
        <v>0</v>
      </c>
      <c r="M1262">
        <v>0</v>
      </c>
    </row>
    <row r="1263" spans="1:13" ht="15" customHeight="1" x14ac:dyDescent="0.25">
      <c r="A1263" t="s">
        <v>2863</v>
      </c>
      <c r="B1263" t="s">
        <v>20</v>
      </c>
      <c r="C1263" t="s">
        <v>386</v>
      </c>
      <c r="D1263" t="s">
        <v>73</v>
      </c>
      <c r="E1263" t="s">
        <v>2446</v>
      </c>
      <c r="F1263">
        <v>19</v>
      </c>
      <c r="G1263">
        <v>791667</v>
      </c>
      <c r="H1263">
        <v>791667</v>
      </c>
      <c r="I1263">
        <v>791667</v>
      </c>
      <c r="J1263" t="s">
        <v>8</v>
      </c>
      <c r="K1263">
        <v>0</v>
      </c>
      <c r="L1263">
        <v>0</v>
      </c>
      <c r="M1263">
        <v>0</v>
      </c>
    </row>
    <row r="1264" spans="1:13" ht="15" customHeight="1" x14ac:dyDescent="0.25">
      <c r="A1264" t="s">
        <v>2864</v>
      </c>
      <c r="B1264" t="s">
        <v>13</v>
      </c>
      <c r="C1264" t="s">
        <v>386</v>
      </c>
      <c r="D1264" t="s">
        <v>2452</v>
      </c>
      <c r="E1264" t="s">
        <v>2446</v>
      </c>
      <c r="F1264">
        <v>21</v>
      </c>
      <c r="G1264">
        <v>925000</v>
      </c>
      <c r="H1264">
        <v>925000</v>
      </c>
      <c r="I1264">
        <v>925000</v>
      </c>
      <c r="J1264" t="s">
        <v>8</v>
      </c>
      <c r="K1264">
        <v>0</v>
      </c>
      <c r="L1264">
        <v>0</v>
      </c>
      <c r="M1264">
        <v>0</v>
      </c>
    </row>
    <row r="1265" spans="1:13" ht="15" customHeight="1" x14ac:dyDescent="0.25">
      <c r="A1265" t="s">
        <v>2865</v>
      </c>
      <c r="B1265" t="s">
        <v>25</v>
      </c>
      <c r="C1265" t="s">
        <v>386</v>
      </c>
      <c r="D1265" t="s">
        <v>127</v>
      </c>
      <c r="E1265" t="s">
        <v>2446</v>
      </c>
      <c r="F1265">
        <v>22</v>
      </c>
      <c r="G1265">
        <v>925000</v>
      </c>
      <c r="H1265" t="s">
        <v>8</v>
      </c>
      <c r="I1265">
        <v>0</v>
      </c>
      <c r="J1265">
        <v>0</v>
      </c>
      <c r="K1265">
        <v>0</v>
      </c>
      <c r="L1265">
        <v>0</v>
      </c>
      <c r="M1265">
        <v>0</v>
      </c>
    </row>
    <row r="1266" spans="1:13" ht="15" customHeight="1" x14ac:dyDescent="0.25">
      <c r="A1266" t="s">
        <v>2866</v>
      </c>
      <c r="B1266" t="s">
        <v>63</v>
      </c>
      <c r="C1266" t="s">
        <v>386</v>
      </c>
      <c r="D1266" t="s">
        <v>379</v>
      </c>
      <c r="E1266" t="s">
        <v>2690</v>
      </c>
      <c r="F1266">
        <v>18</v>
      </c>
      <c r="G1266">
        <v>1585000</v>
      </c>
      <c r="H1266">
        <v>1585000</v>
      </c>
      <c r="I1266">
        <v>1585000</v>
      </c>
      <c r="J1266" t="s">
        <v>8</v>
      </c>
      <c r="K1266">
        <v>0</v>
      </c>
      <c r="L1266">
        <v>0</v>
      </c>
      <c r="M1266">
        <v>0</v>
      </c>
    </row>
    <row r="1267" spans="1:13" ht="15" customHeight="1" x14ac:dyDescent="0.25">
      <c r="A1267" t="s">
        <v>2009</v>
      </c>
      <c r="B1267" t="s">
        <v>21</v>
      </c>
      <c r="C1267" t="s">
        <v>386</v>
      </c>
      <c r="D1267" t="s">
        <v>73</v>
      </c>
      <c r="E1267" t="s">
        <v>2446</v>
      </c>
      <c r="F1267">
        <v>21</v>
      </c>
      <c r="G1267">
        <v>830000</v>
      </c>
      <c r="H1267">
        <v>830000</v>
      </c>
      <c r="I1267" t="s">
        <v>8</v>
      </c>
      <c r="J1267">
        <v>0</v>
      </c>
      <c r="K1267">
        <v>0</v>
      </c>
      <c r="L1267">
        <v>0</v>
      </c>
      <c r="M1267">
        <v>0</v>
      </c>
    </row>
    <row r="1268" spans="1:13" ht="15" customHeight="1" x14ac:dyDescent="0.25">
      <c r="A1268" t="s">
        <v>1684</v>
      </c>
      <c r="B1268" t="s">
        <v>14</v>
      </c>
      <c r="C1268">
        <v>0</v>
      </c>
      <c r="D1268" t="s">
        <v>82</v>
      </c>
      <c r="E1268" t="s">
        <v>2446</v>
      </c>
      <c r="F1268">
        <v>25</v>
      </c>
      <c r="G1268">
        <v>700000</v>
      </c>
      <c r="H1268" t="s">
        <v>8</v>
      </c>
      <c r="I1268">
        <v>0</v>
      </c>
      <c r="J1268">
        <v>0</v>
      </c>
      <c r="K1268">
        <v>0</v>
      </c>
      <c r="L1268">
        <v>0</v>
      </c>
      <c r="M1268">
        <v>0</v>
      </c>
    </row>
    <row r="1269" spans="1:13" ht="15" customHeight="1" x14ac:dyDescent="0.25">
      <c r="A1269" t="s">
        <v>1573</v>
      </c>
      <c r="B1269" t="s">
        <v>32</v>
      </c>
      <c r="C1269" t="s">
        <v>386</v>
      </c>
      <c r="D1269" t="s">
        <v>73</v>
      </c>
      <c r="E1269" t="s">
        <v>2446</v>
      </c>
      <c r="F1269">
        <v>21</v>
      </c>
      <c r="G1269">
        <v>800000</v>
      </c>
      <c r="H1269">
        <v>800000</v>
      </c>
      <c r="I1269" t="s">
        <v>8</v>
      </c>
      <c r="J1269">
        <v>0</v>
      </c>
      <c r="K1269">
        <v>0</v>
      </c>
      <c r="L1269">
        <v>0</v>
      </c>
      <c r="M1269">
        <v>0</v>
      </c>
    </row>
    <row r="1270" spans="1:13" ht="15" customHeight="1" x14ac:dyDescent="0.25">
      <c r="A1270" t="s">
        <v>2867</v>
      </c>
      <c r="B1270" t="s">
        <v>30</v>
      </c>
      <c r="C1270">
        <v>0</v>
      </c>
      <c r="D1270" t="s">
        <v>2440</v>
      </c>
      <c r="E1270" t="s">
        <v>2439</v>
      </c>
      <c r="F1270">
        <v>27</v>
      </c>
      <c r="G1270">
        <v>1500000</v>
      </c>
      <c r="H1270">
        <v>1500000</v>
      </c>
      <c r="I1270" t="s">
        <v>7</v>
      </c>
      <c r="J1270">
        <v>0</v>
      </c>
      <c r="K1270">
        <v>0</v>
      </c>
      <c r="L1270">
        <v>0</v>
      </c>
      <c r="M1270">
        <v>0</v>
      </c>
    </row>
    <row r="1271" spans="1:13" ht="15" customHeight="1" x14ac:dyDescent="0.25">
      <c r="A1271" t="s">
        <v>1579</v>
      </c>
      <c r="B1271" t="s">
        <v>32</v>
      </c>
      <c r="C1271" t="s">
        <v>386</v>
      </c>
      <c r="D1271" t="s">
        <v>82</v>
      </c>
      <c r="E1271" t="s">
        <v>2446</v>
      </c>
      <c r="F1271">
        <v>21</v>
      </c>
      <c r="G1271">
        <v>721600</v>
      </c>
      <c r="H1271">
        <v>721600</v>
      </c>
      <c r="I1271" t="s">
        <v>8</v>
      </c>
      <c r="J1271">
        <v>0</v>
      </c>
      <c r="K1271">
        <v>0</v>
      </c>
      <c r="L1271">
        <v>0</v>
      </c>
      <c r="M1271">
        <v>0</v>
      </c>
    </row>
    <row r="1272" spans="1:13" ht="15" customHeight="1" x14ac:dyDescent="0.25">
      <c r="A1272" t="s">
        <v>2003</v>
      </c>
      <c r="B1272" t="s">
        <v>21</v>
      </c>
      <c r="C1272">
        <v>0</v>
      </c>
      <c r="D1272" t="s">
        <v>82</v>
      </c>
      <c r="E1272" t="s">
        <v>2446</v>
      </c>
      <c r="F1272">
        <v>25</v>
      </c>
      <c r="G1272">
        <v>750000</v>
      </c>
      <c r="H1272" t="s">
        <v>8</v>
      </c>
      <c r="I1272">
        <v>0</v>
      </c>
      <c r="J1272">
        <v>0</v>
      </c>
      <c r="K1272">
        <v>0</v>
      </c>
      <c r="L1272">
        <v>0</v>
      </c>
      <c r="M1272">
        <v>0</v>
      </c>
    </row>
    <row r="1273" spans="1:13" ht="15" customHeight="1" x14ac:dyDescent="0.25">
      <c r="A1273" t="s">
        <v>2105</v>
      </c>
      <c r="B1273" t="s">
        <v>35</v>
      </c>
      <c r="C1273" t="s">
        <v>386</v>
      </c>
      <c r="D1273" t="s">
        <v>73</v>
      </c>
      <c r="E1273" t="s">
        <v>2446</v>
      </c>
      <c r="F1273">
        <v>22</v>
      </c>
      <c r="G1273">
        <v>833333</v>
      </c>
      <c r="H1273" t="s">
        <v>8</v>
      </c>
      <c r="I1273">
        <v>0</v>
      </c>
      <c r="J1273">
        <v>0</v>
      </c>
      <c r="K1273">
        <v>0</v>
      </c>
      <c r="L1273">
        <v>0</v>
      </c>
      <c r="M1273">
        <v>0</v>
      </c>
    </row>
    <row r="1274" spans="1:13" ht="15" customHeight="1" x14ac:dyDescent="0.25">
      <c r="A1274" t="s">
        <v>1602</v>
      </c>
      <c r="B1274" t="s">
        <v>135</v>
      </c>
      <c r="C1274">
        <v>0</v>
      </c>
      <c r="D1274" t="s">
        <v>127</v>
      </c>
      <c r="E1274" t="s">
        <v>2690</v>
      </c>
      <c r="F1274">
        <v>26</v>
      </c>
      <c r="G1274">
        <v>750000</v>
      </c>
      <c r="H1274" t="s">
        <v>7</v>
      </c>
      <c r="I1274">
        <v>0</v>
      </c>
      <c r="J1274">
        <v>0</v>
      </c>
      <c r="K1274">
        <v>0</v>
      </c>
      <c r="L1274">
        <v>0</v>
      </c>
      <c r="M1274">
        <v>0</v>
      </c>
    </row>
    <row r="1275" spans="1:13" ht="15" customHeight="1" x14ac:dyDescent="0.25">
      <c r="A1275" t="s">
        <v>1713</v>
      </c>
      <c r="B1275" t="s">
        <v>24</v>
      </c>
      <c r="C1275" t="s">
        <v>386</v>
      </c>
      <c r="D1275" t="s">
        <v>73</v>
      </c>
      <c r="E1275" t="s">
        <v>2446</v>
      </c>
      <c r="F1275">
        <v>22</v>
      </c>
      <c r="G1275">
        <v>935833</v>
      </c>
      <c r="H1275" t="s">
        <v>8</v>
      </c>
      <c r="I1275">
        <v>0</v>
      </c>
      <c r="J1275">
        <v>0</v>
      </c>
      <c r="K1275">
        <v>0</v>
      </c>
      <c r="L1275">
        <v>0</v>
      </c>
      <c r="M1275">
        <v>0</v>
      </c>
    </row>
    <row r="1276" spans="1:13" ht="15" customHeight="1" x14ac:dyDescent="0.25">
      <c r="A1276" t="s">
        <v>1576</v>
      </c>
      <c r="B1276" t="s">
        <v>32</v>
      </c>
      <c r="C1276" t="s">
        <v>386</v>
      </c>
      <c r="D1276" t="s">
        <v>82</v>
      </c>
      <c r="E1276" t="s">
        <v>2446</v>
      </c>
      <c r="F1276">
        <v>22</v>
      </c>
      <c r="G1276">
        <v>910833</v>
      </c>
      <c r="H1276" t="s">
        <v>8</v>
      </c>
      <c r="I1276">
        <v>0</v>
      </c>
      <c r="J1276">
        <v>0</v>
      </c>
      <c r="K1276">
        <v>0</v>
      </c>
      <c r="L1276">
        <v>0</v>
      </c>
      <c r="M1276">
        <v>0</v>
      </c>
    </row>
    <row r="1277" spans="1:13" ht="15" customHeight="1" x14ac:dyDescent="0.25">
      <c r="A1277" t="s">
        <v>2594</v>
      </c>
      <c r="B1277" t="s">
        <v>33</v>
      </c>
      <c r="C1277" t="s">
        <v>2683</v>
      </c>
      <c r="D1277" t="s">
        <v>2684</v>
      </c>
      <c r="E1277" t="s">
        <v>2677</v>
      </c>
      <c r="F1277">
        <v>36</v>
      </c>
      <c r="G1277">
        <v>700000</v>
      </c>
      <c r="H1277" t="s">
        <v>7</v>
      </c>
      <c r="I1277">
        <v>0</v>
      </c>
      <c r="J1277">
        <v>0</v>
      </c>
      <c r="K1277">
        <v>0</v>
      </c>
      <c r="L1277">
        <v>0</v>
      </c>
      <c r="M1277">
        <v>0</v>
      </c>
    </row>
    <row r="1278" spans="1:13" ht="15" customHeight="1" x14ac:dyDescent="0.25">
      <c r="A1278" t="s">
        <v>1825</v>
      </c>
      <c r="B1278" t="s">
        <v>6</v>
      </c>
      <c r="C1278">
        <v>0</v>
      </c>
      <c r="D1278" t="s">
        <v>2438</v>
      </c>
      <c r="E1278" t="s">
        <v>2439</v>
      </c>
      <c r="F1278">
        <v>22</v>
      </c>
      <c r="G1278">
        <v>750000</v>
      </c>
      <c r="H1278" t="s">
        <v>8</v>
      </c>
      <c r="I1278">
        <v>0</v>
      </c>
      <c r="J1278">
        <v>0</v>
      </c>
      <c r="K1278">
        <v>0</v>
      </c>
      <c r="L1278">
        <v>0</v>
      </c>
      <c r="M1278">
        <v>0</v>
      </c>
    </row>
    <row r="1279" spans="1:13" ht="15" customHeight="1" x14ac:dyDescent="0.25">
      <c r="A1279" t="s">
        <v>1995</v>
      </c>
      <c r="B1279" t="s">
        <v>21</v>
      </c>
      <c r="C1279" t="s">
        <v>381</v>
      </c>
      <c r="D1279" t="s">
        <v>2444</v>
      </c>
      <c r="E1279" t="s">
        <v>2439</v>
      </c>
      <c r="F1279">
        <v>29</v>
      </c>
      <c r="G1279">
        <v>5187500</v>
      </c>
      <c r="H1279" t="s">
        <v>7</v>
      </c>
      <c r="I1279">
        <v>0</v>
      </c>
      <c r="J1279">
        <v>0</v>
      </c>
      <c r="K1279">
        <v>0</v>
      </c>
      <c r="L1279">
        <v>0</v>
      </c>
      <c r="M1279">
        <v>0</v>
      </c>
    </row>
    <row r="1280" spans="1:13" ht="15" customHeight="1" x14ac:dyDescent="0.25">
      <c r="A1280" t="s">
        <v>2745</v>
      </c>
      <c r="B1280" t="s">
        <v>25</v>
      </c>
      <c r="C1280">
        <v>0</v>
      </c>
      <c r="D1280" t="s">
        <v>2448</v>
      </c>
      <c r="E1280" t="s">
        <v>2446</v>
      </c>
      <c r="F1280">
        <v>26</v>
      </c>
      <c r="G1280">
        <v>675000</v>
      </c>
      <c r="H1280" t="s">
        <v>7</v>
      </c>
      <c r="I1280">
        <v>0</v>
      </c>
      <c r="J1280">
        <v>0</v>
      </c>
      <c r="K1280">
        <v>0</v>
      </c>
      <c r="L1280">
        <v>0</v>
      </c>
      <c r="M1280">
        <v>0</v>
      </c>
    </row>
    <row r="1281" spans="1:13" ht="15" customHeight="1" x14ac:dyDescent="0.25">
      <c r="A1281" t="s">
        <v>1989</v>
      </c>
      <c r="B1281" t="s">
        <v>21</v>
      </c>
      <c r="C1281">
        <v>0</v>
      </c>
      <c r="D1281" t="s">
        <v>73</v>
      </c>
      <c r="E1281" t="s">
        <v>2439</v>
      </c>
      <c r="F1281">
        <v>34</v>
      </c>
      <c r="G1281">
        <v>3250000</v>
      </c>
      <c r="H1281">
        <v>3250000</v>
      </c>
      <c r="I1281" t="s">
        <v>7</v>
      </c>
      <c r="J1281">
        <v>0</v>
      </c>
      <c r="K1281">
        <v>0</v>
      </c>
      <c r="L1281">
        <v>0</v>
      </c>
      <c r="M1281">
        <v>0</v>
      </c>
    </row>
    <row r="1282" spans="1:13" ht="15" customHeight="1" x14ac:dyDescent="0.25">
      <c r="A1282" t="s">
        <v>2787</v>
      </c>
      <c r="B1282" t="s">
        <v>11</v>
      </c>
      <c r="C1282" t="s">
        <v>420</v>
      </c>
      <c r="D1282" t="s">
        <v>2452</v>
      </c>
      <c r="E1282" t="s">
        <v>2439</v>
      </c>
      <c r="F1282">
        <v>30</v>
      </c>
      <c r="G1282">
        <v>6000000</v>
      </c>
      <c r="H1282">
        <v>6000000</v>
      </c>
      <c r="I1282">
        <v>6000000</v>
      </c>
      <c r="J1282">
        <v>6000000</v>
      </c>
      <c r="K1282" t="s">
        <v>7</v>
      </c>
      <c r="L1282">
        <v>0</v>
      </c>
      <c r="M1282">
        <v>0</v>
      </c>
    </row>
    <row r="1283" spans="1:13" ht="15" customHeight="1" x14ac:dyDescent="0.25">
      <c r="A1283" t="s">
        <v>2773</v>
      </c>
      <c r="B1283" t="s">
        <v>26</v>
      </c>
      <c r="C1283" t="s">
        <v>420</v>
      </c>
      <c r="D1283" t="s">
        <v>380</v>
      </c>
      <c r="E1283" t="s">
        <v>2677</v>
      </c>
      <c r="F1283">
        <v>32</v>
      </c>
      <c r="G1283">
        <v>5700000</v>
      </c>
      <c r="H1283">
        <v>5700000</v>
      </c>
      <c r="I1283" t="s">
        <v>7</v>
      </c>
      <c r="J1283">
        <v>0</v>
      </c>
      <c r="K1283">
        <v>0</v>
      </c>
      <c r="L1283">
        <v>0</v>
      </c>
      <c r="M1283">
        <v>0</v>
      </c>
    </row>
    <row r="1284" spans="1:13" ht="15" customHeight="1" x14ac:dyDescent="0.25">
      <c r="A1284" t="s">
        <v>2002</v>
      </c>
      <c r="B1284" t="s">
        <v>21</v>
      </c>
      <c r="C1284">
        <v>0</v>
      </c>
      <c r="D1284" t="s">
        <v>127</v>
      </c>
      <c r="E1284" t="s">
        <v>2439</v>
      </c>
      <c r="F1284">
        <v>32</v>
      </c>
      <c r="G1284">
        <v>785000</v>
      </c>
      <c r="H1284">
        <v>785000</v>
      </c>
      <c r="I1284">
        <v>785000</v>
      </c>
      <c r="J1284" t="s">
        <v>7</v>
      </c>
      <c r="K1284">
        <v>0</v>
      </c>
      <c r="L1284">
        <v>0</v>
      </c>
      <c r="M1284">
        <v>0</v>
      </c>
    </row>
    <row r="1285" spans="1:13" ht="15" customHeight="1" x14ac:dyDescent="0.25">
      <c r="A1285" t="s">
        <v>2841</v>
      </c>
      <c r="B1285" t="s">
        <v>32</v>
      </c>
      <c r="C1285" t="s">
        <v>420</v>
      </c>
      <c r="D1285" t="s">
        <v>73</v>
      </c>
      <c r="E1285" t="s">
        <v>2439</v>
      </c>
      <c r="F1285">
        <v>29</v>
      </c>
      <c r="G1285">
        <v>8500000</v>
      </c>
      <c r="H1285">
        <v>8500000</v>
      </c>
      <c r="I1285">
        <v>8500000</v>
      </c>
      <c r="J1285">
        <v>8500000</v>
      </c>
      <c r="K1285">
        <v>8500000</v>
      </c>
      <c r="L1285" t="s">
        <v>7</v>
      </c>
      <c r="M1285">
        <v>0</v>
      </c>
    </row>
    <row r="1286" spans="1:13" ht="15" customHeight="1" x14ac:dyDescent="0.25">
      <c r="A1286" t="s">
        <v>2099</v>
      </c>
      <c r="B1286" t="s">
        <v>35</v>
      </c>
      <c r="C1286" t="s">
        <v>386</v>
      </c>
      <c r="D1286" t="s">
        <v>2445</v>
      </c>
      <c r="E1286" t="s">
        <v>2446</v>
      </c>
      <c r="F1286">
        <v>21</v>
      </c>
      <c r="G1286">
        <v>1075833</v>
      </c>
      <c r="H1286">
        <v>1075833</v>
      </c>
      <c r="I1286" t="s">
        <v>8</v>
      </c>
      <c r="J1286">
        <v>0</v>
      </c>
      <c r="K1286">
        <v>0</v>
      </c>
      <c r="L1286">
        <v>0</v>
      </c>
      <c r="M1286">
        <v>0</v>
      </c>
    </row>
    <row r="1287" spans="1:13" ht="15" customHeight="1" x14ac:dyDescent="0.25">
      <c r="A1287" t="s">
        <v>2237</v>
      </c>
      <c r="B1287" t="s">
        <v>18</v>
      </c>
      <c r="C1287">
        <v>0</v>
      </c>
      <c r="D1287" t="s">
        <v>127</v>
      </c>
      <c r="E1287" t="s">
        <v>2446</v>
      </c>
      <c r="F1287">
        <v>25</v>
      </c>
      <c r="G1287">
        <v>700000</v>
      </c>
      <c r="H1287" t="s">
        <v>8</v>
      </c>
      <c r="I1287">
        <v>0</v>
      </c>
      <c r="J1287">
        <v>0</v>
      </c>
      <c r="K1287">
        <v>0</v>
      </c>
      <c r="L1287">
        <v>0</v>
      </c>
      <c r="M1287">
        <v>0</v>
      </c>
    </row>
    <row r="1288" spans="1:13" ht="15" customHeight="1" x14ac:dyDescent="0.25">
      <c r="A1288" t="s">
        <v>2364</v>
      </c>
      <c r="B1288" t="s">
        <v>135</v>
      </c>
      <c r="C1288" t="s">
        <v>381</v>
      </c>
      <c r="D1288" t="s">
        <v>73</v>
      </c>
      <c r="E1288" t="s">
        <v>2677</v>
      </c>
      <c r="F1288">
        <v>33</v>
      </c>
      <c r="G1288">
        <v>6500000</v>
      </c>
      <c r="H1288">
        <v>6500000</v>
      </c>
      <c r="I1288" t="s">
        <v>7</v>
      </c>
      <c r="J1288">
        <v>0</v>
      </c>
      <c r="K1288">
        <v>0</v>
      </c>
      <c r="L1288">
        <v>0</v>
      </c>
      <c r="M1288">
        <v>0</v>
      </c>
    </row>
    <row r="1289" spans="1:13" ht="15" customHeight="1" x14ac:dyDescent="0.25">
      <c r="A1289" t="s">
        <v>2342</v>
      </c>
      <c r="B1289" t="s">
        <v>34</v>
      </c>
      <c r="C1289">
        <v>0</v>
      </c>
      <c r="D1289" t="s">
        <v>2444</v>
      </c>
      <c r="E1289" t="s">
        <v>2439</v>
      </c>
      <c r="F1289">
        <v>25</v>
      </c>
      <c r="G1289">
        <v>2325000</v>
      </c>
      <c r="H1289" t="s">
        <v>8</v>
      </c>
      <c r="I1289">
        <v>0</v>
      </c>
      <c r="J1289">
        <v>0</v>
      </c>
      <c r="K1289">
        <v>0</v>
      </c>
      <c r="L1289">
        <v>0</v>
      </c>
      <c r="M1289">
        <v>0</v>
      </c>
    </row>
    <row r="1290" spans="1:13" ht="15" customHeight="1" x14ac:dyDescent="0.25">
      <c r="A1290" t="s">
        <v>2134</v>
      </c>
      <c r="B1290" t="s">
        <v>6</v>
      </c>
      <c r="C1290" t="s">
        <v>386</v>
      </c>
      <c r="D1290" t="s">
        <v>73</v>
      </c>
      <c r="E1290" t="s">
        <v>2446</v>
      </c>
      <c r="F1290">
        <v>21</v>
      </c>
      <c r="G1290">
        <v>863333</v>
      </c>
      <c r="H1290">
        <v>863333</v>
      </c>
      <c r="I1290" t="s">
        <v>8</v>
      </c>
      <c r="J1290">
        <v>0</v>
      </c>
      <c r="K1290">
        <v>0</v>
      </c>
      <c r="L1290">
        <v>0</v>
      </c>
      <c r="M1290">
        <v>0</v>
      </c>
    </row>
    <row r="1291" spans="1:13" ht="15" customHeight="1" x14ac:dyDescent="0.25">
      <c r="A1291" t="s">
        <v>2780</v>
      </c>
      <c r="B1291" t="s">
        <v>31</v>
      </c>
      <c r="C1291" t="s">
        <v>372</v>
      </c>
      <c r="D1291" t="s">
        <v>2681</v>
      </c>
      <c r="E1291" t="s">
        <v>2677</v>
      </c>
      <c r="F1291">
        <v>35</v>
      </c>
      <c r="G1291">
        <v>5750000</v>
      </c>
      <c r="H1291">
        <v>5750000</v>
      </c>
      <c r="I1291" t="s">
        <v>7</v>
      </c>
      <c r="J1291">
        <v>0</v>
      </c>
      <c r="K1291">
        <v>0</v>
      </c>
      <c r="L1291">
        <v>0</v>
      </c>
      <c r="M1291">
        <v>0</v>
      </c>
    </row>
    <row r="1292" spans="1:13" ht="15" customHeight="1" x14ac:dyDescent="0.25">
      <c r="A1292" t="s">
        <v>2590</v>
      </c>
      <c r="B1292" t="s">
        <v>9</v>
      </c>
      <c r="C1292" t="s">
        <v>386</v>
      </c>
      <c r="D1292" t="s">
        <v>2448</v>
      </c>
      <c r="E1292" t="s">
        <v>2446</v>
      </c>
      <c r="F1292">
        <v>21</v>
      </c>
      <c r="G1292">
        <v>925000</v>
      </c>
      <c r="H1292">
        <v>925000</v>
      </c>
      <c r="I1292">
        <v>925000</v>
      </c>
      <c r="J1292" t="s">
        <v>8</v>
      </c>
      <c r="K1292">
        <v>0</v>
      </c>
      <c r="L1292">
        <v>0</v>
      </c>
      <c r="M1292">
        <v>0</v>
      </c>
    </row>
    <row r="1293" spans="1:13" ht="15" customHeight="1" x14ac:dyDescent="0.25">
      <c r="A1293" t="s">
        <v>2176</v>
      </c>
      <c r="B1293" t="s">
        <v>63</v>
      </c>
      <c r="C1293" t="s">
        <v>386</v>
      </c>
      <c r="D1293" t="s">
        <v>73</v>
      </c>
      <c r="E1293" t="s">
        <v>2690</v>
      </c>
      <c r="F1293">
        <v>21</v>
      </c>
      <c r="G1293">
        <v>875000</v>
      </c>
      <c r="H1293">
        <v>875000</v>
      </c>
      <c r="I1293" t="s">
        <v>8</v>
      </c>
      <c r="J1293">
        <v>0</v>
      </c>
      <c r="K1293">
        <v>0</v>
      </c>
      <c r="L1293">
        <v>0</v>
      </c>
      <c r="M1293">
        <v>0</v>
      </c>
    </row>
    <row r="1294" spans="1:13" ht="15" customHeight="1" x14ac:dyDescent="0.25">
      <c r="A1294" t="s">
        <v>1677</v>
      </c>
      <c r="B1294" t="s">
        <v>14</v>
      </c>
      <c r="C1294" t="s">
        <v>386</v>
      </c>
      <c r="D1294" t="s">
        <v>2438</v>
      </c>
      <c r="E1294" t="s">
        <v>2446</v>
      </c>
      <c r="F1294">
        <v>22</v>
      </c>
      <c r="G1294">
        <v>925000</v>
      </c>
      <c r="H1294" t="s">
        <v>8</v>
      </c>
      <c r="I1294">
        <v>0</v>
      </c>
      <c r="J1294">
        <v>0</v>
      </c>
      <c r="K1294">
        <v>0</v>
      </c>
      <c r="L1294">
        <v>0</v>
      </c>
      <c r="M1294">
        <v>0</v>
      </c>
    </row>
    <row r="1295" spans="1:13" ht="15" customHeight="1" x14ac:dyDescent="0.25">
      <c r="A1295" t="s">
        <v>2765</v>
      </c>
      <c r="B1295" t="s">
        <v>63</v>
      </c>
      <c r="C1295">
        <v>0</v>
      </c>
      <c r="D1295" t="s">
        <v>73</v>
      </c>
      <c r="E1295" t="s">
        <v>2677</v>
      </c>
      <c r="F1295">
        <v>29</v>
      </c>
      <c r="G1295">
        <v>6500000</v>
      </c>
      <c r="H1295">
        <v>6500000</v>
      </c>
      <c r="I1295" t="s">
        <v>7</v>
      </c>
      <c r="J1295">
        <v>0</v>
      </c>
      <c r="K1295">
        <v>0</v>
      </c>
      <c r="L1295">
        <v>0</v>
      </c>
      <c r="M1295">
        <v>0</v>
      </c>
    </row>
    <row r="1296" spans="1:13" ht="15" customHeight="1" x14ac:dyDescent="0.25">
      <c r="A1296" t="s">
        <v>1413</v>
      </c>
      <c r="B1296" t="s">
        <v>10</v>
      </c>
      <c r="C1296" t="s">
        <v>386</v>
      </c>
      <c r="D1296" t="s">
        <v>82</v>
      </c>
      <c r="E1296" t="s">
        <v>2690</v>
      </c>
      <c r="F1296">
        <v>22</v>
      </c>
      <c r="G1296">
        <v>766670</v>
      </c>
      <c r="H1296" t="s">
        <v>8</v>
      </c>
      <c r="I1296">
        <v>0</v>
      </c>
      <c r="J1296">
        <v>0</v>
      </c>
      <c r="K1296">
        <v>0</v>
      </c>
      <c r="L1296">
        <v>0</v>
      </c>
      <c r="M1296">
        <v>0</v>
      </c>
    </row>
    <row r="1297" spans="1:13" ht="15" customHeight="1" x14ac:dyDescent="0.25">
      <c r="A1297" t="s">
        <v>1567</v>
      </c>
      <c r="B1297" t="s">
        <v>32</v>
      </c>
      <c r="C1297" t="s">
        <v>386</v>
      </c>
      <c r="D1297" t="s">
        <v>73</v>
      </c>
      <c r="E1297" t="s">
        <v>2446</v>
      </c>
      <c r="F1297">
        <v>22</v>
      </c>
      <c r="G1297">
        <v>919166</v>
      </c>
      <c r="H1297" t="s">
        <v>8</v>
      </c>
      <c r="I1297">
        <v>0</v>
      </c>
      <c r="J1297">
        <v>0</v>
      </c>
      <c r="K1297">
        <v>0</v>
      </c>
      <c r="L1297">
        <v>0</v>
      </c>
      <c r="M1297">
        <v>0</v>
      </c>
    </row>
    <row r="1298" spans="1:13" ht="15" customHeight="1" x14ac:dyDescent="0.25">
      <c r="A1298" t="s">
        <v>1859</v>
      </c>
      <c r="B1298" t="s">
        <v>2503</v>
      </c>
      <c r="C1298">
        <v>0</v>
      </c>
      <c r="D1298" t="s">
        <v>2696</v>
      </c>
      <c r="E1298" t="s">
        <v>2677</v>
      </c>
      <c r="F1298">
        <v>25</v>
      </c>
      <c r="G1298">
        <v>1050000</v>
      </c>
      <c r="H1298" t="s">
        <v>8</v>
      </c>
      <c r="I1298">
        <v>0</v>
      </c>
      <c r="J1298">
        <v>0</v>
      </c>
      <c r="K1298">
        <v>0</v>
      </c>
      <c r="L1298">
        <v>0</v>
      </c>
      <c r="M1298">
        <v>0</v>
      </c>
    </row>
    <row r="1299" spans="1:13" ht="15" customHeight="1" x14ac:dyDescent="0.25">
      <c r="A1299" t="s">
        <v>2071</v>
      </c>
      <c r="B1299" t="s">
        <v>31</v>
      </c>
      <c r="C1299">
        <v>0</v>
      </c>
      <c r="D1299" t="s">
        <v>73</v>
      </c>
      <c r="E1299" t="s">
        <v>2690</v>
      </c>
      <c r="F1299">
        <v>23</v>
      </c>
      <c r="G1299">
        <v>700000</v>
      </c>
      <c r="H1299" t="s">
        <v>8</v>
      </c>
      <c r="I1299">
        <v>0</v>
      </c>
      <c r="J1299">
        <v>0</v>
      </c>
      <c r="K1299">
        <v>0</v>
      </c>
      <c r="L1299">
        <v>0</v>
      </c>
      <c r="M1299">
        <v>0</v>
      </c>
    </row>
    <row r="1300" spans="1:13" ht="15" customHeight="1" x14ac:dyDescent="0.25">
      <c r="A1300" t="s">
        <v>1470</v>
      </c>
      <c r="B1300" t="s">
        <v>2531</v>
      </c>
      <c r="C1300" t="s">
        <v>386</v>
      </c>
      <c r="D1300" t="s">
        <v>380</v>
      </c>
      <c r="E1300" t="s">
        <v>2690</v>
      </c>
      <c r="F1300">
        <v>21</v>
      </c>
      <c r="G1300">
        <v>900000</v>
      </c>
      <c r="H1300">
        <v>900000</v>
      </c>
      <c r="I1300" t="s">
        <v>8</v>
      </c>
      <c r="J1300">
        <v>0</v>
      </c>
      <c r="K1300">
        <v>0</v>
      </c>
      <c r="L1300">
        <v>0</v>
      </c>
      <c r="M1300">
        <v>0</v>
      </c>
    </row>
    <row r="1301" spans="1:13" ht="15" customHeight="1" x14ac:dyDescent="0.25">
      <c r="A1301" t="s">
        <v>1809</v>
      </c>
      <c r="B1301" t="s">
        <v>6</v>
      </c>
      <c r="C1301">
        <v>0</v>
      </c>
      <c r="D1301" t="s">
        <v>127</v>
      </c>
      <c r="E1301" t="s">
        <v>2439</v>
      </c>
      <c r="F1301">
        <v>25</v>
      </c>
      <c r="G1301">
        <v>750000</v>
      </c>
      <c r="H1301">
        <v>750000</v>
      </c>
      <c r="I1301" t="s">
        <v>7</v>
      </c>
      <c r="J1301">
        <v>0</v>
      </c>
      <c r="K1301">
        <v>0</v>
      </c>
      <c r="L1301">
        <v>0</v>
      </c>
      <c r="M1301">
        <v>0</v>
      </c>
    </row>
    <row r="1302" spans="1:13" ht="15" customHeight="1" x14ac:dyDescent="0.25">
      <c r="A1302" t="s">
        <v>1514</v>
      </c>
      <c r="B1302" t="s">
        <v>135</v>
      </c>
      <c r="C1302" t="s">
        <v>420</v>
      </c>
      <c r="D1302" t="s">
        <v>88</v>
      </c>
      <c r="E1302" t="s">
        <v>2677</v>
      </c>
      <c r="F1302">
        <v>27</v>
      </c>
      <c r="G1302">
        <v>9500000</v>
      </c>
      <c r="H1302">
        <v>9500000</v>
      </c>
      <c r="I1302">
        <v>9500000</v>
      </c>
      <c r="J1302">
        <v>9500000</v>
      </c>
      <c r="K1302">
        <v>9500000</v>
      </c>
      <c r="L1302">
        <v>9500000</v>
      </c>
      <c r="M1302">
        <v>9500000</v>
      </c>
    </row>
    <row r="1303" spans="1:13" x14ac:dyDescent="0.25">
      <c r="A1303" t="s">
        <v>1722</v>
      </c>
      <c r="B1303" t="s">
        <v>24</v>
      </c>
      <c r="C1303">
        <v>0</v>
      </c>
      <c r="D1303" t="s">
        <v>2445</v>
      </c>
      <c r="E1303" t="s">
        <v>2446</v>
      </c>
      <c r="F1303">
        <v>31</v>
      </c>
      <c r="G1303">
        <v>675000</v>
      </c>
      <c r="H1303" t="s">
        <v>7</v>
      </c>
      <c r="I1303">
        <v>0</v>
      </c>
      <c r="J1303">
        <v>0</v>
      </c>
      <c r="K1303">
        <v>0</v>
      </c>
      <c r="L1303">
        <v>0</v>
      </c>
      <c r="M1303">
        <v>0</v>
      </c>
    </row>
    <row r="1304" spans="1:13" ht="15" customHeight="1" x14ac:dyDescent="0.25">
      <c r="A1304" t="s">
        <v>1558</v>
      </c>
      <c r="B1304" t="s">
        <v>2531</v>
      </c>
      <c r="C1304" t="s">
        <v>381</v>
      </c>
      <c r="D1304" t="s">
        <v>379</v>
      </c>
      <c r="E1304" t="s">
        <v>2677</v>
      </c>
      <c r="F1304">
        <v>33</v>
      </c>
      <c r="G1304">
        <v>5500000</v>
      </c>
      <c r="H1304">
        <v>5500000</v>
      </c>
      <c r="I1304">
        <v>5500000</v>
      </c>
      <c r="J1304" t="s">
        <v>7</v>
      </c>
      <c r="K1304">
        <v>0</v>
      </c>
      <c r="L1304">
        <v>0</v>
      </c>
      <c r="M1304">
        <v>0</v>
      </c>
    </row>
    <row r="1305" spans="1:13" ht="15" customHeight="1" x14ac:dyDescent="0.25">
      <c r="A1305" t="s">
        <v>2278</v>
      </c>
      <c r="B1305" t="s">
        <v>20</v>
      </c>
      <c r="C1305" t="s">
        <v>386</v>
      </c>
      <c r="D1305" t="s">
        <v>2444</v>
      </c>
      <c r="E1305" t="s">
        <v>2446</v>
      </c>
      <c r="F1305">
        <v>22</v>
      </c>
      <c r="G1305">
        <v>925000</v>
      </c>
      <c r="H1305" t="s">
        <v>8</v>
      </c>
      <c r="I1305">
        <v>0</v>
      </c>
      <c r="J1305">
        <v>0</v>
      </c>
      <c r="K1305">
        <v>0</v>
      </c>
      <c r="L1305">
        <v>0</v>
      </c>
      <c r="M1305">
        <v>0</v>
      </c>
    </row>
    <row r="1306" spans="1:13" ht="15" customHeight="1" x14ac:dyDescent="0.25">
      <c r="A1306" t="s">
        <v>2140</v>
      </c>
      <c r="B1306" t="s">
        <v>24</v>
      </c>
      <c r="C1306">
        <v>0</v>
      </c>
      <c r="D1306" t="s">
        <v>73</v>
      </c>
      <c r="E1306" t="s">
        <v>2446</v>
      </c>
      <c r="F1306">
        <v>32</v>
      </c>
      <c r="G1306">
        <v>750000</v>
      </c>
      <c r="H1306" t="s">
        <v>7</v>
      </c>
      <c r="I1306">
        <v>0</v>
      </c>
      <c r="J1306">
        <v>0</v>
      </c>
      <c r="K1306">
        <v>0</v>
      </c>
      <c r="L1306">
        <v>0</v>
      </c>
      <c r="M1306">
        <v>0</v>
      </c>
    </row>
    <row r="1307" spans="1:13" ht="15" customHeight="1" x14ac:dyDescent="0.25">
      <c r="A1307" t="s">
        <v>2158</v>
      </c>
      <c r="B1307" t="s">
        <v>13</v>
      </c>
      <c r="C1307" t="s">
        <v>386</v>
      </c>
      <c r="D1307" t="s">
        <v>73</v>
      </c>
      <c r="E1307" t="s">
        <v>2439</v>
      </c>
      <c r="F1307">
        <v>22</v>
      </c>
      <c r="G1307">
        <v>3338333</v>
      </c>
      <c r="H1307" t="s">
        <v>8</v>
      </c>
      <c r="I1307">
        <v>0</v>
      </c>
      <c r="J1307">
        <v>0</v>
      </c>
      <c r="K1307">
        <v>0</v>
      </c>
      <c r="L1307">
        <v>0</v>
      </c>
      <c r="M1307">
        <v>0</v>
      </c>
    </row>
    <row r="1308" spans="1:13" ht="15" customHeight="1" x14ac:dyDescent="0.25">
      <c r="A1308" t="s">
        <v>1804</v>
      </c>
      <c r="B1308" t="s">
        <v>28</v>
      </c>
      <c r="C1308" t="s">
        <v>386</v>
      </c>
      <c r="D1308" t="s">
        <v>2440</v>
      </c>
      <c r="E1308" t="s">
        <v>2446</v>
      </c>
      <c r="F1308">
        <v>20</v>
      </c>
      <c r="G1308">
        <v>879167</v>
      </c>
      <c r="H1308">
        <v>879167</v>
      </c>
      <c r="I1308">
        <v>879167</v>
      </c>
      <c r="J1308" t="s">
        <v>8</v>
      </c>
      <c r="K1308">
        <v>0</v>
      </c>
      <c r="L1308">
        <v>0</v>
      </c>
      <c r="M1308">
        <v>0</v>
      </c>
    </row>
    <row r="1309" spans="1:13" ht="15" customHeight="1" x14ac:dyDescent="0.25">
      <c r="A1309" t="s">
        <v>2218</v>
      </c>
      <c r="B1309" t="s">
        <v>26</v>
      </c>
      <c r="C1309">
        <v>0</v>
      </c>
      <c r="D1309" t="s">
        <v>2684</v>
      </c>
      <c r="E1309" t="s">
        <v>2677</v>
      </c>
      <c r="F1309">
        <v>26</v>
      </c>
      <c r="G1309">
        <v>3100000</v>
      </c>
      <c r="H1309" t="s">
        <v>8</v>
      </c>
      <c r="I1309">
        <v>0</v>
      </c>
      <c r="J1309">
        <v>0</v>
      </c>
      <c r="K1309">
        <v>0</v>
      </c>
      <c r="L1309">
        <v>0</v>
      </c>
      <c r="M1309">
        <v>0</v>
      </c>
    </row>
    <row r="1310" spans="1:13" ht="15" customHeight="1" x14ac:dyDescent="0.25">
      <c r="A1310" t="s">
        <v>1711</v>
      </c>
      <c r="B1310" t="s">
        <v>24</v>
      </c>
      <c r="C1310" t="s">
        <v>386</v>
      </c>
      <c r="D1310" t="s">
        <v>2438</v>
      </c>
      <c r="E1310" t="s">
        <v>2446</v>
      </c>
      <c r="F1310">
        <v>20</v>
      </c>
      <c r="G1310">
        <v>925000</v>
      </c>
      <c r="H1310">
        <v>925000</v>
      </c>
      <c r="I1310" t="s">
        <v>8</v>
      </c>
      <c r="J1310">
        <v>0</v>
      </c>
      <c r="K1310">
        <v>0</v>
      </c>
      <c r="L1310">
        <v>0</v>
      </c>
      <c r="M1310">
        <v>0</v>
      </c>
    </row>
    <row r="1311" spans="1:13" ht="15" customHeight="1" x14ac:dyDescent="0.25">
      <c r="A1311" t="s">
        <v>1368</v>
      </c>
      <c r="B1311" t="s">
        <v>9</v>
      </c>
      <c r="C1311" t="s">
        <v>386</v>
      </c>
      <c r="D1311" t="s">
        <v>73</v>
      </c>
      <c r="E1311" t="s">
        <v>2446</v>
      </c>
      <c r="F1311">
        <v>20</v>
      </c>
      <c r="G1311">
        <v>863333</v>
      </c>
      <c r="H1311">
        <v>863333</v>
      </c>
      <c r="I1311">
        <v>863333</v>
      </c>
      <c r="J1311" t="s">
        <v>8</v>
      </c>
      <c r="K1311">
        <v>0</v>
      </c>
      <c r="L1311">
        <v>0</v>
      </c>
      <c r="M1311">
        <v>0</v>
      </c>
    </row>
    <row r="1312" spans="1:13" ht="15" customHeight="1" x14ac:dyDescent="0.25">
      <c r="A1312" t="s">
        <v>2619</v>
      </c>
      <c r="B1312" t="s">
        <v>21</v>
      </c>
      <c r="C1312">
        <v>0</v>
      </c>
      <c r="D1312" t="s">
        <v>73</v>
      </c>
      <c r="E1312" t="s">
        <v>2446</v>
      </c>
      <c r="F1312">
        <v>24</v>
      </c>
      <c r="G1312">
        <v>874125</v>
      </c>
      <c r="H1312" t="s">
        <v>8</v>
      </c>
      <c r="I1312">
        <v>0</v>
      </c>
      <c r="J1312">
        <v>0</v>
      </c>
      <c r="K1312">
        <v>0</v>
      </c>
      <c r="L1312">
        <v>0</v>
      </c>
      <c r="M1312">
        <v>0</v>
      </c>
    </row>
    <row r="1313" spans="1:13" ht="15" customHeight="1" x14ac:dyDescent="0.25">
      <c r="A1313" t="s">
        <v>1534</v>
      </c>
      <c r="B1313" t="s">
        <v>27</v>
      </c>
      <c r="C1313" t="s">
        <v>386</v>
      </c>
      <c r="D1313" t="s">
        <v>2438</v>
      </c>
      <c r="E1313" t="s">
        <v>2446</v>
      </c>
      <c r="F1313">
        <v>24</v>
      </c>
      <c r="G1313">
        <v>925000</v>
      </c>
      <c r="H1313" t="s">
        <v>8</v>
      </c>
      <c r="I1313">
        <v>0</v>
      </c>
      <c r="J1313">
        <v>0</v>
      </c>
      <c r="K1313">
        <v>0</v>
      </c>
      <c r="L1313">
        <v>0</v>
      </c>
      <c r="M1313">
        <v>0</v>
      </c>
    </row>
    <row r="1314" spans="1:13" ht="15" customHeight="1" x14ac:dyDescent="0.25">
      <c r="A1314" t="s">
        <v>2383</v>
      </c>
      <c r="B1314" t="s">
        <v>135</v>
      </c>
      <c r="C1314">
        <v>0</v>
      </c>
      <c r="D1314" t="s">
        <v>127</v>
      </c>
      <c r="E1314" t="s">
        <v>2677</v>
      </c>
      <c r="F1314">
        <v>25</v>
      </c>
      <c r="G1314">
        <v>850000</v>
      </c>
      <c r="H1314" t="s">
        <v>8</v>
      </c>
      <c r="I1314">
        <v>0</v>
      </c>
      <c r="J1314">
        <v>0</v>
      </c>
      <c r="K1314">
        <v>0</v>
      </c>
      <c r="L1314">
        <v>0</v>
      </c>
      <c r="M1314">
        <v>0</v>
      </c>
    </row>
    <row r="1315" spans="1:13" ht="15" customHeight="1" x14ac:dyDescent="0.25">
      <c r="A1315" t="s">
        <v>2026</v>
      </c>
      <c r="B1315" t="s">
        <v>24</v>
      </c>
      <c r="C1315">
        <v>0</v>
      </c>
      <c r="D1315" t="s">
        <v>2444</v>
      </c>
      <c r="E1315" t="s">
        <v>2439</v>
      </c>
      <c r="F1315">
        <v>30</v>
      </c>
      <c r="G1315">
        <v>9000000</v>
      </c>
      <c r="H1315">
        <v>9000000</v>
      </c>
      <c r="I1315">
        <v>9000000</v>
      </c>
      <c r="J1315" t="s">
        <v>7</v>
      </c>
      <c r="K1315">
        <v>0</v>
      </c>
      <c r="L1315">
        <v>0</v>
      </c>
      <c r="M1315">
        <v>0</v>
      </c>
    </row>
    <row r="1316" spans="1:13" ht="15" customHeight="1" x14ac:dyDescent="0.25">
      <c r="A1316" t="s">
        <v>2101</v>
      </c>
      <c r="B1316" t="s">
        <v>35</v>
      </c>
      <c r="C1316">
        <v>0</v>
      </c>
      <c r="D1316" t="s">
        <v>2440</v>
      </c>
      <c r="E1316" t="s">
        <v>2446</v>
      </c>
      <c r="F1316">
        <v>25</v>
      </c>
      <c r="G1316">
        <v>700000</v>
      </c>
      <c r="H1316" t="s">
        <v>8</v>
      </c>
      <c r="I1316">
        <v>0</v>
      </c>
      <c r="J1316">
        <v>0</v>
      </c>
      <c r="K1316">
        <v>0</v>
      </c>
      <c r="L1316">
        <v>0</v>
      </c>
      <c r="M1316">
        <v>0</v>
      </c>
    </row>
    <row r="1317" spans="1:13" ht="15" customHeight="1" x14ac:dyDescent="0.25">
      <c r="A1317" t="s">
        <v>2546</v>
      </c>
      <c r="B1317" t="s">
        <v>30</v>
      </c>
      <c r="C1317" t="s">
        <v>386</v>
      </c>
      <c r="D1317" t="s">
        <v>2445</v>
      </c>
      <c r="E1317" t="s">
        <v>2446</v>
      </c>
      <c r="F1317">
        <v>24</v>
      </c>
      <c r="G1317">
        <v>925000</v>
      </c>
      <c r="H1317" t="s">
        <v>8</v>
      </c>
      <c r="I1317">
        <v>0</v>
      </c>
      <c r="J1317">
        <v>0</v>
      </c>
      <c r="K1317">
        <v>0</v>
      </c>
      <c r="L1317">
        <v>0</v>
      </c>
      <c r="M1317">
        <v>0</v>
      </c>
    </row>
    <row r="1318" spans="1:13" ht="15" customHeight="1" x14ac:dyDescent="0.25">
      <c r="A1318" t="s">
        <v>2052</v>
      </c>
      <c r="B1318" t="s">
        <v>31</v>
      </c>
      <c r="C1318">
        <v>0</v>
      </c>
      <c r="D1318" t="s">
        <v>2684</v>
      </c>
      <c r="E1318" t="s">
        <v>2677</v>
      </c>
      <c r="F1318">
        <v>25</v>
      </c>
      <c r="G1318">
        <v>2750000</v>
      </c>
      <c r="H1318">
        <v>2750000</v>
      </c>
      <c r="I1318">
        <v>2750000</v>
      </c>
      <c r="J1318">
        <v>2750000</v>
      </c>
      <c r="K1318" t="s">
        <v>7</v>
      </c>
      <c r="L1318">
        <v>0</v>
      </c>
      <c r="M1318">
        <v>0</v>
      </c>
    </row>
    <row r="1319" spans="1:13" ht="15" customHeight="1" x14ac:dyDescent="0.25">
      <c r="A1319" t="s">
        <v>2312</v>
      </c>
      <c r="B1319" t="s">
        <v>30</v>
      </c>
      <c r="C1319">
        <v>0</v>
      </c>
      <c r="D1319" t="s">
        <v>73</v>
      </c>
      <c r="E1319" t="s">
        <v>2446</v>
      </c>
      <c r="F1319">
        <v>25</v>
      </c>
      <c r="G1319">
        <v>700000</v>
      </c>
      <c r="H1319" t="s">
        <v>8</v>
      </c>
      <c r="I1319">
        <v>0</v>
      </c>
      <c r="J1319">
        <v>0</v>
      </c>
      <c r="K1319">
        <v>0</v>
      </c>
      <c r="L1319">
        <v>0</v>
      </c>
      <c r="M1319">
        <v>0</v>
      </c>
    </row>
    <row r="1320" spans="1:13" ht="15" customHeight="1" x14ac:dyDescent="0.25">
      <c r="A1320" t="s">
        <v>1803</v>
      </c>
      <c r="B1320" t="s">
        <v>28</v>
      </c>
      <c r="C1320" t="s">
        <v>386</v>
      </c>
      <c r="D1320" t="s">
        <v>2438</v>
      </c>
      <c r="E1320" t="s">
        <v>2446</v>
      </c>
      <c r="F1320">
        <v>20</v>
      </c>
      <c r="G1320">
        <v>879167</v>
      </c>
      <c r="H1320">
        <v>879167</v>
      </c>
      <c r="I1320">
        <v>879167</v>
      </c>
      <c r="J1320" t="s">
        <v>8</v>
      </c>
      <c r="K1320">
        <v>0</v>
      </c>
      <c r="L1320">
        <v>0</v>
      </c>
      <c r="M1320">
        <v>0</v>
      </c>
    </row>
    <row r="1321" spans="1:13" ht="15" customHeight="1" x14ac:dyDescent="0.25">
      <c r="A1321" t="s">
        <v>2813</v>
      </c>
      <c r="B1321" t="s">
        <v>21</v>
      </c>
      <c r="C1321" t="s">
        <v>420</v>
      </c>
      <c r="D1321" t="s">
        <v>2445</v>
      </c>
      <c r="E1321" t="s">
        <v>2439</v>
      </c>
      <c r="F1321">
        <v>34</v>
      </c>
      <c r="G1321">
        <v>7538461</v>
      </c>
      <c r="H1321">
        <v>7538461</v>
      </c>
      <c r="I1321">
        <v>7538461</v>
      </c>
      <c r="J1321">
        <v>7538461</v>
      </c>
      <c r="K1321">
        <v>7538461</v>
      </c>
      <c r="L1321">
        <v>7538461</v>
      </c>
      <c r="M1321" t="s">
        <v>7</v>
      </c>
    </row>
    <row r="1322" spans="1:13" ht="15" customHeight="1" x14ac:dyDescent="0.25">
      <c r="A1322" t="s">
        <v>2796</v>
      </c>
      <c r="B1322" t="s">
        <v>34</v>
      </c>
      <c r="C1322" t="s">
        <v>381</v>
      </c>
      <c r="D1322" t="s">
        <v>73</v>
      </c>
      <c r="E1322" t="s">
        <v>2439</v>
      </c>
      <c r="F1322">
        <v>30</v>
      </c>
      <c r="G1322">
        <v>4375000</v>
      </c>
      <c r="H1322">
        <v>4375000</v>
      </c>
      <c r="I1322" t="s">
        <v>7</v>
      </c>
      <c r="J1322">
        <v>0</v>
      </c>
      <c r="K1322">
        <v>0</v>
      </c>
      <c r="L1322">
        <v>0</v>
      </c>
      <c r="M1322">
        <v>0</v>
      </c>
    </row>
    <row r="1323" spans="1:13" ht="15" customHeight="1" x14ac:dyDescent="0.25">
      <c r="A1323" t="s">
        <v>2507</v>
      </c>
      <c r="B1323" t="s">
        <v>2503</v>
      </c>
      <c r="C1323" t="s">
        <v>386</v>
      </c>
      <c r="D1323" t="s">
        <v>88</v>
      </c>
      <c r="E1323" t="s">
        <v>2690</v>
      </c>
      <c r="F1323">
        <v>19</v>
      </c>
      <c r="G1323">
        <v>894167</v>
      </c>
      <c r="H1323">
        <v>894167</v>
      </c>
      <c r="I1323">
        <v>894167</v>
      </c>
      <c r="J1323" t="s">
        <v>8</v>
      </c>
      <c r="K1323">
        <v>0</v>
      </c>
      <c r="L1323">
        <v>0</v>
      </c>
      <c r="M1323">
        <v>0</v>
      </c>
    </row>
    <row r="1324" spans="1:13" ht="15" customHeight="1" x14ac:dyDescent="0.25">
      <c r="A1324" t="s">
        <v>1499</v>
      </c>
      <c r="B1324" t="s">
        <v>22</v>
      </c>
      <c r="C1324" t="s">
        <v>386</v>
      </c>
      <c r="D1324" t="s">
        <v>73</v>
      </c>
      <c r="E1324" t="s">
        <v>2446</v>
      </c>
      <c r="F1324">
        <v>20</v>
      </c>
      <c r="G1324">
        <v>1325833</v>
      </c>
      <c r="H1324">
        <v>1325833</v>
      </c>
      <c r="I1324">
        <v>1325833</v>
      </c>
      <c r="J1324" t="s">
        <v>8</v>
      </c>
      <c r="K1324">
        <v>0</v>
      </c>
      <c r="L1324">
        <v>0</v>
      </c>
      <c r="M1324">
        <v>0</v>
      </c>
    </row>
    <row r="1325" spans="1:13" ht="15" customHeight="1" x14ac:dyDescent="0.25">
      <c r="A1325" t="s">
        <v>1623</v>
      </c>
      <c r="B1325" t="s">
        <v>11</v>
      </c>
      <c r="C1325" t="s">
        <v>386</v>
      </c>
      <c r="D1325" t="s">
        <v>2442</v>
      </c>
      <c r="E1325" t="s">
        <v>2439</v>
      </c>
      <c r="F1325">
        <v>19</v>
      </c>
      <c r="G1325">
        <v>3575000</v>
      </c>
      <c r="H1325">
        <v>3575000</v>
      </c>
      <c r="I1325" t="s">
        <v>8</v>
      </c>
      <c r="J1325">
        <v>0</v>
      </c>
      <c r="K1325">
        <v>0</v>
      </c>
      <c r="L1325">
        <v>0</v>
      </c>
      <c r="M1325">
        <v>0</v>
      </c>
    </row>
    <row r="1326" spans="1:13" ht="15" customHeight="1" x14ac:dyDescent="0.25">
      <c r="A1326" t="s">
        <v>1442</v>
      </c>
      <c r="B1326" t="s">
        <v>17</v>
      </c>
      <c r="C1326" t="s">
        <v>403</v>
      </c>
      <c r="D1326" t="s">
        <v>2440</v>
      </c>
      <c r="E1326" t="s">
        <v>2439</v>
      </c>
      <c r="F1326">
        <v>22</v>
      </c>
      <c r="G1326">
        <v>1075833</v>
      </c>
      <c r="H1326" t="s">
        <v>8</v>
      </c>
      <c r="I1326">
        <v>0</v>
      </c>
      <c r="J1326">
        <v>0</v>
      </c>
      <c r="K1326">
        <v>0</v>
      </c>
      <c r="L1326">
        <v>0</v>
      </c>
      <c r="M1326">
        <v>0</v>
      </c>
    </row>
    <row r="1327" spans="1:13" ht="15" customHeight="1" x14ac:dyDescent="0.25">
      <c r="A1327" t="s">
        <v>1381</v>
      </c>
      <c r="B1327" t="s">
        <v>27</v>
      </c>
      <c r="C1327">
        <v>0</v>
      </c>
      <c r="D1327" t="s">
        <v>2438</v>
      </c>
      <c r="E1327" t="s">
        <v>2446</v>
      </c>
      <c r="F1327">
        <v>28</v>
      </c>
      <c r="G1327">
        <v>800000</v>
      </c>
      <c r="H1327" t="s">
        <v>7</v>
      </c>
      <c r="I1327">
        <v>0</v>
      </c>
      <c r="J1327">
        <v>0</v>
      </c>
      <c r="K1327">
        <v>0</v>
      </c>
      <c r="L1327">
        <v>0</v>
      </c>
      <c r="M1327">
        <v>0</v>
      </c>
    </row>
    <row r="1328" spans="1:13" ht="15" customHeight="1" x14ac:dyDescent="0.25">
      <c r="A1328" t="s">
        <v>2229</v>
      </c>
      <c r="B1328" t="s">
        <v>12</v>
      </c>
      <c r="C1328">
        <v>0</v>
      </c>
      <c r="D1328" t="s">
        <v>127</v>
      </c>
      <c r="E1328" t="s">
        <v>2439</v>
      </c>
      <c r="F1328">
        <v>32</v>
      </c>
      <c r="G1328">
        <v>2750000</v>
      </c>
      <c r="H1328" t="s">
        <v>7</v>
      </c>
      <c r="I1328">
        <v>0</v>
      </c>
      <c r="J1328">
        <v>0</v>
      </c>
      <c r="K1328">
        <v>0</v>
      </c>
      <c r="L1328">
        <v>0</v>
      </c>
      <c r="M1328">
        <v>0</v>
      </c>
    </row>
    <row r="1329" spans="1:13" ht="15" customHeight="1" x14ac:dyDescent="0.25">
      <c r="A1329" t="s">
        <v>2085</v>
      </c>
      <c r="B1329" t="s">
        <v>29</v>
      </c>
      <c r="C1329" t="s">
        <v>381</v>
      </c>
      <c r="D1329" t="s">
        <v>2680</v>
      </c>
      <c r="E1329" t="s">
        <v>2677</v>
      </c>
      <c r="F1329">
        <v>27</v>
      </c>
      <c r="G1329">
        <v>3500000</v>
      </c>
      <c r="H1329">
        <v>3500000</v>
      </c>
      <c r="I1329">
        <v>3500000</v>
      </c>
      <c r="J1329">
        <v>3500000</v>
      </c>
      <c r="K1329">
        <v>3500000</v>
      </c>
      <c r="L1329">
        <v>3500000</v>
      </c>
      <c r="M1329" t="s">
        <v>7</v>
      </c>
    </row>
    <row r="1330" spans="1:13" ht="15" customHeight="1" x14ac:dyDescent="0.25">
      <c r="A1330" t="s">
        <v>2798</v>
      </c>
      <c r="B1330" t="s">
        <v>34</v>
      </c>
      <c r="C1330" t="s">
        <v>381</v>
      </c>
      <c r="D1330" t="s">
        <v>2444</v>
      </c>
      <c r="E1330" t="s">
        <v>2439</v>
      </c>
      <c r="F1330">
        <v>29</v>
      </c>
      <c r="G1330">
        <v>4450000</v>
      </c>
      <c r="H1330" t="s">
        <v>7</v>
      </c>
      <c r="I1330">
        <v>0</v>
      </c>
      <c r="J1330">
        <v>0</v>
      </c>
      <c r="K1330">
        <v>0</v>
      </c>
      <c r="L1330">
        <v>0</v>
      </c>
      <c r="M1330">
        <v>0</v>
      </c>
    </row>
    <row r="1331" spans="1:13" ht="15" customHeight="1" x14ac:dyDescent="0.25">
      <c r="A1331" t="s">
        <v>2779</v>
      </c>
      <c r="B1331" t="s">
        <v>31</v>
      </c>
      <c r="C1331" t="s">
        <v>372</v>
      </c>
      <c r="D1331" t="s">
        <v>88</v>
      </c>
      <c r="E1331" t="s">
        <v>2677</v>
      </c>
      <c r="F1331">
        <v>27</v>
      </c>
      <c r="G1331">
        <v>7500000</v>
      </c>
      <c r="H1331">
        <v>7500000</v>
      </c>
      <c r="I1331">
        <v>7500000</v>
      </c>
      <c r="J1331">
        <v>7500000</v>
      </c>
      <c r="K1331" t="s">
        <v>7</v>
      </c>
      <c r="L1331">
        <v>0</v>
      </c>
      <c r="M1331">
        <v>0</v>
      </c>
    </row>
    <row r="1332" spans="1:13" ht="15" customHeight="1" x14ac:dyDescent="0.25">
      <c r="A1332" t="s">
        <v>2644</v>
      </c>
      <c r="B1332" t="s">
        <v>14</v>
      </c>
      <c r="C1332" t="s">
        <v>386</v>
      </c>
      <c r="D1332" t="s">
        <v>127</v>
      </c>
      <c r="E1332" t="s">
        <v>2446</v>
      </c>
      <c r="F1332">
        <v>20</v>
      </c>
      <c r="G1332">
        <v>925000</v>
      </c>
      <c r="H1332">
        <v>925000</v>
      </c>
      <c r="I1332">
        <v>925000</v>
      </c>
      <c r="J1332" t="s">
        <v>8</v>
      </c>
      <c r="K1332">
        <v>0</v>
      </c>
      <c r="L1332">
        <v>0</v>
      </c>
      <c r="M1332">
        <v>0</v>
      </c>
    </row>
    <row r="1333" spans="1:13" ht="15" customHeight="1" x14ac:dyDescent="0.25">
      <c r="A1333" t="s">
        <v>1480</v>
      </c>
      <c r="B1333" t="s">
        <v>22</v>
      </c>
      <c r="C1333" t="s">
        <v>2504</v>
      </c>
      <c r="D1333" t="s">
        <v>2442</v>
      </c>
      <c r="E1333" t="s">
        <v>2439</v>
      </c>
      <c r="F1333">
        <v>28</v>
      </c>
      <c r="G1333">
        <v>4800000</v>
      </c>
      <c r="H1333">
        <v>4800000</v>
      </c>
      <c r="I1333" t="s">
        <v>7</v>
      </c>
      <c r="J1333">
        <v>0</v>
      </c>
      <c r="K1333">
        <v>0</v>
      </c>
      <c r="L1333">
        <v>0</v>
      </c>
      <c r="M1333">
        <v>0</v>
      </c>
    </row>
    <row r="1334" spans="1:13" ht="15" customHeight="1" x14ac:dyDescent="0.25">
      <c r="A1334" t="s">
        <v>2759</v>
      </c>
      <c r="B1334" t="s">
        <v>33</v>
      </c>
      <c r="C1334" t="s">
        <v>420</v>
      </c>
      <c r="D1334" t="s">
        <v>73</v>
      </c>
      <c r="E1334" t="s">
        <v>2677</v>
      </c>
      <c r="F1334">
        <v>28</v>
      </c>
      <c r="G1334">
        <v>11000000</v>
      </c>
      <c r="H1334">
        <v>11000000</v>
      </c>
      <c r="I1334">
        <v>11000000</v>
      </c>
      <c r="J1334">
        <v>11000000</v>
      </c>
      <c r="K1334">
        <v>11000000</v>
      </c>
      <c r="L1334">
        <v>11000000</v>
      </c>
      <c r="M1334" t="s">
        <v>7</v>
      </c>
    </row>
    <row r="1335" spans="1:13" ht="15" customHeight="1" x14ac:dyDescent="0.25">
      <c r="A1335" t="s">
        <v>2869</v>
      </c>
      <c r="B1335" t="s">
        <v>22</v>
      </c>
      <c r="C1335" t="s">
        <v>386</v>
      </c>
      <c r="D1335" t="s">
        <v>73</v>
      </c>
      <c r="E1335" t="s">
        <v>2446</v>
      </c>
      <c r="F1335">
        <v>20</v>
      </c>
      <c r="G1335">
        <v>786667</v>
      </c>
      <c r="H1335">
        <v>786667</v>
      </c>
      <c r="I1335">
        <v>786667</v>
      </c>
      <c r="J1335" t="s">
        <v>8</v>
      </c>
      <c r="K1335">
        <v>0</v>
      </c>
      <c r="L1335">
        <v>0</v>
      </c>
      <c r="M1335">
        <v>0</v>
      </c>
    </row>
    <row r="1336" spans="1:13" ht="15" customHeight="1" x14ac:dyDescent="0.25">
      <c r="A1336" t="s">
        <v>1418</v>
      </c>
      <c r="B1336" t="s">
        <v>24</v>
      </c>
      <c r="C1336">
        <v>0</v>
      </c>
      <c r="D1336" t="s">
        <v>2444</v>
      </c>
      <c r="E1336" t="s">
        <v>2446</v>
      </c>
      <c r="F1336">
        <v>29</v>
      </c>
      <c r="G1336">
        <v>700000</v>
      </c>
      <c r="H1336">
        <v>700000</v>
      </c>
      <c r="I1336" t="s">
        <v>7</v>
      </c>
      <c r="J1336">
        <v>0</v>
      </c>
      <c r="K1336">
        <v>0</v>
      </c>
      <c r="L1336">
        <v>0</v>
      </c>
      <c r="M1336">
        <v>0</v>
      </c>
    </row>
    <row r="1337" spans="1:13" ht="15" customHeight="1" x14ac:dyDescent="0.25">
      <c r="A1337" t="s">
        <v>2885</v>
      </c>
      <c r="B1337" t="s">
        <v>11</v>
      </c>
      <c r="C1337">
        <v>0</v>
      </c>
      <c r="D1337" t="s">
        <v>2441</v>
      </c>
      <c r="E1337" t="s">
        <v>2439</v>
      </c>
      <c r="F1337">
        <v>24</v>
      </c>
      <c r="G1337">
        <v>5400000</v>
      </c>
      <c r="H1337">
        <v>5400000</v>
      </c>
      <c r="I1337">
        <v>5400000</v>
      </c>
      <c r="J1337">
        <v>5400000</v>
      </c>
      <c r="K1337">
        <v>5400000</v>
      </c>
      <c r="L1337" t="s">
        <v>7</v>
      </c>
      <c r="M1337">
        <v>0</v>
      </c>
    </row>
    <row r="1338" spans="1:13" ht="15" customHeight="1" x14ac:dyDescent="0.25">
      <c r="A1338" t="s">
        <v>1449</v>
      </c>
      <c r="B1338" t="s">
        <v>17</v>
      </c>
      <c r="C1338">
        <v>0</v>
      </c>
      <c r="D1338" t="s">
        <v>2442</v>
      </c>
      <c r="E1338" t="s">
        <v>2446</v>
      </c>
      <c r="F1338">
        <v>30</v>
      </c>
      <c r="G1338">
        <v>675000</v>
      </c>
      <c r="H1338" t="s">
        <v>7</v>
      </c>
      <c r="I1338">
        <v>0</v>
      </c>
      <c r="J1338">
        <v>0</v>
      </c>
      <c r="K1338">
        <v>0</v>
      </c>
      <c r="L1338">
        <v>0</v>
      </c>
      <c r="M1338">
        <v>0</v>
      </c>
    </row>
    <row r="1339" spans="1:13" x14ac:dyDescent="0.25">
      <c r="A1339" t="s">
        <v>2131</v>
      </c>
      <c r="B1339" t="s">
        <v>6</v>
      </c>
      <c r="C1339" t="s">
        <v>386</v>
      </c>
      <c r="D1339" t="s">
        <v>2448</v>
      </c>
      <c r="E1339" t="s">
        <v>2439</v>
      </c>
      <c r="F1339">
        <v>21</v>
      </c>
      <c r="G1339">
        <v>1491667</v>
      </c>
      <c r="H1339" t="s">
        <v>8</v>
      </c>
      <c r="I1339">
        <v>0</v>
      </c>
      <c r="J1339">
        <v>0</v>
      </c>
      <c r="K1339">
        <v>0</v>
      </c>
      <c r="L1339">
        <v>0</v>
      </c>
      <c r="M1339">
        <v>0</v>
      </c>
    </row>
    <row r="1340" spans="1:13" ht="15" customHeight="1" x14ac:dyDescent="0.25">
      <c r="A1340" t="s">
        <v>2551</v>
      </c>
      <c r="B1340" t="s">
        <v>34</v>
      </c>
      <c r="C1340">
        <v>0</v>
      </c>
      <c r="D1340" t="s">
        <v>2445</v>
      </c>
      <c r="E1340" t="s">
        <v>2446</v>
      </c>
      <c r="F1340">
        <v>24</v>
      </c>
      <c r="G1340">
        <v>700000</v>
      </c>
      <c r="H1340">
        <v>700000</v>
      </c>
      <c r="I1340" t="s">
        <v>8</v>
      </c>
      <c r="J1340">
        <v>0</v>
      </c>
      <c r="K1340">
        <v>0</v>
      </c>
      <c r="L1340">
        <v>0</v>
      </c>
      <c r="M1340">
        <v>0</v>
      </c>
    </row>
    <row r="1341" spans="1:13" ht="15" customHeight="1" x14ac:dyDescent="0.25">
      <c r="A1341" t="s">
        <v>1674</v>
      </c>
      <c r="B1341" t="s">
        <v>14</v>
      </c>
      <c r="C1341" t="s">
        <v>386</v>
      </c>
      <c r="D1341" t="s">
        <v>73</v>
      </c>
      <c r="E1341" t="s">
        <v>2446</v>
      </c>
      <c r="F1341">
        <v>19</v>
      </c>
      <c r="G1341">
        <v>925000</v>
      </c>
      <c r="H1341">
        <v>925000</v>
      </c>
      <c r="I1341" t="s">
        <v>8</v>
      </c>
      <c r="J1341">
        <v>0</v>
      </c>
      <c r="K1341">
        <v>0</v>
      </c>
      <c r="L1341">
        <v>0</v>
      </c>
      <c r="M1341">
        <v>0</v>
      </c>
    </row>
    <row r="1342" spans="1:13" ht="15" customHeight="1" x14ac:dyDescent="0.25">
      <c r="A1342" t="s">
        <v>2382</v>
      </c>
      <c r="B1342" t="s">
        <v>135</v>
      </c>
      <c r="C1342">
        <v>0</v>
      </c>
      <c r="D1342" t="s">
        <v>380</v>
      </c>
      <c r="E1342" t="s">
        <v>2677</v>
      </c>
      <c r="F1342">
        <v>24</v>
      </c>
      <c r="G1342">
        <v>5200000</v>
      </c>
      <c r="H1342">
        <v>5200000</v>
      </c>
      <c r="I1342">
        <v>5200000</v>
      </c>
      <c r="J1342">
        <v>5200000</v>
      </c>
      <c r="K1342">
        <v>5200000</v>
      </c>
      <c r="L1342">
        <v>5200000</v>
      </c>
      <c r="M1342" t="s">
        <v>7</v>
      </c>
    </row>
    <row r="1343" spans="1:13" ht="15" customHeight="1" x14ac:dyDescent="0.25">
      <c r="A1343" t="s">
        <v>2624</v>
      </c>
      <c r="B1343" t="s">
        <v>20</v>
      </c>
      <c r="C1343" t="s">
        <v>388</v>
      </c>
      <c r="D1343" t="s">
        <v>73</v>
      </c>
      <c r="E1343" t="s">
        <v>389</v>
      </c>
      <c r="F1343">
        <v>19</v>
      </c>
      <c r="G1343">
        <v>925000</v>
      </c>
      <c r="H1343">
        <v>925000</v>
      </c>
      <c r="I1343">
        <v>925000</v>
      </c>
      <c r="J1343" t="s">
        <v>8</v>
      </c>
      <c r="K1343">
        <v>0</v>
      </c>
      <c r="L1343">
        <v>0</v>
      </c>
      <c r="M1343">
        <v>0</v>
      </c>
    </row>
    <row r="1344" spans="1:13" ht="15" customHeight="1" x14ac:dyDescent="0.25">
      <c r="A1344" t="s">
        <v>1581</v>
      </c>
      <c r="B1344" t="s">
        <v>32</v>
      </c>
      <c r="C1344">
        <v>0</v>
      </c>
      <c r="D1344" t="s">
        <v>82</v>
      </c>
      <c r="E1344" t="s">
        <v>2446</v>
      </c>
      <c r="F1344">
        <v>23</v>
      </c>
      <c r="G1344">
        <v>700000</v>
      </c>
      <c r="H1344" t="s">
        <v>8</v>
      </c>
      <c r="I1344">
        <v>0</v>
      </c>
      <c r="J1344">
        <v>0</v>
      </c>
      <c r="K1344">
        <v>0</v>
      </c>
      <c r="L1344">
        <v>0</v>
      </c>
      <c r="M1344">
        <v>0</v>
      </c>
    </row>
    <row r="1345" spans="1:13" ht="15" customHeight="1" x14ac:dyDescent="0.25">
      <c r="A1345" t="s">
        <v>2067</v>
      </c>
      <c r="B1345" t="s">
        <v>31</v>
      </c>
      <c r="C1345" t="s">
        <v>386</v>
      </c>
      <c r="D1345" t="s">
        <v>2678</v>
      </c>
      <c r="E1345" t="s">
        <v>2677</v>
      </c>
      <c r="F1345">
        <v>20</v>
      </c>
      <c r="G1345">
        <v>1177500</v>
      </c>
      <c r="H1345">
        <v>1177500</v>
      </c>
      <c r="I1345" t="s">
        <v>8</v>
      </c>
      <c r="J1345">
        <v>0</v>
      </c>
      <c r="K1345">
        <v>0</v>
      </c>
      <c r="L1345">
        <v>0</v>
      </c>
      <c r="M1345">
        <v>0</v>
      </c>
    </row>
    <row r="1346" spans="1:13" ht="15" customHeight="1" x14ac:dyDescent="0.25">
      <c r="A1346" t="s">
        <v>2258</v>
      </c>
      <c r="B1346" t="s">
        <v>22</v>
      </c>
      <c r="C1346">
        <v>0</v>
      </c>
      <c r="D1346" t="s">
        <v>73</v>
      </c>
      <c r="E1346" t="s">
        <v>2439</v>
      </c>
      <c r="F1346">
        <v>34</v>
      </c>
      <c r="G1346">
        <v>1000000</v>
      </c>
      <c r="H1346" t="s">
        <v>7</v>
      </c>
      <c r="I1346">
        <v>0</v>
      </c>
      <c r="J1346">
        <v>0</v>
      </c>
      <c r="K1346">
        <v>0</v>
      </c>
      <c r="L1346">
        <v>0</v>
      </c>
      <c r="M1346">
        <v>0</v>
      </c>
    </row>
    <row r="1347" spans="1:13" ht="15" customHeight="1" x14ac:dyDescent="0.25">
      <c r="A1347" t="s">
        <v>1476</v>
      </c>
      <c r="B1347" t="s">
        <v>2531</v>
      </c>
      <c r="C1347">
        <v>0</v>
      </c>
      <c r="D1347" t="s">
        <v>88</v>
      </c>
      <c r="E1347" t="s">
        <v>2690</v>
      </c>
      <c r="F1347">
        <v>30</v>
      </c>
      <c r="G1347">
        <v>675000</v>
      </c>
      <c r="H1347" t="s">
        <v>7</v>
      </c>
      <c r="I1347">
        <v>0</v>
      </c>
      <c r="J1347">
        <v>0</v>
      </c>
      <c r="K1347">
        <v>0</v>
      </c>
      <c r="L1347">
        <v>0</v>
      </c>
      <c r="M1347">
        <v>0</v>
      </c>
    </row>
    <row r="1348" spans="1:13" ht="15" customHeight="1" x14ac:dyDescent="0.25">
      <c r="A1348" t="s">
        <v>1389</v>
      </c>
      <c r="B1348" t="s">
        <v>10</v>
      </c>
      <c r="C1348" t="s">
        <v>386</v>
      </c>
      <c r="D1348" t="s">
        <v>2684</v>
      </c>
      <c r="E1348" t="s">
        <v>2690</v>
      </c>
      <c r="F1348">
        <v>21</v>
      </c>
      <c r="G1348">
        <v>1137500</v>
      </c>
      <c r="H1348" t="s">
        <v>8</v>
      </c>
      <c r="I1348">
        <v>0</v>
      </c>
      <c r="J1348">
        <v>0</v>
      </c>
      <c r="K1348">
        <v>0</v>
      </c>
      <c r="L1348">
        <v>0</v>
      </c>
      <c r="M1348">
        <v>0</v>
      </c>
    </row>
    <row r="1349" spans="1:13" ht="15" customHeight="1" x14ac:dyDescent="0.25">
      <c r="A1349" t="s">
        <v>2755</v>
      </c>
      <c r="B1349" t="s">
        <v>27</v>
      </c>
      <c r="C1349" t="s">
        <v>386</v>
      </c>
      <c r="D1349" t="s">
        <v>2444</v>
      </c>
      <c r="E1349" t="s">
        <v>2446</v>
      </c>
      <c r="F1349">
        <v>18</v>
      </c>
      <c r="G1349">
        <v>1350000</v>
      </c>
      <c r="H1349">
        <v>1350000</v>
      </c>
      <c r="I1349">
        <v>1350000</v>
      </c>
      <c r="J1349" t="s">
        <v>8</v>
      </c>
      <c r="K1349">
        <v>0</v>
      </c>
      <c r="L1349">
        <v>0</v>
      </c>
      <c r="M1349">
        <v>0</v>
      </c>
    </row>
    <row r="1350" spans="1:13" ht="15" customHeight="1" x14ac:dyDescent="0.25">
      <c r="A1350" t="s">
        <v>1686</v>
      </c>
      <c r="B1350" t="s">
        <v>14</v>
      </c>
      <c r="C1350" t="s">
        <v>386</v>
      </c>
      <c r="D1350" t="s">
        <v>2452</v>
      </c>
      <c r="E1350" t="s">
        <v>2446</v>
      </c>
      <c r="F1350">
        <v>22</v>
      </c>
      <c r="G1350">
        <v>714444</v>
      </c>
      <c r="H1350" t="s">
        <v>8</v>
      </c>
      <c r="I1350">
        <v>0</v>
      </c>
      <c r="J1350">
        <v>0</v>
      </c>
      <c r="K1350">
        <v>0</v>
      </c>
      <c r="L1350">
        <v>0</v>
      </c>
      <c r="M1350">
        <v>0</v>
      </c>
    </row>
    <row r="1351" spans="1:13" ht="15" customHeight="1" x14ac:dyDescent="0.25">
      <c r="A1351" t="s">
        <v>1521</v>
      </c>
      <c r="B1351" t="s">
        <v>27</v>
      </c>
      <c r="C1351">
        <v>0</v>
      </c>
      <c r="D1351" t="s">
        <v>73</v>
      </c>
      <c r="E1351" t="s">
        <v>2439</v>
      </c>
      <c r="F1351">
        <v>25</v>
      </c>
      <c r="G1351">
        <v>2937500</v>
      </c>
      <c r="H1351" t="s">
        <v>8</v>
      </c>
      <c r="I1351">
        <v>0</v>
      </c>
      <c r="J1351">
        <v>0</v>
      </c>
      <c r="K1351">
        <v>0</v>
      </c>
      <c r="L1351">
        <v>0</v>
      </c>
      <c r="M1351">
        <v>0</v>
      </c>
    </row>
    <row r="1352" spans="1:13" ht="15" customHeight="1" x14ac:dyDescent="0.25">
      <c r="A1352" t="s">
        <v>1617</v>
      </c>
      <c r="B1352" t="s">
        <v>33</v>
      </c>
      <c r="C1352" t="s">
        <v>403</v>
      </c>
      <c r="D1352" t="s">
        <v>93</v>
      </c>
      <c r="E1352" t="s">
        <v>2690</v>
      </c>
      <c r="F1352">
        <v>22</v>
      </c>
      <c r="G1352">
        <v>836111</v>
      </c>
      <c r="H1352" t="s">
        <v>8</v>
      </c>
      <c r="I1352">
        <v>0</v>
      </c>
      <c r="J1352">
        <v>0</v>
      </c>
      <c r="K1352">
        <v>0</v>
      </c>
      <c r="L1352">
        <v>0</v>
      </c>
      <c r="M1352">
        <v>0</v>
      </c>
    </row>
    <row r="1353" spans="1:13" ht="15" customHeight="1" x14ac:dyDescent="0.25">
      <c r="A1353" t="s">
        <v>1933</v>
      </c>
      <c r="B1353" t="s">
        <v>15</v>
      </c>
      <c r="C1353" t="s">
        <v>386</v>
      </c>
      <c r="D1353" t="s">
        <v>2444</v>
      </c>
      <c r="E1353" t="s">
        <v>2446</v>
      </c>
      <c r="F1353">
        <v>20</v>
      </c>
      <c r="G1353">
        <v>925000</v>
      </c>
      <c r="H1353">
        <v>925000</v>
      </c>
      <c r="I1353" t="s">
        <v>8</v>
      </c>
      <c r="J1353">
        <v>0</v>
      </c>
      <c r="K1353">
        <v>0</v>
      </c>
      <c r="L1353">
        <v>0</v>
      </c>
      <c r="M1353">
        <v>0</v>
      </c>
    </row>
    <row r="1354" spans="1:13" ht="15" customHeight="1" x14ac:dyDescent="0.25">
      <c r="A1354" t="s">
        <v>2044</v>
      </c>
      <c r="B1354" t="s">
        <v>23</v>
      </c>
      <c r="C1354">
        <v>0</v>
      </c>
      <c r="D1354" t="s">
        <v>380</v>
      </c>
      <c r="E1354" t="s">
        <v>2690</v>
      </c>
      <c r="F1354">
        <v>27</v>
      </c>
      <c r="G1354">
        <v>700000</v>
      </c>
      <c r="H1354">
        <v>700000</v>
      </c>
      <c r="I1354" t="s">
        <v>7</v>
      </c>
      <c r="J1354">
        <v>0</v>
      </c>
      <c r="K1354">
        <v>0</v>
      </c>
      <c r="L1354">
        <v>0</v>
      </c>
      <c r="M1354">
        <v>0</v>
      </c>
    </row>
    <row r="1355" spans="1:13" ht="15" customHeight="1" x14ac:dyDescent="0.25">
      <c r="A1355" t="s">
        <v>1467</v>
      </c>
      <c r="B1355" t="s">
        <v>2531</v>
      </c>
      <c r="C1355" t="s">
        <v>386</v>
      </c>
      <c r="D1355" t="s">
        <v>88</v>
      </c>
      <c r="E1355" t="s">
        <v>2690</v>
      </c>
      <c r="F1355">
        <v>20</v>
      </c>
      <c r="G1355">
        <v>1596667</v>
      </c>
      <c r="H1355">
        <v>1596667</v>
      </c>
      <c r="I1355">
        <v>1596667</v>
      </c>
      <c r="J1355" t="s">
        <v>8</v>
      </c>
      <c r="K1355">
        <v>0</v>
      </c>
      <c r="L1355">
        <v>0</v>
      </c>
      <c r="M1355">
        <v>0</v>
      </c>
    </row>
    <row r="1356" spans="1:13" ht="15" customHeight="1" x14ac:dyDescent="0.25">
      <c r="A1356" t="s">
        <v>1531</v>
      </c>
      <c r="B1356" t="s">
        <v>27</v>
      </c>
      <c r="C1356" t="s">
        <v>386</v>
      </c>
      <c r="D1356" t="s">
        <v>2450</v>
      </c>
      <c r="E1356" t="s">
        <v>2439</v>
      </c>
      <c r="F1356">
        <v>19</v>
      </c>
      <c r="G1356">
        <v>3425000</v>
      </c>
      <c r="H1356">
        <v>3425000</v>
      </c>
      <c r="I1356" t="s">
        <v>8</v>
      </c>
      <c r="J1356">
        <v>0</v>
      </c>
      <c r="K1356">
        <v>0</v>
      </c>
      <c r="L1356">
        <v>0</v>
      </c>
      <c r="M1356">
        <v>0</v>
      </c>
    </row>
    <row r="1357" spans="1:13" ht="15" customHeight="1" x14ac:dyDescent="0.25">
      <c r="A1357" t="s">
        <v>2803</v>
      </c>
      <c r="B1357" t="s">
        <v>12</v>
      </c>
      <c r="C1357">
        <v>0</v>
      </c>
      <c r="D1357" t="s">
        <v>2440</v>
      </c>
      <c r="E1357" t="s">
        <v>2439</v>
      </c>
      <c r="F1357">
        <v>21</v>
      </c>
      <c r="G1357" t="s">
        <v>8</v>
      </c>
      <c r="H1357">
        <v>0</v>
      </c>
      <c r="I1357">
        <v>0</v>
      </c>
      <c r="J1357">
        <v>0</v>
      </c>
      <c r="K1357">
        <v>0</v>
      </c>
      <c r="L1357">
        <v>0</v>
      </c>
      <c r="M1357">
        <v>0</v>
      </c>
    </row>
    <row r="1358" spans="1:13" ht="15" customHeight="1" x14ac:dyDescent="0.25">
      <c r="A1358" t="s">
        <v>1750</v>
      </c>
      <c r="B1358" t="s">
        <v>25</v>
      </c>
      <c r="C1358">
        <v>0</v>
      </c>
      <c r="D1358" t="s">
        <v>2445</v>
      </c>
      <c r="E1358" t="s">
        <v>2439</v>
      </c>
      <c r="F1358">
        <v>25</v>
      </c>
      <c r="G1358">
        <v>700000</v>
      </c>
      <c r="H1358" t="s">
        <v>8</v>
      </c>
      <c r="I1358">
        <v>0</v>
      </c>
      <c r="J1358">
        <v>0</v>
      </c>
      <c r="K1358">
        <v>0</v>
      </c>
      <c r="L1358">
        <v>0</v>
      </c>
      <c r="M1358">
        <v>0</v>
      </c>
    </row>
    <row r="1359" spans="1:13" ht="15" customHeight="1" x14ac:dyDescent="0.25">
      <c r="A1359" t="s">
        <v>2833</v>
      </c>
      <c r="B1359" t="s">
        <v>13</v>
      </c>
      <c r="C1359" t="s">
        <v>420</v>
      </c>
      <c r="D1359" t="s">
        <v>73</v>
      </c>
      <c r="E1359" t="s">
        <v>2439</v>
      </c>
      <c r="F1359">
        <v>31</v>
      </c>
      <c r="G1359">
        <v>10500000</v>
      </c>
      <c r="H1359">
        <v>10500000</v>
      </c>
      <c r="I1359">
        <v>10500000</v>
      </c>
      <c r="J1359">
        <v>10500000</v>
      </c>
      <c r="K1359" t="s">
        <v>7</v>
      </c>
      <c r="L1359">
        <v>0</v>
      </c>
      <c r="M1359">
        <v>0</v>
      </c>
    </row>
    <row r="1360" spans="1:13" ht="15" customHeight="1" x14ac:dyDescent="0.25">
      <c r="A1360" t="s">
        <v>2255</v>
      </c>
      <c r="B1360" t="s">
        <v>20</v>
      </c>
      <c r="C1360">
        <v>0</v>
      </c>
      <c r="D1360" t="s">
        <v>2441</v>
      </c>
      <c r="E1360" t="s">
        <v>2439</v>
      </c>
      <c r="F1360">
        <v>27</v>
      </c>
      <c r="G1360">
        <v>4600000</v>
      </c>
      <c r="H1360" t="s">
        <v>7</v>
      </c>
      <c r="I1360">
        <v>0</v>
      </c>
      <c r="J1360">
        <v>0</v>
      </c>
      <c r="K1360">
        <v>0</v>
      </c>
      <c r="L1360">
        <v>0</v>
      </c>
      <c r="M1360">
        <v>0</v>
      </c>
    </row>
    <row r="1361" spans="1:13" ht="15" customHeight="1" x14ac:dyDescent="0.25">
      <c r="A1361" t="s">
        <v>2022</v>
      </c>
      <c r="B1361" t="s">
        <v>23</v>
      </c>
      <c r="C1361" t="s">
        <v>386</v>
      </c>
      <c r="D1361" t="s">
        <v>93</v>
      </c>
      <c r="E1361" t="s">
        <v>2690</v>
      </c>
      <c r="F1361">
        <v>20</v>
      </c>
      <c r="G1361">
        <v>3115000</v>
      </c>
      <c r="H1361">
        <v>3115000</v>
      </c>
      <c r="I1361" t="s">
        <v>8</v>
      </c>
      <c r="J1361">
        <v>0</v>
      </c>
      <c r="K1361">
        <v>0</v>
      </c>
      <c r="L1361">
        <v>0</v>
      </c>
      <c r="M1361">
        <v>0</v>
      </c>
    </row>
    <row r="1362" spans="1:13" ht="15" customHeight="1" x14ac:dyDescent="0.25">
      <c r="A1362" t="s">
        <v>1919</v>
      </c>
      <c r="B1362" t="s">
        <v>2531</v>
      </c>
      <c r="C1362">
        <v>0</v>
      </c>
      <c r="D1362" t="s">
        <v>73</v>
      </c>
      <c r="E1362" t="s">
        <v>2690</v>
      </c>
      <c r="F1362">
        <v>25</v>
      </c>
      <c r="G1362">
        <v>775000</v>
      </c>
      <c r="H1362" t="s">
        <v>8</v>
      </c>
      <c r="I1362">
        <v>0</v>
      </c>
      <c r="J1362">
        <v>0</v>
      </c>
      <c r="K1362">
        <v>0</v>
      </c>
      <c r="L1362">
        <v>0</v>
      </c>
      <c r="M1362">
        <v>0</v>
      </c>
    </row>
    <row r="1363" spans="1:13" ht="15" customHeight="1" x14ac:dyDescent="0.25">
      <c r="A1363" t="s">
        <v>2632</v>
      </c>
      <c r="B1363" t="s">
        <v>31</v>
      </c>
      <c r="C1363" t="s">
        <v>386</v>
      </c>
      <c r="D1363" t="s">
        <v>73</v>
      </c>
      <c r="E1363" t="s">
        <v>2690</v>
      </c>
      <c r="F1363">
        <v>20</v>
      </c>
      <c r="G1363">
        <v>879167</v>
      </c>
      <c r="H1363">
        <v>879167</v>
      </c>
      <c r="I1363">
        <v>879167</v>
      </c>
      <c r="J1363" t="s">
        <v>8</v>
      </c>
      <c r="K1363">
        <v>0</v>
      </c>
      <c r="L1363">
        <v>0</v>
      </c>
      <c r="M1363">
        <v>0</v>
      </c>
    </row>
    <row r="1364" spans="1:13" ht="15" customHeight="1" x14ac:dyDescent="0.25">
      <c r="A1364" t="s">
        <v>2036</v>
      </c>
      <c r="B1364" t="s">
        <v>23</v>
      </c>
      <c r="C1364" t="s">
        <v>386</v>
      </c>
      <c r="D1364" t="s">
        <v>73</v>
      </c>
      <c r="E1364" t="s">
        <v>2690</v>
      </c>
      <c r="F1364">
        <v>22</v>
      </c>
      <c r="G1364">
        <v>863333</v>
      </c>
      <c r="H1364" t="s">
        <v>8</v>
      </c>
      <c r="I1364">
        <v>0</v>
      </c>
      <c r="J1364">
        <v>0</v>
      </c>
      <c r="K1364">
        <v>0</v>
      </c>
      <c r="L1364">
        <v>0</v>
      </c>
      <c r="M1364">
        <v>0</v>
      </c>
    </row>
    <row r="1365" spans="1:13" ht="15" customHeight="1" x14ac:dyDescent="0.25">
      <c r="A1365" t="s">
        <v>2782</v>
      </c>
      <c r="B1365" t="s">
        <v>2531</v>
      </c>
      <c r="C1365">
        <v>0</v>
      </c>
      <c r="D1365" t="s">
        <v>2684</v>
      </c>
      <c r="E1365" t="s">
        <v>2677</v>
      </c>
      <c r="F1365">
        <v>26</v>
      </c>
      <c r="G1365">
        <v>4750000</v>
      </c>
      <c r="H1365">
        <v>4750000</v>
      </c>
      <c r="I1365">
        <v>4750000</v>
      </c>
      <c r="J1365" t="s">
        <v>7</v>
      </c>
      <c r="K1365">
        <v>0</v>
      </c>
      <c r="L1365">
        <v>0</v>
      </c>
      <c r="M1365">
        <v>0</v>
      </c>
    </row>
    <row r="1366" spans="1:13" ht="15" customHeight="1" x14ac:dyDescent="0.25">
      <c r="A1366" t="s">
        <v>1850</v>
      </c>
      <c r="B1366" t="s">
        <v>29</v>
      </c>
      <c r="C1366">
        <v>0</v>
      </c>
      <c r="D1366" t="s">
        <v>379</v>
      </c>
      <c r="E1366" t="s">
        <v>2677</v>
      </c>
      <c r="F1366">
        <v>28</v>
      </c>
      <c r="G1366">
        <v>700000</v>
      </c>
      <c r="H1366">
        <v>700000</v>
      </c>
      <c r="I1366" t="s">
        <v>7</v>
      </c>
      <c r="J1366">
        <v>0</v>
      </c>
      <c r="K1366">
        <v>0</v>
      </c>
      <c r="L1366">
        <v>0</v>
      </c>
      <c r="M1366">
        <v>0</v>
      </c>
    </row>
    <row r="1367" spans="1:13" ht="15" customHeight="1" x14ac:dyDescent="0.25">
      <c r="A1367" t="s">
        <v>2090</v>
      </c>
      <c r="B1367" t="s">
        <v>26</v>
      </c>
      <c r="C1367">
        <v>0</v>
      </c>
      <c r="D1367" t="s">
        <v>379</v>
      </c>
      <c r="E1367" t="s">
        <v>2677</v>
      </c>
      <c r="F1367">
        <v>25</v>
      </c>
      <c r="G1367">
        <v>8000000</v>
      </c>
      <c r="H1367">
        <v>8000000</v>
      </c>
      <c r="I1367">
        <v>8000000</v>
      </c>
      <c r="J1367">
        <v>8000000</v>
      </c>
      <c r="K1367">
        <v>8000000</v>
      </c>
      <c r="L1367">
        <v>8000000</v>
      </c>
      <c r="M1367">
        <v>8000000</v>
      </c>
    </row>
    <row r="1368" spans="1:13" ht="15" customHeight="1" x14ac:dyDescent="0.25">
      <c r="A1368" t="s">
        <v>2543</v>
      </c>
      <c r="B1368" t="s">
        <v>30</v>
      </c>
      <c r="C1368" t="s">
        <v>386</v>
      </c>
      <c r="D1368" t="s">
        <v>2440</v>
      </c>
      <c r="E1368" t="s">
        <v>2446</v>
      </c>
      <c r="F1368">
        <v>22</v>
      </c>
      <c r="G1368">
        <v>800000</v>
      </c>
      <c r="H1368">
        <v>800000</v>
      </c>
      <c r="I1368" t="s">
        <v>8</v>
      </c>
      <c r="J1368">
        <v>0</v>
      </c>
      <c r="K1368">
        <v>0</v>
      </c>
      <c r="L1368">
        <v>0</v>
      </c>
      <c r="M1368">
        <v>0</v>
      </c>
    </row>
    <row r="1369" spans="1:13" ht="15" customHeight="1" x14ac:dyDescent="0.25">
      <c r="A1369" t="s">
        <v>2318</v>
      </c>
      <c r="B1369" t="s">
        <v>30</v>
      </c>
      <c r="C1369" t="s">
        <v>386</v>
      </c>
      <c r="D1369" t="s">
        <v>2448</v>
      </c>
      <c r="E1369" t="s">
        <v>2446</v>
      </c>
      <c r="F1369">
        <v>22</v>
      </c>
      <c r="G1369">
        <v>800000</v>
      </c>
      <c r="H1369">
        <v>800000</v>
      </c>
      <c r="I1369" t="s">
        <v>8</v>
      </c>
      <c r="J1369">
        <v>0</v>
      </c>
      <c r="K1369">
        <v>0</v>
      </c>
      <c r="L1369">
        <v>0</v>
      </c>
      <c r="M1369">
        <v>0</v>
      </c>
    </row>
    <row r="1370" spans="1:13" ht="15" customHeight="1" x14ac:dyDescent="0.25">
      <c r="A1370" t="s">
        <v>2373</v>
      </c>
      <c r="B1370" t="s">
        <v>135</v>
      </c>
      <c r="C1370">
        <v>0</v>
      </c>
      <c r="D1370" t="s">
        <v>88</v>
      </c>
      <c r="E1370" t="s">
        <v>2677</v>
      </c>
      <c r="F1370">
        <v>23</v>
      </c>
      <c r="G1370">
        <v>4750000</v>
      </c>
      <c r="H1370">
        <v>4750000</v>
      </c>
      <c r="I1370">
        <v>4750000</v>
      </c>
      <c r="J1370">
        <v>4750000</v>
      </c>
      <c r="K1370">
        <v>4750000</v>
      </c>
      <c r="L1370">
        <v>4750000</v>
      </c>
      <c r="M1370">
        <v>4750000</v>
      </c>
    </row>
    <row r="1371" spans="1:13" ht="15" customHeight="1" x14ac:dyDescent="0.25">
      <c r="A1371" t="s">
        <v>2487</v>
      </c>
      <c r="B1371" t="s">
        <v>16</v>
      </c>
      <c r="C1371" t="s">
        <v>386</v>
      </c>
      <c r="D1371" t="s">
        <v>93</v>
      </c>
      <c r="E1371" t="s">
        <v>2690</v>
      </c>
      <c r="F1371">
        <v>21</v>
      </c>
      <c r="G1371">
        <v>995833</v>
      </c>
      <c r="H1371">
        <v>995833</v>
      </c>
      <c r="I1371">
        <v>995833</v>
      </c>
      <c r="J1371" t="s">
        <v>8</v>
      </c>
      <c r="K1371">
        <v>0</v>
      </c>
      <c r="L1371">
        <v>0</v>
      </c>
      <c r="M1371">
        <v>0</v>
      </c>
    </row>
    <row r="1372" spans="1:13" ht="15" customHeight="1" x14ac:dyDescent="0.25">
      <c r="A1372" t="s">
        <v>1447</v>
      </c>
      <c r="B1372" t="s">
        <v>17</v>
      </c>
      <c r="C1372">
        <v>0</v>
      </c>
      <c r="D1372" t="s">
        <v>73</v>
      </c>
      <c r="E1372" t="s">
        <v>2446</v>
      </c>
      <c r="F1372">
        <v>23</v>
      </c>
      <c r="G1372">
        <v>750000</v>
      </c>
      <c r="H1372" t="s">
        <v>8</v>
      </c>
      <c r="I1372">
        <v>0</v>
      </c>
      <c r="J1372">
        <v>0</v>
      </c>
      <c r="K1372">
        <v>0</v>
      </c>
      <c r="L1372">
        <v>0</v>
      </c>
      <c r="M1372">
        <v>0</v>
      </c>
    </row>
    <row r="1373" spans="1:13" ht="15" customHeight="1" x14ac:dyDescent="0.25">
      <c r="A1373" t="s">
        <v>2018</v>
      </c>
      <c r="B1373" t="s">
        <v>23</v>
      </c>
      <c r="C1373">
        <v>0</v>
      </c>
      <c r="D1373" t="s">
        <v>73</v>
      </c>
      <c r="E1373" t="s">
        <v>2677</v>
      </c>
      <c r="F1373">
        <v>29</v>
      </c>
      <c r="G1373">
        <v>6000000</v>
      </c>
      <c r="H1373">
        <v>6000000</v>
      </c>
      <c r="I1373">
        <v>6000000</v>
      </c>
      <c r="J1373">
        <v>6000000</v>
      </c>
      <c r="K1373">
        <v>6000000</v>
      </c>
      <c r="L1373" t="s">
        <v>7</v>
      </c>
      <c r="M1373">
        <v>0</v>
      </c>
    </row>
    <row r="1374" spans="1:13" ht="15" customHeight="1" x14ac:dyDescent="0.25">
      <c r="A1374" t="s">
        <v>2582</v>
      </c>
      <c r="B1374" t="s">
        <v>12</v>
      </c>
      <c r="C1374" t="s">
        <v>386</v>
      </c>
      <c r="D1374" t="s">
        <v>2438</v>
      </c>
      <c r="E1374" t="s">
        <v>2446</v>
      </c>
      <c r="F1374">
        <v>21</v>
      </c>
      <c r="G1374">
        <v>925000</v>
      </c>
      <c r="H1374">
        <v>925000</v>
      </c>
      <c r="I1374">
        <v>925000</v>
      </c>
      <c r="J1374" t="s">
        <v>8</v>
      </c>
      <c r="K1374">
        <v>0</v>
      </c>
      <c r="L1374">
        <v>0</v>
      </c>
      <c r="M1374">
        <v>0</v>
      </c>
    </row>
    <row r="1375" spans="1:13" ht="15" customHeight="1" x14ac:dyDescent="0.25">
      <c r="A1375" t="s">
        <v>1909</v>
      </c>
      <c r="B1375" t="s">
        <v>13</v>
      </c>
      <c r="C1375" t="s">
        <v>386</v>
      </c>
      <c r="D1375" t="s">
        <v>2445</v>
      </c>
      <c r="E1375" t="s">
        <v>2446</v>
      </c>
      <c r="F1375">
        <v>23</v>
      </c>
      <c r="G1375">
        <v>925000</v>
      </c>
      <c r="H1375" t="s">
        <v>8</v>
      </c>
      <c r="I1375">
        <v>0</v>
      </c>
      <c r="J1375">
        <v>0</v>
      </c>
      <c r="K1375">
        <v>0</v>
      </c>
      <c r="L1375">
        <v>0</v>
      </c>
      <c r="M1375">
        <v>0</v>
      </c>
    </row>
    <row r="1376" spans="1:13" ht="15" customHeight="1" x14ac:dyDescent="0.25">
      <c r="A1376" t="s">
        <v>1807</v>
      </c>
      <c r="B1376" t="s">
        <v>28</v>
      </c>
      <c r="C1376" t="s">
        <v>386</v>
      </c>
      <c r="D1376" t="s">
        <v>2440</v>
      </c>
      <c r="E1376" t="s">
        <v>2446</v>
      </c>
      <c r="F1376">
        <v>21</v>
      </c>
      <c r="G1376">
        <v>925000</v>
      </c>
      <c r="H1376">
        <v>925000</v>
      </c>
      <c r="I1376" t="s">
        <v>8</v>
      </c>
      <c r="J1376">
        <v>0</v>
      </c>
      <c r="K1376">
        <v>0</v>
      </c>
      <c r="L1376">
        <v>0</v>
      </c>
      <c r="M1376">
        <v>0</v>
      </c>
    </row>
    <row r="1377" spans="1:13" ht="15" customHeight="1" x14ac:dyDescent="0.25">
      <c r="A1377" t="s">
        <v>2400</v>
      </c>
      <c r="B1377" t="s">
        <v>15</v>
      </c>
      <c r="C1377">
        <v>0</v>
      </c>
      <c r="D1377" t="s">
        <v>73</v>
      </c>
      <c r="E1377" t="s">
        <v>2446</v>
      </c>
      <c r="F1377">
        <v>27</v>
      </c>
      <c r="G1377">
        <v>700000</v>
      </c>
      <c r="H1377" t="s">
        <v>7</v>
      </c>
      <c r="I1377">
        <v>0</v>
      </c>
      <c r="J1377">
        <v>0</v>
      </c>
      <c r="K1377">
        <v>0</v>
      </c>
      <c r="L1377">
        <v>0</v>
      </c>
      <c r="M1377">
        <v>0</v>
      </c>
    </row>
    <row r="1378" spans="1:13" ht="15" customHeight="1" x14ac:dyDescent="0.25">
      <c r="A1378" t="s">
        <v>1400</v>
      </c>
      <c r="B1378" t="s">
        <v>10</v>
      </c>
      <c r="C1378">
        <v>0</v>
      </c>
      <c r="D1378" t="s">
        <v>127</v>
      </c>
      <c r="E1378" t="s">
        <v>2677</v>
      </c>
      <c r="F1378">
        <v>26</v>
      </c>
      <c r="G1378">
        <v>1325000</v>
      </c>
      <c r="H1378" t="s">
        <v>8</v>
      </c>
      <c r="I1378">
        <v>0</v>
      </c>
      <c r="J1378">
        <v>0</v>
      </c>
      <c r="K1378">
        <v>0</v>
      </c>
      <c r="L1378">
        <v>0</v>
      </c>
      <c r="M1378">
        <v>0</v>
      </c>
    </row>
    <row r="1379" spans="1:13" ht="15" customHeight="1" x14ac:dyDescent="0.25">
      <c r="A1379" t="s">
        <v>2637</v>
      </c>
      <c r="B1379" t="s">
        <v>28</v>
      </c>
      <c r="C1379" t="s">
        <v>386</v>
      </c>
      <c r="D1379" t="s">
        <v>127</v>
      </c>
      <c r="E1379" t="s">
        <v>2446</v>
      </c>
      <c r="F1379">
        <v>20</v>
      </c>
      <c r="G1379">
        <v>925000</v>
      </c>
      <c r="H1379">
        <v>925000</v>
      </c>
      <c r="I1379">
        <v>925000</v>
      </c>
      <c r="J1379" t="s">
        <v>8</v>
      </c>
      <c r="K1379">
        <v>0</v>
      </c>
      <c r="L1379">
        <v>0</v>
      </c>
      <c r="M1379">
        <v>0</v>
      </c>
    </row>
    <row r="1380" spans="1:13" ht="15" customHeight="1" x14ac:dyDescent="0.25">
      <c r="A1380" t="s">
        <v>1363</v>
      </c>
      <c r="B1380" t="s">
        <v>9</v>
      </c>
      <c r="C1380" t="s">
        <v>386</v>
      </c>
      <c r="D1380" t="s">
        <v>2445</v>
      </c>
      <c r="E1380" t="s">
        <v>2446</v>
      </c>
      <c r="F1380">
        <v>20</v>
      </c>
      <c r="G1380">
        <v>1302500</v>
      </c>
      <c r="H1380">
        <v>1302500</v>
      </c>
      <c r="I1380">
        <v>1302500</v>
      </c>
      <c r="J1380" t="s">
        <v>8</v>
      </c>
      <c r="K1380">
        <v>0</v>
      </c>
      <c r="L1380">
        <v>0</v>
      </c>
      <c r="M1380">
        <v>0</v>
      </c>
    </row>
    <row r="1381" spans="1:13" x14ac:dyDescent="0.25">
      <c r="A1381" t="s">
        <v>1979</v>
      </c>
      <c r="B1381" t="s">
        <v>16</v>
      </c>
      <c r="C1381" t="s">
        <v>386</v>
      </c>
      <c r="D1381" t="s">
        <v>380</v>
      </c>
      <c r="E1381" t="s">
        <v>2690</v>
      </c>
      <c r="F1381">
        <v>21</v>
      </c>
      <c r="G1381">
        <v>701666</v>
      </c>
      <c r="H1381">
        <v>701666</v>
      </c>
      <c r="I1381" t="s">
        <v>8</v>
      </c>
      <c r="J1381">
        <v>0</v>
      </c>
      <c r="K1381">
        <v>0</v>
      </c>
      <c r="L1381">
        <v>0</v>
      </c>
      <c r="M1381">
        <v>0</v>
      </c>
    </row>
    <row r="1382" spans="1:13" ht="15" customHeight="1" x14ac:dyDescent="0.25">
      <c r="A1382" t="s">
        <v>1513</v>
      </c>
      <c r="B1382" t="s">
        <v>12</v>
      </c>
      <c r="C1382">
        <v>0</v>
      </c>
      <c r="D1382" t="s">
        <v>2445</v>
      </c>
      <c r="E1382" t="s">
        <v>2446</v>
      </c>
      <c r="F1382">
        <v>24</v>
      </c>
      <c r="G1382">
        <v>700000</v>
      </c>
      <c r="H1382" t="s">
        <v>8</v>
      </c>
      <c r="I1382">
        <v>0</v>
      </c>
      <c r="J1382">
        <v>0</v>
      </c>
      <c r="K1382">
        <v>0</v>
      </c>
      <c r="L1382">
        <v>0</v>
      </c>
      <c r="M1382">
        <v>0</v>
      </c>
    </row>
    <row r="1383" spans="1:13" x14ac:dyDescent="0.25">
      <c r="A1383" t="s">
        <v>2886</v>
      </c>
      <c r="B1383" t="s">
        <v>12</v>
      </c>
      <c r="C1383" t="s">
        <v>386</v>
      </c>
      <c r="D1383" t="s">
        <v>2445</v>
      </c>
      <c r="E1383" t="s">
        <v>374</v>
      </c>
      <c r="F1383">
        <v>20</v>
      </c>
      <c r="G1383">
        <v>1319166</v>
      </c>
      <c r="H1383">
        <v>1319166</v>
      </c>
      <c r="I1383" t="s">
        <v>8</v>
      </c>
      <c r="J1383">
        <v>0</v>
      </c>
      <c r="K1383">
        <v>0</v>
      </c>
      <c r="L1383">
        <v>0</v>
      </c>
      <c r="M1383">
        <v>0</v>
      </c>
    </row>
    <row r="1384" spans="1:13" ht="15" customHeight="1" x14ac:dyDescent="0.25">
      <c r="A1384" t="s">
        <v>2754</v>
      </c>
      <c r="B1384" t="s">
        <v>28</v>
      </c>
      <c r="C1384">
        <v>0</v>
      </c>
      <c r="D1384" t="s">
        <v>2440</v>
      </c>
      <c r="E1384" t="s">
        <v>2439</v>
      </c>
      <c r="F1384">
        <v>30</v>
      </c>
      <c r="G1384">
        <v>7000000</v>
      </c>
      <c r="H1384">
        <v>7000000</v>
      </c>
      <c r="I1384">
        <v>7000000</v>
      </c>
      <c r="J1384">
        <v>7000000</v>
      </c>
      <c r="K1384" t="s">
        <v>7</v>
      </c>
      <c r="L1384">
        <v>0</v>
      </c>
      <c r="M1384">
        <v>0</v>
      </c>
    </row>
    <row r="1385" spans="1:13" ht="15" customHeight="1" x14ac:dyDescent="0.25">
      <c r="A1385" t="s">
        <v>2724</v>
      </c>
      <c r="B1385" t="s">
        <v>11</v>
      </c>
      <c r="C1385">
        <v>0</v>
      </c>
      <c r="D1385" t="s">
        <v>2444</v>
      </c>
      <c r="E1385" t="s">
        <v>2439</v>
      </c>
      <c r="F1385">
        <v>28</v>
      </c>
      <c r="G1385">
        <v>2300000</v>
      </c>
      <c r="H1385" t="s">
        <v>7</v>
      </c>
      <c r="I1385">
        <v>0</v>
      </c>
      <c r="J1385">
        <v>0</v>
      </c>
      <c r="K1385">
        <v>0</v>
      </c>
      <c r="L1385">
        <v>0</v>
      </c>
      <c r="M1385">
        <v>0</v>
      </c>
    </row>
    <row r="1386" spans="1:13" ht="15" customHeight="1" x14ac:dyDescent="0.25">
      <c r="A1386" t="s">
        <v>2746</v>
      </c>
      <c r="B1386" t="s">
        <v>25</v>
      </c>
      <c r="C1386" t="s">
        <v>386</v>
      </c>
      <c r="D1386" t="s">
        <v>82</v>
      </c>
      <c r="E1386" t="s">
        <v>2446</v>
      </c>
      <c r="F1386">
        <v>22</v>
      </c>
      <c r="G1386">
        <v>935833</v>
      </c>
      <c r="H1386" t="s">
        <v>8</v>
      </c>
      <c r="I1386">
        <v>0</v>
      </c>
      <c r="J1386">
        <v>0</v>
      </c>
      <c r="K1386">
        <v>0</v>
      </c>
      <c r="L1386">
        <v>0</v>
      </c>
      <c r="M1386">
        <v>0</v>
      </c>
    </row>
    <row r="1387" spans="1:13" ht="15" customHeight="1" x14ac:dyDescent="0.25">
      <c r="A1387" t="s">
        <v>1879</v>
      </c>
      <c r="B1387" t="s">
        <v>2503</v>
      </c>
      <c r="C1387">
        <v>0</v>
      </c>
      <c r="D1387" t="s">
        <v>127</v>
      </c>
      <c r="E1387" t="s">
        <v>2690</v>
      </c>
      <c r="F1387">
        <v>23</v>
      </c>
      <c r="G1387">
        <v>716667</v>
      </c>
      <c r="H1387">
        <v>716667</v>
      </c>
      <c r="I1387">
        <v>716667</v>
      </c>
      <c r="J1387" t="s">
        <v>8</v>
      </c>
      <c r="K1387">
        <v>0</v>
      </c>
      <c r="L1387">
        <v>0</v>
      </c>
      <c r="M1387">
        <v>0</v>
      </c>
    </row>
    <row r="1388" spans="1:13" ht="15" customHeight="1" x14ac:dyDescent="0.25">
      <c r="A1388" t="s">
        <v>1931</v>
      </c>
      <c r="B1388" t="s">
        <v>25</v>
      </c>
      <c r="C1388" t="s">
        <v>372</v>
      </c>
      <c r="D1388" t="s">
        <v>127</v>
      </c>
      <c r="E1388" t="s">
        <v>2439</v>
      </c>
      <c r="F1388">
        <v>31</v>
      </c>
      <c r="G1388">
        <v>5000000</v>
      </c>
      <c r="H1388">
        <v>5000000</v>
      </c>
      <c r="I1388">
        <v>5000000</v>
      </c>
      <c r="J1388">
        <v>5000000</v>
      </c>
      <c r="K1388" t="s">
        <v>7</v>
      </c>
      <c r="L1388">
        <v>0</v>
      </c>
      <c r="M1388">
        <v>0</v>
      </c>
    </row>
    <row r="1389" spans="1:13" ht="15" customHeight="1" x14ac:dyDescent="0.25">
      <c r="A1389" t="s">
        <v>1821</v>
      </c>
      <c r="B1389" t="s">
        <v>22</v>
      </c>
      <c r="C1389">
        <v>0</v>
      </c>
      <c r="D1389" t="s">
        <v>73</v>
      </c>
      <c r="E1389" t="s">
        <v>2446</v>
      </c>
      <c r="F1389">
        <v>28</v>
      </c>
      <c r="G1389">
        <v>700000</v>
      </c>
      <c r="H1389" t="s">
        <v>7</v>
      </c>
      <c r="I1389">
        <v>0</v>
      </c>
      <c r="J1389">
        <v>0</v>
      </c>
      <c r="K1389">
        <v>0</v>
      </c>
      <c r="L1389">
        <v>0</v>
      </c>
      <c r="M1389">
        <v>0</v>
      </c>
    </row>
    <row r="1390" spans="1:13" ht="15" customHeight="1" x14ac:dyDescent="0.25">
      <c r="A1390" t="s">
        <v>1563</v>
      </c>
      <c r="B1390" t="s">
        <v>32</v>
      </c>
      <c r="C1390">
        <v>0</v>
      </c>
      <c r="D1390" t="s">
        <v>127</v>
      </c>
      <c r="E1390" t="s">
        <v>2439</v>
      </c>
      <c r="F1390">
        <v>25</v>
      </c>
      <c r="G1390">
        <v>3500000</v>
      </c>
      <c r="H1390">
        <v>9500000</v>
      </c>
      <c r="I1390">
        <v>9500000</v>
      </c>
      <c r="J1390">
        <v>9500000</v>
      </c>
      <c r="K1390">
        <v>9500000</v>
      </c>
      <c r="L1390">
        <v>9500000</v>
      </c>
      <c r="M1390">
        <v>9500000</v>
      </c>
    </row>
    <row r="1391" spans="1:13" ht="15" customHeight="1" x14ac:dyDescent="0.25">
      <c r="A1391" t="s">
        <v>1700</v>
      </c>
      <c r="B1391" t="s">
        <v>24</v>
      </c>
      <c r="C1391">
        <v>0</v>
      </c>
      <c r="D1391" t="s">
        <v>2445</v>
      </c>
      <c r="E1391" t="s">
        <v>2439</v>
      </c>
      <c r="F1391">
        <v>28</v>
      </c>
      <c r="G1391">
        <v>4875000</v>
      </c>
      <c r="H1391" t="s">
        <v>7</v>
      </c>
      <c r="I1391">
        <v>0</v>
      </c>
      <c r="J1391">
        <v>0</v>
      </c>
      <c r="K1391">
        <v>0</v>
      </c>
      <c r="L1391">
        <v>0</v>
      </c>
      <c r="M1391">
        <v>0</v>
      </c>
    </row>
    <row r="1392" spans="1:13" ht="15" customHeight="1" x14ac:dyDescent="0.25">
      <c r="A1392" t="s">
        <v>1458</v>
      </c>
      <c r="B1392" t="s">
        <v>2531</v>
      </c>
      <c r="C1392">
        <v>0</v>
      </c>
      <c r="D1392" t="s">
        <v>2680</v>
      </c>
      <c r="E1392" t="s">
        <v>2677</v>
      </c>
      <c r="F1392">
        <v>25</v>
      </c>
      <c r="G1392">
        <v>2533333</v>
      </c>
      <c r="H1392">
        <v>2533333</v>
      </c>
      <c r="I1392">
        <v>2533333</v>
      </c>
      <c r="J1392" t="s">
        <v>7</v>
      </c>
      <c r="K1392">
        <v>0</v>
      </c>
      <c r="L1392">
        <v>0</v>
      </c>
      <c r="M1392">
        <v>0</v>
      </c>
    </row>
    <row r="1393" spans="1:13" ht="15" customHeight="1" x14ac:dyDescent="0.25">
      <c r="A1393" t="s">
        <v>1799</v>
      </c>
      <c r="B1393" t="s">
        <v>31</v>
      </c>
      <c r="C1393">
        <v>0</v>
      </c>
      <c r="D1393" t="s">
        <v>73</v>
      </c>
      <c r="E1393" t="s">
        <v>2690</v>
      </c>
      <c r="F1393">
        <v>26</v>
      </c>
      <c r="G1393">
        <v>700000</v>
      </c>
      <c r="H1393" t="s">
        <v>7</v>
      </c>
      <c r="I1393">
        <v>0</v>
      </c>
      <c r="J1393">
        <v>0</v>
      </c>
      <c r="K1393">
        <v>0</v>
      </c>
      <c r="L1393">
        <v>0</v>
      </c>
      <c r="M1393">
        <v>0</v>
      </c>
    </row>
    <row r="1394" spans="1:13" ht="15" customHeight="1" x14ac:dyDescent="0.25">
      <c r="A1394" t="s">
        <v>2645</v>
      </c>
      <c r="B1394" t="s">
        <v>14</v>
      </c>
      <c r="C1394" t="s">
        <v>386</v>
      </c>
      <c r="D1394" t="s">
        <v>127</v>
      </c>
      <c r="E1394" t="s">
        <v>2446</v>
      </c>
      <c r="F1394">
        <v>22</v>
      </c>
      <c r="G1394">
        <v>925000</v>
      </c>
      <c r="H1394">
        <v>925000</v>
      </c>
      <c r="I1394" t="s">
        <v>8</v>
      </c>
      <c r="J1394">
        <v>0</v>
      </c>
      <c r="K1394">
        <v>0</v>
      </c>
      <c r="L1394">
        <v>0</v>
      </c>
      <c r="M1394">
        <v>0</v>
      </c>
    </row>
    <row r="1395" spans="1:13" ht="15" customHeight="1" x14ac:dyDescent="0.25">
      <c r="A1395" t="s">
        <v>1502</v>
      </c>
      <c r="B1395" t="s">
        <v>22</v>
      </c>
      <c r="C1395" t="s">
        <v>386</v>
      </c>
      <c r="D1395" t="s">
        <v>2494</v>
      </c>
      <c r="E1395" t="s">
        <v>2446</v>
      </c>
      <c r="F1395">
        <v>23</v>
      </c>
      <c r="G1395">
        <v>925000</v>
      </c>
      <c r="H1395" t="s">
        <v>8</v>
      </c>
      <c r="I1395">
        <v>0</v>
      </c>
      <c r="J1395">
        <v>0</v>
      </c>
      <c r="K1395">
        <v>0</v>
      </c>
      <c r="L1395">
        <v>0</v>
      </c>
      <c r="M1395">
        <v>0</v>
      </c>
    </row>
    <row r="1396" spans="1:13" ht="15" customHeight="1" x14ac:dyDescent="0.25">
      <c r="A1396" t="s">
        <v>2525</v>
      </c>
      <c r="B1396" t="s">
        <v>17</v>
      </c>
      <c r="C1396" t="s">
        <v>386</v>
      </c>
      <c r="D1396" t="s">
        <v>73</v>
      </c>
      <c r="E1396" t="s">
        <v>2446</v>
      </c>
      <c r="F1396">
        <v>19</v>
      </c>
      <c r="G1396">
        <v>1243750</v>
      </c>
      <c r="H1396">
        <v>1243750</v>
      </c>
      <c r="I1396">
        <v>1243750</v>
      </c>
      <c r="J1396" t="s">
        <v>8</v>
      </c>
      <c r="K1396">
        <v>0</v>
      </c>
      <c r="L1396">
        <v>0</v>
      </c>
      <c r="M1396">
        <v>0</v>
      </c>
    </row>
    <row r="1397" spans="1:13" ht="15" customHeight="1" x14ac:dyDescent="0.25">
      <c r="A1397" t="s">
        <v>1503</v>
      </c>
      <c r="B1397" t="s">
        <v>22</v>
      </c>
      <c r="C1397" t="s">
        <v>386</v>
      </c>
      <c r="D1397" t="s">
        <v>73</v>
      </c>
      <c r="E1397" t="s">
        <v>2446</v>
      </c>
      <c r="F1397">
        <v>21</v>
      </c>
      <c r="G1397">
        <v>776666</v>
      </c>
      <c r="H1397">
        <v>776666</v>
      </c>
      <c r="I1397" t="s">
        <v>8</v>
      </c>
      <c r="J1397">
        <v>0</v>
      </c>
      <c r="K1397">
        <v>0</v>
      </c>
      <c r="L1397">
        <v>0</v>
      </c>
      <c r="M1397">
        <v>0</v>
      </c>
    </row>
    <row r="1398" spans="1:13" ht="15" customHeight="1" x14ac:dyDescent="0.25">
      <c r="A1398" t="s">
        <v>1585</v>
      </c>
      <c r="B1398" t="s">
        <v>32</v>
      </c>
      <c r="C1398">
        <v>0</v>
      </c>
      <c r="D1398" t="s">
        <v>73</v>
      </c>
      <c r="E1398" t="s">
        <v>2446</v>
      </c>
      <c r="F1398">
        <v>23</v>
      </c>
      <c r="G1398">
        <v>700000</v>
      </c>
      <c r="H1398" t="s">
        <v>8</v>
      </c>
      <c r="I1398">
        <v>0</v>
      </c>
      <c r="J1398">
        <v>0</v>
      </c>
      <c r="K1398">
        <v>0</v>
      </c>
      <c r="L1398">
        <v>0</v>
      </c>
      <c r="M1398">
        <v>0</v>
      </c>
    </row>
    <row r="1399" spans="1:13" ht="15" customHeight="1" x14ac:dyDescent="0.25">
      <c r="A1399" t="s">
        <v>2652</v>
      </c>
      <c r="B1399" t="s">
        <v>27</v>
      </c>
      <c r="C1399" t="s">
        <v>386</v>
      </c>
      <c r="D1399" t="s">
        <v>2438</v>
      </c>
      <c r="E1399" t="s">
        <v>2439</v>
      </c>
      <c r="F1399">
        <v>23</v>
      </c>
      <c r="G1399">
        <v>1350000</v>
      </c>
      <c r="H1399" t="s">
        <v>8</v>
      </c>
      <c r="I1399">
        <v>0</v>
      </c>
      <c r="J1399">
        <v>0</v>
      </c>
      <c r="K1399">
        <v>0</v>
      </c>
      <c r="L1399">
        <v>0</v>
      </c>
      <c r="M1399">
        <v>0</v>
      </c>
    </row>
    <row r="1400" spans="1:13" ht="15" customHeight="1" x14ac:dyDescent="0.25">
      <c r="A1400" t="s">
        <v>2097</v>
      </c>
      <c r="B1400" t="s">
        <v>35</v>
      </c>
      <c r="C1400" t="s">
        <v>386</v>
      </c>
      <c r="D1400" t="s">
        <v>2442</v>
      </c>
      <c r="E1400" t="s">
        <v>2446</v>
      </c>
      <c r="F1400">
        <v>20</v>
      </c>
      <c r="G1400">
        <v>1460833</v>
      </c>
      <c r="H1400">
        <v>1460833</v>
      </c>
      <c r="I1400">
        <v>1460833</v>
      </c>
      <c r="J1400" t="s">
        <v>8</v>
      </c>
      <c r="K1400">
        <v>0</v>
      </c>
      <c r="L1400">
        <v>0</v>
      </c>
      <c r="M1400">
        <v>0</v>
      </c>
    </row>
    <row r="1401" spans="1:13" ht="30" customHeight="1" x14ac:dyDescent="0.25">
      <c r="A1401" t="s">
        <v>1758</v>
      </c>
      <c r="B1401" t="s">
        <v>10</v>
      </c>
      <c r="C1401">
        <v>0</v>
      </c>
      <c r="D1401" t="s">
        <v>2689</v>
      </c>
      <c r="E1401" t="s">
        <v>2677</v>
      </c>
      <c r="F1401">
        <v>26</v>
      </c>
      <c r="G1401">
        <v>2275000</v>
      </c>
      <c r="H1401" t="s">
        <v>7</v>
      </c>
      <c r="I1401">
        <v>0</v>
      </c>
      <c r="J1401">
        <v>0</v>
      </c>
      <c r="K1401">
        <v>0</v>
      </c>
      <c r="L1401">
        <v>0</v>
      </c>
      <c r="M1401">
        <v>0</v>
      </c>
    </row>
    <row r="1402" spans="1:13" ht="15" customHeight="1" x14ac:dyDescent="0.25">
      <c r="A1402" t="s">
        <v>2238</v>
      </c>
      <c r="B1402" t="s">
        <v>18</v>
      </c>
      <c r="C1402" t="s">
        <v>386</v>
      </c>
      <c r="D1402" t="s">
        <v>2440</v>
      </c>
      <c r="E1402" t="s">
        <v>2446</v>
      </c>
      <c r="F1402">
        <v>24</v>
      </c>
      <c r="G1402">
        <v>925000</v>
      </c>
      <c r="H1402" t="s">
        <v>8</v>
      </c>
      <c r="I1402">
        <v>0</v>
      </c>
      <c r="J1402">
        <v>0</v>
      </c>
      <c r="K1402">
        <v>0</v>
      </c>
      <c r="L1402">
        <v>0</v>
      </c>
      <c r="M1402">
        <v>0</v>
      </c>
    </row>
    <row r="1403" spans="1:13" ht="15" customHeight="1" x14ac:dyDescent="0.25">
      <c r="A1403" t="s">
        <v>2271</v>
      </c>
      <c r="B1403" t="s">
        <v>20</v>
      </c>
      <c r="C1403" t="s">
        <v>386</v>
      </c>
      <c r="D1403" t="s">
        <v>73</v>
      </c>
      <c r="E1403" t="s">
        <v>2446</v>
      </c>
      <c r="F1403">
        <v>19</v>
      </c>
      <c r="G1403">
        <v>1627500</v>
      </c>
      <c r="H1403">
        <v>1627500</v>
      </c>
      <c r="I1403">
        <v>1627500</v>
      </c>
      <c r="J1403" t="s">
        <v>8</v>
      </c>
      <c r="K1403">
        <v>0</v>
      </c>
      <c r="L1403">
        <v>0</v>
      </c>
      <c r="M1403">
        <v>0</v>
      </c>
    </row>
    <row r="1404" spans="1:13" ht="15" customHeight="1" x14ac:dyDescent="0.25">
      <c r="A1404" t="s">
        <v>2275</v>
      </c>
      <c r="B1404" t="s">
        <v>20</v>
      </c>
      <c r="C1404" t="s">
        <v>386</v>
      </c>
      <c r="D1404" t="s">
        <v>127</v>
      </c>
      <c r="E1404" t="s">
        <v>2446</v>
      </c>
      <c r="F1404">
        <v>20</v>
      </c>
      <c r="G1404">
        <v>927500</v>
      </c>
      <c r="H1404">
        <v>927500</v>
      </c>
      <c r="I1404">
        <v>927500</v>
      </c>
      <c r="J1404" t="s">
        <v>8</v>
      </c>
      <c r="K1404">
        <v>0</v>
      </c>
      <c r="L1404">
        <v>0</v>
      </c>
      <c r="M1404">
        <v>0</v>
      </c>
    </row>
    <row r="1405" spans="1:13" ht="15" customHeight="1" x14ac:dyDescent="0.25">
      <c r="A1405" t="s">
        <v>2336</v>
      </c>
      <c r="B1405" t="s">
        <v>34</v>
      </c>
      <c r="C1405">
        <v>0</v>
      </c>
      <c r="D1405" t="s">
        <v>2438</v>
      </c>
      <c r="E1405" t="s">
        <v>2439</v>
      </c>
      <c r="F1405">
        <v>22</v>
      </c>
      <c r="G1405">
        <v>1250000</v>
      </c>
      <c r="H1405" t="s">
        <v>8</v>
      </c>
      <c r="I1405">
        <v>0</v>
      </c>
      <c r="J1405">
        <v>0</v>
      </c>
      <c r="K1405">
        <v>0</v>
      </c>
      <c r="L1405">
        <v>0</v>
      </c>
      <c r="M1405">
        <v>0</v>
      </c>
    </row>
    <row r="1406" spans="1:13" ht="15" customHeight="1" x14ac:dyDescent="0.25">
      <c r="A1406" t="s">
        <v>1375</v>
      </c>
      <c r="B1406" t="s">
        <v>9</v>
      </c>
      <c r="C1406" t="s">
        <v>386</v>
      </c>
      <c r="D1406" t="s">
        <v>127</v>
      </c>
      <c r="E1406" t="s">
        <v>2446</v>
      </c>
      <c r="F1406">
        <v>21</v>
      </c>
      <c r="G1406">
        <v>910833</v>
      </c>
      <c r="H1406" t="s">
        <v>8</v>
      </c>
      <c r="I1406">
        <v>0</v>
      </c>
      <c r="J1406">
        <v>0</v>
      </c>
      <c r="K1406">
        <v>0</v>
      </c>
      <c r="L1406">
        <v>0</v>
      </c>
      <c r="M1406">
        <v>0</v>
      </c>
    </row>
    <row r="1407" spans="1:13" ht="15" customHeight="1" x14ac:dyDescent="0.25">
      <c r="A1407" t="s">
        <v>2908</v>
      </c>
      <c r="B1407" t="s">
        <v>30</v>
      </c>
      <c r="C1407" t="s">
        <v>420</v>
      </c>
      <c r="D1407" t="s">
        <v>2445</v>
      </c>
      <c r="E1407" t="s">
        <v>2439</v>
      </c>
      <c r="F1407">
        <v>32</v>
      </c>
      <c r="G1407">
        <v>7000000</v>
      </c>
      <c r="H1407">
        <v>7000000</v>
      </c>
      <c r="I1407">
        <v>7000000</v>
      </c>
      <c r="J1407">
        <v>7000000</v>
      </c>
      <c r="K1407">
        <v>7000000</v>
      </c>
      <c r="L1407">
        <v>7000000</v>
      </c>
      <c r="M1407">
        <v>7000000</v>
      </c>
    </row>
    <row r="1408" spans="1:13" ht="15" customHeight="1" x14ac:dyDescent="0.25">
      <c r="A1408" t="s">
        <v>1566</v>
      </c>
      <c r="B1408" t="s">
        <v>32</v>
      </c>
      <c r="C1408" t="s">
        <v>386</v>
      </c>
      <c r="D1408" t="s">
        <v>2442</v>
      </c>
      <c r="E1408" t="s">
        <v>2446</v>
      </c>
      <c r="F1408">
        <v>22</v>
      </c>
      <c r="G1408">
        <v>925000</v>
      </c>
      <c r="H1408" t="s">
        <v>8</v>
      </c>
      <c r="I1408">
        <v>0</v>
      </c>
      <c r="J1408">
        <v>0</v>
      </c>
      <c r="K1408">
        <v>0</v>
      </c>
      <c r="L1408">
        <v>0</v>
      </c>
      <c r="M1408">
        <v>0</v>
      </c>
    </row>
    <row r="1409" spans="1:13" ht="15" customHeight="1" x14ac:dyDescent="0.25">
      <c r="A1409" t="s">
        <v>1785</v>
      </c>
      <c r="B1409" t="s">
        <v>28</v>
      </c>
      <c r="C1409">
        <v>0</v>
      </c>
      <c r="D1409" t="s">
        <v>2438</v>
      </c>
      <c r="E1409" t="s">
        <v>2439</v>
      </c>
      <c r="F1409">
        <v>29</v>
      </c>
      <c r="G1409">
        <v>8250000</v>
      </c>
      <c r="H1409">
        <v>8250000</v>
      </c>
      <c r="I1409">
        <v>8250000</v>
      </c>
      <c r="J1409">
        <v>8250000</v>
      </c>
      <c r="K1409">
        <v>8250000</v>
      </c>
      <c r="L1409" t="s">
        <v>7</v>
      </c>
      <c r="M1409">
        <v>0</v>
      </c>
    </row>
    <row r="1410" spans="1:13" ht="15" customHeight="1" x14ac:dyDescent="0.25">
      <c r="A1410" t="s">
        <v>1805</v>
      </c>
      <c r="B1410" t="s">
        <v>28</v>
      </c>
      <c r="C1410" t="s">
        <v>386</v>
      </c>
      <c r="D1410" t="s">
        <v>73</v>
      </c>
      <c r="E1410" t="s">
        <v>2446</v>
      </c>
      <c r="F1410">
        <v>22</v>
      </c>
      <c r="G1410">
        <v>925000</v>
      </c>
      <c r="H1410" t="s">
        <v>8</v>
      </c>
      <c r="I1410">
        <v>0</v>
      </c>
      <c r="J1410">
        <v>0</v>
      </c>
      <c r="K1410">
        <v>0</v>
      </c>
      <c r="L1410">
        <v>0</v>
      </c>
      <c r="M1410">
        <v>0</v>
      </c>
    </row>
    <row r="1411" spans="1:13" ht="15" customHeight="1" x14ac:dyDescent="0.25">
      <c r="A1411" t="s">
        <v>1856</v>
      </c>
      <c r="B1411" t="s">
        <v>2503</v>
      </c>
      <c r="C1411">
        <v>0</v>
      </c>
      <c r="D1411" t="s">
        <v>93</v>
      </c>
      <c r="E1411" t="s">
        <v>2677</v>
      </c>
      <c r="F1411">
        <v>23</v>
      </c>
      <c r="G1411">
        <v>3350000</v>
      </c>
      <c r="H1411">
        <v>3350000</v>
      </c>
      <c r="I1411" t="s">
        <v>8</v>
      </c>
      <c r="J1411">
        <v>0</v>
      </c>
      <c r="K1411">
        <v>0</v>
      </c>
      <c r="L1411">
        <v>0</v>
      </c>
      <c r="M1411">
        <v>0</v>
      </c>
    </row>
    <row r="1412" spans="1:13" ht="15" customHeight="1" x14ac:dyDescent="0.25">
      <c r="A1412" t="s">
        <v>2277</v>
      </c>
      <c r="B1412" t="s">
        <v>20</v>
      </c>
      <c r="C1412" t="s">
        <v>386</v>
      </c>
      <c r="D1412" t="s">
        <v>2441</v>
      </c>
      <c r="E1412" t="s">
        <v>2439</v>
      </c>
      <c r="F1412">
        <v>22</v>
      </c>
      <c r="G1412">
        <v>925000</v>
      </c>
      <c r="H1412" t="s">
        <v>8</v>
      </c>
      <c r="I1412">
        <v>0</v>
      </c>
      <c r="J1412">
        <v>0</v>
      </c>
      <c r="K1412">
        <v>0</v>
      </c>
      <c r="L1412">
        <v>0</v>
      </c>
      <c r="M1412">
        <v>0</v>
      </c>
    </row>
    <row r="1413" spans="1:13" ht="15" customHeight="1" x14ac:dyDescent="0.25">
      <c r="A1413" t="s">
        <v>1347</v>
      </c>
      <c r="B1413" t="s">
        <v>9</v>
      </c>
      <c r="C1413">
        <v>0</v>
      </c>
      <c r="D1413" t="s">
        <v>2453</v>
      </c>
      <c r="E1413" t="s">
        <v>2439</v>
      </c>
      <c r="F1413">
        <v>28</v>
      </c>
      <c r="G1413">
        <v>1250000</v>
      </c>
      <c r="H1413" t="s">
        <v>7</v>
      </c>
      <c r="I1413">
        <v>0</v>
      </c>
      <c r="J1413">
        <v>0</v>
      </c>
      <c r="K1413">
        <v>0</v>
      </c>
      <c r="L1413">
        <v>0</v>
      </c>
      <c r="M1413">
        <v>0</v>
      </c>
    </row>
    <row r="1414" spans="1:13" ht="15" customHeight="1" x14ac:dyDescent="0.25">
      <c r="A1414" t="s">
        <v>2572</v>
      </c>
      <c r="B1414" t="s">
        <v>25</v>
      </c>
      <c r="C1414" t="s">
        <v>386</v>
      </c>
      <c r="D1414" t="s">
        <v>2448</v>
      </c>
      <c r="E1414" t="s">
        <v>2446</v>
      </c>
      <c r="F1414">
        <v>19</v>
      </c>
      <c r="G1414">
        <v>1462500</v>
      </c>
      <c r="H1414">
        <v>1462500</v>
      </c>
      <c r="I1414">
        <v>1462500</v>
      </c>
      <c r="J1414" t="s">
        <v>8</v>
      </c>
      <c r="K1414">
        <v>0</v>
      </c>
      <c r="L1414">
        <v>0</v>
      </c>
      <c r="M1414">
        <v>0</v>
      </c>
    </row>
    <row r="1415" spans="1:13" ht="15" customHeight="1" x14ac:dyDescent="0.25">
      <c r="A1415" t="s">
        <v>1507</v>
      </c>
      <c r="B1415" t="s">
        <v>22</v>
      </c>
      <c r="C1415" t="s">
        <v>386</v>
      </c>
      <c r="D1415" t="s">
        <v>2438</v>
      </c>
      <c r="E1415" t="s">
        <v>2446</v>
      </c>
      <c r="F1415">
        <v>23</v>
      </c>
      <c r="G1415">
        <v>726667</v>
      </c>
      <c r="H1415" t="s">
        <v>8</v>
      </c>
      <c r="I1415">
        <v>0</v>
      </c>
      <c r="J1415">
        <v>0</v>
      </c>
      <c r="K1415">
        <v>0</v>
      </c>
      <c r="L1415">
        <v>0</v>
      </c>
      <c r="M1415">
        <v>0</v>
      </c>
    </row>
    <row r="1416" spans="1:13" ht="15" customHeight="1" x14ac:dyDescent="0.25">
      <c r="A1416" t="s">
        <v>1584</v>
      </c>
      <c r="B1416" t="s">
        <v>32</v>
      </c>
      <c r="C1416">
        <v>0</v>
      </c>
      <c r="D1416" t="s">
        <v>2445</v>
      </c>
      <c r="E1416" t="s">
        <v>2446</v>
      </c>
      <c r="F1416">
        <v>25</v>
      </c>
      <c r="G1416">
        <v>700000</v>
      </c>
      <c r="H1416" t="s">
        <v>8</v>
      </c>
      <c r="I1416">
        <v>0</v>
      </c>
      <c r="J1416">
        <v>0</v>
      </c>
      <c r="K1416">
        <v>0</v>
      </c>
      <c r="L1416">
        <v>0</v>
      </c>
      <c r="M1416">
        <v>0</v>
      </c>
    </row>
    <row r="1417" spans="1:13" ht="15" customHeight="1" x14ac:dyDescent="0.25">
      <c r="A1417" t="s">
        <v>1860</v>
      </c>
      <c r="B1417" t="s">
        <v>31</v>
      </c>
      <c r="C1417">
        <v>0</v>
      </c>
      <c r="D1417" t="s">
        <v>93</v>
      </c>
      <c r="E1417" t="s">
        <v>2690</v>
      </c>
      <c r="F1417">
        <v>25</v>
      </c>
      <c r="G1417">
        <v>700000</v>
      </c>
      <c r="H1417">
        <v>700000</v>
      </c>
      <c r="I1417" t="s">
        <v>7</v>
      </c>
      <c r="J1417">
        <v>0</v>
      </c>
      <c r="K1417">
        <v>0</v>
      </c>
      <c r="L1417">
        <v>0</v>
      </c>
      <c r="M1417">
        <v>0</v>
      </c>
    </row>
    <row r="1418" spans="1:13" ht="15" customHeight="1" x14ac:dyDescent="0.25">
      <c r="A1418" t="s">
        <v>2280</v>
      </c>
      <c r="B1418" t="s">
        <v>20</v>
      </c>
      <c r="C1418" t="s">
        <v>386</v>
      </c>
      <c r="D1418" t="s">
        <v>2444</v>
      </c>
      <c r="E1418" t="s">
        <v>2439</v>
      </c>
      <c r="F1418">
        <v>24</v>
      </c>
      <c r="G1418">
        <v>745000</v>
      </c>
      <c r="H1418" t="s">
        <v>8</v>
      </c>
      <c r="I1418">
        <v>0</v>
      </c>
      <c r="J1418">
        <v>0</v>
      </c>
      <c r="K1418">
        <v>0</v>
      </c>
      <c r="L1418">
        <v>0</v>
      </c>
      <c r="M1418">
        <v>0</v>
      </c>
    </row>
    <row r="1419" spans="1:13" ht="15" customHeight="1" x14ac:dyDescent="0.25">
      <c r="A1419" t="s">
        <v>1651</v>
      </c>
      <c r="B1419" t="s">
        <v>11</v>
      </c>
      <c r="C1419">
        <v>0</v>
      </c>
      <c r="D1419" t="s">
        <v>73</v>
      </c>
      <c r="E1419" t="s">
        <v>2439</v>
      </c>
      <c r="F1419">
        <v>23</v>
      </c>
      <c r="G1419">
        <v>675000</v>
      </c>
      <c r="H1419" t="s">
        <v>8</v>
      </c>
      <c r="I1419">
        <v>0</v>
      </c>
      <c r="J1419">
        <v>0</v>
      </c>
      <c r="K1419">
        <v>0</v>
      </c>
      <c r="L1419">
        <v>0</v>
      </c>
      <c r="M1419">
        <v>0</v>
      </c>
    </row>
    <row r="1420" spans="1:13" ht="15" customHeight="1" x14ac:dyDescent="0.25">
      <c r="A1420" t="s">
        <v>2063</v>
      </c>
      <c r="B1420" t="s">
        <v>31</v>
      </c>
      <c r="C1420" t="s">
        <v>386</v>
      </c>
      <c r="D1420" t="s">
        <v>380</v>
      </c>
      <c r="E1420" t="s">
        <v>2690</v>
      </c>
      <c r="F1420">
        <v>23</v>
      </c>
      <c r="G1420">
        <v>925000</v>
      </c>
      <c r="H1420" t="s">
        <v>8</v>
      </c>
      <c r="I1420">
        <v>0</v>
      </c>
      <c r="J1420">
        <v>0</v>
      </c>
      <c r="K1420">
        <v>0</v>
      </c>
      <c r="L1420">
        <v>0</v>
      </c>
      <c r="M1420">
        <v>0</v>
      </c>
    </row>
    <row r="1421" spans="1:13" ht="15" customHeight="1" x14ac:dyDescent="0.25">
      <c r="A1421" t="s">
        <v>2017</v>
      </c>
      <c r="B1421" t="s">
        <v>21</v>
      </c>
      <c r="C1421">
        <v>0</v>
      </c>
      <c r="D1421" t="s">
        <v>2444</v>
      </c>
      <c r="E1421" t="s">
        <v>2446</v>
      </c>
      <c r="F1421">
        <v>23</v>
      </c>
      <c r="G1421">
        <v>700000</v>
      </c>
      <c r="H1421" t="s">
        <v>8</v>
      </c>
      <c r="I1421">
        <v>0</v>
      </c>
      <c r="J1421">
        <v>0</v>
      </c>
      <c r="K1421">
        <v>0</v>
      </c>
      <c r="L1421">
        <v>0</v>
      </c>
      <c r="M1421">
        <v>0</v>
      </c>
    </row>
    <row r="1422" spans="1:13" ht="15" customHeight="1" x14ac:dyDescent="0.25">
      <c r="A1422" t="s">
        <v>1947</v>
      </c>
      <c r="B1422" t="s">
        <v>29</v>
      </c>
      <c r="C1422">
        <v>0</v>
      </c>
      <c r="D1422" t="s">
        <v>380</v>
      </c>
      <c r="E1422" t="s">
        <v>2690</v>
      </c>
      <c r="F1422">
        <v>29</v>
      </c>
      <c r="G1422">
        <v>700000</v>
      </c>
      <c r="H1422">
        <v>700000</v>
      </c>
      <c r="I1422" t="s">
        <v>7</v>
      </c>
      <c r="J1422">
        <v>0</v>
      </c>
      <c r="K1422">
        <v>0</v>
      </c>
      <c r="L1422">
        <v>0</v>
      </c>
      <c r="M1422">
        <v>0</v>
      </c>
    </row>
    <row r="1423" spans="1:13" ht="15" customHeight="1" x14ac:dyDescent="0.25">
      <c r="A1423" t="s">
        <v>2033</v>
      </c>
      <c r="B1423" t="s">
        <v>23</v>
      </c>
      <c r="C1423">
        <v>0</v>
      </c>
      <c r="D1423" t="s">
        <v>2680</v>
      </c>
      <c r="E1423" t="s">
        <v>2677</v>
      </c>
      <c r="F1423">
        <v>27</v>
      </c>
      <c r="G1423">
        <v>1100000</v>
      </c>
      <c r="H1423" t="s">
        <v>7</v>
      </c>
      <c r="I1423">
        <v>0</v>
      </c>
      <c r="J1423">
        <v>0</v>
      </c>
      <c r="K1423">
        <v>0</v>
      </c>
      <c r="L1423">
        <v>0</v>
      </c>
      <c r="M1423">
        <v>0</v>
      </c>
    </row>
    <row r="1424" spans="1:13" ht="15" customHeight="1" x14ac:dyDescent="0.25">
      <c r="A1424" t="s">
        <v>1788</v>
      </c>
      <c r="B1424" t="s">
        <v>22</v>
      </c>
      <c r="C1424">
        <v>0</v>
      </c>
      <c r="D1424" t="s">
        <v>2452</v>
      </c>
      <c r="E1424" t="s">
        <v>2439</v>
      </c>
      <c r="F1424">
        <v>27</v>
      </c>
      <c r="G1424">
        <v>1400000</v>
      </c>
      <c r="H1424">
        <v>1400000</v>
      </c>
      <c r="I1424" t="s">
        <v>7</v>
      </c>
      <c r="J1424">
        <v>0</v>
      </c>
      <c r="K1424">
        <v>0</v>
      </c>
      <c r="L1424">
        <v>0</v>
      </c>
      <c r="M1424">
        <v>0</v>
      </c>
    </row>
    <row r="1425" spans="1:13" ht="15" customHeight="1" x14ac:dyDescent="0.25">
      <c r="A1425" t="s">
        <v>2834</v>
      </c>
      <c r="B1425" t="s">
        <v>22</v>
      </c>
      <c r="C1425">
        <v>0</v>
      </c>
      <c r="D1425" t="s">
        <v>2444</v>
      </c>
      <c r="E1425" t="s">
        <v>2439</v>
      </c>
      <c r="F1425">
        <v>33</v>
      </c>
      <c r="G1425">
        <v>7857143</v>
      </c>
      <c r="H1425">
        <v>7857143</v>
      </c>
      <c r="I1425">
        <v>7857143</v>
      </c>
      <c r="J1425">
        <v>7857143</v>
      </c>
      <c r="K1425">
        <v>7857143</v>
      </c>
      <c r="L1425">
        <v>7857143</v>
      </c>
      <c r="M1425">
        <v>7857143</v>
      </c>
    </row>
    <row r="1426" spans="1:13" ht="15" customHeight="1" x14ac:dyDescent="0.25">
      <c r="A1426" t="s">
        <v>2028</v>
      </c>
      <c r="B1426" t="s">
        <v>23</v>
      </c>
      <c r="C1426">
        <v>0</v>
      </c>
      <c r="D1426" t="s">
        <v>379</v>
      </c>
      <c r="E1426" t="s">
        <v>2677</v>
      </c>
      <c r="F1426">
        <v>30</v>
      </c>
      <c r="G1426">
        <v>675000</v>
      </c>
      <c r="H1426" t="s">
        <v>7</v>
      </c>
      <c r="I1426">
        <v>0</v>
      </c>
      <c r="J1426">
        <v>0</v>
      </c>
      <c r="K1426">
        <v>0</v>
      </c>
      <c r="L1426">
        <v>0</v>
      </c>
      <c r="M1426">
        <v>0</v>
      </c>
    </row>
    <row r="1427" spans="1:13" ht="15" customHeight="1" x14ac:dyDescent="0.25">
      <c r="A1427" t="s">
        <v>1414</v>
      </c>
      <c r="B1427" t="s">
        <v>32</v>
      </c>
      <c r="C1427">
        <v>0</v>
      </c>
      <c r="D1427" t="s">
        <v>127</v>
      </c>
      <c r="E1427" t="s">
        <v>2446</v>
      </c>
      <c r="F1427">
        <v>26</v>
      </c>
      <c r="G1427">
        <v>700000</v>
      </c>
      <c r="H1427" t="s">
        <v>7</v>
      </c>
      <c r="I1427">
        <v>0</v>
      </c>
      <c r="J1427">
        <v>0</v>
      </c>
      <c r="K1427">
        <v>0</v>
      </c>
      <c r="L1427">
        <v>0</v>
      </c>
      <c r="M1427">
        <v>0</v>
      </c>
    </row>
    <row r="1428" spans="1:13" ht="15" customHeight="1" x14ac:dyDescent="0.25">
      <c r="A1428" t="s">
        <v>2463</v>
      </c>
      <c r="B1428" t="s">
        <v>13</v>
      </c>
      <c r="C1428" t="s">
        <v>386</v>
      </c>
      <c r="D1428" t="s">
        <v>2442</v>
      </c>
      <c r="E1428" t="s">
        <v>2446</v>
      </c>
      <c r="F1428">
        <v>26</v>
      </c>
      <c r="G1428">
        <v>925000</v>
      </c>
      <c r="H1428" t="s">
        <v>7</v>
      </c>
      <c r="I1428">
        <v>0</v>
      </c>
      <c r="J1428">
        <v>0</v>
      </c>
      <c r="K1428">
        <v>0</v>
      </c>
      <c r="L1428">
        <v>0</v>
      </c>
      <c r="M1428">
        <v>0</v>
      </c>
    </row>
    <row r="1429" spans="1:13" ht="15" customHeight="1" x14ac:dyDescent="0.25">
      <c r="A1429" t="s">
        <v>1463</v>
      </c>
      <c r="B1429" t="s">
        <v>2531</v>
      </c>
      <c r="C1429">
        <v>0</v>
      </c>
      <c r="D1429" t="s">
        <v>379</v>
      </c>
      <c r="E1429" t="s">
        <v>2677</v>
      </c>
      <c r="F1429">
        <v>25</v>
      </c>
      <c r="G1429">
        <v>1600000</v>
      </c>
      <c r="H1429" t="s">
        <v>8</v>
      </c>
      <c r="I1429">
        <v>0</v>
      </c>
      <c r="J1429">
        <v>0</v>
      </c>
      <c r="K1429">
        <v>0</v>
      </c>
      <c r="L1429">
        <v>0</v>
      </c>
      <c r="M1429">
        <v>0</v>
      </c>
    </row>
    <row r="1430" spans="1:13" ht="15" customHeight="1" x14ac:dyDescent="0.25">
      <c r="A1430" t="s">
        <v>1786</v>
      </c>
      <c r="B1430" t="s">
        <v>22</v>
      </c>
      <c r="C1430">
        <v>0</v>
      </c>
      <c r="D1430" t="s">
        <v>2441</v>
      </c>
      <c r="E1430" t="s">
        <v>2439</v>
      </c>
      <c r="F1430">
        <v>31</v>
      </c>
      <c r="G1430">
        <v>2350000</v>
      </c>
      <c r="H1430" t="s">
        <v>7</v>
      </c>
      <c r="I1430">
        <v>0</v>
      </c>
      <c r="J1430">
        <v>0</v>
      </c>
      <c r="K1430">
        <v>0</v>
      </c>
      <c r="L1430">
        <v>0</v>
      </c>
      <c r="M1430">
        <v>0</v>
      </c>
    </row>
    <row r="1431" spans="1:13" ht="15" customHeight="1" x14ac:dyDescent="0.25">
      <c r="A1431" t="s">
        <v>2145</v>
      </c>
      <c r="B1431" t="s">
        <v>28</v>
      </c>
      <c r="C1431">
        <v>0</v>
      </c>
      <c r="D1431" t="s">
        <v>2444</v>
      </c>
      <c r="E1431" t="s">
        <v>2446</v>
      </c>
      <c r="F1431">
        <v>26</v>
      </c>
      <c r="G1431">
        <v>750000</v>
      </c>
      <c r="H1431" t="s">
        <v>7</v>
      </c>
      <c r="I1431">
        <v>0</v>
      </c>
      <c r="J1431">
        <v>0</v>
      </c>
      <c r="K1431">
        <v>0</v>
      </c>
      <c r="L1431">
        <v>0</v>
      </c>
      <c r="M1431">
        <v>0</v>
      </c>
    </row>
    <row r="1432" spans="1:13" ht="15" customHeight="1" x14ac:dyDescent="0.25">
      <c r="A1432" t="s">
        <v>2244</v>
      </c>
      <c r="B1432" t="s">
        <v>18</v>
      </c>
      <c r="C1432" t="s">
        <v>386</v>
      </c>
      <c r="D1432" t="s">
        <v>127</v>
      </c>
      <c r="E1432" t="s">
        <v>2446</v>
      </c>
      <c r="F1432">
        <v>21</v>
      </c>
      <c r="G1432">
        <v>910833</v>
      </c>
      <c r="H1432">
        <v>910833</v>
      </c>
      <c r="I1432" t="s">
        <v>8</v>
      </c>
      <c r="J1432">
        <v>0</v>
      </c>
      <c r="K1432">
        <v>0</v>
      </c>
      <c r="L1432">
        <v>0</v>
      </c>
      <c r="M1432">
        <v>0</v>
      </c>
    </row>
    <row r="1433" spans="1:13" ht="15" customHeight="1" x14ac:dyDescent="0.25">
      <c r="A1433" t="s">
        <v>1656</v>
      </c>
      <c r="B1433" t="s">
        <v>14</v>
      </c>
      <c r="C1433">
        <v>0</v>
      </c>
      <c r="D1433" t="s">
        <v>73</v>
      </c>
      <c r="E1433" t="s">
        <v>2439</v>
      </c>
      <c r="F1433">
        <v>24</v>
      </c>
      <c r="G1433">
        <v>4900000</v>
      </c>
      <c r="H1433">
        <v>4900000</v>
      </c>
      <c r="I1433">
        <v>4900000</v>
      </c>
      <c r="J1433">
        <v>4900000</v>
      </c>
      <c r="K1433" t="s">
        <v>7</v>
      </c>
      <c r="L1433">
        <v>0</v>
      </c>
      <c r="M1433">
        <v>0</v>
      </c>
    </row>
    <row r="1434" spans="1:13" ht="15" customHeight="1" x14ac:dyDescent="0.25">
      <c r="A1434" t="s">
        <v>1666</v>
      </c>
      <c r="B1434" t="s">
        <v>14</v>
      </c>
      <c r="C1434">
        <v>0</v>
      </c>
      <c r="D1434" t="s">
        <v>2445</v>
      </c>
      <c r="E1434" t="s">
        <v>2439</v>
      </c>
      <c r="F1434">
        <v>22</v>
      </c>
      <c r="G1434" t="s">
        <v>8</v>
      </c>
      <c r="H1434">
        <v>0</v>
      </c>
      <c r="I1434">
        <v>0</v>
      </c>
      <c r="J1434">
        <v>0</v>
      </c>
      <c r="K1434">
        <v>0</v>
      </c>
      <c r="L1434">
        <v>0</v>
      </c>
      <c r="M1434">
        <v>0</v>
      </c>
    </row>
    <row r="1435" spans="1:13" ht="15" customHeight="1" x14ac:dyDescent="0.25">
      <c r="A1435" t="s">
        <v>2669</v>
      </c>
      <c r="B1435" t="s">
        <v>15</v>
      </c>
      <c r="C1435" t="s">
        <v>386</v>
      </c>
      <c r="D1435" t="s">
        <v>127</v>
      </c>
      <c r="E1435" t="s">
        <v>2446</v>
      </c>
      <c r="F1435">
        <v>22</v>
      </c>
      <c r="G1435">
        <v>925000</v>
      </c>
      <c r="H1435">
        <v>925000</v>
      </c>
      <c r="I1435" t="s">
        <v>8</v>
      </c>
      <c r="J1435">
        <v>0</v>
      </c>
      <c r="K1435">
        <v>0</v>
      </c>
      <c r="L1435">
        <v>0</v>
      </c>
      <c r="M1435">
        <v>0</v>
      </c>
    </row>
    <row r="1436" spans="1:13" ht="15" customHeight="1" x14ac:dyDescent="0.25">
      <c r="A1436" t="s">
        <v>2034</v>
      </c>
      <c r="B1436" t="s">
        <v>23</v>
      </c>
      <c r="C1436" t="s">
        <v>386</v>
      </c>
      <c r="D1436" t="s">
        <v>127</v>
      </c>
      <c r="E1436" t="s">
        <v>2690</v>
      </c>
      <c r="F1436">
        <v>22</v>
      </c>
      <c r="G1436">
        <v>925000</v>
      </c>
      <c r="H1436">
        <v>925000</v>
      </c>
      <c r="I1436" t="s">
        <v>8</v>
      </c>
      <c r="J1436">
        <v>0</v>
      </c>
      <c r="K1436">
        <v>0</v>
      </c>
      <c r="L1436">
        <v>0</v>
      </c>
      <c r="M1436">
        <v>0</v>
      </c>
    </row>
    <row r="1437" spans="1:13" ht="15" customHeight="1" x14ac:dyDescent="0.25">
      <c r="A1437" t="s">
        <v>2846</v>
      </c>
      <c r="B1437" t="s">
        <v>35</v>
      </c>
      <c r="C1437" t="s">
        <v>420</v>
      </c>
      <c r="D1437" t="s">
        <v>2438</v>
      </c>
      <c r="E1437" t="s">
        <v>2439</v>
      </c>
      <c r="F1437">
        <v>32</v>
      </c>
      <c r="G1437">
        <v>8250000</v>
      </c>
      <c r="H1437">
        <v>8250000</v>
      </c>
      <c r="I1437">
        <v>8250000</v>
      </c>
      <c r="J1437">
        <v>8250000</v>
      </c>
      <c r="K1437">
        <v>8250000</v>
      </c>
      <c r="L1437" t="s">
        <v>7</v>
      </c>
      <c r="M1437">
        <v>0</v>
      </c>
    </row>
    <row r="1438" spans="1:13" ht="15" customHeight="1" x14ac:dyDescent="0.25">
      <c r="A1438" t="s">
        <v>1522</v>
      </c>
      <c r="B1438" t="s">
        <v>27</v>
      </c>
      <c r="C1438">
        <v>0</v>
      </c>
      <c r="D1438" t="s">
        <v>2453</v>
      </c>
      <c r="E1438" t="s">
        <v>2439</v>
      </c>
      <c r="F1438">
        <v>22</v>
      </c>
      <c r="G1438" t="s">
        <v>8</v>
      </c>
      <c r="H1438">
        <v>0</v>
      </c>
      <c r="I1438">
        <v>0</v>
      </c>
      <c r="J1438">
        <v>0</v>
      </c>
      <c r="K1438">
        <v>0</v>
      </c>
      <c r="L1438">
        <v>0</v>
      </c>
      <c r="M1438">
        <v>0</v>
      </c>
    </row>
    <row r="1439" spans="1:13" ht="15" customHeight="1" x14ac:dyDescent="0.25">
      <c r="A1439" t="s">
        <v>1714</v>
      </c>
      <c r="B1439" t="s">
        <v>24</v>
      </c>
      <c r="C1439" t="s">
        <v>386</v>
      </c>
      <c r="D1439" t="s">
        <v>82</v>
      </c>
      <c r="E1439" t="s">
        <v>2446</v>
      </c>
      <c r="F1439">
        <v>22</v>
      </c>
      <c r="G1439">
        <v>935833</v>
      </c>
      <c r="H1439" t="s">
        <v>8</v>
      </c>
      <c r="I1439">
        <v>0</v>
      </c>
      <c r="J1439">
        <v>0</v>
      </c>
      <c r="K1439">
        <v>0</v>
      </c>
      <c r="L1439">
        <v>0</v>
      </c>
      <c r="M1439">
        <v>0</v>
      </c>
    </row>
    <row r="1440" spans="1:13" ht="15" customHeight="1" x14ac:dyDescent="0.25">
      <c r="A1440" t="s">
        <v>2384</v>
      </c>
      <c r="B1440" t="s">
        <v>135</v>
      </c>
      <c r="C1440" t="s">
        <v>386</v>
      </c>
      <c r="D1440" t="s">
        <v>379</v>
      </c>
      <c r="E1440" t="s">
        <v>2690</v>
      </c>
      <c r="F1440">
        <v>22</v>
      </c>
      <c r="G1440">
        <v>1491667</v>
      </c>
      <c r="H1440" t="s">
        <v>8</v>
      </c>
      <c r="I1440">
        <v>0</v>
      </c>
      <c r="J1440">
        <v>0</v>
      </c>
      <c r="K1440">
        <v>0</v>
      </c>
      <c r="L1440">
        <v>0</v>
      </c>
      <c r="M1440">
        <v>0</v>
      </c>
    </row>
    <row r="1441" spans="1:13" ht="15" customHeight="1" x14ac:dyDescent="0.25">
      <c r="A1441" t="s">
        <v>2742</v>
      </c>
      <c r="B1441" t="s">
        <v>6</v>
      </c>
      <c r="C1441">
        <v>0</v>
      </c>
      <c r="D1441" t="s">
        <v>2444</v>
      </c>
      <c r="E1441" t="s">
        <v>2446</v>
      </c>
      <c r="F1441">
        <v>29</v>
      </c>
      <c r="G1441">
        <v>700000</v>
      </c>
      <c r="H1441" t="s">
        <v>7</v>
      </c>
      <c r="I1441">
        <v>0</v>
      </c>
      <c r="J1441">
        <v>0</v>
      </c>
      <c r="K1441">
        <v>0</v>
      </c>
      <c r="L1441">
        <v>0</v>
      </c>
      <c r="M1441">
        <v>0</v>
      </c>
    </row>
    <row r="1442" spans="1:13" ht="15" customHeight="1" x14ac:dyDescent="0.25">
      <c r="A1442" t="s">
        <v>2321</v>
      </c>
      <c r="B1442" t="s">
        <v>30</v>
      </c>
      <c r="C1442" t="s">
        <v>386</v>
      </c>
      <c r="D1442" t="s">
        <v>73</v>
      </c>
      <c r="E1442" t="s">
        <v>2446</v>
      </c>
      <c r="F1442">
        <v>22</v>
      </c>
      <c r="G1442">
        <v>736667</v>
      </c>
      <c r="H1442" t="s">
        <v>8</v>
      </c>
      <c r="I1442">
        <v>0</v>
      </c>
      <c r="J1442">
        <v>0</v>
      </c>
      <c r="K1442">
        <v>0</v>
      </c>
      <c r="L1442">
        <v>0</v>
      </c>
      <c r="M1442">
        <v>0</v>
      </c>
    </row>
    <row r="1443" spans="1:13" ht="15" customHeight="1" x14ac:dyDescent="0.25">
      <c r="A1443" t="s">
        <v>2577</v>
      </c>
      <c r="B1443" t="s">
        <v>25</v>
      </c>
      <c r="C1443" t="s">
        <v>388</v>
      </c>
      <c r="D1443" t="s">
        <v>2444</v>
      </c>
      <c r="E1443" t="s">
        <v>389</v>
      </c>
      <c r="F1443">
        <v>19</v>
      </c>
      <c r="G1443">
        <v>910833</v>
      </c>
      <c r="H1443">
        <v>910833</v>
      </c>
      <c r="I1443">
        <v>910833</v>
      </c>
      <c r="J1443" t="s">
        <v>8</v>
      </c>
      <c r="K1443">
        <v>0</v>
      </c>
      <c r="L1443">
        <v>0</v>
      </c>
      <c r="M1443">
        <v>0</v>
      </c>
    </row>
    <row r="1444" spans="1:13" ht="15" customHeight="1" x14ac:dyDescent="0.25">
      <c r="A1444" t="s">
        <v>2515</v>
      </c>
      <c r="B1444" t="s">
        <v>23</v>
      </c>
      <c r="C1444" t="s">
        <v>386</v>
      </c>
      <c r="D1444" t="s">
        <v>73</v>
      </c>
      <c r="E1444" t="s">
        <v>2690</v>
      </c>
      <c r="F1444">
        <v>22</v>
      </c>
      <c r="G1444">
        <v>925000</v>
      </c>
      <c r="H1444">
        <v>925000</v>
      </c>
      <c r="I1444" t="s">
        <v>8</v>
      </c>
      <c r="J1444">
        <v>0</v>
      </c>
      <c r="K1444">
        <v>0</v>
      </c>
      <c r="L1444">
        <v>0</v>
      </c>
      <c r="M1444">
        <v>0</v>
      </c>
    </row>
    <row r="1445" spans="1:13" ht="15" customHeight="1" x14ac:dyDescent="0.25">
      <c r="A1445" t="s">
        <v>1818</v>
      </c>
      <c r="B1445" t="s">
        <v>28</v>
      </c>
      <c r="C1445">
        <v>0</v>
      </c>
      <c r="D1445" t="s">
        <v>2444</v>
      </c>
      <c r="E1445" t="s">
        <v>2446</v>
      </c>
      <c r="F1445">
        <v>25</v>
      </c>
      <c r="G1445">
        <v>675000</v>
      </c>
      <c r="H1445" t="s">
        <v>8</v>
      </c>
      <c r="I1445">
        <v>0</v>
      </c>
      <c r="J1445">
        <v>0</v>
      </c>
      <c r="K1445">
        <v>0</v>
      </c>
      <c r="L1445">
        <v>0</v>
      </c>
      <c r="M1445">
        <v>0</v>
      </c>
    </row>
    <row r="1446" spans="1:13" ht="15" customHeight="1" x14ac:dyDescent="0.25">
      <c r="A1446" t="s">
        <v>1875</v>
      </c>
      <c r="B1446" t="s">
        <v>2503</v>
      </c>
      <c r="C1446">
        <v>0</v>
      </c>
      <c r="D1446" t="s">
        <v>379</v>
      </c>
      <c r="E1446" t="s">
        <v>2690</v>
      </c>
      <c r="F1446">
        <v>24</v>
      </c>
      <c r="G1446">
        <v>700000</v>
      </c>
      <c r="H1446" t="s">
        <v>8</v>
      </c>
      <c r="I1446">
        <v>0</v>
      </c>
      <c r="J1446">
        <v>0</v>
      </c>
      <c r="K1446">
        <v>0</v>
      </c>
      <c r="L1446">
        <v>0</v>
      </c>
      <c r="M1446">
        <v>0</v>
      </c>
    </row>
    <row r="1447" spans="1:13" ht="15" customHeight="1" x14ac:dyDescent="0.25">
      <c r="A1447" t="s">
        <v>1916</v>
      </c>
      <c r="B1447" t="s">
        <v>15</v>
      </c>
      <c r="C1447">
        <v>0</v>
      </c>
      <c r="D1447" t="s">
        <v>2452</v>
      </c>
      <c r="E1447" t="s">
        <v>2439</v>
      </c>
      <c r="F1447">
        <v>29</v>
      </c>
      <c r="G1447">
        <v>2600000</v>
      </c>
      <c r="H1447" t="s">
        <v>7</v>
      </c>
      <c r="I1447">
        <v>0</v>
      </c>
      <c r="J1447">
        <v>0</v>
      </c>
      <c r="K1447">
        <v>0</v>
      </c>
      <c r="L1447">
        <v>0</v>
      </c>
      <c r="M1447">
        <v>0</v>
      </c>
    </row>
    <row r="1448" spans="1:13" ht="15" customHeight="1" x14ac:dyDescent="0.25">
      <c r="A1448" t="s">
        <v>2682</v>
      </c>
      <c r="B1448" t="s">
        <v>33</v>
      </c>
      <c r="C1448">
        <v>0</v>
      </c>
      <c r="D1448" t="s">
        <v>2680</v>
      </c>
      <c r="E1448" t="s">
        <v>2677</v>
      </c>
      <c r="F1448">
        <v>28</v>
      </c>
      <c r="G1448">
        <v>725000</v>
      </c>
      <c r="H1448" t="s">
        <v>7</v>
      </c>
      <c r="I1448">
        <v>0</v>
      </c>
      <c r="J1448">
        <v>0</v>
      </c>
      <c r="K1448">
        <v>0</v>
      </c>
      <c r="L1448">
        <v>0</v>
      </c>
      <c r="M1448">
        <v>0</v>
      </c>
    </row>
    <row r="1449" spans="1:13" ht="15" customHeight="1" x14ac:dyDescent="0.25">
      <c r="A1449" t="s">
        <v>1388</v>
      </c>
      <c r="B1449" t="s">
        <v>10</v>
      </c>
      <c r="C1449">
        <v>0</v>
      </c>
      <c r="D1449" t="s">
        <v>93</v>
      </c>
      <c r="E1449" t="s">
        <v>2677</v>
      </c>
      <c r="F1449">
        <v>27</v>
      </c>
      <c r="G1449">
        <v>1050000</v>
      </c>
      <c r="H1449" t="s">
        <v>7</v>
      </c>
      <c r="I1449">
        <v>0</v>
      </c>
      <c r="J1449">
        <v>0</v>
      </c>
      <c r="K1449">
        <v>0</v>
      </c>
      <c r="L1449">
        <v>0</v>
      </c>
      <c r="M1449">
        <v>0</v>
      </c>
    </row>
    <row r="1450" spans="1:13" ht="15" customHeight="1" x14ac:dyDescent="0.25">
      <c r="A1450" t="s">
        <v>1853</v>
      </c>
      <c r="B1450" t="s">
        <v>2503</v>
      </c>
      <c r="C1450">
        <v>0</v>
      </c>
      <c r="D1450" t="s">
        <v>88</v>
      </c>
      <c r="E1450" t="s">
        <v>2677</v>
      </c>
      <c r="F1450">
        <v>25</v>
      </c>
      <c r="G1450">
        <v>5166666</v>
      </c>
      <c r="H1450">
        <v>5166666</v>
      </c>
      <c r="I1450">
        <v>5166666</v>
      </c>
      <c r="J1450">
        <v>5166666</v>
      </c>
      <c r="K1450">
        <v>5166666</v>
      </c>
      <c r="L1450" t="s">
        <v>7</v>
      </c>
      <c r="M1450">
        <v>0</v>
      </c>
    </row>
    <row r="1451" spans="1:13" ht="15" customHeight="1" x14ac:dyDescent="0.25">
      <c r="A1451" t="s">
        <v>1429</v>
      </c>
      <c r="B1451" t="s">
        <v>32</v>
      </c>
      <c r="C1451">
        <v>0</v>
      </c>
      <c r="D1451" t="s">
        <v>2556</v>
      </c>
      <c r="E1451" t="s">
        <v>2439</v>
      </c>
      <c r="F1451">
        <v>29</v>
      </c>
      <c r="G1451">
        <v>700000</v>
      </c>
      <c r="H1451">
        <v>700000</v>
      </c>
      <c r="I1451" t="s">
        <v>7</v>
      </c>
      <c r="J1451">
        <v>0</v>
      </c>
      <c r="K1451">
        <v>0</v>
      </c>
      <c r="L1451">
        <v>0</v>
      </c>
      <c r="M1451">
        <v>0</v>
      </c>
    </row>
    <row r="1452" spans="1:13" ht="15" customHeight="1" x14ac:dyDescent="0.25">
      <c r="A1452" t="s">
        <v>1525</v>
      </c>
      <c r="B1452" t="s">
        <v>27</v>
      </c>
      <c r="C1452">
        <v>0</v>
      </c>
      <c r="D1452" t="s">
        <v>2445</v>
      </c>
      <c r="E1452" t="s">
        <v>2439</v>
      </c>
      <c r="F1452">
        <v>24</v>
      </c>
      <c r="G1452">
        <v>900000</v>
      </c>
      <c r="H1452">
        <v>900000</v>
      </c>
      <c r="I1452" t="s">
        <v>8</v>
      </c>
      <c r="J1452">
        <v>0</v>
      </c>
      <c r="K1452">
        <v>0</v>
      </c>
      <c r="L1452">
        <v>0</v>
      </c>
      <c r="M1452">
        <v>0</v>
      </c>
    </row>
    <row r="1453" spans="1:13" ht="15" customHeight="1" x14ac:dyDescent="0.25">
      <c r="A1453" t="s">
        <v>2602</v>
      </c>
      <c r="B1453" t="s">
        <v>33</v>
      </c>
      <c r="C1453" t="s">
        <v>386</v>
      </c>
      <c r="D1453" t="s">
        <v>127</v>
      </c>
      <c r="E1453" t="s">
        <v>2690</v>
      </c>
      <c r="F1453">
        <v>21</v>
      </c>
      <c r="G1453">
        <v>800000</v>
      </c>
      <c r="H1453">
        <v>800000</v>
      </c>
      <c r="I1453" t="s">
        <v>8</v>
      </c>
      <c r="J1453">
        <v>0</v>
      </c>
      <c r="K1453">
        <v>0</v>
      </c>
      <c r="L1453">
        <v>0</v>
      </c>
      <c r="M1453">
        <v>0</v>
      </c>
    </row>
    <row r="1454" spans="1:13" ht="15" customHeight="1" x14ac:dyDescent="0.25">
      <c r="A1454" t="s">
        <v>2553</v>
      </c>
      <c r="B1454" t="s">
        <v>34</v>
      </c>
      <c r="C1454" t="s">
        <v>388</v>
      </c>
      <c r="D1454" t="s">
        <v>82</v>
      </c>
      <c r="E1454" t="s">
        <v>389</v>
      </c>
      <c r="F1454">
        <v>19</v>
      </c>
      <c r="G1454">
        <v>1075000</v>
      </c>
      <c r="H1454">
        <v>1075000</v>
      </c>
      <c r="I1454">
        <v>1075000</v>
      </c>
      <c r="J1454" t="s">
        <v>8</v>
      </c>
      <c r="K1454">
        <v>0</v>
      </c>
      <c r="L1454">
        <v>0</v>
      </c>
      <c r="M1454">
        <v>0</v>
      </c>
    </row>
    <row r="1455" spans="1:13" ht="15" customHeight="1" x14ac:dyDescent="0.25">
      <c r="A1455" t="s">
        <v>2325</v>
      </c>
      <c r="B1455" t="s">
        <v>11</v>
      </c>
      <c r="C1455">
        <v>0</v>
      </c>
      <c r="D1455" t="s">
        <v>2444</v>
      </c>
      <c r="E1455" t="s">
        <v>2446</v>
      </c>
      <c r="F1455">
        <v>23</v>
      </c>
      <c r="G1455">
        <v>700000</v>
      </c>
      <c r="H1455" t="s">
        <v>8</v>
      </c>
      <c r="I1455">
        <v>0</v>
      </c>
      <c r="J1455">
        <v>0</v>
      </c>
      <c r="K1455">
        <v>0</v>
      </c>
      <c r="L1455">
        <v>0</v>
      </c>
      <c r="M1455">
        <v>0</v>
      </c>
    </row>
    <row r="1456" spans="1:13" ht="15" customHeight="1" x14ac:dyDescent="0.25">
      <c r="A1456" t="s">
        <v>1699</v>
      </c>
      <c r="B1456" t="s">
        <v>24</v>
      </c>
      <c r="C1456">
        <v>0</v>
      </c>
      <c r="D1456" t="s">
        <v>2440</v>
      </c>
      <c r="E1456" t="s">
        <v>2439</v>
      </c>
      <c r="F1456">
        <v>23</v>
      </c>
      <c r="G1456">
        <v>2750000</v>
      </c>
      <c r="H1456">
        <v>2750000</v>
      </c>
      <c r="I1456">
        <v>2750000</v>
      </c>
      <c r="J1456" t="s">
        <v>8</v>
      </c>
      <c r="K1456">
        <v>0</v>
      </c>
      <c r="L1456">
        <v>0</v>
      </c>
      <c r="M1456">
        <v>0</v>
      </c>
    </row>
    <row r="1457" spans="1:13" ht="15" customHeight="1" x14ac:dyDescent="0.25">
      <c r="A1457" t="s">
        <v>1748</v>
      </c>
      <c r="B1457" t="s">
        <v>25</v>
      </c>
      <c r="C1457" t="s">
        <v>386</v>
      </c>
      <c r="D1457" t="s">
        <v>82</v>
      </c>
      <c r="E1457" t="s">
        <v>2446</v>
      </c>
      <c r="F1457">
        <v>21</v>
      </c>
      <c r="G1457">
        <v>854722</v>
      </c>
      <c r="H1457" t="s">
        <v>8</v>
      </c>
      <c r="I1457">
        <v>0</v>
      </c>
      <c r="J1457">
        <v>0</v>
      </c>
      <c r="K1457">
        <v>0</v>
      </c>
      <c r="L1457">
        <v>0</v>
      </c>
      <c r="M1457">
        <v>0</v>
      </c>
    </row>
    <row r="1458" spans="1:13" ht="15" customHeight="1" x14ac:dyDescent="0.25">
      <c r="A1458" t="s">
        <v>2076</v>
      </c>
      <c r="B1458" t="s">
        <v>28</v>
      </c>
      <c r="C1458">
        <v>0</v>
      </c>
      <c r="D1458" t="s">
        <v>2445</v>
      </c>
      <c r="E1458" t="s">
        <v>2446</v>
      </c>
      <c r="F1458">
        <v>26</v>
      </c>
      <c r="G1458">
        <v>700000</v>
      </c>
      <c r="H1458">
        <v>700000</v>
      </c>
      <c r="I1458" t="s">
        <v>7</v>
      </c>
      <c r="J1458">
        <v>0</v>
      </c>
      <c r="K1458">
        <v>0</v>
      </c>
      <c r="L1458">
        <v>0</v>
      </c>
      <c r="M1458">
        <v>0</v>
      </c>
    </row>
    <row r="1459" spans="1:13" ht="15" customHeight="1" x14ac:dyDescent="0.25">
      <c r="A1459" t="s">
        <v>2234</v>
      </c>
      <c r="B1459" t="s">
        <v>18</v>
      </c>
      <c r="C1459" t="s">
        <v>386</v>
      </c>
      <c r="D1459" t="s">
        <v>2453</v>
      </c>
      <c r="E1459" t="s">
        <v>2446</v>
      </c>
      <c r="F1459">
        <v>20</v>
      </c>
      <c r="G1459">
        <v>1124166</v>
      </c>
      <c r="H1459">
        <v>1124166</v>
      </c>
      <c r="I1459" t="s">
        <v>8</v>
      </c>
      <c r="J1459">
        <v>0</v>
      </c>
      <c r="K1459">
        <v>0</v>
      </c>
      <c r="L1459">
        <v>0</v>
      </c>
      <c r="M1459">
        <v>0</v>
      </c>
    </row>
    <row r="1460" spans="1:13" ht="15" customHeight="1" x14ac:dyDescent="0.25">
      <c r="A1460" t="s">
        <v>1575</v>
      </c>
      <c r="B1460" t="s">
        <v>32</v>
      </c>
      <c r="C1460" t="s">
        <v>386</v>
      </c>
      <c r="D1460" t="s">
        <v>2440</v>
      </c>
      <c r="E1460" t="s">
        <v>2446</v>
      </c>
      <c r="F1460">
        <v>22</v>
      </c>
      <c r="G1460">
        <v>935833</v>
      </c>
      <c r="H1460" t="s">
        <v>8</v>
      </c>
      <c r="I1460">
        <v>0</v>
      </c>
      <c r="J1460">
        <v>0</v>
      </c>
      <c r="K1460">
        <v>0</v>
      </c>
      <c r="L1460">
        <v>0</v>
      </c>
      <c r="M1460">
        <v>0</v>
      </c>
    </row>
    <row r="1461" spans="1:13" ht="15" customHeight="1" x14ac:dyDescent="0.25">
      <c r="A1461" t="s">
        <v>2784</v>
      </c>
      <c r="B1461" t="s">
        <v>2531</v>
      </c>
      <c r="C1461" t="s">
        <v>420</v>
      </c>
      <c r="D1461" t="s">
        <v>380</v>
      </c>
      <c r="E1461" t="s">
        <v>2677</v>
      </c>
      <c r="F1461">
        <v>32</v>
      </c>
      <c r="G1461">
        <v>6350000</v>
      </c>
      <c r="H1461">
        <v>6350000</v>
      </c>
      <c r="I1461">
        <v>6350000</v>
      </c>
      <c r="J1461">
        <v>6350000</v>
      </c>
      <c r="K1461" t="s">
        <v>7</v>
      </c>
      <c r="L1461">
        <v>0</v>
      </c>
      <c r="M1461">
        <v>0</v>
      </c>
    </row>
    <row r="1462" spans="1:13" ht="15" customHeight="1" x14ac:dyDescent="0.25">
      <c r="A1462" t="s">
        <v>2587</v>
      </c>
      <c r="B1462" t="s">
        <v>12</v>
      </c>
      <c r="C1462" t="s">
        <v>386</v>
      </c>
      <c r="D1462" t="s">
        <v>2444</v>
      </c>
      <c r="E1462" t="s">
        <v>2446</v>
      </c>
      <c r="F1462">
        <v>23</v>
      </c>
      <c r="G1462">
        <v>1350000</v>
      </c>
      <c r="H1462">
        <v>1350000</v>
      </c>
      <c r="I1462" t="s">
        <v>8</v>
      </c>
      <c r="J1462">
        <v>0</v>
      </c>
      <c r="K1462">
        <v>0</v>
      </c>
      <c r="L1462">
        <v>0</v>
      </c>
      <c r="M1462">
        <v>0</v>
      </c>
    </row>
    <row r="1463" spans="1:13" ht="15" customHeight="1" x14ac:dyDescent="0.25">
      <c r="A1463" t="s">
        <v>2539</v>
      </c>
      <c r="B1463" t="s">
        <v>30</v>
      </c>
      <c r="C1463" t="s">
        <v>386</v>
      </c>
      <c r="D1463" t="s">
        <v>2440</v>
      </c>
      <c r="E1463" t="s">
        <v>2446</v>
      </c>
      <c r="F1463">
        <v>22</v>
      </c>
      <c r="G1463">
        <v>925000</v>
      </c>
      <c r="H1463">
        <v>925000</v>
      </c>
      <c r="I1463" t="s">
        <v>8</v>
      </c>
      <c r="J1463">
        <v>0</v>
      </c>
      <c r="K1463">
        <v>0</v>
      </c>
      <c r="L1463">
        <v>0</v>
      </c>
      <c r="M1463">
        <v>0</v>
      </c>
    </row>
    <row r="1464" spans="1:13" ht="15" customHeight="1" x14ac:dyDescent="0.25">
      <c r="A1464" t="s">
        <v>1696</v>
      </c>
      <c r="B1464" t="s">
        <v>24</v>
      </c>
      <c r="C1464">
        <v>0</v>
      </c>
      <c r="D1464" t="s">
        <v>73</v>
      </c>
      <c r="E1464" t="s">
        <v>2439</v>
      </c>
      <c r="F1464">
        <v>22</v>
      </c>
      <c r="G1464" t="s">
        <v>8</v>
      </c>
      <c r="H1464">
        <v>0</v>
      </c>
      <c r="I1464">
        <v>0</v>
      </c>
      <c r="J1464">
        <v>0</v>
      </c>
      <c r="K1464">
        <v>0</v>
      </c>
      <c r="L1464">
        <v>0</v>
      </c>
      <c r="M1464">
        <v>0</v>
      </c>
    </row>
    <row r="1465" spans="1:13" ht="15" customHeight="1" x14ac:dyDescent="0.25">
      <c r="A1465" t="s">
        <v>1439</v>
      </c>
      <c r="B1465" t="s">
        <v>17</v>
      </c>
      <c r="C1465" t="s">
        <v>386</v>
      </c>
      <c r="D1465" t="s">
        <v>2442</v>
      </c>
      <c r="E1465" t="s">
        <v>2446</v>
      </c>
      <c r="F1465">
        <v>19</v>
      </c>
      <c r="G1465">
        <v>1744167</v>
      </c>
      <c r="H1465">
        <v>1744167</v>
      </c>
      <c r="I1465">
        <v>1744167</v>
      </c>
      <c r="J1465" t="s">
        <v>8</v>
      </c>
      <c r="K1465">
        <v>0</v>
      </c>
      <c r="L1465">
        <v>0</v>
      </c>
      <c r="M1465">
        <v>0</v>
      </c>
    </row>
    <row r="1466" spans="1:13" ht="15" customHeight="1" x14ac:dyDescent="0.25">
      <c r="A1466" t="s">
        <v>1927</v>
      </c>
      <c r="B1466" t="s">
        <v>15</v>
      </c>
      <c r="C1466">
        <v>0</v>
      </c>
      <c r="D1466" t="s">
        <v>2445</v>
      </c>
      <c r="E1466" t="s">
        <v>2439</v>
      </c>
      <c r="F1466">
        <v>24</v>
      </c>
      <c r="G1466">
        <v>3200000</v>
      </c>
      <c r="H1466" t="s">
        <v>8</v>
      </c>
      <c r="I1466">
        <v>0</v>
      </c>
      <c r="J1466">
        <v>0</v>
      </c>
      <c r="K1466">
        <v>0</v>
      </c>
      <c r="L1466">
        <v>0</v>
      </c>
      <c r="M1466">
        <v>0</v>
      </c>
    </row>
    <row r="1467" spans="1:13" ht="15" customHeight="1" x14ac:dyDescent="0.25">
      <c r="A1467" t="s">
        <v>2589</v>
      </c>
      <c r="B1467" t="s">
        <v>12</v>
      </c>
      <c r="C1467" t="s">
        <v>386</v>
      </c>
      <c r="D1467" t="s">
        <v>127</v>
      </c>
      <c r="E1467" t="s">
        <v>2446</v>
      </c>
      <c r="F1467">
        <v>24</v>
      </c>
      <c r="G1467">
        <v>925000</v>
      </c>
      <c r="H1467" t="s">
        <v>8</v>
      </c>
      <c r="I1467">
        <v>0</v>
      </c>
      <c r="J1467">
        <v>0</v>
      </c>
      <c r="K1467">
        <v>0</v>
      </c>
      <c r="L1467">
        <v>0</v>
      </c>
      <c r="M1467">
        <v>0</v>
      </c>
    </row>
    <row r="1468" spans="1:13" ht="15" customHeight="1" x14ac:dyDescent="0.25">
      <c r="A1468" t="s">
        <v>1596</v>
      </c>
      <c r="B1468" t="s">
        <v>27</v>
      </c>
      <c r="C1468" t="s">
        <v>381</v>
      </c>
      <c r="D1468" t="s">
        <v>2444</v>
      </c>
      <c r="E1468" t="s">
        <v>2439</v>
      </c>
      <c r="F1468">
        <v>27</v>
      </c>
      <c r="G1468">
        <v>4500000</v>
      </c>
      <c r="H1468">
        <v>4500000</v>
      </c>
      <c r="I1468">
        <v>4500000</v>
      </c>
      <c r="J1468">
        <v>4500000</v>
      </c>
      <c r="K1468">
        <v>4500000</v>
      </c>
      <c r="L1468" t="s">
        <v>7</v>
      </c>
      <c r="M1468">
        <v>0</v>
      </c>
    </row>
    <row r="1469" spans="1:13" ht="15" customHeight="1" x14ac:dyDescent="0.25">
      <c r="A1469" t="s">
        <v>2809</v>
      </c>
      <c r="B1469" t="s">
        <v>24</v>
      </c>
      <c r="C1469" t="s">
        <v>372</v>
      </c>
      <c r="D1469" t="s">
        <v>73</v>
      </c>
      <c r="E1469" t="s">
        <v>2439</v>
      </c>
      <c r="F1469">
        <v>34</v>
      </c>
      <c r="G1469">
        <v>5750000</v>
      </c>
      <c r="H1469">
        <v>5750000</v>
      </c>
      <c r="I1469" t="s">
        <v>7</v>
      </c>
      <c r="J1469">
        <v>0</v>
      </c>
      <c r="K1469">
        <v>0</v>
      </c>
      <c r="L1469">
        <v>0</v>
      </c>
      <c r="M1469">
        <v>0</v>
      </c>
    </row>
    <row r="1470" spans="1:13" ht="15" customHeight="1" x14ac:dyDescent="0.25">
      <c r="A1470" t="s">
        <v>2636</v>
      </c>
      <c r="B1470" t="s">
        <v>28</v>
      </c>
      <c r="C1470" t="s">
        <v>388</v>
      </c>
      <c r="D1470" t="s">
        <v>2445</v>
      </c>
      <c r="E1470" t="s">
        <v>389</v>
      </c>
      <c r="F1470">
        <v>19</v>
      </c>
      <c r="G1470">
        <v>793333</v>
      </c>
      <c r="H1470">
        <v>793333</v>
      </c>
      <c r="I1470">
        <v>793333</v>
      </c>
      <c r="J1470" t="s">
        <v>8</v>
      </c>
      <c r="K1470">
        <v>0</v>
      </c>
      <c r="L1470">
        <v>0</v>
      </c>
      <c r="M1470">
        <v>0</v>
      </c>
    </row>
    <row r="1471" spans="1:13" ht="15" customHeight="1" x14ac:dyDescent="0.25">
      <c r="A1471" t="s">
        <v>2585</v>
      </c>
      <c r="B1471" t="s">
        <v>12</v>
      </c>
      <c r="C1471" t="s">
        <v>386</v>
      </c>
      <c r="D1471" t="s">
        <v>73</v>
      </c>
      <c r="E1471" t="s">
        <v>2446</v>
      </c>
      <c r="F1471">
        <v>19</v>
      </c>
      <c r="G1471">
        <v>786666</v>
      </c>
      <c r="H1471">
        <v>786666</v>
      </c>
      <c r="I1471">
        <v>786666</v>
      </c>
      <c r="J1471" t="s">
        <v>8</v>
      </c>
      <c r="K1471">
        <v>0</v>
      </c>
      <c r="L1471">
        <v>0</v>
      </c>
      <c r="M1471">
        <v>0</v>
      </c>
    </row>
    <row r="1472" spans="1:13" ht="15" customHeight="1" x14ac:dyDescent="0.25">
      <c r="A1472" t="s">
        <v>1366</v>
      </c>
      <c r="B1472" t="s">
        <v>9</v>
      </c>
      <c r="C1472" t="s">
        <v>386</v>
      </c>
      <c r="D1472" t="s">
        <v>2445</v>
      </c>
      <c r="E1472" t="s">
        <v>2446</v>
      </c>
      <c r="F1472">
        <v>22</v>
      </c>
      <c r="G1472">
        <v>1288333</v>
      </c>
      <c r="H1472" t="s">
        <v>8</v>
      </c>
      <c r="I1472">
        <v>0</v>
      </c>
      <c r="J1472">
        <v>0</v>
      </c>
      <c r="K1472">
        <v>0</v>
      </c>
      <c r="L1472">
        <v>0</v>
      </c>
      <c r="M1472">
        <v>0</v>
      </c>
    </row>
    <row r="1473" spans="1:13" ht="15" customHeight="1" x14ac:dyDescent="0.25">
      <c r="A1473" t="s">
        <v>2522</v>
      </c>
      <c r="B1473" t="s">
        <v>17</v>
      </c>
      <c r="C1473">
        <v>0</v>
      </c>
      <c r="D1473" t="s">
        <v>73</v>
      </c>
      <c r="E1473" t="s">
        <v>374</v>
      </c>
      <c r="F1473">
        <v>38</v>
      </c>
      <c r="G1473">
        <v>6083333</v>
      </c>
      <c r="H1473">
        <v>6083333</v>
      </c>
      <c r="I1473" t="s">
        <v>7</v>
      </c>
      <c r="J1473">
        <v>0</v>
      </c>
      <c r="K1473">
        <v>0</v>
      </c>
      <c r="L1473">
        <v>0</v>
      </c>
      <c r="M1473">
        <v>0</v>
      </c>
    </row>
    <row r="1474" spans="1:13" ht="15" customHeight="1" x14ac:dyDescent="0.25">
      <c r="A1474" t="s">
        <v>2648</v>
      </c>
      <c r="B1474" t="s">
        <v>24</v>
      </c>
      <c r="C1474" t="s">
        <v>386</v>
      </c>
      <c r="D1474" t="s">
        <v>2448</v>
      </c>
      <c r="E1474" t="s">
        <v>2446</v>
      </c>
      <c r="F1474">
        <v>19</v>
      </c>
      <c r="G1474">
        <v>925000</v>
      </c>
      <c r="H1474">
        <v>925000</v>
      </c>
      <c r="I1474">
        <v>925000</v>
      </c>
      <c r="J1474" t="s">
        <v>8</v>
      </c>
      <c r="K1474">
        <v>0</v>
      </c>
      <c r="L1474">
        <v>0</v>
      </c>
      <c r="M1474">
        <v>0</v>
      </c>
    </row>
    <row r="1475" spans="1:13" ht="15" customHeight="1" x14ac:dyDescent="0.25">
      <c r="A1475" t="s">
        <v>2770</v>
      </c>
      <c r="B1475" t="s">
        <v>26</v>
      </c>
      <c r="C1475" t="s">
        <v>420</v>
      </c>
      <c r="D1475" t="s">
        <v>73</v>
      </c>
      <c r="E1475" t="s">
        <v>2677</v>
      </c>
      <c r="F1475">
        <v>26</v>
      </c>
      <c r="G1475">
        <v>5350000</v>
      </c>
      <c r="H1475">
        <v>5350000</v>
      </c>
      <c r="I1475">
        <v>5350000</v>
      </c>
      <c r="J1475" t="s">
        <v>7</v>
      </c>
      <c r="K1475">
        <v>0</v>
      </c>
      <c r="L1475">
        <v>0</v>
      </c>
      <c r="M1475">
        <v>0</v>
      </c>
    </row>
    <row r="1476" spans="1:13" ht="15" customHeight="1" x14ac:dyDescent="0.25">
      <c r="A1476" t="s">
        <v>2613</v>
      </c>
      <c r="B1476" t="s">
        <v>21</v>
      </c>
      <c r="C1476" t="s">
        <v>420</v>
      </c>
      <c r="D1476" t="s">
        <v>2438</v>
      </c>
      <c r="E1476" t="s">
        <v>2439</v>
      </c>
      <c r="F1476">
        <v>31</v>
      </c>
      <c r="G1476">
        <v>6000000</v>
      </c>
      <c r="H1476">
        <v>6000000</v>
      </c>
      <c r="I1476">
        <v>6000000</v>
      </c>
      <c r="J1476">
        <v>6000000</v>
      </c>
      <c r="K1476">
        <v>6000000</v>
      </c>
      <c r="L1476" t="s">
        <v>7</v>
      </c>
      <c r="M1476">
        <v>0</v>
      </c>
    </row>
    <row r="1477" spans="1:13" ht="15" customHeight="1" x14ac:dyDescent="0.25">
      <c r="A1477" t="s">
        <v>1987</v>
      </c>
      <c r="B1477" t="s">
        <v>21</v>
      </c>
      <c r="C1477" t="s">
        <v>381</v>
      </c>
      <c r="D1477" t="s">
        <v>2442</v>
      </c>
      <c r="E1477" t="s">
        <v>2439</v>
      </c>
      <c r="F1477">
        <v>27</v>
      </c>
      <c r="G1477">
        <v>5500000</v>
      </c>
      <c r="H1477">
        <v>5500000</v>
      </c>
      <c r="I1477">
        <v>5500000</v>
      </c>
      <c r="J1477">
        <v>5500000</v>
      </c>
      <c r="K1477" t="s">
        <v>7</v>
      </c>
      <c r="L1477">
        <v>0</v>
      </c>
      <c r="M1477">
        <v>0</v>
      </c>
    </row>
    <row r="1478" spans="1:13" ht="15" customHeight="1" x14ac:dyDescent="0.25">
      <c r="A1478" t="s">
        <v>1625</v>
      </c>
      <c r="B1478" t="s">
        <v>135</v>
      </c>
      <c r="C1478">
        <v>0</v>
      </c>
      <c r="D1478" t="s">
        <v>93</v>
      </c>
      <c r="E1478" t="s">
        <v>2677</v>
      </c>
      <c r="F1478">
        <v>24</v>
      </c>
      <c r="G1478">
        <v>675000</v>
      </c>
      <c r="H1478" t="s">
        <v>8</v>
      </c>
      <c r="I1478">
        <v>0</v>
      </c>
      <c r="J1478">
        <v>0</v>
      </c>
      <c r="K1478">
        <v>0</v>
      </c>
      <c r="L1478">
        <v>0</v>
      </c>
      <c r="M1478">
        <v>0</v>
      </c>
    </row>
  </sheetData>
  <sortState ref="A2:M1479">
    <sortCondition ref="A2:A1479"/>
  </sortState>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H64"/>
  <sheetViews>
    <sheetView workbookViewId="0">
      <selection activeCell="M52" sqref="M52"/>
    </sheetView>
  </sheetViews>
  <sheetFormatPr baseColWidth="10" defaultRowHeight="15" x14ac:dyDescent="0.25"/>
  <cols>
    <col min="1" max="1" width="17.28515625" bestFit="1" customWidth="1"/>
    <col min="2" max="3" width="15.42578125" bestFit="1" customWidth="1"/>
    <col min="4" max="4" width="16.5703125" bestFit="1" customWidth="1"/>
    <col min="5" max="5" width="17.7109375" bestFit="1" customWidth="1"/>
    <col min="6" max="6" width="16.42578125" bestFit="1" customWidth="1"/>
    <col min="7" max="7" width="18" bestFit="1" customWidth="1"/>
    <col min="8" max="8" width="16.28515625" bestFit="1" customWidth="1"/>
  </cols>
  <sheetData>
    <row r="1" spans="1:8" x14ac:dyDescent="0.25">
      <c r="A1" s="15" t="s">
        <v>47</v>
      </c>
      <c r="B1" s="15" t="s">
        <v>48</v>
      </c>
      <c r="C1" s="15" t="s">
        <v>49</v>
      </c>
      <c r="D1" s="15" t="s">
        <v>50</v>
      </c>
      <c r="E1" s="15" t="s">
        <v>51</v>
      </c>
      <c r="F1" s="15" t="s">
        <v>131</v>
      </c>
      <c r="G1" s="15" t="s">
        <v>107</v>
      </c>
      <c r="H1" s="15" t="s">
        <v>132</v>
      </c>
    </row>
    <row r="2" spans="1:8" x14ac:dyDescent="0.25">
      <c r="A2" t="str">
        <f>David!B3</f>
        <v>Ryan Kesler - ANA - C, AD</v>
      </c>
      <c r="B2" t="str">
        <f>Jérôme!B3</f>
        <v>Jaden Schwartz</v>
      </c>
      <c r="C2" t="str">
        <f>Steve!B3</f>
        <v>Artemi Panarin</v>
      </c>
      <c r="D2" t="str">
        <f>Nicolas!B3</f>
        <v>Jesper Bratt</v>
      </c>
      <c r="E2" t="str">
        <f>Vincent!B3</f>
        <v>Evgeny Kuznetsov</v>
      </c>
      <c r="F2" t="str">
        <f>Sébastien_STL!B3</f>
        <v>Sidney Crosby</v>
      </c>
      <c r="G2" t="str">
        <f>Paule!B3</f>
        <v>Kevin Labanc</v>
      </c>
      <c r="H2" t="str">
        <f>Sébastien_FAU!B3</f>
        <v>William Nylander</v>
      </c>
    </row>
    <row r="3" spans="1:8" x14ac:dyDescent="0.25">
      <c r="A3" t="str">
        <f>David!B4</f>
        <v>Boe</v>
      </c>
      <c r="B3" t="str">
        <f>Jérôme!B4</f>
        <v>Jack Roslovic</v>
      </c>
      <c r="C3" t="str">
        <f>Steve!B4</f>
        <v>Mitchell Marner</v>
      </c>
      <c r="D3" t="str">
        <f>Nicolas!B4</f>
        <v>Patrick Kane</v>
      </c>
      <c r="E3" t="str">
        <f>Vincent!B4</f>
        <v>Clayton Keller</v>
      </c>
      <c r="F3" t="str">
        <f>Sébastien_STL!B4</f>
        <v>William Karlsson</v>
      </c>
      <c r="G3" t="str">
        <f>Paule!B4</f>
        <v>Steven Stamkos</v>
      </c>
      <c r="H3" t="str">
        <f>Sébastien_FAU!B4</f>
        <v>Mikael Granlund</v>
      </c>
    </row>
    <row r="4" spans="1:8" x14ac:dyDescent="0.25">
      <c r="A4">
        <f>David!B5</f>
        <v>0</v>
      </c>
      <c r="B4" t="str">
        <f>Jérôme!B5</f>
        <v>Sam Reinhart</v>
      </c>
      <c r="C4" t="str">
        <f>Steve!B5</f>
        <v>Claude Giroux</v>
      </c>
      <c r="D4" t="str">
        <f>Nicolas!B5</f>
        <v>Tomas Hertl</v>
      </c>
      <c r="E4" t="str">
        <f>Vincent!B5</f>
        <v>Nicklas Backstrom</v>
      </c>
      <c r="F4" t="str">
        <f>Sébastien_STL!B5</f>
        <v>Zach Hyman</v>
      </c>
      <c r="G4" t="str">
        <f>Paule!B5</f>
        <v>Viktor Arvidsson</v>
      </c>
      <c r="H4" t="str">
        <f>Sébastien_FAU!B5</f>
        <v>Gabriel Landeskog</v>
      </c>
    </row>
    <row r="5" spans="1:8" x14ac:dyDescent="0.25">
      <c r="A5">
        <f>David!B6</f>
        <v>0</v>
      </c>
      <c r="B5" t="str">
        <f>Jérôme!B6</f>
        <v>Patrik Laine</v>
      </c>
      <c r="C5" t="str">
        <f>Steve!B6</f>
        <v>Vincent Trocheck</v>
      </c>
      <c r="D5" t="str">
        <f>Nicolas!B6</f>
        <v>Patrick Maroon</v>
      </c>
      <c r="E5" t="str">
        <f>Vincent!B6</f>
        <v>Mikko Rantanen</v>
      </c>
      <c r="F5" t="str">
        <f>Sébastien_STL!B6</f>
        <v>Leon Draisaitl</v>
      </c>
      <c r="G5" t="str">
        <f>Paule!B6</f>
        <v>Auston Matthews</v>
      </c>
      <c r="H5" t="str">
        <f>Sébastien_FAU!B6</f>
        <v>Phillip Danault</v>
      </c>
    </row>
    <row r="6" spans="1:8" x14ac:dyDescent="0.25">
      <c r="A6">
        <f>David!B7</f>
        <v>0</v>
      </c>
      <c r="B6" t="str">
        <f>Jérôme!B7</f>
        <v>Mika Zibanejad</v>
      </c>
      <c r="C6" t="str">
        <f>Steve!B7</f>
        <v>Elias Lindholm</v>
      </c>
      <c r="D6" t="str">
        <f>Nicolas!B7</f>
        <v>Matthew Tkachuk</v>
      </c>
      <c r="E6" t="str">
        <f>Vincent!B7</f>
        <v>Mark Scheifele</v>
      </c>
      <c r="F6" t="str">
        <f>Sébastien_STL!B7</f>
        <v>Teuvo Teravainen</v>
      </c>
      <c r="G6" t="str">
        <f>Paule!B7</f>
        <v>Dylan Larkin</v>
      </c>
      <c r="H6" t="str">
        <f>Sébastien_FAU!B7</f>
        <v>Charlie Coyle</v>
      </c>
    </row>
    <row r="7" spans="1:8" x14ac:dyDescent="0.25">
      <c r="A7">
        <f>David!B8</f>
        <v>0</v>
      </c>
      <c r="B7" t="str">
        <f>Jérôme!B8</f>
        <v>Jonathan Drouin</v>
      </c>
      <c r="C7" t="str">
        <f>Steve!B8</f>
        <v>Andreas Athanasiou</v>
      </c>
      <c r="D7" t="str">
        <f>Nicolas!B8</f>
        <v>Logan Couture</v>
      </c>
      <c r="E7" t="str">
        <f>Vincent!B8</f>
        <v>Alex Debrincat</v>
      </c>
      <c r="F7" t="str">
        <f>Sébastien_STL!B8</f>
        <v>Patrice Bergeron</v>
      </c>
      <c r="G7" t="str">
        <f>Paule!B8</f>
        <v>Jeff Skinner</v>
      </c>
      <c r="H7" t="str">
        <f>Sébastien_FAU!B8</f>
        <v>Tyler Johnson</v>
      </c>
    </row>
    <row r="8" spans="1:8" x14ac:dyDescent="0.25">
      <c r="A8">
        <f>David!B9</f>
        <v>0</v>
      </c>
      <c r="B8" t="str">
        <f>Jérôme!B9</f>
        <v>Jack Eichel</v>
      </c>
      <c r="C8" t="str">
        <f>Steve!B9</f>
        <v>Connor Mcdavid</v>
      </c>
      <c r="D8" t="str">
        <f>Nicolas!B9</f>
        <v>Bo Horvat</v>
      </c>
      <c r="E8" t="str">
        <f>Vincent!B9</f>
        <v>Brayden Point</v>
      </c>
      <c r="F8" t="str">
        <f>Sébastien_STL!B9</f>
        <v>Ondrej Kase</v>
      </c>
      <c r="G8" t="str">
        <f>Paule!B9</f>
        <v>Pierre-Luc Dubois</v>
      </c>
      <c r="H8" t="str">
        <f>Sébastien_FAU!B9</f>
        <v>Nazem Kadri</v>
      </c>
    </row>
    <row r="9" spans="1:8" x14ac:dyDescent="0.25">
      <c r="A9">
        <f>David!B10</f>
        <v>0</v>
      </c>
      <c r="B9" t="str">
        <f>Jérôme!B10</f>
        <v>Nikolaj Ehlers</v>
      </c>
      <c r="C9" t="str">
        <f>Steve!B10</f>
        <v>Jakub Voracek</v>
      </c>
      <c r="D9" t="str">
        <f>Nicolas!B10</f>
        <v>Cam Atkinson</v>
      </c>
      <c r="E9" t="str">
        <f>Vincent!B10</f>
        <v>Elias Pettersson</v>
      </c>
      <c r="F9" t="str">
        <f>Sébastien_STL!B10</f>
        <v>Alexander Kerfoot</v>
      </c>
      <c r="G9" t="str">
        <f>Paule!B10</f>
        <v>Matt Duchene</v>
      </c>
      <c r="H9" t="str">
        <f>Sébastien_FAU!B10</f>
        <v>Nico Hischier</v>
      </c>
    </row>
    <row r="10" spans="1:8" x14ac:dyDescent="0.25">
      <c r="A10">
        <f>David!B11</f>
        <v>0</v>
      </c>
      <c r="B10" t="str">
        <f>Jérôme!B11</f>
        <v>Jonathan Marchessault</v>
      </c>
      <c r="C10" t="str">
        <f>Steve!B11</f>
        <v>Travis Konecny</v>
      </c>
      <c r="D10" t="str">
        <f>Nicolas!B11</f>
        <v>Tyler seguin</v>
      </c>
      <c r="E10" t="str">
        <f>Vincent!B11</f>
        <v>John Tavares</v>
      </c>
      <c r="F10" t="str">
        <f>Sébastien_STL!B11</f>
        <v>Brendan Perlini</v>
      </c>
      <c r="G10" t="str">
        <f>Paule!B11</f>
        <v>Ryan Nugent-Hopkins</v>
      </c>
      <c r="H10" t="str">
        <f>Sébastien_FAU!B11</f>
        <v>Yanni Gourde</v>
      </c>
    </row>
    <row r="11" spans="1:8" x14ac:dyDescent="0.25">
      <c r="A11">
        <f>David!B12</f>
        <v>0</v>
      </c>
      <c r="B11" t="str">
        <f>Jérôme!B12</f>
        <v>Alex Galchenyuk</v>
      </c>
      <c r="C11" t="str">
        <f>Steve!B12</f>
        <v>Johnny Gaudreau</v>
      </c>
      <c r="D11" t="str">
        <f>Nicolas!B12</f>
        <v>Filip Forsberg</v>
      </c>
      <c r="E11" t="str">
        <f>Vincent!B12</f>
        <v>Jonathan Huberdeau</v>
      </c>
      <c r="F11" t="str">
        <f>Sébastien_STL!B12</f>
        <v>Evgeni Dadonov</v>
      </c>
      <c r="G11" t="str">
        <f>Paule!B12</f>
        <v>Phil Kessel</v>
      </c>
      <c r="H11" t="str">
        <f>Sébastien_FAU!B12</f>
        <v>Max Domi</v>
      </c>
    </row>
    <row r="12" spans="1:8" x14ac:dyDescent="0.25">
      <c r="A12">
        <f>David!B13</f>
        <v>0</v>
      </c>
      <c r="B12" t="str">
        <f>Jérôme!B13</f>
        <v>Anthony Mantha</v>
      </c>
      <c r="C12" t="str">
        <f>Steve!B13</f>
        <v>Sean Couturier</v>
      </c>
      <c r="D12" t="str">
        <f>Nicolas!B13</f>
        <v>Rickard Rakell</v>
      </c>
      <c r="E12" t="str">
        <f>Vincent!B13</f>
        <v>Nathan Mackinnon</v>
      </c>
      <c r="F12" t="str">
        <f>Sébastien_STL!B13</f>
        <v>Mike Hoffman</v>
      </c>
      <c r="G12" t="str">
        <f>Paule!B13</f>
        <v>Colton Sissons</v>
      </c>
      <c r="H12" t="str">
        <f>Sébastien_FAU!B13</f>
        <v>Kasperi Kapanen</v>
      </c>
    </row>
    <row r="13" spans="1:8" x14ac:dyDescent="0.25">
      <c r="A13">
        <f>David!B14</f>
        <v>0</v>
      </c>
      <c r="B13" t="str">
        <f>Jérôme!B14</f>
        <v>Aleksander Barkov</v>
      </c>
      <c r="C13" t="str">
        <f>Steve!B14</f>
        <v>Ryan Dzingel</v>
      </c>
      <c r="D13" t="str">
        <f>Nicolas!B14</f>
        <v>Paul Byron</v>
      </c>
      <c r="E13" t="str">
        <f>Vincent!B14</f>
        <v>Mathew Barzal</v>
      </c>
      <c r="F13" t="str">
        <f>Sébastien_STL!B14</f>
        <v>Evgeni Malkin</v>
      </c>
      <c r="G13" t="str">
        <f>Paule!B14</f>
        <v>Oliver Bjorkstrand</v>
      </c>
      <c r="H13" t="str">
        <f>Sébastien_FAU!B14</f>
        <v>Devin Shore</v>
      </c>
    </row>
    <row r="14" spans="1:8" x14ac:dyDescent="0.25">
      <c r="A14">
        <f>David!B15</f>
        <v>0</v>
      </c>
      <c r="B14" t="str">
        <f>Jérôme!B15</f>
        <v>Dougie Hamilton</v>
      </c>
      <c r="C14" t="str">
        <f>Steve!B15</f>
        <v>Charlie Mcavoy</v>
      </c>
      <c r="D14" t="str">
        <f>Nicolas!B15</f>
        <v>Victor Hedman</v>
      </c>
      <c r="E14" t="str">
        <f>Vincent!B15</f>
        <v>Torey Krug</v>
      </c>
      <c r="F14" t="str">
        <f>Sébastien_STL!B15</f>
        <v>Jake Gardiner</v>
      </c>
      <c r="G14" t="str">
        <f>Paule!B15</f>
        <v>Alex Pietrangelo</v>
      </c>
      <c r="H14" t="str">
        <f>Sébastien_FAU!B15</f>
        <v>Mattias Ekholm</v>
      </c>
    </row>
    <row r="15" spans="1:8" x14ac:dyDescent="0.25">
      <c r="A15">
        <f>David!B16</f>
        <v>0</v>
      </c>
      <c r="B15" t="str">
        <f>Jérôme!B16</f>
        <v>Keith Yandle</v>
      </c>
      <c r="C15" t="str">
        <f>Steve!B16</f>
        <v>Jake Muzzin</v>
      </c>
      <c r="D15" t="str">
        <f>Nicolas!B16</f>
        <v>Ryan Ellis</v>
      </c>
      <c r="E15" t="str">
        <f>Vincent!B16</f>
        <v>Ivan Provorov</v>
      </c>
      <c r="F15" t="str">
        <f>Sébastien_STL!B16</f>
        <v>John Carlson</v>
      </c>
      <c r="G15" t="str">
        <f>Paule!B16</f>
        <v>Brandon Montour</v>
      </c>
      <c r="H15" t="str">
        <f>Sébastien_FAU!B16</f>
        <v>Will Butcher</v>
      </c>
    </row>
    <row r="16" spans="1:8" x14ac:dyDescent="0.25">
      <c r="A16">
        <f>David!B17</f>
        <v>0</v>
      </c>
      <c r="B16" t="str">
        <f>Jérôme!B17</f>
        <v>Shea Theodore</v>
      </c>
      <c r="C16" t="str">
        <f>Steve!B17</f>
        <v>Madison Bowey</v>
      </c>
      <c r="D16" t="str">
        <f>Nicolas!B17</f>
        <v>Tyson Barrie</v>
      </c>
      <c r="E16" t="str">
        <f>Vincent!B17</f>
        <v>Oliver Ekman-Larsson</v>
      </c>
      <c r="F16" t="str">
        <f>Sébastien_STL!B17</f>
        <v>Zachary Werenski</v>
      </c>
      <c r="G16" t="str">
        <f>Paule!B17</f>
        <v>Noah Hanifin</v>
      </c>
      <c r="H16" t="str">
        <f>Sébastien_FAU!B17</f>
        <v>Maxime Lajoie</v>
      </c>
    </row>
    <row r="17" spans="1:8" x14ac:dyDescent="0.25">
      <c r="A17">
        <f>David!B18</f>
        <v>0</v>
      </c>
      <c r="B17" t="str">
        <f>Jérôme!B18</f>
        <v>Oliver Kylington</v>
      </c>
      <c r="C17" t="str">
        <f>Steve!B18</f>
        <v>TJ Brodie</v>
      </c>
      <c r="D17" t="str">
        <f>Nicolas!B18</f>
        <v>Troy Stecher</v>
      </c>
      <c r="E17" t="str">
        <f>Vincent!B18</f>
        <v>Shayne Gostisbehere</v>
      </c>
      <c r="F17" t="str">
        <f>Sébastien_STL!B18</f>
        <v>Seth Jones</v>
      </c>
      <c r="G17" t="str">
        <f>Paule!B18</f>
        <v>Esa Lindell</v>
      </c>
      <c r="H17" t="str">
        <f>Sébastien_FAU!B18</f>
        <v>Damon Severson</v>
      </c>
    </row>
    <row r="18" spans="1:8" x14ac:dyDescent="0.25">
      <c r="A18">
        <f>David!B19</f>
        <v>0</v>
      </c>
      <c r="B18" t="str">
        <f>Jérôme!B19</f>
        <v>Thomas Chabot</v>
      </c>
      <c r="C18" t="str">
        <f>Steve!B19</f>
        <v>Travis Dermott</v>
      </c>
      <c r="D18" t="str">
        <f>Nicolas!B19</f>
        <v>Rasmus Dahlin</v>
      </c>
      <c r="E18" t="str">
        <f>Vincent!B19</f>
        <v>Roman Josi</v>
      </c>
      <c r="F18" t="str">
        <f>Sébastien_STL!B19</f>
        <v>Vince Dunn</v>
      </c>
      <c r="G18" t="str">
        <f>Paule!B19</f>
        <v>Ryan Pulock</v>
      </c>
      <c r="H18" t="str">
        <f>Sébastien_FAU!B19</f>
        <v>Justin Faulk</v>
      </c>
    </row>
    <row r="19" spans="1:8" x14ac:dyDescent="0.25">
      <c r="A19">
        <f>David!B20</f>
        <v>0</v>
      </c>
      <c r="B19" t="str">
        <f>Jérôme!B20</f>
        <v>Ryan Mcdonagh</v>
      </c>
      <c r="C19" t="str">
        <f>Steve!B20</f>
        <v>Neal Pionk</v>
      </c>
      <c r="D19" t="str">
        <f>Nicolas!B20</f>
        <v>Darnell Nurse</v>
      </c>
      <c r="E19" t="str">
        <f>Vincent!B20</f>
        <v>Morgan Rielly</v>
      </c>
      <c r="F19" t="str">
        <f>Sébastien_STL!B20</f>
        <v>Justin Schultz</v>
      </c>
      <c r="G19" t="str">
        <f>Paule!B20</f>
        <v>Erik Gustafsson</v>
      </c>
      <c r="H19" t="str">
        <f>Sébastien_FAU!B20</f>
        <v>Jared Spurgeon</v>
      </c>
    </row>
    <row r="20" spans="1:8" x14ac:dyDescent="0.25">
      <c r="A20">
        <f>David!B21</f>
        <v>0</v>
      </c>
      <c r="B20" t="str">
        <f>Jérôme!B21</f>
        <v>Antti Raanta</v>
      </c>
      <c r="C20" t="str">
        <f>Steve!B21</f>
        <v>Martin Jones</v>
      </c>
      <c r="D20" t="str">
        <f>Nicolas!B21</f>
        <v>Marc-Andre Fleury</v>
      </c>
      <c r="E20" t="str">
        <f>Vincent!B21</f>
        <v>Jonathan Quick</v>
      </c>
      <c r="F20" t="str">
        <f>Sébastien_STL!B21</f>
        <v>Matt Murray</v>
      </c>
      <c r="G20" t="str">
        <f>Paule!B21</f>
        <v>Andrei Vasilevskiy</v>
      </c>
      <c r="H20" t="str">
        <f>Sébastien_FAU!B21</f>
        <v>Jake Allen</v>
      </c>
    </row>
    <row r="21" spans="1:8" x14ac:dyDescent="0.25">
      <c r="A21">
        <f>David!B22</f>
        <v>0</v>
      </c>
      <c r="B21" t="str">
        <f>Jérôme!B22</f>
        <v>Juuse Saros</v>
      </c>
      <c r="C21" t="str">
        <f>Steve!B22</f>
        <v>Connor Hellebuyck</v>
      </c>
      <c r="D21" t="str">
        <f>Nicolas!B22</f>
        <v>Frederik Andersen</v>
      </c>
      <c r="E21" t="str">
        <f>Vincent!B22</f>
        <v>Braden Holtby</v>
      </c>
      <c r="F21" t="str">
        <f>Sébastien_STL!B22</f>
        <v>Devan Dubnyk</v>
      </c>
      <c r="G21" t="str">
        <f>Paule!B22</f>
        <v>Pekka Rinne</v>
      </c>
      <c r="H21" t="str">
        <f>Sébastien_FAU!B22</f>
        <v>Tuukka Rask</v>
      </c>
    </row>
    <row r="22" spans="1:8" x14ac:dyDescent="0.25">
      <c r="A22">
        <f>David!B23</f>
        <v>0</v>
      </c>
      <c r="B22" t="str">
        <f>Jérôme!B23</f>
        <v>Tyson Jost</v>
      </c>
      <c r="C22" t="str">
        <f>Steve!B23</f>
        <v>Anthony Cirelli</v>
      </c>
      <c r="D22" t="str">
        <f>Nicolas!B23</f>
        <v>Robby Fabbri</v>
      </c>
      <c r="E22" t="str">
        <f>Vincent!B23</f>
        <v>Jacob Markstrom</v>
      </c>
      <c r="F22" t="str">
        <f>Sébastien_STL!B23</f>
        <v>Joshua Ho-Sang</v>
      </c>
      <c r="G22" t="str">
        <f>Paule!B23</f>
        <v>Carter Hart</v>
      </c>
      <c r="H22" t="str">
        <f>Sébastien_FAU!B23</f>
        <v>Victor Mete</v>
      </c>
    </row>
    <row r="23" spans="1:8" x14ac:dyDescent="0.25">
      <c r="A23">
        <f>David!B24</f>
        <v>0</v>
      </c>
      <c r="B23" t="str">
        <f>Jérôme!B24</f>
        <v>Ty Rattie</v>
      </c>
      <c r="C23" t="str">
        <f>Steve!B24</f>
        <v>Ryan Hartman</v>
      </c>
      <c r="D23" t="str">
        <f>Nicolas!B24</f>
        <v>Erik Haula</v>
      </c>
      <c r="E23" t="str">
        <f>Vincent!B24</f>
        <v>Mikhail Sergachev</v>
      </c>
      <c r="F23" t="str">
        <f>Sébastien_STL!B24</f>
        <v>Danton Heinen</v>
      </c>
      <c r="G23" t="str">
        <f>Paule!B24</f>
        <v>Brayden Schenn</v>
      </c>
      <c r="H23" t="str">
        <f>Sébastien_FAU!B24</f>
        <v>Markus Nutivaara</v>
      </c>
    </row>
    <row r="24" spans="1:8" x14ac:dyDescent="0.25">
      <c r="A24">
        <f>David!B25</f>
        <v>0</v>
      </c>
      <c r="B24" t="str">
        <f>Jérôme!B25</f>
        <v>Taylor Hall</v>
      </c>
      <c r="C24" t="str">
        <f>Steve!B25</f>
        <v>Anders Lee</v>
      </c>
      <c r="D24" t="str">
        <f>Nicolas!B25</f>
        <v>Artturi Lehkonen</v>
      </c>
      <c r="E24" t="str">
        <f>Vincent!B25</f>
        <v>Robert Thomas</v>
      </c>
      <c r="F24" t="str">
        <f>Sébastien_STL!B25</f>
        <v>Adrian Kempe</v>
      </c>
      <c r="G24" t="str">
        <f>Paule!B25</f>
        <v>Matt Dumba</v>
      </c>
      <c r="H24" t="str">
        <f>Sébastien_FAU!B25</f>
        <v>Michael Matheson</v>
      </c>
    </row>
    <row r="25" spans="1:8" x14ac:dyDescent="0.25">
      <c r="A25">
        <f>David!B26</f>
        <v>0</v>
      </c>
      <c r="B25">
        <f>Jérôme!B26</f>
        <v>0</v>
      </c>
      <c r="C25" t="str">
        <f>Steve!B26</f>
        <v>Nikolay Goldobin</v>
      </c>
      <c r="D25" t="str">
        <f>Nicolas!B26</f>
        <v>Andreas Johnsson</v>
      </c>
      <c r="E25" t="str">
        <f>Vincent!B26</f>
        <v>Jesse Puljujarvi</v>
      </c>
      <c r="F25" t="str">
        <f>Sébastien_STL!B26</f>
        <v>Casey DeSmith</v>
      </c>
      <c r="G25">
        <f>Paule!B26</f>
        <v>0</v>
      </c>
      <c r="H25" t="str">
        <f>Sébastien_FAU!B26</f>
        <v>Philipp Grubauer</v>
      </c>
    </row>
    <row r="26" spans="1:8" x14ac:dyDescent="0.25">
      <c r="A26">
        <f>David!B27</f>
        <v>0</v>
      </c>
      <c r="B26">
        <f>Jérôme!B27</f>
        <v>0</v>
      </c>
      <c r="C26" t="str">
        <f>Steve!B27</f>
        <v>Jordan Binnington</v>
      </c>
      <c r="D26">
        <f>Nicolas!B27</f>
        <v>0</v>
      </c>
      <c r="E26">
        <f>Vincent!B27</f>
        <v>0</v>
      </c>
      <c r="F26">
        <f>Sébastien_STL!B27</f>
        <v>0</v>
      </c>
      <c r="G26">
        <f>Paule!B27</f>
        <v>0</v>
      </c>
      <c r="H26" t="str">
        <f>Sébastien_FAU!B27</f>
        <v>Oscar Klefbom</v>
      </c>
    </row>
    <row r="27" spans="1:8" x14ac:dyDescent="0.25">
      <c r="A27">
        <f>David!B28</f>
        <v>0</v>
      </c>
      <c r="B27">
        <f>Jérôme!B28</f>
        <v>0</v>
      </c>
      <c r="C27">
        <f>Steve!B28</f>
        <v>0</v>
      </c>
      <c r="D27">
        <f>Nicolas!B28</f>
        <v>0</v>
      </c>
      <c r="E27">
        <f>Vincent!B28</f>
        <v>0</v>
      </c>
      <c r="F27">
        <f>Sébastien_STL!B28</f>
        <v>0</v>
      </c>
      <c r="G27">
        <f>Paule!B28</f>
        <v>0</v>
      </c>
      <c r="H27">
        <f>Sébastien_FAU!B28</f>
        <v>0</v>
      </c>
    </row>
    <row r="28" spans="1:8" x14ac:dyDescent="0.25">
      <c r="A28">
        <f>David!B29</f>
        <v>0</v>
      </c>
      <c r="B28">
        <f>Jérôme!B29</f>
        <v>0</v>
      </c>
      <c r="C28">
        <f>Steve!B29</f>
        <v>0</v>
      </c>
      <c r="D28">
        <f>Nicolas!B29</f>
        <v>0</v>
      </c>
      <c r="E28">
        <f>Vincent!B29</f>
        <v>0</v>
      </c>
      <c r="F28">
        <f>Sébastien_STL!B29</f>
        <v>0</v>
      </c>
      <c r="G28">
        <f>Paule!B29</f>
        <v>0</v>
      </c>
      <c r="H28">
        <f>Sébastien_FAU!B29</f>
        <v>0</v>
      </c>
    </row>
    <row r="29" spans="1:8" x14ac:dyDescent="0.25">
      <c r="A29" s="45">
        <f>David!B30</f>
        <v>0</v>
      </c>
      <c r="B29" s="45">
        <f>Jérôme!B30</f>
        <v>0</v>
      </c>
      <c r="C29" s="45">
        <f>Steve!B30</f>
        <v>0</v>
      </c>
      <c r="D29" s="45">
        <f>Nicolas!B30</f>
        <v>0</v>
      </c>
      <c r="E29" s="45">
        <f>Vincent!B30</f>
        <v>0</v>
      </c>
      <c r="F29" s="45">
        <f>Sébastien_STL!B30</f>
        <v>0</v>
      </c>
      <c r="G29" s="45">
        <f>Paule!B30</f>
        <v>0</v>
      </c>
      <c r="H29" s="45">
        <f>Sébastien_FAU!B30</f>
        <v>0</v>
      </c>
    </row>
    <row r="30" spans="1:8" x14ac:dyDescent="0.25">
      <c r="A30" s="8" t="str">
        <f>David!B39</f>
        <v>Jakub Zboril</v>
      </c>
      <c r="B30" s="8" t="str">
        <f>Jérôme!B39</f>
        <v>Nikita Scherbak</v>
      </c>
      <c r="C30" s="8" t="str">
        <f>Steve!B39</f>
        <v>Daniel Sprong</v>
      </c>
      <c r="D30" s="8" t="str">
        <f>Nicolas!B39</f>
        <v>Sam Bennett</v>
      </c>
      <c r="E30" s="6" t="str">
        <f>Vincent!B39</f>
        <v>Julius Honka</v>
      </c>
      <c r="F30" s="8" t="str">
        <f>Sébastien_STL!B39</f>
        <v>Jake Virtanen</v>
      </c>
      <c r="G30" s="8" t="str">
        <f>Paule!B39</f>
        <v>Pavel Zacha</v>
      </c>
      <c r="H30" s="8" t="str">
        <f>Sébastien_FAU!B39</f>
        <v>Alexander Nylander</v>
      </c>
    </row>
    <row r="31" spans="1:8" x14ac:dyDescent="0.25">
      <c r="A31" s="6" t="str">
        <f>David!B40</f>
        <v>Jakob Chychrun</v>
      </c>
      <c r="B31" s="6" t="str">
        <f>Jérôme!B40</f>
        <v>Dennis Cholowski</v>
      </c>
      <c r="C31" s="6" t="str">
        <f>Steve!B40</f>
        <v>Joel Eriksson Ek</v>
      </c>
      <c r="D31" s="6" t="str">
        <f>Nicolas!B40</f>
        <v>Michael Dal Colle</v>
      </c>
      <c r="E31" s="6" t="str">
        <f>Vincent!B40</f>
        <v>Kyle Connor</v>
      </c>
      <c r="F31" s="6" t="str">
        <f>Sébastien_STL!B40</f>
        <v>Dylan Strome</v>
      </c>
      <c r="G31" s="6" t="str">
        <f>Paule!B40</f>
        <v>Haydn Fleury</v>
      </c>
      <c r="H31" s="6" t="str">
        <f>Sébastien_FAU!B40</f>
        <v>Michael Mcleod</v>
      </c>
    </row>
    <row r="32" spans="1:8" x14ac:dyDescent="0.25">
      <c r="A32" s="6" t="str">
        <f>David!B41</f>
        <v>Riley Tufte</v>
      </c>
      <c r="B32" s="6" t="str">
        <f>Jérôme!B41</f>
        <v>Julien Gauthier</v>
      </c>
      <c r="C32" s="6" t="str">
        <f>Steve!B41</f>
        <v>Cam Morrison</v>
      </c>
      <c r="D32" s="6" t="str">
        <f>Nicolas!B41</f>
        <v>Jake Debrusk</v>
      </c>
      <c r="E32" s="6" t="str">
        <f>Vincent!B41</f>
        <v>Jeremy Roy</v>
      </c>
      <c r="F32" s="6" t="str">
        <f>Sébastien_STL!B41</f>
        <v>Timo Meier</v>
      </c>
      <c r="G32" s="6" t="str">
        <f>Paule!B41</f>
        <v>Anthony DeAngelo</v>
      </c>
      <c r="H32" s="6" t="str">
        <f>Sébastien_FAU!B41</f>
        <v>Samuel Girard</v>
      </c>
    </row>
    <row r="33" spans="1:8" x14ac:dyDescent="0.25">
      <c r="A33" s="6" t="str">
        <f>David!B42</f>
        <v>Sam Steel</v>
      </c>
      <c r="B33" s="6" t="str">
        <f>Jérôme!B42</f>
        <v>Lucas Johansen</v>
      </c>
      <c r="C33" s="6" t="str">
        <f>Steve!B42</f>
        <v>Nathan Bastian</v>
      </c>
      <c r="D33" s="6" t="str">
        <f>Nicolas!B42</f>
        <v>Noah Juulsen</v>
      </c>
      <c r="E33" s="6" t="str">
        <f>Vincent!B42</f>
        <v>Colin White</v>
      </c>
      <c r="F33" s="6" t="str">
        <f>Sébastien_STL!B42</f>
        <v>Anthony Beauvillier</v>
      </c>
      <c r="G33" s="6" t="str">
        <f>Paule!B42</f>
        <v>Kieffer Bellows</v>
      </c>
      <c r="H33" s="6" t="str">
        <f>Sébastien_FAU!B42</f>
        <v>Adam Mascherin</v>
      </c>
    </row>
    <row r="34" spans="1:8" x14ac:dyDescent="0.25">
      <c r="A34" s="6" t="str">
        <f>David!B43</f>
        <v>Lias Andersson</v>
      </c>
      <c r="B34" s="6" t="str">
        <f>Jérôme!B43</f>
        <v>Cale Makar</v>
      </c>
      <c r="C34" s="6" t="str">
        <f>Steve!B43</f>
        <v>Kale Clague</v>
      </c>
      <c r="D34" s="6" t="str">
        <f>Nicolas!B43</f>
        <v>Logan Brown</v>
      </c>
      <c r="E34" s="6" t="str">
        <f>Vincent!B43</f>
        <v>Nicolas Petan</v>
      </c>
      <c r="F34" s="6" t="str">
        <f>Sébastien_STL!B43</f>
        <v>Olli Juolevi</v>
      </c>
      <c r="G34" s="6" t="str">
        <f>Paule!B43</f>
        <v>Nolan Patrick</v>
      </c>
      <c r="H34" s="6" t="str">
        <f>Sébastien_FAU!B43</f>
        <v>Cal Foote</v>
      </c>
    </row>
    <row r="35" spans="1:8" x14ac:dyDescent="0.25">
      <c r="A35" s="6" t="str">
        <f>David!B44</f>
        <v>Casey Mittelstadt</v>
      </c>
      <c r="B35" s="6" t="str">
        <f>Jérôme!B44</f>
        <v>Joni Ikonen</v>
      </c>
      <c r="C35" s="6" t="str">
        <f>Steve!B44</f>
        <v>Gabriel Vilardi</v>
      </c>
      <c r="D35" s="6" t="str">
        <f>Nicolas!B44</f>
        <v>Dante Fabbro</v>
      </c>
      <c r="E35" s="6" t="str">
        <f>Vincent!B44</f>
        <v>German Rubtsov</v>
      </c>
      <c r="F35" s="6" t="str">
        <f>Sébastien_STL!B44</f>
        <v>Jake Bean</v>
      </c>
      <c r="G35" s="6" t="str">
        <f>Paule!B44</f>
        <v>Morgan Geekie</v>
      </c>
      <c r="H35" s="6" t="str">
        <f>Sébastien_FAU!B44</f>
        <v>Kailer Yamamoto</v>
      </c>
    </row>
    <row r="36" spans="1:8" x14ac:dyDescent="0.25">
      <c r="A36" s="6" t="str">
        <f>David!B45</f>
        <v>Klim Kostin</v>
      </c>
      <c r="B36" s="6" t="str">
        <f>Jérôme!B46</f>
        <v>Quintin Hughes</v>
      </c>
      <c r="C36" s="6" t="str">
        <f>Steve!B45</f>
        <v>Conor Timmins</v>
      </c>
      <c r="D36" s="6" t="str">
        <f>Nicolas!B45</f>
        <v>Brett Howden</v>
      </c>
      <c r="E36" s="6" t="str">
        <f>Vincent!B45</f>
        <v>Lawson Crouse</v>
      </c>
      <c r="F36" s="6" t="str">
        <f>Sébastien_STL!B45</f>
        <v>Henrik Borgstrom</v>
      </c>
      <c r="G36" s="6" t="str">
        <f>Paule!B45</f>
        <v>Jason Robertson</v>
      </c>
      <c r="H36" s="6" t="str">
        <f>Sébastien_FAU!B45</f>
        <v>Eeli Tolvanen</v>
      </c>
    </row>
    <row r="37" spans="1:8" x14ac:dyDescent="0.25">
      <c r="A37" s="6" t="str">
        <f>David!B46</f>
        <v>Reilly Walsh</v>
      </c>
      <c r="B37" s="6" t="str">
        <f>Jérôme!B47</f>
        <v>Brady Tkachuk</v>
      </c>
      <c r="C37" s="6" t="str">
        <f>Steve!B46</f>
        <v>Kole Lind</v>
      </c>
      <c r="D37" s="6" t="str">
        <f>Nicolas!B46</f>
        <v>Cody Glass</v>
      </c>
      <c r="E37" s="6" t="str">
        <f>Vincent!B46</f>
        <v>Miro Heiskanen</v>
      </c>
      <c r="F37" s="6" t="str">
        <f>Sébastien_STL!B46</f>
        <v>Luke Kunin</v>
      </c>
      <c r="G37" s="6" t="str">
        <f>Paule!B46</f>
        <v>Oliver Wahlstrom</v>
      </c>
      <c r="H37" s="6" t="str">
        <f>Sébastien_FAU!B46</f>
        <v>Andrei Svechnikov</v>
      </c>
    </row>
    <row r="38" spans="1:8" x14ac:dyDescent="0.25">
      <c r="A38" s="6" t="str">
        <f>David!B47</f>
        <v>Evan Bouchard</v>
      </c>
      <c r="B38" s="6" t="str">
        <f>Jérôme!B48</f>
        <v>K'Andre Miller</v>
      </c>
      <c r="C38" s="6" t="str">
        <f>Steve!B47</f>
        <v>Morgan Frost</v>
      </c>
      <c r="D38" s="6" t="str">
        <f>Nicolas!B47</f>
        <v>Juuso Valimaki</v>
      </c>
      <c r="E38" s="6" t="str">
        <f>Vincent!B47</f>
        <v>Erik Brannstrom</v>
      </c>
      <c r="F38" s="6" t="str">
        <f>Sébastien_STL!B47</f>
        <v>Jakub Vrana</v>
      </c>
      <c r="G38" s="6" t="str">
        <f>Paule!B47</f>
        <v>Akil Thomas</v>
      </c>
      <c r="H38" s="6" t="str">
        <f>Sébastien_FAU!B47</f>
        <v>Noah Dobson</v>
      </c>
    </row>
    <row r="39" spans="1:8" x14ac:dyDescent="0.25">
      <c r="A39" s="6" t="str">
        <f>David!B48</f>
        <v>Ty Smith</v>
      </c>
      <c r="B39" s="6" t="str">
        <f>Jérôme!B49</f>
        <v>Bode Wilde</v>
      </c>
      <c r="C39" s="6" t="str">
        <f>Steve!B48</f>
        <v>Adam Boqvist</v>
      </c>
      <c r="D39" s="6" t="str">
        <f>Nicolas!B48</f>
        <v>Shane Bowers</v>
      </c>
      <c r="E39" s="6" t="str">
        <f>Vincent!B48</f>
        <v>Timothy Liljegren</v>
      </c>
      <c r="F39" s="6" t="str">
        <f>Sébastien_STL!B48</f>
        <v>Owen Tippett</v>
      </c>
      <c r="G39" s="6" t="str">
        <f>Paule!B48</f>
        <v>Mitchell Gibson</v>
      </c>
      <c r="H39" s="6" t="str">
        <f>Sébastien_FAU!B48</f>
        <v>Alexander Alexeyev</v>
      </c>
    </row>
    <row r="40" spans="1:8" x14ac:dyDescent="0.25">
      <c r="A40" s="6" t="str">
        <f>David!B49</f>
        <v>Jonatan Berggren</v>
      </c>
      <c r="B40" s="6" t="str">
        <f>Jérôme!B50</f>
        <v>Joel Farabee</v>
      </c>
      <c r="C40" s="6" t="str">
        <f>Steve!B49</f>
        <v>Ty Dellandrea</v>
      </c>
      <c r="D40" s="6" t="str">
        <f>Nicolas!B49</f>
        <v>Jaret Anderson-Dolan</v>
      </c>
      <c r="E40" s="6" t="str">
        <f>Vincent!B49</f>
        <v>Urho Vaakanainen</v>
      </c>
      <c r="F40" s="6" t="str">
        <f>Sébastien_STL!B49</f>
        <v>Nick Suzuki</v>
      </c>
      <c r="G40" s="6">
        <f>Paule!B49</f>
        <v>0</v>
      </c>
      <c r="H40" s="6">
        <f>Sébastien_FAU!B49</f>
        <v>0</v>
      </c>
    </row>
    <row r="41" spans="1:8" x14ac:dyDescent="0.25">
      <c r="A41" s="6" t="str">
        <f>David!B50</f>
        <v>Martin Kaut</v>
      </c>
      <c r="B41" s="6">
        <f>Jérôme!B51</f>
        <v>0</v>
      </c>
      <c r="C41" s="6" t="str">
        <f>Steve!B50</f>
        <v>Liam Foudy</v>
      </c>
      <c r="D41" s="6" t="str">
        <f>Nicolas!B50</f>
        <v>Barrett Hayton</v>
      </c>
      <c r="E41" s="6" t="str">
        <f>Vincent!B50</f>
        <v>Vitali Kravtsov</v>
      </c>
      <c r="F41" s="6" t="str">
        <f>Sébastien_STL!B50</f>
        <v>Michael Rasmussen</v>
      </c>
      <c r="G41" s="6">
        <f>Paule!B50</f>
        <v>0</v>
      </c>
      <c r="H41" s="6">
        <f>Sébastien_FAU!B50</f>
        <v>0</v>
      </c>
    </row>
    <row r="42" spans="1:8" x14ac:dyDescent="0.25">
      <c r="A42" s="6" t="str">
        <f>David!B51</f>
        <v>Rasmus Kupari</v>
      </c>
      <c r="B42" s="6">
        <f>Jérôme!B52</f>
        <v>0</v>
      </c>
      <c r="C42" s="6">
        <f>Steve!B51</f>
        <v>0</v>
      </c>
      <c r="D42" s="6" t="str">
        <f>Nicolas!B51</f>
        <v>Olof Lindbom</v>
      </c>
      <c r="E42" s="6" t="str">
        <f>Vincent!B51</f>
        <v>Jesperi Kotkaniemi</v>
      </c>
      <c r="F42" s="6" t="str">
        <f>Sébastien_STL!B51</f>
        <v>Henri Jokiharju</v>
      </c>
      <c r="G42" s="6">
        <f>Paule!B51</f>
        <v>0</v>
      </c>
      <c r="H42" s="6">
        <f>Sébastien_FAU!B51</f>
        <v>0</v>
      </c>
    </row>
    <row r="43" spans="1:8" x14ac:dyDescent="0.25">
      <c r="A43" s="6">
        <f>David!B52</f>
        <v>0</v>
      </c>
      <c r="B43" s="6">
        <f>Jérôme!B53</f>
        <v>0</v>
      </c>
      <c r="C43" s="6">
        <f>Steve!B52</f>
        <v>0</v>
      </c>
      <c r="D43" s="6">
        <f>Nicolas!B52</f>
        <v>0</v>
      </c>
      <c r="E43" s="6" t="str">
        <f>Vincent!B52</f>
        <v>Dominik Bokk</v>
      </c>
      <c r="F43" s="6" t="str">
        <f>Sébastien_STL!B52</f>
        <v>Jonah Gadjovich</v>
      </c>
      <c r="G43" s="6">
        <f>Paule!B52</f>
        <v>0</v>
      </c>
      <c r="H43" s="6">
        <f>Sébastien_FAU!B52</f>
        <v>0</v>
      </c>
    </row>
    <row r="44" spans="1:8" x14ac:dyDescent="0.25">
      <c r="A44" s="6">
        <f>David!B53</f>
        <v>0</v>
      </c>
      <c r="B44" s="6">
        <f>Jérôme!B54</f>
        <v>0</v>
      </c>
      <c r="C44" s="6">
        <f>Steve!B53</f>
        <v>0</v>
      </c>
      <c r="D44" s="6">
        <f>Nicolas!B53</f>
        <v>0</v>
      </c>
      <c r="E44" s="6" t="str">
        <f>Vincent!B53</f>
        <v>Grigori Denisenko</v>
      </c>
      <c r="F44" s="6" t="str">
        <f>Sébastien_STL!B53</f>
        <v>Filip Zadina</v>
      </c>
      <c r="G44" s="6">
        <f>Paule!B53</f>
        <v>0</v>
      </c>
      <c r="H44" s="6">
        <f>Sébastien_FAU!B53</f>
        <v>0</v>
      </c>
    </row>
    <row r="45" spans="1:8" x14ac:dyDescent="0.25">
      <c r="A45" s="6">
        <f>David!B54</f>
        <v>0</v>
      </c>
      <c r="B45" s="6">
        <f>Jérôme!B55</f>
        <v>0</v>
      </c>
      <c r="C45" s="6">
        <f>Steve!B54</f>
        <v>0</v>
      </c>
      <c r="D45" s="6">
        <f>Nicolas!B54</f>
        <v>0</v>
      </c>
      <c r="E45" s="6" t="str">
        <f>Vincent!B54</f>
        <v>Rasmus Sandin</v>
      </c>
      <c r="F45" s="6" t="str">
        <f>Sébastien_STL!B54</f>
        <v>Ryan Merkley</v>
      </c>
      <c r="G45" s="6">
        <f>Paule!B54</f>
        <v>0</v>
      </c>
      <c r="H45" s="6">
        <f>Sébastien_FAU!B54</f>
        <v>0</v>
      </c>
    </row>
    <row r="46" spans="1:8" x14ac:dyDescent="0.25">
      <c r="A46" s="6">
        <f>David!B55</f>
        <v>0</v>
      </c>
      <c r="B46" s="6">
        <f>Jérôme!B56</f>
        <v>0</v>
      </c>
      <c r="C46" s="6">
        <f>Steve!B55</f>
        <v>0</v>
      </c>
      <c r="D46" s="6">
        <f>Nicolas!B55</f>
        <v>0</v>
      </c>
      <c r="E46" s="6" t="str">
        <f>Vincent!B55</f>
        <v>Nils Lundkvist</v>
      </c>
      <c r="F46" s="6" t="str">
        <f>Sébastien_STL!B55</f>
        <v>Joseph Veleno</v>
      </c>
      <c r="G46" s="6">
        <f>Paule!B55</f>
        <v>0</v>
      </c>
      <c r="H46" s="6">
        <f>Sébastien_FAU!B55</f>
        <v>0</v>
      </c>
    </row>
    <row r="47" spans="1:8" x14ac:dyDescent="0.25">
      <c r="A47" s="6">
        <f>David!B56</f>
        <v>0</v>
      </c>
      <c r="B47" s="6">
        <f>Jérôme!B57</f>
        <v>0</v>
      </c>
      <c r="C47" s="6">
        <f>Steve!B56</f>
        <v>0</v>
      </c>
      <c r="D47" s="6">
        <f>Nicolas!B56</f>
        <v>0</v>
      </c>
      <c r="E47" s="6">
        <f>Vincent!B56</f>
        <v>0</v>
      </c>
      <c r="F47" s="6" t="str">
        <f>Sébastien_STL!B56</f>
        <v>Jay O'Brien</v>
      </c>
      <c r="G47" s="6">
        <f>Paule!B56</f>
        <v>0</v>
      </c>
      <c r="H47" s="6">
        <f>Sébastien_FAU!B56</f>
        <v>0</v>
      </c>
    </row>
    <row r="48" spans="1:8" x14ac:dyDescent="0.25">
      <c r="A48" s="6">
        <f>David!B57</f>
        <v>0</v>
      </c>
      <c r="B48" s="6">
        <f>Jérôme!B58</f>
        <v>0</v>
      </c>
      <c r="C48" s="6">
        <f>Steve!B57</f>
        <v>0</v>
      </c>
      <c r="D48" s="6">
        <f>Nicolas!B57</f>
        <v>0</v>
      </c>
      <c r="E48" s="6">
        <f>Vincent!B57</f>
        <v>0</v>
      </c>
      <c r="F48" s="6">
        <f>Sébastien_STL!B57</f>
        <v>0</v>
      </c>
      <c r="G48" s="6">
        <f>Paule!B57</f>
        <v>0</v>
      </c>
      <c r="H48" s="6">
        <f>Sébastien_FAU!B57</f>
        <v>0</v>
      </c>
    </row>
    <row r="49" spans="1:8" x14ac:dyDescent="0.25">
      <c r="A49" s="6">
        <f>David!B58</f>
        <v>0</v>
      </c>
      <c r="B49" s="6">
        <f>Jérôme!B59</f>
        <v>0</v>
      </c>
      <c r="C49" s="6">
        <f>Steve!B58</f>
        <v>0</v>
      </c>
      <c r="D49" s="6">
        <f>Nicolas!B58</f>
        <v>0</v>
      </c>
      <c r="E49" s="6">
        <f>Vincent!B58</f>
        <v>0</v>
      </c>
      <c r="F49" s="6">
        <f>Sébastien_STL!B58</f>
        <v>0</v>
      </c>
      <c r="G49" s="6">
        <f>Paule!B58</f>
        <v>0</v>
      </c>
      <c r="H49" s="6">
        <f>Sébastien_FAU!B58</f>
        <v>0</v>
      </c>
    </row>
    <row r="50" spans="1:8" x14ac:dyDescent="0.25">
      <c r="A50" s="6">
        <f>David!B59</f>
        <v>0</v>
      </c>
      <c r="B50" s="6">
        <f>Jérôme!B60</f>
        <v>0</v>
      </c>
      <c r="C50" s="6">
        <f>Steve!B59</f>
        <v>0</v>
      </c>
      <c r="D50" s="6">
        <f>Nicolas!B59</f>
        <v>0</v>
      </c>
      <c r="E50" s="6">
        <f>Vincent!B59</f>
        <v>0</v>
      </c>
      <c r="F50" s="6">
        <f>Sébastien_STL!B59</f>
        <v>0</v>
      </c>
      <c r="G50" s="6">
        <f>Paule!B59</f>
        <v>0</v>
      </c>
      <c r="H50" s="6">
        <f>Sébastien_FAU!B59</f>
        <v>0</v>
      </c>
    </row>
    <row r="51" spans="1:8" x14ac:dyDescent="0.25">
      <c r="A51" s="6">
        <f>David!B60</f>
        <v>0</v>
      </c>
      <c r="B51" s="6">
        <f>Jérôme!B61</f>
        <v>0</v>
      </c>
      <c r="C51" s="6">
        <f>Steve!B60</f>
        <v>0</v>
      </c>
      <c r="D51" s="6">
        <f>Nicolas!B60</f>
        <v>0</v>
      </c>
      <c r="E51" s="6">
        <f>Vincent!B60</f>
        <v>0</v>
      </c>
      <c r="F51" s="6">
        <f>Sébastien_STL!B60</f>
        <v>0</v>
      </c>
      <c r="G51" s="6">
        <f>Paule!B60</f>
        <v>0</v>
      </c>
      <c r="H51" s="6">
        <f>Sébastien_FAU!B60</f>
        <v>0</v>
      </c>
    </row>
    <row r="52" spans="1:8" x14ac:dyDescent="0.25">
      <c r="A52" s="6">
        <f>David!B61</f>
        <v>0</v>
      </c>
      <c r="B52" s="6">
        <f>Jérôme!B62</f>
        <v>0</v>
      </c>
      <c r="C52" s="6">
        <f>Steve!B61</f>
        <v>0</v>
      </c>
      <c r="D52" s="6">
        <f>Nicolas!B61</f>
        <v>0</v>
      </c>
      <c r="E52" s="6">
        <f>Vincent!B61</f>
        <v>0</v>
      </c>
      <c r="F52" s="6">
        <f>Sébastien_STL!B61</f>
        <v>0</v>
      </c>
      <c r="G52" s="6">
        <f>Paule!B61</f>
        <v>0</v>
      </c>
      <c r="H52" s="6">
        <f>Sébastien_FAU!B61</f>
        <v>0</v>
      </c>
    </row>
    <row r="53" spans="1:8" x14ac:dyDescent="0.25">
      <c r="A53" s="6">
        <f>David!B62</f>
        <v>0</v>
      </c>
      <c r="B53" s="6">
        <f>Jérôme!B63</f>
        <v>0</v>
      </c>
      <c r="C53" s="6">
        <f>Steve!B62</f>
        <v>0</v>
      </c>
      <c r="D53" s="6">
        <f>Nicolas!B62</f>
        <v>0</v>
      </c>
      <c r="E53" s="6">
        <f>Vincent!B62</f>
        <v>0</v>
      </c>
      <c r="F53" s="6">
        <f>Sébastien_STL!B62</f>
        <v>0</v>
      </c>
      <c r="G53" s="6">
        <f>Paule!B62</f>
        <v>0</v>
      </c>
      <c r="H53" s="6">
        <f>Sébastien_FAU!B62</f>
        <v>0</v>
      </c>
    </row>
    <row r="54" spans="1:8" x14ac:dyDescent="0.25">
      <c r="A54" s="6">
        <f>David!B63</f>
        <v>0</v>
      </c>
      <c r="B54" s="6">
        <f>Jérôme!B64</f>
        <v>0</v>
      </c>
      <c r="C54" s="6">
        <f>Steve!B63</f>
        <v>0</v>
      </c>
      <c r="D54" s="6">
        <f>Nicolas!B62</f>
        <v>0</v>
      </c>
      <c r="E54" s="6">
        <f>Vincent!B63</f>
        <v>0</v>
      </c>
      <c r="F54" s="6">
        <f>Sébastien_STL!B63</f>
        <v>0</v>
      </c>
      <c r="G54" s="6">
        <f>Paule!B63</f>
        <v>0</v>
      </c>
      <c r="H54" s="6">
        <f>Sébastien_FAU!B63</f>
        <v>0</v>
      </c>
    </row>
    <row r="55" spans="1:8" x14ac:dyDescent="0.25">
      <c r="A55" s="6">
        <f>David!B64</f>
        <v>0</v>
      </c>
      <c r="B55" s="6">
        <f>Jérôme!B65</f>
        <v>0</v>
      </c>
      <c r="C55" s="6">
        <f>Steve!B64</f>
        <v>0</v>
      </c>
      <c r="D55" s="6">
        <f>Nicolas!B63</f>
        <v>0</v>
      </c>
      <c r="E55" s="6">
        <f>Vincent!B64</f>
        <v>0</v>
      </c>
      <c r="F55" s="6">
        <f>Sébastien_STL!B64</f>
        <v>0</v>
      </c>
      <c r="G55" s="6">
        <f>Paule!B64</f>
        <v>0</v>
      </c>
      <c r="H55" s="6">
        <f>Sébastien_FAU!B64</f>
        <v>0</v>
      </c>
    </row>
    <row r="56" spans="1:8" x14ac:dyDescent="0.25">
      <c r="A56" s="6">
        <f>David!B65</f>
        <v>0</v>
      </c>
      <c r="B56" s="6">
        <f>Jérôme!B66</f>
        <v>0</v>
      </c>
      <c r="C56" s="6">
        <f>Steve!B65</f>
        <v>0</v>
      </c>
      <c r="D56" s="6">
        <f>Nicolas!B64</f>
        <v>0</v>
      </c>
      <c r="E56" s="6">
        <f>Vincent!B65</f>
        <v>0</v>
      </c>
      <c r="F56" s="6">
        <f>Sébastien_STL!B65</f>
        <v>0</v>
      </c>
      <c r="G56" s="6">
        <f>Paule!B65</f>
        <v>0</v>
      </c>
      <c r="H56" s="6">
        <f>Sébastien_FAU!B65</f>
        <v>0</v>
      </c>
    </row>
    <row r="57" spans="1:8" x14ac:dyDescent="0.25">
      <c r="A57" s="6">
        <f>David!B66</f>
        <v>0</v>
      </c>
      <c r="B57" s="6">
        <f>Jérôme!B67</f>
        <v>0</v>
      </c>
      <c r="C57" s="6">
        <f>Steve!B66</f>
        <v>0</v>
      </c>
      <c r="D57" s="6">
        <f>Nicolas!B65</f>
        <v>0</v>
      </c>
      <c r="E57" s="6">
        <f>Vincent!B66</f>
        <v>0</v>
      </c>
      <c r="F57" s="6">
        <f>Sébastien_STL!B66</f>
        <v>0</v>
      </c>
      <c r="G57" s="6">
        <f>Paule!B66</f>
        <v>0</v>
      </c>
      <c r="H57" s="6">
        <f>Sébastien_FAU!B66</f>
        <v>0</v>
      </c>
    </row>
    <row r="58" spans="1:8" x14ac:dyDescent="0.25">
      <c r="A58" s="6">
        <f>David!B67</f>
        <v>0</v>
      </c>
      <c r="B58" s="6">
        <f>Jérôme!B68</f>
        <v>0</v>
      </c>
      <c r="C58" s="6">
        <f>Steve!B67</f>
        <v>0</v>
      </c>
      <c r="D58" s="6">
        <f>Nicolas!B66</f>
        <v>0</v>
      </c>
      <c r="E58" s="6">
        <f>Vincent!B67</f>
        <v>0</v>
      </c>
      <c r="F58" s="6">
        <f>Sébastien_STL!B67</f>
        <v>0</v>
      </c>
      <c r="G58" s="6">
        <f>Paule!B67</f>
        <v>0</v>
      </c>
      <c r="H58" s="6">
        <f>Sébastien_FAU!B67</f>
        <v>0</v>
      </c>
    </row>
    <row r="59" spans="1:8" x14ac:dyDescent="0.25">
      <c r="A59" s="6">
        <f>David!B68</f>
        <v>0</v>
      </c>
      <c r="B59" s="6">
        <f>Jérôme!B69</f>
        <v>0</v>
      </c>
      <c r="C59" s="6">
        <f>Steve!B68</f>
        <v>0</v>
      </c>
      <c r="D59" s="6">
        <f>Nicolas!B67</f>
        <v>0</v>
      </c>
      <c r="E59" s="6">
        <f>Vincent!B68</f>
        <v>0</v>
      </c>
      <c r="F59" s="6">
        <f>Sébastien_STL!B68</f>
        <v>0</v>
      </c>
      <c r="G59" s="6">
        <f>Paule!B68</f>
        <v>0</v>
      </c>
      <c r="H59" s="6">
        <f>Sébastien_FAU!B68</f>
        <v>0</v>
      </c>
    </row>
    <row r="60" spans="1:8" x14ac:dyDescent="0.25">
      <c r="A60" s="6">
        <f>David!B69</f>
        <v>0</v>
      </c>
      <c r="B60" s="6">
        <f>Jérôme!B70</f>
        <v>0</v>
      </c>
      <c r="C60" s="6">
        <f>Steve!B69</f>
        <v>0</v>
      </c>
      <c r="D60" s="6">
        <f>Nicolas!B68</f>
        <v>0</v>
      </c>
      <c r="E60" s="6">
        <f>Vincent!B69</f>
        <v>0</v>
      </c>
      <c r="F60" s="6">
        <f>Sébastien_STL!B69</f>
        <v>0</v>
      </c>
      <c r="G60" s="6">
        <f>Paule!B69</f>
        <v>0</v>
      </c>
      <c r="H60" s="6">
        <f>Sébastien_FAU!B69</f>
        <v>0</v>
      </c>
    </row>
    <row r="61" spans="1:8" x14ac:dyDescent="0.25">
      <c r="A61" s="6">
        <f>David!B70</f>
        <v>0</v>
      </c>
      <c r="B61" s="6">
        <f>Jérôme!B71</f>
        <v>0</v>
      </c>
      <c r="C61" s="6">
        <f>Steve!B70</f>
        <v>0</v>
      </c>
      <c r="D61" s="6">
        <f>Nicolas!B69</f>
        <v>0</v>
      </c>
      <c r="E61" s="6">
        <f>Vincent!B70</f>
        <v>0</v>
      </c>
      <c r="F61" s="6">
        <f>Sébastien_STL!B70</f>
        <v>0</v>
      </c>
      <c r="G61" s="6">
        <f>Paule!B70</f>
        <v>0</v>
      </c>
      <c r="H61" s="6">
        <f>Sébastien_FAU!B70</f>
        <v>0</v>
      </c>
    </row>
    <row r="62" spans="1:8" x14ac:dyDescent="0.25">
      <c r="A62" s="6">
        <f>David!B71</f>
        <v>0</v>
      </c>
      <c r="B62" s="6">
        <f>Jérôme!B72</f>
        <v>0</v>
      </c>
      <c r="C62" s="6">
        <f>Steve!B71</f>
        <v>0</v>
      </c>
      <c r="D62" s="6">
        <f>Nicolas!B70</f>
        <v>0</v>
      </c>
      <c r="E62" s="6">
        <f>Vincent!B71</f>
        <v>0</v>
      </c>
      <c r="F62" s="6">
        <f>Sébastien_STL!B71</f>
        <v>0</v>
      </c>
      <c r="G62" s="6">
        <f>Paule!B71</f>
        <v>0</v>
      </c>
      <c r="H62" s="6">
        <f>Sébastien_FAU!B71</f>
        <v>0</v>
      </c>
    </row>
    <row r="63" spans="1:8" x14ac:dyDescent="0.25">
      <c r="A63" s="6">
        <f>David!B72</f>
        <v>0</v>
      </c>
      <c r="B63" s="6">
        <f>Jérôme!B73</f>
        <v>0</v>
      </c>
      <c r="C63" s="6">
        <f>Steve!B72</f>
        <v>0</v>
      </c>
      <c r="D63" s="6">
        <f>Nicolas!B71</f>
        <v>0</v>
      </c>
      <c r="E63" s="6">
        <f>Vincent!B72</f>
        <v>0</v>
      </c>
      <c r="F63" s="6">
        <f>Sébastien_STL!B72</f>
        <v>0</v>
      </c>
      <c r="G63" s="6">
        <f>Paule!B72</f>
        <v>0</v>
      </c>
      <c r="H63" s="6">
        <f>Sébastien_FAU!B72</f>
        <v>0</v>
      </c>
    </row>
    <row r="64" spans="1:8" x14ac:dyDescent="0.25">
      <c r="A64" s="6">
        <f>David!B73</f>
        <v>0</v>
      </c>
      <c r="B64" s="6">
        <f>Jérôme!B74</f>
        <v>0</v>
      </c>
      <c r="C64" s="6">
        <f>Steve!B73</f>
        <v>0</v>
      </c>
      <c r="D64" s="6">
        <f>Nicolas!B72</f>
        <v>0</v>
      </c>
      <c r="E64" s="6">
        <f>Vincent!B73</f>
        <v>0</v>
      </c>
      <c r="F64" s="6">
        <f>Sébastien_STL!B73</f>
        <v>0</v>
      </c>
      <c r="G64" s="6">
        <f>Paule!B73</f>
        <v>0</v>
      </c>
      <c r="H64" s="6">
        <f>Sébastien_FAU!B73</f>
        <v>0</v>
      </c>
    </row>
  </sheetData>
  <phoneticPr fontId="0"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N843"/>
  <sheetViews>
    <sheetView topLeftCell="C1" workbookViewId="0">
      <selection activeCell="H27" sqref="H27"/>
    </sheetView>
  </sheetViews>
  <sheetFormatPr baseColWidth="10" defaultRowHeight="15" x14ac:dyDescent="0.25"/>
  <cols>
    <col min="1" max="1" width="24.28515625" bestFit="1" customWidth="1"/>
    <col min="2" max="5" width="24.28515625" customWidth="1"/>
    <col min="6" max="6" width="21.28515625" bestFit="1" customWidth="1"/>
    <col min="7" max="7" width="4.140625" bestFit="1" customWidth="1"/>
    <col min="8" max="12" width="15.28515625" bestFit="1" customWidth="1"/>
    <col min="13" max="14" width="14.28515625" bestFit="1" customWidth="1"/>
  </cols>
  <sheetData>
    <row r="1" spans="1:14" x14ac:dyDescent="0.25">
      <c r="A1" t="s">
        <v>36</v>
      </c>
      <c r="F1" t="s">
        <v>68</v>
      </c>
      <c r="G1" t="s">
        <v>69</v>
      </c>
      <c r="H1" t="s">
        <v>1006</v>
      </c>
      <c r="I1" t="s">
        <v>1007</v>
      </c>
      <c r="J1" t="s">
        <v>1006</v>
      </c>
      <c r="K1" t="s">
        <v>1007</v>
      </c>
      <c r="L1" t="s">
        <v>1008</v>
      </c>
      <c r="M1" t="s">
        <v>1009</v>
      </c>
      <c r="N1" t="s">
        <v>1010</v>
      </c>
    </row>
    <row r="2" spans="1:14" x14ac:dyDescent="0.25">
      <c r="A2" t="s">
        <v>1143</v>
      </c>
      <c r="B2" s="39">
        <f>SEARCH(" ",A2,1)</f>
        <v>5</v>
      </c>
      <c r="C2" s="39" t="str">
        <f>LEFT(A2,B2-1)</f>
        <v>A.J.</v>
      </c>
      <c r="D2" s="39" t="str">
        <f>MID(A2,B2+1,LEN(A2)-B2)</f>
        <v>Greer</v>
      </c>
      <c r="E2" s="39" t="str">
        <f>C2&amp;" "&amp;D2</f>
        <v>A.J. Greer</v>
      </c>
      <c r="F2" t="s">
        <v>1033</v>
      </c>
      <c r="G2" t="s">
        <v>93</v>
      </c>
      <c r="H2" s="292">
        <v>750000</v>
      </c>
      <c r="I2" s="292">
        <v>0</v>
      </c>
      <c r="J2" s="292">
        <v>750000</v>
      </c>
      <c r="K2" s="292" t="s">
        <v>8</v>
      </c>
      <c r="L2" s="292">
        <v>0</v>
      </c>
      <c r="M2" s="292">
        <v>0</v>
      </c>
      <c r="N2" s="292">
        <v>0</v>
      </c>
    </row>
    <row r="3" spans="1:14" x14ac:dyDescent="0.25">
      <c r="A3" t="s">
        <v>1051</v>
      </c>
      <c r="B3" s="39">
        <f t="shared" ref="B3:B66" si="0">SEARCH(" ",A3,1)</f>
        <v>6</v>
      </c>
      <c r="C3" s="39" t="str">
        <f t="shared" ref="C3:C66" si="1">LEFT(A3,B3-1)</f>
        <v>Aaron</v>
      </c>
      <c r="D3" s="39" t="str">
        <f t="shared" ref="D3:D66" si="2">MID(A3,B3+1,LEN(A3)-B3)</f>
        <v>Ekblad</v>
      </c>
      <c r="E3" s="39" t="str">
        <f t="shared" ref="E3:E66" si="3">C3&amp;" "&amp;D3</f>
        <v>Aaron Ekblad</v>
      </c>
      <c r="F3" t="s">
        <v>1027</v>
      </c>
      <c r="G3" t="s">
        <v>379</v>
      </c>
      <c r="H3" s="292">
        <v>7500000</v>
      </c>
      <c r="I3" s="292">
        <v>7500000</v>
      </c>
      <c r="J3" s="292">
        <v>7000000</v>
      </c>
      <c r="K3" s="292">
        <v>9000000</v>
      </c>
      <c r="L3" s="292">
        <v>6000000</v>
      </c>
      <c r="M3" s="292">
        <v>9000000</v>
      </c>
      <c r="N3" s="292">
        <v>6000000</v>
      </c>
    </row>
    <row r="4" spans="1:14" x14ac:dyDescent="0.25">
      <c r="A4" t="s">
        <v>944</v>
      </c>
      <c r="B4" s="39">
        <f t="shared" si="0"/>
        <v>5</v>
      </c>
      <c r="C4" s="39" t="str">
        <f t="shared" si="1"/>
        <v>Adam</v>
      </c>
      <c r="D4" s="39" t="str">
        <f t="shared" si="2"/>
        <v>Brooks</v>
      </c>
      <c r="E4" s="39" t="str">
        <f t="shared" si="3"/>
        <v>Adam Brooks</v>
      </c>
      <c r="F4" t="s">
        <v>1034</v>
      </c>
      <c r="G4" t="s">
        <v>73</v>
      </c>
      <c r="H4" s="292">
        <v>925000</v>
      </c>
      <c r="I4" s="292">
        <v>925000</v>
      </c>
      <c r="J4" s="292">
        <v>742500</v>
      </c>
      <c r="K4" s="292">
        <v>792500</v>
      </c>
      <c r="L4" s="292" t="s">
        <v>8</v>
      </c>
      <c r="M4" s="292">
        <v>0</v>
      </c>
      <c r="N4" s="292">
        <v>0</v>
      </c>
    </row>
    <row r="5" spans="1:14" x14ac:dyDescent="0.25">
      <c r="A5" t="s">
        <v>818</v>
      </c>
      <c r="B5" s="39">
        <f t="shared" si="0"/>
        <v>5</v>
      </c>
      <c r="C5" s="39" t="str">
        <f t="shared" si="1"/>
        <v>Adam</v>
      </c>
      <c r="D5" s="39" t="str">
        <f t="shared" si="2"/>
        <v>Gaudette</v>
      </c>
      <c r="E5" s="39" t="str">
        <f t="shared" si="3"/>
        <v>Adam Gaudette</v>
      </c>
      <c r="F5" t="s">
        <v>1037</v>
      </c>
      <c r="G5" t="s">
        <v>73</v>
      </c>
      <c r="H5" s="292">
        <v>1491667</v>
      </c>
      <c r="I5" s="292">
        <v>1491667</v>
      </c>
      <c r="J5" s="292">
        <v>925000</v>
      </c>
      <c r="K5" s="292">
        <v>925000</v>
      </c>
      <c r="L5" s="292" t="s">
        <v>8</v>
      </c>
      <c r="M5" s="292">
        <v>0</v>
      </c>
      <c r="N5" s="292">
        <v>0</v>
      </c>
    </row>
    <row r="6" spans="1:14" x14ac:dyDescent="0.25">
      <c r="A6" t="s">
        <v>855</v>
      </c>
      <c r="B6" s="39">
        <f t="shared" si="0"/>
        <v>5</v>
      </c>
      <c r="C6" s="39" t="str">
        <f t="shared" si="1"/>
        <v>Adam</v>
      </c>
      <c r="D6" s="39" t="str">
        <f t="shared" si="2"/>
        <v>Helewka</v>
      </c>
      <c r="E6" s="39" t="str">
        <f t="shared" si="3"/>
        <v>Adam Helewka</v>
      </c>
      <c r="F6" t="s">
        <v>1022</v>
      </c>
      <c r="G6" t="s">
        <v>93</v>
      </c>
      <c r="H6" s="292">
        <v>800000</v>
      </c>
      <c r="I6" s="292">
        <v>0</v>
      </c>
      <c r="J6" s="292">
        <v>730000</v>
      </c>
      <c r="K6" s="292" t="s">
        <v>8</v>
      </c>
      <c r="L6" s="292">
        <v>0</v>
      </c>
      <c r="M6" s="292">
        <v>0</v>
      </c>
      <c r="N6" s="292">
        <v>0</v>
      </c>
    </row>
    <row r="7" spans="1:14" x14ac:dyDescent="0.25">
      <c r="A7" t="s">
        <v>701</v>
      </c>
      <c r="B7" s="39">
        <f t="shared" si="0"/>
        <v>5</v>
      </c>
      <c r="C7" s="39" t="str">
        <f t="shared" si="1"/>
        <v>Adam</v>
      </c>
      <c r="D7" s="39" t="str">
        <f t="shared" si="2"/>
        <v>Henrique</v>
      </c>
      <c r="E7" s="39" t="str">
        <f t="shared" si="3"/>
        <v>Adam Henrique</v>
      </c>
      <c r="F7" t="s">
        <v>1017</v>
      </c>
      <c r="G7" t="s">
        <v>73</v>
      </c>
      <c r="H7" s="292">
        <v>4000000</v>
      </c>
      <c r="I7" s="292">
        <v>0</v>
      </c>
      <c r="J7" s="292">
        <v>5500000</v>
      </c>
      <c r="K7" s="292" t="s">
        <v>7</v>
      </c>
      <c r="L7" s="292">
        <v>0</v>
      </c>
      <c r="M7" s="292">
        <v>0</v>
      </c>
      <c r="N7" s="292">
        <v>0</v>
      </c>
    </row>
    <row r="8" spans="1:14" x14ac:dyDescent="0.25">
      <c r="A8" t="s">
        <v>427</v>
      </c>
      <c r="B8" s="39">
        <f t="shared" si="0"/>
        <v>5</v>
      </c>
      <c r="C8" s="39" t="str">
        <f t="shared" si="1"/>
        <v>Adam</v>
      </c>
      <c r="D8" s="39" t="str">
        <f t="shared" si="2"/>
        <v>Johnson</v>
      </c>
      <c r="E8" s="39" t="str">
        <f t="shared" si="3"/>
        <v>Adam Johnson</v>
      </c>
      <c r="F8" t="s">
        <v>1014</v>
      </c>
      <c r="G8" t="s">
        <v>73</v>
      </c>
      <c r="H8" s="292">
        <v>925000</v>
      </c>
      <c r="I8" s="292">
        <v>0</v>
      </c>
      <c r="J8" s="292">
        <v>925000</v>
      </c>
      <c r="K8" s="292" t="s">
        <v>8</v>
      </c>
      <c r="L8" s="292">
        <v>0</v>
      </c>
      <c r="M8" s="292">
        <v>0</v>
      </c>
      <c r="N8" s="292">
        <v>0</v>
      </c>
    </row>
    <row r="9" spans="1:14" x14ac:dyDescent="0.25">
      <c r="A9" t="s">
        <v>1097</v>
      </c>
      <c r="B9" s="39">
        <f t="shared" si="0"/>
        <v>5</v>
      </c>
      <c r="C9" s="39" t="str">
        <f t="shared" si="1"/>
        <v>Adam</v>
      </c>
      <c r="D9" s="39" t="str">
        <f t="shared" si="2"/>
        <v>Larsson</v>
      </c>
      <c r="E9" s="39" t="str">
        <f t="shared" si="3"/>
        <v>Adam Larsson</v>
      </c>
      <c r="F9" t="s">
        <v>1020</v>
      </c>
      <c r="G9" t="s">
        <v>379</v>
      </c>
      <c r="H9" s="292">
        <v>4166670</v>
      </c>
      <c r="I9" s="292">
        <v>4166670</v>
      </c>
      <c r="J9" s="292">
        <v>4850000</v>
      </c>
      <c r="K9" s="292">
        <v>5050000</v>
      </c>
      <c r="L9" s="292">
        <v>5100000</v>
      </c>
      <c r="M9" s="292" t="s">
        <v>7</v>
      </c>
      <c r="N9" s="292">
        <v>0</v>
      </c>
    </row>
    <row r="10" spans="1:14" x14ac:dyDescent="0.25">
      <c r="A10" t="s">
        <v>540</v>
      </c>
      <c r="B10" s="39">
        <f t="shared" si="0"/>
        <v>5</v>
      </c>
      <c r="C10" s="39" t="str">
        <f t="shared" si="1"/>
        <v>Adam</v>
      </c>
      <c r="D10" s="39" t="str">
        <f t="shared" si="2"/>
        <v>McQuaid</v>
      </c>
      <c r="E10" s="39" t="str">
        <f t="shared" si="3"/>
        <v>Adam McQuaid</v>
      </c>
      <c r="F10" t="s">
        <v>1030</v>
      </c>
      <c r="G10" t="s">
        <v>379</v>
      </c>
      <c r="H10" s="292">
        <v>2750000</v>
      </c>
      <c r="I10" s="292">
        <v>0</v>
      </c>
      <c r="J10" s="292">
        <v>2000000</v>
      </c>
      <c r="K10" s="292" t="s">
        <v>7</v>
      </c>
      <c r="L10" s="292">
        <v>0</v>
      </c>
      <c r="M10" s="292">
        <v>0</v>
      </c>
      <c r="N10" s="292">
        <v>0</v>
      </c>
    </row>
    <row r="11" spans="1:14" x14ac:dyDescent="0.25">
      <c r="A11" t="s">
        <v>413</v>
      </c>
      <c r="B11" s="39">
        <f t="shared" si="0"/>
        <v>5</v>
      </c>
      <c r="C11" s="39" t="str">
        <f t="shared" si="1"/>
        <v>Adam</v>
      </c>
      <c r="D11" s="39" t="str">
        <f t="shared" si="2"/>
        <v>Musil</v>
      </c>
      <c r="E11" s="39" t="str">
        <f t="shared" si="3"/>
        <v>Adam Musil</v>
      </c>
      <c r="F11" t="s">
        <v>1026</v>
      </c>
      <c r="G11" t="s">
        <v>73</v>
      </c>
      <c r="H11" s="292">
        <v>858333</v>
      </c>
      <c r="I11" s="292">
        <v>0</v>
      </c>
      <c r="J11" s="292">
        <v>812500</v>
      </c>
      <c r="K11" s="292" t="s">
        <v>8</v>
      </c>
      <c r="L11" s="292">
        <v>0</v>
      </c>
      <c r="M11" s="292">
        <v>0</v>
      </c>
      <c r="N11" s="292">
        <v>0</v>
      </c>
    </row>
    <row r="12" spans="1:14" x14ac:dyDescent="0.25">
      <c r="A12" t="s">
        <v>902</v>
      </c>
      <c r="B12" s="39">
        <f t="shared" si="0"/>
        <v>5</v>
      </c>
      <c r="C12" s="39" t="str">
        <f t="shared" si="1"/>
        <v>Adam</v>
      </c>
      <c r="D12" s="39" t="str">
        <f t="shared" si="2"/>
        <v>Pelech</v>
      </c>
      <c r="E12" s="39" t="str">
        <f t="shared" si="3"/>
        <v>Adam Pelech</v>
      </c>
      <c r="F12" t="s">
        <v>1040</v>
      </c>
      <c r="G12" t="s">
        <v>379</v>
      </c>
      <c r="H12" s="292">
        <v>1600000</v>
      </c>
      <c r="I12" s="292">
        <v>1600000</v>
      </c>
      <c r="J12" s="292">
        <v>1100000</v>
      </c>
      <c r="K12" s="292">
        <v>1925000</v>
      </c>
      <c r="L12" s="292">
        <v>2500000</v>
      </c>
      <c r="M12" s="292" t="s">
        <v>8</v>
      </c>
      <c r="N12" s="292">
        <v>0</v>
      </c>
    </row>
    <row r="13" spans="1:14" x14ac:dyDescent="0.25">
      <c r="A13" t="s">
        <v>854</v>
      </c>
      <c r="B13" s="39">
        <f t="shared" si="0"/>
        <v>5</v>
      </c>
      <c r="C13" s="39" t="str">
        <f t="shared" si="1"/>
        <v>Adin</v>
      </c>
      <c r="D13" s="39" t="str">
        <f t="shared" si="2"/>
        <v>Hill</v>
      </c>
      <c r="E13" s="39" t="str">
        <f t="shared" si="3"/>
        <v>Adin Hill</v>
      </c>
      <c r="F13" t="s">
        <v>1032</v>
      </c>
      <c r="G13" t="s">
        <v>127</v>
      </c>
      <c r="H13" s="292">
        <v>925000</v>
      </c>
      <c r="I13" s="292">
        <v>0</v>
      </c>
      <c r="J13" s="292">
        <v>767500</v>
      </c>
      <c r="K13" s="292" t="s">
        <v>8</v>
      </c>
      <c r="L13" s="292">
        <v>0</v>
      </c>
      <c r="M13" s="292">
        <v>0</v>
      </c>
      <c r="N13" s="292">
        <v>0</v>
      </c>
    </row>
    <row r="14" spans="1:14" x14ac:dyDescent="0.25">
      <c r="A14" t="s">
        <v>495</v>
      </c>
      <c r="B14" s="39">
        <f t="shared" si="0"/>
        <v>7</v>
      </c>
      <c r="C14" s="39" t="str">
        <f t="shared" si="1"/>
        <v>Adrian</v>
      </c>
      <c r="D14" s="39" t="str">
        <f t="shared" si="2"/>
        <v>Kempe</v>
      </c>
      <c r="E14" s="39" t="str">
        <f t="shared" si="3"/>
        <v>Adrian Kempe</v>
      </c>
      <c r="F14" t="s">
        <v>1012</v>
      </c>
      <c r="G14" t="s">
        <v>73</v>
      </c>
      <c r="H14" s="292">
        <v>894167</v>
      </c>
      <c r="I14" s="292">
        <v>0</v>
      </c>
      <c r="J14" s="292">
        <v>832500</v>
      </c>
      <c r="K14" s="292" t="s">
        <v>8</v>
      </c>
      <c r="L14" s="292">
        <v>0</v>
      </c>
      <c r="M14" s="292">
        <v>0</v>
      </c>
      <c r="N14" s="292">
        <v>0</v>
      </c>
    </row>
    <row r="15" spans="1:14" x14ac:dyDescent="0.25">
      <c r="A15" t="s">
        <v>560</v>
      </c>
      <c r="B15" s="39">
        <f t="shared" si="0"/>
        <v>3</v>
      </c>
      <c r="C15" s="39" t="str">
        <f t="shared" si="1"/>
        <v>Al</v>
      </c>
      <c r="D15" s="39" t="str">
        <f t="shared" si="2"/>
        <v>Montoya</v>
      </c>
      <c r="E15" s="39" t="str">
        <f t="shared" si="3"/>
        <v>Al Montoya</v>
      </c>
      <c r="F15" t="s">
        <v>1020</v>
      </c>
      <c r="G15" t="s">
        <v>127</v>
      </c>
      <c r="H15" s="292">
        <v>1062500</v>
      </c>
      <c r="I15" s="292">
        <v>0</v>
      </c>
      <c r="J15" s="292">
        <v>1125000</v>
      </c>
      <c r="K15" s="292" t="s">
        <v>7</v>
      </c>
      <c r="L15" s="292">
        <v>0</v>
      </c>
      <c r="M15" s="292">
        <v>0</v>
      </c>
      <c r="N15" s="292">
        <v>0</v>
      </c>
    </row>
    <row r="16" spans="1:14" x14ac:dyDescent="0.25">
      <c r="A16" t="s">
        <v>497</v>
      </c>
      <c r="B16" s="39">
        <f t="shared" si="0"/>
        <v>5</v>
      </c>
      <c r="C16" s="39" t="str">
        <f t="shared" si="1"/>
        <v>Alec</v>
      </c>
      <c r="D16" s="39" t="str">
        <f t="shared" si="2"/>
        <v>Martinez</v>
      </c>
      <c r="E16" s="39" t="str">
        <f t="shared" si="3"/>
        <v>Alec Martinez</v>
      </c>
      <c r="F16" t="s">
        <v>1012</v>
      </c>
      <c r="G16" t="s">
        <v>380</v>
      </c>
      <c r="H16" s="292">
        <v>4000000</v>
      </c>
      <c r="I16" s="292">
        <v>4000000</v>
      </c>
      <c r="J16" s="292">
        <v>4050000</v>
      </c>
      <c r="K16" s="292">
        <v>4150000</v>
      </c>
      <c r="L16" s="292">
        <v>4000000</v>
      </c>
      <c r="M16" s="292" t="s">
        <v>7</v>
      </c>
      <c r="N16" s="292">
        <v>0</v>
      </c>
    </row>
    <row r="17" spans="1:14" x14ac:dyDescent="0.25">
      <c r="A17" t="s">
        <v>269</v>
      </c>
      <c r="B17" s="39">
        <f t="shared" si="0"/>
        <v>11</v>
      </c>
      <c r="C17" s="39" t="str">
        <f t="shared" si="1"/>
        <v>Aleksander</v>
      </c>
      <c r="D17" s="39" t="str">
        <f t="shared" si="2"/>
        <v>Barkov</v>
      </c>
      <c r="E17" s="39" t="str">
        <f t="shared" si="3"/>
        <v>Aleksander Barkov</v>
      </c>
      <c r="F17" t="s">
        <v>1027</v>
      </c>
      <c r="G17" t="s">
        <v>73</v>
      </c>
      <c r="H17" s="292">
        <v>5900000</v>
      </c>
      <c r="I17" s="292">
        <v>5900000</v>
      </c>
      <c r="J17" s="292">
        <v>6250000</v>
      </c>
      <c r="K17" s="292">
        <v>6900000</v>
      </c>
      <c r="L17" s="292">
        <v>4750000</v>
      </c>
      <c r="M17" s="292">
        <v>7750000</v>
      </c>
      <c r="N17" s="292" t="s">
        <v>7</v>
      </c>
    </row>
    <row r="18" spans="1:14" x14ac:dyDescent="0.25">
      <c r="A18" t="s">
        <v>984</v>
      </c>
      <c r="B18" s="39">
        <f t="shared" si="0"/>
        <v>7</v>
      </c>
      <c r="C18" s="39" t="str">
        <f t="shared" si="1"/>
        <v>Aleksi</v>
      </c>
      <c r="D18" s="39" t="str">
        <f t="shared" si="2"/>
        <v>Saarela</v>
      </c>
      <c r="E18" s="39" t="str">
        <f t="shared" si="3"/>
        <v>Aleksi Saarela</v>
      </c>
      <c r="F18" t="s">
        <v>1036</v>
      </c>
      <c r="G18" t="s">
        <v>73</v>
      </c>
      <c r="H18" s="292">
        <v>894167</v>
      </c>
      <c r="I18" s="292">
        <v>894167</v>
      </c>
      <c r="J18" s="292">
        <v>767500</v>
      </c>
      <c r="K18" s="292">
        <v>750000</v>
      </c>
      <c r="L18" s="292" t="s">
        <v>8</v>
      </c>
      <c r="M18" s="292">
        <v>0</v>
      </c>
      <c r="N18" s="292">
        <v>0</v>
      </c>
    </row>
    <row r="19" spans="1:14" x14ac:dyDescent="0.25">
      <c r="A19" t="s">
        <v>824</v>
      </c>
      <c r="B19" s="39">
        <f t="shared" si="0"/>
        <v>5</v>
      </c>
      <c r="C19" s="39" t="str">
        <f t="shared" si="1"/>
        <v>Alex</v>
      </c>
      <c r="D19" s="39" t="str">
        <f t="shared" si="2"/>
        <v>Biega</v>
      </c>
      <c r="E19" s="39" t="str">
        <f t="shared" si="3"/>
        <v>Alex Biega</v>
      </c>
      <c r="F19" t="s">
        <v>1037</v>
      </c>
      <c r="G19" t="s">
        <v>379</v>
      </c>
      <c r="H19" s="292">
        <v>825000</v>
      </c>
      <c r="I19" s="292">
        <v>825000</v>
      </c>
      <c r="J19" s="292">
        <v>950000</v>
      </c>
      <c r="K19" s="292">
        <v>700000</v>
      </c>
      <c r="L19" s="292" t="s">
        <v>7</v>
      </c>
      <c r="M19" s="292">
        <v>0</v>
      </c>
      <c r="N19" s="292">
        <v>0</v>
      </c>
    </row>
    <row r="20" spans="1:14" x14ac:dyDescent="0.25">
      <c r="A20" t="s">
        <v>612</v>
      </c>
      <c r="B20" s="39">
        <f t="shared" si="0"/>
        <v>5</v>
      </c>
      <c r="C20" s="39" t="str">
        <f t="shared" si="1"/>
        <v>Alex</v>
      </c>
      <c r="D20" s="39" t="str">
        <f t="shared" si="2"/>
        <v>DeBrincat</v>
      </c>
      <c r="E20" s="39" t="str">
        <f t="shared" si="3"/>
        <v>Alex DeBrincat</v>
      </c>
      <c r="F20" t="s">
        <v>1011</v>
      </c>
      <c r="G20" t="s">
        <v>88</v>
      </c>
      <c r="H20" s="292">
        <v>894167</v>
      </c>
      <c r="I20" s="292">
        <v>894167</v>
      </c>
      <c r="J20" s="292">
        <v>792500</v>
      </c>
      <c r="K20" s="292">
        <v>800000</v>
      </c>
      <c r="L20" s="292" t="s">
        <v>8</v>
      </c>
      <c r="M20" s="292">
        <v>0</v>
      </c>
      <c r="N20" s="292">
        <v>0</v>
      </c>
    </row>
    <row r="21" spans="1:14" x14ac:dyDescent="0.25">
      <c r="A21" t="s">
        <v>431</v>
      </c>
      <c r="B21" s="39">
        <f t="shared" si="0"/>
        <v>5</v>
      </c>
      <c r="C21" s="39" t="str">
        <f t="shared" si="1"/>
        <v>Alex</v>
      </c>
      <c r="D21" s="39" t="str">
        <f t="shared" si="2"/>
        <v>D'Orio</v>
      </c>
      <c r="E21" s="39" t="str">
        <f t="shared" si="3"/>
        <v>Alex D'Orio</v>
      </c>
      <c r="F21" t="s">
        <v>1014</v>
      </c>
      <c r="G21" t="s">
        <v>127</v>
      </c>
      <c r="H21" s="292">
        <v>716667</v>
      </c>
      <c r="I21" s="292">
        <v>716667</v>
      </c>
      <c r="J21" s="292">
        <v>700000</v>
      </c>
      <c r="K21" s="292">
        <v>750000</v>
      </c>
      <c r="L21" s="292" t="s">
        <v>8</v>
      </c>
      <c r="M21" s="292">
        <v>0</v>
      </c>
      <c r="N21" s="292">
        <v>0</v>
      </c>
    </row>
    <row r="22" spans="1:14" x14ac:dyDescent="0.25">
      <c r="A22" t="s">
        <v>715</v>
      </c>
      <c r="B22" s="39">
        <f t="shared" si="0"/>
        <v>5</v>
      </c>
      <c r="C22" s="39" t="str">
        <f t="shared" si="1"/>
        <v>Alex</v>
      </c>
      <c r="D22" s="39" t="str">
        <f t="shared" si="2"/>
        <v>Dostie</v>
      </c>
      <c r="E22" s="39" t="str">
        <f t="shared" si="3"/>
        <v>Alex Dostie</v>
      </c>
      <c r="F22" t="s">
        <v>1017</v>
      </c>
      <c r="G22" t="s">
        <v>73</v>
      </c>
      <c r="H22" s="292">
        <v>925000</v>
      </c>
      <c r="I22" s="292">
        <v>925000</v>
      </c>
      <c r="J22" s="292">
        <v>742500</v>
      </c>
      <c r="K22" s="292">
        <v>792500</v>
      </c>
      <c r="L22" s="292" t="s">
        <v>8</v>
      </c>
      <c r="M22" s="292">
        <v>0</v>
      </c>
      <c r="N22" s="292">
        <v>0</v>
      </c>
    </row>
    <row r="23" spans="1:14" x14ac:dyDescent="0.25">
      <c r="A23" t="s">
        <v>174</v>
      </c>
      <c r="B23" s="39">
        <f t="shared" si="0"/>
        <v>5</v>
      </c>
      <c r="C23" s="39" t="str">
        <f t="shared" si="1"/>
        <v>Alex</v>
      </c>
      <c r="D23" s="39" t="str">
        <f t="shared" si="2"/>
        <v>Formenton</v>
      </c>
      <c r="E23" s="39" t="str">
        <f t="shared" si="3"/>
        <v>Alex Formenton</v>
      </c>
      <c r="F23" t="s">
        <v>1029</v>
      </c>
      <c r="G23" t="s">
        <v>93</v>
      </c>
      <c r="H23" s="292">
        <v>925000</v>
      </c>
      <c r="I23" s="292">
        <v>925000</v>
      </c>
      <c r="J23" s="292">
        <v>792500</v>
      </c>
      <c r="K23" s="292">
        <v>817500</v>
      </c>
      <c r="L23" s="292" t="s">
        <v>8</v>
      </c>
      <c r="M23" s="292">
        <v>0</v>
      </c>
      <c r="N23" s="292">
        <v>0</v>
      </c>
    </row>
    <row r="24" spans="1:14" x14ac:dyDescent="0.25">
      <c r="A24" t="s">
        <v>276</v>
      </c>
      <c r="B24" s="39">
        <f t="shared" si="0"/>
        <v>5</v>
      </c>
      <c r="C24" s="39" t="str">
        <f t="shared" si="1"/>
        <v>Alex</v>
      </c>
      <c r="D24" s="39" t="str">
        <f t="shared" si="2"/>
        <v>Galchenyuk</v>
      </c>
      <c r="E24" s="39" t="str">
        <f t="shared" si="3"/>
        <v>Alex Galchenyuk</v>
      </c>
      <c r="F24" t="s">
        <v>1032</v>
      </c>
      <c r="G24" t="s">
        <v>73</v>
      </c>
      <c r="H24" s="292">
        <v>4900000</v>
      </c>
      <c r="I24" s="292">
        <v>4900000</v>
      </c>
      <c r="J24" s="292">
        <v>4900000</v>
      </c>
      <c r="K24" s="292">
        <v>4900000</v>
      </c>
      <c r="L24" s="292" t="s">
        <v>7</v>
      </c>
      <c r="M24" s="292">
        <v>0</v>
      </c>
      <c r="N24" s="292">
        <v>0</v>
      </c>
    </row>
    <row r="25" spans="1:14" x14ac:dyDescent="0.25">
      <c r="A25" t="s">
        <v>1077</v>
      </c>
      <c r="B25" s="39">
        <f t="shared" si="0"/>
        <v>5</v>
      </c>
      <c r="C25" s="39" t="str">
        <f t="shared" si="1"/>
        <v>Alex</v>
      </c>
      <c r="D25" s="39" t="str">
        <f t="shared" si="2"/>
        <v>Goligoski</v>
      </c>
      <c r="E25" s="39" t="str">
        <f t="shared" si="3"/>
        <v>Alex Goligoski</v>
      </c>
      <c r="F25" t="s">
        <v>1032</v>
      </c>
      <c r="G25" t="s">
        <v>380</v>
      </c>
      <c r="H25" s="292">
        <v>5475000</v>
      </c>
      <c r="I25" s="292">
        <v>5475000</v>
      </c>
      <c r="J25" s="292">
        <v>6100000</v>
      </c>
      <c r="K25" s="292">
        <v>5800000</v>
      </c>
      <c r="L25" s="292">
        <v>4000000</v>
      </c>
      <c r="M25" s="292" t="s">
        <v>7</v>
      </c>
      <c r="N25" s="292">
        <v>0</v>
      </c>
    </row>
    <row r="26" spans="1:14" x14ac:dyDescent="0.25">
      <c r="A26" t="s">
        <v>494</v>
      </c>
      <c r="B26" s="39">
        <f t="shared" si="0"/>
        <v>5</v>
      </c>
      <c r="C26" s="39" t="str">
        <f t="shared" si="1"/>
        <v>Alex</v>
      </c>
      <c r="D26" s="39" t="str">
        <f t="shared" si="2"/>
        <v>Iafallo</v>
      </c>
      <c r="E26" s="39" t="str">
        <f t="shared" si="3"/>
        <v>Alex Iafallo</v>
      </c>
      <c r="F26" t="s">
        <v>1012</v>
      </c>
      <c r="G26" t="s">
        <v>93</v>
      </c>
      <c r="H26" s="292">
        <v>925000</v>
      </c>
      <c r="I26" s="292">
        <v>0</v>
      </c>
      <c r="J26" s="292">
        <v>925000</v>
      </c>
      <c r="K26" s="292" t="s">
        <v>8</v>
      </c>
      <c r="L26" s="292">
        <v>0</v>
      </c>
      <c r="M26" s="292">
        <v>0</v>
      </c>
      <c r="N26" s="292">
        <v>0</v>
      </c>
    </row>
    <row r="27" spans="1:14" x14ac:dyDescent="0.25">
      <c r="A27" t="s">
        <v>514</v>
      </c>
      <c r="B27" s="39">
        <f t="shared" si="0"/>
        <v>5</v>
      </c>
      <c r="C27" s="39" t="str">
        <f t="shared" si="1"/>
        <v>Alex</v>
      </c>
      <c r="D27" s="39" t="str">
        <f t="shared" si="2"/>
        <v>Killorn</v>
      </c>
      <c r="E27" s="39" t="str">
        <f t="shared" si="3"/>
        <v>Alex Killorn</v>
      </c>
      <c r="F27" t="s">
        <v>1019</v>
      </c>
      <c r="G27" t="s">
        <v>73</v>
      </c>
      <c r="H27" s="292">
        <v>4450000</v>
      </c>
      <c r="I27" s="292">
        <v>4450000</v>
      </c>
      <c r="J27" s="292">
        <v>4450000</v>
      </c>
      <c r="K27" s="292">
        <v>4450000</v>
      </c>
      <c r="L27" s="292">
        <v>4450000</v>
      </c>
      <c r="M27" s="292">
        <v>4450000</v>
      </c>
      <c r="N27" s="292">
        <v>4450000</v>
      </c>
    </row>
    <row r="28" spans="1:14" x14ac:dyDescent="0.25">
      <c r="A28" t="s">
        <v>982</v>
      </c>
      <c r="B28" s="39">
        <f t="shared" si="0"/>
        <v>5</v>
      </c>
      <c r="C28" s="39" t="str">
        <f t="shared" si="1"/>
        <v>Alex</v>
      </c>
      <c r="D28" s="39" t="str">
        <f t="shared" si="2"/>
        <v>Nedeljkovic</v>
      </c>
      <c r="E28" s="39" t="str">
        <f t="shared" si="3"/>
        <v>Alex Nedeljkovic</v>
      </c>
      <c r="F28" t="s">
        <v>1036</v>
      </c>
      <c r="G28" t="s">
        <v>127</v>
      </c>
      <c r="H28" s="292">
        <v>894167</v>
      </c>
      <c r="I28" s="292">
        <v>0</v>
      </c>
      <c r="J28" s="292">
        <v>800000</v>
      </c>
      <c r="K28" s="292" t="s">
        <v>8</v>
      </c>
      <c r="L28" s="292">
        <v>0</v>
      </c>
      <c r="M28" s="292">
        <v>0</v>
      </c>
      <c r="N28" s="292">
        <v>0</v>
      </c>
    </row>
    <row r="29" spans="1:14" x14ac:dyDescent="0.25">
      <c r="A29" t="s">
        <v>1114</v>
      </c>
      <c r="B29" s="39">
        <f t="shared" si="0"/>
        <v>5</v>
      </c>
      <c r="C29" s="39" t="str">
        <f t="shared" si="1"/>
        <v>Alex</v>
      </c>
      <c r="D29" s="39" t="str">
        <f t="shared" si="2"/>
        <v>Nylander</v>
      </c>
      <c r="E29" s="39" t="str">
        <f t="shared" si="3"/>
        <v>Alex Nylander</v>
      </c>
      <c r="F29" t="s">
        <v>1039</v>
      </c>
      <c r="G29" t="s">
        <v>93</v>
      </c>
      <c r="H29" s="292">
        <v>1744167</v>
      </c>
      <c r="I29" s="292">
        <v>1744167</v>
      </c>
      <c r="J29" s="292">
        <v>925000</v>
      </c>
      <c r="K29" s="292">
        <v>832500</v>
      </c>
      <c r="L29" s="292" t="s">
        <v>8</v>
      </c>
      <c r="M29" s="292">
        <v>0</v>
      </c>
      <c r="N29" s="292">
        <v>0</v>
      </c>
    </row>
    <row r="30" spans="1:14" x14ac:dyDescent="0.25">
      <c r="A30" t="s">
        <v>1044</v>
      </c>
      <c r="B30" s="39">
        <f t="shared" si="0"/>
        <v>5</v>
      </c>
      <c r="C30" s="39" t="str">
        <f t="shared" si="1"/>
        <v>Alex</v>
      </c>
      <c r="D30" s="39" t="str">
        <f t="shared" si="2"/>
        <v>Ovechkin</v>
      </c>
      <c r="E30" s="39" t="str">
        <f t="shared" si="3"/>
        <v>Alex Ovechkin</v>
      </c>
      <c r="F30" t="s">
        <v>1013</v>
      </c>
      <c r="G30" t="s">
        <v>93</v>
      </c>
      <c r="H30" s="292">
        <v>9538460</v>
      </c>
      <c r="I30" s="292">
        <v>9538460</v>
      </c>
      <c r="J30" s="292">
        <v>10000000</v>
      </c>
      <c r="K30" s="292">
        <v>10000000</v>
      </c>
      <c r="L30" s="292">
        <v>10000000</v>
      </c>
      <c r="M30" s="292" t="s">
        <v>7</v>
      </c>
      <c r="N30" s="292">
        <v>0</v>
      </c>
    </row>
    <row r="31" spans="1:14" x14ac:dyDescent="0.25">
      <c r="A31" t="s">
        <v>211</v>
      </c>
      <c r="B31" s="39">
        <f t="shared" si="0"/>
        <v>5</v>
      </c>
      <c r="C31" s="39" t="str">
        <f t="shared" si="1"/>
        <v>Alex</v>
      </c>
      <c r="D31" s="39" t="str">
        <f t="shared" si="2"/>
        <v>Pietrangelo</v>
      </c>
      <c r="E31" s="39" t="str">
        <f t="shared" si="3"/>
        <v>Alex Pietrangelo</v>
      </c>
      <c r="F31" t="s">
        <v>1026</v>
      </c>
      <c r="G31" t="s">
        <v>379</v>
      </c>
      <c r="H31" s="292">
        <v>6500000</v>
      </c>
      <c r="I31" s="292">
        <v>6500000</v>
      </c>
      <c r="J31" s="292">
        <v>7000000</v>
      </c>
      <c r="K31" s="292">
        <v>7500000</v>
      </c>
      <c r="L31" s="292" t="s">
        <v>7</v>
      </c>
      <c r="M31" s="292">
        <v>0</v>
      </c>
      <c r="N31" s="292">
        <v>0</v>
      </c>
    </row>
    <row r="32" spans="1:14" x14ac:dyDescent="0.25">
      <c r="A32" t="s">
        <v>588</v>
      </c>
      <c r="B32" s="39">
        <f t="shared" si="0"/>
        <v>5</v>
      </c>
      <c r="C32" s="39" t="str">
        <f t="shared" si="1"/>
        <v>Alex</v>
      </c>
      <c r="D32" s="39" t="str">
        <f t="shared" si="2"/>
        <v>Schoenborn</v>
      </c>
      <c r="E32" s="39" t="str">
        <f t="shared" si="3"/>
        <v>Alex Schoenborn</v>
      </c>
      <c r="F32" t="s">
        <v>1022</v>
      </c>
      <c r="G32" t="s">
        <v>88</v>
      </c>
      <c r="H32" s="292">
        <v>925000</v>
      </c>
      <c r="I32" s="292">
        <v>0</v>
      </c>
      <c r="J32" s="292">
        <v>742500</v>
      </c>
      <c r="K32" s="292" t="s">
        <v>8</v>
      </c>
      <c r="L32" s="292">
        <v>0</v>
      </c>
      <c r="M32" s="292">
        <v>0</v>
      </c>
      <c r="N32" s="292">
        <v>0</v>
      </c>
    </row>
    <row r="33" spans="1:14" x14ac:dyDescent="0.25">
      <c r="A33" t="s">
        <v>462</v>
      </c>
      <c r="B33" s="39">
        <f t="shared" si="0"/>
        <v>5</v>
      </c>
      <c r="C33" s="39" t="str">
        <f t="shared" si="1"/>
        <v>Alex</v>
      </c>
      <c r="D33" s="39" t="str">
        <f t="shared" si="2"/>
        <v>Stalock</v>
      </c>
      <c r="E33" s="39" t="str">
        <f t="shared" si="3"/>
        <v>Alex Stalock</v>
      </c>
      <c r="F33" t="s">
        <v>1025</v>
      </c>
      <c r="G33" t="s">
        <v>127</v>
      </c>
      <c r="H33" s="292">
        <v>650000</v>
      </c>
      <c r="I33" s="292">
        <v>0</v>
      </c>
      <c r="J33" s="292">
        <v>650000</v>
      </c>
      <c r="K33" s="292" t="s">
        <v>7</v>
      </c>
      <c r="L33" s="292">
        <v>0</v>
      </c>
      <c r="M33" s="292">
        <v>0</v>
      </c>
      <c r="N33" s="292">
        <v>0</v>
      </c>
    </row>
    <row r="34" spans="1:14" x14ac:dyDescent="0.25">
      <c r="A34" t="s">
        <v>1071</v>
      </c>
      <c r="B34" s="39">
        <f t="shared" si="0"/>
        <v>5</v>
      </c>
      <c r="C34" s="39" t="str">
        <f t="shared" si="1"/>
        <v>Alex</v>
      </c>
      <c r="D34" s="39" t="str">
        <f t="shared" si="2"/>
        <v>Steen</v>
      </c>
      <c r="E34" s="39" t="str">
        <f t="shared" si="3"/>
        <v>Alex Steen</v>
      </c>
      <c r="F34" t="s">
        <v>1026</v>
      </c>
      <c r="G34" t="s">
        <v>93</v>
      </c>
      <c r="H34" s="292">
        <v>5750000</v>
      </c>
      <c r="I34" s="292">
        <v>5750000</v>
      </c>
      <c r="J34" s="292">
        <v>7000000</v>
      </c>
      <c r="K34" s="292">
        <v>5500000</v>
      </c>
      <c r="L34" s="292">
        <v>3500000</v>
      </c>
      <c r="M34" s="292" t="s">
        <v>7</v>
      </c>
      <c r="N34" s="292">
        <v>0</v>
      </c>
    </row>
    <row r="35" spans="1:14" x14ac:dyDescent="0.25">
      <c r="A35" t="s">
        <v>802</v>
      </c>
      <c r="B35" s="39">
        <f t="shared" si="0"/>
        <v>5</v>
      </c>
      <c r="C35" s="39" t="str">
        <f t="shared" si="1"/>
        <v>Alex</v>
      </c>
      <c r="D35" s="39" t="str">
        <f t="shared" si="2"/>
        <v>Tuch</v>
      </c>
      <c r="E35" s="39" t="str">
        <f t="shared" si="3"/>
        <v>Alex Tuch</v>
      </c>
      <c r="F35" t="s">
        <v>1041</v>
      </c>
      <c r="G35" t="s">
        <v>88</v>
      </c>
      <c r="H35" s="292">
        <v>1350000</v>
      </c>
      <c r="I35" s="292">
        <v>0</v>
      </c>
      <c r="J35" s="292">
        <v>925000</v>
      </c>
      <c r="K35" s="292" t="s">
        <v>8</v>
      </c>
      <c r="L35" s="292">
        <v>0</v>
      </c>
      <c r="M35" s="292">
        <v>0</v>
      </c>
      <c r="N35" s="292">
        <v>0</v>
      </c>
    </row>
    <row r="36" spans="1:14" x14ac:dyDescent="0.25">
      <c r="A36" t="s">
        <v>667</v>
      </c>
      <c r="B36" s="39">
        <f t="shared" si="0"/>
        <v>10</v>
      </c>
      <c r="C36" s="39" t="str">
        <f t="shared" si="1"/>
        <v>Alexandar</v>
      </c>
      <c r="D36" s="39" t="str">
        <f t="shared" si="2"/>
        <v>Georgiev</v>
      </c>
      <c r="E36" s="39" t="str">
        <f t="shared" si="3"/>
        <v>Alexandar Georgiev</v>
      </c>
      <c r="F36" t="s">
        <v>1018</v>
      </c>
      <c r="G36" t="s">
        <v>127</v>
      </c>
      <c r="H36" s="292">
        <v>925000</v>
      </c>
      <c r="I36" s="292">
        <v>925000</v>
      </c>
      <c r="J36" s="292">
        <v>792500</v>
      </c>
      <c r="K36" s="292">
        <v>792500</v>
      </c>
      <c r="L36" s="292" t="s">
        <v>8</v>
      </c>
      <c r="M36" s="292">
        <v>0</v>
      </c>
      <c r="N36" s="292">
        <v>0</v>
      </c>
    </row>
    <row r="37" spans="1:14" x14ac:dyDescent="0.25">
      <c r="A37" t="s">
        <v>821</v>
      </c>
      <c r="B37" s="39">
        <f t="shared" si="0"/>
        <v>10</v>
      </c>
      <c r="C37" s="39" t="str">
        <f t="shared" si="1"/>
        <v>Alexander</v>
      </c>
      <c r="D37" s="39" t="str">
        <f t="shared" si="2"/>
        <v>Edler</v>
      </c>
      <c r="E37" s="39" t="str">
        <f t="shared" si="3"/>
        <v>Alexander Edler</v>
      </c>
      <c r="F37" t="s">
        <v>1037</v>
      </c>
      <c r="G37" t="s">
        <v>380</v>
      </c>
      <c r="H37" s="292">
        <v>5000000</v>
      </c>
      <c r="I37" s="292">
        <v>0</v>
      </c>
      <c r="J37" s="292">
        <v>4500000</v>
      </c>
      <c r="K37" s="292" t="s">
        <v>7</v>
      </c>
      <c r="L37" s="292">
        <v>0</v>
      </c>
      <c r="M37" s="292">
        <v>0</v>
      </c>
      <c r="N37" s="292">
        <v>0</v>
      </c>
    </row>
    <row r="38" spans="1:14" x14ac:dyDescent="0.25">
      <c r="A38" t="s">
        <v>914</v>
      </c>
      <c r="B38" s="39">
        <f t="shared" si="0"/>
        <v>10</v>
      </c>
      <c r="C38" s="39" t="str">
        <f t="shared" si="1"/>
        <v>Alexander</v>
      </c>
      <c r="D38" s="39" t="str">
        <f t="shared" si="2"/>
        <v>Kerfoot</v>
      </c>
      <c r="E38" s="39" t="str">
        <f t="shared" si="3"/>
        <v>Alexander Kerfoot</v>
      </c>
      <c r="F38" t="s">
        <v>1033</v>
      </c>
      <c r="G38" t="s">
        <v>93</v>
      </c>
      <c r="H38" s="292">
        <v>1137500</v>
      </c>
      <c r="I38" s="292">
        <v>0</v>
      </c>
      <c r="J38" s="292">
        <v>925000</v>
      </c>
      <c r="K38" s="292" t="s">
        <v>8</v>
      </c>
      <c r="L38" s="292">
        <v>0</v>
      </c>
      <c r="M38" s="292">
        <v>0</v>
      </c>
      <c r="N38" s="292">
        <v>0</v>
      </c>
    </row>
    <row r="39" spans="1:14" x14ac:dyDescent="0.25">
      <c r="A39" t="s">
        <v>225</v>
      </c>
      <c r="B39" s="39">
        <f t="shared" si="0"/>
        <v>10</v>
      </c>
      <c r="C39" s="39" t="str">
        <f t="shared" si="1"/>
        <v>Alexander</v>
      </c>
      <c r="D39" s="39" t="str">
        <f t="shared" si="2"/>
        <v>Radulov</v>
      </c>
      <c r="E39" s="39" t="str">
        <f t="shared" si="3"/>
        <v>Alexander Radulov</v>
      </c>
      <c r="F39" t="s">
        <v>1015</v>
      </c>
      <c r="G39" t="s">
        <v>88</v>
      </c>
      <c r="H39" s="292">
        <v>6250000</v>
      </c>
      <c r="I39" s="292">
        <v>6250000</v>
      </c>
      <c r="J39" s="292">
        <v>8000000</v>
      </c>
      <c r="K39" s="292">
        <v>6600000</v>
      </c>
      <c r="L39" s="292">
        <v>4000000</v>
      </c>
      <c r="M39" s="292">
        <v>4650000</v>
      </c>
      <c r="N39" s="292" t="s">
        <v>7</v>
      </c>
    </row>
    <row r="40" spans="1:14" x14ac:dyDescent="0.25">
      <c r="A40" t="s">
        <v>175</v>
      </c>
      <c r="B40" s="39">
        <f t="shared" si="0"/>
        <v>10</v>
      </c>
      <c r="C40" s="39" t="str">
        <f t="shared" si="1"/>
        <v>Alexander</v>
      </c>
      <c r="D40" s="39" t="str">
        <f t="shared" si="2"/>
        <v>Volkov</v>
      </c>
      <c r="E40" s="39" t="str">
        <f t="shared" si="3"/>
        <v>Alexander Volkov</v>
      </c>
      <c r="F40" t="s">
        <v>1019</v>
      </c>
      <c r="G40" t="s">
        <v>73</v>
      </c>
      <c r="H40" s="292">
        <v>925000</v>
      </c>
      <c r="I40" s="292">
        <v>925000</v>
      </c>
      <c r="J40" s="292">
        <v>925000</v>
      </c>
      <c r="K40" s="292">
        <v>925000</v>
      </c>
      <c r="L40" s="292" t="s">
        <v>8</v>
      </c>
      <c r="M40" s="292">
        <v>0</v>
      </c>
      <c r="N40" s="292">
        <v>0</v>
      </c>
    </row>
    <row r="41" spans="1:14" x14ac:dyDescent="0.25">
      <c r="A41" t="s">
        <v>305</v>
      </c>
      <c r="B41" s="39">
        <f t="shared" si="0"/>
        <v>10</v>
      </c>
      <c r="C41" s="39" t="str">
        <f t="shared" si="1"/>
        <v>Alexander</v>
      </c>
      <c r="D41" s="39" t="str">
        <f t="shared" si="2"/>
        <v>Wennberg</v>
      </c>
      <c r="E41" s="39" t="str">
        <f t="shared" si="3"/>
        <v>Alexander Wennberg</v>
      </c>
      <c r="F41" t="s">
        <v>1028</v>
      </c>
      <c r="G41" t="s">
        <v>73</v>
      </c>
      <c r="H41" s="292">
        <v>4900000</v>
      </c>
      <c r="I41" s="292">
        <v>4900000</v>
      </c>
      <c r="J41" s="292">
        <v>4500000</v>
      </c>
      <c r="K41" s="292">
        <v>5350000</v>
      </c>
      <c r="L41" s="292">
        <v>5350000</v>
      </c>
      <c r="M41" s="292">
        <v>5350000</v>
      </c>
      <c r="N41" s="292">
        <v>5350000</v>
      </c>
    </row>
    <row r="42" spans="1:14" x14ac:dyDescent="0.25">
      <c r="A42" t="s">
        <v>1109</v>
      </c>
      <c r="B42" s="39">
        <f t="shared" si="0"/>
        <v>10</v>
      </c>
      <c r="C42" s="39" t="str">
        <f t="shared" si="1"/>
        <v>Alexandre</v>
      </c>
      <c r="D42" s="39" t="str">
        <f t="shared" si="2"/>
        <v>Burrows</v>
      </c>
      <c r="E42" s="39" t="str">
        <f t="shared" si="3"/>
        <v>Alexandre Burrows</v>
      </c>
      <c r="F42" t="s">
        <v>1029</v>
      </c>
      <c r="G42" t="s">
        <v>93</v>
      </c>
      <c r="H42" s="292">
        <v>2500000</v>
      </c>
      <c r="I42" s="292">
        <v>0</v>
      </c>
      <c r="J42" s="292">
        <v>2500000</v>
      </c>
      <c r="K42" s="292" t="s">
        <v>7</v>
      </c>
      <c r="L42" s="292">
        <v>0</v>
      </c>
      <c r="M42" s="292">
        <v>0</v>
      </c>
      <c r="N42" s="292">
        <v>0</v>
      </c>
    </row>
    <row r="43" spans="1:14" x14ac:dyDescent="0.25">
      <c r="A43" t="s">
        <v>776</v>
      </c>
      <c r="B43" s="39">
        <f t="shared" si="0"/>
        <v>10</v>
      </c>
      <c r="C43" s="39" t="str">
        <f t="shared" si="1"/>
        <v>Alexandre</v>
      </c>
      <c r="D43" s="39" t="str">
        <f t="shared" si="2"/>
        <v>Carrier</v>
      </c>
      <c r="E43" s="39" t="str">
        <f t="shared" si="3"/>
        <v>Alexandre Carrier</v>
      </c>
      <c r="F43" t="s">
        <v>1016</v>
      </c>
      <c r="G43" t="s">
        <v>82</v>
      </c>
      <c r="H43" s="292">
        <v>671667</v>
      </c>
      <c r="I43" s="292">
        <v>0</v>
      </c>
      <c r="J43" s="292">
        <v>650000</v>
      </c>
      <c r="K43" s="292" t="s">
        <v>8</v>
      </c>
      <c r="L43" s="292">
        <v>0</v>
      </c>
      <c r="M43" s="292">
        <v>0</v>
      </c>
      <c r="N43" s="292">
        <v>0</v>
      </c>
    </row>
    <row r="44" spans="1:14" x14ac:dyDescent="0.25">
      <c r="A44" t="s">
        <v>629</v>
      </c>
      <c r="B44" s="39">
        <f t="shared" si="0"/>
        <v>10</v>
      </c>
      <c r="C44" s="39" t="str">
        <f t="shared" si="1"/>
        <v>Alexandre</v>
      </c>
      <c r="D44" s="39" t="str">
        <f t="shared" si="2"/>
        <v>Fortin</v>
      </c>
      <c r="E44" s="39" t="str">
        <f t="shared" si="3"/>
        <v>Alexandre Fortin</v>
      </c>
      <c r="F44" t="s">
        <v>1011</v>
      </c>
      <c r="G44" t="s">
        <v>73</v>
      </c>
      <c r="H44" s="292">
        <v>685000</v>
      </c>
      <c r="I44" s="292">
        <v>0</v>
      </c>
      <c r="J44" s="292">
        <v>710000</v>
      </c>
      <c r="K44" s="292" t="s">
        <v>8</v>
      </c>
      <c r="L44" s="292">
        <v>0</v>
      </c>
      <c r="M44" s="292">
        <v>0</v>
      </c>
      <c r="N44" s="292">
        <v>0</v>
      </c>
    </row>
    <row r="45" spans="1:14" x14ac:dyDescent="0.25">
      <c r="A45" t="s">
        <v>182</v>
      </c>
      <c r="B45" s="39">
        <f t="shared" si="0"/>
        <v>7</v>
      </c>
      <c r="C45" s="39" t="str">
        <f t="shared" si="1"/>
        <v>Alexei</v>
      </c>
      <c r="D45" s="39" t="str">
        <f t="shared" si="2"/>
        <v>Lipanov</v>
      </c>
      <c r="E45" s="39" t="str">
        <f t="shared" si="3"/>
        <v>Alexei Lipanov</v>
      </c>
      <c r="F45" t="s">
        <v>1019</v>
      </c>
      <c r="G45" t="s">
        <v>73</v>
      </c>
      <c r="H45" s="292">
        <v>925000</v>
      </c>
      <c r="I45" s="292">
        <v>925000</v>
      </c>
      <c r="J45" s="292">
        <v>792500</v>
      </c>
      <c r="K45" s="292">
        <v>842500</v>
      </c>
      <c r="L45" s="292" t="s">
        <v>8</v>
      </c>
      <c r="M45" s="292">
        <v>0</v>
      </c>
      <c r="N45" s="292">
        <v>0</v>
      </c>
    </row>
    <row r="46" spans="1:14" x14ac:dyDescent="0.25">
      <c r="A46" t="s">
        <v>536</v>
      </c>
      <c r="B46" s="39">
        <f t="shared" si="0"/>
        <v>7</v>
      </c>
      <c r="C46" s="39" t="str">
        <f t="shared" si="1"/>
        <v>Anders</v>
      </c>
      <c r="D46" s="39" t="str">
        <f t="shared" si="2"/>
        <v>Bjork</v>
      </c>
      <c r="E46" s="39" t="str">
        <f t="shared" si="3"/>
        <v>Anders Bjork</v>
      </c>
      <c r="F46" t="s">
        <v>1030</v>
      </c>
      <c r="G46" t="s">
        <v>88</v>
      </c>
      <c r="H46" s="292">
        <v>1066670</v>
      </c>
      <c r="I46" s="292">
        <v>1066670</v>
      </c>
      <c r="J46" s="292">
        <v>925000</v>
      </c>
      <c r="K46" s="292">
        <v>925000</v>
      </c>
      <c r="L46" s="292" t="s">
        <v>8</v>
      </c>
      <c r="M46" s="292">
        <v>0</v>
      </c>
      <c r="N46" s="292">
        <v>0</v>
      </c>
    </row>
    <row r="47" spans="1:14" x14ac:dyDescent="0.25">
      <c r="A47" t="s">
        <v>289</v>
      </c>
      <c r="B47" s="39">
        <f t="shared" si="0"/>
        <v>7</v>
      </c>
      <c r="C47" s="39" t="str">
        <f t="shared" si="1"/>
        <v>Anders</v>
      </c>
      <c r="D47" s="39" t="str">
        <f t="shared" si="2"/>
        <v>Lee</v>
      </c>
      <c r="E47" s="39" t="str">
        <f t="shared" si="3"/>
        <v>Anders Lee</v>
      </c>
      <c r="F47" t="s">
        <v>1040</v>
      </c>
      <c r="G47" t="s">
        <v>93</v>
      </c>
      <c r="H47" s="292">
        <v>3750000</v>
      </c>
      <c r="I47" s="292">
        <v>0</v>
      </c>
      <c r="J47" s="292">
        <v>5000000</v>
      </c>
      <c r="K47" s="292" t="s">
        <v>7</v>
      </c>
      <c r="L47" s="292">
        <v>0</v>
      </c>
      <c r="M47" s="292">
        <v>0</v>
      </c>
      <c r="N47" s="292">
        <v>0</v>
      </c>
    </row>
    <row r="48" spans="1:14" x14ac:dyDescent="0.25">
      <c r="A48" t="s">
        <v>825</v>
      </c>
      <c r="B48" s="39">
        <f t="shared" si="0"/>
        <v>7</v>
      </c>
      <c r="C48" s="39" t="str">
        <f t="shared" si="1"/>
        <v>Anders</v>
      </c>
      <c r="D48" s="39" t="str">
        <f t="shared" si="2"/>
        <v>Nilsson</v>
      </c>
      <c r="E48" s="39" t="str">
        <f t="shared" si="3"/>
        <v>Anders Nilsson</v>
      </c>
      <c r="F48" t="s">
        <v>1037</v>
      </c>
      <c r="G48" t="s">
        <v>127</v>
      </c>
      <c r="H48" s="292">
        <v>2500000</v>
      </c>
      <c r="I48" s="292">
        <v>0</v>
      </c>
      <c r="J48" s="292">
        <v>2000000</v>
      </c>
      <c r="K48" s="292" t="s">
        <v>7</v>
      </c>
      <c r="L48" s="292">
        <v>0</v>
      </c>
      <c r="M48" s="292">
        <v>0</v>
      </c>
      <c r="N48" s="292">
        <v>0</v>
      </c>
    </row>
    <row r="49" spans="1:14" x14ac:dyDescent="0.25">
      <c r="A49" t="s">
        <v>1107</v>
      </c>
      <c r="B49" s="39">
        <f t="shared" si="0"/>
        <v>6</v>
      </c>
      <c r="C49" s="39" t="str">
        <f t="shared" si="1"/>
        <v>Andre</v>
      </c>
      <c r="D49" s="39" t="str">
        <f t="shared" si="2"/>
        <v>Burakovsky</v>
      </c>
      <c r="E49" s="39" t="str">
        <f t="shared" si="3"/>
        <v>Andre Burakovsky</v>
      </c>
      <c r="F49" t="s">
        <v>1013</v>
      </c>
      <c r="G49" t="s">
        <v>93</v>
      </c>
      <c r="H49" s="292">
        <v>3000000</v>
      </c>
      <c r="I49" s="292">
        <v>0</v>
      </c>
      <c r="J49" s="292">
        <v>3250000</v>
      </c>
      <c r="K49" s="292" t="s">
        <v>8</v>
      </c>
      <c r="L49" s="292">
        <v>0</v>
      </c>
      <c r="M49" s="292">
        <v>0</v>
      </c>
      <c r="N49" s="292">
        <v>0</v>
      </c>
    </row>
    <row r="50" spans="1:14" x14ac:dyDescent="0.25">
      <c r="A50" t="s">
        <v>941</v>
      </c>
      <c r="B50" s="39">
        <f t="shared" si="0"/>
        <v>8</v>
      </c>
      <c r="C50" s="39" t="str">
        <f t="shared" si="1"/>
        <v>Andreas</v>
      </c>
      <c r="D50" s="39" t="str">
        <f t="shared" si="2"/>
        <v>Borgman</v>
      </c>
      <c r="E50" s="39" t="str">
        <f t="shared" si="3"/>
        <v>Andreas Borgman</v>
      </c>
      <c r="F50" t="s">
        <v>1034</v>
      </c>
      <c r="G50" t="s">
        <v>82</v>
      </c>
      <c r="H50" s="292">
        <v>1775000</v>
      </c>
      <c r="I50" s="292">
        <v>0</v>
      </c>
      <c r="J50" s="292">
        <v>925000</v>
      </c>
      <c r="K50" s="292" t="s">
        <v>8</v>
      </c>
      <c r="L50" s="292">
        <v>0</v>
      </c>
      <c r="M50" s="292">
        <v>0</v>
      </c>
      <c r="N50" s="292">
        <v>0</v>
      </c>
    </row>
    <row r="51" spans="1:14" x14ac:dyDescent="0.25">
      <c r="A51" t="s">
        <v>688</v>
      </c>
      <c r="B51" s="39">
        <f t="shared" si="0"/>
        <v>8</v>
      </c>
      <c r="C51" s="39" t="str">
        <f t="shared" si="1"/>
        <v>Andreas</v>
      </c>
      <c r="D51" s="39" t="str">
        <f t="shared" si="2"/>
        <v>Englund</v>
      </c>
      <c r="E51" s="39" t="str">
        <f t="shared" si="3"/>
        <v>Andreas Englund</v>
      </c>
      <c r="F51" t="s">
        <v>1029</v>
      </c>
      <c r="G51" t="s">
        <v>380</v>
      </c>
      <c r="H51" s="292">
        <v>925000</v>
      </c>
      <c r="I51" s="292">
        <v>0</v>
      </c>
      <c r="J51" s="292">
        <v>792500</v>
      </c>
      <c r="K51" s="292" t="s">
        <v>8</v>
      </c>
      <c r="L51" s="292">
        <v>0</v>
      </c>
      <c r="M51" s="292">
        <v>0</v>
      </c>
      <c r="N51" s="292">
        <v>0</v>
      </c>
    </row>
    <row r="52" spans="1:14" x14ac:dyDescent="0.25">
      <c r="A52" t="s">
        <v>216</v>
      </c>
      <c r="B52" s="39">
        <f t="shared" si="0"/>
        <v>7</v>
      </c>
      <c r="C52" s="39" t="str">
        <f t="shared" si="1"/>
        <v>Andrei</v>
      </c>
      <c r="D52" s="39" t="str">
        <f t="shared" si="2"/>
        <v>Vasilevskiy</v>
      </c>
      <c r="E52" s="39" t="str">
        <f t="shared" si="3"/>
        <v>Andrei Vasilevskiy</v>
      </c>
      <c r="F52" t="s">
        <v>1019</v>
      </c>
      <c r="G52" t="s">
        <v>127</v>
      </c>
      <c r="H52" s="292">
        <v>3500000</v>
      </c>
      <c r="I52" s="292">
        <v>3500000</v>
      </c>
      <c r="J52" s="292">
        <v>3500000</v>
      </c>
      <c r="K52" s="292">
        <v>4000000</v>
      </c>
      <c r="L52" s="292" t="s">
        <v>8</v>
      </c>
      <c r="M52" s="292">
        <v>0</v>
      </c>
      <c r="N52" s="292">
        <v>0</v>
      </c>
    </row>
    <row r="53" spans="1:14" x14ac:dyDescent="0.25">
      <c r="A53" t="s">
        <v>557</v>
      </c>
      <c r="B53" s="39">
        <f t="shared" si="0"/>
        <v>7</v>
      </c>
      <c r="C53" s="39" t="str">
        <f t="shared" si="1"/>
        <v>Andrej</v>
      </c>
      <c r="D53" s="39" t="str">
        <f t="shared" si="2"/>
        <v>Sekera</v>
      </c>
      <c r="E53" s="39" t="str">
        <f t="shared" si="3"/>
        <v>Andrej Sekera</v>
      </c>
      <c r="F53" t="s">
        <v>1020</v>
      </c>
      <c r="G53" t="s">
        <v>380</v>
      </c>
      <c r="H53" s="292">
        <v>5500000</v>
      </c>
      <c r="I53" s="292">
        <v>5500000</v>
      </c>
      <c r="J53" s="292">
        <v>5500000</v>
      </c>
      <c r="K53" s="292">
        <v>4500000</v>
      </c>
      <c r="L53" s="292">
        <v>4500000</v>
      </c>
      <c r="M53" s="292" t="s">
        <v>7</v>
      </c>
      <c r="N53" s="292">
        <v>0</v>
      </c>
    </row>
    <row r="54" spans="1:14" x14ac:dyDescent="0.25">
      <c r="A54" t="s">
        <v>928</v>
      </c>
      <c r="B54" s="39">
        <f t="shared" si="0"/>
        <v>7</v>
      </c>
      <c r="C54" s="39" t="str">
        <f t="shared" si="1"/>
        <v>Andrew</v>
      </c>
      <c r="D54" s="39" t="str">
        <f t="shared" si="2"/>
        <v>Agozzino</v>
      </c>
      <c r="E54" s="39" t="str">
        <f t="shared" si="3"/>
        <v>Andrew Agozzino</v>
      </c>
      <c r="F54" t="s">
        <v>1033</v>
      </c>
      <c r="G54" t="s">
        <v>93</v>
      </c>
      <c r="H54" s="292">
        <v>650000</v>
      </c>
      <c r="I54" s="292">
        <v>0</v>
      </c>
      <c r="J54" s="292">
        <v>650000</v>
      </c>
      <c r="K54" s="292" t="s">
        <v>7</v>
      </c>
      <c r="L54" s="292">
        <v>0</v>
      </c>
      <c r="M54" s="292">
        <v>0</v>
      </c>
      <c r="N54" s="292">
        <v>0</v>
      </c>
    </row>
    <row r="55" spans="1:14" x14ac:dyDescent="0.25">
      <c r="A55" t="s">
        <v>630</v>
      </c>
      <c r="B55" s="39">
        <f t="shared" si="0"/>
        <v>7</v>
      </c>
      <c r="C55" s="39" t="str">
        <f t="shared" si="1"/>
        <v>Andrew</v>
      </c>
      <c r="D55" s="39" t="str">
        <f t="shared" si="2"/>
        <v>Campbell</v>
      </c>
      <c r="E55" s="39" t="str">
        <f t="shared" si="3"/>
        <v>Andrew Campbell</v>
      </c>
      <c r="F55" t="s">
        <v>1011</v>
      </c>
      <c r="G55" t="s">
        <v>82</v>
      </c>
      <c r="H55" s="292">
        <v>650000</v>
      </c>
      <c r="I55" s="292">
        <v>0</v>
      </c>
      <c r="J55" s="292">
        <v>650000</v>
      </c>
      <c r="K55" s="292" t="s">
        <v>7</v>
      </c>
      <c r="L55" s="292">
        <v>0</v>
      </c>
      <c r="M55" s="292">
        <v>0</v>
      </c>
      <c r="N55" s="292">
        <v>0</v>
      </c>
    </row>
    <row r="56" spans="1:14" x14ac:dyDescent="0.25">
      <c r="A56" t="s">
        <v>862</v>
      </c>
      <c r="B56" s="39">
        <f t="shared" si="0"/>
        <v>7</v>
      </c>
      <c r="C56" s="39" t="str">
        <f t="shared" si="1"/>
        <v>Andrew</v>
      </c>
      <c r="D56" s="39" t="str">
        <f t="shared" si="2"/>
        <v>Copp</v>
      </c>
      <c r="E56" s="39" t="str">
        <f t="shared" si="3"/>
        <v>Andrew Copp</v>
      </c>
      <c r="F56" t="s">
        <v>1024</v>
      </c>
      <c r="G56" t="s">
        <v>73</v>
      </c>
      <c r="H56" s="292">
        <v>1000000</v>
      </c>
      <c r="I56" s="292">
        <v>0</v>
      </c>
      <c r="J56" s="292">
        <v>1100000</v>
      </c>
      <c r="K56" s="292" t="s">
        <v>8</v>
      </c>
      <c r="L56" s="292">
        <v>0</v>
      </c>
      <c r="M56" s="292">
        <v>0</v>
      </c>
      <c r="N56" s="292">
        <v>0</v>
      </c>
    </row>
    <row r="57" spans="1:14" x14ac:dyDescent="0.25">
      <c r="A57" t="s">
        <v>1075</v>
      </c>
      <c r="B57" s="39">
        <f t="shared" si="0"/>
        <v>7</v>
      </c>
      <c r="C57" s="39" t="str">
        <f t="shared" si="1"/>
        <v>Andrew</v>
      </c>
      <c r="D57" s="39" t="str">
        <f t="shared" si="2"/>
        <v>Ladd</v>
      </c>
      <c r="E57" s="39" t="str">
        <f t="shared" si="3"/>
        <v>Andrew Ladd</v>
      </c>
      <c r="F57" t="s">
        <v>1040</v>
      </c>
      <c r="G57" t="s">
        <v>93</v>
      </c>
      <c r="H57" s="292">
        <v>5500000</v>
      </c>
      <c r="I57" s="292">
        <v>5500000</v>
      </c>
      <c r="J57" s="292">
        <v>6000000</v>
      </c>
      <c r="K57" s="292">
        <v>5000000</v>
      </c>
      <c r="L57" s="292">
        <v>4000000</v>
      </c>
      <c r="M57" s="292">
        <v>4000000</v>
      </c>
      <c r="N57" s="292">
        <v>4000000</v>
      </c>
    </row>
    <row r="58" spans="1:14" x14ac:dyDescent="0.25">
      <c r="A58" t="s">
        <v>1085</v>
      </c>
      <c r="B58" s="39">
        <f t="shared" si="0"/>
        <v>7</v>
      </c>
      <c r="C58" s="39" t="str">
        <f t="shared" si="1"/>
        <v>Andrew</v>
      </c>
      <c r="D58" s="39" t="str">
        <f t="shared" si="2"/>
        <v>MacDonald</v>
      </c>
      <c r="E58" s="39" t="str">
        <f t="shared" si="3"/>
        <v>Andrew MacDonald</v>
      </c>
      <c r="F58" t="s">
        <v>1021</v>
      </c>
      <c r="G58" t="s">
        <v>380</v>
      </c>
      <c r="H58" s="292">
        <v>5000000</v>
      </c>
      <c r="I58" s="292">
        <v>5000000</v>
      </c>
      <c r="J58" s="292">
        <v>5500000</v>
      </c>
      <c r="K58" s="292">
        <v>5750000</v>
      </c>
      <c r="L58" s="292" t="s">
        <v>7</v>
      </c>
      <c r="M58" s="292">
        <v>0</v>
      </c>
      <c r="N58" s="292">
        <v>0</v>
      </c>
    </row>
    <row r="59" spans="1:14" x14ac:dyDescent="0.25">
      <c r="A59" t="s">
        <v>764</v>
      </c>
      <c r="B59" s="39">
        <f t="shared" si="0"/>
        <v>7</v>
      </c>
      <c r="C59" s="39" t="str">
        <f t="shared" si="1"/>
        <v>Andrew</v>
      </c>
      <c r="D59" s="39" t="str">
        <f t="shared" si="2"/>
        <v>Mangiapane</v>
      </c>
      <c r="E59" s="39" t="str">
        <f t="shared" si="3"/>
        <v>Andrew Mangiapane</v>
      </c>
      <c r="F59" t="s">
        <v>1031</v>
      </c>
      <c r="G59" t="s">
        <v>93</v>
      </c>
      <c r="H59" s="292">
        <v>800000</v>
      </c>
      <c r="I59" s="292">
        <v>0</v>
      </c>
      <c r="J59" s="292">
        <v>730000</v>
      </c>
      <c r="K59" s="292" t="s">
        <v>8</v>
      </c>
      <c r="L59" s="292">
        <v>0</v>
      </c>
      <c r="M59" s="292">
        <v>0</v>
      </c>
      <c r="N59" s="292">
        <v>0</v>
      </c>
    </row>
    <row r="60" spans="1:14" x14ac:dyDescent="0.25">
      <c r="A60" t="s">
        <v>946</v>
      </c>
      <c r="B60" s="39">
        <f t="shared" si="0"/>
        <v>7</v>
      </c>
      <c r="C60" s="39" t="str">
        <f t="shared" si="1"/>
        <v>Andrew</v>
      </c>
      <c r="D60" s="39" t="str">
        <f t="shared" si="2"/>
        <v>Nielsen</v>
      </c>
      <c r="E60" s="39" t="str">
        <f t="shared" si="3"/>
        <v>Andrew Nielsen</v>
      </c>
      <c r="F60" t="s">
        <v>1034</v>
      </c>
      <c r="G60" t="s">
        <v>82</v>
      </c>
      <c r="H60" s="292">
        <v>921667</v>
      </c>
      <c r="I60" s="292">
        <v>921667</v>
      </c>
      <c r="J60" s="292">
        <v>650000</v>
      </c>
      <c r="K60" s="292">
        <v>700000</v>
      </c>
      <c r="L60" s="292" t="s">
        <v>8</v>
      </c>
      <c r="M60" s="292">
        <v>0</v>
      </c>
      <c r="N60" s="292">
        <v>0</v>
      </c>
    </row>
    <row r="61" spans="1:14" x14ac:dyDescent="0.25">
      <c r="A61" t="s">
        <v>779</v>
      </c>
      <c r="B61" s="39">
        <f t="shared" si="0"/>
        <v>7</v>
      </c>
      <c r="C61" s="39" t="str">
        <f t="shared" si="1"/>
        <v>Andrew</v>
      </c>
      <c r="D61" s="39" t="str">
        <f t="shared" si="2"/>
        <v>Shaw</v>
      </c>
      <c r="E61" s="39" t="str">
        <f t="shared" si="3"/>
        <v>Andrew Shaw</v>
      </c>
      <c r="F61" t="s">
        <v>1023</v>
      </c>
      <c r="G61" t="s">
        <v>73</v>
      </c>
      <c r="H61" s="292">
        <v>3900000</v>
      </c>
      <c r="I61" s="292">
        <v>3900000</v>
      </c>
      <c r="J61" s="292">
        <v>4000000</v>
      </c>
      <c r="K61" s="292">
        <v>3250000</v>
      </c>
      <c r="L61" s="292">
        <v>2750000</v>
      </c>
      <c r="M61" s="292">
        <v>2900000</v>
      </c>
      <c r="N61" s="292" t="s">
        <v>7</v>
      </c>
    </row>
    <row r="62" spans="1:14" x14ac:dyDescent="0.25">
      <c r="A62" t="s">
        <v>515</v>
      </c>
      <c r="B62" s="39">
        <f t="shared" si="0"/>
        <v>5</v>
      </c>
      <c r="C62" s="39" t="str">
        <f t="shared" si="1"/>
        <v>Andy</v>
      </c>
      <c r="D62" s="39" t="str">
        <f t="shared" si="2"/>
        <v>Andreoff</v>
      </c>
      <c r="E62" s="39" t="str">
        <f t="shared" si="3"/>
        <v>Andy Andreoff</v>
      </c>
      <c r="F62" t="s">
        <v>1019</v>
      </c>
      <c r="G62" t="s">
        <v>73</v>
      </c>
      <c r="H62" s="292">
        <v>677500</v>
      </c>
      <c r="I62" s="292">
        <v>0</v>
      </c>
      <c r="J62" s="292">
        <v>680000</v>
      </c>
      <c r="K62" s="292" t="s">
        <v>7</v>
      </c>
      <c r="L62" s="292">
        <v>0</v>
      </c>
      <c r="M62" s="292">
        <v>0</v>
      </c>
      <c r="N62" s="292">
        <v>0</v>
      </c>
    </row>
    <row r="63" spans="1:14" x14ac:dyDescent="0.25">
      <c r="A63" t="s">
        <v>1082</v>
      </c>
      <c r="B63" s="39">
        <f t="shared" si="0"/>
        <v>5</v>
      </c>
      <c r="C63" s="39" t="str">
        <f t="shared" si="1"/>
        <v>Andy</v>
      </c>
      <c r="D63" s="39" t="str">
        <f t="shared" si="2"/>
        <v>Greene</v>
      </c>
      <c r="E63" s="39" t="str">
        <f t="shared" si="3"/>
        <v>Andy Greene</v>
      </c>
      <c r="F63" t="s">
        <v>1038</v>
      </c>
      <c r="G63" t="s">
        <v>380</v>
      </c>
      <c r="H63" s="292">
        <v>5000000</v>
      </c>
      <c r="I63" s="292">
        <v>5000000</v>
      </c>
      <c r="J63" s="292">
        <v>5000000</v>
      </c>
      <c r="K63" s="292">
        <v>5000000</v>
      </c>
      <c r="L63" s="292" t="s">
        <v>7</v>
      </c>
      <c r="M63" s="292">
        <v>0</v>
      </c>
      <c r="N63" s="292">
        <v>0</v>
      </c>
    </row>
    <row r="64" spans="1:14" x14ac:dyDescent="0.25">
      <c r="A64" t="s">
        <v>711</v>
      </c>
      <c r="B64" s="39">
        <f t="shared" si="0"/>
        <v>6</v>
      </c>
      <c r="C64" s="39" t="str">
        <f t="shared" si="1"/>
        <v>Angus</v>
      </c>
      <c r="D64" s="39" t="str">
        <f t="shared" si="2"/>
        <v>Redmond</v>
      </c>
      <c r="E64" s="39" t="str">
        <f t="shared" si="3"/>
        <v>Angus Redmond</v>
      </c>
      <c r="F64" t="s">
        <v>1017</v>
      </c>
      <c r="G64" t="s">
        <v>127</v>
      </c>
      <c r="H64" s="292">
        <v>925000</v>
      </c>
      <c r="I64" s="292">
        <v>925000</v>
      </c>
      <c r="J64" s="292">
        <v>842500</v>
      </c>
      <c r="K64" s="292">
        <v>892500</v>
      </c>
      <c r="L64" s="292" t="s">
        <v>8</v>
      </c>
      <c r="M64" s="292">
        <v>0</v>
      </c>
      <c r="N64" s="292">
        <v>0</v>
      </c>
    </row>
    <row r="65" spans="1:14" x14ac:dyDescent="0.25">
      <c r="A65" t="s">
        <v>900</v>
      </c>
      <c r="B65" s="39">
        <f t="shared" si="0"/>
        <v>8</v>
      </c>
      <c r="C65" s="39" t="str">
        <f t="shared" si="1"/>
        <v>Anthony</v>
      </c>
      <c r="D65" s="39" t="str">
        <f t="shared" si="2"/>
        <v>Beauvillier</v>
      </c>
      <c r="E65" s="39" t="str">
        <f t="shared" si="3"/>
        <v>Anthony Beauvillier</v>
      </c>
      <c r="F65" t="s">
        <v>1040</v>
      </c>
      <c r="G65" t="s">
        <v>93</v>
      </c>
      <c r="H65" s="292">
        <v>1106670</v>
      </c>
      <c r="I65" s="292">
        <v>0</v>
      </c>
      <c r="J65" s="292">
        <v>832500</v>
      </c>
      <c r="K65" s="292" t="s">
        <v>8</v>
      </c>
      <c r="L65" s="292">
        <v>0</v>
      </c>
      <c r="M65" s="292">
        <v>0</v>
      </c>
      <c r="N65" s="292">
        <v>0</v>
      </c>
    </row>
    <row r="66" spans="1:14" x14ac:dyDescent="0.25">
      <c r="A66" t="s">
        <v>528</v>
      </c>
      <c r="B66" s="39">
        <f t="shared" si="0"/>
        <v>8</v>
      </c>
      <c r="C66" s="39" t="str">
        <f t="shared" si="1"/>
        <v>Anthony</v>
      </c>
      <c r="D66" s="39" t="str">
        <f t="shared" si="2"/>
        <v>Cirelli</v>
      </c>
      <c r="E66" s="39" t="str">
        <f t="shared" si="3"/>
        <v>Anthony Cirelli</v>
      </c>
      <c r="F66" t="s">
        <v>1019</v>
      </c>
      <c r="G66" t="s">
        <v>73</v>
      </c>
      <c r="H66" s="292">
        <v>925000</v>
      </c>
      <c r="I66" s="292">
        <v>0</v>
      </c>
      <c r="J66" s="292">
        <v>742500</v>
      </c>
      <c r="K66" s="292" t="s">
        <v>8</v>
      </c>
      <c r="L66" s="292">
        <v>0</v>
      </c>
      <c r="M66" s="292">
        <v>0</v>
      </c>
      <c r="N66" s="292">
        <v>0</v>
      </c>
    </row>
    <row r="67" spans="1:14" x14ac:dyDescent="0.25">
      <c r="A67" t="s">
        <v>996</v>
      </c>
      <c r="B67" s="39">
        <f t="shared" ref="B67:B130" si="4">SEARCH(" ",A67,1)</f>
        <v>8</v>
      </c>
      <c r="C67" s="39" t="str">
        <f t="shared" ref="C67:C130" si="5">LEFT(A67,B67-1)</f>
        <v>Anthony</v>
      </c>
      <c r="D67" s="39" t="str">
        <f t="shared" ref="D67:D130" si="6">MID(A67,B67+1,LEN(A67)-B67)</f>
        <v>DeAngelo</v>
      </c>
      <c r="E67" s="39" t="str">
        <f t="shared" ref="E67:E130" si="7">C67&amp;" "&amp;D67</f>
        <v>Anthony DeAngelo</v>
      </c>
      <c r="F67" t="s">
        <v>1018</v>
      </c>
      <c r="G67" t="s">
        <v>379</v>
      </c>
      <c r="H67" s="292">
        <v>1263330</v>
      </c>
      <c r="I67" s="292">
        <v>0</v>
      </c>
      <c r="J67" s="292">
        <v>832500</v>
      </c>
      <c r="K67" s="292" t="s">
        <v>8</v>
      </c>
      <c r="L67" s="292">
        <v>0</v>
      </c>
      <c r="M67" s="292">
        <v>0</v>
      </c>
      <c r="N67" s="292">
        <v>0</v>
      </c>
    </row>
    <row r="68" spans="1:14" x14ac:dyDescent="0.25">
      <c r="A68" t="s">
        <v>621</v>
      </c>
      <c r="B68" s="39">
        <f t="shared" si="4"/>
        <v>8</v>
      </c>
      <c r="C68" s="39" t="str">
        <f t="shared" si="5"/>
        <v>Anthony</v>
      </c>
      <c r="D68" s="39" t="str">
        <f t="shared" si="6"/>
        <v>Louis</v>
      </c>
      <c r="E68" s="39" t="str">
        <f t="shared" si="7"/>
        <v>Anthony Louis</v>
      </c>
      <c r="F68" t="s">
        <v>1011</v>
      </c>
      <c r="G68" t="s">
        <v>93</v>
      </c>
      <c r="H68" s="292">
        <v>925000</v>
      </c>
      <c r="I68" s="292">
        <v>0</v>
      </c>
      <c r="J68" s="292">
        <v>807500</v>
      </c>
      <c r="K68" s="292" t="s">
        <v>8</v>
      </c>
      <c r="L68" s="292">
        <v>0</v>
      </c>
      <c r="M68" s="292">
        <v>0</v>
      </c>
      <c r="N68" s="292">
        <v>0</v>
      </c>
    </row>
    <row r="69" spans="1:14" x14ac:dyDescent="0.25">
      <c r="A69" t="s">
        <v>777</v>
      </c>
      <c r="B69" s="39">
        <f t="shared" si="4"/>
        <v>8</v>
      </c>
      <c r="C69" s="39" t="str">
        <f t="shared" si="5"/>
        <v>Anthony</v>
      </c>
      <c r="D69" s="39" t="str">
        <f t="shared" si="6"/>
        <v>Richard</v>
      </c>
      <c r="E69" s="39" t="str">
        <f t="shared" si="7"/>
        <v>Anthony Richard</v>
      </c>
      <c r="F69" t="s">
        <v>1016</v>
      </c>
      <c r="G69" t="s">
        <v>73</v>
      </c>
      <c r="H69" s="292">
        <v>671667</v>
      </c>
      <c r="I69" s="292">
        <v>0</v>
      </c>
      <c r="J69" s="292">
        <v>650000</v>
      </c>
      <c r="K69" s="292" t="s">
        <v>8</v>
      </c>
      <c r="L69" s="292">
        <v>0</v>
      </c>
      <c r="M69" s="292">
        <v>0</v>
      </c>
      <c r="N69" s="292">
        <v>0</v>
      </c>
    </row>
    <row r="70" spans="1:14" x14ac:dyDescent="0.25">
      <c r="A70" t="s">
        <v>790</v>
      </c>
      <c r="B70" s="39">
        <f t="shared" si="4"/>
        <v>8</v>
      </c>
      <c r="C70" s="39" t="str">
        <f t="shared" si="5"/>
        <v>Antoine</v>
      </c>
      <c r="D70" s="39" t="str">
        <f t="shared" si="6"/>
        <v>Waked</v>
      </c>
      <c r="E70" s="39" t="str">
        <f t="shared" si="7"/>
        <v>Antoine Waked</v>
      </c>
      <c r="F70" t="s">
        <v>1023</v>
      </c>
      <c r="G70" t="s">
        <v>88</v>
      </c>
      <c r="H70" s="292">
        <v>726667</v>
      </c>
      <c r="I70" s="292">
        <v>726667</v>
      </c>
      <c r="J70" s="292">
        <v>710000</v>
      </c>
      <c r="K70" s="292">
        <v>750000</v>
      </c>
      <c r="L70" s="292" t="s">
        <v>8</v>
      </c>
      <c r="M70" s="292">
        <v>0</v>
      </c>
      <c r="N70" s="292">
        <v>0</v>
      </c>
    </row>
    <row r="71" spans="1:14" x14ac:dyDescent="0.25">
      <c r="A71" t="s">
        <v>624</v>
      </c>
      <c r="B71" s="39">
        <f t="shared" si="4"/>
        <v>6</v>
      </c>
      <c r="C71" s="39" t="str">
        <f t="shared" si="5"/>
        <v>Anton</v>
      </c>
      <c r="D71" s="39" t="str">
        <f t="shared" si="6"/>
        <v>Forsberg</v>
      </c>
      <c r="E71" s="39" t="str">
        <f t="shared" si="7"/>
        <v>Anton Forsberg</v>
      </c>
      <c r="F71" t="s">
        <v>1011</v>
      </c>
      <c r="G71" t="s">
        <v>127</v>
      </c>
      <c r="H71" s="292">
        <v>750000</v>
      </c>
      <c r="I71" s="292">
        <v>0</v>
      </c>
      <c r="J71" s="292">
        <v>800000</v>
      </c>
      <c r="K71" s="292" t="s">
        <v>8</v>
      </c>
      <c r="L71" s="292">
        <v>0</v>
      </c>
      <c r="M71" s="292">
        <v>0</v>
      </c>
      <c r="N71" s="292">
        <v>0</v>
      </c>
    </row>
    <row r="72" spans="1:14" x14ac:dyDescent="0.25">
      <c r="A72" t="s">
        <v>918</v>
      </c>
      <c r="B72" s="39">
        <f t="shared" si="4"/>
        <v>6</v>
      </c>
      <c r="C72" s="39" t="str">
        <f t="shared" si="5"/>
        <v>Anton</v>
      </c>
      <c r="D72" s="39" t="str">
        <f t="shared" si="6"/>
        <v>Lindholm</v>
      </c>
      <c r="E72" s="39" t="str">
        <f t="shared" si="7"/>
        <v>Anton Lindholm</v>
      </c>
      <c r="F72" t="s">
        <v>1033</v>
      </c>
      <c r="G72" t="s">
        <v>380</v>
      </c>
      <c r="H72" s="292">
        <v>925000</v>
      </c>
      <c r="I72" s="292">
        <v>0</v>
      </c>
      <c r="J72" s="292">
        <v>742500</v>
      </c>
      <c r="K72" s="292" t="s">
        <v>8</v>
      </c>
      <c r="L72" s="292">
        <v>0</v>
      </c>
      <c r="M72" s="292">
        <v>0</v>
      </c>
      <c r="N72" s="292">
        <v>0</v>
      </c>
    </row>
    <row r="73" spans="1:14" x14ac:dyDescent="0.25">
      <c r="A73" t="s">
        <v>1092</v>
      </c>
      <c r="B73" s="39">
        <f t="shared" si="4"/>
        <v>6</v>
      </c>
      <c r="C73" s="39" t="str">
        <f t="shared" si="5"/>
        <v>Anton</v>
      </c>
      <c r="D73" s="39" t="str">
        <f t="shared" si="6"/>
        <v>Stralman</v>
      </c>
      <c r="E73" s="39" t="str">
        <f t="shared" si="7"/>
        <v>Anton Stralman</v>
      </c>
      <c r="F73" t="s">
        <v>1019</v>
      </c>
      <c r="G73" t="s">
        <v>379</v>
      </c>
      <c r="H73" s="292">
        <v>4500000</v>
      </c>
      <c r="I73" s="292">
        <v>0</v>
      </c>
      <c r="J73" s="292">
        <v>4500000</v>
      </c>
      <c r="K73" s="292" t="s">
        <v>7</v>
      </c>
      <c r="L73" s="292">
        <v>0</v>
      </c>
      <c r="M73" s="292">
        <v>0</v>
      </c>
      <c r="N73" s="292">
        <v>0</v>
      </c>
    </row>
    <row r="74" spans="1:14" x14ac:dyDescent="0.25">
      <c r="A74" t="s">
        <v>319</v>
      </c>
      <c r="B74" s="39">
        <f t="shared" si="4"/>
        <v>6</v>
      </c>
      <c r="C74" s="39" t="str">
        <f t="shared" si="5"/>
        <v>Antti</v>
      </c>
      <c r="D74" s="39" t="str">
        <f t="shared" si="6"/>
        <v>Raanta</v>
      </c>
      <c r="E74" s="39" t="str">
        <f t="shared" si="7"/>
        <v>Antti Raanta</v>
      </c>
      <c r="F74" t="s">
        <v>1032</v>
      </c>
      <c r="G74" t="s">
        <v>127</v>
      </c>
      <c r="H74" s="292">
        <v>4250000</v>
      </c>
      <c r="I74" s="292">
        <v>4250000</v>
      </c>
      <c r="J74" s="292">
        <v>3750000</v>
      </c>
      <c r="K74" s="292">
        <v>5000000</v>
      </c>
      <c r="L74" s="292">
        <v>4000000</v>
      </c>
      <c r="M74" s="292" t="s">
        <v>7</v>
      </c>
      <c r="N74" s="292">
        <v>0</v>
      </c>
    </row>
    <row r="75" spans="1:14" x14ac:dyDescent="0.25">
      <c r="A75" t="s">
        <v>1043</v>
      </c>
      <c r="B75" s="39">
        <f t="shared" si="4"/>
        <v>5</v>
      </c>
      <c r="C75" s="39" t="str">
        <f t="shared" si="5"/>
        <v>Anze</v>
      </c>
      <c r="D75" s="39" t="str">
        <f t="shared" si="6"/>
        <v>Kopitar</v>
      </c>
      <c r="E75" s="39" t="str">
        <f t="shared" si="7"/>
        <v>Anze Kopitar</v>
      </c>
      <c r="F75" t="s">
        <v>1012</v>
      </c>
      <c r="G75" t="s">
        <v>73</v>
      </c>
      <c r="H75" s="292">
        <v>10000000</v>
      </c>
      <c r="I75" s="292">
        <v>10000000</v>
      </c>
      <c r="J75" s="292">
        <v>12000000</v>
      </c>
      <c r="K75" s="292">
        <v>11000000</v>
      </c>
      <c r="L75" s="292">
        <v>8000000</v>
      </c>
      <c r="M75" s="292">
        <v>8000000</v>
      </c>
      <c r="N75" s="292">
        <v>7000000</v>
      </c>
    </row>
    <row r="76" spans="1:14" x14ac:dyDescent="0.25">
      <c r="A76" t="s">
        <v>610</v>
      </c>
      <c r="B76" s="39">
        <f t="shared" si="4"/>
        <v>6</v>
      </c>
      <c r="C76" s="39" t="str">
        <f t="shared" si="5"/>
        <v>Artem</v>
      </c>
      <c r="D76" s="39" t="str">
        <f t="shared" si="6"/>
        <v>Anisimov</v>
      </c>
      <c r="E76" s="39" t="str">
        <f t="shared" si="7"/>
        <v>Artem Anisimov</v>
      </c>
      <c r="F76" t="s">
        <v>1011</v>
      </c>
      <c r="G76" t="s">
        <v>73</v>
      </c>
      <c r="H76" s="292">
        <v>4550000</v>
      </c>
      <c r="I76" s="292">
        <v>4550000</v>
      </c>
      <c r="J76" s="292">
        <v>5000000</v>
      </c>
      <c r="K76" s="292">
        <v>4000000</v>
      </c>
      <c r="L76" s="292">
        <v>3000000</v>
      </c>
      <c r="M76" s="292" t="s">
        <v>7</v>
      </c>
      <c r="N76" s="292">
        <v>0</v>
      </c>
    </row>
    <row r="77" spans="1:14" x14ac:dyDescent="0.25">
      <c r="A77" t="s">
        <v>278</v>
      </c>
      <c r="B77" s="39">
        <f t="shared" si="4"/>
        <v>7</v>
      </c>
      <c r="C77" s="39" t="str">
        <f t="shared" si="5"/>
        <v>Artemi</v>
      </c>
      <c r="D77" s="39" t="str">
        <f t="shared" si="6"/>
        <v>Panarin</v>
      </c>
      <c r="E77" s="39" t="str">
        <f t="shared" si="7"/>
        <v>Artemi Panarin</v>
      </c>
      <c r="F77" t="s">
        <v>1028</v>
      </c>
      <c r="G77" t="s">
        <v>93</v>
      </c>
      <c r="H77" s="292">
        <v>6000000</v>
      </c>
      <c r="I77" s="292">
        <v>0</v>
      </c>
      <c r="J77" s="292">
        <v>6000000</v>
      </c>
      <c r="K77" s="292" t="s">
        <v>7</v>
      </c>
      <c r="L77" s="292">
        <v>0</v>
      </c>
      <c r="M77" s="292">
        <v>0</v>
      </c>
      <c r="N77" s="292">
        <v>0</v>
      </c>
    </row>
    <row r="78" spans="1:14" x14ac:dyDescent="0.25">
      <c r="A78" t="s">
        <v>340</v>
      </c>
      <c r="B78" s="39">
        <f t="shared" si="4"/>
        <v>8</v>
      </c>
      <c r="C78" s="39" t="str">
        <f t="shared" si="5"/>
        <v>Artturi</v>
      </c>
      <c r="D78" s="39" t="str">
        <f t="shared" si="6"/>
        <v>Lehkonen</v>
      </c>
      <c r="E78" s="39" t="str">
        <f t="shared" si="7"/>
        <v>Artturi Lehkonen</v>
      </c>
      <c r="F78" t="s">
        <v>1023</v>
      </c>
      <c r="G78" t="s">
        <v>93</v>
      </c>
      <c r="H78" s="292">
        <v>925000</v>
      </c>
      <c r="I78" s="292">
        <v>0</v>
      </c>
      <c r="J78" s="292">
        <v>925000</v>
      </c>
      <c r="K78" s="292" t="s">
        <v>8</v>
      </c>
      <c r="L78" s="292">
        <v>0</v>
      </c>
      <c r="M78" s="292">
        <v>0</v>
      </c>
      <c r="N78" s="292">
        <v>0</v>
      </c>
    </row>
    <row r="79" spans="1:14" x14ac:dyDescent="0.25">
      <c r="A79" t="s">
        <v>505</v>
      </c>
      <c r="B79" s="39">
        <f t="shared" si="4"/>
        <v>7</v>
      </c>
      <c r="C79" s="39" t="str">
        <f t="shared" si="5"/>
        <v>Austin</v>
      </c>
      <c r="D79" s="39" t="str">
        <f t="shared" si="6"/>
        <v>Strand</v>
      </c>
      <c r="E79" s="39" t="str">
        <f t="shared" si="7"/>
        <v>Austin Strand</v>
      </c>
      <c r="F79" t="s">
        <v>1012</v>
      </c>
      <c r="G79" t="s">
        <v>88</v>
      </c>
      <c r="H79" s="292">
        <v>925000</v>
      </c>
      <c r="I79" s="292">
        <v>925000</v>
      </c>
      <c r="J79" s="292">
        <v>742500</v>
      </c>
      <c r="K79" s="292">
        <v>792500</v>
      </c>
      <c r="L79" s="292" t="s">
        <v>8</v>
      </c>
      <c r="M79" s="292">
        <v>0</v>
      </c>
      <c r="N79" s="292">
        <v>0</v>
      </c>
    </row>
    <row r="80" spans="1:14" x14ac:dyDescent="0.25">
      <c r="A80" t="s">
        <v>504</v>
      </c>
      <c r="B80" s="39">
        <f t="shared" si="4"/>
        <v>7</v>
      </c>
      <c r="C80" s="39" t="str">
        <f t="shared" si="5"/>
        <v>Austin</v>
      </c>
      <c r="D80" s="39" t="str">
        <f t="shared" si="6"/>
        <v>Wagner</v>
      </c>
      <c r="E80" s="39" t="str">
        <f t="shared" si="7"/>
        <v>Austin Wagner</v>
      </c>
      <c r="F80" t="s">
        <v>1012</v>
      </c>
      <c r="G80" t="s">
        <v>93</v>
      </c>
      <c r="H80" s="292">
        <v>925000</v>
      </c>
      <c r="I80" s="292">
        <v>925000</v>
      </c>
      <c r="J80" s="292">
        <v>742500</v>
      </c>
      <c r="K80" s="292">
        <v>792500</v>
      </c>
      <c r="L80" s="292" t="s">
        <v>8</v>
      </c>
      <c r="M80" s="292">
        <v>0</v>
      </c>
      <c r="N80" s="292">
        <v>0</v>
      </c>
    </row>
    <row r="81" spans="1:14" x14ac:dyDescent="0.25">
      <c r="A81" t="s">
        <v>768</v>
      </c>
      <c r="B81" s="39">
        <f t="shared" si="4"/>
        <v>7</v>
      </c>
      <c r="C81" s="39" t="str">
        <f t="shared" si="5"/>
        <v>Austin</v>
      </c>
      <c r="D81" s="39" t="str">
        <f t="shared" si="6"/>
        <v>Watson</v>
      </c>
      <c r="E81" s="39" t="str">
        <f t="shared" si="7"/>
        <v>Austin Watson</v>
      </c>
      <c r="F81" t="s">
        <v>1016</v>
      </c>
      <c r="G81" t="s">
        <v>93</v>
      </c>
      <c r="H81" s="292">
        <v>1100000</v>
      </c>
      <c r="I81" s="292">
        <v>1100000</v>
      </c>
      <c r="J81" s="292">
        <v>1100000</v>
      </c>
      <c r="K81" s="292">
        <v>1200000</v>
      </c>
      <c r="L81" s="292" t="s">
        <v>7</v>
      </c>
      <c r="M81" s="292">
        <v>0</v>
      </c>
      <c r="N81" s="292">
        <v>0</v>
      </c>
    </row>
    <row r="82" spans="1:14" x14ac:dyDescent="0.25">
      <c r="A82" t="s">
        <v>205</v>
      </c>
      <c r="B82" s="39">
        <f t="shared" si="4"/>
        <v>7</v>
      </c>
      <c r="C82" s="39" t="str">
        <f t="shared" si="5"/>
        <v>Auston</v>
      </c>
      <c r="D82" s="39" t="str">
        <f t="shared" si="6"/>
        <v>Matthews</v>
      </c>
      <c r="E82" s="39" t="str">
        <f t="shared" si="7"/>
        <v>Auston Matthews</v>
      </c>
      <c r="F82" t="s">
        <v>1034</v>
      </c>
      <c r="G82" t="s">
        <v>73</v>
      </c>
      <c r="H82" s="292">
        <v>3775000</v>
      </c>
      <c r="I82" s="292">
        <v>0</v>
      </c>
      <c r="J82" s="292">
        <v>925000</v>
      </c>
      <c r="K82" s="292" t="s">
        <v>8</v>
      </c>
      <c r="L82" s="292">
        <v>0</v>
      </c>
      <c r="M82" s="292">
        <v>0</v>
      </c>
      <c r="N82" s="292">
        <v>0</v>
      </c>
    </row>
    <row r="83" spans="1:14" x14ac:dyDescent="0.25">
      <c r="A83" t="s">
        <v>1137</v>
      </c>
      <c r="B83" s="39">
        <f t="shared" si="4"/>
        <v>5</v>
      </c>
      <c r="C83" s="39" t="str">
        <f t="shared" si="5"/>
        <v>Axel</v>
      </c>
      <c r="D83" s="39" t="str">
        <f t="shared" si="6"/>
        <v>Holmstrom</v>
      </c>
      <c r="E83" s="39" t="str">
        <f t="shared" si="7"/>
        <v>Axel Holmstrom</v>
      </c>
      <c r="F83" t="s">
        <v>1035</v>
      </c>
      <c r="G83" t="s">
        <v>73</v>
      </c>
      <c r="H83" s="292">
        <v>894167</v>
      </c>
      <c r="I83" s="292">
        <v>0</v>
      </c>
      <c r="J83" s="292">
        <v>650000</v>
      </c>
      <c r="K83" s="292" t="s">
        <v>8</v>
      </c>
      <c r="L83" s="292">
        <v>0</v>
      </c>
      <c r="M83" s="292">
        <v>0</v>
      </c>
      <c r="N83" s="292">
        <v>0</v>
      </c>
    </row>
    <row r="84" spans="1:14" x14ac:dyDescent="0.25">
      <c r="A84" t="s">
        <v>576</v>
      </c>
      <c r="B84" s="39">
        <f t="shared" si="4"/>
        <v>8</v>
      </c>
      <c r="C84" s="39" t="str">
        <f t="shared" si="5"/>
        <v>Barclay</v>
      </c>
      <c r="D84" s="39" t="str">
        <f t="shared" si="6"/>
        <v>Goodrow</v>
      </c>
      <c r="E84" s="39" t="str">
        <f t="shared" si="7"/>
        <v>Barclay Goodrow</v>
      </c>
      <c r="F84" t="s">
        <v>1022</v>
      </c>
      <c r="G84" t="s">
        <v>73</v>
      </c>
      <c r="H84" s="292">
        <v>650000</v>
      </c>
      <c r="I84" s="292">
        <v>0</v>
      </c>
      <c r="J84" s="292">
        <v>650000</v>
      </c>
      <c r="K84" s="292" t="s">
        <v>8</v>
      </c>
      <c r="L84" s="292">
        <v>0</v>
      </c>
      <c r="M84" s="292">
        <v>0</v>
      </c>
      <c r="N84" s="292">
        <v>0</v>
      </c>
    </row>
    <row r="85" spans="1:14" x14ac:dyDescent="0.25">
      <c r="A85" t="s">
        <v>450</v>
      </c>
      <c r="B85" s="39">
        <f t="shared" si="4"/>
        <v>5</v>
      </c>
      <c r="C85" s="39" t="str">
        <f t="shared" si="5"/>
        <v>Beck</v>
      </c>
      <c r="D85" s="39" t="str">
        <f t="shared" si="6"/>
        <v>Malenstyn</v>
      </c>
      <c r="E85" s="39" t="str">
        <f t="shared" si="7"/>
        <v>Beck Malenstyn</v>
      </c>
      <c r="F85" t="s">
        <v>1013</v>
      </c>
      <c r="G85" t="s">
        <v>73</v>
      </c>
      <c r="H85" s="292">
        <v>800000</v>
      </c>
      <c r="I85" s="292">
        <v>800000</v>
      </c>
      <c r="J85" s="292">
        <v>780000</v>
      </c>
      <c r="K85" s="292">
        <v>780000</v>
      </c>
      <c r="L85" s="292" t="s">
        <v>8</v>
      </c>
      <c r="M85" s="292">
        <v>0</v>
      </c>
      <c r="N85" s="292">
        <v>0</v>
      </c>
    </row>
    <row r="86" spans="1:14" x14ac:dyDescent="0.25">
      <c r="A86" t="s">
        <v>236</v>
      </c>
      <c r="B86" s="39">
        <f t="shared" si="4"/>
        <v>4</v>
      </c>
      <c r="C86" s="39" t="str">
        <f t="shared" si="5"/>
        <v>Ben</v>
      </c>
      <c r="D86" s="39" t="str">
        <f t="shared" si="6"/>
        <v>Bishop</v>
      </c>
      <c r="E86" s="39" t="str">
        <f t="shared" si="7"/>
        <v>Ben Bishop</v>
      </c>
      <c r="F86" t="s">
        <v>1015</v>
      </c>
      <c r="G86" t="s">
        <v>127</v>
      </c>
      <c r="H86" s="292">
        <v>4916670</v>
      </c>
      <c r="I86" s="292">
        <v>4916670</v>
      </c>
      <c r="J86" s="292">
        <v>6500000</v>
      </c>
      <c r="K86" s="292">
        <v>5500000</v>
      </c>
      <c r="L86" s="292">
        <v>3500000</v>
      </c>
      <c r="M86" s="292">
        <v>3500000</v>
      </c>
      <c r="N86" s="292">
        <v>3500000</v>
      </c>
    </row>
    <row r="87" spans="1:14" x14ac:dyDescent="0.25">
      <c r="A87" t="s">
        <v>867</v>
      </c>
      <c r="B87" s="39">
        <f t="shared" si="4"/>
        <v>4</v>
      </c>
      <c r="C87" s="39" t="str">
        <f t="shared" si="5"/>
        <v>Ben</v>
      </c>
      <c r="D87" s="39" t="str">
        <f t="shared" si="6"/>
        <v>Chiarot</v>
      </c>
      <c r="E87" s="39" t="str">
        <f t="shared" si="7"/>
        <v>Ben Chiarot</v>
      </c>
      <c r="F87" t="s">
        <v>1024</v>
      </c>
      <c r="G87" t="s">
        <v>380</v>
      </c>
      <c r="H87" s="292">
        <v>1400000</v>
      </c>
      <c r="I87" s="292">
        <v>0</v>
      </c>
      <c r="J87" s="292">
        <v>1600000</v>
      </c>
      <c r="K87" s="292" t="s">
        <v>7</v>
      </c>
      <c r="L87" s="292">
        <v>0</v>
      </c>
      <c r="M87" s="292">
        <v>0</v>
      </c>
      <c r="N87" s="292">
        <v>0</v>
      </c>
    </row>
    <row r="88" spans="1:14" x14ac:dyDescent="0.25">
      <c r="A88" t="s">
        <v>823</v>
      </c>
      <c r="B88" s="39">
        <f t="shared" si="4"/>
        <v>4</v>
      </c>
      <c r="C88" s="39" t="str">
        <f t="shared" si="5"/>
        <v>Ben</v>
      </c>
      <c r="D88" s="39" t="str">
        <f t="shared" si="6"/>
        <v>Hutton</v>
      </c>
      <c r="E88" s="39" t="str">
        <f t="shared" si="7"/>
        <v>Ben Hutton</v>
      </c>
      <c r="F88" t="s">
        <v>1037</v>
      </c>
      <c r="G88" t="s">
        <v>380</v>
      </c>
      <c r="H88" s="292">
        <v>2800000</v>
      </c>
      <c r="I88" s="292">
        <v>0</v>
      </c>
      <c r="J88" s="292">
        <v>2800000</v>
      </c>
      <c r="K88" s="292" t="s">
        <v>8</v>
      </c>
      <c r="L88" s="292">
        <v>0</v>
      </c>
      <c r="M88" s="292">
        <v>0</v>
      </c>
      <c r="N88" s="292">
        <v>0</v>
      </c>
    </row>
    <row r="89" spans="1:14" x14ac:dyDescent="0.25">
      <c r="A89" t="s">
        <v>955</v>
      </c>
      <c r="B89" s="39">
        <f t="shared" si="4"/>
        <v>4</v>
      </c>
      <c r="C89" s="39" t="str">
        <f t="shared" si="5"/>
        <v>Ben</v>
      </c>
      <c r="D89" s="39" t="str">
        <f t="shared" si="6"/>
        <v>Lovejoy</v>
      </c>
      <c r="E89" s="39" t="str">
        <f t="shared" si="7"/>
        <v>Ben Lovejoy</v>
      </c>
      <c r="F89" t="s">
        <v>1038</v>
      </c>
      <c r="G89" t="s">
        <v>379</v>
      </c>
      <c r="H89" s="292">
        <v>2666670</v>
      </c>
      <c r="I89" s="292">
        <v>0</v>
      </c>
      <c r="J89" s="292">
        <v>2750000</v>
      </c>
      <c r="K89" s="292" t="s">
        <v>7</v>
      </c>
      <c r="L89" s="292">
        <v>0</v>
      </c>
      <c r="M89" s="292">
        <v>0</v>
      </c>
      <c r="N89" s="292">
        <v>0</v>
      </c>
    </row>
    <row r="90" spans="1:14" x14ac:dyDescent="0.25">
      <c r="A90" t="s">
        <v>693</v>
      </c>
      <c r="B90" s="39">
        <f t="shared" si="4"/>
        <v>4</v>
      </c>
      <c r="C90" s="39" t="str">
        <f t="shared" si="5"/>
        <v>Ben</v>
      </c>
      <c r="D90" s="39" t="str">
        <f t="shared" si="6"/>
        <v>Sexton</v>
      </c>
      <c r="E90" s="39" t="str">
        <f t="shared" si="7"/>
        <v>Ben Sexton</v>
      </c>
      <c r="F90" t="s">
        <v>1029</v>
      </c>
      <c r="G90" t="s">
        <v>73</v>
      </c>
      <c r="H90" s="292">
        <v>725000</v>
      </c>
      <c r="I90" s="292">
        <v>0</v>
      </c>
      <c r="J90" s="292">
        <v>725000</v>
      </c>
      <c r="K90" s="292" t="s">
        <v>7</v>
      </c>
      <c r="L90" s="292">
        <v>0</v>
      </c>
      <c r="M90" s="292">
        <v>0</v>
      </c>
      <c r="N90" s="292">
        <v>0</v>
      </c>
    </row>
    <row r="91" spans="1:14" x14ac:dyDescent="0.25">
      <c r="A91" t="s">
        <v>533</v>
      </c>
      <c r="B91" s="39">
        <f t="shared" si="4"/>
        <v>4</v>
      </c>
      <c r="C91" s="39" t="str">
        <f t="shared" si="5"/>
        <v>Ben</v>
      </c>
      <c r="D91" s="39" t="str">
        <f t="shared" si="6"/>
        <v>Thomas</v>
      </c>
      <c r="E91" s="39" t="str">
        <f t="shared" si="7"/>
        <v>Ben Thomas</v>
      </c>
      <c r="F91" t="s">
        <v>1019</v>
      </c>
      <c r="G91" t="s">
        <v>82</v>
      </c>
      <c r="H91" s="292">
        <v>690003</v>
      </c>
      <c r="I91" s="292">
        <v>0</v>
      </c>
      <c r="J91" s="292">
        <v>715000</v>
      </c>
      <c r="K91" s="292" t="s">
        <v>8</v>
      </c>
      <c r="L91" s="292">
        <v>0</v>
      </c>
      <c r="M91" s="292">
        <v>0</v>
      </c>
      <c r="N91" s="292">
        <v>0</v>
      </c>
    </row>
    <row r="92" spans="1:14" x14ac:dyDescent="0.25">
      <c r="A92" t="s">
        <v>972</v>
      </c>
      <c r="B92" s="39">
        <f t="shared" si="4"/>
        <v>6</v>
      </c>
      <c r="C92" s="39" t="str">
        <f t="shared" si="5"/>
        <v>Blake</v>
      </c>
      <c r="D92" s="39" t="str">
        <f t="shared" si="6"/>
        <v>Pietila</v>
      </c>
      <c r="E92" s="39" t="str">
        <f t="shared" si="7"/>
        <v>Blake Pietila</v>
      </c>
      <c r="F92" t="s">
        <v>1038</v>
      </c>
      <c r="G92" t="s">
        <v>93</v>
      </c>
      <c r="H92" s="292">
        <v>667500</v>
      </c>
      <c r="I92" s="292">
        <v>0</v>
      </c>
      <c r="J92" s="292">
        <v>675000</v>
      </c>
      <c r="K92" s="292" t="s">
        <v>8</v>
      </c>
      <c r="L92" s="292">
        <v>0</v>
      </c>
      <c r="M92" s="292">
        <v>0</v>
      </c>
      <c r="N92" s="292">
        <v>0</v>
      </c>
    </row>
    <row r="93" spans="1:14" x14ac:dyDescent="0.25">
      <c r="A93" t="s">
        <v>653</v>
      </c>
      <c r="B93" s="39">
        <f t="shared" si="4"/>
        <v>6</v>
      </c>
      <c r="C93" s="39" t="str">
        <f t="shared" si="5"/>
        <v>Blake</v>
      </c>
      <c r="D93" s="39" t="str">
        <f t="shared" si="6"/>
        <v>Siebenaler</v>
      </c>
      <c r="E93" s="39" t="str">
        <f t="shared" si="7"/>
        <v>Blake Siebenaler</v>
      </c>
      <c r="F93" t="s">
        <v>1028</v>
      </c>
      <c r="G93" t="s">
        <v>82</v>
      </c>
      <c r="H93" s="292">
        <v>894167</v>
      </c>
      <c r="I93" s="292">
        <v>0</v>
      </c>
      <c r="J93" s="292">
        <v>675000</v>
      </c>
      <c r="K93" s="292" t="s">
        <v>8</v>
      </c>
      <c r="L93" s="292">
        <v>0</v>
      </c>
      <c r="M93" s="292">
        <v>0</v>
      </c>
      <c r="N93" s="292">
        <v>0</v>
      </c>
    </row>
    <row r="94" spans="1:14" x14ac:dyDescent="0.25">
      <c r="A94" t="s">
        <v>963</v>
      </c>
      <c r="B94" s="39">
        <f t="shared" si="4"/>
        <v>6</v>
      </c>
      <c r="C94" s="39" t="str">
        <f t="shared" si="5"/>
        <v>Blake</v>
      </c>
      <c r="D94" s="39" t="str">
        <f t="shared" si="6"/>
        <v>Speers</v>
      </c>
      <c r="E94" s="39" t="str">
        <f t="shared" si="7"/>
        <v>Blake Speers</v>
      </c>
      <c r="F94" t="s">
        <v>1038</v>
      </c>
      <c r="G94" t="s">
        <v>73</v>
      </c>
      <c r="H94" s="292">
        <v>925000</v>
      </c>
      <c r="I94" s="292">
        <v>0</v>
      </c>
      <c r="J94" s="292">
        <v>742500</v>
      </c>
      <c r="K94" s="292" t="s">
        <v>8</v>
      </c>
      <c r="L94" s="292">
        <v>0</v>
      </c>
      <c r="M94" s="292">
        <v>0</v>
      </c>
      <c r="N94" s="292">
        <v>0</v>
      </c>
    </row>
    <row r="95" spans="1:14" x14ac:dyDescent="0.25">
      <c r="A95" t="s">
        <v>226</v>
      </c>
      <c r="B95" s="39">
        <f t="shared" si="4"/>
        <v>6</v>
      </c>
      <c r="C95" s="39" t="str">
        <f t="shared" si="5"/>
        <v>Blake</v>
      </c>
      <c r="D95" s="39" t="str">
        <f t="shared" si="6"/>
        <v>Wheeler</v>
      </c>
      <c r="E95" s="39" t="str">
        <f t="shared" si="7"/>
        <v>Blake Wheeler</v>
      </c>
      <c r="F95" t="s">
        <v>1024</v>
      </c>
      <c r="G95" t="s">
        <v>88</v>
      </c>
      <c r="H95" s="292">
        <v>5600000</v>
      </c>
      <c r="I95" s="292">
        <v>0</v>
      </c>
      <c r="J95" s="292">
        <v>5800000</v>
      </c>
      <c r="K95" s="292" t="s">
        <v>7</v>
      </c>
      <c r="L95" s="292">
        <v>0</v>
      </c>
      <c r="M95" s="292">
        <v>0</v>
      </c>
      <c r="N95" s="292">
        <v>0</v>
      </c>
    </row>
    <row r="96" spans="1:14" x14ac:dyDescent="0.25">
      <c r="A96" t="s">
        <v>328</v>
      </c>
      <c r="B96" s="39">
        <f t="shared" si="4"/>
        <v>3</v>
      </c>
      <c r="C96" s="39" t="str">
        <f t="shared" si="5"/>
        <v>Bo</v>
      </c>
      <c r="D96" s="39" t="str">
        <f t="shared" si="6"/>
        <v>Horvat</v>
      </c>
      <c r="E96" s="39" t="str">
        <f t="shared" si="7"/>
        <v>Bo Horvat</v>
      </c>
      <c r="F96" t="s">
        <v>1037</v>
      </c>
      <c r="G96" t="s">
        <v>73</v>
      </c>
      <c r="H96" s="292">
        <v>5500000</v>
      </c>
      <c r="I96" s="292">
        <v>5500000</v>
      </c>
      <c r="J96" s="292">
        <v>7000000</v>
      </c>
      <c r="K96" s="292">
        <v>5775000</v>
      </c>
      <c r="L96" s="292">
        <v>3500000</v>
      </c>
      <c r="M96" s="292">
        <v>5775000</v>
      </c>
      <c r="N96" s="292">
        <v>4450000</v>
      </c>
    </row>
    <row r="97" spans="1:14" x14ac:dyDescent="0.25">
      <c r="A97" t="s">
        <v>675</v>
      </c>
      <c r="B97" s="39">
        <f t="shared" si="4"/>
        <v>6</v>
      </c>
      <c r="C97" s="39" t="str">
        <f t="shared" si="5"/>
        <v>Bobby</v>
      </c>
      <c r="D97" s="39" t="str">
        <f t="shared" si="6"/>
        <v>Ryan</v>
      </c>
      <c r="E97" s="39" t="str">
        <f t="shared" si="7"/>
        <v>Bobby Ryan</v>
      </c>
      <c r="F97" t="s">
        <v>1029</v>
      </c>
      <c r="G97" t="s">
        <v>88</v>
      </c>
      <c r="H97" s="292">
        <v>7250000</v>
      </c>
      <c r="I97" s="292">
        <v>7250000</v>
      </c>
      <c r="J97" s="292">
        <v>7500000</v>
      </c>
      <c r="K97" s="292">
        <v>7500000</v>
      </c>
      <c r="L97" s="292">
        <v>7500000</v>
      </c>
      <c r="M97" s="292">
        <v>7500000</v>
      </c>
      <c r="N97" s="292" t="s">
        <v>7</v>
      </c>
    </row>
    <row r="98" spans="1:14" x14ac:dyDescent="0.25">
      <c r="A98" t="s">
        <v>507</v>
      </c>
      <c r="B98" s="39">
        <f t="shared" si="4"/>
        <v>9</v>
      </c>
      <c r="C98" s="39" t="str">
        <f t="shared" si="5"/>
        <v>Bokondji</v>
      </c>
      <c r="D98" s="39" t="str">
        <f t="shared" si="6"/>
        <v>Imama</v>
      </c>
      <c r="E98" s="39" t="str">
        <f t="shared" si="7"/>
        <v>Bokondji Imama</v>
      </c>
      <c r="F98" t="s">
        <v>1012</v>
      </c>
      <c r="G98" t="s">
        <v>93</v>
      </c>
      <c r="H98" s="292">
        <v>706667</v>
      </c>
      <c r="I98" s="292">
        <v>706667</v>
      </c>
      <c r="J98" s="292">
        <v>690000</v>
      </c>
      <c r="K98" s="292">
        <v>740000</v>
      </c>
      <c r="L98" s="292" t="s">
        <v>8</v>
      </c>
      <c r="M98" s="292">
        <v>0</v>
      </c>
      <c r="N98" s="292">
        <v>0</v>
      </c>
    </row>
    <row r="99" spans="1:14" x14ac:dyDescent="0.25">
      <c r="A99" t="s">
        <v>523</v>
      </c>
      <c r="B99" s="39">
        <f t="shared" si="4"/>
        <v>6</v>
      </c>
      <c r="C99" s="39" t="str">
        <f t="shared" si="5"/>
        <v>Boris</v>
      </c>
      <c r="D99" s="39" t="str">
        <f t="shared" si="6"/>
        <v>Katchouk</v>
      </c>
      <c r="E99" s="39" t="str">
        <f t="shared" si="7"/>
        <v>Boris Katchouk</v>
      </c>
      <c r="F99" t="s">
        <v>1019</v>
      </c>
      <c r="G99" t="s">
        <v>93</v>
      </c>
      <c r="H99" s="292">
        <v>925000</v>
      </c>
      <c r="I99" s="292">
        <v>925000</v>
      </c>
      <c r="J99" s="292">
        <v>925000</v>
      </c>
      <c r="K99" s="292">
        <v>925000</v>
      </c>
      <c r="L99" s="292" t="s">
        <v>8</v>
      </c>
      <c r="M99" s="292">
        <v>0</v>
      </c>
      <c r="N99" s="292">
        <v>0</v>
      </c>
    </row>
    <row r="100" spans="1:14" x14ac:dyDescent="0.25">
      <c r="A100" t="s">
        <v>804</v>
      </c>
      <c r="B100" s="39">
        <f t="shared" si="4"/>
        <v>5</v>
      </c>
      <c r="C100" s="39" t="str">
        <f t="shared" si="5"/>
        <v>Brad</v>
      </c>
      <c r="D100" s="39" t="str">
        <f t="shared" si="6"/>
        <v>Hunt</v>
      </c>
      <c r="E100" s="39" t="str">
        <f t="shared" si="7"/>
        <v>Brad Hunt</v>
      </c>
      <c r="F100" t="s">
        <v>1041</v>
      </c>
      <c r="G100" t="s">
        <v>380</v>
      </c>
      <c r="H100" s="292">
        <v>650000</v>
      </c>
      <c r="I100" s="292">
        <v>0</v>
      </c>
      <c r="J100" s="292">
        <v>650000</v>
      </c>
      <c r="K100" s="292" t="s">
        <v>7</v>
      </c>
      <c r="L100" s="292">
        <v>0</v>
      </c>
      <c r="M100" s="292">
        <v>0</v>
      </c>
      <c r="N100" s="292">
        <v>0</v>
      </c>
    </row>
    <row r="101" spans="1:14" x14ac:dyDescent="0.25">
      <c r="A101" t="s">
        <v>571</v>
      </c>
      <c r="B101" s="39">
        <f t="shared" si="4"/>
        <v>5</v>
      </c>
      <c r="C101" s="39" t="str">
        <f t="shared" si="5"/>
        <v>Brad</v>
      </c>
      <c r="D101" s="39" t="str">
        <f t="shared" si="6"/>
        <v>Malone</v>
      </c>
      <c r="E101" s="39" t="str">
        <f t="shared" si="7"/>
        <v>Brad Malone</v>
      </c>
      <c r="F101" t="s">
        <v>1020</v>
      </c>
      <c r="G101" t="s">
        <v>73</v>
      </c>
      <c r="H101" s="292">
        <v>650000</v>
      </c>
      <c r="I101" s="292">
        <v>0</v>
      </c>
      <c r="J101" s="292">
        <v>650000</v>
      </c>
      <c r="K101" s="292" t="s">
        <v>7</v>
      </c>
      <c r="L101" s="292">
        <v>0</v>
      </c>
      <c r="M101" s="292">
        <v>0</v>
      </c>
      <c r="N101" s="292">
        <v>0</v>
      </c>
    </row>
    <row r="102" spans="1:14" x14ac:dyDescent="0.25">
      <c r="A102" t="s">
        <v>268</v>
      </c>
      <c r="B102" s="39">
        <f t="shared" si="4"/>
        <v>5</v>
      </c>
      <c r="C102" s="39" t="str">
        <f t="shared" si="5"/>
        <v>Brad</v>
      </c>
      <c r="D102" s="39" t="str">
        <f t="shared" si="6"/>
        <v>Marchand</v>
      </c>
      <c r="E102" s="39" t="str">
        <f t="shared" si="7"/>
        <v>Brad Marchand</v>
      </c>
      <c r="F102" t="s">
        <v>1030</v>
      </c>
      <c r="G102" t="s">
        <v>93</v>
      </c>
      <c r="H102" s="292">
        <v>6125000</v>
      </c>
      <c r="I102" s="292">
        <v>6125000</v>
      </c>
      <c r="J102" s="292">
        <v>8000000</v>
      </c>
      <c r="K102" s="292">
        <v>7500000</v>
      </c>
      <c r="L102" s="292">
        <v>5000000</v>
      </c>
      <c r="M102" s="292">
        <v>6500000</v>
      </c>
      <c r="N102" s="292">
        <v>5000000</v>
      </c>
    </row>
    <row r="103" spans="1:14" x14ac:dyDescent="0.25">
      <c r="A103" t="s">
        <v>317</v>
      </c>
      <c r="B103" s="39">
        <f t="shared" si="4"/>
        <v>7</v>
      </c>
      <c r="C103" s="39" t="str">
        <f t="shared" si="5"/>
        <v>Braden</v>
      </c>
      <c r="D103" s="39" t="str">
        <f t="shared" si="6"/>
        <v>Holtby</v>
      </c>
      <c r="E103" s="39" t="str">
        <f t="shared" si="7"/>
        <v>Braden Holtby</v>
      </c>
      <c r="F103" t="s">
        <v>1013</v>
      </c>
      <c r="G103" t="s">
        <v>127</v>
      </c>
      <c r="H103" s="292">
        <v>6100000</v>
      </c>
      <c r="I103" s="292">
        <v>6100000</v>
      </c>
      <c r="J103" s="292">
        <v>5000000</v>
      </c>
      <c r="K103" s="292">
        <v>5000000</v>
      </c>
      <c r="L103" s="292" t="s">
        <v>7</v>
      </c>
      <c r="M103" s="292">
        <v>0</v>
      </c>
      <c r="N103" s="292">
        <v>0</v>
      </c>
    </row>
    <row r="104" spans="1:14" x14ac:dyDescent="0.25">
      <c r="A104" t="s">
        <v>971</v>
      </c>
      <c r="B104" s="39">
        <f t="shared" si="4"/>
        <v>8</v>
      </c>
      <c r="C104" s="39" t="str">
        <f t="shared" si="5"/>
        <v>Brandon</v>
      </c>
      <c r="D104" s="39" t="str">
        <f t="shared" si="6"/>
        <v>Baddock</v>
      </c>
      <c r="E104" s="39" t="str">
        <f t="shared" si="7"/>
        <v>Brandon Baddock</v>
      </c>
      <c r="F104" t="s">
        <v>1038</v>
      </c>
      <c r="G104" t="s">
        <v>93</v>
      </c>
      <c r="H104" s="292">
        <v>673333</v>
      </c>
      <c r="I104" s="292">
        <v>0</v>
      </c>
      <c r="J104" s="292">
        <v>700000</v>
      </c>
      <c r="K104" s="292" t="s">
        <v>8</v>
      </c>
      <c r="L104" s="292">
        <v>0</v>
      </c>
      <c r="M104" s="292">
        <v>0</v>
      </c>
      <c r="N104" s="292">
        <v>0</v>
      </c>
    </row>
    <row r="105" spans="1:14" x14ac:dyDescent="0.25">
      <c r="A105" t="s">
        <v>543</v>
      </c>
      <c r="B105" s="39">
        <f t="shared" si="4"/>
        <v>8</v>
      </c>
      <c r="C105" s="39" t="str">
        <f t="shared" si="5"/>
        <v>Brandon</v>
      </c>
      <c r="D105" s="39" t="str">
        <f t="shared" si="6"/>
        <v>Carlo</v>
      </c>
      <c r="E105" s="39" t="str">
        <f t="shared" si="7"/>
        <v>Brandon Carlo</v>
      </c>
      <c r="F105" t="s">
        <v>1030</v>
      </c>
      <c r="G105" t="s">
        <v>379</v>
      </c>
      <c r="H105" s="292">
        <v>894167</v>
      </c>
      <c r="I105" s="292">
        <v>0</v>
      </c>
      <c r="J105" s="292">
        <v>832500</v>
      </c>
      <c r="K105" s="292" t="s">
        <v>8</v>
      </c>
      <c r="L105" s="292">
        <v>0</v>
      </c>
      <c r="M105" s="292">
        <v>0</v>
      </c>
      <c r="N105" s="292">
        <v>0</v>
      </c>
    </row>
    <row r="106" spans="1:14" x14ac:dyDescent="0.25">
      <c r="A106" t="s">
        <v>631</v>
      </c>
      <c r="B106" s="39">
        <f t="shared" si="4"/>
        <v>8</v>
      </c>
      <c r="C106" s="39" t="str">
        <f t="shared" si="5"/>
        <v>Brandon</v>
      </c>
      <c r="D106" s="39" t="str">
        <f t="shared" si="6"/>
        <v>Dubinsky</v>
      </c>
      <c r="E106" s="39" t="str">
        <f t="shared" si="7"/>
        <v>Brandon Dubinsky</v>
      </c>
      <c r="F106" t="s">
        <v>1028</v>
      </c>
      <c r="G106" t="s">
        <v>73</v>
      </c>
      <c r="H106" s="292">
        <v>5850000</v>
      </c>
      <c r="I106" s="292">
        <v>5850000</v>
      </c>
      <c r="J106" s="292">
        <v>5850000</v>
      </c>
      <c r="K106" s="292">
        <v>5850000</v>
      </c>
      <c r="L106" s="292">
        <v>5850000</v>
      </c>
      <c r="M106" s="292" t="s">
        <v>7</v>
      </c>
      <c r="N106" s="292">
        <v>0</v>
      </c>
    </row>
    <row r="107" spans="1:14" x14ac:dyDescent="0.25">
      <c r="A107" t="s">
        <v>967</v>
      </c>
      <c r="B107" s="39">
        <f t="shared" si="4"/>
        <v>8</v>
      </c>
      <c r="C107" s="39" t="str">
        <f t="shared" si="5"/>
        <v>Brandon</v>
      </c>
      <c r="D107" s="39" t="str">
        <f t="shared" si="6"/>
        <v>Gignac</v>
      </c>
      <c r="E107" s="39" t="str">
        <f t="shared" si="7"/>
        <v>Brandon Gignac</v>
      </c>
      <c r="F107" t="s">
        <v>1038</v>
      </c>
      <c r="G107" t="s">
        <v>73</v>
      </c>
      <c r="H107" s="292">
        <v>925000</v>
      </c>
      <c r="I107" s="292">
        <v>0</v>
      </c>
      <c r="J107" s="292">
        <v>742500</v>
      </c>
      <c r="K107" s="292" t="s">
        <v>8</v>
      </c>
      <c r="L107" s="292">
        <v>0</v>
      </c>
      <c r="M107" s="292">
        <v>0</v>
      </c>
      <c r="N107" s="292">
        <v>0</v>
      </c>
    </row>
    <row r="108" spans="1:14" x14ac:dyDescent="0.25">
      <c r="A108" t="s">
        <v>668</v>
      </c>
      <c r="B108" s="39">
        <f t="shared" si="4"/>
        <v>8</v>
      </c>
      <c r="C108" s="39" t="str">
        <f t="shared" si="5"/>
        <v>Brandon</v>
      </c>
      <c r="D108" s="39" t="str">
        <f t="shared" si="6"/>
        <v>Halverson</v>
      </c>
      <c r="E108" s="39" t="str">
        <f t="shared" si="7"/>
        <v>Brandon Halverson</v>
      </c>
      <c r="F108" t="s">
        <v>1018</v>
      </c>
      <c r="G108" t="s">
        <v>127</v>
      </c>
      <c r="H108" s="292">
        <v>894167</v>
      </c>
      <c r="I108" s="292">
        <v>0</v>
      </c>
      <c r="J108" s="292">
        <v>832500</v>
      </c>
      <c r="K108" s="292" t="s">
        <v>8</v>
      </c>
      <c r="L108" s="292">
        <v>0</v>
      </c>
      <c r="M108" s="292">
        <v>0</v>
      </c>
      <c r="N108" s="292">
        <v>0</v>
      </c>
    </row>
    <row r="109" spans="1:14" x14ac:dyDescent="0.25">
      <c r="A109" t="s">
        <v>282</v>
      </c>
      <c r="B109" s="39">
        <f t="shared" si="4"/>
        <v>8</v>
      </c>
      <c r="C109" s="39" t="str">
        <f t="shared" si="5"/>
        <v>Brandon</v>
      </c>
      <c r="D109" s="39" t="str">
        <f t="shared" si="6"/>
        <v>Saad</v>
      </c>
      <c r="E109" s="39" t="str">
        <f t="shared" si="7"/>
        <v>Brandon Saad</v>
      </c>
      <c r="F109" t="s">
        <v>1011</v>
      </c>
      <c r="G109" t="s">
        <v>93</v>
      </c>
      <c r="H109" s="292">
        <v>6000000</v>
      </c>
      <c r="I109" s="292">
        <v>6000000</v>
      </c>
      <c r="J109" s="292">
        <v>6750000</v>
      </c>
      <c r="K109" s="292">
        <v>6750000</v>
      </c>
      <c r="L109" s="292">
        <v>6500000</v>
      </c>
      <c r="M109" s="292" t="s">
        <v>7</v>
      </c>
      <c r="N109" s="292">
        <v>0</v>
      </c>
    </row>
    <row r="110" spans="1:14" x14ac:dyDescent="0.25">
      <c r="A110" t="s">
        <v>814</v>
      </c>
      <c r="B110" s="39">
        <f t="shared" si="4"/>
        <v>8</v>
      </c>
      <c r="C110" s="39" t="str">
        <f t="shared" si="5"/>
        <v>Brandon</v>
      </c>
      <c r="D110" s="39" t="str">
        <f t="shared" si="6"/>
        <v>Sutter</v>
      </c>
      <c r="E110" s="39" t="str">
        <f t="shared" si="7"/>
        <v>Brandon Sutter</v>
      </c>
      <c r="F110" t="s">
        <v>1037</v>
      </c>
      <c r="G110" t="s">
        <v>73</v>
      </c>
      <c r="H110" s="292">
        <v>4375000</v>
      </c>
      <c r="I110" s="292">
        <v>4375000</v>
      </c>
      <c r="J110" s="292">
        <v>4375000</v>
      </c>
      <c r="K110" s="292">
        <v>4500000</v>
      </c>
      <c r="L110" s="292">
        <v>4500000</v>
      </c>
      <c r="M110" s="292" t="s">
        <v>7</v>
      </c>
      <c r="N110" s="292">
        <v>0</v>
      </c>
    </row>
    <row r="111" spans="1:14" x14ac:dyDescent="0.25">
      <c r="A111" t="s">
        <v>304</v>
      </c>
      <c r="B111" s="39">
        <f t="shared" si="4"/>
        <v>8</v>
      </c>
      <c r="C111" s="39" t="str">
        <f t="shared" si="5"/>
        <v>Brayden</v>
      </c>
      <c r="D111" s="39" t="str">
        <f t="shared" si="6"/>
        <v>Point</v>
      </c>
      <c r="E111" s="39" t="str">
        <f t="shared" si="7"/>
        <v>Brayden Point</v>
      </c>
      <c r="F111" t="s">
        <v>1019</v>
      </c>
      <c r="G111" t="s">
        <v>73</v>
      </c>
      <c r="H111" s="292">
        <v>894167</v>
      </c>
      <c r="I111" s="292">
        <v>0</v>
      </c>
      <c r="J111" s="292">
        <v>650000</v>
      </c>
      <c r="K111" s="292" t="s">
        <v>8</v>
      </c>
      <c r="L111" s="292">
        <v>0</v>
      </c>
      <c r="M111" s="292">
        <v>0</v>
      </c>
      <c r="N111" s="292">
        <v>0</v>
      </c>
    </row>
    <row r="112" spans="1:14" x14ac:dyDescent="0.25">
      <c r="A112" t="s">
        <v>204</v>
      </c>
      <c r="B112" s="39">
        <f t="shared" si="4"/>
        <v>8</v>
      </c>
      <c r="C112" s="39" t="str">
        <f t="shared" si="5"/>
        <v>Brayden</v>
      </c>
      <c r="D112" s="39" t="str">
        <f t="shared" si="6"/>
        <v>Schenn</v>
      </c>
      <c r="E112" s="39" t="str">
        <f t="shared" si="7"/>
        <v>Brayden Schenn</v>
      </c>
      <c r="F112" t="s">
        <v>1026</v>
      </c>
      <c r="G112" t="s">
        <v>73</v>
      </c>
      <c r="H112" s="292">
        <v>5125000</v>
      </c>
      <c r="I112" s="292">
        <v>5125000</v>
      </c>
      <c r="J112" s="292">
        <v>5000000</v>
      </c>
      <c r="K112" s="292">
        <v>4500000</v>
      </c>
      <c r="L112" s="292" t="s">
        <v>7</v>
      </c>
      <c r="M112" s="292">
        <v>0</v>
      </c>
      <c r="N112" s="292">
        <v>0</v>
      </c>
    </row>
    <row r="113" spans="1:14" x14ac:dyDescent="0.25">
      <c r="A113" t="s">
        <v>518</v>
      </c>
      <c r="B113" s="39">
        <f t="shared" si="4"/>
        <v>8</v>
      </c>
      <c r="C113" s="39" t="str">
        <f t="shared" si="5"/>
        <v>Braydon</v>
      </c>
      <c r="D113" s="39" t="str">
        <f t="shared" si="6"/>
        <v>Coburn</v>
      </c>
      <c r="E113" s="39" t="str">
        <f t="shared" si="7"/>
        <v>Braydon Coburn</v>
      </c>
      <c r="F113" t="s">
        <v>1019</v>
      </c>
      <c r="G113" t="s">
        <v>380</v>
      </c>
      <c r="H113" s="292">
        <v>3700000</v>
      </c>
      <c r="I113" s="292">
        <v>0</v>
      </c>
      <c r="J113" s="292">
        <v>3700000</v>
      </c>
      <c r="K113" s="292" t="s">
        <v>7</v>
      </c>
      <c r="L113" s="292">
        <v>0</v>
      </c>
      <c r="M113" s="292">
        <v>0</v>
      </c>
      <c r="N113" s="292">
        <v>0</v>
      </c>
    </row>
    <row r="114" spans="1:14" x14ac:dyDescent="0.25">
      <c r="A114" t="s">
        <v>1102</v>
      </c>
      <c r="B114" s="39">
        <f t="shared" si="4"/>
        <v>8</v>
      </c>
      <c r="C114" s="39" t="str">
        <f t="shared" si="5"/>
        <v>Brendan</v>
      </c>
      <c r="D114" s="39" t="str">
        <f t="shared" si="6"/>
        <v>Gallagher</v>
      </c>
      <c r="E114" s="39" t="str">
        <f t="shared" si="7"/>
        <v>Brendan Gallagher</v>
      </c>
      <c r="F114" t="s">
        <v>1023</v>
      </c>
      <c r="G114" t="s">
        <v>88</v>
      </c>
      <c r="H114" s="292">
        <v>3750000</v>
      </c>
      <c r="I114" s="292">
        <v>3750000</v>
      </c>
      <c r="J114" s="292">
        <v>3000000</v>
      </c>
      <c r="K114" s="292">
        <v>4000000</v>
      </c>
      <c r="L114" s="292">
        <v>2750000</v>
      </c>
      <c r="M114" s="292" t="s">
        <v>7</v>
      </c>
      <c r="N114" s="292">
        <v>0</v>
      </c>
    </row>
    <row r="115" spans="1:14" x14ac:dyDescent="0.25">
      <c r="A115" t="s">
        <v>819</v>
      </c>
      <c r="B115" s="39">
        <f t="shared" si="4"/>
        <v>8</v>
      </c>
      <c r="C115" s="39" t="str">
        <f t="shared" si="5"/>
        <v>Brendan</v>
      </c>
      <c r="D115" s="39" t="str">
        <f t="shared" si="6"/>
        <v>Gaunce</v>
      </c>
      <c r="E115" s="39" t="str">
        <f t="shared" si="7"/>
        <v>Brendan Gaunce</v>
      </c>
      <c r="F115" t="s">
        <v>1037</v>
      </c>
      <c r="G115" t="s">
        <v>73</v>
      </c>
      <c r="H115" s="292">
        <v>750000</v>
      </c>
      <c r="I115" s="292">
        <v>0</v>
      </c>
      <c r="J115" s="292">
        <v>800000</v>
      </c>
      <c r="K115" s="292" t="s">
        <v>8</v>
      </c>
      <c r="L115" s="292">
        <v>0</v>
      </c>
      <c r="M115" s="292">
        <v>0</v>
      </c>
      <c r="N115" s="292">
        <v>0</v>
      </c>
    </row>
    <row r="116" spans="1:14" x14ac:dyDescent="0.25">
      <c r="A116" t="s">
        <v>741</v>
      </c>
      <c r="B116" s="39">
        <f t="shared" si="4"/>
        <v>8</v>
      </c>
      <c r="C116" s="39" t="str">
        <f t="shared" si="5"/>
        <v>Brendan</v>
      </c>
      <c r="D116" s="39" t="str">
        <f t="shared" si="6"/>
        <v>Guhle</v>
      </c>
      <c r="E116" s="39" t="str">
        <f t="shared" si="7"/>
        <v>Brendan Guhle</v>
      </c>
      <c r="F116" t="s">
        <v>1039</v>
      </c>
      <c r="G116" t="s">
        <v>380</v>
      </c>
      <c r="H116" s="292">
        <v>863333</v>
      </c>
      <c r="I116" s="292">
        <v>863333</v>
      </c>
      <c r="J116" s="292">
        <v>650000</v>
      </c>
      <c r="K116" s="292">
        <v>700000</v>
      </c>
      <c r="L116" s="292" t="s">
        <v>8</v>
      </c>
      <c r="M116" s="292">
        <v>0</v>
      </c>
      <c r="N116" s="292">
        <v>0</v>
      </c>
    </row>
    <row r="117" spans="1:14" x14ac:dyDescent="0.25">
      <c r="A117" t="s">
        <v>820</v>
      </c>
      <c r="B117" s="39">
        <f t="shared" si="4"/>
        <v>8</v>
      </c>
      <c r="C117" s="39" t="str">
        <f t="shared" si="5"/>
        <v>Brendan</v>
      </c>
      <c r="D117" s="39" t="str">
        <f t="shared" si="6"/>
        <v>Leipsic</v>
      </c>
      <c r="E117" s="39" t="str">
        <f t="shared" si="7"/>
        <v>Brendan Leipsic</v>
      </c>
      <c r="F117" t="s">
        <v>1037</v>
      </c>
      <c r="G117" t="s">
        <v>93</v>
      </c>
      <c r="H117" s="292">
        <v>650000</v>
      </c>
      <c r="I117" s="292">
        <v>0</v>
      </c>
      <c r="J117" s="292">
        <v>650000</v>
      </c>
      <c r="K117" s="292" t="s">
        <v>8</v>
      </c>
      <c r="L117" s="292">
        <v>0</v>
      </c>
      <c r="M117" s="292">
        <v>0</v>
      </c>
      <c r="N117" s="292">
        <v>0</v>
      </c>
    </row>
    <row r="118" spans="1:14" x14ac:dyDescent="0.25">
      <c r="A118" t="s">
        <v>870</v>
      </c>
      <c r="B118" s="39">
        <f t="shared" si="4"/>
        <v>8</v>
      </c>
      <c r="C118" s="39" t="str">
        <f t="shared" si="5"/>
        <v>Brendan</v>
      </c>
      <c r="D118" s="39" t="str">
        <f t="shared" si="6"/>
        <v>Lemieux</v>
      </c>
      <c r="E118" s="39" t="str">
        <f t="shared" si="7"/>
        <v>Brendan Lemieux</v>
      </c>
      <c r="F118" t="s">
        <v>1024</v>
      </c>
      <c r="G118" t="s">
        <v>93</v>
      </c>
      <c r="H118" s="292">
        <v>1039169</v>
      </c>
      <c r="I118" s="292">
        <v>0</v>
      </c>
      <c r="J118" s="292">
        <v>832500</v>
      </c>
      <c r="K118" s="292" t="s">
        <v>8</v>
      </c>
      <c r="L118" s="292">
        <v>0</v>
      </c>
      <c r="M118" s="292">
        <v>0</v>
      </c>
      <c r="N118" s="292">
        <v>0</v>
      </c>
    </row>
    <row r="119" spans="1:14" x14ac:dyDescent="0.25">
      <c r="A119" t="s">
        <v>841</v>
      </c>
      <c r="B119" s="39">
        <f t="shared" si="4"/>
        <v>8</v>
      </c>
      <c r="C119" s="39" t="str">
        <f t="shared" si="5"/>
        <v>Brendan</v>
      </c>
      <c r="D119" s="39" t="str">
        <f t="shared" si="6"/>
        <v>Perlini</v>
      </c>
      <c r="E119" s="39" t="str">
        <f t="shared" si="7"/>
        <v>Brendan Perlini</v>
      </c>
      <c r="F119" t="s">
        <v>1032</v>
      </c>
      <c r="G119" t="s">
        <v>93</v>
      </c>
      <c r="H119" s="292">
        <v>1363330</v>
      </c>
      <c r="I119" s="292">
        <v>0</v>
      </c>
      <c r="J119" s="292">
        <v>832500</v>
      </c>
      <c r="K119" s="292" t="s">
        <v>8</v>
      </c>
      <c r="L119" s="292">
        <v>0</v>
      </c>
      <c r="M119" s="292">
        <v>0</v>
      </c>
      <c r="N119" s="292">
        <v>0</v>
      </c>
    </row>
    <row r="120" spans="1:14" x14ac:dyDescent="0.25">
      <c r="A120" t="s">
        <v>660</v>
      </c>
      <c r="B120" s="39">
        <f t="shared" si="4"/>
        <v>8</v>
      </c>
      <c r="C120" s="39" t="str">
        <f t="shared" si="5"/>
        <v>Brendan</v>
      </c>
      <c r="D120" s="39" t="str">
        <f t="shared" si="6"/>
        <v>Smith</v>
      </c>
      <c r="E120" s="39" t="str">
        <f t="shared" si="7"/>
        <v>Brendan Smith</v>
      </c>
      <c r="F120" t="s">
        <v>1018</v>
      </c>
      <c r="G120" t="s">
        <v>380</v>
      </c>
      <c r="H120" s="292">
        <v>4350000</v>
      </c>
      <c r="I120" s="292">
        <v>4350000</v>
      </c>
      <c r="J120" s="292">
        <v>4525000</v>
      </c>
      <c r="K120" s="292">
        <v>4525000</v>
      </c>
      <c r="L120" s="292">
        <v>3350000</v>
      </c>
      <c r="M120" s="292" t="s">
        <v>7</v>
      </c>
      <c r="N120" s="292">
        <v>0</v>
      </c>
    </row>
    <row r="121" spans="1:14" x14ac:dyDescent="0.25">
      <c r="A121" t="s">
        <v>578</v>
      </c>
      <c r="B121" s="39">
        <f t="shared" si="4"/>
        <v>8</v>
      </c>
      <c r="C121" s="39" t="str">
        <f t="shared" si="5"/>
        <v>Brenden</v>
      </c>
      <c r="D121" s="39" t="str">
        <f t="shared" si="6"/>
        <v>Dillon</v>
      </c>
      <c r="E121" s="39" t="str">
        <f t="shared" si="7"/>
        <v>Brenden Dillon</v>
      </c>
      <c r="F121" t="s">
        <v>1022</v>
      </c>
      <c r="G121" t="s">
        <v>380</v>
      </c>
      <c r="H121" s="292">
        <v>3270000</v>
      </c>
      <c r="I121" s="292">
        <v>3270000</v>
      </c>
      <c r="J121" s="292">
        <v>3900000</v>
      </c>
      <c r="K121" s="292">
        <v>3900000</v>
      </c>
      <c r="L121" s="292" t="s">
        <v>7</v>
      </c>
      <c r="M121" s="292">
        <v>0</v>
      </c>
      <c r="N121" s="292">
        <v>0</v>
      </c>
    </row>
    <row r="122" spans="1:14" x14ac:dyDescent="0.25">
      <c r="A122" t="s">
        <v>467</v>
      </c>
      <c r="B122" s="39">
        <f t="shared" si="4"/>
        <v>8</v>
      </c>
      <c r="C122" s="39" t="str">
        <f t="shared" si="5"/>
        <v>Brennan</v>
      </c>
      <c r="D122" s="39" t="str">
        <f t="shared" si="6"/>
        <v>Menell</v>
      </c>
      <c r="E122" s="39" t="str">
        <f t="shared" si="7"/>
        <v>Brennan Menell</v>
      </c>
      <c r="F122" t="s">
        <v>1025</v>
      </c>
      <c r="G122" t="s">
        <v>82</v>
      </c>
      <c r="H122" s="292">
        <v>716667</v>
      </c>
      <c r="I122" s="292">
        <v>716667</v>
      </c>
      <c r="J122" s="292">
        <v>700000</v>
      </c>
      <c r="K122" s="292">
        <v>750000</v>
      </c>
      <c r="L122" s="292" t="s">
        <v>8</v>
      </c>
      <c r="M122" s="292">
        <v>0</v>
      </c>
      <c r="N122" s="292">
        <v>0</v>
      </c>
    </row>
    <row r="123" spans="1:14" x14ac:dyDescent="0.25">
      <c r="A123" t="s">
        <v>233</v>
      </c>
      <c r="B123" s="39">
        <f t="shared" si="4"/>
        <v>6</v>
      </c>
      <c r="C123" s="39" t="str">
        <f t="shared" si="5"/>
        <v>Brent</v>
      </c>
      <c r="D123" s="39" t="str">
        <f t="shared" si="6"/>
        <v>Burns</v>
      </c>
      <c r="E123" s="39" t="str">
        <f t="shared" si="7"/>
        <v>Brent Burns</v>
      </c>
      <c r="F123" t="s">
        <v>1022</v>
      </c>
      <c r="G123" t="s">
        <v>379</v>
      </c>
      <c r="H123" s="292">
        <v>8000000</v>
      </c>
      <c r="I123" s="292">
        <v>8000000</v>
      </c>
      <c r="J123" s="292">
        <v>10000000</v>
      </c>
      <c r="K123" s="292">
        <v>10000000</v>
      </c>
      <c r="L123" s="292">
        <v>10000000</v>
      </c>
      <c r="M123" s="292">
        <v>7500000</v>
      </c>
      <c r="N123" s="292">
        <v>6500000</v>
      </c>
    </row>
    <row r="124" spans="1:14" x14ac:dyDescent="0.25">
      <c r="A124" t="s">
        <v>1057</v>
      </c>
      <c r="B124" s="39">
        <f t="shared" si="4"/>
        <v>6</v>
      </c>
      <c r="C124" s="39" t="str">
        <f t="shared" si="5"/>
        <v>Brent</v>
      </c>
      <c r="D124" s="39" t="str">
        <f t="shared" si="6"/>
        <v>Seabrook</v>
      </c>
      <c r="E124" s="39" t="str">
        <f t="shared" si="7"/>
        <v>Brent Seabrook</v>
      </c>
      <c r="F124" t="s">
        <v>1011</v>
      </c>
      <c r="G124" t="s">
        <v>379</v>
      </c>
      <c r="H124" s="292">
        <v>6875000</v>
      </c>
      <c r="I124" s="292">
        <v>6875000</v>
      </c>
      <c r="J124" s="292">
        <v>9000000</v>
      </c>
      <c r="K124" s="292">
        <v>7500000</v>
      </c>
      <c r="L124" s="292">
        <v>5000000</v>
      </c>
      <c r="M124" s="292">
        <v>6000000</v>
      </c>
      <c r="N124" s="292">
        <v>5000000</v>
      </c>
    </row>
    <row r="125" spans="1:14" x14ac:dyDescent="0.25">
      <c r="A125" t="s">
        <v>437</v>
      </c>
      <c r="B125" s="39">
        <f t="shared" si="4"/>
        <v>6</v>
      </c>
      <c r="C125" s="39" t="str">
        <f t="shared" si="5"/>
        <v>Brett</v>
      </c>
      <c r="D125" s="39" t="str">
        <f t="shared" si="6"/>
        <v>Connolly</v>
      </c>
      <c r="E125" s="39" t="str">
        <f t="shared" si="7"/>
        <v>Brett Connolly</v>
      </c>
      <c r="F125" t="s">
        <v>1013</v>
      </c>
      <c r="G125" t="s">
        <v>88</v>
      </c>
      <c r="H125" s="292">
        <v>1500000</v>
      </c>
      <c r="I125" s="292">
        <v>0</v>
      </c>
      <c r="J125" s="292">
        <v>1500000</v>
      </c>
      <c r="K125" s="292" t="s">
        <v>7</v>
      </c>
      <c r="L125" s="292">
        <v>0</v>
      </c>
      <c r="M125" s="292">
        <v>0</v>
      </c>
      <c r="N125" s="292">
        <v>0</v>
      </c>
    </row>
    <row r="126" spans="1:14" x14ac:dyDescent="0.25">
      <c r="A126" t="s">
        <v>794</v>
      </c>
      <c r="B126" s="39">
        <f t="shared" si="4"/>
        <v>6</v>
      </c>
      <c r="C126" s="39" t="str">
        <f t="shared" si="5"/>
        <v>Brett</v>
      </c>
      <c r="D126" s="39" t="str">
        <f t="shared" si="6"/>
        <v>Lernout</v>
      </c>
      <c r="E126" s="39" t="str">
        <f t="shared" si="7"/>
        <v>Brett Lernout</v>
      </c>
      <c r="F126" t="s">
        <v>1023</v>
      </c>
      <c r="G126" t="s">
        <v>379</v>
      </c>
      <c r="H126" s="292">
        <v>825000</v>
      </c>
      <c r="I126" s="292">
        <v>0</v>
      </c>
      <c r="J126" s="292">
        <v>650000</v>
      </c>
      <c r="K126" s="292" t="s">
        <v>8</v>
      </c>
      <c r="L126" s="292">
        <v>0</v>
      </c>
      <c r="M126" s="292">
        <v>0</v>
      </c>
      <c r="N126" s="292">
        <v>0</v>
      </c>
    </row>
    <row r="127" spans="1:14" x14ac:dyDescent="0.25">
      <c r="A127" t="s">
        <v>762</v>
      </c>
      <c r="B127" s="39">
        <f t="shared" si="4"/>
        <v>6</v>
      </c>
      <c r="C127" s="39" t="str">
        <f t="shared" si="5"/>
        <v>Brett</v>
      </c>
      <c r="D127" s="39" t="str">
        <f t="shared" si="6"/>
        <v>Pollock</v>
      </c>
      <c r="E127" s="39" t="str">
        <f t="shared" si="7"/>
        <v>Brett Pollock</v>
      </c>
      <c r="F127" t="s">
        <v>1031</v>
      </c>
      <c r="G127" t="s">
        <v>73</v>
      </c>
      <c r="H127" s="292">
        <v>894167</v>
      </c>
      <c r="I127" s="292">
        <v>0</v>
      </c>
      <c r="J127" s="292">
        <v>700000</v>
      </c>
      <c r="K127" s="292" t="s">
        <v>8</v>
      </c>
      <c r="L127" s="292">
        <v>0</v>
      </c>
      <c r="M127" s="292">
        <v>0</v>
      </c>
      <c r="N127" s="292">
        <v>0</v>
      </c>
    </row>
    <row r="128" spans="1:14" x14ac:dyDescent="0.25">
      <c r="A128" t="s">
        <v>595</v>
      </c>
      <c r="B128" s="39">
        <f t="shared" si="4"/>
        <v>6</v>
      </c>
      <c r="C128" s="39" t="str">
        <f t="shared" si="5"/>
        <v>Brett</v>
      </c>
      <c r="D128" s="39" t="str">
        <f t="shared" si="6"/>
        <v>Ritchie</v>
      </c>
      <c r="E128" s="39" t="str">
        <f t="shared" si="7"/>
        <v>Brett Ritchie</v>
      </c>
      <c r="F128" t="s">
        <v>1015</v>
      </c>
      <c r="G128" t="s">
        <v>88</v>
      </c>
      <c r="H128" s="292">
        <v>1750000</v>
      </c>
      <c r="I128" s="292">
        <v>0</v>
      </c>
      <c r="J128" s="292">
        <v>1800000</v>
      </c>
      <c r="K128" s="292" t="s">
        <v>8</v>
      </c>
      <c r="L128" s="292">
        <v>0</v>
      </c>
      <c r="M128" s="292">
        <v>0</v>
      </c>
      <c r="N128" s="292">
        <v>0</v>
      </c>
    </row>
    <row r="129" spans="1:14" x14ac:dyDescent="0.25">
      <c r="A129" t="s">
        <v>951</v>
      </c>
      <c r="B129" s="39">
        <f t="shared" si="4"/>
        <v>6</v>
      </c>
      <c r="C129" s="39" t="str">
        <f t="shared" si="5"/>
        <v>Brian</v>
      </c>
      <c r="D129" s="39" t="str">
        <f t="shared" si="6"/>
        <v>Boyle</v>
      </c>
      <c r="E129" s="39" t="str">
        <f t="shared" si="7"/>
        <v>Brian Boyle</v>
      </c>
      <c r="F129" t="s">
        <v>1038</v>
      </c>
      <c r="G129" t="s">
        <v>73</v>
      </c>
      <c r="H129" s="292">
        <v>2750000</v>
      </c>
      <c r="I129" s="292">
        <v>0</v>
      </c>
      <c r="J129" s="292">
        <v>2500000</v>
      </c>
      <c r="K129" s="292" t="s">
        <v>7</v>
      </c>
      <c r="L129" s="292">
        <v>0</v>
      </c>
      <c r="M129" s="292">
        <v>0</v>
      </c>
      <c r="N129" s="292">
        <v>0</v>
      </c>
    </row>
    <row r="130" spans="1:14" x14ac:dyDescent="0.25">
      <c r="A130" t="s">
        <v>424</v>
      </c>
      <c r="B130" s="39">
        <f t="shared" si="4"/>
        <v>6</v>
      </c>
      <c r="C130" s="39" t="str">
        <f t="shared" si="5"/>
        <v>Brian</v>
      </c>
      <c r="D130" s="39" t="str">
        <f t="shared" si="6"/>
        <v>Dumoulin</v>
      </c>
      <c r="E130" s="39" t="str">
        <f t="shared" si="7"/>
        <v>Brian Dumoulin</v>
      </c>
      <c r="F130" t="s">
        <v>1014</v>
      </c>
      <c r="G130" t="s">
        <v>380</v>
      </c>
      <c r="H130" s="292">
        <v>4099999</v>
      </c>
      <c r="I130" s="292">
        <v>4099999</v>
      </c>
      <c r="J130" s="292">
        <v>4099999</v>
      </c>
      <c r="K130" s="292">
        <v>4099999</v>
      </c>
      <c r="L130" s="292">
        <v>4099999</v>
      </c>
      <c r="M130" s="292">
        <v>4099999</v>
      </c>
      <c r="N130" s="292">
        <v>4099999</v>
      </c>
    </row>
    <row r="131" spans="1:14" x14ac:dyDescent="0.25">
      <c r="A131" t="s">
        <v>885</v>
      </c>
      <c r="B131" s="39">
        <f t="shared" ref="B131:B194" si="8">SEARCH(" ",A131,1)</f>
        <v>6</v>
      </c>
      <c r="C131" s="39" t="str">
        <f t="shared" ref="C131:C194" si="9">LEFT(A131,B131-1)</f>
        <v>Brian</v>
      </c>
      <c r="D131" s="39" t="str">
        <f t="shared" ref="D131:D194" si="10">MID(A131,B131+1,LEN(A131)-B131)</f>
        <v>Elliott</v>
      </c>
      <c r="E131" s="39" t="str">
        <f t="shared" ref="E131:E194" si="11">C131&amp;" "&amp;D131</f>
        <v>Brian Elliott</v>
      </c>
      <c r="F131" t="s">
        <v>1021</v>
      </c>
      <c r="G131" t="s">
        <v>127</v>
      </c>
      <c r="H131" s="292">
        <v>2750000</v>
      </c>
      <c r="I131" s="292">
        <v>0</v>
      </c>
      <c r="J131" s="292">
        <v>3000000</v>
      </c>
      <c r="K131" s="292" t="s">
        <v>7</v>
      </c>
      <c r="L131" s="292">
        <v>0</v>
      </c>
      <c r="M131" s="292">
        <v>0</v>
      </c>
      <c r="N131" s="292">
        <v>0</v>
      </c>
    </row>
    <row r="132" spans="1:14" x14ac:dyDescent="0.25">
      <c r="A132" t="s">
        <v>398</v>
      </c>
      <c r="B132" s="39">
        <f t="shared" si="8"/>
        <v>6</v>
      </c>
      <c r="C132" s="39" t="str">
        <f t="shared" si="9"/>
        <v>Brian</v>
      </c>
      <c r="D132" s="39" t="str">
        <f t="shared" si="10"/>
        <v>Lashoff</v>
      </c>
      <c r="E132" s="39" t="str">
        <f t="shared" si="11"/>
        <v>Brian Lashoff</v>
      </c>
      <c r="F132" t="s">
        <v>1035</v>
      </c>
      <c r="G132" t="s">
        <v>82</v>
      </c>
      <c r="H132" s="292">
        <v>650000</v>
      </c>
      <c r="I132" s="292">
        <v>0</v>
      </c>
      <c r="J132" s="292">
        <v>650000</v>
      </c>
      <c r="K132" s="292" t="s">
        <v>7</v>
      </c>
      <c r="L132" s="292">
        <v>0</v>
      </c>
      <c r="M132" s="292">
        <v>0</v>
      </c>
      <c r="N132" s="292">
        <v>0</v>
      </c>
    </row>
    <row r="133" spans="1:14" x14ac:dyDescent="0.25">
      <c r="A133" t="s">
        <v>281</v>
      </c>
      <c r="B133" s="39">
        <f t="shared" si="8"/>
        <v>6</v>
      </c>
      <c r="C133" s="39" t="str">
        <f t="shared" si="9"/>
        <v>Brock</v>
      </c>
      <c r="D133" s="39" t="str">
        <f t="shared" si="10"/>
        <v>Boeser</v>
      </c>
      <c r="E133" s="39" t="str">
        <f t="shared" si="11"/>
        <v>Brock Boeser</v>
      </c>
      <c r="F133" t="s">
        <v>1037</v>
      </c>
      <c r="G133" t="s">
        <v>88</v>
      </c>
      <c r="H133" s="292">
        <v>1491670</v>
      </c>
      <c r="I133" s="292">
        <v>0</v>
      </c>
      <c r="J133" s="292">
        <v>925000</v>
      </c>
      <c r="K133" s="292" t="s">
        <v>8</v>
      </c>
      <c r="L133" s="292">
        <v>0</v>
      </c>
      <c r="M133" s="292">
        <v>0</v>
      </c>
      <c r="N133" s="292">
        <v>0</v>
      </c>
    </row>
    <row r="134" spans="1:14" x14ac:dyDescent="0.25">
      <c r="A134" t="s">
        <v>977</v>
      </c>
      <c r="B134" s="39">
        <f t="shared" si="8"/>
        <v>6</v>
      </c>
      <c r="C134" s="39" t="str">
        <f t="shared" si="9"/>
        <v>Brock</v>
      </c>
      <c r="D134" s="39" t="str">
        <f t="shared" si="10"/>
        <v>McGinn</v>
      </c>
      <c r="E134" s="39" t="str">
        <f t="shared" si="11"/>
        <v>Brock McGinn</v>
      </c>
      <c r="F134" t="s">
        <v>1036</v>
      </c>
      <c r="G134" t="s">
        <v>93</v>
      </c>
      <c r="H134" s="292">
        <v>887500</v>
      </c>
      <c r="I134" s="292">
        <v>0</v>
      </c>
      <c r="J134" s="292">
        <v>900000</v>
      </c>
      <c r="K134" s="292" t="s">
        <v>8</v>
      </c>
      <c r="L134" s="292">
        <v>0</v>
      </c>
      <c r="M134" s="292">
        <v>0</v>
      </c>
      <c r="N134" s="292">
        <v>0</v>
      </c>
    </row>
    <row r="135" spans="1:14" x14ac:dyDescent="0.25">
      <c r="A135" t="s">
        <v>1074</v>
      </c>
      <c r="B135" s="39">
        <f t="shared" si="8"/>
        <v>7</v>
      </c>
      <c r="C135" s="39" t="str">
        <f t="shared" si="9"/>
        <v>Brooks</v>
      </c>
      <c r="D135" s="39" t="str">
        <f t="shared" si="10"/>
        <v>Orpik</v>
      </c>
      <c r="E135" s="39" t="str">
        <f t="shared" si="11"/>
        <v>Brooks Orpik</v>
      </c>
      <c r="F135" t="s">
        <v>1033</v>
      </c>
      <c r="G135" t="s">
        <v>380</v>
      </c>
      <c r="H135" s="292">
        <v>5500000</v>
      </c>
      <c r="I135" s="292">
        <v>0</v>
      </c>
      <c r="J135" s="292">
        <v>4500000</v>
      </c>
      <c r="K135" s="292" t="s">
        <v>7</v>
      </c>
      <c r="L135" s="292">
        <v>0</v>
      </c>
      <c r="M135" s="292">
        <v>0</v>
      </c>
      <c r="N135" s="292">
        <v>0</v>
      </c>
    </row>
    <row r="136" spans="1:14" x14ac:dyDescent="0.25">
      <c r="A136" t="s">
        <v>743</v>
      </c>
      <c r="B136" s="39">
        <f t="shared" si="8"/>
        <v>7</v>
      </c>
      <c r="C136" s="39" t="str">
        <f t="shared" si="9"/>
        <v>Brycen</v>
      </c>
      <c r="D136" s="39" t="str">
        <f t="shared" si="10"/>
        <v>Martin</v>
      </c>
      <c r="E136" s="39" t="str">
        <f t="shared" si="11"/>
        <v>Brycen Martin</v>
      </c>
      <c r="F136" t="s">
        <v>1039</v>
      </c>
      <c r="G136" t="s">
        <v>82</v>
      </c>
      <c r="H136" s="292">
        <v>685000</v>
      </c>
      <c r="I136" s="292">
        <v>0</v>
      </c>
      <c r="J136" s="292">
        <v>710000</v>
      </c>
      <c r="K136" s="292" t="s">
        <v>8</v>
      </c>
      <c r="L136" s="292">
        <v>0</v>
      </c>
      <c r="M136" s="292">
        <v>0</v>
      </c>
      <c r="N136" s="292">
        <v>0</v>
      </c>
    </row>
    <row r="137" spans="1:14" x14ac:dyDescent="0.25">
      <c r="A137" t="s">
        <v>796</v>
      </c>
      <c r="B137" s="39">
        <f t="shared" si="8"/>
        <v>6</v>
      </c>
      <c r="C137" s="39" t="str">
        <f t="shared" si="9"/>
        <v>Byron</v>
      </c>
      <c r="D137" s="39" t="str">
        <f t="shared" si="10"/>
        <v>Froese</v>
      </c>
      <c r="E137" s="39" t="str">
        <f t="shared" si="11"/>
        <v>Byron Froese</v>
      </c>
      <c r="F137" t="s">
        <v>1023</v>
      </c>
      <c r="G137" t="s">
        <v>73</v>
      </c>
      <c r="H137" s="292">
        <v>650000</v>
      </c>
      <c r="I137" s="292">
        <v>0</v>
      </c>
      <c r="J137" s="292">
        <v>650000</v>
      </c>
      <c r="K137" s="292" t="s">
        <v>7</v>
      </c>
      <c r="L137" s="292">
        <v>0</v>
      </c>
      <c r="M137" s="292">
        <v>0</v>
      </c>
      <c r="N137" s="292">
        <v>0</v>
      </c>
    </row>
    <row r="138" spans="1:14" x14ac:dyDescent="0.25">
      <c r="A138" t="s">
        <v>1105</v>
      </c>
      <c r="B138" s="39">
        <f t="shared" si="8"/>
        <v>4</v>
      </c>
      <c r="C138" s="39" t="str">
        <f t="shared" si="9"/>
        <v>Cal</v>
      </c>
      <c r="D138" s="39" t="str">
        <f t="shared" si="10"/>
        <v>Clutterbuck</v>
      </c>
      <c r="E138" s="39" t="str">
        <f t="shared" si="11"/>
        <v>Cal Clutterbuck</v>
      </c>
      <c r="F138" t="s">
        <v>1040</v>
      </c>
      <c r="G138" t="s">
        <v>88</v>
      </c>
      <c r="H138" s="292">
        <v>3500000</v>
      </c>
      <c r="I138" s="292">
        <v>3500000</v>
      </c>
      <c r="J138" s="292">
        <v>4000000</v>
      </c>
      <c r="K138" s="292">
        <v>3500000</v>
      </c>
      <c r="L138" s="292">
        <v>2500000</v>
      </c>
      <c r="M138" s="292">
        <v>2500000</v>
      </c>
      <c r="N138" s="292" t="s">
        <v>7</v>
      </c>
    </row>
    <row r="139" spans="1:14" x14ac:dyDescent="0.25">
      <c r="A139" t="s">
        <v>468</v>
      </c>
      <c r="B139" s="39">
        <f t="shared" si="8"/>
        <v>4</v>
      </c>
      <c r="C139" s="39" t="str">
        <f t="shared" si="9"/>
        <v>Cal</v>
      </c>
      <c r="D139" s="39" t="str">
        <f t="shared" si="10"/>
        <v>O'Reilly</v>
      </c>
      <c r="E139" s="39" t="str">
        <f t="shared" si="11"/>
        <v>Cal O'Reilly</v>
      </c>
      <c r="F139" t="s">
        <v>1025</v>
      </c>
      <c r="G139" t="s">
        <v>73</v>
      </c>
      <c r="H139" s="292">
        <v>700000</v>
      </c>
      <c r="I139" s="292">
        <v>0</v>
      </c>
      <c r="J139" s="292">
        <v>700000</v>
      </c>
      <c r="K139" s="292" t="s">
        <v>7</v>
      </c>
      <c r="L139" s="292">
        <v>0</v>
      </c>
      <c r="M139" s="292">
        <v>0</v>
      </c>
      <c r="N139" s="292">
        <v>0</v>
      </c>
    </row>
    <row r="140" spans="1:14" x14ac:dyDescent="0.25">
      <c r="A140" t="s">
        <v>500</v>
      </c>
      <c r="B140" s="39">
        <f t="shared" si="8"/>
        <v>4</v>
      </c>
      <c r="C140" s="39" t="str">
        <f t="shared" si="9"/>
        <v>Cal</v>
      </c>
      <c r="D140" s="39" t="str">
        <f t="shared" si="10"/>
        <v>Petersen</v>
      </c>
      <c r="E140" s="39" t="str">
        <f t="shared" si="11"/>
        <v>Cal Petersen</v>
      </c>
      <c r="F140" t="s">
        <v>1012</v>
      </c>
      <c r="G140" t="s">
        <v>127</v>
      </c>
      <c r="H140" s="292">
        <v>925000</v>
      </c>
      <c r="I140" s="292">
        <v>0</v>
      </c>
      <c r="J140" s="292">
        <v>925000</v>
      </c>
      <c r="K140" s="292" t="s">
        <v>8</v>
      </c>
      <c r="L140" s="292">
        <v>0</v>
      </c>
      <c r="M140" s="292">
        <v>0</v>
      </c>
      <c r="N140" s="292">
        <v>0</v>
      </c>
    </row>
    <row r="141" spans="1:14" x14ac:dyDescent="0.25">
      <c r="A141" t="s">
        <v>567</v>
      </c>
      <c r="B141" s="39">
        <f t="shared" si="8"/>
        <v>6</v>
      </c>
      <c r="C141" s="39" t="str">
        <f t="shared" si="9"/>
        <v>Caleb</v>
      </c>
      <c r="D141" s="39" t="str">
        <f t="shared" si="10"/>
        <v>Jones</v>
      </c>
      <c r="E141" s="39" t="str">
        <f t="shared" si="11"/>
        <v>Caleb Jones</v>
      </c>
      <c r="F141" t="s">
        <v>1020</v>
      </c>
      <c r="G141" t="s">
        <v>82</v>
      </c>
      <c r="H141" s="292">
        <v>790000</v>
      </c>
      <c r="I141" s="292">
        <v>790000</v>
      </c>
      <c r="J141" s="292">
        <v>730000</v>
      </c>
      <c r="K141" s="292">
        <v>700000</v>
      </c>
      <c r="L141" s="292" t="s">
        <v>8</v>
      </c>
      <c r="M141" s="292">
        <v>0</v>
      </c>
      <c r="N141" s="292">
        <v>0</v>
      </c>
    </row>
    <row r="142" spans="1:14" x14ac:dyDescent="0.25">
      <c r="A142" t="s">
        <v>1110</v>
      </c>
      <c r="B142" s="39">
        <f t="shared" si="8"/>
        <v>6</v>
      </c>
      <c r="C142" s="39" t="str">
        <f t="shared" si="9"/>
        <v>Calle</v>
      </c>
      <c r="D142" s="39" t="str">
        <f t="shared" si="10"/>
        <v>Jarnkrok</v>
      </c>
      <c r="E142" s="39" t="str">
        <f t="shared" si="11"/>
        <v>Calle Jarnkrok</v>
      </c>
      <c r="F142" t="s">
        <v>1016</v>
      </c>
      <c r="G142" t="s">
        <v>73</v>
      </c>
      <c r="H142" s="292">
        <v>2000000</v>
      </c>
      <c r="I142" s="292">
        <v>2000000</v>
      </c>
      <c r="J142" s="292">
        <v>2100000</v>
      </c>
      <c r="K142" s="292">
        <v>2200000</v>
      </c>
      <c r="L142" s="292">
        <v>2200000</v>
      </c>
      <c r="M142" s="292">
        <v>2000000</v>
      </c>
      <c r="N142" s="292" t="s">
        <v>7</v>
      </c>
    </row>
    <row r="143" spans="1:14" x14ac:dyDescent="0.25">
      <c r="A143" t="s">
        <v>1112</v>
      </c>
      <c r="B143" s="39">
        <f t="shared" si="8"/>
        <v>6</v>
      </c>
      <c r="C143" s="39" t="str">
        <f t="shared" si="9"/>
        <v>Calle</v>
      </c>
      <c r="D143" s="39" t="str">
        <f t="shared" si="10"/>
        <v>Rosen</v>
      </c>
      <c r="E143" s="39" t="str">
        <f t="shared" si="11"/>
        <v>Calle Rosen</v>
      </c>
      <c r="F143" t="s">
        <v>1034</v>
      </c>
      <c r="G143" t="s">
        <v>82</v>
      </c>
      <c r="H143" s="292">
        <v>1775000</v>
      </c>
      <c r="I143" s="292">
        <v>0</v>
      </c>
      <c r="J143" s="292">
        <v>925000</v>
      </c>
      <c r="K143" s="292" t="s">
        <v>8</v>
      </c>
      <c r="L143" s="292">
        <v>0</v>
      </c>
      <c r="M143" s="292">
        <v>0</v>
      </c>
      <c r="N143" s="292">
        <v>0</v>
      </c>
    </row>
    <row r="144" spans="1:14" x14ac:dyDescent="0.25">
      <c r="A144" t="s">
        <v>988</v>
      </c>
      <c r="B144" s="39">
        <f t="shared" si="8"/>
        <v>7</v>
      </c>
      <c r="C144" s="39" t="str">
        <f t="shared" si="9"/>
        <v>Callum</v>
      </c>
      <c r="D144" s="39" t="str">
        <f t="shared" si="10"/>
        <v>Booth</v>
      </c>
      <c r="E144" s="39" t="str">
        <f t="shared" si="11"/>
        <v>Callum Booth</v>
      </c>
      <c r="F144" t="s">
        <v>1036</v>
      </c>
      <c r="G144" t="s">
        <v>127</v>
      </c>
      <c r="H144" s="292">
        <v>758333</v>
      </c>
      <c r="I144" s="292">
        <v>758333</v>
      </c>
      <c r="J144" s="292">
        <v>725000</v>
      </c>
      <c r="K144" s="292">
        <v>775000</v>
      </c>
      <c r="L144" s="292" t="s">
        <v>8</v>
      </c>
      <c r="M144" s="292">
        <v>0</v>
      </c>
      <c r="N144" s="292">
        <v>0</v>
      </c>
    </row>
    <row r="145" spans="1:14" x14ac:dyDescent="0.25">
      <c r="A145" t="s">
        <v>1144</v>
      </c>
      <c r="B145" s="39">
        <f t="shared" si="8"/>
        <v>7</v>
      </c>
      <c r="C145" s="39" t="str">
        <f t="shared" si="9"/>
        <v>Calvin</v>
      </c>
      <c r="D145" s="39" t="str">
        <f t="shared" si="10"/>
        <v>Thurkauf</v>
      </c>
      <c r="E145" s="39" t="str">
        <f t="shared" si="11"/>
        <v>Calvin Thurkauf</v>
      </c>
      <c r="F145" t="s">
        <v>1028</v>
      </c>
      <c r="G145" t="s">
        <v>73</v>
      </c>
      <c r="H145" s="292">
        <v>738333</v>
      </c>
      <c r="I145" s="292">
        <v>0</v>
      </c>
      <c r="J145" s="292">
        <v>775000</v>
      </c>
      <c r="K145" s="292" t="s">
        <v>8</v>
      </c>
      <c r="L145" s="292">
        <v>0</v>
      </c>
      <c r="M145" s="292">
        <v>0</v>
      </c>
      <c r="N145" s="292">
        <v>0</v>
      </c>
    </row>
    <row r="146" spans="1:14" x14ac:dyDescent="0.25">
      <c r="A146" t="s">
        <v>853</v>
      </c>
      <c r="B146" s="39">
        <f t="shared" si="8"/>
        <v>4</v>
      </c>
      <c r="C146" s="39" t="str">
        <f t="shared" si="9"/>
        <v>Cam</v>
      </c>
      <c r="D146" s="39" t="str">
        <f t="shared" si="10"/>
        <v>Dineen</v>
      </c>
      <c r="E146" s="39" t="str">
        <f t="shared" si="11"/>
        <v>Cam Dineen</v>
      </c>
      <c r="F146" t="s">
        <v>1032</v>
      </c>
      <c r="G146" t="s">
        <v>82</v>
      </c>
      <c r="H146" s="292">
        <v>925000</v>
      </c>
      <c r="I146" s="292">
        <v>925000</v>
      </c>
      <c r="J146" s="292">
        <v>742500</v>
      </c>
      <c r="K146" s="292">
        <v>792500</v>
      </c>
      <c r="L146" s="292" t="s">
        <v>8</v>
      </c>
      <c r="M146" s="292">
        <v>0</v>
      </c>
      <c r="N146" s="292">
        <v>0</v>
      </c>
    </row>
    <row r="147" spans="1:14" x14ac:dyDescent="0.25">
      <c r="A147" t="s">
        <v>235</v>
      </c>
      <c r="B147" s="39">
        <f t="shared" si="8"/>
        <v>4</v>
      </c>
      <c r="C147" s="39" t="str">
        <f t="shared" si="9"/>
        <v>Cam</v>
      </c>
      <c r="D147" s="39" t="str">
        <f t="shared" si="10"/>
        <v>Talbot</v>
      </c>
      <c r="E147" s="39" t="str">
        <f t="shared" si="11"/>
        <v>Cam Talbot</v>
      </c>
      <c r="F147" t="s">
        <v>1020</v>
      </c>
      <c r="G147" t="s">
        <v>127</v>
      </c>
      <c r="H147" s="292">
        <v>4166670</v>
      </c>
      <c r="I147" s="292">
        <v>0</v>
      </c>
      <c r="J147" s="292">
        <v>4200000</v>
      </c>
      <c r="K147" s="292" t="s">
        <v>7</v>
      </c>
      <c r="L147" s="292">
        <v>0</v>
      </c>
      <c r="M147" s="292">
        <v>0</v>
      </c>
      <c r="N147" s="292">
        <v>0</v>
      </c>
    </row>
    <row r="148" spans="1:14" x14ac:dyDescent="0.25">
      <c r="A148" t="s">
        <v>1127</v>
      </c>
      <c r="B148" s="39">
        <f t="shared" si="8"/>
        <v>5</v>
      </c>
      <c r="C148" s="39" t="str">
        <f t="shared" si="9"/>
        <v>Carl</v>
      </c>
      <c r="D148" s="39" t="str">
        <f t="shared" si="10"/>
        <v>Dahlstrom</v>
      </c>
      <c r="E148" s="39" t="str">
        <f t="shared" si="11"/>
        <v>Carl Dahlstrom</v>
      </c>
      <c r="F148" t="s">
        <v>1011</v>
      </c>
      <c r="G148" t="s">
        <v>82</v>
      </c>
      <c r="H148" s="292">
        <v>925000</v>
      </c>
      <c r="I148" s="292">
        <v>0</v>
      </c>
      <c r="J148" s="292">
        <v>817500</v>
      </c>
      <c r="K148" s="292" t="s">
        <v>8</v>
      </c>
      <c r="L148" s="292">
        <v>0</v>
      </c>
      <c r="M148" s="292">
        <v>0</v>
      </c>
      <c r="N148" s="292">
        <v>0</v>
      </c>
    </row>
    <row r="149" spans="1:14" x14ac:dyDescent="0.25">
      <c r="A149" t="s">
        <v>405</v>
      </c>
      <c r="B149" s="39">
        <f t="shared" si="8"/>
        <v>5</v>
      </c>
      <c r="C149" s="39" t="str">
        <f t="shared" si="9"/>
        <v>Carl</v>
      </c>
      <c r="D149" s="39" t="str">
        <f t="shared" si="10"/>
        <v>Gunnarsson</v>
      </c>
      <c r="E149" s="39" t="str">
        <f t="shared" si="11"/>
        <v>Carl Gunnarsson</v>
      </c>
      <c r="F149" t="s">
        <v>1026</v>
      </c>
      <c r="G149" t="s">
        <v>380</v>
      </c>
      <c r="H149" s="292">
        <v>2900000</v>
      </c>
      <c r="I149" s="292">
        <v>0</v>
      </c>
      <c r="J149" s="292">
        <v>2900000</v>
      </c>
      <c r="K149" s="292" t="s">
        <v>7</v>
      </c>
      <c r="L149" s="292">
        <v>0</v>
      </c>
      <c r="M149" s="292">
        <v>0</v>
      </c>
      <c r="N149" s="292">
        <v>0</v>
      </c>
    </row>
    <row r="150" spans="1:14" x14ac:dyDescent="0.25">
      <c r="A150" t="s">
        <v>422</v>
      </c>
      <c r="B150" s="39">
        <f t="shared" si="8"/>
        <v>5</v>
      </c>
      <c r="C150" s="39" t="str">
        <f t="shared" si="9"/>
        <v>Carl</v>
      </c>
      <c r="D150" s="39" t="str">
        <f t="shared" si="10"/>
        <v>Hagelin</v>
      </c>
      <c r="E150" s="39" t="str">
        <f t="shared" si="11"/>
        <v>Carl Hagelin</v>
      </c>
      <c r="F150" t="s">
        <v>1014</v>
      </c>
      <c r="G150" t="s">
        <v>93</v>
      </c>
      <c r="H150" s="292">
        <v>4000000</v>
      </c>
      <c r="I150" s="292">
        <v>0</v>
      </c>
      <c r="J150" s="292">
        <v>3666000</v>
      </c>
      <c r="K150" s="292" t="s">
        <v>7</v>
      </c>
      <c r="L150" s="292">
        <v>0</v>
      </c>
      <c r="M150" s="292">
        <v>0</v>
      </c>
      <c r="N150" s="292">
        <v>0</v>
      </c>
    </row>
    <row r="151" spans="1:14" x14ac:dyDescent="0.25">
      <c r="A151" t="s">
        <v>1088</v>
      </c>
      <c r="B151" s="39">
        <f t="shared" si="8"/>
        <v>5</v>
      </c>
      <c r="C151" s="39" t="str">
        <f t="shared" si="9"/>
        <v>Carl</v>
      </c>
      <c r="D151" s="39" t="str">
        <f t="shared" si="10"/>
        <v>Soderberg</v>
      </c>
      <c r="E151" s="39" t="str">
        <f t="shared" si="11"/>
        <v>Carl Soderberg</v>
      </c>
      <c r="F151" t="s">
        <v>1033</v>
      </c>
      <c r="G151" t="s">
        <v>73</v>
      </c>
      <c r="H151" s="292">
        <v>4750000</v>
      </c>
      <c r="I151" s="292">
        <v>4750000</v>
      </c>
      <c r="J151" s="292">
        <v>5000000</v>
      </c>
      <c r="K151" s="292">
        <v>4000000</v>
      </c>
      <c r="L151" s="292" t="s">
        <v>7</v>
      </c>
      <c r="M151" s="292">
        <v>0</v>
      </c>
      <c r="N151" s="292">
        <v>0</v>
      </c>
    </row>
    <row r="152" spans="1:14" x14ac:dyDescent="0.25">
      <c r="A152" t="s">
        <v>463</v>
      </c>
      <c r="B152" s="39">
        <f t="shared" si="8"/>
        <v>7</v>
      </c>
      <c r="C152" s="39" t="str">
        <f t="shared" si="9"/>
        <v>Carson</v>
      </c>
      <c r="D152" s="39" t="str">
        <f t="shared" si="10"/>
        <v>Soucy</v>
      </c>
      <c r="E152" s="39" t="str">
        <f t="shared" si="11"/>
        <v>Carson Soucy</v>
      </c>
      <c r="F152" t="s">
        <v>1025</v>
      </c>
      <c r="G152" t="s">
        <v>380</v>
      </c>
      <c r="H152" s="292">
        <v>925000</v>
      </c>
      <c r="I152" s="292">
        <v>0</v>
      </c>
      <c r="J152" s="292">
        <v>925000</v>
      </c>
      <c r="K152" s="292" t="s">
        <v>8</v>
      </c>
      <c r="L152" s="292">
        <v>0</v>
      </c>
      <c r="M152" s="292">
        <v>0</v>
      </c>
      <c r="N152" s="292">
        <v>0</v>
      </c>
    </row>
    <row r="153" spans="1:14" x14ac:dyDescent="0.25">
      <c r="A153" t="s">
        <v>893</v>
      </c>
      <c r="B153" s="39">
        <f t="shared" si="8"/>
        <v>7</v>
      </c>
      <c r="C153" s="39" t="str">
        <f t="shared" si="9"/>
        <v>Carter</v>
      </c>
      <c r="D153" s="39" t="str">
        <f t="shared" si="10"/>
        <v>Hart</v>
      </c>
      <c r="E153" s="39" t="str">
        <f t="shared" si="11"/>
        <v>Carter Hart</v>
      </c>
      <c r="F153" t="s">
        <v>1021</v>
      </c>
      <c r="G153" t="s">
        <v>127</v>
      </c>
      <c r="H153" s="292">
        <v>925000</v>
      </c>
      <c r="I153" s="292">
        <v>0</v>
      </c>
      <c r="J153" s="292">
        <v>842500</v>
      </c>
      <c r="K153" s="292" t="s">
        <v>8</v>
      </c>
      <c r="L153" s="292">
        <v>0</v>
      </c>
      <c r="M153" s="292">
        <v>0</v>
      </c>
      <c r="N153" s="292">
        <v>0</v>
      </c>
    </row>
    <row r="154" spans="1:14" x14ac:dyDescent="0.25">
      <c r="A154" t="s">
        <v>898</v>
      </c>
      <c r="B154" s="39">
        <f t="shared" si="8"/>
        <v>6</v>
      </c>
      <c r="C154" s="39" t="str">
        <f t="shared" si="9"/>
        <v>Casey</v>
      </c>
      <c r="D154" s="39" t="str">
        <f t="shared" si="10"/>
        <v>Cizikas</v>
      </c>
      <c r="E154" s="39" t="str">
        <f t="shared" si="11"/>
        <v>Casey Cizikas</v>
      </c>
      <c r="F154" t="s">
        <v>1040</v>
      </c>
      <c r="G154" t="s">
        <v>73</v>
      </c>
      <c r="H154" s="292">
        <v>3350000</v>
      </c>
      <c r="I154" s="292">
        <v>3350000</v>
      </c>
      <c r="J154" s="292">
        <v>3500000</v>
      </c>
      <c r="K154" s="292">
        <v>3750000</v>
      </c>
      <c r="L154" s="292">
        <v>4000000</v>
      </c>
      <c r="M154" s="292" t="s">
        <v>7</v>
      </c>
      <c r="N154" s="292">
        <v>0</v>
      </c>
    </row>
    <row r="155" spans="1:14" x14ac:dyDescent="0.25">
      <c r="A155" t="s">
        <v>426</v>
      </c>
      <c r="B155" s="39">
        <f t="shared" si="8"/>
        <v>6</v>
      </c>
      <c r="C155" s="39" t="str">
        <f t="shared" si="9"/>
        <v>Casey</v>
      </c>
      <c r="D155" s="39" t="str">
        <f t="shared" si="10"/>
        <v>DeSmith</v>
      </c>
      <c r="E155" s="39" t="str">
        <f t="shared" si="11"/>
        <v>Casey DeSmith</v>
      </c>
      <c r="F155" t="s">
        <v>1014</v>
      </c>
      <c r="G155" t="s">
        <v>127</v>
      </c>
      <c r="H155" s="292">
        <v>675000</v>
      </c>
      <c r="I155" s="292">
        <v>0</v>
      </c>
      <c r="J155" s="292">
        <v>650000</v>
      </c>
      <c r="K155" s="292" t="s">
        <v>7</v>
      </c>
      <c r="L155" s="292">
        <v>0</v>
      </c>
      <c r="M155" s="292">
        <v>0</v>
      </c>
      <c r="N155" s="292">
        <v>0</v>
      </c>
    </row>
    <row r="156" spans="1:14" x14ac:dyDescent="0.25">
      <c r="A156" t="s">
        <v>590</v>
      </c>
      <c r="B156" s="39">
        <f t="shared" si="8"/>
        <v>6</v>
      </c>
      <c r="C156" s="39" t="str">
        <f t="shared" si="9"/>
        <v>Cavan</v>
      </c>
      <c r="D156" s="39" t="str">
        <f t="shared" si="10"/>
        <v>Fitzgerald</v>
      </c>
      <c r="E156" s="39" t="str">
        <f t="shared" si="11"/>
        <v>Cavan Fitzgerald</v>
      </c>
      <c r="F156" t="s">
        <v>1022</v>
      </c>
      <c r="G156" t="s">
        <v>82</v>
      </c>
      <c r="H156" s="292">
        <v>656667</v>
      </c>
      <c r="I156" s="292">
        <v>0</v>
      </c>
      <c r="J156" s="292">
        <v>650000</v>
      </c>
      <c r="K156" s="292" t="s">
        <v>8</v>
      </c>
      <c r="L156" s="292">
        <v>0</v>
      </c>
      <c r="M156" s="292">
        <v>0</v>
      </c>
      <c r="N156" s="292">
        <v>0</v>
      </c>
    </row>
    <row r="157" spans="1:14" x14ac:dyDescent="0.25">
      <c r="A157" t="s">
        <v>425</v>
      </c>
      <c r="B157" s="39">
        <f t="shared" si="8"/>
        <v>5</v>
      </c>
      <c r="C157" s="39" t="str">
        <f t="shared" si="9"/>
        <v>Chad</v>
      </c>
      <c r="D157" s="39" t="str">
        <f t="shared" si="10"/>
        <v>Ruhwedel</v>
      </c>
      <c r="E157" s="39" t="str">
        <f t="shared" si="11"/>
        <v>Chad Ruhwedel</v>
      </c>
      <c r="F157" t="s">
        <v>1014</v>
      </c>
      <c r="G157" t="s">
        <v>379</v>
      </c>
      <c r="H157" s="292">
        <v>650000</v>
      </c>
      <c r="I157" s="292">
        <v>0</v>
      </c>
      <c r="J157" s="292">
        <v>650000</v>
      </c>
      <c r="K157" s="292" t="s">
        <v>7</v>
      </c>
      <c r="L157" s="292">
        <v>0</v>
      </c>
      <c r="M157" s="292">
        <v>0</v>
      </c>
      <c r="N157" s="292">
        <v>0</v>
      </c>
    </row>
    <row r="158" spans="1:14" x14ac:dyDescent="0.25">
      <c r="A158" t="s">
        <v>438</v>
      </c>
      <c r="B158" s="39">
        <f t="shared" si="8"/>
        <v>9</v>
      </c>
      <c r="C158" s="39" t="str">
        <f t="shared" si="9"/>
        <v>Chandler</v>
      </c>
      <c r="D158" s="39" t="str">
        <f t="shared" si="10"/>
        <v>Stephenson</v>
      </c>
      <c r="E158" s="39" t="str">
        <f t="shared" si="11"/>
        <v>Chandler Stephenson</v>
      </c>
      <c r="F158" t="s">
        <v>1013</v>
      </c>
      <c r="G158" t="s">
        <v>73</v>
      </c>
      <c r="H158" s="292">
        <v>650000</v>
      </c>
      <c r="I158" s="292">
        <v>0</v>
      </c>
      <c r="J158" s="292">
        <v>650000</v>
      </c>
      <c r="K158" s="292" t="s">
        <v>8</v>
      </c>
      <c r="L158" s="292">
        <v>0</v>
      </c>
      <c r="M158" s="292">
        <v>0</v>
      </c>
      <c r="N158" s="292">
        <v>0</v>
      </c>
    </row>
    <row r="159" spans="1:14" x14ac:dyDescent="0.25">
      <c r="A159" t="s">
        <v>781</v>
      </c>
      <c r="B159" s="39">
        <f t="shared" si="8"/>
        <v>8</v>
      </c>
      <c r="C159" s="39" t="str">
        <f t="shared" si="9"/>
        <v>Charles</v>
      </c>
      <c r="D159" s="39" t="str">
        <f t="shared" si="10"/>
        <v>Hudon</v>
      </c>
      <c r="E159" s="39" t="str">
        <f t="shared" si="11"/>
        <v>Charles Hudon</v>
      </c>
      <c r="F159" t="s">
        <v>1023</v>
      </c>
      <c r="G159" t="s">
        <v>93</v>
      </c>
      <c r="H159" s="292">
        <v>650000</v>
      </c>
      <c r="I159" s="292">
        <v>0</v>
      </c>
      <c r="J159" s="292">
        <v>650000</v>
      </c>
      <c r="K159" s="292" t="s">
        <v>8</v>
      </c>
      <c r="L159" s="292">
        <v>0</v>
      </c>
      <c r="M159" s="292">
        <v>0</v>
      </c>
      <c r="N159" s="292">
        <v>0</v>
      </c>
    </row>
    <row r="160" spans="1:14" x14ac:dyDescent="0.25">
      <c r="A160" t="s">
        <v>347</v>
      </c>
      <c r="B160" s="39">
        <f t="shared" si="8"/>
        <v>8</v>
      </c>
      <c r="C160" s="39" t="str">
        <f t="shared" si="9"/>
        <v>Charlie</v>
      </c>
      <c r="D160" s="39" t="str">
        <f t="shared" si="10"/>
        <v>Coyle</v>
      </c>
      <c r="E160" s="39" t="str">
        <f t="shared" si="11"/>
        <v>Charlie Coyle</v>
      </c>
      <c r="F160" t="s">
        <v>1025</v>
      </c>
      <c r="G160" t="s">
        <v>88</v>
      </c>
      <c r="H160" s="292">
        <v>3200000</v>
      </c>
      <c r="I160" s="292">
        <v>3200000</v>
      </c>
      <c r="J160" s="292">
        <v>3750000</v>
      </c>
      <c r="K160" s="292">
        <v>4250000</v>
      </c>
      <c r="L160" s="292" t="s">
        <v>7</v>
      </c>
      <c r="M160" s="292">
        <v>0</v>
      </c>
      <c r="N160" s="292">
        <v>0</v>
      </c>
    </row>
    <row r="161" spans="1:14" x14ac:dyDescent="0.25">
      <c r="A161" t="s">
        <v>542</v>
      </c>
      <c r="B161" s="39">
        <f t="shared" si="8"/>
        <v>8</v>
      </c>
      <c r="C161" s="39" t="str">
        <f t="shared" si="9"/>
        <v>Charlie</v>
      </c>
      <c r="D161" s="39" t="str">
        <f t="shared" si="10"/>
        <v>McAvoy</v>
      </c>
      <c r="E161" s="39" t="str">
        <f t="shared" si="11"/>
        <v>Charlie McAvoy</v>
      </c>
      <c r="F161" t="s">
        <v>1030</v>
      </c>
      <c r="G161" t="s">
        <v>379</v>
      </c>
      <c r="H161" s="292">
        <v>1258330</v>
      </c>
      <c r="I161" s="292">
        <v>0</v>
      </c>
      <c r="J161" s="292">
        <v>925000</v>
      </c>
      <c r="K161" s="292" t="s">
        <v>8</v>
      </c>
      <c r="L161" s="292">
        <v>0</v>
      </c>
      <c r="M161" s="292">
        <v>0</v>
      </c>
      <c r="N161" s="292">
        <v>0</v>
      </c>
    </row>
    <row r="162" spans="1:14" x14ac:dyDescent="0.25">
      <c r="A162" t="s">
        <v>470</v>
      </c>
      <c r="B162" s="39">
        <f t="shared" si="8"/>
        <v>6</v>
      </c>
      <c r="C162" s="39" t="str">
        <f t="shared" si="9"/>
        <v>Chase</v>
      </c>
      <c r="D162" s="39" t="str">
        <f t="shared" si="10"/>
        <v>Lang</v>
      </c>
      <c r="E162" s="39" t="str">
        <f t="shared" si="11"/>
        <v>Chase Lang</v>
      </c>
      <c r="F162" t="s">
        <v>1025</v>
      </c>
      <c r="G162" t="s">
        <v>73</v>
      </c>
      <c r="H162" s="292">
        <v>686667</v>
      </c>
      <c r="I162" s="292">
        <v>0</v>
      </c>
      <c r="J162" s="292">
        <v>710000</v>
      </c>
      <c r="K162" s="292" t="s">
        <v>8</v>
      </c>
      <c r="L162" s="292">
        <v>0</v>
      </c>
      <c r="M162" s="292">
        <v>0</v>
      </c>
      <c r="N162" s="292">
        <v>0</v>
      </c>
    </row>
    <row r="163" spans="1:14" x14ac:dyDescent="0.25">
      <c r="A163" t="s">
        <v>506</v>
      </c>
      <c r="B163" s="39">
        <f t="shared" si="8"/>
        <v>5</v>
      </c>
      <c r="C163" s="39" t="str">
        <f t="shared" si="9"/>
        <v>Chaz</v>
      </c>
      <c r="D163" s="39" t="str">
        <f t="shared" si="10"/>
        <v>Reddekopp</v>
      </c>
      <c r="E163" s="39" t="str">
        <f t="shared" si="11"/>
        <v>Chaz Reddekopp</v>
      </c>
      <c r="F163" t="s">
        <v>1012</v>
      </c>
      <c r="G163" t="s">
        <v>82</v>
      </c>
      <c r="H163" s="292">
        <v>733333</v>
      </c>
      <c r="I163" s="292">
        <v>733333</v>
      </c>
      <c r="J163" s="292">
        <v>720000</v>
      </c>
      <c r="K163" s="292">
        <v>770000</v>
      </c>
      <c r="L163" s="292" t="s">
        <v>8</v>
      </c>
      <c r="M163" s="292">
        <v>0</v>
      </c>
      <c r="N163" s="292">
        <v>0</v>
      </c>
    </row>
    <row r="164" spans="1:14" x14ac:dyDescent="0.25">
      <c r="A164" t="s">
        <v>418</v>
      </c>
      <c r="B164" s="39">
        <f t="shared" si="8"/>
        <v>6</v>
      </c>
      <c r="C164" s="39" t="str">
        <f t="shared" si="9"/>
        <v>Chris</v>
      </c>
      <c r="D164" s="39" t="str">
        <f t="shared" si="10"/>
        <v>Butler</v>
      </c>
      <c r="E164" s="39" t="str">
        <f t="shared" si="11"/>
        <v>Chris Butler</v>
      </c>
      <c r="F164" t="s">
        <v>1026</v>
      </c>
      <c r="G164" t="s">
        <v>380</v>
      </c>
      <c r="H164" s="292">
        <v>650000</v>
      </c>
      <c r="I164" s="292">
        <v>0</v>
      </c>
      <c r="J164" s="292">
        <v>650000</v>
      </c>
      <c r="K164" s="292" t="s">
        <v>7</v>
      </c>
      <c r="L164" s="292">
        <v>0</v>
      </c>
      <c r="M164" s="292">
        <v>0</v>
      </c>
      <c r="N164" s="292">
        <v>0</v>
      </c>
    </row>
    <row r="165" spans="1:14" x14ac:dyDescent="0.25">
      <c r="A165" t="s">
        <v>656</v>
      </c>
      <c r="B165" s="39">
        <f t="shared" si="8"/>
        <v>6</v>
      </c>
      <c r="C165" s="39" t="str">
        <f t="shared" si="9"/>
        <v>Chris</v>
      </c>
      <c r="D165" s="39" t="str">
        <f t="shared" si="10"/>
        <v>Kreider</v>
      </c>
      <c r="E165" s="39" t="str">
        <f t="shared" si="11"/>
        <v>Chris Kreider</v>
      </c>
      <c r="F165" t="s">
        <v>1018</v>
      </c>
      <c r="G165" t="s">
        <v>93</v>
      </c>
      <c r="H165" s="292">
        <v>4625000</v>
      </c>
      <c r="I165" s="292">
        <v>4625000</v>
      </c>
      <c r="J165" s="292">
        <v>4500000</v>
      </c>
      <c r="K165" s="292">
        <v>4000000</v>
      </c>
      <c r="L165" s="292" t="s">
        <v>7</v>
      </c>
      <c r="M165" s="292">
        <v>0</v>
      </c>
      <c r="N165" s="292">
        <v>0</v>
      </c>
    </row>
    <row r="166" spans="1:14" x14ac:dyDescent="0.25">
      <c r="A166" t="s">
        <v>606</v>
      </c>
      <c r="B166" s="39">
        <f t="shared" si="8"/>
        <v>6</v>
      </c>
      <c r="C166" s="39" t="str">
        <f t="shared" si="9"/>
        <v>Chris</v>
      </c>
      <c r="D166" s="39" t="str">
        <f t="shared" si="10"/>
        <v>Martenet</v>
      </c>
      <c r="E166" s="39" t="str">
        <f t="shared" si="11"/>
        <v>Chris Martenet</v>
      </c>
      <c r="F166" t="s">
        <v>1015</v>
      </c>
      <c r="G166" t="s">
        <v>82</v>
      </c>
      <c r="H166" s="292">
        <v>721667</v>
      </c>
      <c r="I166" s="292">
        <v>0</v>
      </c>
      <c r="J166" s="292">
        <v>745000</v>
      </c>
      <c r="K166" s="292" t="s">
        <v>8</v>
      </c>
      <c r="L166" s="292">
        <v>0</v>
      </c>
      <c r="M166" s="292">
        <v>0</v>
      </c>
      <c r="N166" s="292">
        <v>0</v>
      </c>
    </row>
    <row r="167" spans="1:14" x14ac:dyDescent="0.25">
      <c r="A167" t="s">
        <v>949</v>
      </c>
      <c r="B167" s="39">
        <f t="shared" si="8"/>
        <v>6</v>
      </c>
      <c r="C167" s="39" t="str">
        <f t="shared" si="9"/>
        <v>Chris</v>
      </c>
      <c r="D167" s="39" t="str">
        <f t="shared" si="10"/>
        <v>Mueller</v>
      </c>
      <c r="E167" s="39" t="str">
        <f t="shared" si="11"/>
        <v>Chris Mueller</v>
      </c>
      <c r="F167" t="s">
        <v>1034</v>
      </c>
      <c r="G167" t="s">
        <v>88</v>
      </c>
      <c r="H167" s="292">
        <v>650000</v>
      </c>
      <c r="I167" s="292">
        <v>0</v>
      </c>
      <c r="J167" s="292">
        <v>650000</v>
      </c>
      <c r="K167" s="292" t="s">
        <v>7</v>
      </c>
      <c r="L167" s="292">
        <v>0</v>
      </c>
      <c r="M167" s="292">
        <v>0</v>
      </c>
      <c r="N167" s="292">
        <v>0</v>
      </c>
    </row>
    <row r="168" spans="1:14" x14ac:dyDescent="0.25">
      <c r="A168" t="s">
        <v>662</v>
      </c>
      <c r="B168" s="39">
        <f t="shared" si="8"/>
        <v>6</v>
      </c>
      <c r="C168" s="39" t="str">
        <f t="shared" si="9"/>
        <v>Chris</v>
      </c>
      <c r="D168" s="39" t="str">
        <f t="shared" si="10"/>
        <v>Nell</v>
      </c>
      <c r="E168" s="39" t="str">
        <f t="shared" si="11"/>
        <v>Chris Nell</v>
      </c>
      <c r="F168" t="s">
        <v>1018</v>
      </c>
      <c r="G168" t="s">
        <v>127</v>
      </c>
      <c r="H168" s="292">
        <v>925000</v>
      </c>
      <c r="I168" s="292">
        <v>0</v>
      </c>
      <c r="J168" s="292">
        <v>925000</v>
      </c>
      <c r="K168" s="292" t="s">
        <v>8</v>
      </c>
      <c r="L168" s="292">
        <v>0</v>
      </c>
      <c r="M168" s="292">
        <v>0</v>
      </c>
      <c r="N168" s="292">
        <v>0</v>
      </c>
    </row>
    <row r="169" spans="1:14" x14ac:dyDescent="0.25">
      <c r="A169" t="s">
        <v>435</v>
      </c>
      <c r="B169" s="39">
        <f t="shared" si="8"/>
        <v>6</v>
      </c>
      <c r="C169" s="39" t="str">
        <f t="shared" si="9"/>
        <v>Chris</v>
      </c>
      <c r="D169" s="39" t="str">
        <f t="shared" si="10"/>
        <v>Summers</v>
      </c>
      <c r="E169" s="39" t="str">
        <f t="shared" si="11"/>
        <v>Chris Summers</v>
      </c>
      <c r="F169" t="s">
        <v>1014</v>
      </c>
      <c r="G169" t="s">
        <v>82</v>
      </c>
      <c r="H169" s="292">
        <v>650000</v>
      </c>
      <c r="I169" s="292">
        <v>0</v>
      </c>
      <c r="J169" s="292">
        <v>650000</v>
      </c>
      <c r="K169" s="292" t="s">
        <v>7</v>
      </c>
      <c r="L169" s="292">
        <v>0</v>
      </c>
      <c r="M169" s="292">
        <v>0</v>
      </c>
      <c r="N169" s="292">
        <v>0</v>
      </c>
    </row>
    <row r="170" spans="1:14" x14ac:dyDescent="0.25">
      <c r="A170" t="s">
        <v>1094</v>
      </c>
      <c r="B170" s="39">
        <f t="shared" si="8"/>
        <v>6</v>
      </c>
      <c r="C170" s="39" t="str">
        <f t="shared" si="9"/>
        <v>Chris</v>
      </c>
      <c r="D170" s="39" t="str">
        <f t="shared" si="10"/>
        <v>Tanev</v>
      </c>
      <c r="E170" s="39" t="str">
        <f t="shared" si="11"/>
        <v>Chris Tanev</v>
      </c>
      <c r="F170" t="s">
        <v>1037</v>
      </c>
      <c r="G170" t="s">
        <v>379</v>
      </c>
      <c r="H170" s="292">
        <v>4450000</v>
      </c>
      <c r="I170" s="292">
        <v>4450000</v>
      </c>
      <c r="J170" s="292">
        <v>5000000</v>
      </c>
      <c r="K170" s="292">
        <v>5250000</v>
      </c>
      <c r="L170" s="292" t="s">
        <v>7</v>
      </c>
      <c r="M170" s="292">
        <v>0</v>
      </c>
      <c r="N170" s="292">
        <v>0</v>
      </c>
    </row>
    <row r="171" spans="1:14" x14ac:dyDescent="0.25">
      <c r="A171" t="s">
        <v>401</v>
      </c>
      <c r="B171" s="39">
        <f t="shared" si="8"/>
        <v>6</v>
      </c>
      <c r="C171" s="39" t="str">
        <f t="shared" si="9"/>
        <v>Chris</v>
      </c>
      <c r="D171" s="39" t="str">
        <f t="shared" si="10"/>
        <v>Thorburn</v>
      </c>
      <c r="E171" s="39" t="str">
        <f t="shared" si="11"/>
        <v>Chris Thorburn</v>
      </c>
      <c r="F171" t="s">
        <v>1026</v>
      </c>
      <c r="G171" t="s">
        <v>88</v>
      </c>
      <c r="H171" s="292">
        <v>900000</v>
      </c>
      <c r="I171" s="292">
        <v>0</v>
      </c>
      <c r="J171" s="292">
        <v>900000</v>
      </c>
      <c r="K171" s="292" t="s">
        <v>7</v>
      </c>
      <c r="L171" s="292">
        <v>0</v>
      </c>
      <c r="M171" s="292">
        <v>0</v>
      </c>
      <c r="N171" s="292">
        <v>0</v>
      </c>
    </row>
    <row r="172" spans="1:14" x14ac:dyDescent="0.25">
      <c r="A172" t="s">
        <v>442</v>
      </c>
      <c r="B172" s="39">
        <f t="shared" si="8"/>
        <v>10</v>
      </c>
      <c r="C172" s="39" t="str">
        <f t="shared" si="9"/>
        <v>Christian</v>
      </c>
      <c r="D172" s="39" t="str">
        <f t="shared" si="10"/>
        <v>Djoos</v>
      </c>
      <c r="E172" s="39" t="str">
        <f t="shared" si="11"/>
        <v>Christian Djoos</v>
      </c>
      <c r="F172" t="s">
        <v>1013</v>
      </c>
      <c r="G172" t="s">
        <v>380</v>
      </c>
      <c r="H172" s="292">
        <v>650000</v>
      </c>
      <c r="I172" s="292">
        <v>0</v>
      </c>
      <c r="J172" s="292">
        <v>650000</v>
      </c>
      <c r="K172" s="292" t="s">
        <v>8</v>
      </c>
      <c r="L172" s="292">
        <v>0</v>
      </c>
      <c r="M172" s="292">
        <v>0</v>
      </c>
      <c r="N172" s="292">
        <v>0</v>
      </c>
    </row>
    <row r="173" spans="1:14" x14ac:dyDescent="0.25">
      <c r="A173" t="s">
        <v>200</v>
      </c>
      <c r="B173" s="39">
        <f t="shared" si="8"/>
        <v>10</v>
      </c>
      <c r="C173" s="39" t="str">
        <f t="shared" si="9"/>
        <v>Christian</v>
      </c>
      <c r="D173" s="39" t="str">
        <f t="shared" si="10"/>
        <v>Dvorak</v>
      </c>
      <c r="E173" s="39" t="str">
        <f t="shared" si="11"/>
        <v>Christian Dvorak</v>
      </c>
      <c r="F173" t="s">
        <v>1032</v>
      </c>
      <c r="G173" t="s">
        <v>73</v>
      </c>
      <c r="H173" s="292">
        <v>1051670</v>
      </c>
      <c r="I173" s="292">
        <v>0</v>
      </c>
      <c r="J173" s="292">
        <v>832500</v>
      </c>
      <c r="K173" s="292" t="s">
        <v>8</v>
      </c>
      <c r="L173" s="292">
        <v>0</v>
      </c>
      <c r="M173" s="292">
        <v>0</v>
      </c>
      <c r="N173" s="292">
        <v>0</v>
      </c>
    </row>
    <row r="174" spans="1:14" x14ac:dyDescent="0.25">
      <c r="A174" t="s">
        <v>842</v>
      </c>
      <c r="B174" s="39">
        <f t="shared" si="8"/>
        <v>10</v>
      </c>
      <c r="C174" s="39" t="str">
        <f t="shared" si="9"/>
        <v>Christian</v>
      </c>
      <c r="D174" s="39" t="str">
        <f t="shared" si="10"/>
        <v>Fischer</v>
      </c>
      <c r="E174" s="39" t="str">
        <f t="shared" si="11"/>
        <v>Christian Fischer</v>
      </c>
      <c r="F174" t="s">
        <v>1032</v>
      </c>
      <c r="G174" t="s">
        <v>88</v>
      </c>
      <c r="H174" s="292">
        <v>1075830</v>
      </c>
      <c r="I174" s="292">
        <v>1075830</v>
      </c>
      <c r="J174" s="292">
        <v>815000</v>
      </c>
      <c r="K174" s="292">
        <v>832500</v>
      </c>
      <c r="L174" s="292" t="s">
        <v>8</v>
      </c>
      <c r="M174" s="292">
        <v>0</v>
      </c>
      <c r="N174" s="292">
        <v>0</v>
      </c>
    </row>
    <row r="175" spans="1:14" x14ac:dyDescent="0.25">
      <c r="A175" t="s">
        <v>690</v>
      </c>
      <c r="B175" s="39">
        <f t="shared" si="8"/>
        <v>10</v>
      </c>
      <c r="C175" s="39" t="str">
        <f t="shared" si="9"/>
        <v>Christian</v>
      </c>
      <c r="D175" s="39" t="str">
        <f t="shared" si="10"/>
        <v>Jaros</v>
      </c>
      <c r="E175" s="39" t="str">
        <f t="shared" si="11"/>
        <v>Christian Jaros</v>
      </c>
      <c r="F175" t="s">
        <v>1029</v>
      </c>
      <c r="G175" t="s">
        <v>82</v>
      </c>
      <c r="H175" s="292">
        <v>801667</v>
      </c>
      <c r="I175" s="292">
        <v>801667</v>
      </c>
      <c r="J175" s="292">
        <v>730000</v>
      </c>
      <c r="K175" s="292">
        <v>805000</v>
      </c>
      <c r="L175" s="292" t="s">
        <v>8</v>
      </c>
      <c r="M175" s="292">
        <v>0</v>
      </c>
      <c r="N175" s="292">
        <v>0</v>
      </c>
    </row>
    <row r="176" spans="1:14" x14ac:dyDescent="0.25">
      <c r="A176" t="s">
        <v>393</v>
      </c>
      <c r="B176" s="39">
        <f t="shared" si="8"/>
        <v>12</v>
      </c>
      <c r="C176" s="39" t="str">
        <f t="shared" si="9"/>
        <v>Christoffer</v>
      </c>
      <c r="D176" s="39" t="str">
        <f t="shared" si="10"/>
        <v>Ehn</v>
      </c>
      <c r="E176" s="39" t="str">
        <f t="shared" si="11"/>
        <v>Christoffer Ehn</v>
      </c>
      <c r="F176" t="s">
        <v>1035</v>
      </c>
      <c r="G176" t="s">
        <v>73</v>
      </c>
      <c r="H176" s="292">
        <v>925000</v>
      </c>
      <c r="I176" s="292">
        <v>925000</v>
      </c>
      <c r="J176" s="292">
        <v>742500</v>
      </c>
      <c r="K176" s="292">
        <v>792500</v>
      </c>
      <c r="L176" s="292" t="s">
        <v>8</v>
      </c>
      <c r="M176" s="292">
        <v>0</v>
      </c>
      <c r="N176" s="292">
        <v>0</v>
      </c>
    </row>
    <row r="177" spans="1:14" x14ac:dyDescent="0.25">
      <c r="A177" t="s">
        <v>992</v>
      </c>
      <c r="B177" s="39">
        <f t="shared" si="8"/>
        <v>6</v>
      </c>
      <c r="C177" s="39" t="str">
        <f t="shared" si="9"/>
        <v>Clark</v>
      </c>
      <c r="D177" s="39" t="str">
        <f t="shared" si="10"/>
        <v>Bishop</v>
      </c>
      <c r="E177" s="39" t="str">
        <f t="shared" si="11"/>
        <v>Clark Bishop</v>
      </c>
      <c r="F177" t="s">
        <v>1036</v>
      </c>
      <c r="G177" t="s">
        <v>73</v>
      </c>
      <c r="H177" s="292">
        <v>713333</v>
      </c>
      <c r="I177" s="292">
        <v>0</v>
      </c>
      <c r="J177" s="292">
        <v>720000</v>
      </c>
      <c r="K177" s="292" t="s">
        <v>8</v>
      </c>
      <c r="L177" s="292">
        <v>0</v>
      </c>
      <c r="M177" s="292">
        <v>0</v>
      </c>
      <c r="N177" s="292">
        <v>0</v>
      </c>
    </row>
    <row r="178" spans="1:14" x14ac:dyDescent="0.25">
      <c r="A178" t="s">
        <v>676</v>
      </c>
      <c r="B178" s="39">
        <f t="shared" si="8"/>
        <v>7</v>
      </c>
      <c r="C178" s="39" t="str">
        <f t="shared" si="9"/>
        <v>Clarke</v>
      </c>
      <c r="D178" s="39" t="str">
        <f t="shared" si="10"/>
        <v>MacArthur</v>
      </c>
      <c r="E178" s="39" t="str">
        <f t="shared" si="11"/>
        <v>Clarke MacArthur</v>
      </c>
      <c r="F178" t="s">
        <v>1029</v>
      </c>
      <c r="G178" t="s">
        <v>93</v>
      </c>
      <c r="H178" s="292">
        <v>4650000</v>
      </c>
      <c r="I178" s="292">
        <v>4650000</v>
      </c>
      <c r="J178" s="292">
        <v>4750000</v>
      </c>
      <c r="K178" s="292">
        <v>4750000</v>
      </c>
      <c r="L178" s="292" t="s">
        <v>7</v>
      </c>
      <c r="M178" s="292">
        <v>0</v>
      </c>
      <c r="N178" s="292">
        <v>0</v>
      </c>
    </row>
    <row r="179" spans="1:14" x14ac:dyDescent="0.25">
      <c r="A179" t="s">
        <v>280</v>
      </c>
      <c r="B179" s="39">
        <f t="shared" si="8"/>
        <v>7</v>
      </c>
      <c r="C179" s="39" t="str">
        <f t="shared" si="9"/>
        <v>Claude</v>
      </c>
      <c r="D179" s="39" t="str">
        <f t="shared" si="10"/>
        <v>Giroux</v>
      </c>
      <c r="E179" s="39" t="str">
        <f t="shared" si="11"/>
        <v>Claude Giroux</v>
      </c>
      <c r="F179" t="s">
        <v>1021</v>
      </c>
      <c r="G179" t="s">
        <v>93</v>
      </c>
      <c r="H179" s="292">
        <v>8275000</v>
      </c>
      <c r="I179" s="292">
        <v>8275000</v>
      </c>
      <c r="J179" s="292">
        <v>9000000</v>
      </c>
      <c r="K179" s="292">
        <v>8000000</v>
      </c>
      <c r="L179" s="292">
        <v>7200000</v>
      </c>
      <c r="M179" s="292">
        <v>5000000</v>
      </c>
      <c r="N179" s="292" t="s">
        <v>7</v>
      </c>
    </row>
    <row r="180" spans="1:14" x14ac:dyDescent="0.25">
      <c r="A180" t="s">
        <v>321</v>
      </c>
      <c r="B180" s="39">
        <f t="shared" si="8"/>
        <v>8</v>
      </c>
      <c r="C180" s="39" t="str">
        <f t="shared" si="9"/>
        <v>Clayton</v>
      </c>
      <c r="D180" s="39" t="str">
        <f t="shared" si="10"/>
        <v>Keller</v>
      </c>
      <c r="E180" s="39" t="str">
        <f t="shared" si="11"/>
        <v>Clayton Keller</v>
      </c>
      <c r="F180" t="s">
        <v>1032</v>
      </c>
      <c r="G180" t="s">
        <v>93</v>
      </c>
      <c r="H180" s="292">
        <v>1673330</v>
      </c>
      <c r="I180" s="292">
        <v>1673330</v>
      </c>
      <c r="J180" s="292">
        <v>925000</v>
      </c>
      <c r="K180" s="292">
        <v>832500</v>
      </c>
      <c r="L180" s="292" t="s">
        <v>8</v>
      </c>
      <c r="M180" s="292">
        <v>0</v>
      </c>
      <c r="N180" s="292">
        <v>0</v>
      </c>
    </row>
    <row r="181" spans="1:14" x14ac:dyDescent="0.25">
      <c r="A181" t="s">
        <v>987</v>
      </c>
      <c r="B181" s="39">
        <f t="shared" si="8"/>
        <v>6</v>
      </c>
      <c r="C181" s="39" t="str">
        <f t="shared" si="9"/>
        <v>Cliff</v>
      </c>
      <c r="D181" s="39" t="str">
        <f t="shared" si="10"/>
        <v>Pu</v>
      </c>
      <c r="E181" s="39" t="str">
        <f t="shared" si="11"/>
        <v>Cliff Pu</v>
      </c>
      <c r="F181" t="s">
        <v>1036</v>
      </c>
      <c r="G181" t="s">
        <v>88</v>
      </c>
      <c r="H181" s="292">
        <v>925000</v>
      </c>
      <c r="I181" s="292">
        <v>925000</v>
      </c>
      <c r="J181" s="292">
        <v>742500</v>
      </c>
      <c r="K181" s="292">
        <v>792500</v>
      </c>
      <c r="L181" s="292" t="s">
        <v>8</v>
      </c>
      <c r="M181" s="292">
        <v>0</v>
      </c>
      <c r="N181" s="292">
        <v>0</v>
      </c>
    </row>
    <row r="182" spans="1:14" x14ac:dyDescent="0.25">
      <c r="A182" t="s">
        <v>592</v>
      </c>
      <c r="B182" s="39">
        <f t="shared" si="8"/>
        <v>5</v>
      </c>
      <c r="C182" s="39" t="str">
        <f t="shared" si="9"/>
        <v>Cody</v>
      </c>
      <c r="D182" s="39" t="str">
        <f t="shared" si="10"/>
        <v>Donaghey</v>
      </c>
      <c r="E182" s="39" t="str">
        <f t="shared" si="11"/>
        <v>Cody Donaghey</v>
      </c>
      <c r="F182" t="s">
        <v>1022</v>
      </c>
      <c r="G182" t="s">
        <v>82</v>
      </c>
      <c r="H182" s="292">
        <v>641667</v>
      </c>
      <c r="I182" s="292">
        <v>0</v>
      </c>
      <c r="J182" s="292">
        <v>650000</v>
      </c>
      <c r="K182" s="292" t="s">
        <v>8</v>
      </c>
      <c r="L182" s="292">
        <v>0</v>
      </c>
      <c r="M182" s="292">
        <v>0</v>
      </c>
      <c r="N182" s="292">
        <v>0</v>
      </c>
    </row>
    <row r="183" spans="1:14" x14ac:dyDescent="0.25">
      <c r="A183" t="s">
        <v>799</v>
      </c>
      <c r="B183" s="39">
        <f t="shared" si="8"/>
        <v>5</v>
      </c>
      <c r="C183" s="39" t="str">
        <f t="shared" si="9"/>
        <v>Cody</v>
      </c>
      <c r="D183" s="39" t="str">
        <f t="shared" si="10"/>
        <v>Eakin</v>
      </c>
      <c r="E183" s="39" t="str">
        <f t="shared" si="11"/>
        <v>Cody Eakin</v>
      </c>
      <c r="F183" t="s">
        <v>1041</v>
      </c>
      <c r="G183" t="s">
        <v>73</v>
      </c>
      <c r="H183" s="292">
        <v>3850000</v>
      </c>
      <c r="I183" s="292">
        <v>3850000</v>
      </c>
      <c r="J183" s="292">
        <v>3850000</v>
      </c>
      <c r="K183" s="292">
        <v>3850000</v>
      </c>
      <c r="L183" s="292" t="s">
        <v>7</v>
      </c>
      <c r="M183" s="292">
        <v>0</v>
      </c>
      <c r="N183" s="292">
        <v>0</v>
      </c>
    </row>
    <row r="184" spans="1:14" x14ac:dyDescent="0.25">
      <c r="A184" t="s">
        <v>142</v>
      </c>
      <c r="B184" s="39">
        <f t="shared" si="8"/>
        <v>5</v>
      </c>
      <c r="C184" s="39" t="str">
        <f t="shared" si="9"/>
        <v>Cody</v>
      </c>
      <c r="D184" s="39" t="str">
        <f t="shared" si="10"/>
        <v>Glass</v>
      </c>
      <c r="E184" s="39" t="str">
        <f t="shared" si="11"/>
        <v>Cody Glass</v>
      </c>
      <c r="F184" t="s">
        <v>1041</v>
      </c>
      <c r="G184" t="s">
        <v>73</v>
      </c>
      <c r="H184" s="292">
        <v>1775000</v>
      </c>
      <c r="I184" s="292">
        <v>1775000</v>
      </c>
      <c r="J184" s="292">
        <v>925000</v>
      </c>
      <c r="K184" s="292">
        <v>925000</v>
      </c>
      <c r="L184" s="292" t="s">
        <v>8</v>
      </c>
      <c r="M184" s="292">
        <v>0</v>
      </c>
      <c r="N184" s="292">
        <v>0</v>
      </c>
    </row>
    <row r="185" spans="1:14" x14ac:dyDescent="0.25">
      <c r="A185" t="s">
        <v>970</v>
      </c>
      <c r="B185" s="39">
        <f t="shared" si="8"/>
        <v>6</v>
      </c>
      <c r="C185" s="39" t="str">
        <f t="shared" si="9"/>
        <v>Colby</v>
      </c>
      <c r="D185" s="39" t="str">
        <f t="shared" si="10"/>
        <v>Sissons</v>
      </c>
      <c r="E185" s="39" t="str">
        <f t="shared" si="11"/>
        <v>Colby Sissons</v>
      </c>
      <c r="F185" t="s">
        <v>1038</v>
      </c>
      <c r="G185" t="s">
        <v>82</v>
      </c>
      <c r="H185" s="292">
        <v>663333</v>
      </c>
      <c r="I185" s="292">
        <v>0</v>
      </c>
      <c r="J185" s="292">
        <v>690000</v>
      </c>
      <c r="K185" s="292" t="s">
        <v>8</v>
      </c>
      <c r="L185" s="292">
        <v>0</v>
      </c>
      <c r="M185" s="292">
        <v>0</v>
      </c>
      <c r="N185" s="292">
        <v>0</v>
      </c>
    </row>
    <row r="186" spans="1:14" x14ac:dyDescent="0.25">
      <c r="A186" t="s">
        <v>448</v>
      </c>
      <c r="B186" s="39">
        <f t="shared" si="8"/>
        <v>6</v>
      </c>
      <c r="C186" s="39" t="str">
        <f t="shared" si="9"/>
        <v>Colby</v>
      </c>
      <c r="D186" s="39" t="str">
        <f t="shared" si="10"/>
        <v>Williams</v>
      </c>
      <c r="E186" s="39" t="str">
        <f t="shared" si="11"/>
        <v>Colby Williams</v>
      </c>
      <c r="F186" t="s">
        <v>1013</v>
      </c>
      <c r="G186" t="s">
        <v>82</v>
      </c>
      <c r="H186" s="292">
        <v>761000</v>
      </c>
      <c r="I186" s="292">
        <v>0</v>
      </c>
      <c r="J186" s="292">
        <v>780000</v>
      </c>
      <c r="K186" s="292" t="s">
        <v>8</v>
      </c>
      <c r="L186" s="292">
        <v>0</v>
      </c>
      <c r="M186" s="292">
        <v>0</v>
      </c>
      <c r="N186" s="292">
        <v>0</v>
      </c>
    </row>
    <row r="187" spans="1:14" x14ac:dyDescent="0.25">
      <c r="A187" t="s">
        <v>896</v>
      </c>
      <c r="B187" s="39">
        <f t="shared" si="8"/>
        <v>5</v>
      </c>
      <c r="C187" s="39" t="str">
        <f t="shared" si="9"/>
        <v>Cole</v>
      </c>
      <c r="D187" s="39" t="str">
        <f t="shared" si="10"/>
        <v>Bardreau</v>
      </c>
      <c r="E187" s="39" t="str">
        <f t="shared" si="11"/>
        <v>Cole Bardreau</v>
      </c>
      <c r="F187" t="s">
        <v>1021</v>
      </c>
      <c r="G187" t="s">
        <v>73</v>
      </c>
      <c r="H187" s="292">
        <v>650000</v>
      </c>
      <c r="I187" s="292">
        <v>0</v>
      </c>
      <c r="J187" s="292">
        <v>650000</v>
      </c>
      <c r="K187" s="292" t="s">
        <v>8</v>
      </c>
      <c r="L187" s="292">
        <v>0</v>
      </c>
      <c r="M187" s="292">
        <v>0</v>
      </c>
      <c r="N187" s="292">
        <v>0</v>
      </c>
    </row>
    <row r="188" spans="1:14" x14ac:dyDescent="0.25">
      <c r="A188" t="s">
        <v>674</v>
      </c>
      <c r="B188" s="39">
        <f t="shared" si="8"/>
        <v>5</v>
      </c>
      <c r="C188" s="39" t="str">
        <f t="shared" si="9"/>
        <v>Cole</v>
      </c>
      <c r="D188" s="39" t="str">
        <f t="shared" si="10"/>
        <v>Schneider</v>
      </c>
      <c r="E188" s="39" t="str">
        <f t="shared" si="11"/>
        <v>Cole Schneider</v>
      </c>
      <c r="F188" t="s">
        <v>1018</v>
      </c>
      <c r="G188" t="s">
        <v>93</v>
      </c>
      <c r="H188" s="292">
        <v>650000</v>
      </c>
      <c r="I188" s="292">
        <v>0</v>
      </c>
      <c r="J188" s="292">
        <v>650000</v>
      </c>
      <c r="K188" s="292" t="s">
        <v>7</v>
      </c>
      <c r="L188" s="292">
        <v>0</v>
      </c>
      <c r="M188" s="292">
        <v>0</v>
      </c>
      <c r="N188" s="292">
        <v>0</v>
      </c>
    </row>
    <row r="189" spans="1:14" x14ac:dyDescent="0.25">
      <c r="A189" t="s">
        <v>1118</v>
      </c>
      <c r="B189" s="39">
        <f t="shared" si="8"/>
        <v>6</v>
      </c>
      <c r="C189" s="39" t="str">
        <f t="shared" si="9"/>
        <v>Colin</v>
      </c>
      <c r="D189" s="39" t="str">
        <f t="shared" si="10"/>
        <v>(b. 1997) White</v>
      </c>
      <c r="E189" s="39" t="str">
        <f t="shared" si="11"/>
        <v>Colin (b. 1997) White</v>
      </c>
      <c r="F189" t="s">
        <v>1029</v>
      </c>
      <c r="G189" t="s">
        <v>73</v>
      </c>
      <c r="H189" s="292">
        <v>1285000</v>
      </c>
      <c r="I189" s="292">
        <v>0</v>
      </c>
      <c r="J189" s="292">
        <v>925000</v>
      </c>
      <c r="K189" s="292" t="s">
        <v>8</v>
      </c>
      <c r="L189" s="292">
        <v>0</v>
      </c>
      <c r="M189" s="292">
        <v>0</v>
      </c>
      <c r="N189" s="292">
        <v>0</v>
      </c>
    </row>
    <row r="190" spans="1:14" x14ac:dyDescent="0.25">
      <c r="A190" t="s">
        <v>911</v>
      </c>
      <c r="B190" s="39">
        <f t="shared" si="8"/>
        <v>6</v>
      </c>
      <c r="C190" s="39" t="str">
        <f t="shared" si="9"/>
        <v>Colin</v>
      </c>
      <c r="D190" s="39" t="str">
        <f t="shared" si="10"/>
        <v>Wilson</v>
      </c>
      <c r="E190" s="39" t="str">
        <f t="shared" si="11"/>
        <v>Colin Wilson</v>
      </c>
      <c r="F190" t="s">
        <v>1033</v>
      </c>
      <c r="G190" t="s">
        <v>88</v>
      </c>
      <c r="H190" s="292">
        <v>3937500</v>
      </c>
      <c r="I190" s="292">
        <v>0</v>
      </c>
      <c r="J190" s="292">
        <v>4000000</v>
      </c>
      <c r="K190" s="292" t="s">
        <v>7</v>
      </c>
      <c r="L190" s="292">
        <v>0</v>
      </c>
      <c r="M190" s="292">
        <v>0</v>
      </c>
      <c r="N190" s="292">
        <v>0</v>
      </c>
    </row>
    <row r="191" spans="1:14" x14ac:dyDescent="0.25">
      <c r="A191" t="s">
        <v>622</v>
      </c>
      <c r="B191" s="39">
        <f t="shared" si="8"/>
        <v>7</v>
      </c>
      <c r="C191" s="39" t="str">
        <f t="shared" si="9"/>
        <v>Collin</v>
      </c>
      <c r="D191" s="39" t="str">
        <f t="shared" si="10"/>
        <v>Delia</v>
      </c>
      <c r="E191" s="39" t="str">
        <f t="shared" si="11"/>
        <v>Collin Delia</v>
      </c>
      <c r="F191" t="s">
        <v>1011</v>
      </c>
      <c r="G191" t="s">
        <v>127</v>
      </c>
      <c r="H191" s="292">
        <v>925000</v>
      </c>
      <c r="I191" s="292">
        <v>0</v>
      </c>
      <c r="J191" s="292">
        <v>792500</v>
      </c>
      <c r="K191" s="292" t="s">
        <v>8</v>
      </c>
      <c r="L191" s="292">
        <v>0</v>
      </c>
      <c r="M191" s="292">
        <v>0</v>
      </c>
      <c r="N191" s="292">
        <v>0</v>
      </c>
    </row>
    <row r="192" spans="1:14" x14ac:dyDescent="0.25">
      <c r="A192" t="s">
        <v>253</v>
      </c>
      <c r="B192" s="39">
        <f t="shared" si="8"/>
        <v>7</v>
      </c>
      <c r="C192" s="39" t="str">
        <f t="shared" si="9"/>
        <v>Colton</v>
      </c>
      <c r="D192" s="39" t="str">
        <f t="shared" si="10"/>
        <v>Parayko</v>
      </c>
      <c r="E192" s="39" t="str">
        <f t="shared" si="11"/>
        <v>Colton Parayko</v>
      </c>
      <c r="F192" t="s">
        <v>1026</v>
      </c>
      <c r="G192" t="s">
        <v>379</v>
      </c>
      <c r="H192" s="292">
        <v>5500000</v>
      </c>
      <c r="I192" s="292">
        <v>5500000</v>
      </c>
      <c r="J192" s="292">
        <v>6500000</v>
      </c>
      <c r="K192" s="292">
        <v>5525000</v>
      </c>
      <c r="L192" s="292">
        <v>3350000</v>
      </c>
      <c r="M192" s="292">
        <v>5625000</v>
      </c>
      <c r="N192" s="292" t="s">
        <v>7</v>
      </c>
    </row>
    <row r="193" spans="1:14" x14ac:dyDescent="0.25">
      <c r="A193" t="s">
        <v>769</v>
      </c>
      <c r="B193" s="39">
        <f t="shared" si="8"/>
        <v>7</v>
      </c>
      <c r="C193" s="39" t="str">
        <f t="shared" si="9"/>
        <v>Colton</v>
      </c>
      <c r="D193" s="39" t="str">
        <f t="shared" si="10"/>
        <v>Sissons</v>
      </c>
      <c r="E193" s="39" t="str">
        <f t="shared" si="11"/>
        <v>Colton Sissons</v>
      </c>
      <c r="F193" t="s">
        <v>1016</v>
      </c>
      <c r="G193" t="s">
        <v>73</v>
      </c>
      <c r="H193" s="292">
        <v>625000</v>
      </c>
      <c r="I193" s="292">
        <v>0</v>
      </c>
      <c r="J193" s="292">
        <v>650000</v>
      </c>
      <c r="K193" s="292" t="s">
        <v>8</v>
      </c>
      <c r="L193" s="292">
        <v>0</v>
      </c>
      <c r="M193" s="292">
        <v>0</v>
      </c>
      <c r="N193" s="292">
        <v>0</v>
      </c>
    </row>
    <row r="194" spans="1:14" x14ac:dyDescent="0.25">
      <c r="A194" t="s">
        <v>964</v>
      </c>
      <c r="B194" s="39">
        <f t="shared" si="8"/>
        <v>7</v>
      </c>
      <c r="C194" s="39" t="str">
        <f t="shared" si="9"/>
        <v>Colton</v>
      </c>
      <c r="D194" s="39" t="str">
        <f t="shared" si="10"/>
        <v>White</v>
      </c>
      <c r="E194" s="39" t="str">
        <f t="shared" si="11"/>
        <v>Colton White</v>
      </c>
      <c r="F194" t="s">
        <v>1038</v>
      </c>
      <c r="G194" t="s">
        <v>82</v>
      </c>
      <c r="H194" s="292">
        <v>925000</v>
      </c>
      <c r="I194" s="292">
        <v>0</v>
      </c>
      <c r="J194" s="292">
        <v>742500</v>
      </c>
      <c r="K194" s="292" t="s">
        <v>8</v>
      </c>
      <c r="L194" s="292">
        <v>0</v>
      </c>
      <c r="M194" s="292">
        <v>0</v>
      </c>
      <c r="N194" s="292">
        <v>0</v>
      </c>
    </row>
    <row r="195" spans="1:14" x14ac:dyDescent="0.25">
      <c r="A195" t="s">
        <v>414</v>
      </c>
      <c r="B195" s="39">
        <f t="shared" ref="B195:B258" si="12">SEARCH(" ",A195,1)</f>
        <v>7</v>
      </c>
      <c r="C195" s="39" t="str">
        <f t="shared" ref="C195:C258" si="13">LEFT(A195,B195-1)</f>
        <v>Conner</v>
      </c>
      <c r="D195" s="39" t="str">
        <f t="shared" ref="D195:D258" si="14">MID(A195,B195+1,LEN(A195)-B195)</f>
        <v>Bleackley</v>
      </c>
      <c r="E195" s="39" t="str">
        <f t="shared" ref="E195:E258" si="15">C195&amp;" "&amp;D195</f>
        <v>Conner Bleackley</v>
      </c>
      <c r="F195" t="s">
        <v>1026</v>
      </c>
      <c r="G195" t="s">
        <v>73</v>
      </c>
      <c r="H195" s="292">
        <v>750000</v>
      </c>
      <c r="I195" s="292">
        <v>0</v>
      </c>
      <c r="J195" s="292">
        <v>725000</v>
      </c>
      <c r="K195" s="292" t="s">
        <v>8</v>
      </c>
      <c r="L195" s="292">
        <v>0</v>
      </c>
      <c r="M195" s="292">
        <v>0</v>
      </c>
      <c r="N195" s="292">
        <v>0</v>
      </c>
    </row>
    <row r="196" spans="1:14" x14ac:dyDescent="0.25">
      <c r="A196" t="s">
        <v>932</v>
      </c>
      <c r="B196" s="39">
        <f t="shared" si="12"/>
        <v>7</v>
      </c>
      <c r="C196" s="39" t="str">
        <f t="shared" si="13"/>
        <v>Connor</v>
      </c>
      <c r="D196" s="39" t="str">
        <f t="shared" si="14"/>
        <v>Brown</v>
      </c>
      <c r="E196" s="39" t="str">
        <f t="shared" si="15"/>
        <v>Connor Brown</v>
      </c>
      <c r="F196" t="s">
        <v>1034</v>
      </c>
      <c r="G196" t="s">
        <v>88</v>
      </c>
      <c r="H196" s="292">
        <v>2100000</v>
      </c>
      <c r="I196" s="292">
        <v>2100000</v>
      </c>
      <c r="J196" s="292">
        <v>2100000</v>
      </c>
      <c r="K196" s="292">
        <v>2100000</v>
      </c>
      <c r="L196" s="292" t="s">
        <v>8</v>
      </c>
      <c r="M196" s="292">
        <v>0</v>
      </c>
      <c r="N196" s="292">
        <v>0</v>
      </c>
    </row>
    <row r="197" spans="1:14" x14ac:dyDescent="0.25">
      <c r="A197" t="s">
        <v>892</v>
      </c>
      <c r="B197" s="39">
        <f t="shared" si="12"/>
        <v>7</v>
      </c>
      <c r="C197" s="39" t="str">
        <f t="shared" si="13"/>
        <v>Connor</v>
      </c>
      <c r="D197" s="39" t="str">
        <f t="shared" si="14"/>
        <v>Bunnaman</v>
      </c>
      <c r="E197" s="39" t="str">
        <f t="shared" si="15"/>
        <v>Connor Bunnaman</v>
      </c>
      <c r="F197" t="s">
        <v>1021</v>
      </c>
      <c r="G197" t="s">
        <v>73</v>
      </c>
      <c r="H197" s="292">
        <v>800000</v>
      </c>
      <c r="I197" s="292">
        <v>800000</v>
      </c>
      <c r="J197" s="292">
        <v>730000</v>
      </c>
      <c r="K197" s="292">
        <v>780000</v>
      </c>
      <c r="L197" s="292" t="s">
        <v>8</v>
      </c>
      <c r="M197" s="292">
        <v>0</v>
      </c>
      <c r="N197" s="292">
        <v>0</v>
      </c>
    </row>
    <row r="198" spans="1:14" x14ac:dyDescent="0.25">
      <c r="A198" t="s">
        <v>451</v>
      </c>
      <c r="B198" s="39">
        <f t="shared" si="12"/>
        <v>7</v>
      </c>
      <c r="C198" s="39" t="str">
        <f t="shared" si="13"/>
        <v>Connor</v>
      </c>
      <c r="D198" s="39" t="str">
        <f t="shared" si="14"/>
        <v>Hobbs</v>
      </c>
      <c r="E198" s="39" t="str">
        <f t="shared" si="15"/>
        <v>Connor Hobbs</v>
      </c>
      <c r="F198" t="s">
        <v>1013</v>
      </c>
      <c r="G198" t="s">
        <v>82</v>
      </c>
      <c r="H198" s="292">
        <v>771667</v>
      </c>
      <c r="I198" s="292">
        <v>771667</v>
      </c>
      <c r="J198" s="292">
        <v>650000</v>
      </c>
      <c r="K198" s="292">
        <v>700000</v>
      </c>
      <c r="L198" s="292" t="s">
        <v>8</v>
      </c>
      <c r="M198" s="292">
        <v>0</v>
      </c>
      <c r="N198" s="292">
        <v>0</v>
      </c>
    </row>
    <row r="199" spans="1:14" x14ac:dyDescent="0.25">
      <c r="A199" t="s">
        <v>526</v>
      </c>
      <c r="B199" s="39">
        <f t="shared" si="12"/>
        <v>7</v>
      </c>
      <c r="C199" s="39" t="str">
        <f t="shared" si="13"/>
        <v>Connor</v>
      </c>
      <c r="D199" s="39" t="str">
        <f t="shared" si="14"/>
        <v>Ingram</v>
      </c>
      <c r="E199" s="39" t="str">
        <f t="shared" si="15"/>
        <v>Connor Ingram</v>
      </c>
      <c r="F199" t="s">
        <v>1019</v>
      </c>
      <c r="G199" t="s">
        <v>127</v>
      </c>
      <c r="H199" s="292">
        <v>925000</v>
      </c>
      <c r="I199" s="292">
        <v>925000</v>
      </c>
      <c r="J199" s="292">
        <v>742500</v>
      </c>
      <c r="K199" s="292">
        <v>792500</v>
      </c>
      <c r="L199" s="292" t="s">
        <v>8</v>
      </c>
      <c r="M199" s="292">
        <v>0</v>
      </c>
      <c r="N199" s="292">
        <v>0</v>
      </c>
    </row>
    <row r="200" spans="1:14" x14ac:dyDescent="0.25">
      <c r="A200" t="s">
        <v>614</v>
      </c>
      <c r="B200" s="39">
        <f t="shared" si="12"/>
        <v>7</v>
      </c>
      <c r="C200" s="39" t="str">
        <f t="shared" si="13"/>
        <v>Connor</v>
      </c>
      <c r="D200" s="39" t="str">
        <f t="shared" si="14"/>
        <v>Murphy</v>
      </c>
      <c r="E200" s="39" t="str">
        <f t="shared" si="15"/>
        <v>Connor Murphy</v>
      </c>
      <c r="F200" t="s">
        <v>1011</v>
      </c>
      <c r="G200" t="s">
        <v>379</v>
      </c>
      <c r="H200" s="292">
        <v>3850000</v>
      </c>
      <c r="I200" s="292">
        <v>3850000</v>
      </c>
      <c r="J200" s="292">
        <v>4500000</v>
      </c>
      <c r="K200" s="292">
        <v>4400000</v>
      </c>
      <c r="L200" s="292">
        <v>3200000</v>
      </c>
      <c r="M200" s="292">
        <v>4000000</v>
      </c>
      <c r="N200" s="292" t="s">
        <v>7</v>
      </c>
    </row>
    <row r="201" spans="1:14" x14ac:dyDescent="0.25">
      <c r="A201" t="s">
        <v>858</v>
      </c>
      <c r="B201" s="39">
        <f t="shared" si="12"/>
        <v>6</v>
      </c>
      <c r="C201" s="39" t="str">
        <f t="shared" si="13"/>
        <v>Conor</v>
      </c>
      <c r="D201" s="39" t="str">
        <f t="shared" si="14"/>
        <v>Garland</v>
      </c>
      <c r="E201" s="39" t="str">
        <f t="shared" si="15"/>
        <v>Conor Garland</v>
      </c>
      <c r="F201" t="s">
        <v>1032</v>
      </c>
      <c r="G201" t="s">
        <v>88</v>
      </c>
      <c r="H201" s="292">
        <v>821667</v>
      </c>
      <c r="I201" s="292">
        <v>0</v>
      </c>
      <c r="J201" s="292">
        <v>650000</v>
      </c>
      <c r="K201" s="292" t="s">
        <v>8</v>
      </c>
      <c r="L201" s="292">
        <v>0</v>
      </c>
      <c r="M201" s="292">
        <v>0</v>
      </c>
      <c r="N201" s="292">
        <v>0</v>
      </c>
    </row>
    <row r="202" spans="1:14" x14ac:dyDescent="0.25">
      <c r="A202" t="s">
        <v>258</v>
      </c>
      <c r="B202" s="39">
        <f t="shared" si="12"/>
        <v>6</v>
      </c>
      <c r="C202" s="39" t="str">
        <f t="shared" si="13"/>
        <v>Conor</v>
      </c>
      <c r="D202" s="39" t="str">
        <f t="shared" si="14"/>
        <v>Sheary</v>
      </c>
      <c r="E202" s="39" t="str">
        <f t="shared" si="15"/>
        <v>Conor Sheary</v>
      </c>
      <c r="F202" t="s">
        <v>1039</v>
      </c>
      <c r="G202" t="s">
        <v>93</v>
      </c>
      <c r="H202" s="292">
        <v>3000000</v>
      </c>
      <c r="I202" s="292">
        <v>3000000</v>
      </c>
      <c r="J202" s="292">
        <v>3000000</v>
      </c>
      <c r="K202" s="292">
        <v>3000000</v>
      </c>
      <c r="L202" s="292" t="s">
        <v>7</v>
      </c>
      <c r="M202" s="292">
        <v>0</v>
      </c>
      <c r="N202" s="292">
        <v>0</v>
      </c>
    </row>
    <row r="203" spans="1:14" x14ac:dyDescent="0.25">
      <c r="A203" t="s">
        <v>895</v>
      </c>
      <c r="B203" s="39">
        <f t="shared" si="12"/>
        <v>7</v>
      </c>
      <c r="C203" s="39" t="str">
        <f t="shared" si="13"/>
        <v>Corban</v>
      </c>
      <c r="D203" s="39" t="str">
        <f t="shared" si="14"/>
        <v>Knight</v>
      </c>
      <c r="E203" s="39" t="str">
        <f t="shared" si="15"/>
        <v>Corban Knight</v>
      </c>
      <c r="F203" t="s">
        <v>1021</v>
      </c>
      <c r="G203" t="s">
        <v>73</v>
      </c>
      <c r="H203" s="292">
        <v>650000</v>
      </c>
      <c r="I203" s="292">
        <v>0</v>
      </c>
      <c r="J203" s="292">
        <v>650000</v>
      </c>
      <c r="K203" s="292" t="s">
        <v>7</v>
      </c>
      <c r="L203" s="292">
        <v>0</v>
      </c>
      <c r="M203" s="292">
        <v>0</v>
      </c>
      <c r="N203" s="292">
        <v>0</v>
      </c>
    </row>
    <row r="204" spans="1:14" x14ac:dyDescent="0.25">
      <c r="A204" t="s">
        <v>274</v>
      </c>
      <c r="B204" s="39">
        <f t="shared" si="12"/>
        <v>6</v>
      </c>
      <c r="C204" s="39" t="str">
        <f t="shared" si="13"/>
        <v>Corey</v>
      </c>
      <c r="D204" s="39" t="str">
        <f t="shared" si="14"/>
        <v>Crawford</v>
      </c>
      <c r="E204" s="39" t="str">
        <f t="shared" si="15"/>
        <v>Corey Crawford</v>
      </c>
      <c r="F204" t="s">
        <v>1011</v>
      </c>
      <c r="G204" t="s">
        <v>127</v>
      </c>
      <c r="H204" s="292">
        <v>6000000</v>
      </c>
      <c r="I204" s="292">
        <v>6000000</v>
      </c>
      <c r="J204" s="292">
        <v>6000000</v>
      </c>
      <c r="K204" s="292">
        <v>5000000</v>
      </c>
      <c r="L204" s="292" t="s">
        <v>7</v>
      </c>
      <c r="M204" s="292">
        <v>0</v>
      </c>
      <c r="N204" s="292">
        <v>0</v>
      </c>
    </row>
    <row r="205" spans="1:14" x14ac:dyDescent="0.25">
      <c r="A205" t="s">
        <v>1046</v>
      </c>
      <c r="B205" s="39">
        <f t="shared" si="12"/>
        <v>6</v>
      </c>
      <c r="C205" s="39" t="str">
        <f t="shared" si="13"/>
        <v>Corey</v>
      </c>
      <c r="D205" s="39" t="str">
        <f t="shared" si="14"/>
        <v>Perry</v>
      </c>
      <c r="E205" s="39" t="str">
        <f t="shared" si="15"/>
        <v>Corey Perry</v>
      </c>
      <c r="F205" t="s">
        <v>1017</v>
      </c>
      <c r="G205" t="s">
        <v>88</v>
      </c>
      <c r="H205" s="292">
        <v>8625000</v>
      </c>
      <c r="I205" s="292">
        <v>8625000</v>
      </c>
      <c r="J205" s="292">
        <v>9000000</v>
      </c>
      <c r="K205" s="292">
        <v>8000000</v>
      </c>
      <c r="L205" s="292">
        <v>7000000</v>
      </c>
      <c r="M205" s="292" t="s">
        <v>7</v>
      </c>
      <c r="N205" s="292">
        <v>0</v>
      </c>
    </row>
    <row r="206" spans="1:14" x14ac:dyDescent="0.25">
      <c r="A206" t="s">
        <v>516</v>
      </c>
      <c r="B206" s="39">
        <f t="shared" si="12"/>
        <v>5</v>
      </c>
      <c r="C206" s="39" t="str">
        <f t="shared" si="13"/>
        <v>Cory</v>
      </c>
      <c r="D206" s="39" t="str">
        <f t="shared" si="14"/>
        <v>Conacher</v>
      </c>
      <c r="E206" s="39" t="str">
        <f t="shared" si="15"/>
        <v>Cory Conacher</v>
      </c>
      <c r="F206" t="s">
        <v>1019</v>
      </c>
      <c r="G206" t="s">
        <v>93</v>
      </c>
      <c r="H206" s="292">
        <v>650000</v>
      </c>
      <c r="I206" s="292">
        <v>0</v>
      </c>
      <c r="J206" s="292">
        <v>650000</v>
      </c>
      <c r="K206" s="292" t="s">
        <v>7</v>
      </c>
      <c r="L206" s="292">
        <v>0</v>
      </c>
      <c r="M206" s="292">
        <v>0</v>
      </c>
      <c r="N206" s="292">
        <v>0</v>
      </c>
    </row>
    <row r="207" spans="1:14" x14ac:dyDescent="0.25">
      <c r="A207" t="s">
        <v>357</v>
      </c>
      <c r="B207" s="39">
        <f t="shared" si="12"/>
        <v>5</v>
      </c>
      <c r="C207" s="39" t="str">
        <f t="shared" si="13"/>
        <v>Cory</v>
      </c>
      <c r="D207" s="39" t="str">
        <f t="shared" si="14"/>
        <v>Schneider</v>
      </c>
      <c r="E207" s="39" t="str">
        <f t="shared" si="15"/>
        <v>Cory Schneider</v>
      </c>
      <c r="F207" t="s">
        <v>1038</v>
      </c>
      <c r="G207" t="s">
        <v>127</v>
      </c>
      <c r="H207" s="292">
        <v>6000000</v>
      </c>
      <c r="I207" s="292">
        <v>6000000</v>
      </c>
      <c r="J207" s="292">
        <v>6000000</v>
      </c>
      <c r="K207" s="292">
        <v>6000000</v>
      </c>
      <c r="L207" s="292">
        <v>6000000</v>
      </c>
      <c r="M207" s="292">
        <v>6000000</v>
      </c>
      <c r="N207" s="292" t="s">
        <v>7</v>
      </c>
    </row>
    <row r="208" spans="1:14" x14ac:dyDescent="0.25">
      <c r="A208" t="s">
        <v>766</v>
      </c>
      <c r="B208" s="39">
        <f t="shared" si="12"/>
        <v>6</v>
      </c>
      <c r="C208" s="39" t="str">
        <f t="shared" si="13"/>
        <v>Craig</v>
      </c>
      <c r="D208" s="39" t="str">
        <f t="shared" si="14"/>
        <v>Smith</v>
      </c>
      <c r="E208" s="39" t="str">
        <f t="shared" si="15"/>
        <v>Craig Smith</v>
      </c>
      <c r="F208" t="s">
        <v>1016</v>
      </c>
      <c r="G208" t="s">
        <v>88</v>
      </c>
      <c r="H208" s="292">
        <v>4250000</v>
      </c>
      <c r="I208" s="292">
        <v>4250000</v>
      </c>
      <c r="J208" s="292">
        <v>4500000</v>
      </c>
      <c r="K208" s="292">
        <v>4750000</v>
      </c>
      <c r="L208" s="292" t="s">
        <v>7</v>
      </c>
      <c r="M208" s="292">
        <v>0</v>
      </c>
      <c r="N208" s="292">
        <v>0</v>
      </c>
    </row>
    <row r="209" spans="1:14" x14ac:dyDescent="0.25">
      <c r="A209" t="s">
        <v>750</v>
      </c>
      <c r="B209" s="39">
        <f t="shared" si="12"/>
        <v>7</v>
      </c>
      <c r="C209" s="39" t="str">
        <f t="shared" si="13"/>
        <v>Curtis</v>
      </c>
      <c r="D209" s="39" t="str">
        <f t="shared" si="14"/>
        <v>Lazar</v>
      </c>
      <c r="E209" s="39" t="str">
        <f t="shared" si="15"/>
        <v>Curtis Lazar</v>
      </c>
      <c r="F209" t="s">
        <v>1031</v>
      </c>
      <c r="G209" t="s">
        <v>93</v>
      </c>
      <c r="H209" s="292">
        <v>950000</v>
      </c>
      <c r="I209" s="292">
        <v>0</v>
      </c>
      <c r="J209" s="292">
        <v>1050000</v>
      </c>
      <c r="K209" s="292" t="s">
        <v>8</v>
      </c>
      <c r="L209" s="292">
        <v>0</v>
      </c>
      <c r="M209" s="292">
        <v>0</v>
      </c>
      <c r="N209" s="292">
        <v>0</v>
      </c>
    </row>
    <row r="210" spans="1:14" x14ac:dyDescent="0.25">
      <c r="A210" t="s">
        <v>938</v>
      </c>
      <c r="B210" s="39">
        <f t="shared" si="12"/>
        <v>7</v>
      </c>
      <c r="C210" s="39" t="str">
        <f t="shared" si="13"/>
        <v>Curtis</v>
      </c>
      <c r="D210" s="39" t="str">
        <f t="shared" si="14"/>
        <v>McElhinney</v>
      </c>
      <c r="E210" s="39" t="str">
        <f t="shared" si="15"/>
        <v>Curtis McElhinney</v>
      </c>
      <c r="F210" t="s">
        <v>1034</v>
      </c>
      <c r="G210" t="s">
        <v>127</v>
      </c>
      <c r="H210" s="292">
        <v>850000</v>
      </c>
      <c r="I210" s="292">
        <v>0</v>
      </c>
      <c r="J210" s="292">
        <v>850000</v>
      </c>
      <c r="K210" s="292" t="s">
        <v>7</v>
      </c>
      <c r="L210" s="292">
        <v>0</v>
      </c>
      <c r="M210" s="292">
        <v>0</v>
      </c>
      <c r="N210" s="292">
        <v>0</v>
      </c>
    </row>
    <row r="211" spans="1:14" x14ac:dyDescent="0.25">
      <c r="A211" t="s">
        <v>878</v>
      </c>
      <c r="B211" s="39">
        <f t="shared" si="12"/>
        <v>5</v>
      </c>
      <c r="C211" s="39" t="str">
        <f t="shared" si="13"/>
        <v>Dale</v>
      </c>
      <c r="D211" s="39" t="str">
        <f t="shared" si="14"/>
        <v>Weise</v>
      </c>
      <c r="E211" s="39" t="str">
        <f t="shared" si="15"/>
        <v>Dale Weise</v>
      </c>
      <c r="F211" t="s">
        <v>1021</v>
      </c>
      <c r="G211" t="s">
        <v>88</v>
      </c>
      <c r="H211" s="292">
        <v>2350000</v>
      </c>
      <c r="I211" s="292">
        <v>2350000</v>
      </c>
      <c r="J211" s="292">
        <v>2350000</v>
      </c>
      <c r="K211" s="292">
        <v>1750000</v>
      </c>
      <c r="L211" s="292" t="s">
        <v>7</v>
      </c>
      <c r="M211" s="292">
        <v>0</v>
      </c>
      <c r="N211" s="292">
        <v>0</v>
      </c>
    </row>
    <row r="212" spans="1:14" x14ac:dyDescent="0.25">
      <c r="A212" t="s">
        <v>354</v>
      </c>
      <c r="B212" s="39">
        <f t="shared" si="12"/>
        <v>6</v>
      </c>
      <c r="C212" s="39" t="str">
        <f t="shared" si="13"/>
        <v>Damon</v>
      </c>
      <c r="D212" s="39" t="str">
        <f t="shared" si="14"/>
        <v>Severson</v>
      </c>
      <c r="E212" s="39" t="str">
        <f t="shared" si="15"/>
        <v>Damon Severson</v>
      </c>
      <c r="F212" t="s">
        <v>1038</v>
      </c>
      <c r="G212" t="s">
        <v>379</v>
      </c>
      <c r="H212" s="292">
        <v>4166670</v>
      </c>
      <c r="I212" s="292">
        <v>4166670</v>
      </c>
      <c r="J212" s="292">
        <v>3000000</v>
      </c>
      <c r="K212" s="292">
        <v>4675000</v>
      </c>
      <c r="L212" s="292">
        <v>4675000</v>
      </c>
      <c r="M212" s="292">
        <v>5050000</v>
      </c>
      <c r="N212" s="292">
        <v>5100000</v>
      </c>
    </row>
    <row r="213" spans="1:14" x14ac:dyDescent="0.25">
      <c r="A213" t="s">
        <v>1083</v>
      </c>
      <c r="B213" s="39">
        <f t="shared" si="12"/>
        <v>4</v>
      </c>
      <c r="C213" s="39" t="str">
        <f t="shared" si="13"/>
        <v>Dan</v>
      </c>
      <c r="D213" s="39" t="str">
        <f t="shared" si="14"/>
        <v>DeKeyser</v>
      </c>
      <c r="E213" s="39" t="str">
        <f t="shared" si="15"/>
        <v>Dan DeKeyser</v>
      </c>
      <c r="F213" t="s">
        <v>1035</v>
      </c>
      <c r="G213" t="s">
        <v>380</v>
      </c>
      <c r="H213" s="292">
        <v>5000000</v>
      </c>
      <c r="I213" s="292">
        <v>5000000</v>
      </c>
      <c r="J213" s="292">
        <v>5500000</v>
      </c>
      <c r="K213" s="292">
        <v>5500000</v>
      </c>
      <c r="L213" s="292">
        <v>4500000</v>
      </c>
      <c r="M213" s="292">
        <v>5000000</v>
      </c>
      <c r="N213" s="292" t="s">
        <v>7</v>
      </c>
    </row>
    <row r="214" spans="1:14" x14ac:dyDescent="0.25">
      <c r="A214" t="s">
        <v>519</v>
      </c>
      <c r="B214" s="39">
        <f t="shared" si="12"/>
        <v>4</v>
      </c>
      <c r="C214" s="39" t="str">
        <f t="shared" si="13"/>
        <v>Dan</v>
      </c>
      <c r="D214" s="39" t="str">
        <f t="shared" si="14"/>
        <v>Girardi</v>
      </c>
      <c r="E214" s="39" t="str">
        <f t="shared" si="15"/>
        <v>Dan Girardi</v>
      </c>
      <c r="F214" t="s">
        <v>1019</v>
      </c>
      <c r="G214" t="s">
        <v>379</v>
      </c>
      <c r="H214" s="292">
        <v>3000000</v>
      </c>
      <c r="I214" s="292">
        <v>0</v>
      </c>
      <c r="J214" s="292">
        <v>2750000</v>
      </c>
      <c r="K214" s="292" t="s">
        <v>7</v>
      </c>
      <c r="L214" s="292">
        <v>0</v>
      </c>
      <c r="M214" s="292">
        <v>0</v>
      </c>
      <c r="N214" s="292">
        <v>0</v>
      </c>
    </row>
    <row r="215" spans="1:14" x14ac:dyDescent="0.25">
      <c r="A215" t="s">
        <v>792</v>
      </c>
      <c r="B215" s="39">
        <f t="shared" si="12"/>
        <v>7</v>
      </c>
      <c r="C215" s="39" t="str">
        <f t="shared" si="13"/>
        <v>Daniel</v>
      </c>
      <c r="D215" s="39" t="str">
        <f t="shared" si="14"/>
        <v>Audette</v>
      </c>
      <c r="E215" s="39" t="str">
        <f t="shared" si="15"/>
        <v>Daniel Audette</v>
      </c>
      <c r="F215" t="s">
        <v>1023</v>
      </c>
      <c r="G215" t="s">
        <v>73</v>
      </c>
      <c r="H215" s="292">
        <v>650000</v>
      </c>
      <c r="I215" s="292">
        <v>0</v>
      </c>
      <c r="J215" s="292">
        <v>650000</v>
      </c>
      <c r="K215" s="292" t="s">
        <v>8</v>
      </c>
      <c r="L215" s="292">
        <v>0</v>
      </c>
      <c r="M215" s="292">
        <v>0</v>
      </c>
      <c r="N215" s="292">
        <v>0</v>
      </c>
    </row>
    <row r="216" spans="1:14" x14ac:dyDescent="0.25">
      <c r="A216" t="s">
        <v>551</v>
      </c>
      <c r="B216" s="39">
        <f t="shared" si="12"/>
        <v>7</v>
      </c>
      <c r="C216" s="39" t="str">
        <f t="shared" si="13"/>
        <v>Daniel</v>
      </c>
      <c r="D216" s="39" t="str">
        <f t="shared" si="14"/>
        <v>Vladar</v>
      </c>
      <c r="E216" s="39" t="str">
        <f t="shared" si="15"/>
        <v>Daniel Vladar</v>
      </c>
      <c r="F216" t="s">
        <v>1030</v>
      </c>
      <c r="G216" t="s">
        <v>127</v>
      </c>
      <c r="H216" s="292">
        <v>894167</v>
      </c>
      <c r="I216" s="292">
        <v>894167</v>
      </c>
      <c r="J216" s="292">
        <v>742500</v>
      </c>
      <c r="K216" s="292">
        <v>700000</v>
      </c>
      <c r="L216" s="292" t="s">
        <v>8</v>
      </c>
      <c r="M216" s="292">
        <v>0</v>
      </c>
      <c r="N216" s="292">
        <v>0</v>
      </c>
    </row>
    <row r="217" spans="1:14" x14ac:dyDescent="0.25">
      <c r="A217" t="s">
        <v>465</v>
      </c>
      <c r="B217" s="39">
        <f t="shared" si="12"/>
        <v>6</v>
      </c>
      <c r="C217" s="39" t="str">
        <f t="shared" si="13"/>
        <v>Dante</v>
      </c>
      <c r="D217" s="39" t="str">
        <f t="shared" si="14"/>
        <v>Salituro</v>
      </c>
      <c r="E217" s="39" t="str">
        <f t="shared" si="15"/>
        <v>Dante Salituro</v>
      </c>
      <c r="F217" t="s">
        <v>1025</v>
      </c>
      <c r="G217" t="s">
        <v>73</v>
      </c>
      <c r="H217" s="292">
        <v>733333</v>
      </c>
      <c r="I217" s="292">
        <v>0</v>
      </c>
      <c r="J217" s="292">
        <v>825000</v>
      </c>
      <c r="K217" s="292" t="s">
        <v>8</v>
      </c>
      <c r="L217" s="292">
        <v>0</v>
      </c>
      <c r="M217" s="292">
        <v>0</v>
      </c>
      <c r="N217" s="292">
        <v>0</v>
      </c>
    </row>
    <row r="218" spans="1:14" x14ac:dyDescent="0.25">
      <c r="A218" t="s">
        <v>239</v>
      </c>
      <c r="B218" s="39">
        <f t="shared" si="12"/>
        <v>7</v>
      </c>
      <c r="C218" s="39" t="str">
        <f t="shared" si="13"/>
        <v>Danton</v>
      </c>
      <c r="D218" s="39" t="str">
        <f t="shared" si="14"/>
        <v>Heinen</v>
      </c>
      <c r="E218" s="39" t="str">
        <f t="shared" si="15"/>
        <v>Danton Heinen</v>
      </c>
      <c r="F218" t="s">
        <v>1030</v>
      </c>
      <c r="G218" t="s">
        <v>88</v>
      </c>
      <c r="H218" s="292">
        <v>995833</v>
      </c>
      <c r="I218" s="292">
        <v>0</v>
      </c>
      <c r="J218" s="292">
        <v>925000</v>
      </c>
      <c r="K218" s="292" t="s">
        <v>8</v>
      </c>
      <c r="L218" s="292">
        <v>0</v>
      </c>
      <c r="M218" s="292">
        <v>0</v>
      </c>
      <c r="N218" s="292">
        <v>0</v>
      </c>
    </row>
    <row r="219" spans="1:14" x14ac:dyDescent="0.25">
      <c r="A219" t="s">
        <v>375</v>
      </c>
      <c r="B219" s="39">
        <f t="shared" si="12"/>
        <v>7</v>
      </c>
      <c r="C219" s="39" t="str">
        <f t="shared" si="13"/>
        <v>Darren</v>
      </c>
      <c r="D219" s="39" t="str">
        <f t="shared" si="14"/>
        <v>Helm</v>
      </c>
      <c r="E219" s="39" t="str">
        <f t="shared" si="15"/>
        <v>Darren Helm</v>
      </c>
      <c r="F219" t="s">
        <v>1035</v>
      </c>
      <c r="G219" t="s">
        <v>73</v>
      </c>
      <c r="H219" s="292">
        <v>3850000</v>
      </c>
      <c r="I219" s="292">
        <v>3850000</v>
      </c>
      <c r="J219" s="292">
        <v>3750000</v>
      </c>
      <c r="K219" s="292">
        <v>3000000</v>
      </c>
      <c r="L219" s="292">
        <v>3000000</v>
      </c>
      <c r="M219" s="292" t="s">
        <v>7</v>
      </c>
      <c r="N219" s="292">
        <v>0</v>
      </c>
    </row>
    <row r="220" spans="1:14" x14ac:dyDescent="0.25">
      <c r="A220" t="s">
        <v>837</v>
      </c>
      <c r="B220" s="39">
        <f t="shared" si="12"/>
        <v>5</v>
      </c>
      <c r="C220" s="39" t="str">
        <f t="shared" si="13"/>
        <v>Dave</v>
      </c>
      <c r="D220" s="39" t="str">
        <f t="shared" si="14"/>
        <v>Bolland</v>
      </c>
      <c r="E220" s="39" t="str">
        <f t="shared" si="15"/>
        <v>Dave Bolland</v>
      </c>
      <c r="F220" t="s">
        <v>1032</v>
      </c>
      <c r="G220" t="s">
        <v>73</v>
      </c>
      <c r="H220" s="292">
        <v>5500000</v>
      </c>
      <c r="I220" s="292">
        <v>0</v>
      </c>
      <c r="J220" s="292">
        <v>5500000</v>
      </c>
      <c r="K220" s="292" t="s">
        <v>7</v>
      </c>
      <c r="L220" s="292">
        <v>0</v>
      </c>
      <c r="M220" s="292">
        <v>0</v>
      </c>
      <c r="N220" s="292">
        <v>0</v>
      </c>
    </row>
    <row r="221" spans="1:14" x14ac:dyDescent="0.25">
      <c r="A221" t="s">
        <v>535</v>
      </c>
      <c r="B221" s="39">
        <f t="shared" si="12"/>
        <v>6</v>
      </c>
      <c r="C221" s="39" t="str">
        <f t="shared" si="13"/>
        <v>David</v>
      </c>
      <c r="D221" s="39" t="str">
        <f t="shared" si="14"/>
        <v>Backes</v>
      </c>
      <c r="E221" s="39" t="str">
        <f t="shared" si="15"/>
        <v>David Backes</v>
      </c>
      <c r="F221" t="s">
        <v>1030</v>
      </c>
      <c r="G221" t="s">
        <v>73</v>
      </c>
      <c r="H221" s="292">
        <v>6000000</v>
      </c>
      <c r="I221" s="292">
        <v>6000000</v>
      </c>
      <c r="J221" s="292">
        <v>6000000</v>
      </c>
      <c r="K221" s="292">
        <v>4000000</v>
      </c>
      <c r="L221" s="292">
        <v>4000000</v>
      </c>
      <c r="M221" s="292" t="s">
        <v>7</v>
      </c>
      <c r="N221" s="292">
        <v>0</v>
      </c>
    </row>
    <row r="222" spans="1:14" x14ac:dyDescent="0.25">
      <c r="A222" t="s">
        <v>798</v>
      </c>
      <c r="B222" s="39">
        <f t="shared" si="12"/>
        <v>6</v>
      </c>
      <c r="C222" s="39" t="str">
        <f t="shared" si="13"/>
        <v>David</v>
      </c>
      <c r="D222" s="39" t="str">
        <f t="shared" si="14"/>
        <v>Clarkson</v>
      </c>
      <c r="E222" s="39" t="str">
        <f t="shared" si="15"/>
        <v>David Clarkson</v>
      </c>
      <c r="F222" t="s">
        <v>1041</v>
      </c>
      <c r="G222" t="s">
        <v>88</v>
      </c>
      <c r="H222" s="292">
        <v>5250000</v>
      </c>
      <c r="I222" s="292">
        <v>5250000</v>
      </c>
      <c r="J222" s="292">
        <v>4750000</v>
      </c>
      <c r="K222" s="292">
        <v>3250000</v>
      </c>
      <c r="L222" s="292" t="s">
        <v>7</v>
      </c>
      <c r="M222" s="292">
        <v>0</v>
      </c>
      <c r="N222" s="292">
        <v>0</v>
      </c>
    </row>
    <row r="223" spans="1:14" x14ac:dyDescent="0.25">
      <c r="A223" t="s">
        <v>1130</v>
      </c>
      <c r="B223" s="39">
        <f t="shared" si="12"/>
        <v>6</v>
      </c>
      <c r="C223" s="39" t="str">
        <f t="shared" si="13"/>
        <v>David</v>
      </c>
      <c r="D223" s="39" t="str">
        <f t="shared" si="14"/>
        <v>Kampf</v>
      </c>
      <c r="E223" s="39" t="str">
        <f t="shared" si="15"/>
        <v>David Kampf</v>
      </c>
      <c r="F223" t="s">
        <v>1011</v>
      </c>
      <c r="G223" t="s">
        <v>73</v>
      </c>
      <c r="H223" s="292">
        <v>925000</v>
      </c>
      <c r="I223" s="292">
        <v>0</v>
      </c>
      <c r="J223" s="292">
        <v>925000</v>
      </c>
      <c r="K223" s="292" t="s">
        <v>8</v>
      </c>
      <c r="L223" s="292">
        <v>0</v>
      </c>
      <c r="M223" s="292">
        <v>0</v>
      </c>
      <c r="N223" s="292">
        <v>0</v>
      </c>
    </row>
    <row r="224" spans="1:14" x14ac:dyDescent="0.25">
      <c r="A224" t="s">
        <v>1054</v>
      </c>
      <c r="B224" s="39">
        <f t="shared" si="12"/>
        <v>6</v>
      </c>
      <c r="C224" s="39" t="str">
        <f t="shared" si="13"/>
        <v>David</v>
      </c>
      <c r="D224" s="39" t="str">
        <f t="shared" si="14"/>
        <v>Krejci</v>
      </c>
      <c r="E224" s="39" t="str">
        <f t="shared" si="15"/>
        <v>David Krejci</v>
      </c>
      <c r="F224" t="s">
        <v>1030</v>
      </c>
      <c r="G224" t="s">
        <v>73</v>
      </c>
      <c r="H224" s="292">
        <v>7250000</v>
      </c>
      <c r="I224" s="292">
        <v>7250000</v>
      </c>
      <c r="J224" s="292">
        <v>7500000</v>
      </c>
      <c r="K224" s="292">
        <v>7000000</v>
      </c>
      <c r="L224" s="292">
        <v>7000000</v>
      </c>
      <c r="M224" s="292" t="s">
        <v>7</v>
      </c>
      <c r="N224" s="292">
        <v>0</v>
      </c>
    </row>
    <row r="225" spans="1:14" x14ac:dyDescent="0.25">
      <c r="A225" t="s">
        <v>221</v>
      </c>
      <c r="B225" s="39">
        <f t="shared" si="12"/>
        <v>6</v>
      </c>
      <c r="C225" s="39" t="str">
        <f t="shared" si="13"/>
        <v>David</v>
      </c>
      <c r="D225" s="39" t="str">
        <f t="shared" si="14"/>
        <v>Pastrnak</v>
      </c>
      <c r="E225" s="39" t="str">
        <f t="shared" si="15"/>
        <v>David Pastrnak</v>
      </c>
      <c r="F225" t="s">
        <v>1030</v>
      </c>
      <c r="G225" t="s">
        <v>93</v>
      </c>
      <c r="H225" s="292">
        <v>6666670</v>
      </c>
      <c r="I225" s="292">
        <v>6666670</v>
      </c>
      <c r="J225" s="292">
        <v>8000000</v>
      </c>
      <c r="K225" s="292">
        <v>6800000</v>
      </c>
      <c r="L225" s="292">
        <v>4000000</v>
      </c>
      <c r="M225" s="292">
        <v>6800000</v>
      </c>
      <c r="N225" s="292">
        <v>6400000</v>
      </c>
    </row>
    <row r="226" spans="1:14" x14ac:dyDescent="0.25">
      <c r="A226" t="s">
        <v>637</v>
      </c>
      <c r="B226" s="39">
        <f t="shared" si="12"/>
        <v>6</v>
      </c>
      <c r="C226" s="39" t="str">
        <f t="shared" si="13"/>
        <v>David</v>
      </c>
      <c r="D226" s="39" t="str">
        <f t="shared" si="14"/>
        <v>Savard</v>
      </c>
      <c r="E226" s="39" t="str">
        <f t="shared" si="15"/>
        <v>David Savard</v>
      </c>
      <c r="F226" t="s">
        <v>1028</v>
      </c>
      <c r="G226" t="s">
        <v>379</v>
      </c>
      <c r="H226" s="292">
        <v>4250000</v>
      </c>
      <c r="I226" s="292">
        <v>4250000</v>
      </c>
      <c r="J226" s="292">
        <v>4750000</v>
      </c>
      <c r="K226" s="292">
        <v>5000000</v>
      </c>
      <c r="L226" s="292">
        <v>4000000</v>
      </c>
      <c r="M226" s="292" t="s">
        <v>7</v>
      </c>
      <c r="N226" s="292">
        <v>0</v>
      </c>
    </row>
    <row r="227" spans="1:14" x14ac:dyDescent="0.25">
      <c r="A227" t="s">
        <v>784</v>
      </c>
      <c r="B227" s="39">
        <f t="shared" si="12"/>
        <v>6</v>
      </c>
      <c r="C227" s="39" t="str">
        <f t="shared" si="13"/>
        <v>David</v>
      </c>
      <c r="D227" s="39" t="str">
        <f t="shared" si="14"/>
        <v>Schlemko</v>
      </c>
      <c r="E227" s="39" t="str">
        <f t="shared" si="15"/>
        <v>David Schlemko</v>
      </c>
      <c r="F227" t="s">
        <v>1023</v>
      </c>
      <c r="G227" t="s">
        <v>380</v>
      </c>
      <c r="H227" s="292">
        <v>2100000</v>
      </c>
      <c r="I227" s="292">
        <v>2100000</v>
      </c>
      <c r="J227" s="292">
        <v>1850000</v>
      </c>
      <c r="K227" s="292">
        <v>1800000</v>
      </c>
      <c r="L227" s="292" t="s">
        <v>7</v>
      </c>
      <c r="M227" s="292">
        <v>0</v>
      </c>
      <c r="N227" s="292">
        <v>0</v>
      </c>
    </row>
    <row r="228" spans="1:14" x14ac:dyDescent="0.25">
      <c r="A228" t="s">
        <v>927</v>
      </c>
      <c r="B228" s="39">
        <f t="shared" si="12"/>
        <v>6</v>
      </c>
      <c r="C228" s="39" t="str">
        <f t="shared" si="13"/>
        <v>David</v>
      </c>
      <c r="D228" s="39" t="str">
        <f t="shared" si="14"/>
        <v>Warsofsky</v>
      </c>
      <c r="E228" s="39" t="str">
        <f t="shared" si="15"/>
        <v>David Warsofsky</v>
      </c>
      <c r="F228" t="s">
        <v>1033</v>
      </c>
      <c r="G228" t="s">
        <v>380</v>
      </c>
      <c r="H228" s="292">
        <v>675000</v>
      </c>
      <c r="I228" s="292">
        <v>0</v>
      </c>
      <c r="J228" s="292">
        <v>700000</v>
      </c>
      <c r="K228" s="292" t="s">
        <v>7</v>
      </c>
      <c r="L228" s="292">
        <v>0</v>
      </c>
      <c r="M228" s="292">
        <v>0</v>
      </c>
      <c r="N228" s="292">
        <v>0</v>
      </c>
    </row>
    <row r="229" spans="1:14" x14ac:dyDescent="0.25">
      <c r="A229" t="s">
        <v>671</v>
      </c>
      <c r="B229" s="39">
        <f t="shared" si="12"/>
        <v>7</v>
      </c>
      <c r="C229" s="39" t="str">
        <f t="shared" si="13"/>
        <v>Dawson</v>
      </c>
      <c r="D229" s="39" t="str">
        <f t="shared" si="14"/>
        <v>Leedahl</v>
      </c>
      <c r="E229" s="39" t="str">
        <f t="shared" si="15"/>
        <v>Dawson Leedahl</v>
      </c>
      <c r="F229" t="s">
        <v>1018</v>
      </c>
      <c r="G229" t="s">
        <v>93</v>
      </c>
      <c r="H229" s="292">
        <v>825000</v>
      </c>
      <c r="I229" s="292">
        <v>825000</v>
      </c>
      <c r="J229" s="292">
        <v>732500</v>
      </c>
      <c r="K229" s="292">
        <v>785000</v>
      </c>
      <c r="L229" s="292" t="s">
        <v>8</v>
      </c>
      <c r="M229" s="292">
        <v>0</v>
      </c>
      <c r="N229" s="292">
        <v>0</v>
      </c>
    </row>
    <row r="230" spans="1:14" x14ac:dyDescent="0.25">
      <c r="A230" t="s">
        <v>600</v>
      </c>
      <c r="B230" s="39">
        <f t="shared" si="12"/>
        <v>6</v>
      </c>
      <c r="C230" s="39" t="str">
        <f t="shared" si="13"/>
        <v>Denis</v>
      </c>
      <c r="D230" s="39" t="str">
        <f t="shared" si="14"/>
        <v>Gurianov</v>
      </c>
      <c r="E230" s="39" t="str">
        <f t="shared" si="15"/>
        <v>Denis Gurianov</v>
      </c>
      <c r="F230" t="s">
        <v>1015</v>
      </c>
      <c r="G230" t="s">
        <v>88</v>
      </c>
      <c r="H230" s="292">
        <v>1675000</v>
      </c>
      <c r="I230" s="292">
        <v>0</v>
      </c>
      <c r="J230" s="292">
        <v>925000</v>
      </c>
      <c r="K230" s="292" t="s">
        <v>8</v>
      </c>
      <c r="L230" s="292">
        <v>0</v>
      </c>
      <c r="M230" s="292">
        <v>0</v>
      </c>
      <c r="N230" s="292">
        <v>0</v>
      </c>
    </row>
    <row r="231" spans="1:14" x14ac:dyDescent="0.25">
      <c r="A231" t="s">
        <v>477</v>
      </c>
      <c r="B231" s="39">
        <f t="shared" si="12"/>
        <v>6</v>
      </c>
      <c r="C231" s="39" t="str">
        <f t="shared" si="13"/>
        <v>Denis</v>
      </c>
      <c r="D231" s="39" t="str">
        <f t="shared" si="14"/>
        <v>Malgin</v>
      </c>
      <c r="E231" s="39" t="str">
        <f t="shared" si="15"/>
        <v>Denis Malgin</v>
      </c>
      <c r="F231" t="s">
        <v>1027</v>
      </c>
      <c r="G231" t="s">
        <v>73</v>
      </c>
      <c r="H231" s="292">
        <v>693333</v>
      </c>
      <c r="I231" s="292">
        <v>0</v>
      </c>
      <c r="J231" s="292">
        <v>715000</v>
      </c>
      <c r="K231" s="292" t="s">
        <v>8</v>
      </c>
      <c r="L231" s="292">
        <v>0</v>
      </c>
      <c r="M231" s="292">
        <v>0</v>
      </c>
      <c r="N231" s="292">
        <v>0</v>
      </c>
    </row>
    <row r="232" spans="1:14" x14ac:dyDescent="0.25">
      <c r="A232" t="s">
        <v>390</v>
      </c>
      <c r="B232" s="39">
        <f t="shared" si="12"/>
        <v>7</v>
      </c>
      <c r="C232" s="39" t="str">
        <f t="shared" si="13"/>
        <v>Dennis</v>
      </c>
      <c r="D232" s="39" t="str">
        <f t="shared" si="14"/>
        <v>Cholowski</v>
      </c>
      <c r="E232" s="39" t="str">
        <f t="shared" si="15"/>
        <v>Dennis Cholowski</v>
      </c>
      <c r="F232" t="s">
        <v>1035</v>
      </c>
      <c r="G232" t="s">
        <v>82</v>
      </c>
      <c r="H232" s="292">
        <v>925000</v>
      </c>
      <c r="I232" s="292">
        <v>925000</v>
      </c>
      <c r="J232" s="292">
        <v>925000</v>
      </c>
      <c r="K232" s="292">
        <v>925000</v>
      </c>
      <c r="L232" s="292" t="s">
        <v>8</v>
      </c>
      <c r="M232" s="292">
        <v>0</v>
      </c>
      <c r="N232" s="292">
        <v>0</v>
      </c>
    </row>
    <row r="233" spans="1:14" x14ac:dyDescent="0.25">
      <c r="A233" t="s">
        <v>527</v>
      </c>
      <c r="B233" s="39">
        <f t="shared" si="12"/>
        <v>7</v>
      </c>
      <c r="C233" s="39" t="str">
        <f t="shared" si="13"/>
        <v>Dennis</v>
      </c>
      <c r="D233" s="39" t="str">
        <f t="shared" si="14"/>
        <v>Yan</v>
      </c>
      <c r="E233" s="39" t="str">
        <f t="shared" si="15"/>
        <v>Dennis Yan</v>
      </c>
      <c r="F233" t="s">
        <v>1019</v>
      </c>
      <c r="G233" t="s">
        <v>93</v>
      </c>
      <c r="H233" s="292">
        <v>925000</v>
      </c>
      <c r="I233" s="292">
        <v>0</v>
      </c>
      <c r="J233" s="292">
        <v>742500</v>
      </c>
      <c r="K233" s="292" t="s">
        <v>8</v>
      </c>
      <c r="L233" s="292">
        <v>0</v>
      </c>
      <c r="M233" s="292">
        <v>0</v>
      </c>
      <c r="N233" s="292">
        <v>0</v>
      </c>
    </row>
    <row r="234" spans="1:14" x14ac:dyDescent="0.25">
      <c r="A234" t="s">
        <v>1142</v>
      </c>
      <c r="B234" s="39">
        <f t="shared" si="12"/>
        <v>7</v>
      </c>
      <c r="C234" s="39" t="str">
        <f t="shared" si="13"/>
        <v>Dereck</v>
      </c>
      <c r="D234" s="39" t="str">
        <f t="shared" si="14"/>
        <v>Baribeau</v>
      </c>
      <c r="E234" s="39" t="str">
        <f t="shared" si="15"/>
        <v>Dereck Baribeau</v>
      </c>
      <c r="F234" t="s">
        <v>1025</v>
      </c>
      <c r="G234" t="s">
        <v>127</v>
      </c>
      <c r="H234" s="292">
        <v>766667</v>
      </c>
      <c r="I234" s="292">
        <v>766667</v>
      </c>
      <c r="J234" s="292">
        <v>750000</v>
      </c>
      <c r="K234" s="292">
        <v>800000</v>
      </c>
      <c r="L234" s="292" t="s">
        <v>8</v>
      </c>
      <c r="M234" s="292">
        <v>0</v>
      </c>
      <c r="N234" s="292">
        <v>0</v>
      </c>
    </row>
    <row r="235" spans="1:14" x14ac:dyDescent="0.25">
      <c r="A235" t="s">
        <v>816</v>
      </c>
      <c r="B235" s="39">
        <f t="shared" si="12"/>
        <v>6</v>
      </c>
      <c r="C235" s="39" t="str">
        <f t="shared" si="13"/>
        <v>Derek</v>
      </c>
      <c r="D235" s="39" t="str">
        <f t="shared" si="14"/>
        <v>Dorsett</v>
      </c>
      <c r="E235" s="39" t="str">
        <f t="shared" si="15"/>
        <v>Derek Dorsett</v>
      </c>
      <c r="F235" t="s">
        <v>1037</v>
      </c>
      <c r="G235" t="s">
        <v>88</v>
      </c>
      <c r="H235" s="292">
        <v>2650000</v>
      </c>
      <c r="I235" s="292">
        <v>0</v>
      </c>
      <c r="J235" s="292">
        <v>2500000</v>
      </c>
      <c r="K235" s="292" t="s">
        <v>7</v>
      </c>
      <c r="L235" s="292">
        <v>0</v>
      </c>
      <c r="M235" s="292">
        <v>0</v>
      </c>
      <c r="N235" s="292">
        <v>0</v>
      </c>
    </row>
    <row r="236" spans="1:14" x14ac:dyDescent="0.25">
      <c r="A236" t="s">
        <v>1116</v>
      </c>
      <c r="B236" s="39">
        <f t="shared" si="12"/>
        <v>6</v>
      </c>
      <c r="C236" s="39" t="str">
        <f t="shared" si="13"/>
        <v>Derek</v>
      </c>
      <c r="D236" s="39" t="str">
        <f t="shared" si="14"/>
        <v>MacKenzie</v>
      </c>
      <c r="E236" s="39" t="str">
        <f t="shared" si="15"/>
        <v>Derek MacKenzie</v>
      </c>
      <c r="F236" t="s">
        <v>1027</v>
      </c>
      <c r="G236" t="s">
        <v>73</v>
      </c>
      <c r="H236" s="292">
        <v>1375000</v>
      </c>
      <c r="I236" s="292">
        <v>0</v>
      </c>
      <c r="J236" s="292">
        <v>1100000</v>
      </c>
      <c r="K236" s="292" t="s">
        <v>7</v>
      </c>
      <c r="L236" s="292">
        <v>0</v>
      </c>
      <c r="M236" s="292">
        <v>0</v>
      </c>
      <c r="N236" s="292">
        <v>0</v>
      </c>
    </row>
    <row r="237" spans="1:14" x14ac:dyDescent="0.25">
      <c r="A237" t="s">
        <v>1060</v>
      </c>
      <c r="B237" s="39">
        <f t="shared" si="12"/>
        <v>6</v>
      </c>
      <c r="C237" s="39" t="str">
        <f t="shared" si="13"/>
        <v>Derek</v>
      </c>
      <c r="D237" s="39" t="str">
        <f t="shared" si="14"/>
        <v>Stepan</v>
      </c>
      <c r="E237" s="39" t="str">
        <f t="shared" si="15"/>
        <v>Derek Stepan</v>
      </c>
      <c r="F237" t="s">
        <v>1032</v>
      </c>
      <c r="G237" t="s">
        <v>73</v>
      </c>
      <c r="H237" s="292">
        <v>6500000</v>
      </c>
      <c r="I237" s="292">
        <v>6500000</v>
      </c>
      <c r="J237" s="292">
        <v>6000000</v>
      </c>
      <c r="K237" s="292">
        <v>5000000</v>
      </c>
      <c r="L237" s="292">
        <v>5000000</v>
      </c>
      <c r="M237" s="292" t="s">
        <v>7</v>
      </c>
      <c r="N237" s="292">
        <v>0</v>
      </c>
    </row>
    <row r="238" spans="1:14" x14ac:dyDescent="0.25">
      <c r="A238" t="s">
        <v>209</v>
      </c>
      <c r="B238" s="39">
        <f t="shared" si="12"/>
        <v>7</v>
      </c>
      <c r="C238" s="39" t="str">
        <f t="shared" si="13"/>
        <v>Derick</v>
      </c>
      <c r="D238" s="39" t="str">
        <f t="shared" si="14"/>
        <v>Brassard</v>
      </c>
      <c r="E238" s="39" t="str">
        <f t="shared" si="15"/>
        <v>Derick Brassard</v>
      </c>
      <c r="F238" t="s">
        <v>1014</v>
      </c>
      <c r="G238" t="s">
        <v>73</v>
      </c>
      <c r="H238" s="292">
        <v>5000000</v>
      </c>
      <c r="I238" s="292">
        <v>0</v>
      </c>
      <c r="J238" s="292">
        <v>3500000</v>
      </c>
      <c r="K238" s="292" t="s">
        <v>7</v>
      </c>
      <c r="L238" s="292">
        <v>0</v>
      </c>
      <c r="M238" s="292">
        <v>0</v>
      </c>
      <c r="N238" s="292">
        <v>0</v>
      </c>
    </row>
    <row r="239" spans="1:14" x14ac:dyDescent="0.25">
      <c r="A239" t="s">
        <v>256</v>
      </c>
      <c r="B239" s="39">
        <f t="shared" si="12"/>
        <v>6</v>
      </c>
      <c r="C239" s="39" t="str">
        <f t="shared" si="13"/>
        <v>Devan</v>
      </c>
      <c r="D239" s="39" t="str">
        <f t="shared" si="14"/>
        <v>Dubnyk</v>
      </c>
      <c r="E239" s="39" t="str">
        <f t="shared" si="15"/>
        <v>Devan Dubnyk</v>
      </c>
      <c r="F239" t="s">
        <v>1025</v>
      </c>
      <c r="G239" t="s">
        <v>127</v>
      </c>
      <c r="H239" s="292">
        <v>4333330</v>
      </c>
      <c r="I239" s="292">
        <v>4333330</v>
      </c>
      <c r="J239" s="292">
        <v>5000000</v>
      </c>
      <c r="K239" s="292">
        <v>3500000</v>
      </c>
      <c r="L239" s="292">
        <v>2500000</v>
      </c>
      <c r="M239" s="292" t="s">
        <v>7</v>
      </c>
      <c r="N239" s="292">
        <v>0</v>
      </c>
    </row>
    <row r="240" spans="1:14" x14ac:dyDescent="0.25">
      <c r="A240" t="s">
        <v>739</v>
      </c>
      <c r="B240" s="39">
        <f t="shared" si="12"/>
        <v>8</v>
      </c>
      <c r="C240" s="39" t="str">
        <f t="shared" si="13"/>
        <v>Devante</v>
      </c>
      <c r="D240" s="39" t="str">
        <f t="shared" si="14"/>
        <v>Stephens</v>
      </c>
      <c r="E240" s="39" t="str">
        <f t="shared" si="15"/>
        <v>Devante Stephens</v>
      </c>
      <c r="F240" t="s">
        <v>1039</v>
      </c>
      <c r="G240" t="s">
        <v>82</v>
      </c>
      <c r="H240" s="292">
        <v>766670</v>
      </c>
      <c r="I240" s="292">
        <v>766670</v>
      </c>
      <c r="J240" s="292">
        <v>722222</v>
      </c>
      <c r="K240" s="292">
        <v>777777</v>
      </c>
      <c r="L240" s="292" t="s">
        <v>8</v>
      </c>
      <c r="M240" s="292">
        <v>0</v>
      </c>
      <c r="N240" s="292">
        <v>0</v>
      </c>
    </row>
    <row r="241" spans="1:14" x14ac:dyDescent="0.25">
      <c r="A241" t="s">
        <v>719</v>
      </c>
      <c r="B241" s="39">
        <f t="shared" si="12"/>
        <v>6</v>
      </c>
      <c r="C241" s="39" t="str">
        <f t="shared" si="13"/>
        <v>Deven</v>
      </c>
      <c r="D241" s="39" t="str">
        <f t="shared" si="14"/>
        <v>Sideroff</v>
      </c>
      <c r="E241" s="39" t="str">
        <f t="shared" si="15"/>
        <v>Deven Sideroff</v>
      </c>
      <c r="F241" t="s">
        <v>1017</v>
      </c>
      <c r="G241" t="s">
        <v>88</v>
      </c>
      <c r="H241" s="292">
        <v>910833</v>
      </c>
      <c r="I241" s="292">
        <v>910833</v>
      </c>
      <c r="J241" s="292">
        <v>742500</v>
      </c>
      <c r="K241" s="292">
        <v>700000</v>
      </c>
      <c r="L241" s="292" t="s">
        <v>8</v>
      </c>
      <c r="M241" s="292">
        <v>0</v>
      </c>
      <c r="N241" s="292">
        <v>0</v>
      </c>
    </row>
    <row r="242" spans="1:14" x14ac:dyDescent="0.25">
      <c r="A242" t="s">
        <v>1124</v>
      </c>
      <c r="B242" s="39">
        <f t="shared" si="12"/>
        <v>7</v>
      </c>
      <c r="C242" s="39" t="str">
        <f t="shared" si="13"/>
        <v>Dillon</v>
      </c>
      <c r="D242" s="39" t="str">
        <f t="shared" si="14"/>
        <v>Dube</v>
      </c>
      <c r="E242" s="39" t="str">
        <f t="shared" si="15"/>
        <v>Dillon Dube</v>
      </c>
      <c r="F242" t="s">
        <v>1031</v>
      </c>
      <c r="G242" t="s">
        <v>73</v>
      </c>
      <c r="H242" s="292">
        <v>925000</v>
      </c>
      <c r="I242" s="292">
        <v>925000</v>
      </c>
      <c r="J242" s="292">
        <v>742500</v>
      </c>
      <c r="K242" s="292">
        <v>892500</v>
      </c>
      <c r="L242" s="292" t="s">
        <v>8</v>
      </c>
      <c r="M242" s="292">
        <v>0</v>
      </c>
      <c r="N242" s="292">
        <v>0</v>
      </c>
    </row>
    <row r="243" spans="1:14" x14ac:dyDescent="0.25">
      <c r="A243" t="s">
        <v>496</v>
      </c>
      <c r="B243" s="39">
        <f t="shared" si="12"/>
        <v>5</v>
      </c>
      <c r="C243" s="39" t="str">
        <f t="shared" si="13"/>
        <v>Dion</v>
      </c>
      <c r="D243" s="39" t="str">
        <f t="shared" si="14"/>
        <v>Phaneuf</v>
      </c>
      <c r="E243" s="39" t="str">
        <f t="shared" si="15"/>
        <v>Dion Phaneuf</v>
      </c>
      <c r="F243" t="s">
        <v>1012</v>
      </c>
      <c r="G243" t="s">
        <v>380</v>
      </c>
      <c r="H243" s="292">
        <v>7000000</v>
      </c>
      <c r="I243" s="292">
        <v>7000000</v>
      </c>
      <c r="J243" s="292">
        <v>6500000</v>
      </c>
      <c r="K243" s="292">
        <v>6500000</v>
      </c>
      <c r="L243" s="292">
        <v>5500000</v>
      </c>
      <c r="M243" s="292" t="s">
        <v>7</v>
      </c>
      <c r="N243" s="292">
        <v>0</v>
      </c>
    </row>
    <row r="244" spans="1:14" x14ac:dyDescent="0.25">
      <c r="A244" t="s">
        <v>1081</v>
      </c>
      <c r="B244" s="39">
        <f t="shared" si="12"/>
        <v>7</v>
      </c>
      <c r="C244" s="39" t="str">
        <f t="shared" si="13"/>
        <v>Dmitri</v>
      </c>
      <c r="D244" s="39" t="str">
        <f t="shared" si="14"/>
        <v>Orlov</v>
      </c>
      <c r="E244" s="39" t="str">
        <f t="shared" si="15"/>
        <v>Dmitri Orlov</v>
      </c>
      <c r="F244" t="s">
        <v>1013</v>
      </c>
      <c r="G244" t="s">
        <v>380</v>
      </c>
      <c r="H244" s="292">
        <v>5100000</v>
      </c>
      <c r="I244" s="292">
        <v>5100000</v>
      </c>
      <c r="J244" s="292">
        <v>6500000</v>
      </c>
      <c r="K244" s="292">
        <v>6500000</v>
      </c>
      <c r="L244" s="292">
        <v>4500000</v>
      </c>
      <c r="M244" s="292">
        <v>3300000</v>
      </c>
      <c r="N244" s="292">
        <v>3300000</v>
      </c>
    </row>
    <row r="245" spans="1:14" x14ac:dyDescent="0.25">
      <c r="A245" t="s">
        <v>185</v>
      </c>
      <c r="B245" s="39">
        <f t="shared" si="12"/>
        <v>7</v>
      </c>
      <c r="C245" s="39" t="str">
        <f t="shared" si="13"/>
        <v>Dmitri</v>
      </c>
      <c r="D245" s="39" t="str">
        <f t="shared" si="14"/>
        <v>Samorukov</v>
      </c>
      <c r="E245" s="39" t="str">
        <f t="shared" si="15"/>
        <v>Dmitri Samorukov</v>
      </c>
      <c r="F245" t="s">
        <v>1020</v>
      </c>
      <c r="G245" t="s">
        <v>82</v>
      </c>
      <c r="H245" s="292">
        <v>925000</v>
      </c>
      <c r="I245" s="292">
        <v>925000</v>
      </c>
      <c r="J245" s="292">
        <v>892500</v>
      </c>
      <c r="K245" s="292">
        <v>925000</v>
      </c>
      <c r="L245" s="292" t="s">
        <v>8</v>
      </c>
      <c r="M245" s="292">
        <v>0</v>
      </c>
      <c r="N245" s="292">
        <v>0</v>
      </c>
    </row>
    <row r="246" spans="1:14" x14ac:dyDescent="0.25">
      <c r="A246" t="s">
        <v>419</v>
      </c>
      <c r="B246" s="39">
        <f t="shared" si="12"/>
        <v>8</v>
      </c>
      <c r="C246" s="39" t="str">
        <f t="shared" si="13"/>
        <v>Dmitrii</v>
      </c>
      <c r="D246" s="39" t="str">
        <f t="shared" si="14"/>
        <v>Sergeev</v>
      </c>
      <c r="E246" s="39" t="str">
        <f t="shared" si="15"/>
        <v>Dmitrii Sergeev</v>
      </c>
      <c r="F246" t="s">
        <v>1026</v>
      </c>
      <c r="G246" t="s">
        <v>82</v>
      </c>
      <c r="H246" s="292">
        <v>644167</v>
      </c>
      <c r="I246" s="292">
        <v>0</v>
      </c>
      <c r="J246" s="292">
        <v>650000</v>
      </c>
      <c r="K246" s="292" t="s">
        <v>8</v>
      </c>
      <c r="L246" s="292">
        <v>0</v>
      </c>
      <c r="M246" s="292">
        <v>0</v>
      </c>
      <c r="N246" s="292">
        <v>0</v>
      </c>
    </row>
    <row r="247" spans="1:14" x14ac:dyDescent="0.25">
      <c r="A247" t="s">
        <v>866</v>
      </c>
      <c r="B247" s="39">
        <f t="shared" si="12"/>
        <v>7</v>
      </c>
      <c r="C247" s="39" t="str">
        <f t="shared" si="13"/>
        <v>Dmitry</v>
      </c>
      <c r="D247" s="39" t="str">
        <f t="shared" si="14"/>
        <v>Kulikov</v>
      </c>
      <c r="E247" s="39" t="str">
        <f t="shared" si="15"/>
        <v>Dmitry Kulikov</v>
      </c>
      <c r="F247" t="s">
        <v>1024</v>
      </c>
      <c r="G247" t="s">
        <v>380</v>
      </c>
      <c r="H247" s="292">
        <v>4333330</v>
      </c>
      <c r="I247" s="292">
        <v>4333330</v>
      </c>
      <c r="J247" s="292">
        <v>4333330</v>
      </c>
      <c r="K247" s="292">
        <v>4333330</v>
      </c>
      <c r="L247" s="292" t="s">
        <v>7</v>
      </c>
      <c r="M247" s="292">
        <v>0</v>
      </c>
      <c r="N247" s="292">
        <v>0</v>
      </c>
    </row>
    <row r="248" spans="1:14" x14ac:dyDescent="0.25">
      <c r="A248" t="s">
        <v>947</v>
      </c>
      <c r="B248" s="39">
        <f t="shared" si="12"/>
        <v>7</v>
      </c>
      <c r="C248" s="39" t="str">
        <f t="shared" si="13"/>
        <v>Dmytro</v>
      </c>
      <c r="D248" s="39" t="str">
        <f t="shared" si="14"/>
        <v>Timashov</v>
      </c>
      <c r="E248" s="39" t="str">
        <f t="shared" si="15"/>
        <v>Dmytro Timashov</v>
      </c>
      <c r="F248" t="s">
        <v>1034</v>
      </c>
      <c r="G248" t="s">
        <v>93</v>
      </c>
      <c r="H248" s="292">
        <v>835000</v>
      </c>
      <c r="I248" s="292">
        <v>835000</v>
      </c>
      <c r="J248" s="292">
        <v>650000</v>
      </c>
      <c r="K248" s="292">
        <v>700000</v>
      </c>
      <c r="L248" s="292" t="s">
        <v>8</v>
      </c>
      <c r="M248" s="292">
        <v>0</v>
      </c>
      <c r="N248" s="292">
        <v>0</v>
      </c>
    </row>
    <row r="249" spans="1:14" x14ac:dyDescent="0.25">
      <c r="A249" t="s">
        <v>913</v>
      </c>
      <c r="B249" s="39">
        <f t="shared" si="12"/>
        <v>8</v>
      </c>
      <c r="C249" s="39" t="str">
        <f t="shared" si="13"/>
        <v>Dominic</v>
      </c>
      <c r="D249" s="39" t="str">
        <f t="shared" si="14"/>
        <v>Toninato</v>
      </c>
      <c r="E249" s="39" t="str">
        <f t="shared" si="15"/>
        <v>Dominic Toninato</v>
      </c>
      <c r="F249" t="s">
        <v>1033</v>
      </c>
      <c r="G249" t="s">
        <v>73</v>
      </c>
      <c r="H249" s="292">
        <v>925000</v>
      </c>
      <c r="I249" s="292">
        <v>0</v>
      </c>
      <c r="J249" s="292">
        <v>925000</v>
      </c>
      <c r="K249" s="292" t="s">
        <v>8</v>
      </c>
      <c r="L249" s="292">
        <v>0</v>
      </c>
      <c r="M249" s="292">
        <v>0</v>
      </c>
      <c r="N249" s="292">
        <v>0</v>
      </c>
    </row>
    <row r="250" spans="1:14" x14ac:dyDescent="0.25">
      <c r="A250" t="s">
        <v>396</v>
      </c>
      <c r="B250" s="39">
        <f t="shared" si="12"/>
        <v>8</v>
      </c>
      <c r="C250" s="39" t="str">
        <f t="shared" si="13"/>
        <v>Dominic</v>
      </c>
      <c r="D250" s="39" t="str">
        <f t="shared" si="14"/>
        <v>Turgeon</v>
      </c>
      <c r="E250" s="39" t="str">
        <f t="shared" si="15"/>
        <v>Dominic Turgeon</v>
      </c>
      <c r="F250" t="s">
        <v>1035</v>
      </c>
      <c r="G250" t="s">
        <v>73</v>
      </c>
      <c r="H250" s="292">
        <v>894167</v>
      </c>
      <c r="I250" s="292">
        <v>0</v>
      </c>
      <c r="J250" s="292">
        <v>650000</v>
      </c>
      <c r="K250" s="292" t="s">
        <v>8</v>
      </c>
      <c r="L250" s="292">
        <v>0</v>
      </c>
      <c r="M250" s="292">
        <v>0</v>
      </c>
      <c r="N250" s="292">
        <v>0</v>
      </c>
    </row>
    <row r="251" spans="1:14" x14ac:dyDescent="0.25">
      <c r="A251" t="s">
        <v>525</v>
      </c>
      <c r="B251" s="39">
        <f t="shared" si="12"/>
        <v>8</v>
      </c>
      <c r="C251" s="39" t="str">
        <f t="shared" si="13"/>
        <v>Dominik</v>
      </c>
      <c r="D251" s="39" t="str">
        <f t="shared" si="14"/>
        <v>Masin</v>
      </c>
      <c r="E251" s="39" t="str">
        <f t="shared" si="15"/>
        <v>Dominik Masin</v>
      </c>
      <c r="F251" t="s">
        <v>1019</v>
      </c>
      <c r="G251" t="s">
        <v>82</v>
      </c>
      <c r="H251" s="292">
        <v>894167</v>
      </c>
      <c r="I251" s="292">
        <v>0</v>
      </c>
      <c r="J251" s="292">
        <v>832500</v>
      </c>
      <c r="K251" s="292" t="s">
        <v>8</v>
      </c>
      <c r="L251" s="292">
        <v>0</v>
      </c>
      <c r="M251" s="292">
        <v>0</v>
      </c>
      <c r="N251" s="292">
        <v>0</v>
      </c>
    </row>
    <row r="252" spans="1:14" x14ac:dyDescent="0.25">
      <c r="A252" t="s">
        <v>270</v>
      </c>
      <c r="B252" s="39">
        <f t="shared" si="12"/>
        <v>7</v>
      </c>
      <c r="C252" s="39" t="str">
        <f t="shared" si="13"/>
        <v>Dougie</v>
      </c>
      <c r="D252" s="39" t="str">
        <f t="shared" si="14"/>
        <v>Hamilton</v>
      </c>
      <c r="E252" s="39" t="str">
        <f t="shared" si="15"/>
        <v>Dougie Hamilton</v>
      </c>
      <c r="F252" t="s">
        <v>1036</v>
      </c>
      <c r="G252" t="s">
        <v>379</v>
      </c>
      <c r="H252" s="292">
        <v>5750000</v>
      </c>
      <c r="I252" s="292">
        <v>5750000</v>
      </c>
      <c r="J252" s="292">
        <v>5750000</v>
      </c>
      <c r="K252" s="292">
        <v>6000000</v>
      </c>
      <c r="L252" s="292">
        <v>6000000</v>
      </c>
      <c r="M252" s="292" t="s">
        <v>7</v>
      </c>
      <c r="N252" s="292">
        <v>0</v>
      </c>
    </row>
    <row r="253" spans="1:14" x14ac:dyDescent="0.25">
      <c r="A253" t="s">
        <v>651</v>
      </c>
      <c r="B253" s="39">
        <f t="shared" si="12"/>
        <v>6</v>
      </c>
      <c r="C253" s="39" t="str">
        <f t="shared" si="13"/>
        <v>Doyle</v>
      </c>
      <c r="D253" s="39" t="str">
        <f t="shared" si="14"/>
        <v>Somerby</v>
      </c>
      <c r="E253" s="39" t="str">
        <f t="shared" si="15"/>
        <v>Doyle Somerby</v>
      </c>
      <c r="F253" t="s">
        <v>1028</v>
      </c>
      <c r="G253" t="s">
        <v>82</v>
      </c>
      <c r="H253" s="292">
        <v>750000</v>
      </c>
      <c r="I253" s="292">
        <v>0</v>
      </c>
      <c r="J253" s="292">
        <v>725000</v>
      </c>
      <c r="K253" s="292" t="s">
        <v>8</v>
      </c>
      <c r="L253" s="292">
        <v>0</v>
      </c>
      <c r="M253" s="292">
        <v>0</v>
      </c>
      <c r="N253" s="292">
        <v>0</v>
      </c>
    </row>
    <row r="254" spans="1:14" x14ac:dyDescent="0.25">
      <c r="A254" t="s">
        <v>1055</v>
      </c>
      <c r="B254" s="39">
        <f t="shared" si="12"/>
        <v>5</v>
      </c>
      <c r="C254" s="39" t="str">
        <f t="shared" si="13"/>
        <v>Drew</v>
      </c>
      <c r="D254" s="39" t="str">
        <f t="shared" si="14"/>
        <v>Doughty</v>
      </c>
      <c r="E254" s="39" t="str">
        <f t="shared" si="15"/>
        <v>Drew Doughty</v>
      </c>
      <c r="F254" t="s">
        <v>1012</v>
      </c>
      <c r="G254" t="s">
        <v>379</v>
      </c>
      <c r="H254" s="292">
        <v>7000000</v>
      </c>
      <c r="I254" s="292">
        <v>0</v>
      </c>
      <c r="J254" s="292">
        <v>7650000</v>
      </c>
      <c r="K254" s="292" t="s">
        <v>7</v>
      </c>
      <c r="L254" s="292">
        <v>0</v>
      </c>
      <c r="M254" s="292">
        <v>0</v>
      </c>
      <c r="N254" s="292">
        <v>0</v>
      </c>
    </row>
    <row r="255" spans="1:14" x14ac:dyDescent="0.25">
      <c r="A255" t="s">
        <v>485</v>
      </c>
      <c r="B255" s="39">
        <f t="shared" si="12"/>
        <v>7</v>
      </c>
      <c r="C255" s="39" t="str">
        <f t="shared" si="13"/>
        <v>Dryden</v>
      </c>
      <c r="D255" s="39" t="str">
        <f t="shared" si="14"/>
        <v>Hunt</v>
      </c>
      <c r="E255" s="39" t="str">
        <f t="shared" si="15"/>
        <v>Dryden Hunt</v>
      </c>
      <c r="F255" t="s">
        <v>1027</v>
      </c>
      <c r="G255" t="s">
        <v>93</v>
      </c>
      <c r="H255" s="292">
        <v>809167</v>
      </c>
      <c r="I255" s="292">
        <v>0</v>
      </c>
      <c r="J255" s="292">
        <v>867500</v>
      </c>
      <c r="K255" s="292" t="s">
        <v>8</v>
      </c>
      <c r="L255" s="292">
        <v>0</v>
      </c>
      <c r="M255" s="292">
        <v>0</v>
      </c>
      <c r="N255" s="292">
        <v>0</v>
      </c>
    </row>
    <row r="256" spans="1:14" x14ac:dyDescent="0.25">
      <c r="A256" t="s">
        <v>219</v>
      </c>
      <c r="B256" s="39">
        <f t="shared" si="12"/>
        <v>7</v>
      </c>
      <c r="C256" s="39" t="str">
        <f t="shared" si="13"/>
        <v>Duncan</v>
      </c>
      <c r="D256" s="39" t="str">
        <f t="shared" si="14"/>
        <v>Keith</v>
      </c>
      <c r="E256" s="39" t="str">
        <f t="shared" si="15"/>
        <v>Duncan Keith</v>
      </c>
      <c r="F256" t="s">
        <v>1011</v>
      </c>
      <c r="G256" t="s">
        <v>380</v>
      </c>
      <c r="H256" s="292">
        <v>5550770</v>
      </c>
      <c r="I256" s="292">
        <v>5550770</v>
      </c>
      <c r="J256" s="292">
        <v>4500000</v>
      </c>
      <c r="K256" s="292">
        <v>3500000</v>
      </c>
      <c r="L256" s="292">
        <v>2650000</v>
      </c>
      <c r="M256" s="292">
        <v>2100000</v>
      </c>
      <c r="N256" s="292">
        <v>1650000</v>
      </c>
    </row>
    <row r="257" spans="1:14" x14ac:dyDescent="0.25">
      <c r="A257" t="s">
        <v>490</v>
      </c>
      <c r="B257" s="39">
        <f t="shared" si="12"/>
        <v>7</v>
      </c>
      <c r="C257" s="39" t="str">
        <f t="shared" si="13"/>
        <v>Dustin</v>
      </c>
      <c r="D257" s="39" t="str">
        <f t="shared" si="14"/>
        <v>Brown</v>
      </c>
      <c r="E257" s="39" t="str">
        <f t="shared" si="15"/>
        <v>Dustin Brown</v>
      </c>
      <c r="F257" t="s">
        <v>1012</v>
      </c>
      <c r="G257" t="s">
        <v>88</v>
      </c>
      <c r="H257" s="292">
        <v>5875000</v>
      </c>
      <c r="I257" s="292">
        <v>5875000</v>
      </c>
      <c r="J257" s="292">
        <v>5500000</v>
      </c>
      <c r="K257" s="292">
        <v>5500000</v>
      </c>
      <c r="L257" s="292">
        <v>4000000</v>
      </c>
      <c r="M257" s="292">
        <v>4000000</v>
      </c>
      <c r="N257" s="292" t="s">
        <v>7</v>
      </c>
    </row>
    <row r="258" spans="1:14" x14ac:dyDescent="0.25">
      <c r="A258" t="s">
        <v>293</v>
      </c>
      <c r="B258" s="39">
        <f t="shared" si="12"/>
        <v>7</v>
      </c>
      <c r="C258" s="39" t="str">
        <f t="shared" si="13"/>
        <v>Dustin</v>
      </c>
      <c r="D258" s="39" t="str">
        <f t="shared" si="14"/>
        <v>Byfuglien</v>
      </c>
      <c r="E258" s="39" t="str">
        <f t="shared" si="15"/>
        <v>Dustin Byfuglien</v>
      </c>
      <c r="F258" t="s">
        <v>1024</v>
      </c>
      <c r="G258" t="s">
        <v>379</v>
      </c>
      <c r="H258" s="292">
        <v>7600000</v>
      </c>
      <c r="I258" s="292">
        <v>7600000</v>
      </c>
      <c r="J258" s="292">
        <v>8000000</v>
      </c>
      <c r="K258" s="292">
        <v>8000000</v>
      </c>
      <c r="L258" s="292">
        <v>6000000</v>
      </c>
      <c r="M258" s="292" t="s">
        <v>7</v>
      </c>
      <c r="N258" s="292">
        <v>0</v>
      </c>
    </row>
    <row r="259" spans="1:14" x14ac:dyDescent="0.25">
      <c r="A259" t="s">
        <v>810</v>
      </c>
      <c r="B259" s="39">
        <f t="shared" ref="B259:B322" si="16">SEARCH(" ",A259,1)</f>
        <v>6</v>
      </c>
      <c r="C259" s="39" t="str">
        <f t="shared" ref="C259:C322" si="17">LEFT(A259,B259-1)</f>
        <v>Dylan</v>
      </c>
      <c r="D259" s="39" t="str">
        <f t="shared" ref="D259:D322" si="18">MID(A259,B259+1,LEN(A259)-B259)</f>
        <v>Coghlan</v>
      </c>
      <c r="E259" s="39" t="str">
        <f t="shared" ref="E259:E322" si="19">C259&amp;" "&amp;D259</f>
        <v>Dylan Coghlan</v>
      </c>
      <c r="F259" t="s">
        <v>1041</v>
      </c>
      <c r="G259" t="s">
        <v>82</v>
      </c>
      <c r="H259" s="292">
        <v>731667</v>
      </c>
      <c r="I259" s="292">
        <v>731667</v>
      </c>
      <c r="J259" s="292">
        <v>750000</v>
      </c>
      <c r="K259" s="292">
        <v>750000</v>
      </c>
      <c r="L259" s="292" t="s">
        <v>8</v>
      </c>
      <c r="M259" s="292">
        <v>0</v>
      </c>
      <c r="N259" s="292">
        <v>0</v>
      </c>
    </row>
    <row r="260" spans="1:14" x14ac:dyDescent="0.25">
      <c r="A260" t="s">
        <v>809</v>
      </c>
      <c r="B260" s="39">
        <f t="shared" si="16"/>
        <v>6</v>
      </c>
      <c r="C260" s="39" t="str">
        <f t="shared" si="17"/>
        <v>Dylan</v>
      </c>
      <c r="D260" s="39" t="str">
        <f t="shared" si="18"/>
        <v>Ferguson</v>
      </c>
      <c r="E260" s="39" t="str">
        <f t="shared" si="19"/>
        <v>Dylan Ferguson</v>
      </c>
      <c r="F260" t="s">
        <v>1041</v>
      </c>
      <c r="G260" t="s">
        <v>127</v>
      </c>
      <c r="H260" s="292">
        <v>716667</v>
      </c>
      <c r="I260" s="292">
        <v>716667</v>
      </c>
      <c r="J260" s="292">
        <v>700000</v>
      </c>
      <c r="K260" s="292">
        <v>750000</v>
      </c>
      <c r="L260" s="292" t="s">
        <v>8</v>
      </c>
      <c r="M260" s="292">
        <v>0</v>
      </c>
      <c r="N260" s="292">
        <v>0</v>
      </c>
    </row>
    <row r="261" spans="1:14" x14ac:dyDescent="0.25">
      <c r="A261" t="s">
        <v>397</v>
      </c>
      <c r="B261" s="39">
        <f t="shared" si="16"/>
        <v>6</v>
      </c>
      <c r="C261" s="39" t="str">
        <f t="shared" si="17"/>
        <v>Dylan</v>
      </c>
      <c r="D261" s="39" t="str">
        <f t="shared" si="18"/>
        <v>McIlrath</v>
      </c>
      <c r="E261" s="39" t="str">
        <f t="shared" si="19"/>
        <v>Dylan McIlrath</v>
      </c>
      <c r="F261" t="s">
        <v>1035</v>
      </c>
      <c r="G261" t="s">
        <v>82</v>
      </c>
      <c r="H261" s="292">
        <v>650000</v>
      </c>
      <c r="I261" s="292">
        <v>0</v>
      </c>
      <c r="J261" s="292">
        <v>650000</v>
      </c>
      <c r="K261" s="292" t="s">
        <v>7</v>
      </c>
      <c r="L261" s="292">
        <v>0</v>
      </c>
      <c r="M261" s="292">
        <v>0</v>
      </c>
      <c r="N261" s="292">
        <v>0</v>
      </c>
    </row>
    <row r="262" spans="1:14" x14ac:dyDescent="0.25">
      <c r="A262" t="s">
        <v>391</v>
      </c>
      <c r="B262" s="39">
        <f t="shared" si="16"/>
        <v>6</v>
      </c>
      <c r="C262" s="39" t="str">
        <f t="shared" si="17"/>
        <v>Dylan</v>
      </c>
      <c r="D262" s="39" t="str">
        <f t="shared" si="18"/>
        <v>Sadowy</v>
      </c>
      <c r="E262" s="39" t="str">
        <f t="shared" si="19"/>
        <v>Dylan Sadowy</v>
      </c>
      <c r="F262" t="s">
        <v>1035</v>
      </c>
      <c r="G262" t="s">
        <v>82</v>
      </c>
      <c r="H262" s="292">
        <v>925000</v>
      </c>
      <c r="I262" s="292">
        <v>0</v>
      </c>
      <c r="J262" s="292">
        <v>925000</v>
      </c>
      <c r="K262" s="292" t="s">
        <v>8</v>
      </c>
      <c r="L262" s="292">
        <v>0</v>
      </c>
      <c r="M262" s="292">
        <v>0</v>
      </c>
      <c r="N262" s="292">
        <v>0</v>
      </c>
    </row>
    <row r="263" spans="1:14" x14ac:dyDescent="0.25">
      <c r="A263" t="s">
        <v>840</v>
      </c>
      <c r="B263" s="39">
        <f t="shared" si="16"/>
        <v>6</v>
      </c>
      <c r="C263" s="39" t="str">
        <f t="shared" si="17"/>
        <v>Dylan</v>
      </c>
      <c r="D263" s="39" t="str">
        <f t="shared" si="18"/>
        <v>Strome</v>
      </c>
      <c r="E263" s="39" t="str">
        <f t="shared" si="19"/>
        <v>Dylan Strome</v>
      </c>
      <c r="F263" t="s">
        <v>1032</v>
      </c>
      <c r="G263" t="s">
        <v>73</v>
      </c>
      <c r="H263" s="292">
        <v>3338333</v>
      </c>
      <c r="I263" s="292">
        <v>3338333</v>
      </c>
      <c r="J263" s="292">
        <v>832500</v>
      </c>
      <c r="K263" s="292">
        <v>832500</v>
      </c>
      <c r="L263" s="292" t="s">
        <v>8</v>
      </c>
      <c r="M263" s="292">
        <v>0</v>
      </c>
      <c r="N263" s="292">
        <v>0</v>
      </c>
    </row>
    <row r="264" spans="1:14" x14ac:dyDescent="0.25">
      <c r="A264" t="s">
        <v>565</v>
      </c>
      <c r="B264" s="39">
        <f t="shared" si="16"/>
        <v>6</v>
      </c>
      <c r="C264" s="39" t="str">
        <f t="shared" si="17"/>
        <v>Dylan</v>
      </c>
      <c r="D264" s="39" t="str">
        <f t="shared" si="18"/>
        <v>Wells</v>
      </c>
      <c r="E264" s="39" t="str">
        <f t="shared" si="19"/>
        <v>Dylan Wells</v>
      </c>
      <c r="F264" t="s">
        <v>1020</v>
      </c>
      <c r="G264" t="s">
        <v>127</v>
      </c>
      <c r="H264" s="292">
        <v>925000</v>
      </c>
      <c r="I264" s="292">
        <v>925000</v>
      </c>
      <c r="J264" s="292">
        <v>742500</v>
      </c>
      <c r="K264" s="292">
        <v>792500</v>
      </c>
      <c r="L264" s="292" t="s">
        <v>8</v>
      </c>
      <c r="M264" s="292">
        <v>0</v>
      </c>
      <c r="N264" s="292">
        <v>0</v>
      </c>
    </row>
    <row r="265" spans="1:14" x14ac:dyDescent="0.25">
      <c r="A265" t="s">
        <v>859</v>
      </c>
      <c r="B265" s="39">
        <f t="shared" si="16"/>
        <v>6</v>
      </c>
      <c r="C265" s="39" t="str">
        <f t="shared" si="17"/>
        <v>Dysin</v>
      </c>
      <c r="D265" s="39" t="str">
        <f t="shared" si="18"/>
        <v>Mayo</v>
      </c>
      <c r="E265" s="39" t="str">
        <f t="shared" si="19"/>
        <v>Dysin Mayo</v>
      </c>
      <c r="F265" t="s">
        <v>1032</v>
      </c>
      <c r="G265" t="s">
        <v>82</v>
      </c>
      <c r="H265" s="292">
        <v>798333</v>
      </c>
      <c r="I265" s="292">
        <v>0</v>
      </c>
      <c r="J265" s="292">
        <v>650000</v>
      </c>
      <c r="K265" s="292" t="s">
        <v>8</v>
      </c>
      <c r="L265" s="292">
        <v>0</v>
      </c>
      <c r="M265" s="292">
        <v>0</v>
      </c>
      <c r="N265" s="292">
        <v>0</v>
      </c>
    </row>
    <row r="266" spans="1:14" x14ac:dyDescent="0.25">
      <c r="A266" t="s">
        <v>940</v>
      </c>
      <c r="B266" s="39">
        <f t="shared" si="16"/>
        <v>6</v>
      </c>
      <c r="C266" s="39" t="str">
        <f t="shared" si="17"/>
        <v>Eamon</v>
      </c>
      <c r="D266" s="39" t="str">
        <f t="shared" si="18"/>
        <v>McAdam</v>
      </c>
      <c r="E266" s="39" t="str">
        <f t="shared" si="19"/>
        <v>Eamon McAdam</v>
      </c>
      <c r="F266" t="s">
        <v>1040</v>
      </c>
      <c r="G266" t="s">
        <v>127</v>
      </c>
      <c r="H266" s="292">
        <v>950000</v>
      </c>
      <c r="I266" s="292">
        <v>0</v>
      </c>
      <c r="J266" s="292">
        <v>925000</v>
      </c>
      <c r="K266" s="292" t="s">
        <v>8</v>
      </c>
      <c r="L266" s="292">
        <v>0</v>
      </c>
      <c r="M266" s="292">
        <v>0</v>
      </c>
      <c r="N266" s="292">
        <v>0</v>
      </c>
    </row>
    <row r="267" spans="1:14" x14ac:dyDescent="0.25">
      <c r="A267" t="s">
        <v>163</v>
      </c>
      <c r="B267" s="39">
        <f t="shared" si="16"/>
        <v>5</v>
      </c>
      <c r="C267" s="39" t="str">
        <f t="shared" si="17"/>
        <v>Eeli</v>
      </c>
      <c r="D267" s="39" t="str">
        <f t="shared" si="18"/>
        <v>Tolvanen</v>
      </c>
      <c r="E267" s="39" t="str">
        <f t="shared" si="19"/>
        <v>Eeli Tolvanen</v>
      </c>
      <c r="F267" t="s">
        <v>1016</v>
      </c>
      <c r="G267" t="s">
        <v>93</v>
      </c>
      <c r="H267" s="292">
        <v>3145833</v>
      </c>
      <c r="I267" s="292">
        <v>3145833</v>
      </c>
      <c r="J267" s="292">
        <v>925000</v>
      </c>
      <c r="K267" s="292">
        <v>925000</v>
      </c>
      <c r="L267" s="292" t="s">
        <v>8</v>
      </c>
      <c r="M267" s="292">
        <v>0</v>
      </c>
      <c r="N267" s="292">
        <v>0</v>
      </c>
    </row>
    <row r="268" spans="1:14" x14ac:dyDescent="0.25">
      <c r="A268" t="s">
        <v>549</v>
      </c>
      <c r="B268" s="39">
        <f t="shared" si="16"/>
        <v>5</v>
      </c>
      <c r="C268" s="39" t="str">
        <f t="shared" si="17"/>
        <v>Emil</v>
      </c>
      <c r="D268" s="39" t="str">
        <f t="shared" si="18"/>
        <v>Johansson</v>
      </c>
      <c r="E268" s="39" t="str">
        <f t="shared" si="19"/>
        <v>Emil Johansson</v>
      </c>
      <c r="F268" t="s">
        <v>1030</v>
      </c>
      <c r="G268" t="s">
        <v>82</v>
      </c>
      <c r="H268" s="292">
        <v>925000</v>
      </c>
      <c r="I268" s="292">
        <v>925000</v>
      </c>
      <c r="J268" s="292">
        <v>767500</v>
      </c>
      <c r="K268" s="292">
        <v>842500</v>
      </c>
      <c r="L268" s="292" t="s">
        <v>8</v>
      </c>
      <c r="M268" s="292">
        <v>0</v>
      </c>
      <c r="N268" s="292">
        <v>0</v>
      </c>
    </row>
    <row r="269" spans="1:14" x14ac:dyDescent="0.25">
      <c r="A269" t="s">
        <v>772</v>
      </c>
      <c r="B269" s="39">
        <f t="shared" si="16"/>
        <v>5</v>
      </c>
      <c r="C269" s="39" t="str">
        <f t="shared" si="17"/>
        <v>Emil</v>
      </c>
      <c r="D269" s="39" t="str">
        <f t="shared" si="18"/>
        <v>Pettersson</v>
      </c>
      <c r="E269" s="39" t="str">
        <f t="shared" si="19"/>
        <v>Emil Pettersson</v>
      </c>
      <c r="F269" t="s">
        <v>1016</v>
      </c>
      <c r="G269" t="s">
        <v>73</v>
      </c>
      <c r="H269" s="292">
        <v>925000</v>
      </c>
      <c r="I269" s="292">
        <v>0</v>
      </c>
      <c r="J269" s="292">
        <v>742500</v>
      </c>
      <c r="K269" s="292" t="s">
        <v>8</v>
      </c>
      <c r="L269" s="292">
        <v>0</v>
      </c>
      <c r="M269" s="292">
        <v>0</v>
      </c>
      <c r="N269" s="292">
        <v>0</v>
      </c>
    </row>
    <row r="270" spans="1:14" x14ac:dyDescent="0.25">
      <c r="A270" t="s">
        <v>740</v>
      </c>
      <c r="B270" s="39">
        <f t="shared" si="16"/>
        <v>5</v>
      </c>
      <c r="C270" s="39" t="str">
        <f t="shared" si="17"/>
        <v>Eric</v>
      </c>
      <c r="D270" s="39" t="str">
        <f t="shared" si="18"/>
        <v>Cornel</v>
      </c>
      <c r="E270" s="39" t="str">
        <f t="shared" si="19"/>
        <v>Eric Cornel</v>
      </c>
      <c r="F270" t="s">
        <v>1039</v>
      </c>
      <c r="G270" t="s">
        <v>73</v>
      </c>
      <c r="H270" s="292">
        <v>925000</v>
      </c>
      <c r="I270" s="292">
        <v>0</v>
      </c>
      <c r="J270" s="292">
        <v>742500</v>
      </c>
      <c r="K270" s="292" t="s">
        <v>8</v>
      </c>
      <c r="L270" s="292">
        <v>0</v>
      </c>
      <c r="M270" s="292">
        <v>0</v>
      </c>
      <c r="N270" s="292">
        <v>0</v>
      </c>
    </row>
    <row r="271" spans="1:14" x14ac:dyDescent="0.25">
      <c r="A271" t="s">
        <v>968</v>
      </c>
      <c r="B271" s="39">
        <f t="shared" si="16"/>
        <v>5</v>
      </c>
      <c r="C271" s="39" t="str">
        <f t="shared" si="17"/>
        <v>Eric</v>
      </c>
      <c r="D271" s="39" t="str">
        <f t="shared" si="18"/>
        <v>Gryba</v>
      </c>
      <c r="E271" s="39" t="str">
        <f t="shared" si="19"/>
        <v>Eric Gryba</v>
      </c>
      <c r="F271" t="s">
        <v>1020</v>
      </c>
      <c r="G271" t="s">
        <v>82</v>
      </c>
      <c r="H271" s="292">
        <v>900000</v>
      </c>
      <c r="I271" s="292">
        <v>0</v>
      </c>
      <c r="J271" s="292">
        <v>900000</v>
      </c>
      <c r="K271" s="292" t="s">
        <v>7</v>
      </c>
      <c r="L271" s="292">
        <v>0</v>
      </c>
      <c r="M271" s="292">
        <v>0</v>
      </c>
      <c r="N271" s="292">
        <v>0</v>
      </c>
    </row>
    <row r="272" spans="1:14" x14ac:dyDescent="0.25">
      <c r="A272" t="s">
        <v>343</v>
      </c>
      <c r="B272" s="39">
        <f t="shared" si="16"/>
        <v>5</v>
      </c>
      <c r="C272" s="39" t="str">
        <f t="shared" si="17"/>
        <v>Eric</v>
      </c>
      <c r="D272" s="39" t="str">
        <f t="shared" si="18"/>
        <v>Staal</v>
      </c>
      <c r="E272" s="39" t="str">
        <f t="shared" si="19"/>
        <v>Eric Staal</v>
      </c>
      <c r="F272" t="s">
        <v>1025</v>
      </c>
      <c r="G272" t="s">
        <v>73</v>
      </c>
      <c r="H272" s="292">
        <v>3500000</v>
      </c>
      <c r="I272" s="292">
        <v>0</v>
      </c>
      <c r="J272" s="292">
        <v>3500000</v>
      </c>
      <c r="K272" s="292" t="s">
        <v>7</v>
      </c>
      <c r="L272" s="292">
        <v>0</v>
      </c>
      <c r="M272" s="292">
        <v>0</v>
      </c>
      <c r="N272" s="292">
        <v>0</v>
      </c>
    </row>
    <row r="273" spans="1:14" x14ac:dyDescent="0.25">
      <c r="A273" t="s">
        <v>151</v>
      </c>
      <c r="B273" s="39">
        <f t="shared" si="16"/>
        <v>5</v>
      </c>
      <c r="C273" s="39" t="str">
        <f t="shared" si="17"/>
        <v>Erik</v>
      </c>
      <c r="D273" s="39" t="str">
        <f t="shared" si="18"/>
        <v>Brannstrom</v>
      </c>
      <c r="E273" s="39" t="str">
        <f t="shared" si="19"/>
        <v>Erik Brannstrom</v>
      </c>
      <c r="F273" t="s">
        <v>1041</v>
      </c>
      <c r="G273">
        <v>0</v>
      </c>
      <c r="H273" s="292">
        <v>1375000</v>
      </c>
      <c r="I273" s="292">
        <v>1375000</v>
      </c>
      <c r="J273" s="292">
        <v>925000</v>
      </c>
      <c r="K273" s="292">
        <v>925000</v>
      </c>
      <c r="L273" s="292" t="s">
        <v>8</v>
      </c>
      <c r="M273" s="292">
        <v>0</v>
      </c>
      <c r="N273" s="292">
        <v>0</v>
      </c>
    </row>
    <row r="274" spans="1:14" x14ac:dyDescent="0.25">
      <c r="A274" t="s">
        <v>699</v>
      </c>
      <c r="B274" s="39">
        <f t="shared" si="16"/>
        <v>5</v>
      </c>
      <c r="C274" s="39" t="str">
        <f t="shared" si="17"/>
        <v>Erik</v>
      </c>
      <c r="D274" s="39" t="str">
        <f t="shared" si="18"/>
        <v>Burgdoerfer</v>
      </c>
      <c r="E274" s="39" t="str">
        <f t="shared" si="19"/>
        <v>Erik Burgdoerfer</v>
      </c>
      <c r="F274" t="s">
        <v>1029</v>
      </c>
      <c r="G274" t="s">
        <v>82</v>
      </c>
      <c r="H274" s="292">
        <v>650000</v>
      </c>
      <c r="I274" s="292">
        <v>0</v>
      </c>
      <c r="J274" s="292">
        <v>650000</v>
      </c>
      <c r="K274" s="292" t="s">
        <v>7</v>
      </c>
      <c r="L274" s="292">
        <v>0</v>
      </c>
      <c r="M274" s="292">
        <v>0</v>
      </c>
      <c r="N274" s="292">
        <v>0</v>
      </c>
    </row>
    <row r="275" spans="1:14" x14ac:dyDescent="0.25">
      <c r="A275" t="s">
        <v>532</v>
      </c>
      <c r="B275" s="39">
        <f t="shared" si="16"/>
        <v>5</v>
      </c>
      <c r="C275" s="39" t="str">
        <f t="shared" si="17"/>
        <v>Erik</v>
      </c>
      <c r="D275" s="39" t="str">
        <f t="shared" si="18"/>
        <v>Cernak</v>
      </c>
      <c r="E275" s="39" t="str">
        <f t="shared" si="19"/>
        <v>Erik Cernak</v>
      </c>
      <c r="F275" t="s">
        <v>1019</v>
      </c>
      <c r="G275" t="s">
        <v>82</v>
      </c>
      <c r="H275" s="292">
        <v>894167</v>
      </c>
      <c r="I275" s="292">
        <v>0</v>
      </c>
      <c r="J275" s="292">
        <v>685000</v>
      </c>
      <c r="K275" s="292" t="s">
        <v>8</v>
      </c>
      <c r="L275" s="292">
        <v>0</v>
      </c>
      <c r="M275" s="292">
        <v>0</v>
      </c>
      <c r="N275" s="292">
        <v>0</v>
      </c>
    </row>
    <row r="276" spans="1:14" x14ac:dyDescent="0.25">
      <c r="A276" t="s">
        <v>342</v>
      </c>
      <c r="B276" s="39">
        <f t="shared" si="16"/>
        <v>5</v>
      </c>
      <c r="C276" s="39" t="str">
        <f t="shared" si="17"/>
        <v>Erik</v>
      </c>
      <c r="D276" s="39" t="str">
        <f t="shared" si="18"/>
        <v>Haula</v>
      </c>
      <c r="E276" s="39" t="str">
        <f t="shared" si="19"/>
        <v>Erik Haula</v>
      </c>
      <c r="F276" t="s">
        <v>1041</v>
      </c>
      <c r="G276" t="s">
        <v>93</v>
      </c>
      <c r="H276" s="292">
        <v>2750000</v>
      </c>
      <c r="I276" s="292">
        <v>2750000</v>
      </c>
      <c r="J276" s="292">
        <v>2750000</v>
      </c>
      <c r="K276" s="292">
        <v>2750000</v>
      </c>
      <c r="L276" s="292" t="s">
        <v>7</v>
      </c>
      <c r="M276" s="292">
        <v>0</v>
      </c>
      <c r="N276" s="292">
        <v>0</v>
      </c>
    </row>
    <row r="277" spans="1:14" x14ac:dyDescent="0.25">
      <c r="A277" t="s">
        <v>1063</v>
      </c>
      <c r="B277" s="39">
        <f t="shared" si="16"/>
        <v>5</v>
      </c>
      <c r="C277" s="39" t="str">
        <f t="shared" si="17"/>
        <v>Erik</v>
      </c>
      <c r="D277" s="39" t="str">
        <f t="shared" si="18"/>
        <v>Johnson</v>
      </c>
      <c r="E277" s="39" t="str">
        <f t="shared" si="19"/>
        <v>Erik Johnson</v>
      </c>
      <c r="F277" t="s">
        <v>1033</v>
      </c>
      <c r="G277" t="s">
        <v>379</v>
      </c>
      <c r="H277" s="292">
        <v>6000000</v>
      </c>
      <c r="I277" s="292">
        <v>6000000</v>
      </c>
      <c r="J277" s="292">
        <v>6000000</v>
      </c>
      <c r="K277" s="292">
        <v>6000000</v>
      </c>
      <c r="L277" s="292">
        <v>6000000</v>
      </c>
      <c r="M277" s="292">
        <v>6000000</v>
      </c>
      <c r="N277" s="292">
        <v>6000000</v>
      </c>
    </row>
    <row r="278" spans="1:14" x14ac:dyDescent="0.25">
      <c r="A278" t="s">
        <v>234</v>
      </c>
      <c r="B278" s="39">
        <f t="shared" si="16"/>
        <v>5</v>
      </c>
      <c r="C278" s="39" t="str">
        <f t="shared" si="17"/>
        <v>Erik</v>
      </c>
      <c r="D278" s="39" t="str">
        <f t="shared" si="18"/>
        <v>Karlsson</v>
      </c>
      <c r="E278" s="39" t="str">
        <f t="shared" si="19"/>
        <v>Erik Karlsson</v>
      </c>
      <c r="F278" t="s">
        <v>1029</v>
      </c>
      <c r="G278" t="s">
        <v>379</v>
      </c>
      <c r="H278" s="292">
        <v>6500000</v>
      </c>
      <c r="I278" s="292">
        <v>0</v>
      </c>
      <c r="J278" s="292">
        <v>7500000</v>
      </c>
      <c r="K278" s="292" t="s">
        <v>7</v>
      </c>
      <c r="L278" s="292">
        <v>0</v>
      </c>
      <c r="M278" s="292">
        <v>0</v>
      </c>
      <c r="N278" s="292">
        <v>0</v>
      </c>
    </row>
    <row r="279" spans="1:14" x14ac:dyDescent="0.25">
      <c r="A279" t="s">
        <v>215</v>
      </c>
      <c r="B279" s="39">
        <f t="shared" si="16"/>
        <v>4</v>
      </c>
      <c r="C279" s="39" t="str">
        <f t="shared" si="17"/>
        <v>Esa</v>
      </c>
      <c r="D279" s="39" t="str">
        <f t="shared" si="18"/>
        <v>Lindell</v>
      </c>
      <c r="E279" s="39" t="str">
        <f t="shared" si="19"/>
        <v>Esa Lindell</v>
      </c>
      <c r="F279" t="s">
        <v>1015</v>
      </c>
      <c r="G279" t="s">
        <v>380</v>
      </c>
      <c r="H279" s="292">
        <v>2200000</v>
      </c>
      <c r="I279" s="292">
        <v>0</v>
      </c>
      <c r="J279" s="292">
        <v>2200000</v>
      </c>
      <c r="K279" s="292" t="s">
        <v>8</v>
      </c>
      <c r="L279" s="292">
        <v>0</v>
      </c>
      <c r="M279" s="292">
        <v>0</v>
      </c>
      <c r="N279" s="292">
        <v>0</v>
      </c>
    </row>
    <row r="280" spans="1:14" x14ac:dyDescent="0.25">
      <c r="A280" t="s">
        <v>568</v>
      </c>
      <c r="B280" s="39">
        <f t="shared" si="16"/>
        <v>6</v>
      </c>
      <c r="C280" s="39" t="str">
        <f t="shared" si="17"/>
        <v>Ethan</v>
      </c>
      <c r="D280" s="39" t="str">
        <f t="shared" si="18"/>
        <v>Bear</v>
      </c>
      <c r="E280" s="39" t="str">
        <f t="shared" si="19"/>
        <v>Ethan Bear</v>
      </c>
      <c r="F280" t="s">
        <v>1020</v>
      </c>
      <c r="G280" t="s">
        <v>379</v>
      </c>
      <c r="H280" s="292">
        <v>773333</v>
      </c>
      <c r="I280" s="292">
        <v>773333</v>
      </c>
      <c r="J280" s="292">
        <v>730000</v>
      </c>
      <c r="K280" s="292">
        <v>700000</v>
      </c>
      <c r="L280" s="292" t="s">
        <v>8</v>
      </c>
      <c r="M280" s="292">
        <v>0</v>
      </c>
      <c r="N280" s="292">
        <v>0</v>
      </c>
    </row>
    <row r="281" spans="1:14" x14ac:dyDescent="0.25">
      <c r="A281" t="s">
        <v>411</v>
      </c>
      <c r="B281" s="39">
        <f t="shared" si="16"/>
        <v>5</v>
      </c>
      <c r="C281" s="39" t="str">
        <f t="shared" si="17"/>
        <v>Evan</v>
      </c>
      <c r="D281" s="39" t="str">
        <f t="shared" si="18"/>
        <v>Fitzpatrick</v>
      </c>
      <c r="E281" s="39" t="str">
        <f t="shared" si="19"/>
        <v>Evan Fitzpatrick</v>
      </c>
      <c r="F281" t="s">
        <v>1026</v>
      </c>
      <c r="G281" t="s">
        <v>127</v>
      </c>
      <c r="H281" s="292">
        <v>925000</v>
      </c>
      <c r="I281" s="292">
        <v>925000</v>
      </c>
      <c r="J281" s="292">
        <v>742500</v>
      </c>
      <c r="K281" s="292">
        <v>867500</v>
      </c>
      <c r="L281" s="292" t="s">
        <v>8</v>
      </c>
      <c r="M281" s="292">
        <v>0</v>
      </c>
      <c r="N281" s="292">
        <v>0</v>
      </c>
    </row>
    <row r="282" spans="1:14" x14ac:dyDescent="0.25">
      <c r="A282" t="s">
        <v>836</v>
      </c>
      <c r="B282" s="39">
        <f t="shared" si="16"/>
        <v>5</v>
      </c>
      <c r="C282" s="39" t="str">
        <f t="shared" si="17"/>
        <v>Evan</v>
      </c>
      <c r="D282" s="39" t="str">
        <f t="shared" si="18"/>
        <v>McEneny</v>
      </c>
      <c r="E282" s="39" t="str">
        <f t="shared" si="19"/>
        <v>Evan McEneny</v>
      </c>
      <c r="F282" t="s">
        <v>1037</v>
      </c>
      <c r="G282" t="s">
        <v>82</v>
      </c>
      <c r="H282" s="292">
        <v>657500</v>
      </c>
      <c r="I282" s="292">
        <v>0</v>
      </c>
      <c r="J282" s="292">
        <v>650000</v>
      </c>
      <c r="K282" s="292" t="s">
        <v>8</v>
      </c>
      <c r="L282" s="292">
        <v>0</v>
      </c>
      <c r="M282" s="292">
        <v>0</v>
      </c>
      <c r="N282" s="292">
        <v>0</v>
      </c>
    </row>
    <row r="283" spans="1:14" x14ac:dyDescent="0.25">
      <c r="A283" t="s">
        <v>730</v>
      </c>
      <c r="B283" s="39">
        <f t="shared" si="16"/>
        <v>5</v>
      </c>
      <c r="C283" s="39" t="str">
        <f t="shared" si="17"/>
        <v>Evan</v>
      </c>
      <c r="D283" s="39" t="str">
        <f t="shared" si="18"/>
        <v>Rodrigues</v>
      </c>
      <c r="E283" s="39" t="str">
        <f t="shared" si="19"/>
        <v>Evan Rodrigues</v>
      </c>
      <c r="F283" t="s">
        <v>1039</v>
      </c>
      <c r="G283" t="s">
        <v>93</v>
      </c>
      <c r="H283" s="292">
        <v>209444</v>
      </c>
      <c r="I283" s="292">
        <v>0</v>
      </c>
      <c r="J283" s="292">
        <v>650000</v>
      </c>
      <c r="K283" s="292" t="s">
        <v>8</v>
      </c>
      <c r="L283" s="292">
        <v>0</v>
      </c>
      <c r="M283" s="292">
        <v>0</v>
      </c>
      <c r="N283" s="292">
        <v>0</v>
      </c>
    </row>
    <row r="284" spans="1:14" x14ac:dyDescent="0.25">
      <c r="A284" t="s">
        <v>1045</v>
      </c>
      <c r="B284" s="39">
        <f t="shared" si="16"/>
        <v>7</v>
      </c>
      <c r="C284" s="39" t="str">
        <f t="shared" si="17"/>
        <v>Evgeni</v>
      </c>
      <c r="D284" s="39" t="str">
        <f t="shared" si="18"/>
        <v>Malkin</v>
      </c>
      <c r="E284" s="39" t="str">
        <f t="shared" si="19"/>
        <v>Evgeni Malkin</v>
      </c>
      <c r="F284" t="s">
        <v>1014</v>
      </c>
      <c r="G284" t="s">
        <v>73</v>
      </c>
      <c r="H284" s="292">
        <v>9500000</v>
      </c>
      <c r="I284" s="292">
        <v>9500000</v>
      </c>
      <c r="J284" s="292">
        <v>9500000</v>
      </c>
      <c r="K284" s="292">
        <v>9500000</v>
      </c>
      <c r="L284" s="292">
        <v>9500000</v>
      </c>
      <c r="M284" s="292">
        <v>9500000</v>
      </c>
      <c r="N284" s="292" t="s">
        <v>7</v>
      </c>
    </row>
    <row r="285" spans="1:14" x14ac:dyDescent="0.25">
      <c r="A285" t="s">
        <v>1101</v>
      </c>
      <c r="B285" s="39">
        <f t="shared" si="16"/>
        <v>7</v>
      </c>
      <c r="C285" s="39" t="str">
        <f t="shared" si="17"/>
        <v>Evgeny</v>
      </c>
      <c r="D285" s="39" t="str">
        <f t="shared" si="18"/>
        <v>Dadonov</v>
      </c>
      <c r="E285" s="39" t="str">
        <f t="shared" si="19"/>
        <v>Evgeny Dadonov</v>
      </c>
      <c r="F285" t="s">
        <v>1027</v>
      </c>
      <c r="G285" t="s">
        <v>88</v>
      </c>
      <c r="H285" s="292">
        <v>4000000</v>
      </c>
      <c r="I285" s="292">
        <v>4000000</v>
      </c>
      <c r="J285" s="292">
        <v>3750000</v>
      </c>
      <c r="K285" s="292">
        <v>3600000</v>
      </c>
      <c r="L285" s="292" t="s">
        <v>7</v>
      </c>
      <c r="M285" s="292">
        <v>0</v>
      </c>
      <c r="N285" s="292">
        <v>0</v>
      </c>
    </row>
    <row r="286" spans="1:14" x14ac:dyDescent="0.25">
      <c r="A286" t="s">
        <v>436</v>
      </c>
      <c r="B286" s="39">
        <f t="shared" si="16"/>
        <v>7</v>
      </c>
      <c r="C286" s="39" t="str">
        <f t="shared" si="17"/>
        <v>Evgeny</v>
      </c>
      <c r="D286" s="39" t="str">
        <f t="shared" si="18"/>
        <v>Kuznetsov</v>
      </c>
      <c r="E286" s="39" t="str">
        <f t="shared" si="19"/>
        <v>Evgeny Kuznetsov</v>
      </c>
      <c r="F286" t="s">
        <v>1013</v>
      </c>
      <c r="G286" t="s">
        <v>73</v>
      </c>
      <c r="H286" s="292">
        <v>7800000</v>
      </c>
      <c r="I286" s="292">
        <v>7800000</v>
      </c>
      <c r="J286" s="292">
        <v>10000000</v>
      </c>
      <c r="K286" s="292">
        <v>8400000</v>
      </c>
      <c r="L286" s="292">
        <v>5000000</v>
      </c>
      <c r="M286" s="292">
        <v>8000000</v>
      </c>
      <c r="N286" s="292">
        <v>5000000</v>
      </c>
    </row>
    <row r="287" spans="1:14" x14ac:dyDescent="0.25">
      <c r="A287" t="s">
        <v>392</v>
      </c>
      <c r="B287" s="39">
        <f t="shared" si="16"/>
        <v>7</v>
      </c>
      <c r="C287" s="39" t="str">
        <f t="shared" si="17"/>
        <v>Evgeny</v>
      </c>
      <c r="D287" s="39" t="str">
        <f t="shared" si="18"/>
        <v>Svechnikov</v>
      </c>
      <c r="E287" s="39" t="str">
        <f t="shared" si="19"/>
        <v>Evgeny Svechnikov</v>
      </c>
      <c r="F287" t="s">
        <v>1035</v>
      </c>
      <c r="G287" t="s">
        <v>93</v>
      </c>
      <c r="H287" s="292">
        <v>1075833</v>
      </c>
      <c r="I287" s="292">
        <v>1075833</v>
      </c>
      <c r="J287" s="292">
        <v>832500</v>
      </c>
      <c r="K287" s="292">
        <v>832500</v>
      </c>
      <c r="L287" s="292" t="s">
        <v>8</v>
      </c>
      <c r="M287" s="292">
        <v>0</v>
      </c>
      <c r="N287" s="292">
        <v>0</v>
      </c>
    </row>
    <row r="288" spans="1:14" x14ac:dyDescent="0.25">
      <c r="A288" t="s">
        <v>692</v>
      </c>
      <c r="B288" s="39">
        <f t="shared" si="16"/>
        <v>6</v>
      </c>
      <c r="C288" s="39" t="str">
        <f t="shared" si="17"/>
        <v>Filip</v>
      </c>
      <c r="D288" s="39" t="str">
        <f t="shared" si="18"/>
        <v>Chlapik</v>
      </c>
      <c r="E288" s="39" t="str">
        <f t="shared" si="19"/>
        <v>Filip Chlapik</v>
      </c>
      <c r="F288" t="s">
        <v>1029</v>
      </c>
      <c r="G288" t="s">
        <v>73</v>
      </c>
      <c r="H288" s="292">
        <v>894167</v>
      </c>
      <c r="I288" s="292">
        <v>894167</v>
      </c>
      <c r="J288" s="292">
        <v>742500</v>
      </c>
      <c r="K288" s="292">
        <v>700000</v>
      </c>
      <c r="L288" s="292" t="s">
        <v>8</v>
      </c>
      <c r="M288" s="292">
        <v>0</v>
      </c>
      <c r="N288" s="292">
        <v>0</v>
      </c>
    </row>
    <row r="289" spans="1:14" x14ac:dyDescent="0.25">
      <c r="A289" t="s">
        <v>157</v>
      </c>
      <c r="B289" s="39">
        <f t="shared" si="16"/>
        <v>6</v>
      </c>
      <c r="C289" s="39" t="str">
        <f t="shared" si="17"/>
        <v>Filip</v>
      </c>
      <c r="D289" s="39" t="str">
        <f t="shared" si="18"/>
        <v>Chytil</v>
      </c>
      <c r="E289" s="39" t="str">
        <f t="shared" si="19"/>
        <v>Filip Chytil</v>
      </c>
      <c r="F289" t="s">
        <v>1018</v>
      </c>
      <c r="G289" t="s">
        <v>73</v>
      </c>
      <c r="H289" s="292">
        <v>1275000</v>
      </c>
      <c r="I289" s="292">
        <v>1275000</v>
      </c>
      <c r="J289" s="292">
        <v>925000</v>
      </c>
      <c r="K289" s="292">
        <v>925000</v>
      </c>
      <c r="L289" s="292" t="s">
        <v>8</v>
      </c>
      <c r="M289" s="292">
        <v>0</v>
      </c>
      <c r="N289" s="292">
        <v>0</v>
      </c>
    </row>
    <row r="290" spans="1:14" x14ac:dyDescent="0.25">
      <c r="A290" t="s">
        <v>330</v>
      </c>
      <c r="B290" s="39">
        <f t="shared" si="16"/>
        <v>6</v>
      </c>
      <c r="C290" s="39" t="str">
        <f t="shared" si="17"/>
        <v>Filip</v>
      </c>
      <c r="D290" s="39" t="str">
        <f t="shared" si="18"/>
        <v>Forsberg</v>
      </c>
      <c r="E290" s="39" t="str">
        <f t="shared" si="19"/>
        <v>Filip Forsberg</v>
      </c>
      <c r="F290" t="s">
        <v>1016</v>
      </c>
      <c r="G290" t="s">
        <v>93</v>
      </c>
      <c r="H290" s="292">
        <v>6000000</v>
      </c>
      <c r="I290" s="292">
        <v>6000000</v>
      </c>
      <c r="J290" s="292">
        <v>6000000</v>
      </c>
      <c r="K290" s="292">
        <v>6000000</v>
      </c>
      <c r="L290" s="292">
        <v>6000000</v>
      </c>
      <c r="M290" s="292">
        <v>6000000</v>
      </c>
      <c r="N290" s="292" t="s">
        <v>7</v>
      </c>
    </row>
    <row r="291" spans="1:14" x14ac:dyDescent="0.25">
      <c r="A291" t="s">
        <v>689</v>
      </c>
      <c r="B291" s="39">
        <f t="shared" si="16"/>
        <v>6</v>
      </c>
      <c r="C291" s="39" t="str">
        <f t="shared" si="17"/>
        <v>Filip</v>
      </c>
      <c r="D291" s="39" t="str">
        <f t="shared" si="18"/>
        <v>Gustavsson</v>
      </c>
      <c r="E291" s="39" t="str">
        <f t="shared" si="19"/>
        <v>Filip Gustavsson</v>
      </c>
      <c r="F291" t="s">
        <v>1029</v>
      </c>
      <c r="G291" t="s">
        <v>127</v>
      </c>
      <c r="H291" s="292">
        <v>925000</v>
      </c>
      <c r="I291" s="292">
        <v>925000</v>
      </c>
      <c r="J291" s="292">
        <v>742500</v>
      </c>
      <c r="K291" s="292">
        <v>842500</v>
      </c>
      <c r="L291" s="292" t="s">
        <v>8</v>
      </c>
      <c r="M291" s="292">
        <v>0</v>
      </c>
      <c r="N291" s="292">
        <v>0</v>
      </c>
    </row>
    <row r="292" spans="1:14" x14ac:dyDescent="0.25">
      <c r="A292" t="s">
        <v>394</v>
      </c>
      <c r="B292" s="39">
        <f t="shared" si="16"/>
        <v>6</v>
      </c>
      <c r="C292" s="39" t="str">
        <f t="shared" si="17"/>
        <v>Filip</v>
      </c>
      <c r="D292" s="39" t="str">
        <f t="shared" si="18"/>
        <v>Hronek</v>
      </c>
      <c r="E292" s="39" t="str">
        <f t="shared" si="19"/>
        <v>Filip Hronek</v>
      </c>
      <c r="F292" t="s">
        <v>1035</v>
      </c>
      <c r="G292" t="s">
        <v>379</v>
      </c>
      <c r="H292" s="292">
        <v>925000</v>
      </c>
      <c r="I292" s="292">
        <v>0</v>
      </c>
      <c r="J292" s="292">
        <v>767500</v>
      </c>
      <c r="K292" s="292" t="s">
        <v>8</v>
      </c>
      <c r="L292" s="292">
        <v>0</v>
      </c>
      <c r="M292" s="292">
        <v>0</v>
      </c>
      <c r="N292" s="292">
        <v>0</v>
      </c>
    </row>
    <row r="293" spans="1:14" x14ac:dyDescent="0.25">
      <c r="A293" t="s">
        <v>584</v>
      </c>
      <c r="B293" s="39">
        <f t="shared" si="16"/>
        <v>6</v>
      </c>
      <c r="C293" s="39" t="str">
        <f t="shared" si="17"/>
        <v>Filip</v>
      </c>
      <c r="D293" s="39" t="str">
        <f t="shared" si="18"/>
        <v>Sandberg</v>
      </c>
      <c r="E293" s="39" t="str">
        <f t="shared" si="19"/>
        <v>Filip Sandberg</v>
      </c>
      <c r="F293" t="s">
        <v>1022</v>
      </c>
      <c r="G293" t="s">
        <v>73</v>
      </c>
      <c r="H293" s="292">
        <v>925000</v>
      </c>
      <c r="I293" s="292">
        <v>0</v>
      </c>
      <c r="J293" s="292">
        <v>792500</v>
      </c>
      <c r="K293" s="292" t="s">
        <v>8</v>
      </c>
      <c r="L293" s="292">
        <v>0</v>
      </c>
      <c r="M293" s="292">
        <v>0</v>
      </c>
      <c r="N293" s="292">
        <v>0</v>
      </c>
    </row>
    <row r="294" spans="1:14" x14ac:dyDescent="0.25">
      <c r="A294" t="s">
        <v>697</v>
      </c>
      <c r="B294" s="39">
        <f t="shared" si="16"/>
        <v>8</v>
      </c>
      <c r="C294" s="39" t="str">
        <f t="shared" si="17"/>
        <v>Francis</v>
      </c>
      <c r="D294" s="39" t="str">
        <f t="shared" si="18"/>
        <v>Perron</v>
      </c>
      <c r="E294" s="39" t="str">
        <f t="shared" si="19"/>
        <v>Francis Perron</v>
      </c>
      <c r="F294" t="s">
        <v>1029</v>
      </c>
      <c r="G294" t="s">
        <v>93</v>
      </c>
      <c r="H294" s="292">
        <v>925000</v>
      </c>
      <c r="I294" s="292">
        <v>0</v>
      </c>
      <c r="J294" s="292">
        <v>730000</v>
      </c>
      <c r="K294" s="292" t="s">
        <v>8</v>
      </c>
      <c r="L294" s="292">
        <v>0</v>
      </c>
      <c r="M294" s="292">
        <v>0</v>
      </c>
      <c r="N294" s="292">
        <v>0</v>
      </c>
    </row>
    <row r="295" spans="1:14" x14ac:dyDescent="0.25">
      <c r="A295" t="s">
        <v>369</v>
      </c>
      <c r="B295" s="39">
        <f t="shared" si="16"/>
        <v>6</v>
      </c>
      <c r="C295" s="39" t="str">
        <f t="shared" si="17"/>
        <v>Frans</v>
      </c>
      <c r="D295" s="39" t="str">
        <f t="shared" si="18"/>
        <v>Nielsen</v>
      </c>
      <c r="E295" s="39" t="str">
        <f t="shared" si="19"/>
        <v>Frans Nielsen</v>
      </c>
      <c r="F295" t="s">
        <v>1035</v>
      </c>
      <c r="G295" t="s">
        <v>73</v>
      </c>
      <c r="H295" s="292">
        <v>5250000</v>
      </c>
      <c r="I295" s="292">
        <v>5250000</v>
      </c>
      <c r="J295" s="292">
        <v>6000000</v>
      </c>
      <c r="K295" s="292">
        <v>5500000</v>
      </c>
      <c r="L295" s="292">
        <v>5000000</v>
      </c>
      <c r="M295" s="292">
        <v>3000000</v>
      </c>
      <c r="N295" s="292" t="s">
        <v>7</v>
      </c>
    </row>
    <row r="296" spans="1:14" x14ac:dyDescent="0.25">
      <c r="A296" t="s">
        <v>1128</v>
      </c>
      <c r="B296" s="39">
        <f t="shared" si="16"/>
        <v>9</v>
      </c>
      <c r="C296" s="39" t="str">
        <f t="shared" si="17"/>
        <v>Frederic</v>
      </c>
      <c r="D296" s="39" t="str">
        <f t="shared" si="18"/>
        <v>Allard</v>
      </c>
      <c r="E296" s="39" t="str">
        <f t="shared" si="19"/>
        <v>Frederic Allard</v>
      </c>
      <c r="F296" t="s">
        <v>1016</v>
      </c>
      <c r="G296" t="s">
        <v>82</v>
      </c>
      <c r="H296" s="292">
        <v>925000</v>
      </c>
      <c r="I296" s="292">
        <v>0</v>
      </c>
      <c r="J296" s="292">
        <v>742500</v>
      </c>
      <c r="K296" s="292" t="s">
        <v>8</v>
      </c>
      <c r="L296" s="292">
        <v>0</v>
      </c>
      <c r="M296" s="292">
        <v>0</v>
      </c>
      <c r="N296" s="292">
        <v>0</v>
      </c>
    </row>
    <row r="297" spans="1:14" x14ac:dyDescent="0.25">
      <c r="A297" t="s">
        <v>1149</v>
      </c>
      <c r="B297" s="39">
        <f t="shared" si="16"/>
        <v>10</v>
      </c>
      <c r="C297" s="39" t="str">
        <f t="shared" si="17"/>
        <v>Frederick</v>
      </c>
      <c r="D297" s="39" t="str">
        <f t="shared" si="18"/>
        <v>Gaudreau</v>
      </c>
      <c r="E297" s="39" t="str">
        <f t="shared" si="19"/>
        <v>Frederick Gaudreau</v>
      </c>
      <c r="F297" t="s">
        <v>1016</v>
      </c>
      <c r="G297" t="s">
        <v>73</v>
      </c>
      <c r="H297" s="292">
        <v>666667</v>
      </c>
      <c r="I297" s="292">
        <v>666667</v>
      </c>
      <c r="J297" s="292">
        <v>650000</v>
      </c>
      <c r="K297" s="292">
        <v>700000</v>
      </c>
      <c r="L297" s="292" t="s">
        <v>7</v>
      </c>
      <c r="M297" s="292">
        <v>0</v>
      </c>
      <c r="N297" s="292">
        <v>0</v>
      </c>
    </row>
    <row r="298" spans="1:14" x14ac:dyDescent="0.25">
      <c r="A298" t="s">
        <v>337</v>
      </c>
      <c r="B298" s="39">
        <f t="shared" si="16"/>
        <v>9</v>
      </c>
      <c r="C298" s="39" t="str">
        <f t="shared" si="17"/>
        <v>Frederik</v>
      </c>
      <c r="D298" s="39" t="str">
        <f t="shared" si="18"/>
        <v>Andersen</v>
      </c>
      <c r="E298" s="39" t="str">
        <f t="shared" si="19"/>
        <v>Frederik Andersen</v>
      </c>
      <c r="F298" t="s">
        <v>1034</v>
      </c>
      <c r="G298" t="s">
        <v>127</v>
      </c>
      <c r="H298" s="292">
        <v>5000000</v>
      </c>
      <c r="I298" s="292">
        <v>5000000</v>
      </c>
      <c r="J298" s="292">
        <v>5000000</v>
      </c>
      <c r="K298" s="292">
        <v>5000000</v>
      </c>
      <c r="L298" s="292">
        <v>5000000</v>
      </c>
      <c r="M298" s="292" t="s">
        <v>7</v>
      </c>
      <c r="N298" s="292">
        <v>0</v>
      </c>
    </row>
    <row r="299" spans="1:14" x14ac:dyDescent="0.25">
      <c r="A299" t="s">
        <v>429</v>
      </c>
      <c r="B299" s="39">
        <f t="shared" si="16"/>
        <v>9</v>
      </c>
      <c r="C299" s="39" t="str">
        <f t="shared" si="17"/>
        <v>Frederik</v>
      </c>
      <c r="D299" s="39" t="str">
        <f t="shared" si="18"/>
        <v>Tiffels</v>
      </c>
      <c r="E299" s="39" t="str">
        <f t="shared" si="19"/>
        <v>Frederik Tiffels</v>
      </c>
      <c r="F299" t="s">
        <v>1014</v>
      </c>
      <c r="G299" t="s">
        <v>93</v>
      </c>
      <c r="H299" s="292">
        <v>925000</v>
      </c>
      <c r="I299" s="292">
        <v>0</v>
      </c>
      <c r="J299" s="292">
        <v>742500</v>
      </c>
      <c r="K299" s="292" t="s">
        <v>8</v>
      </c>
      <c r="L299" s="292">
        <v>0</v>
      </c>
      <c r="M299" s="292">
        <v>0</v>
      </c>
      <c r="N299" s="292">
        <v>0</v>
      </c>
    </row>
    <row r="300" spans="1:14" x14ac:dyDescent="0.25">
      <c r="A300" t="s">
        <v>643</v>
      </c>
      <c r="B300" s="39">
        <f t="shared" si="16"/>
        <v>8</v>
      </c>
      <c r="C300" s="39" t="str">
        <f t="shared" si="17"/>
        <v>Gabriel</v>
      </c>
      <c r="D300" s="39" t="str">
        <f t="shared" si="18"/>
        <v>Carlsson</v>
      </c>
      <c r="E300" s="39" t="str">
        <f t="shared" si="19"/>
        <v>Gabriel Carlsson</v>
      </c>
      <c r="F300" t="s">
        <v>1028</v>
      </c>
      <c r="G300" t="s">
        <v>380</v>
      </c>
      <c r="H300" s="292">
        <v>925000</v>
      </c>
      <c r="I300" s="292">
        <v>0</v>
      </c>
      <c r="J300" s="292">
        <v>925000</v>
      </c>
      <c r="K300" s="292" t="s">
        <v>8</v>
      </c>
      <c r="L300" s="292">
        <v>0</v>
      </c>
      <c r="M300" s="292">
        <v>0</v>
      </c>
      <c r="N300" s="292">
        <v>0</v>
      </c>
    </row>
    <row r="301" spans="1:14" x14ac:dyDescent="0.25">
      <c r="A301" t="s">
        <v>534</v>
      </c>
      <c r="B301" s="39">
        <f t="shared" si="16"/>
        <v>8</v>
      </c>
      <c r="C301" s="39" t="str">
        <f t="shared" si="17"/>
        <v>Gabriel</v>
      </c>
      <c r="D301" s="39" t="str">
        <f t="shared" si="18"/>
        <v>Dumont</v>
      </c>
      <c r="E301" s="39" t="str">
        <f t="shared" si="19"/>
        <v>Gabriel Dumont</v>
      </c>
      <c r="F301" t="s">
        <v>1019</v>
      </c>
      <c r="G301" t="s">
        <v>73</v>
      </c>
      <c r="H301" s="292">
        <v>650000</v>
      </c>
      <c r="I301" s="292">
        <v>0</v>
      </c>
      <c r="J301" s="292">
        <v>650000</v>
      </c>
      <c r="K301" s="292" t="s">
        <v>7</v>
      </c>
      <c r="L301" s="292">
        <v>0</v>
      </c>
      <c r="M301" s="292">
        <v>0</v>
      </c>
      <c r="N301" s="292">
        <v>0</v>
      </c>
    </row>
    <row r="302" spans="1:14" x14ac:dyDescent="0.25">
      <c r="A302" t="s">
        <v>672</v>
      </c>
      <c r="B302" s="39">
        <f t="shared" si="16"/>
        <v>8</v>
      </c>
      <c r="C302" s="39" t="str">
        <f t="shared" si="17"/>
        <v>Gabriel</v>
      </c>
      <c r="D302" s="39" t="str">
        <f t="shared" si="18"/>
        <v>Fontaine</v>
      </c>
      <c r="E302" s="39" t="str">
        <f t="shared" si="19"/>
        <v>Gabriel Fontaine</v>
      </c>
      <c r="F302" t="s">
        <v>1018</v>
      </c>
      <c r="G302" t="s">
        <v>73</v>
      </c>
      <c r="H302" s="292">
        <v>736667</v>
      </c>
      <c r="I302" s="292">
        <v>736667</v>
      </c>
      <c r="J302" s="292">
        <v>720000</v>
      </c>
      <c r="K302" s="292">
        <v>770000</v>
      </c>
      <c r="L302" s="292" t="s">
        <v>8</v>
      </c>
      <c r="M302" s="292">
        <v>0</v>
      </c>
      <c r="N302" s="292">
        <v>0</v>
      </c>
    </row>
    <row r="303" spans="1:14" x14ac:dyDescent="0.25">
      <c r="A303" t="s">
        <v>1135</v>
      </c>
      <c r="B303" s="39">
        <f t="shared" si="16"/>
        <v>8</v>
      </c>
      <c r="C303" s="39" t="str">
        <f t="shared" si="17"/>
        <v>Gabriel</v>
      </c>
      <c r="D303" s="39" t="str">
        <f t="shared" si="18"/>
        <v>Gagne</v>
      </c>
      <c r="E303" s="39" t="str">
        <f t="shared" si="19"/>
        <v>Gabriel Gagne</v>
      </c>
      <c r="F303" t="s">
        <v>1029</v>
      </c>
      <c r="G303" t="s">
        <v>88</v>
      </c>
      <c r="H303" s="292">
        <v>925000</v>
      </c>
      <c r="I303" s="292">
        <v>0</v>
      </c>
      <c r="J303" s="292">
        <v>792500</v>
      </c>
      <c r="K303" s="292" t="s">
        <v>8</v>
      </c>
      <c r="L303" s="292">
        <v>0</v>
      </c>
      <c r="M303" s="292">
        <v>0</v>
      </c>
      <c r="N303" s="292">
        <v>0</v>
      </c>
    </row>
    <row r="304" spans="1:14" x14ac:dyDescent="0.25">
      <c r="A304" t="s">
        <v>1073</v>
      </c>
      <c r="B304" s="39">
        <f t="shared" si="16"/>
        <v>8</v>
      </c>
      <c r="C304" s="39" t="str">
        <f t="shared" si="17"/>
        <v>Gabriel</v>
      </c>
      <c r="D304" s="39" t="str">
        <f t="shared" si="18"/>
        <v>Landeskog</v>
      </c>
      <c r="E304" s="39" t="str">
        <f t="shared" si="19"/>
        <v>Gabriel Landeskog</v>
      </c>
      <c r="F304" t="s">
        <v>1033</v>
      </c>
      <c r="G304" t="s">
        <v>93</v>
      </c>
      <c r="H304" s="292">
        <v>5571430</v>
      </c>
      <c r="I304" s="292">
        <v>5571430</v>
      </c>
      <c r="J304" s="292">
        <v>6000000</v>
      </c>
      <c r="K304" s="292">
        <v>6000000</v>
      </c>
      <c r="L304" s="292">
        <v>6500000</v>
      </c>
      <c r="M304" s="292" t="s">
        <v>7</v>
      </c>
      <c r="N304" s="292">
        <v>0</v>
      </c>
    </row>
    <row r="305" spans="1:14" x14ac:dyDescent="0.25">
      <c r="A305" t="s">
        <v>948</v>
      </c>
      <c r="B305" s="39">
        <f t="shared" si="16"/>
        <v>7</v>
      </c>
      <c r="C305" s="39" t="str">
        <f t="shared" si="17"/>
        <v>Garret</v>
      </c>
      <c r="D305" s="39" t="str">
        <f t="shared" si="18"/>
        <v>Sparks</v>
      </c>
      <c r="E305" s="39" t="str">
        <f t="shared" si="19"/>
        <v>Garret Sparks</v>
      </c>
      <c r="F305" t="s">
        <v>1034</v>
      </c>
      <c r="G305" t="s">
        <v>127</v>
      </c>
      <c r="H305" s="292">
        <v>675000</v>
      </c>
      <c r="I305" s="292">
        <v>0</v>
      </c>
      <c r="J305" s="292">
        <v>700000</v>
      </c>
      <c r="K305" s="292" t="s">
        <v>8</v>
      </c>
      <c r="L305" s="292">
        <v>0</v>
      </c>
      <c r="M305" s="292">
        <v>0</v>
      </c>
      <c r="N305" s="292">
        <v>0</v>
      </c>
    </row>
    <row r="306" spans="1:14" x14ac:dyDescent="0.25">
      <c r="A306" t="s">
        <v>449</v>
      </c>
      <c r="B306" s="39">
        <f t="shared" si="16"/>
        <v>8</v>
      </c>
      <c r="C306" s="39" t="str">
        <f t="shared" si="17"/>
        <v>Garrett</v>
      </c>
      <c r="D306" s="39" t="str">
        <f t="shared" si="18"/>
        <v>Pilon</v>
      </c>
      <c r="E306" s="39" t="str">
        <f t="shared" si="19"/>
        <v>Garrett Pilon</v>
      </c>
      <c r="F306" t="s">
        <v>1013</v>
      </c>
      <c r="G306" t="s">
        <v>73</v>
      </c>
      <c r="H306" s="292">
        <v>925000</v>
      </c>
      <c r="I306" s="292">
        <v>925000</v>
      </c>
      <c r="J306" s="292">
        <v>792500</v>
      </c>
      <c r="K306" s="292">
        <v>792500</v>
      </c>
      <c r="L306" s="292" t="s">
        <v>8</v>
      </c>
      <c r="M306" s="292">
        <v>0</v>
      </c>
      <c r="N306" s="292">
        <v>0</v>
      </c>
    </row>
    <row r="307" spans="1:14" x14ac:dyDescent="0.25">
      <c r="A307" t="s">
        <v>434</v>
      </c>
      <c r="B307" s="39">
        <f t="shared" si="16"/>
        <v>8</v>
      </c>
      <c r="C307" s="39" t="str">
        <f t="shared" si="17"/>
        <v>Garrett</v>
      </c>
      <c r="D307" s="39" t="str">
        <f t="shared" si="18"/>
        <v>Wilson</v>
      </c>
      <c r="E307" s="39" t="str">
        <f t="shared" si="19"/>
        <v>Garrett Wilson</v>
      </c>
      <c r="F307" t="s">
        <v>1014</v>
      </c>
      <c r="G307" t="s">
        <v>93</v>
      </c>
      <c r="H307" s="292">
        <v>650000</v>
      </c>
      <c r="I307" s="292">
        <v>0</v>
      </c>
      <c r="J307" s="292">
        <v>650000</v>
      </c>
      <c r="K307" s="292" t="s">
        <v>7</v>
      </c>
      <c r="L307" s="292">
        <v>0</v>
      </c>
      <c r="M307" s="292">
        <v>0</v>
      </c>
      <c r="N307" s="292">
        <v>0</v>
      </c>
    </row>
    <row r="308" spans="1:14" x14ac:dyDescent="0.25">
      <c r="A308" t="s">
        <v>599</v>
      </c>
      <c r="B308" s="39">
        <f t="shared" si="16"/>
        <v>6</v>
      </c>
      <c r="C308" s="39" t="str">
        <f t="shared" si="17"/>
        <v>Gavin</v>
      </c>
      <c r="D308" s="39" t="str">
        <f t="shared" si="18"/>
        <v>Bayreuther</v>
      </c>
      <c r="E308" s="39" t="str">
        <f t="shared" si="19"/>
        <v>Gavin Bayreuther</v>
      </c>
      <c r="F308" t="s">
        <v>1015</v>
      </c>
      <c r="G308" t="s">
        <v>82</v>
      </c>
      <c r="H308" s="292">
        <v>925000</v>
      </c>
      <c r="I308" s="292">
        <v>0</v>
      </c>
      <c r="J308" s="292">
        <v>925000</v>
      </c>
      <c r="K308" s="292" t="s">
        <v>8</v>
      </c>
      <c r="L308" s="292">
        <v>0</v>
      </c>
      <c r="M308" s="292">
        <v>0</v>
      </c>
      <c r="N308" s="292">
        <v>0</v>
      </c>
    </row>
    <row r="309" spans="1:14" x14ac:dyDescent="0.25">
      <c r="A309" t="s">
        <v>888</v>
      </c>
      <c r="B309" s="39">
        <f t="shared" si="16"/>
        <v>7</v>
      </c>
      <c r="C309" s="39" t="str">
        <f t="shared" si="17"/>
        <v>German</v>
      </c>
      <c r="D309" s="39" t="str">
        <f t="shared" si="18"/>
        <v>Rubtsov</v>
      </c>
      <c r="E309" s="39" t="str">
        <f t="shared" si="19"/>
        <v>German Rubtsov</v>
      </c>
      <c r="F309" t="s">
        <v>1021</v>
      </c>
      <c r="G309" t="s">
        <v>73</v>
      </c>
      <c r="H309" s="292">
        <v>1137500</v>
      </c>
      <c r="I309" s="292">
        <v>1137500</v>
      </c>
      <c r="J309" s="292">
        <v>925000</v>
      </c>
      <c r="K309" s="292">
        <v>925000</v>
      </c>
      <c r="L309" s="292" t="s">
        <v>8</v>
      </c>
      <c r="M309" s="292">
        <v>0</v>
      </c>
      <c r="N309" s="292">
        <v>0</v>
      </c>
    </row>
    <row r="310" spans="1:14" x14ac:dyDescent="0.25">
      <c r="A310" t="s">
        <v>720</v>
      </c>
      <c r="B310" s="39">
        <f t="shared" si="16"/>
        <v>9</v>
      </c>
      <c r="C310" s="39" t="str">
        <f t="shared" si="17"/>
        <v>Giovanni</v>
      </c>
      <c r="D310" s="39" t="str">
        <f t="shared" si="18"/>
        <v>Fiore</v>
      </c>
      <c r="E310" s="39" t="str">
        <f t="shared" si="19"/>
        <v>Giovanni Fiore</v>
      </c>
      <c r="F310" t="s">
        <v>1017</v>
      </c>
      <c r="G310" t="s">
        <v>93</v>
      </c>
      <c r="H310" s="292">
        <v>701667</v>
      </c>
      <c r="I310" s="292">
        <v>701667</v>
      </c>
      <c r="J310" s="292">
        <v>685000</v>
      </c>
      <c r="K310" s="292">
        <v>735000</v>
      </c>
      <c r="L310" s="292" t="s">
        <v>8</v>
      </c>
      <c r="M310" s="292">
        <v>0</v>
      </c>
      <c r="N310" s="292">
        <v>0</v>
      </c>
    </row>
    <row r="311" spans="1:14" x14ac:dyDescent="0.25">
      <c r="A311" t="s">
        <v>395</v>
      </c>
      <c r="B311" s="39">
        <f t="shared" si="16"/>
        <v>7</v>
      </c>
      <c r="C311" s="39" t="str">
        <f t="shared" si="17"/>
        <v>Givani</v>
      </c>
      <c r="D311" s="39" t="str">
        <f t="shared" si="18"/>
        <v>Smith</v>
      </c>
      <c r="E311" s="39" t="str">
        <f t="shared" si="19"/>
        <v>Givani Smith</v>
      </c>
      <c r="F311" t="s">
        <v>1035</v>
      </c>
      <c r="G311" t="s">
        <v>93</v>
      </c>
      <c r="H311" s="292">
        <v>925000</v>
      </c>
      <c r="I311" s="292">
        <v>0</v>
      </c>
      <c r="J311" s="292">
        <v>767500</v>
      </c>
      <c r="K311" s="292" t="s">
        <v>8</v>
      </c>
      <c r="L311" s="292">
        <v>0</v>
      </c>
      <c r="M311" s="292">
        <v>0</v>
      </c>
      <c r="N311" s="292">
        <v>0</v>
      </c>
    </row>
    <row r="312" spans="1:14" x14ac:dyDescent="0.25">
      <c r="A312" t="s">
        <v>758</v>
      </c>
      <c r="B312" s="39">
        <f t="shared" si="16"/>
        <v>6</v>
      </c>
      <c r="C312" s="39" t="str">
        <f t="shared" si="17"/>
        <v>Glenn</v>
      </c>
      <c r="D312" s="39" t="str">
        <f t="shared" si="18"/>
        <v>Gawdin</v>
      </c>
      <c r="E312" s="39" t="str">
        <f t="shared" si="19"/>
        <v>Glenn Gawdin</v>
      </c>
      <c r="F312" t="s">
        <v>1031</v>
      </c>
      <c r="G312" t="s">
        <v>73</v>
      </c>
      <c r="H312" s="292">
        <v>925000</v>
      </c>
      <c r="I312" s="292">
        <v>925000</v>
      </c>
      <c r="J312" s="292">
        <v>742500</v>
      </c>
      <c r="K312" s="292">
        <v>842500</v>
      </c>
      <c r="L312" s="292" t="s">
        <v>8</v>
      </c>
      <c r="M312" s="292">
        <v>0</v>
      </c>
      <c r="N312" s="292">
        <v>0</v>
      </c>
    </row>
    <row r="313" spans="1:14" x14ac:dyDescent="0.25">
      <c r="A313" t="s">
        <v>626</v>
      </c>
      <c r="B313" s="39">
        <f t="shared" si="16"/>
        <v>7</v>
      </c>
      <c r="C313" s="39" t="str">
        <f t="shared" si="17"/>
        <v>Graham</v>
      </c>
      <c r="D313" s="39" t="str">
        <f t="shared" si="18"/>
        <v>Knott</v>
      </c>
      <c r="E313" s="39" t="str">
        <f t="shared" si="19"/>
        <v>Graham Knott</v>
      </c>
      <c r="F313" t="s">
        <v>1011</v>
      </c>
      <c r="G313" t="s">
        <v>93</v>
      </c>
      <c r="H313" s="292">
        <v>925000</v>
      </c>
      <c r="I313" s="292">
        <v>0</v>
      </c>
      <c r="J313" s="292">
        <v>742500</v>
      </c>
      <c r="K313" s="292" t="s">
        <v>8</v>
      </c>
      <c r="L313" s="292">
        <v>0</v>
      </c>
      <c r="M313" s="292">
        <v>0</v>
      </c>
      <c r="N313" s="292">
        <v>0</v>
      </c>
    </row>
    <row r="314" spans="1:14" x14ac:dyDescent="0.25">
      <c r="A314" t="s">
        <v>897</v>
      </c>
      <c r="B314" s="39">
        <f t="shared" si="16"/>
        <v>5</v>
      </c>
      <c r="C314" s="39" t="str">
        <f t="shared" si="17"/>
        <v>Greg</v>
      </c>
      <c r="D314" s="39" t="str">
        <f t="shared" si="18"/>
        <v>Carey</v>
      </c>
      <c r="E314" s="39" t="str">
        <f t="shared" si="19"/>
        <v>Greg Carey</v>
      </c>
      <c r="F314" t="s">
        <v>1021</v>
      </c>
      <c r="G314" t="s">
        <v>73</v>
      </c>
      <c r="H314" s="292">
        <v>650000</v>
      </c>
      <c r="I314" s="292">
        <v>0</v>
      </c>
      <c r="J314" s="292">
        <v>650000</v>
      </c>
      <c r="K314" s="292" t="s">
        <v>7</v>
      </c>
      <c r="L314" s="292">
        <v>0</v>
      </c>
      <c r="M314" s="292">
        <v>0</v>
      </c>
      <c r="N314" s="292">
        <v>0</v>
      </c>
    </row>
    <row r="315" spans="1:14" x14ac:dyDescent="0.25">
      <c r="A315" t="s">
        <v>1123</v>
      </c>
      <c r="B315" s="39">
        <f t="shared" si="16"/>
        <v>8</v>
      </c>
      <c r="C315" s="39" t="str">
        <f t="shared" si="17"/>
        <v>Griffen</v>
      </c>
      <c r="D315" s="39" t="str">
        <f t="shared" si="18"/>
        <v>Molino</v>
      </c>
      <c r="E315" s="39" t="str">
        <f t="shared" si="19"/>
        <v>Griffen Molino</v>
      </c>
      <c r="F315" t="s">
        <v>1037</v>
      </c>
      <c r="G315" t="s">
        <v>73</v>
      </c>
      <c r="H315" s="292">
        <v>925000</v>
      </c>
      <c r="I315" s="292">
        <v>0</v>
      </c>
      <c r="J315" s="292">
        <v>925000</v>
      </c>
      <c r="K315" s="292" t="s">
        <v>7</v>
      </c>
      <c r="L315" s="292">
        <v>0</v>
      </c>
      <c r="M315" s="292">
        <v>0</v>
      </c>
      <c r="N315" s="292">
        <v>0</v>
      </c>
    </row>
    <row r="316" spans="1:14" x14ac:dyDescent="0.25">
      <c r="A316" t="s">
        <v>807</v>
      </c>
      <c r="B316" s="39">
        <f t="shared" si="16"/>
        <v>8</v>
      </c>
      <c r="C316" s="39" t="str">
        <f t="shared" si="17"/>
        <v>Griffin</v>
      </c>
      <c r="D316" s="39" t="str">
        <f t="shared" si="18"/>
        <v>Reinhart</v>
      </c>
      <c r="E316" s="39" t="str">
        <f t="shared" si="19"/>
        <v>Griffin Reinhart</v>
      </c>
      <c r="F316" t="s">
        <v>1041</v>
      </c>
      <c r="G316" t="s">
        <v>82</v>
      </c>
      <c r="H316" s="292">
        <v>800000</v>
      </c>
      <c r="I316" s="292">
        <v>0</v>
      </c>
      <c r="J316" s="292">
        <v>850000</v>
      </c>
      <c r="K316" s="292" t="s">
        <v>8</v>
      </c>
      <c r="L316" s="292">
        <v>0</v>
      </c>
      <c r="M316" s="292">
        <v>0</v>
      </c>
      <c r="N316" s="292">
        <v>0</v>
      </c>
    </row>
    <row r="317" spans="1:14" x14ac:dyDescent="0.25">
      <c r="A317" t="s">
        <v>834</v>
      </c>
      <c r="B317" s="39">
        <f t="shared" si="16"/>
        <v>10</v>
      </c>
      <c r="C317" s="39" t="str">
        <f t="shared" si="17"/>
        <v>Guillaume</v>
      </c>
      <c r="D317" s="39" t="str">
        <f t="shared" si="18"/>
        <v>Brisebois</v>
      </c>
      <c r="E317" s="39" t="str">
        <f t="shared" si="19"/>
        <v>Guillaume Brisebois</v>
      </c>
      <c r="F317" t="s">
        <v>1037</v>
      </c>
      <c r="G317" t="s">
        <v>82</v>
      </c>
      <c r="H317" s="292">
        <v>863333</v>
      </c>
      <c r="I317" s="292">
        <v>863333</v>
      </c>
      <c r="J317" s="292">
        <v>650000</v>
      </c>
      <c r="K317" s="292">
        <v>700000</v>
      </c>
      <c r="L317" s="292" t="s">
        <v>8</v>
      </c>
      <c r="M317" s="292">
        <v>0</v>
      </c>
      <c r="N317" s="292">
        <v>0</v>
      </c>
    </row>
    <row r="318" spans="1:14" x14ac:dyDescent="0.25">
      <c r="A318" t="s">
        <v>466</v>
      </c>
      <c r="B318" s="39">
        <f t="shared" si="16"/>
        <v>7</v>
      </c>
      <c r="C318" s="39" t="str">
        <f t="shared" si="17"/>
        <v>Gustav</v>
      </c>
      <c r="D318" s="39" t="str">
        <f t="shared" si="18"/>
        <v>Bouramman</v>
      </c>
      <c r="E318" s="39" t="str">
        <f t="shared" si="19"/>
        <v>Gustav Bouramman</v>
      </c>
      <c r="F318" t="s">
        <v>1025</v>
      </c>
      <c r="G318" t="s">
        <v>82</v>
      </c>
      <c r="H318" s="292">
        <v>800000</v>
      </c>
      <c r="I318" s="292">
        <v>0</v>
      </c>
      <c r="J318" s="292">
        <v>755000</v>
      </c>
      <c r="K318" s="292" t="s">
        <v>8</v>
      </c>
      <c r="L318" s="292">
        <v>0</v>
      </c>
      <c r="M318" s="292">
        <v>0</v>
      </c>
      <c r="N318" s="292">
        <v>0</v>
      </c>
    </row>
    <row r="319" spans="1:14" x14ac:dyDescent="0.25">
      <c r="A319" t="s">
        <v>617</v>
      </c>
      <c r="B319" s="39">
        <f t="shared" si="16"/>
        <v>7</v>
      </c>
      <c r="C319" s="39" t="str">
        <f t="shared" si="17"/>
        <v>Gustav</v>
      </c>
      <c r="D319" s="39" t="str">
        <f t="shared" si="18"/>
        <v>Forsling</v>
      </c>
      <c r="E319" s="39" t="str">
        <f t="shared" si="19"/>
        <v>Gustav Forsling</v>
      </c>
      <c r="F319" t="s">
        <v>1011</v>
      </c>
      <c r="G319" t="s">
        <v>82</v>
      </c>
      <c r="H319" s="292">
        <v>925000</v>
      </c>
      <c r="I319" s="292">
        <v>0</v>
      </c>
      <c r="J319" s="292">
        <v>925000</v>
      </c>
      <c r="K319" s="292" t="s">
        <v>8</v>
      </c>
      <c r="L319" s="292">
        <v>0</v>
      </c>
      <c r="M319" s="292">
        <v>0</v>
      </c>
      <c r="N319" s="292">
        <v>0</v>
      </c>
    </row>
    <row r="320" spans="1:14" x14ac:dyDescent="0.25">
      <c r="A320" t="s">
        <v>371</v>
      </c>
      <c r="B320" s="39">
        <f t="shared" si="16"/>
        <v>7</v>
      </c>
      <c r="C320" s="39" t="str">
        <f t="shared" si="17"/>
        <v>Gustav</v>
      </c>
      <c r="D320" s="39" t="str">
        <f t="shared" si="18"/>
        <v>Nyquist</v>
      </c>
      <c r="E320" s="39" t="str">
        <f t="shared" si="19"/>
        <v>Gustav Nyquist</v>
      </c>
      <c r="F320" t="s">
        <v>1035</v>
      </c>
      <c r="G320" t="s">
        <v>88</v>
      </c>
      <c r="H320" s="292">
        <v>4750000</v>
      </c>
      <c r="I320" s="292">
        <v>0</v>
      </c>
      <c r="J320" s="292">
        <v>5500000</v>
      </c>
      <c r="K320" s="292" t="s">
        <v>7</v>
      </c>
      <c r="L320" s="292">
        <v>0</v>
      </c>
      <c r="M320" s="292">
        <v>0</v>
      </c>
      <c r="N320" s="292">
        <v>0</v>
      </c>
    </row>
    <row r="321" spans="1:14" x14ac:dyDescent="0.25">
      <c r="A321" t="s">
        <v>460</v>
      </c>
      <c r="B321" s="39">
        <f t="shared" si="16"/>
        <v>7</v>
      </c>
      <c r="C321" s="39" t="str">
        <f t="shared" si="17"/>
        <v>Gustav</v>
      </c>
      <c r="D321" s="39" t="str">
        <f t="shared" si="18"/>
        <v>Olofsson</v>
      </c>
      <c r="E321" s="39" t="str">
        <f t="shared" si="19"/>
        <v>Gustav Olofsson</v>
      </c>
      <c r="F321" t="s">
        <v>1025</v>
      </c>
      <c r="G321" t="s">
        <v>380</v>
      </c>
      <c r="H321" s="292">
        <v>725000</v>
      </c>
      <c r="I321" s="292">
        <v>0</v>
      </c>
      <c r="J321" s="292">
        <v>775000</v>
      </c>
      <c r="K321" s="292" t="s">
        <v>8</v>
      </c>
      <c r="L321" s="292">
        <v>0</v>
      </c>
      <c r="M321" s="292">
        <v>0</v>
      </c>
      <c r="N321" s="292">
        <v>0</v>
      </c>
    </row>
    <row r="322" spans="1:14" x14ac:dyDescent="0.25">
      <c r="A322" t="s">
        <v>446</v>
      </c>
      <c r="B322" s="39">
        <f t="shared" si="16"/>
        <v>7</v>
      </c>
      <c r="C322" s="39" t="str">
        <f t="shared" si="17"/>
        <v>Hampus</v>
      </c>
      <c r="D322" s="39" t="str">
        <f t="shared" si="18"/>
        <v>Gustafsson</v>
      </c>
      <c r="E322" s="39" t="str">
        <f t="shared" si="19"/>
        <v>Hampus Gustafsson</v>
      </c>
      <c r="F322" t="s">
        <v>1013</v>
      </c>
      <c r="G322" t="s">
        <v>73</v>
      </c>
      <c r="H322" s="292">
        <v>925000</v>
      </c>
      <c r="I322" s="292">
        <v>0</v>
      </c>
      <c r="J322" s="292">
        <v>925000</v>
      </c>
      <c r="K322" s="292" t="s">
        <v>8</v>
      </c>
      <c r="L322" s="292">
        <v>0</v>
      </c>
      <c r="M322" s="292">
        <v>0</v>
      </c>
      <c r="N322" s="292">
        <v>0</v>
      </c>
    </row>
    <row r="323" spans="1:14" x14ac:dyDescent="0.25">
      <c r="A323" t="s">
        <v>705</v>
      </c>
      <c r="B323" s="39">
        <f t="shared" ref="B323:B386" si="20">SEARCH(" ",A323,1)</f>
        <v>7</v>
      </c>
      <c r="C323" s="39" t="str">
        <f t="shared" ref="C323:C386" si="21">LEFT(A323,B323-1)</f>
        <v>Hampus</v>
      </c>
      <c r="D323" s="39" t="str">
        <f t="shared" ref="D323:D386" si="22">MID(A323,B323+1,LEN(A323)-B323)</f>
        <v>Lindholm</v>
      </c>
      <c r="E323" s="39" t="str">
        <f t="shared" ref="E323:E386" si="23">C323&amp;" "&amp;D323</f>
        <v>Hampus Lindholm</v>
      </c>
      <c r="F323" t="s">
        <v>1017</v>
      </c>
      <c r="G323" t="s">
        <v>380</v>
      </c>
      <c r="H323" s="292">
        <v>5250000</v>
      </c>
      <c r="I323" s="292">
        <v>5250000</v>
      </c>
      <c r="J323" s="292">
        <v>6750000</v>
      </c>
      <c r="K323" s="292">
        <v>5250000</v>
      </c>
      <c r="L323" s="292">
        <v>3750000</v>
      </c>
      <c r="M323" s="292">
        <v>6750000</v>
      </c>
      <c r="N323" s="292" t="s">
        <v>7</v>
      </c>
    </row>
    <row r="324" spans="1:14" x14ac:dyDescent="0.25">
      <c r="A324" t="s">
        <v>978</v>
      </c>
      <c r="B324" s="39">
        <f t="shared" si="20"/>
        <v>6</v>
      </c>
      <c r="C324" s="39" t="str">
        <f t="shared" si="21"/>
        <v>Haydn</v>
      </c>
      <c r="D324" s="39" t="str">
        <f t="shared" si="22"/>
        <v>Fleury</v>
      </c>
      <c r="E324" s="39" t="str">
        <f t="shared" si="23"/>
        <v>Haydn Fleury</v>
      </c>
      <c r="F324" t="s">
        <v>1036</v>
      </c>
      <c r="G324" t="s">
        <v>380</v>
      </c>
      <c r="H324" s="292">
        <v>1713330</v>
      </c>
      <c r="I324" s="292">
        <v>0</v>
      </c>
      <c r="J324" s="292">
        <v>832500</v>
      </c>
      <c r="K324" s="292" t="s">
        <v>8</v>
      </c>
      <c r="L324" s="292">
        <v>0</v>
      </c>
      <c r="M324" s="292">
        <v>0</v>
      </c>
      <c r="N324" s="292">
        <v>0</v>
      </c>
    </row>
    <row r="325" spans="1:14" x14ac:dyDescent="0.25">
      <c r="A325" t="s">
        <v>483</v>
      </c>
      <c r="B325" s="39">
        <f t="shared" si="20"/>
        <v>7</v>
      </c>
      <c r="C325" s="39" t="str">
        <f t="shared" si="21"/>
        <v>Henrik</v>
      </c>
      <c r="D325" s="39" t="str">
        <f t="shared" si="22"/>
        <v>Haapala</v>
      </c>
      <c r="E325" s="39" t="str">
        <f t="shared" si="23"/>
        <v>Henrik Haapala</v>
      </c>
      <c r="F325" t="s">
        <v>1027</v>
      </c>
      <c r="G325" t="s">
        <v>93</v>
      </c>
      <c r="H325" s="292">
        <v>1350000</v>
      </c>
      <c r="I325" s="292">
        <v>0</v>
      </c>
      <c r="J325" s="292">
        <v>925000</v>
      </c>
      <c r="K325" s="292" t="s">
        <v>8</v>
      </c>
      <c r="L325" s="292">
        <v>0</v>
      </c>
      <c r="M325" s="292">
        <v>0</v>
      </c>
      <c r="N325" s="292">
        <v>0</v>
      </c>
    </row>
    <row r="326" spans="1:14" x14ac:dyDescent="0.25">
      <c r="A326" t="s">
        <v>661</v>
      </c>
      <c r="B326" s="39">
        <f t="shared" si="20"/>
        <v>7</v>
      </c>
      <c r="C326" s="39" t="str">
        <f t="shared" si="21"/>
        <v>Henrik</v>
      </c>
      <c r="D326" s="39" t="str">
        <f t="shared" si="22"/>
        <v>Lundqvist</v>
      </c>
      <c r="E326" s="39" t="str">
        <f t="shared" si="23"/>
        <v>Henrik Lundqvist</v>
      </c>
      <c r="F326" t="s">
        <v>1018</v>
      </c>
      <c r="G326" t="s">
        <v>127</v>
      </c>
      <c r="H326" s="292">
        <v>8500000</v>
      </c>
      <c r="I326" s="292">
        <v>8500000</v>
      </c>
      <c r="J326" s="292">
        <v>7500000</v>
      </c>
      <c r="K326" s="292">
        <v>7000000</v>
      </c>
      <c r="L326" s="292">
        <v>5500000</v>
      </c>
      <c r="M326" s="292" t="s">
        <v>7</v>
      </c>
      <c r="N326" s="292">
        <v>0</v>
      </c>
    </row>
    <row r="327" spans="1:14" x14ac:dyDescent="0.25">
      <c r="A327" t="s">
        <v>1061</v>
      </c>
      <c r="B327" s="39">
        <f t="shared" si="20"/>
        <v>7</v>
      </c>
      <c r="C327" s="39" t="str">
        <f t="shared" si="21"/>
        <v>Henrik</v>
      </c>
      <c r="D327" s="39" t="str">
        <f t="shared" si="22"/>
        <v>Zetterberg</v>
      </c>
      <c r="E327" s="39" t="str">
        <f t="shared" si="23"/>
        <v>Henrik Zetterberg</v>
      </c>
      <c r="F327" t="s">
        <v>1035</v>
      </c>
      <c r="G327" t="s">
        <v>73</v>
      </c>
      <c r="H327" s="292">
        <v>6083330</v>
      </c>
      <c r="I327" s="292">
        <v>6083330</v>
      </c>
      <c r="J327" s="292">
        <v>3350000</v>
      </c>
      <c r="K327" s="292">
        <v>1000000</v>
      </c>
      <c r="L327" s="292">
        <v>1000000</v>
      </c>
      <c r="M327" s="292" t="s">
        <v>7</v>
      </c>
      <c r="N327" s="292">
        <v>0</v>
      </c>
    </row>
    <row r="328" spans="1:14" x14ac:dyDescent="0.25">
      <c r="A328" t="s">
        <v>848</v>
      </c>
      <c r="B328" s="39">
        <f t="shared" si="20"/>
        <v>7</v>
      </c>
      <c r="C328" s="39" t="str">
        <f t="shared" si="21"/>
        <v>Hunter</v>
      </c>
      <c r="D328" s="39" t="str">
        <f t="shared" si="22"/>
        <v>Miska</v>
      </c>
      <c r="E328" s="39" t="str">
        <f t="shared" si="23"/>
        <v>Hunter Miska</v>
      </c>
      <c r="F328" t="s">
        <v>1032</v>
      </c>
      <c r="G328" t="s">
        <v>127</v>
      </c>
      <c r="H328" s="292">
        <v>1775000</v>
      </c>
      <c r="I328" s="292">
        <v>0</v>
      </c>
      <c r="J328" s="292">
        <v>925000</v>
      </c>
      <c r="K328" s="292" t="s">
        <v>8</v>
      </c>
      <c r="L328" s="292">
        <v>0</v>
      </c>
      <c r="M328" s="292">
        <v>0</v>
      </c>
      <c r="N328" s="292">
        <v>0</v>
      </c>
    </row>
    <row r="329" spans="1:14" x14ac:dyDescent="0.25">
      <c r="A329" t="s">
        <v>472</v>
      </c>
      <c r="B329" s="39">
        <f t="shared" si="20"/>
        <v>7</v>
      </c>
      <c r="C329" s="39" t="str">
        <f t="shared" si="21"/>
        <v>Hunter</v>
      </c>
      <c r="D329" s="39" t="str">
        <f t="shared" si="22"/>
        <v>Warner</v>
      </c>
      <c r="E329" s="39" t="str">
        <f t="shared" si="23"/>
        <v>Hunter Warner</v>
      </c>
      <c r="F329" t="s">
        <v>1025</v>
      </c>
      <c r="G329" t="s">
        <v>82</v>
      </c>
      <c r="H329" s="292">
        <v>636667</v>
      </c>
      <c r="I329" s="292">
        <v>0</v>
      </c>
      <c r="J329" s="292">
        <v>650000</v>
      </c>
      <c r="K329" s="292" t="s">
        <v>8</v>
      </c>
      <c r="L329" s="292">
        <v>0</v>
      </c>
      <c r="M329" s="292">
        <v>0</v>
      </c>
      <c r="N329" s="292">
        <v>0</v>
      </c>
    </row>
    <row r="330" spans="1:14" x14ac:dyDescent="0.25">
      <c r="A330" t="s">
        <v>480</v>
      </c>
      <c r="B330" s="39">
        <f t="shared" si="20"/>
        <v>4</v>
      </c>
      <c r="C330" s="39" t="str">
        <f t="shared" si="21"/>
        <v>Ian</v>
      </c>
      <c r="D330" s="39" t="str">
        <f t="shared" si="22"/>
        <v>McCoshen</v>
      </c>
      <c r="E330" s="39" t="str">
        <f t="shared" si="23"/>
        <v>Ian McCoshen</v>
      </c>
      <c r="F330" t="s">
        <v>1027</v>
      </c>
      <c r="G330" t="s">
        <v>379</v>
      </c>
      <c r="H330" s="292">
        <v>1024999</v>
      </c>
      <c r="I330" s="292">
        <v>0</v>
      </c>
      <c r="J330" s="292">
        <v>925000</v>
      </c>
      <c r="K330" s="292" t="s">
        <v>8</v>
      </c>
      <c r="L330" s="292">
        <v>0</v>
      </c>
      <c r="M330" s="292">
        <v>0</v>
      </c>
      <c r="N330" s="292">
        <v>0</v>
      </c>
    </row>
    <row r="331" spans="1:14" x14ac:dyDescent="0.25">
      <c r="A331" t="s">
        <v>171</v>
      </c>
      <c r="B331" s="39">
        <f t="shared" si="20"/>
        <v>6</v>
      </c>
      <c r="C331" s="39" t="str">
        <f t="shared" si="21"/>
        <v>Isaac</v>
      </c>
      <c r="D331" s="39" t="str">
        <f t="shared" si="22"/>
        <v>Ratcliffe</v>
      </c>
      <c r="E331" s="39" t="str">
        <f t="shared" si="23"/>
        <v>Isaac Ratcliffe</v>
      </c>
      <c r="F331" t="s">
        <v>1021</v>
      </c>
      <c r="G331" t="s">
        <v>93</v>
      </c>
      <c r="H331" s="292">
        <v>925000</v>
      </c>
      <c r="I331" s="292">
        <v>925000</v>
      </c>
      <c r="J331" s="292">
        <v>842500</v>
      </c>
      <c r="K331" s="292">
        <v>867500</v>
      </c>
      <c r="L331" s="292" t="s">
        <v>8</v>
      </c>
      <c r="M331" s="292">
        <v>0</v>
      </c>
      <c r="N331" s="292">
        <v>0</v>
      </c>
    </row>
    <row r="332" spans="1:14" x14ac:dyDescent="0.25">
      <c r="A332" t="s">
        <v>402</v>
      </c>
      <c r="B332" s="39">
        <f t="shared" si="20"/>
        <v>5</v>
      </c>
      <c r="C332" s="39" t="str">
        <f t="shared" si="21"/>
        <v>Ivan</v>
      </c>
      <c r="D332" s="39" t="str">
        <f t="shared" si="22"/>
        <v>Barbashev</v>
      </c>
      <c r="E332" s="39" t="str">
        <f t="shared" si="23"/>
        <v>Ivan Barbashev</v>
      </c>
      <c r="F332" t="s">
        <v>1026</v>
      </c>
      <c r="G332" t="s">
        <v>93</v>
      </c>
      <c r="H332" s="292">
        <v>863333</v>
      </c>
      <c r="I332" s="292">
        <v>0</v>
      </c>
      <c r="J332" s="292">
        <v>832500</v>
      </c>
      <c r="K332" s="292" t="s">
        <v>8</v>
      </c>
      <c r="L332" s="292">
        <v>0</v>
      </c>
      <c r="M332" s="292">
        <v>0</v>
      </c>
      <c r="N332" s="292">
        <v>0</v>
      </c>
    </row>
    <row r="333" spans="1:14" x14ac:dyDescent="0.25">
      <c r="A333" t="s">
        <v>311</v>
      </c>
      <c r="B333" s="39">
        <f t="shared" si="20"/>
        <v>5</v>
      </c>
      <c r="C333" s="39" t="str">
        <f t="shared" si="21"/>
        <v>Ivan</v>
      </c>
      <c r="D333" s="39" t="str">
        <f t="shared" si="22"/>
        <v>Provorov</v>
      </c>
      <c r="E333" s="39" t="str">
        <f t="shared" si="23"/>
        <v>Ivan Provorov</v>
      </c>
      <c r="F333" t="s">
        <v>1021</v>
      </c>
      <c r="G333" t="s">
        <v>380</v>
      </c>
      <c r="H333" s="292">
        <v>1744170</v>
      </c>
      <c r="I333" s="292">
        <v>0</v>
      </c>
      <c r="J333" s="292">
        <v>832500</v>
      </c>
      <c r="K333" s="292" t="s">
        <v>8</v>
      </c>
      <c r="L333" s="292">
        <v>0</v>
      </c>
      <c r="M333" s="292">
        <v>0</v>
      </c>
      <c r="N333" s="292">
        <v>0</v>
      </c>
    </row>
    <row r="334" spans="1:14" x14ac:dyDescent="0.25">
      <c r="A334" t="s">
        <v>924</v>
      </c>
      <c r="B334" s="39">
        <f t="shared" si="20"/>
        <v>5</v>
      </c>
      <c r="C334" s="39" t="str">
        <f t="shared" si="21"/>
        <v>J.C.</v>
      </c>
      <c r="D334" s="39" t="str">
        <f t="shared" si="22"/>
        <v>Beaudin</v>
      </c>
      <c r="E334" s="39" t="str">
        <f t="shared" si="23"/>
        <v>J.C. Beaudin</v>
      </c>
      <c r="F334" t="s">
        <v>1033</v>
      </c>
      <c r="G334" t="s">
        <v>88</v>
      </c>
      <c r="H334" s="292">
        <v>816667</v>
      </c>
      <c r="I334" s="292">
        <v>816667</v>
      </c>
      <c r="J334" s="292">
        <v>782500</v>
      </c>
      <c r="K334" s="292">
        <v>782500</v>
      </c>
      <c r="L334" s="292" t="s">
        <v>8</v>
      </c>
      <c r="M334" s="292">
        <v>0</v>
      </c>
      <c r="N334" s="292">
        <v>0</v>
      </c>
    </row>
    <row r="335" spans="1:14" x14ac:dyDescent="0.25">
      <c r="A335" t="s">
        <v>717</v>
      </c>
      <c r="B335" s="39">
        <f t="shared" si="20"/>
        <v>5</v>
      </c>
      <c r="C335" s="39" t="str">
        <f t="shared" si="21"/>
        <v>Jack</v>
      </c>
      <c r="D335" s="39" t="str">
        <f t="shared" si="22"/>
        <v>Kopacka</v>
      </c>
      <c r="E335" s="39" t="str">
        <f t="shared" si="23"/>
        <v>Jack Kopacka</v>
      </c>
      <c r="F335" t="s">
        <v>1017</v>
      </c>
      <c r="G335" t="s">
        <v>93</v>
      </c>
      <c r="H335" s="292">
        <v>925000</v>
      </c>
      <c r="I335" s="292">
        <v>925000</v>
      </c>
      <c r="J335" s="292">
        <v>742500</v>
      </c>
      <c r="K335" s="292">
        <v>792500</v>
      </c>
      <c r="L335" s="292" t="s">
        <v>8</v>
      </c>
      <c r="M335" s="292">
        <v>0</v>
      </c>
      <c r="N335" s="292">
        <v>0</v>
      </c>
    </row>
    <row r="336" spans="1:14" x14ac:dyDescent="0.25">
      <c r="A336" t="s">
        <v>696</v>
      </c>
      <c r="B336" s="39">
        <f t="shared" si="20"/>
        <v>5</v>
      </c>
      <c r="C336" s="39" t="str">
        <f t="shared" si="21"/>
        <v>Jack</v>
      </c>
      <c r="D336" s="39" t="str">
        <f t="shared" si="22"/>
        <v>Rodewald</v>
      </c>
      <c r="E336" s="39" t="str">
        <f t="shared" si="23"/>
        <v>Jack Rodewald</v>
      </c>
      <c r="F336" t="s">
        <v>1029</v>
      </c>
      <c r="G336" t="s">
        <v>88</v>
      </c>
      <c r="H336" s="292">
        <v>707500</v>
      </c>
      <c r="I336" s="292">
        <v>0</v>
      </c>
      <c r="J336" s="292">
        <v>722500</v>
      </c>
      <c r="K336" s="292" t="s">
        <v>8</v>
      </c>
      <c r="L336" s="292">
        <v>0</v>
      </c>
      <c r="M336" s="292">
        <v>0</v>
      </c>
      <c r="N336" s="292">
        <v>0</v>
      </c>
    </row>
    <row r="337" spans="1:14" x14ac:dyDescent="0.25">
      <c r="A337" t="s">
        <v>864</v>
      </c>
      <c r="B337" s="39">
        <f t="shared" si="20"/>
        <v>5</v>
      </c>
      <c r="C337" s="39" t="str">
        <f t="shared" si="21"/>
        <v>Jack</v>
      </c>
      <c r="D337" s="39" t="str">
        <f t="shared" si="22"/>
        <v>Roslovic</v>
      </c>
      <c r="E337" s="39" t="str">
        <f t="shared" si="23"/>
        <v>Jack Roslovic</v>
      </c>
      <c r="F337" t="s">
        <v>1024</v>
      </c>
      <c r="G337" t="s">
        <v>88</v>
      </c>
      <c r="H337" s="292">
        <v>1106670</v>
      </c>
      <c r="I337" s="292">
        <v>1106670</v>
      </c>
      <c r="J337" s="292">
        <v>925000</v>
      </c>
      <c r="K337" s="292">
        <v>832500</v>
      </c>
      <c r="L337" s="292" t="s">
        <v>8</v>
      </c>
      <c r="M337" s="292">
        <v>0</v>
      </c>
      <c r="N337" s="292">
        <v>0</v>
      </c>
    </row>
    <row r="338" spans="1:14" x14ac:dyDescent="0.25">
      <c r="A338" t="s">
        <v>176</v>
      </c>
      <c r="B338" s="39">
        <f t="shared" si="20"/>
        <v>5</v>
      </c>
      <c r="C338" s="39" t="str">
        <f t="shared" si="21"/>
        <v>Jack</v>
      </c>
      <c r="D338" s="39" t="str">
        <f t="shared" si="22"/>
        <v>Studnicka</v>
      </c>
      <c r="E338" s="39" t="str">
        <f t="shared" si="23"/>
        <v>Jack Studnicka</v>
      </c>
      <c r="F338" t="s">
        <v>1030</v>
      </c>
      <c r="G338" t="s">
        <v>73</v>
      </c>
      <c r="H338" s="292">
        <v>925000</v>
      </c>
      <c r="I338" s="292">
        <v>925000</v>
      </c>
      <c r="J338" s="292">
        <v>817500</v>
      </c>
      <c r="K338" s="292">
        <v>867500</v>
      </c>
      <c r="L338" s="292" t="s">
        <v>8</v>
      </c>
      <c r="M338" s="292">
        <v>0</v>
      </c>
      <c r="N338" s="292">
        <v>0</v>
      </c>
    </row>
    <row r="339" spans="1:14" x14ac:dyDescent="0.25">
      <c r="A339" t="s">
        <v>851</v>
      </c>
      <c r="B339" s="39">
        <f t="shared" si="20"/>
        <v>6</v>
      </c>
      <c r="C339" s="39" t="str">
        <f t="shared" si="21"/>
        <v>Jacob</v>
      </c>
      <c r="D339" s="39" t="str">
        <f t="shared" si="22"/>
        <v>Graves</v>
      </c>
      <c r="E339" s="39" t="str">
        <f t="shared" si="23"/>
        <v>Jacob Graves</v>
      </c>
      <c r="F339" t="s">
        <v>1028</v>
      </c>
      <c r="G339" t="s">
        <v>82</v>
      </c>
      <c r="H339" s="292">
        <v>925000</v>
      </c>
      <c r="I339" s="292">
        <v>0</v>
      </c>
      <c r="J339" s="292">
        <v>842500</v>
      </c>
      <c r="K339" s="292" t="s">
        <v>8</v>
      </c>
      <c r="L339" s="292">
        <v>0</v>
      </c>
      <c r="M339" s="292">
        <v>0</v>
      </c>
      <c r="N339" s="292">
        <v>0</v>
      </c>
    </row>
    <row r="340" spans="1:14" x14ac:dyDescent="0.25">
      <c r="A340" t="s">
        <v>708</v>
      </c>
      <c r="B340" s="39">
        <f t="shared" si="20"/>
        <v>6</v>
      </c>
      <c r="C340" s="39" t="str">
        <f t="shared" si="21"/>
        <v>Jacob</v>
      </c>
      <c r="D340" s="39" t="str">
        <f t="shared" si="22"/>
        <v>Larsson</v>
      </c>
      <c r="E340" s="39" t="str">
        <f t="shared" si="23"/>
        <v>Jacob Larsson</v>
      </c>
      <c r="F340" t="s">
        <v>1017</v>
      </c>
      <c r="G340" t="s">
        <v>82</v>
      </c>
      <c r="H340" s="292">
        <v>925000</v>
      </c>
      <c r="I340" s="292">
        <v>0</v>
      </c>
      <c r="J340" s="292">
        <v>925000</v>
      </c>
      <c r="K340" s="292" t="s">
        <v>8</v>
      </c>
      <c r="L340" s="292">
        <v>0</v>
      </c>
      <c r="M340" s="292">
        <v>0</v>
      </c>
      <c r="N340" s="292">
        <v>0</v>
      </c>
    </row>
    <row r="341" spans="1:14" x14ac:dyDescent="0.25">
      <c r="A341" t="s">
        <v>1103</v>
      </c>
      <c r="B341" s="39">
        <f t="shared" si="20"/>
        <v>6</v>
      </c>
      <c r="C341" s="39" t="str">
        <f t="shared" si="21"/>
        <v>Jacob</v>
      </c>
      <c r="D341" s="39" t="str">
        <f t="shared" si="22"/>
        <v>Markstrom</v>
      </c>
      <c r="E341" s="39" t="str">
        <f t="shared" si="23"/>
        <v>Jacob Markstrom</v>
      </c>
      <c r="F341" t="s">
        <v>1037</v>
      </c>
      <c r="G341" t="s">
        <v>127</v>
      </c>
      <c r="H341" s="292">
        <v>3666670</v>
      </c>
      <c r="I341" s="292">
        <v>3666670</v>
      </c>
      <c r="J341" s="292">
        <v>3600000</v>
      </c>
      <c r="K341" s="292">
        <v>4000000</v>
      </c>
      <c r="L341" s="292" t="s">
        <v>7</v>
      </c>
      <c r="M341" s="292">
        <v>0</v>
      </c>
      <c r="N341" s="292">
        <v>0</v>
      </c>
    </row>
    <row r="342" spans="1:14" x14ac:dyDescent="0.25">
      <c r="A342" t="s">
        <v>508</v>
      </c>
      <c r="B342" s="39">
        <f t="shared" si="20"/>
        <v>6</v>
      </c>
      <c r="C342" s="39" t="str">
        <f t="shared" si="21"/>
        <v>Jacob</v>
      </c>
      <c r="D342" s="39" t="str">
        <f t="shared" si="22"/>
        <v>Moverare</v>
      </c>
      <c r="E342" s="39" t="str">
        <f t="shared" si="23"/>
        <v>Jacob Moverare</v>
      </c>
      <c r="F342" t="s">
        <v>1012</v>
      </c>
      <c r="G342" t="s">
        <v>82</v>
      </c>
      <c r="H342" s="292">
        <v>691667</v>
      </c>
      <c r="I342" s="292">
        <v>0</v>
      </c>
      <c r="J342" s="292">
        <v>720000</v>
      </c>
      <c r="K342" s="292" t="s">
        <v>8</v>
      </c>
      <c r="L342" s="292">
        <v>0</v>
      </c>
      <c r="M342" s="292">
        <v>0</v>
      </c>
      <c r="N342" s="292">
        <v>0</v>
      </c>
    </row>
    <row r="343" spans="1:14" x14ac:dyDescent="0.25">
      <c r="A343" t="s">
        <v>260</v>
      </c>
      <c r="B343" s="39">
        <f t="shared" si="20"/>
        <v>6</v>
      </c>
      <c r="C343" s="39" t="str">
        <f t="shared" si="21"/>
        <v>Jaden</v>
      </c>
      <c r="D343" s="39" t="str">
        <f t="shared" si="22"/>
        <v>Schwartz</v>
      </c>
      <c r="E343" s="39" t="str">
        <f t="shared" si="23"/>
        <v>Jaden Schwartz</v>
      </c>
      <c r="F343" t="s">
        <v>1026</v>
      </c>
      <c r="G343" t="s">
        <v>93</v>
      </c>
      <c r="H343" s="292">
        <v>5350000</v>
      </c>
      <c r="I343" s="292">
        <v>5350000</v>
      </c>
      <c r="J343" s="292">
        <v>6250000</v>
      </c>
      <c r="K343" s="292">
        <v>5750000</v>
      </c>
      <c r="L343" s="292">
        <v>4000000</v>
      </c>
      <c r="M343" s="292" t="s">
        <v>7</v>
      </c>
      <c r="N343" s="292">
        <v>0</v>
      </c>
    </row>
    <row r="344" spans="1:14" x14ac:dyDescent="0.25">
      <c r="A344" t="s">
        <v>275</v>
      </c>
      <c r="B344" s="39">
        <f t="shared" si="20"/>
        <v>5</v>
      </c>
      <c r="C344" s="39" t="str">
        <f t="shared" si="21"/>
        <v>Jake</v>
      </c>
      <c r="D344" s="39" t="str">
        <f t="shared" si="22"/>
        <v>Allen</v>
      </c>
      <c r="E344" s="39" t="str">
        <f t="shared" si="23"/>
        <v>Jake Allen</v>
      </c>
      <c r="F344" t="s">
        <v>1026</v>
      </c>
      <c r="G344" t="s">
        <v>127</v>
      </c>
      <c r="H344" s="292">
        <v>4350000</v>
      </c>
      <c r="I344" s="292">
        <v>4350000</v>
      </c>
      <c r="J344" s="292">
        <v>4350000</v>
      </c>
      <c r="K344" s="292">
        <v>5200000</v>
      </c>
      <c r="L344" s="292">
        <v>4000000</v>
      </c>
      <c r="M344" s="292" t="s">
        <v>7</v>
      </c>
      <c r="N344" s="292">
        <v>0</v>
      </c>
    </row>
    <row r="345" spans="1:14" x14ac:dyDescent="0.25">
      <c r="A345" t="s">
        <v>981</v>
      </c>
      <c r="B345" s="39">
        <f t="shared" si="20"/>
        <v>5</v>
      </c>
      <c r="C345" s="39" t="str">
        <f t="shared" si="21"/>
        <v>Jake</v>
      </c>
      <c r="D345" s="39" t="str">
        <f t="shared" si="22"/>
        <v>Bean</v>
      </c>
      <c r="E345" s="39" t="str">
        <f t="shared" si="23"/>
        <v>Jake Bean</v>
      </c>
      <c r="F345" t="s">
        <v>1036</v>
      </c>
      <c r="G345" t="s">
        <v>82</v>
      </c>
      <c r="H345" s="292">
        <v>1394170</v>
      </c>
      <c r="I345" s="292">
        <v>1394170</v>
      </c>
      <c r="J345" s="292">
        <v>925000</v>
      </c>
      <c r="K345" s="292">
        <v>832500</v>
      </c>
      <c r="L345" s="292" t="s">
        <v>8</v>
      </c>
      <c r="M345" s="292">
        <v>0</v>
      </c>
      <c r="N345" s="292">
        <v>0</v>
      </c>
    </row>
    <row r="346" spans="1:14" x14ac:dyDescent="0.25">
      <c r="A346" t="s">
        <v>806</v>
      </c>
      <c r="B346" s="39">
        <f t="shared" si="20"/>
        <v>5</v>
      </c>
      <c r="C346" s="39" t="str">
        <f t="shared" si="21"/>
        <v>Jake</v>
      </c>
      <c r="D346" s="39" t="str">
        <f t="shared" si="22"/>
        <v>Bischoff</v>
      </c>
      <c r="E346" s="39" t="str">
        <f t="shared" si="23"/>
        <v>Jake Bischoff</v>
      </c>
      <c r="F346" t="s">
        <v>1041</v>
      </c>
      <c r="G346" t="s">
        <v>82</v>
      </c>
      <c r="H346" s="292">
        <v>925000</v>
      </c>
      <c r="I346" s="292">
        <v>0</v>
      </c>
      <c r="J346" s="292">
        <v>925000</v>
      </c>
      <c r="K346" s="292" t="s">
        <v>8</v>
      </c>
      <c r="L346" s="292">
        <v>0</v>
      </c>
      <c r="M346" s="292">
        <v>0</v>
      </c>
      <c r="N346" s="292">
        <v>0</v>
      </c>
    </row>
    <row r="347" spans="1:14" x14ac:dyDescent="0.25">
      <c r="A347" t="s">
        <v>538</v>
      </c>
      <c r="B347" s="39">
        <f t="shared" si="20"/>
        <v>5</v>
      </c>
      <c r="C347" s="39" t="str">
        <f t="shared" si="21"/>
        <v>Jake</v>
      </c>
      <c r="D347" s="39" t="str">
        <f t="shared" si="22"/>
        <v>DeBrusk</v>
      </c>
      <c r="E347" s="39" t="str">
        <f t="shared" si="23"/>
        <v>Jake DeBrusk</v>
      </c>
      <c r="F347" t="s">
        <v>1030</v>
      </c>
      <c r="G347" t="s">
        <v>93</v>
      </c>
      <c r="H347" s="292">
        <v>1288330</v>
      </c>
      <c r="I347" s="292">
        <v>1288330</v>
      </c>
      <c r="J347" s="292">
        <v>832500</v>
      </c>
      <c r="K347" s="292">
        <v>832500</v>
      </c>
      <c r="L347" s="292" t="s">
        <v>8</v>
      </c>
      <c r="M347" s="292">
        <v>0</v>
      </c>
      <c r="N347" s="292">
        <v>0</v>
      </c>
    </row>
    <row r="348" spans="1:14" x14ac:dyDescent="0.25">
      <c r="A348" t="s">
        <v>520</v>
      </c>
      <c r="B348" s="39">
        <f t="shared" si="20"/>
        <v>5</v>
      </c>
      <c r="C348" s="39" t="str">
        <f t="shared" si="21"/>
        <v>Jake</v>
      </c>
      <c r="D348" s="39" t="str">
        <f t="shared" si="22"/>
        <v>Dotchin</v>
      </c>
      <c r="E348" s="39" t="str">
        <f t="shared" si="23"/>
        <v>Jake Dotchin</v>
      </c>
      <c r="F348" t="s">
        <v>1019</v>
      </c>
      <c r="G348" t="s">
        <v>379</v>
      </c>
      <c r="H348" s="292">
        <v>812500</v>
      </c>
      <c r="I348" s="292">
        <v>0</v>
      </c>
      <c r="J348" s="292">
        <v>925000</v>
      </c>
      <c r="K348" s="292" t="s">
        <v>8</v>
      </c>
      <c r="L348" s="292">
        <v>0</v>
      </c>
      <c r="M348" s="292">
        <v>0</v>
      </c>
      <c r="N348" s="292">
        <v>0</v>
      </c>
    </row>
    <row r="349" spans="1:14" x14ac:dyDescent="0.25">
      <c r="A349" t="s">
        <v>249</v>
      </c>
      <c r="B349" s="39">
        <f t="shared" si="20"/>
        <v>5</v>
      </c>
      <c r="C349" s="39" t="str">
        <f t="shared" si="21"/>
        <v>Jake</v>
      </c>
      <c r="D349" s="39" t="str">
        <f t="shared" si="22"/>
        <v>Gardiner</v>
      </c>
      <c r="E349" s="39" t="str">
        <f t="shared" si="23"/>
        <v>Jake Gardiner</v>
      </c>
      <c r="F349" t="s">
        <v>1034</v>
      </c>
      <c r="G349" t="s">
        <v>380</v>
      </c>
      <c r="H349" s="292">
        <v>4050000</v>
      </c>
      <c r="I349" s="292">
        <v>0</v>
      </c>
      <c r="J349" s="292">
        <v>3450000</v>
      </c>
      <c r="K349" s="292" t="s">
        <v>7</v>
      </c>
      <c r="L349" s="292">
        <v>0</v>
      </c>
      <c r="M349" s="292">
        <v>0</v>
      </c>
      <c r="N349" s="292">
        <v>0</v>
      </c>
    </row>
    <row r="350" spans="1:14" x14ac:dyDescent="0.25">
      <c r="A350" t="s">
        <v>206</v>
      </c>
      <c r="B350" s="39">
        <f t="shared" si="20"/>
        <v>5</v>
      </c>
      <c r="C350" s="39" t="str">
        <f t="shared" si="21"/>
        <v>Jake</v>
      </c>
      <c r="D350" s="39" t="str">
        <f t="shared" si="22"/>
        <v>Guentzel</v>
      </c>
      <c r="E350" s="39" t="str">
        <f t="shared" si="23"/>
        <v>Jake Guentzel</v>
      </c>
      <c r="F350" t="s">
        <v>1014</v>
      </c>
      <c r="G350" t="s">
        <v>93</v>
      </c>
      <c r="H350" s="292">
        <v>925000</v>
      </c>
      <c r="I350" s="292">
        <v>0</v>
      </c>
      <c r="J350" s="292">
        <v>792500</v>
      </c>
      <c r="K350" s="292" t="s">
        <v>8</v>
      </c>
      <c r="L350" s="292">
        <v>0</v>
      </c>
      <c r="M350" s="292">
        <v>0</v>
      </c>
      <c r="N350" s="292">
        <v>0</v>
      </c>
    </row>
    <row r="351" spans="1:14" x14ac:dyDescent="0.25">
      <c r="A351" t="s">
        <v>733</v>
      </c>
      <c r="B351" s="39">
        <f t="shared" si="20"/>
        <v>5</v>
      </c>
      <c r="C351" s="39" t="str">
        <f t="shared" si="21"/>
        <v>Jake</v>
      </c>
      <c r="D351" s="39" t="str">
        <f t="shared" si="22"/>
        <v>McCabe</v>
      </c>
      <c r="E351" s="39" t="str">
        <f t="shared" si="23"/>
        <v>Jake McCabe</v>
      </c>
      <c r="F351" t="s">
        <v>1039</v>
      </c>
      <c r="G351" t="s">
        <v>380</v>
      </c>
      <c r="H351" s="292">
        <v>1600000</v>
      </c>
      <c r="I351" s="292">
        <v>0</v>
      </c>
      <c r="J351" s="292">
        <v>1775000</v>
      </c>
      <c r="K351" s="292" t="s">
        <v>8</v>
      </c>
      <c r="L351" s="292">
        <v>0</v>
      </c>
      <c r="M351" s="292">
        <v>0</v>
      </c>
      <c r="N351" s="292">
        <v>0</v>
      </c>
    </row>
    <row r="352" spans="1:14" x14ac:dyDescent="0.25">
      <c r="A352" t="s">
        <v>498</v>
      </c>
      <c r="B352" s="39">
        <f t="shared" si="20"/>
        <v>5</v>
      </c>
      <c r="C352" s="39" t="str">
        <f t="shared" si="21"/>
        <v>Jake</v>
      </c>
      <c r="D352" s="39" t="str">
        <f t="shared" si="22"/>
        <v>Muzzin</v>
      </c>
      <c r="E352" s="39" t="str">
        <f t="shared" si="23"/>
        <v>Jake Muzzin</v>
      </c>
      <c r="F352" t="s">
        <v>1012</v>
      </c>
      <c r="G352" t="s">
        <v>380</v>
      </c>
      <c r="H352" s="292">
        <v>4000000</v>
      </c>
      <c r="I352" s="292">
        <v>4000000</v>
      </c>
      <c r="J352" s="292">
        <v>4450000</v>
      </c>
      <c r="K352" s="292">
        <v>4450000</v>
      </c>
      <c r="L352" s="292" t="s">
        <v>7</v>
      </c>
      <c r="M352" s="292">
        <v>0</v>
      </c>
      <c r="N352" s="292">
        <v>0</v>
      </c>
    </row>
    <row r="353" spans="1:14" x14ac:dyDescent="0.25">
      <c r="A353" t="s">
        <v>408</v>
      </c>
      <c r="B353" s="39">
        <f t="shared" si="20"/>
        <v>5</v>
      </c>
      <c r="C353" s="39" t="str">
        <f t="shared" si="21"/>
        <v>Jake</v>
      </c>
      <c r="D353" s="39" t="str">
        <f t="shared" si="22"/>
        <v>Walman</v>
      </c>
      <c r="E353" s="39" t="str">
        <f t="shared" si="23"/>
        <v>Jake Walman</v>
      </c>
      <c r="F353" t="s">
        <v>1026</v>
      </c>
      <c r="G353" t="s">
        <v>82</v>
      </c>
      <c r="H353" s="292">
        <v>925000</v>
      </c>
      <c r="I353" s="292">
        <v>925000</v>
      </c>
      <c r="J353" s="292">
        <v>925000</v>
      </c>
      <c r="K353" s="292">
        <v>925000</v>
      </c>
      <c r="L353" s="292" t="s">
        <v>8</v>
      </c>
      <c r="M353" s="292">
        <v>0</v>
      </c>
      <c r="N353" s="292">
        <v>0</v>
      </c>
    </row>
    <row r="354" spans="1:14" x14ac:dyDescent="0.25">
      <c r="A354" t="s">
        <v>845</v>
      </c>
      <c r="B354" s="39">
        <f t="shared" si="20"/>
        <v>6</v>
      </c>
      <c r="C354" s="39" t="str">
        <f t="shared" si="21"/>
        <v>Jakob</v>
      </c>
      <c r="D354" s="39" t="str">
        <f t="shared" si="22"/>
        <v>Chychrun</v>
      </c>
      <c r="E354" s="39" t="str">
        <f t="shared" si="23"/>
        <v>Jakob Chychrun</v>
      </c>
      <c r="F354" t="s">
        <v>1032</v>
      </c>
      <c r="G354" t="s">
        <v>380</v>
      </c>
      <c r="H354" s="292">
        <v>1350000</v>
      </c>
      <c r="I354" s="292">
        <v>0</v>
      </c>
      <c r="J354" s="292">
        <v>925000</v>
      </c>
      <c r="K354" s="292" t="s">
        <v>8</v>
      </c>
      <c r="L354" s="292">
        <v>0</v>
      </c>
      <c r="M354" s="292">
        <v>0</v>
      </c>
      <c r="N354" s="292">
        <v>0</v>
      </c>
    </row>
    <row r="355" spans="1:14" x14ac:dyDescent="0.25">
      <c r="A355" t="s">
        <v>545</v>
      </c>
      <c r="B355" s="39">
        <f t="shared" si="20"/>
        <v>6</v>
      </c>
      <c r="C355" s="39" t="str">
        <f t="shared" si="21"/>
        <v>Jakob</v>
      </c>
      <c r="D355" s="39" t="str">
        <f t="shared" si="22"/>
        <v>Forsbacka Karlsson</v>
      </c>
      <c r="E355" s="39" t="str">
        <f t="shared" si="23"/>
        <v>Jakob Forsbacka Karlsson</v>
      </c>
      <c r="F355" t="s">
        <v>1030</v>
      </c>
      <c r="G355" t="s">
        <v>73</v>
      </c>
      <c r="H355" s="292">
        <v>925000</v>
      </c>
      <c r="I355" s="292">
        <v>0</v>
      </c>
      <c r="J355" s="292">
        <v>925000</v>
      </c>
      <c r="K355" s="292" t="s">
        <v>8</v>
      </c>
      <c r="L355" s="292">
        <v>0</v>
      </c>
      <c r="M355" s="292">
        <v>0</v>
      </c>
      <c r="N355" s="292">
        <v>0</v>
      </c>
    </row>
    <row r="356" spans="1:14" x14ac:dyDescent="0.25">
      <c r="A356" t="s">
        <v>702</v>
      </c>
      <c r="B356" s="39">
        <f t="shared" si="20"/>
        <v>6</v>
      </c>
      <c r="C356" s="39" t="str">
        <f t="shared" si="21"/>
        <v>Jakob</v>
      </c>
      <c r="D356" s="39" t="str">
        <f t="shared" si="22"/>
        <v>Silfverberg</v>
      </c>
      <c r="E356" s="39" t="str">
        <f t="shared" si="23"/>
        <v>Jakob Silfverberg</v>
      </c>
      <c r="F356" t="s">
        <v>1017</v>
      </c>
      <c r="G356" t="s">
        <v>93</v>
      </c>
      <c r="H356" s="292">
        <v>3750000</v>
      </c>
      <c r="I356" s="292">
        <v>0</v>
      </c>
      <c r="J356" s="292">
        <v>3750000</v>
      </c>
      <c r="K356" s="292" t="s">
        <v>7</v>
      </c>
      <c r="L356" s="292">
        <v>0</v>
      </c>
      <c r="M356" s="292">
        <v>0</v>
      </c>
      <c r="N356" s="292">
        <v>0</v>
      </c>
    </row>
    <row r="357" spans="1:14" x14ac:dyDescent="0.25">
      <c r="A357" t="s">
        <v>285</v>
      </c>
      <c r="B357" s="39">
        <f t="shared" si="20"/>
        <v>6</v>
      </c>
      <c r="C357" s="39" t="str">
        <f t="shared" si="21"/>
        <v>Jakub</v>
      </c>
      <c r="D357" s="39" t="str">
        <f t="shared" si="22"/>
        <v>Voracek</v>
      </c>
      <c r="E357" s="39" t="str">
        <f t="shared" si="23"/>
        <v>Jakub Voracek</v>
      </c>
      <c r="F357" t="s">
        <v>1021</v>
      </c>
      <c r="G357" t="s">
        <v>88</v>
      </c>
      <c r="H357" s="292">
        <v>8250000</v>
      </c>
      <c r="I357" s="292">
        <v>8250000</v>
      </c>
      <c r="J357" s="292">
        <v>9250000</v>
      </c>
      <c r="K357" s="292">
        <v>9250000</v>
      </c>
      <c r="L357" s="292">
        <v>6250000</v>
      </c>
      <c r="M357" s="292">
        <v>7500000</v>
      </c>
      <c r="N357" s="292">
        <v>6250000</v>
      </c>
    </row>
    <row r="358" spans="1:14" x14ac:dyDescent="0.25">
      <c r="A358" t="s">
        <v>1001</v>
      </c>
      <c r="B358" s="39">
        <f t="shared" si="20"/>
        <v>6</v>
      </c>
      <c r="C358" s="39" t="str">
        <f t="shared" si="21"/>
        <v>Jakub</v>
      </c>
      <c r="D358" s="39" t="str">
        <f t="shared" si="22"/>
        <v>Vrana</v>
      </c>
      <c r="E358" s="39" t="str">
        <f t="shared" si="23"/>
        <v>Jakub Vrana</v>
      </c>
      <c r="F358" t="s">
        <v>1013</v>
      </c>
      <c r="G358" t="s">
        <v>93</v>
      </c>
      <c r="H358" s="292">
        <v>1363330</v>
      </c>
      <c r="I358" s="292">
        <v>0</v>
      </c>
      <c r="J358" s="292">
        <v>832500</v>
      </c>
      <c r="K358" s="292" t="s">
        <v>8</v>
      </c>
      <c r="L358" s="292">
        <v>0</v>
      </c>
      <c r="M358" s="292">
        <v>0</v>
      </c>
      <c r="N358" s="292">
        <v>0</v>
      </c>
    </row>
    <row r="359" spans="1:14" x14ac:dyDescent="0.25">
      <c r="A359" t="s">
        <v>546</v>
      </c>
      <c r="B359" s="39">
        <f t="shared" si="20"/>
        <v>6</v>
      </c>
      <c r="C359" s="39" t="str">
        <f t="shared" si="21"/>
        <v>Jakub</v>
      </c>
      <c r="D359" s="39" t="str">
        <f t="shared" si="22"/>
        <v>Zboril</v>
      </c>
      <c r="E359" s="39" t="str">
        <f t="shared" si="23"/>
        <v>Jakub Zboril</v>
      </c>
      <c r="F359" t="s">
        <v>1030</v>
      </c>
      <c r="G359" t="s">
        <v>82</v>
      </c>
      <c r="H359" s="292">
        <v>1288330</v>
      </c>
      <c r="I359" s="292">
        <v>1288330</v>
      </c>
      <c r="J359" s="292">
        <v>832500</v>
      </c>
      <c r="K359" s="292">
        <v>832500</v>
      </c>
      <c r="L359" s="292" t="s">
        <v>8</v>
      </c>
      <c r="M359" s="292">
        <v>0</v>
      </c>
      <c r="N359" s="292">
        <v>0</v>
      </c>
    </row>
    <row r="360" spans="1:14" x14ac:dyDescent="0.25">
      <c r="A360" t="s">
        <v>832</v>
      </c>
      <c r="B360" s="39">
        <f t="shared" si="20"/>
        <v>6</v>
      </c>
      <c r="C360" s="39" t="str">
        <f t="shared" si="21"/>
        <v>Jalen</v>
      </c>
      <c r="D360" s="39" t="str">
        <f t="shared" si="22"/>
        <v>Chatfield</v>
      </c>
      <c r="E360" s="39" t="str">
        <f t="shared" si="23"/>
        <v>Jalen Chatfield</v>
      </c>
      <c r="F360" t="s">
        <v>1037</v>
      </c>
      <c r="G360" t="s">
        <v>88</v>
      </c>
      <c r="H360" s="292">
        <v>765000</v>
      </c>
      <c r="I360" s="292">
        <v>765000</v>
      </c>
      <c r="J360" s="292">
        <v>765000</v>
      </c>
      <c r="K360" s="292">
        <v>820000</v>
      </c>
      <c r="L360" s="292" t="s">
        <v>8</v>
      </c>
      <c r="M360" s="292">
        <v>0</v>
      </c>
      <c r="N360" s="292">
        <v>0</v>
      </c>
    </row>
    <row r="361" spans="1:14" x14ac:dyDescent="0.25">
      <c r="A361" t="s">
        <v>857</v>
      </c>
      <c r="B361" s="39">
        <f t="shared" si="20"/>
        <v>6</v>
      </c>
      <c r="C361" s="39" t="str">
        <f t="shared" si="21"/>
        <v>Jalen</v>
      </c>
      <c r="D361" s="39" t="str">
        <f t="shared" si="22"/>
        <v>Smereck</v>
      </c>
      <c r="E361" s="39" t="str">
        <f t="shared" si="23"/>
        <v>Jalen Smereck</v>
      </c>
      <c r="F361" t="s">
        <v>1032</v>
      </c>
      <c r="G361" t="s">
        <v>82</v>
      </c>
      <c r="H361" s="292">
        <v>676667</v>
      </c>
      <c r="I361" s="292">
        <v>676667</v>
      </c>
      <c r="J361" s="292">
        <v>680000</v>
      </c>
      <c r="K361" s="292">
        <v>700000</v>
      </c>
      <c r="L361" s="292" t="s">
        <v>8</v>
      </c>
      <c r="M361" s="292">
        <v>0</v>
      </c>
      <c r="N361" s="292">
        <v>0</v>
      </c>
    </row>
    <row r="362" spans="1:14" x14ac:dyDescent="0.25">
      <c r="A362" t="s">
        <v>482</v>
      </c>
      <c r="B362" s="39">
        <f t="shared" si="20"/>
        <v>6</v>
      </c>
      <c r="C362" s="39" t="str">
        <f t="shared" si="21"/>
        <v>James</v>
      </c>
      <c r="D362" s="39" t="str">
        <f t="shared" si="22"/>
        <v>Reimer</v>
      </c>
      <c r="E362" s="39" t="str">
        <f t="shared" si="23"/>
        <v>James Reimer</v>
      </c>
      <c r="F362" t="s">
        <v>1027</v>
      </c>
      <c r="G362" t="s">
        <v>127</v>
      </c>
      <c r="H362" s="292">
        <v>3400000</v>
      </c>
      <c r="I362" s="292">
        <v>3400000</v>
      </c>
      <c r="J362" s="292">
        <v>3100000</v>
      </c>
      <c r="K362" s="292">
        <v>3100000</v>
      </c>
      <c r="L362" s="292">
        <v>3100000</v>
      </c>
      <c r="M362" s="292" t="s">
        <v>7</v>
      </c>
      <c r="N362" s="292">
        <v>0</v>
      </c>
    </row>
    <row r="363" spans="1:14" x14ac:dyDescent="0.25">
      <c r="A363" t="s">
        <v>244</v>
      </c>
      <c r="B363" s="39">
        <f t="shared" si="20"/>
        <v>6</v>
      </c>
      <c r="C363" s="39" t="str">
        <f t="shared" si="21"/>
        <v>Jamie</v>
      </c>
      <c r="D363" s="39" t="str">
        <f t="shared" si="22"/>
        <v>Benn</v>
      </c>
      <c r="E363" s="39" t="str">
        <f t="shared" si="23"/>
        <v>Jamie Benn</v>
      </c>
      <c r="F363" t="s">
        <v>1015</v>
      </c>
      <c r="G363" t="s">
        <v>93</v>
      </c>
      <c r="H363" s="292">
        <v>9500000</v>
      </c>
      <c r="I363" s="292">
        <v>9500000</v>
      </c>
      <c r="J363" s="292">
        <v>13000000</v>
      </c>
      <c r="K363" s="292">
        <v>13000000</v>
      </c>
      <c r="L363" s="292">
        <v>9000000</v>
      </c>
      <c r="M363" s="292">
        <v>8500000</v>
      </c>
      <c r="N363" s="292">
        <v>6500000</v>
      </c>
    </row>
    <row r="364" spans="1:14" x14ac:dyDescent="0.25">
      <c r="A364" t="s">
        <v>474</v>
      </c>
      <c r="B364" s="39">
        <f t="shared" si="20"/>
        <v>6</v>
      </c>
      <c r="C364" s="39" t="str">
        <f t="shared" si="21"/>
        <v>Jamie</v>
      </c>
      <c r="D364" s="39" t="str">
        <f t="shared" si="22"/>
        <v>McGinn</v>
      </c>
      <c r="E364" s="39" t="str">
        <f t="shared" si="23"/>
        <v>Jamie McGinn</v>
      </c>
      <c r="F364" t="s">
        <v>1027</v>
      </c>
      <c r="G364" t="s">
        <v>93</v>
      </c>
      <c r="H364" s="292">
        <v>3333330</v>
      </c>
      <c r="I364" s="292">
        <v>0</v>
      </c>
      <c r="J364" s="292">
        <v>3500000</v>
      </c>
      <c r="K364" s="292" t="s">
        <v>7</v>
      </c>
      <c r="L364" s="292">
        <v>0</v>
      </c>
      <c r="M364" s="292">
        <v>0</v>
      </c>
      <c r="N364" s="292">
        <v>0</v>
      </c>
    </row>
    <row r="365" spans="1:14" x14ac:dyDescent="0.25">
      <c r="A365" t="s">
        <v>983</v>
      </c>
      <c r="B365" s="39">
        <f t="shared" si="20"/>
        <v>6</v>
      </c>
      <c r="C365" s="39" t="str">
        <f t="shared" si="21"/>
        <v>Janne</v>
      </c>
      <c r="D365" s="39" t="str">
        <f t="shared" si="22"/>
        <v>Kuokkanen</v>
      </c>
      <c r="E365" s="39" t="str">
        <f t="shared" si="23"/>
        <v>Janne Kuokkanen</v>
      </c>
      <c r="F365" t="s">
        <v>1036</v>
      </c>
      <c r="G365" t="s">
        <v>73</v>
      </c>
      <c r="H365" s="292">
        <v>925000</v>
      </c>
      <c r="I365" s="292">
        <v>925000</v>
      </c>
      <c r="J365" s="292">
        <v>842500</v>
      </c>
      <c r="K365" s="292">
        <v>892500</v>
      </c>
      <c r="L365" s="292" t="s">
        <v>8</v>
      </c>
      <c r="M365" s="292">
        <v>0</v>
      </c>
      <c r="N365" s="292">
        <v>0</v>
      </c>
    </row>
    <row r="366" spans="1:14" x14ac:dyDescent="0.25">
      <c r="A366" t="s">
        <v>872</v>
      </c>
      <c r="B366" s="39">
        <f t="shared" si="20"/>
        <v>7</v>
      </c>
      <c r="C366" s="39" t="str">
        <f t="shared" si="21"/>
        <v>Jansen</v>
      </c>
      <c r="D366" s="39" t="str">
        <f t="shared" si="22"/>
        <v>Harkins</v>
      </c>
      <c r="E366" s="39" t="str">
        <f t="shared" si="23"/>
        <v>Jansen Harkins</v>
      </c>
      <c r="F366" t="s">
        <v>1024</v>
      </c>
      <c r="G366" t="s">
        <v>73</v>
      </c>
      <c r="H366" s="292">
        <v>925000</v>
      </c>
      <c r="I366" s="292">
        <v>925000</v>
      </c>
      <c r="J366" s="292">
        <v>742500</v>
      </c>
      <c r="K366" s="292">
        <v>817500</v>
      </c>
      <c r="L366" s="292" t="s">
        <v>8</v>
      </c>
      <c r="M366" s="292">
        <v>0</v>
      </c>
      <c r="N366" s="292">
        <v>0</v>
      </c>
    </row>
    <row r="367" spans="1:14" x14ac:dyDescent="0.25">
      <c r="A367" t="s">
        <v>458</v>
      </c>
      <c r="B367" s="39">
        <f t="shared" si="20"/>
        <v>6</v>
      </c>
      <c r="C367" s="39" t="str">
        <f t="shared" si="21"/>
        <v>Jared</v>
      </c>
      <c r="D367" s="39" t="str">
        <f t="shared" si="22"/>
        <v>Spurgeon</v>
      </c>
      <c r="E367" s="39" t="str">
        <f t="shared" si="23"/>
        <v>Jared Spurgeon</v>
      </c>
      <c r="F367" t="s">
        <v>1025</v>
      </c>
      <c r="G367" t="s">
        <v>379</v>
      </c>
      <c r="H367" s="292">
        <v>5187500</v>
      </c>
      <c r="I367" s="292">
        <v>5187500</v>
      </c>
      <c r="J367" s="292">
        <v>5500000</v>
      </c>
      <c r="K367" s="292">
        <v>5500000</v>
      </c>
      <c r="L367" s="292" t="s">
        <v>7</v>
      </c>
      <c r="M367" s="292">
        <v>0</v>
      </c>
      <c r="N367" s="292">
        <v>0</v>
      </c>
    </row>
    <row r="368" spans="1:14" x14ac:dyDescent="0.25">
      <c r="A368" t="s">
        <v>173</v>
      </c>
      <c r="B368" s="39">
        <f t="shared" si="20"/>
        <v>6</v>
      </c>
      <c r="C368" s="39" t="str">
        <f t="shared" si="21"/>
        <v>Jaret</v>
      </c>
      <c r="D368" s="39" t="str">
        <f t="shared" si="22"/>
        <v>Anderson-Dolan</v>
      </c>
      <c r="E368" s="39" t="str">
        <f t="shared" si="23"/>
        <v>Jaret Anderson-Dolan</v>
      </c>
      <c r="F368" t="s">
        <v>1012</v>
      </c>
      <c r="G368" t="s">
        <v>73</v>
      </c>
      <c r="H368" s="292">
        <v>925000</v>
      </c>
      <c r="I368" s="292">
        <v>925000</v>
      </c>
      <c r="J368" s="292">
        <v>742500</v>
      </c>
      <c r="K368" s="292">
        <v>792500</v>
      </c>
      <c r="L368" s="292" t="s">
        <v>8</v>
      </c>
      <c r="M368" s="292">
        <v>0</v>
      </c>
      <c r="N368" s="292">
        <v>0</v>
      </c>
    </row>
    <row r="369" spans="1:14" x14ac:dyDescent="0.25">
      <c r="A369" t="s">
        <v>844</v>
      </c>
      <c r="B369" s="39">
        <f t="shared" si="20"/>
        <v>6</v>
      </c>
      <c r="C369" s="39" t="str">
        <f t="shared" si="21"/>
        <v>Jason</v>
      </c>
      <c r="D369" s="39" t="str">
        <f t="shared" si="22"/>
        <v>Demers</v>
      </c>
      <c r="E369" s="39" t="str">
        <f t="shared" si="23"/>
        <v>Jason Demers</v>
      </c>
      <c r="F369" t="s">
        <v>1032</v>
      </c>
      <c r="G369" t="s">
        <v>379</v>
      </c>
      <c r="H369" s="292">
        <v>4500000</v>
      </c>
      <c r="I369" s="292">
        <v>4500000</v>
      </c>
      <c r="J369" s="292">
        <v>4400000</v>
      </c>
      <c r="K369" s="292">
        <v>3600000</v>
      </c>
      <c r="L369" s="292">
        <v>3600000</v>
      </c>
      <c r="M369" s="292" t="s">
        <v>7</v>
      </c>
      <c r="N369" s="292">
        <v>0</v>
      </c>
    </row>
    <row r="370" spans="1:14" x14ac:dyDescent="0.25">
      <c r="A370" t="s">
        <v>725</v>
      </c>
      <c r="B370" s="39">
        <f t="shared" si="20"/>
        <v>6</v>
      </c>
      <c r="C370" s="39" t="str">
        <f t="shared" si="21"/>
        <v>Jason</v>
      </c>
      <c r="D370" s="39" t="str">
        <f t="shared" si="22"/>
        <v>Pominville</v>
      </c>
      <c r="E370" s="39" t="str">
        <f t="shared" si="23"/>
        <v>Jason Pominville</v>
      </c>
      <c r="F370" t="s">
        <v>1039</v>
      </c>
      <c r="G370" t="s">
        <v>88</v>
      </c>
      <c r="H370" s="292">
        <v>5600000</v>
      </c>
      <c r="I370" s="292">
        <v>0</v>
      </c>
      <c r="J370" s="292">
        <v>5000000</v>
      </c>
      <c r="K370" s="292" t="s">
        <v>7</v>
      </c>
      <c r="L370" s="292">
        <v>0</v>
      </c>
      <c r="M370" s="292">
        <v>0</v>
      </c>
      <c r="N370" s="292">
        <v>0</v>
      </c>
    </row>
    <row r="371" spans="1:14" x14ac:dyDescent="0.25">
      <c r="A371" t="s">
        <v>1052</v>
      </c>
      <c r="B371" s="39">
        <f t="shared" si="20"/>
        <v>6</v>
      </c>
      <c r="C371" s="39" t="str">
        <f t="shared" si="21"/>
        <v>Jason</v>
      </c>
      <c r="D371" s="39" t="str">
        <f t="shared" si="22"/>
        <v>Spezza</v>
      </c>
      <c r="E371" s="39" t="str">
        <f t="shared" si="23"/>
        <v>Jason Spezza</v>
      </c>
      <c r="F371" t="s">
        <v>1015</v>
      </c>
      <c r="G371" t="s">
        <v>73</v>
      </c>
      <c r="H371" s="292">
        <v>7500000</v>
      </c>
      <c r="I371" s="292">
        <v>0</v>
      </c>
      <c r="J371" s="292">
        <v>7500000</v>
      </c>
      <c r="K371" s="292" t="s">
        <v>7</v>
      </c>
      <c r="L371" s="292">
        <v>0</v>
      </c>
      <c r="M371" s="292">
        <v>0</v>
      </c>
      <c r="N371" s="292">
        <v>0</v>
      </c>
    </row>
    <row r="372" spans="1:14" x14ac:dyDescent="0.25">
      <c r="A372" t="s">
        <v>404</v>
      </c>
      <c r="B372" s="39">
        <f t="shared" si="20"/>
        <v>4</v>
      </c>
      <c r="C372" s="39" t="str">
        <f t="shared" si="21"/>
        <v>Jay</v>
      </c>
      <c r="D372" s="39" t="str">
        <f t="shared" si="22"/>
        <v>Bouwmeester</v>
      </c>
      <c r="E372" s="39" t="str">
        <f t="shared" si="23"/>
        <v>Jay Bouwmeester</v>
      </c>
      <c r="F372" t="s">
        <v>1026</v>
      </c>
      <c r="G372" t="s">
        <v>380</v>
      </c>
      <c r="H372" s="292">
        <v>5400000</v>
      </c>
      <c r="I372" s="292">
        <v>0</v>
      </c>
      <c r="J372" s="292">
        <v>5400000</v>
      </c>
      <c r="K372" s="292" t="s">
        <v>7</v>
      </c>
      <c r="L372" s="292">
        <v>0</v>
      </c>
      <c r="M372" s="292">
        <v>0</v>
      </c>
      <c r="N372" s="292">
        <v>0</v>
      </c>
    </row>
    <row r="373" spans="1:14" x14ac:dyDescent="0.25">
      <c r="A373" t="s">
        <v>723</v>
      </c>
      <c r="B373" s="39">
        <f t="shared" si="20"/>
        <v>7</v>
      </c>
      <c r="C373" s="39" t="str">
        <f t="shared" si="21"/>
        <v>Jaycob</v>
      </c>
      <c r="D373" s="39" t="str">
        <f t="shared" si="22"/>
        <v>Megna</v>
      </c>
      <c r="E373" s="39" t="str">
        <f t="shared" si="23"/>
        <v>Jaycob Megna</v>
      </c>
      <c r="F373" t="s">
        <v>1017</v>
      </c>
      <c r="G373" t="s">
        <v>82</v>
      </c>
      <c r="H373" s="292">
        <v>650000</v>
      </c>
      <c r="I373" s="292">
        <v>0</v>
      </c>
      <c r="J373" s="292">
        <v>650000</v>
      </c>
      <c r="K373" s="292" t="s">
        <v>8</v>
      </c>
      <c r="L373" s="292">
        <v>0</v>
      </c>
      <c r="M373" s="292">
        <v>0</v>
      </c>
      <c r="N373" s="292">
        <v>0</v>
      </c>
    </row>
    <row r="374" spans="1:14" x14ac:dyDescent="0.25">
      <c r="A374" t="s">
        <v>1146</v>
      </c>
      <c r="B374" s="39">
        <f t="shared" si="20"/>
        <v>14</v>
      </c>
      <c r="C374" s="39" t="str">
        <f t="shared" si="21"/>
        <v>Jean-Francois</v>
      </c>
      <c r="D374" s="39" t="str">
        <f t="shared" si="22"/>
        <v>Berube</v>
      </c>
      <c r="E374" s="39" t="str">
        <f t="shared" si="23"/>
        <v>Jean-Francois Berube</v>
      </c>
      <c r="F374" t="s">
        <v>1011</v>
      </c>
      <c r="G374" t="s">
        <v>127</v>
      </c>
      <c r="H374" s="292">
        <v>700000</v>
      </c>
      <c r="I374" s="292">
        <v>0</v>
      </c>
      <c r="J374" s="292">
        <v>700000</v>
      </c>
      <c r="K374" s="292" t="s">
        <v>7</v>
      </c>
      <c r="L374" s="292">
        <v>0</v>
      </c>
      <c r="M374" s="292">
        <v>0</v>
      </c>
      <c r="N374" s="292">
        <v>0</v>
      </c>
    </row>
    <row r="375" spans="1:14" x14ac:dyDescent="0.25">
      <c r="A375" t="s">
        <v>679</v>
      </c>
      <c r="B375" s="39">
        <f t="shared" si="20"/>
        <v>13</v>
      </c>
      <c r="C375" s="39" t="str">
        <f t="shared" si="21"/>
        <v>Jean-Gabriel</v>
      </c>
      <c r="D375" s="39" t="str">
        <f t="shared" si="22"/>
        <v>Pageau</v>
      </c>
      <c r="E375" s="39" t="str">
        <f t="shared" si="23"/>
        <v>Jean-Gabriel Pageau</v>
      </c>
      <c r="F375" t="s">
        <v>1029</v>
      </c>
      <c r="G375" t="s">
        <v>73</v>
      </c>
      <c r="H375" s="292">
        <v>3100000</v>
      </c>
      <c r="I375" s="292">
        <v>3100000</v>
      </c>
      <c r="J375" s="292">
        <v>3300000</v>
      </c>
      <c r="K375" s="292">
        <v>3400000</v>
      </c>
      <c r="L375" s="292" t="s">
        <v>8</v>
      </c>
      <c r="M375" s="292">
        <v>0</v>
      </c>
      <c r="N375" s="292">
        <v>0</v>
      </c>
    </row>
    <row r="376" spans="1:14" x14ac:dyDescent="0.25">
      <c r="A376" t="s">
        <v>1078</v>
      </c>
      <c r="B376" s="39">
        <f t="shared" si="20"/>
        <v>5</v>
      </c>
      <c r="C376" s="39" t="str">
        <f t="shared" si="21"/>
        <v>Jeff</v>
      </c>
      <c r="D376" s="39" t="str">
        <f t="shared" si="22"/>
        <v>Carter</v>
      </c>
      <c r="E376" s="39" t="str">
        <f t="shared" si="23"/>
        <v>Jeff Carter</v>
      </c>
      <c r="F376" t="s">
        <v>1012</v>
      </c>
      <c r="G376" t="s">
        <v>73</v>
      </c>
      <c r="H376" s="292">
        <v>5272730</v>
      </c>
      <c r="I376" s="292">
        <v>5272730</v>
      </c>
      <c r="J376" s="292">
        <v>5000000</v>
      </c>
      <c r="K376" s="292">
        <v>3000000</v>
      </c>
      <c r="L376" s="292">
        <v>2000000</v>
      </c>
      <c r="M376" s="292">
        <v>2000000</v>
      </c>
      <c r="N376" s="292" t="s">
        <v>7</v>
      </c>
    </row>
    <row r="377" spans="1:14" x14ac:dyDescent="0.25">
      <c r="A377" t="s">
        <v>782</v>
      </c>
      <c r="B377" s="39">
        <f t="shared" si="20"/>
        <v>5</v>
      </c>
      <c r="C377" s="39" t="str">
        <f t="shared" si="21"/>
        <v>Jeff</v>
      </c>
      <c r="D377" s="39" t="str">
        <f t="shared" si="22"/>
        <v>Petry</v>
      </c>
      <c r="E377" s="39" t="str">
        <f t="shared" si="23"/>
        <v>Jeff Petry</v>
      </c>
      <c r="F377" t="s">
        <v>1023</v>
      </c>
      <c r="G377" t="s">
        <v>379</v>
      </c>
      <c r="H377" s="292">
        <v>5500000</v>
      </c>
      <c r="I377" s="292">
        <v>5500000</v>
      </c>
      <c r="J377" s="292">
        <v>5000000</v>
      </c>
      <c r="K377" s="292">
        <v>4000000</v>
      </c>
      <c r="L377" s="292">
        <v>4000000</v>
      </c>
      <c r="M377" s="292" t="s">
        <v>7</v>
      </c>
      <c r="N377" s="292">
        <v>0</v>
      </c>
    </row>
    <row r="378" spans="1:14" x14ac:dyDescent="0.25">
      <c r="A378" t="s">
        <v>724</v>
      </c>
      <c r="B378" s="39">
        <f t="shared" si="20"/>
        <v>5</v>
      </c>
      <c r="C378" s="39" t="str">
        <f t="shared" si="21"/>
        <v>Jeff</v>
      </c>
      <c r="D378" s="39" t="str">
        <f t="shared" si="22"/>
        <v>Skinner</v>
      </c>
      <c r="E378" s="39" t="str">
        <f t="shared" si="23"/>
        <v>Jeff Skinner</v>
      </c>
      <c r="F378" t="s">
        <v>1039</v>
      </c>
      <c r="G378" t="s">
        <v>93</v>
      </c>
      <c r="H378" s="292">
        <v>5725000</v>
      </c>
      <c r="I378" s="292">
        <v>0</v>
      </c>
      <c r="J378" s="292">
        <v>6000000</v>
      </c>
      <c r="K378" s="292" t="s">
        <v>7</v>
      </c>
      <c r="L378" s="292">
        <v>0</v>
      </c>
      <c r="M378" s="292">
        <v>0</v>
      </c>
      <c r="N378" s="292">
        <v>0</v>
      </c>
    </row>
    <row r="379" spans="1:14" x14ac:dyDescent="0.25">
      <c r="A379" t="s">
        <v>430</v>
      </c>
      <c r="B379" s="39">
        <f t="shared" si="20"/>
        <v>5</v>
      </c>
      <c r="C379" s="39" t="str">
        <f t="shared" si="21"/>
        <v>Jeff</v>
      </c>
      <c r="D379" s="39" t="str">
        <f t="shared" si="22"/>
        <v>Taylor</v>
      </c>
      <c r="E379" s="39" t="str">
        <f t="shared" si="23"/>
        <v>Jeff Taylor</v>
      </c>
      <c r="F379" t="s">
        <v>1014</v>
      </c>
      <c r="G379" t="s">
        <v>82</v>
      </c>
      <c r="H379" s="292">
        <v>925000</v>
      </c>
      <c r="I379" s="292">
        <v>0</v>
      </c>
      <c r="J379" s="292">
        <v>742500</v>
      </c>
      <c r="K379" s="292" t="s">
        <v>8</v>
      </c>
      <c r="L379" s="292">
        <v>0</v>
      </c>
      <c r="M379" s="292">
        <v>0</v>
      </c>
      <c r="N379" s="292">
        <v>0</v>
      </c>
    </row>
    <row r="380" spans="1:14" x14ac:dyDescent="0.25">
      <c r="A380" t="s">
        <v>850</v>
      </c>
      <c r="B380" s="39">
        <f t="shared" si="20"/>
        <v>5</v>
      </c>
      <c r="C380" s="39" t="str">
        <f t="shared" si="21"/>
        <v>Jens</v>
      </c>
      <c r="D380" s="39" t="str">
        <f t="shared" si="22"/>
        <v>Looke</v>
      </c>
      <c r="E380" s="39" t="str">
        <f t="shared" si="23"/>
        <v>Jens Looke</v>
      </c>
      <c r="F380" t="s">
        <v>1032</v>
      </c>
      <c r="G380" t="s">
        <v>88</v>
      </c>
      <c r="H380" s="292">
        <v>925000</v>
      </c>
      <c r="I380" s="292">
        <v>925000</v>
      </c>
      <c r="J380" s="292">
        <v>742500</v>
      </c>
      <c r="K380" s="292">
        <v>817500</v>
      </c>
      <c r="L380" s="292" t="s">
        <v>8</v>
      </c>
      <c r="M380" s="292">
        <v>0</v>
      </c>
      <c r="N380" s="292">
        <v>0</v>
      </c>
    </row>
    <row r="381" spans="1:14" x14ac:dyDescent="0.25">
      <c r="A381" t="s">
        <v>791</v>
      </c>
      <c r="B381" s="39">
        <f t="shared" si="20"/>
        <v>9</v>
      </c>
      <c r="C381" s="39" t="str">
        <f t="shared" si="21"/>
        <v>Jeremiah</v>
      </c>
      <c r="D381" s="39" t="str">
        <f t="shared" si="22"/>
        <v>Addison</v>
      </c>
      <c r="E381" s="39" t="str">
        <f t="shared" si="23"/>
        <v>Jeremiah Addison</v>
      </c>
      <c r="F381" t="s">
        <v>1023</v>
      </c>
      <c r="G381" t="s">
        <v>93</v>
      </c>
      <c r="H381" s="292">
        <v>720000</v>
      </c>
      <c r="I381" s="292">
        <v>720000</v>
      </c>
      <c r="J381" s="292">
        <v>700000</v>
      </c>
      <c r="K381" s="292">
        <v>740000</v>
      </c>
      <c r="L381" s="292" t="s">
        <v>8</v>
      </c>
      <c r="M381" s="292">
        <v>0</v>
      </c>
      <c r="N381" s="292">
        <v>0</v>
      </c>
    </row>
    <row r="382" spans="1:14" x14ac:dyDescent="0.25">
      <c r="A382" t="s">
        <v>943</v>
      </c>
      <c r="B382" s="39">
        <f t="shared" si="20"/>
        <v>7</v>
      </c>
      <c r="C382" s="39" t="str">
        <f t="shared" si="21"/>
        <v>Jeremy</v>
      </c>
      <c r="D382" s="39" t="str">
        <f t="shared" si="22"/>
        <v>Bracco</v>
      </c>
      <c r="E382" s="39" t="str">
        <f t="shared" si="23"/>
        <v>Jeremy Bracco</v>
      </c>
      <c r="F382" t="s">
        <v>1034</v>
      </c>
      <c r="G382" t="s">
        <v>88</v>
      </c>
      <c r="H382" s="292">
        <v>925000</v>
      </c>
      <c r="I382" s="292">
        <v>925000</v>
      </c>
      <c r="J382" s="292">
        <v>842500</v>
      </c>
      <c r="K382" s="292">
        <v>842500</v>
      </c>
      <c r="L382" s="292" t="s">
        <v>8</v>
      </c>
      <c r="M382" s="292">
        <v>0</v>
      </c>
      <c r="N382" s="292">
        <v>0</v>
      </c>
    </row>
    <row r="383" spans="1:14" x14ac:dyDescent="0.25">
      <c r="A383" t="s">
        <v>1140</v>
      </c>
      <c r="B383" s="39">
        <f t="shared" si="20"/>
        <v>7</v>
      </c>
      <c r="C383" s="39" t="str">
        <f t="shared" si="21"/>
        <v>Jeremy</v>
      </c>
      <c r="D383" s="39" t="str">
        <f t="shared" si="22"/>
        <v>Lauzon</v>
      </c>
      <c r="E383" s="39" t="str">
        <f t="shared" si="23"/>
        <v>Jeremy Lauzon</v>
      </c>
      <c r="F383" t="s">
        <v>1030</v>
      </c>
      <c r="G383" t="s">
        <v>82</v>
      </c>
      <c r="H383" s="292">
        <v>863333</v>
      </c>
      <c r="I383" s="292">
        <v>863333</v>
      </c>
      <c r="J383" s="292">
        <v>725000</v>
      </c>
      <c r="K383" s="292">
        <v>775000</v>
      </c>
      <c r="L383" s="292" t="s">
        <v>8</v>
      </c>
      <c r="M383" s="292">
        <v>0</v>
      </c>
      <c r="N383" s="292">
        <v>0</v>
      </c>
    </row>
    <row r="384" spans="1:14" x14ac:dyDescent="0.25">
      <c r="A384" t="s">
        <v>322</v>
      </c>
      <c r="B384" s="39">
        <f t="shared" si="20"/>
        <v>7</v>
      </c>
      <c r="C384" s="39" t="str">
        <f t="shared" si="21"/>
        <v>Jesper</v>
      </c>
      <c r="D384" s="39" t="str">
        <f t="shared" si="22"/>
        <v>Bratt</v>
      </c>
      <c r="E384" s="39" t="str">
        <f t="shared" si="23"/>
        <v>Jesper Bratt</v>
      </c>
      <c r="F384" t="s">
        <v>1038</v>
      </c>
      <c r="G384" t="s">
        <v>93</v>
      </c>
      <c r="H384" s="292">
        <v>825000</v>
      </c>
      <c r="I384" s="292">
        <v>825000</v>
      </c>
      <c r="J384" s="292">
        <v>732500</v>
      </c>
      <c r="K384" s="292">
        <v>782500</v>
      </c>
      <c r="L384" s="292" t="s">
        <v>8</v>
      </c>
      <c r="M384" s="292">
        <v>0</v>
      </c>
      <c r="N384" s="292">
        <v>0</v>
      </c>
    </row>
    <row r="385" spans="1:14" x14ac:dyDescent="0.25">
      <c r="A385" t="s">
        <v>658</v>
      </c>
      <c r="B385" s="39">
        <f t="shared" si="20"/>
        <v>7</v>
      </c>
      <c r="C385" s="39" t="str">
        <f t="shared" si="21"/>
        <v>Jesper</v>
      </c>
      <c r="D385" s="39" t="str">
        <f t="shared" si="22"/>
        <v>Fast</v>
      </c>
      <c r="E385" s="39" t="str">
        <f t="shared" si="23"/>
        <v>Jesper Fast</v>
      </c>
      <c r="F385" t="s">
        <v>1018</v>
      </c>
      <c r="G385" t="s">
        <v>88</v>
      </c>
      <c r="H385" s="292">
        <v>1850000</v>
      </c>
      <c r="I385" s="292">
        <v>1850000</v>
      </c>
      <c r="J385" s="292">
        <v>1850000</v>
      </c>
      <c r="K385" s="292">
        <v>1950000</v>
      </c>
      <c r="L385" s="292" t="s">
        <v>7</v>
      </c>
      <c r="M385" s="292">
        <v>0</v>
      </c>
      <c r="N385" s="292">
        <v>0</v>
      </c>
    </row>
    <row r="386" spans="1:14" x14ac:dyDescent="0.25">
      <c r="A386" t="s">
        <v>550</v>
      </c>
      <c r="B386" s="39">
        <f t="shared" si="20"/>
        <v>6</v>
      </c>
      <c r="C386" s="39" t="str">
        <f t="shared" si="21"/>
        <v>Jesse</v>
      </c>
      <c r="D386" s="39" t="str">
        <f t="shared" si="22"/>
        <v>Gabrielle</v>
      </c>
      <c r="E386" s="39" t="str">
        <f t="shared" si="23"/>
        <v>Jesse Gabrielle</v>
      </c>
      <c r="F386" t="s">
        <v>1030</v>
      </c>
      <c r="G386" t="s">
        <v>93</v>
      </c>
      <c r="H386" s="292">
        <v>894167</v>
      </c>
      <c r="I386" s="292">
        <v>894167</v>
      </c>
      <c r="J386" s="292">
        <v>742500</v>
      </c>
      <c r="K386" s="292">
        <v>725000</v>
      </c>
      <c r="L386" s="292" t="s">
        <v>8</v>
      </c>
      <c r="M386" s="292">
        <v>0</v>
      </c>
      <c r="N386" s="292">
        <v>0</v>
      </c>
    </row>
    <row r="387" spans="1:14" x14ac:dyDescent="0.25">
      <c r="A387" t="s">
        <v>283</v>
      </c>
      <c r="B387" s="39">
        <f t="shared" ref="B387:B450" si="24">SEARCH(" ",A387,1)</f>
        <v>6</v>
      </c>
      <c r="C387" s="39" t="str">
        <f t="shared" ref="C387:C450" si="25">LEFT(A387,B387-1)</f>
        <v>Jesse</v>
      </c>
      <c r="D387" s="39" t="str">
        <f t="shared" ref="D387:D450" si="26">MID(A387,B387+1,LEN(A387)-B387)</f>
        <v>Puljujarvi</v>
      </c>
      <c r="E387" s="39" t="str">
        <f t="shared" ref="E387:E450" si="27">C387&amp;" "&amp;D387</f>
        <v>Jesse Puljujarvi</v>
      </c>
      <c r="F387" t="s">
        <v>1020</v>
      </c>
      <c r="G387" t="s">
        <v>88</v>
      </c>
      <c r="H387" s="292">
        <v>3425000</v>
      </c>
      <c r="I387" s="292">
        <v>0</v>
      </c>
      <c r="J387" s="292">
        <v>925000</v>
      </c>
      <c r="K387" s="292" t="s">
        <v>8</v>
      </c>
      <c r="L387" s="292">
        <v>0</v>
      </c>
      <c r="M387" s="292">
        <v>0</v>
      </c>
      <c r="N387" s="292">
        <v>0</v>
      </c>
    </row>
    <row r="388" spans="1:14" x14ac:dyDescent="0.25">
      <c r="A388" t="s">
        <v>700</v>
      </c>
      <c r="B388" s="39">
        <f t="shared" si="24"/>
        <v>4</v>
      </c>
      <c r="C388" s="39" t="str">
        <f t="shared" si="25"/>
        <v>Jim</v>
      </c>
      <c r="D388" s="39" t="str">
        <f t="shared" si="26"/>
        <v>O'Brien</v>
      </c>
      <c r="E388" s="39" t="str">
        <f t="shared" si="27"/>
        <v>Jim O'Brien</v>
      </c>
      <c r="F388" t="s">
        <v>1029</v>
      </c>
      <c r="G388" t="s">
        <v>73</v>
      </c>
      <c r="H388" s="292">
        <v>650000</v>
      </c>
      <c r="I388" s="292">
        <v>0</v>
      </c>
      <c r="J388" s="292">
        <v>650000</v>
      </c>
      <c r="K388" s="292" t="s">
        <v>7</v>
      </c>
      <c r="L388" s="292">
        <v>0</v>
      </c>
      <c r="M388" s="292">
        <v>0</v>
      </c>
      <c r="N388" s="292">
        <v>0</v>
      </c>
    </row>
    <row r="389" spans="1:14" x14ac:dyDescent="0.25">
      <c r="A389" t="s">
        <v>385</v>
      </c>
      <c r="B389" s="39">
        <f t="shared" si="24"/>
        <v>6</v>
      </c>
      <c r="C389" s="39" t="str">
        <f t="shared" si="25"/>
        <v>Jimmy</v>
      </c>
      <c r="D389" s="39" t="str">
        <f t="shared" si="26"/>
        <v>Howard</v>
      </c>
      <c r="E389" s="39" t="str">
        <f t="shared" si="27"/>
        <v>Jimmy Howard</v>
      </c>
      <c r="F389" t="s">
        <v>1035</v>
      </c>
      <c r="G389" t="s">
        <v>127</v>
      </c>
      <c r="H389" s="292">
        <v>5291670</v>
      </c>
      <c r="I389" s="292">
        <v>0</v>
      </c>
      <c r="J389" s="292">
        <v>4250000</v>
      </c>
      <c r="K389" s="292" t="s">
        <v>7</v>
      </c>
      <c r="L389" s="292">
        <v>0</v>
      </c>
      <c r="M389" s="292">
        <v>0</v>
      </c>
      <c r="N389" s="292">
        <v>0</v>
      </c>
    </row>
    <row r="390" spans="1:14" x14ac:dyDescent="0.25">
      <c r="A390" t="s">
        <v>579</v>
      </c>
      <c r="B390" s="39">
        <f t="shared" si="24"/>
        <v>7</v>
      </c>
      <c r="C390" s="39" t="str">
        <f t="shared" si="25"/>
        <v>Joakim</v>
      </c>
      <c r="D390" s="39" t="str">
        <f t="shared" si="26"/>
        <v>Ryan</v>
      </c>
      <c r="E390" s="39" t="str">
        <f t="shared" si="27"/>
        <v>Joakim Ryan</v>
      </c>
      <c r="F390" t="s">
        <v>1022</v>
      </c>
      <c r="G390" t="s">
        <v>380</v>
      </c>
      <c r="H390" s="292">
        <v>650000</v>
      </c>
      <c r="I390" s="292">
        <v>0</v>
      </c>
      <c r="J390" s="292">
        <v>650000</v>
      </c>
      <c r="K390" s="292" t="s">
        <v>8</v>
      </c>
      <c r="L390" s="292">
        <v>0</v>
      </c>
      <c r="M390" s="292">
        <v>0</v>
      </c>
      <c r="N390" s="292">
        <v>0</v>
      </c>
    </row>
    <row r="391" spans="1:14" x14ac:dyDescent="0.25">
      <c r="A391" t="s">
        <v>399</v>
      </c>
      <c r="B391" s="39">
        <f t="shared" si="24"/>
        <v>4</v>
      </c>
      <c r="C391" s="39" t="str">
        <f t="shared" si="25"/>
        <v>Joe</v>
      </c>
      <c r="D391" s="39" t="str">
        <f t="shared" si="26"/>
        <v>Hicketts</v>
      </c>
      <c r="E391" s="39" t="str">
        <f t="shared" si="27"/>
        <v>Joe Hicketts</v>
      </c>
      <c r="F391" t="s">
        <v>1035</v>
      </c>
      <c r="G391" t="s">
        <v>82</v>
      </c>
      <c r="H391" s="292">
        <v>635000</v>
      </c>
      <c r="I391" s="292">
        <v>0</v>
      </c>
      <c r="J391" s="292">
        <v>650000</v>
      </c>
      <c r="K391" s="292" t="s">
        <v>8</v>
      </c>
      <c r="L391" s="292">
        <v>0</v>
      </c>
      <c r="M391" s="292">
        <v>0</v>
      </c>
      <c r="N391" s="292">
        <v>0</v>
      </c>
    </row>
    <row r="392" spans="1:14" x14ac:dyDescent="0.25">
      <c r="A392" t="s">
        <v>208</v>
      </c>
      <c r="B392" s="39">
        <f t="shared" si="24"/>
        <v>4</v>
      </c>
      <c r="C392" s="39" t="str">
        <f t="shared" si="25"/>
        <v>Joe</v>
      </c>
      <c r="D392" s="39" t="str">
        <f t="shared" si="26"/>
        <v>Pavelski</v>
      </c>
      <c r="E392" s="39" t="str">
        <f t="shared" si="27"/>
        <v>Joe Pavelski</v>
      </c>
      <c r="F392" t="s">
        <v>1022</v>
      </c>
      <c r="G392" t="s">
        <v>73</v>
      </c>
      <c r="H392" s="292">
        <v>6000000</v>
      </c>
      <c r="I392" s="292">
        <v>0</v>
      </c>
      <c r="J392" s="292">
        <v>6000000</v>
      </c>
      <c r="K392" s="292" t="s">
        <v>7</v>
      </c>
      <c r="L392" s="292">
        <v>0</v>
      </c>
      <c r="M392" s="292">
        <v>0</v>
      </c>
      <c r="N392" s="292">
        <v>0</v>
      </c>
    </row>
    <row r="393" spans="1:14" x14ac:dyDescent="0.25">
      <c r="A393" t="s">
        <v>456</v>
      </c>
      <c r="B393" s="39">
        <f t="shared" si="24"/>
        <v>5</v>
      </c>
      <c r="C393" s="39" t="str">
        <f t="shared" si="25"/>
        <v>Joel</v>
      </c>
      <c r="D393" s="39" t="str">
        <f t="shared" si="26"/>
        <v>Eriksson Ek</v>
      </c>
      <c r="E393" s="39" t="str">
        <f t="shared" si="27"/>
        <v>Joel Eriksson Ek</v>
      </c>
      <c r="F393" t="s">
        <v>1025</v>
      </c>
      <c r="G393" t="s">
        <v>73</v>
      </c>
      <c r="H393" s="292">
        <v>1106670</v>
      </c>
      <c r="I393" s="292">
        <v>0</v>
      </c>
      <c r="J393" s="292">
        <v>832500</v>
      </c>
      <c r="K393" s="292" t="s">
        <v>8</v>
      </c>
      <c r="L393" s="292">
        <v>0</v>
      </c>
      <c r="M393" s="292">
        <v>0</v>
      </c>
      <c r="N393" s="292">
        <v>0</v>
      </c>
    </row>
    <row r="394" spans="1:14" x14ac:dyDescent="0.25">
      <c r="A394" t="s">
        <v>373</v>
      </c>
      <c r="B394" s="39">
        <f t="shared" si="24"/>
        <v>6</v>
      </c>
      <c r="C394" s="39" t="str">
        <f t="shared" si="25"/>
        <v>Johan</v>
      </c>
      <c r="D394" s="39" t="str">
        <f t="shared" si="26"/>
        <v>Franzen</v>
      </c>
      <c r="E394" s="39" t="str">
        <f t="shared" si="27"/>
        <v>Johan Franzen</v>
      </c>
      <c r="F394" t="s">
        <v>1035</v>
      </c>
      <c r="G394" t="s">
        <v>93</v>
      </c>
      <c r="H394" s="292">
        <v>3954550</v>
      </c>
      <c r="I394" s="292">
        <v>3954550</v>
      </c>
      <c r="J394" s="292">
        <v>1000000</v>
      </c>
      <c r="K394" s="292">
        <v>1000000</v>
      </c>
      <c r="L394" s="292" t="s">
        <v>7</v>
      </c>
      <c r="M394" s="292">
        <v>0</v>
      </c>
      <c r="N394" s="292">
        <v>0</v>
      </c>
    </row>
    <row r="395" spans="1:14" x14ac:dyDescent="0.25">
      <c r="A395" t="s">
        <v>728</v>
      </c>
      <c r="B395" s="39">
        <f t="shared" si="24"/>
        <v>6</v>
      </c>
      <c r="C395" s="39" t="str">
        <f t="shared" si="25"/>
        <v>Johan</v>
      </c>
      <c r="D395" s="39" t="str">
        <f t="shared" si="26"/>
        <v>Larsson</v>
      </c>
      <c r="E395" s="39" t="str">
        <f t="shared" si="27"/>
        <v>Johan Larsson</v>
      </c>
      <c r="F395" t="s">
        <v>1039</v>
      </c>
      <c r="G395" t="s">
        <v>93</v>
      </c>
      <c r="H395" s="292">
        <v>1475000</v>
      </c>
      <c r="I395" s="292">
        <v>0</v>
      </c>
      <c r="J395" s="292">
        <v>1550000</v>
      </c>
      <c r="K395" s="292" t="s">
        <v>8</v>
      </c>
      <c r="L395" s="292">
        <v>0</v>
      </c>
      <c r="M395" s="292">
        <v>0</v>
      </c>
      <c r="N395" s="292">
        <v>0</v>
      </c>
    </row>
    <row r="396" spans="1:14" x14ac:dyDescent="0.25">
      <c r="A396" t="s">
        <v>237</v>
      </c>
      <c r="B396" s="39">
        <f t="shared" si="24"/>
        <v>5</v>
      </c>
      <c r="C396" s="39" t="str">
        <f t="shared" si="25"/>
        <v>John</v>
      </c>
      <c r="D396" s="39" t="str">
        <f t="shared" si="26"/>
        <v>Gibson</v>
      </c>
      <c r="E396" s="39" t="str">
        <f t="shared" si="27"/>
        <v>John Gibson</v>
      </c>
      <c r="F396" t="s">
        <v>1017</v>
      </c>
      <c r="G396" t="s">
        <v>127</v>
      </c>
      <c r="H396" s="292">
        <v>2300000</v>
      </c>
      <c r="I396" s="292">
        <v>0</v>
      </c>
      <c r="J396" s="292">
        <v>3300000</v>
      </c>
      <c r="K396" s="292" t="s">
        <v>8</v>
      </c>
      <c r="L396" s="292">
        <v>0</v>
      </c>
      <c r="M396" s="292">
        <v>0</v>
      </c>
      <c r="N396" s="292">
        <v>0</v>
      </c>
    </row>
    <row r="397" spans="1:14" x14ac:dyDescent="0.25">
      <c r="A397" t="s">
        <v>232</v>
      </c>
      <c r="B397" s="39">
        <f t="shared" si="24"/>
        <v>5</v>
      </c>
      <c r="C397" s="39" t="str">
        <f t="shared" si="25"/>
        <v>John</v>
      </c>
      <c r="D397" s="39" t="str">
        <f t="shared" si="26"/>
        <v>Klingberg</v>
      </c>
      <c r="E397" s="39" t="str">
        <f t="shared" si="27"/>
        <v>John Klingberg</v>
      </c>
      <c r="F397" t="s">
        <v>1015</v>
      </c>
      <c r="G397" t="s">
        <v>379</v>
      </c>
      <c r="H397" s="292">
        <v>4250000</v>
      </c>
      <c r="I397" s="292">
        <v>4250000</v>
      </c>
      <c r="J397" s="292">
        <v>4500000</v>
      </c>
      <c r="K397" s="292">
        <v>5000000</v>
      </c>
      <c r="L397" s="292">
        <v>5750000</v>
      </c>
      <c r="M397" s="292">
        <v>6000000</v>
      </c>
      <c r="N397" s="292" t="s">
        <v>7</v>
      </c>
    </row>
    <row r="398" spans="1:14" x14ac:dyDescent="0.25">
      <c r="A398" t="s">
        <v>604</v>
      </c>
      <c r="B398" s="39">
        <f t="shared" si="24"/>
        <v>5</v>
      </c>
      <c r="C398" s="39" t="str">
        <f t="shared" si="25"/>
        <v>John</v>
      </c>
      <c r="D398" s="39" t="str">
        <f t="shared" si="26"/>
        <v>Nyberg</v>
      </c>
      <c r="E398" s="39" t="str">
        <f t="shared" si="27"/>
        <v>John Nyberg</v>
      </c>
      <c r="F398" t="s">
        <v>1015</v>
      </c>
      <c r="G398" t="s">
        <v>82</v>
      </c>
      <c r="H398" s="292">
        <v>745000</v>
      </c>
      <c r="I398" s="292">
        <v>745000</v>
      </c>
      <c r="J398" s="292">
        <v>720000</v>
      </c>
      <c r="K398" s="292">
        <v>795000</v>
      </c>
      <c r="L398" s="292" t="s">
        <v>8</v>
      </c>
      <c r="M398" s="292">
        <v>0</v>
      </c>
      <c r="N398" s="292">
        <v>0</v>
      </c>
    </row>
    <row r="399" spans="1:14" x14ac:dyDescent="0.25">
      <c r="A399" t="s">
        <v>962</v>
      </c>
      <c r="B399" s="39">
        <f t="shared" si="24"/>
        <v>5</v>
      </c>
      <c r="C399" s="39" t="str">
        <f t="shared" si="25"/>
        <v>John</v>
      </c>
      <c r="D399" s="39" t="str">
        <f t="shared" si="26"/>
        <v>Quenneville</v>
      </c>
      <c r="E399" s="39" t="str">
        <f t="shared" si="27"/>
        <v>John Quenneville</v>
      </c>
      <c r="F399" t="s">
        <v>1038</v>
      </c>
      <c r="G399" t="s">
        <v>73</v>
      </c>
      <c r="H399" s="292">
        <v>894167</v>
      </c>
      <c r="I399" s="292">
        <v>0</v>
      </c>
      <c r="J399" s="292">
        <v>750000</v>
      </c>
      <c r="K399" s="292" t="s">
        <v>8</v>
      </c>
      <c r="L399" s="292">
        <v>0</v>
      </c>
      <c r="M399" s="292">
        <v>0</v>
      </c>
      <c r="N399" s="292">
        <v>0</v>
      </c>
    </row>
    <row r="400" spans="1:14" x14ac:dyDescent="0.25">
      <c r="A400" t="s">
        <v>909</v>
      </c>
      <c r="B400" s="39">
        <f t="shared" si="24"/>
        <v>5</v>
      </c>
      <c r="C400" s="39" t="str">
        <f t="shared" si="25"/>
        <v>John</v>
      </c>
      <c r="D400" s="39" t="str">
        <f t="shared" si="26"/>
        <v>Stevens</v>
      </c>
      <c r="E400" s="39" t="str">
        <f t="shared" si="27"/>
        <v>John Stevens</v>
      </c>
      <c r="F400" t="s">
        <v>1040</v>
      </c>
      <c r="G400" t="s">
        <v>73</v>
      </c>
      <c r="H400" s="292">
        <v>695000</v>
      </c>
      <c r="I400" s="292">
        <v>0</v>
      </c>
      <c r="J400" s="292">
        <v>695000</v>
      </c>
      <c r="K400" s="292" t="s">
        <v>8</v>
      </c>
      <c r="L400" s="292">
        <v>0</v>
      </c>
      <c r="M400" s="292">
        <v>0</v>
      </c>
      <c r="N400" s="292">
        <v>0</v>
      </c>
    </row>
    <row r="401" spans="1:14" x14ac:dyDescent="0.25">
      <c r="A401" t="s">
        <v>901</v>
      </c>
      <c r="B401" s="39">
        <f t="shared" si="24"/>
        <v>7</v>
      </c>
      <c r="C401" s="39" t="str">
        <f t="shared" si="25"/>
        <v>Johnny</v>
      </c>
      <c r="D401" s="39" t="str">
        <f t="shared" si="26"/>
        <v>Boychuk</v>
      </c>
      <c r="E401" s="39" t="str">
        <f t="shared" si="27"/>
        <v>Johnny Boychuk</v>
      </c>
      <c r="F401" t="s">
        <v>1040</v>
      </c>
      <c r="G401" t="s">
        <v>379</v>
      </c>
      <c r="H401" s="292">
        <v>6000000</v>
      </c>
      <c r="I401" s="292">
        <v>6000000</v>
      </c>
      <c r="J401" s="292">
        <v>6500000</v>
      </c>
      <c r="K401" s="292">
        <v>6000000</v>
      </c>
      <c r="L401" s="292">
        <v>4000000</v>
      </c>
      <c r="M401" s="292">
        <v>4000000</v>
      </c>
      <c r="N401" s="292" t="s">
        <v>7</v>
      </c>
    </row>
    <row r="402" spans="1:14" x14ac:dyDescent="0.25">
      <c r="A402" t="s">
        <v>287</v>
      </c>
      <c r="B402" s="39">
        <f t="shared" si="24"/>
        <v>7</v>
      </c>
      <c r="C402" s="39" t="str">
        <f t="shared" si="25"/>
        <v>Johnny</v>
      </c>
      <c r="D402" s="39" t="str">
        <f t="shared" si="26"/>
        <v>Gaudreau</v>
      </c>
      <c r="E402" s="39" t="str">
        <f t="shared" si="27"/>
        <v>Johnny Gaudreau</v>
      </c>
      <c r="F402" t="s">
        <v>1031</v>
      </c>
      <c r="G402" t="s">
        <v>93</v>
      </c>
      <c r="H402" s="292">
        <v>6750000</v>
      </c>
      <c r="I402" s="292">
        <v>6750000</v>
      </c>
      <c r="J402" s="292">
        <v>6750000</v>
      </c>
      <c r="K402" s="292">
        <v>6750000</v>
      </c>
      <c r="L402" s="292">
        <v>6750000</v>
      </c>
      <c r="M402" s="292">
        <v>6750000</v>
      </c>
      <c r="N402" s="292" t="s">
        <v>7</v>
      </c>
    </row>
    <row r="403" spans="1:14" x14ac:dyDescent="0.25">
      <c r="A403" t="s">
        <v>177</v>
      </c>
      <c r="B403" s="39">
        <f t="shared" si="24"/>
        <v>6</v>
      </c>
      <c r="C403" s="39" t="str">
        <f t="shared" si="25"/>
        <v>Jonah</v>
      </c>
      <c r="D403" s="39" t="str">
        <f t="shared" si="26"/>
        <v>Gadjovich</v>
      </c>
      <c r="E403" s="39" t="str">
        <f t="shared" si="27"/>
        <v>Jonah Gadjovich</v>
      </c>
      <c r="F403" t="s">
        <v>1037</v>
      </c>
      <c r="G403" t="s">
        <v>93</v>
      </c>
      <c r="H403" s="292">
        <v>925000</v>
      </c>
      <c r="I403" s="292">
        <v>925000</v>
      </c>
      <c r="J403" s="292">
        <v>817500</v>
      </c>
      <c r="K403" s="292">
        <v>925000</v>
      </c>
      <c r="L403" s="292" t="s">
        <v>8</v>
      </c>
      <c r="M403" s="292">
        <v>0</v>
      </c>
      <c r="N403" s="292">
        <v>0</v>
      </c>
    </row>
    <row r="404" spans="1:14" x14ac:dyDescent="0.25">
      <c r="A404" t="s">
        <v>459</v>
      </c>
      <c r="B404" s="39">
        <f t="shared" si="24"/>
        <v>6</v>
      </c>
      <c r="C404" s="39" t="str">
        <f t="shared" si="25"/>
        <v>Jonas</v>
      </c>
      <c r="D404" s="39" t="str">
        <f t="shared" si="26"/>
        <v>Brodin</v>
      </c>
      <c r="E404" s="39" t="str">
        <f t="shared" si="27"/>
        <v>Jonas Brodin</v>
      </c>
      <c r="F404" t="s">
        <v>1025</v>
      </c>
      <c r="G404" t="s">
        <v>380</v>
      </c>
      <c r="H404" s="292">
        <v>4166670</v>
      </c>
      <c r="I404" s="292">
        <v>4166670</v>
      </c>
      <c r="J404" s="292">
        <v>5750000</v>
      </c>
      <c r="K404" s="292">
        <v>4750000</v>
      </c>
      <c r="L404" s="292">
        <v>3500000</v>
      </c>
      <c r="M404" s="292" t="s">
        <v>7</v>
      </c>
      <c r="N404" s="292">
        <v>0</v>
      </c>
    </row>
    <row r="405" spans="1:14" x14ac:dyDescent="0.25">
      <c r="A405" t="s">
        <v>738</v>
      </c>
      <c r="B405" s="39">
        <f t="shared" si="24"/>
        <v>6</v>
      </c>
      <c r="C405" s="39" t="str">
        <f t="shared" si="25"/>
        <v>Jonas</v>
      </c>
      <c r="D405" s="39" t="str">
        <f t="shared" si="26"/>
        <v>Johansson</v>
      </c>
      <c r="E405" s="39" t="str">
        <f t="shared" si="27"/>
        <v>Jonas Johansson</v>
      </c>
      <c r="F405" t="s">
        <v>1039</v>
      </c>
      <c r="G405" t="s">
        <v>127</v>
      </c>
      <c r="H405" s="292">
        <v>925000</v>
      </c>
      <c r="I405" s="292">
        <v>925000</v>
      </c>
      <c r="J405" s="292">
        <v>742500</v>
      </c>
      <c r="K405" s="292">
        <v>792500</v>
      </c>
      <c r="L405" s="292" t="s">
        <v>8</v>
      </c>
      <c r="M405" s="292">
        <v>0</v>
      </c>
      <c r="N405" s="292">
        <v>0</v>
      </c>
    </row>
    <row r="406" spans="1:14" x14ac:dyDescent="0.25">
      <c r="A406" t="s">
        <v>453</v>
      </c>
      <c r="B406" s="39">
        <f t="shared" si="24"/>
        <v>6</v>
      </c>
      <c r="C406" s="39" t="str">
        <f t="shared" si="25"/>
        <v>Jonas</v>
      </c>
      <c r="D406" s="39" t="str">
        <f t="shared" si="26"/>
        <v>Siegenthaler</v>
      </c>
      <c r="E406" s="39" t="str">
        <f t="shared" si="27"/>
        <v>Jonas Siegenthaler</v>
      </c>
      <c r="F406" t="s">
        <v>1013</v>
      </c>
      <c r="G406" t="s">
        <v>82</v>
      </c>
      <c r="H406" s="292">
        <v>863333</v>
      </c>
      <c r="I406" s="292">
        <v>863333</v>
      </c>
      <c r="J406" s="292">
        <v>650000</v>
      </c>
      <c r="K406" s="292">
        <v>750000</v>
      </c>
      <c r="L406" s="292" t="s">
        <v>8</v>
      </c>
      <c r="M406" s="292">
        <v>0</v>
      </c>
      <c r="N406" s="292">
        <v>0</v>
      </c>
    </row>
    <row r="407" spans="1:14" x14ac:dyDescent="0.25">
      <c r="A407" t="s">
        <v>486</v>
      </c>
      <c r="B407" s="39">
        <f t="shared" si="24"/>
        <v>9</v>
      </c>
      <c r="C407" s="39" t="str">
        <f t="shared" si="25"/>
        <v>Jonathan</v>
      </c>
      <c r="D407" s="39" t="str">
        <f t="shared" si="26"/>
        <v>Ang</v>
      </c>
      <c r="E407" s="39" t="str">
        <f t="shared" si="27"/>
        <v>Jonathan Ang</v>
      </c>
      <c r="F407" t="s">
        <v>1027</v>
      </c>
      <c r="G407" t="s">
        <v>73</v>
      </c>
      <c r="H407" s="292">
        <v>925000</v>
      </c>
      <c r="I407" s="292">
        <v>925000</v>
      </c>
      <c r="J407" s="292">
        <v>742500</v>
      </c>
      <c r="K407" s="292">
        <v>792500</v>
      </c>
      <c r="L407" s="292" t="s">
        <v>8</v>
      </c>
      <c r="M407" s="292">
        <v>0</v>
      </c>
      <c r="N407" s="292">
        <v>0</v>
      </c>
    </row>
    <row r="408" spans="1:14" x14ac:dyDescent="0.25">
      <c r="A408" t="s">
        <v>1131</v>
      </c>
      <c r="B408" s="39">
        <f t="shared" si="24"/>
        <v>9</v>
      </c>
      <c r="C408" s="39" t="str">
        <f t="shared" si="25"/>
        <v>Jonathan</v>
      </c>
      <c r="D408" s="39" t="str">
        <f t="shared" si="26"/>
        <v>Dahlen</v>
      </c>
      <c r="E408" s="39" t="str">
        <f t="shared" si="27"/>
        <v>Jonathan Dahlen</v>
      </c>
      <c r="F408" t="s">
        <v>1037</v>
      </c>
      <c r="G408" t="s">
        <v>93</v>
      </c>
      <c r="H408" s="292">
        <v>925000</v>
      </c>
      <c r="I408" s="292">
        <v>925000</v>
      </c>
      <c r="J408" s="292">
        <v>925000</v>
      </c>
      <c r="K408" s="292">
        <v>925000</v>
      </c>
      <c r="L408" s="292" t="s">
        <v>8</v>
      </c>
      <c r="M408" s="292">
        <v>0</v>
      </c>
      <c r="N408" s="292">
        <v>0</v>
      </c>
    </row>
    <row r="409" spans="1:14" x14ac:dyDescent="0.25">
      <c r="A409" t="s">
        <v>263</v>
      </c>
      <c r="B409" s="39">
        <f t="shared" si="24"/>
        <v>9</v>
      </c>
      <c r="C409" s="39" t="str">
        <f t="shared" si="25"/>
        <v>Jonathan</v>
      </c>
      <c r="D409" s="39" t="str">
        <f t="shared" si="26"/>
        <v>Drouin</v>
      </c>
      <c r="E409" s="39" t="str">
        <f t="shared" si="27"/>
        <v>Jonathan Drouin</v>
      </c>
      <c r="F409" t="s">
        <v>1023</v>
      </c>
      <c r="G409" t="s">
        <v>73</v>
      </c>
      <c r="H409" s="292">
        <v>5500000</v>
      </c>
      <c r="I409" s="292">
        <v>5500000</v>
      </c>
      <c r="J409" s="292">
        <v>5500000</v>
      </c>
      <c r="K409" s="292">
        <v>5500000</v>
      </c>
      <c r="L409" s="292">
        <v>4500000</v>
      </c>
      <c r="M409" s="292">
        <v>5500000</v>
      </c>
      <c r="N409" s="292">
        <v>5500000</v>
      </c>
    </row>
    <row r="410" spans="1:14" x14ac:dyDescent="0.25">
      <c r="A410" t="s">
        <v>382</v>
      </c>
      <c r="B410" s="39">
        <f t="shared" si="24"/>
        <v>9</v>
      </c>
      <c r="C410" s="39" t="str">
        <f t="shared" si="25"/>
        <v>Jonathan</v>
      </c>
      <c r="D410" s="39" t="str">
        <f t="shared" si="26"/>
        <v>Ericsson</v>
      </c>
      <c r="E410" s="39" t="str">
        <f t="shared" si="27"/>
        <v>Jonathan Ericsson</v>
      </c>
      <c r="F410" t="s">
        <v>1035</v>
      </c>
      <c r="G410" t="s">
        <v>380</v>
      </c>
      <c r="H410" s="292">
        <v>4250000</v>
      </c>
      <c r="I410" s="292">
        <v>4250000</v>
      </c>
      <c r="J410" s="292">
        <v>4250000</v>
      </c>
      <c r="K410" s="292">
        <v>4250000</v>
      </c>
      <c r="L410" s="292" t="s">
        <v>7</v>
      </c>
      <c r="M410" s="292">
        <v>0</v>
      </c>
      <c r="N410" s="292">
        <v>0</v>
      </c>
    </row>
    <row r="411" spans="1:14" x14ac:dyDescent="0.25">
      <c r="A411" t="s">
        <v>303</v>
      </c>
      <c r="B411" s="39">
        <f t="shared" si="24"/>
        <v>9</v>
      </c>
      <c r="C411" s="39" t="str">
        <f t="shared" si="25"/>
        <v>Jonathan</v>
      </c>
      <c r="D411" s="39" t="str">
        <f t="shared" si="26"/>
        <v>Huberdeau</v>
      </c>
      <c r="E411" s="39" t="str">
        <f t="shared" si="27"/>
        <v>Jonathan Huberdeau</v>
      </c>
      <c r="F411" t="s">
        <v>1027</v>
      </c>
      <c r="G411" t="s">
        <v>93</v>
      </c>
      <c r="H411" s="292">
        <v>5900000</v>
      </c>
      <c r="I411" s="292">
        <v>5900000</v>
      </c>
      <c r="J411" s="292">
        <v>6200000</v>
      </c>
      <c r="K411" s="292">
        <v>6200000</v>
      </c>
      <c r="L411" s="292">
        <v>5300000</v>
      </c>
      <c r="M411" s="292">
        <v>5300000</v>
      </c>
      <c r="N411" s="292">
        <v>6200000</v>
      </c>
    </row>
    <row r="412" spans="1:14" x14ac:dyDescent="0.25">
      <c r="A412" t="s">
        <v>316</v>
      </c>
      <c r="B412" s="39">
        <f t="shared" si="24"/>
        <v>9</v>
      </c>
      <c r="C412" s="39" t="str">
        <f t="shared" si="25"/>
        <v>Jonathan</v>
      </c>
      <c r="D412" s="39" t="str">
        <f t="shared" si="26"/>
        <v>Quick</v>
      </c>
      <c r="E412" s="39" t="str">
        <f t="shared" si="27"/>
        <v>Jonathan Quick</v>
      </c>
      <c r="F412" t="s">
        <v>1012</v>
      </c>
      <c r="G412" t="s">
        <v>127</v>
      </c>
      <c r="H412" s="292">
        <v>5800000</v>
      </c>
      <c r="I412" s="292">
        <v>5800000</v>
      </c>
      <c r="J412" s="292">
        <v>7000000</v>
      </c>
      <c r="K412" s="292">
        <v>7000000</v>
      </c>
      <c r="L412" s="292">
        <v>3500000</v>
      </c>
      <c r="M412" s="292">
        <v>3000000</v>
      </c>
      <c r="N412" s="292">
        <v>2500000</v>
      </c>
    </row>
    <row r="413" spans="1:14" x14ac:dyDescent="0.25">
      <c r="A413" t="s">
        <v>1042</v>
      </c>
      <c r="B413" s="39">
        <f t="shared" si="24"/>
        <v>9</v>
      </c>
      <c r="C413" s="39" t="str">
        <f t="shared" si="25"/>
        <v>Jonathan</v>
      </c>
      <c r="D413" s="39" t="str">
        <f t="shared" si="26"/>
        <v>Toews</v>
      </c>
      <c r="E413" s="39" t="str">
        <f t="shared" si="27"/>
        <v>Jonathan Toews</v>
      </c>
      <c r="F413" t="s">
        <v>1011</v>
      </c>
      <c r="G413" t="s">
        <v>73</v>
      </c>
      <c r="H413" s="292">
        <v>10500000</v>
      </c>
      <c r="I413" s="292">
        <v>10500000</v>
      </c>
      <c r="J413" s="292">
        <v>12000000</v>
      </c>
      <c r="K413" s="292">
        <v>9800000</v>
      </c>
      <c r="L413" s="292">
        <v>7000000</v>
      </c>
      <c r="M413" s="292">
        <v>6900000</v>
      </c>
      <c r="N413" s="292">
        <v>6900000</v>
      </c>
    </row>
    <row r="414" spans="1:14" x14ac:dyDescent="0.25">
      <c r="A414" t="s">
        <v>582</v>
      </c>
      <c r="B414" s="39">
        <f t="shared" si="24"/>
        <v>9</v>
      </c>
      <c r="C414" s="39" t="str">
        <f t="shared" si="25"/>
        <v>Jonathon</v>
      </c>
      <c r="D414" s="39" t="str">
        <f t="shared" si="26"/>
        <v>Martin</v>
      </c>
      <c r="E414" s="39" t="str">
        <f t="shared" si="27"/>
        <v>Jonathon Martin</v>
      </c>
      <c r="F414" t="s">
        <v>1022</v>
      </c>
      <c r="G414" t="s">
        <v>73</v>
      </c>
      <c r="H414" s="292">
        <v>925000</v>
      </c>
      <c r="I414" s="292">
        <v>0</v>
      </c>
      <c r="J414" s="292">
        <v>892500</v>
      </c>
      <c r="K414" s="292" t="s">
        <v>8</v>
      </c>
      <c r="L414" s="292">
        <v>0</v>
      </c>
      <c r="M414" s="292">
        <v>0</v>
      </c>
      <c r="N414" s="292">
        <v>0</v>
      </c>
    </row>
    <row r="415" spans="1:14" x14ac:dyDescent="0.25">
      <c r="A415" t="s">
        <v>531</v>
      </c>
      <c r="B415" s="39">
        <f t="shared" si="24"/>
        <v>6</v>
      </c>
      <c r="C415" s="39" t="str">
        <f t="shared" si="25"/>
        <v>Jonne</v>
      </c>
      <c r="D415" s="39" t="str">
        <f t="shared" si="26"/>
        <v>Tammela</v>
      </c>
      <c r="E415" s="39" t="str">
        <f t="shared" si="27"/>
        <v>Jonne Tammela</v>
      </c>
      <c r="F415" t="s">
        <v>1019</v>
      </c>
      <c r="G415" t="s">
        <v>88</v>
      </c>
      <c r="H415" s="292">
        <v>690000</v>
      </c>
      <c r="I415" s="292">
        <v>0</v>
      </c>
      <c r="J415" s="292">
        <v>715000</v>
      </c>
      <c r="K415" s="292" t="s">
        <v>8</v>
      </c>
      <c r="L415" s="292">
        <v>0</v>
      </c>
      <c r="M415" s="292">
        <v>0</v>
      </c>
      <c r="N415" s="292">
        <v>0</v>
      </c>
    </row>
    <row r="416" spans="1:14" x14ac:dyDescent="0.25">
      <c r="A416" t="s">
        <v>512</v>
      </c>
      <c r="B416" s="39">
        <f t="shared" si="24"/>
        <v>6</v>
      </c>
      <c r="C416" s="39" t="str">
        <f t="shared" si="25"/>
        <v>Jonny</v>
      </c>
      <c r="D416" s="39" t="str">
        <f t="shared" si="26"/>
        <v>Brodzinski</v>
      </c>
      <c r="E416" s="39" t="str">
        <f t="shared" si="27"/>
        <v>Jonny Brodzinski</v>
      </c>
      <c r="F416" t="s">
        <v>1012</v>
      </c>
      <c r="G416" t="s">
        <v>73</v>
      </c>
      <c r="H416" s="292">
        <v>650000</v>
      </c>
      <c r="I416" s="292">
        <v>0</v>
      </c>
      <c r="J416" s="292">
        <v>650000</v>
      </c>
      <c r="K416" s="292" t="s">
        <v>8</v>
      </c>
      <c r="L416" s="292">
        <v>0</v>
      </c>
      <c r="M416" s="292">
        <v>0</v>
      </c>
      <c r="N416" s="292">
        <v>0</v>
      </c>
    </row>
    <row r="417" spans="1:14" x14ac:dyDescent="0.25">
      <c r="A417" t="s">
        <v>573</v>
      </c>
      <c r="B417" s="39">
        <f t="shared" si="24"/>
        <v>7</v>
      </c>
      <c r="C417" s="39" t="str">
        <f t="shared" si="25"/>
        <v>Joonas</v>
      </c>
      <c r="D417" s="39" t="str">
        <f t="shared" si="26"/>
        <v>Donskoi</v>
      </c>
      <c r="E417" s="39" t="str">
        <f t="shared" si="27"/>
        <v>Joonas Donskoi</v>
      </c>
      <c r="F417" t="s">
        <v>1022</v>
      </c>
      <c r="G417" t="s">
        <v>93</v>
      </c>
      <c r="H417" s="292">
        <v>1900000</v>
      </c>
      <c r="I417" s="292">
        <v>0</v>
      </c>
      <c r="J417" s="292">
        <v>1900000</v>
      </c>
      <c r="K417" s="292" t="s">
        <v>7</v>
      </c>
      <c r="L417" s="292">
        <v>0</v>
      </c>
      <c r="M417" s="292">
        <v>0</v>
      </c>
      <c r="N417" s="292">
        <v>0</v>
      </c>
    </row>
    <row r="418" spans="1:14" x14ac:dyDescent="0.25">
      <c r="A418" t="s">
        <v>640</v>
      </c>
      <c r="B418" s="39">
        <f t="shared" si="24"/>
        <v>7</v>
      </c>
      <c r="C418" s="39" t="str">
        <f t="shared" si="25"/>
        <v>Joonas</v>
      </c>
      <c r="D418" s="39" t="str">
        <f t="shared" si="26"/>
        <v>Korpisalo</v>
      </c>
      <c r="E418" s="39" t="str">
        <f t="shared" si="27"/>
        <v>Joonas Korpisalo</v>
      </c>
      <c r="F418" t="s">
        <v>1028</v>
      </c>
      <c r="G418" t="s">
        <v>127</v>
      </c>
      <c r="H418" s="292">
        <v>900000</v>
      </c>
      <c r="I418" s="292">
        <v>0</v>
      </c>
      <c r="J418" s="292">
        <v>1100000</v>
      </c>
      <c r="K418" s="292" t="s">
        <v>7</v>
      </c>
      <c r="L418" s="292">
        <v>0</v>
      </c>
      <c r="M418" s="292">
        <v>0</v>
      </c>
      <c r="N418" s="292">
        <v>0</v>
      </c>
    </row>
    <row r="419" spans="1:14" x14ac:dyDescent="0.25">
      <c r="A419" t="s">
        <v>773</v>
      </c>
      <c r="B419" s="39">
        <f t="shared" si="24"/>
        <v>7</v>
      </c>
      <c r="C419" s="39" t="str">
        <f t="shared" si="25"/>
        <v>Joonas</v>
      </c>
      <c r="D419" s="39" t="str">
        <f t="shared" si="26"/>
        <v>Lyytinen</v>
      </c>
      <c r="E419" s="39" t="str">
        <f t="shared" si="27"/>
        <v>Joonas Lyytinen</v>
      </c>
      <c r="F419" t="s">
        <v>1016</v>
      </c>
      <c r="G419" t="s">
        <v>82</v>
      </c>
      <c r="H419" s="292">
        <v>900000</v>
      </c>
      <c r="I419" s="292">
        <v>0</v>
      </c>
      <c r="J419" s="292">
        <v>740000</v>
      </c>
      <c r="K419" s="292" t="s">
        <v>8</v>
      </c>
      <c r="L419" s="292">
        <v>0</v>
      </c>
      <c r="M419" s="292">
        <v>0</v>
      </c>
      <c r="N419" s="292">
        <v>0</v>
      </c>
    </row>
    <row r="420" spans="1:14" x14ac:dyDescent="0.25">
      <c r="A420" t="s">
        <v>1067</v>
      </c>
      <c r="B420" s="39">
        <f t="shared" si="24"/>
        <v>7</v>
      </c>
      <c r="C420" s="39" t="str">
        <f t="shared" si="25"/>
        <v>Jordan</v>
      </c>
      <c r="D420" s="39" t="str">
        <f t="shared" si="26"/>
        <v>Eberle</v>
      </c>
      <c r="E420" s="39" t="str">
        <f t="shared" si="27"/>
        <v>Jordan Eberle</v>
      </c>
      <c r="F420" t="s">
        <v>1040</v>
      </c>
      <c r="G420" t="s">
        <v>88</v>
      </c>
      <c r="H420" s="292">
        <v>6000000</v>
      </c>
      <c r="I420" s="292">
        <v>0</v>
      </c>
      <c r="J420" s="292">
        <v>6000000</v>
      </c>
      <c r="K420" s="292" t="s">
        <v>7</v>
      </c>
      <c r="L420" s="292">
        <v>0</v>
      </c>
      <c r="M420" s="292">
        <v>0</v>
      </c>
      <c r="N420" s="292">
        <v>0</v>
      </c>
    </row>
    <row r="421" spans="1:14" x14ac:dyDescent="0.25">
      <c r="A421" t="s">
        <v>412</v>
      </c>
      <c r="B421" s="39">
        <f t="shared" si="24"/>
        <v>7</v>
      </c>
      <c r="C421" s="39" t="str">
        <f t="shared" si="25"/>
        <v>Jordan</v>
      </c>
      <c r="D421" s="39" t="str">
        <f t="shared" si="26"/>
        <v>Kyrou</v>
      </c>
      <c r="E421" s="39" t="str">
        <f t="shared" si="27"/>
        <v>Jordan Kyrou</v>
      </c>
      <c r="F421" t="s">
        <v>1026</v>
      </c>
      <c r="G421" t="s">
        <v>73</v>
      </c>
      <c r="H421" s="292">
        <v>925000</v>
      </c>
      <c r="I421" s="292">
        <v>0</v>
      </c>
      <c r="J421" s="292">
        <v>925000</v>
      </c>
      <c r="K421" s="292" t="s">
        <v>8</v>
      </c>
      <c r="L421" s="292">
        <v>0</v>
      </c>
      <c r="M421" s="292">
        <v>0</v>
      </c>
      <c r="N421" s="292">
        <v>0</v>
      </c>
    </row>
    <row r="422" spans="1:14" x14ac:dyDescent="0.25">
      <c r="A422" t="s">
        <v>618</v>
      </c>
      <c r="B422" s="39">
        <f t="shared" si="24"/>
        <v>7</v>
      </c>
      <c r="C422" s="39" t="str">
        <f t="shared" si="25"/>
        <v>Jordan</v>
      </c>
      <c r="D422" s="39" t="str">
        <f t="shared" si="26"/>
        <v>Maletta</v>
      </c>
      <c r="E422" s="39" t="str">
        <f t="shared" si="27"/>
        <v>Jordan Maletta</v>
      </c>
      <c r="F422" t="s">
        <v>1011</v>
      </c>
      <c r="G422" t="s">
        <v>73</v>
      </c>
      <c r="H422" s="292">
        <v>925000</v>
      </c>
      <c r="I422" s="292">
        <v>0</v>
      </c>
      <c r="J422" s="292">
        <v>892500</v>
      </c>
      <c r="K422" s="292" t="s">
        <v>8</v>
      </c>
      <c r="L422" s="292">
        <v>0</v>
      </c>
      <c r="M422" s="292">
        <v>0</v>
      </c>
      <c r="N422" s="292">
        <v>0</v>
      </c>
    </row>
    <row r="423" spans="1:14" x14ac:dyDescent="0.25">
      <c r="A423" t="s">
        <v>974</v>
      </c>
      <c r="B423" s="39">
        <f t="shared" si="24"/>
        <v>7</v>
      </c>
      <c r="C423" s="39" t="str">
        <f t="shared" si="25"/>
        <v>Jordan</v>
      </c>
      <c r="D423" s="39" t="str">
        <f t="shared" si="26"/>
        <v>Martinook</v>
      </c>
      <c r="E423" s="39" t="str">
        <f t="shared" si="27"/>
        <v>Jordan Martinook</v>
      </c>
      <c r="F423" t="s">
        <v>1036</v>
      </c>
      <c r="G423" t="s">
        <v>93</v>
      </c>
      <c r="H423" s="292">
        <v>1800000</v>
      </c>
      <c r="I423" s="292">
        <v>0</v>
      </c>
      <c r="J423" s="292">
        <v>1850000</v>
      </c>
      <c r="K423" s="292" t="s">
        <v>8</v>
      </c>
      <c r="L423" s="292">
        <v>0</v>
      </c>
      <c r="M423" s="292">
        <v>0</v>
      </c>
      <c r="N423" s="292">
        <v>0</v>
      </c>
    </row>
    <row r="424" spans="1:14" x14ac:dyDescent="0.25">
      <c r="A424" t="s">
        <v>846</v>
      </c>
      <c r="B424" s="39">
        <f t="shared" si="24"/>
        <v>7</v>
      </c>
      <c r="C424" s="39" t="str">
        <f t="shared" si="25"/>
        <v>Jordan</v>
      </c>
      <c r="D424" s="39" t="str">
        <f t="shared" si="26"/>
        <v>Oesterle</v>
      </c>
      <c r="E424" s="39" t="str">
        <f t="shared" si="27"/>
        <v>Jordan Oesterle</v>
      </c>
      <c r="F424" t="s">
        <v>1032</v>
      </c>
      <c r="G424" t="s">
        <v>380</v>
      </c>
      <c r="H424" s="292">
        <v>650000</v>
      </c>
      <c r="I424" s="292">
        <v>0</v>
      </c>
      <c r="J424" s="292">
        <v>650000</v>
      </c>
      <c r="K424" s="292" t="s">
        <v>7</v>
      </c>
      <c r="L424" s="292">
        <v>0</v>
      </c>
      <c r="M424" s="292">
        <v>0</v>
      </c>
      <c r="N424" s="292">
        <v>0</v>
      </c>
    </row>
    <row r="425" spans="1:14" x14ac:dyDescent="0.25">
      <c r="A425" t="s">
        <v>613</v>
      </c>
      <c r="B425" s="39">
        <f t="shared" si="24"/>
        <v>7</v>
      </c>
      <c r="C425" s="39" t="str">
        <f t="shared" si="25"/>
        <v>Jordan</v>
      </c>
      <c r="D425" s="39" t="str">
        <f t="shared" si="26"/>
        <v>Schroeder</v>
      </c>
      <c r="E425" s="39" t="str">
        <f t="shared" si="27"/>
        <v>Jordan Schroeder</v>
      </c>
      <c r="F425" t="s">
        <v>1028</v>
      </c>
      <c r="G425" t="s">
        <v>73</v>
      </c>
      <c r="H425" s="292">
        <v>411667</v>
      </c>
      <c r="I425" s="292">
        <v>0</v>
      </c>
      <c r="J425" s="292">
        <v>650000</v>
      </c>
      <c r="K425" s="292" t="s">
        <v>7</v>
      </c>
      <c r="L425" s="292">
        <v>0</v>
      </c>
      <c r="M425" s="292">
        <v>0</v>
      </c>
      <c r="N425" s="292">
        <v>0</v>
      </c>
    </row>
    <row r="426" spans="1:14" x14ac:dyDescent="0.25">
      <c r="A426" t="s">
        <v>1062</v>
      </c>
      <c r="B426" s="39">
        <f t="shared" si="24"/>
        <v>7</v>
      </c>
      <c r="C426" s="39" t="str">
        <f t="shared" si="25"/>
        <v>Jordan</v>
      </c>
      <c r="D426" s="39" t="str">
        <f t="shared" si="26"/>
        <v>Staal</v>
      </c>
      <c r="E426" s="39" t="str">
        <f t="shared" si="27"/>
        <v>Jordan Staal</v>
      </c>
      <c r="F426" t="s">
        <v>1036</v>
      </c>
      <c r="G426" t="s">
        <v>73</v>
      </c>
      <c r="H426" s="292">
        <v>6000000</v>
      </c>
      <c r="I426" s="292">
        <v>6000000</v>
      </c>
      <c r="J426" s="292">
        <v>6000000</v>
      </c>
      <c r="K426" s="292">
        <v>6000000</v>
      </c>
      <c r="L426" s="292">
        <v>6000000</v>
      </c>
      <c r="M426" s="292">
        <v>6000000</v>
      </c>
      <c r="N426" s="292">
        <v>6000000</v>
      </c>
    </row>
    <row r="427" spans="1:14" x14ac:dyDescent="0.25">
      <c r="A427" t="s">
        <v>553</v>
      </c>
      <c r="B427" s="39">
        <f t="shared" si="24"/>
        <v>7</v>
      </c>
      <c r="C427" s="39" t="str">
        <f t="shared" si="25"/>
        <v>Jordan</v>
      </c>
      <c r="D427" s="39" t="str">
        <f t="shared" si="26"/>
        <v>Szwarz</v>
      </c>
      <c r="E427" s="39" t="str">
        <f t="shared" si="27"/>
        <v>Jordan Szwarz</v>
      </c>
      <c r="F427" t="s">
        <v>1030</v>
      </c>
      <c r="G427" t="s">
        <v>88</v>
      </c>
      <c r="H427" s="292">
        <v>650000</v>
      </c>
      <c r="I427" s="292">
        <v>0</v>
      </c>
      <c r="J427" s="292">
        <v>650000</v>
      </c>
      <c r="K427" s="292" t="s">
        <v>7</v>
      </c>
      <c r="L427" s="292">
        <v>0</v>
      </c>
      <c r="M427" s="292">
        <v>0</v>
      </c>
      <c r="N427" s="292">
        <v>0</v>
      </c>
    </row>
    <row r="428" spans="1:14" x14ac:dyDescent="0.25">
      <c r="A428" t="s">
        <v>880</v>
      </c>
      <c r="B428" s="39">
        <f t="shared" si="24"/>
        <v>7</v>
      </c>
      <c r="C428" s="39" t="str">
        <f t="shared" si="25"/>
        <v>Jordan</v>
      </c>
      <c r="D428" s="39" t="str">
        <f t="shared" si="26"/>
        <v>Weal</v>
      </c>
      <c r="E428" s="39" t="str">
        <f t="shared" si="27"/>
        <v>Jordan Weal</v>
      </c>
      <c r="F428" t="s">
        <v>1021</v>
      </c>
      <c r="G428" t="s">
        <v>73</v>
      </c>
      <c r="H428" s="292">
        <v>1750000</v>
      </c>
      <c r="I428" s="292">
        <v>0</v>
      </c>
      <c r="J428" s="292">
        <v>1750000</v>
      </c>
      <c r="K428" s="292" t="s">
        <v>7</v>
      </c>
      <c r="L428" s="292">
        <v>0</v>
      </c>
      <c r="M428" s="292">
        <v>0</v>
      </c>
      <c r="N428" s="292">
        <v>0</v>
      </c>
    </row>
    <row r="429" spans="1:14" x14ac:dyDescent="0.25">
      <c r="A429" t="s">
        <v>785</v>
      </c>
      <c r="B429" s="39">
        <f t="shared" si="24"/>
        <v>7</v>
      </c>
      <c r="C429" s="39" t="str">
        <f t="shared" si="25"/>
        <v>Jordie</v>
      </c>
      <c r="D429" s="39" t="str">
        <f t="shared" si="26"/>
        <v>Benn</v>
      </c>
      <c r="E429" s="39" t="str">
        <f t="shared" si="27"/>
        <v>Jordie Benn</v>
      </c>
      <c r="F429" t="s">
        <v>1023</v>
      </c>
      <c r="G429" t="s">
        <v>380</v>
      </c>
      <c r="H429" s="292">
        <v>1100000</v>
      </c>
      <c r="I429" s="292">
        <v>0</v>
      </c>
      <c r="J429" s="292">
        <v>1100000</v>
      </c>
      <c r="K429" s="292" t="s">
        <v>7</v>
      </c>
      <c r="L429" s="292">
        <v>0</v>
      </c>
      <c r="M429" s="292">
        <v>0</v>
      </c>
      <c r="N429" s="292">
        <v>0</v>
      </c>
    </row>
    <row r="430" spans="1:14" x14ac:dyDescent="0.25">
      <c r="A430" t="s">
        <v>432</v>
      </c>
      <c r="B430" s="39">
        <f t="shared" si="24"/>
        <v>6</v>
      </c>
      <c r="C430" s="39" t="str">
        <f t="shared" si="25"/>
        <v>Jordy</v>
      </c>
      <c r="D430" s="39" t="str">
        <f t="shared" si="26"/>
        <v>Bellerive</v>
      </c>
      <c r="E430" s="39" t="str">
        <f t="shared" si="27"/>
        <v>Jordy Bellerive</v>
      </c>
      <c r="F430" t="s">
        <v>1014</v>
      </c>
      <c r="G430" t="s">
        <v>73</v>
      </c>
      <c r="H430" s="292">
        <v>716667</v>
      </c>
      <c r="I430" s="292">
        <v>716667</v>
      </c>
      <c r="J430" s="292">
        <v>700000</v>
      </c>
      <c r="K430" s="292">
        <v>750000</v>
      </c>
      <c r="L430" s="292" t="s">
        <v>8</v>
      </c>
      <c r="M430" s="292">
        <v>0</v>
      </c>
      <c r="N430" s="292">
        <v>0</v>
      </c>
    </row>
    <row r="431" spans="1:14" x14ac:dyDescent="0.25">
      <c r="A431" t="s">
        <v>1090</v>
      </c>
      <c r="B431" s="39">
        <f t="shared" si="24"/>
        <v>5</v>
      </c>
      <c r="C431" s="39" t="str">
        <f t="shared" si="25"/>
        <v>Jori</v>
      </c>
      <c r="D431" s="39" t="str">
        <f t="shared" si="26"/>
        <v>Lehtera</v>
      </c>
      <c r="E431" s="39" t="str">
        <f t="shared" si="27"/>
        <v>Jori Lehtera</v>
      </c>
      <c r="F431" t="s">
        <v>1021</v>
      </c>
      <c r="G431" t="s">
        <v>73</v>
      </c>
      <c r="H431" s="292">
        <v>4700000</v>
      </c>
      <c r="I431" s="292">
        <v>0</v>
      </c>
      <c r="J431" s="292">
        <v>5000000</v>
      </c>
      <c r="K431" s="292" t="s">
        <v>7</v>
      </c>
      <c r="L431" s="292">
        <v>0</v>
      </c>
      <c r="M431" s="292">
        <v>0</v>
      </c>
      <c r="N431" s="292">
        <v>0</v>
      </c>
    </row>
    <row r="432" spans="1:14" x14ac:dyDescent="0.25">
      <c r="A432" t="s">
        <v>721</v>
      </c>
      <c r="B432" s="39">
        <f t="shared" si="24"/>
        <v>7</v>
      </c>
      <c r="C432" s="39" t="str">
        <f t="shared" si="25"/>
        <v>Joseph</v>
      </c>
      <c r="D432" s="39" t="str">
        <f t="shared" si="26"/>
        <v>Blandisi</v>
      </c>
      <c r="E432" s="39" t="str">
        <f t="shared" si="27"/>
        <v>Joseph Blandisi</v>
      </c>
      <c r="F432" t="s">
        <v>1017</v>
      </c>
      <c r="G432" t="s">
        <v>73</v>
      </c>
      <c r="H432" s="292">
        <v>680000</v>
      </c>
      <c r="I432" s="292">
        <v>0</v>
      </c>
      <c r="J432" s="292">
        <v>700000</v>
      </c>
      <c r="K432" s="292" t="s">
        <v>8</v>
      </c>
      <c r="L432" s="292">
        <v>0</v>
      </c>
      <c r="M432" s="292">
        <v>0</v>
      </c>
      <c r="N432" s="292">
        <v>0</v>
      </c>
    </row>
    <row r="433" spans="1:14" x14ac:dyDescent="0.25">
      <c r="A433" t="s">
        <v>566</v>
      </c>
      <c r="B433" s="39">
        <f t="shared" si="24"/>
        <v>7</v>
      </c>
      <c r="C433" s="39" t="str">
        <f t="shared" si="25"/>
        <v>Joseph</v>
      </c>
      <c r="D433" s="39" t="str">
        <f t="shared" si="26"/>
        <v>Gambardella</v>
      </c>
      <c r="E433" s="39" t="str">
        <f t="shared" si="27"/>
        <v>Joseph Gambardella</v>
      </c>
      <c r="F433" t="s">
        <v>1020</v>
      </c>
      <c r="G433" t="s">
        <v>73</v>
      </c>
      <c r="H433" s="292">
        <v>725000</v>
      </c>
      <c r="I433" s="292">
        <v>0</v>
      </c>
      <c r="J433" s="292">
        <v>750000</v>
      </c>
      <c r="K433" s="292" t="s">
        <v>8</v>
      </c>
      <c r="L433" s="292">
        <v>0</v>
      </c>
      <c r="M433" s="292">
        <v>0</v>
      </c>
      <c r="N433" s="292">
        <v>0</v>
      </c>
    </row>
    <row r="434" spans="1:14" x14ac:dyDescent="0.25">
      <c r="A434" t="s">
        <v>633</v>
      </c>
      <c r="B434" s="39">
        <f t="shared" si="24"/>
        <v>5</v>
      </c>
      <c r="C434" s="39" t="str">
        <f t="shared" si="25"/>
        <v>Josh</v>
      </c>
      <c r="D434" s="39" t="str">
        <f t="shared" si="26"/>
        <v>Anderson</v>
      </c>
      <c r="E434" s="39" t="str">
        <f t="shared" si="27"/>
        <v>Josh Anderson</v>
      </c>
      <c r="F434" t="s">
        <v>1028</v>
      </c>
      <c r="G434" t="s">
        <v>88</v>
      </c>
      <c r="H434" s="292">
        <v>1850000</v>
      </c>
      <c r="I434" s="292">
        <v>1850000</v>
      </c>
      <c r="J434" s="292">
        <v>1850000</v>
      </c>
      <c r="K434" s="292">
        <v>2100000</v>
      </c>
      <c r="L434" s="292" t="s">
        <v>8</v>
      </c>
      <c r="M434" s="292">
        <v>0</v>
      </c>
      <c r="N434" s="292">
        <v>0</v>
      </c>
    </row>
    <row r="435" spans="1:14" x14ac:dyDescent="0.25">
      <c r="A435" t="s">
        <v>843</v>
      </c>
      <c r="B435" s="39">
        <f t="shared" si="24"/>
        <v>5</v>
      </c>
      <c r="C435" s="39" t="str">
        <f t="shared" si="25"/>
        <v>Josh</v>
      </c>
      <c r="D435" s="39" t="str">
        <f t="shared" si="26"/>
        <v>Archibald</v>
      </c>
      <c r="E435" s="39" t="str">
        <f t="shared" si="27"/>
        <v>Josh Archibald</v>
      </c>
      <c r="F435" t="s">
        <v>1032</v>
      </c>
      <c r="G435" t="s">
        <v>88</v>
      </c>
      <c r="H435" s="292">
        <v>675000</v>
      </c>
      <c r="I435" s="292">
        <v>0</v>
      </c>
      <c r="J435" s="292">
        <v>700000</v>
      </c>
      <c r="K435" s="292" t="s">
        <v>8</v>
      </c>
      <c r="L435" s="292">
        <v>0</v>
      </c>
      <c r="M435" s="292">
        <v>0</v>
      </c>
      <c r="N435" s="292">
        <v>0</v>
      </c>
    </row>
    <row r="436" spans="1:14" x14ac:dyDescent="0.25">
      <c r="A436" t="s">
        <v>245</v>
      </c>
      <c r="B436" s="39">
        <f t="shared" si="24"/>
        <v>5</v>
      </c>
      <c r="C436" s="39" t="str">
        <f t="shared" si="25"/>
        <v>Josh</v>
      </c>
      <c r="D436" s="39" t="str">
        <f t="shared" si="26"/>
        <v>Bailey</v>
      </c>
      <c r="E436" s="39" t="str">
        <f t="shared" si="27"/>
        <v>Josh Bailey</v>
      </c>
      <c r="F436" t="s">
        <v>1040</v>
      </c>
      <c r="G436" t="s">
        <v>93</v>
      </c>
      <c r="H436" s="292">
        <v>5000000</v>
      </c>
      <c r="I436" s="292">
        <v>5000000</v>
      </c>
      <c r="J436" s="292">
        <v>7000000</v>
      </c>
      <c r="K436" s="292">
        <v>6000000</v>
      </c>
      <c r="L436" s="292">
        <v>5000000</v>
      </c>
      <c r="M436" s="292">
        <v>5000000</v>
      </c>
      <c r="N436" s="292">
        <v>3500000</v>
      </c>
    </row>
    <row r="437" spans="1:14" x14ac:dyDescent="0.25">
      <c r="A437" t="s">
        <v>756</v>
      </c>
      <c r="B437" s="39">
        <f t="shared" si="24"/>
        <v>5</v>
      </c>
      <c r="C437" s="39" t="str">
        <f t="shared" si="25"/>
        <v>Josh</v>
      </c>
      <c r="D437" s="39" t="str">
        <f t="shared" si="26"/>
        <v>Healey</v>
      </c>
      <c r="E437" s="39" t="str">
        <f t="shared" si="27"/>
        <v>Josh Healey</v>
      </c>
      <c r="F437" t="s">
        <v>1031</v>
      </c>
      <c r="G437" t="s">
        <v>82</v>
      </c>
      <c r="H437" s="292">
        <v>925000</v>
      </c>
      <c r="I437" s="292">
        <v>0</v>
      </c>
      <c r="J437" s="292">
        <v>925000</v>
      </c>
      <c r="K437" s="292" t="s">
        <v>8</v>
      </c>
      <c r="L437" s="292">
        <v>0</v>
      </c>
      <c r="M437" s="292">
        <v>0</v>
      </c>
      <c r="N437" s="292">
        <v>0</v>
      </c>
    </row>
    <row r="438" spans="1:14" x14ac:dyDescent="0.25">
      <c r="A438" t="s">
        <v>1119</v>
      </c>
      <c r="B438" s="39">
        <f t="shared" si="24"/>
        <v>5</v>
      </c>
      <c r="C438" s="39" t="str">
        <f t="shared" si="25"/>
        <v>Josh</v>
      </c>
      <c r="D438" s="39" t="str">
        <f t="shared" si="26"/>
        <v>Ho-Sang</v>
      </c>
      <c r="E438" s="39" t="str">
        <f t="shared" si="27"/>
        <v>Josh Ho-Sang</v>
      </c>
      <c r="F438" t="s">
        <v>1040</v>
      </c>
      <c r="G438" t="s">
        <v>88</v>
      </c>
      <c r="H438" s="292">
        <v>1075830</v>
      </c>
      <c r="I438" s="292">
        <v>0</v>
      </c>
      <c r="J438" s="292">
        <v>832500</v>
      </c>
      <c r="K438" s="292" t="s">
        <v>8</v>
      </c>
      <c r="L438" s="292">
        <v>0</v>
      </c>
      <c r="M438" s="292">
        <v>0</v>
      </c>
      <c r="N438" s="292">
        <v>0</v>
      </c>
    </row>
    <row r="439" spans="1:14" x14ac:dyDescent="0.25">
      <c r="A439" t="s">
        <v>965</v>
      </c>
      <c r="B439" s="39">
        <f t="shared" si="24"/>
        <v>5</v>
      </c>
      <c r="C439" s="39" t="str">
        <f t="shared" si="25"/>
        <v>Josh</v>
      </c>
      <c r="D439" s="39" t="str">
        <f t="shared" si="26"/>
        <v>Jacobs</v>
      </c>
      <c r="E439" s="39" t="str">
        <f t="shared" si="27"/>
        <v>Josh Jacobs</v>
      </c>
      <c r="F439" t="s">
        <v>1038</v>
      </c>
      <c r="G439" t="s">
        <v>82</v>
      </c>
      <c r="H439" s="292">
        <v>925000</v>
      </c>
      <c r="I439" s="292">
        <v>0</v>
      </c>
      <c r="J439" s="292">
        <v>767500</v>
      </c>
      <c r="K439" s="292" t="s">
        <v>8</v>
      </c>
      <c r="L439" s="292">
        <v>0</v>
      </c>
      <c r="M439" s="292">
        <v>0</v>
      </c>
      <c r="N439" s="292">
        <v>0</v>
      </c>
    </row>
    <row r="440" spans="1:14" x14ac:dyDescent="0.25">
      <c r="A440" t="s">
        <v>716</v>
      </c>
      <c r="B440" s="39">
        <f t="shared" si="24"/>
        <v>5</v>
      </c>
      <c r="C440" s="39" t="str">
        <f t="shared" si="25"/>
        <v>Josh</v>
      </c>
      <c r="D440" s="39" t="str">
        <f t="shared" si="26"/>
        <v>Mahura</v>
      </c>
      <c r="E440" s="39" t="str">
        <f t="shared" si="27"/>
        <v>Josh Mahura</v>
      </c>
      <c r="F440" t="s">
        <v>1017</v>
      </c>
      <c r="G440" t="s">
        <v>82</v>
      </c>
      <c r="H440" s="292">
        <v>925000</v>
      </c>
      <c r="I440" s="292">
        <v>925000</v>
      </c>
      <c r="J440" s="292">
        <v>742500</v>
      </c>
      <c r="K440" s="292">
        <v>792500</v>
      </c>
      <c r="L440" s="292" t="s">
        <v>8</v>
      </c>
      <c r="M440" s="292">
        <v>0</v>
      </c>
      <c r="N440" s="292">
        <v>0</v>
      </c>
    </row>
    <row r="441" spans="1:14" x14ac:dyDescent="0.25">
      <c r="A441" t="s">
        <v>993</v>
      </c>
      <c r="B441" s="39">
        <f t="shared" si="24"/>
        <v>5</v>
      </c>
      <c r="C441" s="39" t="str">
        <f t="shared" si="25"/>
        <v>Josh</v>
      </c>
      <c r="D441" s="39" t="str">
        <f t="shared" si="26"/>
        <v>Wesley</v>
      </c>
      <c r="E441" s="39" t="str">
        <f t="shared" si="27"/>
        <v>Josh Wesley</v>
      </c>
      <c r="F441" t="s">
        <v>1036</v>
      </c>
      <c r="G441" t="s">
        <v>82</v>
      </c>
      <c r="H441" s="292">
        <v>695000</v>
      </c>
      <c r="I441" s="292">
        <v>0</v>
      </c>
      <c r="J441" s="292">
        <v>720000</v>
      </c>
      <c r="K441" s="292" t="s">
        <v>8</v>
      </c>
      <c r="L441" s="292">
        <v>0</v>
      </c>
      <c r="M441" s="292">
        <v>0</v>
      </c>
      <c r="N441" s="292">
        <v>0</v>
      </c>
    </row>
    <row r="442" spans="1:14" x14ac:dyDescent="0.25">
      <c r="A442" t="s">
        <v>1121</v>
      </c>
      <c r="B442" s="39">
        <f t="shared" si="24"/>
        <v>3</v>
      </c>
      <c r="C442" s="39" t="str">
        <f t="shared" si="25"/>
        <v>JT</v>
      </c>
      <c r="D442" s="39" t="str">
        <f t="shared" si="26"/>
        <v>Compher</v>
      </c>
      <c r="E442" s="39" t="str">
        <f t="shared" si="27"/>
        <v>JT Compher</v>
      </c>
      <c r="F442" t="s">
        <v>1033</v>
      </c>
      <c r="G442" t="s">
        <v>93</v>
      </c>
      <c r="H442" s="292">
        <v>1000000</v>
      </c>
      <c r="I442" s="292">
        <v>0</v>
      </c>
      <c r="J442" s="292">
        <v>925000</v>
      </c>
      <c r="K442" s="292" t="s">
        <v>8</v>
      </c>
      <c r="L442" s="292">
        <v>0</v>
      </c>
      <c r="M442" s="292">
        <v>0</v>
      </c>
      <c r="N442" s="292">
        <v>0</v>
      </c>
    </row>
    <row r="443" spans="1:14" x14ac:dyDescent="0.25">
      <c r="A443" t="s">
        <v>488</v>
      </c>
      <c r="B443" s="39">
        <f t="shared" si="24"/>
        <v>5</v>
      </c>
      <c r="C443" s="39" t="str">
        <f t="shared" si="25"/>
        <v>Juho</v>
      </c>
      <c r="D443" s="39" t="str">
        <f t="shared" si="26"/>
        <v>Lammikko</v>
      </c>
      <c r="E443" s="39" t="str">
        <f t="shared" si="27"/>
        <v>Juho Lammikko</v>
      </c>
      <c r="F443" t="s">
        <v>1027</v>
      </c>
      <c r="G443" t="s">
        <v>88</v>
      </c>
      <c r="H443" s="292">
        <v>925000</v>
      </c>
      <c r="I443" s="292">
        <v>0</v>
      </c>
      <c r="J443" s="292">
        <v>742500</v>
      </c>
      <c r="K443" s="292" t="s">
        <v>8</v>
      </c>
      <c r="L443" s="292">
        <v>0</v>
      </c>
      <c r="M443" s="292">
        <v>0</v>
      </c>
      <c r="N443" s="292">
        <v>0</v>
      </c>
    </row>
    <row r="444" spans="1:14" x14ac:dyDescent="0.25">
      <c r="A444" t="s">
        <v>556</v>
      </c>
      <c r="B444" s="39">
        <f t="shared" si="24"/>
        <v>7</v>
      </c>
      <c r="C444" s="39" t="str">
        <f t="shared" si="25"/>
        <v>Jujhar</v>
      </c>
      <c r="D444" s="39" t="str">
        <f t="shared" si="26"/>
        <v>Khaira</v>
      </c>
      <c r="E444" s="39" t="str">
        <f t="shared" si="27"/>
        <v>Jujhar Khaira</v>
      </c>
      <c r="F444" t="s">
        <v>1020</v>
      </c>
      <c r="G444" t="s">
        <v>93</v>
      </c>
      <c r="H444" s="292">
        <v>675000</v>
      </c>
      <c r="I444" s="292">
        <v>0</v>
      </c>
      <c r="J444" s="292">
        <v>700000</v>
      </c>
      <c r="K444" s="292" t="s">
        <v>8</v>
      </c>
      <c r="L444" s="292">
        <v>0</v>
      </c>
      <c r="M444" s="292">
        <v>0</v>
      </c>
      <c r="N444" s="292">
        <v>0</v>
      </c>
    </row>
    <row r="445" spans="1:14" x14ac:dyDescent="0.25">
      <c r="A445" t="s">
        <v>980</v>
      </c>
      <c r="B445" s="39">
        <f t="shared" si="24"/>
        <v>7</v>
      </c>
      <c r="C445" s="39" t="str">
        <f t="shared" si="25"/>
        <v>Julien</v>
      </c>
      <c r="D445" s="39" t="str">
        <f t="shared" si="26"/>
        <v>Gauthier</v>
      </c>
      <c r="E445" s="39" t="str">
        <f t="shared" si="27"/>
        <v>Julien Gauthier</v>
      </c>
      <c r="F445" t="s">
        <v>1036</v>
      </c>
      <c r="G445" t="s">
        <v>88</v>
      </c>
      <c r="H445" s="292">
        <v>1194170</v>
      </c>
      <c r="I445" s="292">
        <v>1194170</v>
      </c>
      <c r="J445" s="292">
        <v>925000</v>
      </c>
      <c r="K445" s="292">
        <v>832500</v>
      </c>
      <c r="L445" s="292" t="s">
        <v>8</v>
      </c>
      <c r="M445" s="292">
        <v>0</v>
      </c>
      <c r="N445" s="292">
        <v>0</v>
      </c>
    </row>
    <row r="446" spans="1:14" x14ac:dyDescent="0.25">
      <c r="A446" t="s">
        <v>926</v>
      </c>
      <c r="B446" s="39">
        <f t="shared" si="24"/>
        <v>7</v>
      </c>
      <c r="C446" s="39" t="str">
        <f t="shared" si="25"/>
        <v>Julien</v>
      </c>
      <c r="D446" s="39" t="str">
        <f t="shared" si="26"/>
        <v>Nantel</v>
      </c>
      <c r="E446" s="39" t="str">
        <f t="shared" si="27"/>
        <v>Julien Nantel</v>
      </c>
      <c r="F446" t="s">
        <v>1033</v>
      </c>
      <c r="G446" t="s">
        <v>73</v>
      </c>
      <c r="H446" s="292">
        <v>680000</v>
      </c>
      <c r="I446" s="292">
        <v>0</v>
      </c>
      <c r="J446" s="292">
        <v>705000</v>
      </c>
      <c r="K446" s="292" t="s">
        <v>8</v>
      </c>
      <c r="L446" s="292">
        <v>0</v>
      </c>
      <c r="M446" s="292">
        <v>0</v>
      </c>
      <c r="N446" s="292">
        <v>0</v>
      </c>
    </row>
    <row r="447" spans="1:14" x14ac:dyDescent="0.25">
      <c r="A447" t="s">
        <v>694</v>
      </c>
      <c r="B447" s="39">
        <f t="shared" si="24"/>
        <v>7</v>
      </c>
      <c r="C447" s="39" t="str">
        <f t="shared" si="25"/>
        <v>Julius</v>
      </c>
      <c r="D447" s="39" t="str">
        <f t="shared" si="26"/>
        <v>Bergman</v>
      </c>
      <c r="E447" s="39" t="str">
        <f t="shared" si="27"/>
        <v>Julius Bergman</v>
      </c>
      <c r="F447" t="s">
        <v>1029</v>
      </c>
      <c r="G447" t="s">
        <v>82</v>
      </c>
      <c r="H447" s="292">
        <v>863333</v>
      </c>
      <c r="I447" s="292">
        <v>0</v>
      </c>
      <c r="J447" s="292">
        <v>750000</v>
      </c>
      <c r="K447" s="292" t="s">
        <v>8</v>
      </c>
      <c r="L447" s="292">
        <v>0</v>
      </c>
      <c r="M447" s="292">
        <v>0</v>
      </c>
      <c r="N447" s="292">
        <v>0</v>
      </c>
    </row>
    <row r="448" spans="1:14" x14ac:dyDescent="0.25">
      <c r="A448" t="s">
        <v>598</v>
      </c>
      <c r="B448" s="39">
        <f t="shared" si="24"/>
        <v>7</v>
      </c>
      <c r="C448" s="39" t="str">
        <f t="shared" si="25"/>
        <v>Julius</v>
      </c>
      <c r="D448" s="39" t="str">
        <f t="shared" si="26"/>
        <v>Honka</v>
      </c>
      <c r="E448" s="39" t="str">
        <f t="shared" si="27"/>
        <v>Julius Honka</v>
      </c>
      <c r="F448" t="s">
        <v>1015</v>
      </c>
      <c r="G448" t="s">
        <v>379</v>
      </c>
      <c r="H448" s="292">
        <v>1363330</v>
      </c>
      <c r="I448" s="292">
        <v>0</v>
      </c>
      <c r="J448" s="292">
        <v>832500</v>
      </c>
      <c r="K448" s="292" t="s">
        <v>8</v>
      </c>
      <c r="L448" s="292">
        <v>0</v>
      </c>
      <c r="M448" s="292">
        <v>0</v>
      </c>
      <c r="N448" s="292">
        <v>0</v>
      </c>
    </row>
    <row r="449" spans="1:14" x14ac:dyDescent="0.25">
      <c r="A449" t="s">
        <v>718</v>
      </c>
      <c r="B449" s="39">
        <f t="shared" si="24"/>
        <v>7</v>
      </c>
      <c r="C449" s="39" t="str">
        <f t="shared" si="25"/>
        <v>Julius</v>
      </c>
      <c r="D449" s="39" t="str">
        <f t="shared" si="26"/>
        <v>Nattinen</v>
      </c>
      <c r="E449" s="39" t="str">
        <f t="shared" si="27"/>
        <v>Julius Nattinen</v>
      </c>
      <c r="F449" t="s">
        <v>1017</v>
      </c>
      <c r="G449" t="s">
        <v>73</v>
      </c>
      <c r="H449" s="292">
        <v>863333</v>
      </c>
      <c r="I449" s="292">
        <v>863333</v>
      </c>
      <c r="J449" s="292">
        <v>675000</v>
      </c>
      <c r="K449" s="292">
        <v>775000</v>
      </c>
      <c r="L449" s="292" t="s">
        <v>8</v>
      </c>
      <c r="M449" s="292">
        <v>0</v>
      </c>
      <c r="N449" s="292">
        <v>0</v>
      </c>
    </row>
    <row r="450" spans="1:14" x14ac:dyDescent="0.25">
      <c r="A450" t="s">
        <v>1096</v>
      </c>
      <c r="B450" s="39">
        <f t="shared" si="24"/>
        <v>7</v>
      </c>
      <c r="C450" s="39" t="str">
        <f t="shared" si="25"/>
        <v>Justin</v>
      </c>
      <c r="D450" s="39" t="str">
        <f t="shared" si="26"/>
        <v>Abdelkader</v>
      </c>
      <c r="E450" s="39" t="str">
        <f t="shared" si="27"/>
        <v>Justin Abdelkader</v>
      </c>
      <c r="F450" t="s">
        <v>1035</v>
      </c>
      <c r="G450" t="s">
        <v>93</v>
      </c>
      <c r="H450" s="292">
        <v>4250000</v>
      </c>
      <c r="I450" s="292">
        <v>4250000</v>
      </c>
      <c r="J450" s="292">
        <v>5000000</v>
      </c>
      <c r="K450" s="292">
        <v>4750000</v>
      </c>
      <c r="L450" s="292">
        <v>3500000</v>
      </c>
      <c r="M450" s="292">
        <v>3000000</v>
      </c>
      <c r="N450" s="292">
        <v>3000000</v>
      </c>
    </row>
    <row r="451" spans="1:14" x14ac:dyDescent="0.25">
      <c r="A451" t="s">
        <v>577</v>
      </c>
      <c r="B451" s="39">
        <f t="shared" ref="B451:B514" si="28">SEARCH(" ",A451,1)</f>
        <v>7</v>
      </c>
      <c r="C451" s="39" t="str">
        <f t="shared" ref="C451:C514" si="29">LEFT(A451,B451-1)</f>
        <v>Justin</v>
      </c>
      <c r="D451" s="39" t="str">
        <f t="shared" ref="D451:D514" si="30">MID(A451,B451+1,LEN(A451)-B451)</f>
        <v>Braun</v>
      </c>
      <c r="E451" s="39" t="str">
        <f t="shared" ref="E451:E514" si="31">C451&amp;" "&amp;D451</f>
        <v>Justin Braun</v>
      </c>
      <c r="F451" t="s">
        <v>1022</v>
      </c>
      <c r="G451" t="s">
        <v>379</v>
      </c>
      <c r="H451" s="292">
        <v>3800000</v>
      </c>
      <c r="I451" s="292">
        <v>3800000</v>
      </c>
      <c r="J451" s="292">
        <v>3800000</v>
      </c>
      <c r="K451" s="292">
        <v>3800000</v>
      </c>
      <c r="L451" s="292" t="s">
        <v>7</v>
      </c>
      <c r="M451" s="292">
        <v>0</v>
      </c>
      <c r="N451" s="292">
        <v>0</v>
      </c>
    </row>
    <row r="452" spans="1:14" x14ac:dyDescent="0.25">
      <c r="A452" t="s">
        <v>609</v>
      </c>
      <c r="B452" s="39">
        <f t="shared" si="28"/>
        <v>7</v>
      </c>
      <c r="C452" s="39" t="str">
        <f t="shared" si="29"/>
        <v>Justin</v>
      </c>
      <c r="D452" s="39" t="str">
        <f t="shared" si="30"/>
        <v>Dowling</v>
      </c>
      <c r="E452" s="39" t="str">
        <f t="shared" si="31"/>
        <v>Justin Dowling</v>
      </c>
      <c r="F452" t="s">
        <v>1015</v>
      </c>
      <c r="G452" t="s">
        <v>73</v>
      </c>
      <c r="H452" s="292">
        <v>650000</v>
      </c>
      <c r="I452" s="292">
        <v>0</v>
      </c>
      <c r="J452" s="292">
        <v>650000</v>
      </c>
      <c r="K452" s="292" t="s">
        <v>7</v>
      </c>
      <c r="L452" s="292">
        <v>0</v>
      </c>
      <c r="M452" s="292">
        <v>0</v>
      </c>
      <c r="N452" s="292">
        <v>0</v>
      </c>
    </row>
    <row r="453" spans="1:14" x14ac:dyDescent="0.25">
      <c r="A453" t="s">
        <v>213</v>
      </c>
      <c r="B453" s="39">
        <f t="shared" si="28"/>
        <v>7</v>
      </c>
      <c r="C453" s="39" t="str">
        <f t="shared" si="29"/>
        <v>Justin</v>
      </c>
      <c r="D453" s="39" t="str">
        <f t="shared" si="30"/>
        <v>Faulk</v>
      </c>
      <c r="E453" s="39" t="str">
        <f t="shared" si="31"/>
        <v>Justin Faulk</v>
      </c>
      <c r="F453" t="s">
        <v>1036</v>
      </c>
      <c r="G453" t="s">
        <v>379</v>
      </c>
      <c r="H453" s="292">
        <v>4833330</v>
      </c>
      <c r="I453" s="292">
        <v>4833330</v>
      </c>
      <c r="J453" s="292">
        <v>6000000</v>
      </c>
      <c r="K453" s="292">
        <v>6000000</v>
      </c>
      <c r="L453" s="292" t="s">
        <v>7</v>
      </c>
      <c r="M453" s="292">
        <v>0</v>
      </c>
      <c r="N453" s="292">
        <v>0</v>
      </c>
    </row>
    <row r="454" spans="1:14" x14ac:dyDescent="0.25">
      <c r="A454" t="s">
        <v>775</v>
      </c>
      <c r="B454" s="39">
        <f t="shared" si="28"/>
        <v>7</v>
      </c>
      <c r="C454" s="39" t="str">
        <f t="shared" si="29"/>
        <v>Justin</v>
      </c>
      <c r="D454" s="39" t="str">
        <f t="shared" si="30"/>
        <v>Kirkland</v>
      </c>
      <c r="E454" s="39" t="str">
        <f t="shared" si="31"/>
        <v>Justin Kirkland</v>
      </c>
      <c r="F454" t="s">
        <v>1016</v>
      </c>
      <c r="G454" t="s">
        <v>93</v>
      </c>
      <c r="H454" s="292">
        <v>925000</v>
      </c>
      <c r="I454" s="292">
        <v>0</v>
      </c>
      <c r="J454" s="292">
        <v>742500</v>
      </c>
      <c r="K454" s="292" t="s">
        <v>8</v>
      </c>
      <c r="L454" s="292">
        <v>0</v>
      </c>
      <c r="M454" s="292">
        <v>0</v>
      </c>
      <c r="N454" s="292">
        <v>0</v>
      </c>
    </row>
    <row r="455" spans="1:14" x14ac:dyDescent="0.25">
      <c r="A455" t="s">
        <v>254</v>
      </c>
      <c r="B455" s="39">
        <f t="shared" si="28"/>
        <v>7</v>
      </c>
      <c r="C455" s="39" t="str">
        <f t="shared" si="29"/>
        <v>Justin</v>
      </c>
      <c r="D455" s="39" t="str">
        <f t="shared" si="30"/>
        <v>Schultz</v>
      </c>
      <c r="E455" s="39" t="str">
        <f t="shared" si="31"/>
        <v>Justin Schultz</v>
      </c>
      <c r="F455" t="s">
        <v>1014</v>
      </c>
      <c r="G455" t="s">
        <v>379</v>
      </c>
      <c r="H455" s="292">
        <v>5500000</v>
      </c>
      <c r="I455" s="292">
        <v>5500000</v>
      </c>
      <c r="J455" s="292">
        <v>5000000</v>
      </c>
      <c r="K455" s="292">
        <v>6000000</v>
      </c>
      <c r="L455" s="292" t="s">
        <v>7</v>
      </c>
      <c r="M455" s="292">
        <v>0</v>
      </c>
      <c r="N455" s="292">
        <v>0</v>
      </c>
    </row>
    <row r="456" spans="1:14" x14ac:dyDescent="0.25">
      <c r="A456" t="s">
        <v>648</v>
      </c>
      <c r="B456" s="39">
        <f t="shared" si="28"/>
        <v>7</v>
      </c>
      <c r="C456" s="39" t="str">
        <f t="shared" si="29"/>
        <v>Justin</v>
      </c>
      <c r="D456" s="39" t="str">
        <f t="shared" si="30"/>
        <v>Scott</v>
      </c>
      <c r="E456" s="39" t="str">
        <f t="shared" si="31"/>
        <v>Justin Scott</v>
      </c>
      <c r="F456" t="s">
        <v>1028</v>
      </c>
      <c r="G456" t="s">
        <v>73</v>
      </c>
      <c r="H456" s="292">
        <v>925000</v>
      </c>
      <c r="I456" s="292">
        <v>0</v>
      </c>
      <c r="J456" s="292">
        <v>842500</v>
      </c>
      <c r="K456" s="292" t="s">
        <v>8</v>
      </c>
      <c r="L456" s="292">
        <v>0</v>
      </c>
      <c r="M456" s="292">
        <v>0</v>
      </c>
      <c r="N456" s="292">
        <v>0</v>
      </c>
    </row>
    <row r="457" spans="1:14" x14ac:dyDescent="0.25">
      <c r="A457" t="s">
        <v>973</v>
      </c>
      <c r="B457" s="39">
        <f t="shared" si="28"/>
        <v>7</v>
      </c>
      <c r="C457" s="39" t="str">
        <f t="shared" si="29"/>
        <v>Justin</v>
      </c>
      <c r="D457" s="39" t="str">
        <f t="shared" si="30"/>
        <v>Williams</v>
      </c>
      <c r="E457" s="39" t="str">
        <f t="shared" si="31"/>
        <v>Justin Williams</v>
      </c>
      <c r="F457" t="s">
        <v>1036</v>
      </c>
      <c r="G457" t="s">
        <v>88</v>
      </c>
      <c r="H457" s="292">
        <v>4500000</v>
      </c>
      <c r="I457" s="292">
        <v>0</v>
      </c>
      <c r="J457" s="292">
        <v>4000000</v>
      </c>
      <c r="K457" s="292" t="s">
        <v>7</v>
      </c>
      <c r="L457" s="292">
        <v>0</v>
      </c>
      <c r="M457" s="292">
        <v>0</v>
      </c>
      <c r="N457" s="292">
        <v>0</v>
      </c>
    </row>
    <row r="458" spans="1:14" x14ac:dyDescent="0.25">
      <c r="A458" t="s">
        <v>152</v>
      </c>
      <c r="B458" s="39">
        <f t="shared" si="28"/>
        <v>6</v>
      </c>
      <c r="C458" s="39" t="str">
        <f t="shared" si="29"/>
        <v>Juuso</v>
      </c>
      <c r="D458" s="39" t="str">
        <f t="shared" si="30"/>
        <v>Valimaki</v>
      </c>
      <c r="E458" s="39" t="str">
        <f t="shared" si="31"/>
        <v>Juuso Valimaki</v>
      </c>
      <c r="F458" t="s">
        <v>1031</v>
      </c>
      <c r="G458" t="s">
        <v>82</v>
      </c>
      <c r="H458" s="292">
        <v>1350000</v>
      </c>
      <c r="I458" s="292">
        <v>1350000</v>
      </c>
      <c r="J458" s="292">
        <v>925000</v>
      </c>
      <c r="K458" s="292">
        <v>925000</v>
      </c>
      <c r="L458" s="292" t="s">
        <v>8</v>
      </c>
      <c r="M458" s="292">
        <v>0</v>
      </c>
      <c r="N458" s="292">
        <v>0</v>
      </c>
    </row>
    <row r="459" spans="1:14" x14ac:dyDescent="0.25">
      <c r="A459" t="s">
        <v>158</v>
      </c>
      <c r="B459" s="39">
        <f t="shared" si="28"/>
        <v>7</v>
      </c>
      <c r="C459" s="39" t="str">
        <f t="shared" si="29"/>
        <v>Kailer</v>
      </c>
      <c r="D459" s="39" t="str">
        <f t="shared" si="30"/>
        <v>Yamamoto</v>
      </c>
      <c r="E459" s="39" t="str">
        <f t="shared" si="31"/>
        <v>Kailer Yamamoto</v>
      </c>
      <c r="F459" t="s">
        <v>1020</v>
      </c>
      <c r="G459" t="s">
        <v>88</v>
      </c>
      <c r="H459" s="292">
        <v>1155000</v>
      </c>
      <c r="I459" s="292">
        <v>1155000</v>
      </c>
      <c r="J459" s="292">
        <v>925000</v>
      </c>
      <c r="K459" s="292">
        <v>925000</v>
      </c>
      <c r="L459" s="292" t="s">
        <v>8</v>
      </c>
      <c r="M459" s="292">
        <v>0</v>
      </c>
      <c r="N459" s="292">
        <v>0</v>
      </c>
    </row>
    <row r="460" spans="1:14" x14ac:dyDescent="0.25">
      <c r="A460" t="s">
        <v>503</v>
      </c>
      <c r="B460" s="39">
        <f t="shared" si="28"/>
        <v>5</v>
      </c>
      <c r="C460" s="39" t="str">
        <f t="shared" si="29"/>
        <v>Kale</v>
      </c>
      <c r="D460" s="39" t="str">
        <f t="shared" si="30"/>
        <v>Clague</v>
      </c>
      <c r="E460" s="39" t="str">
        <f t="shared" si="31"/>
        <v>Kale Clague</v>
      </c>
      <c r="F460" t="s">
        <v>1012</v>
      </c>
      <c r="G460" t="s">
        <v>82</v>
      </c>
      <c r="H460" s="292">
        <v>925000</v>
      </c>
      <c r="I460" s="292">
        <v>925000</v>
      </c>
      <c r="J460" s="292">
        <v>792500</v>
      </c>
      <c r="K460" s="292">
        <v>817500</v>
      </c>
      <c r="L460" s="292" t="s">
        <v>8</v>
      </c>
      <c r="M460" s="292">
        <v>0</v>
      </c>
      <c r="N460" s="292">
        <v>0</v>
      </c>
    </row>
    <row r="461" spans="1:14" x14ac:dyDescent="0.25">
      <c r="A461" t="s">
        <v>783</v>
      </c>
      <c r="B461" s="39">
        <f t="shared" si="28"/>
        <v>5</v>
      </c>
      <c r="C461" s="39" t="str">
        <f t="shared" si="29"/>
        <v>Karl</v>
      </c>
      <c r="D461" s="39" t="str">
        <f t="shared" si="30"/>
        <v>Alzner</v>
      </c>
      <c r="E461" s="39" t="str">
        <f t="shared" si="31"/>
        <v>Karl Alzner</v>
      </c>
      <c r="F461" t="s">
        <v>1023</v>
      </c>
      <c r="G461" t="s">
        <v>380</v>
      </c>
      <c r="H461" s="292">
        <v>4625000</v>
      </c>
      <c r="I461" s="292">
        <v>4625000</v>
      </c>
      <c r="J461" s="292">
        <v>6000000</v>
      </c>
      <c r="K461" s="292">
        <v>4625000</v>
      </c>
      <c r="L461" s="292">
        <v>3000000</v>
      </c>
      <c r="M461" s="292">
        <v>3500000</v>
      </c>
      <c r="N461" s="292" t="s">
        <v>7</v>
      </c>
    </row>
    <row r="462" spans="1:14" x14ac:dyDescent="0.25">
      <c r="A462" t="s">
        <v>933</v>
      </c>
      <c r="B462" s="39">
        <f t="shared" si="28"/>
        <v>8</v>
      </c>
      <c r="C462" s="39" t="str">
        <f t="shared" si="29"/>
        <v>Kasperi</v>
      </c>
      <c r="D462" s="39" t="str">
        <f t="shared" si="30"/>
        <v>Kapanen</v>
      </c>
      <c r="E462" s="39" t="str">
        <f t="shared" si="31"/>
        <v>Kasperi Kapanen</v>
      </c>
      <c r="F462" t="s">
        <v>1034</v>
      </c>
      <c r="G462" t="s">
        <v>88</v>
      </c>
      <c r="H462" s="292">
        <v>863333</v>
      </c>
      <c r="I462" s="292">
        <v>0</v>
      </c>
      <c r="J462" s="292">
        <v>832500</v>
      </c>
      <c r="K462" s="292" t="s">
        <v>8</v>
      </c>
      <c r="L462" s="292">
        <v>0</v>
      </c>
      <c r="M462" s="292">
        <v>0</v>
      </c>
      <c r="N462" s="292">
        <v>0</v>
      </c>
    </row>
    <row r="463" spans="1:14" x14ac:dyDescent="0.25">
      <c r="A463" t="s">
        <v>1145</v>
      </c>
      <c r="B463" s="39">
        <f t="shared" si="28"/>
        <v>7</v>
      </c>
      <c r="C463" s="39" t="str">
        <f t="shared" si="29"/>
        <v>Keaton</v>
      </c>
      <c r="D463" s="39" t="str">
        <f t="shared" si="30"/>
        <v>Middleton</v>
      </c>
      <c r="E463" s="39" t="str">
        <f t="shared" si="31"/>
        <v>Keaton Middleton</v>
      </c>
      <c r="F463" t="s">
        <v>1022</v>
      </c>
      <c r="G463" t="s">
        <v>82</v>
      </c>
      <c r="H463" s="292">
        <v>735000</v>
      </c>
      <c r="I463" s="292">
        <v>735000</v>
      </c>
      <c r="J463" s="292">
        <v>720000</v>
      </c>
      <c r="K463" s="292">
        <v>770000</v>
      </c>
      <c r="L463" s="292" t="s">
        <v>8</v>
      </c>
      <c r="M463" s="292">
        <v>0</v>
      </c>
      <c r="N463" s="292">
        <v>0</v>
      </c>
    </row>
    <row r="464" spans="1:14" x14ac:dyDescent="0.25">
      <c r="A464" t="s">
        <v>713</v>
      </c>
      <c r="B464" s="39">
        <f t="shared" si="28"/>
        <v>7</v>
      </c>
      <c r="C464" s="39" t="str">
        <f t="shared" si="29"/>
        <v>Keaton</v>
      </c>
      <c r="D464" s="39" t="str">
        <f t="shared" si="30"/>
        <v>Thompson</v>
      </c>
      <c r="E464" s="39" t="str">
        <f t="shared" si="31"/>
        <v>Keaton Thompson</v>
      </c>
      <c r="F464" t="s">
        <v>1017</v>
      </c>
      <c r="G464" t="s">
        <v>82</v>
      </c>
      <c r="H464" s="292">
        <v>925000</v>
      </c>
      <c r="I464" s="292">
        <v>0</v>
      </c>
      <c r="J464" s="292">
        <v>925000</v>
      </c>
      <c r="K464" s="292" t="s">
        <v>8</v>
      </c>
      <c r="L464" s="292">
        <v>0</v>
      </c>
      <c r="M464" s="292">
        <v>0</v>
      </c>
      <c r="N464" s="292">
        <v>0</v>
      </c>
    </row>
    <row r="465" spans="1:14" x14ac:dyDescent="0.25">
      <c r="A465" t="s">
        <v>811</v>
      </c>
      <c r="B465" s="39">
        <f t="shared" si="28"/>
        <v>7</v>
      </c>
      <c r="C465" s="39" t="str">
        <f t="shared" si="29"/>
        <v>Keegan</v>
      </c>
      <c r="D465" s="39" t="str">
        <f t="shared" si="30"/>
        <v>Kolesar</v>
      </c>
      <c r="E465" s="39" t="str">
        <f t="shared" si="31"/>
        <v>Keegan Kolesar</v>
      </c>
      <c r="F465" t="s">
        <v>1041</v>
      </c>
      <c r="G465" t="s">
        <v>88</v>
      </c>
      <c r="H465" s="292">
        <v>894167</v>
      </c>
      <c r="I465" s="292">
        <v>0</v>
      </c>
      <c r="J465" s="292">
        <v>715000</v>
      </c>
      <c r="K465" s="292" t="s">
        <v>8</v>
      </c>
      <c r="L465" s="292">
        <v>0</v>
      </c>
      <c r="M465" s="292">
        <v>0</v>
      </c>
      <c r="N465" s="292">
        <v>0</v>
      </c>
    </row>
    <row r="466" spans="1:14" x14ac:dyDescent="0.25">
      <c r="A466" t="s">
        <v>958</v>
      </c>
      <c r="B466" s="39">
        <f t="shared" si="28"/>
        <v>6</v>
      </c>
      <c r="C466" s="39" t="str">
        <f t="shared" si="29"/>
        <v>Keith</v>
      </c>
      <c r="D466" s="39" t="str">
        <f t="shared" si="30"/>
        <v>Kinkaid</v>
      </c>
      <c r="E466" s="39" t="str">
        <f t="shared" si="31"/>
        <v>Keith Kinkaid</v>
      </c>
      <c r="F466" t="s">
        <v>1038</v>
      </c>
      <c r="G466" t="s">
        <v>127</v>
      </c>
      <c r="H466" s="292">
        <v>1250000</v>
      </c>
      <c r="I466" s="292">
        <v>0</v>
      </c>
      <c r="J466" s="292">
        <v>1300000</v>
      </c>
      <c r="K466" s="292" t="s">
        <v>7</v>
      </c>
      <c r="L466" s="292">
        <v>0</v>
      </c>
      <c r="M466" s="292">
        <v>0</v>
      </c>
      <c r="N466" s="292">
        <v>0</v>
      </c>
    </row>
    <row r="467" spans="1:14" x14ac:dyDescent="0.25">
      <c r="A467" t="s">
        <v>478</v>
      </c>
      <c r="B467" s="39">
        <f t="shared" si="28"/>
        <v>6</v>
      </c>
      <c r="C467" s="39" t="str">
        <f t="shared" si="29"/>
        <v>Keith</v>
      </c>
      <c r="D467" s="39" t="str">
        <f t="shared" si="30"/>
        <v>Yandle</v>
      </c>
      <c r="E467" s="39" t="str">
        <f t="shared" si="31"/>
        <v>Keith Yandle</v>
      </c>
      <c r="F467" t="s">
        <v>1027</v>
      </c>
      <c r="G467" t="s">
        <v>380</v>
      </c>
      <c r="H467" s="292">
        <v>6350000</v>
      </c>
      <c r="I467" s="292">
        <v>6350000</v>
      </c>
      <c r="J467" s="292">
        <v>7500000</v>
      </c>
      <c r="K467" s="292">
        <v>5750000</v>
      </c>
      <c r="L467" s="292">
        <v>5750000</v>
      </c>
      <c r="M467" s="292">
        <v>5250000</v>
      </c>
      <c r="N467" s="292">
        <v>5200000</v>
      </c>
    </row>
    <row r="468" spans="1:14" x14ac:dyDescent="0.25">
      <c r="A468" t="s">
        <v>541</v>
      </c>
      <c r="B468" s="39">
        <f t="shared" si="28"/>
        <v>6</v>
      </c>
      <c r="C468" s="39" t="str">
        <f t="shared" si="29"/>
        <v>Kevan</v>
      </c>
      <c r="D468" s="39" t="str">
        <f t="shared" si="30"/>
        <v>Miller</v>
      </c>
      <c r="E468" s="39" t="str">
        <f t="shared" si="31"/>
        <v>Kevan Miller</v>
      </c>
      <c r="F468" t="s">
        <v>1030</v>
      </c>
      <c r="G468" t="s">
        <v>379</v>
      </c>
      <c r="H468" s="292">
        <v>2500000</v>
      </c>
      <c r="I468" s="292">
        <v>2500000</v>
      </c>
      <c r="J468" s="292">
        <v>2500000</v>
      </c>
      <c r="K468" s="292">
        <v>2500000</v>
      </c>
      <c r="L468" s="292" t="s">
        <v>7</v>
      </c>
      <c r="M468" s="292">
        <v>0</v>
      </c>
      <c r="N468" s="292">
        <v>0</v>
      </c>
    </row>
    <row r="469" spans="1:14" x14ac:dyDescent="0.25">
      <c r="A469" t="s">
        <v>229</v>
      </c>
      <c r="B469" s="39">
        <f t="shared" si="28"/>
        <v>6</v>
      </c>
      <c r="C469" s="39" t="str">
        <f t="shared" si="29"/>
        <v>Kevin</v>
      </c>
      <c r="D469" s="39" t="str">
        <f t="shared" si="30"/>
        <v>Fiala</v>
      </c>
      <c r="E469" s="39" t="str">
        <f t="shared" si="31"/>
        <v>Kevin Fiala</v>
      </c>
      <c r="F469" t="s">
        <v>1016</v>
      </c>
      <c r="G469" t="s">
        <v>93</v>
      </c>
      <c r="H469" s="292">
        <v>1363330</v>
      </c>
      <c r="I469" s="292">
        <v>0</v>
      </c>
      <c r="J469" s="292">
        <v>832500</v>
      </c>
      <c r="K469" s="292" t="s">
        <v>8</v>
      </c>
      <c r="L469" s="292">
        <v>0</v>
      </c>
      <c r="M469" s="292">
        <v>0</v>
      </c>
      <c r="N469" s="292">
        <v>0</v>
      </c>
    </row>
    <row r="470" spans="1:14" x14ac:dyDescent="0.25">
      <c r="A470" t="s">
        <v>575</v>
      </c>
      <c r="B470" s="39">
        <f t="shared" si="28"/>
        <v>6</v>
      </c>
      <c r="C470" s="39" t="str">
        <f t="shared" si="29"/>
        <v>Kevin</v>
      </c>
      <c r="D470" s="39" t="str">
        <f t="shared" si="30"/>
        <v>Labanc</v>
      </c>
      <c r="E470" s="39" t="str">
        <f t="shared" si="31"/>
        <v>Kevin Labanc</v>
      </c>
      <c r="F470" t="s">
        <v>1022</v>
      </c>
      <c r="G470" t="s">
        <v>88</v>
      </c>
      <c r="H470" s="292">
        <v>925000</v>
      </c>
      <c r="I470" s="292">
        <v>0</v>
      </c>
      <c r="J470" s="292">
        <v>742500</v>
      </c>
      <c r="K470" s="292" t="s">
        <v>8</v>
      </c>
      <c r="L470" s="292">
        <v>0</v>
      </c>
      <c r="M470" s="292">
        <v>0</v>
      </c>
      <c r="N470" s="292">
        <v>0</v>
      </c>
    </row>
    <row r="471" spans="1:14" x14ac:dyDescent="0.25">
      <c r="A471" t="s">
        <v>747</v>
      </c>
      <c r="B471" s="39">
        <f t="shared" si="28"/>
        <v>6</v>
      </c>
      <c r="C471" s="39" t="str">
        <f t="shared" si="29"/>
        <v>Kevin</v>
      </c>
      <c r="D471" s="39" t="str">
        <f t="shared" si="30"/>
        <v>Porter</v>
      </c>
      <c r="E471" s="39" t="str">
        <f t="shared" si="31"/>
        <v>Kevin Porter</v>
      </c>
      <c r="F471" t="s">
        <v>1039</v>
      </c>
      <c r="G471" t="s">
        <v>73</v>
      </c>
      <c r="H471" s="292">
        <v>650000</v>
      </c>
      <c r="I471" s="292">
        <v>0</v>
      </c>
      <c r="J471" s="292">
        <v>650000</v>
      </c>
      <c r="K471" s="292" t="s">
        <v>7</v>
      </c>
      <c r="L471" s="292">
        <v>0</v>
      </c>
      <c r="M471" s="292">
        <v>0</v>
      </c>
      <c r="N471" s="292">
        <v>0</v>
      </c>
    </row>
    <row r="472" spans="1:14" x14ac:dyDescent="0.25">
      <c r="A472" t="s">
        <v>271</v>
      </c>
      <c r="B472" s="39">
        <f t="shared" si="28"/>
        <v>6</v>
      </c>
      <c r="C472" s="39" t="str">
        <f t="shared" si="29"/>
        <v>Kevin</v>
      </c>
      <c r="D472" s="39" t="str">
        <f t="shared" si="30"/>
        <v>Shattenkirk</v>
      </c>
      <c r="E472" s="39" t="str">
        <f t="shared" si="31"/>
        <v>Kevin Shattenkirk</v>
      </c>
      <c r="F472" t="s">
        <v>1018</v>
      </c>
      <c r="G472" t="s">
        <v>379</v>
      </c>
      <c r="H472" s="292">
        <v>6650000</v>
      </c>
      <c r="I472" s="292">
        <v>6650000</v>
      </c>
      <c r="J472" s="292">
        <v>8000000</v>
      </c>
      <c r="K472" s="292">
        <v>6600000</v>
      </c>
      <c r="L472" s="292">
        <v>4000000</v>
      </c>
      <c r="M472" s="292" t="s">
        <v>7</v>
      </c>
      <c r="N472" s="292">
        <v>0</v>
      </c>
    </row>
    <row r="473" spans="1:14" x14ac:dyDescent="0.25">
      <c r="A473" t="s">
        <v>645</v>
      </c>
      <c r="B473" s="39">
        <f t="shared" si="28"/>
        <v>6</v>
      </c>
      <c r="C473" s="39" t="str">
        <f t="shared" si="29"/>
        <v>Kevin</v>
      </c>
      <c r="D473" s="39" t="str">
        <f t="shared" si="30"/>
        <v>Stenlund</v>
      </c>
      <c r="E473" s="39" t="str">
        <f t="shared" si="31"/>
        <v>Kevin Stenlund</v>
      </c>
      <c r="F473" t="s">
        <v>1028</v>
      </c>
      <c r="G473" t="s">
        <v>73</v>
      </c>
      <c r="H473" s="292">
        <v>925000</v>
      </c>
      <c r="I473" s="292">
        <v>925000</v>
      </c>
      <c r="J473" s="292">
        <v>925000</v>
      </c>
      <c r="K473" s="292">
        <v>925000</v>
      </c>
      <c r="L473" s="292" t="s">
        <v>8</v>
      </c>
      <c r="M473" s="292">
        <v>0</v>
      </c>
      <c r="N473" s="292">
        <v>0</v>
      </c>
    </row>
    <row r="474" spans="1:14" x14ac:dyDescent="0.25">
      <c r="A474" t="s">
        <v>905</v>
      </c>
      <c r="B474" s="39">
        <f t="shared" si="28"/>
        <v>8</v>
      </c>
      <c r="C474" s="39" t="str">
        <f t="shared" si="29"/>
        <v>Kieffer</v>
      </c>
      <c r="D474" s="39" t="str">
        <f t="shared" si="30"/>
        <v>Bellows</v>
      </c>
      <c r="E474" s="39" t="str">
        <f t="shared" si="31"/>
        <v>Kieffer Bellows</v>
      </c>
      <c r="F474" t="s">
        <v>1040</v>
      </c>
      <c r="G474" t="s">
        <v>93</v>
      </c>
      <c r="H474" s="292">
        <v>1137500</v>
      </c>
      <c r="I474" s="292">
        <v>1137500</v>
      </c>
      <c r="J474" s="292">
        <v>925000</v>
      </c>
      <c r="K474" s="292">
        <v>925000</v>
      </c>
      <c r="L474" s="292" t="s">
        <v>8</v>
      </c>
      <c r="M474" s="292">
        <v>0</v>
      </c>
      <c r="N474" s="292">
        <v>0</v>
      </c>
    </row>
    <row r="475" spans="1:14" x14ac:dyDescent="0.25">
      <c r="A475" t="s">
        <v>164</v>
      </c>
      <c r="B475" s="39">
        <f t="shared" si="28"/>
        <v>5</v>
      </c>
      <c r="C475" s="39" t="str">
        <f t="shared" si="29"/>
        <v>Klim</v>
      </c>
      <c r="D475" s="39" t="str">
        <f t="shared" si="30"/>
        <v>Kostin</v>
      </c>
      <c r="E475" s="39" t="str">
        <f t="shared" si="31"/>
        <v>Klim Kostin</v>
      </c>
      <c r="F475" t="s">
        <v>1026</v>
      </c>
      <c r="G475" t="s">
        <v>93</v>
      </c>
      <c r="H475" s="292">
        <v>1137500</v>
      </c>
      <c r="I475" s="292">
        <v>1137500</v>
      </c>
      <c r="J475" s="292">
        <v>925000</v>
      </c>
      <c r="K475" s="292">
        <v>925000</v>
      </c>
      <c r="L475" s="292" t="s">
        <v>8</v>
      </c>
      <c r="M475" s="292">
        <v>0</v>
      </c>
      <c r="N475" s="292">
        <v>0</v>
      </c>
    </row>
    <row r="476" spans="1:14" x14ac:dyDescent="0.25">
      <c r="A476" t="s">
        <v>654</v>
      </c>
      <c r="B476" s="39">
        <f t="shared" si="28"/>
        <v>5</v>
      </c>
      <c r="C476" s="39" t="str">
        <f t="shared" si="29"/>
        <v>Kole</v>
      </c>
      <c r="D476" s="39" t="str">
        <f t="shared" si="30"/>
        <v>Sherwood</v>
      </c>
      <c r="E476" s="39" t="str">
        <f t="shared" si="31"/>
        <v>Kole Sherwood</v>
      </c>
      <c r="F476" t="s">
        <v>1028</v>
      </c>
      <c r="G476" t="s">
        <v>88</v>
      </c>
      <c r="H476" s="292">
        <v>805000</v>
      </c>
      <c r="I476" s="292">
        <v>0</v>
      </c>
      <c r="J476" s="292">
        <v>700000</v>
      </c>
      <c r="K476" s="292" t="s">
        <v>8</v>
      </c>
      <c r="L476" s="292">
        <v>0</v>
      </c>
      <c r="M476" s="292">
        <v>0</v>
      </c>
      <c r="N476" s="292">
        <v>0</v>
      </c>
    </row>
    <row r="477" spans="1:14" x14ac:dyDescent="0.25">
      <c r="A477" t="s">
        <v>706</v>
      </c>
      <c r="B477" s="39">
        <f t="shared" si="28"/>
        <v>10</v>
      </c>
      <c r="C477" s="39" t="str">
        <f t="shared" si="29"/>
        <v>Korbinian</v>
      </c>
      <c r="D477" s="39" t="str">
        <f t="shared" si="30"/>
        <v>Holzer</v>
      </c>
      <c r="E477" s="39" t="str">
        <f t="shared" si="31"/>
        <v>Korbinian Holzer</v>
      </c>
      <c r="F477" t="s">
        <v>1017</v>
      </c>
      <c r="G477" t="s">
        <v>379</v>
      </c>
      <c r="H477" s="292">
        <v>900000</v>
      </c>
      <c r="I477" s="292">
        <v>0</v>
      </c>
      <c r="J477" s="292">
        <v>900000</v>
      </c>
      <c r="K477" s="292" t="s">
        <v>7</v>
      </c>
      <c r="L477" s="292">
        <v>0</v>
      </c>
      <c r="M477" s="292">
        <v>0</v>
      </c>
      <c r="N477" s="292">
        <v>0</v>
      </c>
    </row>
    <row r="478" spans="1:14" x14ac:dyDescent="0.25">
      <c r="A478" t="s">
        <v>447</v>
      </c>
      <c r="B478" s="39">
        <f t="shared" si="28"/>
        <v>5</v>
      </c>
      <c r="C478" s="39" t="str">
        <f t="shared" si="29"/>
        <v>Kris</v>
      </c>
      <c r="D478" s="39" t="str">
        <f t="shared" si="30"/>
        <v>Bindulis</v>
      </c>
      <c r="E478" s="39" t="str">
        <f t="shared" si="31"/>
        <v>Kris Bindulis</v>
      </c>
      <c r="F478" t="s">
        <v>1013</v>
      </c>
      <c r="G478" t="s">
        <v>82</v>
      </c>
      <c r="H478" s="292">
        <v>925000</v>
      </c>
      <c r="I478" s="292">
        <v>925000</v>
      </c>
      <c r="J478" s="292">
        <v>792500</v>
      </c>
      <c r="K478" s="292">
        <v>842500</v>
      </c>
      <c r="L478" s="292" t="s">
        <v>8</v>
      </c>
      <c r="M478" s="292">
        <v>0</v>
      </c>
      <c r="N478" s="292">
        <v>0</v>
      </c>
    </row>
    <row r="479" spans="1:14" x14ac:dyDescent="0.25">
      <c r="A479" t="s">
        <v>1053</v>
      </c>
      <c r="B479" s="39">
        <f t="shared" si="28"/>
        <v>5</v>
      </c>
      <c r="C479" s="39" t="str">
        <f t="shared" si="29"/>
        <v>Kris</v>
      </c>
      <c r="D479" s="39" t="str">
        <f t="shared" si="30"/>
        <v>Letang</v>
      </c>
      <c r="E479" s="39" t="str">
        <f t="shared" si="31"/>
        <v>Kris Letang</v>
      </c>
      <c r="F479" t="s">
        <v>1014</v>
      </c>
      <c r="G479" t="s">
        <v>379</v>
      </c>
      <c r="H479" s="292">
        <v>7250000</v>
      </c>
      <c r="I479" s="292">
        <v>7250000</v>
      </c>
      <c r="J479" s="292">
        <v>7250000</v>
      </c>
      <c r="K479" s="292">
        <v>7250000</v>
      </c>
      <c r="L479" s="292">
        <v>7250000</v>
      </c>
      <c r="M479" s="292">
        <v>7250000</v>
      </c>
      <c r="N479" s="292" t="s">
        <v>7</v>
      </c>
    </row>
    <row r="480" spans="1:14" x14ac:dyDescent="0.25">
      <c r="A480" t="s">
        <v>558</v>
      </c>
      <c r="B480" s="39">
        <f t="shared" si="28"/>
        <v>5</v>
      </c>
      <c r="C480" s="39" t="str">
        <f t="shared" si="29"/>
        <v>Kris</v>
      </c>
      <c r="D480" s="39" t="str">
        <f t="shared" si="30"/>
        <v>Russell</v>
      </c>
      <c r="E480" s="39" t="str">
        <f t="shared" si="31"/>
        <v>Kris Russell</v>
      </c>
      <c r="F480" t="s">
        <v>1020</v>
      </c>
      <c r="G480" t="s">
        <v>380</v>
      </c>
      <c r="H480" s="292">
        <v>4000000</v>
      </c>
      <c r="I480" s="292">
        <v>4000000</v>
      </c>
      <c r="J480" s="292">
        <v>4500000</v>
      </c>
      <c r="K480" s="292">
        <v>4000000</v>
      </c>
      <c r="L480" s="292">
        <v>2500000</v>
      </c>
      <c r="M480" s="292" t="s">
        <v>7</v>
      </c>
      <c r="N480" s="292">
        <v>0</v>
      </c>
    </row>
    <row r="481" spans="1:14" x14ac:dyDescent="0.25">
      <c r="A481" t="s">
        <v>852</v>
      </c>
      <c r="B481" s="39">
        <f t="shared" si="28"/>
        <v>5</v>
      </c>
      <c r="C481" s="39" t="str">
        <f t="shared" si="29"/>
        <v>Kyle</v>
      </c>
      <c r="D481" s="39" t="str">
        <f t="shared" si="30"/>
        <v>Capobianco</v>
      </c>
      <c r="E481" s="39" t="str">
        <f t="shared" si="31"/>
        <v>Kyle Capobianco</v>
      </c>
      <c r="F481" t="s">
        <v>1032</v>
      </c>
      <c r="G481" t="s">
        <v>82</v>
      </c>
      <c r="H481" s="292">
        <v>894167</v>
      </c>
      <c r="I481" s="292">
        <v>894167</v>
      </c>
      <c r="J481" s="292">
        <v>767500</v>
      </c>
      <c r="K481" s="292">
        <v>725000</v>
      </c>
      <c r="L481" s="292" t="s">
        <v>8</v>
      </c>
      <c r="M481" s="292">
        <v>0</v>
      </c>
      <c r="N481" s="292">
        <v>0</v>
      </c>
    </row>
    <row r="482" spans="1:14" x14ac:dyDescent="0.25">
      <c r="A482" t="s">
        <v>493</v>
      </c>
      <c r="B482" s="39">
        <f t="shared" si="28"/>
        <v>5</v>
      </c>
      <c r="C482" s="39" t="str">
        <f t="shared" si="29"/>
        <v>Kyle</v>
      </c>
      <c r="D482" s="39" t="str">
        <f t="shared" si="30"/>
        <v>Clifford</v>
      </c>
      <c r="E482" s="39" t="str">
        <f t="shared" si="31"/>
        <v>Kyle Clifford</v>
      </c>
      <c r="F482" t="s">
        <v>1012</v>
      </c>
      <c r="G482" t="s">
        <v>93</v>
      </c>
      <c r="H482" s="292">
        <v>1600000</v>
      </c>
      <c r="I482" s="292">
        <v>1600000</v>
      </c>
      <c r="J482" s="292">
        <v>1800000</v>
      </c>
      <c r="K482" s="292">
        <v>1900000</v>
      </c>
      <c r="L482" s="292" t="s">
        <v>7</v>
      </c>
      <c r="M482" s="292">
        <v>0</v>
      </c>
      <c r="N482" s="292">
        <v>0</v>
      </c>
    </row>
    <row r="483" spans="1:14" x14ac:dyDescent="0.25">
      <c r="A483" t="s">
        <v>863</v>
      </c>
      <c r="B483" s="39">
        <f t="shared" si="28"/>
        <v>5</v>
      </c>
      <c r="C483" s="39" t="str">
        <f t="shared" si="29"/>
        <v>Kyle</v>
      </c>
      <c r="D483" s="39" t="str">
        <f t="shared" si="30"/>
        <v>Connor</v>
      </c>
      <c r="E483" s="39" t="str">
        <f t="shared" si="31"/>
        <v>Kyle Connor</v>
      </c>
      <c r="F483" t="s">
        <v>1024</v>
      </c>
      <c r="G483" t="s">
        <v>93</v>
      </c>
      <c r="H483" s="292">
        <v>1775000</v>
      </c>
      <c r="I483" s="292">
        <v>0</v>
      </c>
      <c r="J483" s="292">
        <v>925000</v>
      </c>
      <c r="K483" s="292" t="s">
        <v>8</v>
      </c>
      <c r="L483" s="292">
        <v>0</v>
      </c>
      <c r="M483" s="292">
        <v>0</v>
      </c>
      <c r="N483" s="292">
        <v>0</v>
      </c>
    </row>
    <row r="484" spans="1:14" x14ac:dyDescent="0.25">
      <c r="A484" t="s">
        <v>744</v>
      </c>
      <c r="B484" s="39">
        <f t="shared" si="28"/>
        <v>5</v>
      </c>
      <c r="C484" s="39" t="str">
        <f t="shared" si="29"/>
        <v>Kyle</v>
      </c>
      <c r="D484" s="39" t="str">
        <f t="shared" si="30"/>
        <v>Criscuolo</v>
      </c>
      <c r="E484" s="39" t="str">
        <f t="shared" si="31"/>
        <v>Kyle Criscuolo</v>
      </c>
      <c r="F484" t="s">
        <v>1039</v>
      </c>
      <c r="G484" t="s">
        <v>73</v>
      </c>
      <c r="H484" s="292">
        <v>650000</v>
      </c>
      <c r="I484" s="292">
        <v>0</v>
      </c>
      <c r="J484" s="292">
        <v>650000</v>
      </c>
      <c r="K484" s="292" t="s">
        <v>7</v>
      </c>
      <c r="L484" s="292">
        <v>0</v>
      </c>
      <c r="M484" s="292">
        <v>0</v>
      </c>
      <c r="N484" s="292">
        <v>0</v>
      </c>
    </row>
    <row r="485" spans="1:14" x14ac:dyDescent="0.25">
      <c r="A485" t="s">
        <v>1065</v>
      </c>
      <c r="B485" s="39">
        <f t="shared" si="28"/>
        <v>5</v>
      </c>
      <c r="C485" s="39" t="str">
        <f t="shared" si="29"/>
        <v>Kyle</v>
      </c>
      <c r="D485" s="39" t="str">
        <f t="shared" si="30"/>
        <v>Okposo</v>
      </c>
      <c r="E485" s="39" t="str">
        <f t="shared" si="31"/>
        <v>Kyle Okposo</v>
      </c>
      <c r="F485" t="s">
        <v>1039</v>
      </c>
      <c r="G485" t="s">
        <v>88</v>
      </c>
      <c r="H485" s="292">
        <v>6000000</v>
      </c>
      <c r="I485" s="292">
        <v>6000000</v>
      </c>
      <c r="J485" s="292">
        <v>6000000</v>
      </c>
      <c r="K485" s="292">
        <v>6000000</v>
      </c>
      <c r="L485" s="292">
        <v>6000000</v>
      </c>
      <c r="M485" s="292">
        <v>4000000</v>
      </c>
      <c r="N485" s="292">
        <v>4000000</v>
      </c>
    </row>
    <row r="486" spans="1:14" x14ac:dyDescent="0.25">
      <c r="A486" t="s">
        <v>262</v>
      </c>
      <c r="B486" s="39">
        <f t="shared" si="28"/>
        <v>5</v>
      </c>
      <c r="C486" s="39" t="str">
        <f t="shared" si="29"/>
        <v>Kyle</v>
      </c>
      <c r="D486" s="39" t="str">
        <f t="shared" si="30"/>
        <v>Palmieri</v>
      </c>
      <c r="E486" s="39" t="str">
        <f t="shared" si="31"/>
        <v>Kyle Palmieri</v>
      </c>
      <c r="F486" t="s">
        <v>1038</v>
      </c>
      <c r="G486" t="s">
        <v>88</v>
      </c>
      <c r="H486" s="292">
        <v>4650000</v>
      </c>
      <c r="I486" s="292">
        <v>4650000</v>
      </c>
      <c r="J486" s="292">
        <v>5000000</v>
      </c>
      <c r="K486" s="292">
        <v>5000000</v>
      </c>
      <c r="L486" s="292">
        <v>4250000</v>
      </c>
      <c r="M486" s="292" t="s">
        <v>7</v>
      </c>
      <c r="N486" s="292">
        <v>0</v>
      </c>
    </row>
    <row r="487" spans="1:14" x14ac:dyDescent="0.25">
      <c r="A487" t="s">
        <v>587</v>
      </c>
      <c r="B487" s="39">
        <f t="shared" si="28"/>
        <v>5</v>
      </c>
      <c r="C487" s="39" t="str">
        <f t="shared" si="29"/>
        <v>Kyle</v>
      </c>
      <c r="D487" s="39" t="str">
        <f t="shared" si="30"/>
        <v>Wood</v>
      </c>
      <c r="E487" s="39" t="str">
        <f t="shared" si="31"/>
        <v>Kyle Wood</v>
      </c>
      <c r="F487" t="s">
        <v>1032</v>
      </c>
      <c r="G487" t="s">
        <v>82</v>
      </c>
      <c r="H487" s="292">
        <v>925000</v>
      </c>
      <c r="I487" s="292">
        <v>0</v>
      </c>
      <c r="J487" s="292">
        <v>742500</v>
      </c>
      <c r="K487" s="292" t="s">
        <v>8</v>
      </c>
      <c r="L487" s="292">
        <v>0</v>
      </c>
      <c r="M487" s="292">
        <v>0</v>
      </c>
      <c r="N487" s="292">
        <v>0</v>
      </c>
    </row>
    <row r="488" spans="1:14" x14ac:dyDescent="0.25">
      <c r="A488" t="s">
        <v>608</v>
      </c>
      <c r="B488" s="39">
        <f t="shared" si="28"/>
        <v>7</v>
      </c>
      <c r="C488" s="39" t="str">
        <f t="shared" si="29"/>
        <v>Landon</v>
      </c>
      <c r="D488" s="39" t="str">
        <f t="shared" si="30"/>
        <v>Bow</v>
      </c>
      <c r="E488" s="39" t="str">
        <f t="shared" si="31"/>
        <v>Landon Bow</v>
      </c>
      <c r="F488" t="s">
        <v>1015</v>
      </c>
      <c r="G488" t="s">
        <v>127</v>
      </c>
      <c r="H488" s="292">
        <v>697500</v>
      </c>
      <c r="I488" s="292">
        <v>0</v>
      </c>
      <c r="J488" s="292">
        <v>710000</v>
      </c>
      <c r="K488" s="292" t="s">
        <v>8</v>
      </c>
      <c r="L488" s="292">
        <v>0</v>
      </c>
      <c r="M488" s="292">
        <v>0</v>
      </c>
      <c r="N488" s="292">
        <v>0</v>
      </c>
    </row>
    <row r="489" spans="1:14" x14ac:dyDescent="0.25">
      <c r="A489" t="s">
        <v>469</v>
      </c>
      <c r="B489" s="39">
        <f t="shared" si="28"/>
        <v>7</v>
      </c>
      <c r="C489" s="39" t="str">
        <f t="shared" si="29"/>
        <v>Landon</v>
      </c>
      <c r="D489" s="39" t="str">
        <f t="shared" si="30"/>
        <v>Ferraro</v>
      </c>
      <c r="E489" s="39" t="str">
        <f t="shared" si="31"/>
        <v>Landon Ferraro</v>
      </c>
      <c r="F489" t="s">
        <v>1025</v>
      </c>
      <c r="G489" t="s">
        <v>73</v>
      </c>
      <c r="H489" s="292">
        <v>700000</v>
      </c>
      <c r="I489" s="292">
        <v>0</v>
      </c>
      <c r="J489" s="292">
        <v>700000</v>
      </c>
      <c r="K489" s="292" t="s">
        <v>7</v>
      </c>
      <c r="L489" s="292">
        <v>0</v>
      </c>
      <c r="M489" s="292">
        <v>0</v>
      </c>
      <c r="N489" s="292">
        <v>0</v>
      </c>
    </row>
    <row r="490" spans="1:14" x14ac:dyDescent="0.25">
      <c r="A490" t="s">
        <v>856</v>
      </c>
      <c r="B490" s="39">
        <f t="shared" si="28"/>
        <v>5</v>
      </c>
      <c r="C490" s="39" t="str">
        <f t="shared" si="29"/>
        <v>Lane</v>
      </c>
      <c r="D490" s="39" t="str">
        <f t="shared" si="30"/>
        <v>Pederson</v>
      </c>
      <c r="E490" s="39" t="str">
        <f t="shared" si="31"/>
        <v>Lane Pederson</v>
      </c>
      <c r="F490" t="s">
        <v>1032</v>
      </c>
      <c r="G490" t="s">
        <v>73</v>
      </c>
      <c r="H490" s="292">
        <v>678333</v>
      </c>
      <c r="I490" s="292">
        <v>678333</v>
      </c>
      <c r="J490" s="292">
        <v>685000</v>
      </c>
      <c r="K490" s="292">
        <v>700000</v>
      </c>
      <c r="L490" s="292" t="s">
        <v>8</v>
      </c>
      <c r="M490" s="292">
        <v>0</v>
      </c>
      <c r="N490" s="292">
        <v>0</v>
      </c>
    </row>
    <row r="491" spans="1:14" x14ac:dyDescent="0.25">
      <c r="A491" t="s">
        <v>839</v>
      </c>
      <c r="B491" s="39">
        <f t="shared" si="28"/>
        <v>7</v>
      </c>
      <c r="C491" s="39" t="str">
        <f t="shared" si="29"/>
        <v>Lawson</v>
      </c>
      <c r="D491" s="39" t="str">
        <f t="shared" si="30"/>
        <v>Crouse</v>
      </c>
      <c r="E491" s="39" t="str">
        <f t="shared" si="31"/>
        <v>Lawson Crouse</v>
      </c>
      <c r="F491" t="s">
        <v>1032</v>
      </c>
      <c r="G491" t="s">
        <v>93</v>
      </c>
      <c r="H491" s="292">
        <v>1602500</v>
      </c>
      <c r="I491" s="292">
        <v>0</v>
      </c>
      <c r="J491" s="292">
        <v>832500</v>
      </c>
      <c r="K491" s="292" t="s">
        <v>8</v>
      </c>
      <c r="L491" s="292">
        <v>0</v>
      </c>
      <c r="M491" s="292">
        <v>0</v>
      </c>
      <c r="N491" s="292">
        <v>0</v>
      </c>
    </row>
    <row r="492" spans="1:14" x14ac:dyDescent="0.25">
      <c r="A492" t="s">
        <v>242</v>
      </c>
      <c r="B492" s="39">
        <f t="shared" si="28"/>
        <v>5</v>
      </c>
      <c r="C492" s="39" t="str">
        <f t="shared" si="29"/>
        <v>Leon</v>
      </c>
      <c r="D492" s="39" t="str">
        <f t="shared" si="30"/>
        <v>Draisaitl</v>
      </c>
      <c r="E492" s="39" t="str">
        <f t="shared" si="31"/>
        <v>Leon Draisaitl</v>
      </c>
      <c r="F492" t="s">
        <v>1020</v>
      </c>
      <c r="G492" t="s">
        <v>73</v>
      </c>
      <c r="H492" s="292">
        <v>8500000</v>
      </c>
      <c r="I492" s="292">
        <v>8500000</v>
      </c>
      <c r="J492" s="292">
        <v>9000000</v>
      </c>
      <c r="K492" s="292">
        <v>9000000</v>
      </c>
      <c r="L492" s="292">
        <v>9000000</v>
      </c>
      <c r="M492" s="292">
        <v>8000000</v>
      </c>
      <c r="N492" s="292">
        <v>8000000</v>
      </c>
    </row>
    <row r="493" spans="1:14" x14ac:dyDescent="0.25">
      <c r="A493" t="s">
        <v>143</v>
      </c>
      <c r="B493" s="39">
        <f t="shared" si="28"/>
        <v>5</v>
      </c>
      <c r="C493" s="39" t="str">
        <f t="shared" si="29"/>
        <v>Lias</v>
      </c>
      <c r="D493" s="39" t="str">
        <f t="shared" si="30"/>
        <v>Andersson</v>
      </c>
      <c r="E493" s="39" t="str">
        <f t="shared" si="31"/>
        <v>Lias Andersson</v>
      </c>
      <c r="F493" t="s">
        <v>1018</v>
      </c>
      <c r="G493" t="s">
        <v>73</v>
      </c>
      <c r="H493" s="292">
        <v>1775000</v>
      </c>
      <c r="I493" s="292">
        <v>1775000</v>
      </c>
      <c r="J493" s="292">
        <v>925000</v>
      </c>
      <c r="K493" s="292">
        <v>925000</v>
      </c>
      <c r="L493" s="292" t="s">
        <v>8</v>
      </c>
      <c r="M493" s="292">
        <v>0</v>
      </c>
      <c r="N493" s="292">
        <v>0</v>
      </c>
    </row>
    <row r="494" spans="1:14" x14ac:dyDescent="0.25">
      <c r="A494" t="s">
        <v>1133</v>
      </c>
      <c r="B494" s="39">
        <f t="shared" si="28"/>
        <v>6</v>
      </c>
      <c r="C494" s="39" t="str">
        <f t="shared" si="29"/>
        <v>Libor</v>
      </c>
      <c r="D494" s="39" t="str">
        <f t="shared" si="30"/>
        <v>Hajek</v>
      </c>
      <c r="E494" s="39" t="str">
        <f t="shared" si="31"/>
        <v>Libor Hajek</v>
      </c>
      <c r="F494" t="s">
        <v>1018</v>
      </c>
      <c r="G494" t="s">
        <v>82</v>
      </c>
      <c r="H494" s="292">
        <v>925000</v>
      </c>
      <c r="I494" s="292">
        <v>925000</v>
      </c>
      <c r="J494" s="292">
        <v>925000</v>
      </c>
      <c r="K494" s="292">
        <v>925000</v>
      </c>
      <c r="L494" s="292" t="s">
        <v>8</v>
      </c>
      <c r="M494" s="292">
        <v>0</v>
      </c>
      <c r="N494" s="292">
        <v>0</v>
      </c>
    </row>
    <row r="495" spans="1:14" x14ac:dyDescent="0.25">
      <c r="A495" t="s">
        <v>735</v>
      </c>
      <c r="B495" s="39">
        <f t="shared" si="28"/>
        <v>6</v>
      </c>
      <c r="C495" s="39" t="str">
        <f t="shared" si="29"/>
        <v>Linus</v>
      </c>
      <c r="D495" s="39" t="str">
        <f t="shared" si="30"/>
        <v>Ullmark</v>
      </c>
      <c r="E495" s="39" t="str">
        <f t="shared" si="31"/>
        <v>Linus Ullmark</v>
      </c>
      <c r="F495" t="s">
        <v>1039</v>
      </c>
      <c r="G495" t="s">
        <v>127</v>
      </c>
      <c r="H495" s="292">
        <v>750000</v>
      </c>
      <c r="I495" s="292">
        <v>0</v>
      </c>
      <c r="J495" s="292">
        <v>800000</v>
      </c>
      <c r="K495" s="292" t="s">
        <v>7</v>
      </c>
      <c r="L495" s="292">
        <v>0</v>
      </c>
      <c r="M495" s="292">
        <v>0</v>
      </c>
      <c r="N495" s="292">
        <v>0</v>
      </c>
    </row>
    <row r="496" spans="1:14" x14ac:dyDescent="0.25">
      <c r="A496" t="s">
        <v>687</v>
      </c>
      <c r="B496" s="39">
        <f t="shared" si="28"/>
        <v>6</v>
      </c>
      <c r="C496" s="39" t="str">
        <f t="shared" si="29"/>
        <v>Logan</v>
      </c>
      <c r="D496" s="39" t="str">
        <f t="shared" si="30"/>
        <v>Brown</v>
      </c>
      <c r="E496" s="39" t="str">
        <f t="shared" si="31"/>
        <v>Logan Brown</v>
      </c>
      <c r="F496" t="s">
        <v>1029</v>
      </c>
      <c r="G496" t="s">
        <v>73</v>
      </c>
      <c r="H496" s="292">
        <v>1604170</v>
      </c>
      <c r="I496" s="292">
        <v>1604170</v>
      </c>
      <c r="J496" s="292">
        <v>925000</v>
      </c>
      <c r="K496" s="292">
        <v>832500</v>
      </c>
      <c r="L496" s="292" t="s">
        <v>8</v>
      </c>
      <c r="M496" s="292">
        <v>0</v>
      </c>
      <c r="N496" s="292">
        <v>0</v>
      </c>
    </row>
    <row r="497" spans="1:14" x14ac:dyDescent="0.25">
      <c r="A497" t="s">
        <v>327</v>
      </c>
      <c r="B497" s="39">
        <f t="shared" si="28"/>
        <v>6</v>
      </c>
      <c r="C497" s="39" t="str">
        <f t="shared" si="29"/>
        <v>Logan</v>
      </c>
      <c r="D497" s="39" t="str">
        <f t="shared" si="30"/>
        <v>Couture</v>
      </c>
      <c r="E497" s="39" t="str">
        <f t="shared" si="31"/>
        <v>Logan Couture</v>
      </c>
      <c r="F497" t="s">
        <v>1022</v>
      </c>
      <c r="G497" t="s">
        <v>73</v>
      </c>
      <c r="H497" s="292">
        <v>6000000</v>
      </c>
      <c r="I497" s="292">
        <v>0</v>
      </c>
      <c r="J497" s="292">
        <v>6000000</v>
      </c>
      <c r="K497" s="292" t="s">
        <v>7</v>
      </c>
      <c r="L497" s="292">
        <v>0</v>
      </c>
      <c r="M497" s="292">
        <v>0</v>
      </c>
      <c r="N497" s="292">
        <v>0</v>
      </c>
    </row>
    <row r="498" spans="1:14" x14ac:dyDescent="0.25">
      <c r="A498" t="s">
        <v>869</v>
      </c>
      <c r="B498" s="39">
        <f t="shared" si="28"/>
        <v>6</v>
      </c>
      <c r="C498" s="39" t="str">
        <f t="shared" si="29"/>
        <v>Logan</v>
      </c>
      <c r="D498" s="39" t="str">
        <f t="shared" si="30"/>
        <v>Stanley</v>
      </c>
      <c r="E498" s="39" t="str">
        <f t="shared" si="31"/>
        <v>Logan Stanley</v>
      </c>
      <c r="F498" t="s">
        <v>1024</v>
      </c>
      <c r="G498" t="s">
        <v>82</v>
      </c>
      <c r="H498" s="292">
        <v>1106670</v>
      </c>
      <c r="I498" s="292">
        <v>1106670</v>
      </c>
      <c r="J498" s="292">
        <v>925000</v>
      </c>
      <c r="K498" s="292">
        <v>832500</v>
      </c>
      <c r="L498" s="292" t="s">
        <v>8</v>
      </c>
      <c r="M498" s="292">
        <v>0</v>
      </c>
      <c r="N498" s="292">
        <v>0</v>
      </c>
    </row>
    <row r="499" spans="1:14" x14ac:dyDescent="0.25">
      <c r="A499" t="s">
        <v>813</v>
      </c>
      <c r="B499" s="39">
        <f t="shared" si="28"/>
        <v>5</v>
      </c>
      <c r="C499" s="39" t="str">
        <f t="shared" si="29"/>
        <v>Loui</v>
      </c>
      <c r="D499" s="39" t="str">
        <f t="shared" si="30"/>
        <v>Eriksson</v>
      </c>
      <c r="E499" s="39" t="str">
        <f t="shared" si="31"/>
        <v>Loui Eriksson</v>
      </c>
      <c r="F499" t="s">
        <v>1037</v>
      </c>
      <c r="G499" t="s">
        <v>88</v>
      </c>
      <c r="H499" s="292">
        <v>6000000</v>
      </c>
      <c r="I499" s="292">
        <v>6000000</v>
      </c>
      <c r="J499" s="292">
        <v>7000000</v>
      </c>
      <c r="K499" s="292">
        <v>5000000</v>
      </c>
      <c r="L499" s="292">
        <v>4000000</v>
      </c>
      <c r="M499" s="292">
        <v>4000000</v>
      </c>
      <c r="N499" s="292" t="s">
        <v>7</v>
      </c>
    </row>
    <row r="500" spans="1:14" x14ac:dyDescent="0.25">
      <c r="A500" t="s">
        <v>623</v>
      </c>
      <c r="B500" s="39">
        <f t="shared" si="28"/>
        <v>4</v>
      </c>
      <c r="C500" s="39" t="str">
        <f t="shared" si="29"/>
        <v>Luc</v>
      </c>
      <c r="D500" s="39" t="str">
        <f t="shared" si="30"/>
        <v>Snuggerud</v>
      </c>
      <c r="E500" s="39" t="str">
        <f t="shared" si="31"/>
        <v>Luc Snuggerud</v>
      </c>
      <c r="F500" t="s">
        <v>1011</v>
      </c>
      <c r="G500" t="s">
        <v>82</v>
      </c>
      <c r="H500" s="292">
        <v>925000</v>
      </c>
      <c r="I500" s="292">
        <v>925000</v>
      </c>
      <c r="J500" s="292">
        <v>742500</v>
      </c>
      <c r="K500" s="292">
        <v>817500</v>
      </c>
      <c r="L500" s="292" t="s">
        <v>8</v>
      </c>
      <c r="M500" s="292">
        <v>0</v>
      </c>
      <c r="N500" s="292">
        <v>0</v>
      </c>
    </row>
    <row r="501" spans="1:14" x14ac:dyDescent="0.25">
      <c r="A501" t="s">
        <v>444</v>
      </c>
      <c r="B501" s="39">
        <f t="shared" si="28"/>
        <v>6</v>
      </c>
      <c r="C501" s="39" t="str">
        <f t="shared" si="29"/>
        <v>Lucas</v>
      </c>
      <c r="D501" s="39" t="str">
        <f t="shared" si="30"/>
        <v>Johansen</v>
      </c>
      <c r="E501" s="39" t="str">
        <f t="shared" si="31"/>
        <v>Lucas Johansen</v>
      </c>
      <c r="F501" t="s">
        <v>1013</v>
      </c>
      <c r="G501" t="s">
        <v>82</v>
      </c>
      <c r="H501" s="292">
        <v>925000</v>
      </c>
      <c r="I501" s="292">
        <v>925000</v>
      </c>
      <c r="J501" s="292">
        <v>925000</v>
      </c>
      <c r="K501" s="292">
        <v>925000</v>
      </c>
      <c r="L501" s="292" t="s">
        <v>8</v>
      </c>
      <c r="M501" s="292">
        <v>0</v>
      </c>
      <c r="N501" s="292">
        <v>0</v>
      </c>
    </row>
    <row r="502" spans="1:14" x14ac:dyDescent="0.25">
      <c r="A502" t="s">
        <v>636</v>
      </c>
      <c r="B502" s="39">
        <f t="shared" si="28"/>
        <v>6</v>
      </c>
      <c r="C502" s="39" t="str">
        <f t="shared" si="29"/>
        <v>Lukas</v>
      </c>
      <c r="D502" s="39" t="str">
        <f t="shared" si="30"/>
        <v>Sedlak</v>
      </c>
      <c r="E502" s="39" t="str">
        <f t="shared" si="31"/>
        <v>Lukas Sedlak</v>
      </c>
      <c r="F502" t="s">
        <v>1028</v>
      </c>
      <c r="G502" t="s">
        <v>88</v>
      </c>
      <c r="H502" s="292">
        <v>825000</v>
      </c>
      <c r="I502" s="292">
        <v>0</v>
      </c>
      <c r="J502" s="292">
        <v>850000</v>
      </c>
      <c r="K502" s="292" t="s">
        <v>8</v>
      </c>
      <c r="L502" s="292">
        <v>0</v>
      </c>
      <c r="M502" s="292">
        <v>0</v>
      </c>
      <c r="N502" s="292">
        <v>0</v>
      </c>
    </row>
    <row r="503" spans="1:14" x14ac:dyDescent="0.25">
      <c r="A503" t="s">
        <v>377</v>
      </c>
      <c r="B503" s="39">
        <f t="shared" si="28"/>
        <v>5</v>
      </c>
      <c r="C503" s="39" t="str">
        <f t="shared" si="29"/>
        <v>Luke</v>
      </c>
      <c r="D503" s="39" t="str">
        <f t="shared" si="30"/>
        <v>Glendening</v>
      </c>
      <c r="E503" s="39" t="str">
        <f t="shared" si="31"/>
        <v>Luke Glendening</v>
      </c>
      <c r="F503" t="s">
        <v>1035</v>
      </c>
      <c r="G503" t="s">
        <v>73</v>
      </c>
      <c r="H503" s="292">
        <v>1800000</v>
      </c>
      <c r="I503" s="292">
        <v>1800000</v>
      </c>
      <c r="J503" s="292">
        <v>2000000</v>
      </c>
      <c r="K503" s="292">
        <v>1700000</v>
      </c>
      <c r="L503" s="292">
        <v>1500000</v>
      </c>
      <c r="M503" s="292" t="s">
        <v>7</v>
      </c>
      <c r="N503" s="292">
        <v>0</v>
      </c>
    </row>
    <row r="504" spans="1:14" x14ac:dyDescent="0.25">
      <c r="A504" t="s">
        <v>874</v>
      </c>
      <c r="B504" s="39">
        <f t="shared" si="28"/>
        <v>5</v>
      </c>
      <c r="C504" s="39" t="str">
        <f t="shared" si="29"/>
        <v>Luke</v>
      </c>
      <c r="D504" s="39" t="str">
        <f t="shared" si="30"/>
        <v>Green</v>
      </c>
      <c r="E504" s="39" t="str">
        <f t="shared" si="31"/>
        <v>Luke Green</v>
      </c>
      <c r="F504" t="s">
        <v>1024</v>
      </c>
      <c r="G504" t="s">
        <v>82</v>
      </c>
      <c r="H504" s="292">
        <v>846667</v>
      </c>
      <c r="I504" s="292">
        <v>846667</v>
      </c>
      <c r="J504" s="292">
        <v>742500</v>
      </c>
      <c r="K504" s="292">
        <v>792500</v>
      </c>
      <c r="L504" s="292" t="s">
        <v>8</v>
      </c>
      <c r="M504" s="292">
        <v>0</v>
      </c>
      <c r="N504" s="292">
        <v>0</v>
      </c>
    </row>
    <row r="505" spans="1:14" x14ac:dyDescent="0.25">
      <c r="A505" t="s">
        <v>628</v>
      </c>
      <c r="B505" s="39">
        <f t="shared" si="28"/>
        <v>5</v>
      </c>
      <c r="C505" s="39" t="str">
        <f t="shared" si="29"/>
        <v>Luke</v>
      </c>
      <c r="D505" s="39" t="str">
        <f t="shared" si="30"/>
        <v>Johnson</v>
      </c>
      <c r="E505" s="39" t="str">
        <f t="shared" si="31"/>
        <v>Luke Johnson</v>
      </c>
      <c r="F505" t="s">
        <v>1011</v>
      </c>
      <c r="G505" t="s">
        <v>73</v>
      </c>
      <c r="H505" s="292">
        <v>925000</v>
      </c>
      <c r="I505" s="292">
        <v>0</v>
      </c>
      <c r="J505" s="292">
        <v>742500</v>
      </c>
      <c r="K505" s="292" t="s">
        <v>8</v>
      </c>
      <c r="L505" s="292">
        <v>0</v>
      </c>
      <c r="M505" s="292">
        <v>0</v>
      </c>
      <c r="N505" s="292">
        <v>0</v>
      </c>
    </row>
    <row r="506" spans="1:14" x14ac:dyDescent="0.25">
      <c r="A506" t="s">
        <v>464</v>
      </c>
      <c r="B506" s="39">
        <f t="shared" si="28"/>
        <v>5</v>
      </c>
      <c r="C506" s="39" t="str">
        <f t="shared" si="29"/>
        <v>Luke</v>
      </c>
      <c r="D506" s="39" t="str">
        <f t="shared" si="30"/>
        <v>Kunin</v>
      </c>
      <c r="E506" s="39" t="str">
        <f t="shared" si="31"/>
        <v>Luke Kunin</v>
      </c>
      <c r="F506" t="s">
        <v>1025</v>
      </c>
      <c r="G506" t="s">
        <v>73</v>
      </c>
      <c r="H506" s="292">
        <v>1425000</v>
      </c>
      <c r="I506" s="292">
        <v>1425000</v>
      </c>
      <c r="J506" s="292">
        <v>925000</v>
      </c>
      <c r="K506" s="292">
        <v>925000</v>
      </c>
      <c r="L506" s="292" t="s">
        <v>8</v>
      </c>
      <c r="M506" s="292">
        <v>0</v>
      </c>
      <c r="N506" s="292">
        <v>0</v>
      </c>
    </row>
    <row r="507" spans="1:14" x14ac:dyDescent="0.25">
      <c r="A507" t="s">
        <v>415</v>
      </c>
      <c r="B507" s="39">
        <f t="shared" si="28"/>
        <v>5</v>
      </c>
      <c r="C507" s="39" t="str">
        <f t="shared" si="29"/>
        <v>Luke</v>
      </c>
      <c r="D507" s="39" t="str">
        <f t="shared" si="30"/>
        <v>Opilka</v>
      </c>
      <c r="E507" s="39" t="str">
        <f t="shared" si="31"/>
        <v>Luke Opilka</v>
      </c>
      <c r="F507" t="s">
        <v>1026</v>
      </c>
      <c r="G507" t="s">
        <v>127</v>
      </c>
      <c r="H507" s="292">
        <v>894167</v>
      </c>
      <c r="I507" s="292">
        <v>930000</v>
      </c>
      <c r="J507" s="292">
        <v>650000</v>
      </c>
      <c r="K507" s="292">
        <v>700000</v>
      </c>
      <c r="L507" s="292" t="s">
        <v>8</v>
      </c>
      <c r="M507" s="292">
        <v>0</v>
      </c>
      <c r="N507" s="292">
        <v>0</v>
      </c>
    </row>
    <row r="508" spans="1:14" x14ac:dyDescent="0.25">
      <c r="A508" t="s">
        <v>378</v>
      </c>
      <c r="B508" s="39">
        <f t="shared" si="28"/>
        <v>5</v>
      </c>
      <c r="C508" s="39" t="str">
        <f t="shared" si="29"/>
        <v>Luke</v>
      </c>
      <c r="D508" s="39" t="str">
        <f t="shared" si="30"/>
        <v>Witkowski</v>
      </c>
      <c r="E508" s="39" t="str">
        <f t="shared" si="31"/>
        <v>Luke Witkowski</v>
      </c>
      <c r="F508" t="s">
        <v>1035</v>
      </c>
      <c r="G508" t="s">
        <v>88</v>
      </c>
      <c r="H508" s="292">
        <v>750000</v>
      </c>
      <c r="I508" s="292">
        <v>0</v>
      </c>
      <c r="J508" s="292">
        <v>800000</v>
      </c>
      <c r="K508" s="292" t="s">
        <v>7</v>
      </c>
      <c r="L508" s="292">
        <v>0</v>
      </c>
      <c r="M508" s="292">
        <v>0</v>
      </c>
      <c r="N508" s="292">
        <v>0</v>
      </c>
    </row>
    <row r="509" spans="1:14" x14ac:dyDescent="0.25">
      <c r="A509" t="s">
        <v>969</v>
      </c>
      <c r="B509" s="39">
        <f t="shared" si="28"/>
        <v>10</v>
      </c>
      <c r="C509" s="39" t="str">
        <f t="shared" si="29"/>
        <v>Mackenzie</v>
      </c>
      <c r="D509" s="39" t="str">
        <f t="shared" si="30"/>
        <v>Blackwood</v>
      </c>
      <c r="E509" s="39" t="str">
        <f t="shared" si="31"/>
        <v>Mackenzie Blackwood</v>
      </c>
      <c r="F509" t="s">
        <v>1038</v>
      </c>
      <c r="G509" t="s">
        <v>127</v>
      </c>
      <c r="H509" s="292">
        <v>894167</v>
      </c>
      <c r="I509" s="292">
        <v>0</v>
      </c>
      <c r="J509" s="292">
        <v>700000</v>
      </c>
      <c r="K509" s="292" t="s">
        <v>8</v>
      </c>
      <c r="L509" s="292">
        <v>0</v>
      </c>
      <c r="M509" s="292">
        <v>0</v>
      </c>
      <c r="N509" s="292">
        <v>0</v>
      </c>
    </row>
    <row r="510" spans="1:14" x14ac:dyDescent="0.25">
      <c r="A510" t="s">
        <v>698</v>
      </c>
      <c r="B510" s="39">
        <f t="shared" si="28"/>
        <v>6</v>
      </c>
      <c r="C510" s="39" t="str">
        <f t="shared" si="29"/>
        <v>Macoy</v>
      </c>
      <c r="D510" s="39" t="str">
        <f t="shared" si="30"/>
        <v>Erkamps</v>
      </c>
      <c r="E510" s="39" t="str">
        <f t="shared" si="31"/>
        <v>Macoy Erkamps</v>
      </c>
      <c r="F510" t="s">
        <v>1029</v>
      </c>
      <c r="G510" t="s">
        <v>82</v>
      </c>
      <c r="H510" s="292">
        <v>655000</v>
      </c>
      <c r="I510" s="292">
        <v>0</v>
      </c>
      <c r="J510" s="292">
        <v>680000</v>
      </c>
      <c r="K510" s="292" t="s">
        <v>8</v>
      </c>
      <c r="L510" s="292">
        <v>0</v>
      </c>
      <c r="M510" s="292">
        <v>0</v>
      </c>
      <c r="N510" s="292">
        <v>0</v>
      </c>
    </row>
    <row r="511" spans="1:14" x14ac:dyDescent="0.25">
      <c r="A511" t="s">
        <v>805</v>
      </c>
      <c r="B511" s="39">
        <f t="shared" si="28"/>
        <v>8</v>
      </c>
      <c r="C511" s="39" t="str">
        <f t="shared" si="29"/>
        <v>Malcolm</v>
      </c>
      <c r="D511" s="39" t="str">
        <f t="shared" si="30"/>
        <v>Subban</v>
      </c>
      <c r="E511" s="39" t="str">
        <f t="shared" si="31"/>
        <v>Malcolm Subban</v>
      </c>
      <c r="F511" t="s">
        <v>1041</v>
      </c>
      <c r="G511" t="s">
        <v>127</v>
      </c>
      <c r="H511" s="292">
        <v>650000</v>
      </c>
      <c r="I511" s="292">
        <v>0</v>
      </c>
      <c r="J511" s="292">
        <v>650000</v>
      </c>
      <c r="K511" s="292" t="s">
        <v>8</v>
      </c>
      <c r="L511" s="292">
        <v>0</v>
      </c>
      <c r="M511" s="292">
        <v>0</v>
      </c>
      <c r="N511" s="292">
        <v>0</v>
      </c>
    </row>
    <row r="512" spans="1:14" x14ac:dyDescent="0.25">
      <c r="A512" t="s">
        <v>586</v>
      </c>
      <c r="B512" s="39">
        <f t="shared" si="28"/>
        <v>7</v>
      </c>
      <c r="C512" s="39" t="str">
        <f t="shared" si="29"/>
        <v>Manuel</v>
      </c>
      <c r="D512" s="39" t="str">
        <f t="shared" si="30"/>
        <v>Wiederer</v>
      </c>
      <c r="E512" s="39" t="str">
        <f t="shared" si="31"/>
        <v>Manuel Wiederer</v>
      </c>
      <c r="F512" t="s">
        <v>1022</v>
      </c>
      <c r="G512" t="s">
        <v>73</v>
      </c>
      <c r="H512" s="292">
        <v>736667</v>
      </c>
      <c r="I512" s="292">
        <v>736667</v>
      </c>
      <c r="J512" s="292">
        <v>720000</v>
      </c>
      <c r="K512" s="292">
        <v>770000</v>
      </c>
      <c r="L512" s="292" t="s">
        <v>8</v>
      </c>
      <c r="M512" s="292">
        <v>0</v>
      </c>
      <c r="N512" s="292">
        <v>0</v>
      </c>
    </row>
    <row r="513" spans="1:14" x14ac:dyDescent="0.25">
      <c r="A513" t="s">
        <v>597</v>
      </c>
      <c r="B513" s="39">
        <f t="shared" si="28"/>
        <v>5</v>
      </c>
      <c r="C513" s="39" t="str">
        <f t="shared" si="29"/>
        <v>Marc</v>
      </c>
      <c r="D513" s="39" t="str">
        <f t="shared" si="30"/>
        <v>Methot</v>
      </c>
      <c r="E513" s="39" t="str">
        <f t="shared" si="31"/>
        <v>Marc Methot</v>
      </c>
      <c r="F513" t="s">
        <v>1015</v>
      </c>
      <c r="G513" t="s">
        <v>380</v>
      </c>
      <c r="H513" s="292">
        <v>4900000</v>
      </c>
      <c r="I513" s="292">
        <v>0</v>
      </c>
      <c r="J513" s="292">
        <v>4900000</v>
      </c>
      <c r="K513" s="292" t="s">
        <v>7</v>
      </c>
      <c r="L513" s="292">
        <v>0</v>
      </c>
      <c r="M513" s="292">
        <v>0</v>
      </c>
      <c r="N513" s="292">
        <v>0</v>
      </c>
    </row>
    <row r="514" spans="1:14" x14ac:dyDescent="0.25">
      <c r="A514" t="s">
        <v>1072</v>
      </c>
      <c r="B514" s="39">
        <f t="shared" si="28"/>
        <v>5</v>
      </c>
      <c r="C514" s="39" t="str">
        <f t="shared" si="29"/>
        <v>Marc</v>
      </c>
      <c r="D514" s="39" t="str">
        <f t="shared" si="30"/>
        <v>Staal</v>
      </c>
      <c r="E514" s="39" t="str">
        <f t="shared" si="31"/>
        <v>Marc Staal</v>
      </c>
      <c r="F514" t="s">
        <v>1018</v>
      </c>
      <c r="G514" t="s">
        <v>380</v>
      </c>
      <c r="H514" s="292">
        <v>5700000</v>
      </c>
      <c r="I514" s="292">
        <v>5700000</v>
      </c>
      <c r="J514" s="292">
        <v>6000000</v>
      </c>
      <c r="K514" s="292">
        <v>5000000</v>
      </c>
      <c r="L514" s="292">
        <v>4200000</v>
      </c>
      <c r="M514" s="292" t="s">
        <v>7</v>
      </c>
      <c r="N514" s="292">
        <v>0</v>
      </c>
    </row>
    <row r="515" spans="1:14" x14ac:dyDescent="0.25">
      <c r="A515" t="s">
        <v>1069</v>
      </c>
      <c r="B515" s="39">
        <f t="shared" ref="B515:B578" si="32">SEARCH(" ",A515,1)</f>
        <v>11</v>
      </c>
      <c r="C515" s="39" t="str">
        <f t="shared" ref="C515:C578" si="33">LEFT(A515,B515-1)</f>
        <v>Marc-Andre</v>
      </c>
      <c r="D515" s="39" t="str">
        <f t="shared" ref="D515:D578" si="34">MID(A515,B515+1,LEN(A515)-B515)</f>
        <v>Fleury</v>
      </c>
      <c r="E515" s="39" t="str">
        <f t="shared" ref="E515:E578" si="35">C515&amp;" "&amp;D515</f>
        <v>Marc-Andre Fleury</v>
      </c>
      <c r="F515" t="s">
        <v>1041</v>
      </c>
      <c r="G515" t="s">
        <v>127</v>
      </c>
      <c r="H515" s="292">
        <v>5750000</v>
      </c>
      <c r="I515" s="292">
        <v>0</v>
      </c>
      <c r="J515" s="292">
        <v>5750000</v>
      </c>
      <c r="K515" s="292" t="s">
        <v>7</v>
      </c>
      <c r="L515" s="292">
        <v>0</v>
      </c>
      <c r="M515" s="292">
        <v>0</v>
      </c>
      <c r="N515" s="292">
        <v>0</v>
      </c>
    </row>
    <row r="516" spans="1:14" x14ac:dyDescent="0.25">
      <c r="A516" t="s">
        <v>731</v>
      </c>
      <c r="B516" s="39">
        <f t="shared" si="32"/>
        <v>6</v>
      </c>
      <c r="C516" s="39" t="str">
        <f t="shared" si="33"/>
        <v>Marco</v>
      </c>
      <c r="D516" s="39" t="str">
        <f t="shared" si="34"/>
        <v>Scandella</v>
      </c>
      <c r="E516" s="39" t="str">
        <f t="shared" si="35"/>
        <v>Marco Scandella</v>
      </c>
      <c r="F516" t="s">
        <v>1039</v>
      </c>
      <c r="G516" t="s">
        <v>380</v>
      </c>
      <c r="H516" s="292">
        <v>4000000</v>
      </c>
      <c r="I516" s="292">
        <v>4000000</v>
      </c>
      <c r="J516" s="292">
        <v>4500000</v>
      </c>
      <c r="K516" s="292">
        <v>4750000</v>
      </c>
      <c r="L516" s="292" t="s">
        <v>7</v>
      </c>
      <c r="M516" s="292">
        <v>0</v>
      </c>
      <c r="N516" s="292">
        <v>0</v>
      </c>
    </row>
    <row r="517" spans="1:14" x14ac:dyDescent="0.25">
      <c r="A517" t="s">
        <v>455</v>
      </c>
      <c r="B517" s="39">
        <f t="shared" si="32"/>
        <v>7</v>
      </c>
      <c r="C517" s="39" t="str">
        <f t="shared" si="33"/>
        <v>Marcus</v>
      </c>
      <c r="D517" s="39" t="str">
        <f t="shared" si="34"/>
        <v>Foligno</v>
      </c>
      <c r="E517" s="39" t="str">
        <f t="shared" si="35"/>
        <v>Marcus Foligno</v>
      </c>
      <c r="F517" t="s">
        <v>1025</v>
      </c>
      <c r="G517" t="s">
        <v>93</v>
      </c>
      <c r="H517" s="292">
        <v>2875000</v>
      </c>
      <c r="I517" s="292">
        <v>2875000</v>
      </c>
      <c r="J517" s="292">
        <v>3000000</v>
      </c>
      <c r="K517" s="292">
        <v>3500000</v>
      </c>
      <c r="L517" s="292">
        <v>3000000</v>
      </c>
      <c r="M517" s="292" t="s">
        <v>7</v>
      </c>
      <c r="N517" s="292">
        <v>0</v>
      </c>
    </row>
    <row r="518" spans="1:14" x14ac:dyDescent="0.25">
      <c r="A518" t="s">
        <v>1141</v>
      </c>
      <c r="B518" s="39">
        <f t="shared" si="32"/>
        <v>7</v>
      </c>
      <c r="C518" s="39" t="str">
        <f t="shared" si="33"/>
        <v>Marcus</v>
      </c>
      <c r="D518" s="39" t="str">
        <f t="shared" si="34"/>
        <v>Hogberg</v>
      </c>
      <c r="E518" s="39" t="str">
        <f t="shared" si="35"/>
        <v>Marcus Hogberg</v>
      </c>
      <c r="F518" t="s">
        <v>1029</v>
      </c>
      <c r="G518" t="s">
        <v>127</v>
      </c>
      <c r="H518" s="292">
        <v>850000</v>
      </c>
      <c r="I518" s="292">
        <v>0</v>
      </c>
      <c r="J518" s="292">
        <v>835000</v>
      </c>
      <c r="K518" s="292" t="s">
        <v>8</v>
      </c>
      <c r="L518" s="292">
        <v>0</v>
      </c>
      <c r="M518" s="292">
        <v>0</v>
      </c>
      <c r="N518" s="292">
        <v>0</v>
      </c>
    </row>
    <row r="519" spans="1:14" x14ac:dyDescent="0.25">
      <c r="A519" t="s">
        <v>950</v>
      </c>
      <c r="B519" s="39">
        <f t="shared" si="32"/>
        <v>7</v>
      </c>
      <c r="C519" s="39" t="str">
        <f t="shared" si="33"/>
        <v>Marcus</v>
      </c>
      <c r="D519" s="39" t="str">
        <f t="shared" si="34"/>
        <v>Johansson</v>
      </c>
      <c r="E519" s="39" t="str">
        <f t="shared" si="35"/>
        <v>Marcus Johansson</v>
      </c>
      <c r="F519" t="s">
        <v>1038</v>
      </c>
      <c r="G519" t="s">
        <v>73</v>
      </c>
      <c r="H519" s="292">
        <v>4583333</v>
      </c>
      <c r="I519" s="292">
        <v>0</v>
      </c>
      <c r="J519" s="292">
        <v>4750000</v>
      </c>
      <c r="K519" s="292" t="s">
        <v>7</v>
      </c>
      <c r="L519" s="292">
        <v>0</v>
      </c>
      <c r="M519" s="292">
        <v>0</v>
      </c>
      <c r="N519" s="292">
        <v>0</v>
      </c>
    </row>
    <row r="520" spans="1:14" x14ac:dyDescent="0.25">
      <c r="A520" t="s">
        <v>1106</v>
      </c>
      <c r="B520" s="39">
        <f t="shared" si="32"/>
        <v>7</v>
      </c>
      <c r="C520" s="39" t="str">
        <f t="shared" si="33"/>
        <v>Marcus</v>
      </c>
      <c r="D520" s="39" t="str">
        <f t="shared" si="34"/>
        <v>Kruger</v>
      </c>
      <c r="E520" s="39" t="str">
        <f t="shared" si="35"/>
        <v>Marcus Kruger</v>
      </c>
      <c r="F520" t="s">
        <v>1011</v>
      </c>
      <c r="G520" t="s">
        <v>73</v>
      </c>
      <c r="H520" s="292">
        <v>3083330</v>
      </c>
      <c r="I520" s="292">
        <v>0</v>
      </c>
      <c r="J520" s="292">
        <v>2300000</v>
      </c>
      <c r="K520" s="292" t="s">
        <v>7</v>
      </c>
      <c r="L520" s="292">
        <v>0</v>
      </c>
      <c r="M520" s="292">
        <v>0</v>
      </c>
      <c r="N520" s="292">
        <v>0</v>
      </c>
    </row>
    <row r="521" spans="1:14" x14ac:dyDescent="0.25">
      <c r="A521" t="s">
        <v>714</v>
      </c>
      <c r="B521" s="39">
        <f t="shared" si="32"/>
        <v>7</v>
      </c>
      <c r="C521" s="39" t="str">
        <f t="shared" si="33"/>
        <v>Marcus</v>
      </c>
      <c r="D521" s="39" t="str">
        <f t="shared" si="34"/>
        <v>Pettersson</v>
      </c>
      <c r="E521" s="39" t="str">
        <f t="shared" si="35"/>
        <v>Marcus Pettersson</v>
      </c>
      <c r="F521" t="s">
        <v>1017</v>
      </c>
      <c r="G521" t="s">
        <v>380</v>
      </c>
      <c r="H521" s="292">
        <v>894167</v>
      </c>
      <c r="I521" s="292">
        <v>0</v>
      </c>
      <c r="J521" s="292">
        <v>832500</v>
      </c>
      <c r="K521" s="292" t="s">
        <v>8</v>
      </c>
      <c r="L521" s="292">
        <v>0</v>
      </c>
      <c r="M521" s="292">
        <v>0</v>
      </c>
      <c r="N521" s="292">
        <v>0</v>
      </c>
    </row>
    <row r="522" spans="1:14" x14ac:dyDescent="0.25">
      <c r="A522" t="s">
        <v>1148</v>
      </c>
      <c r="B522" s="39">
        <f t="shared" si="32"/>
        <v>7</v>
      </c>
      <c r="C522" s="39" t="str">
        <f t="shared" si="33"/>
        <v>Marcus</v>
      </c>
      <c r="D522" s="39" t="str">
        <f t="shared" si="34"/>
        <v>Sorensen</v>
      </c>
      <c r="E522" s="39" t="str">
        <f t="shared" si="35"/>
        <v>Marcus Sorensen</v>
      </c>
      <c r="F522" t="s">
        <v>1022</v>
      </c>
      <c r="G522" t="s">
        <v>93</v>
      </c>
      <c r="H522" s="292">
        <v>700000</v>
      </c>
      <c r="I522" s="292">
        <v>0</v>
      </c>
      <c r="J522" s="292">
        <v>700000</v>
      </c>
      <c r="K522" s="292" t="s">
        <v>8</v>
      </c>
      <c r="L522" s="292">
        <v>0</v>
      </c>
      <c r="M522" s="292">
        <v>0</v>
      </c>
      <c r="N522" s="292">
        <v>0</v>
      </c>
    </row>
    <row r="523" spans="1:14" x14ac:dyDescent="0.25">
      <c r="A523" t="s">
        <v>1086</v>
      </c>
      <c r="B523" s="39">
        <f t="shared" si="32"/>
        <v>7</v>
      </c>
      <c r="C523" s="39" t="str">
        <f t="shared" si="33"/>
        <v>Marian</v>
      </c>
      <c r="D523" s="39" t="str">
        <f t="shared" si="34"/>
        <v>Gaborik</v>
      </c>
      <c r="E523" s="39" t="str">
        <f t="shared" si="35"/>
        <v>Marian Gaborik</v>
      </c>
      <c r="F523" t="s">
        <v>1029</v>
      </c>
      <c r="G523" t="s">
        <v>88</v>
      </c>
      <c r="H523" s="292">
        <v>4875000</v>
      </c>
      <c r="I523" s="292">
        <v>4875000</v>
      </c>
      <c r="J523" s="292">
        <v>4575000</v>
      </c>
      <c r="K523" s="292">
        <v>3175000</v>
      </c>
      <c r="L523" s="292">
        <v>3075000</v>
      </c>
      <c r="M523" s="292" t="s">
        <v>7</v>
      </c>
      <c r="N523" s="292">
        <v>0</v>
      </c>
    </row>
    <row r="524" spans="1:14" x14ac:dyDescent="0.25">
      <c r="A524" t="s">
        <v>1079</v>
      </c>
      <c r="B524" s="39">
        <f t="shared" si="32"/>
        <v>7</v>
      </c>
      <c r="C524" s="39" t="str">
        <f t="shared" si="33"/>
        <v>Marian</v>
      </c>
      <c r="D524" s="39" t="str">
        <f t="shared" si="34"/>
        <v>Hossa</v>
      </c>
      <c r="E524" s="39" t="str">
        <f t="shared" si="35"/>
        <v>Marian Hossa</v>
      </c>
      <c r="F524" t="s">
        <v>1032</v>
      </c>
      <c r="G524" t="s">
        <v>88</v>
      </c>
      <c r="H524" s="292">
        <v>5233330</v>
      </c>
      <c r="I524" s="292">
        <v>5233330</v>
      </c>
      <c r="J524" s="292">
        <v>1000000</v>
      </c>
      <c r="K524" s="292">
        <v>750000</v>
      </c>
      <c r="L524" s="292">
        <v>750000</v>
      </c>
      <c r="M524" s="292" t="s">
        <v>7</v>
      </c>
      <c r="N524" s="292">
        <v>0</v>
      </c>
    </row>
    <row r="525" spans="1:14" x14ac:dyDescent="0.25">
      <c r="A525" t="s">
        <v>891</v>
      </c>
      <c r="B525" s="39">
        <f t="shared" si="32"/>
        <v>5</v>
      </c>
      <c r="C525" s="39" t="str">
        <f t="shared" si="33"/>
        <v>Mark</v>
      </c>
      <c r="D525" s="39" t="str">
        <f t="shared" si="34"/>
        <v>Friedman</v>
      </c>
      <c r="E525" s="39" t="str">
        <f t="shared" si="35"/>
        <v>Mark Friedman</v>
      </c>
      <c r="F525" t="s">
        <v>1021</v>
      </c>
      <c r="G525" t="s">
        <v>82</v>
      </c>
      <c r="H525" s="292">
        <v>825000</v>
      </c>
      <c r="I525" s="292">
        <v>825000</v>
      </c>
      <c r="J525" s="292">
        <v>732500</v>
      </c>
      <c r="K525" s="292">
        <v>782500</v>
      </c>
      <c r="L525" s="292" t="s">
        <v>8</v>
      </c>
      <c r="M525" s="292">
        <v>0</v>
      </c>
      <c r="N525" s="292">
        <v>0</v>
      </c>
    </row>
    <row r="526" spans="1:14" x14ac:dyDescent="0.25">
      <c r="A526" t="s">
        <v>1059</v>
      </c>
      <c r="B526" s="39">
        <f t="shared" si="32"/>
        <v>5</v>
      </c>
      <c r="C526" s="39" t="str">
        <f t="shared" si="33"/>
        <v>Mark</v>
      </c>
      <c r="D526" s="39" t="str">
        <f t="shared" si="34"/>
        <v>Giordano</v>
      </c>
      <c r="E526" s="39" t="str">
        <f t="shared" si="35"/>
        <v>Mark Giordano</v>
      </c>
      <c r="F526" t="s">
        <v>1031</v>
      </c>
      <c r="G526" t="s">
        <v>380</v>
      </c>
      <c r="H526" s="292">
        <v>6750000</v>
      </c>
      <c r="I526" s="292">
        <v>6750000</v>
      </c>
      <c r="J526" s="292">
        <v>6750000</v>
      </c>
      <c r="K526" s="292">
        <v>6750000</v>
      </c>
      <c r="L526" s="292">
        <v>6750000</v>
      </c>
      <c r="M526" s="292">
        <v>6750000</v>
      </c>
      <c r="N526" s="292" t="s">
        <v>7</v>
      </c>
    </row>
    <row r="527" spans="1:14" x14ac:dyDescent="0.25">
      <c r="A527" t="s">
        <v>479</v>
      </c>
      <c r="B527" s="39">
        <f t="shared" si="32"/>
        <v>5</v>
      </c>
      <c r="C527" s="39" t="str">
        <f t="shared" si="33"/>
        <v>Mark</v>
      </c>
      <c r="D527" s="39" t="str">
        <f t="shared" si="34"/>
        <v>Pysyk</v>
      </c>
      <c r="E527" s="39" t="str">
        <f t="shared" si="35"/>
        <v>Mark Pysyk</v>
      </c>
      <c r="F527" t="s">
        <v>1027</v>
      </c>
      <c r="G527" t="s">
        <v>379</v>
      </c>
      <c r="H527" s="292">
        <v>2733330</v>
      </c>
      <c r="I527" s="292">
        <v>2733330</v>
      </c>
      <c r="J527" s="292">
        <v>2750000</v>
      </c>
      <c r="K527" s="292">
        <v>3500000</v>
      </c>
      <c r="L527" s="292" t="s">
        <v>7</v>
      </c>
      <c r="M527" s="292">
        <v>0</v>
      </c>
      <c r="N527" s="292">
        <v>0</v>
      </c>
    </row>
    <row r="528" spans="1:14" x14ac:dyDescent="0.25">
      <c r="A528" t="s">
        <v>302</v>
      </c>
      <c r="B528" s="39">
        <f t="shared" si="32"/>
        <v>5</v>
      </c>
      <c r="C528" s="39" t="str">
        <f t="shared" si="33"/>
        <v>Mark</v>
      </c>
      <c r="D528" s="39" t="str">
        <f t="shared" si="34"/>
        <v>Scheifele</v>
      </c>
      <c r="E528" s="39" t="str">
        <f t="shared" si="35"/>
        <v>Mark Scheifele</v>
      </c>
      <c r="F528" t="s">
        <v>1024</v>
      </c>
      <c r="G528" t="s">
        <v>73</v>
      </c>
      <c r="H528" s="292">
        <v>6125000</v>
      </c>
      <c r="I528" s="292">
        <v>6125000</v>
      </c>
      <c r="J528" s="292">
        <v>6750000</v>
      </c>
      <c r="K528" s="292">
        <v>6750000</v>
      </c>
      <c r="L528" s="292">
        <v>5500000</v>
      </c>
      <c r="M528" s="292">
        <v>6750000</v>
      </c>
      <c r="N528" s="292">
        <v>5500000</v>
      </c>
    </row>
    <row r="529" spans="1:14" x14ac:dyDescent="0.25">
      <c r="A529" t="s">
        <v>1147</v>
      </c>
      <c r="B529" s="39">
        <f t="shared" si="32"/>
        <v>7</v>
      </c>
      <c r="C529" s="39" t="str">
        <f t="shared" si="33"/>
        <v>Markus</v>
      </c>
      <c r="D529" s="39" t="str">
        <f t="shared" si="34"/>
        <v>Hannikainen</v>
      </c>
      <c r="E529" s="39" t="str">
        <f t="shared" si="35"/>
        <v>Markus Hannikainen</v>
      </c>
      <c r="F529" t="s">
        <v>1028</v>
      </c>
      <c r="G529" t="s">
        <v>93</v>
      </c>
      <c r="H529" s="292">
        <v>700000</v>
      </c>
      <c r="I529" s="292">
        <v>0</v>
      </c>
      <c r="J529" s="292">
        <v>750000</v>
      </c>
      <c r="K529" s="292" t="s">
        <v>8</v>
      </c>
      <c r="L529" s="292">
        <v>0</v>
      </c>
      <c r="M529" s="292">
        <v>0</v>
      </c>
      <c r="N529" s="292">
        <v>0</v>
      </c>
    </row>
    <row r="530" spans="1:14" x14ac:dyDescent="0.25">
      <c r="A530" t="s">
        <v>593</v>
      </c>
      <c r="B530" s="39">
        <f t="shared" si="32"/>
        <v>7</v>
      </c>
      <c r="C530" s="39" t="str">
        <f t="shared" si="33"/>
        <v>Martin</v>
      </c>
      <c r="D530" s="39" t="str">
        <f t="shared" si="34"/>
        <v>Hanzal</v>
      </c>
      <c r="E530" s="39" t="str">
        <f t="shared" si="35"/>
        <v>Martin Hanzal</v>
      </c>
      <c r="F530" t="s">
        <v>1015</v>
      </c>
      <c r="G530" t="s">
        <v>73</v>
      </c>
      <c r="H530" s="292">
        <v>4750000</v>
      </c>
      <c r="I530" s="292">
        <v>4750000</v>
      </c>
      <c r="J530" s="292">
        <v>5000000</v>
      </c>
      <c r="K530" s="292">
        <v>4000000</v>
      </c>
      <c r="L530" s="292" t="s">
        <v>7</v>
      </c>
      <c r="M530" s="292">
        <v>0</v>
      </c>
      <c r="N530" s="292">
        <v>0</v>
      </c>
    </row>
    <row r="531" spans="1:14" x14ac:dyDescent="0.25">
      <c r="A531" t="s">
        <v>875</v>
      </c>
      <c r="B531" s="39">
        <f t="shared" si="32"/>
        <v>6</v>
      </c>
      <c r="C531" s="39" t="str">
        <f t="shared" si="33"/>
        <v>Mason</v>
      </c>
      <c r="D531" s="39" t="str">
        <f t="shared" si="34"/>
        <v>Appleton</v>
      </c>
      <c r="E531" s="39" t="str">
        <f t="shared" si="35"/>
        <v>Mason Appleton</v>
      </c>
      <c r="F531" t="s">
        <v>1024</v>
      </c>
      <c r="G531" t="s">
        <v>73</v>
      </c>
      <c r="H531" s="292">
        <v>758333</v>
      </c>
      <c r="I531" s="292">
        <v>758333</v>
      </c>
      <c r="J531" s="292">
        <v>725000</v>
      </c>
      <c r="K531" s="292">
        <v>775000</v>
      </c>
      <c r="L531" s="292" t="s">
        <v>8</v>
      </c>
      <c r="M531" s="292">
        <v>0</v>
      </c>
      <c r="N531" s="292">
        <v>0</v>
      </c>
    </row>
    <row r="532" spans="1:14" x14ac:dyDescent="0.25">
      <c r="A532" t="s">
        <v>757</v>
      </c>
      <c r="B532" s="39">
        <f t="shared" si="32"/>
        <v>6</v>
      </c>
      <c r="C532" s="39" t="str">
        <f t="shared" si="33"/>
        <v>Mason</v>
      </c>
      <c r="D532" s="39" t="str">
        <f t="shared" si="34"/>
        <v>McDonald</v>
      </c>
      <c r="E532" s="39" t="str">
        <f t="shared" si="35"/>
        <v>Mason McDonald</v>
      </c>
      <c r="F532" t="s">
        <v>1031</v>
      </c>
      <c r="G532" t="s">
        <v>127</v>
      </c>
      <c r="H532" s="292">
        <v>894167</v>
      </c>
      <c r="I532" s="292">
        <v>0</v>
      </c>
      <c r="J532" s="292">
        <v>832500</v>
      </c>
      <c r="K532" s="292" t="s">
        <v>8</v>
      </c>
      <c r="L532" s="292">
        <v>0</v>
      </c>
      <c r="M532" s="292">
        <v>0</v>
      </c>
      <c r="N532" s="292">
        <v>0</v>
      </c>
    </row>
    <row r="533" spans="1:14" x14ac:dyDescent="0.25">
      <c r="A533" t="s">
        <v>445</v>
      </c>
      <c r="B533" s="39">
        <f t="shared" si="32"/>
        <v>6</v>
      </c>
      <c r="C533" s="39" t="str">
        <f t="shared" si="33"/>
        <v>Mason</v>
      </c>
      <c r="D533" s="39" t="str">
        <f t="shared" si="34"/>
        <v>Mitchell</v>
      </c>
      <c r="E533" s="39" t="str">
        <f t="shared" si="35"/>
        <v>Mason Mitchell</v>
      </c>
      <c r="F533" t="s">
        <v>1013</v>
      </c>
      <c r="G533" t="s">
        <v>73</v>
      </c>
      <c r="H533" s="292">
        <v>925000</v>
      </c>
      <c r="I533" s="292">
        <v>0</v>
      </c>
      <c r="J533" s="292">
        <v>925000</v>
      </c>
      <c r="K533" s="292" t="s">
        <v>8</v>
      </c>
      <c r="L533" s="292">
        <v>0</v>
      </c>
      <c r="M533" s="292">
        <v>0</v>
      </c>
      <c r="N533" s="292">
        <v>0</v>
      </c>
    </row>
    <row r="534" spans="1:14" x14ac:dyDescent="0.25">
      <c r="A534" t="s">
        <v>625</v>
      </c>
      <c r="B534" s="39">
        <f t="shared" si="32"/>
        <v>9</v>
      </c>
      <c r="C534" s="39" t="str">
        <f t="shared" si="33"/>
        <v>Matheson</v>
      </c>
      <c r="D534" s="39" t="str">
        <f t="shared" si="34"/>
        <v>Iacopelli</v>
      </c>
      <c r="E534" s="39" t="str">
        <f t="shared" si="35"/>
        <v>Matheson Iacopelli</v>
      </c>
      <c r="F534" t="s">
        <v>1011</v>
      </c>
      <c r="G534" t="s">
        <v>88</v>
      </c>
      <c r="H534" s="292">
        <v>925000</v>
      </c>
      <c r="I534" s="292">
        <v>0</v>
      </c>
      <c r="J534" s="292">
        <v>742500</v>
      </c>
      <c r="K534" s="292" t="s">
        <v>8</v>
      </c>
      <c r="L534" s="292">
        <v>0</v>
      </c>
      <c r="M534" s="292">
        <v>0</v>
      </c>
      <c r="N534" s="292">
        <v>0</v>
      </c>
    </row>
    <row r="535" spans="1:14" x14ac:dyDescent="0.25">
      <c r="A535" t="s">
        <v>529</v>
      </c>
      <c r="B535" s="39">
        <f t="shared" si="32"/>
        <v>8</v>
      </c>
      <c r="C535" s="39" t="str">
        <f t="shared" si="33"/>
        <v>Mathieu</v>
      </c>
      <c r="D535" s="39" t="str">
        <f t="shared" si="34"/>
        <v>Joseph</v>
      </c>
      <c r="E535" s="39" t="str">
        <f t="shared" si="35"/>
        <v>Mathieu Joseph</v>
      </c>
      <c r="F535" t="s">
        <v>1019</v>
      </c>
      <c r="G535" t="s">
        <v>88</v>
      </c>
      <c r="H535" s="292">
        <v>925000</v>
      </c>
      <c r="I535" s="292">
        <v>0</v>
      </c>
      <c r="J535" s="292">
        <v>742500</v>
      </c>
      <c r="K535" s="292" t="s">
        <v>8</v>
      </c>
      <c r="L535" s="292">
        <v>0</v>
      </c>
      <c r="M535" s="292">
        <v>0</v>
      </c>
      <c r="N535" s="292">
        <v>0</v>
      </c>
    </row>
    <row r="536" spans="1:14" x14ac:dyDescent="0.25">
      <c r="A536" t="s">
        <v>861</v>
      </c>
      <c r="B536" s="39">
        <f t="shared" si="32"/>
        <v>8</v>
      </c>
      <c r="C536" s="39" t="str">
        <f t="shared" si="33"/>
        <v>Mathieu</v>
      </c>
      <c r="D536" s="39" t="str">
        <f t="shared" si="34"/>
        <v>Perreault</v>
      </c>
      <c r="E536" s="39" t="str">
        <f t="shared" si="35"/>
        <v>Mathieu Perreault</v>
      </c>
      <c r="F536" t="s">
        <v>1024</v>
      </c>
      <c r="G536" t="s">
        <v>73</v>
      </c>
      <c r="H536" s="292">
        <v>4125000</v>
      </c>
      <c r="I536" s="292">
        <v>4125000</v>
      </c>
      <c r="J536" s="292">
        <v>4000000</v>
      </c>
      <c r="K536" s="292">
        <v>4000000</v>
      </c>
      <c r="L536" s="292">
        <v>4000000</v>
      </c>
      <c r="M536" s="292" t="s">
        <v>7</v>
      </c>
      <c r="N536" s="292">
        <v>0</v>
      </c>
    </row>
    <row r="537" spans="1:14" x14ac:dyDescent="0.25">
      <c r="A537" t="s">
        <v>1120</v>
      </c>
      <c r="B537" s="39">
        <f t="shared" si="32"/>
        <v>7</v>
      </c>
      <c r="C537" s="39" t="str">
        <f t="shared" si="33"/>
        <v>Matiss</v>
      </c>
      <c r="D537" s="39" t="str">
        <f t="shared" si="34"/>
        <v>Kivelnieks</v>
      </c>
      <c r="E537" s="39" t="str">
        <f t="shared" si="35"/>
        <v>Matiss Kivelnieks</v>
      </c>
      <c r="F537" t="s">
        <v>1028</v>
      </c>
      <c r="G537" t="s">
        <v>127</v>
      </c>
      <c r="H537" s="292">
        <v>1066670</v>
      </c>
      <c r="I537" s="292">
        <v>1066670</v>
      </c>
      <c r="J537" s="292">
        <v>925000</v>
      </c>
      <c r="K537" s="292">
        <v>925000</v>
      </c>
      <c r="L537" s="292" t="s">
        <v>8</v>
      </c>
      <c r="M537" s="292">
        <v>0</v>
      </c>
      <c r="N537" s="292">
        <v>0</v>
      </c>
    </row>
    <row r="538" spans="1:14" x14ac:dyDescent="0.25">
      <c r="A538" t="s">
        <v>288</v>
      </c>
      <c r="B538" s="39">
        <f t="shared" si="32"/>
        <v>5</v>
      </c>
      <c r="C538" s="39" t="str">
        <f t="shared" si="33"/>
        <v>Mats</v>
      </c>
      <c r="D538" s="39" t="str">
        <f t="shared" si="34"/>
        <v>Zuccarello</v>
      </c>
      <c r="E538" s="39" t="str">
        <f t="shared" si="35"/>
        <v>Mats Zuccarello</v>
      </c>
      <c r="F538" t="s">
        <v>1018</v>
      </c>
      <c r="G538" t="s">
        <v>88</v>
      </c>
      <c r="H538" s="292">
        <v>4500000</v>
      </c>
      <c r="I538" s="292">
        <v>0</v>
      </c>
      <c r="J538" s="292">
        <v>4500000</v>
      </c>
      <c r="K538" s="292" t="s">
        <v>7</v>
      </c>
      <c r="L538" s="292">
        <v>0</v>
      </c>
      <c r="M538" s="292">
        <v>0</v>
      </c>
      <c r="N538" s="292">
        <v>0</v>
      </c>
    </row>
    <row r="539" spans="1:14" x14ac:dyDescent="0.25">
      <c r="A539" t="s">
        <v>657</v>
      </c>
      <c r="B539" s="39">
        <f t="shared" si="32"/>
        <v>5</v>
      </c>
      <c r="C539" s="39" t="str">
        <f t="shared" si="33"/>
        <v>Matt</v>
      </c>
      <c r="D539" s="39" t="str">
        <f t="shared" si="34"/>
        <v>Beleskey</v>
      </c>
      <c r="E539" s="39" t="str">
        <f t="shared" si="35"/>
        <v>Matt Beleskey</v>
      </c>
      <c r="F539" t="s">
        <v>1018</v>
      </c>
      <c r="G539" t="s">
        <v>93</v>
      </c>
      <c r="H539" s="292">
        <v>3800000</v>
      </c>
      <c r="I539" s="292">
        <v>3800000</v>
      </c>
      <c r="J539" s="292">
        <v>4000000</v>
      </c>
      <c r="K539" s="292">
        <v>3000000</v>
      </c>
      <c r="L539" s="292" t="s">
        <v>7</v>
      </c>
      <c r="M539" s="292">
        <v>0</v>
      </c>
      <c r="N539" s="292">
        <v>0</v>
      </c>
    </row>
    <row r="540" spans="1:14" x14ac:dyDescent="0.25">
      <c r="A540" t="s">
        <v>207</v>
      </c>
      <c r="B540" s="39">
        <f t="shared" si="32"/>
        <v>5</v>
      </c>
      <c r="C540" s="39" t="str">
        <f t="shared" si="33"/>
        <v>Matt</v>
      </c>
      <c r="D540" s="39" t="str">
        <f t="shared" si="34"/>
        <v>Duchene</v>
      </c>
      <c r="E540" s="39" t="str">
        <f t="shared" si="35"/>
        <v>Matt Duchene</v>
      </c>
      <c r="F540" t="s">
        <v>1029</v>
      </c>
      <c r="G540" t="s">
        <v>73</v>
      </c>
      <c r="H540" s="292">
        <v>6000000</v>
      </c>
      <c r="I540" s="292">
        <v>0</v>
      </c>
      <c r="J540" s="292">
        <v>6000000</v>
      </c>
      <c r="K540" s="292" t="s">
        <v>7</v>
      </c>
      <c r="L540" s="292">
        <v>0</v>
      </c>
      <c r="M540" s="292">
        <v>0</v>
      </c>
      <c r="N540" s="292">
        <v>0</v>
      </c>
    </row>
    <row r="541" spans="1:14" x14ac:dyDescent="0.25">
      <c r="A541" t="s">
        <v>732</v>
      </c>
      <c r="B541" s="39">
        <f t="shared" si="32"/>
        <v>5</v>
      </c>
      <c r="C541" s="39" t="str">
        <f t="shared" si="33"/>
        <v>Matt</v>
      </c>
      <c r="D541" s="39" t="str">
        <f t="shared" si="34"/>
        <v>Hunwick</v>
      </c>
      <c r="E541" s="39" t="str">
        <f t="shared" si="35"/>
        <v>Matt Hunwick</v>
      </c>
      <c r="F541" t="s">
        <v>1039</v>
      </c>
      <c r="G541" t="s">
        <v>380</v>
      </c>
      <c r="H541" s="292">
        <v>2250000</v>
      </c>
      <c r="I541" s="292">
        <v>2250000</v>
      </c>
      <c r="J541" s="292">
        <v>2500000</v>
      </c>
      <c r="K541" s="292">
        <v>1750000</v>
      </c>
      <c r="L541" s="292" t="s">
        <v>7</v>
      </c>
      <c r="M541" s="292">
        <v>0</v>
      </c>
      <c r="N541" s="292">
        <v>0</v>
      </c>
    </row>
    <row r="542" spans="1:14" x14ac:dyDescent="0.25">
      <c r="A542" t="s">
        <v>511</v>
      </c>
      <c r="B542" s="39">
        <f t="shared" si="32"/>
        <v>5</v>
      </c>
      <c r="C542" s="39" t="str">
        <f t="shared" si="33"/>
        <v>Matt</v>
      </c>
      <c r="D542" s="39" t="str">
        <f t="shared" si="34"/>
        <v>Luff</v>
      </c>
      <c r="E542" s="39" t="str">
        <f t="shared" si="35"/>
        <v>Matt Luff</v>
      </c>
      <c r="F542" t="s">
        <v>1012</v>
      </c>
      <c r="G542" t="s">
        <v>88</v>
      </c>
      <c r="H542" s="292">
        <v>641667</v>
      </c>
      <c r="I542" s="292">
        <v>0</v>
      </c>
      <c r="J542" s="292">
        <v>665000</v>
      </c>
      <c r="K542" s="292" t="s">
        <v>8</v>
      </c>
      <c r="L542" s="292">
        <v>0</v>
      </c>
      <c r="M542" s="292">
        <v>0</v>
      </c>
      <c r="N542" s="292">
        <v>0</v>
      </c>
    </row>
    <row r="543" spans="1:14" x14ac:dyDescent="0.25">
      <c r="A543" t="s">
        <v>899</v>
      </c>
      <c r="B543" s="39">
        <f t="shared" si="32"/>
        <v>5</v>
      </c>
      <c r="C543" s="39" t="str">
        <f t="shared" si="33"/>
        <v>Matt</v>
      </c>
      <c r="D543" s="39" t="str">
        <f t="shared" si="34"/>
        <v>Martin</v>
      </c>
      <c r="E543" s="39" t="str">
        <f t="shared" si="35"/>
        <v>Matt Martin</v>
      </c>
      <c r="F543" t="s">
        <v>1040</v>
      </c>
      <c r="G543" t="s">
        <v>93</v>
      </c>
      <c r="H543" s="292">
        <v>2500000</v>
      </c>
      <c r="I543" s="292">
        <v>2500000</v>
      </c>
      <c r="J543" s="292">
        <v>2250000</v>
      </c>
      <c r="K543" s="292">
        <v>1750000</v>
      </c>
      <c r="L543" s="292" t="s">
        <v>7</v>
      </c>
      <c r="M543" s="292">
        <v>0</v>
      </c>
      <c r="N543" s="292">
        <v>0</v>
      </c>
    </row>
    <row r="544" spans="1:14" x14ac:dyDescent="0.25">
      <c r="A544" t="s">
        <v>736</v>
      </c>
      <c r="B544" s="39">
        <f t="shared" si="32"/>
        <v>5</v>
      </c>
      <c r="C544" s="39" t="str">
        <f t="shared" si="33"/>
        <v>Matt</v>
      </c>
      <c r="D544" s="39" t="str">
        <f t="shared" si="34"/>
        <v>Moulson</v>
      </c>
      <c r="E544" s="39" t="str">
        <f t="shared" si="35"/>
        <v>Matt Moulson</v>
      </c>
      <c r="F544" t="s">
        <v>1039</v>
      </c>
      <c r="G544" t="s">
        <v>93</v>
      </c>
      <c r="H544" s="292">
        <v>5000000</v>
      </c>
      <c r="I544" s="292">
        <v>0</v>
      </c>
      <c r="J544" s="292">
        <v>3000000</v>
      </c>
      <c r="K544" s="292" t="s">
        <v>7</v>
      </c>
      <c r="L544" s="292">
        <v>0</v>
      </c>
      <c r="M544" s="292">
        <v>0</v>
      </c>
      <c r="N544" s="292">
        <v>0</v>
      </c>
    </row>
    <row r="545" spans="1:14" x14ac:dyDescent="0.25">
      <c r="A545" t="s">
        <v>255</v>
      </c>
      <c r="B545" s="39">
        <f t="shared" si="32"/>
        <v>5</v>
      </c>
      <c r="C545" s="39" t="str">
        <f t="shared" si="33"/>
        <v>Matt</v>
      </c>
      <c r="D545" s="39" t="str">
        <f t="shared" si="34"/>
        <v>Murray</v>
      </c>
      <c r="E545" s="39" t="str">
        <f t="shared" si="35"/>
        <v>Matt Murray</v>
      </c>
      <c r="F545" t="s">
        <v>1014</v>
      </c>
      <c r="G545" t="s">
        <v>127</v>
      </c>
      <c r="H545" s="292">
        <v>3750000</v>
      </c>
      <c r="I545" s="292">
        <v>3750000</v>
      </c>
      <c r="J545" s="292">
        <v>3750000</v>
      </c>
      <c r="K545" s="292">
        <v>3750000</v>
      </c>
      <c r="L545" s="292" t="s">
        <v>8</v>
      </c>
      <c r="M545" s="292">
        <v>0</v>
      </c>
      <c r="N545" s="292">
        <v>0</v>
      </c>
    </row>
    <row r="546" spans="1:14" x14ac:dyDescent="0.25">
      <c r="A546" t="s">
        <v>440</v>
      </c>
      <c r="B546" s="39">
        <f t="shared" si="32"/>
        <v>5</v>
      </c>
      <c r="C546" s="39" t="str">
        <f t="shared" si="33"/>
        <v>Matt</v>
      </c>
      <c r="D546" s="39" t="str">
        <f t="shared" si="34"/>
        <v>Niskanen</v>
      </c>
      <c r="E546" s="39" t="str">
        <f t="shared" si="35"/>
        <v>Matt Niskanen</v>
      </c>
      <c r="F546" t="s">
        <v>1013</v>
      </c>
      <c r="G546" t="s">
        <v>379</v>
      </c>
      <c r="H546" s="292">
        <v>5750000</v>
      </c>
      <c r="I546" s="292">
        <v>5750000</v>
      </c>
      <c r="J546" s="292">
        <v>5750000</v>
      </c>
      <c r="K546" s="292">
        <v>5750000</v>
      </c>
      <c r="L546" s="292">
        <v>5750000</v>
      </c>
      <c r="M546" s="292" t="s">
        <v>7</v>
      </c>
      <c r="N546" s="292">
        <v>0</v>
      </c>
    </row>
    <row r="547" spans="1:14" x14ac:dyDescent="0.25">
      <c r="A547" t="s">
        <v>502</v>
      </c>
      <c r="B547" s="39">
        <f t="shared" si="32"/>
        <v>5</v>
      </c>
      <c r="C547" s="39" t="str">
        <f t="shared" si="33"/>
        <v>Matt</v>
      </c>
      <c r="D547" s="39" t="str">
        <f t="shared" si="34"/>
        <v>Roy</v>
      </c>
      <c r="E547" s="39" t="str">
        <f t="shared" si="35"/>
        <v>Matt Roy</v>
      </c>
      <c r="F547" t="s">
        <v>1012</v>
      </c>
      <c r="G547" t="s">
        <v>93</v>
      </c>
      <c r="H547" s="292">
        <v>925000</v>
      </c>
      <c r="I547" s="292">
        <v>0</v>
      </c>
      <c r="J547" s="292">
        <v>925000</v>
      </c>
      <c r="K547" s="292" t="s">
        <v>8</v>
      </c>
      <c r="L547" s="292">
        <v>0</v>
      </c>
      <c r="M547" s="292">
        <v>0</v>
      </c>
      <c r="N547" s="292">
        <v>0</v>
      </c>
    </row>
    <row r="548" spans="1:14" x14ac:dyDescent="0.25">
      <c r="A548" t="s">
        <v>1129</v>
      </c>
      <c r="B548" s="39">
        <f t="shared" si="32"/>
        <v>5</v>
      </c>
      <c r="C548" s="39" t="str">
        <f t="shared" si="33"/>
        <v>Matt</v>
      </c>
      <c r="D548" s="39" t="str">
        <f t="shared" si="34"/>
        <v>Spencer</v>
      </c>
      <c r="E548" s="39" t="str">
        <f t="shared" si="35"/>
        <v>Matt Spencer</v>
      </c>
      <c r="F548" t="s">
        <v>1019</v>
      </c>
      <c r="G548" t="s">
        <v>82</v>
      </c>
      <c r="H548" s="292">
        <v>925000</v>
      </c>
      <c r="I548" s="292">
        <v>0</v>
      </c>
      <c r="J548" s="292">
        <v>792500</v>
      </c>
      <c r="K548" s="292" t="s">
        <v>8</v>
      </c>
      <c r="L548" s="292">
        <v>0</v>
      </c>
      <c r="M548" s="292">
        <v>0</v>
      </c>
      <c r="N548" s="292">
        <v>0</v>
      </c>
    </row>
    <row r="549" spans="1:14" x14ac:dyDescent="0.25">
      <c r="A549" t="s">
        <v>795</v>
      </c>
      <c r="B549" s="39">
        <f t="shared" si="32"/>
        <v>5</v>
      </c>
      <c r="C549" s="39" t="str">
        <f t="shared" si="33"/>
        <v>Matt</v>
      </c>
      <c r="D549" s="39" t="str">
        <f t="shared" si="34"/>
        <v>Taormina</v>
      </c>
      <c r="E549" s="39" t="str">
        <f t="shared" si="35"/>
        <v>Matt Taormina</v>
      </c>
      <c r="F549" t="s">
        <v>1023</v>
      </c>
      <c r="G549" t="s">
        <v>82</v>
      </c>
      <c r="H549" s="292">
        <v>650000</v>
      </c>
      <c r="I549" s="292">
        <v>0</v>
      </c>
      <c r="J549" s="292">
        <v>650000</v>
      </c>
      <c r="K549" s="292" t="s">
        <v>7</v>
      </c>
      <c r="L549" s="292">
        <v>0</v>
      </c>
      <c r="M549" s="292">
        <v>0</v>
      </c>
      <c r="N549" s="292">
        <v>0</v>
      </c>
    </row>
    <row r="550" spans="1:14" x14ac:dyDescent="0.25">
      <c r="A550" t="s">
        <v>746</v>
      </c>
      <c r="B550" s="39">
        <f t="shared" si="32"/>
        <v>5</v>
      </c>
      <c r="C550" s="39" t="str">
        <f t="shared" si="33"/>
        <v>Matt</v>
      </c>
      <c r="D550" s="39" t="str">
        <f t="shared" si="34"/>
        <v>Tennyson</v>
      </c>
      <c r="E550" s="39" t="str">
        <f t="shared" si="35"/>
        <v>Matt Tennyson</v>
      </c>
      <c r="F550" t="s">
        <v>1039</v>
      </c>
      <c r="G550" t="s">
        <v>379</v>
      </c>
      <c r="H550" s="292">
        <v>650000</v>
      </c>
      <c r="I550" s="292">
        <v>0</v>
      </c>
      <c r="J550" s="292">
        <v>650000</v>
      </c>
      <c r="K550" s="292" t="s">
        <v>7</v>
      </c>
      <c r="L550" s="292">
        <v>0</v>
      </c>
      <c r="M550" s="292">
        <v>0</v>
      </c>
      <c r="N550" s="292">
        <v>0</v>
      </c>
    </row>
    <row r="551" spans="1:14" x14ac:dyDescent="0.25">
      <c r="A551" t="s">
        <v>619</v>
      </c>
      <c r="B551" s="39">
        <f t="shared" si="32"/>
        <v>8</v>
      </c>
      <c r="C551" s="39" t="str">
        <f t="shared" si="33"/>
        <v>Matthew</v>
      </c>
      <c r="D551" s="39" t="str">
        <f t="shared" si="34"/>
        <v>Highmore</v>
      </c>
      <c r="E551" s="39" t="str">
        <f t="shared" si="35"/>
        <v>Matthew Highmore</v>
      </c>
      <c r="F551" t="s">
        <v>1011</v>
      </c>
      <c r="G551" t="s">
        <v>73</v>
      </c>
      <c r="H551" s="292">
        <v>925000</v>
      </c>
      <c r="I551" s="292">
        <v>925000</v>
      </c>
      <c r="J551" s="292">
        <v>767500</v>
      </c>
      <c r="K551" s="292">
        <v>817500</v>
      </c>
      <c r="L551" s="292" t="s">
        <v>8</v>
      </c>
      <c r="M551" s="292">
        <v>0</v>
      </c>
      <c r="N551" s="292">
        <v>0</v>
      </c>
    </row>
    <row r="552" spans="1:14" x14ac:dyDescent="0.25">
      <c r="A552" t="s">
        <v>326</v>
      </c>
      <c r="B552" s="39">
        <f t="shared" si="32"/>
        <v>8</v>
      </c>
      <c r="C552" s="39" t="str">
        <f t="shared" si="33"/>
        <v>Matthew</v>
      </c>
      <c r="D552" s="39" t="str">
        <f t="shared" si="34"/>
        <v>Tkachuk</v>
      </c>
      <c r="E552" s="39" t="str">
        <f t="shared" si="35"/>
        <v>Matthew Tkachuk</v>
      </c>
      <c r="F552" t="s">
        <v>1031</v>
      </c>
      <c r="G552" t="s">
        <v>93</v>
      </c>
      <c r="H552" s="292">
        <v>1775000</v>
      </c>
      <c r="I552" s="292">
        <v>0</v>
      </c>
      <c r="J552" s="292">
        <v>925000</v>
      </c>
      <c r="K552" s="292" t="s">
        <v>8</v>
      </c>
      <c r="L552" s="292">
        <v>0</v>
      </c>
      <c r="M552" s="292">
        <v>0</v>
      </c>
      <c r="N552" s="292">
        <v>0</v>
      </c>
    </row>
    <row r="553" spans="1:14" x14ac:dyDescent="0.25">
      <c r="A553" t="s">
        <v>351</v>
      </c>
      <c r="B553" s="39">
        <f t="shared" si="32"/>
        <v>8</v>
      </c>
      <c r="C553" s="39" t="str">
        <f t="shared" si="33"/>
        <v>Mattias</v>
      </c>
      <c r="D553" s="39" t="str">
        <f t="shared" si="34"/>
        <v>Ekholm</v>
      </c>
      <c r="E553" s="39" t="str">
        <f t="shared" si="35"/>
        <v>Mattias Ekholm</v>
      </c>
      <c r="F553" t="s">
        <v>1016</v>
      </c>
      <c r="G553" t="s">
        <v>380</v>
      </c>
      <c r="H553" s="292">
        <v>3750000</v>
      </c>
      <c r="I553" s="292">
        <v>3750000</v>
      </c>
      <c r="J553" s="292">
        <v>4000000</v>
      </c>
      <c r="K553" s="292">
        <v>4000000</v>
      </c>
      <c r="L553" s="292">
        <v>3000000</v>
      </c>
      <c r="M553" s="292">
        <v>5000000</v>
      </c>
      <c r="N553" s="292" t="s">
        <v>7</v>
      </c>
    </row>
    <row r="554" spans="1:14" x14ac:dyDescent="0.25">
      <c r="A554" t="s">
        <v>709</v>
      </c>
      <c r="B554" s="39">
        <f t="shared" si="32"/>
        <v>4</v>
      </c>
      <c r="C554" s="39" t="str">
        <f t="shared" si="33"/>
        <v>Max</v>
      </c>
      <c r="D554" s="39" t="str">
        <f t="shared" si="34"/>
        <v>Jones</v>
      </c>
      <c r="E554" s="39" t="str">
        <f t="shared" si="35"/>
        <v>Max Jones</v>
      </c>
      <c r="F554" t="s">
        <v>1017</v>
      </c>
      <c r="G554" t="s">
        <v>93</v>
      </c>
      <c r="H554" s="292">
        <v>894167</v>
      </c>
      <c r="I554" s="292">
        <v>894167</v>
      </c>
      <c r="J554" s="292">
        <v>925000</v>
      </c>
      <c r="K554" s="292">
        <v>832500</v>
      </c>
      <c r="L554" s="292" t="s">
        <v>8</v>
      </c>
      <c r="M554" s="292">
        <v>0</v>
      </c>
      <c r="N554" s="292">
        <v>0</v>
      </c>
    </row>
    <row r="555" spans="1:14" x14ac:dyDescent="0.25">
      <c r="A555" t="s">
        <v>683</v>
      </c>
      <c r="B555" s="39">
        <f t="shared" si="32"/>
        <v>4</v>
      </c>
      <c r="C555" s="39" t="str">
        <f t="shared" si="33"/>
        <v>Max</v>
      </c>
      <c r="D555" s="39" t="str">
        <f t="shared" si="34"/>
        <v>McCormick</v>
      </c>
      <c r="E555" s="39" t="str">
        <f t="shared" si="35"/>
        <v>Max McCormick</v>
      </c>
      <c r="F555" t="s">
        <v>1029</v>
      </c>
      <c r="G555" t="s">
        <v>93</v>
      </c>
      <c r="H555" s="292">
        <v>650000</v>
      </c>
      <c r="I555" s="292">
        <v>0</v>
      </c>
      <c r="J555" s="292">
        <v>650000</v>
      </c>
      <c r="K555" s="292" t="s">
        <v>7</v>
      </c>
      <c r="L555" s="292">
        <v>0</v>
      </c>
      <c r="M555" s="292">
        <v>0</v>
      </c>
      <c r="N555" s="292">
        <v>0</v>
      </c>
    </row>
    <row r="556" spans="1:14" x14ac:dyDescent="0.25">
      <c r="A556" t="s">
        <v>350</v>
      </c>
      <c r="B556" s="39">
        <f t="shared" si="32"/>
        <v>4</v>
      </c>
      <c r="C556" s="39" t="str">
        <f t="shared" si="33"/>
        <v>Max</v>
      </c>
      <c r="D556" s="39" t="str">
        <f t="shared" si="34"/>
        <v>Pacioretty</v>
      </c>
      <c r="E556" s="39" t="str">
        <f t="shared" si="35"/>
        <v>Max Pacioretty</v>
      </c>
      <c r="F556" t="s">
        <v>1023</v>
      </c>
      <c r="G556" t="s">
        <v>93</v>
      </c>
      <c r="H556" s="292">
        <v>4500000</v>
      </c>
      <c r="I556" s="292">
        <v>0</v>
      </c>
      <c r="J556" s="292">
        <v>5000000</v>
      </c>
      <c r="K556" s="292" t="s">
        <v>7</v>
      </c>
      <c r="L556" s="292">
        <v>0</v>
      </c>
      <c r="M556" s="292">
        <v>0</v>
      </c>
      <c r="N556" s="292">
        <v>0</v>
      </c>
    </row>
    <row r="557" spans="1:14" x14ac:dyDescent="0.25">
      <c r="A557" t="s">
        <v>476</v>
      </c>
      <c r="B557" s="39">
        <f t="shared" si="32"/>
        <v>6</v>
      </c>
      <c r="C557" s="39" t="str">
        <f t="shared" si="33"/>
        <v>Maxim</v>
      </c>
      <c r="D557" s="39" t="str">
        <f t="shared" si="34"/>
        <v>Mamin</v>
      </c>
      <c r="E557" s="39" t="str">
        <f t="shared" si="35"/>
        <v>Maxim Mamin</v>
      </c>
      <c r="F557" t="s">
        <v>1027</v>
      </c>
      <c r="G557" t="s">
        <v>88</v>
      </c>
      <c r="H557" s="292">
        <v>925000</v>
      </c>
      <c r="I557" s="292">
        <v>0</v>
      </c>
      <c r="J557" s="292">
        <v>782500</v>
      </c>
      <c r="K557" s="292" t="s">
        <v>8</v>
      </c>
      <c r="L557" s="292">
        <v>0</v>
      </c>
      <c r="M557" s="292">
        <v>0</v>
      </c>
      <c r="N557" s="292">
        <v>0</v>
      </c>
    </row>
    <row r="558" spans="1:14" x14ac:dyDescent="0.25">
      <c r="A558" t="s">
        <v>647</v>
      </c>
      <c r="B558" s="39">
        <f t="shared" si="32"/>
        <v>7</v>
      </c>
      <c r="C558" s="39" t="str">
        <f t="shared" si="33"/>
        <v>Maxime</v>
      </c>
      <c r="D558" s="39" t="str">
        <f t="shared" si="34"/>
        <v>Fortier</v>
      </c>
      <c r="E558" s="39" t="str">
        <f t="shared" si="35"/>
        <v>Maxime Fortier</v>
      </c>
      <c r="F558" t="s">
        <v>1028</v>
      </c>
      <c r="G558" t="s">
        <v>73</v>
      </c>
      <c r="H558" s="292">
        <v>925000</v>
      </c>
      <c r="I558" s="292">
        <v>925000</v>
      </c>
      <c r="J558" s="292">
        <v>742500</v>
      </c>
      <c r="K558" s="292">
        <v>792500</v>
      </c>
      <c r="L558" s="292" t="s">
        <v>8</v>
      </c>
      <c r="M558" s="292">
        <v>0</v>
      </c>
      <c r="N558" s="292">
        <v>0</v>
      </c>
    </row>
    <row r="559" spans="1:14" x14ac:dyDescent="0.25">
      <c r="A559" t="s">
        <v>695</v>
      </c>
      <c r="B559" s="39">
        <f t="shared" si="32"/>
        <v>7</v>
      </c>
      <c r="C559" s="39" t="str">
        <f t="shared" si="33"/>
        <v>Maxime</v>
      </c>
      <c r="D559" s="39" t="str">
        <f t="shared" si="34"/>
        <v>Lajoie</v>
      </c>
      <c r="E559" s="39" t="str">
        <f t="shared" si="35"/>
        <v>Maxime Lajoie</v>
      </c>
      <c r="F559" t="s">
        <v>1029</v>
      </c>
      <c r="G559" t="s">
        <v>82</v>
      </c>
      <c r="H559" s="292">
        <v>790000</v>
      </c>
      <c r="I559" s="292">
        <v>790000</v>
      </c>
      <c r="J559" s="292">
        <v>730000</v>
      </c>
      <c r="K559" s="292">
        <v>700000</v>
      </c>
      <c r="L559" s="292" t="s">
        <v>8</v>
      </c>
      <c r="M559" s="292">
        <v>0</v>
      </c>
      <c r="N559" s="292">
        <v>0</v>
      </c>
    </row>
    <row r="560" spans="1:14" x14ac:dyDescent="0.25">
      <c r="A560" t="s">
        <v>572</v>
      </c>
      <c r="B560" s="39">
        <f t="shared" si="32"/>
        <v>7</v>
      </c>
      <c r="C560" s="39" t="str">
        <f t="shared" si="33"/>
        <v>Melker</v>
      </c>
      <c r="D560" s="39" t="str">
        <f t="shared" si="34"/>
        <v>Karlsson</v>
      </c>
      <c r="E560" s="39" t="str">
        <f t="shared" si="35"/>
        <v>Melker Karlsson</v>
      </c>
      <c r="F560" t="s">
        <v>1022</v>
      </c>
      <c r="G560" t="s">
        <v>88</v>
      </c>
      <c r="H560" s="292">
        <v>2000000</v>
      </c>
      <c r="I560" s="292">
        <v>2000000</v>
      </c>
      <c r="J560" s="292">
        <v>2000000</v>
      </c>
      <c r="K560" s="292">
        <v>2000000</v>
      </c>
      <c r="L560" s="292" t="s">
        <v>7</v>
      </c>
      <c r="M560" s="292">
        <v>0</v>
      </c>
      <c r="N560" s="292">
        <v>0</v>
      </c>
    </row>
    <row r="561" spans="1:14" x14ac:dyDescent="0.25">
      <c r="A561" t="s">
        <v>583</v>
      </c>
      <c r="B561" s="39">
        <f t="shared" si="32"/>
        <v>8</v>
      </c>
      <c r="C561" s="39" t="str">
        <f t="shared" si="33"/>
        <v>Michael</v>
      </c>
      <c r="D561" s="39" t="str">
        <f t="shared" si="34"/>
        <v>Brodzinski</v>
      </c>
      <c r="E561" s="39" t="str">
        <f t="shared" si="35"/>
        <v>Michael Brodzinski</v>
      </c>
      <c r="F561" t="s">
        <v>1022</v>
      </c>
      <c r="G561" t="s">
        <v>82</v>
      </c>
      <c r="H561" s="292">
        <v>925000</v>
      </c>
      <c r="I561" s="292">
        <v>0</v>
      </c>
      <c r="J561" s="292">
        <v>925000</v>
      </c>
      <c r="K561" s="292" t="s">
        <v>8</v>
      </c>
      <c r="L561" s="292">
        <v>0</v>
      </c>
      <c r="M561" s="292">
        <v>0</v>
      </c>
      <c r="N561" s="292">
        <v>0</v>
      </c>
    </row>
    <row r="562" spans="1:14" x14ac:dyDescent="0.25">
      <c r="A562" t="s">
        <v>835</v>
      </c>
      <c r="B562" s="39">
        <f t="shared" si="32"/>
        <v>8</v>
      </c>
      <c r="C562" s="39" t="str">
        <f t="shared" si="33"/>
        <v>Michael</v>
      </c>
      <c r="D562" s="39" t="str">
        <f t="shared" si="34"/>
        <v>Carcone</v>
      </c>
      <c r="E562" s="39" t="str">
        <f t="shared" si="35"/>
        <v>Michael Carcone</v>
      </c>
      <c r="F562" t="s">
        <v>1037</v>
      </c>
      <c r="G562" t="s">
        <v>93</v>
      </c>
      <c r="H562" s="292">
        <v>675000</v>
      </c>
      <c r="I562" s="292">
        <v>0</v>
      </c>
      <c r="J562" s="292">
        <v>725000</v>
      </c>
      <c r="K562" s="292" t="s">
        <v>8</v>
      </c>
      <c r="L562" s="292">
        <v>0</v>
      </c>
      <c r="M562" s="292">
        <v>0</v>
      </c>
      <c r="N562" s="292">
        <v>0</v>
      </c>
    </row>
    <row r="563" spans="1:14" x14ac:dyDescent="0.25">
      <c r="A563" t="s">
        <v>906</v>
      </c>
      <c r="B563" s="39">
        <f t="shared" si="32"/>
        <v>8</v>
      </c>
      <c r="C563" s="39" t="str">
        <f t="shared" si="33"/>
        <v>Michael</v>
      </c>
      <c r="D563" s="39" t="str">
        <f t="shared" si="34"/>
        <v>Dal Colle</v>
      </c>
      <c r="E563" s="39" t="str">
        <f t="shared" si="35"/>
        <v>Michael Dal Colle</v>
      </c>
      <c r="F563" t="s">
        <v>1040</v>
      </c>
      <c r="G563" t="s">
        <v>93</v>
      </c>
      <c r="H563" s="292">
        <v>3063330</v>
      </c>
      <c r="I563" s="292">
        <v>0</v>
      </c>
      <c r="J563" s="292">
        <v>832500</v>
      </c>
      <c r="K563" s="292" t="s">
        <v>8</v>
      </c>
      <c r="L563" s="292">
        <v>0</v>
      </c>
      <c r="M563" s="292">
        <v>0</v>
      </c>
      <c r="N563" s="292">
        <v>0</v>
      </c>
    </row>
    <row r="564" spans="1:14" x14ac:dyDescent="0.25">
      <c r="A564" t="s">
        <v>822</v>
      </c>
      <c r="B564" s="39">
        <f t="shared" si="32"/>
        <v>8</v>
      </c>
      <c r="C564" s="39" t="str">
        <f t="shared" si="33"/>
        <v>Michael</v>
      </c>
      <c r="D564" s="39" t="str">
        <f t="shared" si="34"/>
        <v>Del Zotto</v>
      </c>
      <c r="E564" s="39" t="str">
        <f t="shared" si="35"/>
        <v>Michael Del Zotto</v>
      </c>
      <c r="F564" t="s">
        <v>1037</v>
      </c>
      <c r="G564" t="s">
        <v>380</v>
      </c>
      <c r="H564" s="292">
        <v>3000000</v>
      </c>
      <c r="I564" s="292">
        <v>0</v>
      </c>
      <c r="J564" s="292">
        <v>3000000</v>
      </c>
      <c r="K564" s="292" t="s">
        <v>7</v>
      </c>
      <c r="L564" s="292">
        <v>0</v>
      </c>
      <c r="M564" s="292">
        <v>0</v>
      </c>
      <c r="N564" s="292">
        <v>0</v>
      </c>
    </row>
    <row r="565" spans="1:14" x14ac:dyDescent="0.25">
      <c r="A565" t="s">
        <v>484</v>
      </c>
      <c r="B565" s="39">
        <f t="shared" si="32"/>
        <v>8</v>
      </c>
      <c r="C565" s="39" t="str">
        <f t="shared" si="33"/>
        <v>Michael</v>
      </c>
      <c r="D565" s="39" t="str">
        <f t="shared" si="34"/>
        <v>Downing</v>
      </c>
      <c r="E565" s="39" t="str">
        <f t="shared" si="35"/>
        <v>Michael Downing</v>
      </c>
      <c r="F565" t="s">
        <v>1027</v>
      </c>
      <c r="G565" t="s">
        <v>82</v>
      </c>
      <c r="H565" s="292">
        <v>925000</v>
      </c>
      <c r="I565" s="292">
        <v>0</v>
      </c>
      <c r="J565" s="292">
        <v>925000</v>
      </c>
      <c r="K565" s="292" t="s">
        <v>8</v>
      </c>
      <c r="L565" s="292">
        <v>0</v>
      </c>
      <c r="M565" s="292">
        <v>0</v>
      </c>
      <c r="N565" s="292">
        <v>0</v>
      </c>
    </row>
    <row r="566" spans="1:14" x14ac:dyDescent="0.25">
      <c r="A566" t="s">
        <v>1095</v>
      </c>
      <c r="B566" s="39">
        <f t="shared" si="32"/>
        <v>8</v>
      </c>
      <c r="C566" s="39" t="str">
        <f t="shared" si="33"/>
        <v>Michael</v>
      </c>
      <c r="D566" s="39" t="str">
        <f t="shared" si="34"/>
        <v>Frolik</v>
      </c>
      <c r="E566" s="39" t="str">
        <f t="shared" si="35"/>
        <v>Michael Frolik</v>
      </c>
      <c r="F566" t="s">
        <v>1031</v>
      </c>
      <c r="G566" t="s">
        <v>88</v>
      </c>
      <c r="H566" s="292">
        <v>4300000</v>
      </c>
      <c r="I566" s="292">
        <v>4300000</v>
      </c>
      <c r="J566" s="292">
        <v>4000000</v>
      </c>
      <c r="K566" s="292">
        <v>3000000</v>
      </c>
      <c r="L566" s="292" t="s">
        <v>7</v>
      </c>
      <c r="M566" s="292">
        <v>0</v>
      </c>
      <c r="N566" s="292">
        <v>0</v>
      </c>
    </row>
    <row r="567" spans="1:14" x14ac:dyDescent="0.25">
      <c r="A567" t="s">
        <v>960</v>
      </c>
      <c r="B567" s="39">
        <f t="shared" si="32"/>
        <v>8</v>
      </c>
      <c r="C567" s="39" t="str">
        <f t="shared" si="33"/>
        <v>Michael</v>
      </c>
      <c r="D567" s="39" t="str">
        <f t="shared" si="34"/>
        <v>Kapla</v>
      </c>
      <c r="E567" s="39" t="str">
        <f t="shared" si="35"/>
        <v>Michael Kapla</v>
      </c>
      <c r="F567" t="s">
        <v>1038</v>
      </c>
      <c r="G567" t="s">
        <v>82</v>
      </c>
      <c r="H567" s="292">
        <v>925000</v>
      </c>
      <c r="I567" s="292">
        <v>0</v>
      </c>
      <c r="J567" s="292">
        <v>925000</v>
      </c>
      <c r="K567" s="292" t="s">
        <v>8</v>
      </c>
      <c r="L567" s="292">
        <v>0</v>
      </c>
      <c r="M567" s="292">
        <v>0</v>
      </c>
      <c r="N567" s="292">
        <v>0</v>
      </c>
    </row>
    <row r="568" spans="1:14" x14ac:dyDescent="0.25">
      <c r="A568" t="s">
        <v>1115</v>
      </c>
      <c r="B568" s="39">
        <f t="shared" si="32"/>
        <v>8</v>
      </c>
      <c r="C568" s="39" t="str">
        <f t="shared" si="33"/>
        <v>Michael</v>
      </c>
      <c r="D568" s="39" t="str">
        <f t="shared" si="34"/>
        <v>McLeod</v>
      </c>
      <c r="E568" s="39" t="str">
        <f t="shared" si="35"/>
        <v>Michael McLeod</v>
      </c>
      <c r="F568" t="s">
        <v>1038</v>
      </c>
      <c r="G568" t="s">
        <v>73</v>
      </c>
      <c r="H568" s="292">
        <v>1425000</v>
      </c>
      <c r="I568" s="292">
        <v>0</v>
      </c>
      <c r="J568" s="292">
        <v>925000</v>
      </c>
      <c r="K568" s="292" t="s">
        <v>8</v>
      </c>
      <c r="L568" s="292">
        <v>0</v>
      </c>
      <c r="M568" s="292">
        <v>0</v>
      </c>
      <c r="N568" s="292">
        <v>0</v>
      </c>
    </row>
    <row r="569" spans="1:14" x14ac:dyDescent="0.25">
      <c r="A569" t="s">
        <v>793</v>
      </c>
      <c r="B569" s="39">
        <f t="shared" si="32"/>
        <v>8</v>
      </c>
      <c r="C569" s="39" t="str">
        <f t="shared" si="33"/>
        <v>Michael</v>
      </c>
      <c r="D569" s="39" t="str">
        <f t="shared" si="34"/>
        <v>McNiven</v>
      </c>
      <c r="E569" s="39" t="str">
        <f t="shared" si="35"/>
        <v>Michael McNiven</v>
      </c>
      <c r="F569" t="s">
        <v>1023</v>
      </c>
      <c r="G569" t="s">
        <v>127</v>
      </c>
      <c r="H569" s="292">
        <v>703333</v>
      </c>
      <c r="I569" s="292">
        <v>703333</v>
      </c>
      <c r="J569" s="292">
        <v>650000</v>
      </c>
      <c r="K569" s="292">
        <v>700000</v>
      </c>
      <c r="L569" s="292" t="s">
        <v>8</v>
      </c>
      <c r="M569" s="292">
        <v>0</v>
      </c>
      <c r="N569" s="292">
        <v>0</v>
      </c>
    </row>
    <row r="570" spans="1:14" x14ac:dyDescent="0.25">
      <c r="A570" t="s">
        <v>879</v>
      </c>
      <c r="B570" s="39">
        <f t="shared" si="32"/>
        <v>8</v>
      </c>
      <c r="C570" s="39" t="str">
        <f t="shared" si="33"/>
        <v>Michael</v>
      </c>
      <c r="D570" s="39" t="str">
        <f t="shared" si="34"/>
        <v>Raffl</v>
      </c>
      <c r="E570" s="39" t="str">
        <f t="shared" si="35"/>
        <v>Michael Raffl</v>
      </c>
      <c r="F570" t="s">
        <v>1021</v>
      </c>
      <c r="G570" t="s">
        <v>93</v>
      </c>
      <c r="H570" s="292">
        <v>2350000</v>
      </c>
      <c r="I570" s="292">
        <v>0</v>
      </c>
      <c r="J570" s="292">
        <v>2350000</v>
      </c>
      <c r="K570" s="292" t="s">
        <v>7</v>
      </c>
      <c r="L570" s="292">
        <v>0</v>
      </c>
      <c r="M570" s="292">
        <v>0</v>
      </c>
      <c r="N570" s="292">
        <v>0</v>
      </c>
    </row>
    <row r="571" spans="1:14" x14ac:dyDescent="0.25">
      <c r="A571" t="s">
        <v>146</v>
      </c>
      <c r="B571" s="39">
        <f t="shared" si="32"/>
        <v>8</v>
      </c>
      <c r="C571" s="39" t="str">
        <f t="shared" si="33"/>
        <v>Michael</v>
      </c>
      <c r="D571" s="39" t="str">
        <f t="shared" si="34"/>
        <v>Rasmussen</v>
      </c>
      <c r="E571" s="39" t="str">
        <f t="shared" si="35"/>
        <v>Michael Rasmussen</v>
      </c>
      <c r="F571" t="s">
        <v>1035</v>
      </c>
      <c r="G571" t="s">
        <v>73</v>
      </c>
      <c r="H571" s="292">
        <v>1741670</v>
      </c>
      <c r="I571" s="292">
        <v>1741670</v>
      </c>
      <c r="J571" s="292">
        <v>925000</v>
      </c>
      <c r="K571" s="292">
        <v>925000</v>
      </c>
      <c r="L571" s="292" t="s">
        <v>8</v>
      </c>
      <c r="M571" s="292">
        <v>0</v>
      </c>
      <c r="N571" s="292">
        <v>0</v>
      </c>
    </row>
    <row r="572" spans="1:14" x14ac:dyDescent="0.25">
      <c r="A572" t="s">
        <v>873</v>
      </c>
      <c r="B572" s="39">
        <f t="shared" si="32"/>
        <v>8</v>
      </c>
      <c r="C572" s="39" t="str">
        <f t="shared" si="33"/>
        <v>Michael</v>
      </c>
      <c r="D572" s="39" t="str">
        <f t="shared" si="34"/>
        <v>Spacek</v>
      </c>
      <c r="E572" s="39" t="str">
        <f t="shared" si="35"/>
        <v>Michael Spacek</v>
      </c>
      <c r="F572" t="s">
        <v>1024</v>
      </c>
      <c r="G572" t="s">
        <v>88</v>
      </c>
      <c r="H572" s="292">
        <v>850000</v>
      </c>
      <c r="I572" s="292">
        <v>850000</v>
      </c>
      <c r="J572" s="292">
        <v>735000</v>
      </c>
      <c r="K572" s="292">
        <v>785000</v>
      </c>
      <c r="L572" s="292" t="s">
        <v>8</v>
      </c>
      <c r="M572" s="292">
        <v>0</v>
      </c>
      <c r="N572" s="292">
        <v>0</v>
      </c>
    </row>
    <row r="573" spans="1:14" x14ac:dyDescent="0.25">
      <c r="A573" t="s">
        <v>753</v>
      </c>
      <c r="B573" s="39">
        <f t="shared" si="32"/>
        <v>8</v>
      </c>
      <c r="C573" s="39" t="str">
        <f t="shared" si="33"/>
        <v>Michael</v>
      </c>
      <c r="D573" s="39" t="str">
        <f t="shared" si="34"/>
        <v>Stone</v>
      </c>
      <c r="E573" s="39" t="str">
        <f t="shared" si="35"/>
        <v>Michael Stone</v>
      </c>
      <c r="F573" t="s">
        <v>1031</v>
      </c>
      <c r="G573" t="s">
        <v>379</v>
      </c>
      <c r="H573" s="292">
        <v>3500000</v>
      </c>
      <c r="I573" s="292">
        <v>3500000</v>
      </c>
      <c r="J573" s="292">
        <v>3500000</v>
      </c>
      <c r="K573" s="292">
        <v>3500000</v>
      </c>
      <c r="L573" s="292" t="s">
        <v>7</v>
      </c>
      <c r="M573" s="292">
        <v>0</v>
      </c>
      <c r="N573" s="292">
        <v>0</v>
      </c>
    </row>
    <row r="574" spans="1:14" x14ac:dyDescent="0.25">
      <c r="A574" t="s">
        <v>887</v>
      </c>
      <c r="B574" s="39">
        <f t="shared" si="32"/>
        <v>8</v>
      </c>
      <c r="C574" s="39" t="str">
        <f t="shared" si="33"/>
        <v>Michael</v>
      </c>
      <c r="D574" s="39" t="str">
        <f t="shared" si="34"/>
        <v>Vecchione</v>
      </c>
      <c r="E574" s="39" t="str">
        <f t="shared" si="35"/>
        <v>Michael Vecchione</v>
      </c>
      <c r="F574" t="s">
        <v>1021</v>
      </c>
      <c r="G574" t="s">
        <v>73</v>
      </c>
      <c r="H574" s="292">
        <v>900000</v>
      </c>
      <c r="I574" s="292">
        <v>0</v>
      </c>
      <c r="J574" s="292">
        <v>900000</v>
      </c>
      <c r="K574" s="292" t="s">
        <v>8</v>
      </c>
      <c r="L574" s="292">
        <v>0</v>
      </c>
      <c r="M574" s="292">
        <v>0</v>
      </c>
      <c r="N574" s="292">
        <v>0</v>
      </c>
    </row>
    <row r="575" spans="1:14" x14ac:dyDescent="0.25">
      <c r="A575" t="s">
        <v>886</v>
      </c>
      <c r="B575" s="39">
        <f t="shared" si="32"/>
        <v>7</v>
      </c>
      <c r="C575" s="39" t="str">
        <f t="shared" si="33"/>
        <v>Michal</v>
      </c>
      <c r="D575" s="39" t="str">
        <f t="shared" si="34"/>
        <v>Neuvirth</v>
      </c>
      <c r="E575" s="39" t="str">
        <f t="shared" si="35"/>
        <v>Michal Neuvirth</v>
      </c>
      <c r="F575" t="s">
        <v>1021</v>
      </c>
      <c r="G575" t="s">
        <v>127</v>
      </c>
      <c r="H575" s="292">
        <v>2500000</v>
      </c>
      <c r="I575" s="292">
        <v>0</v>
      </c>
      <c r="J575" s="292">
        <v>2500000</v>
      </c>
      <c r="K575" s="292" t="s">
        <v>7</v>
      </c>
      <c r="L575" s="292">
        <v>0</v>
      </c>
      <c r="M575" s="292">
        <v>0</v>
      </c>
      <c r="N575" s="292">
        <v>0</v>
      </c>
    </row>
    <row r="576" spans="1:14" x14ac:dyDescent="0.25">
      <c r="A576" t="s">
        <v>975</v>
      </c>
      <c r="B576" s="39">
        <f t="shared" si="32"/>
        <v>8</v>
      </c>
      <c r="C576" s="39" t="str">
        <f t="shared" si="33"/>
        <v>Micheal</v>
      </c>
      <c r="D576" s="39" t="str">
        <f t="shared" si="34"/>
        <v>Ferland</v>
      </c>
      <c r="E576" s="39" t="str">
        <f t="shared" si="35"/>
        <v>Micheal Ferland</v>
      </c>
      <c r="F576" t="s">
        <v>1036</v>
      </c>
      <c r="G576" t="s">
        <v>93</v>
      </c>
      <c r="H576" s="292">
        <v>1750000</v>
      </c>
      <c r="I576" s="292">
        <v>0</v>
      </c>
      <c r="J576" s="292">
        <v>1800000</v>
      </c>
      <c r="K576" s="292" t="s">
        <v>7</v>
      </c>
      <c r="L576" s="292">
        <v>0</v>
      </c>
      <c r="M576" s="292">
        <v>0</v>
      </c>
      <c r="N576" s="292">
        <v>0</v>
      </c>
    </row>
    <row r="577" spans="1:14" x14ac:dyDescent="0.25">
      <c r="A577" t="s">
        <v>475</v>
      </c>
      <c r="B577" s="39">
        <f t="shared" si="32"/>
        <v>8</v>
      </c>
      <c r="C577" s="39" t="str">
        <f t="shared" si="33"/>
        <v>Micheal</v>
      </c>
      <c r="D577" s="39" t="str">
        <f t="shared" si="34"/>
        <v>Haley</v>
      </c>
      <c r="E577" s="39" t="str">
        <f t="shared" si="35"/>
        <v>Micheal Haley</v>
      </c>
      <c r="F577" t="s">
        <v>1027</v>
      </c>
      <c r="G577" t="s">
        <v>73</v>
      </c>
      <c r="H577" s="292">
        <v>825000</v>
      </c>
      <c r="I577" s="292">
        <v>0</v>
      </c>
      <c r="J577" s="292">
        <v>850000</v>
      </c>
      <c r="K577" s="292" t="s">
        <v>7</v>
      </c>
      <c r="L577" s="292">
        <v>0</v>
      </c>
      <c r="M577" s="292">
        <v>0</v>
      </c>
      <c r="N577" s="292">
        <v>0</v>
      </c>
    </row>
    <row r="578" spans="1:14" x14ac:dyDescent="0.25">
      <c r="A578" t="s">
        <v>655</v>
      </c>
      <c r="B578" s="39">
        <f t="shared" si="32"/>
        <v>5</v>
      </c>
      <c r="C578" s="39" t="str">
        <f t="shared" si="33"/>
        <v>Mika</v>
      </c>
      <c r="D578" s="39" t="str">
        <f t="shared" si="34"/>
        <v>Zibanejad</v>
      </c>
      <c r="E578" s="39" t="str">
        <f t="shared" si="35"/>
        <v>Mika Zibanejad</v>
      </c>
      <c r="F578" t="s">
        <v>1018</v>
      </c>
      <c r="G578" t="s">
        <v>73</v>
      </c>
      <c r="H578" s="292">
        <v>5350000</v>
      </c>
      <c r="I578" s="292">
        <v>5350000</v>
      </c>
      <c r="J578" s="292">
        <v>5500000</v>
      </c>
      <c r="K578" s="292">
        <v>5350000</v>
      </c>
      <c r="L578" s="292">
        <v>5150000</v>
      </c>
      <c r="M578" s="292">
        <v>4750000</v>
      </c>
      <c r="N578" s="292" t="s">
        <v>7</v>
      </c>
    </row>
    <row r="579" spans="1:14" x14ac:dyDescent="0.25">
      <c r="A579" t="s">
        <v>344</v>
      </c>
      <c r="B579" s="39">
        <f t="shared" ref="B579:B642" si="36">SEARCH(" ",A579,1)</f>
        <v>7</v>
      </c>
      <c r="C579" s="39" t="str">
        <f t="shared" ref="C579:C642" si="37">LEFT(A579,B579-1)</f>
        <v>Mikael</v>
      </c>
      <c r="D579" s="39" t="str">
        <f t="shared" ref="D579:D642" si="38">MID(A579,B579+1,LEN(A579)-B579)</f>
        <v>Granlund</v>
      </c>
      <c r="E579" s="39" t="str">
        <f t="shared" ref="E579:E642" si="39">C579&amp;" "&amp;D579</f>
        <v>Mikael Granlund</v>
      </c>
      <c r="F579" t="s">
        <v>1025</v>
      </c>
      <c r="G579" t="s">
        <v>73</v>
      </c>
      <c r="H579" s="292">
        <v>5750000</v>
      </c>
      <c r="I579" s="292">
        <v>5750000</v>
      </c>
      <c r="J579" s="292">
        <v>5500000</v>
      </c>
      <c r="K579" s="292">
        <v>6500000</v>
      </c>
      <c r="L579" s="292" t="s">
        <v>7</v>
      </c>
      <c r="M579" s="292">
        <v>0</v>
      </c>
      <c r="N579" s="292">
        <v>0</v>
      </c>
    </row>
    <row r="580" spans="1:14" x14ac:dyDescent="0.25">
      <c r="A580" t="s">
        <v>1125</v>
      </c>
      <c r="B580" s="39">
        <f t="shared" si="36"/>
        <v>5</v>
      </c>
      <c r="C580" s="39" t="str">
        <f t="shared" si="37"/>
        <v>Mike</v>
      </c>
      <c r="D580" s="39" t="str">
        <f t="shared" si="38"/>
        <v>Amadio</v>
      </c>
      <c r="E580" s="39" t="str">
        <f t="shared" si="39"/>
        <v>Mike Amadio</v>
      </c>
      <c r="F580" t="s">
        <v>1012</v>
      </c>
      <c r="G580" t="s">
        <v>88</v>
      </c>
      <c r="H580" s="292">
        <v>925000</v>
      </c>
      <c r="I580" s="292">
        <v>0</v>
      </c>
      <c r="J580" s="292">
        <v>742500</v>
      </c>
      <c r="K580" s="292" t="s">
        <v>8</v>
      </c>
      <c r="L580" s="292">
        <v>0</v>
      </c>
      <c r="M580" s="292">
        <v>0</v>
      </c>
      <c r="N580" s="292">
        <v>0</v>
      </c>
    </row>
    <row r="581" spans="1:14" x14ac:dyDescent="0.25">
      <c r="A581" t="s">
        <v>685</v>
      </c>
      <c r="B581" s="39">
        <f t="shared" si="36"/>
        <v>5</v>
      </c>
      <c r="C581" s="39" t="str">
        <f t="shared" si="37"/>
        <v>Mike</v>
      </c>
      <c r="D581" s="39" t="str">
        <f t="shared" si="38"/>
        <v>Condon</v>
      </c>
      <c r="E581" s="39" t="str">
        <f t="shared" si="39"/>
        <v>Mike Condon</v>
      </c>
      <c r="F581" t="s">
        <v>1029</v>
      </c>
      <c r="G581" t="s">
        <v>127</v>
      </c>
      <c r="H581" s="292">
        <v>2400000</v>
      </c>
      <c r="I581" s="292">
        <v>2400000</v>
      </c>
      <c r="J581" s="292">
        <v>2500000</v>
      </c>
      <c r="K581" s="292">
        <v>3000000</v>
      </c>
      <c r="L581" s="292" t="s">
        <v>7</v>
      </c>
      <c r="M581" s="292">
        <v>0</v>
      </c>
      <c r="N581" s="292">
        <v>0</v>
      </c>
    </row>
    <row r="582" spans="1:14" x14ac:dyDescent="0.25">
      <c r="A582" t="s">
        <v>247</v>
      </c>
      <c r="B582" s="39">
        <f t="shared" si="36"/>
        <v>5</v>
      </c>
      <c r="C582" s="39" t="str">
        <f t="shared" si="37"/>
        <v>Mike</v>
      </c>
      <c r="D582" s="39" t="str">
        <f t="shared" si="38"/>
        <v>Hoffman</v>
      </c>
      <c r="E582" s="39" t="str">
        <f t="shared" si="39"/>
        <v>Mike Hoffman</v>
      </c>
      <c r="F582" t="s">
        <v>1027</v>
      </c>
      <c r="G582" t="s">
        <v>93</v>
      </c>
      <c r="H582" s="292">
        <v>5187500</v>
      </c>
      <c r="I582" s="292">
        <v>5187500</v>
      </c>
      <c r="J582" s="292">
        <v>5650000</v>
      </c>
      <c r="K582" s="292">
        <v>5650000</v>
      </c>
      <c r="L582" s="292" t="s">
        <v>7</v>
      </c>
      <c r="M582" s="292">
        <v>0</v>
      </c>
      <c r="N582" s="292">
        <v>0</v>
      </c>
    </row>
    <row r="583" spans="1:14" x14ac:dyDescent="0.25">
      <c r="A583" t="s">
        <v>787</v>
      </c>
      <c r="B583" s="39">
        <f t="shared" si="36"/>
        <v>5</v>
      </c>
      <c r="C583" s="39" t="str">
        <f t="shared" si="37"/>
        <v>Mike</v>
      </c>
      <c r="D583" s="39" t="str">
        <f t="shared" si="38"/>
        <v>Reilly</v>
      </c>
      <c r="E583" s="39" t="str">
        <f t="shared" si="39"/>
        <v>Mike Reilly</v>
      </c>
      <c r="F583" t="s">
        <v>1023</v>
      </c>
      <c r="G583" t="s">
        <v>380</v>
      </c>
      <c r="H583" s="292">
        <v>725000</v>
      </c>
      <c r="I583" s="292">
        <v>0</v>
      </c>
      <c r="J583" s="292">
        <v>775000</v>
      </c>
      <c r="K583" s="292" t="s">
        <v>8</v>
      </c>
      <c r="L583" s="292">
        <v>0</v>
      </c>
      <c r="M583" s="292">
        <v>0</v>
      </c>
      <c r="N583" s="292">
        <v>0</v>
      </c>
    </row>
    <row r="584" spans="1:14" x14ac:dyDescent="0.25">
      <c r="A584" t="s">
        <v>754</v>
      </c>
      <c r="B584" s="39">
        <f t="shared" si="36"/>
        <v>5</v>
      </c>
      <c r="C584" s="39" t="str">
        <f t="shared" si="37"/>
        <v>Mike</v>
      </c>
      <c r="D584" s="39" t="str">
        <f t="shared" si="38"/>
        <v>Smith</v>
      </c>
      <c r="E584" s="39" t="str">
        <f t="shared" si="39"/>
        <v>Mike Smith</v>
      </c>
      <c r="F584" t="s">
        <v>1031</v>
      </c>
      <c r="G584" t="s">
        <v>127</v>
      </c>
      <c r="H584" s="292">
        <v>5666670</v>
      </c>
      <c r="I584" s="292">
        <v>0</v>
      </c>
      <c r="J584" s="292">
        <v>5000000</v>
      </c>
      <c r="K584" s="292" t="s">
        <v>7</v>
      </c>
      <c r="L584" s="292">
        <v>0</v>
      </c>
      <c r="M584" s="292">
        <v>0</v>
      </c>
      <c r="N584" s="292">
        <v>0</v>
      </c>
    </row>
    <row r="585" spans="1:14" x14ac:dyDescent="0.25">
      <c r="A585" t="s">
        <v>310</v>
      </c>
      <c r="B585" s="39">
        <f t="shared" si="36"/>
        <v>8</v>
      </c>
      <c r="C585" s="39" t="str">
        <f t="shared" si="37"/>
        <v>Mikhail</v>
      </c>
      <c r="D585" s="39" t="str">
        <f t="shared" si="38"/>
        <v>Sergachev</v>
      </c>
      <c r="E585" s="39" t="str">
        <f t="shared" si="39"/>
        <v>Mikhail Sergachev</v>
      </c>
      <c r="F585" t="s">
        <v>1019</v>
      </c>
      <c r="G585" t="s">
        <v>379</v>
      </c>
      <c r="H585" s="292">
        <v>1744170</v>
      </c>
      <c r="I585" s="292">
        <v>1744170</v>
      </c>
      <c r="J585" s="292">
        <v>925000</v>
      </c>
      <c r="K585" s="292">
        <v>832500</v>
      </c>
      <c r="L585" s="292" t="s">
        <v>8</v>
      </c>
      <c r="M585" s="292">
        <v>0</v>
      </c>
      <c r="N585" s="292">
        <v>0</v>
      </c>
    </row>
    <row r="586" spans="1:14" x14ac:dyDescent="0.25">
      <c r="A586" t="s">
        <v>889</v>
      </c>
      <c r="B586" s="39">
        <f t="shared" si="36"/>
        <v>8</v>
      </c>
      <c r="C586" s="39" t="str">
        <f t="shared" si="37"/>
        <v>Mikhail</v>
      </c>
      <c r="D586" s="39" t="str">
        <f t="shared" si="38"/>
        <v>Vorobyov</v>
      </c>
      <c r="E586" s="39" t="str">
        <f t="shared" si="39"/>
        <v>Mikhail Vorobyov</v>
      </c>
      <c r="F586" t="s">
        <v>1021</v>
      </c>
      <c r="G586" t="s">
        <v>73</v>
      </c>
      <c r="H586" s="292">
        <v>925000</v>
      </c>
      <c r="I586" s="292">
        <v>925000</v>
      </c>
      <c r="J586" s="292">
        <v>792500</v>
      </c>
      <c r="K586" s="292">
        <v>817500</v>
      </c>
      <c r="L586" s="292" t="s">
        <v>8</v>
      </c>
      <c r="M586" s="292">
        <v>0</v>
      </c>
      <c r="N586" s="292">
        <v>0</v>
      </c>
    </row>
    <row r="587" spans="1:14" x14ac:dyDescent="0.25">
      <c r="A587" t="s">
        <v>677</v>
      </c>
      <c r="B587" s="39">
        <f t="shared" si="36"/>
        <v>7</v>
      </c>
      <c r="C587" s="39" t="str">
        <f t="shared" si="37"/>
        <v>Mikkel</v>
      </c>
      <c r="D587" s="39" t="str">
        <f t="shared" si="38"/>
        <v>Boedker</v>
      </c>
      <c r="E587" s="39" t="str">
        <f t="shared" si="39"/>
        <v>Mikkel Boedker</v>
      </c>
      <c r="F587" t="s">
        <v>1029</v>
      </c>
      <c r="G587" t="s">
        <v>93</v>
      </c>
      <c r="H587" s="292">
        <v>4000000</v>
      </c>
      <c r="I587" s="292">
        <v>4000000</v>
      </c>
      <c r="J587" s="292">
        <v>3000000</v>
      </c>
      <c r="K587" s="292">
        <v>3000000</v>
      </c>
      <c r="L587" s="292" t="s">
        <v>7</v>
      </c>
      <c r="M587" s="292">
        <v>0</v>
      </c>
      <c r="N587" s="292">
        <v>0</v>
      </c>
    </row>
    <row r="588" spans="1:14" x14ac:dyDescent="0.25">
      <c r="A588" t="s">
        <v>301</v>
      </c>
      <c r="B588" s="39">
        <f t="shared" si="36"/>
        <v>6</v>
      </c>
      <c r="C588" s="39" t="str">
        <f t="shared" si="37"/>
        <v>Mikko</v>
      </c>
      <c r="D588" s="39" t="str">
        <f t="shared" si="38"/>
        <v>Rantanen</v>
      </c>
      <c r="E588" s="39" t="str">
        <f t="shared" si="39"/>
        <v>Mikko Rantanen</v>
      </c>
      <c r="F588" t="s">
        <v>1033</v>
      </c>
      <c r="G588" t="s">
        <v>88</v>
      </c>
      <c r="H588" s="292">
        <v>1627500</v>
      </c>
      <c r="I588" s="292">
        <v>0</v>
      </c>
      <c r="J588" s="292">
        <v>832500</v>
      </c>
      <c r="K588" s="292" t="s">
        <v>8</v>
      </c>
      <c r="L588" s="292">
        <v>0</v>
      </c>
      <c r="M588" s="292">
        <v>0</v>
      </c>
      <c r="N588" s="292">
        <v>0</v>
      </c>
    </row>
    <row r="589" spans="1:14" x14ac:dyDescent="0.25">
      <c r="A589" t="s">
        <v>1066</v>
      </c>
      <c r="B589" s="39">
        <f t="shared" si="36"/>
        <v>6</v>
      </c>
      <c r="C589" s="39" t="str">
        <f t="shared" si="37"/>
        <v>Milan</v>
      </c>
      <c r="D589" s="39" t="str">
        <f t="shared" si="38"/>
        <v>Lucic</v>
      </c>
      <c r="E589" s="39" t="str">
        <f t="shared" si="39"/>
        <v>Milan Lucic</v>
      </c>
      <c r="F589" t="s">
        <v>1020</v>
      </c>
      <c r="G589" t="s">
        <v>93</v>
      </c>
      <c r="H589" s="292">
        <v>6000000</v>
      </c>
      <c r="I589" s="292">
        <v>6000000</v>
      </c>
      <c r="J589" s="292">
        <v>7000000</v>
      </c>
      <c r="K589" s="292">
        <v>6000000</v>
      </c>
      <c r="L589" s="292">
        <v>4000000</v>
      </c>
      <c r="M589" s="292">
        <v>5000000</v>
      </c>
      <c r="N589" s="292">
        <v>4000000</v>
      </c>
    </row>
    <row r="590" spans="1:14" x14ac:dyDescent="0.25">
      <c r="A590" t="s">
        <v>953</v>
      </c>
      <c r="B590" s="39">
        <f t="shared" si="36"/>
        <v>6</v>
      </c>
      <c r="C590" s="39" t="str">
        <f t="shared" si="37"/>
        <v>Miles</v>
      </c>
      <c r="D590" s="39" t="str">
        <f t="shared" si="38"/>
        <v>Wood</v>
      </c>
      <c r="E590" s="39" t="str">
        <f t="shared" si="39"/>
        <v>Miles Wood</v>
      </c>
      <c r="F590" t="s">
        <v>1038</v>
      </c>
      <c r="G590" t="s">
        <v>93</v>
      </c>
      <c r="H590" s="292">
        <v>925000</v>
      </c>
      <c r="I590" s="292">
        <v>0</v>
      </c>
      <c r="J590" s="292">
        <v>925000</v>
      </c>
      <c r="K590" s="292" t="s">
        <v>8</v>
      </c>
      <c r="L590" s="292">
        <v>0</v>
      </c>
      <c r="M590" s="292">
        <v>0</v>
      </c>
      <c r="N590" s="292">
        <v>0</v>
      </c>
    </row>
    <row r="591" spans="1:14" x14ac:dyDescent="0.25">
      <c r="A591" t="s">
        <v>957</v>
      </c>
      <c r="B591" s="39">
        <f t="shared" si="36"/>
        <v>6</v>
      </c>
      <c r="C591" s="39" t="str">
        <f t="shared" si="37"/>
        <v>Mirco</v>
      </c>
      <c r="D591" s="39" t="str">
        <f t="shared" si="38"/>
        <v>Mueller</v>
      </c>
      <c r="E591" s="39" t="str">
        <f t="shared" si="39"/>
        <v>Mirco Mueller</v>
      </c>
      <c r="F591" t="s">
        <v>1038</v>
      </c>
      <c r="G591" t="s">
        <v>380</v>
      </c>
      <c r="H591" s="292">
        <v>850000</v>
      </c>
      <c r="I591" s="292">
        <v>0</v>
      </c>
      <c r="J591" s="292">
        <v>925000</v>
      </c>
      <c r="K591" s="292" t="s">
        <v>8</v>
      </c>
      <c r="L591" s="292">
        <v>0</v>
      </c>
      <c r="M591" s="292">
        <v>0</v>
      </c>
      <c r="N591" s="292">
        <v>0</v>
      </c>
    </row>
    <row r="592" spans="1:14" x14ac:dyDescent="0.25">
      <c r="A592" t="s">
        <v>138</v>
      </c>
      <c r="B592" s="39">
        <f t="shared" si="36"/>
        <v>5</v>
      </c>
      <c r="C592" s="39" t="str">
        <f t="shared" si="37"/>
        <v>Miro</v>
      </c>
      <c r="D592" s="39" t="str">
        <f t="shared" si="38"/>
        <v>Heiskanen</v>
      </c>
      <c r="E592" s="39" t="str">
        <f t="shared" si="39"/>
        <v>Miro Heiskanen</v>
      </c>
      <c r="F592" t="s">
        <v>1015</v>
      </c>
      <c r="G592" t="s">
        <v>82</v>
      </c>
      <c r="H592" s="292">
        <v>3425000</v>
      </c>
      <c r="I592" s="292">
        <v>3425000</v>
      </c>
      <c r="J592" s="292">
        <v>925000</v>
      </c>
      <c r="K592" s="292">
        <v>925000</v>
      </c>
      <c r="L592" s="292" t="s">
        <v>8</v>
      </c>
      <c r="M592" s="292">
        <v>0</v>
      </c>
      <c r="N592" s="292">
        <v>0</v>
      </c>
    </row>
    <row r="593" spans="1:14" x14ac:dyDescent="0.25">
      <c r="A593" t="s">
        <v>570</v>
      </c>
      <c r="B593" s="39">
        <f t="shared" si="36"/>
        <v>6</v>
      </c>
      <c r="C593" s="39" t="str">
        <f t="shared" si="37"/>
        <v>Mitch</v>
      </c>
      <c r="D593" s="39" t="str">
        <f t="shared" si="38"/>
        <v>Callahan</v>
      </c>
      <c r="E593" s="39" t="str">
        <f t="shared" si="39"/>
        <v>Mitch Callahan</v>
      </c>
      <c r="F593" t="s">
        <v>1020</v>
      </c>
      <c r="G593" t="s">
        <v>93</v>
      </c>
      <c r="H593" s="292">
        <v>700000</v>
      </c>
      <c r="I593" s="292">
        <v>0</v>
      </c>
      <c r="J593" s="292">
        <v>700000</v>
      </c>
      <c r="K593" s="292" t="s">
        <v>7</v>
      </c>
      <c r="L593" s="292">
        <v>0</v>
      </c>
      <c r="M593" s="292">
        <v>0</v>
      </c>
      <c r="N593" s="292">
        <v>0</v>
      </c>
    </row>
    <row r="594" spans="1:14" x14ac:dyDescent="0.25">
      <c r="A594" t="s">
        <v>712</v>
      </c>
      <c r="B594" s="39">
        <f t="shared" si="36"/>
        <v>6</v>
      </c>
      <c r="C594" s="39" t="str">
        <f t="shared" si="37"/>
        <v>Mitch</v>
      </c>
      <c r="D594" s="39" t="str">
        <f t="shared" si="38"/>
        <v>Hults</v>
      </c>
      <c r="E594" s="39" t="str">
        <f t="shared" si="39"/>
        <v>Mitch Hults</v>
      </c>
      <c r="F594" t="s">
        <v>1017</v>
      </c>
      <c r="G594" t="s">
        <v>73</v>
      </c>
      <c r="H594" s="292">
        <v>925000</v>
      </c>
      <c r="I594" s="292">
        <v>0</v>
      </c>
      <c r="J594" s="292">
        <v>925000</v>
      </c>
      <c r="K594" s="292" t="s">
        <v>8</v>
      </c>
      <c r="L594" s="292">
        <v>0</v>
      </c>
      <c r="M594" s="292">
        <v>0</v>
      </c>
      <c r="N594" s="292">
        <v>0</v>
      </c>
    </row>
    <row r="595" spans="1:14" x14ac:dyDescent="0.25">
      <c r="A595" t="s">
        <v>1113</v>
      </c>
      <c r="B595" s="39">
        <f t="shared" si="36"/>
        <v>6</v>
      </c>
      <c r="C595" s="39" t="str">
        <f t="shared" si="37"/>
        <v>Mitch</v>
      </c>
      <c r="D595" s="39" t="str">
        <f t="shared" si="38"/>
        <v>Marner</v>
      </c>
      <c r="E595" s="39" t="str">
        <f t="shared" si="39"/>
        <v>Mitch Marner</v>
      </c>
      <c r="F595" t="s">
        <v>1034</v>
      </c>
      <c r="G595" t="s">
        <v>73</v>
      </c>
      <c r="H595" s="292">
        <v>1744170</v>
      </c>
      <c r="I595" s="292">
        <v>0</v>
      </c>
      <c r="J595" s="292">
        <v>832500</v>
      </c>
      <c r="K595" s="292" t="s">
        <v>8</v>
      </c>
      <c r="L595" s="292">
        <v>0</v>
      </c>
      <c r="M595" s="292">
        <v>0</v>
      </c>
      <c r="N595" s="292">
        <v>0</v>
      </c>
    </row>
    <row r="596" spans="1:14" x14ac:dyDescent="0.25">
      <c r="A596" t="s">
        <v>522</v>
      </c>
      <c r="B596" s="39">
        <f t="shared" si="36"/>
        <v>9</v>
      </c>
      <c r="C596" s="39" t="str">
        <f t="shared" si="37"/>
        <v>Mitchell</v>
      </c>
      <c r="D596" s="39" t="str">
        <f t="shared" si="38"/>
        <v>Stephens</v>
      </c>
      <c r="E596" s="39" t="str">
        <f t="shared" si="39"/>
        <v>Mitchell Stephens</v>
      </c>
      <c r="F596" t="s">
        <v>1019</v>
      </c>
      <c r="G596" t="s">
        <v>73</v>
      </c>
      <c r="H596" s="292">
        <v>925000</v>
      </c>
      <c r="I596" s="292">
        <v>0</v>
      </c>
      <c r="J596" s="292">
        <v>925000</v>
      </c>
      <c r="K596" s="292" t="s">
        <v>8</v>
      </c>
      <c r="L596" s="292">
        <v>0</v>
      </c>
      <c r="M596" s="292">
        <v>0</v>
      </c>
      <c r="N596" s="292">
        <v>0</v>
      </c>
    </row>
    <row r="597" spans="1:14" x14ac:dyDescent="0.25">
      <c r="A597" t="s">
        <v>1126</v>
      </c>
      <c r="B597" s="39">
        <f t="shared" si="36"/>
        <v>9</v>
      </c>
      <c r="C597" s="39" t="str">
        <f t="shared" si="37"/>
        <v>Mitchell</v>
      </c>
      <c r="D597" s="39" t="str">
        <f t="shared" si="38"/>
        <v>Vande Sompel</v>
      </c>
      <c r="E597" s="39" t="str">
        <f t="shared" si="39"/>
        <v>Mitchell Vande Sompel</v>
      </c>
      <c r="F597" t="s">
        <v>1040</v>
      </c>
      <c r="G597" t="s">
        <v>82</v>
      </c>
      <c r="H597" s="292">
        <v>925000</v>
      </c>
      <c r="I597" s="292">
        <v>0</v>
      </c>
      <c r="J597" s="292">
        <v>742500</v>
      </c>
      <c r="K597" s="292" t="s">
        <v>8</v>
      </c>
      <c r="L597" s="292">
        <v>0</v>
      </c>
      <c r="M597" s="292">
        <v>0</v>
      </c>
      <c r="N597" s="292">
        <v>0</v>
      </c>
    </row>
    <row r="598" spans="1:14" x14ac:dyDescent="0.25">
      <c r="A598" t="s">
        <v>160</v>
      </c>
      <c r="B598" s="39">
        <f t="shared" si="36"/>
        <v>7</v>
      </c>
      <c r="C598" s="39" t="str">
        <f t="shared" si="37"/>
        <v>Morgan</v>
      </c>
      <c r="D598" s="39" t="str">
        <f t="shared" si="38"/>
        <v>Frost</v>
      </c>
      <c r="E598" s="39" t="str">
        <f t="shared" si="39"/>
        <v>Morgan Frost</v>
      </c>
      <c r="F598" t="s">
        <v>1021</v>
      </c>
      <c r="G598" t="s">
        <v>73</v>
      </c>
      <c r="H598" s="292">
        <v>925000</v>
      </c>
      <c r="I598" s="292">
        <v>925000</v>
      </c>
      <c r="J598" s="292">
        <v>925000</v>
      </c>
      <c r="K598" s="292">
        <v>925000</v>
      </c>
      <c r="L598" s="292" t="s">
        <v>8</v>
      </c>
      <c r="M598" s="292">
        <v>0</v>
      </c>
      <c r="N598" s="292">
        <v>0</v>
      </c>
    </row>
    <row r="599" spans="1:14" x14ac:dyDescent="0.25">
      <c r="A599" t="s">
        <v>272</v>
      </c>
      <c r="B599" s="39">
        <f t="shared" si="36"/>
        <v>7</v>
      </c>
      <c r="C599" s="39" t="str">
        <f t="shared" si="37"/>
        <v>Morgan</v>
      </c>
      <c r="D599" s="39" t="str">
        <f t="shared" si="38"/>
        <v>Rielly</v>
      </c>
      <c r="E599" s="39" t="str">
        <f t="shared" si="39"/>
        <v>Morgan Rielly</v>
      </c>
      <c r="F599" t="s">
        <v>1034</v>
      </c>
      <c r="G599" t="s">
        <v>380</v>
      </c>
      <c r="H599" s="292">
        <v>5000000</v>
      </c>
      <c r="I599" s="292">
        <v>5000000</v>
      </c>
      <c r="J599" s="292">
        <v>5000000</v>
      </c>
      <c r="K599" s="292">
        <v>5000000</v>
      </c>
      <c r="L599" s="292">
        <v>5000000</v>
      </c>
      <c r="M599" s="292">
        <v>5000000</v>
      </c>
      <c r="N599" s="292" t="s">
        <v>7</v>
      </c>
    </row>
    <row r="600" spans="1:14" x14ac:dyDescent="0.25">
      <c r="A600" t="s">
        <v>461</v>
      </c>
      <c r="B600" s="39">
        <f t="shared" si="36"/>
        <v>5</v>
      </c>
      <c r="C600" s="39" t="str">
        <f t="shared" si="37"/>
        <v>Nate</v>
      </c>
      <c r="D600" s="39" t="str">
        <f t="shared" si="38"/>
        <v>Prosser</v>
      </c>
      <c r="E600" s="39" t="str">
        <f t="shared" si="39"/>
        <v>Nate Prosser</v>
      </c>
      <c r="F600" t="s">
        <v>1025</v>
      </c>
      <c r="G600" t="s">
        <v>379</v>
      </c>
      <c r="H600" s="292">
        <v>650000</v>
      </c>
      <c r="I600" s="292">
        <v>0</v>
      </c>
      <c r="J600" s="292">
        <v>650000</v>
      </c>
      <c r="K600" s="292" t="s">
        <v>7</v>
      </c>
      <c r="L600" s="292">
        <v>0</v>
      </c>
      <c r="M600" s="292">
        <v>0</v>
      </c>
      <c r="N600" s="292">
        <v>0</v>
      </c>
    </row>
    <row r="601" spans="1:14" x14ac:dyDescent="0.25">
      <c r="A601" t="s">
        <v>296</v>
      </c>
      <c r="B601" s="39">
        <f t="shared" si="36"/>
        <v>5</v>
      </c>
      <c r="C601" s="39" t="str">
        <f t="shared" si="37"/>
        <v>Nate</v>
      </c>
      <c r="D601" s="39" t="str">
        <f t="shared" si="38"/>
        <v>Schmidt</v>
      </c>
      <c r="E601" s="39" t="str">
        <f t="shared" si="39"/>
        <v>Nate Schmidt</v>
      </c>
      <c r="F601" t="s">
        <v>1041</v>
      </c>
      <c r="G601" t="s">
        <v>380</v>
      </c>
      <c r="H601" s="292">
        <v>2225000</v>
      </c>
      <c r="I601" s="292">
        <v>0</v>
      </c>
      <c r="J601" s="292">
        <v>2300000</v>
      </c>
      <c r="K601" s="292" t="s">
        <v>7</v>
      </c>
      <c r="L601" s="292">
        <v>0</v>
      </c>
      <c r="M601" s="292">
        <v>0</v>
      </c>
      <c r="N601" s="292">
        <v>0</v>
      </c>
    </row>
    <row r="602" spans="1:14" x14ac:dyDescent="0.25">
      <c r="A602" t="s">
        <v>492</v>
      </c>
      <c r="B602" s="39">
        <f t="shared" si="36"/>
        <v>5</v>
      </c>
      <c r="C602" s="39" t="str">
        <f t="shared" si="37"/>
        <v>Nate</v>
      </c>
      <c r="D602" s="39" t="str">
        <f t="shared" si="38"/>
        <v>Thompson</v>
      </c>
      <c r="E602" s="39" t="str">
        <f t="shared" si="39"/>
        <v>Nate Thompson</v>
      </c>
      <c r="F602" t="s">
        <v>1012</v>
      </c>
      <c r="G602" t="s">
        <v>73</v>
      </c>
      <c r="H602" s="292">
        <v>1650000</v>
      </c>
      <c r="I602" s="292">
        <v>0</v>
      </c>
      <c r="J602" s="292">
        <v>1650000</v>
      </c>
      <c r="K602" s="292" t="s">
        <v>7</v>
      </c>
      <c r="L602" s="292">
        <v>0</v>
      </c>
      <c r="M602" s="292">
        <v>0</v>
      </c>
      <c r="N602" s="292">
        <v>0</v>
      </c>
    </row>
    <row r="603" spans="1:14" x14ac:dyDescent="0.25">
      <c r="A603" t="s">
        <v>966</v>
      </c>
      <c r="B603" s="39">
        <f t="shared" si="36"/>
        <v>7</v>
      </c>
      <c r="C603" s="39" t="str">
        <f t="shared" si="37"/>
        <v>Nathan</v>
      </c>
      <c r="D603" s="39" t="str">
        <f t="shared" si="38"/>
        <v>Bastian</v>
      </c>
      <c r="E603" s="39" t="str">
        <f t="shared" si="39"/>
        <v>Nathan Bastian</v>
      </c>
      <c r="F603" t="s">
        <v>1038</v>
      </c>
      <c r="G603" t="s">
        <v>88</v>
      </c>
      <c r="H603" s="292">
        <v>925000</v>
      </c>
      <c r="I603" s="292">
        <v>0</v>
      </c>
      <c r="J603" s="292">
        <v>792500</v>
      </c>
      <c r="K603" s="292" t="s">
        <v>8</v>
      </c>
      <c r="L603" s="292">
        <v>0</v>
      </c>
      <c r="M603" s="292">
        <v>0</v>
      </c>
      <c r="N603" s="292">
        <v>0</v>
      </c>
    </row>
    <row r="604" spans="1:14" x14ac:dyDescent="0.25">
      <c r="A604" t="s">
        <v>360</v>
      </c>
      <c r="B604" s="39">
        <f t="shared" si="36"/>
        <v>7</v>
      </c>
      <c r="C604" s="39" t="str">
        <f t="shared" si="37"/>
        <v>Nathan</v>
      </c>
      <c r="D604" s="39" t="str">
        <f t="shared" si="38"/>
        <v>Beaulieu</v>
      </c>
      <c r="E604" s="39" t="str">
        <f t="shared" si="39"/>
        <v>Nathan Beaulieu</v>
      </c>
      <c r="F604" t="s">
        <v>1039</v>
      </c>
      <c r="G604" t="s">
        <v>380</v>
      </c>
      <c r="H604" s="292">
        <v>2400000</v>
      </c>
      <c r="I604" s="292">
        <v>0</v>
      </c>
      <c r="J604" s="292">
        <v>2500000</v>
      </c>
      <c r="K604" s="292" t="s">
        <v>8</v>
      </c>
      <c r="L604" s="292">
        <v>0</v>
      </c>
      <c r="M604" s="292">
        <v>0</v>
      </c>
      <c r="N604" s="292">
        <v>0</v>
      </c>
    </row>
    <row r="605" spans="1:14" x14ac:dyDescent="0.25">
      <c r="A605" t="s">
        <v>930</v>
      </c>
      <c r="B605" s="39">
        <f t="shared" si="36"/>
        <v>7</v>
      </c>
      <c r="C605" s="39" t="str">
        <f t="shared" si="37"/>
        <v>Nathan</v>
      </c>
      <c r="D605" s="39" t="str">
        <f t="shared" si="38"/>
        <v>Horton</v>
      </c>
      <c r="E605" s="39" t="str">
        <f t="shared" si="39"/>
        <v>Nathan Horton</v>
      </c>
      <c r="F605" t="s">
        <v>1034</v>
      </c>
      <c r="G605" t="s">
        <v>88</v>
      </c>
      <c r="H605" s="292">
        <v>5300000</v>
      </c>
      <c r="I605" s="292">
        <v>5300000</v>
      </c>
      <c r="J605" s="292">
        <v>4500000</v>
      </c>
      <c r="K605" s="292">
        <v>3600000</v>
      </c>
      <c r="L605" s="292" t="s">
        <v>7</v>
      </c>
      <c r="M605" s="292">
        <v>0</v>
      </c>
      <c r="N605" s="292">
        <v>0</v>
      </c>
    </row>
    <row r="606" spans="1:14" x14ac:dyDescent="0.25">
      <c r="A606" t="s">
        <v>308</v>
      </c>
      <c r="B606" s="39">
        <f t="shared" si="36"/>
        <v>7</v>
      </c>
      <c r="C606" s="39" t="str">
        <f t="shared" si="37"/>
        <v>Nathan</v>
      </c>
      <c r="D606" s="39" t="str">
        <f t="shared" si="38"/>
        <v>Mackinnon</v>
      </c>
      <c r="E606" s="39" t="str">
        <f t="shared" si="39"/>
        <v>Nathan Mackinnon</v>
      </c>
      <c r="F606" t="s">
        <v>1033</v>
      </c>
      <c r="G606" t="s">
        <v>73</v>
      </c>
      <c r="H606" s="292">
        <v>6300000</v>
      </c>
      <c r="I606" s="292">
        <v>6300000</v>
      </c>
      <c r="J606" s="292">
        <v>6750000</v>
      </c>
      <c r="K606" s="292">
        <v>6750000</v>
      </c>
      <c r="L606" s="292">
        <v>6150000</v>
      </c>
      <c r="M606" s="292">
        <v>6850000</v>
      </c>
      <c r="N606" s="292">
        <v>6850000</v>
      </c>
    </row>
    <row r="607" spans="1:14" x14ac:dyDescent="0.25">
      <c r="A607" t="s">
        <v>620</v>
      </c>
      <c r="B607" s="39">
        <f t="shared" si="36"/>
        <v>7</v>
      </c>
      <c r="C607" s="39" t="str">
        <f t="shared" si="37"/>
        <v>Nathan</v>
      </c>
      <c r="D607" s="39" t="str">
        <f t="shared" si="38"/>
        <v>Noel</v>
      </c>
      <c r="E607" s="39" t="str">
        <f t="shared" si="39"/>
        <v>Nathan Noel</v>
      </c>
      <c r="F607" t="s">
        <v>1011</v>
      </c>
      <c r="G607" t="s">
        <v>73</v>
      </c>
      <c r="H607" s="292">
        <v>925000</v>
      </c>
      <c r="I607" s="292">
        <v>925000</v>
      </c>
      <c r="J607" s="292">
        <v>767500</v>
      </c>
      <c r="K607" s="292">
        <v>817500</v>
      </c>
      <c r="L607" s="292" t="s">
        <v>8</v>
      </c>
      <c r="M607" s="292">
        <v>0</v>
      </c>
      <c r="N607" s="292">
        <v>0</v>
      </c>
    </row>
    <row r="608" spans="1:14" x14ac:dyDescent="0.25">
      <c r="A608" t="s">
        <v>439</v>
      </c>
      <c r="B608" s="39">
        <f t="shared" si="36"/>
        <v>7</v>
      </c>
      <c r="C608" s="39" t="str">
        <f t="shared" si="37"/>
        <v>Nathan</v>
      </c>
      <c r="D608" s="39" t="str">
        <f t="shared" si="38"/>
        <v>Walker</v>
      </c>
      <c r="E608" s="39" t="str">
        <f t="shared" si="39"/>
        <v>Nathan Walker</v>
      </c>
      <c r="F608" t="s">
        <v>1013</v>
      </c>
      <c r="G608" t="s">
        <v>93</v>
      </c>
      <c r="H608" s="292">
        <v>650000</v>
      </c>
      <c r="I608" s="292">
        <v>0</v>
      </c>
      <c r="J608" s="292">
        <v>650000</v>
      </c>
      <c r="K608" s="292" t="s">
        <v>8</v>
      </c>
      <c r="L608" s="292">
        <v>0</v>
      </c>
      <c r="M608" s="292">
        <v>0</v>
      </c>
      <c r="N608" s="292">
        <v>0</v>
      </c>
    </row>
    <row r="609" spans="1:14" x14ac:dyDescent="0.25">
      <c r="A609" t="s">
        <v>349</v>
      </c>
      <c r="B609" s="39">
        <f t="shared" si="36"/>
        <v>6</v>
      </c>
      <c r="C609" s="39" t="str">
        <f t="shared" si="37"/>
        <v>Nazem</v>
      </c>
      <c r="D609" s="39" t="str">
        <f t="shared" si="38"/>
        <v>Kadri</v>
      </c>
      <c r="E609" s="39" t="str">
        <f t="shared" si="39"/>
        <v>Nazem Kadri</v>
      </c>
      <c r="F609" t="s">
        <v>1034</v>
      </c>
      <c r="G609" t="s">
        <v>73</v>
      </c>
      <c r="H609" s="292">
        <v>4500000</v>
      </c>
      <c r="I609" s="292">
        <v>4500000</v>
      </c>
      <c r="J609" s="292">
        <v>4500000</v>
      </c>
      <c r="K609" s="292">
        <v>4500000</v>
      </c>
      <c r="L609" s="292">
        <v>4000000</v>
      </c>
      <c r="M609" s="292">
        <v>4000000</v>
      </c>
      <c r="N609" s="292" t="s">
        <v>7</v>
      </c>
    </row>
    <row r="610" spans="1:14" x14ac:dyDescent="0.25">
      <c r="A610" t="s">
        <v>664</v>
      </c>
      <c r="B610" s="39">
        <f t="shared" si="36"/>
        <v>5</v>
      </c>
      <c r="C610" s="39" t="str">
        <f t="shared" si="37"/>
        <v>Neal</v>
      </c>
      <c r="D610" s="39" t="str">
        <f t="shared" si="38"/>
        <v>Pionk</v>
      </c>
      <c r="E610" s="39" t="str">
        <f t="shared" si="39"/>
        <v>Neal Pionk</v>
      </c>
      <c r="F610" t="s">
        <v>1018</v>
      </c>
      <c r="G610" t="s">
        <v>379</v>
      </c>
      <c r="H610" s="292">
        <v>1775000</v>
      </c>
      <c r="I610" s="292">
        <v>0</v>
      </c>
      <c r="J610" s="292">
        <v>925000</v>
      </c>
      <c r="K610" s="292" t="s">
        <v>8</v>
      </c>
      <c r="L610" s="292">
        <v>0</v>
      </c>
      <c r="M610" s="292">
        <v>0</v>
      </c>
      <c r="N610" s="292">
        <v>0</v>
      </c>
    </row>
    <row r="611" spans="1:14" x14ac:dyDescent="0.25">
      <c r="A611" t="s">
        <v>877</v>
      </c>
      <c r="B611" s="39">
        <f t="shared" si="36"/>
        <v>7</v>
      </c>
      <c r="C611" s="39" t="str">
        <f t="shared" si="37"/>
        <v>Nelson</v>
      </c>
      <c r="D611" s="39" t="str">
        <f t="shared" si="38"/>
        <v>Nogier</v>
      </c>
      <c r="E611" s="39" t="str">
        <f t="shared" si="39"/>
        <v>Nelson Nogier</v>
      </c>
      <c r="F611" t="s">
        <v>1024</v>
      </c>
      <c r="G611" t="s">
        <v>82</v>
      </c>
      <c r="H611" s="292">
        <v>771667</v>
      </c>
      <c r="I611" s="292">
        <v>0</v>
      </c>
      <c r="J611" s="292">
        <v>770000</v>
      </c>
      <c r="K611" s="292" t="s">
        <v>8</v>
      </c>
      <c r="L611" s="292">
        <v>0</v>
      </c>
      <c r="M611" s="292">
        <v>0</v>
      </c>
      <c r="N611" s="292">
        <v>0</v>
      </c>
    </row>
    <row r="612" spans="1:14" x14ac:dyDescent="0.25">
      <c r="A612" t="s">
        <v>605</v>
      </c>
      <c r="B612" s="39">
        <f t="shared" si="36"/>
        <v>9</v>
      </c>
      <c r="C612" s="39" t="str">
        <f t="shared" si="37"/>
        <v>Nicholas</v>
      </c>
      <c r="D612" s="39" t="str">
        <f t="shared" si="38"/>
        <v>Caamano</v>
      </c>
      <c r="E612" s="39" t="str">
        <f t="shared" si="39"/>
        <v>Nicholas Caamano</v>
      </c>
      <c r="F612" t="s">
        <v>1015</v>
      </c>
      <c r="G612" t="s">
        <v>88</v>
      </c>
      <c r="H612" s="292">
        <v>745000</v>
      </c>
      <c r="I612" s="292">
        <v>745000</v>
      </c>
      <c r="J612" s="292">
        <v>720000</v>
      </c>
      <c r="K612" s="292">
        <v>795000</v>
      </c>
      <c r="L612" s="292" t="s">
        <v>8</v>
      </c>
      <c r="M612" s="292">
        <v>0</v>
      </c>
      <c r="N612" s="292">
        <v>0</v>
      </c>
    </row>
    <row r="613" spans="1:14" x14ac:dyDescent="0.25">
      <c r="A613" t="s">
        <v>473</v>
      </c>
      <c r="B613" s="39">
        <f t="shared" si="36"/>
        <v>5</v>
      </c>
      <c r="C613" s="39" t="str">
        <f t="shared" si="37"/>
        <v>Nick</v>
      </c>
      <c r="D613" s="39" t="str">
        <f t="shared" si="38"/>
        <v>Bjugstad</v>
      </c>
      <c r="E613" s="39" t="str">
        <f t="shared" si="39"/>
        <v>Nick Bjugstad</v>
      </c>
      <c r="F613" t="s">
        <v>1027</v>
      </c>
      <c r="G613" t="s">
        <v>88</v>
      </c>
      <c r="H613" s="292">
        <v>4099999</v>
      </c>
      <c r="I613" s="292">
        <v>4099999</v>
      </c>
      <c r="J613" s="292">
        <v>4300000</v>
      </c>
      <c r="K613" s="292">
        <v>5000000</v>
      </c>
      <c r="L613" s="292">
        <v>5250000</v>
      </c>
      <c r="M613" s="292" t="s">
        <v>7</v>
      </c>
      <c r="N613" s="292">
        <v>0</v>
      </c>
    </row>
    <row r="614" spans="1:14" x14ac:dyDescent="0.25">
      <c r="A614" t="s">
        <v>767</v>
      </c>
      <c r="B614" s="39">
        <f t="shared" si="36"/>
        <v>5</v>
      </c>
      <c r="C614" s="39" t="str">
        <f t="shared" si="37"/>
        <v>Nick</v>
      </c>
      <c r="D614" s="39" t="str">
        <f t="shared" si="38"/>
        <v>Bonino</v>
      </c>
      <c r="E614" s="39" t="str">
        <f t="shared" si="39"/>
        <v>Nick Bonino</v>
      </c>
      <c r="F614" t="s">
        <v>1016</v>
      </c>
      <c r="G614" t="s">
        <v>73</v>
      </c>
      <c r="H614" s="292">
        <v>4099999</v>
      </c>
      <c r="I614" s="292">
        <v>4099999</v>
      </c>
      <c r="J614" s="292">
        <v>4099999</v>
      </c>
      <c r="K614" s="292">
        <v>4099999</v>
      </c>
      <c r="L614" s="292">
        <v>4099999</v>
      </c>
      <c r="M614" s="292" t="s">
        <v>7</v>
      </c>
      <c r="N614" s="292">
        <v>0</v>
      </c>
    </row>
    <row r="615" spans="1:14" x14ac:dyDescent="0.25">
      <c r="A615" t="s">
        <v>838</v>
      </c>
      <c r="B615" s="39">
        <f t="shared" si="36"/>
        <v>5</v>
      </c>
      <c r="C615" s="39" t="str">
        <f t="shared" si="37"/>
        <v>Nick</v>
      </c>
      <c r="D615" s="39" t="str">
        <f t="shared" si="38"/>
        <v>Cousins</v>
      </c>
      <c r="E615" s="39" t="str">
        <f t="shared" si="39"/>
        <v>Nick Cousins</v>
      </c>
      <c r="F615" t="s">
        <v>1032</v>
      </c>
      <c r="G615" t="s">
        <v>73</v>
      </c>
      <c r="H615" s="292">
        <v>1000000</v>
      </c>
      <c r="I615" s="292">
        <v>0</v>
      </c>
      <c r="J615" s="292">
        <v>1050000</v>
      </c>
      <c r="K615" s="292" t="s">
        <v>8</v>
      </c>
      <c r="L615" s="292">
        <v>0</v>
      </c>
      <c r="M615" s="292">
        <v>0</v>
      </c>
      <c r="N615" s="292">
        <v>0</v>
      </c>
    </row>
    <row r="616" spans="1:14" x14ac:dyDescent="0.25">
      <c r="A616" t="s">
        <v>1122</v>
      </c>
      <c r="B616" s="39">
        <f t="shared" si="36"/>
        <v>5</v>
      </c>
      <c r="C616" s="39" t="str">
        <f t="shared" si="37"/>
        <v>Nick</v>
      </c>
      <c r="D616" s="39" t="str">
        <f t="shared" si="38"/>
        <v>Desimone</v>
      </c>
      <c r="E616" s="39" t="str">
        <f t="shared" si="39"/>
        <v>Nick Desimone</v>
      </c>
      <c r="F616" t="s">
        <v>1022</v>
      </c>
      <c r="G616" t="s">
        <v>82</v>
      </c>
      <c r="H616" s="292">
        <v>925000</v>
      </c>
      <c r="I616" s="292">
        <v>0</v>
      </c>
      <c r="J616" s="292">
        <v>925000</v>
      </c>
      <c r="K616" s="292" t="s">
        <v>8</v>
      </c>
      <c r="L616" s="292">
        <v>0</v>
      </c>
      <c r="M616" s="292">
        <v>0</v>
      </c>
      <c r="N616" s="292">
        <v>0</v>
      </c>
    </row>
    <row r="617" spans="1:14" x14ac:dyDescent="0.25">
      <c r="A617" t="s">
        <v>1076</v>
      </c>
      <c r="B617" s="39">
        <f t="shared" si="36"/>
        <v>5</v>
      </c>
      <c r="C617" s="39" t="str">
        <f t="shared" si="37"/>
        <v>Nick</v>
      </c>
      <c r="D617" s="39" t="str">
        <f t="shared" si="38"/>
        <v>Foligno</v>
      </c>
      <c r="E617" s="39" t="str">
        <f t="shared" si="39"/>
        <v>Nick Foligno</v>
      </c>
      <c r="F617" t="s">
        <v>1028</v>
      </c>
      <c r="G617" t="s">
        <v>93</v>
      </c>
      <c r="H617" s="292">
        <v>5500000</v>
      </c>
      <c r="I617" s="292">
        <v>5500000</v>
      </c>
      <c r="J617" s="292">
        <v>5500000</v>
      </c>
      <c r="K617" s="292">
        <v>5500000</v>
      </c>
      <c r="L617" s="292">
        <v>5500000</v>
      </c>
      <c r="M617" s="292" t="s">
        <v>7</v>
      </c>
      <c r="N617" s="292">
        <v>0</v>
      </c>
    </row>
    <row r="618" spans="1:14" x14ac:dyDescent="0.25">
      <c r="A618" t="s">
        <v>384</v>
      </c>
      <c r="B618" s="39">
        <f t="shared" si="36"/>
        <v>5</v>
      </c>
      <c r="C618" s="39" t="str">
        <f t="shared" si="37"/>
        <v>Nick</v>
      </c>
      <c r="D618" s="39" t="str">
        <f t="shared" si="38"/>
        <v>Jensen</v>
      </c>
      <c r="E618" s="39" t="str">
        <f t="shared" si="39"/>
        <v>Nick Jensen</v>
      </c>
      <c r="F618" t="s">
        <v>1035</v>
      </c>
      <c r="G618" t="s">
        <v>379</v>
      </c>
      <c r="H618" s="292">
        <v>812500</v>
      </c>
      <c r="I618" s="292">
        <v>0</v>
      </c>
      <c r="J618" s="292">
        <v>825000</v>
      </c>
      <c r="K618" s="292" t="s">
        <v>7</v>
      </c>
      <c r="L618" s="292">
        <v>0</v>
      </c>
      <c r="M618" s="292">
        <v>0</v>
      </c>
      <c r="N618" s="292">
        <v>0</v>
      </c>
    </row>
    <row r="619" spans="1:14" x14ac:dyDescent="0.25">
      <c r="A619" t="s">
        <v>355</v>
      </c>
      <c r="B619" s="39">
        <f t="shared" si="36"/>
        <v>5</v>
      </c>
      <c r="C619" s="39" t="str">
        <f t="shared" si="37"/>
        <v>Nick</v>
      </c>
      <c r="D619" s="39" t="str">
        <f t="shared" si="38"/>
        <v>Leddy</v>
      </c>
      <c r="E619" s="39" t="str">
        <f t="shared" si="39"/>
        <v>Nick Leddy</v>
      </c>
      <c r="F619" t="s">
        <v>1040</v>
      </c>
      <c r="G619" t="s">
        <v>380</v>
      </c>
      <c r="H619" s="292">
        <v>5500000</v>
      </c>
      <c r="I619" s="292">
        <v>5500000</v>
      </c>
      <c r="J619" s="292">
        <v>5500000</v>
      </c>
      <c r="K619" s="292">
        <v>6000000</v>
      </c>
      <c r="L619" s="292">
        <v>6500000</v>
      </c>
      <c r="M619" s="292">
        <v>7000000</v>
      </c>
      <c r="N619" s="292" t="s">
        <v>7</v>
      </c>
    </row>
    <row r="620" spans="1:14" x14ac:dyDescent="0.25">
      <c r="A620" t="s">
        <v>849</v>
      </c>
      <c r="B620" s="39">
        <f t="shared" si="36"/>
        <v>5</v>
      </c>
      <c r="C620" s="39" t="str">
        <f t="shared" si="37"/>
        <v>Nick</v>
      </c>
      <c r="D620" s="39" t="str">
        <f t="shared" si="38"/>
        <v>Merkley</v>
      </c>
      <c r="E620" s="39" t="str">
        <f t="shared" si="39"/>
        <v>Nick Merkley</v>
      </c>
      <c r="F620" t="s">
        <v>1032</v>
      </c>
      <c r="G620" t="s">
        <v>88</v>
      </c>
      <c r="H620" s="292">
        <v>1075830</v>
      </c>
      <c r="I620" s="292">
        <v>1075830</v>
      </c>
      <c r="J620" s="292">
        <v>832500</v>
      </c>
      <c r="K620" s="292">
        <v>832500</v>
      </c>
      <c r="L620" s="292" t="s">
        <v>8</v>
      </c>
      <c r="M620" s="292">
        <v>0</v>
      </c>
      <c r="N620" s="292">
        <v>0</v>
      </c>
    </row>
    <row r="621" spans="1:14" x14ac:dyDescent="0.25">
      <c r="A621" t="s">
        <v>238</v>
      </c>
      <c r="B621" s="39">
        <f t="shared" si="36"/>
        <v>5</v>
      </c>
      <c r="C621" s="39" t="str">
        <f t="shared" si="37"/>
        <v>Nick</v>
      </c>
      <c r="D621" s="39" t="str">
        <f t="shared" si="38"/>
        <v>Schmaltz</v>
      </c>
      <c r="E621" s="39" t="str">
        <f t="shared" si="39"/>
        <v>Nick Schmaltz</v>
      </c>
      <c r="F621" t="s">
        <v>1011</v>
      </c>
      <c r="G621" t="s">
        <v>73</v>
      </c>
      <c r="H621" s="292">
        <v>1541670</v>
      </c>
      <c r="I621" s="292">
        <v>0</v>
      </c>
      <c r="J621" s="292">
        <v>925000</v>
      </c>
      <c r="K621" s="292" t="s">
        <v>8</v>
      </c>
      <c r="L621" s="292">
        <v>0</v>
      </c>
      <c r="M621" s="292">
        <v>0</v>
      </c>
      <c r="N621" s="292">
        <v>0</v>
      </c>
    </row>
    <row r="622" spans="1:14" x14ac:dyDescent="0.25">
      <c r="A622" t="s">
        <v>765</v>
      </c>
      <c r="B622" s="39">
        <f t="shared" si="36"/>
        <v>5</v>
      </c>
      <c r="C622" s="39" t="str">
        <f t="shared" si="37"/>
        <v>Nick</v>
      </c>
      <c r="D622" s="39" t="str">
        <f t="shared" si="38"/>
        <v>Schneider</v>
      </c>
      <c r="E622" s="39" t="str">
        <f t="shared" si="39"/>
        <v>Nick Schneider</v>
      </c>
      <c r="F622" t="s">
        <v>1031</v>
      </c>
      <c r="G622" t="s">
        <v>127</v>
      </c>
      <c r="H622" s="292">
        <v>675000</v>
      </c>
      <c r="I622" s="292">
        <v>675000</v>
      </c>
      <c r="J622" s="292">
        <v>650000</v>
      </c>
      <c r="K622" s="292">
        <v>700000</v>
      </c>
      <c r="L622" s="292" t="s">
        <v>8</v>
      </c>
      <c r="M622" s="292">
        <v>0</v>
      </c>
      <c r="N622" s="292">
        <v>0</v>
      </c>
    </row>
    <row r="623" spans="1:14" x14ac:dyDescent="0.25">
      <c r="A623" t="s">
        <v>150</v>
      </c>
      <c r="B623" s="39">
        <f t="shared" si="36"/>
        <v>5</v>
      </c>
      <c r="C623" s="39" t="str">
        <f t="shared" si="37"/>
        <v>Nick</v>
      </c>
      <c r="D623" s="39" t="str">
        <f t="shared" si="38"/>
        <v>Suzuki</v>
      </c>
      <c r="E623" s="39" t="str">
        <f t="shared" si="39"/>
        <v>Nick Suzuki</v>
      </c>
      <c r="F623" t="s">
        <v>1041</v>
      </c>
      <c r="G623" t="s">
        <v>73</v>
      </c>
      <c r="H623" s="292">
        <v>1387500</v>
      </c>
      <c r="I623" s="292">
        <v>1387500</v>
      </c>
      <c r="J623" s="292">
        <v>925000</v>
      </c>
      <c r="K623" s="292">
        <v>925000</v>
      </c>
      <c r="L623" s="292" t="s">
        <v>8</v>
      </c>
      <c r="M623" s="292">
        <v>0</v>
      </c>
      <c r="N623" s="292">
        <v>0</v>
      </c>
    </row>
    <row r="624" spans="1:14" x14ac:dyDescent="0.25">
      <c r="A624" t="s">
        <v>300</v>
      </c>
      <c r="B624" s="39">
        <f t="shared" si="36"/>
        <v>8</v>
      </c>
      <c r="C624" s="39" t="str">
        <f t="shared" si="37"/>
        <v>Nicklas</v>
      </c>
      <c r="D624" s="39" t="str">
        <f t="shared" si="38"/>
        <v>Backstrom</v>
      </c>
      <c r="E624" s="39" t="str">
        <f t="shared" si="39"/>
        <v>Nicklas Backstrom</v>
      </c>
      <c r="F624" t="s">
        <v>1013</v>
      </c>
      <c r="G624" t="s">
        <v>73</v>
      </c>
      <c r="H624" s="292">
        <v>6700000</v>
      </c>
      <c r="I624" s="292">
        <v>6700000</v>
      </c>
      <c r="J624" s="292">
        <v>7500000</v>
      </c>
      <c r="K624" s="292">
        <v>8000000</v>
      </c>
      <c r="L624" s="292" t="s">
        <v>7</v>
      </c>
      <c r="M624" s="292">
        <v>0</v>
      </c>
      <c r="N624" s="292">
        <v>0</v>
      </c>
    </row>
    <row r="625" spans="1:14" x14ac:dyDescent="0.25">
      <c r="A625" t="s">
        <v>136</v>
      </c>
      <c r="B625" s="39">
        <f t="shared" si="36"/>
        <v>5</v>
      </c>
      <c r="C625" s="39" t="str">
        <f t="shared" si="37"/>
        <v>Nico</v>
      </c>
      <c r="D625" s="39" t="str">
        <f t="shared" si="38"/>
        <v>Hischier</v>
      </c>
      <c r="E625" s="39" t="str">
        <f t="shared" si="39"/>
        <v>Nico Hischier</v>
      </c>
      <c r="F625" t="s">
        <v>1038</v>
      </c>
      <c r="G625" t="s">
        <v>73</v>
      </c>
      <c r="H625" s="292">
        <v>3775000</v>
      </c>
      <c r="I625" s="292">
        <v>3775000</v>
      </c>
      <c r="J625" s="292">
        <v>925000</v>
      </c>
      <c r="K625" s="292">
        <v>925000</v>
      </c>
      <c r="L625" s="292" t="s">
        <v>8</v>
      </c>
      <c r="M625" s="292">
        <v>0</v>
      </c>
      <c r="N625" s="292">
        <v>0</v>
      </c>
    </row>
    <row r="626" spans="1:14" x14ac:dyDescent="0.25">
      <c r="A626" t="s">
        <v>1139</v>
      </c>
      <c r="B626" s="39">
        <f t="shared" si="36"/>
        <v>8</v>
      </c>
      <c r="C626" s="39" t="str">
        <f t="shared" si="37"/>
        <v>Nicolas</v>
      </c>
      <c r="D626" s="39" t="str">
        <f t="shared" si="38"/>
        <v>Aube-Kubel</v>
      </c>
      <c r="E626" s="39" t="str">
        <f t="shared" si="39"/>
        <v>Nicolas Aube-Kubel</v>
      </c>
      <c r="F626" t="s">
        <v>1021</v>
      </c>
      <c r="G626" t="s">
        <v>88</v>
      </c>
      <c r="H626" s="292">
        <v>871667</v>
      </c>
      <c r="I626" s="292">
        <v>0</v>
      </c>
      <c r="J626" s="292">
        <v>725000</v>
      </c>
      <c r="K626" s="292" t="s">
        <v>8</v>
      </c>
      <c r="L626" s="292">
        <v>0</v>
      </c>
      <c r="M626" s="292">
        <v>0</v>
      </c>
      <c r="N626" s="292">
        <v>0</v>
      </c>
    </row>
    <row r="627" spans="1:14" x14ac:dyDescent="0.25">
      <c r="A627" t="s">
        <v>170</v>
      </c>
      <c r="B627" s="39">
        <f t="shared" si="36"/>
        <v>8</v>
      </c>
      <c r="C627" s="39" t="str">
        <f t="shared" si="37"/>
        <v>Nicolas</v>
      </c>
      <c r="D627" s="39" t="str">
        <f t="shared" si="38"/>
        <v>Hague</v>
      </c>
      <c r="E627" s="39" t="str">
        <f t="shared" si="39"/>
        <v>Nicolas Hague</v>
      </c>
      <c r="F627" t="s">
        <v>1041</v>
      </c>
      <c r="G627" t="s">
        <v>82</v>
      </c>
      <c r="H627" s="292">
        <v>925000</v>
      </c>
      <c r="I627" s="292">
        <v>925000</v>
      </c>
      <c r="J627" s="292">
        <v>842500</v>
      </c>
      <c r="K627" s="292">
        <v>925000</v>
      </c>
      <c r="L627" s="292" t="s">
        <v>8</v>
      </c>
      <c r="M627" s="292">
        <v>0</v>
      </c>
      <c r="N627" s="292">
        <v>0</v>
      </c>
    </row>
    <row r="628" spans="1:14" x14ac:dyDescent="0.25">
      <c r="A628" t="s">
        <v>922</v>
      </c>
      <c r="B628" s="39">
        <f t="shared" si="36"/>
        <v>8</v>
      </c>
      <c r="C628" s="39" t="str">
        <f t="shared" si="37"/>
        <v>Nicolas</v>
      </c>
      <c r="D628" s="39" t="str">
        <f t="shared" si="38"/>
        <v>Meloche</v>
      </c>
      <c r="E628" s="39" t="str">
        <f t="shared" si="39"/>
        <v>Nicolas Meloche</v>
      </c>
      <c r="F628" t="s">
        <v>1033</v>
      </c>
      <c r="G628" t="s">
        <v>82</v>
      </c>
      <c r="H628" s="292">
        <v>925000</v>
      </c>
      <c r="I628" s="292">
        <v>925000</v>
      </c>
      <c r="J628" s="292">
        <v>842500</v>
      </c>
      <c r="K628" s="292">
        <v>925000</v>
      </c>
      <c r="L628" s="292" t="s">
        <v>8</v>
      </c>
      <c r="M628" s="292">
        <v>0</v>
      </c>
      <c r="N628" s="292">
        <v>0</v>
      </c>
    </row>
    <row r="629" spans="1:14" x14ac:dyDescent="0.25">
      <c r="A629" t="s">
        <v>991</v>
      </c>
      <c r="B629" s="39">
        <f t="shared" si="36"/>
        <v>8</v>
      </c>
      <c r="C629" s="39" t="str">
        <f t="shared" si="37"/>
        <v>Nicolas</v>
      </c>
      <c r="D629" s="39" t="str">
        <f t="shared" si="38"/>
        <v>Roy</v>
      </c>
      <c r="E629" s="39" t="str">
        <f t="shared" si="39"/>
        <v>Nicolas Roy</v>
      </c>
      <c r="F629" t="s">
        <v>1036</v>
      </c>
      <c r="G629" t="s">
        <v>73</v>
      </c>
      <c r="H629" s="292">
        <v>790000</v>
      </c>
      <c r="I629" s="292">
        <v>790000</v>
      </c>
      <c r="J629" s="292">
        <v>730000</v>
      </c>
      <c r="K629" s="292">
        <v>700000</v>
      </c>
      <c r="L629" s="292" t="s">
        <v>8</v>
      </c>
      <c r="M629" s="292">
        <v>0</v>
      </c>
      <c r="N629" s="292">
        <v>0</v>
      </c>
    </row>
    <row r="630" spans="1:14" x14ac:dyDescent="0.25">
      <c r="A630" t="s">
        <v>224</v>
      </c>
      <c r="B630" s="39">
        <f t="shared" si="36"/>
        <v>7</v>
      </c>
      <c r="C630" s="39" t="str">
        <f t="shared" si="37"/>
        <v>Nikita</v>
      </c>
      <c r="D630" s="39" t="str">
        <f t="shared" si="38"/>
        <v>Kucherov</v>
      </c>
      <c r="E630" s="39" t="str">
        <f t="shared" si="39"/>
        <v>Nikita Kucherov</v>
      </c>
      <c r="F630" t="s">
        <v>1019</v>
      </c>
      <c r="G630" t="s">
        <v>88</v>
      </c>
      <c r="H630" s="292">
        <v>4766670</v>
      </c>
      <c r="I630" s="292">
        <v>0</v>
      </c>
      <c r="J630" s="292">
        <v>5550000</v>
      </c>
      <c r="K630" s="292" t="s">
        <v>8</v>
      </c>
      <c r="L630" s="292">
        <v>0</v>
      </c>
      <c r="M630" s="292">
        <v>0</v>
      </c>
      <c r="N630" s="292">
        <v>0</v>
      </c>
    </row>
    <row r="631" spans="1:14" x14ac:dyDescent="0.25">
      <c r="A631" t="s">
        <v>780</v>
      </c>
      <c r="B631" s="39">
        <f t="shared" si="36"/>
        <v>7</v>
      </c>
      <c r="C631" s="39" t="str">
        <f t="shared" si="37"/>
        <v>Nikita</v>
      </c>
      <c r="D631" s="39" t="str">
        <f t="shared" si="38"/>
        <v>Scherbak</v>
      </c>
      <c r="E631" s="39" t="str">
        <f t="shared" si="39"/>
        <v>Nikita Scherbak</v>
      </c>
      <c r="F631" t="s">
        <v>1023</v>
      </c>
      <c r="G631" t="s">
        <v>93</v>
      </c>
      <c r="H631" s="292">
        <v>1063330</v>
      </c>
      <c r="I631" s="292">
        <v>0</v>
      </c>
      <c r="J631" s="292">
        <v>832500</v>
      </c>
      <c r="K631" s="292" t="s">
        <v>8</v>
      </c>
      <c r="L631" s="292">
        <v>0</v>
      </c>
      <c r="M631" s="292">
        <v>0</v>
      </c>
      <c r="N631" s="292">
        <v>0</v>
      </c>
    </row>
    <row r="632" spans="1:14" x14ac:dyDescent="0.25">
      <c r="A632" t="s">
        <v>916</v>
      </c>
      <c r="B632" s="39">
        <f t="shared" si="36"/>
        <v>7</v>
      </c>
      <c r="C632" s="39" t="str">
        <f t="shared" si="37"/>
        <v>Nikita</v>
      </c>
      <c r="D632" s="39" t="str">
        <f t="shared" si="38"/>
        <v>Zadorov</v>
      </c>
      <c r="E632" s="39" t="str">
        <f t="shared" si="39"/>
        <v>Nikita Zadorov</v>
      </c>
      <c r="F632" t="s">
        <v>1033</v>
      </c>
      <c r="G632" t="s">
        <v>380</v>
      </c>
      <c r="H632" s="292">
        <v>2150000</v>
      </c>
      <c r="I632" s="292">
        <v>0</v>
      </c>
      <c r="J632" s="292">
        <v>2300000</v>
      </c>
      <c r="K632" s="292" t="s">
        <v>8</v>
      </c>
      <c r="L632" s="292">
        <v>0</v>
      </c>
      <c r="M632" s="292">
        <v>0</v>
      </c>
      <c r="N632" s="292">
        <v>0</v>
      </c>
    </row>
    <row r="633" spans="1:14" x14ac:dyDescent="0.25">
      <c r="A633" t="s">
        <v>336</v>
      </c>
      <c r="B633" s="39">
        <f t="shared" si="36"/>
        <v>7</v>
      </c>
      <c r="C633" s="39" t="str">
        <f t="shared" si="37"/>
        <v>Nikita</v>
      </c>
      <c r="D633" s="39" t="str">
        <f t="shared" si="38"/>
        <v>Zaitsev</v>
      </c>
      <c r="E633" s="39" t="str">
        <f t="shared" si="39"/>
        <v>Nikita Zaitsev</v>
      </c>
      <c r="F633" t="s">
        <v>1034</v>
      </c>
      <c r="G633" t="s">
        <v>379</v>
      </c>
      <c r="H633" s="292">
        <v>4500000</v>
      </c>
      <c r="I633" s="292">
        <v>4500000</v>
      </c>
      <c r="J633" s="292">
        <v>4500000</v>
      </c>
      <c r="K633" s="292">
        <v>4500000</v>
      </c>
      <c r="L633" s="292">
        <v>4500000</v>
      </c>
      <c r="M633" s="292">
        <v>4500000</v>
      </c>
      <c r="N633" s="292">
        <v>4500000</v>
      </c>
    </row>
    <row r="634" spans="1:14" x14ac:dyDescent="0.25">
      <c r="A634" t="s">
        <v>603</v>
      </c>
      <c r="B634" s="39">
        <f t="shared" si="36"/>
        <v>7</v>
      </c>
      <c r="C634" s="39" t="str">
        <f t="shared" si="37"/>
        <v>Niklas</v>
      </c>
      <c r="D634" s="39" t="str">
        <f t="shared" si="38"/>
        <v>Hansson</v>
      </c>
      <c r="E634" s="39" t="str">
        <f t="shared" si="39"/>
        <v>Niklas Hansson</v>
      </c>
      <c r="F634" t="s">
        <v>1015</v>
      </c>
      <c r="G634" t="s">
        <v>82</v>
      </c>
      <c r="H634" s="292">
        <v>925000</v>
      </c>
      <c r="I634" s="292">
        <v>0</v>
      </c>
      <c r="J634" s="292">
        <v>802500</v>
      </c>
      <c r="K634" s="292" t="s">
        <v>8</v>
      </c>
      <c r="L634" s="292">
        <v>0</v>
      </c>
      <c r="M634" s="292">
        <v>0</v>
      </c>
      <c r="N634" s="292">
        <v>0</v>
      </c>
    </row>
    <row r="635" spans="1:14" x14ac:dyDescent="0.25">
      <c r="A635" t="s">
        <v>1099</v>
      </c>
      <c r="B635" s="39">
        <f t="shared" si="36"/>
        <v>7</v>
      </c>
      <c r="C635" s="39" t="str">
        <f t="shared" si="37"/>
        <v>Niklas</v>
      </c>
      <c r="D635" s="39" t="str">
        <f t="shared" si="38"/>
        <v>Hjalmarsson</v>
      </c>
      <c r="E635" s="39" t="str">
        <f t="shared" si="39"/>
        <v>Niklas Hjalmarsson</v>
      </c>
      <c r="F635" t="s">
        <v>1032</v>
      </c>
      <c r="G635" t="s">
        <v>379</v>
      </c>
      <c r="H635" s="292">
        <v>4099999</v>
      </c>
      <c r="I635" s="292">
        <v>0</v>
      </c>
      <c r="J635" s="292">
        <v>4000000</v>
      </c>
      <c r="K635" s="292" t="s">
        <v>7</v>
      </c>
      <c r="L635" s="292">
        <v>0</v>
      </c>
      <c r="M635" s="292">
        <v>0</v>
      </c>
      <c r="N635" s="292">
        <v>0</v>
      </c>
    </row>
    <row r="636" spans="1:14" x14ac:dyDescent="0.25">
      <c r="A636" t="s">
        <v>1089</v>
      </c>
      <c r="B636" s="39">
        <f t="shared" si="36"/>
        <v>7</v>
      </c>
      <c r="C636" s="39" t="str">
        <f t="shared" si="37"/>
        <v>Niklas</v>
      </c>
      <c r="D636" s="39" t="str">
        <f t="shared" si="38"/>
        <v>Kronwall</v>
      </c>
      <c r="E636" s="39" t="str">
        <f t="shared" si="39"/>
        <v>Niklas Kronwall</v>
      </c>
      <c r="F636" t="s">
        <v>1035</v>
      </c>
      <c r="G636" t="s">
        <v>380</v>
      </c>
      <c r="H636" s="292">
        <v>4750000</v>
      </c>
      <c r="I636" s="292">
        <v>0</v>
      </c>
      <c r="J636" s="292">
        <v>1750000</v>
      </c>
      <c r="K636" s="292" t="s">
        <v>7</v>
      </c>
      <c r="L636" s="292">
        <v>0</v>
      </c>
      <c r="M636" s="292">
        <v>0</v>
      </c>
      <c r="N636" s="292">
        <v>0</v>
      </c>
    </row>
    <row r="637" spans="1:14" x14ac:dyDescent="0.25">
      <c r="A637" t="s">
        <v>828</v>
      </c>
      <c r="B637" s="39">
        <f t="shared" si="36"/>
        <v>8</v>
      </c>
      <c r="C637" s="39" t="str">
        <f t="shared" si="37"/>
        <v>Nikolay</v>
      </c>
      <c r="D637" s="39" t="str">
        <f t="shared" si="38"/>
        <v>Goldobin</v>
      </c>
      <c r="E637" s="39" t="str">
        <f t="shared" si="39"/>
        <v>Nikolay Goldobin</v>
      </c>
      <c r="F637" t="s">
        <v>1037</v>
      </c>
      <c r="G637" t="s">
        <v>88</v>
      </c>
      <c r="H637" s="292">
        <v>1075830</v>
      </c>
      <c r="I637" s="292">
        <v>0</v>
      </c>
      <c r="J637" s="292">
        <v>832500</v>
      </c>
      <c r="K637" s="292" t="s">
        <v>8</v>
      </c>
      <c r="L637" s="292">
        <v>0</v>
      </c>
      <c r="M637" s="292">
        <v>0</v>
      </c>
      <c r="N637" s="292">
        <v>0</v>
      </c>
    </row>
    <row r="638" spans="1:14" x14ac:dyDescent="0.25">
      <c r="A638" t="s">
        <v>454</v>
      </c>
      <c r="B638" s="39">
        <f t="shared" si="36"/>
        <v>5</v>
      </c>
      <c r="C638" s="39" t="str">
        <f t="shared" si="37"/>
        <v>Nino</v>
      </c>
      <c r="D638" s="39" t="str">
        <f t="shared" si="38"/>
        <v>Niederreiter</v>
      </c>
      <c r="E638" s="39" t="str">
        <f t="shared" si="39"/>
        <v>Nino Niederreiter</v>
      </c>
      <c r="F638" t="s">
        <v>1025</v>
      </c>
      <c r="G638" t="s">
        <v>88</v>
      </c>
      <c r="H638" s="292">
        <v>5250000</v>
      </c>
      <c r="I638" s="292">
        <v>5250000</v>
      </c>
      <c r="J638" s="292">
        <v>6075000</v>
      </c>
      <c r="K638" s="292">
        <v>5850000</v>
      </c>
      <c r="L638" s="292">
        <v>4250000</v>
      </c>
      <c r="M638" s="292">
        <v>5475000</v>
      </c>
      <c r="N638" s="292" t="s">
        <v>7</v>
      </c>
    </row>
    <row r="639" spans="1:14" x14ac:dyDescent="0.25">
      <c r="A639" t="s">
        <v>786</v>
      </c>
      <c r="B639" s="39">
        <f t="shared" si="36"/>
        <v>5</v>
      </c>
      <c r="C639" s="39" t="str">
        <f t="shared" si="37"/>
        <v>Noah</v>
      </c>
      <c r="D639" s="39" t="str">
        <f t="shared" si="38"/>
        <v>Juulsen</v>
      </c>
      <c r="E639" s="39" t="str">
        <f t="shared" si="39"/>
        <v>Noah Juulsen</v>
      </c>
      <c r="F639" t="s">
        <v>1023</v>
      </c>
      <c r="G639" t="s">
        <v>379</v>
      </c>
      <c r="H639" s="292">
        <v>1063330</v>
      </c>
      <c r="I639" s="292">
        <v>1063330</v>
      </c>
      <c r="J639" s="292">
        <v>832500</v>
      </c>
      <c r="K639" s="292">
        <v>832500</v>
      </c>
      <c r="L639" s="292" t="s">
        <v>8</v>
      </c>
      <c r="M639" s="292">
        <v>0</v>
      </c>
      <c r="N639" s="292">
        <v>0</v>
      </c>
    </row>
    <row r="640" spans="1:14" x14ac:dyDescent="0.25">
      <c r="A640" t="s">
        <v>539</v>
      </c>
      <c r="B640" s="39">
        <f t="shared" si="36"/>
        <v>5</v>
      </c>
      <c r="C640" s="39" t="str">
        <f t="shared" si="37"/>
        <v>Noel</v>
      </c>
      <c r="D640" s="39" t="str">
        <f t="shared" si="38"/>
        <v>Acciari</v>
      </c>
      <c r="E640" s="39" t="str">
        <f t="shared" si="39"/>
        <v>Noel Acciari</v>
      </c>
      <c r="F640" t="s">
        <v>1030</v>
      </c>
      <c r="G640" t="s">
        <v>73</v>
      </c>
      <c r="H640" s="292">
        <v>725000</v>
      </c>
      <c r="I640" s="292">
        <v>0</v>
      </c>
      <c r="J640" s="292">
        <v>750000</v>
      </c>
      <c r="K640" s="292" t="s">
        <v>8</v>
      </c>
      <c r="L640" s="292">
        <v>0</v>
      </c>
      <c r="M640" s="292">
        <v>0</v>
      </c>
      <c r="N640" s="292">
        <v>0</v>
      </c>
    </row>
    <row r="641" spans="1:14" x14ac:dyDescent="0.25">
      <c r="A641" t="s">
        <v>137</v>
      </c>
      <c r="B641" s="39">
        <f t="shared" si="36"/>
        <v>6</v>
      </c>
      <c r="C641" s="39" t="str">
        <f t="shared" si="37"/>
        <v>Nolan</v>
      </c>
      <c r="D641" s="39" t="str">
        <f t="shared" si="38"/>
        <v>Patrick</v>
      </c>
      <c r="E641" s="39" t="str">
        <f t="shared" si="39"/>
        <v>Nolan Patrick</v>
      </c>
      <c r="F641" t="s">
        <v>1021</v>
      </c>
      <c r="G641" t="s">
        <v>73</v>
      </c>
      <c r="H641" s="292">
        <v>3575000</v>
      </c>
      <c r="I641" s="292">
        <v>3575000</v>
      </c>
      <c r="J641" s="292">
        <v>925000</v>
      </c>
      <c r="K641" s="292">
        <v>925000</v>
      </c>
      <c r="L641" s="292" t="s">
        <v>8</v>
      </c>
      <c r="M641" s="292">
        <v>0</v>
      </c>
      <c r="N641" s="292">
        <v>0</v>
      </c>
    </row>
    <row r="642" spans="1:14" x14ac:dyDescent="0.25">
      <c r="A642" t="s">
        <v>530</v>
      </c>
      <c r="B642" s="39">
        <f t="shared" si="36"/>
        <v>5</v>
      </c>
      <c r="C642" s="39" t="str">
        <f t="shared" si="37"/>
        <v>Oleg</v>
      </c>
      <c r="D642" s="39" t="str">
        <f t="shared" si="38"/>
        <v>Sosunov</v>
      </c>
      <c r="E642" s="39" t="str">
        <f t="shared" si="39"/>
        <v>Oleg Sosunov</v>
      </c>
      <c r="F642" t="s">
        <v>1019</v>
      </c>
      <c r="G642" t="s">
        <v>82</v>
      </c>
      <c r="H642" s="292">
        <v>724067</v>
      </c>
      <c r="I642" s="292">
        <v>724067</v>
      </c>
      <c r="J642" s="292">
        <v>700000</v>
      </c>
      <c r="K642" s="292">
        <v>750000</v>
      </c>
      <c r="L642" s="292" t="s">
        <v>8</v>
      </c>
      <c r="M642" s="292">
        <v>0</v>
      </c>
      <c r="N642" s="292">
        <v>0</v>
      </c>
    </row>
    <row r="643" spans="1:14" x14ac:dyDescent="0.25">
      <c r="A643" t="s">
        <v>312</v>
      </c>
      <c r="B643" s="39">
        <f t="shared" ref="B643:B706" si="40">SEARCH(" ",A643,1)</f>
        <v>7</v>
      </c>
      <c r="C643" s="39" t="str">
        <f t="shared" ref="C643:C706" si="41">LEFT(A643,B643-1)</f>
        <v>Oliver</v>
      </c>
      <c r="D643" s="39" t="str">
        <f t="shared" ref="D643:D706" si="42">MID(A643,B643+1,LEN(A643)-B643)</f>
        <v>Ekman-Larsson</v>
      </c>
      <c r="E643" s="39" t="str">
        <f t="shared" ref="E643:E706" si="43">C643&amp;" "&amp;D643</f>
        <v>Oliver Ekman-Larsson</v>
      </c>
      <c r="F643" t="s">
        <v>1032</v>
      </c>
      <c r="G643" t="s">
        <v>380</v>
      </c>
      <c r="H643" s="292">
        <v>5500000</v>
      </c>
      <c r="I643" s="292">
        <v>0</v>
      </c>
      <c r="J643" s="292">
        <v>7000000</v>
      </c>
      <c r="K643" s="292" t="s">
        <v>7</v>
      </c>
      <c r="L643" s="292">
        <v>0</v>
      </c>
      <c r="M643" s="292">
        <v>0</v>
      </c>
      <c r="N643" s="292">
        <v>0</v>
      </c>
    </row>
    <row r="644" spans="1:14" x14ac:dyDescent="0.25">
      <c r="A644" t="s">
        <v>761</v>
      </c>
      <c r="B644" s="39">
        <f t="shared" si="40"/>
        <v>7</v>
      </c>
      <c r="C644" s="39" t="str">
        <f t="shared" si="41"/>
        <v>Oliver</v>
      </c>
      <c r="D644" s="39" t="str">
        <f t="shared" si="42"/>
        <v>Kylington</v>
      </c>
      <c r="E644" s="39" t="str">
        <f t="shared" si="43"/>
        <v>Oliver Kylington</v>
      </c>
      <c r="F644" t="s">
        <v>1031</v>
      </c>
      <c r="G644" t="s">
        <v>82</v>
      </c>
      <c r="H644" s="292">
        <v>863333</v>
      </c>
      <c r="I644" s="292">
        <v>863333</v>
      </c>
      <c r="J644" s="292">
        <v>700000</v>
      </c>
      <c r="K644" s="292">
        <v>750000</v>
      </c>
      <c r="L644" s="292" t="s">
        <v>8</v>
      </c>
      <c r="M644" s="292">
        <v>0</v>
      </c>
      <c r="N644" s="292">
        <v>0</v>
      </c>
    </row>
    <row r="645" spans="1:14" x14ac:dyDescent="0.25">
      <c r="A645" t="s">
        <v>1100</v>
      </c>
      <c r="B645" s="39">
        <f t="shared" si="40"/>
        <v>5</v>
      </c>
      <c r="C645" s="39" t="str">
        <f t="shared" si="41"/>
        <v>Olli</v>
      </c>
      <c r="D645" s="39" t="str">
        <f t="shared" si="42"/>
        <v>Maatta</v>
      </c>
      <c r="E645" s="39" t="str">
        <f t="shared" si="43"/>
        <v>Olli Maatta</v>
      </c>
      <c r="F645" t="s">
        <v>1014</v>
      </c>
      <c r="G645" t="s">
        <v>380</v>
      </c>
      <c r="H645" s="292">
        <v>4083330</v>
      </c>
      <c r="I645" s="292">
        <v>4083330</v>
      </c>
      <c r="J645" s="292">
        <v>4083300</v>
      </c>
      <c r="K645" s="292">
        <v>4083300</v>
      </c>
      <c r="L645" s="292">
        <v>4083300</v>
      </c>
      <c r="M645" s="292">
        <v>4083500</v>
      </c>
      <c r="N645" s="292" t="s">
        <v>7</v>
      </c>
    </row>
    <row r="646" spans="1:14" x14ac:dyDescent="0.25">
      <c r="A646" t="s">
        <v>513</v>
      </c>
      <c r="B646" s="39">
        <f t="shared" si="40"/>
        <v>7</v>
      </c>
      <c r="C646" s="39" t="str">
        <f t="shared" si="41"/>
        <v>Ondrej</v>
      </c>
      <c r="D646" s="39" t="str">
        <f t="shared" si="42"/>
        <v>Palat</v>
      </c>
      <c r="E646" s="39" t="str">
        <f t="shared" si="43"/>
        <v>Ondrej Palat</v>
      </c>
      <c r="F646" t="s">
        <v>1019</v>
      </c>
      <c r="G646" t="s">
        <v>93</v>
      </c>
      <c r="H646" s="292">
        <v>5300000</v>
      </c>
      <c r="I646" s="292">
        <v>5300000</v>
      </c>
      <c r="J646" s="292">
        <v>6855000</v>
      </c>
      <c r="K646" s="292">
        <v>5300000</v>
      </c>
      <c r="L646" s="292">
        <v>3445000</v>
      </c>
      <c r="M646" s="292">
        <v>5300000</v>
      </c>
      <c r="N646" s="292" t="s">
        <v>7</v>
      </c>
    </row>
    <row r="647" spans="1:14" x14ac:dyDescent="0.25">
      <c r="A647" t="s">
        <v>607</v>
      </c>
      <c r="B647" s="39">
        <f t="shared" si="40"/>
        <v>7</v>
      </c>
      <c r="C647" s="39" t="str">
        <f t="shared" si="41"/>
        <v>Ondrej</v>
      </c>
      <c r="D647" s="39" t="str">
        <f t="shared" si="42"/>
        <v>Vala</v>
      </c>
      <c r="E647" s="39" t="str">
        <f t="shared" si="43"/>
        <v>Ondrej Vala</v>
      </c>
      <c r="F647" t="s">
        <v>1015</v>
      </c>
      <c r="G647" t="s">
        <v>82</v>
      </c>
      <c r="H647" s="292">
        <v>680000</v>
      </c>
      <c r="I647" s="292">
        <v>0</v>
      </c>
      <c r="J647" s="292">
        <v>705000</v>
      </c>
      <c r="K647" s="292" t="s">
        <v>8</v>
      </c>
      <c r="L647" s="292">
        <v>0</v>
      </c>
      <c r="M647" s="292">
        <v>0</v>
      </c>
      <c r="N647" s="292">
        <v>0</v>
      </c>
    </row>
    <row r="648" spans="1:14" x14ac:dyDescent="0.25">
      <c r="A648" t="s">
        <v>359</v>
      </c>
      <c r="B648" s="39">
        <f t="shared" si="40"/>
        <v>6</v>
      </c>
      <c r="C648" s="39" t="str">
        <f t="shared" si="41"/>
        <v>Oscar</v>
      </c>
      <c r="D648" s="39" t="str">
        <f t="shared" si="42"/>
        <v>Klefbom</v>
      </c>
      <c r="E648" s="39" t="str">
        <f t="shared" si="43"/>
        <v>Oscar Klefbom</v>
      </c>
      <c r="F648" t="s">
        <v>1020</v>
      </c>
      <c r="G648" t="s">
        <v>380</v>
      </c>
      <c r="H648" s="292">
        <v>4167000</v>
      </c>
      <c r="I648" s="292">
        <v>4167000</v>
      </c>
      <c r="J648" s="292">
        <v>4000000</v>
      </c>
      <c r="K648" s="292">
        <v>4500000</v>
      </c>
      <c r="L648" s="292">
        <v>4500000</v>
      </c>
      <c r="M648" s="292">
        <v>4500000</v>
      </c>
      <c r="N648" s="292">
        <v>5169000</v>
      </c>
    </row>
    <row r="649" spans="1:14" x14ac:dyDescent="0.25">
      <c r="A649" t="s">
        <v>800</v>
      </c>
      <c r="B649" s="39">
        <f t="shared" si="40"/>
        <v>6</v>
      </c>
      <c r="C649" s="39" t="str">
        <f t="shared" si="41"/>
        <v>Oscar</v>
      </c>
      <c r="D649" s="39" t="str">
        <f t="shared" si="42"/>
        <v>Lindberg</v>
      </c>
      <c r="E649" s="39" t="str">
        <f t="shared" si="43"/>
        <v>Oscar Lindberg</v>
      </c>
      <c r="F649" t="s">
        <v>1041</v>
      </c>
      <c r="G649" t="s">
        <v>73</v>
      </c>
      <c r="H649" s="292">
        <v>1700000</v>
      </c>
      <c r="I649" s="292">
        <v>0</v>
      </c>
      <c r="J649" s="292">
        <v>1800000</v>
      </c>
      <c r="K649" s="292" t="s">
        <v>7</v>
      </c>
      <c r="L649" s="292">
        <v>0</v>
      </c>
      <c r="M649" s="292">
        <v>0</v>
      </c>
      <c r="N649" s="292">
        <v>0</v>
      </c>
    </row>
    <row r="650" spans="1:14" x14ac:dyDescent="0.25">
      <c r="A650" t="s">
        <v>882</v>
      </c>
      <c r="B650" s="39">
        <f t="shared" si="40"/>
        <v>6</v>
      </c>
      <c r="C650" s="39" t="str">
        <f t="shared" si="41"/>
        <v>Oskar</v>
      </c>
      <c r="D650" s="39" t="str">
        <f t="shared" si="42"/>
        <v>Lindblom</v>
      </c>
      <c r="E650" s="39" t="str">
        <f t="shared" si="43"/>
        <v>Oskar Lindblom</v>
      </c>
      <c r="F650" t="s">
        <v>1021</v>
      </c>
      <c r="G650" t="s">
        <v>93</v>
      </c>
      <c r="H650" s="292">
        <v>1137500</v>
      </c>
      <c r="I650" s="292">
        <v>1137500</v>
      </c>
      <c r="J650" s="292">
        <v>925000</v>
      </c>
      <c r="K650" s="292">
        <v>925000</v>
      </c>
      <c r="L650" s="292" t="s">
        <v>8</v>
      </c>
      <c r="M650" s="292">
        <v>0</v>
      </c>
      <c r="N650" s="292">
        <v>0</v>
      </c>
    </row>
    <row r="651" spans="1:14" x14ac:dyDescent="0.25">
      <c r="A651" t="s">
        <v>147</v>
      </c>
      <c r="B651" s="39">
        <f t="shared" si="40"/>
        <v>5</v>
      </c>
      <c r="C651" s="39" t="str">
        <f t="shared" si="41"/>
        <v>Owen</v>
      </c>
      <c r="D651" s="39" t="str">
        <f t="shared" si="42"/>
        <v>Tippett</v>
      </c>
      <c r="E651" s="39" t="str">
        <f t="shared" si="43"/>
        <v>Owen Tippett</v>
      </c>
      <c r="F651" t="s">
        <v>1027</v>
      </c>
      <c r="G651" t="s">
        <v>88</v>
      </c>
      <c r="H651" s="292">
        <v>1757500</v>
      </c>
      <c r="I651" s="292">
        <v>1757500</v>
      </c>
      <c r="J651" s="292">
        <v>925000</v>
      </c>
      <c r="K651" s="292">
        <v>925000</v>
      </c>
      <c r="L651" s="292" t="s">
        <v>8</v>
      </c>
      <c r="M651" s="292">
        <v>0</v>
      </c>
      <c r="N651" s="292">
        <v>0</v>
      </c>
    </row>
    <row r="652" spans="1:14" x14ac:dyDescent="0.25">
      <c r="A652" t="s">
        <v>315</v>
      </c>
      <c r="B652" s="39">
        <f t="shared" si="40"/>
        <v>5</v>
      </c>
      <c r="C652" s="39" t="str">
        <f t="shared" si="41"/>
        <v>P.K.</v>
      </c>
      <c r="D652" s="39" t="str">
        <f t="shared" si="42"/>
        <v>Subban</v>
      </c>
      <c r="E652" s="39" t="str">
        <f t="shared" si="43"/>
        <v>P.K. Subban</v>
      </c>
      <c r="F652" t="s">
        <v>1016</v>
      </c>
      <c r="G652" t="s">
        <v>379</v>
      </c>
      <c r="H652" s="292">
        <v>9000000</v>
      </c>
      <c r="I652" s="292">
        <v>9000000</v>
      </c>
      <c r="J652" s="292">
        <v>10000000</v>
      </c>
      <c r="K652" s="292">
        <v>10000000</v>
      </c>
      <c r="L652" s="292">
        <v>8000000</v>
      </c>
      <c r="M652" s="292">
        <v>8000000</v>
      </c>
      <c r="N652" s="292" t="s">
        <v>7</v>
      </c>
    </row>
    <row r="653" spans="1:14" x14ac:dyDescent="0.25">
      <c r="A653" t="s">
        <v>691</v>
      </c>
      <c r="B653" s="39">
        <f t="shared" si="40"/>
        <v>7</v>
      </c>
      <c r="C653" s="39" t="str">
        <f t="shared" si="41"/>
        <v>Parker</v>
      </c>
      <c r="D653" s="39" t="str">
        <f t="shared" si="42"/>
        <v>Kelly</v>
      </c>
      <c r="E653" s="39" t="str">
        <f t="shared" si="43"/>
        <v>Parker Kelly</v>
      </c>
      <c r="F653" t="s">
        <v>1029</v>
      </c>
      <c r="G653" t="s">
        <v>73</v>
      </c>
      <c r="H653" s="292">
        <v>746667</v>
      </c>
      <c r="I653" s="292">
        <v>746667</v>
      </c>
      <c r="J653" s="292">
        <v>730000</v>
      </c>
      <c r="K653" s="292">
        <v>780000</v>
      </c>
      <c r="L653" s="292" t="s">
        <v>8</v>
      </c>
      <c r="M653" s="292">
        <v>0</v>
      </c>
      <c r="N653" s="292">
        <v>0</v>
      </c>
    </row>
    <row r="654" spans="1:14" x14ac:dyDescent="0.25">
      <c r="A654" t="s">
        <v>908</v>
      </c>
      <c r="B654" s="39">
        <f t="shared" si="40"/>
        <v>7</v>
      </c>
      <c r="C654" s="39" t="str">
        <f t="shared" si="41"/>
        <v>Parker</v>
      </c>
      <c r="D654" s="39" t="str">
        <f t="shared" si="42"/>
        <v>Wotherspoon</v>
      </c>
      <c r="E654" s="39" t="str">
        <f t="shared" si="43"/>
        <v>Parker Wotherspoon</v>
      </c>
      <c r="F654" t="s">
        <v>1040</v>
      </c>
      <c r="G654" t="s">
        <v>82</v>
      </c>
      <c r="H654" s="292">
        <v>858333</v>
      </c>
      <c r="I654" s="292">
        <v>0</v>
      </c>
      <c r="J654" s="292">
        <v>812500</v>
      </c>
      <c r="K654" s="292" t="s">
        <v>8</v>
      </c>
      <c r="L654" s="292">
        <v>0</v>
      </c>
      <c r="M654" s="292">
        <v>0</v>
      </c>
      <c r="N654" s="292">
        <v>0</v>
      </c>
    </row>
    <row r="655" spans="1:14" x14ac:dyDescent="0.25">
      <c r="A655" t="s">
        <v>890</v>
      </c>
      <c r="B655" s="39">
        <f t="shared" si="40"/>
        <v>7</v>
      </c>
      <c r="C655" s="39" t="str">
        <f t="shared" si="41"/>
        <v>Pascal</v>
      </c>
      <c r="D655" s="39" t="str">
        <f t="shared" si="42"/>
        <v>Laberge</v>
      </c>
      <c r="E655" s="39" t="str">
        <f t="shared" si="43"/>
        <v>Pascal Laberge</v>
      </c>
      <c r="F655" t="s">
        <v>1021</v>
      </c>
      <c r="G655" t="s">
        <v>73</v>
      </c>
      <c r="H655" s="292">
        <v>925000</v>
      </c>
      <c r="I655" s="292">
        <v>0</v>
      </c>
      <c r="J655" s="292">
        <v>867500</v>
      </c>
      <c r="K655" s="292" t="s">
        <v>8</v>
      </c>
      <c r="L655" s="292">
        <v>0</v>
      </c>
      <c r="M655" s="292">
        <v>0</v>
      </c>
      <c r="N655" s="292">
        <v>0</v>
      </c>
    </row>
    <row r="656" spans="1:14" x14ac:dyDescent="0.25">
      <c r="A656" t="s">
        <v>1056</v>
      </c>
      <c r="B656" s="39">
        <f t="shared" si="40"/>
        <v>8</v>
      </c>
      <c r="C656" s="39" t="str">
        <f t="shared" si="41"/>
        <v>Patrice</v>
      </c>
      <c r="D656" s="39" t="str">
        <f t="shared" si="42"/>
        <v>Bergeron</v>
      </c>
      <c r="E656" s="39" t="str">
        <f t="shared" si="43"/>
        <v>Patrice Bergeron</v>
      </c>
      <c r="F656" t="s">
        <v>1030</v>
      </c>
      <c r="G656" t="s">
        <v>73</v>
      </c>
      <c r="H656" s="292">
        <v>6875000</v>
      </c>
      <c r="I656" s="292">
        <v>6875000</v>
      </c>
      <c r="J656" s="292">
        <v>6875000</v>
      </c>
      <c r="K656" s="292">
        <v>4375000</v>
      </c>
      <c r="L656" s="292">
        <v>4375000</v>
      </c>
      <c r="M656" s="292">
        <v>4375000</v>
      </c>
      <c r="N656" s="292" t="s">
        <v>7</v>
      </c>
    </row>
    <row r="657" spans="1:14" x14ac:dyDescent="0.25">
      <c r="A657" t="s">
        <v>703</v>
      </c>
      <c r="B657" s="39">
        <f t="shared" si="40"/>
        <v>8</v>
      </c>
      <c r="C657" s="39" t="str">
        <f t="shared" si="41"/>
        <v>Patrick</v>
      </c>
      <c r="D657" s="39" t="str">
        <f t="shared" si="42"/>
        <v>Eaves</v>
      </c>
      <c r="E657" s="39" t="str">
        <f t="shared" si="43"/>
        <v>Patrick Eaves</v>
      </c>
      <c r="F657" t="s">
        <v>1017</v>
      </c>
      <c r="G657" t="s">
        <v>88</v>
      </c>
      <c r="H657" s="292">
        <v>3150000</v>
      </c>
      <c r="I657" s="292">
        <v>3150000</v>
      </c>
      <c r="J657" s="292">
        <v>3150000</v>
      </c>
      <c r="K657" s="292">
        <v>3000000</v>
      </c>
      <c r="L657" s="292" t="s">
        <v>7</v>
      </c>
      <c r="M657" s="292">
        <v>0</v>
      </c>
      <c r="N657" s="292">
        <v>0</v>
      </c>
    </row>
    <row r="658" spans="1:14" x14ac:dyDescent="0.25">
      <c r="A658" t="s">
        <v>323</v>
      </c>
      <c r="B658" s="39">
        <f t="shared" si="40"/>
        <v>8</v>
      </c>
      <c r="C658" s="39" t="str">
        <f t="shared" si="41"/>
        <v>Patrick</v>
      </c>
      <c r="D658" s="39" t="str">
        <f t="shared" si="42"/>
        <v>Kane</v>
      </c>
      <c r="E658" s="39" t="str">
        <f t="shared" si="43"/>
        <v>Patrick Kane</v>
      </c>
      <c r="F658" t="s">
        <v>1011</v>
      </c>
      <c r="G658" t="s">
        <v>88</v>
      </c>
      <c r="H658" s="292">
        <v>10500000</v>
      </c>
      <c r="I658" s="292">
        <v>10500000</v>
      </c>
      <c r="J658" s="292">
        <v>12000000</v>
      </c>
      <c r="K658" s="292">
        <v>9800000</v>
      </c>
      <c r="L658" s="292">
        <v>7000000</v>
      </c>
      <c r="M658" s="292">
        <v>6900000</v>
      </c>
      <c r="N658" s="292">
        <v>6900000</v>
      </c>
    </row>
    <row r="659" spans="1:14" x14ac:dyDescent="0.25">
      <c r="A659" t="s">
        <v>929</v>
      </c>
      <c r="B659" s="39">
        <f t="shared" si="40"/>
        <v>8</v>
      </c>
      <c r="C659" s="39" t="str">
        <f t="shared" si="41"/>
        <v>Patrick</v>
      </c>
      <c r="D659" s="39" t="str">
        <f t="shared" si="42"/>
        <v>Marleau</v>
      </c>
      <c r="E659" s="39" t="str">
        <f t="shared" si="43"/>
        <v>Patrick Marleau</v>
      </c>
      <c r="F659" t="s">
        <v>1034</v>
      </c>
      <c r="G659" t="s">
        <v>93</v>
      </c>
      <c r="H659" s="292">
        <v>6250000</v>
      </c>
      <c r="I659" s="292">
        <v>6250000</v>
      </c>
      <c r="J659" s="292">
        <v>6000000</v>
      </c>
      <c r="K659" s="292">
        <v>4250000</v>
      </c>
      <c r="L659" s="292" t="s">
        <v>7</v>
      </c>
      <c r="M659" s="292">
        <v>0</v>
      </c>
      <c r="N659" s="292">
        <v>0</v>
      </c>
    </row>
    <row r="660" spans="1:14" x14ac:dyDescent="0.25">
      <c r="A660" t="s">
        <v>726</v>
      </c>
      <c r="B660" s="39">
        <f t="shared" si="40"/>
        <v>7</v>
      </c>
      <c r="C660" s="39" t="str">
        <f t="shared" si="41"/>
        <v>Patrik</v>
      </c>
      <c r="D660" s="39" t="str">
        <f t="shared" si="42"/>
        <v>Berglund</v>
      </c>
      <c r="E660" s="39" t="str">
        <f t="shared" si="43"/>
        <v>Patrik Berglund</v>
      </c>
      <c r="F660" t="s">
        <v>1039</v>
      </c>
      <c r="G660" t="s">
        <v>73</v>
      </c>
      <c r="H660" s="292">
        <v>3850000</v>
      </c>
      <c r="I660" s="292">
        <v>3850000</v>
      </c>
      <c r="J660" s="292">
        <v>4700000</v>
      </c>
      <c r="K660" s="292">
        <v>4500000</v>
      </c>
      <c r="L660" s="292">
        <v>2900000</v>
      </c>
      <c r="M660" s="292">
        <v>2450000</v>
      </c>
      <c r="N660" s="292" t="s">
        <v>7</v>
      </c>
    </row>
    <row r="661" spans="1:14" x14ac:dyDescent="0.25">
      <c r="A661" t="s">
        <v>261</v>
      </c>
      <c r="B661" s="39">
        <f t="shared" si="40"/>
        <v>7</v>
      </c>
      <c r="C661" s="39" t="str">
        <f t="shared" si="41"/>
        <v>Patrik</v>
      </c>
      <c r="D661" s="39" t="str">
        <f t="shared" si="42"/>
        <v>Laine</v>
      </c>
      <c r="E661" s="39" t="str">
        <f t="shared" si="43"/>
        <v>Patrik Laine</v>
      </c>
      <c r="F661" t="s">
        <v>1024</v>
      </c>
      <c r="G661" t="s">
        <v>88</v>
      </c>
      <c r="H661" s="292">
        <v>3575000</v>
      </c>
      <c r="I661" s="292">
        <v>0</v>
      </c>
      <c r="J661" s="292">
        <v>925000</v>
      </c>
      <c r="K661" s="292" t="s">
        <v>8</v>
      </c>
      <c r="L661" s="292">
        <v>0</v>
      </c>
      <c r="M661" s="292">
        <v>0</v>
      </c>
      <c r="N661" s="292">
        <v>0</v>
      </c>
    </row>
    <row r="662" spans="1:14" x14ac:dyDescent="0.25">
      <c r="A662" t="s">
        <v>649</v>
      </c>
      <c r="B662" s="39">
        <f t="shared" si="40"/>
        <v>5</v>
      </c>
      <c r="C662" s="39" t="str">
        <f t="shared" si="41"/>
        <v>Paul</v>
      </c>
      <c r="D662" s="39" t="str">
        <f t="shared" si="42"/>
        <v>Bittner</v>
      </c>
      <c r="E662" s="39" t="str">
        <f t="shared" si="43"/>
        <v>Paul Bittner</v>
      </c>
      <c r="F662" t="s">
        <v>1028</v>
      </c>
      <c r="G662" t="s">
        <v>93</v>
      </c>
      <c r="H662" s="292">
        <v>863333</v>
      </c>
      <c r="I662" s="292">
        <v>863333</v>
      </c>
      <c r="J662" s="292">
        <v>700000</v>
      </c>
      <c r="K662" s="292">
        <v>800000</v>
      </c>
      <c r="L662" s="292" t="s">
        <v>8</v>
      </c>
      <c r="M662" s="292">
        <v>0</v>
      </c>
      <c r="N662" s="292">
        <v>0</v>
      </c>
    </row>
    <row r="663" spans="1:14" x14ac:dyDescent="0.25">
      <c r="A663" t="s">
        <v>332</v>
      </c>
      <c r="B663" s="39">
        <f t="shared" si="40"/>
        <v>5</v>
      </c>
      <c r="C663" s="39" t="str">
        <f t="shared" si="41"/>
        <v>Paul</v>
      </c>
      <c r="D663" s="39" t="str">
        <f t="shared" si="42"/>
        <v>Byron</v>
      </c>
      <c r="E663" s="39" t="str">
        <f t="shared" si="43"/>
        <v>Paul Byron</v>
      </c>
      <c r="F663" t="s">
        <v>1023</v>
      </c>
      <c r="G663" t="s">
        <v>73</v>
      </c>
      <c r="H663" s="292">
        <v>1166670</v>
      </c>
      <c r="I663" s="292">
        <v>0</v>
      </c>
      <c r="J663" s="292">
        <v>1000000</v>
      </c>
      <c r="K663" s="292" t="s">
        <v>7</v>
      </c>
      <c r="L663" s="292">
        <v>0</v>
      </c>
      <c r="M663" s="292">
        <v>0</v>
      </c>
      <c r="N663" s="292">
        <v>0</v>
      </c>
    </row>
    <row r="664" spans="1:14" x14ac:dyDescent="0.25">
      <c r="A664" t="s">
        <v>1087</v>
      </c>
      <c r="B664" s="39">
        <f t="shared" si="40"/>
        <v>5</v>
      </c>
      <c r="C664" s="39" t="str">
        <f t="shared" si="41"/>
        <v>Paul</v>
      </c>
      <c r="D664" s="39" t="str">
        <f t="shared" si="42"/>
        <v>Martin</v>
      </c>
      <c r="E664" s="39" t="str">
        <f t="shared" si="43"/>
        <v>Paul Martin</v>
      </c>
      <c r="F664" t="s">
        <v>1022</v>
      </c>
      <c r="G664" t="s">
        <v>380</v>
      </c>
      <c r="H664" s="292">
        <v>4850000</v>
      </c>
      <c r="I664" s="292">
        <v>0</v>
      </c>
      <c r="J664" s="292">
        <v>4250000</v>
      </c>
      <c r="K664" s="292" t="s">
        <v>7</v>
      </c>
      <c r="L664" s="292">
        <v>0</v>
      </c>
      <c r="M664" s="292">
        <v>0</v>
      </c>
      <c r="N664" s="292">
        <v>0</v>
      </c>
    </row>
    <row r="665" spans="1:14" x14ac:dyDescent="0.25">
      <c r="A665" t="s">
        <v>223</v>
      </c>
      <c r="B665" s="39">
        <f t="shared" si="40"/>
        <v>6</v>
      </c>
      <c r="C665" s="39" t="str">
        <f t="shared" si="41"/>
        <v>Pavel</v>
      </c>
      <c r="D665" s="39" t="str">
        <f t="shared" si="42"/>
        <v>Buchnevich</v>
      </c>
      <c r="E665" s="39" t="str">
        <f t="shared" si="43"/>
        <v>Pavel Buchnevich</v>
      </c>
      <c r="F665" t="s">
        <v>1018</v>
      </c>
      <c r="G665" t="s">
        <v>88</v>
      </c>
      <c r="H665" s="292">
        <v>925000</v>
      </c>
      <c r="I665" s="292">
        <v>0</v>
      </c>
      <c r="J665" s="292">
        <v>925000</v>
      </c>
      <c r="K665" s="292" t="s">
        <v>8</v>
      </c>
      <c r="L665" s="292">
        <v>0</v>
      </c>
      <c r="M665" s="292">
        <v>0</v>
      </c>
      <c r="N665" s="292">
        <v>0</v>
      </c>
    </row>
    <row r="666" spans="1:14" x14ac:dyDescent="0.25">
      <c r="A666" t="s">
        <v>471</v>
      </c>
      <c r="B666" s="39">
        <f t="shared" si="40"/>
        <v>6</v>
      </c>
      <c r="C666" s="39" t="str">
        <f t="shared" si="41"/>
        <v>Pavel</v>
      </c>
      <c r="D666" s="39" t="str">
        <f t="shared" si="42"/>
        <v>Jenys</v>
      </c>
      <c r="E666" s="39" t="str">
        <f t="shared" si="43"/>
        <v>Pavel Jenys</v>
      </c>
      <c r="F666" t="s">
        <v>1025</v>
      </c>
      <c r="G666" t="s">
        <v>73</v>
      </c>
      <c r="H666" s="292">
        <v>773333</v>
      </c>
      <c r="I666" s="292">
        <v>0</v>
      </c>
      <c r="J666" s="292">
        <v>650000</v>
      </c>
      <c r="K666" s="292" t="s">
        <v>8</v>
      </c>
      <c r="L666" s="292">
        <v>0</v>
      </c>
      <c r="M666" s="292">
        <v>0</v>
      </c>
      <c r="N666" s="292">
        <v>0</v>
      </c>
    </row>
    <row r="667" spans="1:14" x14ac:dyDescent="0.25">
      <c r="A667" t="s">
        <v>952</v>
      </c>
      <c r="B667" s="39">
        <f t="shared" si="40"/>
        <v>6</v>
      </c>
      <c r="C667" s="39" t="str">
        <f t="shared" si="41"/>
        <v>Pavel</v>
      </c>
      <c r="D667" s="39" t="str">
        <f t="shared" si="42"/>
        <v>Zacha</v>
      </c>
      <c r="E667" s="39" t="str">
        <f t="shared" si="43"/>
        <v>Pavel Zacha</v>
      </c>
      <c r="F667" t="s">
        <v>1038</v>
      </c>
      <c r="G667" t="s">
        <v>73</v>
      </c>
      <c r="H667" s="292">
        <v>1744170</v>
      </c>
      <c r="I667" s="292">
        <v>0</v>
      </c>
      <c r="J667" s="292">
        <v>832500</v>
      </c>
      <c r="K667" s="292" t="s">
        <v>8</v>
      </c>
      <c r="L667" s="292">
        <v>0</v>
      </c>
      <c r="M667" s="292">
        <v>0</v>
      </c>
      <c r="N667" s="292">
        <v>0</v>
      </c>
    </row>
    <row r="668" spans="1:14" x14ac:dyDescent="0.25">
      <c r="A668" t="s">
        <v>217</v>
      </c>
      <c r="B668" s="39">
        <f t="shared" si="40"/>
        <v>6</v>
      </c>
      <c r="C668" s="39" t="str">
        <f t="shared" si="41"/>
        <v>Pekka</v>
      </c>
      <c r="D668" s="39" t="str">
        <f t="shared" si="42"/>
        <v>Rinne</v>
      </c>
      <c r="E668" s="39" t="str">
        <f t="shared" si="43"/>
        <v>Pekka Rinne</v>
      </c>
      <c r="F668" t="s">
        <v>1016</v>
      </c>
      <c r="G668" t="s">
        <v>127</v>
      </c>
      <c r="H668" s="292">
        <v>7000000</v>
      </c>
      <c r="I668" s="292">
        <v>0</v>
      </c>
      <c r="J668" s="292">
        <v>7000000</v>
      </c>
      <c r="K668" s="292" t="s">
        <v>7</v>
      </c>
      <c r="L668" s="292">
        <v>0</v>
      </c>
      <c r="M668" s="292">
        <v>0</v>
      </c>
      <c r="N668" s="292">
        <v>0</v>
      </c>
    </row>
    <row r="669" spans="1:14" x14ac:dyDescent="0.25">
      <c r="A669" t="s">
        <v>499</v>
      </c>
      <c r="B669" s="39">
        <f t="shared" si="40"/>
        <v>6</v>
      </c>
      <c r="C669" s="39" t="str">
        <f t="shared" si="41"/>
        <v>Peter</v>
      </c>
      <c r="D669" s="39" t="str">
        <f t="shared" si="42"/>
        <v>Budaj</v>
      </c>
      <c r="E669" s="39" t="str">
        <f t="shared" si="43"/>
        <v>Peter Budaj</v>
      </c>
      <c r="F669" t="s">
        <v>1012</v>
      </c>
      <c r="G669" t="s">
        <v>127</v>
      </c>
      <c r="H669" s="292">
        <v>1024999</v>
      </c>
      <c r="I669" s="292">
        <v>0</v>
      </c>
      <c r="J669" s="292">
        <v>1024999</v>
      </c>
      <c r="K669" s="292" t="s">
        <v>7</v>
      </c>
      <c r="L669" s="292">
        <v>0</v>
      </c>
      <c r="M669" s="292">
        <v>0</v>
      </c>
      <c r="N669" s="292">
        <v>0</v>
      </c>
    </row>
    <row r="670" spans="1:14" x14ac:dyDescent="0.25">
      <c r="A670" t="s">
        <v>1136</v>
      </c>
      <c r="B670" s="39">
        <f t="shared" si="40"/>
        <v>6</v>
      </c>
      <c r="C670" s="39" t="str">
        <f t="shared" si="41"/>
        <v>Peter</v>
      </c>
      <c r="D670" s="39" t="str">
        <f t="shared" si="42"/>
        <v>Cehlarik</v>
      </c>
      <c r="E670" s="39" t="str">
        <f t="shared" si="43"/>
        <v>Peter Cehlarik</v>
      </c>
      <c r="F670" t="s">
        <v>1030</v>
      </c>
      <c r="G670" t="s">
        <v>93</v>
      </c>
      <c r="H670" s="292">
        <v>925000</v>
      </c>
      <c r="I670" s="292">
        <v>0</v>
      </c>
      <c r="J670" s="292">
        <v>792500</v>
      </c>
      <c r="K670" s="292" t="s">
        <v>8</v>
      </c>
      <c r="L670" s="292">
        <v>0</v>
      </c>
      <c r="M670" s="292">
        <v>0</v>
      </c>
      <c r="N670" s="292">
        <v>0</v>
      </c>
    </row>
    <row r="671" spans="1:14" x14ac:dyDescent="0.25">
      <c r="A671" t="s">
        <v>659</v>
      </c>
      <c r="B671" s="39">
        <f t="shared" si="40"/>
        <v>6</v>
      </c>
      <c r="C671" s="39" t="str">
        <f t="shared" si="41"/>
        <v>Peter</v>
      </c>
      <c r="D671" s="39" t="str">
        <f t="shared" si="42"/>
        <v>Holland</v>
      </c>
      <c r="E671" s="39" t="str">
        <f t="shared" si="43"/>
        <v>Peter Holland</v>
      </c>
      <c r="F671" t="s">
        <v>1018</v>
      </c>
      <c r="G671" t="s">
        <v>73</v>
      </c>
      <c r="H671" s="292">
        <v>675000</v>
      </c>
      <c r="I671" s="292">
        <v>0</v>
      </c>
      <c r="J671" s="292">
        <v>700000</v>
      </c>
      <c r="K671" s="292" t="s">
        <v>7</v>
      </c>
      <c r="L671" s="292">
        <v>0</v>
      </c>
      <c r="M671" s="292">
        <v>0</v>
      </c>
      <c r="N671" s="292">
        <v>0</v>
      </c>
    </row>
    <row r="672" spans="1:14" x14ac:dyDescent="0.25">
      <c r="A672" t="s">
        <v>443</v>
      </c>
      <c r="B672" s="39">
        <f t="shared" si="40"/>
        <v>8</v>
      </c>
      <c r="C672" s="39" t="str">
        <f t="shared" si="41"/>
        <v>Pheonix</v>
      </c>
      <c r="D672" s="39" t="str">
        <f t="shared" si="42"/>
        <v>Copley</v>
      </c>
      <c r="E672" s="39" t="str">
        <f t="shared" si="43"/>
        <v>Pheonix Copley</v>
      </c>
      <c r="F672" t="s">
        <v>1013</v>
      </c>
      <c r="G672" t="s">
        <v>127</v>
      </c>
      <c r="H672" s="292">
        <v>650000</v>
      </c>
      <c r="I672" s="292">
        <v>0</v>
      </c>
      <c r="J672" s="292">
        <v>650000</v>
      </c>
      <c r="K672" s="292" t="s">
        <v>7</v>
      </c>
      <c r="L672" s="292">
        <v>0</v>
      </c>
      <c r="M672" s="292">
        <v>0</v>
      </c>
      <c r="N672" s="292">
        <v>0</v>
      </c>
    </row>
    <row r="673" spans="1:14" x14ac:dyDescent="0.25">
      <c r="A673" t="s">
        <v>421</v>
      </c>
      <c r="B673" s="39">
        <f t="shared" si="40"/>
        <v>5</v>
      </c>
      <c r="C673" s="39" t="str">
        <f t="shared" si="41"/>
        <v>Phil</v>
      </c>
      <c r="D673" s="39" t="str">
        <f t="shared" si="42"/>
        <v>Kessel</v>
      </c>
      <c r="E673" s="39" t="str">
        <f t="shared" si="43"/>
        <v>Phil Kessel</v>
      </c>
      <c r="F673" t="s">
        <v>1014</v>
      </c>
      <c r="G673" t="s">
        <v>88</v>
      </c>
      <c r="H673" s="292">
        <v>8000000</v>
      </c>
      <c r="I673" s="292">
        <v>8000000</v>
      </c>
      <c r="J673" s="292">
        <v>7000000</v>
      </c>
      <c r="K673" s="292">
        <v>7000000</v>
      </c>
      <c r="L673" s="292">
        <v>6000000</v>
      </c>
      <c r="M673" s="292">
        <v>6000000</v>
      </c>
      <c r="N673" s="292" t="s">
        <v>7</v>
      </c>
    </row>
    <row r="674" spans="1:14" x14ac:dyDescent="0.25">
      <c r="A674" t="s">
        <v>1151</v>
      </c>
      <c r="B674" s="39">
        <f t="shared" si="40"/>
        <v>5</v>
      </c>
      <c r="C674" s="39" t="str">
        <f t="shared" si="41"/>
        <v>Phil</v>
      </c>
      <c r="D674" s="39" t="str">
        <f t="shared" si="42"/>
        <v>Varone</v>
      </c>
      <c r="E674" s="39" t="str">
        <f t="shared" si="43"/>
        <v>Phil Varone</v>
      </c>
      <c r="F674" t="s">
        <v>1021</v>
      </c>
      <c r="G674" t="s">
        <v>73</v>
      </c>
      <c r="H674" s="292">
        <v>650000</v>
      </c>
      <c r="I674" s="292">
        <v>0</v>
      </c>
      <c r="J674" s="292">
        <v>650000</v>
      </c>
      <c r="K674" s="292" t="s">
        <v>7</v>
      </c>
      <c r="L674" s="292">
        <v>0</v>
      </c>
      <c r="M674" s="292">
        <v>0</v>
      </c>
      <c r="N674" s="292">
        <v>0</v>
      </c>
    </row>
    <row r="675" spans="1:14" x14ac:dyDescent="0.25">
      <c r="A675" t="s">
        <v>801</v>
      </c>
      <c r="B675" s="39">
        <f t="shared" si="40"/>
        <v>15</v>
      </c>
      <c r="C675" s="39" t="str">
        <f t="shared" si="41"/>
        <v>Pierre-Édouard</v>
      </c>
      <c r="D675" s="39" t="str">
        <f t="shared" si="42"/>
        <v>Bellemare</v>
      </c>
      <c r="E675" s="39" t="str">
        <f t="shared" si="43"/>
        <v>Pierre-Édouard Bellemare</v>
      </c>
      <c r="F675" t="s">
        <v>1041</v>
      </c>
      <c r="G675" t="s">
        <v>73</v>
      </c>
      <c r="H675" s="292">
        <v>1450000</v>
      </c>
      <c r="I675" s="292">
        <v>0</v>
      </c>
      <c r="J675" s="292">
        <v>1450000</v>
      </c>
      <c r="K675" s="292" t="s">
        <v>7</v>
      </c>
      <c r="L675" s="292">
        <v>0</v>
      </c>
      <c r="M675" s="292">
        <v>0</v>
      </c>
      <c r="N675" s="292">
        <v>0</v>
      </c>
    </row>
    <row r="676" spans="1:14" x14ac:dyDescent="0.25">
      <c r="A676" t="s">
        <v>634</v>
      </c>
      <c r="B676" s="39">
        <f t="shared" si="40"/>
        <v>11</v>
      </c>
      <c r="C676" s="39" t="str">
        <f t="shared" si="41"/>
        <v>Pierre-Luc</v>
      </c>
      <c r="D676" s="39" t="str">
        <f t="shared" si="42"/>
        <v>Dubois</v>
      </c>
      <c r="E676" s="39" t="str">
        <f t="shared" si="43"/>
        <v>Pierre-Luc Dubois</v>
      </c>
      <c r="F676" t="s">
        <v>1028</v>
      </c>
      <c r="G676" t="s">
        <v>73</v>
      </c>
      <c r="H676" s="292">
        <v>3394170</v>
      </c>
      <c r="I676" s="292">
        <v>3394170</v>
      </c>
      <c r="J676" s="292">
        <v>925000</v>
      </c>
      <c r="K676" s="292">
        <v>832500</v>
      </c>
      <c r="L676" s="292" t="s">
        <v>8</v>
      </c>
      <c r="M676" s="292">
        <v>0</v>
      </c>
      <c r="N676" s="292">
        <v>0</v>
      </c>
    </row>
    <row r="677" spans="1:14" x14ac:dyDescent="0.25">
      <c r="A677" t="s">
        <v>1150</v>
      </c>
      <c r="B677" s="39">
        <f t="shared" si="40"/>
        <v>7</v>
      </c>
      <c r="C677" s="39" t="str">
        <f t="shared" si="41"/>
        <v>Pontus</v>
      </c>
      <c r="D677" s="39" t="str">
        <f t="shared" si="42"/>
        <v>Aberg</v>
      </c>
      <c r="E677" s="39" t="str">
        <f t="shared" si="43"/>
        <v>Pontus Aberg</v>
      </c>
      <c r="F677" t="s">
        <v>1020</v>
      </c>
      <c r="G677" t="s">
        <v>93</v>
      </c>
      <c r="H677" s="292">
        <v>650000</v>
      </c>
      <c r="I677" s="292">
        <v>0</v>
      </c>
      <c r="J677" s="292">
        <v>650000</v>
      </c>
      <c r="K677" s="292" t="s">
        <v>8</v>
      </c>
      <c r="L677" s="292">
        <v>0</v>
      </c>
      <c r="M677" s="292">
        <v>0</v>
      </c>
      <c r="N677" s="292">
        <v>0</v>
      </c>
    </row>
    <row r="678" spans="1:14" x14ac:dyDescent="0.25">
      <c r="A678" t="s">
        <v>594</v>
      </c>
      <c r="B678" s="39">
        <f t="shared" si="40"/>
        <v>6</v>
      </c>
      <c r="C678" s="39" t="str">
        <f t="shared" si="41"/>
        <v>Radek</v>
      </c>
      <c r="D678" s="39" t="str">
        <f t="shared" si="42"/>
        <v>Faksa</v>
      </c>
      <c r="E678" s="39" t="str">
        <f t="shared" si="43"/>
        <v>Radek Faksa</v>
      </c>
      <c r="F678" t="s">
        <v>1015</v>
      </c>
      <c r="G678" t="s">
        <v>73</v>
      </c>
      <c r="H678" s="292">
        <v>2200000</v>
      </c>
      <c r="I678" s="292">
        <v>2200000</v>
      </c>
      <c r="J678" s="292">
        <v>2200000</v>
      </c>
      <c r="K678" s="292">
        <v>2400000</v>
      </c>
      <c r="L678" s="292" t="s">
        <v>8</v>
      </c>
      <c r="M678" s="292">
        <v>0</v>
      </c>
      <c r="N678" s="292">
        <v>0</v>
      </c>
    </row>
    <row r="679" spans="1:14" x14ac:dyDescent="0.25">
      <c r="A679" t="s">
        <v>894</v>
      </c>
      <c r="B679" s="39">
        <f t="shared" si="40"/>
        <v>6</v>
      </c>
      <c r="C679" s="39" t="str">
        <f t="shared" si="41"/>
        <v>Radel</v>
      </c>
      <c r="D679" s="39" t="str">
        <f t="shared" si="42"/>
        <v>Fazleev</v>
      </c>
      <c r="E679" s="39" t="str">
        <f t="shared" si="43"/>
        <v>Radel Fazleev</v>
      </c>
      <c r="F679" t="s">
        <v>1021</v>
      </c>
      <c r="G679" t="s">
        <v>73</v>
      </c>
      <c r="H679" s="292">
        <v>747500</v>
      </c>
      <c r="I679" s="292">
        <v>0</v>
      </c>
      <c r="J679" s="292">
        <v>650000</v>
      </c>
      <c r="K679" s="292" t="s">
        <v>8</v>
      </c>
      <c r="L679" s="292">
        <v>0</v>
      </c>
      <c r="M679" s="292">
        <v>0</v>
      </c>
      <c r="N679" s="292">
        <v>0</v>
      </c>
    </row>
    <row r="680" spans="1:14" x14ac:dyDescent="0.25">
      <c r="A680" t="s">
        <v>883</v>
      </c>
      <c r="B680" s="39">
        <f t="shared" si="40"/>
        <v>6</v>
      </c>
      <c r="C680" s="39" t="str">
        <f t="shared" si="41"/>
        <v>Radko</v>
      </c>
      <c r="D680" s="39" t="str">
        <f t="shared" si="42"/>
        <v>Gudas</v>
      </c>
      <c r="E680" s="39" t="str">
        <f t="shared" si="43"/>
        <v>Radko Gudas</v>
      </c>
      <c r="F680" t="s">
        <v>1021</v>
      </c>
      <c r="G680" t="s">
        <v>379</v>
      </c>
      <c r="H680" s="292">
        <v>3350000</v>
      </c>
      <c r="I680" s="292">
        <v>3350000</v>
      </c>
      <c r="J680" s="292">
        <v>3400000</v>
      </c>
      <c r="K680" s="292">
        <v>2500000</v>
      </c>
      <c r="L680" s="292" t="s">
        <v>7</v>
      </c>
      <c r="M680" s="292">
        <v>0</v>
      </c>
      <c r="N680" s="292">
        <v>0</v>
      </c>
    </row>
    <row r="681" spans="1:14" x14ac:dyDescent="0.25">
      <c r="A681" t="s">
        <v>760</v>
      </c>
      <c r="B681" s="39">
        <f t="shared" si="40"/>
        <v>7</v>
      </c>
      <c r="C681" s="39" t="str">
        <f t="shared" si="41"/>
        <v>Rasmus</v>
      </c>
      <c r="D681" s="39" t="str">
        <f t="shared" si="42"/>
        <v>Andersson</v>
      </c>
      <c r="E681" s="39" t="str">
        <f t="shared" si="43"/>
        <v>Rasmus Andersson</v>
      </c>
      <c r="F681" t="s">
        <v>1031</v>
      </c>
      <c r="G681" t="s">
        <v>379</v>
      </c>
      <c r="H681" s="292">
        <v>863333</v>
      </c>
      <c r="I681" s="292">
        <v>863333</v>
      </c>
      <c r="J681" s="292">
        <v>750000</v>
      </c>
      <c r="K681" s="292">
        <v>775000</v>
      </c>
      <c r="L681" s="292" t="s">
        <v>8</v>
      </c>
      <c r="M681" s="292">
        <v>0</v>
      </c>
      <c r="N681" s="292">
        <v>0</v>
      </c>
    </row>
    <row r="682" spans="1:14" x14ac:dyDescent="0.25">
      <c r="A682" t="s">
        <v>212</v>
      </c>
      <c r="B682" s="39">
        <f t="shared" si="40"/>
        <v>7</v>
      </c>
      <c r="C682" s="39" t="str">
        <f t="shared" si="41"/>
        <v>Rasmus</v>
      </c>
      <c r="D682" s="39" t="str">
        <f t="shared" si="42"/>
        <v>Ristolainen</v>
      </c>
      <c r="E682" s="39" t="str">
        <f t="shared" si="43"/>
        <v>Rasmus Ristolainen</v>
      </c>
      <c r="F682" t="s">
        <v>1039</v>
      </c>
      <c r="G682" t="s">
        <v>379</v>
      </c>
      <c r="H682" s="292">
        <v>5400000</v>
      </c>
      <c r="I682" s="292">
        <v>5400000</v>
      </c>
      <c r="J682" s="292">
        <v>5400000</v>
      </c>
      <c r="K682" s="292">
        <v>5400000</v>
      </c>
      <c r="L682" s="292">
        <v>5400000</v>
      </c>
      <c r="M682" s="292">
        <v>5400000</v>
      </c>
      <c r="N682" s="292" t="s">
        <v>7</v>
      </c>
    </row>
    <row r="683" spans="1:14" x14ac:dyDescent="0.25">
      <c r="A683" t="s">
        <v>808</v>
      </c>
      <c r="B683" s="39">
        <f t="shared" si="40"/>
        <v>5</v>
      </c>
      <c r="C683" s="39" t="str">
        <f t="shared" si="41"/>
        <v>Reid</v>
      </c>
      <c r="D683" s="39" t="str">
        <f t="shared" si="42"/>
        <v>Duke</v>
      </c>
      <c r="E683" s="39" t="str">
        <f t="shared" si="43"/>
        <v>Reid Duke</v>
      </c>
      <c r="F683" t="s">
        <v>1041</v>
      </c>
      <c r="G683" t="s">
        <v>73</v>
      </c>
      <c r="H683" s="292">
        <v>925000</v>
      </c>
      <c r="I683" s="292">
        <v>925000</v>
      </c>
      <c r="J683" s="292">
        <v>742500</v>
      </c>
      <c r="K683" s="292">
        <v>825000</v>
      </c>
      <c r="L683" s="292" t="s">
        <v>8</v>
      </c>
      <c r="M683" s="292">
        <v>0</v>
      </c>
      <c r="N683" s="292">
        <v>0</v>
      </c>
    </row>
    <row r="684" spans="1:14" x14ac:dyDescent="0.25">
      <c r="A684" t="s">
        <v>1084</v>
      </c>
      <c r="B684" s="39">
        <f t="shared" si="40"/>
        <v>7</v>
      </c>
      <c r="C684" s="39" t="str">
        <f t="shared" si="41"/>
        <v>Reilly</v>
      </c>
      <c r="D684" s="39" t="str">
        <f t="shared" si="42"/>
        <v>Smith</v>
      </c>
      <c r="E684" s="39" t="str">
        <f t="shared" si="43"/>
        <v>Reilly Smith</v>
      </c>
      <c r="F684" t="s">
        <v>1041</v>
      </c>
      <c r="G684" t="s">
        <v>88</v>
      </c>
      <c r="H684" s="292">
        <v>5000000</v>
      </c>
      <c r="I684" s="292">
        <v>5000000</v>
      </c>
      <c r="J684" s="292">
        <v>6000000</v>
      </c>
      <c r="K684" s="292">
        <v>5000000</v>
      </c>
      <c r="L684" s="292">
        <v>3500000</v>
      </c>
      <c r="M684" s="292">
        <v>4500000</v>
      </c>
      <c r="N684" s="292" t="s">
        <v>7</v>
      </c>
    </row>
    <row r="685" spans="1:14" x14ac:dyDescent="0.25">
      <c r="A685" t="s">
        <v>1108</v>
      </c>
      <c r="B685" s="39">
        <f t="shared" si="40"/>
        <v>8</v>
      </c>
      <c r="C685" s="39" t="str">
        <f t="shared" si="41"/>
        <v>Richard</v>
      </c>
      <c r="D685" s="39" t="str">
        <f t="shared" si="42"/>
        <v>Panik</v>
      </c>
      <c r="E685" s="39" t="str">
        <f t="shared" si="43"/>
        <v>Richard Panik</v>
      </c>
      <c r="F685" t="s">
        <v>1032</v>
      </c>
      <c r="G685" t="s">
        <v>88</v>
      </c>
      <c r="H685" s="292">
        <v>2800000</v>
      </c>
      <c r="I685" s="292">
        <v>0</v>
      </c>
      <c r="J685" s="292">
        <v>2800000</v>
      </c>
      <c r="K685" s="292" t="s">
        <v>7</v>
      </c>
      <c r="L685" s="292">
        <v>0</v>
      </c>
      <c r="M685" s="292">
        <v>0</v>
      </c>
      <c r="N685" s="292">
        <v>0</v>
      </c>
    </row>
    <row r="686" spans="1:14" x14ac:dyDescent="0.25">
      <c r="A686" t="s">
        <v>299</v>
      </c>
      <c r="B686" s="39">
        <f t="shared" si="40"/>
        <v>8</v>
      </c>
      <c r="C686" s="39" t="str">
        <f t="shared" si="41"/>
        <v>Rickard</v>
      </c>
      <c r="D686" s="39" t="str">
        <f t="shared" si="42"/>
        <v>Rakell</v>
      </c>
      <c r="E686" s="39" t="str">
        <f t="shared" si="43"/>
        <v>Rickard Rakell</v>
      </c>
      <c r="F686" t="s">
        <v>1017</v>
      </c>
      <c r="G686" t="s">
        <v>93</v>
      </c>
      <c r="H686" s="292">
        <v>3800000</v>
      </c>
      <c r="I686" s="292">
        <v>3800000</v>
      </c>
      <c r="J686" s="292">
        <v>3800000</v>
      </c>
      <c r="K686" s="292">
        <v>3800000</v>
      </c>
      <c r="L686" s="292">
        <v>3800000</v>
      </c>
      <c r="M686" s="292">
        <v>3800000</v>
      </c>
      <c r="N686" s="292" t="s">
        <v>7</v>
      </c>
    </row>
    <row r="687" spans="1:14" x14ac:dyDescent="0.25">
      <c r="A687" t="s">
        <v>860</v>
      </c>
      <c r="B687" s="39">
        <f t="shared" si="40"/>
        <v>7</v>
      </c>
      <c r="C687" s="39" t="str">
        <f t="shared" si="41"/>
        <v>Robbie</v>
      </c>
      <c r="D687" s="39" t="str">
        <f t="shared" si="42"/>
        <v>Russo</v>
      </c>
      <c r="E687" s="39" t="str">
        <f t="shared" si="43"/>
        <v>Robbie Russo</v>
      </c>
      <c r="F687" t="s">
        <v>1035</v>
      </c>
      <c r="G687" t="s">
        <v>82</v>
      </c>
      <c r="H687" s="292">
        <v>650000</v>
      </c>
      <c r="I687" s="292">
        <v>0</v>
      </c>
      <c r="J687" s="292">
        <v>650000</v>
      </c>
      <c r="K687" s="292" t="s">
        <v>8</v>
      </c>
      <c r="L687" s="292">
        <v>0</v>
      </c>
      <c r="M687" s="292">
        <v>0</v>
      </c>
      <c r="N687" s="292">
        <v>0</v>
      </c>
    </row>
    <row r="688" spans="1:14" x14ac:dyDescent="0.25">
      <c r="A688" t="s">
        <v>406</v>
      </c>
      <c r="B688" s="39">
        <f t="shared" si="40"/>
        <v>7</v>
      </c>
      <c r="C688" s="39" t="str">
        <f t="shared" si="41"/>
        <v>Robert</v>
      </c>
      <c r="D688" s="39" t="str">
        <f t="shared" si="42"/>
        <v>Bortuzzo</v>
      </c>
      <c r="E688" s="39" t="str">
        <f t="shared" si="43"/>
        <v>Robert Bortuzzo</v>
      </c>
      <c r="F688" t="s">
        <v>1026</v>
      </c>
      <c r="G688" t="s">
        <v>379</v>
      </c>
      <c r="H688" s="292">
        <v>1150000</v>
      </c>
      <c r="I688" s="292">
        <v>0</v>
      </c>
      <c r="J688" s="292">
        <v>1150000</v>
      </c>
      <c r="K688" s="292" t="s">
        <v>7</v>
      </c>
      <c r="L688" s="292">
        <v>0</v>
      </c>
      <c r="M688" s="292">
        <v>0</v>
      </c>
      <c r="N688" s="292">
        <v>0</v>
      </c>
    </row>
    <row r="689" spans="1:14" x14ac:dyDescent="0.25">
      <c r="A689" t="s">
        <v>156</v>
      </c>
      <c r="B689" s="39">
        <f t="shared" si="40"/>
        <v>7</v>
      </c>
      <c r="C689" s="39" t="str">
        <f t="shared" si="41"/>
        <v>Robert</v>
      </c>
      <c r="D689" s="39" t="str">
        <f t="shared" si="42"/>
        <v>Thomas</v>
      </c>
      <c r="E689" s="39" t="str">
        <f t="shared" si="43"/>
        <v>Robert Thomas</v>
      </c>
      <c r="F689" t="s">
        <v>1026</v>
      </c>
      <c r="G689" t="s">
        <v>73</v>
      </c>
      <c r="H689" s="292">
        <v>1208330</v>
      </c>
      <c r="I689" s="292">
        <v>1208330</v>
      </c>
      <c r="J689" s="292">
        <v>925000</v>
      </c>
      <c r="K689" s="292">
        <v>925000</v>
      </c>
      <c r="L689" s="292" t="s">
        <v>8</v>
      </c>
      <c r="M689" s="292">
        <v>0</v>
      </c>
      <c r="N689" s="292">
        <v>0</v>
      </c>
    </row>
    <row r="690" spans="1:14" x14ac:dyDescent="0.25">
      <c r="A690" t="s">
        <v>481</v>
      </c>
      <c r="B690" s="39">
        <f t="shared" si="40"/>
        <v>8</v>
      </c>
      <c r="C690" s="39" t="str">
        <f t="shared" si="41"/>
        <v>Roberto</v>
      </c>
      <c r="D690" s="39" t="str">
        <f t="shared" si="42"/>
        <v>Luongo</v>
      </c>
      <c r="E690" s="39" t="str">
        <f t="shared" si="43"/>
        <v>Roberto Luongo</v>
      </c>
      <c r="F690" t="s">
        <v>1027</v>
      </c>
      <c r="G690" t="s">
        <v>127</v>
      </c>
      <c r="H690" s="292">
        <v>5333330</v>
      </c>
      <c r="I690" s="292">
        <v>5333330</v>
      </c>
      <c r="J690" s="292">
        <v>3382000</v>
      </c>
      <c r="K690" s="292">
        <v>1618000</v>
      </c>
      <c r="L690" s="292">
        <v>1000000</v>
      </c>
      <c r="M690" s="292">
        <v>1000000</v>
      </c>
      <c r="N690" s="292" t="s">
        <v>7</v>
      </c>
    </row>
    <row r="691" spans="1:14" x14ac:dyDescent="0.25">
      <c r="A691" t="s">
        <v>627</v>
      </c>
      <c r="B691" s="39">
        <f t="shared" si="40"/>
        <v>6</v>
      </c>
      <c r="C691" s="39" t="str">
        <f t="shared" si="41"/>
        <v>Robin</v>
      </c>
      <c r="D691" s="39" t="str">
        <f t="shared" si="42"/>
        <v>Norell</v>
      </c>
      <c r="E691" s="39" t="str">
        <f t="shared" si="43"/>
        <v>Robin Norell</v>
      </c>
      <c r="F691" t="s">
        <v>1011</v>
      </c>
      <c r="G691" t="s">
        <v>82</v>
      </c>
      <c r="H691" s="292">
        <v>925000</v>
      </c>
      <c r="I691" s="292">
        <v>0</v>
      </c>
      <c r="J691" s="292">
        <v>742500</v>
      </c>
      <c r="K691" s="292" t="s">
        <v>8</v>
      </c>
      <c r="L691" s="292">
        <v>0</v>
      </c>
      <c r="M691" s="292">
        <v>0</v>
      </c>
      <c r="N691" s="292">
        <v>0</v>
      </c>
    </row>
    <row r="692" spans="1:14" x14ac:dyDescent="0.25">
      <c r="A692" t="s">
        <v>986</v>
      </c>
      <c r="B692" s="39">
        <f t="shared" si="40"/>
        <v>7</v>
      </c>
      <c r="C692" s="39" t="str">
        <f t="shared" si="41"/>
        <v>Roland</v>
      </c>
      <c r="D692" s="39" t="str">
        <f t="shared" si="42"/>
        <v>McKeown</v>
      </c>
      <c r="E692" s="39" t="str">
        <f t="shared" si="43"/>
        <v>Roland McKeown</v>
      </c>
      <c r="F692" t="s">
        <v>1036</v>
      </c>
      <c r="G692" t="s">
        <v>379</v>
      </c>
      <c r="H692" s="292">
        <v>894167</v>
      </c>
      <c r="I692" s="292">
        <v>0</v>
      </c>
      <c r="J692" s="292">
        <v>750000</v>
      </c>
      <c r="K692" s="292" t="s">
        <v>8</v>
      </c>
      <c r="L692" s="292">
        <v>0</v>
      </c>
      <c r="M692" s="292">
        <v>0</v>
      </c>
      <c r="N692" s="292">
        <v>0</v>
      </c>
    </row>
    <row r="693" spans="1:14" x14ac:dyDescent="0.25">
      <c r="A693" t="s">
        <v>314</v>
      </c>
      <c r="B693" s="39">
        <f t="shared" si="40"/>
        <v>6</v>
      </c>
      <c r="C693" s="39" t="str">
        <f t="shared" si="41"/>
        <v>Roman</v>
      </c>
      <c r="D693" s="39" t="str">
        <f t="shared" si="42"/>
        <v>Josi</v>
      </c>
      <c r="E693" s="39" t="str">
        <f t="shared" si="43"/>
        <v>Roman Josi</v>
      </c>
      <c r="F693" t="s">
        <v>1016</v>
      </c>
      <c r="G693" t="s">
        <v>380</v>
      </c>
      <c r="H693" s="292">
        <v>4000000</v>
      </c>
      <c r="I693" s="292">
        <v>4000000</v>
      </c>
      <c r="J693" s="292">
        <v>5250000</v>
      </c>
      <c r="K693" s="292">
        <v>4000000</v>
      </c>
      <c r="L693" s="292" t="s">
        <v>7</v>
      </c>
      <c r="M693" s="292">
        <v>0</v>
      </c>
      <c r="N693" s="292">
        <v>0</v>
      </c>
    </row>
    <row r="694" spans="1:14" x14ac:dyDescent="0.25">
      <c r="A694" t="s">
        <v>936</v>
      </c>
      <c r="B694" s="39">
        <f t="shared" si="40"/>
        <v>4</v>
      </c>
      <c r="C694" s="39" t="str">
        <f t="shared" si="41"/>
        <v>Ron</v>
      </c>
      <c r="D694" s="39" t="str">
        <f t="shared" si="42"/>
        <v>Hainsey</v>
      </c>
      <c r="E694" s="39" t="str">
        <f t="shared" si="43"/>
        <v>Ron Hainsey</v>
      </c>
      <c r="F694" t="s">
        <v>1034</v>
      </c>
      <c r="G694" t="s">
        <v>379</v>
      </c>
      <c r="H694" s="292">
        <v>3000000</v>
      </c>
      <c r="I694" s="292">
        <v>0</v>
      </c>
      <c r="J694" s="292">
        <v>2400000</v>
      </c>
      <c r="K694" s="292" t="s">
        <v>7</v>
      </c>
      <c r="L694" s="292">
        <v>0</v>
      </c>
      <c r="M694" s="292">
        <v>0</v>
      </c>
      <c r="N694" s="292">
        <v>0</v>
      </c>
    </row>
    <row r="695" spans="1:14" x14ac:dyDescent="0.25">
      <c r="A695" t="s">
        <v>601</v>
      </c>
      <c r="B695" s="39">
        <f t="shared" si="40"/>
        <v>6</v>
      </c>
      <c r="C695" s="39" t="str">
        <f t="shared" si="41"/>
        <v>Roope</v>
      </c>
      <c r="D695" s="39" t="str">
        <f t="shared" si="42"/>
        <v>Hintz</v>
      </c>
      <c r="E695" s="39" t="str">
        <f t="shared" si="43"/>
        <v>Roope Hintz</v>
      </c>
      <c r="F695" t="s">
        <v>1015</v>
      </c>
      <c r="G695" t="s">
        <v>93</v>
      </c>
      <c r="H695" s="292">
        <v>925000</v>
      </c>
      <c r="I695" s="292">
        <v>925000</v>
      </c>
      <c r="J695" s="292">
        <v>767500</v>
      </c>
      <c r="K695" s="292">
        <v>925000</v>
      </c>
      <c r="L695" s="292" t="s">
        <v>8</v>
      </c>
      <c r="M695" s="292">
        <v>0</v>
      </c>
      <c r="N695" s="292">
        <v>0</v>
      </c>
    </row>
    <row r="696" spans="1:14" x14ac:dyDescent="0.25">
      <c r="A696" t="s">
        <v>589</v>
      </c>
      <c r="B696" s="39">
        <f t="shared" si="40"/>
        <v>7</v>
      </c>
      <c r="C696" s="39" t="str">
        <f t="shared" si="41"/>
        <v>Rourke</v>
      </c>
      <c r="D696" s="39" t="str">
        <f t="shared" si="42"/>
        <v>Chartier</v>
      </c>
      <c r="E696" s="39" t="str">
        <f t="shared" si="43"/>
        <v>Rourke Chartier</v>
      </c>
      <c r="F696" t="s">
        <v>1022</v>
      </c>
      <c r="G696" t="s">
        <v>73</v>
      </c>
      <c r="H696" s="292">
        <v>863333</v>
      </c>
      <c r="I696" s="292">
        <v>0</v>
      </c>
      <c r="J696" s="292">
        <v>700000</v>
      </c>
      <c r="K696" s="292" t="s">
        <v>8</v>
      </c>
      <c r="L696" s="292">
        <v>0</v>
      </c>
      <c r="M696" s="292">
        <v>0</v>
      </c>
      <c r="N696" s="292">
        <v>0</v>
      </c>
    </row>
    <row r="697" spans="1:14" x14ac:dyDescent="0.25">
      <c r="A697" t="s">
        <v>585</v>
      </c>
      <c r="B697" s="39">
        <f t="shared" si="40"/>
        <v>8</v>
      </c>
      <c r="C697" s="39" t="str">
        <f t="shared" si="41"/>
        <v>Rudolfs</v>
      </c>
      <c r="D697" s="39" t="str">
        <f t="shared" si="42"/>
        <v>Balcers</v>
      </c>
      <c r="E697" s="39" t="str">
        <f t="shared" si="43"/>
        <v>Rudolfs Balcers</v>
      </c>
      <c r="F697" t="s">
        <v>1022</v>
      </c>
      <c r="G697" t="s">
        <v>93</v>
      </c>
      <c r="H697" s="292">
        <v>925000</v>
      </c>
      <c r="I697" s="292">
        <v>925000</v>
      </c>
      <c r="J697" s="292">
        <v>742500</v>
      </c>
      <c r="K697" s="292">
        <v>792500</v>
      </c>
      <c r="L697" s="292" t="s">
        <v>8</v>
      </c>
      <c r="M697" s="292">
        <v>0</v>
      </c>
      <c r="N697" s="292">
        <v>0</v>
      </c>
    </row>
    <row r="698" spans="1:14" x14ac:dyDescent="0.25">
      <c r="A698" t="s">
        <v>1068</v>
      </c>
      <c r="B698" s="39">
        <f t="shared" si="40"/>
        <v>5</v>
      </c>
      <c r="C698" s="39" t="str">
        <f t="shared" si="41"/>
        <v>Ryan</v>
      </c>
      <c r="D698" s="39" t="str">
        <f t="shared" si="42"/>
        <v>Callahan</v>
      </c>
      <c r="E698" s="39" t="str">
        <f t="shared" si="43"/>
        <v>Ryan Callahan</v>
      </c>
      <c r="F698" t="s">
        <v>1019</v>
      </c>
      <c r="G698" t="s">
        <v>88</v>
      </c>
      <c r="H698" s="292">
        <v>5800000</v>
      </c>
      <c r="I698" s="292">
        <v>5800000</v>
      </c>
      <c r="J698" s="292">
        <v>4700000</v>
      </c>
      <c r="K698" s="292">
        <v>4700000</v>
      </c>
      <c r="L698" s="292" t="s">
        <v>7</v>
      </c>
      <c r="M698" s="292">
        <v>0</v>
      </c>
      <c r="N698" s="292">
        <v>0</v>
      </c>
    </row>
    <row r="699" spans="1:14" x14ac:dyDescent="0.25">
      <c r="A699" t="s">
        <v>803</v>
      </c>
      <c r="B699" s="39">
        <f t="shared" si="40"/>
        <v>5</v>
      </c>
      <c r="C699" s="39" t="str">
        <f t="shared" si="41"/>
        <v>Ryan</v>
      </c>
      <c r="D699" s="39" t="str">
        <f t="shared" si="42"/>
        <v>Carpenter</v>
      </c>
      <c r="E699" s="39" t="str">
        <f t="shared" si="43"/>
        <v>Ryan Carpenter</v>
      </c>
      <c r="F699" t="s">
        <v>1041</v>
      </c>
      <c r="G699" t="s">
        <v>73</v>
      </c>
      <c r="H699" s="292">
        <v>650000</v>
      </c>
      <c r="I699" s="292">
        <v>0</v>
      </c>
      <c r="J699" s="292">
        <v>650000</v>
      </c>
      <c r="K699" s="292" t="s">
        <v>7</v>
      </c>
      <c r="L699" s="292">
        <v>0</v>
      </c>
      <c r="M699" s="292">
        <v>0</v>
      </c>
      <c r="N699" s="292">
        <v>0</v>
      </c>
    </row>
    <row r="700" spans="1:14" x14ac:dyDescent="0.25">
      <c r="A700" t="s">
        <v>644</v>
      </c>
      <c r="B700" s="39">
        <f t="shared" si="40"/>
        <v>5</v>
      </c>
      <c r="C700" s="39" t="str">
        <f t="shared" si="41"/>
        <v>Ryan</v>
      </c>
      <c r="D700" s="39" t="str">
        <f t="shared" si="42"/>
        <v>Collins</v>
      </c>
      <c r="E700" s="39" t="str">
        <f t="shared" si="43"/>
        <v>Ryan Collins</v>
      </c>
      <c r="F700" t="s">
        <v>1028</v>
      </c>
      <c r="G700" t="s">
        <v>82</v>
      </c>
      <c r="H700" s="292">
        <v>925000</v>
      </c>
      <c r="I700" s="292">
        <v>925000</v>
      </c>
      <c r="J700" s="292">
        <v>925000</v>
      </c>
      <c r="K700" s="292">
        <v>925000</v>
      </c>
      <c r="L700" s="292" t="s">
        <v>8</v>
      </c>
      <c r="M700" s="292">
        <v>0</v>
      </c>
      <c r="N700" s="292">
        <v>0</v>
      </c>
    </row>
    <row r="701" spans="1:14" x14ac:dyDescent="0.25">
      <c r="A701" t="s">
        <v>537</v>
      </c>
      <c r="B701" s="39">
        <f t="shared" si="40"/>
        <v>5</v>
      </c>
      <c r="C701" s="39" t="str">
        <f t="shared" si="41"/>
        <v>Ryan</v>
      </c>
      <c r="D701" s="39" t="str">
        <f t="shared" si="42"/>
        <v>Donato</v>
      </c>
      <c r="E701" s="39" t="str">
        <f t="shared" si="43"/>
        <v>Ryan Donato</v>
      </c>
      <c r="F701" t="s">
        <v>1030</v>
      </c>
      <c r="G701" t="s">
        <v>73</v>
      </c>
      <c r="H701" s="292">
        <v>1350000</v>
      </c>
      <c r="I701" s="292">
        <v>0</v>
      </c>
      <c r="J701" s="292">
        <v>925000</v>
      </c>
      <c r="K701" s="292" t="s">
        <v>8</v>
      </c>
      <c r="L701" s="292">
        <v>0</v>
      </c>
      <c r="M701" s="292">
        <v>0</v>
      </c>
      <c r="N701" s="292">
        <v>0</v>
      </c>
    </row>
    <row r="702" spans="1:14" x14ac:dyDescent="0.25">
      <c r="A702" t="s">
        <v>680</v>
      </c>
      <c r="B702" s="39">
        <f t="shared" si="40"/>
        <v>5</v>
      </c>
      <c r="C702" s="39" t="str">
        <f t="shared" si="41"/>
        <v>Ryan</v>
      </c>
      <c r="D702" s="39" t="str">
        <f t="shared" si="42"/>
        <v>Dzingel</v>
      </c>
      <c r="E702" s="39" t="str">
        <f t="shared" si="43"/>
        <v>Ryan Dzingel</v>
      </c>
      <c r="F702" t="s">
        <v>1029</v>
      </c>
      <c r="G702" t="s">
        <v>88</v>
      </c>
      <c r="H702" s="292">
        <v>1800000</v>
      </c>
      <c r="I702" s="292">
        <v>0</v>
      </c>
      <c r="J702" s="292">
        <v>2100000</v>
      </c>
      <c r="K702" s="292" t="s">
        <v>7</v>
      </c>
      <c r="L702" s="292">
        <v>0</v>
      </c>
      <c r="M702" s="292">
        <v>0</v>
      </c>
      <c r="N702" s="292">
        <v>0</v>
      </c>
    </row>
    <row r="703" spans="1:14" x14ac:dyDescent="0.25">
      <c r="A703" t="s">
        <v>339</v>
      </c>
      <c r="B703" s="39">
        <f t="shared" si="40"/>
        <v>5</v>
      </c>
      <c r="C703" s="39" t="str">
        <f t="shared" si="41"/>
        <v>Ryan</v>
      </c>
      <c r="D703" s="39" t="str">
        <f t="shared" si="42"/>
        <v>Ellis</v>
      </c>
      <c r="E703" s="39" t="str">
        <f t="shared" si="43"/>
        <v>Ryan Ellis</v>
      </c>
      <c r="F703" t="s">
        <v>1016</v>
      </c>
      <c r="G703" t="s">
        <v>379</v>
      </c>
      <c r="H703" s="292">
        <v>2500000</v>
      </c>
      <c r="I703" s="292">
        <v>0</v>
      </c>
      <c r="J703" s="292">
        <v>3500000</v>
      </c>
      <c r="K703" s="292" t="s">
        <v>7</v>
      </c>
      <c r="L703" s="292">
        <v>0</v>
      </c>
      <c r="M703" s="292">
        <v>0</v>
      </c>
      <c r="N703" s="292">
        <v>0</v>
      </c>
    </row>
    <row r="704" spans="1:14" x14ac:dyDescent="0.25">
      <c r="A704" t="s">
        <v>548</v>
      </c>
      <c r="B704" s="39">
        <f t="shared" si="40"/>
        <v>5</v>
      </c>
      <c r="C704" s="39" t="str">
        <f t="shared" si="41"/>
        <v>Ryan</v>
      </c>
      <c r="D704" s="39" t="str">
        <f t="shared" si="42"/>
        <v>Fitzgerald</v>
      </c>
      <c r="E704" s="39" t="str">
        <f t="shared" si="43"/>
        <v>Ryan Fitzgerald</v>
      </c>
      <c r="F704" t="s">
        <v>1030</v>
      </c>
      <c r="G704" t="s">
        <v>73</v>
      </c>
      <c r="H704" s="292">
        <v>925000</v>
      </c>
      <c r="I704" s="292">
        <v>0</v>
      </c>
      <c r="J704" s="292">
        <v>842500</v>
      </c>
      <c r="K704" s="292" t="s">
        <v>8</v>
      </c>
      <c r="L704" s="292">
        <v>0</v>
      </c>
      <c r="M704" s="292">
        <v>0</v>
      </c>
      <c r="N704" s="292">
        <v>0</v>
      </c>
    </row>
    <row r="705" spans="1:14" x14ac:dyDescent="0.25">
      <c r="A705" t="s">
        <v>1047</v>
      </c>
      <c r="B705" s="39">
        <f t="shared" si="40"/>
        <v>5</v>
      </c>
      <c r="C705" s="39" t="str">
        <f t="shared" si="41"/>
        <v>Ryan</v>
      </c>
      <c r="D705" s="39" t="str">
        <f t="shared" si="42"/>
        <v>Getzlaf</v>
      </c>
      <c r="E705" s="39" t="str">
        <f t="shared" si="43"/>
        <v>Ryan Getzlaf</v>
      </c>
      <c r="F705" t="s">
        <v>1017</v>
      </c>
      <c r="G705" t="s">
        <v>73</v>
      </c>
      <c r="H705" s="292">
        <v>8250000</v>
      </c>
      <c r="I705" s="292">
        <v>8250000</v>
      </c>
      <c r="J705" s="292">
        <v>8950000</v>
      </c>
      <c r="K705" s="292">
        <v>8275000</v>
      </c>
      <c r="L705" s="292">
        <v>6000000</v>
      </c>
      <c r="M705" s="292" t="s">
        <v>7</v>
      </c>
      <c r="N705" s="292">
        <v>0</v>
      </c>
    </row>
    <row r="706" spans="1:14" x14ac:dyDescent="0.25">
      <c r="A706" t="s">
        <v>666</v>
      </c>
      <c r="B706" s="39">
        <f t="shared" si="40"/>
        <v>5</v>
      </c>
      <c r="C706" s="39" t="str">
        <f t="shared" si="41"/>
        <v>Ryan</v>
      </c>
      <c r="D706" s="39" t="str">
        <f t="shared" si="42"/>
        <v>Gropp</v>
      </c>
      <c r="E706" s="39" t="str">
        <f t="shared" si="43"/>
        <v>Ryan Gropp</v>
      </c>
      <c r="F706" t="s">
        <v>1018</v>
      </c>
      <c r="G706" t="s">
        <v>93</v>
      </c>
      <c r="H706" s="292">
        <v>894167</v>
      </c>
      <c r="I706" s="292">
        <v>0</v>
      </c>
      <c r="J706" s="292">
        <v>832500</v>
      </c>
      <c r="K706" s="292" t="s">
        <v>8</v>
      </c>
      <c r="L706" s="292">
        <v>0</v>
      </c>
      <c r="M706" s="292">
        <v>0</v>
      </c>
      <c r="N706" s="292">
        <v>0</v>
      </c>
    </row>
    <row r="707" spans="1:14" x14ac:dyDescent="0.25">
      <c r="A707" t="s">
        <v>1048</v>
      </c>
      <c r="B707" s="39">
        <f t="shared" ref="B707:B770" si="44">SEARCH(" ",A707,1)</f>
        <v>5</v>
      </c>
      <c r="C707" s="39" t="str">
        <f t="shared" ref="C707:C770" si="45">LEFT(A707,B707-1)</f>
        <v>Ryan</v>
      </c>
      <c r="D707" s="39" t="str">
        <f t="shared" ref="D707:D770" si="46">MID(A707,B707+1,LEN(A707)-B707)</f>
        <v>Johansen</v>
      </c>
      <c r="E707" s="39" t="str">
        <f t="shared" ref="E707:E770" si="47">C707&amp;" "&amp;D707</f>
        <v>Ryan Johansen</v>
      </c>
      <c r="F707" t="s">
        <v>1016</v>
      </c>
      <c r="G707" t="s">
        <v>73</v>
      </c>
      <c r="H707" s="292">
        <v>8000000</v>
      </c>
      <c r="I707" s="292">
        <v>8000000</v>
      </c>
      <c r="J707" s="292">
        <v>8000000</v>
      </c>
      <c r="K707" s="292">
        <v>8000000</v>
      </c>
      <c r="L707" s="292">
        <v>8000000</v>
      </c>
      <c r="M707" s="292">
        <v>8000000</v>
      </c>
      <c r="N707" s="292">
        <v>8000000</v>
      </c>
    </row>
    <row r="708" spans="1:14" x14ac:dyDescent="0.25">
      <c r="A708" t="s">
        <v>1058</v>
      </c>
      <c r="B708" s="39">
        <f t="shared" si="44"/>
        <v>5</v>
      </c>
      <c r="C708" s="39" t="str">
        <f t="shared" si="45"/>
        <v>Ryan</v>
      </c>
      <c r="D708" s="39" t="str">
        <f t="shared" si="46"/>
        <v>Kesler</v>
      </c>
      <c r="E708" s="39" t="str">
        <f t="shared" si="47"/>
        <v>Ryan Kesler</v>
      </c>
      <c r="F708" t="s">
        <v>1017</v>
      </c>
      <c r="G708" t="s">
        <v>73</v>
      </c>
      <c r="H708" s="292">
        <v>6875000</v>
      </c>
      <c r="I708" s="292">
        <v>6875000</v>
      </c>
      <c r="J708" s="292">
        <v>6675000</v>
      </c>
      <c r="K708" s="292">
        <v>6675000</v>
      </c>
      <c r="L708" s="292">
        <v>6675000</v>
      </c>
      <c r="M708" s="292">
        <v>6675000</v>
      </c>
      <c r="N708" s="292" t="s">
        <v>7</v>
      </c>
    </row>
    <row r="709" spans="1:14" x14ac:dyDescent="0.25">
      <c r="A709" t="s">
        <v>763</v>
      </c>
      <c r="B709" s="39">
        <f t="shared" si="44"/>
        <v>5</v>
      </c>
      <c r="C709" s="39" t="str">
        <f t="shared" si="45"/>
        <v>Ryan</v>
      </c>
      <c r="D709" s="39" t="str">
        <f t="shared" si="46"/>
        <v>Lomberg</v>
      </c>
      <c r="E709" s="39" t="str">
        <f t="shared" si="47"/>
        <v>Ryan Lomberg</v>
      </c>
      <c r="F709" t="s">
        <v>1031</v>
      </c>
      <c r="G709" t="s">
        <v>93</v>
      </c>
      <c r="H709" s="292">
        <v>710000</v>
      </c>
      <c r="I709" s="292">
        <v>0</v>
      </c>
      <c r="J709" s="292">
        <v>710000</v>
      </c>
      <c r="K709" s="292" t="s">
        <v>8</v>
      </c>
      <c r="L709" s="292">
        <v>0</v>
      </c>
      <c r="M709" s="292">
        <v>0</v>
      </c>
      <c r="N709" s="292">
        <v>0</v>
      </c>
    </row>
    <row r="710" spans="1:14" x14ac:dyDescent="0.25">
      <c r="A710" t="s">
        <v>646</v>
      </c>
      <c r="B710" s="39">
        <f t="shared" si="44"/>
        <v>5</v>
      </c>
      <c r="C710" s="39" t="str">
        <f t="shared" si="45"/>
        <v>Ryan</v>
      </c>
      <c r="D710" s="39" t="str">
        <f t="shared" si="46"/>
        <v>MacInnis</v>
      </c>
      <c r="E710" s="39" t="str">
        <f t="shared" si="47"/>
        <v>Ryan MacInnis</v>
      </c>
      <c r="F710" t="s">
        <v>1032</v>
      </c>
      <c r="G710" t="s">
        <v>73</v>
      </c>
      <c r="H710" s="292">
        <v>894167</v>
      </c>
      <c r="I710" s="292">
        <v>0</v>
      </c>
      <c r="J710" s="292">
        <v>832500</v>
      </c>
      <c r="K710" s="292" t="s">
        <v>8</v>
      </c>
      <c r="L710" s="292">
        <v>0</v>
      </c>
      <c r="M710" s="292">
        <v>0</v>
      </c>
      <c r="N710" s="292">
        <v>0</v>
      </c>
    </row>
    <row r="711" spans="1:14" x14ac:dyDescent="0.25">
      <c r="A711" t="s">
        <v>562</v>
      </c>
      <c r="B711" s="39">
        <f t="shared" si="44"/>
        <v>5</v>
      </c>
      <c r="C711" s="39" t="str">
        <f t="shared" si="45"/>
        <v>Ryan</v>
      </c>
      <c r="D711" s="39" t="str">
        <f t="shared" si="46"/>
        <v>Mantha</v>
      </c>
      <c r="E711" s="39" t="str">
        <f t="shared" si="47"/>
        <v>Ryan Mantha</v>
      </c>
      <c r="F711" t="s">
        <v>1020</v>
      </c>
      <c r="G711" t="s">
        <v>82</v>
      </c>
      <c r="H711" s="292">
        <v>925000</v>
      </c>
      <c r="I711" s="292">
        <v>925000</v>
      </c>
      <c r="J711" s="292">
        <v>842500</v>
      </c>
      <c r="K711" s="292">
        <v>925000</v>
      </c>
      <c r="L711" s="292" t="s">
        <v>8</v>
      </c>
      <c r="M711" s="292">
        <v>0</v>
      </c>
      <c r="N711" s="292">
        <v>0</v>
      </c>
    </row>
    <row r="712" spans="1:14" x14ac:dyDescent="0.25">
      <c r="A712" t="s">
        <v>517</v>
      </c>
      <c r="B712" s="39">
        <f t="shared" si="44"/>
        <v>5</v>
      </c>
      <c r="C712" s="39" t="str">
        <f t="shared" si="45"/>
        <v>Ryan</v>
      </c>
      <c r="D712" s="39" t="str">
        <f t="shared" si="46"/>
        <v>McDonagh</v>
      </c>
      <c r="E712" s="39" t="str">
        <f t="shared" si="47"/>
        <v>Ryan McDonagh</v>
      </c>
      <c r="F712" t="s">
        <v>1019</v>
      </c>
      <c r="G712" t="s">
        <v>380</v>
      </c>
      <c r="H712" s="292">
        <v>4700000</v>
      </c>
      <c r="I712" s="292">
        <v>0</v>
      </c>
      <c r="J712" s="292">
        <v>5300000</v>
      </c>
      <c r="K712" s="292" t="s">
        <v>7</v>
      </c>
      <c r="L712" s="292">
        <v>0</v>
      </c>
      <c r="M712" s="292">
        <v>0</v>
      </c>
      <c r="N712" s="292">
        <v>0</v>
      </c>
    </row>
    <row r="713" spans="1:14" x14ac:dyDescent="0.25">
      <c r="A713" t="s">
        <v>707</v>
      </c>
      <c r="B713" s="39">
        <f t="shared" si="44"/>
        <v>5</v>
      </c>
      <c r="C713" s="39" t="str">
        <f t="shared" si="45"/>
        <v>Ryan</v>
      </c>
      <c r="D713" s="39" t="str">
        <f t="shared" si="46"/>
        <v>Miller</v>
      </c>
      <c r="E713" s="39" t="str">
        <f t="shared" si="47"/>
        <v>Ryan Miller</v>
      </c>
      <c r="F713" t="s">
        <v>1017</v>
      </c>
      <c r="G713" t="s">
        <v>127</v>
      </c>
      <c r="H713" s="292">
        <v>2000000</v>
      </c>
      <c r="I713" s="292">
        <v>0</v>
      </c>
      <c r="J713" s="292">
        <v>2000000</v>
      </c>
      <c r="K713" s="292" t="s">
        <v>7</v>
      </c>
      <c r="L713" s="292">
        <v>0</v>
      </c>
      <c r="M713" s="292">
        <v>0</v>
      </c>
      <c r="N713" s="292">
        <v>0</v>
      </c>
    </row>
    <row r="714" spans="1:14" x14ac:dyDescent="0.25">
      <c r="A714" t="s">
        <v>1064</v>
      </c>
      <c r="B714" s="39">
        <f t="shared" si="44"/>
        <v>5</v>
      </c>
      <c r="C714" s="39" t="str">
        <f t="shared" si="45"/>
        <v>Ryan</v>
      </c>
      <c r="D714" s="39" t="str">
        <f t="shared" si="46"/>
        <v>Nugent-Hopkins</v>
      </c>
      <c r="E714" s="39" t="str">
        <f t="shared" si="47"/>
        <v>Ryan Nugent-Hopkins</v>
      </c>
      <c r="F714" t="s">
        <v>1020</v>
      </c>
      <c r="G714" t="s">
        <v>73</v>
      </c>
      <c r="H714" s="292">
        <v>6000000</v>
      </c>
      <c r="I714" s="292">
        <v>6000000</v>
      </c>
      <c r="J714" s="292">
        <v>6000000</v>
      </c>
      <c r="K714" s="292">
        <v>6000000</v>
      </c>
      <c r="L714" s="292">
        <v>6000000</v>
      </c>
      <c r="M714" s="292" t="s">
        <v>7</v>
      </c>
      <c r="N714" s="292">
        <v>0</v>
      </c>
    </row>
    <row r="715" spans="1:14" x14ac:dyDescent="0.25">
      <c r="A715" t="s">
        <v>400</v>
      </c>
      <c r="B715" s="39">
        <f t="shared" si="44"/>
        <v>5</v>
      </c>
      <c r="C715" s="39" t="str">
        <f t="shared" si="45"/>
        <v>Ryan</v>
      </c>
      <c r="D715" s="39" t="str">
        <f t="shared" si="46"/>
        <v>O'Reilly</v>
      </c>
      <c r="E715" s="39" t="str">
        <f t="shared" si="47"/>
        <v>Ryan O'Reilly</v>
      </c>
      <c r="F715" t="s">
        <v>1026</v>
      </c>
      <c r="G715" t="s">
        <v>73</v>
      </c>
      <c r="H715" s="292">
        <v>7500000</v>
      </c>
      <c r="I715" s="292">
        <v>7500000</v>
      </c>
      <c r="J715" s="292">
        <v>8500000</v>
      </c>
      <c r="K715" s="292">
        <v>6000000</v>
      </c>
      <c r="L715" s="292">
        <v>6000000</v>
      </c>
      <c r="M715" s="292">
        <v>6000000</v>
      </c>
      <c r="N715" s="292">
        <v>6000000</v>
      </c>
    </row>
    <row r="716" spans="1:14" x14ac:dyDescent="0.25">
      <c r="A716" t="s">
        <v>569</v>
      </c>
      <c r="B716" s="39">
        <f t="shared" si="44"/>
        <v>5</v>
      </c>
      <c r="C716" s="39" t="str">
        <f t="shared" si="45"/>
        <v>Ryan</v>
      </c>
      <c r="D716" s="39" t="str">
        <f t="shared" si="46"/>
        <v>Stanton</v>
      </c>
      <c r="E716" s="39" t="str">
        <f t="shared" si="47"/>
        <v>Ryan Stanton</v>
      </c>
      <c r="F716" t="s">
        <v>1020</v>
      </c>
      <c r="G716" t="s">
        <v>82</v>
      </c>
      <c r="H716" s="292">
        <v>700000</v>
      </c>
      <c r="I716" s="292">
        <v>0</v>
      </c>
      <c r="J716" s="292">
        <v>700000</v>
      </c>
      <c r="K716" s="292" t="s">
        <v>7</v>
      </c>
      <c r="L716" s="292">
        <v>0</v>
      </c>
      <c r="M716" s="292">
        <v>0</v>
      </c>
      <c r="N716" s="292">
        <v>0</v>
      </c>
    </row>
    <row r="717" spans="1:14" x14ac:dyDescent="0.25">
      <c r="A717" t="s">
        <v>1050</v>
      </c>
      <c r="B717" s="39">
        <f t="shared" si="44"/>
        <v>5</v>
      </c>
      <c r="C717" s="39" t="str">
        <f t="shared" si="45"/>
        <v>Ryan</v>
      </c>
      <c r="D717" s="39" t="str">
        <f t="shared" si="46"/>
        <v>Suter</v>
      </c>
      <c r="E717" s="39" t="str">
        <f t="shared" si="47"/>
        <v>Ryan Suter</v>
      </c>
      <c r="F717" t="s">
        <v>1025</v>
      </c>
      <c r="G717" t="s">
        <v>380</v>
      </c>
      <c r="H717" s="292">
        <v>7538460</v>
      </c>
      <c r="I717" s="292">
        <v>7538460</v>
      </c>
      <c r="J717" s="292">
        <v>9000000</v>
      </c>
      <c r="K717" s="292">
        <v>9000000</v>
      </c>
      <c r="L717" s="292">
        <v>8000000</v>
      </c>
      <c r="M717" s="292">
        <v>6000000</v>
      </c>
      <c r="N717" s="292">
        <v>2000000</v>
      </c>
    </row>
    <row r="718" spans="1:14" x14ac:dyDescent="0.25">
      <c r="A718" t="s">
        <v>749</v>
      </c>
      <c r="B718" s="39">
        <f t="shared" si="44"/>
        <v>4</v>
      </c>
      <c r="C718" s="39" t="str">
        <f t="shared" si="45"/>
        <v>Sam</v>
      </c>
      <c r="D718" s="39" t="str">
        <f t="shared" si="46"/>
        <v>Bennett</v>
      </c>
      <c r="E718" s="39" t="str">
        <f t="shared" si="47"/>
        <v>Sam Bennett</v>
      </c>
      <c r="F718" t="s">
        <v>1031</v>
      </c>
      <c r="G718" t="s">
        <v>73</v>
      </c>
      <c r="H718" s="292">
        <v>1950000</v>
      </c>
      <c r="I718" s="292">
        <v>0</v>
      </c>
      <c r="J718" s="292">
        <v>1950000</v>
      </c>
      <c r="K718" s="292" t="s">
        <v>8</v>
      </c>
      <c r="L718" s="292">
        <v>0</v>
      </c>
      <c r="M718" s="292">
        <v>0</v>
      </c>
      <c r="N718" s="292">
        <v>0</v>
      </c>
    </row>
    <row r="719" spans="1:14" x14ac:dyDescent="0.25">
      <c r="A719" t="s">
        <v>722</v>
      </c>
      <c r="B719" s="39">
        <f t="shared" si="44"/>
        <v>4</v>
      </c>
      <c r="C719" s="39" t="str">
        <f t="shared" si="45"/>
        <v>Sam</v>
      </c>
      <c r="D719" s="39" t="str">
        <f t="shared" si="46"/>
        <v>Carrick</v>
      </c>
      <c r="E719" s="39" t="str">
        <f t="shared" si="47"/>
        <v>Sam Carrick</v>
      </c>
      <c r="F719" t="s">
        <v>1017</v>
      </c>
      <c r="G719" t="s">
        <v>73</v>
      </c>
      <c r="H719" s="292">
        <v>650000</v>
      </c>
      <c r="I719" s="292">
        <v>0</v>
      </c>
      <c r="J719" s="292">
        <v>650000</v>
      </c>
      <c r="K719" s="292" t="s">
        <v>7</v>
      </c>
      <c r="L719" s="292">
        <v>0</v>
      </c>
      <c r="M719" s="292">
        <v>0</v>
      </c>
      <c r="N719" s="292">
        <v>0</v>
      </c>
    </row>
    <row r="720" spans="1:14" x14ac:dyDescent="0.25">
      <c r="A720" t="s">
        <v>815</v>
      </c>
      <c r="B720" s="39">
        <f t="shared" si="44"/>
        <v>4</v>
      </c>
      <c r="C720" s="39" t="str">
        <f t="shared" si="45"/>
        <v>Sam</v>
      </c>
      <c r="D720" s="39" t="str">
        <f t="shared" si="46"/>
        <v>Gagner</v>
      </c>
      <c r="E720" s="39" t="str">
        <f t="shared" si="47"/>
        <v>Sam Gagner</v>
      </c>
      <c r="F720" t="s">
        <v>1037</v>
      </c>
      <c r="G720" t="s">
        <v>88</v>
      </c>
      <c r="H720" s="292">
        <v>3150000</v>
      </c>
      <c r="I720" s="292">
        <v>3150000</v>
      </c>
      <c r="J720" s="292">
        <v>3500000</v>
      </c>
      <c r="K720" s="292">
        <v>3200000</v>
      </c>
      <c r="L720" s="292" t="s">
        <v>7</v>
      </c>
      <c r="M720" s="292">
        <v>0</v>
      </c>
      <c r="N720" s="292">
        <v>0</v>
      </c>
    </row>
    <row r="721" spans="1:14" x14ac:dyDescent="0.25">
      <c r="A721" t="s">
        <v>433</v>
      </c>
      <c r="B721" s="39">
        <f t="shared" si="44"/>
        <v>4</v>
      </c>
      <c r="C721" s="39" t="str">
        <f t="shared" si="45"/>
        <v>Sam</v>
      </c>
      <c r="D721" s="39" t="str">
        <f t="shared" si="46"/>
        <v>Miletic</v>
      </c>
      <c r="E721" s="39" t="str">
        <f t="shared" si="47"/>
        <v>Sam Miletic</v>
      </c>
      <c r="F721" t="s">
        <v>1014</v>
      </c>
      <c r="G721" t="s">
        <v>73</v>
      </c>
      <c r="H721" s="292">
        <v>710000</v>
      </c>
      <c r="I721" s="292">
        <v>710000</v>
      </c>
      <c r="J721" s="292">
        <v>700000</v>
      </c>
      <c r="K721" s="292">
        <v>750000</v>
      </c>
      <c r="L721" s="292" t="s">
        <v>8</v>
      </c>
      <c r="M721" s="292">
        <v>0</v>
      </c>
      <c r="N721" s="292">
        <v>0</v>
      </c>
    </row>
    <row r="722" spans="1:14" x14ac:dyDescent="0.25">
      <c r="A722" t="s">
        <v>710</v>
      </c>
      <c r="B722" s="39">
        <f t="shared" si="44"/>
        <v>4</v>
      </c>
      <c r="C722" s="39" t="str">
        <f t="shared" si="45"/>
        <v>Sam</v>
      </c>
      <c r="D722" s="39" t="str">
        <f t="shared" si="46"/>
        <v>Steel</v>
      </c>
      <c r="E722" s="39" t="str">
        <f t="shared" si="47"/>
        <v>Sam Steel</v>
      </c>
      <c r="F722" t="s">
        <v>1017</v>
      </c>
      <c r="G722" t="s">
        <v>73</v>
      </c>
      <c r="H722" s="292">
        <v>894167</v>
      </c>
      <c r="I722" s="292">
        <v>894167</v>
      </c>
      <c r="J722" s="292">
        <v>925000</v>
      </c>
      <c r="K722" s="292">
        <v>832500</v>
      </c>
      <c r="L722" s="292" t="s">
        <v>8</v>
      </c>
      <c r="M722" s="292">
        <v>0</v>
      </c>
      <c r="N722" s="292">
        <v>0</v>
      </c>
    </row>
    <row r="723" spans="1:14" x14ac:dyDescent="0.25">
      <c r="A723" t="s">
        <v>641</v>
      </c>
      <c r="B723" s="39">
        <f t="shared" si="44"/>
        <v>4</v>
      </c>
      <c r="C723" s="39" t="str">
        <f t="shared" si="45"/>
        <v>Sam</v>
      </c>
      <c r="D723" s="39" t="str">
        <f t="shared" si="46"/>
        <v>Vigneault</v>
      </c>
      <c r="E723" s="39" t="str">
        <f t="shared" si="47"/>
        <v>Sam Vigneault</v>
      </c>
      <c r="F723" t="s">
        <v>1028</v>
      </c>
      <c r="G723" t="s">
        <v>73</v>
      </c>
      <c r="H723" s="292">
        <v>925000</v>
      </c>
      <c r="I723" s="292">
        <v>0</v>
      </c>
      <c r="J723" s="292">
        <v>925000</v>
      </c>
      <c r="K723" s="292" t="s">
        <v>8</v>
      </c>
      <c r="L723" s="292">
        <v>0</v>
      </c>
      <c r="M723" s="292">
        <v>0</v>
      </c>
      <c r="N723" s="292">
        <v>0</v>
      </c>
    </row>
    <row r="724" spans="1:14" x14ac:dyDescent="0.25">
      <c r="A724" t="s">
        <v>871</v>
      </c>
      <c r="B724" s="39">
        <f t="shared" si="44"/>
        <v>5</v>
      </c>
      <c r="C724" s="39" t="str">
        <f t="shared" si="45"/>
        <v>Sami</v>
      </c>
      <c r="D724" s="39" t="str">
        <f t="shared" si="46"/>
        <v>Niku</v>
      </c>
      <c r="E724" s="39" t="str">
        <f t="shared" si="47"/>
        <v>Sami Niku</v>
      </c>
      <c r="F724" t="s">
        <v>1024</v>
      </c>
      <c r="G724" t="s">
        <v>380</v>
      </c>
      <c r="H724" s="292">
        <v>916667</v>
      </c>
      <c r="I724" s="292">
        <v>916667</v>
      </c>
      <c r="J724" s="292">
        <v>742500</v>
      </c>
      <c r="K724" s="292">
        <v>840000</v>
      </c>
      <c r="L724" s="292" t="s">
        <v>8</v>
      </c>
      <c r="M724" s="292">
        <v>0</v>
      </c>
      <c r="N724" s="292">
        <v>0</v>
      </c>
    </row>
    <row r="725" spans="1:14" x14ac:dyDescent="0.25">
      <c r="A725" t="s">
        <v>954</v>
      </c>
      <c r="B725" s="39">
        <f t="shared" si="44"/>
        <v>5</v>
      </c>
      <c r="C725" s="39" t="str">
        <f t="shared" si="45"/>
        <v>Sami</v>
      </c>
      <c r="D725" s="39" t="str">
        <f t="shared" si="46"/>
        <v>Vatanen</v>
      </c>
      <c r="E725" s="39" t="str">
        <f t="shared" si="47"/>
        <v>Sami Vatanen</v>
      </c>
      <c r="F725" t="s">
        <v>1038</v>
      </c>
      <c r="G725" t="s">
        <v>379</v>
      </c>
      <c r="H725" s="292">
        <v>4875000</v>
      </c>
      <c r="I725" s="292">
        <v>4875000</v>
      </c>
      <c r="J725" s="292">
        <v>5000000</v>
      </c>
      <c r="K725" s="292">
        <v>4500000</v>
      </c>
      <c r="L725" s="292" t="s">
        <v>7</v>
      </c>
      <c r="M725" s="292">
        <v>0</v>
      </c>
      <c r="N725" s="292">
        <v>0</v>
      </c>
    </row>
    <row r="726" spans="1:14" x14ac:dyDescent="0.25">
      <c r="A726" t="s">
        <v>416</v>
      </c>
      <c r="B726" s="39">
        <f t="shared" si="44"/>
        <v>7</v>
      </c>
      <c r="C726" s="39" t="str">
        <f t="shared" si="45"/>
        <v>Samuel</v>
      </c>
      <c r="D726" s="39" t="str">
        <f t="shared" si="46"/>
        <v>Blais</v>
      </c>
      <c r="E726" s="39" t="str">
        <f t="shared" si="47"/>
        <v>Samuel Blais</v>
      </c>
      <c r="F726" t="s">
        <v>1026</v>
      </c>
      <c r="G726" t="s">
        <v>93</v>
      </c>
      <c r="H726" s="292">
        <v>700833</v>
      </c>
      <c r="I726" s="292">
        <v>0</v>
      </c>
      <c r="J726" s="292">
        <v>650000</v>
      </c>
      <c r="K726" s="292" t="s">
        <v>8</v>
      </c>
      <c r="L726" s="292">
        <v>0</v>
      </c>
      <c r="M726" s="292">
        <v>0</v>
      </c>
      <c r="N726" s="292">
        <v>0</v>
      </c>
    </row>
    <row r="727" spans="1:14" x14ac:dyDescent="0.25">
      <c r="A727" t="s">
        <v>917</v>
      </c>
      <c r="B727" s="39">
        <f t="shared" si="44"/>
        <v>7</v>
      </c>
      <c r="C727" s="39" t="str">
        <f t="shared" si="45"/>
        <v>Samuel</v>
      </c>
      <c r="D727" s="39" t="str">
        <f t="shared" si="46"/>
        <v>Girard</v>
      </c>
      <c r="E727" s="39" t="str">
        <f t="shared" si="47"/>
        <v>Samuel Girard</v>
      </c>
      <c r="F727" t="s">
        <v>1033</v>
      </c>
      <c r="G727" t="s">
        <v>380</v>
      </c>
      <c r="H727" s="292">
        <v>925000</v>
      </c>
      <c r="I727" s="292">
        <v>935833</v>
      </c>
      <c r="J727" s="292">
        <v>742500</v>
      </c>
      <c r="K727" s="292">
        <v>700000</v>
      </c>
      <c r="L727" s="292" t="s">
        <v>8</v>
      </c>
      <c r="M727" s="292">
        <v>0</v>
      </c>
      <c r="N727" s="292">
        <v>0</v>
      </c>
    </row>
    <row r="728" spans="1:14" x14ac:dyDescent="0.25">
      <c r="A728" t="s">
        <v>487</v>
      </c>
      <c r="B728" s="39">
        <f t="shared" si="44"/>
        <v>7</v>
      </c>
      <c r="C728" s="39" t="str">
        <f t="shared" si="45"/>
        <v>Samuel</v>
      </c>
      <c r="D728" s="39" t="str">
        <f t="shared" si="46"/>
        <v>Montembeault</v>
      </c>
      <c r="E728" s="39" t="str">
        <f t="shared" si="47"/>
        <v>Samuel Montembeault</v>
      </c>
      <c r="F728" t="s">
        <v>1027</v>
      </c>
      <c r="G728" t="s">
        <v>127</v>
      </c>
      <c r="H728" s="292">
        <v>925000</v>
      </c>
      <c r="I728" s="292">
        <v>0</v>
      </c>
      <c r="J728" s="292">
        <v>767500</v>
      </c>
      <c r="K728" s="292" t="s">
        <v>8</v>
      </c>
      <c r="L728" s="292">
        <v>0</v>
      </c>
      <c r="M728" s="292">
        <v>0</v>
      </c>
      <c r="N728" s="292">
        <v>0</v>
      </c>
    </row>
    <row r="729" spans="1:14" x14ac:dyDescent="0.25">
      <c r="A729" t="s">
        <v>979</v>
      </c>
      <c r="B729" s="39">
        <f t="shared" si="44"/>
        <v>6</v>
      </c>
      <c r="C729" s="39" t="str">
        <f t="shared" si="45"/>
        <v>Scott</v>
      </c>
      <c r="D729" s="39" t="str">
        <f t="shared" si="46"/>
        <v>Darling</v>
      </c>
      <c r="E729" s="39" t="str">
        <f t="shared" si="47"/>
        <v>Scott Darling</v>
      </c>
      <c r="F729" t="s">
        <v>1036</v>
      </c>
      <c r="G729" t="s">
        <v>127</v>
      </c>
      <c r="H729" s="292">
        <v>4150000</v>
      </c>
      <c r="I729" s="292">
        <v>4150000</v>
      </c>
      <c r="J729" s="292">
        <v>4750000</v>
      </c>
      <c r="K729" s="292">
        <v>4099999</v>
      </c>
      <c r="L729" s="292">
        <v>3000000</v>
      </c>
      <c r="M729" s="292" t="s">
        <v>7</v>
      </c>
      <c r="N729" s="292">
        <v>0</v>
      </c>
    </row>
    <row r="730" spans="1:14" x14ac:dyDescent="0.25">
      <c r="A730" t="s">
        <v>639</v>
      </c>
      <c r="B730" s="39">
        <f t="shared" si="44"/>
        <v>6</v>
      </c>
      <c r="C730" s="39" t="str">
        <f t="shared" si="45"/>
        <v>Scott</v>
      </c>
      <c r="D730" s="39" t="str">
        <f t="shared" si="46"/>
        <v>Harrington</v>
      </c>
      <c r="E730" s="39" t="str">
        <f t="shared" si="47"/>
        <v>Scott Harrington</v>
      </c>
      <c r="F730" t="s">
        <v>1028</v>
      </c>
      <c r="G730" t="s">
        <v>380</v>
      </c>
      <c r="H730" s="292">
        <v>675000</v>
      </c>
      <c r="I730" s="292">
        <v>0</v>
      </c>
      <c r="J730" s="292">
        <v>700000</v>
      </c>
      <c r="K730" s="292" t="s">
        <v>8</v>
      </c>
      <c r="L730" s="292">
        <v>0</v>
      </c>
      <c r="M730" s="292">
        <v>0</v>
      </c>
      <c r="N730" s="292">
        <v>0</v>
      </c>
    </row>
    <row r="731" spans="1:14" x14ac:dyDescent="0.25">
      <c r="A731" t="s">
        <v>881</v>
      </c>
      <c r="B731" s="39">
        <f t="shared" si="44"/>
        <v>6</v>
      </c>
      <c r="C731" s="39" t="str">
        <f t="shared" si="45"/>
        <v>Scott</v>
      </c>
      <c r="D731" s="39" t="str">
        <f t="shared" si="46"/>
        <v>Laughton</v>
      </c>
      <c r="E731" s="39" t="str">
        <f t="shared" si="47"/>
        <v>Scott Laughton</v>
      </c>
      <c r="F731" t="s">
        <v>1021</v>
      </c>
      <c r="G731" t="s">
        <v>73</v>
      </c>
      <c r="H731" s="292">
        <v>962500</v>
      </c>
      <c r="I731" s="292">
        <v>0</v>
      </c>
      <c r="J731" s="292">
        <v>1050000</v>
      </c>
      <c r="K731" s="292" t="s">
        <v>8</v>
      </c>
      <c r="L731" s="292">
        <v>0</v>
      </c>
      <c r="M731" s="292">
        <v>0</v>
      </c>
      <c r="N731" s="292">
        <v>0</v>
      </c>
    </row>
    <row r="732" spans="1:14" x14ac:dyDescent="0.25">
      <c r="A732" t="s">
        <v>298</v>
      </c>
      <c r="B732" s="39">
        <f t="shared" si="44"/>
        <v>5</v>
      </c>
      <c r="C732" s="39" t="str">
        <f t="shared" si="45"/>
        <v>Sean</v>
      </c>
      <c r="D732" s="39" t="str">
        <f t="shared" si="46"/>
        <v>Couturier</v>
      </c>
      <c r="E732" s="39" t="str">
        <f t="shared" si="47"/>
        <v>Sean Couturier</v>
      </c>
      <c r="F732" t="s">
        <v>1021</v>
      </c>
      <c r="G732" t="s">
        <v>73</v>
      </c>
      <c r="H732" s="292">
        <v>4333330</v>
      </c>
      <c r="I732" s="292">
        <v>4333330</v>
      </c>
      <c r="J732" s="292">
        <v>4250000</v>
      </c>
      <c r="K732" s="292">
        <v>4500000</v>
      </c>
      <c r="L732" s="292">
        <v>4750000</v>
      </c>
      <c r="M732" s="292">
        <v>4750000</v>
      </c>
      <c r="N732" s="292" t="s">
        <v>7</v>
      </c>
    </row>
    <row r="733" spans="1:14" x14ac:dyDescent="0.25">
      <c r="A733" t="s">
        <v>670</v>
      </c>
      <c r="B733" s="39">
        <f t="shared" si="44"/>
        <v>5</v>
      </c>
      <c r="C733" s="39" t="str">
        <f t="shared" si="45"/>
        <v>Sean</v>
      </c>
      <c r="D733" s="39" t="str">
        <f t="shared" si="46"/>
        <v>Day</v>
      </c>
      <c r="E733" s="39" t="str">
        <f t="shared" si="47"/>
        <v>Sean Day</v>
      </c>
      <c r="F733" t="s">
        <v>1018</v>
      </c>
      <c r="G733" t="s">
        <v>82</v>
      </c>
      <c r="H733" s="292">
        <v>925000</v>
      </c>
      <c r="I733" s="292">
        <v>925000</v>
      </c>
      <c r="J733" s="292">
        <v>742500</v>
      </c>
      <c r="K733" s="292">
        <v>842500</v>
      </c>
      <c r="L733" s="292" t="s">
        <v>8</v>
      </c>
      <c r="M733" s="292">
        <v>0</v>
      </c>
      <c r="N733" s="292">
        <v>0</v>
      </c>
    </row>
    <row r="734" spans="1:14" x14ac:dyDescent="0.25">
      <c r="A734" t="s">
        <v>222</v>
      </c>
      <c r="B734" s="39">
        <f t="shared" si="44"/>
        <v>5</v>
      </c>
      <c r="C734" s="39" t="str">
        <f t="shared" si="45"/>
        <v>Sean</v>
      </c>
      <c r="D734" s="39" t="str">
        <f t="shared" si="46"/>
        <v>Monahan</v>
      </c>
      <c r="E734" s="39" t="str">
        <f t="shared" si="47"/>
        <v>Sean Monahan</v>
      </c>
      <c r="F734" t="s">
        <v>1031</v>
      </c>
      <c r="G734" t="s">
        <v>73</v>
      </c>
      <c r="H734" s="292">
        <v>6375000</v>
      </c>
      <c r="I734" s="292">
        <v>6375000</v>
      </c>
      <c r="J734" s="292">
        <v>6750000</v>
      </c>
      <c r="K734" s="292">
        <v>6750000</v>
      </c>
      <c r="L734" s="292">
        <v>6000000</v>
      </c>
      <c r="M734" s="292">
        <v>6125000</v>
      </c>
      <c r="N734" s="292">
        <v>6000000</v>
      </c>
    </row>
    <row r="735" spans="1:14" x14ac:dyDescent="0.25">
      <c r="A735" t="s">
        <v>230</v>
      </c>
      <c r="B735" s="39">
        <f t="shared" si="44"/>
        <v>10</v>
      </c>
      <c r="C735" s="39" t="str">
        <f t="shared" si="45"/>
        <v>Sebastian</v>
      </c>
      <c r="D735" s="39" t="str">
        <f t="shared" si="46"/>
        <v>Aho</v>
      </c>
      <c r="E735" s="39" t="str">
        <f t="shared" si="47"/>
        <v>Sebastian Aho</v>
      </c>
      <c r="F735" t="s">
        <v>1036</v>
      </c>
      <c r="G735" t="s">
        <v>93</v>
      </c>
      <c r="H735" s="292">
        <v>1775000</v>
      </c>
      <c r="I735" s="292">
        <v>0</v>
      </c>
      <c r="J735" s="292">
        <v>925000</v>
      </c>
      <c r="K735" s="292" t="s">
        <v>8</v>
      </c>
      <c r="L735" s="292">
        <v>0</v>
      </c>
      <c r="M735" s="292">
        <v>0</v>
      </c>
      <c r="N735" s="292">
        <v>0</v>
      </c>
    </row>
    <row r="736" spans="1:14" x14ac:dyDescent="0.25">
      <c r="A736" t="s">
        <v>230</v>
      </c>
      <c r="B736" s="39">
        <f t="shared" si="44"/>
        <v>10</v>
      </c>
      <c r="C736" s="39" t="str">
        <f t="shared" si="45"/>
        <v>Sebastian</v>
      </c>
      <c r="D736" s="39" t="str">
        <f t="shared" si="46"/>
        <v>Aho</v>
      </c>
      <c r="E736" s="39" t="str">
        <f t="shared" si="47"/>
        <v>Sebastian Aho</v>
      </c>
      <c r="F736" t="s">
        <v>1040</v>
      </c>
      <c r="G736" t="s">
        <v>380</v>
      </c>
      <c r="H736" s="292">
        <v>925000</v>
      </c>
      <c r="I736" s="292">
        <v>925000</v>
      </c>
      <c r="J736" s="292">
        <v>742500</v>
      </c>
      <c r="K736" s="292">
        <v>825000</v>
      </c>
      <c r="L736" s="292" t="s">
        <v>8</v>
      </c>
      <c r="M736" s="292">
        <v>0</v>
      </c>
      <c r="N736" s="292">
        <v>0</v>
      </c>
    </row>
    <row r="737" spans="1:14" x14ac:dyDescent="0.25">
      <c r="A737" t="s">
        <v>919</v>
      </c>
      <c r="B737" s="39">
        <f t="shared" si="44"/>
        <v>7</v>
      </c>
      <c r="C737" s="39" t="str">
        <f t="shared" si="45"/>
        <v>Semyon</v>
      </c>
      <c r="D737" s="39" t="str">
        <f t="shared" si="46"/>
        <v>Varlamov</v>
      </c>
      <c r="E737" s="39" t="str">
        <f t="shared" si="47"/>
        <v>Semyon Varlamov</v>
      </c>
      <c r="F737" t="s">
        <v>1033</v>
      </c>
      <c r="G737" t="s">
        <v>127</v>
      </c>
      <c r="H737" s="292">
        <v>5900000</v>
      </c>
      <c r="I737" s="292">
        <v>0</v>
      </c>
      <c r="J737" s="292">
        <v>5500000</v>
      </c>
      <c r="K737" s="292" t="s">
        <v>7</v>
      </c>
      <c r="L737" s="292">
        <v>0</v>
      </c>
      <c r="M737" s="292">
        <v>0</v>
      </c>
      <c r="N737" s="292">
        <v>0</v>
      </c>
    </row>
    <row r="738" spans="1:14" x14ac:dyDescent="0.25">
      <c r="A738" t="s">
        <v>356</v>
      </c>
      <c r="B738" s="39">
        <f t="shared" si="44"/>
        <v>7</v>
      </c>
      <c r="C738" s="39" t="str">
        <f t="shared" si="45"/>
        <v>Sergei</v>
      </c>
      <c r="D738" s="39" t="str">
        <f t="shared" si="46"/>
        <v>Bobrovsky</v>
      </c>
      <c r="E738" s="39" t="str">
        <f t="shared" si="47"/>
        <v>Sergei Bobrovsky</v>
      </c>
      <c r="F738" t="s">
        <v>1028</v>
      </c>
      <c r="G738" t="s">
        <v>127</v>
      </c>
      <c r="H738" s="292">
        <v>7425000</v>
      </c>
      <c r="I738" s="292">
        <v>0</v>
      </c>
      <c r="J738" s="292">
        <v>6200000</v>
      </c>
      <c r="K738" s="292" t="s">
        <v>7</v>
      </c>
      <c r="L738" s="292">
        <v>0</v>
      </c>
      <c r="M738" s="292">
        <v>0</v>
      </c>
      <c r="N738" s="292">
        <v>0</v>
      </c>
    </row>
    <row r="739" spans="1:14" x14ac:dyDescent="0.25">
      <c r="A739" t="s">
        <v>925</v>
      </c>
      <c r="B739" s="39">
        <f t="shared" si="44"/>
        <v>7</v>
      </c>
      <c r="C739" s="39" t="str">
        <f t="shared" si="45"/>
        <v>Sergei</v>
      </c>
      <c r="D739" s="39" t="str">
        <f t="shared" si="46"/>
        <v>Boikov</v>
      </c>
      <c r="E739" s="39" t="str">
        <f t="shared" si="47"/>
        <v>Sergei Boikov</v>
      </c>
      <c r="F739" t="s">
        <v>1033</v>
      </c>
      <c r="G739" t="s">
        <v>82</v>
      </c>
      <c r="H739" s="292">
        <v>681667</v>
      </c>
      <c r="I739" s="292">
        <v>0</v>
      </c>
      <c r="J739" s="292">
        <v>705000</v>
      </c>
      <c r="K739" s="292" t="s">
        <v>8</v>
      </c>
      <c r="L739" s="292">
        <v>0</v>
      </c>
      <c r="M739" s="292">
        <v>0</v>
      </c>
      <c r="N739" s="292">
        <v>0</v>
      </c>
    </row>
    <row r="740" spans="1:14" x14ac:dyDescent="0.25">
      <c r="A740" t="s">
        <v>1134</v>
      </c>
      <c r="B740" s="39">
        <f t="shared" si="44"/>
        <v>7</v>
      </c>
      <c r="C740" s="39" t="str">
        <f t="shared" si="45"/>
        <v>Sergey</v>
      </c>
      <c r="D740" s="39" t="str">
        <f t="shared" si="46"/>
        <v>Zborovskiy</v>
      </c>
      <c r="E740" s="39" t="str">
        <f t="shared" si="47"/>
        <v>Sergey Zborovskiy</v>
      </c>
      <c r="F740" t="s">
        <v>1018</v>
      </c>
      <c r="G740" t="s">
        <v>82</v>
      </c>
      <c r="H740" s="292">
        <v>925000</v>
      </c>
      <c r="I740" s="292">
        <v>0</v>
      </c>
      <c r="J740" s="292">
        <v>792500</v>
      </c>
      <c r="K740" s="292" t="s">
        <v>8</v>
      </c>
      <c r="L740" s="292">
        <v>0</v>
      </c>
      <c r="M740" s="292">
        <v>0</v>
      </c>
      <c r="N740" s="292">
        <v>0</v>
      </c>
    </row>
    <row r="741" spans="1:14" x14ac:dyDescent="0.25">
      <c r="A741" t="s">
        <v>252</v>
      </c>
      <c r="B741" s="39">
        <f t="shared" si="44"/>
        <v>5</v>
      </c>
      <c r="C741" s="39" t="str">
        <f t="shared" si="45"/>
        <v>Seth</v>
      </c>
      <c r="D741" s="39" t="str">
        <f t="shared" si="46"/>
        <v>Jones</v>
      </c>
      <c r="E741" s="39" t="str">
        <f t="shared" si="47"/>
        <v>Seth Jones</v>
      </c>
      <c r="F741" t="s">
        <v>1028</v>
      </c>
      <c r="G741" t="s">
        <v>379</v>
      </c>
      <c r="H741" s="292">
        <v>5400000</v>
      </c>
      <c r="I741" s="292">
        <v>5400000</v>
      </c>
      <c r="J741" s="292">
        <v>5400000</v>
      </c>
      <c r="K741" s="292">
        <v>5400000</v>
      </c>
      <c r="L741" s="292">
        <v>5400000</v>
      </c>
      <c r="M741" s="292">
        <v>5400000</v>
      </c>
      <c r="N741" s="292" t="s">
        <v>7</v>
      </c>
    </row>
    <row r="742" spans="1:14" x14ac:dyDescent="0.25">
      <c r="A742" t="s">
        <v>563</v>
      </c>
      <c r="B742" s="39">
        <f t="shared" si="44"/>
        <v>6</v>
      </c>
      <c r="C742" s="39" t="str">
        <f t="shared" si="45"/>
        <v>Shane</v>
      </c>
      <c r="D742" s="39" t="str">
        <f t="shared" si="46"/>
        <v>Starrett</v>
      </c>
      <c r="E742" s="39" t="str">
        <f t="shared" si="47"/>
        <v>Shane Starrett</v>
      </c>
      <c r="F742" t="s">
        <v>1020</v>
      </c>
      <c r="G742" t="s">
        <v>127</v>
      </c>
      <c r="H742" s="292">
        <v>925000</v>
      </c>
      <c r="I742" s="292">
        <v>0</v>
      </c>
      <c r="J742" s="292">
        <v>842500</v>
      </c>
      <c r="K742" s="292" t="s">
        <v>8</v>
      </c>
      <c r="L742" s="292">
        <v>0</v>
      </c>
      <c r="M742" s="292">
        <v>0</v>
      </c>
      <c r="N742" s="292">
        <v>0</v>
      </c>
    </row>
    <row r="743" spans="1:14" x14ac:dyDescent="0.25">
      <c r="A743" t="s">
        <v>313</v>
      </c>
      <c r="B743" s="39">
        <f t="shared" si="44"/>
        <v>7</v>
      </c>
      <c r="C743" s="39" t="str">
        <f t="shared" si="45"/>
        <v>Shayne</v>
      </c>
      <c r="D743" s="39" t="str">
        <f t="shared" si="46"/>
        <v>Gostisbehere</v>
      </c>
      <c r="E743" s="39" t="str">
        <f t="shared" si="47"/>
        <v>Shayne Gostisbehere</v>
      </c>
      <c r="F743" t="s">
        <v>1021</v>
      </c>
      <c r="G743" t="s">
        <v>380</v>
      </c>
      <c r="H743" s="292">
        <v>4500000</v>
      </c>
      <c r="I743" s="292">
        <v>4500000</v>
      </c>
      <c r="J743" s="292">
        <v>6000000</v>
      </c>
      <c r="K743" s="292">
        <v>5250000</v>
      </c>
      <c r="L743" s="292">
        <v>3250000</v>
      </c>
      <c r="M743" s="292">
        <v>3250000</v>
      </c>
      <c r="N743" s="292">
        <v>3250000</v>
      </c>
    </row>
    <row r="744" spans="1:14" x14ac:dyDescent="0.25">
      <c r="A744" t="s">
        <v>291</v>
      </c>
      <c r="B744" s="39">
        <f t="shared" si="44"/>
        <v>5</v>
      </c>
      <c r="C744" s="39" t="str">
        <f t="shared" si="45"/>
        <v>Shea</v>
      </c>
      <c r="D744" s="39" t="str">
        <f t="shared" si="46"/>
        <v>Weber</v>
      </c>
      <c r="E744" s="39" t="str">
        <f t="shared" si="47"/>
        <v>Shea Weber</v>
      </c>
      <c r="F744" t="s">
        <v>1023</v>
      </c>
      <c r="G744" t="s">
        <v>379</v>
      </c>
      <c r="H744" s="292">
        <v>7857140</v>
      </c>
      <c r="I744" s="292">
        <v>7857140</v>
      </c>
      <c r="J744" s="292">
        <v>6000000</v>
      </c>
      <c r="K744" s="292">
        <v>6000000</v>
      </c>
      <c r="L744" s="292">
        <v>6000000</v>
      </c>
      <c r="M744" s="292">
        <v>6000000</v>
      </c>
      <c r="N744" s="292">
        <v>3000000</v>
      </c>
    </row>
    <row r="745" spans="1:14" x14ac:dyDescent="0.25">
      <c r="A745" t="s">
        <v>240</v>
      </c>
      <c r="B745" s="39">
        <f t="shared" si="44"/>
        <v>7</v>
      </c>
      <c r="C745" s="39" t="str">
        <f t="shared" si="45"/>
        <v>Sidney</v>
      </c>
      <c r="D745" s="39" t="str">
        <f t="shared" si="46"/>
        <v>Crosby</v>
      </c>
      <c r="E745" s="39" t="str">
        <f t="shared" si="47"/>
        <v>Sidney Crosby</v>
      </c>
      <c r="F745" t="s">
        <v>1014</v>
      </c>
      <c r="G745" t="s">
        <v>73</v>
      </c>
      <c r="H745" s="292">
        <v>8700000</v>
      </c>
      <c r="I745" s="292">
        <v>8700000</v>
      </c>
      <c r="J745" s="292">
        <v>10000000</v>
      </c>
      <c r="K745" s="292">
        <v>9000000</v>
      </c>
      <c r="L745" s="292">
        <v>9600000</v>
      </c>
      <c r="M745" s="292">
        <v>9000000</v>
      </c>
      <c r="N745" s="292">
        <v>3000000</v>
      </c>
    </row>
    <row r="746" spans="1:14" x14ac:dyDescent="0.25">
      <c r="A746" t="s">
        <v>876</v>
      </c>
      <c r="B746" s="39">
        <f t="shared" si="44"/>
        <v>6</v>
      </c>
      <c r="C746" s="39" t="str">
        <f t="shared" si="45"/>
        <v>Simon</v>
      </c>
      <c r="D746" s="39" t="str">
        <f t="shared" si="46"/>
        <v>Bourque</v>
      </c>
      <c r="E746" s="39" t="str">
        <f t="shared" si="47"/>
        <v>Simon Bourque</v>
      </c>
      <c r="F746" t="s">
        <v>1024</v>
      </c>
      <c r="G746" t="s">
        <v>82</v>
      </c>
      <c r="H746" s="292">
        <v>720000</v>
      </c>
      <c r="I746" s="292">
        <v>720000</v>
      </c>
      <c r="J746" s="292">
        <v>700000</v>
      </c>
      <c r="K746" s="292">
        <v>740000</v>
      </c>
      <c r="L746" s="292" t="s">
        <v>8</v>
      </c>
      <c r="M746" s="292">
        <v>0</v>
      </c>
      <c r="N746" s="292">
        <v>0</v>
      </c>
    </row>
    <row r="747" spans="1:14" x14ac:dyDescent="0.25">
      <c r="A747" t="s">
        <v>635</v>
      </c>
      <c r="B747" s="39">
        <f t="shared" si="44"/>
        <v>6</v>
      </c>
      <c r="C747" s="39" t="str">
        <f t="shared" si="45"/>
        <v>Sonny</v>
      </c>
      <c r="D747" s="39" t="str">
        <f t="shared" si="46"/>
        <v>Milano</v>
      </c>
      <c r="E747" s="39" t="str">
        <f t="shared" si="47"/>
        <v>Sonny Milano</v>
      </c>
      <c r="F747" t="s">
        <v>1028</v>
      </c>
      <c r="G747" t="s">
        <v>93</v>
      </c>
      <c r="H747" s="292">
        <v>1263330</v>
      </c>
      <c r="I747" s="292">
        <v>0</v>
      </c>
      <c r="J747" s="292">
        <v>832500</v>
      </c>
      <c r="K747" s="292" t="s">
        <v>8</v>
      </c>
      <c r="L747" s="292">
        <v>0</v>
      </c>
      <c r="M747" s="292">
        <v>0</v>
      </c>
      <c r="N747" s="292">
        <v>0</v>
      </c>
    </row>
    <row r="748" spans="1:14" x14ac:dyDescent="0.25">
      <c r="A748" t="s">
        <v>755</v>
      </c>
      <c r="B748" s="39">
        <f t="shared" si="44"/>
        <v>8</v>
      </c>
      <c r="C748" s="39" t="str">
        <f t="shared" si="45"/>
        <v>Spencer</v>
      </c>
      <c r="D748" s="39" t="str">
        <f t="shared" si="46"/>
        <v>Foo</v>
      </c>
      <c r="E748" s="39" t="str">
        <f t="shared" si="47"/>
        <v>Spencer Foo</v>
      </c>
      <c r="F748" t="s">
        <v>1031</v>
      </c>
      <c r="G748" t="s">
        <v>88</v>
      </c>
      <c r="H748" s="292">
        <v>1775000</v>
      </c>
      <c r="I748" s="292">
        <v>0</v>
      </c>
      <c r="J748" s="292">
        <v>925000</v>
      </c>
      <c r="K748" s="292" t="s">
        <v>8</v>
      </c>
      <c r="L748" s="292">
        <v>0</v>
      </c>
      <c r="M748" s="292">
        <v>0</v>
      </c>
      <c r="N748" s="292">
        <v>0</v>
      </c>
    </row>
    <row r="749" spans="1:14" x14ac:dyDescent="0.25">
      <c r="A749" t="s">
        <v>989</v>
      </c>
      <c r="B749" s="39">
        <f t="shared" si="44"/>
        <v>8</v>
      </c>
      <c r="C749" s="39" t="str">
        <f t="shared" si="45"/>
        <v>Spencer</v>
      </c>
      <c r="D749" s="39" t="str">
        <f t="shared" si="46"/>
        <v>Smallman</v>
      </c>
      <c r="E749" s="39" t="str">
        <f t="shared" si="47"/>
        <v>Spencer Smallman</v>
      </c>
      <c r="F749" t="s">
        <v>1036</v>
      </c>
      <c r="G749" t="s">
        <v>88</v>
      </c>
      <c r="H749" s="292">
        <v>758333</v>
      </c>
      <c r="I749" s="292">
        <v>758333</v>
      </c>
      <c r="J749" s="292">
        <v>725000</v>
      </c>
      <c r="K749" s="292">
        <v>775000</v>
      </c>
      <c r="L749" s="292" t="s">
        <v>8</v>
      </c>
      <c r="M749" s="292">
        <v>0</v>
      </c>
      <c r="N749" s="292">
        <v>0</v>
      </c>
    </row>
    <row r="750" spans="1:14" x14ac:dyDescent="0.25">
      <c r="A750" t="s">
        <v>509</v>
      </c>
      <c r="B750" s="39">
        <f t="shared" si="44"/>
        <v>8</v>
      </c>
      <c r="C750" s="39" t="str">
        <f t="shared" si="45"/>
        <v>Spencer</v>
      </c>
      <c r="D750" s="39" t="str">
        <f t="shared" si="46"/>
        <v>Watson</v>
      </c>
      <c r="E750" s="39" t="str">
        <f t="shared" si="47"/>
        <v>Spencer Watson</v>
      </c>
      <c r="F750" t="s">
        <v>1012</v>
      </c>
      <c r="G750" t="s">
        <v>88</v>
      </c>
      <c r="H750" s="292">
        <v>808333</v>
      </c>
      <c r="I750" s="292">
        <v>0</v>
      </c>
      <c r="J750" s="292">
        <v>732500</v>
      </c>
      <c r="K750" s="292" t="s">
        <v>8</v>
      </c>
      <c r="L750" s="292">
        <v>0</v>
      </c>
      <c r="M750" s="292">
        <v>0</v>
      </c>
      <c r="N750" s="292">
        <v>0</v>
      </c>
    </row>
    <row r="751" spans="1:14" x14ac:dyDescent="0.25">
      <c r="A751" t="s">
        <v>510</v>
      </c>
      <c r="B751" s="39">
        <f t="shared" si="44"/>
        <v>7</v>
      </c>
      <c r="C751" s="39" t="str">
        <f t="shared" si="45"/>
        <v>Stepan</v>
      </c>
      <c r="D751" s="39" t="str">
        <f t="shared" si="46"/>
        <v>Falkovsky</v>
      </c>
      <c r="E751" s="39" t="str">
        <f t="shared" si="47"/>
        <v>Stepan Falkovsky</v>
      </c>
      <c r="F751" t="s">
        <v>1012</v>
      </c>
      <c r="G751" t="s">
        <v>82</v>
      </c>
      <c r="H751" s="292">
        <v>698333</v>
      </c>
      <c r="I751" s="292">
        <v>698333</v>
      </c>
      <c r="J751" s="292">
        <v>680000</v>
      </c>
      <c r="K751" s="292">
        <v>730000</v>
      </c>
      <c r="L751" s="292" t="s">
        <v>8</v>
      </c>
      <c r="M751" s="292">
        <v>0</v>
      </c>
      <c r="N751" s="292">
        <v>0</v>
      </c>
    </row>
    <row r="752" spans="1:14" x14ac:dyDescent="0.25">
      <c r="A752" t="s">
        <v>910</v>
      </c>
      <c r="B752" s="39">
        <f t="shared" si="44"/>
        <v>6</v>
      </c>
      <c r="C752" s="39" t="str">
        <f t="shared" si="45"/>
        <v>Steve</v>
      </c>
      <c r="D752" s="39" t="str">
        <f t="shared" si="46"/>
        <v>Bernier</v>
      </c>
      <c r="E752" s="39" t="str">
        <f t="shared" si="47"/>
        <v>Steve Bernier</v>
      </c>
      <c r="F752" t="s">
        <v>1040</v>
      </c>
      <c r="G752" t="s">
        <v>88</v>
      </c>
      <c r="H752" s="292">
        <v>650000</v>
      </c>
      <c r="I752" s="292">
        <v>0</v>
      </c>
      <c r="J752" s="292">
        <v>650000</v>
      </c>
      <c r="K752" s="292" t="s">
        <v>7</v>
      </c>
      <c r="L752" s="292">
        <v>0</v>
      </c>
      <c r="M752" s="292">
        <v>0</v>
      </c>
      <c r="N752" s="292">
        <v>0</v>
      </c>
    </row>
    <row r="753" spans="1:14" x14ac:dyDescent="0.25">
      <c r="A753" t="s">
        <v>1154</v>
      </c>
      <c r="B753" s="39">
        <f t="shared" si="44"/>
        <v>6</v>
      </c>
      <c r="C753" s="39" t="str">
        <f t="shared" si="45"/>
        <v>Steve</v>
      </c>
      <c r="D753" s="39" t="str">
        <f t="shared" si="46"/>
        <v>Kampfer</v>
      </c>
      <c r="E753" s="39" t="str">
        <f t="shared" si="47"/>
        <v>Steve Kampfer</v>
      </c>
      <c r="F753" t="s">
        <v>1018</v>
      </c>
      <c r="G753" t="s">
        <v>379</v>
      </c>
      <c r="H753" s="292">
        <v>650000</v>
      </c>
      <c r="I753" s="292">
        <v>0</v>
      </c>
      <c r="J753" s="292">
        <v>650000</v>
      </c>
      <c r="K753" s="292" t="s">
        <v>7</v>
      </c>
      <c r="L753" s="292">
        <v>0</v>
      </c>
      <c r="M753" s="292">
        <v>0</v>
      </c>
      <c r="N753" s="292">
        <v>0</v>
      </c>
    </row>
    <row r="754" spans="1:14" x14ac:dyDescent="0.25">
      <c r="A754" t="s">
        <v>1098</v>
      </c>
      <c r="B754" s="39">
        <f t="shared" si="44"/>
        <v>6</v>
      </c>
      <c r="C754" s="39" t="str">
        <f t="shared" si="45"/>
        <v>Steve</v>
      </c>
      <c r="D754" s="39" t="str">
        <f t="shared" si="46"/>
        <v>Mason</v>
      </c>
      <c r="E754" s="39" t="str">
        <f t="shared" si="47"/>
        <v>Steve Mason</v>
      </c>
      <c r="F754" t="s">
        <v>1023</v>
      </c>
      <c r="G754" t="s">
        <v>127</v>
      </c>
      <c r="H754" s="292">
        <v>4100000</v>
      </c>
      <c r="I754" s="292">
        <v>0</v>
      </c>
      <c r="J754" s="292">
        <v>4100000</v>
      </c>
      <c r="K754" s="292" t="s">
        <v>7</v>
      </c>
      <c r="L754" s="292">
        <v>0</v>
      </c>
      <c r="M754" s="292">
        <v>0</v>
      </c>
      <c r="N754" s="292">
        <v>0</v>
      </c>
    </row>
    <row r="755" spans="1:14" x14ac:dyDescent="0.25">
      <c r="A755" t="s">
        <v>990</v>
      </c>
      <c r="B755" s="39">
        <f t="shared" si="44"/>
        <v>7</v>
      </c>
      <c r="C755" s="39" t="str">
        <f t="shared" si="45"/>
        <v>Steven</v>
      </c>
      <c r="D755" s="39" t="str">
        <f t="shared" si="46"/>
        <v>Lorentz</v>
      </c>
      <c r="E755" s="39" t="str">
        <f t="shared" si="47"/>
        <v>Steven Lorentz</v>
      </c>
      <c r="F755" t="s">
        <v>1036</v>
      </c>
      <c r="G755" t="s">
        <v>73</v>
      </c>
      <c r="H755" s="292">
        <v>728333</v>
      </c>
      <c r="I755" s="292">
        <v>728333</v>
      </c>
      <c r="J755" s="292">
        <v>710000</v>
      </c>
      <c r="K755" s="292">
        <v>760000</v>
      </c>
      <c r="L755" s="292" t="s">
        <v>8</v>
      </c>
      <c r="M755" s="292">
        <v>0</v>
      </c>
      <c r="N755" s="292">
        <v>0</v>
      </c>
    </row>
    <row r="756" spans="1:14" x14ac:dyDescent="0.25">
      <c r="A756" t="s">
        <v>1153</v>
      </c>
      <c r="B756" s="39">
        <f t="shared" si="44"/>
        <v>7</v>
      </c>
      <c r="C756" s="39" t="str">
        <f t="shared" si="45"/>
        <v>Steven</v>
      </c>
      <c r="D756" s="39" t="str">
        <f t="shared" si="46"/>
        <v>Oleksy</v>
      </c>
      <c r="E756" s="39" t="str">
        <f t="shared" si="47"/>
        <v>Steven Oleksy</v>
      </c>
      <c r="F756" t="s">
        <v>1017</v>
      </c>
      <c r="G756" t="s">
        <v>82</v>
      </c>
      <c r="H756" s="292">
        <v>650000</v>
      </c>
      <c r="I756" s="292">
        <v>0</v>
      </c>
      <c r="J756" s="292">
        <v>650000</v>
      </c>
      <c r="K756" s="292" t="s">
        <v>7</v>
      </c>
      <c r="L756" s="292">
        <v>0</v>
      </c>
      <c r="M756" s="292">
        <v>0</v>
      </c>
      <c r="N756" s="292">
        <v>0</v>
      </c>
    </row>
    <row r="757" spans="1:14" x14ac:dyDescent="0.25">
      <c r="A757" t="s">
        <v>956</v>
      </c>
      <c r="B757" s="39">
        <f t="shared" si="44"/>
        <v>7</v>
      </c>
      <c r="C757" s="39" t="str">
        <f t="shared" si="45"/>
        <v>Steven</v>
      </c>
      <c r="D757" s="39" t="str">
        <f t="shared" si="46"/>
        <v>Santini</v>
      </c>
      <c r="E757" s="39" t="str">
        <f t="shared" si="47"/>
        <v>Steven Santini</v>
      </c>
      <c r="F757" t="s">
        <v>1038</v>
      </c>
      <c r="G757" t="s">
        <v>379</v>
      </c>
      <c r="H757" s="292">
        <v>925000</v>
      </c>
      <c r="I757" s="292">
        <v>0</v>
      </c>
      <c r="J757" s="292">
        <v>925000</v>
      </c>
      <c r="K757" s="292" t="s">
        <v>8</v>
      </c>
      <c r="L757" s="292">
        <v>0</v>
      </c>
      <c r="M757" s="292">
        <v>0</v>
      </c>
      <c r="N757" s="292">
        <v>0</v>
      </c>
    </row>
    <row r="758" spans="1:14" x14ac:dyDescent="0.25">
      <c r="A758" t="s">
        <v>201</v>
      </c>
      <c r="B758" s="39">
        <f t="shared" si="44"/>
        <v>7</v>
      </c>
      <c r="C758" s="39" t="str">
        <f t="shared" si="45"/>
        <v>Steven</v>
      </c>
      <c r="D758" s="39" t="str">
        <f t="shared" si="46"/>
        <v>Stamkos</v>
      </c>
      <c r="E758" s="39" t="str">
        <f t="shared" si="47"/>
        <v>Steven Stamkos</v>
      </c>
      <c r="F758" t="s">
        <v>1019</v>
      </c>
      <c r="G758" t="s">
        <v>73</v>
      </c>
      <c r="H758" s="292">
        <v>8500000</v>
      </c>
      <c r="I758" s="292">
        <v>8500000</v>
      </c>
      <c r="J758" s="292">
        <v>9500000</v>
      </c>
      <c r="K758" s="292">
        <v>9500000</v>
      </c>
      <c r="L758" s="292">
        <v>9500000</v>
      </c>
      <c r="M758" s="292">
        <v>7500000</v>
      </c>
      <c r="N758" s="292">
        <v>6500000</v>
      </c>
    </row>
    <row r="759" spans="1:14" x14ac:dyDescent="0.25">
      <c r="A759" t="s">
        <v>912</v>
      </c>
      <c r="B759" s="39">
        <f t="shared" si="44"/>
        <v>5</v>
      </c>
      <c r="C759" s="39" t="str">
        <f t="shared" si="45"/>
        <v>Sven</v>
      </c>
      <c r="D759" s="39" t="str">
        <f t="shared" si="46"/>
        <v>Andrighetto</v>
      </c>
      <c r="E759" s="39" t="str">
        <f t="shared" si="47"/>
        <v>Sven Andrighetto</v>
      </c>
      <c r="F759" t="s">
        <v>1033</v>
      </c>
      <c r="G759" t="s">
        <v>88</v>
      </c>
      <c r="H759" s="292">
        <v>1400000</v>
      </c>
      <c r="I759" s="292">
        <v>0</v>
      </c>
      <c r="J759" s="292">
        <v>1550000</v>
      </c>
      <c r="K759" s="292" t="s">
        <v>8</v>
      </c>
      <c r="L759" s="292">
        <v>0</v>
      </c>
      <c r="M759" s="292">
        <v>0</v>
      </c>
      <c r="N759" s="292">
        <v>0</v>
      </c>
    </row>
    <row r="760" spans="1:14" x14ac:dyDescent="0.25">
      <c r="A760" t="s">
        <v>1091</v>
      </c>
      <c r="B760" s="39">
        <f t="shared" si="44"/>
        <v>5</v>
      </c>
      <c r="C760" s="39" t="str">
        <f t="shared" si="45"/>
        <v>T.J.</v>
      </c>
      <c r="D760" s="39" t="str">
        <f t="shared" si="46"/>
        <v>Brodie</v>
      </c>
      <c r="E760" s="39" t="str">
        <f t="shared" si="47"/>
        <v>T.J. Brodie</v>
      </c>
      <c r="F760" t="s">
        <v>1031</v>
      </c>
      <c r="G760" t="s">
        <v>380</v>
      </c>
      <c r="H760" s="292">
        <v>4650000</v>
      </c>
      <c r="I760" s="292">
        <v>4650000</v>
      </c>
      <c r="J760" s="292">
        <v>4837500</v>
      </c>
      <c r="K760" s="292">
        <v>4837500</v>
      </c>
      <c r="L760" s="292" t="s">
        <v>7</v>
      </c>
      <c r="M760" s="292">
        <v>0</v>
      </c>
      <c r="N760" s="292">
        <v>0</v>
      </c>
    </row>
    <row r="761" spans="1:14" x14ac:dyDescent="0.25">
      <c r="A761" t="s">
        <v>202</v>
      </c>
      <c r="B761" s="39">
        <f t="shared" si="44"/>
        <v>5</v>
      </c>
      <c r="C761" s="39" t="str">
        <f t="shared" si="45"/>
        <v>T.J.</v>
      </c>
      <c r="D761" s="39" t="str">
        <f t="shared" si="46"/>
        <v>Oshie</v>
      </c>
      <c r="E761" s="39" t="str">
        <f t="shared" si="47"/>
        <v>T.J. Oshie</v>
      </c>
      <c r="F761" t="s">
        <v>1013</v>
      </c>
      <c r="G761" t="s">
        <v>88</v>
      </c>
      <c r="H761" s="292">
        <v>5750000</v>
      </c>
      <c r="I761" s="292">
        <v>5750000</v>
      </c>
      <c r="J761" s="292">
        <v>7500000</v>
      </c>
      <c r="K761" s="292">
        <v>6500000</v>
      </c>
      <c r="L761" s="292">
        <v>4500000</v>
      </c>
      <c r="M761" s="292">
        <v>6000000</v>
      </c>
      <c r="N761" s="292">
        <v>4500000</v>
      </c>
    </row>
    <row r="762" spans="1:14" x14ac:dyDescent="0.25">
      <c r="A762" t="s">
        <v>812</v>
      </c>
      <c r="B762" s="39">
        <f t="shared" si="44"/>
        <v>5</v>
      </c>
      <c r="C762" s="39" t="str">
        <f t="shared" si="45"/>
        <v>T.J.</v>
      </c>
      <c r="D762" s="39" t="str">
        <f t="shared" si="46"/>
        <v>Tynan</v>
      </c>
      <c r="E762" s="39" t="str">
        <f t="shared" si="47"/>
        <v>T.J. Tynan</v>
      </c>
      <c r="F762" t="s">
        <v>1041</v>
      </c>
      <c r="G762" t="s">
        <v>73</v>
      </c>
      <c r="H762" s="292">
        <v>650000</v>
      </c>
      <c r="I762" s="292">
        <v>0</v>
      </c>
      <c r="J762" s="292">
        <v>650000</v>
      </c>
      <c r="K762" s="292" t="s">
        <v>7</v>
      </c>
      <c r="L762" s="292">
        <v>0</v>
      </c>
      <c r="M762" s="292">
        <v>0</v>
      </c>
      <c r="N762" s="292">
        <v>0</v>
      </c>
    </row>
    <row r="763" spans="1:14" x14ac:dyDescent="0.25">
      <c r="A763" t="s">
        <v>729</v>
      </c>
      <c r="B763" s="39">
        <f t="shared" si="44"/>
        <v>5</v>
      </c>
      <c r="C763" s="39" t="str">
        <f t="shared" si="45"/>
        <v>Tage</v>
      </c>
      <c r="D763" s="39" t="str">
        <f t="shared" si="46"/>
        <v>Thompson</v>
      </c>
      <c r="E763" s="39" t="str">
        <f t="shared" si="47"/>
        <v>Tage Thompson</v>
      </c>
      <c r="F763" t="s">
        <v>1039</v>
      </c>
      <c r="G763" t="s">
        <v>88</v>
      </c>
      <c r="H763" s="292">
        <v>1137500</v>
      </c>
      <c r="I763" s="292">
        <v>1137500</v>
      </c>
      <c r="J763" s="292">
        <v>925000</v>
      </c>
      <c r="K763" s="292">
        <v>925000</v>
      </c>
      <c r="L763" s="292" t="s">
        <v>8</v>
      </c>
      <c r="M763" s="292">
        <v>0</v>
      </c>
      <c r="N763" s="292">
        <v>0</v>
      </c>
    </row>
    <row r="764" spans="1:14" x14ac:dyDescent="0.25">
      <c r="A764" t="s">
        <v>833</v>
      </c>
      <c r="B764" s="39">
        <f t="shared" si="44"/>
        <v>7</v>
      </c>
      <c r="C764" s="39" t="str">
        <f t="shared" si="45"/>
        <v>Tanner</v>
      </c>
      <c r="D764" s="39" t="str">
        <f t="shared" si="46"/>
        <v>Kero</v>
      </c>
      <c r="E764" s="39" t="str">
        <f t="shared" si="47"/>
        <v>Tanner Kero</v>
      </c>
      <c r="F764" t="s">
        <v>1011</v>
      </c>
      <c r="G764" t="s">
        <v>73</v>
      </c>
      <c r="H764" s="292">
        <v>750000</v>
      </c>
      <c r="I764" s="292">
        <v>0</v>
      </c>
      <c r="J764" s="292">
        <v>800000</v>
      </c>
      <c r="K764" s="292" t="s">
        <v>8</v>
      </c>
      <c r="L764" s="292">
        <v>0</v>
      </c>
      <c r="M764" s="292">
        <v>0</v>
      </c>
      <c r="N764" s="292">
        <v>0</v>
      </c>
    </row>
    <row r="765" spans="1:14" x14ac:dyDescent="0.25">
      <c r="A765" t="s">
        <v>345</v>
      </c>
      <c r="B765" s="39">
        <f t="shared" si="44"/>
        <v>7</v>
      </c>
      <c r="C765" s="39" t="str">
        <f t="shared" si="45"/>
        <v>Tanner</v>
      </c>
      <c r="D765" s="39" t="str">
        <f t="shared" si="46"/>
        <v>Pearson</v>
      </c>
      <c r="E765" s="39" t="str">
        <f t="shared" si="47"/>
        <v>Tanner Pearson</v>
      </c>
      <c r="F765" t="s">
        <v>1012</v>
      </c>
      <c r="G765" t="s">
        <v>93</v>
      </c>
      <c r="H765" s="292">
        <v>3750000</v>
      </c>
      <c r="I765" s="292">
        <v>3750000</v>
      </c>
      <c r="J765" s="292">
        <v>3800000</v>
      </c>
      <c r="K765" s="292">
        <v>3850000</v>
      </c>
      <c r="L765" s="292">
        <v>3850000</v>
      </c>
      <c r="M765" s="292" t="s">
        <v>7</v>
      </c>
      <c r="N765" s="292">
        <v>0</v>
      </c>
    </row>
    <row r="766" spans="1:14" x14ac:dyDescent="0.25">
      <c r="A766" t="s">
        <v>745</v>
      </c>
      <c r="B766" s="39">
        <f t="shared" si="44"/>
        <v>7</v>
      </c>
      <c r="C766" s="39" t="str">
        <f t="shared" si="45"/>
        <v>Taylor</v>
      </c>
      <c r="D766" s="39" t="str">
        <f t="shared" si="46"/>
        <v>Fedun</v>
      </c>
      <c r="E766" s="39" t="str">
        <f t="shared" si="47"/>
        <v>Taylor Fedun</v>
      </c>
      <c r="F766" t="s">
        <v>1039</v>
      </c>
      <c r="G766" t="s">
        <v>82</v>
      </c>
      <c r="H766" s="292">
        <v>650000</v>
      </c>
      <c r="I766" s="292">
        <v>0</v>
      </c>
      <c r="J766" s="292">
        <v>650000</v>
      </c>
      <c r="K766" s="292" t="s">
        <v>7</v>
      </c>
      <c r="L766" s="292">
        <v>0</v>
      </c>
      <c r="M766" s="292">
        <v>0</v>
      </c>
      <c r="N766" s="292">
        <v>0</v>
      </c>
    </row>
    <row r="767" spans="1:14" x14ac:dyDescent="0.25">
      <c r="A767" t="s">
        <v>264</v>
      </c>
      <c r="B767" s="39">
        <f t="shared" si="44"/>
        <v>7</v>
      </c>
      <c r="C767" s="39" t="str">
        <f t="shared" si="45"/>
        <v>Taylor</v>
      </c>
      <c r="D767" s="39" t="str">
        <f t="shared" si="46"/>
        <v>Hall</v>
      </c>
      <c r="E767" s="39" t="str">
        <f t="shared" si="47"/>
        <v>Taylor Hall</v>
      </c>
      <c r="F767" t="s">
        <v>1038</v>
      </c>
      <c r="G767" t="s">
        <v>93</v>
      </c>
      <c r="H767" s="292">
        <v>6000000</v>
      </c>
      <c r="I767" s="292">
        <v>6000000</v>
      </c>
      <c r="J767" s="292">
        <v>6000000</v>
      </c>
      <c r="K767" s="292">
        <v>6000000</v>
      </c>
      <c r="L767" s="292" t="s">
        <v>7</v>
      </c>
      <c r="M767" s="292">
        <v>0</v>
      </c>
      <c r="N767" s="292">
        <v>0</v>
      </c>
    </row>
    <row r="768" spans="1:14" x14ac:dyDescent="0.25">
      <c r="A768" t="s">
        <v>524</v>
      </c>
      <c r="B768" s="39">
        <f t="shared" si="44"/>
        <v>7</v>
      </c>
      <c r="C768" s="39" t="str">
        <f t="shared" si="45"/>
        <v>Taylor</v>
      </c>
      <c r="D768" s="39" t="str">
        <f t="shared" si="46"/>
        <v>Raddysh</v>
      </c>
      <c r="E768" s="39" t="str">
        <f t="shared" si="47"/>
        <v>Taylor Raddysh</v>
      </c>
      <c r="F768" t="s">
        <v>1019</v>
      </c>
      <c r="G768" t="s">
        <v>88</v>
      </c>
      <c r="H768" s="292">
        <v>925000</v>
      </c>
      <c r="I768" s="292">
        <v>925000</v>
      </c>
      <c r="J768" s="292">
        <v>925000</v>
      </c>
      <c r="K768" s="292">
        <v>925000</v>
      </c>
      <c r="L768" s="292" t="s">
        <v>8</v>
      </c>
      <c r="M768" s="292">
        <v>0</v>
      </c>
      <c r="N768" s="292">
        <v>0</v>
      </c>
    </row>
    <row r="769" spans="1:14" x14ac:dyDescent="0.25">
      <c r="A769" t="s">
        <v>243</v>
      </c>
      <c r="B769" s="39">
        <f t="shared" si="44"/>
        <v>6</v>
      </c>
      <c r="C769" s="39" t="str">
        <f t="shared" si="45"/>
        <v>Teuvo</v>
      </c>
      <c r="D769" s="39" t="str">
        <f t="shared" si="46"/>
        <v>Teravainen</v>
      </c>
      <c r="E769" s="39" t="str">
        <f t="shared" si="47"/>
        <v>Teuvo Teravainen</v>
      </c>
      <c r="F769" t="s">
        <v>1036</v>
      </c>
      <c r="G769" t="s">
        <v>88</v>
      </c>
      <c r="H769" s="292">
        <v>2860000</v>
      </c>
      <c r="I769" s="292">
        <v>0</v>
      </c>
      <c r="J769" s="292">
        <v>2860000</v>
      </c>
      <c r="K769" s="292" t="s">
        <v>8</v>
      </c>
      <c r="L769" s="292">
        <v>0</v>
      </c>
      <c r="M769" s="292">
        <v>0</v>
      </c>
      <c r="N769" s="292">
        <v>0</v>
      </c>
    </row>
    <row r="770" spans="1:14" x14ac:dyDescent="0.25">
      <c r="A770" t="s">
        <v>827</v>
      </c>
      <c r="B770" s="39">
        <f t="shared" si="44"/>
        <v>9</v>
      </c>
      <c r="C770" s="39" t="str">
        <f t="shared" si="45"/>
        <v>Thatcher</v>
      </c>
      <c r="D770" s="39" t="str">
        <f t="shared" si="46"/>
        <v>Demko</v>
      </c>
      <c r="E770" s="39" t="str">
        <f t="shared" si="47"/>
        <v>Thatcher Demko</v>
      </c>
      <c r="F770" t="s">
        <v>1037</v>
      </c>
      <c r="G770" t="s">
        <v>127</v>
      </c>
      <c r="H770" s="292">
        <v>2941667</v>
      </c>
      <c r="I770" s="292">
        <v>0</v>
      </c>
      <c r="J770" s="292">
        <v>925000</v>
      </c>
      <c r="K770" s="292" t="s">
        <v>8</v>
      </c>
      <c r="L770" s="292">
        <v>0</v>
      </c>
      <c r="M770" s="292">
        <v>0</v>
      </c>
      <c r="N770" s="292">
        <v>0</v>
      </c>
    </row>
    <row r="771" spans="1:14" x14ac:dyDescent="0.25">
      <c r="A771" t="s">
        <v>684</v>
      </c>
      <c r="B771" s="39">
        <f t="shared" ref="B771:B834" si="48">SEARCH(" ",A771,1)</f>
        <v>7</v>
      </c>
      <c r="C771" s="39" t="str">
        <f t="shared" ref="C771:C834" si="49">LEFT(A771,B771-1)</f>
        <v>Thomas</v>
      </c>
      <c r="D771" s="39" t="str">
        <f t="shared" ref="D771:D834" si="50">MID(A771,B771+1,LEN(A771)-B771)</f>
        <v>Chabot</v>
      </c>
      <c r="E771" s="39" t="str">
        <f t="shared" ref="E771:E834" si="51">C771&amp;" "&amp;D771</f>
        <v>Thomas Chabot</v>
      </c>
      <c r="F771" t="s">
        <v>1029</v>
      </c>
      <c r="G771" t="s">
        <v>380</v>
      </c>
      <c r="H771" s="292">
        <v>1223330</v>
      </c>
      <c r="I771" s="292">
        <v>1223330</v>
      </c>
      <c r="J771" s="292">
        <v>832500</v>
      </c>
      <c r="K771" s="292">
        <v>832500</v>
      </c>
      <c r="L771" s="292" t="s">
        <v>8</v>
      </c>
      <c r="M771" s="292">
        <v>0</v>
      </c>
      <c r="N771" s="292">
        <v>0</v>
      </c>
    </row>
    <row r="772" spans="1:14" x14ac:dyDescent="0.25">
      <c r="A772" t="s">
        <v>903</v>
      </c>
      <c r="B772" s="39">
        <f t="shared" si="48"/>
        <v>7</v>
      </c>
      <c r="C772" s="39" t="str">
        <f t="shared" si="49"/>
        <v>Thomas</v>
      </c>
      <c r="D772" s="39" t="str">
        <f t="shared" si="50"/>
        <v>Greiss</v>
      </c>
      <c r="E772" s="39" t="str">
        <f t="shared" si="51"/>
        <v>Thomas Greiss</v>
      </c>
      <c r="F772" t="s">
        <v>1040</v>
      </c>
      <c r="G772" t="s">
        <v>127</v>
      </c>
      <c r="H772" s="292">
        <v>3333330</v>
      </c>
      <c r="I772" s="292">
        <v>3333330</v>
      </c>
      <c r="J772" s="292">
        <v>3250000</v>
      </c>
      <c r="K772" s="292">
        <v>3750000</v>
      </c>
      <c r="L772" s="292" t="s">
        <v>7</v>
      </c>
      <c r="M772" s="292">
        <v>0</v>
      </c>
      <c r="N772" s="292">
        <v>0</v>
      </c>
    </row>
    <row r="773" spans="1:14" x14ac:dyDescent="0.25">
      <c r="A773" t="s">
        <v>489</v>
      </c>
      <c r="B773" s="39">
        <f t="shared" si="48"/>
        <v>7</v>
      </c>
      <c r="C773" s="39" t="str">
        <f t="shared" si="49"/>
        <v>Thomas</v>
      </c>
      <c r="D773" s="39" t="str">
        <f t="shared" si="50"/>
        <v>Schemitsch</v>
      </c>
      <c r="E773" s="39" t="str">
        <f t="shared" si="51"/>
        <v>Thomas Schemitsch</v>
      </c>
      <c r="F773" t="s">
        <v>1027</v>
      </c>
      <c r="G773" t="s">
        <v>82</v>
      </c>
      <c r="H773" s="292">
        <v>925000</v>
      </c>
      <c r="I773" s="292">
        <v>0</v>
      </c>
      <c r="J773" s="292">
        <v>742500</v>
      </c>
      <c r="K773" s="292" t="s">
        <v>8</v>
      </c>
      <c r="L773" s="292">
        <v>0</v>
      </c>
      <c r="M773" s="292">
        <v>0</v>
      </c>
      <c r="N773" s="292">
        <v>0</v>
      </c>
    </row>
    <row r="774" spans="1:14" x14ac:dyDescent="0.25">
      <c r="A774" t="s">
        <v>591</v>
      </c>
      <c r="B774" s="39">
        <f t="shared" si="48"/>
        <v>4</v>
      </c>
      <c r="C774" s="39" t="str">
        <f t="shared" si="49"/>
        <v>Tim</v>
      </c>
      <c r="D774" s="39" t="str">
        <f t="shared" si="50"/>
        <v>Clifton</v>
      </c>
      <c r="E774" s="39" t="str">
        <f t="shared" si="51"/>
        <v>Tim Clifton</v>
      </c>
      <c r="F774" t="s">
        <v>1022</v>
      </c>
      <c r="G774" t="s">
        <v>73</v>
      </c>
      <c r="H774" s="292">
        <v>650000</v>
      </c>
      <c r="I774" s="292">
        <v>0</v>
      </c>
      <c r="J774" s="292">
        <v>650000</v>
      </c>
      <c r="K774" s="292" t="s">
        <v>7</v>
      </c>
      <c r="L774" s="292">
        <v>0</v>
      </c>
      <c r="M774" s="292">
        <v>0</v>
      </c>
      <c r="N774" s="292">
        <v>0</v>
      </c>
    </row>
    <row r="775" spans="1:14" x14ac:dyDescent="0.25">
      <c r="A775" t="s">
        <v>673</v>
      </c>
      <c r="B775" s="39">
        <f t="shared" si="48"/>
        <v>4</v>
      </c>
      <c r="C775" s="39" t="str">
        <f t="shared" si="49"/>
        <v>Tim</v>
      </c>
      <c r="D775" s="39" t="str">
        <f t="shared" si="50"/>
        <v>Gettinger</v>
      </c>
      <c r="E775" s="39" t="str">
        <f t="shared" si="51"/>
        <v>Tim Gettinger</v>
      </c>
      <c r="F775" t="s">
        <v>1018</v>
      </c>
      <c r="G775" t="s">
        <v>88</v>
      </c>
      <c r="H775" s="292">
        <v>736667</v>
      </c>
      <c r="I775" s="292">
        <v>736667</v>
      </c>
      <c r="J775" s="292">
        <v>720000</v>
      </c>
      <c r="K775" s="292">
        <v>770000</v>
      </c>
      <c r="L775" s="292" t="s">
        <v>8</v>
      </c>
      <c r="M775" s="292">
        <v>0</v>
      </c>
      <c r="N775" s="292">
        <v>0</v>
      </c>
    </row>
    <row r="776" spans="1:14" x14ac:dyDescent="0.25">
      <c r="A776" t="s">
        <v>580</v>
      </c>
      <c r="B776" s="39">
        <f t="shared" si="48"/>
        <v>4</v>
      </c>
      <c r="C776" s="39" t="str">
        <f t="shared" si="49"/>
        <v>Tim</v>
      </c>
      <c r="D776" s="39" t="str">
        <f t="shared" si="50"/>
        <v>Heed</v>
      </c>
      <c r="E776" s="39" t="str">
        <f t="shared" si="51"/>
        <v>Tim Heed</v>
      </c>
      <c r="F776" t="s">
        <v>1022</v>
      </c>
      <c r="G776" t="s">
        <v>379</v>
      </c>
      <c r="H776" s="292">
        <v>650000</v>
      </c>
      <c r="I776" s="292">
        <v>0</v>
      </c>
      <c r="J776" s="292">
        <v>650000</v>
      </c>
      <c r="K776" s="292" t="s">
        <v>7</v>
      </c>
      <c r="L776" s="292">
        <v>0</v>
      </c>
      <c r="M776" s="292">
        <v>0</v>
      </c>
      <c r="N776" s="292">
        <v>0</v>
      </c>
    </row>
    <row r="777" spans="1:14" x14ac:dyDescent="0.25">
      <c r="A777" t="s">
        <v>574</v>
      </c>
      <c r="B777" s="39">
        <f t="shared" si="48"/>
        <v>5</v>
      </c>
      <c r="C777" s="39" t="str">
        <f t="shared" si="49"/>
        <v>Timo</v>
      </c>
      <c r="D777" s="39" t="str">
        <f t="shared" si="50"/>
        <v>Meier</v>
      </c>
      <c r="E777" s="39" t="str">
        <f t="shared" si="51"/>
        <v>Timo Meier</v>
      </c>
      <c r="F777" t="s">
        <v>1022</v>
      </c>
      <c r="G777" t="s">
        <v>88</v>
      </c>
      <c r="H777" s="292">
        <v>1644170</v>
      </c>
      <c r="I777" s="292">
        <v>0</v>
      </c>
      <c r="J777" s="292">
        <v>832500</v>
      </c>
      <c r="K777" s="292" t="s">
        <v>8</v>
      </c>
      <c r="L777" s="292">
        <v>0</v>
      </c>
      <c r="M777" s="292">
        <v>0</v>
      </c>
      <c r="N777" s="292">
        <v>0</v>
      </c>
    </row>
    <row r="778" spans="1:14" x14ac:dyDescent="0.25">
      <c r="A778" t="s">
        <v>153</v>
      </c>
      <c r="B778" s="39">
        <f t="shared" si="48"/>
        <v>8</v>
      </c>
      <c r="C778" s="39" t="str">
        <f t="shared" si="49"/>
        <v>Timothy</v>
      </c>
      <c r="D778" s="39" t="str">
        <f t="shared" si="50"/>
        <v>Liljegren</v>
      </c>
      <c r="E778" s="39" t="str">
        <f t="shared" si="51"/>
        <v>Timothy Liljegren</v>
      </c>
      <c r="F778" t="s">
        <v>1034</v>
      </c>
      <c r="G778" t="s">
        <v>82</v>
      </c>
      <c r="H778" s="292">
        <v>1325000</v>
      </c>
      <c r="I778" s="292">
        <v>1325000</v>
      </c>
      <c r="J778" s="292">
        <v>925000</v>
      </c>
      <c r="K778" s="292">
        <v>925000</v>
      </c>
      <c r="L778" s="292" t="s">
        <v>8</v>
      </c>
      <c r="M778" s="292">
        <v>0</v>
      </c>
      <c r="N778" s="292">
        <v>0</v>
      </c>
    </row>
    <row r="779" spans="1:14" x14ac:dyDescent="0.25">
      <c r="A779" t="s">
        <v>681</v>
      </c>
      <c r="B779" s="39">
        <f t="shared" si="48"/>
        <v>4</v>
      </c>
      <c r="C779" s="39" t="str">
        <f t="shared" si="49"/>
        <v>Tom</v>
      </c>
      <c r="D779" s="39" t="str">
        <f t="shared" si="50"/>
        <v>Pyatt</v>
      </c>
      <c r="E779" s="39" t="str">
        <f t="shared" si="51"/>
        <v>Tom Pyatt</v>
      </c>
      <c r="F779" t="s">
        <v>1029</v>
      </c>
      <c r="G779" t="s">
        <v>73</v>
      </c>
      <c r="H779" s="292">
        <v>1100000</v>
      </c>
      <c r="I779" s="292">
        <v>0</v>
      </c>
      <c r="J779" s="292">
        <v>1200000</v>
      </c>
      <c r="K779" s="292" t="s">
        <v>7</v>
      </c>
      <c r="L779" s="292">
        <v>0</v>
      </c>
      <c r="M779" s="292">
        <v>0</v>
      </c>
      <c r="N779" s="292">
        <v>0</v>
      </c>
    </row>
    <row r="780" spans="1:14" x14ac:dyDescent="0.25">
      <c r="A780" t="s">
        <v>797</v>
      </c>
      <c r="B780" s="39">
        <f t="shared" si="48"/>
        <v>6</v>
      </c>
      <c r="C780" s="39" t="str">
        <f t="shared" si="49"/>
        <v>Tomas</v>
      </c>
      <c r="D780" s="39" t="str">
        <f t="shared" si="50"/>
        <v>Tatar</v>
      </c>
      <c r="E780" s="39" t="str">
        <f t="shared" si="51"/>
        <v>Tomas Tatar</v>
      </c>
      <c r="F780" t="s">
        <v>1041</v>
      </c>
      <c r="G780" t="s">
        <v>93</v>
      </c>
      <c r="H780" s="292">
        <v>5300000</v>
      </c>
      <c r="I780" s="292">
        <v>5300000</v>
      </c>
      <c r="J780" s="292">
        <v>5500000</v>
      </c>
      <c r="K780" s="292">
        <v>5500000</v>
      </c>
      <c r="L780" s="292">
        <v>4200000</v>
      </c>
      <c r="M780" s="292" t="s">
        <v>7</v>
      </c>
      <c r="N780" s="292">
        <v>0</v>
      </c>
    </row>
    <row r="781" spans="1:14" x14ac:dyDescent="0.25">
      <c r="A781" t="s">
        <v>292</v>
      </c>
      <c r="B781" s="39">
        <f t="shared" si="48"/>
        <v>6</v>
      </c>
      <c r="C781" s="39" t="str">
        <f t="shared" si="49"/>
        <v>Torey</v>
      </c>
      <c r="D781" s="39" t="str">
        <f t="shared" si="50"/>
        <v>Krug</v>
      </c>
      <c r="E781" s="39" t="str">
        <f t="shared" si="51"/>
        <v>Torey Krug</v>
      </c>
      <c r="F781" t="s">
        <v>1030</v>
      </c>
      <c r="G781" t="s">
        <v>380</v>
      </c>
      <c r="H781" s="292">
        <v>5250000</v>
      </c>
      <c r="I781" s="292">
        <v>5250000</v>
      </c>
      <c r="J781" s="292">
        <v>5500000</v>
      </c>
      <c r="K781" s="292">
        <v>5000000</v>
      </c>
      <c r="L781" s="292" t="s">
        <v>7</v>
      </c>
      <c r="M781" s="292">
        <v>0</v>
      </c>
      <c r="N781" s="292">
        <v>0</v>
      </c>
    </row>
    <row r="782" spans="1:14" x14ac:dyDescent="0.25">
      <c r="A782" t="s">
        <v>937</v>
      </c>
      <c r="B782" s="39">
        <f t="shared" si="48"/>
        <v>7</v>
      </c>
      <c r="C782" s="39" t="str">
        <f t="shared" si="49"/>
        <v>Travis</v>
      </c>
      <c r="D782" s="39" t="str">
        <f t="shared" si="50"/>
        <v>Dermott</v>
      </c>
      <c r="E782" s="39" t="str">
        <f t="shared" si="51"/>
        <v>Travis Dermott</v>
      </c>
      <c r="F782" t="s">
        <v>1034</v>
      </c>
      <c r="G782" t="s">
        <v>380</v>
      </c>
      <c r="H782" s="292">
        <v>863333</v>
      </c>
      <c r="I782" s="292">
        <v>863333</v>
      </c>
      <c r="J782" s="292">
        <v>832500</v>
      </c>
      <c r="K782" s="292">
        <v>832500</v>
      </c>
      <c r="L782" s="292" t="s">
        <v>8</v>
      </c>
      <c r="M782" s="292">
        <v>0</v>
      </c>
      <c r="N782" s="292">
        <v>0</v>
      </c>
    </row>
    <row r="783" spans="1:14" x14ac:dyDescent="0.25">
      <c r="A783" t="s">
        <v>752</v>
      </c>
      <c r="B783" s="39">
        <f t="shared" si="48"/>
        <v>7</v>
      </c>
      <c r="C783" s="39" t="str">
        <f t="shared" si="49"/>
        <v>Travis</v>
      </c>
      <c r="D783" s="39" t="str">
        <f t="shared" si="50"/>
        <v>Hamonic</v>
      </c>
      <c r="E783" s="39" t="str">
        <f t="shared" si="51"/>
        <v>Travis Hamonic</v>
      </c>
      <c r="F783" t="s">
        <v>1031</v>
      </c>
      <c r="G783" t="s">
        <v>379</v>
      </c>
      <c r="H783" s="292">
        <v>3857140</v>
      </c>
      <c r="I783" s="292">
        <v>3857140</v>
      </c>
      <c r="J783" s="292">
        <v>4875000</v>
      </c>
      <c r="K783" s="292">
        <v>4875000</v>
      </c>
      <c r="L783" s="292" t="s">
        <v>7</v>
      </c>
      <c r="M783" s="292">
        <v>0</v>
      </c>
      <c r="N783" s="292">
        <v>0</v>
      </c>
    </row>
    <row r="784" spans="1:14" x14ac:dyDescent="0.25">
      <c r="A784" t="s">
        <v>307</v>
      </c>
      <c r="B784" s="39">
        <f t="shared" si="48"/>
        <v>7</v>
      </c>
      <c r="C784" s="39" t="str">
        <f t="shared" si="49"/>
        <v>Travis</v>
      </c>
      <c r="D784" s="39" t="str">
        <f t="shared" si="50"/>
        <v>Konecny</v>
      </c>
      <c r="E784" s="39" t="str">
        <f t="shared" si="51"/>
        <v>Travis Konecny</v>
      </c>
      <c r="F784" t="s">
        <v>1021</v>
      </c>
      <c r="G784" t="s">
        <v>88</v>
      </c>
      <c r="H784" s="292">
        <v>1106670</v>
      </c>
      <c r="I784" s="292">
        <v>0</v>
      </c>
      <c r="J784" s="292">
        <v>832500</v>
      </c>
      <c r="K784" s="292" t="s">
        <v>8</v>
      </c>
      <c r="L784" s="292">
        <v>0</v>
      </c>
      <c r="M784" s="292">
        <v>0</v>
      </c>
      <c r="N784" s="292">
        <v>0</v>
      </c>
    </row>
    <row r="785" spans="1:14" x14ac:dyDescent="0.25">
      <c r="A785" t="s">
        <v>884</v>
      </c>
      <c r="B785" s="39">
        <f t="shared" si="48"/>
        <v>7</v>
      </c>
      <c r="C785" s="39" t="str">
        <f t="shared" si="49"/>
        <v>Travis</v>
      </c>
      <c r="D785" s="39" t="str">
        <f t="shared" si="50"/>
        <v>Sanheim</v>
      </c>
      <c r="E785" s="39" t="str">
        <f t="shared" si="51"/>
        <v>Travis Sanheim</v>
      </c>
      <c r="F785" t="s">
        <v>1021</v>
      </c>
      <c r="G785" t="s">
        <v>380</v>
      </c>
      <c r="H785" s="292">
        <v>1294170</v>
      </c>
      <c r="I785" s="292">
        <v>0</v>
      </c>
      <c r="J785" s="292">
        <v>832500</v>
      </c>
      <c r="K785" s="292" t="s">
        <v>8</v>
      </c>
      <c r="L785" s="292">
        <v>0</v>
      </c>
      <c r="M785" s="292">
        <v>0</v>
      </c>
      <c r="N785" s="292">
        <v>0</v>
      </c>
    </row>
    <row r="786" spans="1:14" x14ac:dyDescent="0.25">
      <c r="A786" t="s">
        <v>1070</v>
      </c>
      <c r="B786" s="39">
        <f t="shared" si="48"/>
        <v>7</v>
      </c>
      <c r="C786" s="39" t="str">
        <f t="shared" si="49"/>
        <v>Travis</v>
      </c>
      <c r="D786" s="39" t="str">
        <f t="shared" si="50"/>
        <v>Zajac</v>
      </c>
      <c r="E786" s="39" t="str">
        <f t="shared" si="51"/>
        <v>Travis Zajac</v>
      </c>
      <c r="F786" t="s">
        <v>1038</v>
      </c>
      <c r="G786" t="s">
        <v>73</v>
      </c>
      <c r="H786" s="292">
        <v>5750000</v>
      </c>
      <c r="I786" s="292">
        <v>5750000</v>
      </c>
      <c r="J786" s="292">
        <v>6500000</v>
      </c>
      <c r="K786" s="292">
        <v>5750000</v>
      </c>
      <c r="L786" s="292">
        <v>5750000</v>
      </c>
      <c r="M786" s="292" t="s">
        <v>7</v>
      </c>
      <c r="N786" s="292">
        <v>0</v>
      </c>
    </row>
    <row r="787" spans="1:14" x14ac:dyDescent="0.25">
      <c r="A787" t="s">
        <v>383</v>
      </c>
      <c r="B787" s="39">
        <f t="shared" si="48"/>
        <v>7</v>
      </c>
      <c r="C787" s="39" t="str">
        <f t="shared" si="49"/>
        <v>Trevor</v>
      </c>
      <c r="D787" s="39" t="str">
        <f t="shared" si="50"/>
        <v>Daley</v>
      </c>
      <c r="E787" s="39" t="str">
        <f t="shared" si="51"/>
        <v>Trevor Daley</v>
      </c>
      <c r="F787" t="s">
        <v>1035</v>
      </c>
      <c r="G787" t="s">
        <v>380</v>
      </c>
      <c r="H787" s="292">
        <v>3166670</v>
      </c>
      <c r="I787" s="292">
        <v>3166670</v>
      </c>
      <c r="J787" s="292">
        <v>3300000</v>
      </c>
      <c r="K787" s="292">
        <v>2200000</v>
      </c>
      <c r="L787" s="292" t="s">
        <v>7</v>
      </c>
      <c r="M787" s="292">
        <v>0</v>
      </c>
      <c r="N787" s="292">
        <v>0</v>
      </c>
    </row>
    <row r="788" spans="1:14" x14ac:dyDescent="0.25">
      <c r="A788" t="s">
        <v>491</v>
      </c>
      <c r="B788" s="39">
        <f t="shared" si="48"/>
        <v>7</v>
      </c>
      <c r="C788" s="39" t="str">
        <f t="shared" si="49"/>
        <v>Trevor</v>
      </c>
      <c r="D788" s="39" t="str">
        <f t="shared" si="50"/>
        <v>Lewis</v>
      </c>
      <c r="E788" s="39" t="str">
        <f t="shared" si="51"/>
        <v>Trevor Lewis</v>
      </c>
      <c r="F788" t="s">
        <v>1012</v>
      </c>
      <c r="G788" t="s">
        <v>73</v>
      </c>
      <c r="H788" s="292">
        <v>2000000</v>
      </c>
      <c r="I788" s="292">
        <v>2000000</v>
      </c>
      <c r="J788" s="292">
        <v>2000000</v>
      </c>
      <c r="K788" s="292">
        <v>2000000</v>
      </c>
      <c r="L788" s="292" t="s">
        <v>7</v>
      </c>
      <c r="M788" s="292">
        <v>0</v>
      </c>
      <c r="N788" s="292">
        <v>0</v>
      </c>
    </row>
    <row r="789" spans="1:14" x14ac:dyDescent="0.25">
      <c r="A789" t="s">
        <v>939</v>
      </c>
      <c r="B789" s="39">
        <f t="shared" si="48"/>
        <v>7</v>
      </c>
      <c r="C789" s="39" t="str">
        <f t="shared" si="49"/>
        <v>Trevor</v>
      </c>
      <c r="D789" s="39" t="str">
        <f t="shared" si="50"/>
        <v>Moore</v>
      </c>
      <c r="E789" s="39" t="str">
        <f t="shared" si="51"/>
        <v>Trevor Moore</v>
      </c>
      <c r="F789" t="s">
        <v>1034</v>
      </c>
      <c r="G789" t="s">
        <v>93</v>
      </c>
      <c r="H789" s="292">
        <v>1775000</v>
      </c>
      <c r="I789" s="292">
        <v>0</v>
      </c>
      <c r="J789" s="292">
        <v>925000</v>
      </c>
      <c r="K789" s="292" t="s">
        <v>8</v>
      </c>
      <c r="L789" s="292">
        <v>0</v>
      </c>
      <c r="M789" s="292">
        <v>0</v>
      </c>
      <c r="N789" s="292">
        <v>0</v>
      </c>
    </row>
    <row r="790" spans="1:14" x14ac:dyDescent="0.25">
      <c r="A790" t="s">
        <v>1093</v>
      </c>
      <c r="B790" s="39">
        <f t="shared" si="48"/>
        <v>5</v>
      </c>
      <c r="C790" s="39" t="str">
        <f t="shared" si="49"/>
        <v>Troy</v>
      </c>
      <c r="D790" s="39" t="str">
        <f t="shared" si="50"/>
        <v>Brouwer</v>
      </c>
      <c r="E790" s="39" t="str">
        <f t="shared" si="51"/>
        <v>Troy Brouwer</v>
      </c>
      <c r="F790" t="s">
        <v>1031</v>
      </c>
      <c r="G790" t="s">
        <v>88</v>
      </c>
      <c r="H790" s="292">
        <v>4500000</v>
      </c>
      <c r="I790" s="292">
        <v>4500000</v>
      </c>
      <c r="J790" s="292">
        <v>4500000</v>
      </c>
      <c r="K790" s="292">
        <v>4500000</v>
      </c>
      <c r="L790" s="292" t="s">
        <v>7</v>
      </c>
      <c r="M790" s="292">
        <v>0</v>
      </c>
      <c r="N790" s="292">
        <v>0</v>
      </c>
    </row>
    <row r="791" spans="1:14" x14ac:dyDescent="0.25">
      <c r="A791" t="s">
        <v>778</v>
      </c>
      <c r="B791" s="39">
        <f t="shared" si="48"/>
        <v>5</v>
      </c>
      <c r="C791" s="39" t="str">
        <f t="shared" si="49"/>
        <v>Troy</v>
      </c>
      <c r="D791" s="39" t="str">
        <f t="shared" si="50"/>
        <v>Grosenick</v>
      </c>
      <c r="E791" s="39" t="str">
        <f t="shared" si="51"/>
        <v>Troy Grosenick</v>
      </c>
      <c r="F791" t="s">
        <v>1016</v>
      </c>
      <c r="G791" t="s">
        <v>127</v>
      </c>
      <c r="H791" s="292">
        <v>650000</v>
      </c>
      <c r="I791" s="292">
        <v>0</v>
      </c>
      <c r="J791" s="292">
        <v>650000</v>
      </c>
      <c r="K791" s="292" t="s">
        <v>7</v>
      </c>
      <c r="L791" s="292">
        <v>0</v>
      </c>
      <c r="M791" s="292">
        <v>0</v>
      </c>
      <c r="N791" s="292">
        <v>0</v>
      </c>
    </row>
    <row r="792" spans="1:14" x14ac:dyDescent="0.25">
      <c r="A792" t="s">
        <v>544</v>
      </c>
      <c r="B792" s="39">
        <f t="shared" si="48"/>
        <v>7</v>
      </c>
      <c r="C792" s="39" t="str">
        <f t="shared" si="49"/>
        <v>Tuukka</v>
      </c>
      <c r="D792" s="39" t="str">
        <f t="shared" si="50"/>
        <v>Rask</v>
      </c>
      <c r="E792" s="39" t="str">
        <f t="shared" si="51"/>
        <v>Tuukka Rask</v>
      </c>
      <c r="F792" t="s">
        <v>1030</v>
      </c>
      <c r="G792" t="s">
        <v>127</v>
      </c>
      <c r="H792" s="292">
        <v>7000000</v>
      </c>
      <c r="I792" s="292">
        <v>7000000</v>
      </c>
      <c r="J792" s="292">
        <v>7000000</v>
      </c>
      <c r="K792" s="292">
        <v>6500000</v>
      </c>
      <c r="L792" s="292">
        <v>6500000</v>
      </c>
      <c r="M792" s="292" t="s">
        <v>7</v>
      </c>
      <c r="N792" s="292">
        <v>0</v>
      </c>
    </row>
    <row r="793" spans="1:14" x14ac:dyDescent="0.25">
      <c r="A793" t="s">
        <v>564</v>
      </c>
      <c r="B793" s="39">
        <f t="shared" si="48"/>
        <v>6</v>
      </c>
      <c r="C793" s="39" t="str">
        <f t="shared" si="49"/>
        <v>Tyler</v>
      </c>
      <c r="D793" s="39" t="str">
        <f t="shared" si="50"/>
        <v>Benson</v>
      </c>
      <c r="E793" s="39" t="str">
        <f t="shared" si="51"/>
        <v>Tyler Benson</v>
      </c>
      <c r="F793" t="s">
        <v>1020</v>
      </c>
      <c r="G793" t="s">
        <v>93</v>
      </c>
      <c r="H793" s="292">
        <v>894167</v>
      </c>
      <c r="I793" s="292">
        <v>894167</v>
      </c>
      <c r="J793" s="292">
        <v>892500</v>
      </c>
      <c r="K793" s="292">
        <v>832500</v>
      </c>
      <c r="L793" s="292" t="s">
        <v>8</v>
      </c>
      <c r="M793" s="292">
        <v>0</v>
      </c>
      <c r="N793" s="292">
        <v>0</v>
      </c>
    </row>
    <row r="794" spans="1:14" x14ac:dyDescent="0.25">
      <c r="A794" t="s">
        <v>935</v>
      </c>
      <c r="B794" s="39">
        <f t="shared" si="48"/>
        <v>6</v>
      </c>
      <c r="C794" s="39" t="str">
        <f t="shared" si="49"/>
        <v>Tyler</v>
      </c>
      <c r="D794" s="39" t="str">
        <f t="shared" si="50"/>
        <v>Ennis</v>
      </c>
      <c r="E794" s="39" t="str">
        <f t="shared" si="51"/>
        <v>Tyler Ennis</v>
      </c>
      <c r="F794" t="s">
        <v>1025</v>
      </c>
      <c r="G794" t="s">
        <v>93</v>
      </c>
      <c r="H794" s="292">
        <v>4600000</v>
      </c>
      <c r="I794" s="292">
        <v>0</v>
      </c>
      <c r="J794" s="292">
        <v>3650000</v>
      </c>
      <c r="K794" s="292" t="s">
        <v>7</v>
      </c>
      <c r="L794" s="292">
        <v>0</v>
      </c>
      <c r="M794" s="292">
        <v>0</v>
      </c>
      <c r="N794" s="292">
        <v>0</v>
      </c>
    </row>
    <row r="795" spans="1:14" x14ac:dyDescent="0.25">
      <c r="A795" t="s">
        <v>348</v>
      </c>
      <c r="B795" s="39">
        <f t="shared" si="48"/>
        <v>6</v>
      </c>
      <c r="C795" s="39" t="str">
        <f t="shared" si="49"/>
        <v>Tyler</v>
      </c>
      <c r="D795" s="39" t="str">
        <f t="shared" si="50"/>
        <v>Johnson</v>
      </c>
      <c r="E795" s="39" t="str">
        <f t="shared" si="51"/>
        <v>Tyler Johnson</v>
      </c>
      <c r="F795" t="s">
        <v>1019</v>
      </c>
      <c r="G795" t="s">
        <v>88</v>
      </c>
      <c r="H795" s="292">
        <v>5000000</v>
      </c>
      <c r="I795" s="292">
        <v>5000000</v>
      </c>
      <c r="J795" s="292">
        <v>6750000</v>
      </c>
      <c r="K795" s="292">
        <v>5500000</v>
      </c>
      <c r="L795" s="292">
        <v>3750000</v>
      </c>
      <c r="M795" s="292">
        <v>5500000</v>
      </c>
      <c r="N795" s="292">
        <v>3750000</v>
      </c>
    </row>
    <row r="796" spans="1:14" x14ac:dyDescent="0.25">
      <c r="A796" t="s">
        <v>826</v>
      </c>
      <c r="B796" s="39">
        <f t="shared" si="48"/>
        <v>6</v>
      </c>
      <c r="C796" s="39" t="str">
        <f t="shared" si="49"/>
        <v>Tyler</v>
      </c>
      <c r="D796" s="39" t="str">
        <f t="shared" si="50"/>
        <v>Motte</v>
      </c>
      <c r="E796" s="39" t="str">
        <f t="shared" si="51"/>
        <v>Tyler Motte</v>
      </c>
      <c r="F796" t="s">
        <v>1037</v>
      </c>
      <c r="G796" t="s">
        <v>73</v>
      </c>
      <c r="H796" s="292">
        <v>925000</v>
      </c>
      <c r="I796" s="292">
        <v>0</v>
      </c>
      <c r="J796" s="292">
        <v>925000</v>
      </c>
      <c r="K796" s="292" t="s">
        <v>8</v>
      </c>
      <c r="L796" s="292">
        <v>0</v>
      </c>
      <c r="M796" s="292">
        <v>0</v>
      </c>
      <c r="N796" s="292">
        <v>0</v>
      </c>
    </row>
    <row r="797" spans="1:14" x14ac:dyDescent="0.25">
      <c r="A797" t="s">
        <v>771</v>
      </c>
      <c r="B797" s="39">
        <f t="shared" si="48"/>
        <v>6</v>
      </c>
      <c r="C797" s="39" t="str">
        <f t="shared" si="49"/>
        <v>Tyler</v>
      </c>
      <c r="D797" s="39" t="str">
        <f t="shared" si="50"/>
        <v>Moy</v>
      </c>
      <c r="E797" s="39" t="str">
        <f t="shared" si="51"/>
        <v>Tyler Moy</v>
      </c>
      <c r="F797" t="s">
        <v>1016</v>
      </c>
      <c r="G797" t="s">
        <v>73</v>
      </c>
      <c r="H797" s="292">
        <v>616667</v>
      </c>
      <c r="I797" s="292">
        <v>0</v>
      </c>
      <c r="J797" s="292">
        <v>842500</v>
      </c>
      <c r="K797" s="292" t="s">
        <v>8</v>
      </c>
      <c r="L797" s="292">
        <v>0</v>
      </c>
      <c r="M797" s="292">
        <v>0</v>
      </c>
      <c r="N797" s="292">
        <v>0</v>
      </c>
    </row>
    <row r="798" spans="1:14" x14ac:dyDescent="0.25">
      <c r="A798" t="s">
        <v>865</v>
      </c>
      <c r="B798" s="39">
        <f t="shared" si="48"/>
        <v>6</v>
      </c>
      <c r="C798" s="39" t="str">
        <f t="shared" si="49"/>
        <v>Tyler</v>
      </c>
      <c r="D798" s="39" t="str">
        <f t="shared" si="50"/>
        <v>Myers</v>
      </c>
      <c r="E798" s="39" t="str">
        <f t="shared" si="51"/>
        <v>Tyler Myers</v>
      </c>
      <c r="F798" t="s">
        <v>1024</v>
      </c>
      <c r="G798" t="s">
        <v>379</v>
      </c>
      <c r="H798" s="292">
        <v>5500000</v>
      </c>
      <c r="I798" s="292">
        <v>0</v>
      </c>
      <c r="J798" s="292">
        <v>3000000</v>
      </c>
      <c r="K798" s="292" t="s">
        <v>7</v>
      </c>
      <c r="L798" s="292">
        <v>0</v>
      </c>
      <c r="M798" s="292">
        <v>0</v>
      </c>
      <c r="N798" s="292">
        <v>0</v>
      </c>
    </row>
    <row r="799" spans="1:14" x14ac:dyDescent="0.25">
      <c r="A799" t="s">
        <v>759</v>
      </c>
      <c r="B799" s="39">
        <f t="shared" si="48"/>
        <v>6</v>
      </c>
      <c r="C799" s="39" t="str">
        <f t="shared" si="49"/>
        <v>Tyler</v>
      </c>
      <c r="D799" s="39" t="str">
        <f t="shared" si="50"/>
        <v>Parsons</v>
      </c>
      <c r="E799" s="39" t="str">
        <f t="shared" si="51"/>
        <v>Tyler Parsons</v>
      </c>
      <c r="F799" t="s">
        <v>1031</v>
      </c>
      <c r="G799" t="s">
        <v>127</v>
      </c>
      <c r="H799" s="292">
        <v>925000</v>
      </c>
      <c r="I799" s="292">
        <v>925000</v>
      </c>
      <c r="J799" s="292">
        <v>742500</v>
      </c>
      <c r="K799" s="292">
        <v>792500</v>
      </c>
      <c r="L799" s="292" t="s">
        <v>8</v>
      </c>
      <c r="M799" s="292">
        <v>0</v>
      </c>
      <c r="N799" s="292">
        <v>0</v>
      </c>
    </row>
    <row r="800" spans="1:14" x14ac:dyDescent="0.25">
      <c r="A800" t="s">
        <v>596</v>
      </c>
      <c r="B800" s="39">
        <f t="shared" si="48"/>
        <v>6</v>
      </c>
      <c r="C800" s="39" t="str">
        <f t="shared" si="49"/>
        <v>Tyler</v>
      </c>
      <c r="D800" s="39" t="str">
        <f t="shared" si="50"/>
        <v>Pitlick</v>
      </c>
      <c r="E800" s="39" t="str">
        <f t="shared" si="51"/>
        <v>Tyler Pitlick</v>
      </c>
      <c r="F800" t="s">
        <v>1015</v>
      </c>
      <c r="G800" t="s">
        <v>88</v>
      </c>
      <c r="H800" s="292">
        <v>1000000</v>
      </c>
      <c r="I800" s="292">
        <v>1000000</v>
      </c>
      <c r="J800" s="292">
        <v>1000000</v>
      </c>
      <c r="K800" s="292">
        <v>1000000</v>
      </c>
      <c r="L800" s="292" t="s">
        <v>7</v>
      </c>
      <c r="M800" s="292">
        <v>0</v>
      </c>
      <c r="N800" s="292">
        <v>0</v>
      </c>
    </row>
    <row r="801" spans="1:14" x14ac:dyDescent="0.25">
      <c r="A801" t="s">
        <v>329</v>
      </c>
      <c r="B801" s="39">
        <f t="shared" si="48"/>
        <v>6</v>
      </c>
      <c r="C801" s="39" t="str">
        <f t="shared" si="49"/>
        <v>Tyler</v>
      </c>
      <c r="D801" s="39" t="str">
        <f t="shared" si="50"/>
        <v>Seguin</v>
      </c>
      <c r="E801" s="39" t="str">
        <f t="shared" si="51"/>
        <v>Tyler Seguin</v>
      </c>
      <c r="F801" t="s">
        <v>1015</v>
      </c>
      <c r="G801" t="s">
        <v>73</v>
      </c>
      <c r="H801" s="292">
        <v>5750000</v>
      </c>
      <c r="I801" s="292">
        <v>0</v>
      </c>
      <c r="J801" s="292">
        <v>6500000</v>
      </c>
      <c r="K801" s="292" t="s">
        <v>7</v>
      </c>
      <c r="L801" s="292">
        <v>0</v>
      </c>
      <c r="M801" s="292">
        <v>0</v>
      </c>
      <c r="N801" s="292">
        <v>0</v>
      </c>
    </row>
    <row r="802" spans="1:14" x14ac:dyDescent="0.25">
      <c r="A802" t="s">
        <v>331</v>
      </c>
      <c r="B802" s="39">
        <f t="shared" si="48"/>
        <v>6</v>
      </c>
      <c r="C802" s="39" t="str">
        <f t="shared" si="49"/>
        <v>Tyler</v>
      </c>
      <c r="D802" s="39" t="str">
        <f t="shared" si="50"/>
        <v>Toffoli</v>
      </c>
      <c r="E802" s="39" t="str">
        <f t="shared" si="51"/>
        <v>Tyler Toffoli</v>
      </c>
      <c r="F802" t="s">
        <v>1012</v>
      </c>
      <c r="G802" t="s">
        <v>88</v>
      </c>
      <c r="H802" s="292">
        <v>4600000</v>
      </c>
      <c r="I802" s="292">
        <v>4600000</v>
      </c>
      <c r="J802" s="292">
        <v>4600000</v>
      </c>
      <c r="K802" s="292">
        <v>4800000</v>
      </c>
      <c r="L802" s="292" t="s">
        <v>7</v>
      </c>
      <c r="M802" s="292">
        <v>0</v>
      </c>
      <c r="N802" s="292">
        <v>0</v>
      </c>
    </row>
    <row r="803" spans="1:14" x14ac:dyDescent="0.25">
      <c r="A803" t="s">
        <v>334</v>
      </c>
      <c r="B803" s="39">
        <f t="shared" si="48"/>
        <v>6</v>
      </c>
      <c r="C803" s="39" t="str">
        <f t="shared" si="49"/>
        <v>Tyson</v>
      </c>
      <c r="D803" s="39" t="str">
        <f t="shared" si="50"/>
        <v>Barrie</v>
      </c>
      <c r="E803" s="39" t="str">
        <f t="shared" si="51"/>
        <v>Tyson Barrie</v>
      </c>
      <c r="F803" t="s">
        <v>1033</v>
      </c>
      <c r="G803" t="s">
        <v>379</v>
      </c>
      <c r="H803" s="292">
        <v>5500000</v>
      </c>
      <c r="I803" s="292">
        <v>5500000</v>
      </c>
      <c r="J803" s="292">
        <v>5750000</v>
      </c>
      <c r="K803" s="292">
        <v>6000000</v>
      </c>
      <c r="L803" s="292" t="s">
        <v>7</v>
      </c>
      <c r="M803" s="292">
        <v>0</v>
      </c>
      <c r="N803" s="292">
        <v>0</v>
      </c>
    </row>
    <row r="804" spans="1:14" x14ac:dyDescent="0.25">
      <c r="A804" t="s">
        <v>915</v>
      </c>
      <c r="B804" s="39">
        <f t="shared" si="48"/>
        <v>6</v>
      </c>
      <c r="C804" s="39" t="str">
        <f t="shared" si="49"/>
        <v>Tyson</v>
      </c>
      <c r="D804" s="39" t="str">
        <f t="shared" si="50"/>
        <v>Jost</v>
      </c>
      <c r="E804" s="39" t="str">
        <f t="shared" si="51"/>
        <v>Tyson Jost</v>
      </c>
      <c r="F804" t="s">
        <v>1033</v>
      </c>
      <c r="G804" t="s">
        <v>73</v>
      </c>
      <c r="H804" s="292">
        <v>1704170</v>
      </c>
      <c r="I804" s="292">
        <v>1673333</v>
      </c>
      <c r="J804" s="292">
        <v>925000</v>
      </c>
      <c r="K804" s="292">
        <v>832500</v>
      </c>
      <c r="L804" s="292" t="s">
        <v>8</v>
      </c>
      <c r="M804" s="292">
        <v>0</v>
      </c>
      <c r="N804" s="292">
        <v>0</v>
      </c>
    </row>
    <row r="805" spans="1:14" x14ac:dyDescent="0.25">
      <c r="A805" t="s">
        <v>742</v>
      </c>
      <c r="B805" s="39">
        <f t="shared" si="48"/>
        <v>7</v>
      </c>
      <c r="C805" s="39" t="str">
        <f t="shared" si="49"/>
        <v>Vaclav</v>
      </c>
      <c r="D805" s="39" t="str">
        <f t="shared" si="50"/>
        <v>Karabacek</v>
      </c>
      <c r="E805" s="39" t="str">
        <f t="shared" si="51"/>
        <v>Vaclav Karabacek</v>
      </c>
      <c r="F805" t="s">
        <v>1039</v>
      </c>
      <c r="G805" t="s">
        <v>88</v>
      </c>
      <c r="H805" s="292">
        <v>700001</v>
      </c>
      <c r="I805" s="292">
        <v>0</v>
      </c>
      <c r="J805" s="292">
        <v>722222</v>
      </c>
      <c r="K805" s="292" t="s">
        <v>8</v>
      </c>
      <c r="L805" s="292">
        <v>0</v>
      </c>
      <c r="M805" s="292">
        <v>0</v>
      </c>
      <c r="N805" s="292">
        <v>0</v>
      </c>
    </row>
    <row r="806" spans="1:14" x14ac:dyDescent="0.25">
      <c r="A806" t="s">
        <v>611</v>
      </c>
      <c r="B806" s="39">
        <f t="shared" si="48"/>
        <v>7</v>
      </c>
      <c r="C806" s="39" t="str">
        <f t="shared" si="49"/>
        <v>Victor</v>
      </c>
      <c r="D806" s="39" t="str">
        <f t="shared" si="50"/>
        <v>Ejdsell</v>
      </c>
      <c r="E806" s="39" t="str">
        <f t="shared" si="51"/>
        <v>Victor Ejdsell</v>
      </c>
      <c r="F806" t="s">
        <v>1011</v>
      </c>
      <c r="G806" t="s">
        <v>93</v>
      </c>
      <c r="H806" s="292">
        <v>925000</v>
      </c>
      <c r="I806" s="292">
        <v>0</v>
      </c>
      <c r="J806" s="292">
        <v>925000</v>
      </c>
      <c r="K806" s="292" t="s">
        <v>8</v>
      </c>
      <c r="L806" s="292">
        <v>0</v>
      </c>
      <c r="M806" s="292">
        <v>0</v>
      </c>
      <c r="N806" s="292">
        <v>0</v>
      </c>
    </row>
    <row r="807" spans="1:14" x14ac:dyDescent="0.25">
      <c r="A807" t="s">
        <v>333</v>
      </c>
      <c r="B807" s="39">
        <f t="shared" si="48"/>
        <v>7</v>
      </c>
      <c r="C807" s="39" t="str">
        <f t="shared" si="49"/>
        <v>Victor</v>
      </c>
      <c r="D807" s="39" t="str">
        <f t="shared" si="50"/>
        <v>Hedman</v>
      </c>
      <c r="E807" s="39" t="str">
        <f t="shared" si="51"/>
        <v>Victor Hedman</v>
      </c>
      <c r="F807" t="s">
        <v>1019</v>
      </c>
      <c r="G807" t="s">
        <v>380</v>
      </c>
      <c r="H807" s="292">
        <v>7875000</v>
      </c>
      <c r="I807" s="292">
        <v>7875000</v>
      </c>
      <c r="J807" s="292">
        <v>8000000</v>
      </c>
      <c r="K807" s="292">
        <v>8000000</v>
      </c>
      <c r="L807" s="292">
        <v>8000000</v>
      </c>
      <c r="M807" s="292">
        <v>8000000</v>
      </c>
      <c r="N807" s="292">
        <v>8000000</v>
      </c>
    </row>
    <row r="808" spans="1:14" x14ac:dyDescent="0.25">
      <c r="A808" t="s">
        <v>361</v>
      </c>
      <c r="B808" s="39">
        <f t="shared" si="48"/>
        <v>7</v>
      </c>
      <c r="C808" s="39" t="str">
        <f t="shared" si="49"/>
        <v>Victor</v>
      </c>
      <c r="D808" s="39" t="str">
        <f t="shared" si="50"/>
        <v>Mete</v>
      </c>
      <c r="E808" s="39" t="str">
        <f t="shared" si="51"/>
        <v>Victor Mete</v>
      </c>
      <c r="F808" t="s">
        <v>1023</v>
      </c>
      <c r="G808" t="s">
        <v>380</v>
      </c>
      <c r="H808" s="292">
        <v>870000</v>
      </c>
      <c r="I808" s="292">
        <v>870000</v>
      </c>
      <c r="J808" s="292">
        <v>742500</v>
      </c>
      <c r="K808" s="292">
        <v>760000</v>
      </c>
      <c r="L808" s="292" t="s">
        <v>8</v>
      </c>
      <c r="M808" s="292">
        <v>0</v>
      </c>
      <c r="N808" s="292">
        <v>0</v>
      </c>
    </row>
    <row r="809" spans="1:14" x14ac:dyDescent="0.25">
      <c r="A809" t="s">
        <v>358</v>
      </c>
      <c r="B809" s="39">
        <f t="shared" si="48"/>
        <v>7</v>
      </c>
      <c r="C809" s="39" t="str">
        <f t="shared" si="49"/>
        <v>Victor</v>
      </c>
      <c r="D809" s="39" t="str">
        <f t="shared" si="50"/>
        <v>Rask</v>
      </c>
      <c r="E809" s="39" t="str">
        <f t="shared" si="51"/>
        <v>Victor Rask</v>
      </c>
      <c r="F809" t="s">
        <v>1036</v>
      </c>
      <c r="G809" t="s">
        <v>73</v>
      </c>
      <c r="H809" s="292">
        <v>4000000</v>
      </c>
      <c r="I809" s="292">
        <v>4000000</v>
      </c>
      <c r="J809" s="292">
        <v>4000000</v>
      </c>
      <c r="K809" s="292">
        <v>4000000</v>
      </c>
      <c r="L809" s="292">
        <v>4000000</v>
      </c>
      <c r="M809" s="292">
        <v>4000000</v>
      </c>
      <c r="N809" s="292" t="s">
        <v>7</v>
      </c>
    </row>
    <row r="810" spans="1:14" x14ac:dyDescent="0.25">
      <c r="A810" t="s">
        <v>203</v>
      </c>
      <c r="B810" s="39">
        <f t="shared" si="48"/>
        <v>7</v>
      </c>
      <c r="C810" s="39" t="str">
        <f t="shared" si="49"/>
        <v>Viktor</v>
      </c>
      <c r="D810" s="39" t="str">
        <f t="shared" si="50"/>
        <v>Arvidsson</v>
      </c>
      <c r="E810" s="39" t="str">
        <f t="shared" si="51"/>
        <v>Viktor Arvidsson</v>
      </c>
      <c r="F810" t="s">
        <v>1016</v>
      </c>
      <c r="G810" t="s">
        <v>88</v>
      </c>
      <c r="H810" s="292">
        <v>4250000</v>
      </c>
      <c r="I810" s="292">
        <v>4250000</v>
      </c>
      <c r="J810" s="292">
        <v>4250000</v>
      </c>
      <c r="K810" s="292">
        <v>4250000</v>
      </c>
      <c r="L810" s="292">
        <v>4250000</v>
      </c>
      <c r="M810" s="292">
        <v>4250000</v>
      </c>
      <c r="N810" s="292">
        <v>4250000</v>
      </c>
    </row>
    <row r="811" spans="1:14" x14ac:dyDescent="0.25">
      <c r="A811" t="s">
        <v>1138</v>
      </c>
      <c r="B811" s="39">
        <f t="shared" si="48"/>
        <v>5</v>
      </c>
      <c r="C811" s="39" t="str">
        <f t="shared" si="49"/>
        <v>Vili</v>
      </c>
      <c r="D811" s="39" t="str">
        <f t="shared" si="50"/>
        <v>Saarijarvi</v>
      </c>
      <c r="E811" s="39" t="str">
        <f t="shared" si="51"/>
        <v>Vili Saarijarvi</v>
      </c>
      <c r="F811" t="s">
        <v>1035</v>
      </c>
      <c r="G811" t="s">
        <v>82</v>
      </c>
      <c r="H811" s="292">
        <v>894167</v>
      </c>
      <c r="I811" s="292">
        <v>0</v>
      </c>
      <c r="J811" s="292">
        <v>650000</v>
      </c>
      <c r="K811" s="292" t="s">
        <v>8</v>
      </c>
      <c r="L811" s="292">
        <v>0</v>
      </c>
      <c r="M811" s="292">
        <v>0</v>
      </c>
      <c r="N811" s="292">
        <v>0</v>
      </c>
    </row>
    <row r="812" spans="1:14" x14ac:dyDescent="0.25">
      <c r="A812" t="s">
        <v>410</v>
      </c>
      <c r="B812" s="39">
        <f t="shared" si="48"/>
        <v>6</v>
      </c>
      <c r="C812" s="39" t="str">
        <f t="shared" si="49"/>
        <v>Ville</v>
      </c>
      <c r="D812" s="39" t="str">
        <f t="shared" si="50"/>
        <v>Husso</v>
      </c>
      <c r="E812" s="39" t="str">
        <f t="shared" si="51"/>
        <v>Ville Husso</v>
      </c>
      <c r="F812" t="s">
        <v>1026</v>
      </c>
      <c r="G812" t="s">
        <v>127</v>
      </c>
      <c r="H812" s="292">
        <v>925000</v>
      </c>
      <c r="I812" s="292">
        <v>0</v>
      </c>
      <c r="J812" s="292">
        <v>925000</v>
      </c>
      <c r="K812" s="292" t="s">
        <v>8</v>
      </c>
      <c r="L812" s="292">
        <v>0</v>
      </c>
      <c r="M812" s="292">
        <v>0</v>
      </c>
      <c r="N812" s="292">
        <v>0</v>
      </c>
    </row>
    <row r="813" spans="1:14" x14ac:dyDescent="0.25">
      <c r="A813" t="s">
        <v>407</v>
      </c>
      <c r="B813" s="39">
        <f t="shared" si="48"/>
        <v>6</v>
      </c>
      <c r="C813" s="39" t="str">
        <f t="shared" si="49"/>
        <v>Vince</v>
      </c>
      <c r="D813" s="39" t="str">
        <f t="shared" si="50"/>
        <v>Dunn</v>
      </c>
      <c r="E813" s="39" t="str">
        <f t="shared" si="51"/>
        <v>Vince Dunn</v>
      </c>
      <c r="F813" t="s">
        <v>1026</v>
      </c>
      <c r="G813" t="s">
        <v>380</v>
      </c>
      <c r="H813" s="292">
        <v>894167</v>
      </c>
      <c r="I813" s="292">
        <v>888333</v>
      </c>
      <c r="J813" s="292">
        <v>775000</v>
      </c>
      <c r="K813" s="292">
        <v>775000</v>
      </c>
      <c r="L813" s="292" t="s">
        <v>7</v>
      </c>
      <c r="M813" s="292">
        <v>0</v>
      </c>
      <c r="N813" s="292">
        <v>0</v>
      </c>
    </row>
    <row r="814" spans="1:14" x14ac:dyDescent="0.25">
      <c r="A814" t="s">
        <v>669</v>
      </c>
      <c r="B814" s="39">
        <f t="shared" si="48"/>
        <v>6</v>
      </c>
      <c r="C814" s="39" t="str">
        <f t="shared" si="49"/>
        <v>Vince</v>
      </c>
      <c r="D814" s="39" t="str">
        <f t="shared" si="50"/>
        <v>Pedrie</v>
      </c>
      <c r="E814" s="39" t="str">
        <f t="shared" si="51"/>
        <v>Vince Pedrie</v>
      </c>
      <c r="F814" t="s">
        <v>1018</v>
      </c>
      <c r="G814" t="s">
        <v>82</v>
      </c>
      <c r="H814" s="292">
        <v>925000</v>
      </c>
      <c r="I814" s="292">
        <v>0</v>
      </c>
      <c r="J814" s="292">
        <v>792500</v>
      </c>
      <c r="K814" s="292" t="s">
        <v>8</v>
      </c>
      <c r="L814" s="292">
        <v>0</v>
      </c>
      <c r="M814" s="292">
        <v>0</v>
      </c>
      <c r="N814" s="292">
        <v>0</v>
      </c>
    </row>
    <row r="815" spans="1:14" x14ac:dyDescent="0.25">
      <c r="A815" t="s">
        <v>945</v>
      </c>
      <c r="B815" s="39">
        <f t="shared" si="48"/>
        <v>8</v>
      </c>
      <c r="C815" s="39" t="str">
        <f t="shared" si="49"/>
        <v>Vincent</v>
      </c>
      <c r="D815" s="39" t="str">
        <f t="shared" si="50"/>
        <v>LoVerde</v>
      </c>
      <c r="E815" s="39" t="str">
        <f t="shared" si="51"/>
        <v>Vincent LoVerde</v>
      </c>
      <c r="F815" t="s">
        <v>1034</v>
      </c>
      <c r="G815" t="s">
        <v>82</v>
      </c>
      <c r="H815" s="292">
        <v>725000</v>
      </c>
      <c r="I815" s="292">
        <v>0</v>
      </c>
      <c r="J815" s="292">
        <v>750000</v>
      </c>
      <c r="K815" s="292" t="s">
        <v>7</v>
      </c>
      <c r="L815" s="292">
        <v>0</v>
      </c>
      <c r="M815" s="292">
        <v>0</v>
      </c>
      <c r="N815" s="292">
        <v>0</v>
      </c>
    </row>
    <row r="816" spans="1:14" x14ac:dyDescent="0.25">
      <c r="A816" t="s">
        <v>228</v>
      </c>
      <c r="B816" s="39">
        <f t="shared" si="48"/>
        <v>8</v>
      </c>
      <c r="C816" s="39" t="str">
        <f t="shared" si="49"/>
        <v>Vincent</v>
      </c>
      <c r="D816" s="39" t="str">
        <f t="shared" si="50"/>
        <v>Trocheck</v>
      </c>
      <c r="E816" s="39" t="str">
        <f t="shared" si="51"/>
        <v>Vincent Trocheck</v>
      </c>
      <c r="F816" t="s">
        <v>1027</v>
      </c>
      <c r="G816" t="s">
        <v>73</v>
      </c>
      <c r="H816" s="292">
        <v>4750000</v>
      </c>
      <c r="I816" s="292">
        <v>4750000</v>
      </c>
      <c r="J816" s="292">
        <v>5250000</v>
      </c>
      <c r="K816" s="292">
        <v>5250000</v>
      </c>
      <c r="L816" s="292">
        <v>3500000</v>
      </c>
      <c r="M816" s="292">
        <v>6250000</v>
      </c>
      <c r="N816" s="292" t="s">
        <v>7</v>
      </c>
    </row>
    <row r="817" spans="1:14" x14ac:dyDescent="0.25">
      <c r="A817" t="s">
        <v>663</v>
      </c>
      <c r="B817" s="39">
        <f t="shared" si="48"/>
        <v>6</v>
      </c>
      <c r="C817" s="39" t="str">
        <f t="shared" si="49"/>
        <v>Vinni</v>
      </c>
      <c r="D817" s="39" t="str">
        <f t="shared" si="50"/>
        <v>Lettieri</v>
      </c>
      <c r="E817" s="39" t="str">
        <f t="shared" si="51"/>
        <v>Vinni Lettieri</v>
      </c>
      <c r="F817" t="s">
        <v>1018</v>
      </c>
      <c r="G817" t="s">
        <v>73</v>
      </c>
      <c r="H817" s="292">
        <v>925000</v>
      </c>
      <c r="I817" s="292">
        <v>0</v>
      </c>
      <c r="J817" s="292">
        <v>925000</v>
      </c>
      <c r="K817" s="292" t="s">
        <v>8</v>
      </c>
      <c r="L817" s="292">
        <v>0</v>
      </c>
      <c r="M817" s="292">
        <v>0</v>
      </c>
      <c r="N817" s="292">
        <v>0</v>
      </c>
    </row>
    <row r="818" spans="1:14" x14ac:dyDescent="0.25">
      <c r="A818" t="s">
        <v>650</v>
      </c>
      <c r="B818" s="39">
        <f t="shared" si="48"/>
        <v>7</v>
      </c>
      <c r="C818" s="39" t="str">
        <f t="shared" si="49"/>
        <v>Vitaly</v>
      </c>
      <c r="D818" s="39" t="str">
        <f t="shared" si="50"/>
        <v>Abramov</v>
      </c>
      <c r="E818" s="39" t="str">
        <f t="shared" si="51"/>
        <v>Vitaly Abramov</v>
      </c>
      <c r="F818" t="s">
        <v>1028</v>
      </c>
      <c r="G818" t="s">
        <v>88</v>
      </c>
      <c r="H818" s="292">
        <v>925000</v>
      </c>
      <c r="I818" s="292">
        <v>0</v>
      </c>
      <c r="J818" s="292">
        <v>842500</v>
      </c>
      <c r="K818" s="292" t="s">
        <v>8</v>
      </c>
      <c r="L818" s="292">
        <v>0</v>
      </c>
      <c r="M818" s="292">
        <v>0</v>
      </c>
      <c r="N818" s="292">
        <v>0</v>
      </c>
    </row>
    <row r="819" spans="1:14" x14ac:dyDescent="0.25">
      <c r="A819" t="s">
        <v>452</v>
      </c>
      <c r="B819" s="39">
        <f t="shared" si="48"/>
        <v>6</v>
      </c>
      <c r="C819" s="39" t="str">
        <f t="shared" si="49"/>
        <v>Vitek</v>
      </c>
      <c r="D819" s="39" t="str">
        <f t="shared" si="50"/>
        <v>Vanecek</v>
      </c>
      <c r="E819" s="39" t="str">
        <f t="shared" si="51"/>
        <v>Vitek Vanecek</v>
      </c>
      <c r="F819" t="s">
        <v>1013</v>
      </c>
      <c r="G819" t="s">
        <v>127</v>
      </c>
      <c r="H819" s="292">
        <v>863333</v>
      </c>
      <c r="I819" s="292">
        <v>0</v>
      </c>
      <c r="J819" s="292">
        <v>750000</v>
      </c>
      <c r="K819" s="292" t="s">
        <v>8</v>
      </c>
      <c r="L819" s="292">
        <v>0</v>
      </c>
      <c r="M819" s="292">
        <v>0</v>
      </c>
      <c r="N819" s="292">
        <v>0</v>
      </c>
    </row>
    <row r="820" spans="1:14" x14ac:dyDescent="0.25">
      <c r="A820" t="s">
        <v>1104</v>
      </c>
      <c r="B820" s="39">
        <f t="shared" si="48"/>
        <v>9</v>
      </c>
      <c r="C820" s="39" t="str">
        <f t="shared" si="49"/>
        <v>Vladimir</v>
      </c>
      <c r="D820" s="39" t="str">
        <f t="shared" si="50"/>
        <v>Sobotka</v>
      </c>
      <c r="E820" s="39" t="str">
        <f t="shared" si="51"/>
        <v>Vladimir Sobotka</v>
      </c>
      <c r="F820" t="s">
        <v>1039</v>
      </c>
      <c r="G820" t="s">
        <v>73</v>
      </c>
      <c r="H820" s="292">
        <v>3500000</v>
      </c>
      <c r="I820" s="292">
        <v>3500000</v>
      </c>
      <c r="J820" s="292">
        <v>3500000</v>
      </c>
      <c r="K820" s="292">
        <v>3000000</v>
      </c>
      <c r="L820" s="292" t="s">
        <v>7</v>
      </c>
      <c r="M820" s="292">
        <v>0</v>
      </c>
      <c r="N820" s="292">
        <v>0</v>
      </c>
    </row>
    <row r="821" spans="1:14" x14ac:dyDescent="0.25">
      <c r="A821" t="s">
        <v>227</v>
      </c>
      <c r="B821" s="39">
        <f t="shared" si="48"/>
        <v>9</v>
      </c>
      <c r="C821" s="39" t="str">
        <f t="shared" si="49"/>
        <v>Vladimir</v>
      </c>
      <c r="D821" s="39" t="str">
        <f t="shared" si="50"/>
        <v>Tarasenko</v>
      </c>
      <c r="E821" s="39" t="str">
        <f t="shared" si="51"/>
        <v>Vladimir Tarasenko</v>
      </c>
      <c r="F821" t="s">
        <v>1026</v>
      </c>
      <c r="G821" t="s">
        <v>88</v>
      </c>
      <c r="H821" s="292">
        <v>7500000</v>
      </c>
      <c r="I821" s="292">
        <v>7500000</v>
      </c>
      <c r="J821" s="292">
        <v>7000000</v>
      </c>
      <c r="K821" s="292">
        <v>9500000</v>
      </c>
      <c r="L821" s="292">
        <v>5500000</v>
      </c>
      <c r="M821" s="292">
        <v>9500000</v>
      </c>
      <c r="N821" s="292">
        <v>5500000</v>
      </c>
    </row>
    <row r="822" spans="1:14" x14ac:dyDescent="0.25">
      <c r="A822" t="s">
        <v>923</v>
      </c>
      <c r="B822" s="39">
        <f t="shared" si="48"/>
        <v>10</v>
      </c>
      <c r="C822" s="39" t="str">
        <f t="shared" si="49"/>
        <v>Vladislav</v>
      </c>
      <c r="D822" s="39" t="str">
        <f t="shared" si="50"/>
        <v>Kamenev</v>
      </c>
      <c r="E822" s="39" t="str">
        <f t="shared" si="51"/>
        <v>Vladislav Kamenev</v>
      </c>
      <c r="F822" t="s">
        <v>1033</v>
      </c>
      <c r="G822" t="s">
        <v>93</v>
      </c>
      <c r="H822" s="292">
        <v>894167</v>
      </c>
      <c r="I822" s="292">
        <v>0</v>
      </c>
      <c r="J822" s="292">
        <v>832500</v>
      </c>
      <c r="K822" s="292" t="s">
        <v>8</v>
      </c>
      <c r="L822" s="292">
        <v>0</v>
      </c>
      <c r="M822" s="292">
        <v>0</v>
      </c>
      <c r="N822" s="292">
        <v>0</v>
      </c>
    </row>
    <row r="823" spans="1:14" x14ac:dyDescent="0.25">
      <c r="A823" t="s">
        <v>985</v>
      </c>
      <c r="B823" s="39">
        <f t="shared" si="48"/>
        <v>7</v>
      </c>
      <c r="C823" s="39" t="str">
        <f t="shared" si="49"/>
        <v>Warren</v>
      </c>
      <c r="D823" s="39" t="str">
        <f t="shared" si="50"/>
        <v>Foegele</v>
      </c>
      <c r="E823" s="39" t="str">
        <f t="shared" si="51"/>
        <v>Warren Foegele</v>
      </c>
      <c r="F823" t="s">
        <v>1036</v>
      </c>
      <c r="G823" t="s">
        <v>93</v>
      </c>
      <c r="H823" s="292">
        <v>800000</v>
      </c>
      <c r="I823" s="292">
        <v>800000</v>
      </c>
      <c r="J823" s="292">
        <v>730000</v>
      </c>
      <c r="K823" s="292">
        <v>780000</v>
      </c>
      <c r="L823" s="292" t="s">
        <v>8</v>
      </c>
      <c r="M823" s="292">
        <v>0</v>
      </c>
      <c r="N823" s="292">
        <v>0</v>
      </c>
    </row>
    <row r="824" spans="1:14" x14ac:dyDescent="0.25">
      <c r="A824" t="s">
        <v>259</v>
      </c>
      <c r="B824" s="39">
        <f t="shared" si="48"/>
        <v>6</v>
      </c>
      <c r="C824" s="39" t="str">
        <f t="shared" si="49"/>
        <v>Wayne</v>
      </c>
      <c r="D824" s="39" t="str">
        <f t="shared" si="50"/>
        <v>Simmonds</v>
      </c>
      <c r="E824" s="39" t="str">
        <f t="shared" si="51"/>
        <v>Wayne Simmonds</v>
      </c>
      <c r="F824" t="s">
        <v>1021</v>
      </c>
      <c r="G824" t="s">
        <v>88</v>
      </c>
      <c r="H824" s="292">
        <v>3975000</v>
      </c>
      <c r="I824" s="292">
        <v>0</v>
      </c>
      <c r="J824" s="292">
        <v>5000000</v>
      </c>
      <c r="K824" s="292" t="s">
        <v>7</v>
      </c>
      <c r="L824" s="292">
        <v>0</v>
      </c>
      <c r="M824" s="292">
        <v>0</v>
      </c>
      <c r="N824" s="292">
        <v>0</v>
      </c>
    </row>
    <row r="825" spans="1:14" x14ac:dyDescent="0.25">
      <c r="A825" t="s">
        <v>352</v>
      </c>
      <c r="B825" s="39">
        <f t="shared" si="48"/>
        <v>5</v>
      </c>
      <c r="C825" s="39" t="str">
        <f t="shared" si="49"/>
        <v>Will</v>
      </c>
      <c r="D825" s="39" t="str">
        <f t="shared" si="50"/>
        <v>Butcher</v>
      </c>
      <c r="E825" s="39" t="str">
        <f t="shared" si="51"/>
        <v>Will Butcher</v>
      </c>
      <c r="F825" t="s">
        <v>1038</v>
      </c>
      <c r="G825" t="s">
        <v>380</v>
      </c>
      <c r="H825" s="292">
        <v>3775000</v>
      </c>
      <c r="I825" s="292">
        <v>0</v>
      </c>
      <c r="J825" s="292">
        <v>925000</v>
      </c>
      <c r="K825" s="292" t="s">
        <v>8</v>
      </c>
      <c r="L825" s="292">
        <v>0</v>
      </c>
      <c r="M825" s="292">
        <v>0</v>
      </c>
      <c r="N825" s="292">
        <v>0</v>
      </c>
    </row>
    <row r="826" spans="1:14" x14ac:dyDescent="0.25">
      <c r="A826" t="s">
        <v>788</v>
      </c>
      <c r="B826" s="39">
        <f t="shared" si="48"/>
        <v>7</v>
      </c>
      <c r="C826" s="39" t="str">
        <f t="shared" si="49"/>
        <v>Xavier</v>
      </c>
      <c r="D826" s="39" t="str">
        <f t="shared" si="50"/>
        <v>Ouellet</v>
      </c>
      <c r="E826" s="39" t="str">
        <f t="shared" si="51"/>
        <v>Xavier Ouellet</v>
      </c>
      <c r="F826" t="s">
        <v>1035</v>
      </c>
      <c r="G826" t="s">
        <v>380</v>
      </c>
      <c r="H826" s="292">
        <v>1250000</v>
      </c>
      <c r="I826" s="292">
        <v>0</v>
      </c>
      <c r="J826" s="292">
        <v>1300000</v>
      </c>
      <c r="K826" s="292" t="s">
        <v>8</v>
      </c>
      <c r="L826" s="292">
        <v>0</v>
      </c>
      <c r="M826" s="292">
        <v>0</v>
      </c>
      <c r="N826" s="292">
        <v>0</v>
      </c>
    </row>
    <row r="827" spans="1:14" x14ac:dyDescent="0.25">
      <c r="A827" t="s">
        <v>774</v>
      </c>
      <c r="B827" s="39">
        <f t="shared" si="48"/>
        <v>6</v>
      </c>
      <c r="C827" s="39" t="str">
        <f t="shared" si="49"/>
        <v>Yakov</v>
      </c>
      <c r="D827" s="39" t="str">
        <f t="shared" si="50"/>
        <v>Trenin</v>
      </c>
      <c r="E827" s="39" t="str">
        <f t="shared" si="51"/>
        <v>Yakov Trenin</v>
      </c>
      <c r="F827" t="s">
        <v>1016</v>
      </c>
      <c r="G827" t="s">
        <v>73</v>
      </c>
      <c r="H827" s="292">
        <v>894167</v>
      </c>
      <c r="I827" s="292">
        <v>0</v>
      </c>
      <c r="J827" s="292">
        <v>750000</v>
      </c>
      <c r="K827" s="292" t="s">
        <v>8</v>
      </c>
      <c r="L827" s="292">
        <v>0</v>
      </c>
      <c r="M827" s="292">
        <v>0</v>
      </c>
      <c r="N827" s="292">
        <v>0</v>
      </c>
    </row>
    <row r="828" spans="1:14" x14ac:dyDescent="0.25">
      <c r="A828" t="s">
        <v>362</v>
      </c>
      <c r="B828" s="39">
        <f t="shared" si="48"/>
        <v>6</v>
      </c>
      <c r="C828" s="39" t="str">
        <f t="shared" si="49"/>
        <v>Yanni</v>
      </c>
      <c r="D828" s="39" t="str">
        <f t="shared" si="50"/>
        <v>Gourde</v>
      </c>
      <c r="E828" s="39" t="str">
        <f t="shared" si="51"/>
        <v>Yanni Gourde</v>
      </c>
      <c r="F828" t="s">
        <v>1019</v>
      </c>
      <c r="G828" t="s">
        <v>93</v>
      </c>
      <c r="H828" s="292">
        <v>1000000</v>
      </c>
      <c r="I828" s="292">
        <v>0</v>
      </c>
      <c r="J828" s="292">
        <v>1000000</v>
      </c>
      <c r="K828" s="292" t="s">
        <v>7</v>
      </c>
      <c r="L828" s="292">
        <v>0</v>
      </c>
      <c r="M828" s="292">
        <v>0</v>
      </c>
      <c r="N828" s="292">
        <v>0</v>
      </c>
    </row>
    <row r="829" spans="1:14" x14ac:dyDescent="0.25">
      <c r="A829" t="s">
        <v>831</v>
      </c>
      <c r="B829" s="39">
        <f t="shared" si="48"/>
        <v>10</v>
      </c>
      <c r="C829" s="39" t="str">
        <f t="shared" si="49"/>
        <v>Yan-Pavel</v>
      </c>
      <c r="D829" s="39" t="str">
        <f t="shared" si="50"/>
        <v>Laplante</v>
      </c>
      <c r="E829" s="39" t="str">
        <f t="shared" si="51"/>
        <v>Yan-Pavel Laplante</v>
      </c>
      <c r="F829" t="s">
        <v>1037</v>
      </c>
      <c r="G829" t="s">
        <v>73</v>
      </c>
      <c r="H829" s="292">
        <v>925000</v>
      </c>
      <c r="I829" s="292">
        <v>0</v>
      </c>
      <c r="J829" s="292">
        <v>925000</v>
      </c>
      <c r="K829" s="292" t="s">
        <v>8</v>
      </c>
      <c r="L829" s="292">
        <v>0</v>
      </c>
      <c r="M829" s="292">
        <v>0</v>
      </c>
      <c r="N829" s="292">
        <v>0</v>
      </c>
    </row>
    <row r="830" spans="1:14" x14ac:dyDescent="0.25">
      <c r="A830" t="s">
        <v>1132</v>
      </c>
      <c r="B830" s="39">
        <f t="shared" si="48"/>
        <v>9</v>
      </c>
      <c r="C830" s="39" t="str">
        <f t="shared" si="49"/>
        <v>Yaroslav</v>
      </c>
      <c r="D830" s="39" t="str">
        <f t="shared" si="50"/>
        <v>Dyblenko</v>
      </c>
      <c r="E830" s="39" t="str">
        <f t="shared" si="51"/>
        <v>Yaroslav Dyblenko</v>
      </c>
      <c r="F830" t="s">
        <v>1038</v>
      </c>
      <c r="G830" t="s">
        <v>82</v>
      </c>
      <c r="H830" s="292">
        <v>925000</v>
      </c>
      <c r="I830" s="292">
        <v>0</v>
      </c>
      <c r="J830" s="292">
        <v>842500</v>
      </c>
      <c r="K830" s="292" t="s">
        <v>8</v>
      </c>
      <c r="L830" s="292">
        <v>0</v>
      </c>
      <c r="M830" s="292">
        <v>0</v>
      </c>
      <c r="N830" s="292">
        <v>0</v>
      </c>
    </row>
    <row r="831" spans="1:14" x14ac:dyDescent="0.25">
      <c r="A831" t="s">
        <v>652</v>
      </c>
      <c r="B831" s="39">
        <f t="shared" si="48"/>
        <v>4</v>
      </c>
      <c r="C831" s="39" t="str">
        <f t="shared" si="49"/>
        <v>Zac</v>
      </c>
      <c r="D831" s="39" t="str">
        <f t="shared" si="50"/>
        <v>Dalpe</v>
      </c>
      <c r="E831" s="39" t="str">
        <f t="shared" si="51"/>
        <v>Zac Dalpe</v>
      </c>
      <c r="F831" t="s">
        <v>1028</v>
      </c>
      <c r="G831" t="s">
        <v>73</v>
      </c>
      <c r="H831" s="292">
        <v>725000</v>
      </c>
      <c r="I831" s="292">
        <v>0</v>
      </c>
      <c r="J831" s="292">
        <v>750000</v>
      </c>
      <c r="K831" s="292" t="s">
        <v>7</v>
      </c>
      <c r="L831" s="292">
        <v>0</v>
      </c>
      <c r="M831" s="292">
        <v>0</v>
      </c>
      <c r="N831" s="292">
        <v>0</v>
      </c>
    </row>
    <row r="832" spans="1:14" x14ac:dyDescent="0.25">
      <c r="A832" t="s">
        <v>428</v>
      </c>
      <c r="B832" s="39">
        <f t="shared" si="48"/>
        <v>5</v>
      </c>
      <c r="C832" s="39" t="str">
        <f t="shared" si="49"/>
        <v>Zach</v>
      </c>
      <c r="D832" s="39" t="str">
        <f t="shared" si="50"/>
        <v>Aston-Reese</v>
      </c>
      <c r="E832" s="39" t="str">
        <f t="shared" si="51"/>
        <v>Zach Aston-Reese</v>
      </c>
      <c r="F832" t="s">
        <v>1014</v>
      </c>
      <c r="G832" t="s">
        <v>93</v>
      </c>
      <c r="H832" s="292">
        <v>925000</v>
      </c>
      <c r="I832" s="292">
        <v>0</v>
      </c>
      <c r="J832" s="292">
        <v>925000</v>
      </c>
      <c r="K832" s="292" t="s">
        <v>8</v>
      </c>
      <c r="L832" s="292">
        <v>0</v>
      </c>
      <c r="M832" s="292">
        <v>0</v>
      </c>
      <c r="N832" s="292">
        <v>0</v>
      </c>
    </row>
    <row r="833" spans="1:14" x14ac:dyDescent="0.25">
      <c r="A833" t="s">
        <v>1080</v>
      </c>
      <c r="B833" s="39">
        <f t="shared" si="48"/>
        <v>5</v>
      </c>
      <c r="C833" s="39" t="str">
        <f t="shared" si="49"/>
        <v>Zach</v>
      </c>
      <c r="D833" s="39" t="str">
        <f t="shared" si="50"/>
        <v>Bogosian</v>
      </c>
      <c r="E833" s="39" t="str">
        <f t="shared" si="51"/>
        <v>Zach Bogosian</v>
      </c>
      <c r="F833" t="s">
        <v>1039</v>
      </c>
      <c r="G833" t="s">
        <v>379</v>
      </c>
      <c r="H833" s="292">
        <v>5142860</v>
      </c>
      <c r="I833" s="292">
        <v>5142860</v>
      </c>
      <c r="J833" s="292">
        <v>6000000</v>
      </c>
      <c r="K833" s="292">
        <v>6000000</v>
      </c>
      <c r="L833" s="292" t="s">
        <v>7</v>
      </c>
      <c r="M833" s="292">
        <v>0</v>
      </c>
      <c r="N833" s="292">
        <v>0</v>
      </c>
    </row>
    <row r="834" spans="1:14" x14ac:dyDescent="0.25">
      <c r="A834" t="s">
        <v>1152</v>
      </c>
      <c r="B834" s="39">
        <f t="shared" si="48"/>
        <v>5</v>
      </c>
      <c r="C834" s="39" t="str">
        <f t="shared" si="49"/>
        <v>Zach</v>
      </c>
      <c r="D834" s="39" t="str">
        <f t="shared" si="50"/>
        <v>Fucale</v>
      </c>
      <c r="E834" s="39" t="str">
        <f t="shared" si="51"/>
        <v>Zach Fucale</v>
      </c>
      <c r="F834" t="s">
        <v>1041</v>
      </c>
      <c r="G834" t="s">
        <v>127</v>
      </c>
      <c r="H834" s="292">
        <v>650000</v>
      </c>
      <c r="I834" s="292">
        <v>0</v>
      </c>
      <c r="J834" s="292">
        <v>650000</v>
      </c>
      <c r="K834" s="292" t="s">
        <v>8</v>
      </c>
      <c r="L834" s="292">
        <v>0</v>
      </c>
      <c r="M834" s="292">
        <v>0</v>
      </c>
      <c r="N834" s="292">
        <v>0</v>
      </c>
    </row>
    <row r="835" spans="1:14" x14ac:dyDescent="0.25">
      <c r="A835" t="s">
        <v>931</v>
      </c>
      <c r="B835" s="39">
        <f t="shared" ref="B835:B843" si="52">SEARCH(" ",A835,1)</f>
        <v>5</v>
      </c>
      <c r="C835" s="39" t="str">
        <f t="shared" ref="C835:C843" si="53">LEFT(A835,B835-1)</f>
        <v>Zach</v>
      </c>
      <c r="D835" s="39" t="str">
        <f t="shared" ref="D835:D843" si="54">MID(A835,B835+1,LEN(A835)-B835)</f>
        <v>Hyman</v>
      </c>
      <c r="E835" s="39" t="str">
        <f t="shared" ref="E835:E843" si="55">C835&amp;" "&amp;D835</f>
        <v>Zach Hyman</v>
      </c>
      <c r="F835" t="s">
        <v>1034</v>
      </c>
      <c r="G835" t="s">
        <v>93</v>
      </c>
      <c r="H835" s="292">
        <v>2250000</v>
      </c>
      <c r="I835" s="292">
        <v>2250000</v>
      </c>
      <c r="J835" s="292">
        <v>2000000</v>
      </c>
      <c r="K835" s="292">
        <v>2500000</v>
      </c>
      <c r="L835" s="292">
        <v>2500000</v>
      </c>
      <c r="M835" s="292" t="s">
        <v>7</v>
      </c>
      <c r="N835" s="292">
        <v>0</v>
      </c>
    </row>
    <row r="836" spans="1:14" x14ac:dyDescent="0.25">
      <c r="A836" t="s">
        <v>1049</v>
      </c>
      <c r="B836" s="39">
        <f t="shared" si="52"/>
        <v>5</v>
      </c>
      <c r="C836" s="39" t="str">
        <f t="shared" si="53"/>
        <v>Zach</v>
      </c>
      <c r="D836" s="39" t="str">
        <f t="shared" si="54"/>
        <v>Parise</v>
      </c>
      <c r="E836" s="39" t="str">
        <f t="shared" si="55"/>
        <v>Zach Parise</v>
      </c>
      <c r="F836" t="s">
        <v>1025</v>
      </c>
      <c r="G836" t="s">
        <v>93</v>
      </c>
      <c r="H836" s="292">
        <v>7538460</v>
      </c>
      <c r="I836" s="292">
        <v>7538460</v>
      </c>
      <c r="J836" s="292">
        <v>9000000</v>
      </c>
      <c r="K836" s="292">
        <v>9000000</v>
      </c>
      <c r="L836" s="292">
        <v>8000000</v>
      </c>
      <c r="M836" s="292">
        <v>6000000</v>
      </c>
      <c r="N836" s="292">
        <v>2000000</v>
      </c>
    </row>
    <row r="837" spans="1:14" x14ac:dyDescent="0.25">
      <c r="A837" t="s">
        <v>1111</v>
      </c>
      <c r="B837" s="39">
        <f t="shared" si="52"/>
        <v>5</v>
      </c>
      <c r="C837" s="39" t="str">
        <f t="shared" si="53"/>
        <v>Zach</v>
      </c>
      <c r="D837" s="39" t="str">
        <f t="shared" si="54"/>
        <v>Werenski</v>
      </c>
      <c r="E837" s="39" t="str">
        <f t="shared" si="55"/>
        <v>Zach Werenski</v>
      </c>
      <c r="F837" t="s">
        <v>1028</v>
      </c>
      <c r="G837" t="s">
        <v>380</v>
      </c>
      <c r="H837" s="292">
        <v>1775000</v>
      </c>
      <c r="I837" s="292">
        <v>0</v>
      </c>
      <c r="J837" s="292">
        <v>925000</v>
      </c>
      <c r="K837" s="292" t="s">
        <v>8</v>
      </c>
      <c r="L837" s="292">
        <v>0</v>
      </c>
      <c r="M837" s="292">
        <v>0</v>
      </c>
      <c r="N837" s="292">
        <v>0</v>
      </c>
    </row>
    <row r="838" spans="1:14" x14ac:dyDescent="0.25">
      <c r="A838" t="s">
        <v>1117</v>
      </c>
      <c r="B838" s="39">
        <f t="shared" si="52"/>
        <v>8</v>
      </c>
      <c r="C838" s="39" t="str">
        <f t="shared" si="53"/>
        <v>Zachary</v>
      </c>
      <c r="D838" s="39" t="str">
        <f t="shared" si="54"/>
        <v>Senyshyn</v>
      </c>
      <c r="E838" s="39" t="str">
        <f t="shared" si="55"/>
        <v>Zachary Senyshyn</v>
      </c>
      <c r="F838" t="s">
        <v>1030</v>
      </c>
      <c r="G838" t="s">
        <v>88</v>
      </c>
      <c r="H838" s="292">
        <v>1288330</v>
      </c>
      <c r="I838" s="292">
        <v>1288330</v>
      </c>
      <c r="J838" s="292">
        <v>832500</v>
      </c>
      <c r="K838" s="292">
        <v>832500</v>
      </c>
      <c r="L838" s="292" t="s">
        <v>8</v>
      </c>
      <c r="M838" s="292">
        <v>0</v>
      </c>
      <c r="N838" s="292">
        <v>0</v>
      </c>
    </row>
    <row r="839" spans="1:14" x14ac:dyDescent="0.25">
      <c r="A839" t="s">
        <v>554</v>
      </c>
      <c r="B839" s="39">
        <f t="shared" si="52"/>
        <v>5</v>
      </c>
      <c r="C839" s="39" t="str">
        <f t="shared" si="53"/>
        <v>Zack</v>
      </c>
      <c r="D839" s="39" t="str">
        <f t="shared" si="54"/>
        <v>Kassian</v>
      </c>
      <c r="E839" s="39" t="str">
        <f t="shared" si="55"/>
        <v>Zack Kassian</v>
      </c>
      <c r="F839" t="s">
        <v>1020</v>
      </c>
      <c r="G839" t="s">
        <v>88</v>
      </c>
      <c r="H839" s="292">
        <v>1950000</v>
      </c>
      <c r="I839" s="292">
        <v>1950000</v>
      </c>
      <c r="J839" s="292">
        <v>2000000</v>
      </c>
      <c r="K839" s="292">
        <v>2000000</v>
      </c>
      <c r="L839" s="292" t="s">
        <v>7</v>
      </c>
      <c r="M839" s="292">
        <v>0</v>
      </c>
      <c r="N839" s="292">
        <v>0</v>
      </c>
    </row>
    <row r="840" spans="1:14" x14ac:dyDescent="0.25">
      <c r="A840" t="s">
        <v>830</v>
      </c>
      <c r="B840" s="39">
        <f t="shared" si="52"/>
        <v>5</v>
      </c>
      <c r="C840" s="39" t="str">
        <f t="shared" si="53"/>
        <v>Zack</v>
      </c>
      <c r="D840" s="39" t="str">
        <f t="shared" si="54"/>
        <v>MacEwen</v>
      </c>
      <c r="E840" s="39" t="str">
        <f t="shared" si="55"/>
        <v>Zack MacEwen</v>
      </c>
      <c r="F840" t="s">
        <v>1037</v>
      </c>
      <c r="G840" t="s">
        <v>73</v>
      </c>
      <c r="H840" s="292">
        <v>995833</v>
      </c>
      <c r="I840" s="292">
        <v>995833</v>
      </c>
      <c r="J840" s="292">
        <v>825000</v>
      </c>
      <c r="K840" s="292">
        <v>925000</v>
      </c>
      <c r="L840" s="292" t="s">
        <v>8</v>
      </c>
      <c r="M840" s="292">
        <v>0</v>
      </c>
      <c r="N840" s="292">
        <v>0</v>
      </c>
    </row>
    <row r="841" spans="1:14" x14ac:dyDescent="0.25">
      <c r="A841" t="s">
        <v>678</v>
      </c>
      <c r="B841" s="39">
        <f t="shared" si="52"/>
        <v>5</v>
      </c>
      <c r="C841" s="39" t="str">
        <f t="shared" si="53"/>
        <v>Zack</v>
      </c>
      <c r="D841" s="39" t="str">
        <f t="shared" si="54"/>
        <v>Smith</v>
      </c>
      <c r="E841" s="39" t="str">
        <f t="shared" si="55"/>
        <v>Zack Smith</v>
      </c>
      <c r="F841" t="s">
        <v>1029</v>
      </c>
      <c r="G841" t="s">
        <v>73</v>
      </c>
      <c r="H841" s="292">
        <v>3250000</v>
      </c>
      <c r="I841" s="292">
        <v>3250000</v>
      </c>
      <c r="J841" s="292">
        <v>3250000</v>
      </c>
      <c r="K841" s="292">
        <v>3250000</v>
      </c>
      <c r="L841" s="292">
        <v>3250000</v>
      </c>
      <c r="M841" s="292" t="s">
        <v>7</v>
      </c>
      <c r="N841" s="292">
        <v>0</v>
      </c>
    </row>
    <row r="842" spans="1:14" x14ac:dyDescent="0.25">
      <c r="A842" t="s">
        <v>552</v>
      </c>
      <c r="B842" s="39">
        <f t="shared" si="52"/>
        <v>5</v>
      </c>
      <c r="C842" s="39" t="str">
        <f t="shared" si="53"/>
        <v>Zane</v>
      </c>
      <c r="D842" s="39" t="str">
        <f t="shared" si="54"/>
        <v>McIntyre</v>
      </c>
      <c r="E842" s="39" t="str">
        <f t="shared" si="55"/>
        <v>Zane McIntyre</v>
      </c>
      <c r="F842" t="s">
        <v>1030</v>
      </c>
      <c r="G842" t="s">
        <v>127</v>
      </c>
      <c r="H842" s="292">
        <v>650000</v>
      </c>
      <c r="I842" s="292">
        <v>0</v>
      </c>
      <c r="J842" s="292">
        <v>650000</v>
      </c>
      <c r="K842" s="292" t="s">
        <v>8</v>
      </c>
      <c r="L842" s="292">
        <v>0</v>
      </c>
      <c r="M842" s="292">
        <v>0</v>
      </c>
      <c r="N842" s="292">
        <v>0</v>
      </c>
    </row>
    <row r="843" spans="1:14" x14ac:dyDescent="0.25">
      <c r="A843" t="s">
        <v>727</v>
      </c>
      <c r="B843" s="39">
        <f t="shared" si="52"/>
        <v>7</v>
      </c>
      <c r="C843" s="39" t="str">
        <f t="shared" si="53"/>
        <v>Zemgus</v>
      </c>
      <c r="D843" s="39" t="str">
        <f t="shared" si="54"/>
        <v>Girgensons</v>
      </c>
      <c r="E843" s="39" t="str">
        <f t="shared" si="55"/>
        <v>Zemgus Girgensons</v>
      </c>
      <c r="F843" t="s">
        <v>1039</v>
      </c>
      <c r="G843" t="s">
        <v>73</v>
      </c>
      <c r="H843" s="292">
        <v>1600000</v>
      </c>
      <c r="I843" s="292">
        <v>0</v>
      </c>
      <c r="J843" s="292">
        <v>1600000</v>
      </c>
      <c r="K843" s="292" t="s">
        <v>8</v>
      </c>
      <c r="L843" s="292">
        <v>0</v>
      </c>
      <c r="M843" s="292">
        <v>0</v>
      </c>
      <c r="N843" s="292">
        <v>0</v>
      </c>
    </row>
  </sheetData>
  <sortState ref="A2:N843">
    <sortCondition ref="A2:A843"/>
    <sortCondition ref="F2:F843"/>
  </sortSt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17</vt:i4>
      </vt:variant>
    </vt:vector>
  </HeadingPairs>
  <TitlesOfParts>
    <vt:vector size="17" baseType="lpstr">
      <vt:lpstr>Règlements</vt:lpstr>
      <vt:lpstr>Recrues (Repêchage)</vt:lpstr>
      <vt:lpstr>Calcul Masse Salariale</vt:lpstr>
      <vt:lpstr>Données</vt:lpstr>
      <vt:lpstr>Sébastien_FAU</vt:lpstr>
      <vt:lpstr>Jérôme</vt:lpstr>
      <vt:lpstr>Nicolas</vt:lpstr>
      <vt:lpstr>Sébastien_STL</vt:lpstr>
      <vt:lpstr>Paule</vt:lpstr>
      <vt:lpstr>Steve</vt:lpstr>
      <vt:lpstr>David</vt:lpstr>
      <vt:lpstr>Vincent</vt:lpstr>
      <vt:lpstr>Vincent (2)</vt:lpstr>
      <vt:lpstr>Sommaire Agents libres</vt:lpstr>
      <vt:lpstr>CapFriendly</vt:lpstr>
      <vt:lpstr>Validation</vt:lpstr>
      <vt:lpstr>NHL Numbers</vt:lpstr>
    </vt:vector>
  </TitlesOfParts>
  <Company>rcgt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bd54</dc:creator>
  <cp:lastModifiedBy>Temp</cp:lastModifiedBy>
  <dcterms:created xsi:type="dcterms:W3CDTF">2013-06-12T19:29:23Z</dcterms:created>
  <dcterms:modified xsi:type="dcterms:W3CDTF">2019-08-20T20:03:02Z</dcterms:modified>
</cp:coreProperties>
</file>